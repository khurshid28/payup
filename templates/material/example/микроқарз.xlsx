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Z:\Кредитный дела 2025\01 Январь\№202 улица\"/>
    </mc:Choice>
  </mc:AlternateContent>
  <xr:revisionPtr revIDLastSave="0" documentId="13_ncr:1_{8504262F-9D2D-4CFD-B382-422D10520F11}" xr6:coauthVersionLast="47" xr6:coauthVersionMax="47" xr10:uidLastSave="{00000000-0000-0000-0000-000000000000}"/>
  <bookViews>
    <workbookView xWindow="-120" yWindow="-120" windowWidth="29040" windowHeight="15840" tabRatio="915" firstSheet="5" activeTab="18"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4" sheetId="29" r:id="rId18"/>
    <sheet name=" Акт мониторинга 1" sheetId="26" r:id="rId19"/>
    <sheet name=" Акт мониторинга 2" sheetId="27" r:id="rId20"/>
    <sheet name=" Акт мониторинга 3" sheetId="28" r:id="rId21"/>
  </sheets>
  <externalReferences>
    <externalReference r:id="rId22"/>
  </externalReferences>
  <definedNames>
    <definedName name="mos">'[1]Общие данные'!$C$23:$D$23</definedName>
    <definedName name="mulk">'[1]Общие данные'!$C$24:$W$24</definedName>
    <definedName name="_xlnm.Print_Area" localSheetId="13">'Акт согласования'!$A$1:$E$66</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договор!$A$1:$B$128</definedName>
    <definedName name="_xlnm.Print_Area" localSheetId="12">'заявление залогодателя'!$A$3:$B$20</definedName>
    <definedName name="_xlnm.Print_Area" localSheetId="7">'Кредитная заявка'!$A$1:$D$41</definedName>
    <definedName name="_xlnm.Print_Area" localSheetId="15">обложка!$A$1:$G$42</definedName>
    <definedName name="_xlnm.Print_Area" localSheetId="0">'Протокол  (2)'!$A$1:$E$40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1" i="3" l="1"/>
  <c r="B122" i="1"/>
  <c r="A32" i="16"/>
  <c r="A33" i="16" s="1"/>
  <c r="A34" i="16" s="1"/>
  <c r="A35" i="16" s="1"/>
  <c r="A36" i="16" s="1"/>
  <c r="A37" i="16" s="1"/>
  <c r="A39" i="16" s="1"/>
  <c r="A40" i="16" s="1"/>
  <c r="A41" i="16" s="1"/>
  <c r="A42" i="16" s="1"/>
  <c r="A43" i="16" s="1"/>
  <c r="A44" i="16" s="1"/>
  <c r="A31" i="12"/>
  <c r="A32" i="12" s="1"/>
  <c r="A32" i="15"/>
  <c r="A31" i="15"/>
  <c r="B65" i="1"/>
  <c r="A7" i="3"/>
  <c r="A8" i="4" s="1"/>
  <c r="D59" i="7"/>
  <c r="C8" i="15"/>
  <c r="A33" i="12" l="1"/>
  <c r="A33" i="15"/>
  <c r="B116" i="1"/>
  <c r="A62" i="7"/>
  <c r="A34" i="12" l="1"/>
  <c r="A34" i="15"/>
  <c r="B119" i="19"/>
  <c r="C116" i="1"/>
  <c r="C122" i="1" s="1"/>
  <c r="C114" i="1"/>
  <c r="C120" i="1" s="1"/>
  <c r="C113" i="1"/>
  <c r="C119" i="1" s="1"/>
  <c r="C112" i="1"/>
  <c r="C118" i="1" s="1"/>
  <c r="C111" i="1"/>
  <c r="C117" i="1" s="1"/>
  <c r="A61" i="7"/>
  <c r="F61" i="7"/>
  <c r="A25" i="7"/>
  <c r="A23" i="7"/>
  <c r="A35" i="12" l="1"/>
  <c r="A35" i="15"/>
  <c r="H24" i="27"/>
  <c r="A9" i="26"/>
  <c r="A9" i="29" s="1"/>
  <c r="A36" i="12" l="1"/>
  <c r="A36" i="15"/>
  <c r="A9" i="27"/>
  <c r="A9" i="28"/>
  <c r="I126" i="1"/>
  <c r="A48" i="3"/>
  <c r="A35" i="3"/>
  <c r="E30" i="3"/>
  <c r="A30" i="3"/>
  <c r="A33" i="3"/>
  <c r="A37" i="12" l="1"/>
  <c r="A37" i="15"/>
  <c r="D29" i="7"/>
  <c r="D30" i="3" s="1"/>
  <c r="F130" i="1"/>
  <c r="E133" i="1"/>
  <c r="E130" i="1"/>
  <c r="D20" i="7"/>
  <c r="E20" i="7"/>
  <c r="G9" i="26" s="1"/>
  <c r="B20" i="7"/>
  <c r="A38" i="12" l="1"/>
  <c r="A38" i="15"/>
  <c r="G9" i="28"/>
  <c r="G9" i="27"/>
  <c r="G9" i="29"/>
  <c r="B29" i="7"/>
  <c r="B30" i="3" s="1"/>
  <c r="C9" i="26"/>
  <c r="C29" i="7"/>
  <c r="C30" i="3" s="1"/>
  <c r="E9" i="26"/>
  <c r="A39" i="12" l="1"/>
  <c r="A39" i="15"/>
  <c r="E9" i="29"/>
  <c r="E9" i="28"/>
  <c r="E9" i="27"/>
  <c r="C9" i="29"/>
  <c r="C9" i="28"/>
  <c r="C9" i="27"/>
  <c r="B76" i="1"/>
  <c r="A40" i="12" l="1"/>
  <c r="A40" i="15"/>
  <c r="H24" i="29"/>
  <c r="H24" i="28"/>
  <c r="A22" i="26"/>
  <c r="H24" i="26"/>
  <c r="B7" i="13"/>
  <c r="B126" i="19"/>
  <c r="A51" i="3"/>
  <c r="A59" i="3"/>
  <c r="A57" i="3"/>
  <c r="A53" i="3"/>
  <c r="A37" i="3"/>
  <c r="A1" i="3"/>
  <c r="C1" i="2"/>
  <c r="D17" i="23"/>
  <c r="E17" i="23" s="1"/>
  <c r="A1" i="23"/>
  <c r="A39" i="23"/>
  <c r="A38" i="23"/>
  <c r="A37" i="23"/>
  <c r="D58" i="16"/>
  <c r="A41" i="12" l="1"/>
  <c r="A41" i="15"/>
  <c r="A110" i="1"/>
  <c r="A109" i="1"/>
  <c r="A108" i="1"/>
  <c r="A107" i="1"/>
  <c r="B19" i="1"/>
  <c r="C22" i="1" s="1"/>
  <c r="H9" i="23"/>
  <c r="A57" i="16"/>
  <c r="A18" i="23" l="1"/>
  <c r="A7" i="23"/>
  <c r="A42" i="12"/>
  <c r="A42" i="15"/>
  <c r="B49" i="1"/>
  <c r="B59" i="1" s="1"/>
  <c r="A43" i="12" l="1"/>
  <c r="A43" i="15"/>
  <c r="A16" i="4"/>
  <c r="A17" i="4"/>
  <c r="A7" i="24"/>
  <c r="B27" i="1"/>
  <c r="B34" i="1"/>
  <c r="A24" i="7"/>
  <c r="B114" i="1"/>
  <c r="B113" i="1"/>
  <c r="B119" i="1" s="1"/>
  <c r="B112" i="1"/>
  <c r="B118" i="1" s="1"/>
  <c r="B111" i="1"/>
  <c r="B117" i="1" s="1"/>
  <c r="B8" i="13" l="1"/>
  <c r="A34" i="3"/>
  <c r="A23" i="8"/>
  <c r="B45" i="1"/>
  <c r="B58" i="1"/>
  <c r="A63" i="7"/>
  <c r="D62" i="7" s="1"/>
  <c r="A19" i="13"/>
  <c r="A52" i="7"/>
  <c r="A51" i="7"/>
  <c r="B6" i="13"/>
  <c r="D2" i="2"/>
  <c r="C76" i="1"/>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A34"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A22" i="7"/>
  <c r="A18" i="8" l="1"/>
  <c r="A32" i="3"/>
  <c r="H7" i="23"/>
  <c r="A2" i="23" s="1"/>
  <c r="A120" i="19" l="1"/>
  <c r="A53" i="16" s="1"/>
  <c r="A30" i="4"/>
  <c r="B122" i="19"/>
  <c r="D55" i="16" s="1"/>
  <c r="A15" i="4"/>
  <c r="A14" i="4"/>
  <c r="A13" i="4"/>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11" i="1" s="1"/>
  <c r="B13" i="1" s="1"/>
  <c r="B8" i="1"/>
  <c r="B136" i="1"/>
  <c r="B137" i="1" s="1"/>
  <c r="B133" i="1"/>
  <c r="E21" i="7" s="1"/>
  <c r="B130" i="1"/>
  <c r="D21" i="7" s="1"/>
  <c r="E10" i="26" s="1"/>
  <c r="B127" i="1"/>
  <c r="B21" i="7" s="1"/>
  <c r="C10" i="26" s="1"/>
  <c r="G10" i="26" l="1"/>
  <c r="D30" i="7"/>
  <c r="D31" i="3" s="1"/>
  <c r="E10" i="28"/>
  <c r="E10" i="27"/>
  <c r="E10" i="29"/>
  <c r="C10" i="28"/>
  <c r="C10" i="27"/>
  <c r="C10" i="29"/>
  <c r="C126" i="1"/>
  <c r="A28" i="3" s="1"/>
  <c r="A21" i="7"/>
  <c r="A10" i="26" s="1"/>
  <c r="C137" i="1"/>
  <c r="B138" i="1"/>
  <c r="A6" i="2"/>
  <c r="E30" i="7"/>
  <c r="A48" i="7"/>
  <c r="A15" i="7"/>
  <c r="E125" i="1"/>
  <c r="A27" i="3"/>
  <c r="B9" i="13"/>
  <c r="A20" i="3"/>
  <c r="A27" i="2"/>
  <c r="A28" i="2"/>
  <c r="F126" i="1"/>
  <c r="E126" i="1"/>
  <c r="B10" i="1"/>
  <c r="E31" i="3" l="1"/>
  <c r="E28" i="23"/>
  <c r="A17" i="8"/>
  <c r="A17" i="7"/>
  <c r="A24" i="2"/>
  <c r="G10" i="28"/>
  <c r="G10" i="29"/>
  <c r="G10" i="27"/>
  <c r="A16" i="8"/>
  <c r="A25" i="2"/>
  <c r="A16" i="7"/>
  <c r="A10" i="27"/>
  <c r="A10" i="28"/>
  <c r="A10" i="29"/>
  <c r="A29" i="3"/>
  <c r="A26" i="23" s="1"/>
  <c r="A8" i="8"/>
  <c r="A38" i="3"/>
  <c r="B12" i="1"/>
  <c r="A18" i="7" l="1"/>
  <c r="A19" i="7" s="1"/>
  <c r="A15" i="13"/>
  <c r="A14" i="13"/>
  <c r="A21" i="4"/>
  <c r="A10" i="2"/>
  <c r="A9" i="2"/>
  <c r="A19" i="4"/>
  <c r="A13" i="13" l="1"/>
  <c r="B66" i="1"/>
  <c r="A1" i="19" s="1"/>
  <c r="H26" i="29"/>
  <c r="H26" i="28"/>
  <c r="H26" i="27"/>
  <c r="H22" i="29"/>
  <c r="H22" i="28"/>
  <c r="H22" i="27"/>
  <c r="H26" i="26"/>
  <c r="D56" i="7" l="1"/>
  <c r="A56" i="7"/>
  <c r="A131" i="19"/>
  <c r="B102" i="1"/>
  <c r="R124" i="1" l="1"/>
  <c r="R125" i="1" s="1"/>
  <c r="N126" i="1" s="1"/>
  <c r="A25" i="13"/>
  <c r="A26" i="13" s="1"/>
  <c r="A28" i="13" s="1"/>
  <c r="A20" i="13" s="1"/>
  <c r="A65" i="7" s="1"/>
  <c r="Q124" i="1"/>
  <c r="Q125" i="1" s="1"/>
  <c r="N125" i="1" s="1"/>
  <c r="C63" i="7" l="1"/>
  <c r="B24" i="4"/>
  <c r="B67" i="1" l="1"/>
  <c r="C78" i="1" s="1"/>
  <c r="C79" i="1" s="1"/>
  <c r="C80" i="1" s="1"/>
  <c r="B79" i="1" s="1"/>
  <c r="B80" i="1" l="1"/>
  <c r="B8" i="15"/>
  <c r="B145" i="1"/>
  <c r="B143" i="1"/>
  <c r="B9" i="16" l="1"/>
  <c r="R32" i="15"/>
  <c r="R33" i="15"/>
  <c r="R34" i="15"/>
  <c r="R35" i="15"/>
  <c r="R36" i="15"/>
  <c r="R37" i="15"/>
  <c r="R38" i="15"/>
  <c r="R39" i="15"/>
  <c r="R40" i="15"/>
  <c r="R41" i="15"/>
  <c r="R42" i="15"/>
  <c r="R43" i="15"/>
  <c r="C18" i="1"/>
  <c r="B20" i="1" s="1"/>
  <c r="O38" i="15" l="1"/>
  <c r="P38" i="15" s="1"/>
  <c r="Q38" i="15" s="1"/>
  <c r="B38" i="15" s="1"/>
  <c r="O36" i="15"/>
  <c r="P36" i="15" s="1"/>
  <c r="Q36" i="15" s="1"/>
  <c r="B36" i="15" s="1"/>
  <c r="O35" i="15"/>
  <c r="P35" i="15" s="1"/>
  <c r="Q35" i="15" s="1"/>
  <c r="B35" i="15" s="1"/>
  <c r="O42" i="15"/>
  <c r="P42" i="15" s="1"/>
  <c r="Q42" i="15" s="1"/>
  <c r="B42" i="15" s="1"/>
  <c r="O34" i="15"/>
  <c r="P34" i="15" s="1"/>
  <c r="Q34" i="15" s="1"/>
  <c r="B34" i="15" s="1"/>
  <c r="O43" i="15"/>
  <c r="P43" i="15" s="1"/>
  <c r="Q43" i="15" s="1"/>
  <c r="B43" i="15"/>
  <c r="O33" i="15"/>
  <c r="P33" i="15" s="1"/>
  <c r="Q33" i="15" s="1"/>
  <c r="B33" i="15" s="1"/>
  <c r="O37" i="15"/>
  <c r="P37" i="15" s="1"/>
  <c r="Q37" i="15" s="1"/>
  <c r="B37" i="15" s="1"/>
  <c r="O40" i="15"/>
  <c r="P40" i="15" s="1"/>
  <c r="Q40" i="15" s="1"/>
  <c r="B40" i="15" s="1"/>
  <c r="O32" i="15"/>
  <c r="P32" i="15" s="1"/>
  <c r="Q32" i="15" s="1"/>
  <c r="B32" i="15" s="1"/>
  <c r="O41" i="15"/>
  <c r="P41" i="15" s="1"/>
  <c r="Q41" i="15" s="1"/>
  <c r="B41" i="15" s="1"/>
  <c r="O39" i="15"/>
  <c r="P39" i="15" s="1"/>
  <c r="Q39" i="15" s="1"/>
  <c r="B39" i="15" s="1"/>
  <c r="C115" i="1"/>
  <c r="C20" i="1"/>
  <c r="A5" i="19" s="1"/>
  <c r="H33" i="15" l="1"/>
  <c r="G33" i="15"/>
  <c r="B34" i="16"/>
  <c r="B33" i="12"/>
  <c r="H40" i="15"/>
  <c r="B41" i="16"/>
  <c r="G40" i="15"/>
  <c r="B40" i="12"/>
  <c r="G34" i="15"/>
  <c r="B35" i="16"/>
  <c r="B34" i="12"/>
  <c r="H34" i="15"/>
  <c r="G41" i="15"/>
  <c r="B42" i="16"/>
  <c r="B41" i="12"/>
  <c r="H41" i="15"/>
  <c r="G42" i="15"/>
  <c r="B42" i="12"/>
  <c r="H42" i="15"/>
  <c r="B43" i="16"/>
  <c r="B32" i="12"/>
  <c r="H32" i="12" s="1"/>
  <c r="H32" i="15"/>
  <c r="B33" i="16"/>
  <c r="H35" i="15"/>
  <c r="G35" i="15"/>
  <c r="B35" i="12"/>
  <c r="B36" i="16"/>
  <c r="H36" i="15"/>
  <c r="G36" i="15"/>
  <c r="B36" i="12"/>
  <c r="B37" i="16"/>
  <c r="H39" i="15"/>
  <c r="B39" i="12"/>
  <c r="B40" i="16"/>
  <c r="G39" i="15"/>
  <c r="B38" i="16"/>
  <c r="G37" i="15"/>
  <c r="B37" i="12"/>
  <c r="H37" i="15"/>
  <c r="G38" i="15"/>
  <c r="H38" i="15"/>
  <c r="B38" i="12"/>
  <c r="B39" i="16"/>
  <c r="B43" i="12"/>
  <c r="B44" i="16"/>
  <c r="H43" i="15"/>
  <c r="G43" i="15"/>
  <c r="B115" i="1"/>
  <c r="B121" i="1" s="1"/>
  <c r="C121" i="1"/>
  <c r="B121" i="19"/>
  <c r="D53" i="16" s="1"/>
  <c r="A8" i="2"/>
  <c r="B27" i="23"/>
  <c r="C27" i="23"/>
  <c r="D27" i="23"/>
  <c r="E27" i="23"/>
  <c r="A27" i="23"/>
  <c r="H41" i="12" l="1"/>
  <c r="G41" i="12"/>
  <c r="H36" i="12"/>
  <c r="G36" i="12"/>
  <c r="G43" i="12"/>
  <c r="H43" i="12"/>
  <c r="H33" i="12"/>
  <c r="G33" i="12"/>
  <c r="H34" i="12"/>
  <c r="G34" i="12"/>
  <c r="H38" i="12"/>
  <c r="G38" i="12"/>
  <c r="G35" i="12"/>
  <c r="H35" i="12"/>
  <c r="H42" i="12"/>
  <c r="G42" i="12"/>
  <c r="G40" i="12"/>
  <c r="H40" i="12"/>
  <c r="H37" i="12"/>
  <c r="G37" i="12"/>
  <c r="G39" i="12"/>
  <c r="H39" i="12"/>
  <c r="J4" i="2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F27" i="4" l="1"/>
  <c r="A21" i="3" s="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D8" i="15" l="1"/>
  <c r="C9" i="15" s="1"/>
  <c r="A33" i="20"/>
  <c r="C19" i="1"/>
  <c r="B21" i="1" l="1"/>
  <c r="A6" i="3" s="1"/>
  <c r="C21" i="1"/>
  <c r="C5" i="22"/>
  <c r="A33" i="22" s="1"/>
  <c r="R28" i="15" l="1"/>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R24" i="15"/>
  <c r="R25" i="15"/>
  <c r="O26" i="15" l="1"/>
  <c r="P26" i="15" s="1"/>
  <c r="Q26" i="15" s="1"/>
  <c r="B26" i="15" s="1"/>
  <c r="B27" i="16" s="1"/>
  <c r="O30" i="15"/>
  <c r="P30" i="15" s="1"/>
  <c r="Q30" i="15" s="1"/>
  <c r="B30" i="15" s="1"/>
  <c r="B31" i="16" s="1"/>
  <c r="O27" i="15"/>
  <c r="P27" i="15" s="1"/>
  <c r="Q27" i="15" s="1"/>
  <c r="B27" i="15" s="1"/>
  <c r="B28" i="16" s="1"/>
  <c r="O29" i="15"/>
  <c r="P29" i="15" s="1"/>
  <c r="Q29" i="15" s="1"/>
  <c r="B29" i="15" s="1"/>
  <c r="B30" i="16" s="1"/>
  <c r="O28" i="15"/>
  <c r="P28" i="15" s="1"/>
  <c r="Q28" i="15" s="1"/>
  <c r="B28" i="15" s="1"/>
  <c r="B29" i="16" s="1"/>
  <c r="O31" i="15"/>
  <c r="P31" i="15" s="1"/>
  <c r="Q31" i="15" s="1"/>
  <c r="B31" i="15" s="1"/>
  <c r="O18" i="15"/>
  <c r="P18" i="15" s="1"/>
  <c r="Q18" i="15" s="1"/>
  <c r="B18" i="15" s="1"/>
  <c r="B19" i="16" s="1"/>
  <c r="O24" i="15"/>
  <c r="P24" i="15" s="1"/>
  <c r="Q24" i="15" s="1"/>
  <c r="B24" i="15" s="1"/>
  <c r="B25" i="16" s="1"/>
  <c r="O15" i="15"/>
  <c r="P15" i="15" s="1"/>
  <c r="Q15" i="15" s="1"/>
  <c r="O13" i="15"/>
  <c r="P13" i="15" s="1"/>
  <c r="Q13" i="15" s="1"/>
  <c r="B13" i="15" s="1"/>
  <c r="B14" i="16" s="1"/>
  <c r="O17" i="15"/>
  <c r="P17" i="15" s="1"/>
  <c r="Q17" i="15" s="1"/>
  <c r="B17" i="15" s="1"/>
  <c r="B18" i="16" s="1"/>
  <c r="O16" i="15"/>
  <c r="P16" i="15" s="1"/>
  <c r="Q16" i="15" s="1"/>
  <c r="B16" i="15" s="1"/>
  <c r="B17" i="16" s="1"/>
  <c r="O22" i="15"/>
  <c r="P22" i="15" s="1"/>
  <c r="Q22" i="15" s="1"/>
  <c r="B22" i="15" s="1"/>
  <c r="B23" i="16" s="1"/>
  <c r="O23" i="15"/>
  <c r="P23" i="15" s="1"/>
  <c r="Q23" i="15" s="1"/>
  <c r="O21" i="15"/>
  <c r="P21" i="15" s="1"/>
  <c r="Q21" i="15" s="1"/>
  <c r="B21" i="15" s="1"/>
  <c r="B22" i="16" s="1"/>
  <c r="O20" i="15"/>
  <c r="P20" i="15" s="1"/>
  <c r="Q20" i="15" s="1"/>
  <c r="B20" i="15" s="1"/>
  <c r="B21" i="16" s="1"/>
  <c r="L8" i="15"/>
  <c r="O11" i="15"/>
  <c r="P11" i="15" s="1"/>
  <c r="Q11" i="15" s="1"/>
  <c r="B11" i="15" s="1"/>
  <c r="B12" i="16" s="1"/>
  <c r="O10" i="15"/>
  <c r="P10" i="15" s="1"/>
  <c r="Q10" i="15" s="1"/>
  <c r="B10" i="15" s="1"/>
  <c r="B11" i="16" s="1"/>
  <c r="O9" i="15"/>
  <c r="P9" i="15" s="1"/>
  <c r="Q9" i="15" s="1"/>
  <c r="O19" i="15"/>
  <c r="P19" i="15" s="1"/>
  <c r="Q19" i="15" s="1"/>
  <c r="B19" i="15" s="1"/>
  <c r="B20" i="16" s="1"/>
  <c r="O14" i="15"/>
  <c r="P14" i="15" s="1"/>
  <c r="Q14" i="15" s="1"/>
  <c r="B14" i="15" s="1"/>
  <c r="B15" i="16" s="1"/>
  <c r="O12" i="15"/>
  <c r="P12" i="15" s="1"/>
  <c r="Q12" i="15" s="1"/>
  <c r="B12" i="15" s="1"/>
  <c r="B13" i="16" s="1"/>
  <c r="O25" i="15"/>
  <c r="P25" i="15" s="1"/>
  <c r="Q25" i="15" s="1"/>
  <c r="B25" i="15" s="1"/>
  <c r="B26" i="16" s="1"/>
  <c r="B32" i="16" l="1"/>
  <c r="G32" i="15"/>
  <c r="B23" i="15"/>
  <c r="B24" i="16" s="1"/>
  <c r="E8" i="15"/>
  <c r="B28" i="12"/>
  <c r="B15" i="15"/>
  <c r="B9" i="15"/>
  <c r="B10" i="16" s="1"/>
  <c r="B18" i="12"/>
  <c r="B16" i="12"/>
  <c r="B13" i="12"/>
  <c r="B20" i="12"/>
  <c r="B21" i="12"/>
  <c r="B29" i="12"/>
  <c r="B26" i="12"/>
  <c r="B27" i="12"/>
  <c r="B30" i="12"/>
  <c r="B31" i="12"/>
  <c r="G32" i="12" s="1"/>
  <c r="H31" i="15"/>
  <c r="H16" i="15"/>
  <c r="H18" i="15"/>
  <c r="G18" i="15"/>
  <c r="H13" i="15"/>
  <c r="H20" i="15"/>
  <c r="H21" i="15"/>
  <c r="G21" i="15"/>
  <c r="D17" i="1"/>
  <c r="H23" i="15" l="1"/>
  <c r="B23" i="12"/>
  <c r="B9" i="12"/>
  <c r="B15" i="12"/>
  <c r="B16" i="16"/>
  <c r="G9" i="15"/>
  <c r="H15" i="15"/>
  <c r="G16" i="15"/>
  <c r="B10" i="12"/>
  <c r="B14" i="12"/>
  <c r="B24" i="12"/>
  <c r="B11" i="12"/>
  <c r="H25" i="15"/>
  <c r="H19" i="15"/>
  <c r="G19" i="15"/>
  <c r="G20" i="15"/>
  <c r="B19" i="12"/>
  <c r="H14" i="15"/>
  <c r="B25" i="12"/>
  <c r="B17" i="12"/>
  <c r="G15" i="15"/>
  <c r="G14" i="15"/>
  <c r="H17" i="15"/>
  <c r="G17" i="15"/>
  <c r="B12" i="12"/>
  <c r="G23" i="15"/>
  <c r="G22" i="15"/>
  <c r="H22" i="15"/>
  <c r="B2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B70" i="1"/>
  <c r="A3" i="19" s="1"/>
  <c r="E3" i="22"/>
  <c r="B71" i="1"/>
  <c r="A8" i="19" s="1"/>
  <c r="A28" i="7" l="1"/>
  <c r="A27" i="7"/>
  <c r="A7" i="26"/>
  <c r="A7" i="28"/>
  <c r="A7" i="27"/>
  <c r="A12" i="7"/>
  <c r="A7" i="29"/>
  <c r="A11" i="7"/>
  <c r="A9" i="7"/>
  <c r="A8" i="7"/>
  <c r="B19" i="9"/>
  <c r="F3" i="16"/>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A15" i="20"/>
  <c r="A21" i="8"/>
  <c r="A13" i="20" s="1"/>
  <c r="E20" i="8"/>
  <c r="E12" i="20" s="1"/>
  <c r="A18" i="3"/>
  <c r="A16" i="23" s="1"/>
  <c r="F2" i="12"/>
  <c r="A46" i="3" l="1"/>
  <c r="G8" i="12"/>
  <c r="H8" i="12"/>
  <c r="H10" i="12" l="1"/>
  <c r="H12" i="12"/>
  <c r="H13" i="12"/>
  <c r="H15" i="12"/>
  <c r="H16" i="12"/>
  <c r="H9" i="12"/>
  <c r="H18" i="12"/>
  <c r="H11" i="12"/>
  <c r="H17" i="12"/>
  <c r="H14" i="12"/>
  <c r="G13" i="12"/>
  <c r="E8" i="12"/>
  <c r="E9" i="16" s="1"/>
  <c r="G17" i="12"/>
  <c r="G11" i="12"/>
  <c r="G9" i="12"/>
  <c r="G15" i="12"/>
  <c r="H19" i="12"/>
  <c r="G12" i="12"/>
  <c r="G18" i="12"/>
  <c r="G10" i="12"/>
  <c r="G16" i="12"/>
  <c r="G14" i="12"/>
  <c r="G19" i="12" l="1"/>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9" i="15" l="1"/>
  <c r="C10" i="15" s="1"/>
  <c r="I10" i="15"/>
  <c r="I11" i="15" s="1"/>
  <c r="I12" i="15" s="1"/>
  <c r="M8" i="15"/>
  <c r="L9" i="15"/>
  <c r="E9" i="15" l="1"/>
  <c r="M9" i="15" s="1"/>
  <c r="F8" i="15"/>
  <c r="D10" i="15"/>
  <c r="J13" i="15"/>
  <c r="K13" i="15" s="1"/>
  <c r="I13" i="15" s="1"/>
  <c r="I14" i="15" s="1"/>
  <c r="I15" i="15" s="1"/>
  <c r="I16" i="15" s="1"/>
  <c r="I17" i="15" s="1"/>
  <c r="I18" i="15" s="1"/>
  <c r="L10" i="15"/>
  <c r="C11" i="15" l="1"/>
  <c r="L11" i="15" s="1"/>
  <c r="E11" i="15" s="1"/>
  <c r="E10" i="15"/>
  <c r="F9" i="15"/>
  <c r="J14" i="15"/>
  <c r="K14" i="15" s="1"/>
  <c r="J17" i="15"/>
  <c r="K17" i="15" s="1"/>
  <c r="J15" i="15"/>
  <c r="K15" i="15" s="1"/>
  <c r="J19" i="15"/>
  <c r="K19" i="15" s="1"/>
  <c r="I19" i="15" s="1"/>
  <c r="J16" i="15"/>
  <c r="K16" i="15" s="1"/>
  <c r="J18" i="15"/>
  <c r="K18" i="15" s="1"/>
  <c r="D11" i="15" l="1"/>
  <c r="C12" i="15" s="1"/>
  <c r="M10" i="15"/>
  <c r="F10" i="15" s="1"/>
  <c r="I20" i="15"/>
  <c r="J20" i="15"/>
  <c r="K20" i="15" s="1"/>
  <c r="I21" i="15" l="1"/>
  <c r="I22" i="15" s="1"/>
  <c r="I23" i="15" s="1"/>
  <c r="I24" i="15" s="1"/>
  <c r="M11" i="15"/>
  <c r="F11" i="15" s="1"/>
  <c r="D12" i="15"/>
  <c r="C13" i="15" s="1"/>
  <c r="D13" i="15" s="1"/>
  <c r="L12" i="15"/>
  <c r="E12" i="15" s="1"/>
  <c r="J21" i="15"/>
  <c r="K21" i="15" s="1"/>
  <c r="J24" i="15" l="1"/>
  <c r="K24" i="15" s="1"/>
  <c r="J22" i="15"/>
  <c r="K22" i="15" s="1"/>
  <c r="J25" i="15"/>
  <c r="K25" i="15" s="1"/>
  <c r="I25" i="15" s="1"/>
  <c r="I26" i="15" s="1"/>
  <c r="J23" i="15"/>
  <c r="K23" i="15" s="1"/>
  <c r="C14" i="15"/>
  <c r="M12" i="15"/>
  <c r="L13" i="15"/>
  <c r="J27" i="15" l="1"/>
  <c r="K27" i="15" s="1"/>
  <c r="I27" i="15" s="1"/>
  <c r="J26" i="15"/>
  <c r="K26" i="15" s="1"/>
  <c r="E13" i="15"/>
  <c r="F12" i="15"/>
  <c r="L14" i="15"/>
  <c r="I28" i="15" l="1"/>
  <c r="J29" i="15" s="1"/>
  <c r="K29" i="15" s="1"/>
  <c r="I29" i="15" s="1"/>
  <c r="J28" i="15"/>
  <c r="K28" i="15" s="1"/>
  <c r="E14" i="15"/>
  <c r="D14" i="15"/>
  <c r="C15" i="15" s="1"/>
  <c r="M13" i="15"/>
  <c r="J30" i="15" l="1"/>
  <c r="K30" i="15" s="1"/>
  <c r="I30" i="15"/>
  <c r="J31" i="15" s="1"/>
  <c r="K31" i="15" s="1"/>
  <c r="I31" i="15" s="1"/>
  <c r="F13" i="15"/>
  <c r="M14" i="15"/>
  <c r="J32" i="15" l="1"/>
  <c r="K32" i="15" s="1"/>
  <c r="I32" i="15"/>
  <c r="J33" i="15" s="1"/>
  <c r="K33" i="15" s="1"/>
  <c r="F14" i="15"/>
  <c r="L15" i="15"/>
  <c r="D15" i="15" s="1"/>
  <c r="C16" i="15" s="1"/>
  <c r="I33" i="15" l="1"/>
  <c r="J34" i="15" s="1"/>
  <c r="K34" i="15" s="1"/>
  <c r="E15" i="15"/>
  <c r="M15" i="15" s="1"/>
  <c r="I34" i="15" l="1"/>
  <c r="J35" i="15" s="1"/>
  <c r="K35" i="15" s="1"/>
  <c r="F15" i="15"/>
  <c r="L16" i="15"/>
  <c r="D16" i="15" s="1"/>
  <c r="C17" i="15" s="1"/>
  <c r="I35" i="15" l="1"/>
  <c r="J36" i="15" s="1"/>
  <c r="K36" i="15" s="1"/>
  <c r="E16" i="15"/>
  <c r="M16" i="15" s="1"/>
  <c r="I36" i="15" l="1"/>
  <c r="J37" i="15" s="1"/>
  <c r="K37" i="15" s="1"/>
  <c r="I37" i="15" s="1"/>
  <c r="I38" i="15" s="1"/>
  <c r="I39" i="15" s="1"/>
  <c r="F16" i="15"/>
  <c r="L17" i="15"/>
  <c r="D17" i="15" s="1"/>
  <c r="C18" i="15" s="1"/>
  <c r="J39" i="15" l="1"/>
  <c r="K39" i="15" s="1"/>
  <c r="J38" i="15"/>
  <c r="K38" i="15" s="1"/>
  <c r="J40" i="15"/>
  <c r="K40" i="15" s="1"/>
  <c r="I40" i="15" s="1"/>
  <c r="E17" i="15"/>
  <c r="M17" i="15" s="1"/>
  <c r="L18" i="15"/>
  <c r="D18" i="15" s="1"/>
  <c r="C19" i="15" s="1"/>
  <c r="J41" i="15" l="1"/>
  <c r="K41" i="15" s="1"/>
  <c r="I41" i="15"/>
  <c r="E18" i="15"/>
  <c r="M18" i="15" s="1"/>
  <c r="F17" i="15"/>
  <c r="J42" i="15" l="1"/>
  <c r="K42" i="15" s="1"/>
  <c r="I42" i="15"/>
  <c r="J43" i="15" s="1"/>
  <c r="K43" i="15" s="1"/>
  <c r="I43" i="15" s="1"/>
  <c r="F18" i="15"/>
  <c r="L19" i="15"/>
  <c r="D19" i="15" s="1"/>
  <c r="C20" i="15" s="1"/>
  <c r="E19" i="15" l="1"/>
  <c r="M19" i="15" s="1"/>
  <c r="L20" i="15"/>
  <c r="D20" i="15" s="1"/>
  <c r="C21" i="15" l="1"/>
  <c r="F19" i="15"/>
  <c r="E20" i="15"/>
  <c r="M20" i="15" l="1"/>
  <c r="F20" i="15" s="1"/>
  <c r="L21" i="15"/>
  <c r="D21" i="15" s="1"/>
  <c r="C22" i="15" l="1"/>
  <c r="E21" i="15"/>
  <c r="M21" i="15" l="1"/>
  <c r="F21" i="15" s="1"/>
  <c r="L22" i="15"/>
  <c r="D22" i="15" s="1"/>
  <c r="C23" i="15" l="1"/>
  <c r="L23" i="15" s="1"/>
  <c r="E22" i="15"/>
  <c r="M22" i="15" s="1"/>
  <c r="D23" i="15" l="1"/>
  <c r="F22" i="15"/>
  <c r="E23" i="15"/>
  <c r="C24" i="15" l="1"/>
  <c r="L24" i="15" s="1"/>
  <c r="M23" i="15"/>
  <c r="F23" i="15" s="1"/>
  <c r="D24" i="15" l="1"/>
  <c r="E24" i="15"/>
  <c r="M24" i="15" l="1"/>
  <c r="F24" i="15" s="1"/>
  <c r="C25" i="15"/>
  <c r="L25" i="15" l="1"/>
  <c r="D25" i="15" l="1"/>
  <c r="C26" i="15" s="1"/>
  <c r="E25" i="15"/>
  <c r="M25" i="15" l="1"/>
  <c r="F25" i="15" s="1"/>
  <c r="L26" i="15"/>
  <c r="E26" i="15" s="1"/>
  <c r="D26" i="15" l="1"/>
  <c r="M26" i="15" l="1"/>
  <c r="F26" i="15" s="1"/>
  <c r="C27" i="15"/>
  <c r="L27" i="15" l="1"/>
  <c r="E27" i="15" s="1"/>
  <c r="D27" i="15" l="1"/>
  <c r="M27" i="15" l="1"/>
  <c r="F27" i="15" s="1"/>
  <c r="C28" i="15"/>
  <c r="L28" i="15" l="1"/>
  <c r="E28" i="15" s="1"/>
  <c r="D28" i="15" l="1"/>
  <c r="M28" i="15" l="1"/>
  <c r="F28" i="15" s="1"/>
  <c r="C29" i="15"/>
  <c r="L29" i="15" l="1"/>
  <c r="E29" i="15" s="1"/>
  <c r="D29" i="15" l="1"/>
  <c r="M29" i="15" l="1"/>
  <c r="F29" i="15" s="1"/>
  <c r="C30" i="15"/>
  <c r="L30" i="15" l="1"/>
  <c r="E30" i="15" s="1"/>
  <c r="D30" i="15" l="1"/>
  <c r="M30" i="15" l="1"/>
  <c r="F30" i="15" s="1"/>
  <c r="C31" i="15"/>
  <c r="L31" i="15" l="1"/>
  <c r="D31" i="15" s="1"/>
  <c r="C32" i="15" s="1"/>
  <c r="L32" i="15" l="1"/>
  <c r="E32" i="15" s="1"/>
  <c r="E31" i="15"/>
  <c r="M31" i="15" s="1"/>
  <c r="F31" i="15" s="1"/>
  <c r="D44" i="15"/>
  <c r="D32" i="15" l="1"/>
  <c r="C33" i="15" s="1"/>
  <c r="L33" i="15" s="1"/>
  <c r="E33" i="15" s="1"/>
  <c r="E44" i="15"/>
  <c r="F44" i="15"/>
  <c r="M32" i="15" l="1"/>
  <c r="F32" i="15" s="1"/>
  <c r="D33" i="15"/>
  <c r="M33" i="15" s="1"/>
  <c r="F33" i="15" s="1"/>
  <c r="C34" i="15" l="1"/>
  <c r="L34" i="15" s="1"/>
  <c r="E34" i="15" s="1"/>
  <c r="D34" i="15" l="1"/>
  <c r="C35" i="15" s="1"/>
  <c r="L35" i="15" s="1"/>
  <c r="E35" i="15" s="1"/>
  <c r="M34" i="15" l="1"/>
  <c r="F34" i="15" s="1"/>
  <c r="D35" i="15"/>
  <c r="C36" i="15" s="1"/>
  <c r="L36" i="15" s="1"/>
  <c r="E36" i="15" s="1"/>
  <c r="M35" i="15" l="1"/>
  <c r="F35" i="15" s="1"/>
  <c r="D36" i="15"/>
  <c r="C37" i="15" s="1"/>
  <c r="L37" i="15" s="1"/>
  <c r="E37" i="15" s="1"/>
  <c r="M36" i="15" l="1"/>
  <c r="F36" i="15" s="1"/>
  <c r="D37" i="15"/>
  <c r="M37" i="15" s="1"/>
  <c r="F37" i="15" s="1"/>
  <c r="C38" i="15" l="1"/>
  <c r="L38" i="15" s="1"/>
  <c r="E38" i="15" s="1"/>
  <c r="D38" i="15" l="1"/>
  <c r="C39" i="15" s="1"/>
  <c r="L39" i="15" s="1"/>
  <c r="E39" i="15" s="1"/>
  <c r="M38" i="15" l="1"/>
  <c r="F38" i="15" s="1"/>
  <c r="D39" i="15"/>
  <c r="C40" i="15" s="1"/>
  <c r="M39" i="15" l="1"/>
  <c r="F39" i="15" s="1"/>
  <c r="L40" i="15"/>
  <c r="E40" i="15" s="1"/>
  <c r="D40" i="15" l="1"/>
  <c r="C41" i="15" l="1"/>
  <c r="M40" i="15"/>
  <c r="F40" i="15" s="1"/>
  <c r="L41" i="15" l="1"/>
  <c r="E41" i="15" s="1"/>
  <c r="D41" i="15" l="1"/>
  <c r="M41" i="15" l="1"/>
  <c r="F41" i="15" s="1"/>
  <c r="C42" i="15"/>
  <c r="L42" i="15" l="1"/>
  <c r="E42" i="15" s="1"/>
  <c r="D42" i="15" l="1"/>
  <c r="C43" i="15" s="1"/>
  <c r="L43" i="15" l="1"/>
  <c r="E43" i="15" s="1"/>
  <c r="M42" i="15"/>
  <c r="F42" i="15" s="1"/>
  <c r="D43" i="15" l="1"/>
  <c r="M43" i="15" s="1"/>
  <c r="F43" i="15" s="1"/>
  <c r="B90" i="1"/>
  <c r="F8" i="12"/>
  <c r="D8" i="12"/>
  <c r="D9" i="16"/>
  <c r="F9" i="12"/>
  <c r="C9" i="12"/>
  <c r="E9" i="12"/>
  <c r="D9" i="12"/>
  <c r="D10" i="16"/>
  <c r="F10" i="12"/>
  <c r="C10" i="12"/>
  <c r="E10" i="12"/>
  <c r="D10" i="12"/>
  <c r="D11" i="16"/>
  <c r="F11" i="12"/>
  <c r="C11" i="12"/>
  <c r="E11" i="12"/>
  <c r="D11" i="12"/>
  <c r="D12" i="16"/>
  <c r="F12" i="12"/>
  <c r="C12" i="12"/>
  <c r="E12" i="12"/>
  <c r="D12" i="12"/>
  <c r="D13" i="16"/>
  <c r="C13" i="12"/>
  <c r="D13" i="12"/>
  <c r="D14" i="16"/>
  <c r="C14" i="12"/>
  <c r="D14" i="12"/>
  <c r="D15" i="16"/>
  <c r="C15" i="12"/>
  <c r="D15" i="12"/>
  <c r="D16" i="16"/>
  <c r="C16" i="12"/>
  <c r="D16" i="12"/>
  <c r="D17" i="16"/>
  <c r="C17" i="12"/>
  <c r="D17" i="12"/>
  <c r="D18" i="16"/>
  <c r="C18" i="12"/>
  <c r="D18" i="12"/>
  <c r="D19" i="16"/>
  <c r="C19" i="12"/>
  <c r="D19" i="12"/>
  <c r="D20" i="16"/>
  <c r="C20" i="12"/>
  <c r="D20" i="12"/>
  <c r="D21" i="16"/>
  <c r="C21" i="12"/>
  <c r="D21" i="12"/>
  <c r="D22" i="16"/>
  <c r="C22" i="12"/>
  <c r="D22" i="12"/>
  <c r="D23" i="16"/>
  <c r="C23" i="12"/>
  <c r="D23" i="12"/>
  <c r="D24" i="16"/>
  <c r="C24" i="12"/>
  <c r="D24" i="12"/>
  <c r="D25" i="16"/>
  <c r="C25" i="12"/>
  <c r="D25" i="12"/>
  <c r="D26" i="16"/>
  <c r="C26" i="12"/>
  <c r="D26" i="12"/>
  <c r="D27" i="16"/>
  <c r="C27" i="12"/>
  <c r="D27" i="12"/>
  <c r="D28" i="16"/>
  <c r="C28" i="12"/>
  <c r="D28" i="12"/>
  <c r="D29" i="16"/>
  <c r="C29" i="12"/>
  <c r="D29" i="12"/>
  <c r="D30" i="16"/>
  <c r="C30" i="12"/>
  <c r="D30" i="12"/>
  <c r="D31" i="16"/>
  <c r="C31" i="12"/>
  <c r="D31" i="12"/>
  <c r="D32" i="16"/>
  <c r="C32" i="12"/>
  <c r="D32" i="12"/>
  <c r="D33" i="16"/>
  <c r="C33" i="12"/>
  <c r="D33" i="12"/>
  <c r="D34" i="16"/>
  <c r="C34" i="12"/>
  <c r="D34" i="12"/>
  <c r="D35" i="16"/>
  <c r="C35" i="12"/>
  <c r="D35" i="12"/>
  <c r="D36" i="16"/>
  <c r="C36" i="12"/>
  <c r="D36" i="12"/>
  <c r="D37" i="16"/>
  <c r="C37" i="12"/>
  <c r="D37" i="12"/>
  <c r="D38" i="16"/>
  <c r="C38" i="12"/>
  <c r="D38" i="12"/>
  <c r="D39" i="16"/>
  <c r="C39" i="12"/>
  <c r="D39" i="12"/>
  <c r="D40" i="16"/>
  <c r="C40" i="12"/>
  <c r="D40" i="12"/>
  <c r="D41" i="16"/>
  <c r="C41" i="12"/>
  <c r="D41" i="12"/>
  <c r="D42" i="16"/>
  <c r="C42" i="12"/>
  <c r="D42" i="12"/>
  <c r="D43" i="16"/>
  <c r="C43" i="12"/>
  <c r="D43" i="12"/>
  <c r="D44" i="16"/>
  <c r="D45" i="16"/>
  <c r="E43" i="12"/>
  <c r="F43" i="12"/>
  <c r="F44" i="16"/>
  <c r="F9" i="16"/>
  <c r="F10" i="16"/>
  <c r="F11" i="16"/>
  <c r="F12" i="16"/>
  <c r="F13" i="16"/>
  <c r="E13" i="12"/>
  <c r="F13" i="12"/>
  <c r="F14" i="16"/>
  <c r="E14" i="12"/>
  <c r="F14" i="12"/>
  <c r="F15" i="16"/>
  <c r="E15" i="12"/>
  <c r="F15" i="12"/>
  <c r="F16" i="16"/>
  <c r="E16" i="12"/>
  <c r="F16" i="12"/>
  <c r="F17" i="16"/>
  <c r="E17" i="12"/>
  <c r="F17" i="12"/>
  <c r="F18" i="16"/>
  <c r="E18" i="12"/>
  <c r="F18" i="12"/>
  <c r="F19" i="16"/>
  <c r="E19" i="12"/>
  <c r="F19" i="12"/>
  <c r="F20" i="16"/>
  <c r="E20" i="12"/>
  <c r="F20" i="12"/>
  <c r="F21" i="16"/>
  <c r="E21" i="12"/>
  <c r="F21" i="12"/>
  <c r="F22" i="16"/>
  <c r="E22" i="12"/>
  <c r="F22" i="12"/>
  <c r="F23" i="16"/>
  <c r="E23" i="12"/>
  <c r="F23" i="12"/>
  <c r="F24" i="16"/>
  <c r="E24" i="12"/>
  <c r="F24" i="12"/>
  <c r="F25" i="16"/>
  <c r="E25" i="12"/>
  <c r="F25" i="12"/>
  <c r="F26" i="16"/>
  <c r="E26" i="12"/>
  <c r="F26" i="12"/>
  <c r="F27" i="16"/>
  <c r="E27" i="12"/>
  <c r="F27" i="12"/>
  <c r="F28" i="16"/>
  <c r="E28" i="12"/>
  <c r="F28" i="12"/>
  <c r="F29" i="16"/>
  <c r="E29" i="12"/>
  <c r="F29" i="12"/>
  <c r="F30" i="16"/>
  <c r="E30" i="12"/>
  <c r="F30" i="12"/>
  <c r="F31" i="16"/>
  <c r="E31" i="12"/>
  <c r="F31" i="12"/>
  <c r="F32" i="16"/>
  <c r="E32" i="12"/>
  <c r="F32" i="12"/>
  <c r="F33" i="16"/>
  <c r="E33" i="12"/>
  <c r="F33" i="12"/>
  <c r="F34" i="16"/>
  <c r="E34" i="12"/>
  <c r="F34" i="12"/>
  <c r="F35" i="16"/>
  <c r="E35" i="12"/>
  <c r="F35" i="12"/>
  <c r="F36" i="16"/>
  <c r="E36" i="12"/>
  <c r="F36" i="12"/>
  <c r="F37" i="16"/>
  <c r="E37" i="12"/>
  <c r="F37" i="12"/>
  <c r="F38" i="16"/>
  <c r="E38" i="12"/>
  <c r="F38" i="12"/>
  <c r="F39" i="16"/>
  <c r="E39" i="12"/>
  <c r="F39" i="12"/>
  <c r="F40" i="16"/>
  <c r="E40" i="12"/>
  <c r="F40" i="12"/>
  <c r="F41" i="16"/>
  <c r="E41" i="12"/>
  <c r="F41" i="12"/>
  <c r="F42" i="16"/>
  <c r="E42" i="12"/>
  <c r="F42" i="12"/>
  <c r="F43" i="16"/>
  <c r="F45" i="16"/>
  <c r="C44" i="16"/>
  <c r="E44"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5" i="16"/>
  <c r="C43" i="16"/>
  <c r="C42" i="16"/>
  <c r="C41" i="16"/>
  <c r="C40" i="16"/>
  <c r="C39" i="16"/>
  <c r="C38" i="16"/>
  <c r="C37" i="16"/>
  <c r="C36" i="16"/>
  <c r="C35" i="16"/>
  <c r="C34" i="16"/>
  <c r="C33" i="16"/>
  <c r="C32" i="16"/>
  <c r="C31" i="16"/>
  <c r="C30" i="16"/>
  <c r="C29" i="16"/>
  <c r="C28" i="16"/>
  <c r="C27" i="16"/>
  <c r="C26" i="16"/>
  <c r="C25" i="16"/>
  <c r="C24" i="16"/>
  <c r="C23" i="16"/>
  <c r="C22" i="16"/>
  <c r="C21" i="16"/>
  <c r="C63" i="1"/>
  <c r="C60" i="1"/>
  <c r="C20" i="16"/>
  <c r="C19" i="16"/>
  <c r="C18" i="16"/>
  <c r="C17" i="16"/>
  <c r="C16" i="16"/>
  <c r="A24" i="3"/>
  <c r="A22" i="3"/>
  <c r="A23" i="3"/>
  <c r="C15" i="16"/>
  <c r="C14" i="16"/>
  <c r="C13" i="16"/>
  <c r="C12" i="16"/>
  <c r="C11" i="16"/>
  <c r="E44" i="12"/>
  <c r="C10" i="16"/>
  <c r="D44" i="12"/>
  <c r="F44" i="12"/>
</calcChain>
</file>

<file path=xl/sharedStrings.xml><?xml version="1.0" encoding="utf-8"?>
<sst xmlns="http://schemas.openxmlformats.org/spreadsheetml/2006/main" count="598" uniqueCount="436">
  <si>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</si>
  <si>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</si>
  <si>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</si>
  <si>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</si>
  <si>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</si>
  <si>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</si>
  <si>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</si>
  <si>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</si>
  <si>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</si>
  <si>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</si>
  <si>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</si>
  <si>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</si>
  <si>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</si>
  <si>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</si>
  <si>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</si>
  <si>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</si>
  <si>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</si>
  <si>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</si>
  <si>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</si>
  <si>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</si>
  <si>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</si>
  <si>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</si>
  <si>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</si>
  <si>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</si>
  <si>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</si>
  <si>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</si>
  <si>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</si>
  <si>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</si>
  <si>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</si>
  <si>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</si>
  <si>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</si>
  <si>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</si>
  <si>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</si>
  <si>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</si>
  <si>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</si>
  <si>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</si>
  <si>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</si>
  <si>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</si>
  <si>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</si>
  <si>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</si>
  <si>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</si>
  <si>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</si>
  <si>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</si>
  <si>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</si>
  <si>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</si>
  <si>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</si>
  <si>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</si>
  <si>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</si>
  <si>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</si>
  <si>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</si>
  <si>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</si>
  <si>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</si>
  <si>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</si>
  <si>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</si>
  <si>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</si>
  <si>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</si>
  <si>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</si>
  <si>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</si>
  <si>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</si>
  <si>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</si>
  <si>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</si>
  <si>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</si>
  <si>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</si>
  <si>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</si>
  <si>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</si>
  <si>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</si>
  <si>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</si>
  <si>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</si>
  <si>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</si>
  <si>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</si>
  <si>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</si>
  <si>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</si>
  <si>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</si>
  <si>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</si>
  <si>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</si>
  <si>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</si>
  <si>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</si>
  <si>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</si>
  <si>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</si>
  <si>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</si>
  <si>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</si>
  <si>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</si>
  <si>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</si>
  <si>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</si>
  <si>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</si>
  <si>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</si>
  <si>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</si>
  <si>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</si>
  <si>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</si>
  <si>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</si>
  <si>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</si>
  <si>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</si>
  <si>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</si>
  <si>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</si>
  <si>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</si>
  <si>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</si>
  <si>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</si>
  <si>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</si>
  <si>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</si>
  <si>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</si>
  <si>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</si>
  <si>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</si>
  <si>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</si>
  <si>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</si>
  <si>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</si>
  <si>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</si>
  <si>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</si>
  <si>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</si>
  <si>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</si>
  <si>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</si>
  <si>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</si>
  <si>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</si>
  <si>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</si>
  <si>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</si>
  <si>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</si>
  <si>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</si>
  <si>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</si>
  <si>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</si>
  <si>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</si>
  <si>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</si>
  <si>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</si>
  <si>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</si>
  <si>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</si>
  <si>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</si>
  <si>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</si>
  <si>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</si>
  <si>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</si>
  <si>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</si>
  <si>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</si>
  <si>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</si>
  <si>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</si>
  <si>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</si>
  <si>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</si>
  <si>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</si>
  <si>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</si>
  <si>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</si>
  <si>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</si>
  <si>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</si>
  <si>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</si>
  <si>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</si>
  <si>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</si>
  <si>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</si>
  <si>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</si>
  <si>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</si>
  <si>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</si>
  <si>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</si>
  <si>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</si>
  <si>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</si>
  <si>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</si>
  <si>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</si>
  <si>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</si>
  <si>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</si>
  <si>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</si>
  <si>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</si>
  <si>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</si>
  <si>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</si>
  <si>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</si>
  <si>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</si>
  <si>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</si>
  <si>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</si>
  <si>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</si>
  <si>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</si>
  <si>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</si>
  <si>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</si>
  <si>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</si>
  <si>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</si>
  <si>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</si>
  <si>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</si>
  <si>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</si>
  <si>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</si>
  <si>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</si>
  <si>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</si>
  <si>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</si>
  <si>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</si>
  <si>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</si>
  <si>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</si>
  <si>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</si>
  <si>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</si>
  <si>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</si>
  <si>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</si>
  <si>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</si>
  <si>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</si>
  <si>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</si>
  <si>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</si>
  <si>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</si>
  <si>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</si>
  <si>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</si>
  <si>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</si>
  <si>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</si>
  <si>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</si>
  <si>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</si>
  <si>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</si>
  <si>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</si>
  <si>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</si>
  <si>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</si>
  <si>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</si>
  <si>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</si>
  <si>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</si>
  <si>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</si>
  <si>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</si>
  <si>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</si>
  <si>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</si>
  <si>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</si>
  <si>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</si>
  <si>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</si>
  <si>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</si>
  <si>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</si>
  <si>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</si>
  <si>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</si>
  <si>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</si>
  <si>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</si>
  <si>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</si>
  <si>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</si>
  <si>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</si>
  <si>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</si>
  <si>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</si>
  <si>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</si>
  <si>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</si>
  <si>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</si>
  <si>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</si>
  <si>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</si>
  <si>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</si>
  <si>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</si>
  <si>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</si>
  <si>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</si>
  <si>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</si>
  <si>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</si>
  <si>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</si>
  <si>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</si>
  <si>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</si>
  <si>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</si>
  <si>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</si>
  <si>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</si>
  <si>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</si>
  <si>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</si>
  <si>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</si>
  <si>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</si>
  <si>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</si>
  <si>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</si>
  <si>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</si>
  <si>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</si>
  <si>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</si>
  <si>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</si>
  <si>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</si>
  <si>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</si>
  <si>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</si>
  <si>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</si>
  <si>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</si>
  <si>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</si>
  <si>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</si>
  <si>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</si>
  <si>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</si>
  <si>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</si>
  <si>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</si>
  <si>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</si>
  <si>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</si>
  <si>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</si>
  <si>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</si>
  <si>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</si>
  <si>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</si>
  <si>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</si>
  <si>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</si>
  <si>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</si>
  <si>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</si>
  <si>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</si>
  <si>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</si>
  <si>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</si>
  <si>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</si>
  <si>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</si>
  <si>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</si>
  <si>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</si>
  <si>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</si>
  <si>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</si>
  <si>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</si>
  <si>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</si>
  <si>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</si>
  <si>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</si>
  <si>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</si>
  <si>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</si>
  <si>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</si>
  <si>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</si>
  <si>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</si>
  <si>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</si>
  <si>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</si>
  <si>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</si>
  <si>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</si>
  <si>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</si>
  <si>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</si>
  <si>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</si>
  <si>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</si>
  <si>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</si>
  <si>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</si>
  <si>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</si>
  <si>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</si>
  <si>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</si>
  <si>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</si>
  <si>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</si>
  <si>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</si>
  <si>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</si>
  <si>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</si>
  <si>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</si>
  <si>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</si>
  <si>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</si>
  <si>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</si>
  <si>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</si>
  <si>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</si>
  <si>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</si>
  <si>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</si>
  <si>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</si>
  <si>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</si>
  <si>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</si>
  <si>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</si>
  <si>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</si>
  <si>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</si>
  <si>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</si>
  <si>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</si>
  <si>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</si>
  <si>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</si>
  <si>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</si>
  <si>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</si>
  <si>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</si>
  <si>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</si>
  <si>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</si>
  <si>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</si>
  <si>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</si>
  <si>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</si>
  <si>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</si>
  <si>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</si>
  <si>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</si>
  <si>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</si>
  <si>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</si>
  <si>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</si>
  <si>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</si>
  <si>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</si>
  <si>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</si>
  <si>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</si>
  <si>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</si>
  <si>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</si>
  <si>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</si>
  <si>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</si>
  <si>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</si>
  <si>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</si>
  <si>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</si>
  <si>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</si>
  <si>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</si>
  <si>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</si>
  <si>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</si>
  <si>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</si>
  <si>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</si>
  <si>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</si>
  <si>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 sanasidan</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</si>
  <si>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</si>
  <si>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</si>
  <si>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</si>
  <si>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</si>
  <si>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</si>
  <si>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</si>
  <si>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</si>
  <si>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</si>
  <si>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</si>
  <si>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</si>
  <si>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</si>
  <si>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</si>
  <si>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</si>
  <si>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</si>
  <si>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</si>
  <si>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</si>
  <si>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</si>
  <si>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</si>
  <si>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</si>
  <si>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</si>
  <si>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</si>
  <si>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</si>
  <si>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</si>
  <si>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</si>
  <si>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</si>
  <si>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</si>
  <si>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</si>
  <si>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</si>
  <si>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</si>
  <si>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</si>
  <si>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</si>
  <si>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Kredit bo'yicha menejer</t>
  </si>
  <si>
    <t>37,39</t>
  </si>
  <si>
    <t>16.12.2020 yildan №14:13:02:01:03:1179:0006:058</t>
  </si>
  <si>
    <t>13.12.2020 yildan 1718238/R-A1419303</t>
  </si>
  <si>
    <t>№ kadastr raqami</t>
  </si>
  <si>
    <t>Foydalanishga topshirilgan yili</t>
  </si>
  <si>
    <t>P</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</si>
  <si>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</si>
  <si>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AB8490244</t>
  </si>
  <si>
    <t>з</t>
  </si>
  <si>
    <t>`</t>
  </si>
  <si>
    <t>Ijrochi direktor</t>
  </si>
  <si>
    <t>Abduraximov Nаdirbek Kamilevich</t>
  </si>
  <si>
    <t xml:space="preserve">Abduraximov N.K.  ________________ </t>
  </si>
  <si>
    <t>Abduraximov N.K. ________________</t>
  </si>
  <si>
    <t>Ijrochi direktori</t>
  </si>
  <si>
    <t>Abduraximov N.K.</t>
  </si>
  <si>
    <t>Йиллик фойз 50 фойздан утиб кетмаслиги керак</t>
  </si>
  <si>
    <t>60</t>
  </si>
  <si>
    <t>Oltmish</t>
  </si>
  <si>
    <t>Jumanazarov B.T.</t>
  </si>
  <si>
    <t>100</t>
  </si>
  <si>
    <t>bir yuz</t>
  </si>
  <si>
    <t>(90) 969 53 65</t>
  </si>
  <si>
    <t>Mominov B.X.</t>
  </si>
  <si>
    <t>Kreditlash bo’limi boshlig’I</t>
  </si>
  <si>
    <t>Saipova R.S.</t>
  </si>
  <si>
    <r>
      <t xml:space="preserve">      </t>
    </r>
    <r>
      <rPr>
        <b/>
        <sz val="12"/>
        <color theme="1"/>
        <rFont val="Times New Roman"/>
        <family val="1"/>
        <charset val="204"/>
      </rPr>
      <t>Mikroqarz shartnomasini bir nusxasini oldim</t>
    </r>
    <r>
      <rPr>
        <sz val="12"/>
        <color theme="1"/>
        <rFont val="Times New Roman"/>
        <family val="1"/>
        <charset val="204"/>
      </rPr>
      <t xml:space="preserve">  ________ </t>
    </r>
  </si>
  <si>
    <t>Mijoz quyidagi majburiyatlarga ega: TOSHKЕNT Sh., "AVO BANK" AKSIYADORLIK JAMIYATI  6 848 680.00 so'm. "DENGI VPERED" MCHJ KUSHMA KORXONA MIKROMOLIYA TASHKILOTI 4 233 600.00 so'm,  3 326 400.00 so'm , 3 175 200.00 so'm ,1 512 000.00 so'm , 2 116 800.00 so'm. Ayni paytda muddati o'tgan qarzdorligi mavjud emas. O‘rtacha oylik to‘lov  1 531 319.36 so‘mni tashkil qiladi.</t>
  </si>
  <si>
    <t>TOSHKENT</t>
  </si>
  <si>
    <t>Z</t>
  </si>
  <si>
    <t>№202</t>
  </si>
  <si>
    <t>27.01.2025</t>
  </si>
  <si>
    <t>CHUCHARINA MARGARITA SERGEYEVNA</t>
  </si>
  <si>
    <t>02.11.1997 y</t>
  </si>
  <si>
    <t>AD 2029757</t>
  </si>
  <si>
    <t>IIV 60005</t>
  </si>
  <si>
    <t>97 443 05 80 KLIENT</t>
  </si>
  <si>
    <t>90 167 16 70 SHAHNOZA</t>
  </si>
  <si>
    <t>93 400 04 48 BARKAMOL</t>
  </si>
  <si>
    <t>olti</t>
  </si>
  <si>
    <t xml:space="preserve">safia , korzinka </t>
  </si>
  <si>
    <t>TOSHKЕNT SHAHRI YAKKASAROY TUMANI Rakat daxasi, Uy 12, Kvartira 47</t>
  </si>
  <si>
    <t>2023</t>
  </si>
  <si>
    <t>L4HA1222413MYWX0269</t>
  </si>
  <si>
    <t>XWBUA7659PA551726</t>
  </si>
  <si>
    <t>01Y604CC</t>
  </si>
  <si>
    <t>CHUCHARINA M.S.</t>
  </si>
  <si>
    <t>CHEVROLET TRACKER 2</t>
  </si>
  <si>
    <t>YENGIL KROSSOVER</t>
  </si>
  <si>
    <t xml:space="preserve"> - </t>
  </si>
  <si>
    <t xml:space="preserve">QORA CHYORNIY </t>
  </si>
  <si>
    <t>AAG  1888277   10.07.2023 Y</t>
  </si>
  <si>
    <t>TOSHKENT SHAHAR (UZBUM)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</si>
</sst>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s>
  <fonts count="55"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1"/>
      <color theme="0"/>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9"/>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40">
    <xf numFmtId="0" fontId="0"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53" fillId="0" borderId="0">
      <alignment vertical="center"/>
    </xf>
    <xf numFmtId="0" fontId="53" fillId="0" borderId="0">
      <alignment vertical="center"/>
    </xf>
    <xf numFmtId="43"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cellStyleXfs>
  <cellXfs count="351">
    <xf numFmtId="0" fontId="0" fillId="0" borderId="0" xfId="0"/>
    <xf numFmtId="0" fontId="4" fillId="0" borderId="1" xfId="0" applyFont="1" applyBorder="1" applyAlignment="1">
      <alignment vertical="center" wrapText="1"/>
    </xf>
    <xf numFmtId="49" fontId="4" fillId="0" borderId="1" xfId="0" applyNumberFormat="1" applyFont="1" applyBorder="1" applyAlignment="1">
      <alignment vertical="center" wrapText="1"/>
    </xf>
    <xf numFmtId="0" fontId="5" fillId="2" borderId="1" xfId="0" applyFont="1" applyFill="1" applyBorder="1" applyAlignment="1">
      <alignment vertical="center" wrapText="1"/>
    </xf>
    <xf numFmtId="0" fontId="4" fillId="0" borderId="0" xfId="0" applyFont="1"/>
    <xf numFmtId="0" fontId="6" fillId="0" borderId="0" xfId="0" applyFont="1"/>
    <xf numFmtId="0" fontId="5" fillId="0" borderId="0" xfId="0" applyFont="1" applyAlignment="1">
      <alignment vertical="center" wrapText="1"/>
    </xf>
    <xf numFmtId="0" fontId="4" fillId="0" borderId="0" xfId="0" applyFont="1" applyAlignment="1">
      <alignment vertical="center" wrapText="1"/>
    </xf>
    <xf numFmtId="165" fontId="4" fillId="0" borderId="1" xfId="0" applyNumberFormat="1" applyFont="1" applyBorder="1" applyAlignment="1">
      <alignment vertical="center" wrapText="1"/>
    </xf>
    <xf numFmtId="43" fontId="4" fillId="0" borderId="1" xfId="1" applyFont="1" applyBorder="1" applyAlignment="1">
      <alignment vertical="center" wrapText="1"/>
    </xf>
    <xf numFmtId="0" fontId="7" fillId="0" borderId="0" xfId="0" applyFont="1"/>
    <xf numFmtId="0" fontId="7" fillId="0" borderId="0" xfId="0" applyFont="1" applyAlignment="1">
      <alignment horizontal="right"/>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12" fillId="0" borderId="0" xfId="0" applyFont="1" applyAlignment="1" applyProtection="1">
      <alignment horizontal="center" vertical="top"/>
      <protection hidden="1"/>
    </xf>
    <xf numFmtId="0" fontId="10" fillId="0" borderId="0" xfId="0" applyFont="1" applyAlignment="1" applyProtection="1">
      <alignment horizontal="center" vertical="center"/>
      <protection hidden="1"/>
    </xf>
    <xf numFmtId="0" fontId="12" fillId="0" borderId="0" xfId="0" applyFont="1" applyAlignment="1" applyProtection="1">
      <alignment horizontal="center" vertical="center"/>
      <protection hidden="1"/>
    </xf>
    <xf numFmtId="0" fontId="8" fillId="0" borderId="0" xfId="0" applyFont="1"/>
    <xf numFmtId="0" fontId="8" fillId="0" borderId="0" xfId="0" applyFont="1" applyAlignment="1">
      <alignment horizontal="right"/>
    </xf>
    <xf numFmtId="0" fontId="13" fillId="0" borderId="0" xfId="0" applyFont="1"/>
    <xf numFmtId="0" fontId="13"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xf numFmtId="0" fontId="13" fillId="0" borderId="0" xfId="0" applyFont="1" applyAlignment="1">
      <alignment horizontal="justify" vertical="top" wrapText="1"/>
    </xf>
    <xf numFmtId="0" fontId="13" fillId="0" borderId="0" xfId="0" applyFont="1" applyAlignment="1">
      <alignment wrapText="1"/>
    </xf>
    <xf numFmtId="164" fontId="4" fillId="0" borderId="1" xfId="0" applyNumberFormat="1" applyFont="1" applyBorder="1" applyAlignment="1">
      <alignment vertical="center" wrapText="1"/>
    </xf>
    <xf numFmtId="0" fontId="13" fillId="0" borderId="0" xfId="0" applyFont="1" applyAlignment="1">
      <alignment vertical="top" wrapText="1"/>
    </xf>
    <xf numFmtId="0" fontId="13" fillId="0" borderId="0" xfId="0" applyFont="1" applyAlignment="1">
      <alignment vertical="center" wrapText="1"/>
    </xf>
    <xf numFmtId="0" fontId="16" fillId="0" borderId="0" xfId="0" applyFont="1"/>
    <xf numFmtId="0" fontId="15" fillId="0" borderId="1" xfId="0" applyFont="1" applyBorder="1" applyAlignment="1">
      <alignment horizontal="center" vertical="center" wrapText="1"/>
    </xf>
    <xf numFmtId="0" fontId="15" fillId="0" borderId="0" xfId="0" applyFont="1" applyAlignment="1">
      <alignment horizontal="center" vertical="center" wrapText="1"/>
    </xf>
    <xf numFmtId="0" fontId="16" fillId="0" borderId="1" xfId="0" applyFont="1" applyBorder="1" applyAlignment="1">
      <alignment horizontal="center" vertical="top" wrapText="1"/>
    </xf>
    <xf numFmtId="43" fontId="16" fillId="0" borderId="1" xfId="1" applyFont="1" applyBorder="1" applyAlignment="1">
      <alignment horizontal="center" vertical="top" wrapText="1"/>
    </xf>
    <xf numFmtId="0" fontId="15" fillId="0" borderId="1" xfId="0" applyFont="1" applyBorder="1" applyAlignment="1">
      <alignment horizontal="center" vertical="top" wrapText="1"/>
    </xf>
    <xf numFmtId="43" fontId="15" fillId="0" borderId="1" xfId="0" applyNumberFormat="1" applyFont="1" applyBorder="1" applyAlignment="1">
      <alignment horizontal="center" vertical="top" wrapText="1"/>
    </xf>
    <xf numFmtId="0" fontId="15" fillId="0" borderId="0" xfId="0" applyFont="1"/>
    <xf numFmtId="0" fontId="7" fillId="0" borderId="0" xfId="0" applyFont="1" applyAlignment="1">
      <alignment horizontal="left"/>
    </xf>
    <xf numFmtId="14" fontId="13" fillId="0" borderId="1" xfId="0" applyNumberFormat="1" applyFont="1" applyBorder="1"/>
    <xf numFmtId="43" fontId="13" fillId="0" borderId="1" xfId="1" applyFont="1" applyBorder="1"/>
    <xf numFmtId="14" fontId="13" fillId="0" borderId="0" xfId="0" applyNumberFormat="1" applyFont="1"/>
    <xf numFmtId="43" fontId="13" fillId="0" borderId="0" xfId="1" applyFont="1" applyBorder="1"/>
    <xf numFmtId="0" fontId="14" fillId="0" borderId="0" xfId="0" applyFont="1"/>
    <xf numFmtId="0" fontId="14" fillId="0" borderId="0" xfId="0" applyFont="1" applyAlignment="1">
      <alignment horizontal="right"/>
    </xf>
    <xf numFmtId="0" fontId="14" fillId="0" borderId="1" xfId="0" applyFont="1" applyBorder="1" applyAlignment="1">
      <alignment horizontal="center" vertical="center" wrapText="1"/>
    </xf>
    <xf numFmtId="0" fontId="14" fillId="0" borderId="0" xfId="0" applyFont="1" applyAlignment="1">
      <alignment horizontal="center"/>
    </xf>
    <xf numFmtId="0" fontId="21" fillId="0" borderId="0" xfId="0" applyFont="1" applyAlignment="1">
      <alignment horizontal="center" wrapText="1"/>
    </xf>
    <xf numFmtId="0" fontId="13" fillId="0" borderId="0" xfId="0" applyFont="1" applyAlignment="1">
      <alignment horizontal="center" wrapText="1"/>
    </xf>
    <xf numFmtId="0" fontId="20" fillId="0" borderId="0" xfId="0" applyFont="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1" xfId="0" applyFont="1" applyBorder="1"/>
    <xf numFmtId="14" fontId="14" fillId="0" borderId="1" xfId="0" applyNumberFormat="1" applyFont="1" applyBorder="1"/>
    <xf numFmtId="43" fontId="14" fillId="0" borderId="1" xfId="1" applyFont="1" applyBorder="1"/>
    <xf numFmtId="0" fontId="4" fillId="4" borderId="1" xfId="0" applyFont="1" applyFill="1" applyBorder="1" applyAlignment="1">
      <alignment vertical="center" wrapText="1"/>
    </xf>
    <xf numFmtId="0" fontId="4" fillId="0" borderId="1" xfId="0" applyFont="1" applyBorder="1"/>
    <xf numFmtId="0" fontId="4" fillId="0" borderId="1" xfId="0" applyFont="1" applyBorder="1" applyAlignment="1">
      <alignment horizontal="left" vertical="center"/>
    </xf>
    <xf numFmtId="0" fontId="5" fillId="0" borderId="0" xfId="0" applyFont="1" applyAlignment="1">
      <alignment vertical="center"/>
    </xf>
    <xf numFmtId="0" fontId="14" fillId="0" borderId="0" xfId="0" applyFont="1" applyAlignment="1">
      <alignment horizontal="center" vertical="center" wrapText="1"/>
    </xf>
    <xf numFmtId="43" fontId="26" fillId="0" borderId="1" xfId="1" applyFont="1" applyBorder="1"/>
    <xf numFmtId="43" fontId="4" fillId="4" borderId="1" xfId="1" applyFont="1" applyFill="1" applyBorder="1" applyAlignment="1">
      <alignment vertical="center" wrapText="1"/>
    </xf>
    <xf numFmtId="0" fontId="13" fillId="0" borderId="0" xfId="0" applyFont="1" applyAlignment="1">
      <alignment horizontal="left" vertical="top" wrapText="1"/>
    </xf>
    <xf numFmtId="0" fontId="13" fillId="0" borderId="8" xfId="0" applyFont="1" applyBorder="1" applyAlignment="1">
      <alignment wrapText="1"/>
    </xf>
    <xf numFmtId="0" fontId="13" fillId="0" borderId="9" xfId="0" applyFont="1" applyBorder="1" applyAlignment="1">
      <alignment wrapText="1"/>
    </xf>
    <xf numFmtId="49" fontId="7" fillId="0" borderId="0" xfId="0" applyNumberFormat="1" applyFont="1" applyAlignment="1">
      <alignment horizontal="right"/>
    </xf>
    <xf numFmtId="49" fontId="4" fillId="4" borderId="1" xfId="0" applyNumberFormat="1" applyFont="1" applyFill="1" applyBorder="1" applyAlignment="1">
      <alignment vertical="center" wrapText="1"/>
    </xf>
    <xf numFmtId="165" fontId="25" fillId="2" borderId="1" xfId="0" applyNumberFormat="1" applyFont="1" applyFill="1" applyBorder="1" applyAlignment="1">
      <alignment vertical="center" wrapText="1"/>
    </xf>
    <xf numFmtId="0" fontId="6" fillId="5" borderId="0" xfId="0" applyFont="1" applyFill="1"/>
    <xf numFmtId="0" fontId="28" fillId="0" borderId="0" xfId="0" applyFont="1"/>
    <xf numFmtId="165" fontId="4" fillId="2" borderId="1" xfId="0" applyNumberFormat="1" applyFont="1" applyFill="1" applyBorder="1" applyAlignment="1">
      <alignment vertical="center" wrapText="1"/>
    </xf>
    <xf numFmtId="0" fontId="4"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0" fillId="4" borderId="1" xfId="0" applyFont="1" applyFill="1" applyBorder="1"/>
    <xf numFmtId="0" fontId="8" fillId="0" borderId="0" xfId="0" applyFont="1" applyAlignment="1">
      <alignment horizontal="center" vertical="center" wrapText="1"/>
    </xf>
    <xf numFmtId="0" fontId="8" fillId="0" borderId="0" xfId="0" applyFont="1" applyAlignment="1">
      <alignment horizontal="center"/>
    </xf>
    <xf numFmtId="0" fontId="7" fillId="0" borderId="0" xfId="0" applyFont="1" applyAlignment="1">
      <alignment horizontal="center" vertical="center"/>
    </xf>
    <xf numFmtId="0" fontId="8" fillId="0" borderId="0" xfId="0" applyFont="1" applyAlignment="1">
      <alignment horizontal="center" vertical="center"/>
    </xf>
    <xf numFmtId="43" fontId="4" fillId="4" borderId="3" xfId="1" applyFont="1" applyFill="1" applyBorder="1" applyAlignment="1">
      <alignment vertical="center" wrapText="1"/>
    </xf>
    <xf numFmtId="0" fontId="5" fillId="2" borderId="1" xfId="0" applyFont="1" applyFill="1" applyBorder="1" applyAlignment="1">
      <alignment horizontal="right" vertical="center" wrapText="1"/>
    </xf>
    <xf numFmtId="164" fontId="4" fillId="0" borderId="0" xfId="0" applyNumberFormat="1" applyFont="1" applyAlignment="1">
      <alignment vertical="center" wrapText="1"/>
    </xf>
    <xf numFmtId="0" fontId="7" fillId="0" borderId="0" xfId="0" applyFont="1" applyAlignment="1">
      <alignment horizontal="center" vertical="center" wrapText="1"/>
    </xf>
    <xf numFmtId="0" fontId="7" fillId="0" borderId="0" xfId="0" applyFont="1" applyAlignment="1">
      <alignment vertical="top" wrapText="1"/>
    </xf>
    <xf numFmtId="0" fontId="7" fillId="0" borderId="0" xfId="0" applyFont="1" applyAlignment="1">
      <alignment horizontal="center" wrapText="1"/>
    </xf>
    <xf numFmtId="0" fontId="8" fillId="0" borderId="0" xfId="0" applyFont="1" applyAlignment="1">
      <alignment horizontal="center" wrapText="1"/>
    </xf>
    <xf numFmtId="0" fontId="17" fillId="0" borderId="0" xfId="0" applyFont="1" applyAlignment="1">
      <alignment horizontal="center"/>
    </xf>
    <xf numFmtId="0" fontId="7" fillId="0" borderId="0" xfId="0" applyFont="1" applyAlignment="1">
      <alignment vertical="top"/>
    </xf>
    <xf numFmtId="0" fontId="4" fillId="6" borderId="1" xfId="0" applyFont="1" applyFill="1" applyBorder="1" applyAlignment="1">
      <alignment vertical="center" wrapText="1"/>
    </xf>
    <xf numFmtId="0" fontId="4" fillId="4" borderId="15" xfId="0" applyFont="1" applyFill="1" applyBorder="1" applyAlignment="1">
      <alignment vertical="center"/>
    </xf>
    <xf numFmtId="0" fontId="4" fillId="6" borderId="13" xfId="0" applyFont="1" applyFill="1" applyBorder="1" applyAlignment="1">
      <alignment vertical="center"/>
    </xf>
    <xf numFmtId="0" fontId="4" fillId="6" borderId="0" xfId="0" applyFont="1" applyFill="1"/>
    <xf numFmtId="0" fontId="4" fillId="2" borderId="1" xfId="0" applyFont="1" applyFill="1" applyBorder="1"/>
    <xf numFmtId="0" fontId="4" fillId="2" borderId="1" xfId="0" applyFont="1" applyFill="1" applyBorder="1" applyAlignment="1">
      <alignment wrapText="1"/>
    </xf>
    <xf numFmtId="165" fontId="4" fillId="2" borderId="1" xfId="0" applyNumberFormat="1" applyFont="1" applyFill="1" applyBorder="1" applyAlignment="1">
      <alignment horizontal="left" vertical="center" wrapText="1"/>
    </xf>
    <xf numFmtId="14" fontId="4" fillId="6" borderId="1" xfId="0" applyNumberFormat="1" applyFont="1" applyFill="1" applyBorder="1" applyAlignment="1">
      <alignment vertical="center" wrapText="1"/>
    </xf>
    <xf numFmtId="165" fontId="4" fillId="6" borderId="1" xfId="0" applyNumberFormat="1" applyFont="1" applyFill="1" applyBorder="1" applyAlignment="1">
      <alignment vertical="center" wrapText="1"/>
    </xf>
    <xf numFmtId="0" fontId="4" fillId="7" borderId="1" xfId="0" applyFont="1" applyFill="1" applyBorder="1" applyAlignment="1">
      <alignment vertical="center" wrapText="1"/>
    </xf>
    <xf numFmtId="9" fontId="4" fillId="7" borderId="1" xfId="0" applyNumberFormat="1" applyFont="1" applyFill="1" applyBorder="1" applyAlignment="1">
      <alignment vertical="center" wrapText="1"/>
    </xf>
    <xf numFmtId="49" fontId="4" fillId="7" borderId="1" xfId="1" applyNumberFormat="1" applyFont="1" applyFill="1" applyBorder="1" applyAlignment="1">
      <alignment vertical="center" wrapText="1"/>
    </xf>
    <xf numFmtId="40" fontId="4" fillId="7" borderId="1" xfId="1" applyNumberFormat="1" applyFont="1" applyFill="1" applyBorder="1" applyAlignment="1">
      <alignment vertical="center" wrapText="1"/>
    </xf>
    <xf numFmtId="0" fontId="4" fillId="6" borderId="1" xfId="0" applyFont="1" applyFill="1" applyBorder="1" applyAlignment="1">
      <alignment horizontal="left" vertical="center"/>
    </xf>
    <xf numFmtId="0" fontId="4" fillId="6"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49" fontId="4" fillId="4" borderId="1" xfId="0" applyNumberFormat="1" applyFont="1" applyFill="1" applyBorder="1" applyAlignment="1">
      <alignment horizontal="left" vertical="center" wrapText="1"/>
    </xf>
    <xf numFmtId="0" fontId="33" fillId="0" borderId="0" xfId="0" applyFont="1"/>
    <xf numFmtId="0" fontId="26" fillId="0" borderId="0" xfId="0" applyFont="1"/>
    <xf numFmtId="0" fontId="33" fillId="0" borderId="0" xfId="0" applyFont="1" applyAlignment="1">
      <alignment horizontal="right"/>
    </xf>
    <xf numFmtId="164" fontId="26" fillId="0" borderId="0" xfId="0" applyNumberFormat="1" applyFont="1"/>
    <xf numFmtId="166" fontId="26" fillId="0" borderId="0" xfId="0" applyNumberFormat="1" applyFont="1"/>
    <xf numFmtId="0" fontId="26" fillId="0" borderId="1" xfId="0" applyFont="1" applyBorder="1" applyAlignment="1">
      <alignment horizontal="center" vertical="center" wrapText="1"/>
    </xf>
    <xf numFmtId="0" fontId="26" fillId="0" borderId="0" xfId="0" applyFont="1" applyAlignment="1">
      <alignment horizontal="center" vertical="center" wrapText="1"/>
    </xf>
    <xf numFmtId="0" fontId="26" fillId="0" borderId="1" xfId="0" applyFont="1" applyBorder="1"/>
    <xf numFmtId="14" fontId="26" fillId="0" borderId="1" xfId="0" applyNumberFormat="1" applyFont="1" applyBorder="1"/>
    <xf numFmtId="167" fontId="26" fillId="0" borderId="0" xfId="0" applyNumberFormat="1" applyFont="1"/>
    <xf numFmtId="0" fontId="33" fillId="0" borderId="1" xfId="0" applyFont="1" applyBorder="1"/>
    <xf numFmtId="14" fontId="33" fillId="0" borderId="1" xfId="0" applyNumberFormat="1" applyFont="1" applyBorder="1"/>
    <xf numFmtId="43" fontId="33" fillId="0" borderId="1" xfId="1" applyFont="1" applyBorder="1"/>
    <xf numFmtId="14" fontId="26" fillId="0" borderId="0" xfId="0" applyNumberFormat="1" applyFont="1"/>
    <xf numFmtId="43" fontId="26" fillId="0" borderId="0" xfId="1" applyFont="1" applyBorder="1"/>
    <xf numFmtId="14" fontId="25" fillId="5" borderId="0" xfId="0" applyNumberFormat="1" applyFont="1" applyFill="1"/>
    <xf numFmtId="0" fontId="25" fillId="5" borderId="0" xfId="0" applyFont="1" applyFill="1"/>
    <xf numFmtId="0" fontId="25" fillId="0" borderId="0" xfId="0" applyFont="1"/>
    <xf numFmtId="168" fontId="36" fillId="5" borderId="0" xfId="0" applyNumberFormat="1" applyFont="1" applyFill="1"/>
    <xf numFmtId="0" fontId="25" fillId="4" borderId="0" xfId="0" applyFont="1" applyFill="1"/>
    <xf numFmtId="1" fontId="25" fillId="5" borderId="0" xfId="0" applyNumberFormat="1" applyFont="1" applyFill="1"/>
    <xf numFmtId="49" fontId="26" fillId="0" borderId="0" xfId="0" applyNumberFormat="1" applyFont="1" applyAlignment="1">
      <alignment horizontal="right"/>
    </xf>
    <xf numFmtId="0" fontId="37" fillId="0" borderId="0" xfId="0" applyFont="1" applyAlignment="1">
      <alignment vertical="center"/>
    </xf>
    <xf numFmtId="0" fontId="38" fillId="0" borderId="0" xfId="0" applyFont="1" applyAlignment="1">
      <alignment horizontal="right" vertical="center"/>
    </xf>
    <xf numFmtId="0" fontId="38" fillId="0" borderId="0" xfId="0" applyFont="1" applyAlignment="1">
      <alignment horizontal="right" vertical="center" wrapText="1"/>
    </xf>
    <xf numFmtId="43" fontId="13" fillId="0" borderId="1" xfId="1" applyFont="1" applyBorder="1" applyAlignment="1">
      <alignment horizontal="center" vertical="top" wrapText="1"/>
    </xf>
    <xf numFmtId="0" fontId="39" fillId="7" borderId="1" xfId="0" applyFont="1" applyFill="1" applyBorder="1"/>
    <xf numFmtId="0" fontId="39"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5" fillId="4" borderId="1" xfId="0" applyFont="1" applyFill="1" applyBorder="1"/>
    <xf numFmtId="0" fontId="39"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7" fillId="0" borderId="0" xfId="0" applyFont="1" applyAlignment="1">
      <alignment horizontal="right"/>
    </xf>
    <xf numFmtId="0" fontId="27" fillId="0" borderId="0" xfId="0" applyFont="1" applyAlignment="1">
      <alignment horizontal="justify"/>
    </xf>
    <xf numFmtId="0" fontId="27" fillId="0" borderId="0" xfId="0" applyFont="1" applyAlignment="1">
      <alignment horizontal="justify" vertical="center"/>
    </xf>
    <xf numFmtId="0" fontId="27" fillId="0" borderId="1" xfId="0" applyFont="1" applyBorder="1" applyAlignment="1">
      <alignment horizontal="justify"/>
    </xf>
    <xf numFmtId="0" fontId="27" fillId="0" borderId="0" xfId="0" applyFont="1" applyAlignment="1">
      <alignment horizontal="justify" vertical="center" wrapText="1"/>
    </xf>
    <xf numFmtId="0" fontId="27" fillId="0" borderId="0" xfId="0" applyFont="1" applyAlignment="1">
      <alignment horizontal="left"/>
    </xf>
    <xf numFmtId="0" fontId="27" fillId="0" borderId="11" xfId="0" applyFont="1" applyBorder="1" applyAlignment="1">
      <alignment horizontal="center"/>
    </xf>
    <xf numFmtId="0" fontId="27" fillId="0" borderId="0" xfId="0" applyFont="1" applyAlignment="1">
      <alignment horizontal="center"/>
    </xf>
    <xf numFmtId="0" fontId="4" fillId="3" borderId="1" xfId="0" applyFont="1" applyFill="1" applyBorder="1" applyAlignment="1">
      <alignment horizontal="center" vertical="center" wrapText="1"/>
    </xf>
    <xf numFmtId="0" fontId="13" fillId="0" borderId="0" xfId="0" applyFont="1" applyAlignment="1">
      <alignment vertical="top"/>
    </xf>
    <xf numFmtId="14" fontId="4" fillId="0" borderId="1" xfId="0" applyNumberFormat="1" applyFont="1" applyBorder="1"/>
    <xf numFmtId="0" fontId="29" fillId="0" borderId="0" xfId="0" applyFont="1" applyAlignment="1">
      <alignment horizontal="justify" vertical="top" wrapText="1"/>
    </xf>
    <xf numFmtId="0" fontId="14" fillId="0" borderId="0" xfId="0" applyFont="1" applyAlignment="1">
      <alignment horizontal="left" vertical="center" wrapText="1"/>
    </xf>
    <xf numFmtId="0" fontId="14" fillId="0" borderId="0" xfId="0" applyFont="1" applyAlignment="1">
      <alignment horizontal="right" vertical="center" wrapText="1"/>
    </xf>
    <xf numFmtId="0" fontId="0" fillId="0" borderId="0" xfId="0" applyAlignment="1">
      <alignment horizontal="left" vertical="center"/>
    </xf>
    <xf numFmtId="0" fontId="13" fillId="0" borderId="0" xfId="0" applyFont="1" applyAlignment="1">
      <alignment horizontal="left" vertical="center" wrapText="1"/>
    </xf>
    <xf numFmtId="14" fontId="4" fillId="4" borderId="1" xfId="0" applyNumberFormat="1" applyFont="1" applyFill="1" applyBorder="1" applyAlignment="1">
      <alignment vertical="center" wrapText="1"/>
    </xf>
    <xf numFmtId="0" fontId="13" fillId="0" borderId="0" xfId="0" applyFont="1" applyAlignment="1">
      <alignment horizontal="right"/>
    </xf>
    <xf numFmtId="0" fontId="5" fillId="6" borderId="1" xfId="0" applyFont="1" applyFill="1" applyBorder="1" applyAlignment="1">
      <alignment horizontal="left" vertical="center" wrapText="1"/>
    </xf>
    <xf numFmtId="0" fontId="5" fillId="6" borderId="1" xfId="0" applyFont="1" applyFill="1" applyBorder="1" applyAlignment="1">
      <alignment vertical="center" wrapText="1"/>
    </xf>
    <xf numFmtId="11" fontId="4" fillId="4" borderId="1" xfId="0" applyNumberFormat="1" applyFont="1" applyFill="1" applyBorder="1" applyAlignment="1">
      <alignment vertical="center" wrapText="1"/>
    </xf>
    <xf numFmtId="0" fontId="9" fillId="4" borderId="1" xfId="0" applyFont="1" applyFill="1" applyBorder="1" applyAlignment="1">
      <alignment horizontal="center" vertical="center" wrapText="1"/>
    </xf>
    <xf numFmtId="0" fontId="16" fillId="0" borderId="0" xfId="0" applyFont="1" applyAlignment="1">
      <alignment wrapText="1"/>
    </xf>
    <xf numFmtId="165" fontId="16" fillId="0" borderId="0" xfId="0" applyNumberFormat="1" applyFont="1"/>
    <xf numFmtId="0" fontId="15" fillId="0" borderId="0" xfId="0" applyFont="1" applyAlignment="1">
      <alignment vertical="center" wrapText="1"/>
    </xf>
    <xf numFmtId="0" fontId="15" fillId="0" borderId="0" xfId="0" applyFont="1" applyAlignment="1">
      <alignment horizontal="left"/>
    </xf>
    <xf numFmtId="0" fontId="8" fillId="0" borderId="0" xfId="0" applyFont="1" applyAlignment="1">
      <alignment horizontal="left"/>
    </xf>
    <xf numFmtId="14" fontId="9" fillId="4" borderId="1" xfId="0" applyNumberFormat="1" applyFont="1" applyFill="1" applyBorder="1" applyAlignment="1">
      <alignment horizontal="center" vertical="center" wrapText="1"/>
    </xf>
    <xf numFmtId="0" fontId="4" fillId="4" borderId="3" xfId="0" applyFont="1" applyFill="1" applyBorder="1" applyAlignment="1">
      <alignment vertical="center" wrapText="1"/>
    </xf>
    <xf numFmtId="49" fontId="9" fillId="4" borderId="1" xfId="0" applyNumberFormat="1" applyFont="1" applyFill="1" applyBorder="1" applyAlignment="1">
      <alignment horizontal="center" vertical="center" wrapText="1"/>
    </xf>
    <xf numFmtId="164" fontId="4" fillId="4" borderId="1" xfId="0" applyNumberFormat="1" applyFont="1" applyFill="1" applyBorder="1" applyAlignment="1">
      <alignment vertical="center" wrapText="1"/>
    </xf>
    <xf numFmtId="0" fontId="16" fillId="0" borderId="0" xfId="0" applyFont="1" applyAlignment="1">
      <alignment horizontal="center" vertical="top" wrapText="1"/>
    </xf>
    <xf numFmtId="0" fontId="4" fillId="5" borderId="0" xfId="0" applyFont="1" applyFill="1"/>
    <xf numFmtId="0" fontId="41" fillId="2" borderId="1" xfId="0" applyFont="1" applyFill="1" applyBorder="1" applyAlignment="1">
      <alignment vertical="center" wrapText="1"/>
    </xf>
    <xf numFmtId="0" fontId="4" fillId="9" borderId="1" xfId="0" applyFont="1" applyFill="1" applyBorder="1" applyAlignment="1">
      <alignment vertical="center" wrapText="1"/>
    </xf>
    <xf numFmtId="0" fontId="4" fillId="3" borderId="1" xfId="0" applyFont="1" applyFill="1" applyBorder="1" applyAlignment="1">
      <alignment horizontal="center" vertical="center"/>
    </xf>
    <xf numFmtId="0" fontId="4" fillId="10" borderId="0" xfId="0" applyFont="1" applyFill="1"/>
    <xf numFmtId="0" fontId="2" fillId="0" borderId="0" xfId="0" applyFont="1"/>
    <xf numFmtId="0" fontId="42" fillId="0" borderId="0" xfId="0" applyFont="1" applyAlignment="1">
      <alignment vertical="center"/>
    </xf>
    <xf numFmtId="0" fontId="43" fillId="0" borderId="0" xfId="0" applyFont="1" applyAlignment="1">
      <alignment wrapText="1"/>
    </xf>
    <xf numFmtId="0" fontId="7" fillId="0" borderId="0" xfId="0" applyFont="1" applyAlignment="1">
      <alignment wrapText="1"/>
    </xf>
    <xf numFmtId="0" fontId="14" fillId="0" borderId="0" xfId="0" applyFont="1" applyAlignment="1">
      <alignment horizontal="right" wrapText="1"/>
    </xf>
    <xf numFmtId="0" fontId="45" fillId="0" borderId="0" xfId="0" applyFont="1"/>
    <xf numFmtId="49" fontId="4" fillId="0" borderId="0" xfId="0" applyNumberFormat="1" applyFont="1"/>
    <xf numFmtId="0" fontId="46" fillId="0" borderId="0" xfId="0" applyFont="1"/>
    <xf numFmtId="0" fontId="8" fillId="0" borderId="0" xfId="0" applyFont="1" applyAlignment="1">
      <alignment horizontal="left" wrapText="1"/>
    </xf>
    <xf numFmtId="0" fontId="8" fillId="0" borderId="0" xfId="0" applyFont="1" applyAlignment="1">
      <alignment horizontal="left" vertical="center" wrapText="1"/>
    </xf>
    <xf numFmtId="0" fontId="7" fillId="0" borderId="0" xfId="0" applyFont="1" applyAlignment="1">
      <alignment horizontal="left" vertical="top" wrapText="1"/>
    </xf>
    <xf numFmtId="0" fontId="31" fillId="0" borderId="0" xfId="0" applyFont="1" applyAlignment="1">
      <alignment horizontal="left"/>
    </xf>
    <xf numFmtId="0" fontId="8" fillId="0" borderId="0" xfId="0" applyFont="1" applyAlignment="1">
      <alignment horizontal="left" vertical="top" wrapText="1"/>
    </xf>
    <xf numFmtId="49" fontId="7" fillId="0" borderId="0" xfId="0" applyNumberFormat="1" applyFont="1" applyAlignment="1">
      <alignment horizontal="left" vertical="top" wrapText="1"/>
    </xf>
    <xf numFmtId="0" fontId="44" fillId="0" borderId="0" xfId="0" applyFont="1" applyAlignment="1">
      <alignment vertical="top" wrapText="1"/>
    </xf>
    <xf numFmtId="0" fontId="44" fillId="0" borderId="4" xfId="0" applyFont="1" applyBorder="1" applyAlignment="1">
      <alignment vertical="top" wrapText="1"/>
    </xf>
    <xf numFmtId="0" fontId="44" fillId="0" borderId="18" xfId="0" applyFont="1" applyBorder="1" applyAlignment="1">
      <alignment vertical="top" wrapText="1"/>
    </xf>
    <xf numFmtId="0" fontId="29" fillId="0" borderId="18" xfId="0" applyFont="1" applyBorder="1" applyAlignment="1">
      <alignment horizontal="justify" vertical="top" wrapText="1"/>
    </xf>
    <xf numFmtId="0" fontId="4" fillId="5" borderId="1" xfId="0" applyFont="1" applyFill="1" applyBorder="1" applyAlignment="1">
      <alignment vertical="center" wrapText="1"/>
    </xf>
    <xf numFmtId="0" fontId="13" fillId="0" borderId="0" xfId="0" applyFont="1" applyAlignment="1">
      <alignment horizontal="left"/>
    </xf>
    <xf numFmtId="0" fontId="8" fillId="0" borderId="0" xfId="0" applyFont="1" applyAlignment="1">
      <alignment horizontal="right" wrapText="1"/>
    </xf>
    <xf numFmtId="14" fontId="4" fillId="3" borderId="1" xfId="0" applyNumberFormat="1" applyFont="1" applyFill="1" applyBorder="1" applyAlignment="1">
      <alignment horizontal="center" vertical="center" wrapText="1"/>
    </xf>
    <xf numFmtId="0" fontId="48" fillId="2" borderId="1" xfId="0" applyFont="1" applyFill="1" applyBorder="1" applyAlignment="1">
      <alignment horizontal="left" vertical="center" wrapText="1"/>
    </xf>
    <xf numFmtId="0" fontId="48" fillId="2" borderId="1" xfId="0" applyFont="1" applyFill="1" applyBorder="1" applyAlignment="1">
      <alignment vertical="center" wrapText="1"/>
    </xf>
    <xf numFmtId="0" fontId="7" fillId="0" borderId="0" xfId="0" applyFont="1" applyAlignment="1">
      <alignment horizontal="center"/>
    </xf>
    <xf numFmtId="0" fontId="28" fillId="4" borderId="1" xfId="0" applyFont="1" applyFill="1" applyBorder="1" applyAlignment="1">
      <alignment vertical="center" wrapText="1"/>
    </xf>
    <xf numFmtId="0" fontId="49" fillId="4" borderId="1" xfId="0" applyFont="1" applyFill="1" applyBorder="1" applyAlignment="1">
      <alignment vertical="center" wrapText="1"/>
    </xf>
    <xf numFmtId="0" fontId="51" fillId="4" borderId="1" xfId="0" applyFont="1" applyFill="1" applyBorder="1" applyAlignment="1">
      <alignment vertical="center" wrapText="1"/>
    </xf>
    <xf numFmtId="0" fontId="50" fillId="2" borderId="1" xfId="0" applyFont="1" applyFill="1" applyBorder="1" applyAlignment="1">
      <alignment vertical="center" wrapText="1"/>
    </xf>
    <xf numFmtId="0" fontId="8" fillId="0" borderId="0" xfId="0" applyFont="1" applyAlignment="1">
      <alignment wrapText="1"/>
    </xf>
    <xf numFmtId="0" fontId="48" fillId="11" borderId="2" xfId="0" applyFont="1" applyFill="1" applyBorder="1" applyAlignment="1">
      <alignment horizontal="left" vertical="center" wrapText="1"/>
    </xf>
    <xf numFmtId="0" fontId="48" fillId="11" borderId="24" xfId="0" applyFont="1" applyFill="1" applyBorder="1" applyAlignment="1">
      <alignment horizontal="left" vertical="center" wrapText="1"/>
    </xf>
    <xf numFmtId="43" fontId="51" fillId="4" borderId="1" xfId="1" applyFont="1" applyFill="1" applyBorder="1" applyAlignment="1">
      <alignment vertical="center" wrapText="1"/>
    </xf>
    <xf numFmtId="0" fontId="7" fillId="5" borderId="0" xfId="0" applyFont="1" applyFill="1" applyAlignment="1">
      <alignment horizontal="center" wrapText="1"/>
    </xf>
    <xf numFmtId="49" fontId="4" fillId="0" borderId="1" xfId="0" applyNumberFormat="1" applyFont="1" applyBorder="1"/>
    <xf numFmtId="0" fontId="13" fillId="12" borderId="0" xfId="0" applyFont="1" applyFill="1"/>
    <xf numFmtId="0" fontId="5" fillId="0" borderId="0" xfId="0" applyFont="1"/>
    <xf numFmtId="0" fontId="4" fillId="11" borderId="0" xfId="0" applyFont="1" applyFill="1"/>
    <xf numFmtId="164" fontId="4" fillId="11" borderId="3" xfId="0" applyNumberFormat="1" applyFont="1" applyFill="1" applyBorder="1" applyAlignment="1">
      <alignment horizontal="left" vertical="top" wrapText="1"/>
    </xf>
    <xf numFmtId="14" fontId="4" fillId="11" borderId="0" xfId="0" applyNumberFormat="1" applyFont="1" applyFill="1"/>
    <xf numFmtId="0" fontId="54" fillId="11" borderId="16" xfId="0" applyFont="1" applyFill="1" applyBorder="1"/>
    <xf numFmtId="168" fontId="5" fillId="11" borderId="0" xfId="0" applyNumberFormat="1" applyFont="1" applyFill="1"/>
    <xf numFmtId="0" fontId="4" fillId="11" borderId="19" xfId="0" applyFont="1" applyFill="1" applyBorder="1"/>
    <xf numFmtId="0" fontId="4" fillId="11" borderId="20" xfId="0" applyFont="1" applyFill="1" applyBorder="1"/>
    <xf numFmtId="0" fontId="24" fillId="0" borderId="0" xfId="0" applyFont="1" applyAlignment="1">
      <alignment horizontal="left" vertical="top" wrapText="1"/>
    </xf>
    <xf numFmtId="0" fontId="5" fillId="0" borderId="0" xfId="0" applyFont="1" applyAlignment="1">
      <alignment wrapText="1"/>
    </xf>
    <xf numFmtId="0" fontId="4" fillId="4" borderId="0" xfId="0" applyFont="1" applyFill="1" applyAlignment="1">
      <alignment vertical="center" wrapText="1"/>
    </xf>
    <xf numFmtId="49" fontId="28" fillId="4" borderId="1" xfId="0" applyNumberFormat="1" applyFont="1" applyFill="1" applyBorder="1" applyAlignment="1">
      <alignment vertical="center" wrapText="1"/>
    </xf>
    <xf numFmtId="14" fontId="9" fillId="2" borderId="1" xfId="0" applyNumberFormat="1" applyFont="1" applyFill="1" applyBorder="1" applyAlignment="1">
      <alignment horizontal="center" vertical="center" wrapText="1"/>
    </xf>
    <xf numFmtId="0" fontId="28" fillId="11" borderId="0" xfId="0" applyFont="1" applyFill="1"/>
    <xf numFmtId="43" fontId="25" fillId="11" borderId="0" xfId="0" applyNumberFormat="1" applyFont="1" applyFill="1"/>
    <xf numFmtId="10" fontId="28" fillId="11" borderId="0" xfId="139" applyNumberFormat="1" applyFont="1" applyFill="1" applyAlignment="1">
      <alignment horizontal="center" vertical="center"/>
    </xf>
    <xf numFmtId="0" fontId="28" fillId="11" borderId="0" xfId="0" applyFont="1" applyFill="1" applyAlignment="1">
      <alignment horizontal="center" vertical="center"/>
    </xf>
    <xf numFmtId="0" fontId="44" fillId="0" borderId="0" xfId="0" applyFont="1" applyAlignment="1">
      <alignment horizontal="justify" vertical="top" wrapText="1"/>
    </xf>
    <xf numFmtId="0" fontId="14" fillId="0" borderId="0" xfId="0" applyFont="1" applyAlignment="1">
      <alignment horizontal="left"/>
    </xf>
    <xf numFmtId="0" fontId="14" fillId="0" borderId="0" xfId="0" applyFont="1" applyAlignment="1">
      <alignment horizontal="left" wrapText="1"/>
    </xf>
    <xf numFmtId="0" fontId="13" fillId="0" borderId="0" xfId="0" applyFont="1" applyAlignment="1">
      <alignment horizontal="justify" vertical="top" wrapText="1"/>
    </xf>
    <xf numFmtId="0" fontId="13" fillId="0" borderId="0" xfId="0" applyFont="1" applyAlignment="1">
      <alignment horizontal="left" vertical="center" wrapText="1"/>
    </xf>
    <xf numFmtId="0" fontId="14" fillId="0" borderId="0" xfId="0" applyFont="1" applyAlignment="1">
      <alignment horizontal="center" vertical="center" wrapText="1"/>
    </xf>
    <xf numFmtId="0" fontId="13" fillId="0" borderId="0" xfId="0" applyFont="1" applyAlignment="1">
      <alignment horizontal="left" vertical="top" wrapText="1"/>
    </xf>
    <xf numFmtId="0" fontId="33" fillId="0" borderId="0" xfId="0" applyFont="1" applyAlignment="1">
      <alignment horizontal="center" vertical="center" wrapText="1"/>
    </xf>
    <xf numFmtId="0" fontId="26" fillId="0" borderId="0" xfId="0" applyFont="1" applyAlignment="1">
      <alignment horizontal="center"/>
    </xf>
    <xf numFmtId="0" fontId="26" fillId="0" borderId="0" xfId="0" applyFont="1" applyAlignment="1">
      <alignment horizontal="center" vertical="top" wrapText="1"/>
    </xf>
    <xf numFmtId="0" fontId="26" fillId="0" borderId="0" xfId="0" applyFont="1" applyAlignment="1">
      <alignment horizontal="left" wrapText="1"/>
    </xf>
    <xf numFmtId="0" fontId="35" fillId="0" borderId="0" xfId="0" applyFont="1" applyAlignment="1">
      <alignment horizontal="center" vertical="top" wrapText="1"/>
    </xf>
    <xf numFmtId="0" fontId="26" fillId="0" borderId="0" xfId="0" applyFont="1" applyAlignment="1">
      <alignment horizontal="center" wrapText="1"/>
    </xf>
    <xf numFmtId="0" fontId="33" fillId="0" borderId="0" xfId="0" applyFont="1" applyAlignment="1">
      <alignment horizontal="center" vertical="top" wrapText="1"/>
    </xf>
    <xf numFmtId="0" fontId="26" fillId="0" borderId="0" xfId="0" applyFont="1" applyAlignment="1">
      <alignment horizontal="justify" vertical="top" wrapText="1"/>
    </xf>
    <xf numFmtId="0" fontId="34" fillId="0" borderId="0" xfId="0" applyFont="1" applyAlignment="1">
      <alignment horizontal="center" vertical="center" wrapText="1"/>
    </xf>
    <xf numFmtId="0" fontId="33" fillId="0" borderId="0" xfId="0" applyFont="1" applyAlignment="1">
      <alignment horizontal="center" wrapText="1"/>
    </xf>
    <xf numFmtId="0" fontId="33" fillId="0" borderId="0" xfId="0" applyFont="1" applyAlignment="1">
      <alignment horizontal="right"/>
    </xf>
    <xf numFmtId="0" fontId="33" fillId="0" borderId="0" xfId="0" applyFont="1" applyAlignment="1">
      <alignment horizontal="center"/>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horizontal="center"/>
    </xf>
    <xf numFmtId="0" fontId="5" fillId="2"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13" fillId="0" borderId="0" xfId="0" applyFont="1" applyAlignment="1">
      <alignment horizontal="center"/>
    </xf>
    <xf numFmtId="0" fontId="13" fillId="0" borderId="0" xfId="0" applyFont="1" applyAlignment="1">
      <alignment horizontal="center" vertical="top" wrapText="1"/>
    </xf>
    <xf numFmtId="0" fontId="13" fillId="0" borderId="0" xfId="0" applyFont="1" applyAlignment="1">
      <alignment horizontal="left" wrapText="1"/>
    </xf>
    <xf numFmtId="0" fontId="18" fillId="0" borderId="0" xfId="0" applyFont="1" applyAlignment="1">
      <alignment horizontal="center" vertical="top" wrapText="1"/>
    </xf>
    <xf numFmtId="0" fontId="13" fillId="0" borderId="0" xfId="0" applyFont="1" applyAlignment="1">
      <alignment horizontal="center" wrapText="1"/>
    </xf>
    <xf numFmtId="0" fontId="14" fillId="0" borderId="0" xfId="0" applyFont="1" applyAlignment="1">
      <alignment horizontal="center" vertical="top" wrapText="1"/>
    </xf>
    <xf numFmtId="0" fontId="19" fillId="0" borderId="0" xfId="0" applyFont="1" applyAlignment="1">
      <alignment horizontal="center" vertical="center" wrapText="1"/>
    </xf>
    <xf numFmtId="0" fontId="14" fillId="0" borderId="0" xfId="0" applyFont="1" applyAlignment="1">
      <alignment horizontal="center" wrapText="1"/>
    </xf>
    <xf numFmtId="0" fontId="14" fillId="0" borderId="0" xfId="0" applyFont="1" applyAlignment="1">
      <alignment horizontal="right"/>
    </xf>
    <xf numFmtId="0" fontId="14" fillId="0" borderId="0" xfId="0" applyFont="1" applyAlignment="1">
      <alignment horizont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xf>
    <xf numFmtId="0" fontId="16" fillId="0" borderId="0" xfId="0" applyFont="1" applyAlignment="1">
      <alignment horizontal="justify" vertical="top" wrapText="1"/>
    </xf>
    <xf numFmtId="0" fontId="15" fillId="0" borderId="0" xfId="0" applyFont="1" applyAlignment="1">
      <alignment horizontal="center" vertical="top" wrapText="1"/>
    </xf>
    <xf numFmtId="0" fontId="16" fillId="0" borderId="0" xfId="0" applyFont="1" applyAlignment="1">
      <alignment horizontal="left" vertical="top" wrapText="1"/>
    </xf>
    <xf numFmtId="0" fontId="16" fillId="0" borderId="0" xfId="0" applyFont="1" applyAlignment="1">
      <alignment horizontal="center" vertical="top" wrapText="1"/>
    </xf>
    <xf numFmtId="0" fontId="16" fillId="0" borderId="4" xfId="0" applyFont="1" applyBorder="1" applyAlignment="1">
      <alignment horizontal="center" vertical="top" wrapText="1"/>
    </xf>
    <xf numFmtId="49" fontId="16" fillId="0" borderId="0" xfId="0" applyNumberFormat="1" applyFont="1" applyAlignment="1">
      <alignment horizontal="center" vertical="center" wrapText="1"/>
    </xf>
    <xf numFmtId="0" fontId="27" fillId="0" borderId="0" xfId="0" applyFont="1" applyAlignment="1">
      <alignment horizontal="justify" vertical="center" wrapText="1"/>
    </xf>
    <xf numFmtId="0" fontId="27" fillId="0" borderId="1" xfId="0" applyFont="1" applyBorder="1" applyAlignment="1">
      <alignment horizontal="justify" vertical="center" wrapText="1"/>
    </xf>
    <xf numFmtId="0" fontId="27" fillId="0" borderId="17" xfId="0" applyFont="1" applyBorder="1" applyAlignment="1">
      <alignment horizontal="justify" vertical="center" wrapText="1"/>
    </xf>
    <xf numFmtId="0" fontId="27" fillId="0" borderId="11" xfId="0" applyFont="1" applyBorder="1" applyAlignment="1">
      <alignment horizontal="justify"/>
    </xf>
    <xf numFmtId="0" fontId="27" fillId="0" borderId="0" xfId="0" applyFont="1" applyAlignment="1">
      <alignment horizontal="center"/>
    </xf>
    <xf numFmtId="0" fontId="27" fillId="0" borderId="3" xfId="0" applyFont="1" applyBorder="1" applyAlignment="1">
      <alignment horizontal="justify" vertical="center" wrapText="1"/>
    </xf>
    <xf numFmtId="0" fontId="27" fillId="0" borderId="18" xfId="0" applyFont="1" applyBorder="1" applyAlignment="1">
      <alignment horizontal="justify" vertical="center" wrapText="1"/>
    </xf>
    <xf numFmtId="0" fontId="27" fillId="0" borderId="2" xfId="0" applyFont="1" applyBorder="1" applyAlignment="1">
      <alignment horizontal="justify" vertical="center" wrapText="1"/>
    </xf>
    <xf numFmtId="0" fontId="27" fillId="0" borderId="3" xfId="0" applyFont="1" applyBorder="1" applyAlignment="1">
      <alignment horizontal="justify" vertical="center"/>
    </xf>
    <xf numFmtId="0" fontId="27" fillId="0" borderId="2" xfId="0" applyFont="1" applyBorder="1" applyAlignment="1">
      <alignment horizontal="justify" vertical="center"/>
    </xf>
    <xf numFmtId="0" fontId="27" fillId="0" borderId="21" xfId="0" applyFont="1" applyBorder="1" applyAlignment="1">
      <alignment horizontal="justify" vertical="center"/>
    </xf>
    <xf numFmtId="0" fontId="27" fillId="0" borderId="17" xfId="0" applyFont="1" applyBorder="1" applyAlignment="1">
      <alignment horizontal="justify" vertical="center"/>
    </xf>
    <xf numFmtId="0" fontId="27" fillId="0" borderId="22" xfId="0" applyFont="1" applyBorder="1" applyAlignment="1">
      <alignment horizontal="justify" vertical="center"/>
    </xf>
    <xf numFmtId="0" fontId="27" fillId="0" borderId="20" xfId="0" applyFont="1" applyBorder="1" applyAlignment="1">
      <alignment horizontal="justify" vertical="center"/>
    </xf>
    <xf numFmtId="0" fontId="27" fillId="0" borderId="4" xfId="0" applyFont="1" applyBorder="1" applyAlignment="1">
      <alignment horizontal="justify" vertical="center"/>
    </xf>
    <xf numFmtId="0" fontId="27" fillId="0" borderId="23" xfId="0" applyFont="1" applyBorder="1" applyAlignment="1">
      <alignment horizontal="justify" vertical="center"/>
    </xf>
    <xf numFmtId="0" fontId="8" fillId="0" borderId="0" xfId="0" applyFont="1" applyAlignment="1">
      <alignment horizontal="center"/>
    </xf>
    <xf numFmtId="0" fontId="8" fillId="0" borderId="0" xfId="0" applyFont="1" applyAlignment="1">
      <alignment horizontal="right" vertical="top" wrapText="1"/>
    </xf>
    <xf numFmtId="0" fontId="7" fillId="0" borderId="0" xfId="0" applyFont="1" applyAlignment="1">
      <alignment horizontal="justify" wrapText="1"/>
    </xf>
    <xf numFmtId="0" fontId="7" fillId="0" borderId="0" xfId="0" applyFont="1" applyAlignment="1">
      <alignment horizontal="justify" vertical="top" wrapText="1"/>
    </xf>
    <xf numFmtId="0" fontId="8" fillId="0" borderId="0" xfId="0" applyFont="1" applyAlignment="1">
      <alignment horizontal="left" vertical="center" wrapText="1"/>
    </xf>
    <xf numFmtId="0" fontId="13" fillId="0" borderId="0" xfId="0" applyFont="1" applyAlignment="1">
      <alignment horizontal="center" vertical="center"/>
    </xf>
    <xf numFmtId="49" fontId="13" fillId="0" borderId="0" xfId="0" applyNumberFormat="1" applyFont="1" applyAlignment="1">
      <alignment horizontal="justify" vertical="top" wrapText="1"/>
    </xf>
    <xf numFmtId="0" fontId="8" fillId="0" borderId="0" xfId="0" applyFont="1" applyAlignment="1">
      <alignment horizontal="center" vertical="center"/>
    </xf>
    <xf numFmtId="0" fontId="7" fillId="0" borderId="0" xfId="0" applyFont="1" applyAlignment="1">
      <alignment horizontal="left" vertical="top" wrapText="1"/>
    </xf>
    <xf numFmtId="0" fontId="27" fillId="0" borderId="0" xfId="0" applyFont="1" applyAlignment="1">
      <alignment horizontal="left" vertical="top" wrapText="1"/>
    </xf>
    <xf numFmtId="49" fontId="7" fillId="0" borderId="0" xfId="0" applyNumberFormat="1"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left" wrapText="1"/>
    </xf>
    <xf numFmtId="0" fontId="7" fillId="0" borderId="0" xfId="0" applyFont="1" applyAlignment="1">
      <alignment vertical="top" wrapText="1"/>
    </xf>
    <xf numFmtId="0" fontId="27" fillId="5" borderId="0" xfId="0" applyFont="1" applyFill="1" applyAlignment="1">
      <alignment horizontal="left" vertical="top" wrapText="1"/>
    </xf>
    <xf numFmtId="0" fontId="31" fillId="0" borderId="0" xfId="0" applyFont="1" applyAlignment="1">
      <alignment horizontal="center" vertical="top" wrapText="1"/>
    </xf>
    <xf numFmtId="0" fontId="8" fillId="0" borderId="0" xfId="0" applyFont="1" applyAlignment="1">
      <alignment horizontal="center" vertical="top" wrapText="1"/>
    </xf>
    <xf numFmtId="0" fontId="31" fillId="0" borderId="0" xfId="0" applyFont="1" applyAlignment="1">
      <alignment horizontal="left"/>
    </xf>
    <xf numFmtId="0" fontId="8" fillId="0" borderId="0" xfId="0" applyFont="1" applyAlignment="1">
      <alignment horizontal="center" wrapText="1"/>
    </xf>
    <xf numFmtId="0" fontId="52" fillId="0" borderId="0" xfId="0" applyFont="1" applyAlignment="1">
      <alignment horizontal="center" wrapText="1"/>
    </xf>
    <xf numFmtId="0" fontId="14" fillId="0" borderId="0" xfId="0" applyFont="1" applyAlignment="1">
      <alignment horizontal="left" vertical="top" wrapText="1"/>
    </xf>
    <xf numFmtId="0" fontId="7" fillId="0" borderId="0" xfId="0" applyFont="1" applyAlignment="1">
      <alignment horizontal="left" vertical="center" wrapText="1"/>
    </xf>
    <xf numFmtId="0" fontId="26" fillId="0" borderId="0" xfId="0" applyFont="1" applyAlignment="1">
      <alignment horizontal="right" vertical="top"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24" fillId="0" borderId="0" xfId="0" applyFont="1" applyAlignment="1">
      <alignment horizontal="right" vertical="top"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4" fillId="0" borderId="0" xfId="0" applyFont="1" applyAlignment="1">
      <alignment horizontal="right" vertical="top" wrapText="1"/>
    </xf>
    <xf numFmtId="0" fontId="14" fillId="0" borderId="10" xfId="0" applyFont="1" applyBorder="1" applyAlignment="1">
      <alignment horizontal="center" wrapText="1"/>
    </xf>
    <xf numFmtId="0" fontId="14" fillId="0" borderId="11" xfId="0" applyFont="1" applyBorder="1" applyAlignment="1">
      <alignment horizontal="center" wrapText="1"/>
    </xf>
    <xf numFmtId="0" fontId="14" fillId="0" borderId="12"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8" xfId="0" applyFont="1" applyBorder="1" applyAlignment="1">
      <alignment horizontal="left" wrapText="1"/>
    </xf>
    <xf numFmtId="0" fontId="14" fillId="0" borderId="9" xfId="0" applyFont="1" applyBorder="1" applyAlignment="1">
      <alignment horizontal="left" wrapText="1"/>
    </xf>
    <xf numFmtId="0" fontId="22" fillId="0" borderId="8" xfId="0" applyFont="1" applyBorder="1" applyAlignment="1">
      <alignment horizontal="center" wrapText="1"/>
    </xf>
    <xf numFmtId="0" fontId="22" fillId="0" borderId="0" xfId="0" applyFont="1" applyAlignment="1">
      <alignment horizontal="center" wrapText="1"/>
    </xf>
    <xf numFmtId="0" fontId="22" fillId="0" borderId="9" xfId="0" applyFont="1" applyBorder="1" applyAlignment="1">
      <alignment horizontal="center" wrapText="1"/>
    </xf>
    <xf numFmtId="0" fontId="23" fillId="0" borderId="5" xfId="0" applyFont="1" applyBorder="1" applyAlignment="1">
      <alignment horizontal="center" wrapText="1"/>
    </xf>
    <xf numFmtId="0" fontId="23" fillId="0" borderId="6" xfId="0" applyFont="1" applyBorder="1" applyAlignment="1">
      <alignment horizontal="center" wrapText="1"/>
    </xf>
    <xf numFmtId="0" fontId="23" fillId="0" borderId="7" xfId="0" applyFont="1" applyBorder="1" applyAlignment="1">
      <alignment horizontal="center" wrapText="1"/>
    </xf>
    <xf numFmtId="0" fontId="32" fillId="0" borderId="8" xfId="0" applyFont="1" applyBorder="1" applyAlignment="1">
      <alignment horizontal="center" wrapText="1"/>
    </xf>
    <xf numFmtId="0" fontId="32" fillId="0" borderId="0" xfId="0" applyFont="1" applyAlignment="1">
      <alignment horizontal="center" wrapText="1"/>
    </xf>
    <xf numFmtId="0" fontId="32" fillId="0" borderId="9" xfId="0" applyFont="1" applyBorder="1" applyAlignment="1">
      <alignment horizontal="center" wrapText="1"/>
    </xf>
    <xf numFmtId="0" fontId="38" fillId="0" borderId="0" xfId="0" applyFont="1" applyAlignment="1">
      <alignment vertical="center" wrapText="1"/>
    </xf>
    <xf numFmtId="0" fontId="37" fillId="0" borderId="0" xfId="0" applyFont="1" applyAlignment="1">
      <alignment horizontal="justify" vertical="center" wrapText="1"/>
    </xf>
    <xf numFmtId="0" fontId="13" fillId="0" borderId="0" xfId="0" applyFont="1" applyAlignment="1">
      <alignment vertical="top" wrapText="1"/>
    </xf>
    <xf numFmtId="0" fontId="38" fillId="0" borderId="0" xfId="0" applyFont="1" applyAlignment="1">
      <alignment horizontal="justify" vertical="center" wrapText="1"/>
    </xf>
    <xf numFmtId="0" fontId="37" fillId="0" borderId="0" xfId="0" applyFont="1" applyAlignment="1">
      <alignment horizontal="justify" vertical="top" wrapText="1"/>
    </xf>
    <xf numFmtId="0" fontId="13" fillId="0" borderId="0" xfId="0" applyFont="1" applyAlignment="1">
      <alignment horizontal="left"/>
    </xf>
    <xf numFmtId="0" fontId="15" fillId="8" borderId="3"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5" fillId="0" borderId="0" xfId="0" applyFont="1" applyAlignment="1">
      <alignment horizontal="center" wrapText="1"/>
    </xf>
    <xf numFmtId="0" fontId="16" fillId="0" borderId="0" xfId="0" applyFont="1" applyAlignment="1">
      <alignment horizontal="left"/>
    </xf>
    <xf numFmtId="0" fontId="40" fillId="0" borderId="0" xfId="0" applyFont="1" applyAlignment="1">
      <alignment horizontal="left" vertical="center" wrapText="1" readingOrder="1"/>
    </xf>
    <xf numFmtId="0" fontId="16" fillId="0" borderId="0" xfId="0" applyFont="1" applyAlignment="1">
      <alignment horizontal="justify" vertical="top" wrapText="1" readingOrder="1"/>
    </xf>
    <xf numFmtId="0" fontId="15" fillId="0" borderId="4" xfId="0" applyFont="1" applyBorder="1" applyAlignment="1">
      <alignment horizontal="left" vertical="top"/>
    </xf>
    <xf numFmtId="0" fontId="16" fillId="0" borderId="0" xfId="0" applyFont="1" applyAlignment="1">
      <alignment horizontal="left" wrapText="1"/>
    </xf>
    <xf numFmtId="0" fontId="16" fillId="0" borderId="1"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cellXfs>
  <cellStyles count="140">
    <cellStyle name="Обычный" xfId="0" builtinId="0"/>
    <cellStyle name="Обычный 10" xfId="72" xr:uid="{00000000-0005-0000-0000-000001000000}"/>
    <cellStyle name="Обычный 11" xfId="73" xr:uid="{00000000-0005-0000-0000-000002000000}"/>
    <cellStyle name="Обычный 2" xfId="63" xr:uid="{00000000-0005-0000-0000-000003000000}"/>
    <cellStyle name="Обычный 3" xfId="64" xr:uid="{00000000-0005-0000-0000-000004000000}"/>
    <cellStyle name="Обычный 4" xfId="66" xr:uid="{00000000-0005-0000-0000-000005000000}"/>
    <cellStyle name="Обычный 5" xfId="67" xr:uid="{00000000-0005-0000-0000-000006000000}"/>
    <cellStyle name="Обычный 6" xfId="68" xr:uid="{00000000-0005-0000-0000-000007000000}"/>
    <cellStyle name="Обычный 7" xfId="69" xr:uid="{00000000-0005-0000-0000-000008000000}"/>
    <cellStyle name="Обычный 8" xfId="70" xr:uid="{00000000-0005-0000-0000-000009000000}"/>
    <cellStyle name="Обычный 9" xfId="71" xr:uid="{00000000-0005-0000-0000-00000A000000}"/>
    <cellStyle name="Процентный" xfId="139" builtinId="5"/>
    <cellStyle name="Финансовый" xfId="1" builtinId="3"/>
    <cellStyle name="Финансовый 10" xfId="125" xr:uid="{00000000-0005-0000-0000-00000C000000}"/>
    <cellStyle name="Финансовый 11" xfId="61" xr:uid="{00000000-0005-0000-0000-00000D000000}"/>
    <cellStyle name="Финансовый 12" xfId="49" xr:uid="{00000000-0005-0000-0000-00000E000000}"/>
    <cellStyle name="Финансовый 13" xfId="127" xr:uid="{00000000-0005-0000-0000-00000F000000}"/>
    <cellStyle name="Финансовый 14" xfId="25" xr:uid="{00000000-0005-0000-0000-000010000000}"/>
    <cellStyle name="Финансовый 15" xfId="13" xr:uid="{00000000-0005-0000-0000-000011000000}"/>
    <cellStyle name="Финансовый 2" xfId="2" xr:uid="{00000000-0005-0000-0000-000012000000}"/>
    <cellStyle name="Финансовый 2 10" xfId="62" xr:uid="{00000000-0005-0000-0000-000013000000}"/>
    <cellStyle name="Финансовый 2 11" xfId="50" xr:uid="{00000000-0005-0000-0000-000014000000}"/>
    <cellStyle name="Финансовый 2 12" xfId="128" xr:uid="{00000000-0005-0000-0000-000015000000}"/>
    <cellStyle name="Финансовый 2 13" xfId="26" xr:uid="{00000000-0005-0000-0000-000016000000}"/>
    <cellStyle name="Финансовый 2 14" xfId="14" xr:uid="{00000000-0005-0000-0000-000017000000}"/>
    <cellStyle name="Финансовый 2 2" xfId="4" xr:uid="{00000000-0005-0000-0000-000018000000}"/>
    <cellStyle name="Финансовый 2 2 10" xfId="28" xr:uid="{00000000-0005-0000-0000-000019000000}"/>
    <cellStyle name="Финансовый 2 2 11" xfId="16" xr:uid="{00000000-0005-0000-0000-00001A000000}"/>
    <cellStyle name="Финансовый 2 2 2" xfId="10" xr:uid="{00000000-0005-0000-0000-00001B000000}"/>
    <cellStyle name="Финансовый 2 2 2 2" xfId="46" xr:uid="{00000000-0005-0000-0000-00001C000000}"/>
    <cellStyle name="Финансовый 2 2 2 2 2" xfId="104" xr:uid="{00000000-0005-0000-0000-00001D000000}"/>
    <cellStyle name="Финансовый 2 2 2 3" xfId="116" xr:uid="{00000000-0005-0000-0000-00001E000000}"/>
    <cellStyle name="Финансовый 2 2 2 4" xfId="80" xr:uid="{00000000-0005-0000-0000-00001F000000}"/>
    <cellStyle name="Финансовый 2 2 2 5" xfId="58" xr:uid="{00000000-0005-0000-0000-000020000000}"/>
    <cellStyle name="Финансовый 2 2 2 6" xfId="136" xr:uid="{00000000-0005-0000-0000-000021000000}"/>
    <cellStyle name="Финансовый 2 2 2 7" xfId="34" xr:uid="{00000000-0005-0000-0000-000022000000}"/>
    <cellStyle name="Финансовый 2 2 2 8" xfId="22" xr:uid="{00000000-0005-0000-0000-000023000000}"/>
    <cellStyle name="Финансовый 2 2 3" xfId="40" xr:uid="{00000000-0005-0000-0000-000024000000}"/>
    <cellStyle name="Финансовый 2 2 3 2" xfId="122" xr:uid="{00000000-0005-0000-0000-000025000000}"/>
    <cellStyle name="Финансовый 2 2 3 3" xfId="86" xr:uid="{00000000-0005-0000-0000-000026000000}"/>
    <cellStyle name="Финансовый 2 2 4" xfId="92" xr:uid="{00000000-0005-0000-0000-000027000000}"/>
    <cellStyle name="Финансовый 2 2 5" xfId="98" xr:uid="{00000000-0005-0000-0000-000028000000}"/>
    <cellStyle name="Финансовый 2 2 6" xfId="110" xr:uid="{00000000-0005-0000-0000-000029000000}"/>
    <cellStyle name="Финансовый 2 2 7" xfId="65" xr:uid="{00000000-0005-0000-0000-00002A000000}"/>
    <cellStyle name="Финансовый 2 2 8" xfId="52" xr:uid="{00000000-0005-0000-0000-00002B000000}"/>
    <cellStyle name="Финансовый 2 2 9" xfId="130" xr:uid="{00000000-0005-0000-0000-00002C000000}"/>
    <cellStyle name="Финансовый 2 3" xfId="6" xr:uid="{00000000-0005-0000-0000-00002D000000}"/>
    <cellStyle name="Финансовый 2 3 10" xfId="30" xr:uid="{00000000-0005-0000-0000-00002E000000}"/>
    <cellStyle name="Финансовый 2 3 11" xfId="18" xr:uid="{00000000-0005-0000-0000-00002F000000}"/>
    <cellStyle name="Финансовый 2 3 2" xfId="12" xr:uid="{00000000-0005-0000-0000-000030000000}"/>
    <cellStyle name="Финансовый 2 3 2 2" xfId="48" xr:uid="{00000000-0005-0000-0000-000031000000}"/>
    <cellStyle name="Финансовый 2 3 2 2 2" xfId="106" xr:uid="{00000000-0005-0000-0000-000032000000}"/>
    <cellStyle name="Финансовый 2 3 2 3" xfId="118" xr:uid="{00000000-0005-0000-0000-000033000000}"/>
    <cellStyle name="Финансовый 2 3 2 4" xfId="82" xr:uid="{00000000-0005-0000-0000-000034000000}"/>
    <cellStyle name="Финансовый 2 3 2 5" xfId="60" xr:uid="{00000000-0005-0000-0000-000035000000}"/>
    <cellStyle name="Финансовый 2 3 2 6" xfId="138" xr:uid="{00000000-0005-0000-0000-000036000000}"/>
    <cellStyle name="Финансовый 2 3 2 7" xfId="36" xr:uid="{00000000-0005-0000-0000-000037000000}"/>
    <cellStyle name="Финансовый 2 3 2 8" xfId="24" xr:uid="{00000000-0005-0000-0000-000038000000}"/>
    <cellStyle name="Финансовый 2 3 3" xfId="42" xr:uid="{00000000-0005-0000-0000-000039000000}"/>
    <cellStyle name="Финансовый 2 3 3 2" xfId="124" xr:uid="{00000000-0005-0000-0000-00003A000000}"/>
    <cellStyle name="Финансовый 2 3 3 3" xfId="88" xr:uid="{00000000-0005-0000-0000-00003B000000}"/>
    <cellStyle name="Финансовый 2 3 4" xfId="94" xr:uid="{00000000-0005-0000-0000-00003C000000}"/>
    <cellStyle name="Финансовый 2 3 5" xfId="100" xr:uid="{00000000-0005-0000-0000-00003D000000}"/>
    <cellStyle name="Финансовый 2 3 6" xfId="112" xr:uid="{00000000-0005-0000-0000-00003E000000}"/>
    <cellStyle name="Финансовый 2 3 7" xfId="76" xr:uid="{00000000-0005-0000-0000-00003F000000}"/>
    <cellStyle name="Финансовый 2 3 8" xfId="54" xr:uid="{00000000-0005-0000-0000-000040000000}"/>
    <cellStyle name="Финансовый 2 3 9" xfId="132" xr:uid="{00000000-0005-0000-0000-000041000000}"/>
    <cellStyle name="Финансовый 2 4" xfId="8" xr:uid="{00000000-0005-0000-0000-000042000000}"/>
    <cellStyle name="Финансовый 2 4 2" xfId="44" xr:uid="{00000000-0005-0000-0000-000043000000}"/>
    <cellStyle name="Финансовый 2 4 2 2" xfId="102" xr:uid="{00000000-0005-0000-0000-000044000000}"/>
    <cellStyle name="Финансовый 2 4 3" xfId="114" xr:uid="{00000000-0005-0000-0000-000045000000}"/>
    <cellStyle name="Финансовый 2 4 4" xfId="78" xr:uid="{00000000-0005-0000-0000-000046000000}"/>
    <cellStyle name="Финансовый 2 4 5" xfId="56" xr:uid="{00000000-0005-0000-0000-000047000000}"/>
    <cellStyle name="Финансовый 2 4 6" xfId="134" xr:uid="{00000000-0005-0000-0000-000048000000}"/>
    <cellStyle name="Финансовый 2 4 7" xfId="32" xr:uid="{00000000-0005-0000-0000-000049000000}"/>
    <cellStyle name="Финансовый 2 4 8" xfId="20" xr:uid="{00000000-0005-0000-0000-00004A000000}"/>
    <cellStyle name="Финансовый 2 5" xfId="38" xr:uid="{00000000-0005-0000-0000-00004B000000}"/>
    <cellStyle name="Финансовый 2 5 2" xfId="120" xr:uid="{00000000-0005-0000-0000-00004C000000}"/>
    <cellStyle name="Финансовый 2 5 3" xfId="84" xr:uid="{00000000-0005-0000-0000-00004D000000}"/>
    <cellStyle name="Финансовый 2 6" xfId="90" xr:uid="{00000000-0005-0000-0000-00004E000000}"/>
    <cellStyle name="Финансовый 2 7" xfId="96" xr:uid="{00000000-0005-0000-0000-00004F000000}"/>
    <cellStyle name="Финансовый 2 8" xfId="108" xr:uid="{00000000-0005-0000-0000-000050000000}"/>
    <cellStyle name="Финансовый 2 9" xfId="126" xr:uid="{00000000-0005-0000-0000-000051000000}"/>
    <cellStyle name="Финансовый 3" xfId="3" xr:uid="{00000000-0005-0000-0000-000052000000}"/>
    <cellStyle name="Финансовый 3 10" xfId="27" xr:uid="{00000000-0005-0000-0000-000053000000}"/>
    <cellStyle name="Финансовый 3 11" xfId="15" xr:uid="{00000000-0005-0000-0000-000054000000}"/>
    <cellStyle name="Финансовый 3 2" xfId="9" xr:uid="{00000000-0005-0000-0000-000055000000}"/>
    <cellStyle name="Финансовый 3 2 2" xfId="45" xr:uid="{00000000-0005-0000-0000-000056000000}"/>
    <cellStyle name="Финансовый 3 2 2 2" xfId="103" xr:uid="{00000000-0005-0000-0000-000057000000}"/>
    <cellStyle name="Финансовый 3 2 3" xfId="115" xr:uid="{00000000-0005-0000-0000-000058000000}"/>
    <cellStyle name="Финансовый 3 2 4" xfId="79" xr:uid="{00000000-0005-0000-0000-000059000000}"/>
    <cellStyle name="Финансовый 3 2 5" xfId="57" xr:uid="{00000000-0005-0000-0000-00005A000000}"/>
    <cellStyle name="Финансовый 3 2 6" xfId="135" xr:uid="{00000000-0005-0000-0000-00005B000000}"/>
    <cellStyle name="Финансовый 3 2 7" xfId="33" xr:uid="{00000000-0005-0000-0000-00005C000000}"/>
    <cellStyle name="Финансовый 3 2 8" xfId="21" xr:uid="{00000000-0005-0000-0000-00005D000000}"/>
    <cellStyle name="Финансовый 3 3" xfId="39" xr:uid="{00000000-0005-0000-0000-00005E000000}"/>
    <cellStyle name="Финансовый 3 3 2" xfId="121" xr:uid="{00000000-0005-0000-0000-00005F000000}"/>
    <cellStyle name="Финансовый 3 3 3" xfId="85" xr:uid="{00000000-0005-0000-0000-000060000000}"/>
    <cellStyle name="Финансовый 3 4" xfId="91" xr:uid="{00000000-0005-0000-0000-000061000000}"/>
    <cellStyle name="Финансовый 3 5" xfId="97" xr:uid="{00000000-0005-0000-0000-000062000000}"/>
    <cellStyle name="Финансовый 3 6" xfId="109" xr:uid="{00000000-0005-0000-0000-000063000000}"/>
    <cellStyle name="Финансовый 3 7" xfId="74" xr:uid="{00000000-0005-0000-0000-000064000000}"/>
    <cellStyle name="Финансовый 3 8" xfId="51" xr:uid="{00000000-0005-0000-0000-000065000000}"/>
    <cellStyle name="Финансовый 3 9" xfId="129" xr:uid="{00000000-0005-0000-0000-000066000000}"/>
    <cellStyle name="Финансовый 4" xfId="5" xr:uid="{00000000-0005-0000-0000-000067000000}"/>
    <cellStyle name="Финансовый 4 10" xfId="29" xr:uid="{00000000-0005-0000-0000-000068000000}"/>
    <cellStyle name="Финансовый 4 11" xfId="17" xr:uid="{00000000-0005-0000-0000-000069000000}"/>
    <cellStyle name="Финансовый 4 2" xfId="11" xr:uid="{00000000-0005-0000-0000-00006A000000}"/>
    <cellStyle name="Финансовый 4 2 2" xfId="47" xr:uid="{00000000-0005-0000-0000-00006B000000}"/>
    <cellStyle name="Финансовый 4 2 2 2" xfId="105" xr:uid="{00000000-0005-0000-0000-00006C000000}"/>
    <cellStyle name="Финансовый 4 2 3" xfId="117" xr:uid="{00000000-0005-0000-0000-00006D000000}"/>
    <cellStyle name="Финансовый 4 2 4" xfId="81" xr:uid="{00000000-0005-0000-0000-00006E000000}"/>
    <cellStyle name="Финансовый 4 2 5" xfId="59" xr:uid="{00000000-0005-0000-0000-00006F000000}"/>
    <cellStyle name="Финансовый 4 2 6" xfId="137" xr:uid="{00000000-0005-0000-0000-000070000000}"/>
    <cellStyle name="Финансовый 4 2 7" xfId="35" xr:uid="{00000000-0005-0000-0000-000071000000}"/>
    <cellStyle name="Финансовый 4 2 8" xfId="23" xr:uid="{00000000-0005-0000-0000-000072000000}"/>
    <cellStyle name="Финансовый 4 3" xfId="41" xr:uid="{00000000-0005-0000-0000-000073000000}"/>
    <cellStyle name="Финансовый 4 3 2" xfId="123" xr:uid="{00000000-0005-0000-0000-000074000000}"/>
    <cellStyle name="Финансовый 4 3 3" xfId="87" xr:uid="{00000000-0005-0000-0000-000075000000}"/>
    <cellStyle name="Финансовый 4 4" xfId="93" xr:uid="{00000000-0005-0000-0000-000076000000}"/>
    <cellStyle name="Финансовый 4 5" xfId="99" xr:uid="{00000000-0005-0000-0000-000077000000}"/>
    <cellStyle name="Финансовый 4 6" xfId="111" xr:uid="{00000000-0005-0000-0000-000078000000}"/>
    <cellStyle name="Финансовый 4 7" xfId="75" xr:uid="{00000000-0005-0000-0000-000079000000}"/>
    <cellStyle name="Финансовый 4 8" xfId="53" xr:uid="{00000000-0005-0000-0000-00007A000000}"/>
    <cellStyle name="Финансовый 4 9" xfId="131" xr:uid="{00000000-0005-0000-0000-00007B000000}"/>
    <cellStyle name="Финансовый 5" xfId="7" xr:uid="{00000000-0005-0000-0000-00007C000000}"/>
    <cellStyle name="Финансовый 5 2" xfId="43" xr:uid="{00000000-0005-0000-0000-00007D000000}"/>
    <cellStyle name="Финансовый 5 2 2" xfId="101" xr:uid="{00000000-0005-0000-0000-00007E000000}"/>
    <cellStyle name="Финансовый 5 3" xfId="113" xr:uid="{00000000-0005-0000-0000-00007F000000}"/>
    <cellStyle name="Финансовый 5 4" xfId="77" xr:uid="{00000000-0005-0000-0000-000080000000}"/>
    <cellStyle name="Финансовый 5 5" xfId="55" xr:uid="{00000000-0005-0000-0000-000081000000}"/>
    <cellStyle name="Финансовый 5 6" xfId="133" xr:uid="{00000000-0005-0000-0000-000082000000}"/>
    <cellStyle name="Финансовый 5 7" xfId="31" xr:uid="{00000000-0005-0000-0000-000083000000}"/>
    <cellStyle name="Финансовый 5 8" xfId="19" xr:uid="{00000000-0005-0000-0000-000084000000}"/>
    <cellStyle name="Финансовый 6" xfId="37" xr:uid="{00000000-0005-0000-0000-000085000000}"/>
    <cellStyle name="Финансовый 6 2" xfId="119" xr:uid="{00000000-0005-0000-0000-000086000000}"/>
    <cellStyle name="Финансовый 6 3" xfId="83" xr:uid="{00000000-0005-0000-0000-000087000000}"/>
    <cellStyle name="Финансовый 7" xfId="89" xr:uid="{00000000-0005-0000-0000-000088000000}"/>
    <cellStyle name="Финансовый 8" xfId="95" xr:uid="{00000000-0005-0000-0000-000089000000}"/>
    <cellStyle name="Финансовый 9" xfId="107" xr:uid="{00000000-0005-0000-0000-00008A00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zoomScaleNormal="100" zoomScaleSheetLayoutView="100" workbookViewId="0">
      <selection activeCell="A36" sqref="A36:E36"/>
    </sheetView>
  </sheetViews>
  <sheetFormatPr defaultRowHeight="15" x14ac:dyDescent="0.25"/>
  <cols>
    <col min="1" max="1" width="22.85546875" style="70" customWidth="1"/>
    <col min="2" max="2" width="24.28515625" style="70" customWidth="1"/>
    <col min="3" max="3" width="21.28515625" style="70" customWidth="1"/>
    <col min="4" max="4" width="18" style="70" customWidth="1"/>
    <col min="5" max="5" width="25.140625" style="70"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x14ac:dyDescent="0.25">
      <c r="A1" s="233" t="str">
        <f>""&amp;'Общие данные'!B147&amp;"
mikromoliya tashkiloti
Kredit qo‘mitasining yig‘ilishi"</f>
        <v>«CLEVER MIKROMOLIYA TASHKILOTI» MChJ
mikromoliya tashkiloti
Kredit qo‘mitasining yig‘ilishi</v>
      </c>
      <c r="B1" s="233"/>
      <c r="C1" s="233"/>
      <c r="D1" s="233"/>
      <c r="E1" s="233"/>
    </row>
    <row r="2" spans="1:33" ht="29.25" customHeight="1" x14ac:dyDescent="0.25">
      <c r="A2" s="233" t="str">
        <f>""&amp;H7&amp;" protokolidan ko'chirma"</f>
        <v>№202 protokolidan ko'chirma</v>
      </c>
      <c r="B2" s="233"/>
      <c r="C2" s="233"/>
      <c r="D2" s="233"/>
      <c r="E2" s="233"/>
    </row>
    <row r="3" spans="1:33" ht="29.25" customHeight="1" x14ac:dyDescent="0.25">
      <c r="A3" s="150" t="s">
        <v>203</v>
      </c>
      <c r="B3" s="57"/>
      <c r="C3" s="57"/>
      <c r="D3" s="57"/>
      <c r="E3" s="151" t="str">
        <f>'Общие данные'!B68</f>
        <v>27 yanvar 2025 y.</v>
      </c>
    </row>
    <row r="4" spans="1:33" ht="29.25" customHeight="1" x14ac:dyDescent="0.25">
      <c r="A4" s="57"/>
      <c r="B4" s="233" t="s">
        <v>202</v>
      </c>
      <c r="C4" s="233"/>
      <c r="D4" s="233"/>
      <c r="E4" s="57"/>
    </row>
    <row r="5" spans="1:33" ht="36" customHeight="1" x14ac:dyDescent="0.25">
      <c r="A5" s="232" t="str">
        <f>"         "&amp;H8&amp;"."&amp;'Общие данные'!B5&amp;" ga "&amp;'Общие данные'!B65&amp;" berish masalasini ko‘rib chiqish to‘g‘risida."</f>
        <v xml:space="preserve">         1.CHUCHARINA MARGARITA SERGEYEVNA ga mikroqarz berish masalasini ko‘rib chiqish to‘g‘risida.</v>
      </c>
      <c r="B5" s="232"/>
      <c r="C5" s="232"/>
      <c r="D5" s="232"/>
      <c r="E5" s="232"/>
    </row>
    <row r="7" spans="1:33" ht="21" customHeight="1" x14ac:dyDescent="0.35">
      <c r="A7" s="231"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CHUCHARINA MARGARITA SERGEYEVNAga 100 000 000,00 (yuz million so'm) so‘m miqdorida, muddati 6 (olti) oyga va yillik 60 (Oltmish) foiz miqdorida mikroqarz berich bo‘yicha CHUCHARINA MARGARITA SERGEYEVNAning kredit arizasi va «CLEVER MIKROMOLIYA TASHKILOTI» MChJning xulosasi bilan ishtirokchilarni tanishtirdi.</v>
      </c>
      <c r="B7" s="231"/>
      <c r="C7" s="231"/>
      <c r="D7" s="231"/>
      <c r="E7" s="231"/>
      <c r="G7" s="71" t="s">
        <v>258</v>
      </c>
      <c r="H7" s="72" t="str">
        <f>'Общие данные'!B1</f>
        <v>№202</v>
      </c>
    </row>
    <row r="8" spans="1:33" ht="23.25" x14ac:dyDescent="0.35">
      <c r="A8" s="231"/>
      <c r="B8" s="231"/>
      <c r="C8" s="231"/>
      <c r="D8" s="231"/>
      <c r="E8" s="231"/>
      <c r="G8" s="71" t="s">
        <v>259</v>
      </c>
      <c r="H8" s="72">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6.25" customHeight="1" x14ac:dyDescent="0.35">
      <c r="A9" s="231"/>
      <c r="B9" s="231"/>
      <c r="C9" s="231"/>
      <c r="D9" s="231"/>
      <c r="E9" s="231"/>
      <c r="G9" s="71" t="s">
        <v>260</v>
      </c>
      <c r="H9" s="72" t="str">
        <f>IF(H8=I8,I9,IF(H8=J8,J9,IF(H8=K8,K9,IF(H8=L8,L9,IF(H8=M8,M9,IF(H8=N8,N9,IF(H8=O8,O9,IF(H8=P8,P9,IF(H8=Q8,Q9,IF(H8=R8,R9,IF(H8=S8,S9,IF(H8=T8,T9,IF(H8=U8,U9,IF(H8=V8,V9,IF(H8=W8,W9,IF(H8=X8,X9,IF(H8=Y8,Y9,IF(H8=Z8,Z9,IF(H8=AA8,AA9,IF(H8=AB8,AB9,IF(H8=AC8,AC9,IF(H8=AD8,AD9,IF(H8=AE8,AE9,IF(H8=AF8,AF9,IF(H8=AG8,AG9)))))))))))))))))))))))))</f>
        <v>Birinchi</v>
      </c>
      <c r="I9" s="175" t="s">
        <v>190</v>
      </c>
      <c r="J9" s="176" t="s">
        <v>191</v>
      </c>
      <c r="K9" s="176" t="s">
        <v>192</v>
      </c>
      <c r="L9" s="176" t="s">
        <v>371</v>
      </c>
      <c r="M9" s="176" t="s">
        <v>193</v>
      </c>
      <c r="N9" s="176" t="s">
        <v>372</v>
      </c>
      <c r="O9" s="176" t="s">
        <v>194</v>
      </c>
      <c r="P9" s="176" t="s">
        <v>195</v>
      </c>
      <c r="Q9" s="176" t="s">
        <v>196</v>
      </c>
      <c r="R9" s="176" t="s">
        <v>361</v>
      </c>
      <c r="S9" s="176" t="s">
        <v>362</v>
      </c>
      <c r="T9" s="176" t="s">
        <v>363</v>
      </c>
      <c r="U9" s="176" t="s">
        <v>364</v>
      </c>
      <c r="V9" s="176" t="s">
        <v>373</v>
      </c>
      <c r="W9" s="176" t="s">
        <v>365</v>
      </c>
      <c r="X9" s="176" t="s">
        <v>366</v>
      </c>
      <c r="Y9" s="176" t="s">
        <v>367</v>
      </c>
      <c r="Z9" s="176" t="s">
        <v>368</v>
      </c>
      <c r="AA9" s="176" t="s">
        <v>369</v>
      </c>
      <c r="AB9" s="176" t="s">
        <v>197</v>
      </c>
      <c r="AC9" s="176" t="s">
        <v>198</v>
      </c>
      <c r="AD9" s="176" t="s">
        <v>199</v>
      </c>
      <c r="AE9" s="176" t="s">
        <v>200</v>
      </c>
      <c r="AF9" s="176" t="s">
        <v>370</v>
      </c>
      <c r="AG9" s="176" t="s">
        <v>201</v>
      </c>
    </row>
    <row r="10" spans="1:33" ht="10.5" hidden="1" customHeight="1" x14ac:dyDescent="0.25">
      <c r="A10" s="231"/>
      <c r="B10" s="231"/>
      <c r="C10" s="231"/>
      <c r="D10" s="231"/>
      <c r="E10" s="231"/>
    </row>
    <row r="11" spans="1:33" ht="9" hidden="1" customHeight="1" x14ac:dyDescent="0.25">
      <c r="A11" s="231"/>
      <c r="B11" s="231"/>
      <c r="C11" s="231"/>
      <c r="D11" s="231"/>
      <c r="E11" s="231"/>
    </row>
    <row r="12" spans="1:33" ht="3" customHeight="1" x14ac:dyDescent="0.25">
      <c r="A12" s="231"/>
      <c r="B12" s="231"/>
      <c r="C12" s="231"/>
      <c r="D12" s="231"/>
      <c r="E12" s="231"/>
    </row>
    <row r="13" spans="1:33" ht="7.5" customHeight="1" x14ac:dyDescent="0.25"/>
    <row r="14" spans="1:33" ht="19.5" customHeight="1" x14ac:dyDescent="0.25">
      <c r="A14" s="234" t="str">
        <f>""&amp;'Общие данные'!C64&amp;" ta’minoti:"</f>
        <v>Mikroqarz ta’minoti:</v>
      </c>
      <c r="B14" s="234"/>
      <c r="C14" s="234"/>
      <c r="D14" s="234"/>
      <c r="E14" s="234"/>
    </row>
    <row r="15" spans="1:33" ht="14.25" customHeight="1" x14ac:dyDescent="0.25"/>
    <row r="16" spans="1:33" ht="72" customHeight="1" x14ac:dyDescent="0.25">
      <c r="A16" s="231" t="str">
        <f>'Заключение КК'!A18:E18</f>
        <v xml:space="preserve">  Egalik huquqi CHUCHARINA MARGARITA SERGEYEVNAga tegishli bo'lgan garovga olingan avtomobil markasi   CHEVROLET TRACKER 2, rangi -  QORA CHYORNIY , ishlab chiqarilgan yili - 2023, davlat raqam belgisi 01Y604CC, kuzov turi - YENGIL KROSSOVER, kuzov raqami XWBUA7659PA551726, dvigatel raqami L4HA1222413MYWX0269, shassi raqami -  - </v>
      </c>
      <c r="B16" s="231"/>
      <c r="C16" s="231"/>
      <c r="D16" s="231"/>
      <c r="E16" s="231"/>
    </row>
    <row r="17" spans="1:5" ht="17.25" customHeight="1" x14ac:dyDescent="0.25">
      <c r="C17" s="177" t="s">
        <v>380</v>
      </c>
      <c r="D17" s="177" t="str">
        <f>""&amp;'Общие данные'!B147&amp;" kredit qo‘mitasi"</f>
        <v>«CLEVER MIKROMOLIYA TASHKILOTI» MChJ kredit qo‘mitasi</v>
      </c>
      <c r="E17" s="177"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x14ac:dyDescent="0.25">
      <c r="A18" s="231"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1"/>
      <c r="C18" s="231"/>
      <c r="D18" s="231"/>
      <c r="E18" s="231"/>
    </row>
    <row r="19" spans="1:5" ht="24" customHeight="1" x14ac:dyDescent="0.25">
      <c r="A19" s="235" t="s">
        <v>261</v>
      </c>
      <c r="B19" s="235"/>
      <c r="C19" s="235"/>
      <c r="D19" s="235"/>
      <c r="E19" s="235"/>
    </row>
    <row r="20" spans="1:5" ht="32.25" customHeight="1" x14ac:dyDescent="0.25">
      <c r="A20" s="231" t="str">
        <f>"       "&amp;'Общие данные'!B5&amp;"ga quyidagi shartlarda "&amp;'Общие данные'!B65&amp;" berish masalasi ma’qullansin:"</f>
        <v xml:space="preserve">       CHUCHARINA MARGARITA SERGEYEVNAga quyidagi shartlarda mikroqarz berish masalasi ma’qullansin:</v>
      </c>
      <c r="B20" s="231"/>
      <c r="C20" s="231"/>
      <c r="D20" s="231"/>
      <c r="E20" s="231"/>
    </row>
    <row r="21" spans="1:5" s="152" customFormat="1" ht="18.75" customHeight="1" x14ac:dyDescent="0.25">
      <c r="A21" s="232" t="str">
        <f>"1. "&amp;'Общие данные'!C64&amp;" summasi: "&amp;FIXED('Общие данные'!B75)&amp;" ("&amp;'Общие данные'!B76&amp;") so'm."</f>
        <v>1. Mikroqarz summasi: 100 000 000,00 (yuz million so'm) so'm.</v>
      </c>
      <c r="B21" s="232"/>
      <c r="C21" s="232"/>
      <c r="D21" s="232"/>
      <c r="E21" s="232"/>
    </row>
    <row r="22" spans="1:5" s="152" customFormat="1" ht="18.75" customHeight="1" x14ac:dyDescent="0.25">
      <c r="A22" s="232" t="str">
        <f>"2. "&amp;'Общие данные'!C64&amp;" muddati: "&amp;'Общие данные'!B81&amp;" ("&amp;'Общие данные'!B82&amp;") oy "</f>
        <v xml:space="preserve">2. Mikroqarz muddati: 6 (olti) oy </v>
      </c>
      <c r="B22" s="232"/>
      <c r="C22" s="232"/>
      <c r="D22" s="232"/>
      <c r="E22" s="232"/>
    </row>
    <row r="23" spans="1:5" s="152" customFormat="1" ht="18.75" customHeight="1" x14ac:dyDescent="0.25">
      <c r="A23" s="232" t="str">
        <f>"3. "&amp;'Общие данные'!C64&amp;"dan foydalanganlik uchun foiz stavkasi:yillik "&amp;'Общие данные'!B85&amp;"% ("&amp;'Общие данные'!B86&amp;") foiz."</f>
        <v>3. Mikroqarzdan foydalanganlik uchun foiz stavkasi:yillik 60% (Oltmish) foiz.</v>
      </c>
      <c r="B23" s="232"/>
      <c r="C23" s="232"/>
      <c r="D23" s="232"/>
      <c r="E23" s="232"/>
    </row>
    <row r="24" spans="1:5" s="152" customFormat="1" ht="18.75" customHeight="1" x14ac:dyDescent="0.25">
      <c r="A24" s="232" t="str">
        <f>"4. "&amp;'Общие данные'!C64&amp;" bo‘yicha asosiy qarz va foizlarni to‘lash:"</f>
        <v>4. Mikroqarz bo‘yicha asosiy qarz va foizlarni to‘lash:</v>
      </c>
      <c r="B24" s="232"/>
      <c r="C24" s="232"/>
      <c r="D24" s="232"/>
      <c r="E24" s="232"/>
    </row>
    <row r="25" spans="1:5" s="152" customFormat="1" ht="18.75" customHeight="1" x14ac:dyDescent="0.25">
      <c r="A25" s="232" t="str">
        <f>'Кредитная заявка'!A19:D19</f>
        <v xml:space="preserve"> - mikroqarz shartnomasi bo'yicha har oy annuitet to'lovlari amalga oshiriladi</v>
      </c>
      <c r="B25" s="232"/>
      <c r="C25" s="232"/>
      <c r="D25" s="232"/>
      <c r="E25" s="232"/>
    </row>
    <row r="26" spans="1:5" ht="48" customHeight="1" x14ac:dyDescent="0.25">
      <c r="A26" s="231" t="str">
        <f>"5. "&amp;'Общие данные'!C64&amp;" bo‘yicha garov  "&amp;'Заключение КК'!A29:E29&amp;""</f>
        <v>5. Mikroqarz bo‘yicha garov   - CHUCHARINA MARGARITA SERGEYEVNA ga mulk huquqi asosida tegishli avtotransport vositasi CHEVROLET TRACKER 2 , quyidagi tafsilotlarga muvofiq:</v>
      </c>
      <c r="B26" s="231"/>
      <c r="C26" s="231"/>
      <c r="D26" s="231"/>
      <c r="E26" s="231"/>
    </row>
    <row r="27" spans="1:5" ht="40.5" customHeight="1" x14ac:dyDescent="0.25">
      <c r="A27" s="21" t="str">
        <f>'Акт согласования'!A29</f>
        <v>Nomi</v>
      </c>
      <c r="B27" s="21" t="str">
        <f>'Акт согласования'!B29</f>
        <v>Kuzov turi  va kuzov raqami*</v>
      </c>
      <c r="C27" s="21" t="str">
        <f>'Акт согласования'!C29</f>
        <v>Dvigatel va shassi raqami*</v>
      </c>
      <c r="D27" s="21" t="str">
        <f>'Акт согласования'!D29</f>
        <v>Ishlab chiqarilgan yili va rangi*</v>
      </c>
      <c r="E27" s="21" t="str">
        <f>'Акт согласования'!E29</f>
        <v>Kelishilgan garov qiymati, so'm</v>
      </c>
    </row>
    <row r="28" spans="1:5" ht="84" customHeight="1" x14ac:dyDescent="0.25">
      <c r="A28" s="21" t="str">
        <f>'Акт согласования'!A30</f>
        <v>CHEVROLET TRACKER 2</v>
      </c>
      <c r="B28" s="21" t="str">
        <f>'Акт согласования'!B30</f>
        <v>kuzov turi - YENGIL KROSSOVER, kuzov raqami XWBUA7659PA551726</v>
      </c>
      <c r="C28" s="21" t="str">
        <f>'Акт согласования'!C30</f>
        <v xml:space="preserve">dvigatel raqami L4HA1222413MYWX0269, shassi raqami -  - </v>
      </c>
      <c r="D28" s="21" t="str">
        <f>'Акт согласования'!D30</f>
        <v>rangi -  QORA CHYORNIY , ishlab chiqarilgan yili - 2023</v>
      </c>
      <c r="E28" s="21" t="str">
        <f>'Акт согласования'!E30</f>
        <v>150 000 000,00 
(yuz ellik million so'm)</v>
      </c>
    </row>
    <row r="29" spans="1:5" ht="20.25" customHeight="1" x14ac:dyDescent="0.25">
      <c r="A29" s="231" t="str">
        <f>'Акт согласования'!A22:E22</f>
        <v>-* avtotransport egasi: CHUCHARINA MARGARITA SERGEYEVNA</v>
      </c>
      <c r="B29" s="231"/>
      <c r="C29" s="231"/>
      <c r="D29" s="231"/>
      <c r="E29" s="231"/>
    </row>
    <row r="30" spans="1:5" ht="20.25" customHeight="1" x14ac:dyDescent="0.25">
      <c r="A30" s="231" t="str">
        <f>'Акт согласования'!A23:E23</f>
        <v>-* texnik pasport: AAG  1888277   10.07.2023 Y</v>
      </c>
      <c r="B30" s="231"/>
      <c r="C30" s="231"/>
      <c r="D30" s="231"/>
      <c r="E30" s="231"/>
    </row>
    <row r="31" spans="1:5" ht="38.25" customHeight="1" x14ac:dyDescent="0.25">
      <c r="A31" s="231" t="str">
        <f>'Акт согласования'!A24:E24</f>
        <v>-* roʻyxatdan oʻtgan manzili/garaj manzili: TOSHKЕNT SHAHRI YAKKASAROY TUMANI Rakat daxasi, Uy 12, Kvartira 47</v>
      </c>
      <c r="B31" s="231"/>
      <c r="C31" s="231"/>
      <c r="D31" s="231"/>
      <c r="E31" s="231"/>
    </row>
    <row r="32" spans="1:5" ht="24" customHeight="1" x14ac:dyDescent="0.25">
      <c r="A32" s="231" t="str">
        <f>'Акт согласования'!A25:E25</f>
        <v>-* davlat raqami: 01Y604CC</v>
      </c>
      <c r="B32" s="231"/>
      <c r="C32" s="231"/>
      <c r="D32" s="231"/>
      <c r="E32" s="231"/>
    </row>
    <row r="33" spans="1:5" ht="2.25" customHeight="1" x14ac:dyDescent="0.25">
      <c r="A33" s="153"/>
      <c r="B33" s="153"/>
      <c r="C33" s="153"/>
      <c r="D33" s="153"/>
      <c r="E33" s="153"/>
    </row>
    <row r="34" spans="1:5" ht="27" customHeight="1" x14ac:dyDescent="0.25">
      <c r="A34" s="231"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1"/>
      <c r="C34" s="231"/>
      <c r="D34" s="231"/>
      <c r="E34" s="231"/>
    </row>
    <row r="36" spans="1:5" ht="29.25" customHeight="1" x14ac:dyDescent="0.25">
      <c r="A36" s="228" t="s">
        <v>262</v>
      </c>
      <c r="B36" s="228"/>
      <c r="C36" s="228"/>
      <c r="D36" s="228"/>
      <c r="E36" s="228"/>
    </row>
    <row r="37" spans="1:5" ht="29.25" customHeight="1" x14ac:dyDescent="0.25">
      <c r="A37" s="229" t="str">
        <f>"1. "&amp;'Общие данные'!B151&amp;""</f>
        <v>1. Abduraximov Nаdirbek Kamilevich</v>
      </c>
      <c r="B37" s="229"/>
      <c r="C37" s="189"/>
      <c r="D37" s="190"/>
      <c r="E37" s="190"/>
    </row>
    <row r="38" spans="1:5" ht="29.25" customHeight="1" x14ac:dyDescent="0.25">
      <c r="A38" s="230" t="str">
        <f>"2. "&amp;'Общие данные'!B159&amp;""</f>
        <v>2. Mominov B.X.</v>
      </c>
      <c r="B38" s="230"/>
      <c r="C38" s="189"/>
      <c r="D38" s="191"/>
      <c r="E38" s="191"/>
    </row>
    <row r="39" spans="1:5" ht="29.25" customHeight="1" x14ac:dyDescent="0.25">
      <c r="A39" s="229" t="str">
        <f>"3. "&amp;'Общие данные'!B160&amp;""</f>
        <v>3. Jumanazarov B.T.</v>
      </c>
      <c r="B39" s="229"/>
      <c r="C39" s="149"/>
      <c r="D39" s="192"/>
      <c r="E39" s="192"/>
    </row>
  </sheetData>
  <mergeCells count="25">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6:E36"/>
    <mergeCell ref="A37:B37"/>
    <mergeCell ref="A38:B38"/>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1"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topLeftCell="A7" zoomScale="70" zoomScaleNormal="70" zoomScaleSheetLayoutView="70" workbookViewId="0">
      <selection activeCell="A44" sqref="A44"/>
    </sheetView>
  </sheetViews>
  <sheetFormatPr defaultColWidth="9.140625" defaultRowHeight="15" outlineLevelCol="1" x14ac:dyDescent="0.25"/>
  <cols>
    <col min="1" max="1" width="9.140625" style="104"/>
    <col min="2" max="2" width="12.28515625" style="104" customWidth="1"/>
    <col min="3" max="3" width="16.5703125" style="104" customWidth="1"/>
    <col min="4" max="4" width="16.7109375" style="104" customWidth="1"/>
    <col min="5" max="5" width="16.5703125" style="104" customWidth="1"/>
    <col min="6" max="6" width="20.85546875" style="104" customWidth="1"/>
    <col min="7" max="7" width="10.140625" style="104" customWidth="1" outlineLevel="1"/>
    <col min="8" max="8" width="19.140625" style="104" customWidth="1"/>
    <col min="9" max="9" width="21.42578125" style="104" customWidth="1"/>
    <col min="10" max="10" width="20.85546875" style="104" customWidth="1"/>
    <col min="11" max="11" width="20.140625" style="104" customWidth="1"/>
    <col min="12" max="12" width="21.42578125" style="104" customWidth="1"/>
    <col min="13" max="13" width="25.42578125" style="104" customWidth="1"/>
    <col min="14" max="14" width="18.28515625" style="104" customWidth="1"/>
    <col min="15" max="17" width="9.140625" style="19"/>
    <col min="18" max="18" width="24.42578125" style="19" customWidth="1"/>
    <col min="19" max="16384" width="9.140625" style="19"/>
  </cols>
  <sheetData>
    <row r="1" spans="1:22" x14ac:dyDescent="0.25">
      <c r="A1" s="103"/>
      <c r="B1" s="103"/>
      <c r="C1" s="103"/>
      <c r="D1" s="103"/>
      <c r="E1" s="245" t="s">
        <v>15</v>
      </c>
      <c r="F1" s="245"/>
    </row>
    <row r="2" spans="1:22" x14ac:dyDescent="0.25">
      <c r="A2" s="103"/>
      <c r="B2" s="103"/>
      <c r="C2" s="103"/>
      <c r="D2" s="103"/>
      <c r="E2" s="103"/>
      <c r="F2" s="105" t="str">
        <f>"к договору микрозайма "&amp;'Общие данные'!B74&amp;""</f>
        <v>к договору микрозайма 27 yanvar 2025 y.dan №202</v>
      </c>
    </row>
    <row r="3" spans="1:22" ht="19.5" customHeight="1" x14ac:dyDescent="0.25">
      <c r="A3" s="103"/>
      <c r="B3" s="103"/>
      <c r="C3" s="103"/>
      <c r="D3" s="103"/>
      <c r="E3" s="103"/>
      <c r="F3" s="103"/>
      <c r="H3" s="106"/>
      <c r="I3" s="106"/>
      <c r="J3" s="107"/>
      <c r="K3" s="107"/>
    </row>
    <row r="4" spans="1:22" ht="19.5" customHeight="1" x14ac:dyDescent="0.25">
      <c r="A4" s="246" t="s">
        <v>16</v>
      </c>
      <c r="B4" s="246"/>
      <c r="C4" s="246"/>
      <c r="D4" s="246"/>
      <c r="E4" s="246"/>
      <c r="F4" s="246"/>
      <c r="H4" s="106"/>
      <c r="I4" s="106"/>
      <c r="J4" s="106"/>
      <c r="K4" s="106"/>
    </row>
    <row r="5" spans="1:22" ht="19.5" customHeight="1" x14ac:dyDescent="0.25">
      <c r="L5" s="104">
        <f>'Общие данные'!B81</f>
        <v>6</v>
      </c>
    </row>
    <row r="6" spans="1:22" x14ac:dyDescent="0.25">
      <c r="A6" s="247" t="s">
        <v>14</v>
      </c>
      <c r="B6" s="248" t="s">
        <v>8</v>
      </c>
      <c r="C6" s="248" t="s">
        <v>9</v>
      </c>
      <c r="D6" s="249" t="s">
        <v>10</v>
      </c>
      <c r="E6" s="249"/>
      <c r="F6" s="249"/>
    </row>
    <row r="7" spans="1:22" s="20" customFormat="1" x14ac:dyDescent="0.25">
      <c r="A7" s="247"/>
      <c r="B7" s="248"/>
      <c r="C7" s="248"/>
      <c r="D7" s="108" t="s">
        <v>11</v>
      </c>
      <c r="E7" s="108" t="s">
        <v>12</v>
      </c>
      <c r="F7" s="108" t="s">
        <v>13</v>
      </c>
      <c r="G7" s="109"/>
      <c r="H7" s="109"/>
      <c r="I7" s="109"/>
      <c r="J7" s="109"/>
      <c r="K7" s="109"/>
      <c r="L7" s="109"/>
      <c r="M7" s="109"/>
      <c r="N7" s="109"/>
    </row>
    <row r="8" spans="1:22" x14ac:dyDescent="0.25">
      <c r="A8" s="110">
        <v>1</v>
      </c>
      <c r="B8" s="111">
        <f>'Общие данные'!B79</f>
        <v>45705</v>
      </c>
      <c r="C8" s="58">
        <f>'Общие данные'!B75</f>
        <v>100000000</v>
      </c>
      <c r="D8" s="58">
        <f>IF(IF(C8=0,L8,IF(C8&gt;1,I8))="",0,(IF(C8=0,L8,IF(C8&gt;1,I8))))</f>
        <v>16666666.67</v>
      </c>
      <c r="E8" s="58">
        <f>IF(C8=0,N6,IF(C8&gt;1,L8))</f>
        <v>3452054.76</v>
      </c>
      <c r="F8" s="58">
        <f>IF(C8=0,O6,IF(C8&gt;1,M8))</f>
        <v>20118721.43</v>
      </c>
      <c r="G8" s="124">
        <f>B8-'Общие данные'!B67</f>
        <v>21</v>
      </c>
      <c r="H8" s="104">
        <f>DATE(YEAR(B8),12,31)-DATE(YEAR(B8),1,1)+1</f>
        <v>365</v>
      </c>
      <c r="I8" s="112">
        <f>IF('Общие данные'!B83=0,ROUND(C8/L5,2),"")</f>
        <v>16666666.67</v>
      </c>
      <c r="J8" s="112"/>
      <c r="K8" s="112"/>
      <c r="L8" s="106">
        <f>ROUND(C8*'Общие данные'!$B$84/H8,2)*G8</f>
        <v>3452054.76</v>
      </c>
      <c r="M8" s="106">
        <f t="shared" ref="M8:M31" si="0">D8+E8</f>
        <v>20118721.43</v>
      </c>
      <c r="N8" s="106"/>
      <c r="O8" s="121" t="str">
        <f>TEXT(B8,"ддд")</f>
        <v>Пн</v>
      </c>
      <c r="P8" s="123">
        <f>IF(O8=$U$8,2,IF(O8=$V$8,1,0))</f>
        <v>0</v>
      </c>
      <c r="Q8" s="123">
        <f>DAY('Общие данные'!$B$78)+P8</f>
        <v>15</v>
      </c>
      <c r="R8" s="118"/>
      <c r="S8" s="119" t="s">
        <v>31</v>
      </c>
      <c r="T8" s="119" t="s">
        <v>32</v>
      </c>
      <c r="U8" s="119" t="s">
        <v>33</v>
      </c>
      <c r="V8" s="120" t="s">
        <v>34</v>
      </c>
    </row>
    <row r="9" spans="1:22" x14ac:dyDescent="0.25">
      <c r="A9" s="110">
        <v>2</v>
      </c>
      <c r="B9" s="111">
        <f>IF(A9&lt;='Общие данные'!$B$81,DATE(YEAR(R9),MONTH(R9),DAY(IF(A9='Общие данные'!$B$81,'Общие данные'!$B$67,IF(A9&lt;'Общие данные'!$B$81,(Q9),IF(A9&gt;'Общие данные'!$B$81,$H$44,0))))))</f>
        <v>45733</v>
      </c>
      <c r="C9" s="58">
        <f t="shared" ref="C9:C30" si="1">C8-D8</f>
        <v>83333333.329999998</v>
      </c>
      <c r="D9" s="58">
        <f t="shared" ref="D9:D30" si="2">IF(C9=0,L9,IF(C9&gt;1,I9))</f>
        <v>16666666.67</v>
      </c>
      <c r="E9" s="58">
        <f t="shared" ref="E9:E30" si="3">IF(C9=0,N8,IF(C9&gt;1,L9))</f>
        <v>3835616.3999999994</v>
      </c>
      <c r="F9" s="58">
        <f t="shared" ref="F9:F30" si="4">IF(C9=0,N8,IF(C9&gt;1,M9))</f>
        <v>20502283.07</v>
      </c>
      <c r="G9" s="104">
        <f>B9-B8</f>
        <v>28</v>
      </c>
      <c r="H9" s="104">
        <f t="shared" ref="H9:H31" si="5">DATE(YEAR(B9),12,31)-DATE(YEAR(B9),1,1)+1</f>
        <v>365</v>
      </c>
      <c r="I9" s="112">
        <f>IF(I8="",ROUND(C8/(L5-1),2),I8)</f>
        <v>16666666.67</v>
      </c>
      <c r="J9" s="112"/>
      <c r="K9" s="112"/>
      <c r="L9" s="106">
        <f>ROUND(C9*'Общие данные'!$B$84/H9,2)*G9</f>
        <v>3835616.3999999994</v>
      </c>
      <c r="M9" s="106">
        <f t="shared" si="0"/>
        <v>20502283.07</v>
      </c>
      <c r="N9" s="106"/>
      <c r="O9" s="121" t="str">
        <f>TEXT(R9,"ддд")</f>
        <v>Сб</v>
      </c>
      <c r="P9" s="123">
        <f t="shared" ref="P9:P31" si="6">IF(O9=$U$8,2,IF(O9=$V$8,1,0))</f>
        <v>2</v>
      </c>
      <c r="Q9" s="123">
        <f>DAY('Общие данные'!$B$78)+P9</f>
        <v>17</v>
      </c>
      <c r="R9" s="118">
        <f>IF(A9&lt;='Общие данные'!$B$81,DATE(YEAR($B$8),MONTH($B$8)+A8,DAY('Общие данные'!$B$78)),0)</f>
        <v>45731</v>
      </c>
      <c r="S9" s="104"/>
      <c r="T9" s="104"/>
      <c r="U9" s="104"/>
      <c r="V9" s="104"/>
    </row>
    <row r="10" spans="1:22" x14ac:dyDescent="0.25">
      <c r="A10" s="110">
        <v>3</v>
      </c>
      <c r="B10" s="111">
        <f>IF(A10&lt;='Общие данные'!$B$81,DATE(YEAR(R10),MONTH(R10),DAY(IF(A10='Общие данные'!$B$81,'Общие данные'!$B$67,IF(A10&lt;'Общие данные'!$B$81,(Q10),IF(A10&gt;'Общие данные'!$B$81,$H$44,0))))))</f>
        <v>45762</v>
      </c>
      <c r="C10" s="58">
        <f t="shared" si="1"/>
        <v>66666666.659999996</v>
      </c>
      <c r="D10" s="58">
        <f t="shared" si="2"/>
        <v>16666666.67</v>
      </c>
      <c r="E10" s="58">
        <f t="shared" si="3"/>
        <v>3178082.1599999997</v>
      </c>
      <c r="F10" s="58">
        <f t="shared" si="4"/>
        <v>19844748.829999998</v>
      </c>
      <c r="G10" s="104">
        <f t="shared" ref="G10:G31" si="7">B10-B9</f>
        <v>29</v>
      </c>
      <c r="H10" s="104">
        <f t="shared" si="5"/>
        <v>365</v>
      </c>
      <c r="I10" s="112">
        <f t="shared" ref="I10:I30" si="8">IF($L$5=A10,K10,IF($L$5&gt;A10,I9))</f>
        <v>16666666.67</v>
      </c>
      <c r="J10" s="112"/>
      <c r="K10" s="112"/>
      <c r="L10" s="106">
        <f>ROUND(C10*'Общие данные'!$B$84/H10,2)*G10</f>
        <v>3178082.1599999997</v>
      </c>
      <c r="M10" s="106">
        <f t="shared" si="0"/>
        <v>19844748.829999998</v>
      </c>
      <c r="N10" s="106"/>
      <c r="O10" s="121" t="str">
        <f t="shared" ref="O10:O31" si="9">TEXT(R10,"ддд")</f>
        <v>Вт</v>
      </c>
      <c r="P10" s="123">
        <f t="shared" si="6"/>
        <v>0</v>
      </c>
      <c r="Q10" s="123">
        <f>DAY('Общие данные'!$B$78)+P10</f>
        <v>15</v>
      </c>
      <c r="R10" s="118">
        <f>IF(A10&lt;='Общие данные'!$B$81,DATE(YEAR($B$8),MONTH($B$8)+A9,DAY('Общие данные'!$B$78)),0)</f>
        <v>45762</v>
      </c>
      <c r="S10" s="104"/>
      <c r="T10" s="104"/>
      <c r="U10" s="104"/>
      <c r="V10" s="104"/>
    </row>
    <row r="11" spans="1:22" x14ac:dyDescent="0.25">
      <c r="A11" s="110">
        <v>4</v>
      </c>
      <c r="B11" s="111">
        <f>IF(A11&lt;='Общие данные'!$B$81,DATE(YEAR(R11),MONTH(R11),DAY(IF(A11='Общие данные'!$B$81,'Общие данные'!$B$67,IF(A11&lt;'Общие данные'!$B$81,(Q11),IF(A11&gt;'Общие данные'!$B$81,$H$44,0))))))</f>
        <v>45792</v>
      </c>
      <c r="C11" s="58">
        <f t="shared" si="1"/>
        <v>49999999.989999995</v>
      </c>
      <c r="D11" s="58">
        <f t="shared" si="2"/>
        <v>16666666.67</v>
      </c>
      <c r="E11" s="58">
        <f t="shared" si="3"/>
        <v>2465753.4</v>
      </c>
      <c r="F11" s="58">
        <f t="shared" si="4"/>
        <v>19132420.07</v>
      </c>
      <c r="G11" s="104">
        <f t="shared" si="7"/>
        <v>30</v>
      </c>
      <c r="H11" s="104">
        <f t="shared" si="5"/>
        <v>365</v>
      </c>
      <c r="I11" s="112">
        <f t="shared" si="8"/>
        <v>16666666.67</v>
      </c>
      <c r="J11" s="112"/>
      <c r="K11" s="112"/>
      <c r="L11" s="106">
        <f>ROUND(C11*'Общие данные'!$B$84/H11,2)*G11</f>
        <v>2465753.4</v>
      </c>
      <c r="M11" s="106">
        <f t="shared" si="0"/>
        <v>19132420.07</v>
      </c>
      <c r="N11" s="106"/>
      <c r="O11" s="121" t="str">
        <f t="shared" si="9"/>
        <v>Чт</v>
      </c>
      <c r="P11" s="123">
        <f t="shared" si="6"/>
        <v>0</v>
      </c>
      <c r="Q11" s="123">
        <f>DAY('Общие данные'!$B$78)+P11</f>
        <v>15</v>
      </c>
      <c r="R11" s="118">
        <f>IF(A11&lt;='Общие данные'!$B$81,DATE(YEAR($B$8),MONTH($B$8)+A10,DAY('Общие данные'!$B$78)),0)</f>
        <v>45792</v>
      </c>
      <c r="S11" s="104"/>
      <c r="T11" s="104"/>
      <c r="U11" s="104"/>
      <c r="V11" s="104"/>
    </row>
    <row r="12" spans="1:22" x14ac:dyDescent="0.25">
      <c r="A12" s="110">
        <v>5</v>
      </c>
      <c r="B12" s="111">
        <f>IF(A12&lt;='Общие данные'!$B$81,DATE(YEAR(R12),MONTH(R12),DAY(IF(A12='Общие данные'!$B$81,'Общие данные'!$B$67,IF(A12&lt;'Общие данные'!$B$81,(Q12),IF(A12&gt;'Общие данные'!$B$81,$H$44,0))))))</f>
        <v>45824</v>
      </c>
      <c r="C12" s="58">
        <f t="shared" si="1"/>
        <v>33333333.319999993</v>
      </c>
      <c r="D12" s="58">
        <f t="shared" si="2"/>
        <v>16666666.67</v>
      </c>
      <c r="E12" s="58">
        <f t="shared" si="3"/>
        <v>1753424.64</v>
      </c>
      <c r="F12" s="58">
        <f t="shared" si="4"/>
        <v>18420091.309999999</v>
      </c>
      <c r="G12" s="104">
        <f t="shared" si="7"/>
        <v>32</v>
      </c>
      <c r="H12" s="104">
        <f t="shared" si="5"/>
        <v>365</v>
      </c>
      <c r="I12" s="112">
        <f t="shared" si="8"/>
        <v>16666666.67</v>
      </c>
      <c r="J12" s="112">
        <f>'Общие данные'!B75</f>
        <v>100000000</v>
      </c>
      <c r="K12" s="112"/>
      <c r="L12" s="106">
        <f>ROUND(C12*'Общие данные'!$B$84/H12,2)*G12</f>
        <v>1753424.64</v>
      </c>
      <c r="M12" s="106">
        <f t="shared" si="0"/>
        <v>18420091.309999999</v>
      </c>
      <c r="N12" s="106"/>
      <c r="O12" s="121" t="str">
        <f t="shared" si="9"/>
        <v>Вс</v>
      </c>
      <c r="P12" s="123">
        <f t="shared" si="6"/>
        <v>1</v>
      </c>
      <c r="Q12" s="123">
        <f>DAY('Общие данные'!$B$78)+P12</f>
        <v>16</v>
      </c>
      <c r="R12" s="118">
        <f>IF(A12&lt;='Общие данные'!$B$81,DATE(YEAR($B$8),MONTH($B$8)+A11,DAY('Общие данные'!$B$78)),0)</f>
        <v>45823</v>
      </c>
      <c r="S12" s="104"/>
      <c r="T12" s="104"/>
      <c r="U12" s="104"/>
      <c r="V12" s="104"/>
    </row>
    <row r="13" spans="1:22" x14ac:dyDescent="0.25">
      <c r="A13" s="110">
        <v>6</v>
      </c>
      <c r="B13" s="111">
        <f>IF(A13&lt;='Общие данные'!$B$81,DATE(YEAR(R13),MONTH(R13),DAY(IF(A13='Общие данные'!$B$81,'Общие данные'!$B$67,IF(A13&lt;'Общие данные'!$B$81,(Q13),IF(A13&gt;'Общие данные'!$B$81,$H$44,0))))))</f>
        <v>45865</v>
      </c>
      <c r="C13" s="58">
        <f t="shared" si="1"/>
        <v>16666666.649999993</v>
      </c>
      <c r="D13" s="58">
        <f t="shared" si="2"/>
        <v>16666666.650000006</v>
      </c>
      <c r="E13" s="58">
        <f t="shared" si="3"/>
        <v>1123287.6599999999</v>
      </c>
      <c r="F13" s="58">
        <f t="shared" si="4"/>
        <v>17789954.310000006</v>
      </c>
      <c r="G13" s="104">
        <f t="shared" si="7"/>
        <v>41</v>
      </c>
      <c r="H13" s="104">
        <f t="shared" si="5"/>
        <v>365</v>
      </c>
      <c r="I13" s="112">
        <f t="shared" si="8"/>
        <v>16666666.650000006</v>
      </c>
      <c r="J13" s="112">
        <f>SUM($I$8:I12)</f>
        <v>83333333.349999994</v>
      </c>
      <c r="K13" s="112">
        <f>$J$12-J13</f>
        <v>16666666.650000006</v>
      </c>
      <c r="L13" s="106">
        <f>ROUND(C13*'Общие данные'!$B$84/H13,2)*G13</f>
        <v>1123287.6599999999</v>
      </c>
      <c r="M13" s="106">
        <f t="shared" si="0"/>
        <v>17789954.310000006</v>
      </c>
      <c r="N13" s="106"/>
      <c r="O13" s="121" t="str">
        <f t="shared" si="9"/>
        <v>Вт</v>
      </c>
      <c r="P13" s="123">
        <f t="shared" si="6"/>
        <v>0</v>
      </c>
      <c r="Q13" s="123">
        <f>DAY('Общие данные'!$B$78)+P13</f>
        <v>15</v>
      </c>
      <c r="R13" s="118">
        <f>IF(A13&lt;='Общие данные'!$B$81,DATE(YEAR($B$8),MONTH($B$8)+A12,DAY('Общие данные'!$B$78)),0)</f>
        <v>45853</v>
      </c>
      <c r="S13" s="104"/>
      <c r="T13" s="104"/>
      <c r="U13" s="104"/>
      <c r="V13" s="104"/>
    </row>
    <row r="14" spans="1:22" x14ac:dyDescent="0.25">
      <c r="A14" s="110">
        <v>7</v>
      </c>
      <c r="B14" s="111" t="b">
        <f>IF(A14&lt;='Общие данные'!$B$81,DATE(YEAR(R14),MONTH(R14),DAY(IF(A14='Общие данные'!$B$81,'Общие данные'!$B$67,IF(A14&lt;'Общие данные'!$B$81,(Q14),IF(A14&gt;'Общие данные'!$B$81,$H$44,0))))))</f>
        <v>0</v>
      </c>
      <c r="C14" s="58">
        <f t="shared" si="1"/>
        <v>0</v>
      </c>
      <c r="D14" s="58">
        <f t="shared" si="2"/>
        <v>0</v>
      </c>
      <c r="E14" s="58">
        <f t="shared" si="3"/>
        <v>0</v>
      </c>
      <c r="F14" s="58">
        <f t="shared" si="4"/>
        <v>0</v>
      </c>
      <c r="G14" s="104">
        <f t="shared" si="7"/>
        <v>-45865</v>
      </c>
      <c r="H14" s="104">
        <f t="shared" si="5"/>
        <v>366</v>
      </c>
      <c r="I14" s="112" t="b">
        <f t="shared" si="8"/>
        <v>0</v>
      </c>
      <c r="J14" s="112">
        <f>SUM($I$8:I13)</f>
        <v>100000000</v>
      </c>
      <c r="K14" s="112">
        <f t="shared" ref="K14:K31" si="10">$J$12-J14</f>
        <v>0</v>
      </c>
      <c r="L14" s="106">
        <f>ROUND(C14*'Общие данные'!$B$84/H14,2)*G14</f>
        <v>0</v>
      </c>
      <c r="M14" s="106">
        <f t="shared" si="0"/>
        <v>0</v>
      </c>
      <c r="N14" s="106"/>
      <c r="O14" s="121" t="str">
        <f t="shared" si="9"/>
        <v>Сб</v>
      </c>
      <c r="P14" s="123">
        <f t="shared" si="6"/>
        <v>2</v>
      </c>
      <c r="Q14" s="123">
        <f>DAY('Общие данные'!$B$78)+P14</f>
        <v>17</v>
      </c>
      <c r="R14" s="118">
        <f>IF(A14&lt;='Общие данные'!$B$81,DATE(YEAR($B$8),MONTH($B$8)+A13,DAY('Общие данные'!$B$78)),0)</f>
        <v>0</v>
      </c>
      <c r="S14" s="104"/>
      <c r="T14" s="104"/>
      <c r="U14" s="104"/>
      <c r="V14" s="104"/>
    </row>
    <row r="15" spans="1:22" x14ac:dyDescent="0.25">
      <c r="A15" s="110">
        <v>8</v>
      </c>
      <c r="B15" s="111" t="b">
        <f>IF(A15&lt;='Общие данные'!$B$81,DATE(YEAR(R15),MONTH(R15),DAY(IF(A15='Общие данные'!$B$81,'Общие данные'!$B$67,IF(A15&lt;'Общие данные'!$B$81,(Q15),IF(A15&gt;'Общие данные'!$B$81,$H$44,0))))))</f>
        <v>0</v>
      </c>
      <c r="C15" s="58">
        <f t="shared" si="1"/>
        <v>0</v>
      </c>
      <c r="D15" s="58">
        <f t="shared" si="2"/>
        <v>0</v>
      </c>
      <c r="E15" s="58">
        <f t="shared" si="3"/>
        <v>0</v>
      </c>
      <c r="F15" s="58">
        <f t="shared" si="4"/>
        <v>0</v>
      </c>
      <c r="G15" s="104">
        <f t="shared" si="7"/>
        <v>0</v>
      </c>
      <c r="H15" s="104">
        <f t="shared" si="5"/>
        <v>366</v>
      </c>
      <c r="I15" s="112" t="b">
        <f t="shared" si="8"/>
        <v>0</v>
      </c>
      <c r="J15" s="112">
        <f>SUM($I$8:I14)</f>
        <v>100000000</v>
      </c>
      <c r="K15" s="112">
        <f t="shared" si="10"/>
        <v>0</v>
      </c>
      <c r="L15" s="106">
        <f>ROUND(C15*'Общие данные'!$B$84/H15,2)*G15</f>
        <v>0</v>
      </c>
      <c r="M15" s="106">
        <f t="shared" si="0"/>
        <v>0</v>
      </c>
      <c r="N15" s="106"/>
      <c r="O15" s="121" t="str">
        <f t="shared" si="9"/>
        <v>Сб</v>
      </c>
      <c r="P15" s="123">
        <f t="shared" si="6"/>
        <v>2</v>
      </c>
      <c r="Q15" s="123">
        <f>DAY('Общие данные'!$B$78)+P15</f>
        <v>17</v>
      </c>
      <c r="R15" s="118">
        <f>IF(A15&lt;='Общие данные'!$B$81,DATE(YEAR($B$8),MONTH($B$8)+A14,DAY('Общие данные'!$B$78)),0)</f>
        <v>0</v>
      </c>
      <c r="S15" s="104"/>
      <c r="T15" s="104"/>
      <c r="U15" s="104"/>
      <c r="V15" s="104"/>
    </row>
    <row r="16" spans="1:22" x14ac:dyDescent="0.25">
      <c r="A16" s="110">
        <v>9</v>
      </c>
      <c r="B16" s="111" t="b">
        <f>IF(A16&lt;='Общие данные'!$B$81,DATE(YEAR(R16),MONTH(R16),DAY(IF(A16='Общие данные'!$B$81,'Общие данные'!$B$67,IF(A16&lt;'Общие данные'!$B$81,(Q16),IF(A16&gt;'Общие данные'!$B$81,$H$44,0))))))</f>
        <v>0</v>
      </c>
      <c r="C16" s="58">
        <f t="shared" si="1"/>
        <v>0</v>
      </c>
      <c r="D16" s="58">
        <f t="shared" si="2"/>
        <v>0</v>
      </c>
      <c r="E16" s="58">
        <f t="shared" si="3"/>
        <v>0</v>
      </c>
      <c r="F16" s="58">
        <f t="shared" si="4"/>
        <v>0</v>
      </c>
      <c r="G16" s="104">
        <f t="shared" si="7"/>
        <v>0</v>
      </c>
      <c r="H16" s="104">
        <f t="shared" si="5"/>
        <v>366</v>
      </c>
      <c r="I16" s="112" t="b">
        <f t="shared" si="8"/>
        <v>0</v>
      </c>
      <c r="J16" s="112">
        <f>SUM($I$8:I15)</f>
        <v>100000000</v>
      </c>
      <c r="K16" s="112">
        <f t="shared" si="10"/>
        <v>0</v>
      </c>
      <c r="L16" s="106">
        <f>ROUND(C16*'Общие данные'!$B$84/H16,2)*G16</f>
        <v>0</v>
      </c>
      <c r="M16" s="106">
        <f t="shared" si="0"/>
        <v>0</v>
      </c>
      <c r="N16" s="106"/>
      <c r="O16" s="121" t="str">
        <f t="shared" si="9"/>
        <v>Сб</v>
      </c>
      <c r="P16" s="123">
        <f t="shared" si="6"/>
        <v>2</v>
      </c>
      <c r="Q16" s="123">
        <f>DAY('Общие данные'!$B$78)+P16</f>
        <v>17</v>
      </c>
      <c r="R16" s="118">
        <f>IF(A16&lt;='Общие данные'!$B$81,DATE(YEAR($B$8),MONTH($B$8)+A15,DAY('Общие данные'!$B$78)),0)</f>
        <v>0</v>
      </c>
      <c r="S16" s="104"/>
      <c r="T16" s="104"/>
      <c r="U16" s="104"/>
      <c r="V16" s="104"/>
    </row>
    <row r="17" spans="1:22" x14ac:dyDescent="0.25">
      <c r="A17" s="110">
        <v>10</v>
      </c>
      <c r="B17" s="111" t="b">
        <f>IF(A17&lt;='Общие данные'!$B$81,DATE(YEAR(R17),MONTH(R17),DAY(IF(A17='Общие данные'!$B$81,'Общие данные'!$B$67,IF(A17&lt;'Общие данные'!$B$81,(Q17),IF(A17&gt;'Общие данные'!$B$81,$H$44,0))))))</f>
        <v>0</v>
      </c>
      <c r="C17" s="58">
        <f t="shared" si="1"/>
        <v>0</v>
      </c>
      <c r="D17" s="58">
        <f t="shared" si="2"/>
        <v>0</v>
      </c>
      <c r="E17" s="58">
        <f t="shared" si="3"/>
        <v>0</v>
      </c>
      <c r="F17" s="58">
        <f t="shared" si="4"/>
        <v>0</v>
      </c>
      <c r="G17" s="104">
        <f t="shared" si="7"/>
        <v>0</v>
      </c>
      <c r="H17" s="104">
        <f t="shared" si="5"/>
        <v>366</v>
      </c>
      <c r="I17" s="112" t="b">
        <f t="shared" si="8"/>
        <v>0</v>
      </c>
      <c r="J17" s="112">
        <f>SUM($I$8:I16)</f>
        <v>100000000</v>
      </c>
      <c r="K17" s="112">
        <f>$J$12-J17</f>
        <v>0</v>
      </c>
      <c r="L17" s="106">
        <f>ROUND(C17*'Общие данные'!$B$84/H17,2)*G17</f>
        <v>0</v>
      </c>
      <c r="M17" s="106">
        <f t="shared" si="0"/>
        <v>0</v>
      </c>
      <c r="N17" s="106"/>
      <c r="O17" s="121" t="str">
        <f t="shared" si="9"/>
        <v>Сб</v>
      </c>
      <c r="P17" s="123">
        <f t="shared" si="6"/>
        <v>2</v>
      </c>
      <c r="Q17" s="123">
        <f>DAY('Общие данные'!$B$78)+P17</f>
        <v>17</v>
      </c>
      <c r="R17" s="118">
        <f>IF(A17&lt;='Общие данные'!$B$81,DATE(YEAR($B$8),MONTH($B$8)+A16,DAY('Общие данные'!$B$78)),0)</f>
        <v>0</v>
      </c>
      <c r="S17" s="104"/>
      <c r="T17" s="104"/>
      <c r="U17" s="104"/>
      <c r="V17" s="104"/>
    </row>
    <row r="18" spans="1:22" x14ac:dyDescent="0.25">
      <c r="A18" s="110">
        <v>11</v>
      </c>
      <c r="B18" s="111" t="b">
        <f>IF(A18&lt;='Общие данные'!$B$81,DATE(YEAR(R18),MONTH(R18),DAY(IF(A18='Общие данные'!$B$81,'Общие данные'!$B$67,IF(A18&lt;'Общие данные'!$B$81,(Q18),IF(A18&gt;'Общие данные'!$B$81,$H$44,0))))))</f>
        <v>0</v>
      </c>
      <c r="C18" s="58">
        <f t="shared" si="1"/>
        <v>0</v>
      </c>
      <c r="D18" s="58">
        <f t="shared" si="2"/>
        <v>0</v>
      </c>
      <c r="E18" s="58">
        <f t="shared" si="3"/>
        <v>0</v>
      </c>
      <c r="F18" s="58">
        <f t="shared" si="4"/>
        <v>0</v>
      </c>
      <c r="G18" s="104">
        <f t="shared" si="7"/>
        <v>0</v>
      </c>
      <c r="H18" s="104">
        <f t="shared" si="5"/>
        <v>366</v>
      </c>
      <c r="I18" s="112" t="b">
        <f t="shared" si="8"/>
        <v>0</v>
      </c>
      <c r="J18" s="112">
        <f>SUM($I$8:I17)</f>
        <v>100000000</v>
      </c>
      <c r="K18" s="112">
        <f t="shared" si="10"/>
        <v>0</v>
      </c>
      <c r="L18" s="106">
        <f>ROUND(C18*'Общие данные'!$B$84/H18,2)*G18</f>
        <v>0</v>
      </c>
      <c r="M18" s="106">
        <f t="shared" si="0"/>
        <v>0</v>
      </c>
      <c r="N18" s="106"/>
      <c r="O18" s="121" t="str">
        <f t="shared" si="9"/>
        <v>Сб</v>
      </c>
      <c r="P18" s="123">
        <f t="shared" si="6"/>
        <v>2</v>
      </c>
      <c r="Q18" s="123">
        <f>DAY('Общие данные'!$B$78)+P18</f>
        <v>17</v>
      </c>
      <c r="R18" s="118">
        <f>IF(A18&lt;='Общие данные'!$B$81,DATE(YEAR($B$8),MONTH($B$8)+A17,DAY('Общие данные'!$B$78)),0)</f>
        <v>0</v>
      </c>
      <c r="S18" s="104"/>
      <c r="T18" s="104"/>
      <c r="U18" s="104"/>
      <c r="V18" s="104"/>
    </row>
    <row r="19" spans="1:22" x14ac:dyDescent="0.25">
      <c r="A19" s="110">
        <v>12</v>
      </c>
      <c r="B19" s="111" t="b">
        <f>IF(A19&lt;='Общие данные'!$B$81,DATE(YEAR(R19),MONTH(R19),DAY(IF(A19='Общие данные'!$B$81,'Общие данные'!$B$67,IF(A19&lt;'Общие данные'!$B$81,(Q19),IF(A19&gt;'Общие данные'!$B$81,$H$44,0))))))</f>
        <v>0</v>
      </c>
      <c r="C19" s="58">
        <f t="shared" si="1"/>
        <v>0</v>
      </c>
      <c r="D19" s="58">
        <f t="shared" si="2"/>
        <v>0</v>
      </c>
      <c r="E19" s="58">
        <f t="shared" si="3"/>
        <v>0</v>
      </c>
      <c r="F19" s="58">
        <f t="shared" si="4"/>
        <v>0</v>
      </c>
      <c r="G19" s="104">
        <f t="shared" si="7"/>
        <v>0</v>
      </c>
      <c r="H19" s="104">
        <f t="shared" si="5"/>
        <v>366</v>
      </c>
      <c r="I19" s="112" t="b">
        <f t="shared" si="8"/>
        <v>0</v>
      </c>
      <c r="J19" s="112">
        <f>SUM($I$8:I18)</f>
        <v>100000000</v>
      </c>
      <c r="K19" s="112">
        <f t="shared" si="10"/>
        <v>0</v>
      </c>
      <c r="L19" s="106">
        <f>ROUND(C19*'Общие данные'!$B$84/H19,2)*G19</f>
        <v>0</v>
      </c>
      <c r="M19" s="106">
        <f t="shared" si="0"/>
        <v>0</v>
      </c>
      <c r="N19" s="106"/>
      <c r="O19" s="121" t="str">
        <f t="shared" si="9"/>
        <v>Сб</v>
      </c>
      <c r="P19" s="123">
        <f t="shared" si="6"/>
        <v>2</v>
      </c>
      <c r="Q19" s="123">
        <f>DAY('Общие данные'!$B$78)+P19</f>
        <v>17</v>
      </c>
      <c r="R19" s="118">
        <f>IF(A19&lt;='Общие данные'!$B$81,DATE(YEAR($B$8),MONTH($B$8)+A18,DAY('Общие данные'!$B$78)),0)</f>
        <v>0</v>
      </c>
      <c r="S19" s="104"/>
      <c r="T19" s="104"/>
      <c r="U19" s="104"/>
      <c r="V19" s="104"/>
    </row>
    <row r="20" spans="1:22" x14ac:dyDescent="0.25">
      <c r="A20" s="110">
        <v>13</v>
      </c>
      <c r="B20" s="111" t="b">
        <f>IF(A20&lt;='Общие данные'!$B$81,DATE(YEAR(R20),MONTH(R20),DAY(IF(A20='Общие данные'!$B$81,'Общие данные'!$B$67,IF(A20&lt;'Общие данные'!$B$81,(Q20),IF(A20&gt;'Общие данные'!$B$81,$H$44,0))))))</f>
        <v>0</v>
      </c>
      <c r="C20" s="58">
        <f t="shared" si="1"/>
        <v>0</v>
      </c>
      <c r="D20" s="58">
        <f t="shared" si="2"/>
        <v>0</v>
      </c>
      <c r="E20" s="58">
        <f t="shared" si="3"/>
        <v>0</v>
      </c>
      <c r="F20" s="58">
        <f t="shared" si="4"/>
        <v>0</v>
      </c>
      <c r="G20" s="104">
        <f t="shared" si="7"/>
        <v>0</v>
      </c>
      <c r="H20" s="104">
        <f t="shared" si="5"/>
        <v>366</v>
      </c>
      <c r="I20" s="112" t="b">
        <f t="shared" si="8"/>
        <v>0</v>
      </c>
      <c r="J20" s="112">
        <f>SUM($I$8:I19)</f>
        <v>100000000</v>
      </c>
      <c r="K20" s="112">
        <f>$J$12-J20</f>
        <v>0</v>
      </c>
      <c r="L20" s="106">
        <f>ROUND(C20*'Общие данные'!$B$84/H20,2)*G20</f>
        <v>0</v>
      </c>
      <c r="M20" s="106">
        <f t="shared" si="0"/>
        <v>0</v>
      </c>
      <c r="N20" s="106"/>
      <c r="O20" s="121" t="str">
        <f t="shared" si="9"/>
        <v>Сб</v>
      </c>
      <c r="P20" s="123">
        <f t="shared" si="6"/>
        <v>2</v>
      </c>
      <c r="Q20" s="123">
        <f>DAY('Общие данные'!$B$78)+P20</f>
        <v>17</v>
      </c>
      <c r="R20" s="118">
        <f>IF(A20&lt;='Общие данные'!$B$81,DATE(YEAR($B$8),MONTH($B$8)+A19,DAY('Общие данные'!$B$78)),0)</f>
        <v>0</v>
      </c>
      <c r="S20" s="104"/>
      <c r="T20" s="104"/>
      <c r="U20" s="104"/>
      <c r="V20" s="104"/>
    </row>
    <row r="21" spans="1:22" x14ac:dyDescent="0.25">
      <c r="A21" s="110">
        <v>14</v>
      </c>
      <c r="B21" s="111" t="b">
        <f>IF(A21&lt;='Общие данные'!$B$81,DATE(YEAR(R21),MONTH(R21),DAY(IF(A21='Общие данные'!$B$81,'Общие данные'!$B$67,IF(A21&lt;'Общие данные'!$B$81,(Q21),IF(A21&gt;'Общие данные'!$B$81,$H$44,0))))))</f>
        <v>0</v>
      </c>
      <c r="C21" s="58">
        <f t="shared" si="1"/>
        <v>0</v>
      </c>
      <c r="D21" s="58">
        <f t="shared" si="2"/>
        <v>0</v>
      </c>
      <c r="E21" s="58">
        <f t="shared" si="3"/>
        <v>0</v>
      </c>
      <c r="F21" s="58">
        <f t="shared" si="4"/>
        <v>0</v>
      </c>
      <c r="G21" s="104">
        <f t="shared" si="7"/>
        <v>0</v>
      </c>
      <c r="H21" s="104">
        <f t="shared" si="5"/>
        <v>366</v>
      </c>
      <c r="I21" s="112" t="b">
        <f t="shared" si="8"/>
        <v>0</v>
      </c>
      <c r="J21" s="112">
        <f>SUM($I$8:I20)</f>
        <v>100000000</v>
      </c>
      <c r="K21" s="112">
        <f t="shared" si="10"/>
        <v>0</v>
      </c>
      <c r="L21" s="106">
        <f>ROUND(C21*'Общие данные'!$B$84/H21,2)*G21</f>
        <v>0</v>
      </c>
      <c r="M21" s="106">
        <f t="shared" si="0"/>
        <v>0</v>
      </c>
      <c r="N21" s="106"/>
      <c r="O21" s="121" t="str">
        <f t="shared" si="9"/>
        <v>Сб</v>
      </c>
      <c r="P21" s="123">
        <f t="shared" si="6"/>
        <v>2</v>
      </c>
      <c r="Q21" s="123">
        <f>DAY('Общие данные'!$B$78)+P21</f>
        <v>17</v>
      </c>
      <c r="R21" s="118">
        <f>IF(A21&lt;='Общие данные'!$B$81,DATE(YEAR($B$8),MONTH($B$8)+A20,DAY('Общие данные'!$B$78)),0)</f>
        <v>0</v>
      </c>
      <c r="S21" s="104"/>
      <c r="T21" s="104"/>
      <c r="U21" s="104"/>
      <c r="V21" s="104"/>
    </row>
    <row r="22" spans="1:22" x14ac:dyDescent="0.25">
      <c r="A22" s="110">
        <v>15</v>
      </c>
      <c r="B22" s="111" t="b">
        <f>IF(A22&lt;='Общие данные'!$B$81,DATE(YEAR(R22),MONTH(R22),DAY(IF(A22='Общие данные'!$B$81,'Общие данные'!$B$67,IF(A22&lt;'Общие данные'!$B$81,(Q22),IF(A22&gt;'Общие данные'!$B$81,$H$44,0))))))</f>
        <v>0</v>
      </c>
      <c r="C22" s="58">
        <f t="shared" si="1"/>
        <v>0</v>
      </c>
      <c r="D22" s="58">
        <f t="shared" si="2"/>
        <v>0</v>
      </c>
      <c r="E22" s="58">
        <f t="shared" si="3"/>
        <v>0</v>
      </c>
      <c r="F22" s="58">
        <f t="shared" si="4"/>
        <v>0</v>
      </c>
      <c r="G22" s="104">
        <f t="shared" si="7"/>
        <v>0</v>
      </c>
      <c r="H22" s="104">
        <f t="shared" si="5"/>
        <v>366</v>
      </c>
      <c r="I22" s="112" t="b">
        <f t="shared" si="8"/>
        <v>0</v>
      </c>
      <c r="J22" s="112">
        <f>SUM($I$8:I21)</f>
        <v>100000000</v>
      </c>
      <c r="K22" s="112">
        <f t="shared" si="10"/>
        <v>0</v>
      </c>
      <c r="L22" s="106">
        <f>ROUND(C22*'Общие данные'!$B$84/H22,2)*G22</f>
        <v>0</v>
      </c>
      <c r="M22" s="106">
        <f t="shared" si="0"/>
        <v>0</v>
      </c>
      <c r="N22" s="106"/>
      <c r="O22" s="121" t="str">
        <f t="shared" si="9"/>
        <v>Сб</v>
      </c>
      <c r="P22" s="123">
        <f t="shared" si="6"/>
        <v>2</v>
      </c>
      <c r="Q22" s="123">
        <f>DAY('Общие данные'!$B$78)+P22</f>
        <v>17</v>
      </c>
      <c r="R22" s="118">
        <f>IF(A22&lt;='Общие данные'!$B$81,DATE(YEAR($B$8),MONTH($B$8)+A21,DAY('Общие данные'!$B$78)),0)</f>
        <v>0</v>
      </c>
      <c r="S22" s="104"/>
      <c r="T22" s="104"/>
      <c r="U22" s="104"/>
      <c r="V22" s="104"/>
    </row>
    <row r="23" spans="1:22" x14ac:dyDescent="0.25">
      <c r="A23" s="110">
        <v>16</v>
      </c>
      <c r="B23" s="111" t="b">
        <f>IF(A23&lt;='Общие данные'!$B$81,DATE(YEAR(R23),MONTH(R23),DAY(IF(A23='Общие данные'!$B$81,'Общие данные'!$B$67,IF(A23&lt;'Общие данные'!$B$81,(Q23),IF(A23&gt;'Общие данные'!$B$81,$H$44,0))))))</f>
        <v>0</v>
      </c>
      <c r="C23" s="58">
        <f t="shared" si="1"/>
        <v>0</v>
      </c>
      <c r="D23" s="58">
        <f t="shared" si="2"/>
        <v>0</v>
      </c>
      <c r="E23" s="58">
        <f t="shared" si="3"/>
        <v>0</v>
      </c>
      <c r="F23" s="58">
        <f t="shared" si="4"/>
        <v>0</v>
      </c>
      <c r="G23" s="104">
        <f t="shared" si="7"/>
        <v>0</v>
      </c>
      <c r="H23" s="104">
        <f t="shared" si="5"/>
        <v>366</v>
      </c>
      <c r="I23" s="112" t="b">
        <f t="shared" si="8"/>
        <v>0</v>
      </c>
      <c r="J23" s="112">
        <f>SUM($I$8:I22)</f>
        <v>100000000</v>
      </c>
      <c r="K23" s="112">
        <f t="shared" si="10"/>
        <v>0</v>
      </c>
      <c r="L23" s="106">
        <f>ROUND(C23*'Общие данные'!$B$84/H23,2)*G23</f>
        <v>0</v>
      </c>
      <c r="M23" s="106">
        <f t="shared" si="0"/>
        <v>0</v>
      </c>
      <c r="N23" s="106"/>
      <c r="O23" s="121" t="str">
        <f t="shared" si="9"/>
        <v>Сб</v>
      </c>
      <c r="P23" s="123">
        <f t="shared" si="6"/>
        <v>2</v>
      </c>
      <c r="Q23" s="123">
        <f>DAY('Общие данные'!$B$78)+P23</f>
        <v>17</v>
      </c>
      <c r="R23" s="118">
        <f>IF(A23&lt;='Общие данные'!$B$81,DATE(YEAR($B$8),MONTH($B$8)+A22,DAY('Общие данные'!$B$78)),0)</f>
        <v>0</v>
      </c>
      <c r="S23" s="104"/>
      <c r="T23" s="104"/>
      <c r="U23" s="104"/>
      <c r="V23" s="104"/>
    </row>
    <row r="24" spans="1:22" x14ac:dyDescent="0.25">
      <c r="A24" s="110">
        <v>17</v>
      </c>
      <c r="B24" s="111" t="b">
        <f>IF(A24&lt;='Общие данные'!$B$81,DATE(YEAR(R24),MONTH(R24),DAY(IF(A24='Общие данные'!$B$81,'Общие данные'!$B$67,IF(A24&lt;'Общие данные'!$B$81,(Q24),IF(A24&gt;'Общие данные'!$B$81,$H$44,0))))))</f>
        <v>0</v>
      </c>
      <c r="C24" s="58">
        <f t="shared" si="1"/>
        <v>0</v>
      </c>
      <c r="D24" s="58">
        <f t="shared" si="2"/>
        <v>0</v>
      </c>
      <c r="E24" s="58">
        <f t="shared" si="3"/>
        <v>0</v>
      </c>
      <c r="F24" s="58">
        <f t="shared" si="4"/>
        <v>0</v>
      </c>
      <c r="G24" s="104">
        <f t="shared" si="7"/>
        <v>0</v>
      </c>
      <c r="H24" s="104">
        <f t="shared" si="5"/>
        <v>366</v>
      </c>
      <c r="I24" s="112" t="b">
        <f t="shared" si="8"/>
        <v>0</v>
      </c>
      <c r="J24" s="112">
        <f>SUM($I$8:I23)</f>
        <v>100000000</v>
      </c>
      <c r="K24" s="112">
        <f t="shared" si="10"/>
        <v>0</v>
      </c>
      <c r="L24" s="106">
        <f>ROUND(C24*'Общие данные'!$B$84/H24,2)*G24</f>
        <v>0</v>
      </c>
      <c r="M24" s="106">
        <f t="shared" si="0"/>
        <v>0</v>
      </c>
      <c r="N24" s="106"/>
      <c r="O24" s="121" t="str">
        <f t="shared" si="9"/>
        <v>Сб</v>
      </c>
      <c r="P24" s="123">
        <f t="shared" si="6"/>
        <v>2</v>
      </c>
      <c r="Q24" s="123">
        <f>DAY('Общие данные'!$B$78)+P24</f>
        <v>17</v>
      </c>
      <c r="R24" s="118">
        <f>IF(A24&lt;='Общие данные'!$B$81,DATE(YEAR($B$8),MONTH($B$8)+A23,DAY('Общие данные'!$B$78)),0)</f>
        <v>0</v>
      </c>
      <c r="S24" s="104"/>
      <c r="T24" s="104"/>
      <c r="U24" s="104"/>
      <c r="V24" s="104"/>
    </row>
    <row r="25" spans="1:22" x14ac:dyDescent="0.25">
      <c r="A25" s="110">
        <v>18</v>
      </c>
      <c r="B25" s="111" t="b">
        <f>IF(A25&lt;='Общие данные'!$B$81,DATE(YEAR(R25),MONTH(R25),DAY(IF(A25='Общие данные'!$B$81,'Общие данные'!$B$67,IF(A25&lt;'Общие данные'!$B$81,(Q25),IF(A25&gt;'Общие данные'!$B$81,$H$44,0))))))</f>
        <v>0</v>
      </c>
      <c r="C25" s="58">
        <f t="shared" si="1"/>
        <v>0</v>
      </c>
      <c r="D25" s="58">
        <f t="shared" si="2"/>
        <v>0</v>
      </c>
      <c r="E25" s="58">
        <f t="shared" si="3"/>
        <v>0</v>
      </c>
      <c r="F25" s="58">
        <f t="shared" si="4"/>
        <v>0</v>
      </c>
      <c r="G25" s="104">
        <f t="shared" si="7"/>
        <v>0</v>
      </c>
      <c r="H25" s="104">
        <f t="shared" si="5"/>
        <v>366</v>
      </c>
      <c r="I25" s="112" t="b">
        <f t="shared" si="8"/>
        <v>0</v>
      </c>
      <c r="J25" s="112">
        <f>SUM($I$8:I24)</f>
        <v>100000000</v>
      </c>
      <c r="K25" s="112">
        <f t="shared" si="10"/>
        <v>0</v>
      </c>
      <c r="L25" s="106">
        <f>ROUND(C25*'Общие данные'!$B$84/H25,2)*G25</f>
        <v>0</v>
      </c>
      <c r="M25" s="106">
        <f t="shared" si="0"/>
        <v>0</v>
      </c>
      <c r="N25" s="106"/>
      <c r="O25" s="121" t="str">
        <f t="shared" si="9"/>
        <v>Сб</v>
      </c>
      <c r="P25" s="123">
        <f t="shared" si="6"/>
        <v>2</v>
      </c>
      <c r="Q25" s="123">
        <f>DAY('Общие данные'!$B$78)+P25</f>
        <v>17</v>
      </c>
      <c r="R25" s="118">
        <f>IF(A25&lt;='Общие данные'!$B$81,DATE(YEAR($B$8),MONTH($B$8)+A24,DAY('Общие данные'!$B$78)),0)</f>
        <v>0</v>
      </c>
      <c r="S25" s="104"/>
      <c r="T25" s="104"/>
      <c r="U25" s="104"/>
      <c r="V25" s="104"/>
    </row>
    <row r="26" spans="1:22" x14ac:dyDescent="0.25">
      <c r="A26" s="110">
        <v>19</v>
      </c>
      <c r="B26" s="111" t="b">
        <f>IF(A26&lt;='Общие данные'!$B$81,DATE(YEAR(R26),MONTH(R26),DAY(IF(A26='Общие данные'!$B$81,'Общие данные'!$B$67,IF(A26&lt;'Общие данные'!$B$81,(Q26),IF(A26&gt;'Общие данные'!$B$81,$H$44,0))))))</f>
        <v>0</v>
      </c>
      <c r="C26" s="58">
        <f t="shared" si="1"/>
        <v>0</v>
      </c>
      <c r="D26" s="58">
        <f t="shared" si="2"/>
        <v>0</v>
      </c>
      <c r="E26" s="58">
        <f t="shared" si="3"/>
        <v>0</v>
      </c>
      <c r="F26" s="58">
        <f t="shared" si="4"/>
        <v>0</v>
      </c>
      <c r="G26" s="104">
        <f t="shared" si="7"/>
        <v>0</v>
      </c>
      <c r="H26" s="104">
        <f t="shared" si="5"/>
        <v>366</v>
      </c>
      <c r="I26" s="112" t="b">
        <f t="shared" si="8"/>
        <v>0</v>
      </c>
      <c r="J26" s="112">
        <f>SUM($I$8:I25)</f>
        <v>100000000</v>
      </c>
      <c r="K26" s="112">
        <f t="shared" si="10"/>
        <v>0</v>
      </c>
      <c r="L26" s="106">
        <f>ROUND(C26*'Общие данные'!$B$84/H26,2)*G26</f>
        <v>0</v>
      </c>
      <c r="M26" s="106">
        <f t="shared" si="0"/>
        <v>0</v>
      </c>
      <c r="N26" s="106"/>
      <c r="O26" s="121" t="str">
        <f t="shared" si="9"/>
        <v>Сб</v>
      </c>
      <c r="P26" s="123">
        <f t="shared" si="6"/>
        <v>2</v>
      </c>
      <c r="Q26" s="123">
        <f>DAY('Общие данные'!$B$78)+P26</f>
        <v>17</v>
      </c>
      <c r="R26" s="118">
        <f>IF(A26&lt;='Общие данные'!$B$81,DATE(YEAR($B$8),MONTH($B$8)+A25,DAY('Общие данные'!$B$78)),0)</f>
        <v>0</v>
      </c>
      <c r="S26" s="104"/>
      <c r="T26" s="104"/>
      <c r="U26" s="104"/>
      <c r="V26" s="104"/>
    </row>
    <row r="27" spans="1:22" x14ac:dyDescent="0.25">
      <c r="A27" s="110">
        <v>20</v>
      </c>
      <c r="B27" s="111" t="b">
        <f>IF(A27&lt;='Общие данные'!$B$81,DATE(YEAR(R27),MONTH(R27),DAY(IF(A27='Общие данные'!$B$81,'Общие данные'!$B$67,IF(A27&lt;'Общие данные'!$B$81,(Q27),IF(A27&gt;'Общие данные'!$B$81,$H$44,0))))))</f>
        <v>0</v>
      </c>
      <c r="C27" s="58">
        <f t="shared" si="1"/>
        <v>0</v>
      </c>
      <c r="D27" s="58">
        <f t="shared" si="2"/>
        <v>0</v>
      </c>
      <c r="E27" s="58">
        <f t="shared" si="3"/>
        <v>0</v>
      </c>
      <c r="F27" s="58">
        <f t="shared" si="4"/>
        <v>0</v>
      </c>
      <c r="G27" s="104">
        <f t="shared" si="7"/>
        <v>0</v>
      </c>
      <c r="H27" s="104">
        <f t="shared" si="5"/>
        <v>366</v>
      </c>
      <c r="I27" s="112" t="b">
        <f t="shared" si="8"/>
        <v>0</v>
      </c>
      <c r="J27" s="112">
        <f>SUM($I$8:I26)</f>
        <v>100000000</v>
      </c>
      <c r="K27" s="112">
        <f t="shared" si="10"/>
        <v>0</v>
      </c>
      <c r="L27" s="106">
        <f>ROUND(C27*'Общие данные'!$B$84/H27,2)*G27</f>
        <v>0</v>
      </c>
      <c r="M27" s="106">
        <f t="shared" si="0"/>
        <v>0</v>
      </c>
      <c r="N27" s="106"/>
      <c r="O27" s="121" t="str">
        <f t="shared" si="9"/>
        <v>Сб</v>
      </c>
      <c r="P27" s="123">
        <f t="shared" si="6"/>
        <v>2</v>
      </c>
      <c r="Q27" s="123">
        <f>DAY('Общие данные'!$B$78)+P27</f>
        <v>17</v>
      </c>
      <c r="R27" s="118">
        <f>IF(A27&lt;='Общие данные'!$B$81,DATE(YEAR($B$8),MONTH($B$8)+A26,DAY('Общие данные'!$B$78)),0)</f>
        <v>0</v>
      </c>
      <c r="S27" s="104"/>
      <c r="T27" s="104"/>
      <c r="U27" s="104"/>
      <c r="V27" s="104"/>
    </row>
    <row r="28" spans="1:22" x14ac:dyDescent="0.25">
      <c r="A28" s="110">
        <v>21</v>
      </c>
      <c r="B28" s="111" t="b">
        <f>IF(A28&lt;='Общие данные'!$B$81,DATE(YEAR(R28),MONTH(R28),DAY(IF(A28='Общие данные'!$B$81,'Общие данные'!$B$67,IF(A28&lt;'Общие данные'!$B$81,(Q28),IF(A28&gt;'Общие данные'!$B$81,$H$44,0))))))</f>
        <v>0</v>
      </c>
      <c r="C28" s="58">
        <f t="shared" si="1"/>
        <v>0</v>
      </c>
      <c r="D28" s="58">
        <f t="shared" si="2"/>
        <v>0</v>
      </c>
      <c r="E28" s="58">
        <f t="shared" si="3"/>
        <v>0</v>
      </c>
      <c r="F28" s="58">
        <f t="shared" si="4"/>
        <v>0</v>
      </c>
      <c r="G28" s="104">
        <f t="shared" si="7"/>
        <v>0</v>
      </c>
      <c r="H28" s="104">
        <f t="shared" si="5"/>
        <v>366</v>
      </c>
      <c r="I28" s="112" t="b">
        <f t="shared" si="8"/>
        <v>0</v>
      </c>
      <c r="J28" s="112">
        <f>SUM($I$8:I27)</f>
        <v>100000000</v>
      </c>
      <c r="K28" s="112">
        <f t="shared" si="10"/>
        <v>0</v>
      </c>
      <c r="L28" s="106">
        <f>ROUND(C28*'Общие данные'!$B$84/H28,2)*G28</f>
        <v>0</v>
      </c>
      <c r="M28" s="106">
        <f t="shared" si="0"/>
        <v>0</v>
      </c>
      <c r="N28" s="106"/>
      <c r="O28" s="121" t="str">
        <f t="shared" si="9"/>
        <v>Сб</v>
      </c>
      <c r="P28" s="123">
        <f t="shared" si="6"/>
        <v>2</v>
      </c>
      <c r="Q28" s="123">
        <f>DAY('Общие данные'!$B$78)+P28</f>
        <v>17</v>
      </c>
      <c r="R28" s="118">
        <f>IF(A28&lt;='Общие данные'!$B$81,DATE(YEAR($B$8),MONTH($B$8)+A27,DAY('Общие данные'!$B$78)),0)</f>
        <v>0</v>
      </c>
      <c r="S28" s="104"/>
      <c r="T28" s="104"/>
      <c r="U28" s="104"/>
      <c r="V28" s="104"/>
    </row>
    <row r="29" spans="1:22" x14ac:dyDescent="0.25">
      <c r="A29" s="110">
        <v>22</v>
      </c>
      <c r="B29" s="111" t="b">
        <f>IF(A29&lt;='Общие данные'!$B$81,DATE(YEAR(R29),MONTH(R29),DAY(IF(A29='Общие данные'!$B$81,'Общие данные'!$B$67,IF(A29&lt;'Общие данные'!$B$81,(Q29),IF(A29&gt;'Общие данные'!$B$81,$H$44,0))))))</f>
        <v>0</v>
      </c>
      <c r="C29" s="58">
        <f t="shared" si="1"/>
        <v>0</v>
      </c>
      <c r="D29" s="58">
        <f t="shared" si="2"/>
        <v>0</v>
      </c>
      <c r="E29" s="58">
        <f t="shared" si="3"/>
        <v>0</v>
      </c>
      <c r="F29" s="58">
        <f t="shared" si="4"/>
        <v>0</v>
      </c>
      <c r="G29" s="104">
        <f t="shared" si="7"/>
        <v>0</v>
      </c>
      <c r="H29" s="104">
        <f t="shared" si="5"/>
        <v>366</v>
      </c>
      <c r="I29" s="112" t="b">
        <f t="shared" si="8"/>
        <v>0</v>
      </c>
      <c r="J29" s="112">
        <f>SUM($I$8:I28)</f>
        <v>100000000</v>
      </c>
      <c r="K29" s="112">
        <f t="shared" si="10"/>
        <v>0</v>
      </c>
      <c r="L29" s="106">
        <f>ROUND(C29*'Общие данные'!$B$84/H29,2)*G29</f>
        <v>0</v>
      </c>
      <c r="M29" s="106">
        <f t="shared" si="0"/>
        <v>0</v>
      </c>
      <c r="N29" s="106"/>
      <c r="O29" s="121" t="str">
        <f t="shared" si="9"/>
        <v>Сб</v>
      </c>
      <c r="P29" s="123">
        <f t="shared" si="6"/>
        <v>2</v>
      </c>
      <c r="Q29" s="123">
        <f>DAY('Общие данные'!$B$78)+P29</f>
        <v>17</v>
      </c>
      <c r="R29" s="118">
        <f>IF(A29&lt;='Общие данные'!$B$81,DATE(YEAR($B$8),MONTH($B$8)+A28,DAY('Общие данные'!$B$78)),0)</f>
        <v>0</v>
      </c>
      <c r="S29" s="104"/>
      <c r="T29" s="104"/>
      <c r="U29" s="104"/>
      <c r="V29" s="104"/>
    </row>
    <row r="30" spans="1:22" x14ac:dyDescent="0.25">
      <c r="A30" s="110">
        <v>23</v>
      </c>
      <c r="B30" s="111" t="b">
        <f>IF(A30&lt;='Общие данные'!$B$81,DATE(YEAR(R30),MONTH(R30),DAY(IF(A30='Общие данные'!$B$81,'Общие данные'!$B$67,IF(A30&lt;'Общие данные'!$B$81,(Q30),IF(A30&gt;'Общие данные'!$B$81,$H$44,0))))))</f>
        <v>0</v>
      </c>
      <c r="C30" s="58">
        <f t="shared" si="1"/>
        <v>0</v>
      </c>
      <c r="D30" s="58">
        <f t="shared" si="2"/>
        <v>0</v>
      </c>
      <c r="E30" s="58">
        <f t="shared" si="3"/>
        <v>0</v>
      </c>
      <c r="F30" s="58">
        <f t="shared" si="4"/>
        <v>0</v>
      </c>
      <c r="G30" s="104">
        <f t="shared" si="7"/>
        <v>0</v>
      </c>
      <c r="H30" s="104">
        <f t="shared" si="5"/>
        <v>366</v>
      </c>
      <c r="I30" s="112" t="b">
        <f t="shared" si="8"/>
        <v>0</v>
      </c>
      <c r="J30" s="112">
        <f>SUM($I$8:I29)</f>
        <v>100000000</v>
      </c>
      <c r="K30" s="112">
        <f t="shared" si="10"/>
        <v>0</v>
      </c>
      <c r="L30" s="106">
        <f>ROUND(C30*'Общие данные'!$B$84/H30,2)*G30</f>
        <v>0</v>
      </c>
      <c r="M30" s="106">
        <f t="shared" si="0"/>
        <v>0</v>
      </c>
      <c r="N30" s="106"/>
      <c r="O30" s="121" t="str">
        <f t="shared" si="9"/>
        <v>Сб</v>
      </c>
      <c r="P30" s="123">
        <f t="shared" si="6"/>
        <v>2</v>
      </c>
      <c r="Q30" s="123">
        <f>DAY('Общие данные'!$B$78)+P30</f>
        <v>17</v>
      </c>
      <c r="R30" s="118">
        <f>IF(A30&lt;='Общие данные'!$B$81,DATE(YEAR($B$8),MONTH($B$8)+A29,DAY('Общие данные'!$B$78)),0)</f>
        <v>0</v>
      </c>
      <c r="S30" s="104"/>
      <c r="T30" s="104"/>
      <c r="U30" s="104"/>
      <c r="V30" s="104"/>
    </row>
    <row r="31" spans="1:22" x14ac:dyDescent="0.25">
      <c r="A31" s="110">
        <f>1+A30</f>
        <v>24</v>
      </c>
      <c r="B31" s="111" t="b">
        <f>IF(A31&lt;='Общие данные'!$B$81,DATE(YEAR(R31),MONTH(R31),DAY(IF(A31='Общие данные'!$B$81,'Общие данные'!$B$67,IF(A31&lt;'Общие данные'!$B$81,(Q31),IF(A31&gt;'Общие данные'!$B$81,$H$44,0))))))</f>
        <v>0</v>
      </c>
      <c r="C31" s="58">
        <f t="shared" ref="C31" si="11">C30-D30</f>
        <v>0</v>
      </c>
      <c r="D31" s="58">
        <f t="shared" ref="D31" si="12">IF(C31=0,L31,IF(C31&gt;1,I31))</f>
        <v>0</v>
      </c>
      <c r="E31" s="58">
        <f t="shared" ref="E31" si="13">IF(C31=0,N30,IF(C31&gt;1,L31))</f>
        <v>0</v>
      </c>
      <c r="F31" s="58">
        <f t="shared" ref="F31" si="14">IF(C31=0,N30,IF(C31&gt;1,M31))</f>
        <v>0</v>
      </c>
      <c r="G31" s="104">
        <f t="shared" si="7"/>
        <v>0</v>
      </c>
      <c r="H31" s="104">
        <f t="shared" si="5"/>
        <v>366</v>
      </c>
      <c r="I31" s="112" t="b">
        <f t="shared" ref="I31" si="15">IF($L$5=A31,K31,IF($L$5&gt;A31,I30))</f>
        <v>0</v>
      </c>
      <c r="J31" s="112">
        <f>SUM($I$8:I30)</f>
        <v>100000000</v>
      </c>
      <c r="K31" s="112">
        <f t="shared" si="10"/>
        <v>0</v>
      </c>
      <c r="L31" s="106">
        <f>ROUND(C31*'Общие данные'!$B$84/H31,2)*G31</f>
        <v>0</v>
      </c>
      <c r="M31" s="106">
        <f t="shared" si="0"/>
        <v>0</v>
      </c>
      <c r="N31" s="106"/>
      <c r="O31" s="121" t="str">
        <f t="shared" si="9"/>
        <v>Сб</v>
      </c>
      <c r="P31" s="123">
        <f t="shared" si="6"/>
        <v>2</v>
      </c>
      <c r="Q31" s="123">
        <f>DAY('Общие данные'!$B$78)+P31</f>
        <v>17</v>
      </c>
      <c r="R31" s="118">
        <f>IF(A31&lt;='Общие данные'!$B$81,DATE(YEAR($B$8),MONTH($B$8)+A30,DAY('Общие данные'!$B$78)),0)</f>
        <v>0</v>
      </c>
      <c r="S31" s="104"/>
      <c r="T31" s="104"/>
      <c r="U31" s="104"/>
      <c r="V31" s="104"/>
    </row>
    <row r="32" spans="1:22" x14ac:dyDescent="0.25">
      <c r="A32" s="110">
        <f t="shared" ref="A32:A43" si="16">1+A31</f>
        <v>25</v>
      </c>
      <c r="B32" s="111" t="b">
        <f>IF(A32&lt;='Общие данные'!$B$81,DATE(YEAR(R32),MONTH(R32),DAY(IF(A32='Общие данные'!$B$81,'Общие данные'!$B$67,IF(A32&lt;'Общие данные'!$B$81,(Q32),IF(A32&gt;'Общие данные'!$B$81,$H$44,0))))))</f>
        <v>0</v>
      </c>
      <c r="C32" s="58">
        <f t="shared" ref="C32:C43" si="17">C31-D31</f>
        <v>0</v>
      </c>
      <c r="D32" s="58">
        <f t="shared" ref="D32:D43" si="18">IF(C32=0,L32,IF(C32&gt;1,I32))</f>
        <v>0</v>
      </c>
      <c r="E32" s="58">
        <f t="shared" ref="E32:E43" si="19">IF(C32=0,N31,IF(C32&gt;1,L32))</f>
        <v>0</v>
      </c>
      <c r="F32" s="58">
        <f t="shared" ref="F32:F43" si="20">IF(C32=0,N31,IF(C32&gt;1,M32))</f>
        <v>0</v>
      </c>
      <c r="G32" s="104">
        <f t="shared" ref="G32:G43" si="21">B32-B31</f>
        <v>0</v>
      </c>
      <c r="H32" s="104">
        <f t="shared" ref="H32:H43" si="22">DATE(YEAR(B32),12,31)-DATE(YEAR(B32),1,1)+1</f>
        <v>366</v>
      </c>
      <c r="I32" s="112" t="b">
        <f t="shared" ref="I32:I43" si="23">IF($L$5=A32,K32,IF($L$5&gt;A32,I31))</f>
        <v>0</v>
      </c>
      <c r="J32" s="112">
        <f>SUM($I$8:I31)</f>
        <v>100000000</v>
      </c>
      <c r="K32" s="112">
        <f t="shared" ref="K32:K43" si="24">$J$12-J32</f>
        <v>0</v>
      </c>
      <c r="L32" s="106">
        <f>ROUND(C32*'Общие данные'!$B$84/H32,2)*G32</f>
        <v>0</v>
      </c>
      <c r="M32" s="106">
        <f t="shared" ref="M32:M43" si="25">D32+E32</f>
        <v>0</v>
      </c>
      <c r="N32" s="106"/>
      <c r="O32" s="121" t="str">
        <f t="shared" ref="O32:O43" si="26">TEXT(R32,"ддд")</f>
        <v>Сб</v>
      </c>
      <c r="P32" s="123">
        <f t="shared" ref="P32:P43" si="27">IF(O32=$U$8,2,IF(O32=$V$8,1,0))</f>
        <v>2</v>
      </c>
      <c r="Q32" s="123">
        <f>DAY('Общие данные'!$B$78)+P32</f>
        <v>17</v>
      </c>
      <c r="R32" s="118">
        <f>IF(A32&lt;='Общие данные'!$B$81,DATE(YEAR($B$8),MONTH($B$8)+A31,DAY('Общие данные'!$B$78)),0)</f>
        <v>0</v>
      </c>
      <c r="S32" s="104"/>
      <c r="T32" s="104"/>
      <c r="U32" s="104"/>
      <c r="V32" s="104"/>
    </row>
    <row r="33" spans="1:22" x14ac:dyDescent="0.25">
      <c r="A33" s="110">
        <f t="shared" si="16"/>
        <v>26</v>
      </c>
      <c r="B33" s="111" t="b">
        <f>IF(A33&lt;='Общие данные'!$B$81,DATE(YEAR(R33),MONTH(R33),DAY(IF(A33='Общие данные'!$B$81,'Общие данные'!$B$67,IF(A33&lt;'Общие данные'!$B$81,(Q33),IF(A33&gt;'Общие данные'!$B$81,$H$44,0))))))</f>
        <v>0</v>
      </c>
      <c r="C33" s="58">
        <f t="shared" si="17"/>
        <v>0</v>
      </c>
      <c r="D33" s="58">
        <f t="shared" si="18"/>
        <v>0</v>
      </c>
      <c r="E33" s="58">
        <f t="shared" si="19"/>
        <v>0</v>
      </c>
      <c r="F33" s="58">
        <f t="shared" si="20"/>
        <v>0</v>
      </c>
      <c r="G33" s="104">
        <f t="shared" si="21"/>
        <v>0</v>
      </c>
      <c r="H33" s="104">
        <f t="shared" si="22"/>
        <v>366</v>
      </c>
      <c r="I33" s="112" t="b">
        <f t="shared" si="23"/>
        <v>0</v>
      </c>
      <c r="J33" s="112">
        <f>SUM($I$8:I32)</f>
        <v>100000000</v>
      </c>
      <c r="K33" s="112">
        <f t="shared" si="24"/>
        <v>0</v>
      </c>
      <c r="L33" s="106">
        <f>ROUND(C33*'Общие данные'!$B$84/H33,2)*G33</f>
        <v>0</v>
      </c>
      <c r="M33" s="106">
        <f t="shared" si="25"/>
        <v>0</v>
      </c>
      <c r="N33" s="106"/>
      <c r="O33" s="121" t="str">
        <f t="shared" si="26"/>
        <v>Сб</v>
      </c>
      <c r="P33" s="123">
        <f t="shared" si="27"/>
        <v>2</v>
      </c>
      <c r="Q33" s="123">
        <f>DAY('Общие данные'!$B$78)+P33</f>
        <v>17</v>
      </c>
      <c r="R33" s="118">
        <f>IF(A33&lt;='Общие данные'!$B$81,DATE(YEAR($B$8),MONTH($B$8)+A32,DAY('Общие данные'!$B$78)),0)</f>
        <v>0</v>
      </c>
      <c r="S33" s="104"/>
      <c r="T33" s="104"/>
      <c r="U33" s="104"/>
      <c r="V33" s="104"/>
    </row>
    <row r="34" spans="1:22" x14ac:dyDescent="0.25">
      <c r="A34" s="110">
        <f t="shared" si="16"/>
        <v>27</v>
      </c>
      <c r="B34" s="111" t="b">
        <f>IF(A34&lt;='Общие данные'!$B$81,DATE(YEAR(R34),MONTH(R34),DAY(IF(A34='Общие данные'!$B$81,'Общие данные'!$B$67,IF(A34&lt;'Общие данные'!$B$81,(Q34),IF(A34&gt;'Общие данные'!$B$81,$H$44,0))))))</f>
        <v>0</v>
      </c>
      <c r="C34" s="58">
        <f t="shared" si="17"/>
        <v>0</v>
      </c>
      <c r="D34" s="58">
        <f t="shared" si="18"/>
        <v>0</v>
      </c>
      <c r="E34" s="58">
        <f t="shared" si="19"/>
        <v>0</v>
      </c>
      <c r="F34" s="58">
        <f t="shared" si="20"/>
        <v>0</v>
      </c>
      <c r="G34" s="104">
        <f t="shared" si="21"/>
        <v>0</v>
      </c>
      <c r="H34" s="104">
        <f t="shared" si="22"/>
        <v>366</v>
      </c>
      <c r="I34" s="112" t="b">
        <f t="shared" si="23"/>
        <v>0</v>
      </c>
      <c r="J34" s="112">
        <f>SUM($I$8:I33)</f>
        <v>100000000</v>
      </c>
      <c r="K34" s="112">
        <f t="shared" si="24"/>
        <v>0</v>
      </c>
      <c r="L34" s="106">
        <f>ROUND(C34*'Общие данные'!$B$84/H34,2)*G34</f>
        <v>0</v>
      </c>
      <c r="M34" s="106">
        <f t="shared" si="25"/>
        <v>0</v>
      </c>
      <c r="N34" s="106"/>
      <c r="O34" s="121" t="str">
        <f t="shared" si="26"/>
        <v>Сб</v>
      </c>
      <c r="P34" s="123">
        <f t="shared" si="27"/>
        <v>2</v>
      </c>
      <c r="Q34" s="123">
        <f>DAY('Общие данные'!$B$78)+P34</f>
        <v>17</v>
      </c>
      <c r="R34" s="118">
        <f>IF(A34&lt;='Общие данные'!$B$81,DATE(YEAR($B$8),MONTH($B$8)+A33,DAY('Общие данные'!$B$78)),0)</f>
        <v>0</v>
      </c>
      <c r="S34" s="104"/>
      <c r="T34" s="104"/>
      <c r="U34" s="104"/>
      <c r="V34" s="104"/>
    </row>
    <row r="35" spans="1:22" x14ac:dyDescent="0.25">
      <c r="A35" s="110">
        <f t="shared" si="16"/>
        <v>28</v>
      </c>
      <c r="B35" s="111" t="b">
        <f>IF(A35&lt;='Общие данные'!$B$81,DATE(YEAR(R35),MONTH(R35),DAY(IF(A35='Общие данные'!$B$81,'Общие данные'!$B$67,IF(A35&lt;'Общие данные'!$B$81,(Q35),IF(A35&gt;'Общие данные'!$B$81,$H$44,0))))))</f>
        <v>0</v>
      </c>
      <c r="C35" s="58">
        <f t="shared" si="17"/>
        <v>0</v>
      </c>
      <c r="D35" s="58">
        <f t="shared" si="18"/>
        <v>0</v>
      </c>
      <c r="E35" s="58">
        <f t="shared" si="19"/>
        <v>0</v>
      </c>
      <c r="F35" s="58">
        <f t="shared" si="20"/>
        <v>0</v>
      </c>
      <c r="G35" s="104">
        <f t="shared" si="21"/>
        <v>0</v>
      </c>
      <c r="H35" s="104">
        <f t="shared" si="22"/>
        <v>366</v>
      </c>
      <c r="I35" s="112" t="b">
        <f t="shared" si="23"/>
        <v>0</v>
      </c>
      <c r="J35" s="112">
        <f>SUM($I$8:I34)</f>
        <v>100000000</v>
      </c>
      <c r="K35" s="112">
        <f t="shared" si="24"/>
        <v>0</v>
      </c>
      <c r="L35" s="106">
        <f>ROUND(C35*'Общие данные'!$B$84/H35,2)*G35</f>
        <v>0</v>
      </c>
      <c r="M35" s="106">
        <f t="shared" si="25"/>
        <v>0</v>
      </c>
      <c r="N35" s="106"/>
      <c r="O35" s="121" t="str">
        <f t="shared" si="26"/>
        <v>Сб</v>
      </c>
      <c r="P35" s="123">
        <f t="shared" si="27"/>
        <v>2</v>
      </c>
      <c r="Q35" s="123">
        <f>DAY('Общие данные'!$B$78)+P35</f>
        <v>17</v>
      </c>
      <c r="R35" s="118">
        <f>IF(A35&lt;='Общие данные'!$B$81,DATE(YEAR($B$8),MONTH($B$8)+A34,DAY('Общие данные'!$B$78)),0)</f>
        <v>0</v>
      </c>
      <c r="S35" s="104"/>
      <c r="T35" s="104"/>
      <c r="U35" s="104"/>
      <c r="V35" s="104"/>
    </row>
    <row r="36" spans="1:22" x14ac:dyDescent="0.25">
      <c r="A36" s="110">
        <f t="shared" si="16"/>
        <v>29</v>
      </c>
      <c r="B36" s="111" t="b">
        <f>IF(A36&lt;='Общие данные'!$B$81,DATE(YEAR(R36),MONTH(R36),DAY(IF(A36='Общие данные'!$B$81,'Общие данные'!$B$67,IF(A36&lt;'Общие данные'!$B$81,(Q36),IF(A36&gt;'Общие данные'!$B$81,$H$44,0))))))</f>
        <v>0</v>
      </c>
      <c r="C36" s="58">
        <f t="shared" si="17"/>
        <v>0</v>
      </c>
      <c r="D36" s="58">
        <f t="shared" si="18"/>
        <v>0</v>
      </c>
      <c r="E36" s="58">
        <f t="shared" si="19"/>
        <v>0</v>
      </c>
      <c r="F36" s="58">
        <f t="shared" si="20"/>
        <v>0</v>
      </c>
      <c r="G36" s="104">
        <f t="shared" si="21"/>
        <v>0</v>
      </c>
      <c r="H36" s="104">
        <f t="shared" si="22"/>
        <v>366</v>
      </c>
      <c r="I36" s="112" t="b">
        <f t="shared" si="23"/>
        <v>0</v>
      </c>
      <c r="J36" s="112">
        <f>SUM($I$8:I35)</f>
        <v>100000000</v>
      </c>
      <c r="K36" s="112">
        <f t="shared" si="24"/>
        <v>0</v>
      </c>
      <c r="L36" s="106">
        <f>ROUND(C36*'Общие данные'!$B$84/H36,2)*G36</f>
        <v>0</v>
      </c>
      <c r="M36" s="106">
        <f t="shared" si="25"/>
        <v>0</v>
      </c>
      <c r="N36" s="106"/>
      <c r="O36" s="121" t="str">
        <f t="shared" si="26"/>
        <v>Сб</v>
      </c>
      <c r="P36" s="123">
        <f t="shared" si="27"/>
        <v>2</v>
      </c>
      <c r="Q36" s="123">
        <f>DAY('Общие данные'!$B$78)+P36</f>
        <v>17</v>
      </c>
      <c r="R36" s="118">
        <f>IF(A36&lt;='Общие данные'!$B$81,DATE(YEAR($B$8),MONTH($B$8)+A35,DAY('Общие данные'!$B$78)),0)</f>
        <v>0</v>
      </c>
      <c r="S36" s="104"/>
      <c r="T36" s="104"/>
      <c r="U36" s="104"/>
      <c r="V36" s="104"/>
    </row>
    <row r="37" spans="1:22" x14ac:dyDescent="0.25">
      <c r="A37" s="110">
        <f t="shared" si="16"/>
        <v>30</v>
      </c>
      <c r="B37" s="111" t="b">
        <f>IF(A37&lt;='Общие данные'!$B$81,DATE(YEAR(R37),MONTH(R37),DAY(IF(A37='Общие данные'!$B$81,'Общие данные'!$B$67,IF(A37&lt;'Общие данные'!$B$81,(Q37),IF(A37&gt;'Общие данные'!$B$81,$H$44,0))))))</f>
        <v>0</v>
      </c>
      <c r="C37" s="58">
        <f t="shared" si="17"/>
        <v>0</v>
      </c>
      <c r="D37" s="58">
        <f t="shared" si="18"/>
        <v>0</v>
      </c>
      <c r="E37" s="58">
        <f t="shared" si="19"/>
        <v>0</v>
      </c>
      <c r="F37" s="58">
        <f t="shared" si="20"/>
        <v>0</v>
      </c>
      <c r="G37" s="104">
        <f t="shared" si="21"/>
        <v>0</v>
      </c>
      <c r="H37" s="104">
        <f t="shared" si="22"/>
        <v>366</v>
      </c>
      <c r="I37" s="112" t="b">
        <f t="shared" si="23"/>
        <v>0</v>
      </c>
      <c r="J37" s="112">
        <f>SUM($I$8:I36)</f>
        <v>100000000</v>
      </c>
      <c r="K37" s="112">
        <f t="shared" si="24"/>
        <v>0</v>
      </c>
      <c r="L37" s="106">
        <f>ROUND(C37*'Общие данные'!$B$84/H37,2)*G37</f>
        <v>0</v>
      </c>
      <c r="M37" s="106">
        <f t="shared" si="25"/>
        <v>0</v>
      </c>
      <c r="N37" s="106"/>
      <c r="O37" s="121" t="str">
        <f t="shared" si="26"/>
        <v>Сб</v>
      </c>
      <c r="P37" s="123">
        <f t="shared" si="27"/>
        <v>2</v>
      </c>
      <c r="Q37" s="123">
        <f>DAY('Общие данные'!$B$78)+P37</f>
        <v>17</v>
      </c>
      <c r="R37" s="118">
        <f>IF(A37&lt;='Общие данные'!$B$81,DATE(YEAR($B$8),MONTH($B$8)+A36,DAY('Общие данные'!$B$78)),0)</f>
        <v>0</v>
      </c>
      <c r="S37" s="104"/>
      <c r="T37" s="104"/>
      <c r="U37" s="104"/>
      <c r="V37" s="104"/>
    </row>
    <row r="38" spans="1:22" x14ac:dyDescent="0.25">
      <c r="A38" s="110">
        <f t="shared" si="16"/>
        <v>31</v>
      </c>
      <c r="B38" s="111" t="b">
        <f>IF(A38&lt;='Общие данные'!$B$81,DATE(YEAR(R38),MONTH(R38),DAY(IF(A38='Общие данные'!$B$81,'Общие данные'!$B$67,IF(A38&lt;'Общие данные'!$B$81,(Q38),IF(A38&gt;'Общие данные'!$B$81,$H$44,0))))))</f>
        <v>0</v>
      </c>
      <c r="C38" s="58">
        <f t="shared" si="17"/>
        <v>0</v>
      </c>
      <c r="D38" s="58">
        <f t="shared" si="18"/>
        <v>0</v>
      </c>
      <c r="E38" s="58">
        <f t="shared" si="19"/>
        <v>0</v>
      </c>
      <c r="F38" s="58">
        <f t="shared" si="20"/>
        <v>0</v>
      </c>
      <c r="G38" s="104">
        <f t="shared" si="21"/>
        <v>0</v>
      </c>
      <c r="H38" s="104">
        <f t="shared" si="22"/>
        <v>366</v>
      </c>
      <c r="I38" s="112" t="b">
        <f t="shared" si="23"/>
        <v>0</v>
      </c>
      <c r="J38" s="112">
        <f>SUM($I$8:I37)</f>
        <v>100000000</v>
      </c>
      <c r="K38" s="112">
        <f t="shared" si="24"/>
        <v>0</v>
      </c>
      <c r="L38" s="106">
        <f>ROUND(C38*'Общие данные'!$B$84/H38,2)*G38</f>
        <v>0</v>
      </c>
      <c r="M38" s="106">
        <f t="shared" si="25"/>
        <v>0</v>
      </c>
      <c r="N38" s="106"/>
      <c r="O38" s="121" t="str">
        <f t="shared" si="26"/>
        <v>Сб</v>
      </c>
      <c r="P38" s="123">
        <f t="shared" si="27"/>
        <v>2</v>
      </c>
      <c r="Q38" s="123">
        <f>DAY('Общие данные'!$B$78)+P38</f>
        <v>17</v>
      </c>
      <c r="R38" s="118">
        <f>IF(A38&lt;='Общие данные'!$B$81,DATE(YEAR($B$8),MONTH($B$8)+A37,DAY('Общие данные'!$B$78)),0)</f>
        <v>0</v>
      </c>
      <c r="S38" s="104"/>
      <c r="T38" s="104"/>
      <c r="U38" s="104"/>
      <c r="V38" s="104"/>
    </row>
    <row r="39" spans="1:22" x14ac:dyDescent="0.25">
      <c r="A39" s="110">
        <f t="shared" si="16"/>
        <v>32</v>
      </c>
      <c r="B39" s="111" t="b">
        <f>IF(A39&lt;='Общие данные'!$B$81,DATE(YEAR(R39),MONTH(R39),DAY(IF(A39='Общие данные'!$B$81,'Общие данные'!$B$67,IF(A39&lt;'Общие данные'!$B$81,(Q39),IF(A39&gt;'Общие данные'!$B$81,$H$44,0))))))</f>
        <v>0</v>
      </c>
      <c r="C39" s="58">
        <f t="shared" si="17"/>
        <v>0</v>
      </c>
      <c r="D39" s="58">
        <f t="shared" si="18"/>
        <v>0</v>
      </c>
      <c r="E39" s="58">
        <f t="shared" si="19"/>
        <v>0</v>
      </c>
      <c r="F39" s="58">
        <f t="shared" si="20"/>
        <v>0</v>
      </c>
      <c r="G39" s="104">
        <f t="shared" si="21"/>
        <v>0</v>
      </c>
      <c r="H39" s="104">
        <f t="shared" si="22"/>
        <v>366</v>
      </c>
      <c r="I39" s="112" t="b">
        <f t="shared" si="23"/>
        <v>0</v>
      </c>
      <c r="J39" s="112">
        <f>SUM($I$8:I38)</f>
        <v>100000000</v>
      </c>
      <c r="K39" s="112">
        <f t="shared" si="24"/>
        <v>0</v>
      </c>
      <c r="L39" s="106">
        <f>ROUND(C39*'Общие данные'!$B$84/H39,2)*G39</f>
        <v>0</v>
      </c>
      <c r="M39" s="106">
        <f t="shared" si="25"/>
        <v>0</v>
      </c>
      <c r="N39" s="106"/>
      <c r="O39" s="121" t="str">
        <f t="shared" si="26"/>
        <v>Сб</v>
      </c>
      <c r="P39" s="123">
        <f t="shared" si="27"/>
        <v>2</v>
      </c>
      <c r="Q39" s="123">
        <f>DAY('Общие данные'!$B$78)+P39</f>
        <v>17</v>
      </c>
      <c r="R39" s="118">
        <f>IF(A39&lt;='Общие данные'!$B$81,DATE(YEAR($B$8),MONTH($B$8)+A38,DAY('Общие данные'!$B$78)),0)</f>
        <v>0</v>
      </c>
      <c r="S39" s="104"/>
      <c r="T39" s="104"/>
      <c r="U39" s="104"/>
      <c r="V39" s="104"/>
    </row>
    <row r="40" spans="1:22" x14ac:dyDescent="0.25">
      <c r="A40" s="110">
        <f t="shared" si="16"/>
        <v>33</v>
      </c>
      <c r="B40" s="111" t="b">
        <f>IF(A40&lt;='Общие данные'!$B$81,DATE(YEAR(R40),MONTH(R40),DAY(IF(A40='Общие данные'!$B$81,'Общие данные'!$B$67,IF(A40&lt;'Общие данные'!$B$81,(Q40),IF(A40&gt;'Общие данные'!$B$81,$H$44,0))))))</f>
        <v>0</v>
      </c>
      <c r="C40" s="58">
        <f t="shared" si="17"/>
        <v>0</v>
      </c>
      <c r="D40" s="58">
        <f t="shared" si="18"/>
        <v>0</v>
      </c>
      <c r="E40" s="58">
        <f t="shared" si="19"/>
        <v>0</v>
      </c>
      <c r="F40" s="58">
        <f t="shared" si="20"/>
        <v>0</v>
      </c>
      <c r="G40" s="104">
        <f t="shared" si="21"/>
        <v>0</v>
      </c>
      <c r="H40" s="104">
        <f t="shared" si="22"/>
        <v>366</v>
      </c>
      <c r="I40" s="112" t="b">
        <f t="shared" si="23"/>
        <v>0</v>
      </c>
      <c r="J40" s="112">
        <f>SUM($I$8:I39)</f>
        <v>100000000</v>
      </c>
      <c r="K40" s="112">
        <f t="shared" si="24"/>
        <v>0</v>
      </c>
      <c r="L40" s="106">
        <f>ROUND(C40*'Общие данные'!$B$84/H40,2)*G40</f>
        <v>0</v>
      </c>
      <c r="M40" s="106">
        <f t="shared" si="25"/>
        <v>0</v>
      </c>
      <c r="N40" s="106"/>
      <c r="O40" s="121" t="str">
        <f t="shared" si="26"/>
        <v>Сб</v>
      </c>
      <c r="P40" s="123">
        <f t="shared" si="27"/>
        <v>2</v>
      </c>
      <c r="Q40" s="123">
        <f>DAY('Общие данные'!$B$78)+P40</f>
        <v>17</v>
      </c>
      <c r="R40" s="118">
        <f>IF(A40&lt;='Общие данные'!$B$81,DATE(YEAR($B$8),MONTH($B$8)+A39,DAY('Общие данные'!$B$78)),0)</f>
        <v>0</v>
      </c>
      <c r="S40" s="104"/>
      <c r="T40" s="104"/>
      <c r="U40" s="104"/>
      <c r="V40" s="104"/>
    </row>
    <row r="41" spans="1:22" x14ac:dyDescent="0.25">
      <c r="A41" s="110">
        <f t="shared" si="16"/>
        <v>34</v>
      </c>
      <c r="B41" s="111" t="b">
        <f>IF(A41&lt;='Общие данные'!$B$81,DATE(YEAR(R41),MONTH(R41),DAY(IF(A41='Общие данные'!$B$81,'Общие данные'!$B$67,IF(A41&lt;'Общие данные'!$B$81,(Q41),IF(A41&gt;'Общие данные'!$B$81,$H$44,0))))))</f>
        <v>0</v>
      </c>
      <c r="C41" s="58">
        <f t="shared" si="17"/>
        <v>0</v>
      </c>
      <c r="D41" s="58">
        <f t="shared" si="18"/>
        <v>0</v>
      </c>
      <c r="E41" s="58">
        <f t="shared" si="19"/>
        <v>0</v>
      </c>
      <c r="F41" s="58">
        <f t="shared" si="20"/>
        <v>0</v>
      </c>
      <c r="G41" s="104">
        <f t="shared" si="21"/>
        <v>0</v>
      </c>
      <c r="H41" s="104">
        <f t="shared" si="22"/>
        <v>366</v>
      </c>
      <c r="I41" s="112" t="b">
        <f t="shared" si="23"/>
        <v>0</v>
      </c>
      <c r="J41" s="112">
        <f>SUM($I$8:I40)</f>
        <v>100000000</v>
      </c>
      <c r="K41" s="112">
        <f t="shared" si="24"/>
        <v>0</v>
      </c>
      <c r="L41" s="106">
        <f>ROUND(C41*'Общие данные'!$B$84/H41,2)*G41</f>
        <v>0</v>
      </c>
      <c r="M41" s="106">
        <f t="shared" si="25"/>
        <v>0</v>
      </c>
      <c r="N41" s="106"/>
      <c r="O41" s="121" t="str">
        <f t="shared" si="26"/>
        <v>Сб</v>
      </c>
      <c r="P41" s="123">
        <f t="shared" si="27"/>
        <v>2</v>
      </c>
      <c r="Q41" s="123">
        <f>DAY('Общие данные'!$B$78)+P41</f>
        <v>17</v>
      </c>
      <c r="R41" s="118">
        <f>IF(A41&lt;='Общие данные'!$B$81,DATE(YEAR($B$8),MONTH($B$8)+A40,DAY('Общие данные'!$B$78)),0)</f>
        <v>0</v>
      </c>
      <c r="S41" s="104"/>
      <c r="T41" s="104"/>
      <c r="U41" s="104"/>
      <c r="V41" s="104"/>
    </row>
    <row r="42" spans="1:22" x14ac:dyDescent="0.25">
      <c r="A42" s="110">
        <f t="shared" si="16"/>
        <v>35</v>
      </c>
      <c r="B42" s="111" t="b">
        <f>IF(A42&lt;='Общие данные'!$B$81,DATE(YEAR(R42),MONTH(R42),DAY(IF(A42='Общие данные'!$B$81,'Общие данные'!$B$67,IF(A42&lt;'Общие данные'!$B$81,(Q42),IF(A42&gt;'Общие данные'!$B$81,$H$44,0))))))</f>
        <v>0</v>
      </c>
      <c r="C42" s="58">
        <f t="shared" si="17"/>
        <v>0</v>
      </c>
      <c r="D42" s="58">
        <f t="shared" si="18"/>
        <v>0</v>
      </c>
      <c r="E42" s="58">
        <f t="shared" si="19"/>
        <v>0</v>
      </c>
      <c r="F42" s="58">
        <f t="shared" si="20"/>
        <v>0</v>
      </c>
      <c r="G42" s="104">
        <f t="shared" si="21"/>
        <v>0</v>
      </c>
      <c r="H42" s="104">
        <f t="shared" si="22"/>
        <v>366</v>
      </c>
      <c r="I42" s="112" t="b">
        <f t="shared" si="23"/>
        <v>0</v>
      </c>
      <c r="J42" s="112">
        <f>SUM($I$8:I41)</f>
        <v>100000000</v>
      </c>
      <c r="K42" s="112">
        <f t="shared" si="24"/>
        <v>0</v>
      </c>
      <c r="L42" s="106">
        <f>ROUND(C42*'Общие данные'!$B$84/H42,2)*G42</f>
        <v>0</v>
      </c>
      <c r="M42" s="106">
        <f t="shared" si="25"/>
        <v>0</v>
      </c>
      <c r="N42" s="106"/>
      <c r="O42" s="121" t="str">
        <f t="shared" si="26"/>
        <v>Сб</v>
      </c>
      <c r="P42" s="123">
        <f t="shared" si="27"/>
        <v>2</v>
      </c>
      <c r="Q42" s="123">
        <f>DAY('Общие данные'!$B$78)+P42</f>
        <v>17</v>
      </c>
      <c r="R42" s="118">
        <f>IF(A42&lt;='Общие данные'!$B$81,DATE(YEAR($B$8),MONTH($B$8)+A41,DAY('Общие данные'!$B$78)),0)</f>
        <v>0</v>
      </c>
      <c r="S42" s="104"/>
      <c r="T42" s="104"/>
      <c r="U42" s="104"/>
      <c r="V42" s="104"/>
    </row>
    <row r="43" spans="1:22" x14ac:dyDescent="0.25">
      <c r="A43" s="110">
        <f t="shared" si="16"/>
        <v>36</v>
      </c>
      <c r="B43" s="111" t="b">
        <f>IF(A43&lt;='Общие данные'!$B$81,DATE(YEAR(R43),MONTH(R43),DAY(IF(A43='Общие данные'!$B$81,'Общие данные'!$B$67,IF(A43&lt;'Общие данные'!$B$81,(Q43),IF(A43&gt;'Общие данные'!$B$81,$H$44,0))))))</f>
        <v>0</v>
      </c>
      <c r="C43" s="58">
        <f t="shared" si="17"/>
        <v>0</v>
      </c>
      <c r="D43" s="58">
        <f t="shared" si="18"/>
        <v>0</v>
      </c>
      <c r="E43" s="58">
        <f t="shared" si="19"/>
        <v>0</v>
      </c>
      <c r="F43" s="58">
        <f t="shared" si="20"/>
        <v>0</v>
      </c>
      <c r="G43" s="104">
        <f t="shared" si="21"/>
        <v>0</v>
      </c>
      <c r="H43" s="104">
        <f t="shared" si="22"/>
        <v>366</v>
      </c>
      <c r="I43" s="112" t="b">
        <f t="shared" si="23"/>
        <v>0</v>
      </c>
      <c r="J43" s="112">
        <f>SUM($I$8:I42)</f>
        <v>100000000</v>
      </c>
      <c r="K43" s="112">
        <f t="shared" si="24"/>
        <v>0</v>
      </c>
      <c r="L43" s="106">
        <f>ROUND(C43*'Общие данные'!$B$84/H43,2)*G43</f>
        <v>0</v>
      </c>
      <c r="M43" s="106">
        <f t="shared" si="25"/>
        <v>0</v>
      </c>
      <c r="N43" s="106"/>
      <c r="O43" s="121" t="str">
        <f t="shared" si="26"/>
        <v>Сб</v>
      </c>
      <c r="P43" s="123">
        <f t="shared" si="27"/>
        <v>2</v>
      </c>
      <c r="Q43" s="123">
        <f>DAY('Общие данные'!$B$78)+P43</f>
        <v>17</v>
      </c>
      <c r="R43" s="118">
        <f>IF(A43&lt;='Общие данные'!$B$81,DATE(YEAR($B$8),MONTH($B$8)+A42,DAY('Общие данные'!$B$78)),0)</f>
        <v>0</v>
      </c>
      <c r="S43" s="104"/>
      <c r="T43" s="104"/>
      <c r="U43" s="104"/>
      <c r="V43" s="104"/>
    </row>
    <row r="44" spans="1:22" x14ac:dyDescent="0.25">
      <c r="A44" s="113"/>
      <c r="B44" s="114" t="s">
        <v>7</v>
      </c>
      <c r="C44" s="115"/>
      <c r="D44" s="115">
        <f>SUM(D8:D31)</f>
        <v>100000000</v>
      </c>
      <c r="E44" s="115">
        <f>SUM(E8:E31)</f>
        <v>15808219.02</v>
      </c>
      <c r="F44" s="115">
        <f>SUM(F8:F31)</f>
        <v>115808219.02000001</v>
      </c>
    </row>
    <row r="45" spans="1:22" ht="9" customHeight="1" x14ac:dyDescent="0.25">
      <c r="B45" s="116"/>
      <c r="C45" s="117"/>
      <c r="D45" s="117"/>
      <c r="E45" s="117"/>
      <c r="F45" s="117"/>
    </row>
    <row r="46" spans="1:22" ht="47.25" customHeight="1" x14ac:dyDescent="0.25">
      <c r="A46" s="242" t="s">
        <v>17</v>
      </c>
      <c r="B46" s="242"/>
      <c r="C46" s="242"/>
      <c r="D46" s="242"/>
      <c r="E46" s="242"/>
      <c r="F46" s="242"/>
    </row>
    <row r="47" spans="1:22" ht="7.5" customHeight="1" x14ac:dyDescent="0.25"/>
    <row r="48" spans="1:22" x14ac:dyDescent="0.25">
      <c r="A48" s="243" t="e">
        <f>#REF!</f>
        <v>#REF!</v>
      </c>
      <c r="B48" s="243"/>
      <c r="C48" s="243"/>
      <c r="D48" s="243" t="e">
        <f>#REF!</f>
        <v>#REF!</v>
      </c>
      <c r="E48" s="243"/>
      <c r="F48" s="243"/>
    </row>
    <row r="49" spans="1:6" ht="11.25" customHeight="1" x14ac:dyDescent="0.25">
      <c r="A49" s="244"/>
      <c r="B49" s="244"/>
      <c r="C49" s="244"/>
      <c r="D49" s="244"/>
      <c r="E49" s="244"/>
      <c r="F49" s="244"/>
    </row>
    <row r="50" spans="1:6" ht="30" customHeight="1" x14ac:dyDescent="0.25">
      <c r="A50" s="241" t="e">
        <f>#REF!</f>
        <v>#REF!</v>
      </c>
      <c r="B50" s="241"/>
      <c r="C50" s="241"/>
      <c r="D50" s="241" t="e">
        <f>#REF!</f>
        <v>#REF!</v>
      </c>
      <c r="E50" s="241"/>
      <c r="F50" s="241"/>
    </row>
    <row r="51" spans="1:6" ht="32.25" customHeight="1" x14ac:dyDescent="0.25">
      <c r="A51" s="237" t="e">
        <f>#REF!</f>
        <v>#REF!</v>
      </c>
      <c r="B51" s="237"/>
      <c r="C51" s="237"/>
      <c r="D51" s="237" t="e">
        <f>#REF!</f>
        <v>#REF!</v>
      </c>
      <c r="E51" s="237"/>
      <c r="F51" s="237"/>
    </row>
    <row r="52" spans="1:6" x14ac:dyDescent="0.25">
      <c r="A52" s="237" t="e">
        <f>#REF!</f>
        <v>#REF!</v>
      </c>
      <c r="B52" s="237"/>
      <c r="C52" s="237"/>
      <c r="D52" s="237" t="str">
        <f>"паспорт серии "&amp;'Общие данные'!B16&amp;", "&amp;'Общие данные'!B20&amp;""</f>
        <v>паспорт серии AD 2029757, IIV 60005 tomonidan 16.11.2022 yilda berilgan</v>
      </c>
      <c r="E52" s="237"/>
      <c r="F52" s="237"/>
    </row>
    <row r="53" spans="1:6" ht="32.25" customHeight="1" x14ac:dyDescent="0.25">
      <c r="A53" s="237" t="e">
        <f>#REF!</f>
        <v>#REF!</v>
      </c>
      <c r="B53" s="237"/>
      <c r="C53" s="237"/>
      <c r="D53" s="237"/>
      <c r="E53" s="237"/>
      <c r="F53" s="237"/>
    </row>
    <row r="54" spans="1:6" x14ac:dyDescent="0.25">
      <c r="A54" s="237" t="e">
        <f>#REF!</f>
        <v>#REF!</v>
      </c>
      <c r="B54" s="237"/>
      <c r="C54" s="237"/>
      <c r="D54" s="237" t="e">
        <f>#REF!</f>
        <v>#REF!</v>
      </c>
      <c r="E54" s="237"/>
      <c r="F54" s="237"/>
    </row>
    <row r="55" spans="1:6" x14ac:dyDescent="0.25">
      <c r="A55" s="237" t="e">
        <f>#REF!</f>
        <v>#REF!</v>
      </c>
      <c r="B55" s="237"/>
      <c r="C55" s="237"/>
      <c r="D55" s="237" t="e">
        <f>#REF!</f>
        <v>#REF!</v>
      </c>
      <c r="E55" s="237"/>
      <c r="F55" s="237"/>
    </row>
    <row r="56" spans="1:6" x14ac:dyDescent="0.25">
      <c r="A56" s="237" t="e">
        <f>#REF!</f>
        <v>#REF!</v>
      </c>
      <c r="B56" s="237"/>
      <c r="C56" s="237"/>
      <c r="D56" s="237" t="e">
        <f>#REF!</f>
        <v>#REF!</v>
      </c>
      <c r="E56" s="237"/>
      <c r="F56" s="237"/>
    </row>
    <row r="57" spans="1:6" ht="8.25" customHeight="1" x14ac:dyDescent="0.25">
      <c r="A57" s="237"/>
      <c r="B57" s="237"/>
      <c r="C57" s="237"/>
      <c r="D57" s="237"/>
      <c r="E57" s="237"/>
      <c r="F57" s="237"/>
    </row>
    <row r="58" spans="1:6" x14ac:dyDescent="0.25">
      <c r="A58" s="241" t="e">
        <f>#REF!</f>
        <v>#REF!</v>
      </c>
      <c r="B58" s="241"/>
      <c r="C58" s="241"/>
      <c r="D58" s="241" t="e">
        <f>#REF!</f>
        <v>#REF!</v>
      </c>
      <c r="E58" s="241"/>
      <c r="F58" s="241"/>
    </row>
    <row r="59" spans="1:6" ht="7.5" customHeight="1" x14ac:dyDescent="0.25">
      <c r="A59" s="241"/>
      <c r="B59" s="241"/>
      <c r="C59" s="241"/>
      <c r="D59" s="241"/>
      <c r="E59" s="241"/>
      <c r="F59" s="241"/>
    </row>
    <row r="60" spans="1:6" x14ac:dyDescent="0.25">
      <c r="A60" s="241" t="e">
        <f>#REF!</f>
        <v>#REF!</v>
      </c>
      <c r="B60" s="241"/>
      <c r="C60" s="241"/>
      <c r="D60" s="241" t="e">
        <f>#REF!</f>
        <v>#REF!</v>
      </c>
      <c r="E60" s="241"/>
      <c r="F60" s="241"/>
    </row>
    <row r="61" spans="1:6" ht="8.25" customHeight="1" x14ac:dyDescent="0.25">
      <c r="A61" s="237"/>
      <c r="B61" s="237"/>
      <c r="C61" s="237"/>
      <c r="D61" s="237"/>
      <c r="E61" s="237"/>
      <c r="F61" s="237"/>
    </row>
    <row r="62" spans="1:6" ht="30" customHeight="1" x14ac:dyDescent="0.25">
      <c r="A62" s="238"/>
      <c r="B62" s="238"/>
      <c r="C62" s="238"/>
      <c r="D62" s="239" t="e">
        <f>#REF!</f>
        <v>#REF!</v>
      </c>
      <c r="E62" s="239"/>
      <c r="F62" s="239"/>
    </row>
    <row r="63" spans="1:6" x14ac:dyDescent="0.25">
      <c r="A63" s="240"/>
      <c r="B63" s="240"/>
      <c r="C63" s="240"/>
      <c r="D63" s="240"/>
      <c r="E63" s="240"/>
      <c r="F63" s="240"/>
    </row>
    <row r="64" spans="1:6" x14ac:dyDescent="0.25">
      <c r="A64" s="236"/>
      <c r="B64" s="236"/>
      <c r="C64" s="236"/>
      <c r="D64" s="236"/>
      <c r="E64" s="236"/>
      <c r="F64" s="236"/>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x14ac:dyDescent="0.25"/>
  <cols>
    <col min="1" max="1" width="16.7109375" style="130"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36" customFormat="1" ht="36.75" customHeight="1" x14ac:dyDescent="0.25">
      <c r="A1" s="135" t="s">
        <v>14</v>
      </c>
      <c r="B1" s="136" t="s">
        <v>3</v>
      </c>
      <c r="D1" s="135"/>
      <c r="E1" s="135" t="s">
        <v>39</v>
      </c>
      <c r="F1" s="135" t="s">
        <v>40</v>
      </c>
      <c r="G1" s="135"/>
      <c r="H1" s="135"/>
      <c r="I1" s="135"/>
      <c r="J1" s="135"/>
      <c r="K1" s="135"/>
      <c r="L1" s="135" t="s">
        <v>41</v>
      </c>
      <c r="M1" s="135" t="s">
        <v>43</v>
      </c>
      <c r="N1" s="135" t="s">
        <v>42</v>
      </c>
    </row>
    <row r="2" spans="1:23" ht="15" customHeight="1" x14ac:dyDescent="0.25">
      <c r="A2" s="129">
        <v>1</v>
      </c>
      <c r="B2" t="s">
        <v>257</v>
      </c>
      <c r="C2" t="s">
        <v>66</v>
      </c>
      <c r="D2" s="131" t="s">
        <v>257</v>
      </c>
      <c r="E2" s="131" t="s">
        <v>45</v>
      </c>
      <c r="F2" s="132">
        <v>44207</v>
      </c>
      <c r="G2" s="122">
        <f>MONTH(F2)</f>
        <v>1</v>
      </c>
      <c r="H2" s="132" t="str">
        <f>IF(G2=$A$26,$A$28,IF(G2=$B$26,$B$28,IF(G2=$C$26,$C$28,IF(G2=$D$26,$D$28,IF(G2=$E$26,$E$28,IF(G2=$F$26,$F$28,IF(G2=$K$26,$K$28,IF(G2=$L$26,$L$28,IF(G2=$M$26,$M$28,IF(G2=$N$26,$N$28,IF(G2=$O$26,$O$28,IF(G2=$P$26,$P$28,0))))))))))))</f>
        <v>yanvar</v>
      </c>
      <c r="I2" s="122">
        <f>DAY(F2)</f>
        <v>11</v>
      </c>
      <c r="J2" s="134">
        <f>YEAR(F2)</f>
        <v>2021</v>
      </c>
      <c r="K2" s="132" t="str">
        <f>""&amp;I2&amp;" "&amp;H2&amp;" "&amp;J2&amp;" г."</f>
        <v>11 yanvar 2021 г.</v>
      </c>
      <c r="L2" s="131">
        <v>5</v>
      </c>
      <c r="M2" s="133">
        <v>15000000</v>
      </c>
      <c r="N2" s="131" t="s">
        <v>129</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70"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x14ac:dyDescent="0.25">
      <c r="A3" s="129">
        <v>2</v>
      </c>
      <c r="D3" s="131" t="s">
        <v>257</v>
      </c>
      <c r="E3" s="131" t="s">
        <v>44</v>
      </c>
      <c r="F3" s="132">
        <v>43775</v>
      </c>
      <c r="G3" s="122">
        <f>MONTH(F3)</f>
        <v>11</v>
      </c>
      <c r="H3" s="132" t="str">
        <f>IF(G3=$A$26,$A$28,IF(G3=$B$26,$B$28,IF(G3=$C$26,$C$28,IF(G3=$D$26,$D$28,IF(G3=$E$26,$E$28,IF(G3=$F$26,$F$28,IF(G3=$K$26,$K$28,IF(G3=$L$26,$L$28,IF(G3=$M$26,$M$28,IF(G3=$N$26,$N$28,IF(G3=$O$26,$O$28,IF(G3=$P$26,$P$28,0))))))))))))</f>
        <v>noyabr</v>
      </c>
      <c r="I3" s="122">
        <f>DAY(F3)</f>
        <v>6</v>
      </c>
      <c r="J3" s="134">
        <f>YEAR(F3)</f>
        <v>2019</v>
      </c>
      <c r="K3" s="132" t="str">
        <f>""&amp;I3&amp;" "&amp;H3&amp;" "&amp;J3&amp;" г."</f>
        <v>6 noyabr 2019 г.</v>
      </c>
      <c r="L3" s="131">
        <v>386</v>
      </c>
      <c r="M3" s="133">
        <v>15000000</v>
      </c>
      <c r="N3" s="131" t="s">
        <v>129</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x14ac:dyDescent="0.25">
      <c r="A4" s="129">
        <v>3</v>
      </c>
      <c r="D4" s="131" t="s">
        <v>257</v>
      </c>
      <c r="E4" s="131" t="s">
        <v>44</v>
      </c>
      <c r="F4" s="132">
        <v>44217</v>
      </c>
      <c r="G4" s="122">
        <f>MONTH(F4)</f>
        <v>1</v>
      </c>
      <c r="H4" s="132" t="str">
        <f>IF(G4=$A$26,$A$28,IF(G4=$B$26,$B$28,IF(G4=$C$26,$C$28,IF(G4=$D$26,$D$28,IF(G4=$E$26,$E$28,IF(G4=$F$26,$F$28,IF(G4=$K$26,$K$28,IF(G4=$L$26,$L$28,IF(G4=$M$26,$M$28,IF(G4=$N$26,$N$28,IF(G4=$O$26,$O$28,IF(G4=$P$26,$P$28,0))))))))))))</f>
        <v>yanvar</v>
      </c>
      <c r="I4" s="122">
        <f>DAY(F4)</f>
        <v>21</v>
      </c>
      <c r="J4" s="134">
        <f>YEAR(F4)</f>
        <v>2021</v>
      </c>
      <c r="K4" s="132" t="str">
        <f>""&amp;I4&amp;" "&amp;H4&amp;" "&amp;J4&amp;" г."</f>
        <v>21 yanvar 2021 г.</v>
      </c>
      <c r="L4" s="131">
        <v>33</v>
      </c>
      <c r="M4" s="133">
        <v>15000000</v>
      </c>
      <c r="N4" s="131" t="s">
        <v>129</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x14ac:dyDescent="0.25">
      <c r="A5" s="129">
        <v>4</v>
      </c>
      <c r="D5" s="131" t="s">
        <v>257</v>
      </c>
      <c r="E5" s="131"/>
      <c r="F5" s="132"/>
      <c r="G5" s="122">
        <f t="shared" ref="G5:G21" si="2">MONTH(F5)</f>
        <v>1</v>
      </c>
      <c r="H5" s="132" t="str">
        <f t="shared" ref="H5:H21" si="3">IF(G5=$A$26,$A$28,IF(G5=$B$26,$B$28,IF(G5=$C$26,$C$28,IF(G5=$D$26,$D$28,IF(G5=$E$26,$E$28,IF(G5=$F$26,$F$28,IF(G5=$K$26,$K$28,IF(G5=$L$26,$L$28,IF(G5=$M$26,$M$28,IF(G5=$N$26,$N$28,IF(G5=$O$26,$O$28,IF(G5=$P$26,$P$28,0))))))))))))</f>
        <v>yanvar</v>
      </c>
      <c r="I5" s="122">
        <f t="shared" ref="I5:I21" si="4">DAY(F5)</f>
        <v>0</v>
      </c>
      <c r="J5" s="134">
        <f t="shared" ref="J5:J21" si="5">YEAR(F5)</f>
        <v>1900</v>
      </c>
      <c r="K5" s="132" t="str">
        <f t="shared" ref="K5:K21" si="6">""&amp;I5&amp;" "&amp;H5&amp;" "&amp;J5&amp;" г."</f>
        <v>0 yanvar 1900 г.</v>
      </c>
      <c r="L5" s="131"/>
      <c r="M5" s="133"/>
      <c r="N5" s="131"/>
      <c r="P5">
        <f t="shared" si="1"/>
        <v>0</v>
      </c>
    </row>
    <row r="6" spans="1:23" ht="15" customHeight="1" x14ac:dyDescent="0.25">
      <c r="A6" s="129">
        <v>5</v>
      </c>
      <c r="D6" s="131" t="s">
        <v>257</v>
      </c>
      <c r="E6" s="131"/>
      <c r="F6" s="132"/>
      <c r="G6" s="122">
        <f t="shared" si="2"/>
        <v>1</v>
      </c>
      <c r="H6" s="132" t="str">
        <f t="shared" si="3"/>
        <v>yanvar</v>
      </c>
      <c r="I6" s="122">
        <f t="shared" si="4"/>
        <v>0</v>
      </c>
      <c r="J6" s="134">
        <f t="shared" si="5"/>
        <v>1900</v>
      </c>
      <c r="K6" s="132" t="str">
        <f t="shared" si="6"/>
        <v>0 yanvar 1900 г.</v>
      </c>
      <c r="L6" s="131"/>
      <c r="M6" s="133"/>
      <c r="N6" s="131"/>
      <c r="P6">
        <f t="shared" si="1"/>
        <v>0</v>
      </c>
    </row>
    <row r="7" spans="1:23" ht="15" customHeight="1" x14ac:dyDescent="0.25">
      <c r="A7" s="129">
        <v>6</v>
      </c>
      <c r="D7" s="131" t="s">
        <v>257</v>
      </c>
      <c r="E7" s="131"/>
      <c r="F7" s="132"/>
      <c r="G7" s="122">
        <f t="shared" si="2"/>
        <v>1</v>
      </c>
      <c r="H7" s="132" t="str">
        <f t="shared" si="3"/>
        <v>yanvar</v>
      </c>
      <c r="I7" s="122">
        <f t="shared" si="4"/>
        <v>0</v>
      </c>
      <c r="J7" s="134">
        <f t="shared" si="5"/>
        <v>1900</v>
      </c>
      <c r="K7" s="132" t="str">
        <f t="shared" si="6"/>
        <v>0 yanvar 1900 г.</v>
      </c>
      <c r="L7" s="131"/>
      <c r="M7" s="133"/>
      <c r="N7" s="131"/>
      <c r="P7">
        <f t="shared" si="1"/>
        <v>0</v>
      </c>
    </row>
    <row r="8" spans="1:23" ht="15" customHeight="1" x14ac:dyDescent="0.25">
      <c r="A8" s="129">
        <v>7</v>
      </c>
      <c r="D8" s="131" t="s">
        <v>257</v>
      </c>
      <c r="E8" s="131"/>
      <c r="F8" s="132"/>
      <c r="G8" s="122">
        <f t="shared" si="2"/>
        <v>1</v>
      </c>
      <c r="H8" s="132" t="str">
        <f t="shared" si="3"/>
        <v>yanvar</v>
      </c>
      <c r="I8" s="122">
        <f t="shared" si="4"/>
        <v>0</v>
      </c>
      <c r="J8" s="134">
        <f t="shared" si="5"/>
        <v>1900</v>
      </c>
      <c r="K8" s="132" t="str">
        <f t="shared" si="6"/>
        <v>0 yanvar 1900 г.</v>
      </c>
      <c r="L8" s="131"/>
      <c r="M8" s="133"/>
      <c r="N8" s="131"/>
      <c r="P8">
        <f t="shared" si="1"/>
        <v>0</v>
      </c>
    </row>
    <row r="9" spans="1:23" ht="15" customHeight="1" x14ac:dyDescent="0.25">
      <c r="A9" s="129">
        <v>8</v>
      </c>
      <c r="D9" s="131" t="s">
        <v>257</v>
      </c>
      <c r="E9" s="131"/>
      <c r="F9" s="132"/>
      <c r="G9" s="122">
        <f t="shared" si="2"/>
        <v>1</v>
      </c>
      <c r="H9" s="132" t="str">
        <f t="shared" si="3"/>
        <v>yanvar</v>
      </c>
      <c r="I9" s="122">
        <f t="shared" si="4"/>
        <v>0</v>
      </c>
      <c r="J9" s="134">
        <f t="shared" si="5"/>
        <v>1900</v>
      </c>
      <c r="K9" s="132" t="str">
        <f t="shared" si="6"/>
        <v>0 yanvar 1900 г.</v>
      </c>
      <c r="L9" s="131"/>
      <c r="M9" s="133"/>
      <c r="N9" s="131"/>
      <c r="P9">
        <f t="shared" si="1"/>
        <v>0</v>
      </c>
    </row>
    <row r="10" spans="1:23" ht="15" customHeight="1" x14ac:dyDescent="0.25">
      <c r="A10" s="129">
        <v>9</v>
      </c>
      <c r="D10" s="131" t="s">
        <v>257</v>
      </c>
      <c r="E10" s="131"/>
      <c r="F10" s="132"/>
      <c r="G10" s="122">
        <f t="shared" si="2"/>
        <v>1</v>
      </c>
      <c r="H10" s="132" t="str">
        <f t="shared" si="3"/>
        <v>yanvar</v>
      </c>
      <c r="I10" s="122">
        <f t="shared" si="4"/>
        <v>0</v>
      </c>
      <c r="J10" s="134">
        <f t="shared" si="5"/>
        <v>1900</v>
      </c>
      <c r="K10" s="132" t="str">
        <f t="shared" si="6"/>
        <v>0 yanvar 1900 г.</v>
      </c>
      <c r="L10" s="131"/>
      <c r="M10" s="133"/>
      <c r="N10" s="131"/>
      <c r="P10">
        <f t="shared" si="1"/>
        <v>0</v>
      </c>
    </row>
    <row r="11" spans="1:23" ht="15" customHeight="1" x14ac:dyDescent="0.25">
      <c r="A11" s="129">
        <v>10</v>
      </c>
      <c r="D11" s="131" t="s">
        <v>257</v>
      </c>
      <c r="E11" s="131"/>
      <c r="F11" s="132"/>
      <c r="G11" s="122">
        <f t="shared" si="2"/>
        <v>1</v>
      </c>
      <c r="H11" s="132" t="str">
        <f t="shared" si="3"/>
        <v>yanvar</v>
      </c>
      <c r="I11" s="122">
        <f t="shared" si="4"/>
        <v>0</v>
      </c>
      <c r="J11" s="134">
        <f t="shared" si="5"/>
        <v>1900</v>
      </c>
      <c r="K11" s="132" t="str">
        <f t="shared" si="6"/>
        <v>0 yanvar 1900 г.</v>
      </c>
      <c r="L11" s="131"/>
      <c r="M11" s="133"/>
      <c r="N11" s="131"/>
      <c r="P11">
        <f t="shared" si="1"/>
        <v>0</v>
      </c>
    </row>
    <row r="12" spans="1:23" ht="15" customHeight="1" x14ac:dyDescent="0.25">
      <c r="A12" s="129">
        <v>11</v>
      </c>
      <c r="D12" s="131" t="s">
        <v>257</v>
      </c>
      <c r="E12" s="131"/>
      <c r="F12" s="132"/>
      <c r="G12" s="122">
        <f t="shared" si="2"/>
        <v>1</v>
      </c>
      <c r="H12" s="132" t="str">
        <f t="shared" si="3"/>
        <v>yanvar</v>
      </c>
      <c r="I12" s="122">
        <f t="shared" si="4"/>
        <v>0</v>
      </c>
      <c r="J12" s="134">
        <f t="shared" si="5"/>
        <v>1900</v>
      </c>
      <c r="K12" s="132" t="str">
        <f t="shared" si="6"/>
        <v>0 yanvar 1900 г.</v>
      </c>
      <c r="L12" s="131"/>
      <c r="M12" s="133"/>
      <c r="N12" s="131"/>
      <c r="P12">
        <f t="shared" si="1"/>
        <v>0</v>
      </c>
    </row>
    <row r="13" spans="1:23" ht="15" customHeight="1" x14ac:dyDescent="0.25">
      <c r="A13" s="129">
        <v>12</v>
      </c>
      <c r="D13" s="131" t="s">
        <v>257</v>
      </c>
      <c r="E13" s="131"/>
      <c r="F13" s="132"/>
      <c r="G13" s="122">
        <f t="shared" si="2"/>
        <v>1</v>
      </c>
      <c r="H13" s="132" t="str">
        <f t="shared" si="3"/>
        <v>yanvar</v>
      </c>
      <c r="I13" s="122">
        <f t="shared" si="4"/>
        <v>0</v>
      </c>
      <c r="J13" s="134">
        <f t="shared" si="5"/>
        <v>1900</v>
      </c>
      <c r="K13" s="132" t="str">
        <f t="shared" si="6"/>
        <v>0 yanvar 1900 г.</v>
      </c>
      <c r="L13" s="131"/>
      <c r="M13" s="133"/>
      <c r="N13" s="131"/>
      <c r="P13">
        <f t="shared" si="1"/>
        <v>0</v>
      </c>
    </row>
    <row r="14" spans="1:23" ht="15" customHeight="1" x14ac:dyDescent="0.25">
      <c r="A14" s="129">
        <v>13</v>
      </c>
      <c r="D14" s="131" t="s">
        <v>257</v>
      </c>
      <c r="E14" s="131"/>
      <c r="F14" s="132"/>
      <c r="G14" s="122">
        <f t="shared" si="2"/>
        <v>1</v>
      </c>
      <c r="H14" s="132" t="str">
        <f t="shared" si="3"/>
        <v>yanvar</v>
      </c>
      <c r="I14" s="122">
        <f t="shared" si="4"/>
        <v>0</v>
      </c>
      <c r="J14" s="134">
        <f t="shared" si="5"/>
        <v>1900</v>
      </c>
      <c r="K14" s="132" t="str">
        <f t="shared" si="6"/>
        <v>0 yanvar 1900 г.</v>
      </c>
      <c r="L14" s="131"/>
      <c r="M14" s="133"/>
      <c r="N14" s="131"/>
      <c r="P14">
        <f t="shared" si="1"/>
        <v>0</v>
      </c>
    </row>
    <row r="15" spans="1:23" ht="15" customHeight="1" x14ac:dyDescent="0.25">
      <c r="A15" s="129">
        <v>14</v>
      </c>
      <c r="D15" s="131" t="s">
        <v>257</v>
      </c>
      <c r="E15" s="131"/>
      <c r="F15" s="132"/>
      <c r="G15" s="122">
        <f t="shared" si="2"/>
        <v>1</v>
      </c>
      <c r="H15" s="132" t="str">
        <f t="shared" si="3"/>
        <v>yanvar</v>
      </c>
      <c r="I15" s="122">
        <f t="shared" si="4"/>
        <v>0</v>
      </c>
      <c r="J15" s="134">
        <f t="shared" si="5"/>
        <v>1900</v>
      </c>
      <c r="K15" s="132" t="str">
        <f t="shared" si="6"/>
        <v>0 yanvar 1900 г.</v>
      </c>
      <c r="L15" s="131"/>
      <c r="M15" s="133"/>
      <c r="N15" s="131"/>
      <c r="P15">
        <f t="shared" si="1"/>
        <v>0</v>
      </c>
    </row>
    <row r="16" spans="1:23" ht="15" customHeight="1" x14ac:dyDescent="0.25">
      <c r="A16" s="129">
        <v>15</v>
      </c>
      <c r="D16" s="131" t="s">
        <v>257</v>
      </c>
      <c r="E16" s="131"/>
      <c r="F16" s="132"/>
      <c r="G16" s="122">
        <f t="shared" si="2"/>
        <v>1</v>
      </c>
      <c r="H16" s="132" t="str">
        <f t="shared" si="3"/>
        <v>yanvar</v>
      </c>
      <c r="I16" s="122">
        <f t="shared" si="4"/>
        <v>0</v>
      </c>
      <c r="J16" s="134">
        <f t="shared" si="5"/>
        <v>1900</v>
      </c>
      <c r="K16" s="132" t="str">
        <f t="shared" si="6"/>
        <v>0 yanvar 1900 г.</v>
      </c>
      <c r="L16" s="131"/>
      <c r="M16" s="133"/>
      <c r="N16" s="131"/>
      <c r="P16">
        <f t="shared" si="1"/>
        <v>0</v>
      </c>
    </row>
    <row r="17" spans="1:17" ht="15" customHeight="1" x14ac:dyDescent="0.25">
      <c r="A17" s="129">
        <v>16</v>
      </c>
      <c r="D17" s="131" t="s">
        <v>257</v>
      </c>
      <c r="E17" s="131"/>
      <c r="F17" s="132"/>
      <c r="G17" s="122">
        <f t="shared" si="2"/>
        <v>1</v>
      </c>
      <c r="H17" s="132" t="str">
        <f t="shared" si="3"/>
        <v>yanvar</v>
      </c>
      <c r="I17" s="122">
        <f t="shared" si="4"/>
        <v>0</v>
      </c>
      <c r="J17" s="134">
        <f t="shared" si="5"/>
        <v>1900</v>
      </c>
      <c r="K17" s="132" t="str">
        <f t="shared" si="6"/>
        <v>0 yanvar 1900 г.</v>
      </c>
      <c r="L17" s="131"/>
      <c r="M17" s="133"/>
      <c r="N17" s="131"/>
      <c r="P17">
        <f t="shared" si="1"/>
        <v>0</v>
      </c>
    </row>
    <row r="18" spans="1:17" ht="15" customHeight="1" x14ac:dyDescent="0.25">
      <c r="A18" s="129">
        <v>17</v>
      </c>
      <c r="D18" s="131" t="s">
        <v>257</v>
      </c>
      <c r="E18" s="131"/>
      <c r="F18" s="132"/>
      <c r="G18" s="122">
        <f t="shared" si="2"/>
        <v>1</v>
      </c>
      <c r="H18" s="132" t="str">
        <f t="shared" si="3"/>
        <v>yanvar</v>
      </c>
      <c r="I18" s="122">
        <f t="shared" si="4"/>
        <v>0</v>
      </c>
      <c r="J18" s="134">
        <f t="shared" si="5"/>
        <v>1900</v>
      </c>
      <c r="K18" s="132" t="str">
        <f t="shared" si="6"/>
        <v>0 yanvar 1900 г.</v>
      </c>
      <c r="L18" s="131"/>
      <c r="M18" s="133"/>
      <c r="N18" s="131"/>
      <c r="P18">
        <f t="shared" si="1"/>
        <v>0</v>
      </c>
    </row>
    <row r="19" spans="1:17" ht="15" customHeight="1" x14ac:dyDescent="0.25">
      <c r="A19" s="129">
        <v>18</v>
      </c>
      <c r="D19" s="131" t="s">
        <v>257</v>
      </c>
      <c r="E19" s="131"/>
      <c r="F19" s="132"/>
      <c r="G19" s="122">
        <f t="shared" si="2"/>
        <v>1</v>
      </c>
      <c r="H19" s="132" t="str">
        <f t="shared" si="3"/>
        <v>yanvar</v>
      </c>
      <c r="I19" s="122">
        <f t="shared" si="4"/>
        <v>0</v>
      </c>
      <c r="J19" s="134">
        <f t="shared" si="5"/>
        <v>1900</v>
      </c>
      <c r="K19" s="132" t="str">
        <f t="shared" si="6"/>
        <v>0 yanvar 1900 г.</v>
      </c>
      <c r="L19" s="131"/>
      <c r="M19" s="133"/>
      <c r="N19" s="131"/>
      <c r="P19">
        <f t="shared" si="1"/>
        <v>0</v>
      </c>
    </row>
    <row r="20" spans="1:17" ht="15" customHeight="1" x14ac:dyDescent="0.25">
      <c r="A20" s="129">
        <v>19</v>
      </c>
      <c r="D20" s="131" t="s">
        <v>257</v>
      </c>
      <c r="E20" s="131"/>
      <c r="F20" s="132"/>
      <c r="G20" s="122">
        <f t="shared" si="2"/>
        <v>1</v>
      </c>
      <c r="H20" s="132" t="str">
        <f t="shared" si="3"/>
        <v>yanvar</v>
      </c>
      <c r="I20" s="122">
        <f t="shared" si="4"/>
        <v>0</v>
      </c>
      <c r="J20" s="134">
        <f t="shared" si="5"/>
        <v>1900</v>
      </c>
      <c r="K20" s="132" t="str">
        <f t="shared" si="6"/>
        <v>0 yanvar 1900 г.</v>
      </c>
      <c r="L20" s="131"/>
      <c r="M20" s="133"/>
      <c r="N20" s="131"/>
      <c r="P20">
        <f t="shared" si="1"/>
        <v>0</v>
      </c>
    </row>
    <row r="21" spans="1:17" ht="15" customHeight="1" x14ac:dyDescent="0.25">
      <c r="A21" s="129">
        <v>20</v>
      </c>
      <c r="D21" s="131" t="s">
        <v>257</v>
      </c>
      <c r="E21" s="131"/>
      <c r="F21" s="132"/>
      <c r="G21" s="122">
        <f t="shared" si="2"/>
        <v>1</v>
      </c>
      <c r="H21" s="132" t="str">
        <f t="shared" si="3"/>
        <v>yanvar</v>
      </c>
      <c r="I21" s="122">
        <f t="shared" si="4"/>
        <v>0</v>
      </c>
      <c r="J21" s="134">
        <f t="shared" si="5"/>
        <v>1900</v>
      </c>
      <c r="K21" s="132" t="str">
        <f t="shared" si="6"/>
        <v>0 yanvar 1900 г.</v>
      </c>
      <c r="L21" s="131"/>
      <c r="M21" s="133"/>
      <c r="N21" s="131"/>
      <c r="P21">
        <f t="shared" si="1"/>
        <v>0</v>
      </c>
    </row>
    <row r="22" spans="1:17" x14ac:dyDescent="0.25">
      <c r="M22" s="137">
        <f>SUM(M2:M21)+'Общие данные'!B136</f>
        <v>195000000</v>
      </c>
      <c r="Q22" t="s">
        <v>256</v>
      </c>
    </row>
    <row r="23" spans="1:17" x14ac:dyDescent="0.25">
      <c r="A23" s="118"/>
      <c r="B23" s="119"/>
      <c r="C23" s="119"/>
      <c r="D23" s="119"/>
      <c r="E23" s="119"/>
      <c r="F23" s="119"/>
      <c r="G23" s="119"/>
      <c r="H23" s="119"/>
      <c r="I23" s="119"/>
      <c r="J23" s="119"/>
      <c r="K23" s="119"/>
      <c r="L23" s="119"/>
      <c r="M23" s="119"/>
      <c r="N23" s="119"/>
      <c r="O23" s="119"/>
    </row>
    <row r="24" spans="1:17" x14ac:dyDescent="0.25">
      <c r="A24" s="119"/>
      <c r="B24" s="119"/>
      <c r="C24" s="119"/>
      <c r="D24" s="119"/>
      <c r="E24" s="119"/>
      <c r="F24" s="119"/>
      <c r="G24" s="119"/>
      <c r="H24" s="119"/>
      <c r="I24" s="119"/>
      <c r="J24" s="119"/>
      <c r="K24" s="119"/>
      <c r="L24" s="119"/>
      <c r="M24" s="119"/>
      <c r="N24" s="119"/>
      <c r="O24" s="119"/>
    </row>
    <row r="25" spans="1:17" x14ac:dyDescent="0.25">
      <c r="A25" s="119">
        <f>MONTH(F2)</f>
        <v>1</v>
      </c>
      <c r="B25" s="119" t="str">
        <f>IF(A25=A26,A28,IF(A25=B26,B28,IF(A25=C26,C28,IF(A25=D26,D28,IF(A25=E26,E28,IF(A25=F26,F28,IF(A25=K26,K28,IF(A25=L26,L28,IF(A25=M26,M28,IF(A25=N26,N28,IF(A25=O26,O28,IF(A25=#REF!,#REF!,))))))))))))</f>
        <v>yanvar</v>
      </c>
      <c r="C25" s="119">
        <f>DAY(F2)</f>
        <v>11</v>
      </c>
      <c r="D25" s="119">
        <f>YEAR(F2)</f>
        <v>2021</v>
      </c>
      <c r="E25" s="119"/>
      <c r="F25" s="119"/>
      <c r="G25" s="119"/>
      <c r="H25" s="119"/>
      <c r="I25" s="119"/>
      <c r="J25" s="119"/>
      <c r="K25" s="119"/>
      <c r="L25" s="119"/>
      <c r="M25" s="119"/>
      <c r="N25" s="119"/>
      <c r="O25" s="119"/>
    </row>
    <row r="26" spans="1:17" x14ac:dyDescent="0.25">
      <c r="A26" s="119">
        <v>1</v>
      </c>
      <c r="B26" s="119">
        <v>2</v>
      </c>
      <c r="C26" s="119">
        <v>3</v>
      </c>
      <c r="D26" s="119">
        <v>4</v>
      </c>
      <c r="E26" s="119">
        <v>5</v>
      </c>
      <c r="F26" s="119">
        <v>6</v>
      </c>
      <c r="G26" s="119"/>
      <c r="H26" s="119"/>
      <c r="I26" s="119"/>
      <c r="J26" s="119"/>
      <c r="K26" s="119">
        <v>7</v>
      </c>
      <c r="L26" s="119">
        <v>8</v>
      </c>
      <c r="M26" s="119">
        <v>9</v>
      </c>
      <c r="N26" s="119">
        <v>10</v>
      </c>
      <c r="O26" s="119">
        <v>11</v>
      </c>
      <c r="P26" s="119">
        <v>12</v>
      </c>
    </row>
    <row r="27" spans="1:17" x14ac:dyDescent="0.25">
      <c r="A27" s="119"/>
      <c r="B27" s="119"/>
      <c r="C27" s="119"/>
      <c r="D27" s="119"/>
      <c r="E27" s="119"/>
      <c r="F27" s="119"/>
      <c r="G27" s="119"/>
      <c r="H27" s="119"/>
      <c r="I27" s="119"/>
      <c r="J27" s="119"/>
      <c r="K27" s="119"/>
      <c r="L27" s="119"/>
      <c r="M27" s="119"/>
      <c r="N27" s="119"/>
      <c r="O27" s="119"/>
    </row>
    <row r="28" spans="1:17" x14ac:dyDescent="0.25">
      <c r="A28" s="119" t="s">
        <v>118</v>
      </c>
      <c r="B28" s="119" t="s">
        <v>119</v>
      </c>
      <c r="C28" s="119" t="s">
        <v>108</v>
      </c>
      <c r="D28" s="119" t="s">
        <v>109</v>
      </c>
      <c r="E28" s="119" t="s">
        <v>110</v>
      </c>
      <c r="F28" s="119" t="s">
        <v>111</v>
      </c>
      <c r="G28" s="119"/>
      <c r="H28" s="119"/>
      <c r="I28" s="119"/>
      <c r="J28" s="119"/>
      <c r="K28" s="119" t="s">
        <v>23</v>
      </c>
      <c r="L28" s="119" t="s">
        <v>113</v>
      </c>
      <c r="M28" s="119" t="s">
        <v>255</v>
      </c>
      <c r="N28" s="119" t="s">
        <v>254</v>
      </c>
      <c r="O28" s="119" t="s">
        <v>116</v>
      </c>
      <c r="P28" s="119" t="s">
        <v>117</v>
      </c>
    </row>
    <row r="29" spans="1:17" x14ac:dyDescent="0.25">
      <c r="A29" s="119" t="s">
        <v>118</v>
      </c>
      <c r="B29" s="119" t="s">
        <v>119</v>
      </c>
      <c r="C29" s="119" t="s">
        <v>108</v>
      </c>
      <c r="D29" s="119" t="s">
        <v>109</v>
      </c>
      <c r="E29" s="119" t="s">
        <v>110</v>
      </c>
      <c r="F29" s="119" t="s">
        <v>111</v>
      </c>
      <c r="G29" s="119"/>
      <c r="H29" s="119"/>
      <c r="I29" s="119"/>
      <c r="J29" s="119"/>
      <c r="K29" s="119" t="s">
        <v>27</v>
      </c>
      <c r="L29" s="119" t="s">
        <v>113</v>
      </c>
      <c r="M29" s="119" t="s">
        <v>255</v>
      </c>
      <c r="N29" s="119" t="s">
        <v>254</v>
      </c>
      <c r="O29" s="119" t="s">
        <v>116</v>
      </c>
      <c r="P29" s="119" t="s">
        <v>117</v>
      </c>
    </row>
    <row r="30" spans="1:17" x14ac:dyDescent="0.25">
      <c r="A30" s="119"/>
      <c r="B30" s="119"/>
      <c r="C30" s="119"/>
      <c r="D30" s="119"/>
      <c r="E30" s="119"/>
      <c r="F30" s="119"/>
      <c r="G30" s="119"/>
      <c r="H30" s="119"/>
      <c r="I30" s="119"/>
      <c r="J30" s="119"/>
      <c r="K30" s="119"/>
      <c r="L30" s="120"/>
      <c r="M30" s="120"/>
      <c r="N30" s="120"/>
      <c r="O30" s="120"/>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opLeftCell="A123" zoomScaleNormal="100" workbookViewId="0">
      <selection activeCell="B61" sqref="B61"/>
    </sheetView>
  </sheetViews>
  <sheetFormatPr defaultColWidth="0" defaultRowHeight="15" zeroHeight="1" x14ac:dyDescent="0.2"/>
  <cols>
    <col min="1" max="1" width="68" style="6" customWidth="1"/>
    <col min="2" max="2" width="61.85546875" style="7" customWidth="1"/>
    <col min="3" max="3" width="63.85546875" style="212" customWidth="1"/>
    <col min="4" max="4" width="29.7109375" style="212" customWidth="1"/>
    <col min="5" max="7" width="9.140625" style="4" hidden="1" customWidth="1"/>
    <col min="8" max="8" width="62.5703125" style="4" hidden="1" customWidth="1"/>
    <col min="9" max="13" width="9.140625" style="4" hidden="1" customWidth="1"/>
    <col min="14" max="14" width="70.7109375" style="4" hidden="1" customWidth="1"/>
    <col min="15" max="16" width="9.140625" style="4" hidden="1" customWidth="1"/>
    <col min="17" max="17" width="59.7109375" style="4" hidden="1" customWidth="1"/>
    <col min="18" max="18" width="49.85546875" style="4" hidden="1" customWidth="1"/>
    <col min="19" max="16384" width="9.140625" style="4" hidden="1"/>
  </cols>
  <sheetData>
    <row r="1" spans="1:4" x14ac:dyDescent="0.2">
      <c r="A1" s="3" t="str">
        <f>CONCATENATE(B65," olish uchun ariza")</f>
        <v>mikroqarz olish uchun ariza</v>
      </c>
      <c r="B1" s="53" t="s">
        <v>413</v>
      </c>
    </row>
    <row r="2" spans="1:4" x14ac:dyDescent="0.2">
      <c r="A2" s="3" t="str">
        <f>CONCATENATE(B65," olish uchun ariza sanasi QO’L BILAN KIRITILADI")</f>
        <v>mikroqarz olish uchun ariza sanasi QO’L BILAN KIRITILADI</v>
      </c>
      <c r="B2" s="64" t="s">
        <v>414</v>
      </c>
      <c r="D2" s="212">
        <f>180+B2</f>
        <v>45864</v>
      </c>
    </row>
    <row r="3" spans="1:4" x14ac:dyDescent="0.2">
      <c r="A3" s="3"/>
      <c r="B3" s="1"/>
    </row>
    <row r="4" spans="1:4" x14ac:dyDescent="0.2">
      <c r="A4" s="250" t="s">
        <v>52</v>
      </c>
      <c r="B4" s="250"/>
    </row>
    <row r="5" spans="1:4" x14ac:dyDescent="0.2">
      <c r="A5" s="3" t="s">
        <v>53</v>
      </c>
      <c r="B5" s="53" t="s">
        <v>415</v>
      </c>
    </row>
    <row r="6" spans="1:4" ht="30" x14ac:dyDescent="0.2">
      <c r="A6" s="3" t="s">
        <v>54</v>
      </c>
      <c r="B6" s="53" t="s">
        <v>133</v>
      </c>
      <c r="C6" s="212" t="s">
        <v>257</v>
      </c>
      <c r="D6" s="212" t="s">
        <v>133</v>
      </c>
    </row>
    <row r="7" spans="1:4" x14ac:dyDescent="0.2">
      <c r="A7" s="3" t="s">
        <v>55</v>
      </c>
      <c r="B7" s="53" t="s">
        <v>429</v>
      </c>
    </row>
    <row r="8" spans="1:4" hidden="1" x14ac:dyDescent="0.2">
      <c r="A8" s="3" t="s">
        <v>56</v>
      </c>
      <c r="B8" s="86" t="str">
        <f>B5</f>
        <v>CHUCHARINA MARGARITA SERGEYEVNA</v>
      </c>
    </row>
    <row r="9" spans="1:4" hidden="1" x14ac:dyDescent="0.2">
      <c r="A9" s="3" t="s">
        <v>57</v>
      </c>
      <c r="B9" s="86" t="str">
        <f>B7</f>
        <v>CHUCHARINA M.S.</v>
      </c>
    </row>
    <row r="10" spans="1:4" hidden="1" x14ac:dyDescent="0.2">
      <c r="A10" s="3" t="s">
        <v>58</v>
      </c>
      <c r="B10" s="86" t="str">
        <f>B8</f>
        <v>CHUCHARINA MARGARITA SERGEYEVNA</v>
      </c>
    </row>
    <row r="11" spans="1:4" hidden="1" x14ac:dyDescent="0.2">
      <c r="A11" s="3" t="s">
        <v>59</v>
      </c>
      <c r="B11" s="86" t="str">
        <f>B9</f>
        <v>CHUCHARINA M.S.</v>
      </c>
    </row>
    <row r="12" spans="1:4" hidden="1" x14ac:dyDescent="0.2">
      <c r="A12" s="3" t="s">
        <v>60</v>
      </c>
      <c r="B12" s="86" t="str">
        <f>B10</f>
        <v>CHUCHARINA MARGARITA SERGEYEVNA</v>
      </c>
    </row>
    <row r="13" spans="1:4" hidden="1" x14ac:dyDescent="0.2">
      <c r="A13" s="3" t="s">
        <v>61</v>
      </c>
      <c r="B13" s="86" t="str">
        <f>B11</f>
        <v>CHUCHARINA M.S.</v>
      </c>
    </row>
    <row r="14" spans="1:4" hidden="1" x14ac:dyDescent="0.2">
      <c r="A14" s="3" t="s">
        <v>62</v>
      </c>
      <c r="B14" s="86" t="s">
        <v>65</v>
      </c>
    </row>
    <row r="15" spans="1:4" x14ac:dyDescent="0.2">
      <c r="A15" s="3" t="s">
        <v>63</v>
      </c>
      <c r="B15" s="154" t="s">
        <v>416</v>
      </c>
    </row>
    <row r="16" spans="1:4" x14ac:dyDescent="0.2">
      <c r="A16" s="3" t="s">
        <v>64</v>
      </c>
      <c r="B16" s="53" t="s">
        <v>417</v>
      </c>
    </row>
    <row r="17" spans="1:10" x14ac:dyDescent="0.2">
      <c r="A17" s="3"/>
      <c r="B17" s="221" t="s">
        <v>418</v>
      </c>
      <c r="D17" s="212" t="str">
        <f>TEXT(C17,"ДД.ММ.ГГГГ")</f>
        <v>00.01.1900</v>
      </c>
    </row>
    <row r="18" spans="1:10" x14ac:dyDescent="0.2">
      <c r="A18" s="3"/>
      <c r="B18" s="154">
        <v>44881</v>
      </c>
      <c r="C18" s="90" t="str">
        <f>TEXT(B18,"ДД.ММ.ГГГГ")</f>
        <v>16.11.2022</v>
      </c>
    </row>
    <row r="19" spans="1:10" x14ac:dyDescent="0.2">
      <c r="A19" s="3"/>
      <c r="B19" s="154">
        <f>DATE(YEAR(B18)+10,MONTH(B18),DAY(B18)-1)</f>
        <v>48533</v>
      </c>
      <c r="C19" s="90" t="str">
        <f>TEXT(B19,"ДД.ММ.ГГГГ")</f>
        <v>15.11.2032</v>
      </c>
    </row>
    <row r="20" spans="1:10" ht="45" x14ac:dyDescent="0.2">
      <c r="A20" s="3" t="s">
        <v>67</v>
      </c>
      <c r="B20" s="69" t="str">
        <f>""&amp;B17&amp;" tomonidan "&amp;C18&amp;" yilda berilgan"</f>
        <v>IIV 60005 tomonidan 16.11.2022 yilda berilgan</v>
      </c>
      <c r="C20" s="91" t="str">
        <f>""&amp;B22&amp;" tomonidan "&amp;C18&amp;" yilda berilgan"</f>
        <v>TOSHKЕNT SHAHRI YAKKASAROY TUMANI Rakat daxasi, Uy 12, Kvartira 47 tomonidan 16.11.2022 yilda berilgan</v>
      </c>
    </row>
    <row r="21" spans="1:10" ht="45" x14ac:dyDescent="0.2">
      <c r="A21" s="3" t="s">
        <v>68</v>
      </c>
      <c r="B21" s="69" t="str">
        <f>""&amp;C19&amp;" y."</f>
        <v>15.11.2032 y.</v>
      </c>
      <c r="C21" s="90" t="str">
        <f>""&amp;C19&amp;" yilgacha"</f>
        <v>15.11.2032 yilgacha</v>
      </c>
    </row>
    <row r="22" spans="1:10" ht="42.75" customHeight="1" x14ac:dyDescent="0.2">
      <c r="A22" s="3" t="s">
        <v>69</v>
      </c>
      <c r="B22" s="221" t="s">
        <v>424</v>
      </c>
      <c r="C22" s="90" t="str">
        <f>TEXT(B19,"ДД.ММ.ГГГГ")</f>
        <v>15.11.2032</v>
      </c>
    </row>
    <row r="23" spans="1:10" ht="30" x14ac:dyDescent="0.2">
      <c r="A23" s="3" t="s">
        <v>70</v>
      </c>
      <c r="B23" s="53" t="s">
        <v>94</v>
      </c>
      <c r="C23" s="212" t="s">
        <v>94</v>
      </c>
      <c r="D23" s="212" t="s">
        <v>95</v>
      </c>
    </row>
    <row r="24" spans="1:10" ht="30" hidden="1" x14ac:dyDescent="0.2">
      <c r="A24" s="3" t="s">
        <v>71</v>
      </c>
      <c r="B24" s="53" t="s">
        <v>92</v>
      </c>
      <c r="C24" s="212" t="s">
        <v>92</v>
      </c>
      <c r="D24" s="212" t="s">
        <v>93</v>
      </c>
      <c r="E24" s="5" t="s">
        <v>0</v>
      </c>
      <c r="F24" s="5" t="s">
        <v>1</v>
      </c>
      <c r="G24" s="4" t="s">
        <v>3</v>
      </c>
    </row>
    <row r="25" spans="1:10" x14ac:dyDescent="0.2">
      <c r="A25" s="3" t="s">
        <v>72</v>
      </c>
      <c r="B25" s="53" t="s">
        <v>419</v>
      </c>
    </row>
    <row r="26" spans="1:10" ht="44.25" customHeight="1" x14ac:dyDescent="0.2">
      <c r="A26" s="3" t="s">
        <v>73</v>
      </c>
      <c r="B26" s="53" t="s">
        <v>423</v>
      </c>
      <c r="C26" s="212" t="s">
        <v>26</v>
      </c>
    </row>
    <row r="27" spans="1:10" ht="44.25" hidden="1" customHeight="1" x14ac:dyDescent="0.2">
      <c r="A27" s="3"/>
      <c r="B27" s="53" t="e">
        <f>IF(B23="mos keladi",#REF!,B28)</f>
        <v>#REF!</v>
      </c>
    </row>
    <row r="28" spans="1:10" ht="39.75" customHeight="1" x14ac:dyDescent="0.2">
      <c r="A28" s="3" t="s">
        <v>74</v>
      </c>
      <c r="B28" s="221" t="s">
        <v>424</v>
      </c>
    </row>
    <row r="29" spans="1:10" x14ac:dyDescent="0.2">
      <c r="A29" s="3" t="s">
        <v>75</v>
      </c>
      <c r="B29" s="53" t="s">
        <v>92</v>
      </c>
      <c r="C29" s="212" t="s">
        <v>92</v>
      </c>
      <c r="D29" s="212" t="s">
        <v>93</v>
      </c>
      <c r="E29" s="120" t="s">
        <v>330</v>
      </c>
      <c r="F29" s="120" t="s">
        <v>331</v>
      </c>
      <c r="G29" s="120" t="s">
        <v>3</v>
      </c>
      <c r="H29" s="120"/>
      <c r="I29" s="120"/>
      <c r="J29" s="120"/>
    </row>
    <row r="30" spans="1:10" ht="27" x14ac:dyDescent="0.2">
      <c r="A30" s="3" t="s">
        <v>76</v>
      </c>
      <c r="B30" s="201" t="s">
        <v>334</v>
      </c>
      <c r="C30" s="212" t="s">
        <v>148</v>
      </c>
      <c r="D30" s="212" t="s">
        <v>334</v>
      </c>
    </row>
    <row r="31" spans="1:10" x14ac:dyDescent="0.2">
      <c r="A31" s="3" t="s">
        <v>77</v>
      </c>
      <c r="B31" s="53" t="s">
        <v>411</v>
      </c>
    </row>
    <row r="32" spans="1:10" x14ac:dyDescent="0.2">
      <c r="A32" s="3" t="s">
        <v>62</v>
      </c>
      <c r="B32" s="53" t="s">
        <v>65</v>
      </c>
    </row>
    <row r="33" spans="1:4" x14ac:dyDescent="0.2">
      <c r="A33" s="3" t="s">
        <v>72</v>
      </c>
      <c r="B33" s="53" t="s">
        <v>419</v>
      </c>
    </row>
    <row r="34" spans="1:4" hidden="1" x14ac:dyDescent="0.2">
      <c r="A34" s="3"/>
      <c r="B34" s="53" t="str">
        <f>IF(B23="mos keladi",B26,B35)</f>
        <v xml:space="preserve">safia , korzinka </v>
      </c>
    </row>
    <row r="35" spans="1:4" x14ac:dyDescent="0.2">
      <c r="A35" s="3" t="s">
        <v>73</v>
      </c>
      <c r="B35" s="53"/>
    </row>
    <row r="36" spans="1:4" x14ac:dyDescent="0.2">
      <c r="A36" s="3" t="s">
        <v>78</v>
      </c>
      <c r="B36" s="53"/>
    </row>
    <row r="37" spans="1:4" x14ac:dyDescent="0.2">
      <c r="A37" s="3" t="s">
        <v>79</v>
      </c>
      <c r="B37" s="53"/>
    </row>
    <row r="38" spans="1:4" x14ac:dyDescent="0.2">
      <c r="A38" s="3" t="s">
        <v>80</v>
      </c>
      <c r="B38" s="53"/>
    </row>
    <row r="39" spans="1:4" x14ac:dyDescent="0.2">
      <c r="A39" s="3" t="s">
        <v>81</v>
      </c>
      <c r="B39" s="53"/>
    </row>
    <row r="40" spans="1:4" ht="24.75" customHeight="1" x14ac:dyDescent="0.2">
      <c r="A40" s="3" t="s">
        <v>82</v>
      </c>
      <c r="B40" s="53" t="s">
        <v>419</v>
      </c>
    </row>
    <row r="41" spans="1:4" ht="24.75" customHeight="1" x14ac:dyDescent="0.2">
      <c r="A41" s="3" t="s">
        <v>83</v>
      </c>
      <c r="B41" s="53" t="s">
        <v>420</v>
      </c>
    </row>
    <row r="42" spans="1:4" ht="24.75" customHeight="1" x14ac:dyDescent="0.2">
      <c r="A42" s="3" t="s">
        <v>82</v>
      </c>
      <c r="B42" s="53" t="s">
        <v>421</v>
      </c>
      <c r="C42" s="212" t="s">
        <v>392</v>
      </c>
    </row>
    <row r="43" spans="1:4" x14ac:dyDescent="0.2">
      <c r="A43" s="3" t="s">
        <v>83</v>
      </c>
      <c r="B43" s="53"/>
    </row>
    <row r="44" spans="1:4" ht="23.25" x14ac:dyDescent="0.2">
      <c r="A44" s="203" t="s">
        <v>84</v>
      </c>
      <c r="B44" s="202" t="s">
        <v>346</v>
      </c>
      <c r="C44" s="212" t="s">
        <v>346</v>
      </c>
      <c r="D44" s="212" t="s">
        <v>354</v>
      </c>
    </row>
    <row r="45" spans="1:4" hidden="1" x14ac:dyDescent="0.2">
      <c r="A45" s="3"/>
      <c r="B45" s="200" t="str">
        <f>IF(B44=D44,CONCATENATE("MA'LUMOTNOMA ",B47,B46),C44)</f>
        <v>Yakka tartibdagi tadbirkor</v>
      </c>
    </row>
    <row r="46" spans="1:4" ht="46.5" x14ac:dyDescent="0.2">
      <c r="A46" s="203" t="s">
        <v>355</v>
      </c>
      <c r="B46" s="222"/>
    </row>
    <row r="47" spans="1:4" ht="23.25" x14ac:dyDescent="0.2">
      <c r="A47" s="203"/>
      <c r="B47" s="222"/>
      <c r="C47" s="212" t="s">
        <v>14</v>
      </c>
    </row>
    <row r="48" spans="1:4" ht="72.75" customHeight="1" x14ac:dyDescent="0.2">
      <c r="A48" s="203" t="s">
        <v>356</v>
      </c>
      <c r="B48" s="200"/>
    </row>
    <row r="49" spans="1:22" hidden="1" x14ac:dyDescent="0.2">
      <c r="A49" s="3" t="s">
        <v>85</v>
      </c>
      <c r="B49" s="53" t="str">
        <f>IF(B44=C44,C44,B48)</f>
        <v>Yakka tartibdagi tadbirkor</v>
      </c>
    </row>
    <row r="50" spans="1:22" ht="30" x14ac:dyDescent="0.2">
      <c r="A50" s="3" t="s">
        <v>86</v>
      </c>
      <c r="B50" s="53"/>
    </row>
    <row r="51" spans="1:22" x14ac:dyDescent="0.2">
      <c r="A51" s="3" t="s">
        <v>73</v>
      </c>
      <c r="B51" s="53" t="s">
        <v>26</v>
      </c>
    </row>
    <row r="52" spans="1:22" x14ac:dyDescent="0.2">
      <c r="A52" s="3" t="s">
        <v>87</v>
      </c>
      <c r="B52" s="53"/>
    </row>
    <row r="53" spans="1:22" x14ac:dyDescent="0.2">
      <c r="A53" s="3" t="s">
        <v>88</v>
      </c>
      <c r="B53" s="53"/>
    </row>
    <row r="54" spans="1:22" x14ac:dyDescent="0.2">
      <c r="A54" s="3" t="s">
        <v>89</v>
      </c>
      <c r="B54" s="53"/>
    </row>
    <row r="55" spans="1:22" x14ac:dyDescent="0.2">
      <c r="A55" s="3" t="s">
        <v>90</v>
      </c>
      <c r="B55" s="2"/>
    </row>
    <row r="56" spans="1:22" x14ac:dyDescent="0.2">
      <c r="A56" s="3" t="s">
        <v>91</v>
      </c>
      <c r="B56" s="2" t="s">
        <v>21</v>
      </c>
    </row>
    <row r="57" spans="1:22" ht="30" customHeight="1" x14ac:dyDescent="0.2">
      <c r="A57" s="251" t="s">
        <v>96</v>
      </c>
      <c r="B57" s="252"/>
    </row>
    <row r="58" spans="1:22" ht="20.25" hidden="1" customHeight="1" x14ac:dyDescent="0.2">
      <c r="A58" s="3" t="s">
        <v>97</v>
      </c>
      <c r="B58" s="53" t="str">
        <f>IF(B44=C44,C44,CONCATENATE(B44," ",B47))</f>
        <v>Yakka tartibdagi tadbirkor</v>
      </c>
    </row>
    <row r="59" spans="1:22" ht="31.5" hidden="1" customHeight="1" x14ac:dyDescent="0.2">
      <c r="A59" s="3" t="s">
        <v>85</v>
      </c>
      <c r="B59" s="53" t="str">
        <f>B49</f>
        <v>Yakka tartibdagi tadbirkor</v>
      </c>
    </row>
    <row r="60" spans="1:22" ht="23.25" x14ac:dyDescent="0.2">
      <c r="A60" s="203" t="s">
        <v>98</v>
      </c>
      <c r="B60" s="207">
        <v>43000000</v>
      </c>
      <c r="C60" s="226">
        <f>C63/B75</f>
        <v>0.15986874090000003</v>
      </c>
    </row>
    <row r="61" spans="1:22" x14ac:dyDescent="0.2">
      <c r="A61" s="3" t="s">
        <v>99</v>
      </c>
      <c r="B61" s="9"/>
      <c r="C61" s="227" t="s">
        <v>399</v>
      </c>
      <c r="E61" s="120"/>
      <c r="F61" s="120"/>
      <c r="G61" s="120"/>
      <c r="H61" s="120"/>
      <c r="I61" s="120"/>
      <c r="J61" s="120"/>
      <c r="K61" s="120"/>
      <c r="L61" s="120"/>
      <c r="M61" s="120"/>
      <c r="N61" s="120"/>
      <c r="O61" s="120"/>
    </row>
    <row r="62" spans="1:22" hidden="1" x14ac:dyDescent="0.2">
      <c r="A62" s="3" t="s">
        <v>100</v>
      </c>
      <c r="B62" s="53">
        <f>B53</f>
        <v>0</v>
      </c>
      <c r="C62" s="224"/>
      <c r="E62" s="120"/>
      <c r="F62" s="120"/>
      <c r="G62" s="120"/>
      <c r="H62" s="120"/>
      <c r="I62" s="120"/>
      <c r="J62" s="120"/>
      <c r="K62" s="120"/>
      <c r="L62" s="120"/>
      <c r="M62" s="120"/>
      <c r="N62" s="120"/>
      <c r="O62" s="120"/>
    </row>
    <row r="63" spans="1:22" x14ac:dyDescent="0.2">
      <c r="A63" s="3" t="s">
        <v>101</v>
      </c>
      <c r="B63" s="53"/>
      <c r="C63" s="225">
        <f>SUM(График!E9:E20)</f>
        <v>15986874.090000002</v>
      </c>
      <c r="E63" s="5"/>
      <c r="F63" s="5"/>
      <c r="G63" s="5"/>
      <c r="H63" s="5"/>
      <c r="I63" s="5"/>
      <c r="J63" s="5"/>
      <c r="K63" s="5"/>
      <c r="L63" s="5"/>
      <c r="M63" s="5"/>
      <c r="N63" s="5"/>
      <c r="O63" s="5"/>
    </row>
    <row r="64" spans="1:22" x14ac:dyDescent="0.2">
      <c r="A64" s="250" t="s">
        <v>102</v>
      </c>
      <c r="B64" s="250"/>
      <c r="C64" s="212" t="str">
        <f>PROPER(B65)</f>
        <v>Mikroqarz</v>
      </c>
      <c r="D64" s="212" t="str">
        <f>UPPER(B65)</f>
        <v>MIKROQARZ</v>
      </c>
      <c r="E64" s="120"/>
      <c r="F64" s="120"/>
      <c r="G64" s="120"/>
      <c r="H64" s="120"/>
      <c r="I64" s="120"/>
      <c r="J64" s="120"/>
      <c r="K64" s="120"/>
      <c r="L64" s="120"/>
      <c r="M64" s="120"/>
      <c r="N64" s="120"/>
      <c r="O64" s="120"/>
      <c r="P64" s="120"/>
      <c r="Q64" s="120"/>
      <c r="R64" s="120"/>
      <c r="S64" s="120"/>
      <c r="T64" s="120"/>
      <c r="U64" s="120"/>
      <c r="V64" s="120"/>
    </row>
    <row r="65" spans="1:22" ht="15.75" thickBot="1" x14ac:dyDescent="0.25">
      <c r="A65" s="3" t="s">
        <v>103</v>
      </c>
      <c r="B65" s="1" t="str">
        <f>IF(B75&gt;100000001,"mikrokredit",IF(B75&lt;100000001,"mikroqarz",0))</f>
        <v>mikroqarz</v>
      </c>
      <c r="C65" s="214">
        <f>DATE(YEAR(B67),MONTH(B67)+B81,DAY(B67))</f>
        <v>45865</v>
      </c>
      <c r="E65" s="119"/>
      <c r="F65" s="119"/>
      <c r="G65" s="119"/>
      <c r="H65" s="119"/>
      <c r="I65" s="119"/>
      <c r="J65" s="119"/>
      <c r="K65" s="119"/>
      <c r="L65" s="119"/>
      <c r="M65" s="119"/>
      <c r="N65" s="119"/>
      <c r="O65" s="120"/>
      <c r="P65" s="120"/>
      <c r="Q65" s="120"/>
      <c r="R65" s="120"/>
      <c r="S65" s="120"/>
      <c r="T65" s="120"/>
      <c r="U65" s="120"/>
      <c r="V65" s="120"/>
    </row>
    <row r="66" spans="1:22" hidden="1" x14ac:dyDescent="0.2">
      <c r="A66" s="3" t="s">
        <v>104</v>
      </c>
      <c r="B66" s="53" t="str">
        <f>B1</f>
        <v>№202</v>
      </c>
      <c r="C66" s="212">
        <f>MONTH(C65)</f>
        <v>7</v>
      </c>
      <c r="D66" s="212" t="str">
        <f>IF(C66=C68,C70,IF(C66=D68,D70,IF(C66=E68,E70,IF(C66=F68,F70,IF(C66=G68,G70,IF(C66=H68,H70,IF(C66=I68,I70,IF(C66=J68,J70,IF(C66=K68,K70,IF(C66=L68,L70,IF(C66=M68,M70,IF(C66=N68,N70,))))))))))))</f>
        <v>iyul</v>
      </c>
      <c r="E66" s="119">
        <f>DAY(C65)</f>
        <v>27</v>
      </c>
      <c r="F66" s="119">
        <f>YEAR(C65)</f>
        <v>2025</v>
      </c>
      <c r="G66" s="119">
        <f>MONTH(C65)</f>
        <v>7</v>
      </c>
      <c r="H66" s="119" t="str">
        <f>IF(C66=C68,C71,IF(C66=D68,D71,IF(C66=E68,E71,IF(C66=F68,F71,IF(C66=G68,G71,IF(C66=H68,H71,IF(C66=I68,I71,IF(C66=J68,J71,IF(C66=K68,K71,IF(C66=L68,L71,IF(C66=M68,M71,IF(C66=N68,N71,))))))))))))</f>
        <v>iyul</v>
      </c>
      <c r="I66" s="119">
        <f>YEAR(C65)</f>
        <v>2025</v>
      </c>
      <c r="J66" s="119"/>
      <c r="K66" s="119"/>
      <c r="L66" s="119"/>
      <c r="M66" s="119"/>
      <c r="N66" s="119"/>
      <c r="O66" s="120"/>
      <c r="P66" s="120"/>
      <c r="Q66" s="120"/>
      <c r="R66" s="120"/>
      <c r="S66" s="120"/>
      <c r="T66" s="120"/>
      <c r="U66" s="120"/>
      <c r="V66" s="120"/>
    </row>
    <row r="67" spans="1:22" hidden="1" x14ac:dyDescent="0.2">
      <c r="A67" s="3" t="s">
        <v>105</v>
      </c>
      <c r="B67" s="102" t="str">
        <f>B2</f>
        <v>27.01.2025</v>
      </c>
      <c r="C67" s="212">
        <f>MONTH(B67)</f>
        <v>1</v>
      </c>
      <c r="D67" s="212" t="str">
        <f>IF(C67=C68,C70,IF(C67=D68,D70,IF(C67=E68,E70,IF(C67=F68,F70,IF(C67=G68,G70,IF(C67=H68,H70,IF(C67=I68,I70,IF(C67=J68,J70,IF(C67=K68,K70,IF(C67=L68,L70,IF(C67=M68,M70,IF(C67=N68,N70,))))))))))))</f>
        <v>yanvar</v>
      </c>
      <c r="E67" s="119">
        <f>DAY(B67)</f>
        <v>27</v>
      </c>
      <c r="F67" s="119">
        <f>YEAR(B67)</f>
        <v>2025</v>
      </c>
      <c r="G67" s="119">
        <f>MONTH(B67)</f>
        <v>1</v>
      </c>
      <c r="H67" s="119" t="str">
        <f>IF(C67=C68,C71,IF(C67=D68,D71,IF(C67=E68,E71,IF(C67=F68,F71,IF(C67=G68,G71,IF(C67=H68,H71,IF(C67=I68,I71,IF(C67=J68,J71,IF(C67=K68,K71,IF(C67=L68,L71,IF(C67=M68,M71,IF(C67=N68,N71,))))))))))))</f>
        <v>yanvar</v>
      </c>
      <c r="I67" s="119">
        <f>YEAR(B67)</f>
        <v>2025</v>
      </c>
      <c r="J67" s="119"/>
      <c r="K67" s="119"/>
      <c r="L67" s="119"/>
      <c r="M67" s="119"/>
      <c r="N67" s="119"/>
      <c r="O67" s="120"/>
      <c r="P67" s="120"/>
      <c r="Q67" s="120"/>
      <c r="R67" s="120"/>
      <c r="S67" s="120"/>
      <c r="T67" s="120"/>
      <c r="U67" s="120"/>
      <c r="V67" s="120"/>
    </row>
    <row r="68" spans="1:22" hidden="1" x14ac:dyDescent="0.2">
      <c r="A68" s="3" t="s">
        <v>106</v>
      </c>
      <c r="B68" s="92" t="str">
        <f>""&amp;E67&amp;" "&amp;D67&amp;" "&amp;F67&amp;" y."</f>
        <v>27 yanvar 2025 y.</v>
      </c>
      <c r="C68" s="212">
        <v>1</v>
      </c>
      <c r="D68" s="212">
        <v>2</v>
      </c>
      <c r="E68" s="119">
        <v>3</v>
      </c>
      <c r="F68" s="119">
        <v>4</v>
      </c>
      <c r="G68" s="119">
        <v>5</v>
      </c>
      <c r="H68" s="119">
        <v>6</v>
      </c>
      <c r="I68" s="119">
        <v>7</v>
      </c>
      <c r="J68" s="119">
        <v>8</v>
      </c>
      <c r="K68" s="119">
        <v>9</v>
      </c>
      <c r="L68" s="119">
        <v>10</v>
      </c>
      <c r="M68" s="119">
        <v>11</v>
      </c>
      <c r="N68" s="119">
        <v>12</v>
      </c>
      <c r="O68" s="120"/>
      <c r="P68" s="120"/>
      <c r="Q68" s="120"/>
      <c r="R68" s="120"/>
      <c r="S68" s="120"/>
      <c r="T68" s="120"/>
      <c r="U68" s="120"/>
      <c r="V68" s="120"/>
    </row>
    <row r="69" spans="1:22" hidden="1" x14ac:dyDescent="0.2">
      <c r="A69" s="3"/>
      <c r="B69" s="92" t="str">
        <f>""&amp;E67&amp;" "&amp;H67&amp;" "&amp;F67&amp;" y."</f>
        <v>27 yanvar 2025 y.</v>
      </c>
      <c r="E69" s="119"/>
      <c r="F69" s="119"/>
      <c r="G69" s="119"/>
      <c r="H69" s="119"/>
      <c r="I69" s="119"/>
      <c r="J69" s="119"/>
      <c r="K69" s="119"/>
      <c r="L69" s="119"/>
      <c r="M69" s="119"/>
      <c r="N69" s="119"/>
      <c r="O69" s="120"/>
      <c r="P69" s="120"/>
      <c r="Q69" s="120"/>
      <c r="R69" s="120"/>
      <c r="S69" s="120"/>
      <c r="T69" s="120"/>
      <c r="U69" s="120"/>
      <c r="V69" s="120"/>
    </row>
    <row r="70" spans="1:22" hidden="1" x14ac:dyDescent="0.2">
      <c r="A70" s="3"/>
      <c r="B70" s="68" t="str">
        <f>B68</f>
        <v>27 yanvar 2025 y.</v>
      </c>
      <c r="C70" s="212" t="s">
        <v>118</v>
      </c>
      <c r="D70" s="212" t="s">
        <v>119</v>
      </c>
      <c r="E70" s="170" t="s">
        <v>108</v>
      </c>
      <c r="F70" s="170" t="s">
        <v>109</v>
      </c>
      <c r="G70" s="170" t="s">
        <v>110</v>
      </c>
      <c r="H70" s="170" t="s">
        <v>111</v>
      </c>
      <c r="I70" s="170" t="s">
        <v>112</v>
      </c>
      <c r="J70" s="170" t="s">
        <v>113</v>
      </c>
      <c r="K70" s="170" t="s">
        <v>114</v>
      </c>
      <c r="L70" s="170" t="s">
        <v>115</v>
      </c>
      <c r="M70" s="170" t="s">
        <v>116</v>
      </c>
      <c r="N70" s="170" t="s">
        <v>117</v>
      </c>
      <c r="O70" s="120"/>
      <c r="P70" s="120"/>
      <c r="Q70" s="120"/>
      <c r="R70" s="120"/>
      <c r="S70" s="120"/>
      <c r="T70" s="120"/>
      <c r="U70" s="120"/>
      <c r="V70" s="120"/>
    </row>
    <row r="71" spans="1:22" hidden="1" x14ac:dyDescent="0.2">
      <c r="A71" s="3"/>
      <c r="B71" s="68" t="str">
        <f>B69</f>
        <v>27 yanvar 2025 y.</v>
      </c>
      <c r="C71" s="212" t="s">
        <v>118</v>
      </c>
      <c r="D71" s="212" t="s">
        <v>119</v>
      </c>
      <c r="E71" s="170" t="s">
        <v>108</v>
      </c>
      <c r="F71" s="170" t="s">
        <v>109</v>
      </c>
      <c r="G71" s="170" t="s">
        <v>110</v>
      </c>
      <c r="H71" s="170" t="s">
        <v>111</v>
      </c>
      <c r="I71" s="170" t="s">
        <v>112</v>
      </c>
      <c r="J71" s="170" t="s">
        <v>113</v>
      </c>
      <c r="K71" s="170" t="s">
        <v>114</v>
      </c>
      <c r="L71" s="170" t="s">
        <v>115</v>
      </c>
      <c r="M71" s="170" t="s">
        <v>116</v>
      </c>
      <c r="N71" s="170" t="s">
        <v>117</v>
      </c>
      <c r="O71" s="120"/>
      <c r="P71" s="120"/>
      <c r="Q71" s="120"/>
      <c r="R71" s="120"/>
      <c r="S71" s="120"/>
      <c r="T71" s="120"/>
      <c r="U71" s="120"/>
      <c r="V71" s="120"/>
    </row>
    <row r="72" spans="1:22" hidden="1" x14ac:dyDescent="0.2">
      <c r="A72" s="3" t="s">
        <v>107</v>
      </c>
      <c r="B72" s="65" t="str">
        <f>""&amp;E66&amp;" "&amp;D66&amp;" "&amp;F66&amp;" y."</f>
        <v>27 iyul 2025 y.</v>
      </c>
      <c r="E72" s="119"/>
      <c r="F72" s="119"/>
      <c r="G72" s="119"/>
      <c r="H72" s="119"/>
      <c r="I72" s="119"/>
      <c r="J72" s="120"/>
      <c r="K72" s="120"/>
      <c r="L72" s="120"/>
      <c r="M72" s="120"/>
      <c r="N72" s="120"/>
      <c r="O72" s="120"/>
      <c r="P72" s="120"/>
      <c r="Q72" s="120"/>
      <c r="R72" s="120"/>
      <c r="S72" s="120"/>
      <c r="T72" s="120"/>
      <c r="U72" s="120"/>
      <c r="V72" s="120"/>
    </row>
    <row r="73" spans="1:22" hidden="1" x14ac:dyDescent="0.2">
      <c r="A73" s="3"/>
      <c r="B73" s="65" t="str">
        <f>""&amp;E66&amp;" "&amp;H66&amp;" "&amp;F66&amp;" y."</f>
        <v>27 iyul 2025 y.</v>
      </c>
      <c r="E73" s="119"/>
      <c r="F73" s="119"/>
      <c r="G73" s="119"/>
      <c r="H73" s="119"/>
      <c r="I73" s="119"/>
      <c r="J73" s="120"/>
      <c r="K73" s="120"/>
      <c r="L73" s="120"/>
      <c r="M73" s="120"/>
      <c r="N73" s="120"/>
      <c r="O73" s="120"/>
      <c r="P73" s="120"/>
      <c r="Q73" s="120"/>
      <c r="R73" s="120"/>
      <c r="S73" s="120"/>
      <c r="T73" s="120"/>
      <c r="U73" s="120"/>
      <c r="V73" s="120"/>
    </row>
    <row r="74" spans="1:22" ht="15.75" hidden="1" thickBot="1" x14ac:dyDescent="0.25">
      <c r="A74" s="3" t="s">
        <v>120</v>
      </c>
      <c r="B74" s="1" t="str">
        <f>""&amp;B68&amp;"dan "&amp;B66&amp;""</f>
        <v>27 yanvar 2025 y.dan №202</v>
      </c>
      <c r="E74" s="66"/>
      <c r="F74" s="66"/>
      <c r="G74" s="66"/>
      <c r="H74" s="66"/>
      <c r="I74" s="66"/>
      <c r="J74" s="5"/>
      <c r="K74" s="5"/>
      <c r="L74" s="5"/>
      <c r="M74" s="5"/>
      <c r="N74" s="5"/>
      <c r="O74" s="5"/>
      <c r="P74" s="67"/>
      <c r="Q74" s="67"/>
      <c r="R74" s="67"/>
      <c r="S74" s="67"/>
      <c r="T74" s="67"/>
      <c r="U74" s="67"/>
      <c r="V74" s="67"/>
    </row>
    <row r="75" spans="1:22" x14ac:dyDescent="0.2">
      <c r="A75" s="3" t="str">
        <f>CONCATENATE(B65," miqdori (summasi)")</f>
        <v>mikroqarz miqdori (summasi)</v>
      </c>
      <c r="B75" s="77">
        <v>100000000</v>
      </c>
      <c r="C75" s="215" t="s">
        <v>126</v>
      </c>
      <c r="E75" s="66"/>
      <c r="F75" s="66"/>
      <c r="G75" s="66"/>
      <c r="H75" s="66"/>
      <c r="I75" s="66"/>
      <c r="J75" s="5"/>
      <c r="K75" s="5"/>
      <c r="L75" s="5"/>
      <c r="M75" s="5"/>
      <c r="N75" s="5"/>
      <c r="O75" s="5"/>
      <c r="P75" s="67"/>
      <c r="Q75" s="67"/>
      <c r="R75" s="67"/>
      <c r="S75" s="67"/>
      <c r="T75" s="67"/>
      <c r="U75" s="67"/>
      <c r="V75" s="67"/>
    </row>
    <row r="76" spans="1:22" x14ac:dyDescent="0.2">
      <c r="A76" s="171" t="s">
        <v>121</v>
      </c>
      <c r="B76" s="59"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yuz million so'm</v>
      </c>
      <c r="C76" s="213"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Yuz million so'm</v>
      </c>
      <c r="E76" s="66"/>
      <c r="F76" s="66"/>
      <c r="G76" s="66"/>
      <c r="H76" s="66"/>
      <c r="I76" s="66"/>
      <c r="J76" s="5"/>
      <c r="K76" s="5"/>
      <c r="L76" s="5"/>
      <c r="M76" s="5"/>
      <c r="N76" s="5"/>
      <c r="O76" s="5"/>
      <c r="P76" s="67"/>
      <c r="Q76" s="67"/>
      <c r="R76" s="67"/>
      <c r="S76" s="67"/>
      <c r="T76" s="67"/>
      <c r="U76" s="67"/>
      <c r="V76" s="67"/>
    </row>
    <row r="77" spans="1:22" x14ac:dyDescent="0.2">
      <c r="A77" s="3" t="s">
        <v>122</v>
      </c>
      <c r="B77" s="53" t="s">
        <v>127</v>
      </c>
      <c r="C77" s="212" t="s">
        <v>128</v>
      </c>
      <c r="D77" s="212" t="s">
        <v>127</v>
      </c>
      <c r="E77" s="119"/>
      <c r="F77" s="119"/>
      <c r="G77" s="119"/>
      <c r="H77" s="119"/>
      <c r="I77" s="119"/>
      <c r="J77" s="120"/>
      <c r="K77" s="120"/>
      <c r="L77" s="120"/>
      <c r="M77" s="120"/>
      <c r="N77" s="120"/>
      <c r="O77" s="120"/>
      <c r="P77" s="120"/>
      <c r="Q77" s="120"/>
      <c r="R77" s="120"/>
      <c r="S77" s="67"/>
      <c r="T77" s="67"/>
      <c r="U77" s="67"/>
      <c r="V77" s="67"/>
    </row>
    <row r="78" spans="1:22" x14ac:dyDescent="0.2">
      <c r="A78" s="3" t="str">
        <f>CONCATENATE(B65,"ni to'lash sanasi (14.10.2011)")</f>
        <v>mikroqarzni to'lash sanasi (14.10.2011)</v>
      </c>
      <c r="B78" s="53">
        <v>15</v>
      </c>
      <c r="C78" s="214">
        <f>DATE(YEAR(B67),MONTH(B67)+1,DAY(B78))</f>
        <v>45703</v>
      </c>
      <c r="D78" s="212" t="s">
        <v>28</v>
      </c>
      <c r="E78" s="119" t="s">
        <v>29</v>
      </c>
      <c r="F78" s="119" t="s">
        <v>30</v>
      </c>
      <c r="G78" s="119" t="s">
        <v>31</v>
      </c>
      <c r="H78" s="119" t="s">
        <v>32</v>
      </c>
      <c r="I78" s="119" t="s">
        <v>33</v>
      </c>
      <c r="J78" s="120" t="s">
        <v>34</v>
      </c>
      <c r="K78" s="120"/>
      <c r="L78" s="120"/>
      <c r="M78" s="120"/>
      <c r="N78" s="120"/>
      <c r="O78" s="120"/>
      <c r="P78" s="120"/>
      <c r="Q78" s="120"/>
      <c r="R78" s="120"/>
      <c r="S78" s="67"/>
      <c r="T78" s="67"/>
      <c r="U78" s="67"/>
      <c r="V78" s="67"/>
    </row>
    <row r="79" spans="1:22" ht="16.5" hidden="1" customHeight="1" x14ac:dyDescent="0.25">
      <c r="A79" s="3" t="str">
        <f>CONCATENATE(B65,"ni to'lash sanasi (14.10.2011 y.) QO’L BILAN KIRITILADI")</f>
        <v>mikroqarzni to'lash sanasi (14.10.2011 y.) QO’L BILAN KIRITILADI</v>
      </c>
      <c r="B79" s="93">
        <f>DATE(YEAR(B67),MONTH(B67)+1,DAY(B78+C80))</f>
        <v>45705</v>
      </c>
      <c r="C79" s="216" t="str">
        <f>TEXT(C78,"ддд")</f>
        <v>Сб</v>
      </c>
      <c r="D79" s="212" t="s">
        <v>28</v>
      </c>
      <c r="E79" s="119" t="s">
        <v>29</v>
      </c>
      <c r="F79" s="119" t="s">
        <v>30</v>
      </c>
      <c r="G79" s="119" t="s">
        <v>31</v>
      </c>
      <c r="H79" s="119" t="s">
        <v>32</v>
      </c>
      <c r="I79" s="119" t="s">
        <v>33</v>
      </c>
      <c r="J79" s="120" t="s">
        <v>34</v>
      </c>
      <c r="K79" s="120"/>
      <c r="L79" s="120"/>
      <c r="M79" s="120"/>
      <c r="N79" s="120"/>
      <c r="O79" s="120"/>
      <c r="P79" s="120"/>
      <c r="Q79" s="120"/>
      <c r="R79" s="120"/>
      <c r="S79" s="67"/>
      <c r="T79" s="67"/>
      <c r="U79" s="67"/>
      <c r="V79" s="67"/>
    </row>
    <row r="80" spans="1:22" ht="16.5" hidden="1" customHeight="1" x14ac:dyDescent="0.2">
      <c r="A80" s="3" t="s">
        <v>123</v>
      </c>
      <c r="B80" s="94">
        <f>B79</f>
        <v>45705</v>
      </c>
      <c r="C80" s="212">
        <f>IF(C79=I79,2,IF(C79=J79,1,0))</f>
        <v>2</v>
      </c>
      <c r="E80" s="120"/>
      <c r="F80" s="120"/>
      <c r="G80" s="120"/>
      <c r="H80" s="120"/>
      <c r="I80" s="120"/>
      <c r="J80" s="120"/>
      <c r="K80" s="120"/>
      <c r="L80" s="120"/>
      <c r="M80" s="120"/>
      <c r="N80" s="120"/>
      <c r="O80" s="120"/>
      <c r="P80" s="120"/>
      <c r="Q80" s="120"/>
      <c r="R80" s="120"/>
      <c r="S80" s="67"/>
      <c r="T80" s="67"/>
      <c r="U80" s="67"/>
      <c r="V80" s="67"/>
    </row>
    <row r="81" spans="1:63" ht="16.5" customHeight="1" x14ac:dyDescent="0.2">
      <c r="A81" s="3" t="str">
        <f>CONCATENATE(B65," muddati")</f>
        <v>mikroqarz muddati</v>
      </c>
      <c r="B81" s="53">
        <v>6</v>
      </c>
      <c r="C81" s="212">
        <v>6</v>
      </c>
      <c r="D81" s="212">
        <v>12</v>
      </c>
      <c r="E81" s="120">
        <v>18</v>
      </c>
      <c r="F81" s="120"/>
      <c r="G81" s="120"/>
      <c r="H81" s="120"/>
      <c r="I81" s="120"/>
      <c r="J81" s="120"/>
      <c r="K81" s="120"/>
      <c r="L81" s="120"/>
      <c r="M81" s="120"/>
      <c r="N81" s="120"/>
      <c r="O81" s="120"/>
      <c r="P81" s="120"/>
      <c r="Q81" s="120"/>
      <c r="R81" s="120"/>
      <c r="S81" s="67"/>
      <c r="T81" s="67"/>
      <c r="U81" s="67"/>
      <c r="V81" s="67"/>
    </row>
    <row r="82" spans="1:63" x14ac:dyDescent="0.2">
      <c r="A82" s="3" t="str">
        <f>CONCATENATE(B65," muddati QO’L BILAN KIRITILADI")</f>
        <v>mikroqarz muddati QO’L BILAN KIRITILADI</v>
      </c>
      <c r="B82" s="166" t="s">
        <v>422</v>
      </c>
      <c r="E82" s="120"/>
      <c r="F82" s="120"/>
      <c r="G82" s="120"/>
      <c r="H82" s="120"/>
      <c r="I82" s="120"/>
      <c r="J82" s="120"/>
      <c r="K82" s="120"/>
      <c r="L82" s="120"/>
      <c r="M82" s="120"/>
      <c r="N82" s="120"/>
      <c r="O82" s="120"/>
      <c r="P82" s="120"/>
      <c r="Q82" s="120"/>
      <c r="R82" s="120"/>
    </row>
    <row r="83" spans="1:63" ht="30" x14ac:dyDescent="0.2">
      <c r="A83" s="198" t="s">
        <v>351</v>
      </c>
      <c r="B83" s="166">
        <v>0</v>
      </c>
      <c r="E83" s="120"/>
      <c r="F83" s="120"/>
      <c r="G83" s="120"/>
      <c r="H83" s="120"/>
      <c r="I83" s="120"/>
      <c r="J83" s="120"/>
      <c r="K83" s="120"/>
      <c r="L83" s="120"/>
      <c r="M83" s="120"/>
      <c r="N83" s="120"/>
      <c r="O83" s="120"/>
      <c r="P83" s="120"/>
      <c r="Q83" s="120"/>
      <c r="R83" s="120"/>
      <c r="BJ83" s="5">
        <v>1</v>
      </c>
      <c r="BK83" s="5">
        <v>0</v>
      </c>
    </row>
    <row r="84" spans="1:63" x14ac:dyDescent="0.2">
      <c r="A84" s="3" t="str">
        <f>CONCATENATE(B65," stavkasi")</f>
        <v>mikroqarz stavkasi</v>
      </c>
      <c r="B84" s="96">
        <v>0.6</v>
      </c>
      <c r="E84" s="120"/>
      <c r="F84" s="120"/>
      <c r="G84" s="120"/>
      <c r="H84" s="120"/>
      <c r="I84" s="120"/>
      <c r="J84" s="120"/>
      <c r="K84" s="120"/>
      <c r="L84" s="120"/>
      <c r="M84" s="120"/>
      <c r="N84" s="120"/>
      <c r="O84" s="120"/>
      <c r="P84" s="120"/>
      <c r="Q84" s="120"/>
      <c r="R84" s="120"/>
    </row>
    <row r="85" spans="1:63" x14ac:dyDescent="0.2">
      <c r="A85" s="3" t="str">
        <f>CONCATENATE(B65," stavkasi")</f>
        <v>mikroqarz stavkasi</v>
      </c>
      <c r="B85" s="97" t="s">
        <v>400</v>
      </c>
      <c r="E85" s="120"/>
      <c r="F85" s="120"/>
      <c r="G85" s="120"/>
      <c r="H85" s="120"/>
      <c r="I85" s="120"/>
      <c r="J85" s="120"/>
      <c r="K85" s="120"/>
      <c r="L85" s="120"/>
      <c r="M85" s="120"/>
      <c r="N85" s="120"/>
      <c r="O85" s="120"/>
      <c r="P85" s="120"/>
      <c r="Q85" s="120"/>
      <c r="R85" s="120"/>
    </row>
    <row r="86" spans="1:63" x14ac:dyDescent="0.2">
      <c r="A86" s="3" t="str">
        <f>CONCATENATE(B65," stavkasi (so’z bilan)")</f>
        <v>mikroqarz stavkasi (so’z bilan)</v>
      </c>
      <c r="B86" s="95" t="s">
        <v>401</v>
      </c>
      <c r="C86" s="212" t="s">
        <v>401</v>
      </c>
      <c r="E86" s="120"/>
      <c r="F86" s="120"/>
      <c r="G86" s="120"/>
      <c r="H86" s="120"/>
      <c r="I86" s="120"/>
      <c r="J86" s="120"/>
      <c r="K86" s="120"/>
      <c r="L86" s="120"/>
      <c r="M86" s="120"/>
      <c r="N86" s="120"/>
      <c r="O86" s="120"/>
      <c r="P86" s="120"/>
      <c r="Q86" s="120"/>
      <c r="R86" s="120"/>
    </row>
    <row r="87" spans="1:63" x14ac:dyDescent="0.2">
      <c r="A87" s="3" t="str">
        <f>CONCATENATE("Muddati o'tgan ",B65," bo’yicha stavka")</f>
        <v>Muddati o'tgan mikroqarz bo’yicha stavka</v>
      </c>
      <c r="B87" s="96">
        <v>1</v>
      </c>
      <c r="E87" s="120"/>
      <c r="F87" s="120"/>
      <c r="G87" s="120"/>
      <c r="H87" s="120"/>
      <c r="I87" s="120"/>
      <c r="J87" s="120"/>
      <c r="K87" s="120"/>
      <c r="L87" s="120"/>
      <c r="M87" s="120"/>
      <c r="N87" s="120"/>
      <c r="O87" s="120"/>
      <c r="P87" s="120"/>
      <c r="Q87" s="120"/>
      <c r="R87" s="120"/>
    </row>
    <row r="88" spans="1:63" x14ac:dyDescent="0.2">
      <c r="A88" s="171" t="s">
        <v>121</v>
      </c>
      <c r="B88" s="97" t="s">
        <v>403</v>
      </c>
      <c r="E88" s="120"/>
      <c r="F88" s="120"/>
      <c r="G88" s="120"/>
      <c r="H88" s="120"/>
      <c r="I88" s="120"/>
      <c r="J88" s="120"/>
      <c r="K88" s="120"/>
      <c r="L88" s="120"/>
      <c r="M88" s="120"/>
      <c r="N88" s="120"/>
      <c r="O88" s="120"/>
      <c r="P88" s="120"/>
      <c r="Q88" s="120"/>
      <c r="R88" s="120"/>
    </row>
    <row r="89" spans="1:63" x14ac:dyDescent="0.2">
      <c r="A89" s="3" t="str">
        <f>CONCATENATE("Muddati o'tgan ",B65," bo’yicha stavka")</f>
        <v>Muddati o'tgan mikroqarz bo’yicha stavka</v>
      </c>
      <c r="B89" s="95" t="s">
        <v>404</v>
      </c>
      <c r="C89" s="212" t="s">
        <v>404</v>
      </c>
      <c r="E89" s="120"/>
      <c r="F89" s="120"/>
      <c r="G89" s="120"/>
      <c r="H89" s="120"/>
      <c r="I89" s="120"/>
      <c r="J89" s="120"/>
      <c r="K89" s="120"/>
      <c r="L89" s="120"/>
      <c r="M89" s="120"/>
      <c r="N89" s="120"/>
      <c r="O89" s="120"/>
      <c r="P89" s="120"/>
      <c r="Q89" s="120"/>
      <c r="R89" s="120"/>
    </row>
    <row r="90" spans="1:63" x14ac:dyDescent="0.2">
      <c r="A90" s="3" t="s">
        <v>124</v>
      </c>
      <c r="B90" s="98">
        <f>IF(B77=C77,LARGE(График!F9:F26,1),ROUND(PMT(B84/12,B81,-B75,0),-3))</f>
        <v>19702000</v>
      </c>
      <c r="E90" s="120"/>
      <c r="F90" s="120"/>
      <c r="G90" s="120"/>
      <c r="H90" s="120"/>
      <c r="I90" s="120"/>
      <c r="J90" s="120"/>
      <c r="K90" s="120"/>
      <c r="L90" s="120"/>
      <c r="M90" s="120"/>
      <c r="N90" s="120"/>
      <c r="O90" s="120"/>
      <c r="P90" s="120"/>
      <c r="Q90" s="120"/>
      <c r="R90" s="120"/>
    </row>
    <row r="91" spans="1:63" x14ac:dyDescent="0.2">
      <c r="A91" s="250" t="s">
        <v>125</v>
      </c>
      <c r="B91" s="250"/>
      <c r="E91" s="120"/>
      <c r="F91" s="120"/>
      <c r="G91" s="120"/>
      <c r="H91" s="120"/>
      <c r="I91" s="120"/>
      <c r="J91" s="120"/>
      <c r="K91" s="120"/>
      <c r="L91" s="120"/>
      <c r="M91" s="120"/>
      <c r="N91" s="120"/>
      <c r="O91" s="120"/>
      <c r="P91" s="120"/>
      <c r="Q91" s="120"/>
      <c r="R91" s="120"/>
    </row>
    <row r="92" spans="1:63" ht="18" x14ac:dyDescent="0.2">
      <c r="A92" s="101"/>
      <c r="B92" s="159" t="s">
        <v>130</v>
      </c>
      <c r="C92" s="217" t="s">
        <v>130</v>
      </c>
      <c r="D92" s="212" t="s">
        <v>131</v>
      </c>
      <c r="E92" s="120"/>
      <c r="F92" s="120"/>
      <c r="G92" s="120"/>
      <c r="H92" s="120"/>
      <c r="I92" s="120"/>
      <c r="J92" s="120"/>
      <c r="K92" s="120"/>
      <c r="L92" s="120"/>
      <c r="M92" s="120"/>
      <c r="N92" s="120"/>
      <c r="O92" s="120"/>
      <c r="P92" s="120"/>
      <c r="Q92" s="120"/>
      <c r="R92" s="120"/>
    </row>
    <row r="93" spans="1:63" ht="18" x14ac:dyDescent="0.2">
      <c r="A93" s="12" t="s">
        <v>136</v>
      </c>
      <c r="B93" s="159" t="s">
        <v>132</v>
      </c>
      <c r="C93" s="218" t="s">
        <v>132</v>
      </c>
      <c r="D93" s="212" t="s">
        <v>133</v>
      </c>
      <c r="E93" s="120"/>
      <c r="F93" s="120"/>
      <c r="G93" s="120"/>
      <c r="H93" s="120"/>
      <c r="I93" s="120"/>
      <c r="J93" s="120"/>
      <c r="K93" s="120"/>
      <c r="L93" s="120"/>
      <c r="M93" s="120"/>
      <c r="N93" s="120"/>
      <c r="O93" s="120"/>
      <c r="P93" s="120"/>
      <c r="Q93" s="120"/>
      <c r="R93" s="120"/>
    </row>
    <row r="94" spans="1:63" ht="36" x14ac:dyDescent="0.2">
      <c r="A94" s="12" t="s">
        <v>137</v>
      </c>
      <c r="B94" s="159" t="s">
        <v>134</v>
      </c>
      <c r="C94" s="212" t="s">
        <v>134</v>
      </c>
      <c r="D94" s="212" t="s">
        <v>135</v>
      </c>
      <c r="E94" s="120"/>
      <c r="F94" s="120"/>
      <c r="G94" s="120"/>
      <c r="H94" s="120"/>
      <c r="I94" s="120"/>
    </row>
    <row r="95" spans="1:63" ht="36" x14ac:dyDescent="0.2">
      <c r="A95" s="12" t="s">
        <v>138</v>
      </c>
      <c r="B95" s="159"/>
    </row>
    <row r="96" spans="1:63" ht="36" x14ac:dyDescent="0.2">
      <c r="A96" s="12" t="s">
        <v>139</v>
      </c>
      <c r="B96" s="159"/>
    </row>
    <row r="97" spans="1:4" x14ac:dyDescent="0.2">
      <c r="A97" s="250" t="s">
        <v>140</v>
      </c>
      <c r="B97" s="250"/>
    </row>
    <row r="98" spans="1:4" ht="36" x14ac:dyDescent="0.2">
      <c r="A98" s="12" t="s">
        <v>141</v>
      </c>
      <c r="B98" s="159"/>
    </row>
    <row r="99" spans="1:4" ht="36" x14ac:dyDescent="0.2">
      <c r="A99" s="12" t="s">
        <v>142</v>
      </c>
      <c r="B99" s="159"/>
    </row>
    <row r="100" spans="1:4" ht="18" x14ac:dyDescent="0.2">
      <c r="A100" s="12" t="s">
        <v>143</v>
      </c>
      <c r="B100" s="167"/>
    </row>
    <row r="101" spans="1:4" ht="18" x14ac:dyDescent="0.2">
      <c r="A101" s="12" t="s">
        <v>144</v>
      </c>
      <c r="B101" s="165"/>
    </row>
    <row r="102" spans="1:4" ht="18" hidden="1" x14ac:dyDescent="0.2">
      <c r="A102" s="12"/>
      <c r="B102" s="159" t="str">
        <f>TEXT(B101,"ДД.ММ.ГГГГ")</f>
        <v>00.01.1900</v>
      </c>
    </row>
    <row r="103" spans="1:4" ht="18" x14ac:dyDescent="0.2">
      <c r="A103" s="12"/>
      <c r="B103" s="13" t="s">
        <v>145</v>
      </c>
      <c r="C103" s="212" t="s">
        <v>145</v>
      </c>
      <c r="D103" s="212" t="s">
        <v>146</v>
      </c>
    </row>
    <row r="104" spans="1:4" ht="60" x14ac:dyDescent="0.2">
      <c r="A104" s="206" t="s">
        <v>353</v>
      </c>
      <c r="B104" s="205" t="s">
        <v>352</v>
      </c>
      <c r="C104" s="13" t="s">
        <v>146</v>
      </c>
    </row>
    <row r="105" spans="1:4" ht="30" x14ac:dyDescent="0.2">
      <c r="A105" s="197" t="s">
        <v>374</v>
      </c>
      <c r="B105" s="13"/>
      <c r="C105" s="13"/>
    </row>
    <row r="106" spans="1:4" ht="30" x14ac:dyDescent="0.2">
      <c r="A106" s="197" t="s">
        <v>375</v>
      </c>
      <c r="B106" s="13"/>
      <c r="C106" s="13"/>
    </row>
    <row r="107" spans="1:4" ht="60" x14ac:dyDescent="0.2">
      <c r="A107" s="197" t="str">
        <f>A113</f>
        <v>Tug’ilgan sanasi (01.10.2011 y.)</v>
      </c>
      <c r="B107" s="223"/>
      <c r="C107" s="13"/>
    </row>
    <row r="108" spans="1:4" ht="60" x14ac:dyDescent="0.2">
      <c r="A108" s="197" t="str">
        <f>A114</f>
        <v>Pasport seriyasi (СА №1234567)</v>
      </c>
      <c r="B108" s="13"/>
      <c r="C108" s="13"/>
    </row>
    <row r="109" spans="1:4" ht="150" x14ac:dyDescent="0.2">
      <c r="A109" s="197" t="str">
        <f>A115</f>
        <v xml:space="preserve">Kim va qachon berilgan
(Toshkent shahri Chilonzor IIB tomonidan 2011 yil __.____)
</v>
      </c>
      <c r="B109" s="13"/>
      <c r="C109" s="13"/>
    </row>
    <row r="110" spans="1:4" ht="150" x14ac:dyDescent="0.2">
      <c r="A110" s="197" t="str">
        <f>A116</f>
        <v xml:space="preserve">doimiy ro’yhatdan o’tgan joyi
(Toshkent sh., Mirobod tumani, Nukus ko’chasi, 1 uy, 1 honadon)
</v>
      </c>
      <c r="B110" s="13"/>
      <c r="C110" s="13"/>
    </row>
    <row r="111" spans="1:4" hidden="1" x14ac:dyDescent="0.2">
      <c r="A111" s="156" t="s">
        <v>158</v>
      </c>
      <c r="B111" s="146" t="str">
        <f>IF(B93="HA",B5,B105)</f>
        <v>CHUCHARINA MARGARITA SERGEYEVNA</v>
      </c>
      <c r="C111" s="173" t="str">
        <f>IF(B93="HA",B5,C105)</f>
        <v>CHUCHARINA MARGARITA SERGEYEVNA</v>
      </c>
    </row>
    <row r="112" spans="1:4" hidden="1" x14ac:dyDescent="0.2">
      <c r="A112" s="156"/>
      <c r="B112" s="146" t="str">
        <f>IF(B93="HA",B7,B106)</f>
        <v>CHUCHARINA M.S.</v>
      </c>
      <c r="C112" s="173" t="str">
        <f>IF(B93="HA",B7,C106)</f>
        <v>CHUCHARINA M.S.</v>
      </c>
    </row>
    <row r="113" spans="1:18" hidden="1" x14ac:dyDescent="0.2">
      <c r="A113" s="157" t="s">
        <v>159</v>
      </c>
      <c r="B113" s="196" t="str">
        <f>IF(B93="HA",B15,B107)</f>
        <v>02.11.1997 y</v>
      </c>
      <c r="C113" s="173" t="str">
        <f>IF(B93="HA",B15,C107)</f>
        <v>02.11.1997 y</v>
      </c>
    </row>
    <row r="114" spans="1:18" hidden="1" x14ac:dyDescent="0.2">
      <c r="A114" s="157" t="s">
        <v>64</v>
      </c>
      <c r="B114" s="196" t="str">
        <f>IF(B93="HA",B16,B108)</f>
        <v>AD 2029757</v>
      </c>
      <c r="C114" s="173" t="str">
        <f>IF(B93="HA",B16,C108)</f>
        <v>AD 2029757</v>
      </c>
    </row>
    <row r="115" spans="1:18" ht="30" hidden="1" customHeight="1" x14ac:dyDescent="0.2">
      <c r="A115" s="157" t="s">
        <v>67</v>
      </c>
      <c r="B115" s="146" t="str">
        <f>IF(B93="HA",B20,B109)</f>
        <v>IIV 60005 tomonidan 16.11.2022 yilda berilgan</v>
      </c>
      <c r="C115" s="173" t="str">
        <f>IF(B93="HA",B20,C109)</f>
        <v>IIV 60005 tomonidan 16.11.2022 yilda berilgan</v>
      </c>
      <c r="D115" s="212">
        <v>493193762</v>
      </c>
    </row>
    <row r="116" spans="1:18" ht="53.25" hidden="1" customHeight="1" x14ac:dyDescent="0.2">
      <c r="A116" s="157" t="s">
        <v>69</v>
      </c>
      <c r="B116" s="146" t="str">
        <f>IF(B93="HA",B22,B110)</f>
        <v>TOSHKЕNT SHAHRI YAKKASAROY TUMANI Rakat daxasi, Uy 12, Kvartira 47</v>
      </c>
      <c r="C116" s="146" t="e">
        <f>IF(B93="HA",#REF!,C110)</f>
        <v>#REF!</v>
      </c>
    </row>
    <row r="117" spans="1:18" x14ac:dyDescent="0.2">
      <c r="A117" s="157" t="s">
        <v>160</v>
      </c>
      <c r="B117" s="1" t="str">
        <f>IF(B93="ha",B5,B111)</f>
        <v>CHUCHARINA MARGARITA SERGEYEVNA</v>
      </c>
      <c r="C117" s="99" t="str">
        <f>IF(B93="ha",B5,C111)</f>
        <v>CHUCHARINA MARGARITA SERGEYEVNA</v>
      </c>
    </row>
    <row r="118" spans="1:18" x14ac:dyDescent="0.2">
      <c r="A118" s="157"/>
      <c r="B118" s="1" t="str">
        <f>IF(B93="ha",B7,B112)</f>
        <v>CHUCHARINA M.S.</v>
      </c>
      <c r="C118" s="99" t="str">
        <f>IF(B93="ha",B7,C112)</f>
        <v>CHUCHARINA M.S.</v>
      </c>
    </row>
    <row r="119" spans="1:18" x14ac:dyDescent="0.2">
      <c r="A119" s="3" t="s">
        <v>159</v>
      </c>
      <c r="B119" s="1" t="str">
        <f>IF(B93="ha",B15,B113)</f>
        <v>02.11.1997 y</v>
      </c>
      <c r="C119" s="99" t="str">
        <f>IF(B93="ha",B15,C113)</f>
        <v>02.11.1997 y</v>
      </c>
    </row>
    <row r="120" spans="1:18" x14ac:dyDescent="0.2">
      <c r="A120" s="3" t="s">
        <v>64</v>
      </c>
      <c r="B120" s="1" t="s">
        <v>390</v>
      </c>
      <c r="C120" s="99" t="str">
        <f>IF(B93="ha",B16,C114)</f>
        <v>AD 2029757</v>
      </c>
    </row>
    <row r="121" spans="1:18" ht="45" x14ac:dyDescent="0.2">
      <c r="A121" s="3" t="s">
        <v>67</v>
      </c>
      <c r="B121" s="1" t="str">
        <f>IF(B93="ha",B20,B115)</f>
        <v>IIV 60005 tomonidan 16.11.2022 yilda berilgan</v>
      </c>
      <c r="C121" s="99" t="str">
        <f>IF(B93="ha",B20,C115)</f>
        <v>IIV 60005 tomonidan 16.11.2022 yilda berilgan</v>
      </c>
    </row>
    <row r="122" spans="1:18" ht="45" x14ac:dyDescent="0.2">
      <c r="A122" s="3" t="s">
        <v>69</v>
      </c>
      <c r="B122" s="193" t="str">
        <f>B22</f>
        <v>TOSHKЕNT SHAHRI YAKKASAROY TUMANI Rakat daxasi, Uy 12, Kvartira 47</v>
      </c>
      <c r="C122" s="100" t="e">
        <f>IF(B93="ha",#REF!,C116)</f>
        <v>#REF!</v>
      </c>
    </row>
    <row r="123" spans="1:18" ht="42.75" x14ac:dyDescent="0.2">
      <c r="A123" s="3" t="s">
        <v>161</v>
      </c>
      <c r="B123" s="53" t="s">
        <v>435</v>
      </c>
      <c r="C123" s="1" t="s">
        <v>47</v>
      </c>
      <c r="N123" s="4" t="str">
        <f>IF(B103=C103,B117,IF(B103=D103,C117,0))</f>
        <v>CHUCHARINA MARGARITA SERGEYEVNA</v>
      </c>
    </row>
    <row r="124" spans="1:18" ht="45" x14ac:dyDescent="0.2">
      <c r="A124" s="3" t="s">
        <v>162</v>
      </c>
      <c r="B124" s="53" t="s">
        <v>434</v>
      </c>
      <c r="C124" s="55" t="s">
        <v>385</v>
      </c>
      <c r="D124" s="56" t="s">
        <v>151</v>
      </c>
      <c r="Q124" s="4" t="str">
        <f>""&amp;B95&amp;" (по генеральному доверенестью №"&amp;B100&amp;" от "&amp;B102&amp;")"</f>
        <v xml:space="preserve"> (по генеральному доверенестью № от 00.01.1900)</v>
      </c>
      <c r="R124" s="4" t="str">
        <f>""&amp;B95&amp;" ("&amp;B102&amp;"y. sanasidagi reestr raqami №"&amp;B100&amp;" bo'lgan Ishonchnomaga asosan)"</f>
        <v xml:space="preserve"> (00.01.1900y. sanasidagi reestr raqami № bo'lgan Ishonchnomaga asosan)</v>
      </c>
    </row>
    <row r="125" spans="1:18" ht="30" x14ac:dyDescent="0.2">
      <c r="A125" s="3" t="s">
        <v>163</v>
      </c>
      <c r="B125" s="53" t="s">
        <v>430</v>
      </c>
      <c r="C125" s="100" t="str">
        <f>""&amp;D126&amp;" "&amp;IF(C129=D129,"- xonali yakka tartibdagi uy-joy", IF(C129=E129,"-  xonali ko'p qavatli uydagi xonadon",0))&amp;""</f>
        <v>3 - xonali yakka tartibdagi uy-joy</v>
      </c>
      <c r="D125" s="88" t="s">
        <v>149</v>
      </c>
      <c r="E125" s="89" t="str">
        <f>IF($C$129=$D$129,I125,IF($C$129=$E$129,H125,0))</f>
        <v>3 - xonali yakka tartibdagi uy-joy</v>
      </c>
      <c r="F125" s="174" t="str">
        <f>IF($C$129=$D$129,I125,IF($C$129=$E$129,H125,0))</f>
        <v>3 - xonali yakka tartibdagi uy-joy</v>
      </c>
      <c r="G125" s="89"/>
      <c r="H125" s="89" t="str">
        <f>"Ko'p qavatli uydagi "&amp;D126&amp;" - xonali xonadon"</f>
        <v>Ko'p qavatli uydagi 3 - xonali xonadon</v>
      </c>
      <c r="I125" s="89" t="str">
        <f>""&amp;D126&amp;" - xonali yakka tartibdagi uy-joy"</f>
        <v>3 - xonali yakka tartibdagi uy-joy</v>
      </c>
      <c r="J125" s="89"/>
      <c r="K125" s="89"/>
      <c r="L125" s="89"/>
      <c r="M125" s="89"/>
      <c r="N125" s="4" t="str">
        <f>IF(B93=C93,Q126,IF(B93=D93,Q125,0))</f>
        <v>Микрофинансовой организацией и Заемщиком</v>
      </c>
      <c r="Q125" s="4" t="str">
        <f>"Микрофинансовой организацией, Заемщиком и "&amp;IF(B94=D94,Q124,IF(B94=C94,B111,0))&amp;""</f>
        <v>Микрофинансовой организацией, Заемщиком и CHUCHARINA MARGARITA SERGEYEVNA</v>
      </c>
      <c r="R125" s="4" t="str">
        <f>"Mikromoliya tashkiloti, Qarz oluvchi va "&amp;IF(B94=D94,R124,IF(B94=C94,B111))&amp;""</f>
        <v>Mikromoliya tashkiloti, Qarz oluvchi va CHUCHARINA MARGARITA SERGEYEVNA</v>
      </c>
    </row>
    <row r="126" spans="1:18" x14ac:dyDescent="0.2">
      <c r="A126" s="3" t="s">
        <v>164</v>
      </c>
      <c r="B126" s="158" t="s">
        <v>428</v>
      </c>
      <c r="C126" s="100" t="str">
        <f>C125</f>
        <v>3 - xonali yakka tartibdagi uy-joy</v>
      </c>
      <c r="D126" s="87">
        <v>3</v>
      </c>
      <c r="E126" s="89" t="str">
        <f>IF($C$129=$D$129,I126,IF($C$129=$E$129,H126,0))</f>
        <v>yer uchastkasi maydoni - , umumiy maydoni - 72,13, yashash maydoni - 37,39</v>
      </c>
      <c r="F126" s="174" t="str">
        <f>IF($C$129=$D$129,I126,IF($C$129=$E$129,H126,0))</f>
        <v>yer uchastkasi maydoni - , umumiy maydoni - 72,13, yashash maydoni - 37,39</v>
      </c>
      <c r="G126" s="89"/>
      <c r="H126" s="89" t="str">
        <f>"umumiy maydoni - "&amp;C130&amp;", yashash maydoni - "&amp;C133&amp;""</f>
        <v>umumiy maydoni - 72,13, yashash maydoni - 37,39</v>
      </c>
      <c r="I126" s="89" t="str">
        <f>"yer uchastkasi maydoni - "&amp;C131&amp;", umumiy maydoni - "&amp;C130&amp;", yashash maydoni - "&amp;C133&amp;""</f>
        <v>yer uchastkasi maydoni - , umumiy maydoni - 72,13, yashash maydoni - 37,39</v>
      </c>
      <c r="J126" s="89"/>
      <c r="K126" s="89"/>
      <c r="L126" s="89"/>
      <c r="M126" s="89"/>
      <c r="N126" s="4" t="str">
        <f>IF(B93=C93,R126,IF(B93=D93,R125,0))</f>
        <v>Mikromoliya tashkiloti va Qarz oluvchi</v>
      </c>
      <c r="Q126" s="4" t="s">
        <v>51</v>
      </c>
      <c r="R126" s="4" t="s">
        <v>150</v>
      </c>
    </row>
    <row r="127" spans="1:18" ht="27" customHeight="1" x14ac:dyDescent="0.2">
      <c r="A127" s="3" t="s">
        <v>165</v>
      </c>
      <c r="B127" s="86" t="str">
        <f>"kuzov turi - "&amp;B128&amp;", kuzov raqami "&amp;B129&amp;""</f>
        <v>kuzov turi - YENGIL KROSSOVER, kuzov raqami XWBUA7659PA551726</v>
      </c>
      <c r="C127" s="55" t="s">
        <v>384</v>
      </c>
      <c r="D127" s="56" t="s">
        <v>386</v>
      </c>
    </row>
    <row r="128" spans="1:18" x14ac:dyDescent="0.2">
      <c r="A128" s="78" t="s">
        <v>166</v>
      </c>
      <c r="B128" s="53" t="s">
        <v>431</v>
      </c>
      <c r="C128" s="148"/>
    </row>
    <row r="129" spans="1:6" x14ac:dyDescent="0.2">
      <c r="A129" s="78" t="s">
        <v>167</v>
      </c>
      <c r="B129" s="53" t="s">
        <v>427</v>
      </c>
      <c r="C129" s="54" t="s">
        <v>152</v>
      </c>
      <c r="D129" s="212" t="s">
        <v>152</v>
      </c>
      <c r="E129" s="5" t="s">
        <v>153</v>
      </c>
    </row>
    <row r="130" spans="1:6" ht="27" customHeight="1" x14ac:dyDescent="0.25">
      <c r="A130" s="3" t="s">
        <v>168</v>
      </c>
      <c r="B130" s="86" t="str">
        <f>"dvigatel raqami "&amp;B131&amp;", shassi raqami - "&amp;B132&amp;""</f>
        <v xml:space="preserve">dvigatel raqami L4HA1222413MYWX0269, shassi raqami -  - </v>
      </c>
      <c r="C130" s="54">
        <v>72.13</v>
      </c>
      <c r="D130" s="211" t="s">
        <v>154</v>
      </c>
      <c r="E130" s="4" t="str">
        <f>CONCATENATE(C130," ","kv.m")</f>
        <v>72,13 kv.m</v>
      </c>
      <c r="F130" s="181">
        <f>C130-C133</f>
        <v>34.739999999999995</v>
      </c>
    </row>
    <row r="131" spans="1:6" x14ac:dyDescent="0.25">
      <c r="A131" s="78" t="s">
        <v>169</v>
      </c>
      <c r="B131" s="102" t="s">
        <v>426</v>
      </c>
      <c r="C131" s="54"/>
      <c r="D131" s="211" t="s">
        <v>155</v>
      </c>
    </row>
    <row r="132" spans="1:6" x14ac:dyDescent="0.2">
      <c r="A132" s="78" t="s">
        <v>170</v>
      </c>
      <c r="B132" s="53" t="s">
        <v>432</v>
      </c>
      <c r="C132" s="54"/>
    </row>
    <row r="133" spans="1:6" ht="25.5" customHeight="1" x14ac:dyDescent="0.25">
      <c r="A133" s="3" t="s">
        <v>171</v>
      </c>
      <c r="B133" s="86" t="str">
        <f>"rangi -  "&amp;B134&amp;", ishlab chiqarilgan yili - "&amp;B135&amp;""</f>
        <v>rangi -  QORA CHYORNIY , ishlab chiqarilgan yili - 2023</v>
      </c>
      <c r="C133" s="209" t="s">
        <v>383</v>
      </c>
      <c r="D133" s="211" t="s">
        <v>253</v>
      </c>
      <c r="E133" s="4" t="str">
        <f>CONCATENATE(C133," ","kv.m")</f>
        <v>37,39 kv.m</v>
      </c>
    </row>
    <row r="134" spans="1:6" x14ac:dyDescent="0.2">
      <c r="A134" s="78" t="s">
        <v>172</v>
      </c>
      <c r="B134" s="53" t="s">
        <v>433</v>
      </c>
      <c r="C134" s="54"/>
    </row>
    <row r="135" spans="1:6" ht="30" x14ac:dyDescent="0.25">
      <c r="A135" s="78" t="s">
        <v>173</v>
      </c>
      <c r="B135" s="64" t="s">
        <v>425</v>
      </c>
      <c r="C135" s="148">
        <v>44181</v>
      </c>
      <c r="D135" s="220" t="s">
        <v>387</v>
      </c>
    </row>
    <row r="136" spans="1:6" hidden="1" x14ac:dyDescent="0.25">
      <c r="A136" s="3" t="s">
        <v>174</v>
      </c>
      <c r="B136" s="25">
        <f>B75*1.5</f>
        <v>150000000</v>
      </c>
      <c r="C136" s="25">
        <f>B136</f>
        <v>150000000</v>
      </c>
      <c r="D136" s="211" t="s">
        <v>174</v>
      </c>
    </row>
    <row r="137" spans="1:6" ht="27.75" hidden="1" customHeight="1" x14ac:dyDescent="0.2">
      <c r="A137" s="203"/>
      <c r="B137" s="59"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yuz ellik million so'm</v>
      </c>
      <c r="C137" s="168" t="str">
        <f>B137</f>
        <v>yuz ellik million so'm</v>
      </c>
      <c r="D137" s="4"/>
    </row>
    <row r="138" spans="1:6" ht="27.75" hidden="1" customHeight="1" x14ac:dyDescent="0.2">
      <c r="A138" s="3"/>
      <c r="B138" s="168" t="str">
        <f>B137</f>
        <v>yuz ellik million so'm</v>
      </c>
      <c r="C138" s="79"/>
      <c r="D138" s="4"/>
    </row>
    <row r="139" spans="1:6" ht="20.25" x14ac:dyDescent="0.2">
      <c r="A139" s="3" t="s">
        <v>347</v>
      </c>
      <c r="B139" s="59">
        <v>137291</v>
      </c>
    </row>
    <row r="140" spans="1:6" x14ac:dyDescent="0.2">
      <c r="A140" s="3" t="s">
        <v>376</v>
      </c>
      <c r="B140" s="53">
        <v>2</v>
      </c>
    </row>
    <row r="141" spans="1:6" x14ac:dyDescent="0.2">
      <c r="A141" s="3" t="s">
        <v>156</v>
      </c>
      <c r="B141" s="2" t="s">
        <v>147</v>
      </c>
      <c r="C141" s="212">
        <v>1</v>
      </c>
    </row>
    <row r="142" spans="1:6" hidden="1" x14ac:dyDescent="0.2">
      <c r="A142" s="3" t="s">
        <v>157</v>
      </c>
      <c r="B142" s="8" t="str">
        <f>B70</f>
        <v>27 yanvar 2025 y.</v>
      </c>
      <c r="C142" s="212" t="str">
        <f>B70</f>
        <v>27 yanvar 2025 y.</v>
      </c>
    </row>
    <row r="143" spans="1:6" hidden="1" x14ac:dyDescent="0.2">
      <c r="A143" s="3"/>
      <c r="B143" s="1">
        <f>YEAR(B67)</f>
        <v>2025</v>
      </c>
    </row>
    <row r="144" spans="1:6" hidden="1" x14ac:dyDescent="0.2">
      <c r="A144" s="3"/>
      <c r="B144" s="172" t="str">
        <f>D67</f>
        <v>yanvar</v>
      </c>
    </row>
    <row r="145" spans="1:3" hidden="1" x14ac:dyDescent="0.2">
      <c r="A145" s="3"/>
      <c r="B145" s="1">
        <f>DAY(B67)</f>
        <v>27</v>
      </c>
    </row>
    <row r="146" spans="1:3" x14ac:dyDescent="0.2">
      <c r="A146" s="250" t="s">
        <v>357</v>
      </c>
      <c r="B146" s="250"/>
    </row>
    <row r="147" spans="1:3" x14ac:dyDescent="0.2">
      <c r="A147" s="3" t="s">
        <v>175</v>
      </c>
      <c r="B147" s="1" t="s">
        <v>381</v>
      </c>
    </row>
    <row r="148" spans="1:3" x14ac:dyDescent="0.2">
      <c r="A148" s="3"/>
      <c r="B148" s="1" t="s">
        <v>381</v>
      </c>
    </row>
    <row r="149" spans="1:3" x14ac:dyDescent="0.2">
      <c r="A149" s="3"/>
      <c r="B149" s="1" t="s">
        <v>381</v>
      </c>
    </row>
    <row r="150" spans="1:3" x14ac:dyDescent="0.2">
      <c r="A150" s="3" t="s">
        <v>393</v>
      </c>
      <c r="B150" s="1" t="s">
        <v>398</v>
      </c>
      <c r="C150" s="212" t="s">
        <v>392</v>
      </c>
    </row>
    <row r="151" spans="1:3" x14ac:dyDescent="0.2">
      <c r="A151" s="3"/>
      <c r="B151" s="1" t="s">
        <v>394</v>
      </c>
    </row>
    <row r="152" spans="1:3" hidden="1" x14ac:dyDescent="0.2">
      <c r="A152" s="3" t="s">
        <v>179</v>
      </c>
      <c r="B152" s="1" t="s">
        <v>176</v>
      </c>
    </row>
    <row r="153" spans="1:3" ht="28.5" hidden="1" x14ac:dyDescent="0.2">
      <c r="A153" s="3" t="s">
        <v>180</v>
      </c>
      <c r="B153" s="1" t="s">
        <v>177</v>
      </c>
    </row>
    <row r="154" spans="1:3" hidden="1" x14ac:dyDescent="0.2">
      <c r="A154" s="3" t="s">
        <v>181</v>
      </c>
      <c r="B154" s="1" t="s">
        <v>24</v>
      </c>
    </row>
    <row r="155" spans="1:3" hidden="1" x14ac:dyDescent="0.2">
      <c r="A155" s="3" t="s">
        <v>182</v>
      </c>
      <c r="B155" s="1" t="s">
        <v>22</v>
      </c>
    </row>
    <row r="156" spans="1:3" hidden="1" x14ac:dyDescent="0.2">
      <c r="A156" s="3" t="s">
        <v>183</v>
      </c>
      <c r="B156" s="1" t="s">
        <v>178</v>
      </c>
    </row>
    <row r="157" spans="1:3" hidden="1" x14ac:dyDescent="0.2">
      <c r="A157" s="3" t="s">
        <v>184</v>
      </c>
      <c r="B157" s="2" t="s">
        <v>25</v>
      </c>
    </row>
    <row r="158" spans="1:3" hidden="1" x14ac:dyDescent="0.2">
      <c r="A158" s="3" t="s">
        <v>185</v>
      </c>
      <c r="B158" s="1" t="s">
        <v>335</v>
      </c>
    </row>
    <row r="159" spans="1:3" x14ac:dyDescent="0.2">
      <c r="A159" s="3" t="s">
        <v>407</v>
      </c>
      <c r="B159" s="1" t="s">
        <v>406</v>
      </c>
    </row>
    <row r="160" spans="1:3" x14ac:dyDescent="0.2">
      <c r="A160" s="3" t="s">
        <v>379</v>
      </c>
      <c r="B160" s="1" t="s">
        <v>402</v>
      </c>
    </row>
    <row r="161" spans="1:2" x14ac:dyDescent="0.2">
      <c r="A161" s="3" t="s">
        <v>382</v>
      </c>
      <c r="B161" s="1" t="s">
        <v>408</v>
      </c>
    </row>
    <row r="162" spans="1:2" x14ac:dyDescent="0.2">
      <c r="A162" s="3" t="s">
        <v>186</v>
      </c>
      <c r="B162" s="2" t="s">
        <v>348</v>
      </c>
    </row>
    <row r="163" spans="1:2" x14ac:dyDescent="0.2">
      <c r="A163" s="3" t="s">
        <v>187</v>
      </c>
      <c r="B163" s="2" t="s">
        <v>349</v>
      </c>
    </row>
    <row r="164" spans="1:2" x14ac:dyDescent="0.2">
      <c r="A164" s="3" t="s">
        <v>188</v>
      </c>
      <c r="B164" s="1" t="str">
        <f>B1</f>
        <v>№202</v>
      </c>
    </row>
    <row r="165" spans="1:2" x14ac:dyDescent="0.2">
      <c r="A165" s="3" t="s">
        <v>189</v>
      </c>
      <c r="B165" s="8" t="str">
        <f>B70</f>
        <v>27 yanvar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2" zoomScaleSheetLayoutView="100" workbookViewId="0">
      <selection activeCell="B2" sqref="B2"/>
    </sheetView>
  </sheetViews>
  <sheetFormatPr defaultColWidth="9.140625" defaultRowHeight="15" outlineLevelCol="1" x14ac:dyDescent="0.25"/>
  <cols>
    <col min="1" max="1" width="9.140625" style="19"/>
    <col min="2" max="2" width="10.140625" style="19" bestFit="1" customWidth="1"/>
    <col min="3" max="3" width="16.5703125" style="19" customWidth="1"/>
    <col min="4" max="5" width="15.7109375" style="19" bestFit="1" customWidth="1"/>
    <col min="6" max="6" width="20.85546875" style="19" customWidth="1"/>
    <col min="7" max="7" width="10.140625" style="19" customWidth="1" outlineLevel="1"/>
    <col min="8" max="16384" width="9.140625" style="19"/>
  </cols>
  <sheetData>
    <row r="1" spans="1:8" x14ac:dyDescent="0.25">
      <c r="A1" s="41"/>
      <c r="B1" s="41"/>
      <c r="C1" s="41"/>
      <c r="D1" s="41"/>
      <c r="E1" s="261" t="s">
        <v>15</v>
      </c>
      <c r="F1" s="261"/>
    </row>
    <row r="2" spans="1:8" x14ac:dyDescent="0.25">
      <c r="A2" s="41"/>
      <c r="B2" s="41"/>
      <c r="C2" s="41"/>
      <c r="D2" s="41"/>
      <c r="E2" s="41"/>
      <c r="F2" s="42" t="str">
        <f>"к договору микрозайма "&amp;'Общие данные'!B74&amp;""</f>
        <v>к договору микрозайма 27 yanvar 2025 y.dan №202</v>
      </c>
    </row>
    <row r="3" spans="1:8" ht="6.75" customHeight="1" x14ac:dyDescent="0.25">
      <c r="A3" s="41"/>
      <c r="B3" s="41"/>
      <c r="C3" s="41"/>
      <c r="D3" s="41"/>
      <c r="E3" s="41"/>
      <c r="F3" s="41"/>
    </row>
    <row r="4" spans="1:8" x14ac:dyDescent="0.25">
      <c r="A4" s="262" t="s">
        <v>16</v>
      </c>
      <c r="B4" s="262"/>
      <c r="C4" s="262"/>
      <c r="D4" s="262"/>
      <c r="E4" s="262"/>
      <c r="F4" s="262"/>
    </row>
    <row r="5" spans="1:8" ht="7.5" customHeight="1" x14ac:dyDescent="0.25"/>
    <row r="6" spans="1:8" x14ac:dyDescent="0.25">
      <c r="A6" s="263" t="s">
        <v>14</v>
      </c>
      <c r="B6" s="264" t="s">
        <v>8</v>
      </c>
      <c r="C6" s="264" t="s">
        <v>9</v>
      </c>
      <c r="D6" s="265" t="s">
        <v>10</v>
      </c>
      <c r="E6" s="265"/>
      <c r="F6" s="265"/>
    </row>
    <row r="7" spans="1:8" s="20" customFormat="1" ht="30" x14ac:dyDescent="0.25">
      <c r="A7" s="263"/>
      <c r="B7" s="264"/>
      <c r="C7" s="264"/>
      <c r="D7" s="21" t="s">
        <v>11</v>
      </c>
      <c r="E7" s="21" t="s">
        <v>12</v>
      </c>
      <c r="F7" s="21" t="s">
        <v>13</v>
      </c>
    </row>
    <row r="8" spans="1:8" x14ac:dyDescent="0.25">
      <c r="A8" s="22">
        <v>1</v>
      </c>
      <c r="B8" s="37">
        <f>'График дифференц'!B8</f>
        <v>45705</v>
      </c>
      <c r="C8" s="38">
        <f>'Общие данные'!B75</f>
        <v>100000000</v>
      </c>
      <c r="D8" s="38">
        <f>IF(A8&lt;'Общие данные'!$B$81,'График аннуитет.'!F8-'График аннуитет.'!E8,'График аннуитет.'!C8)</f>
        <v>16249945.24</v>
      </c>
      <c r="E8" s="38">
        <f>ROUND(C8*'Общие данные'!$B$84/H8,2)*'График аннуитет.'!G8</f>
        <v>3452054.76</v>
      </c>
      <c r="F8" s="38">
        <f>'Общие данные'!B90</f>
        <v>19702000</v>
      </c>
      <c r="G8" s="19">
        <f>B8-'Общие данные'!B67</f>
        <v>21</v>
      </c>
      <c r="H8" s="19">
        <f>DATE(YEAR(B8),12,31)-DATE(YEAR(B8),1,1)+1</f>
        <v>365</v>
      </c>
    </row>
    <row r="9" spans="1:8" x14ac:dyDescent="0.25">
      <c r="A9" s="22">
        <v>2</v>
      </c>
      <c r="B9" s="37">
        <f>'График дифференц'!B9</f>
        <v>45733</v>
      </c>
      <c r="C9" s="38">
        <f t="shared" ref="C9:C30" si="0">C8-D8</f>
        <v>83750054.760000005</v>
      </c>
      <c r="D9" s="38">
        <f>IF(A9&lt;'Общие данные'!$B$81,'График аннуитет.'!F9-'График аннуитет.'!E9,'График аннуитет.'!C9)</f>
        <v>15847203.039999999</v>
      </c>
      <c r="E9" s="38">
        <f>ROUND(C9*'Общие данные'!$B$84/H9,2)*'График аннуитет.'!G9</f>
        <v>3854796.96</v>
      </c>
      <c r="F9" s="38">
        <f>IF(A9&lt;'Общие данные'!$B$81,'График аннуитет.'!F8,'График аннуитет.'!D9+'График аннуитет.'!E9)</f>
        <v>19702000</v>
      </c>
      <c r="G9" s="19">
        <f>B9-B8</f>
        <v>28</v>
      </c>
      <c r="H9" s="19">
        <f t="shared" ref="H9:H31" si="1">DATE(YEAR(B9),12,31)-DATE(YEAR(B9),1,1)+1</f>
        <v>365</v>
      </c>
    </row>
    <row r="10" spans="1:8" x14ac:dyDescent="0.25">
      <c r="A10" s="22">
        <v>3</v>
      </c>
      <c r="B10" s="37">
        <f>'График дифференц'!B10</f>
        <v>45762</v>
      </c>
      <c r="C10" s="38">
        <f t="shared" si="0"/>
        <v>67902851.719999999</v>
      </c>
      <c r="D10" s="38">
        <f>IF(A10&lt;'Общие данные'!$B$81,'График аннуитет.'!F10-'График аннуитет.'!E10,'График аннуитет.'!C10)</f>
        <v>16464987.23</v>
      </c>
      <c r="E10" s="38">
        <f>ROUND(C10*'Общие данные'!$B$84/H10,2)*'График аннуитет.'!G10</f>
        <v>3237012.77</v>
      </c>
      <c r="F10" s="38">
        <f>IF(A10&lt;'Общие данные'!$B$81,'График аннуитет.'!F9,'График аннуитет.'!D10+'График аннуитет.'!E10)</f>
        <v>19702000</v>
      </c>
      <c r="G10" s="19">
        <f t="shared" ref="G10:G24" si="2">B10-B9</f>
        <v>29</v>
      </c>
      <c r="H10" s="19">
        <f t="shared" si="1"/>
        <v>365</v>
      </c>
    </row>
    <row r="11" spans="1:8" x14ac:dyDescent="0.25">
      <c r="A11" s="22">
        <v>4</v>
      </c>
      <c r="B11" s="37">
        <f>'График дифференц'!B11</f>
        <v>45792</v>
      </c>
      <c r="C11" s="38">
        <f t="shared" si="0"/>
        <v>51437864.489999995</v>
      </c>
      <c r="D11" s="38">
        <f>IF(A11&lt;'Общие данные'!$B$81,'График аннуитет.'!F11-'График аннуитет.'!E11,'График аннуитет.'!C11)</f>
        <v>17165338.300000001</v>
      </c>
      <c r="E11" s="38">
        <f>ROUND(C11*'Общие данные'!$B$84/H11,2)*'График аннуитет.'!G11</f>
        <v>2536661.7000000002</v>
      </c>
      <c r="F11" s="38">
        <f>IF(A11&lt;'Общие данные'!$B$81,'График аннуитет.'!F10,'График аннуитет.'!D11+'График аннуитет.'!E11)</f>
        <v>19702000</v>
      </c>
      <c r="G11" s="19">
        <f t="shared" si="2"/>
        <v>30</v>
      </c>
      <c r="H11" s="19">
        <f t="shared" si="1"/>
        <v>365</v>
      </c>
    </row>
    <row r="12" spans="1:8" x14ac:dyDescent="0.25">
      <c r="A12" s="22">
        <v>5</v>
      </c>
      <c r="B12" s="37">
        <f>'График дифференц'!B12</f>
        <v>45824</v>
      </c>
      <c r="C12" s="38">
        <f t="shared" si="0"/>
        <v>34272526.189999998</v>
      </c>
      <c r="D12" s="38">
        <f>IF(A12&lt;'Общие данные'!$B$81,'График аннуитет.'!F12-'График аннуитет.'!E12,'График аннуитет.'!C12)</f>
        <v>17899171.199999999</v>
      </c>
      <c r="E12" s="38">
        <f>ROUND(C12*'Общие данные'!$B$84/H12,2)*'График аннуитет.'!G12</f>
        <v>1802828.8</v>
      </c>
      <c r="F12" s="38">
        <f>IF(A12&lt;'Общие данные'!$B$81,'График аннуитет.'!F11,'График аннуитет.'!D12+'График аннуитет.'!E12)</f>
        <v>19702000</v>
      </c>
      <c r="G12" s="19">
        <f t="shared" si="2"/>
        <v>32</v>
      </c>
      <c r="H12" s="19">
        <f t="shared" si="1"/>
        <v>365</v>
      </c>
    </row>
    <row r="13" spans="1:8" x14ac:dyDescent="0.25">
      <c r="A13" s="22">
        <v>6</v>
      </c>
      <c r="B13" s="37">
        <f>'График дифференц'!B13</f>
        <v>45865</v>
      </c>
      <c r="C13" s="38">
        <f t="shared" si="0"/>
        <v>16373354.989999998</v>
      </c>
      <c r="D13" s="38">
        <f>IF(A13&lt;'Общие данные'!$B$81,'График аннуитет.'!F13-'График аннуитет.'!E13,'График аннуитет.'!C13)</f>
        <v>16373354.989999998</v>
      </c>
      <c r="E13" s="38">
        <f>ROUND(C13*'Общие данные'!$B$84/H13,2)*'График аннуитет.'!G13</f>
        <v>1103519.0999999999</v>
      </c>
      <c r="F13" s="38">
        <f>IF(A13&lt;'Общие данные'!$B$81,'График аннуитет.'!F12,'График аннуитет.'!D13+'График аннуитет.'!E13)</f>
        <v>17476874.09</v>
      </c>
      <c r="G13" s="19">
        <f t="shared" si="2"/>
        <v>41</v>
      </c>
      <c r="H13" s="19">
        <f t="shared" si="1"/>
        <v>365</v>
      </c>
    </row>
    <row r="14" spans="1:8" x14ac:dyDescent="0.25">
      <c r="A14" s="22">
        <v>7</v>
      </c>
      <c r="B14" s="37" t="b">
        <f>'График дифференц'!B14</f>
        <v>0</v>
      </c>
      <c r="C14" s="38">
        <f t="shared" si="0"/>
        <v>0</v>
      </c>
      <c r="D14" s="38">
        <f>IF(A14&lt;'Общие данные'!$B$81,'График аннуитет.'!F14-'График аннуитет.'!E14,'График аннуитет.'!C14)</f>
        <v>0</v>
      </c>
      <c r="E14" s="38">
        <f>ROUND(C14*'Общие данные'!$B$84/H14,2)*'График аннуитет.'!G14</f>
        <v>0</v>
      </c>
      <c r="F14" s="38">
        <f>IF(A14&lt;'Общие данные'!$B$81,'График аннуитет.'!F13,'График аннуитет.'!D14+'График аннуитет.'!E14)</f>
        <v>0</v>
      </c>
      <c r="G14" s="19">
        <f t="shared" si="2"/>
        <v>-45865</v>
      </c>
      <c r="H14" s="19">
        <f t="shared" si="1"/>
        <v>366</v>
      </c>
    </row>
    <row r="15" spans="1:8" x14ac:dyDescent="0.25">
      <c r="A15" s="22">
        <v>8</v>
      </c>
      <c r="B15" s="37" t="b">
        <f>'График дифференц'!B15</f>
        <v>0</v>
      </c>
      <c r="C15" s="38">
        <f t="shared" si="0"/>
        <v>0</v>
      </c>
      <c r="D15" s="38">
        <f>IF(A15&lt;'Общие данные'!$B$81,'График аннуитет.'!F15-'График аннуитет.'!E15,'График аннуитет.'!C15)</f>
        <v>0</v>
      </c>
      <c r="E15" s="38">
        <f>ROUND(C15*'Общие данные'!$B$84/H15,2)*'График аннуитет.'!G15</f>
        <v>0</v>
      </c>
      <c r="F15" s="38">
        <f>IF(A15&lt;'Общие данные'!$B$81,'График аннуитет.'!F14,'График аннуитет.'!D15+'График аннуитет.'!E15)</f>
        <v>0</v>
      </c>
      <c r="G15" s="19">
        <f t="shared" si="2"/>
        <v>0</v>
      </c>
      <c r="H15" s="19">
        <f t="shared" si="1"/>
        <v>366</v>
      </c>
    </row>
    <row r="16" spans="1:8" x14ac:dyDescent="0.25">
      <c r="A16" s="22">
        <v>9</v>
      </c>
      <c r="B16" s="37" t="b">
        <f>'График дифференц'!B16</f>
        <v>0</v>
      </c>
      <c r="C16" s="38">
        <f t="shared" si="0"/>
        <v>0</v>
      </c>
      <c r="D16" s="38">
        <f>IF(A16&lt;'Общие данные'!$B$81,'График аннуитет.'!F16-'График аннуитет.'!E16,'График аннуитет.'!C16)</f>
        <v>0</v>
      </c>
      <c r="E16" s="38">
        <f>ROUND(C16*'Общие данные'!$B$84/H16,2)*'График аннуитет.'!G16</f>
        <v>0</v>
      </c>
      <c r="F16" s="38">
        <f>IF(A16&lt;'Общие данные'!$B$81,'График аннуитет.'!F15,'График аннуитет.'!D16+'График аннуитет.'!E16)</f>
        <v>0</v>
      </c>
      <c r="G16" s="19">
        <f t="shared" si="2"/>
        <v>0</v>
      </c>
      <c r="H16" s="19">
        <f t="shared" si="1"/>
        <v>366</v>
      </c>
    </row>
    <row r="17" spans="1:8" x14ac:dyDescent="0.25">
      <c r="A17" s="22">
        <v>10</v>
      </c>
      <c r="B17" s="37" t="b">
        <f>'График дифференц'!B17</f>
        <v>0</v>
      </c>
      <c r="C17" s="38">
        <f t="shared" si="0"/>
        <v>0</v>
      </c>
      <c r="D17" s="38">
        <f>IF(A17&lt;'Общие данные'!$B$81,'График аннуитет.'!F17-'График аннуитет.'!E17,'График аннуитет.'!C17)</f>
        <v>0</v>
      </c>
      <c r="E17" s="38">
        <f>ROUND(C17*'Общие данные'!$B$84/H17,2)*'График аннуитет.'!G17</f>
        <v>0</v>
      </c>
      <c r="F17" s="38">
        <f>IF(A17&lt;'Общие данные'!$B$81,'График аннуитет.'!F16,'График аннуитет.'!D17+'График аннуитет.'!E17)</f>
        <v>0</v>
      </c>
      <c r="G17" s="19">
        <f t="shared" si="2"/>
        <v>0</v>
      </c>
      <c r="H17" s="19">
        <f t="shared" si="1"/>
        <v>366</v>
      </c>
    </row>
    <row r="18" spans="1:8" x14ac:dyDescent="0.25">
      <c r="A18" s="22">
        <v>11</v>
      </c>
      <c r="B18" s="37" t="b">
        <f>'График дифференц'!B18</f>
        <v>0</v>
      </c>
      <c r="C18" s="38">
        <f t="shared" si="0"/>
        <v>0</v>
      </c>
      <c r="D18" s="38">
        <f>IF(A18&lt;'Общие данные'!$B$81,'График аннуитет.'!F18-'График аннуитет.'!E18,'График аннуитет.'!C18)</f>
        <v>0</v>
      </c>
      <c r="E18" s="38">
        <f>ROUND(C18*'Общие данные'!$B$84/H18,2)*'График аннуитет.'!G18</f>
        <v>0</v>
      </c>
      <c r="F18" s="38">
        <f>IF(A18&lt;'Общие данные'!$B$81,'График аннуитет.'!F17,'График аннуитет.'!D18+'График аннуитет.'!E18)</f>
        <v>0</v>
      </c>
      <c r="G18" s="19">
        <f t="shared" si="2"/>
        <v>0</v>
      </c>
      <c r="H18" s="19">
        <f t="shared" si="1"/>
        <v>366</v>
      </c>
    </row>
    <row r="19" spans="1:8" x14ac:dyDescent="0.25">
      <c r="A19" s="22">
        <v>12</v>
      </c>
      <c r="B19" s="37" t="b">
        <f>'График дифференц'!B19</f>
        <v>0</v>
      </c>
      <c r="C19" s="38">
        <f t="shared" si="0"/>
        <v>0</v>
      </c>
      <c r="D19" s="38">
        <f>IF(A19&lt;'Общие данные'!$B$81,'График аннуитет.'!F19-'График аннуитет.'!E19,'График аннуитет.'!C19)</f>
        <v>0</v>
      </c>
      <c r="E19" s="38">
        <f>ROUND(C19*'Общие данные'!$B$84/H19,2)*'График аннуитет.'!G19</f>
        <v>0</v>
      </c>
      <c r="F19" s="38">
        <f>IF(A19&lt;'Общие данные'!$B$81,'График аннуитет.'!F18,'График аннуитет.'!D19+'График аннуитет.'!E19)</f>
        <v>0</v>
      </c>
      <c r="G19" s="19">
        <f>B19-B18</f>
        <v>0</v>
      </c>
      <c r="H19" s="19">
        <f t="shared" si="1"/>
        <v>366</v>
      </c>
    </row>
    <row r="20" spans="1:8" x14ac:dyDescent="0.25">
      <c r="A20" s="22">
        <v>13</v>
      </c>
      <c r="B20" s="37" t="b">
        <f>'График дифференц'!B20</f>
        <v>0</v>
      </c>
      <c r="C20" s="38">
        <f t="shared" si="0"/>
        <v>0</v>
      </c>
      <c r="D20" s="38">
        <f>IF(A20&lt;'Общие данные'!$B$81,'График аннуитет.'!F20-'График аннуитет.'!E20,'График аннуитет.'!C20)</f>
        <v>0</v>
      </c>
      <c r="E20" s="38">
        <f>ROUND(C20*'Общие данные'!$B$84/H20,2)*'График аннуитет.'!G20</f>
        <v>0</v>
      </c>
      <c r="F20" s="38">
        <f>IF(A20&lt;'Общие данные'!$B$81,'График аннуитет.'!F19,'График аннуитет.'!D20+'График аннуитет.'!E20)</f>
        <v>0</v>
      </c>
      <c r="G20" s="19">
        <f t="shared" si="2"/>
        <v>0</v>
      </c>
      <c r="H20" s="19">
        <f t="shared" si="1"/>
        <v>366</v>
      </c>
    </row>
    <row r="21" spans="1:8" x14ac:dyDescent="0.25">
      <c r="A21" s="22">
        <v>14</v>
      </c>
      <c r="B21" s="37" t="b">
        <f>'График дифференц'!B21</f>
        <v>0</v>
      </c>
      <c r="C21" s="38">
        <f t="shared" si="0"/>
        <v>0</v>
      </c>
      <c r="D21" s="38">
        <f>IF(A21&lt;'Общие данные'!$B$81,'График аннуитет.'!F21-'График аннуитет.'!E21,'График аннуитет.'!C21)</f>
        <v>0</v>
      </c>
      <c r="E21" s="38">
        <f>ROUND(C21*'Общие данные'!$B$84/H21,2)*'График аннуитет.'!G21</f>
        <v>0</v>
      </c>
      <c r="F21" s="38">
        <f>IF(A21&lt;'Общие данные'!$B$81,'График аннуитет.'!F20,'График аннуитет.'!D21+'График аннуитет.'!E21)</f>
        <v>0</v>
      </c>
      <c r="G21" s="19">
        <f t="shared" si="2"/>
        <v>0</v>
      </c>
      <c r="H21" s="19">
        <f t="shared" si="1"/>
        <v>366</v>
      </c>
    </row>
    <row r="22" spans="1:8" x14ac:dyDescent="0.25">
      <c r="A22" s="22">
        <v>15</v>
      </c>
      <c r="B22" s="37" t="b">
        <f>'График дифференц'!B22</f>
        <v>0</v>
      </c>
      <c r="C22" s="38">
        <f t="shared" si="0"/>
        <v>0</v>
      </c>
      <c r="D22" s="38">
        <f>IF(A22&lt;'Общие данные'!$B$81,'График аннуитет.'!F22-'График аннуитет.'!E22,'График аннуитет.'!C22)</f>
        <v>0</v>
      </c>
      <c r="E22" s="38">
        <f>ROUND(C22*'Общие данные'!$B$84/H22,2)*'График аннуитет.'!G22</f>
        <v>0</v>
      </c>
      <c r="F22" s="38">
        <f>IF(A22&lt;'Общие данные'!$B$81,'График аннуитет.'!F21,'График аннуитет.'!D22+'График аннуитет.'!E22)</f>
        <v>0</v>
      </c>
      <c r="G22" s="19">
        <f t="shared" si="2"/>
        <v>0</v>
      </c>
      <c r="H22" s="19">
        <f t="shared" si="1"/>
        <v>366</v>
      </c>
    </row>
    <row r="23" spans="1:8" x14ac:dyDescent="0.25">
      <c r="A23" s="22">
        <v>16</v>
      </c>
      <c r="B23" s="37" t="b">
        <f>'График дифференц'!B23</f>
        <v>0</v>
      </c>
      <c r="C23" s="38">
        <f t="shared" si="0"/>
        <v>0</v>
      </c>
      <c r="D23" s="38">
        <f>IF(A23&lt;'Общие данные'!$B$81,'График аннуитет.'!F23-'График аннуитет.'!E23,'График аннуитет.'!C23)</f>
        <v>0</v>
      </c>
      <c r="E23" s="38">
        <f>ROUND(C23*'Общие данные'!$B$84/H23,2)*'График аннуитет.'!G23</f>
        <v>0</v>
      </c>
      <c r="F23" s="38">
        <f>IF(A23&lt;'Общие данные'!$B$81,'График аннуитет.'!F22,'График аннуитет.'!D23+'График аннуитет.'!E23)</f>
        <v>0</v>
      </c>
      <c r="G23" s="19">
        <f t="shared" si="2"/>
        <v>0</v>
      </c>
      <c r="H23" s="19">
        <f t="shared" si="1"/>
        <v>366</v>
      </c>
    </row>
    <row r="24" spans="1:8" x14ac:dyDescent="0.25">
      <c r="A24" s="22">
        <v>17</v>
      </c>
      <c r="B24" s="37" t="b">
        <f>'График дифференц'!B24</f>
        <v>0</v>
      </c>
      <c r="C24" s="38">
        <f t="shared" si="0"/>
        <v>0</v>
      </c>
      <c r="D24" s="38">
        <f>IF(A24&lt;'Общие данные'!$B$81,'График аннуитет.'!F24-'График аннуитет.'!E24,'График аннуитет.'!C24)</f>
        <v>0</v>
      </c>
      <c r="E24" s="38">
        <f>ROUND(C24*'Общие данные'!$B$84/H24,2)*'График аннуитет.'!G24</f>
        <v>0</v>
      </c>
      <c r="F24" s="38">
        <f>IF(A24&lt;'Общие данные'!$B$81,'График аннуитет.'!F23,'График аннуитет.'!D24+'График аннуитет.'!E24)</f>
        <v>0</v>
      </c>
      <c r="G24" s="19">
        <f t="shared" si="2"/>
        <v>0</v>
      </c>
      <c r="H24" s="19">
        <f t="shared" si="1"/>
        <v>366</v>
      </c>
    </row>
    <row r="25" spans="1:8" x14ac:dyDescent="0.25">
      <c r="A25" s="22">
        <v>18</v>
      </c>
      <c r="B25" s="37" t="b">
        <f>'График дифференц'!B25</f>
        <v>0</v>
      </c>
      <c r="C25" s="38">
        <f t="shared" si="0"/>
        <v>0</v>
      </c>
      <c r="D25" s="38">
        <f>IF(A25&lt;'Общие данные'!$B$81,'График аннуитет.'!F25-'График аннуитет.'!E25,'График аннуитет.'!C25)</f>
        <v>0</v>
      </c>
      <c r="E25" s="38">
        <f>ROUND(C25*'Общие данные'!$B$84/H25,2)*'График аннуитет.'!G25</f>
        <v>0</v>
      </c>
      <c r="F25" s="38">
        <f>IF(A25&lt;'Общие данные'!$B$81,'График аннуитет.'!F24,'График аннуитет.'!D25+'График аннуитет.'!E25)</f>
        <v>0</v>
      </c>
      <c r="G25" s="19">
        <f>B25-B24</f>
        <v>0</v>
      </c>
      <c r="H25" s="19">
        <f t="shared" si="1"/>
        <v>366</v>
      </c>
    </row>
    <row r="26" spans="1:8" x14ac:dyDescent="0.25">
      <c r="A26" s="22">
        <v>19</v>
      </c>
      <c r="B26" s="37" t="b">
        <f>'График дифференц'!B26</f>
        <v>0</v>
      </c>
      <c r="C26" s="38">
        <f t="shared" si="0"/>
        <v>0</v>
      </c>
      <c r="D26" s="38">
        <f>IF(A26&lt;'Общие данные'!$B$81,'График аннуитет.'!F26-'График аннуитет.'!E26,'График аннуитет.'!C26)</f>
        <v>0</v>
      </c>
      <c r="E26" s="38">
        <f>ROUND(C26*'Общие данные'!$B$84/H26,2)*'График аннуитет.'!G26</f>
        <v>0</v>
      </c>
      <c r="F26" s="38">
        <f>IF(A26&lt;'Общие данные'!$B$81,'График аннуитет.'!F25,'График аннуитет.'!D26+'График аннуитет.'!E26)</f>
        <v>0</v>
      </c>
      <c r="G26" s="19">
        <f t="shared" ref="G26:G31" si="3">B26-B25</f>
        <v>0</v>
      </c>
      <c r="H26" s="19">
        <f t="shared" si="1"/>
        <v>366</v>
      </c>
    </row>
    <row r="27" spans="1:8" x14ac:dyDescent="0.25">
      <c r="A27" s="22">
        <v>20</v>
      </c>
      <c r="B27" s="37" t="b">
        <f>'График дифференц'!B27</f>
        <v>0</v>
      </c>
      <c r="C27" s="38">
        <f t="shared" si="0"/>
        <v>0</v>
      </c>
      <c r="D27" s="38">
        <f>IF(A27&lt;'Общие данные'!$B$81,'График аннуитет.'!F27-'График аннуитет.'!E27,'График аннуитет.'!C27)</f>
        <v>0</v>
      </c>
      <c r="E27" s="38">
        <f>ROUND(C27*'Общие данные'!$B$84/H27,2)*'График аннуитет.'!G27</f>
        <v>0</v>
      </c>
      <c r="F27" s="38">
        <f>IF(A27&lt;'Общие данные'!$B$81,'График аннуитет.'!F26,'График аннуитет.'!D27+'График аннуитет.'!E27)</f>
        <v>0</v>
      </c>
      <c r="G27" s="19">
        <f t="shared" si="3"/>
        <v>0</v>
      </c>
      <c r="H27" s="19">
        <f t="shared" si="1"/>
        <v>366</v>
      </c>
    </row>
    <row r="28" spans="1:8" x14ac:dyDescent="0.25">
      <c r="A28" s="22">
        <v>21</v>
      </c>
      <c r="B28" s="37" t="b">
        <f>'График дифференц'!B28</f>
        <v>0</v>
      </c>
      <c r="C28" s="38">
        <f t="shared" si="0"/>
        <v>0</v>
      </c>
      <c r="D28" s="38">
        <f>IF(A28&lt;'Общие данные'!$B$81,'График аннуитет.'!F28-'График аннуитет.'!E28,'График аннуитет.'!C28)</f>
        <v>0</v>
      </c>
      <c r="E28" s="38">
        <f>ROUND(C28*'Общие данные'!$B$84/H28,2)*'График аннуитет.'!G28</f>
        <v>0</v>
      </c>
      <c r="F28" s="38">
        <f>IF(A28&lt;'Общие данные'!$B$81,'График аннуитет.'!F27,'График аннуитет.'!D28+'График аннуитет.'!E28)</f>
        <v>0</v>
      </c>
      <c r="G28" s="19">
        <f t="shared" si="3"/>
        <v>0</v>
      </c>
      <c r="H28" s="19">
        <f t="shared" si="1"/>
        <v>366</v>
      </c>
    </row>
    <row r="29" spans="1:8" x14ac:dyDescent="0.25">
      <c r="A29" s="22">
        <v>22</v>
      </c>
      <c r="B29" s="37" t="b">
        <f>'График дифференц'!B29</f>
        <v>0</v>
      </c>
      <c r="C29" s="38">
        <f t="shared" si="0"/>
        <v>0</v>
      </c>
      <c r="D29" s="38">
        <f>IF(A29&lt;'Общие данные'!$B$81,'График аннуитет.'!F29-'График аннуитет.'!E29,'График аннуитет.'!C29)</f>
        <v>0</v>
      </c>
      <c r="E29" s="38">
        <f>ROUND(C29*'Общие данные'!$B$84/H29,2)*'График аннуитет.'!G29</f>
        <v>0</v>
      </c>
      <c r="F29" s="38">
        <f>IF(A29&lt;'Общие данные'!$B$81,'График аннуитет.'!F28,'График аннуитет.'!D29+'График аннуитет.'!E29)</f>
        <v>0</v>
      </c>
      <c r="G29" s="19">
        <f t="shared" si="3"/>
        <v>0</v>
      </c>
      <c r="H29" s="19">
        <f t="shared" si="1"/>
        <v>366</v>
      </c>
    </row>
    <row r="30" spans="1:8" x14ac:dyDescent="0.25">
      <c r="A30" s="22">
        <v>23</v>
      </c>
      <c r="B30" s="37" t="b">
        <f>'График дифференц'!B30</f>
        <v>0</v>
      </c>
      <c r="C30" s="38">
        <f t="shared" si="0"/>
        <v>0</v>
      </c>
      <c r="D30" s="38">
        <f>IF(A30&lt;'Общие данные'!$B$81,'График аннуитет.'!F30-'График аннуитет.'!E30,'График аннуитет.'!C30)</f>
        <v>0</v>
      </c>
      <c r="E30" s="38">
        <f>ROUND(C30*'Общие данные'!$B$84/H30,2)*'График аннуитет.'!G30</f>
        <v>0</v>
      </c>
      <c r="F30" s="38">
        <f>IF(A30&lt;'Общие данные'!$B$81,'График аннуитет.'!F29,'График аннуитет.'!D30+'График аннуитет.'!E30)</f>
        <v>0</v>
      </c>
      <c r="G30" s="19">
        <f t="shared" si="3"/>
        <v>0</v>
      </c>
      <c r="H30" s="19">
        <f t="shared" si="1"/>
        <v>366</v>
      </c>
    </row>
    <row r="31" spans="1:8" x14ac:dyDescent="0.25">
      <c r="A31" s="22">
        <f>1+A30</f>
        <v>24</v>
      </c>
      <c r="B31" s="37" t="b">
        <f>'График дифференц'!B31</f>
        <v>0</v>
      </c>
      <c r="C31" s="38">
        <f t="shared" ref="C31" si="4">C30-D30</f>
        <v>0</v>
      </c>
      <c r="D31" s="38">
        <f>IF(A31&lt;'Общие данные'!$B$81,'График аннуитет.'!F31-'График аннуитет.'!E31,'График аннуитет.'!C31)</f>
        <v>0</v>
      </c>
      <c r="E31" s="38">
        <f>ROUND(C31*'Общие данные'!$B$84/H31,2)*'График аннуитет.'!G31</f>
        <v>0</v>
      </c>
      <c r="F31" s="38">
        <f>IF(A31&lt;'Общие данные'!$B$81,'График аннуитет.'!F30,'График аннуитет.'!D31+'График аннуитет.'!E31)</f>
        <v>0</v>
      </c>
      <c r="G31" s="19">
        <f t="shared" si="3"/>
        <v>0</v>
      </c>
      <c r="H31" s="19">
        <f t="shared" si="1"/>
        <v>366</v>
      </c>
    </row>
    <row r="32" spans="1:8" x14ac:dyDescent="0.25">
      <c r="A32" s="22">
        <f t="shared" ref="A32:A43" si="5">1+A31</f>
        <v>25</v>
      </c>
      <c r="B32" s="37" t="b">
        <f>'График дифференц'!B32</f>
        <v>0</v>
      </c>
      <c r="C32" s="38">
        <f t="shared" ref="C32:C43" si="6">C31-D31</f>
        <v>0</v>
      </c>
      <c r="D32" s="38">
        <f>IF(A32&lt;'Общие данные'!$B$81,'График аннуитет.'!F32-'График аннуитет.'!E32,'График аннуитет.'!C32)</f>
        <v>0</v>
      </c>
      <c r="E32" s="38">
        <f>ROUND(C32*'Общие данные'!$B$84/H32,2)*'График аннуитет.'!G32</f>
        <v>0</v>
      </c>
      <c r="F32" s="38">
        <f>IF(A32&lt;'Общие данные'!$B$81,'График аннуитет.'!F31,'График аннуитет.'!D32+'График аннуитет.'!E32)</f>
        <v>0</v>
      </c>
      <c r="G32" s="19">
        <f t="shared" ref="G32:G43" si="7">B32-B31</f>
        <v>0</v>
      </c>
      <c r="H32" s="19">
        <f t="shared" ref="H32:H43" si="8">DATE(YEAR(B32),12,31)-DATE(YEAR(B32),1,1)+1</f>
        <v>366</v>
      </c>
    </row>
    <row r="33" spans="1:8" x14ac:dyDescent="0.25">
      <c r="A33" s="22">
        <f t="shared" si="5"/>
        <v>26</v>
      </c>
      <c r="B33" s="37" t="b">
        <f>'График дифференц'!B33</f>
        <v>0</v>
      </c>
      <c r="C33" s="38">
        <f t="shared" si="6"/>
        <v>0</v>
      </c>
      <c r="D33" s="38">
        <f>IF(A33&lt;'Общие данные'!$B$81,'График аннуитет.'!F33-'График аннуитет.'!E33,'График аннуитет.'!C33)</f>
        <v>0</v>
      </c>
      <c r="E33" s="38">
        <f>ROUND(C33*'Общие данные'!$B$84/H33,2)*'График аннуитет.'!G33</f>
        <v>0</v>
      </c>
      <c r="F33" s="38">
        <f>IF(A33&lt;'Общие данные'!$B$81,'График аннуитет.'!F32,'График аннуитет.'!D33+'График аннуитет.'!E33)</f>
        <v>0</v>
      </c>
      <c r="G33" s="19">
        <f t="shared" si="7"/>
        <v>0</v>
      </c>
      <c r="H33" s="19">
        <f t="shared" si="8"/>
        <v>366</v>
      </c>
    </row>
    <row r="34" spans="1:8" x14ac:dyDescent="0.25">
      <c r="A34" s="22">
        <f t="shared" si="5"/>
        <v>27</v>
      </c>
      <c r="B34" s="37" t="b">
        <f>'График дифференц'!B34</f>
        <v>0</v>
      </c>
      <c r="C34" s="38">
        <f t="shared" si="6"/>
        <v>0</v>
      </c>
      <c r="D34" s="38">
        <f>IF(A34&lt;'Общие данные'!$B$81,'График аннуитет.'!F34-'График аннуитет.'!E34,'График аннуитет.'!C34)</f>
        <v>0</v>
      </c>
      <c r="E34" s="38">
        <f>ROUND(C34*'Общие данные'!$B$84/H34,2)*'График аннуитет.'!G34</f>
        <v>0</v>
      </c>
      <c r="F34" s="38">
        <f>IF(A34&lt;'Общие данные'!$B$81,'График аннуитет.'!F33,'График аннуитет.'!D34+'График аннуитет.'!E34)</f>
        <v>0</v>
      </c>
      <c r="G34" s="19">
        <f t="shared" si="7"/>
        <v>0</v>
      </c>
      <c r="H34" s="19">
        <f t="shared" si="8"/>
        <v>366</v>
      </c>
    </row>
    <row r="35" spans="1:8" x14ac:dyDescent="0.25">
      <c r="A35" s="22">
        <f t="shared" si="5"/>
        <v>28</v>
      </c>
      <c r="B35" s="37" t="b">
        <f>'График дифференц'!B35</f>
        <v>0</v>
      </c>
      <c r="C35" s="38">
        <f t="shared" si="6"/>
        <v>0</v>
      </c>
      <c r="D35" s="38">
        <f>IF(A35&lt;'Общие данные'!$B$81,'График аннуитет.'!F35-'График аннуитет.'!E35,'График аннуитет.'!C35)</f>
        <v>0</v>
      </c>
      <c r="E35" s="38">
        <f>ROUND(C35*'Общие данные'!$B$84/H35,2)*'График аннуитет.'!G35</f>
        <v>0</v>
      </c>
      <c r="F35" s="38">
        <f>IF(A35&lt;'Общие данные'!$B$81,'График аннуитет.'!F34,'График аннуитет.'!D35+'График аннуитет.'!E35)</f>
        <v>0</v>
      </c>
      <c r="G35" s="19">
        <f t="shared" si="7"/>
        <v>0</v>
      </c>
      <c r="H35" s="19">
        <f t="shared" si="8"/>
        <v>366</v>
      </c>
    </row>
    <row r="36" spans="1:8" x14ac:dyDescent="0.25">
      <c r="A36" s="22">
        <f t="shared" si="5"/>
        <v>29</v>
      </c>
      <c r="B36" s="37" t="b">
        <f>'График дифференц'!B36</f>
        <v>0</v>
      </c>
      <c r="C36" s="38">
        <f t="shared" si="6"/>
        <v>0</v>
      </c>
      <c r="D36" s="38">
        <f>IF(A36&lt;'Общие данные'!$B$81,'График аннуитет.'!F36-'График аннуитет.'!E36,'График аннуитет.'!C36)</f>
        <v>0</v>
      </c>
      <c r="E36" s="38">
        <f>ROUND(C36*'Общие данные'!$B$84/H36,2)*'График аннуитет.'!G36</f>
        <v>0</v>
      </c>
      <c r="F36" s="38">
        <f>IF(A36&lt;'Общие данные'!$B$81,'График аннуитет.'!F35,'График аннуитет.'!D36+'График аннуитет.'!E36)</f>
        <v>0</v>
      </c>
      <c r="G36" s="19">
        <f t="shared" si="7"/>
        <v>0</v>
      </c>
      <c r="H36" s="19">
        <f t="shared" si="8"/>
        <v>366</v>
      </c>
    </row>
    <row r="37" spans="1:8" x14ac:dyDescent="0.25">
      <c r="A37" s="22">
        <f t="shared" si="5"/>
        <v>30</v>
      </c>
      <c r="B37" s="37" t="b">
        <f>'График дифференц'!B37</f>
        <v>0</v>
      </c>
      <c r="C37" s="38">
        <f t="shared" si="6"/>
        <v>0</v>
      </c>
      <c r="D37" s="38">
        <f>IF(A37&lt;'Общие данные'!$B$81,'График аннуитет.'!F37-'График аннуитет.'!E37,'График аннуитет.'!C37)</f>
        <v>0</v>
      </c>
      <c r="E37" s="38">
        <f>ROUND(C37*'Общие данные'!$B$84/H37,2)*'График аннуитет.'!G37</f>
        <v>0</v>
      </c>
      <c r="F37" s="38">
        <f>IF(A37&lt;'Общие данные'!$B$81,'График аннуитет.'!F36,'График аннуитет.'!D37+'График аннуитет.'!E37)</f>
        <v>0</v>
      </c>
      <c r="G37" s="19">
        <f t="shared" si="7"/>
        <v>0</v>
      </c>
      <c r="H37" s="19">
        <f t="shared" si="8"/>
        <v>366</v>
      </c>
    </row>
    <row r="38" spans="1:8" x14ac:dyDescent="0.25">
      <c r="A38" s="22">
        <f t="shared" si="5"/>
        <v>31</v>
      </c>
      <c r="B38" s="37" t="b">
        <f>'График дифференц'!B38</f>
        <v>0</v>
      </c>
      <c r="C38" s="38">
        <f t="shared" si="6"/>
        <v>0</v>
      </c>
      <c r="D38" s="38">
        <f>IF(A38&lt;'Общие данные'!$B$81,'График аннуитет.'!F38-'График аннуитет.'!E38,'График аннуитет.'!C38)</f>
        <v>0</v>
      </c>
      <c r="E38" s="38">
        <f>ROUND(C38*'Общие данные'!$B$84/H38,2)*'График аннуитет.'!G38</f>
        <v>0</v>
      </c>
      <c r="F38" s="38">
        <f>IF(A38&lt;'Общие данные'!$B$81,'График аннуитет.'!F37,'График аннуитет.'!D38+'График аннуитет.'!E38)</f>
        <v>0</v>
      </c>
      <c r="G38" s="19">
        <f t="shared" si="7"/>
        <v>0</v>
      </c>
      <c r="H38" s="19">
        <f t="shared" si="8"/>
        <v>366</v>
      </c>
    </row>
    <row r="39" spans="1:8" x14ac:dyDescent="0.25">
      <c r="A39" s="22">
        <f t="shared" si="5"/>
        <v>32</v>
      </c>
      <c r="B39" s="37" t="b">
        <f>'График дифференц'!B39</f>
        <v>0</v>
      </c>
      <c r="C39" s="38">
        <f t="shared" si="6"/>
        <v>0</v>
      </c>
      <c r="D39" s="38">
        <f>IF(A39&lt;'Общие данные'!$B$81,'График аннуитет.'!F39-'График аннуитет.'!E39,'График аннуитет.'!C39)</f>
        <v>0</v>
      </c>
      <c r="E39" s="38">
        <f>ROUND(C39*'Общие данные'!$B$84/H39,2)*'График аннуитет.'!G39</f>
        <v>0</v>
      </c>
      <c r="F39" s="38">
        <f>IF(A39&lt;'Общие данные'!$B$81,'График аннуитет.'!F38,'График аннуитет.'!D39+'График аннуитет.'!E39)</f>
        <v>0</v>
      </c>
      <c r="G39" s="19">
        <f t="shared" si="7"/>
        <v>0</v>
      </c>
      <c r="H39" s="19">
        <f t="shared" si="8"/>
        <v>366</v>
      </c>
    </row>
    <row r="40" spans="1:8" x14ac:dyDescent="0.25">
      <c r="A40" s="22">
        <f t="shared" si="5"/>
        <v>33</v>
      </c>
      <c r="B40" s="37" t="b">
        <f>'График дифференц'!B40</f>
        <v>0</v>
      </c>
      <c r="C40" s="38">
        <f t="shared" si="6"/>
        <v>0</v>
      </c>
      <c r="D40" s="38">
        <f>IF(A40&lt;'Общие данные'!$B$81,'График аннуитет.'!F40-'График аннуитет.'!E40,'График аннуитет.'!C40)</f>
        <v>0</v>
      </c>
      <c r="E40" s="38">
        <f>ROUND(C40*'Общие данные'!$B$84/H40,2)*'График аннуитет.'!G40</f>
        <v>0</v>
      </c>
      <c r="F40" s="38">
        <f>IF(A40&lt;'Общие данные'!$B$81,'График аннуитет.'!F39,'График аннуитет.'!D40+'График аннуитет.'!E40)</f>
        <v>0</v>
      </c>
      <c r="G40" s="19">
        <f t="shared" si="7"/>
        <v>0</v>
      </c>
      <c r="H40" s="19">
        <f t="shared" si="8"/>
        <v>366</v>
      </c>
    </row>
    <row r="41" spans="1:8" x14ac:dyDescent="0.25">
      <c r="A41" s="22">
        <f t="shared" si="5"/>
        <v>34</v>
      </c>
      <c r="B41" s="37" t="b">
        <f>'График дифференц'!B41</f>
        <v>0</v>
      </c>
      <c r="C41" s="38">
        <f t="shared" si="6"/>
        <v>0</v>
      </c>
      <c r="D41" s="38">
        <f>IF(A41&lt;'Общие данные'!$B$81,'График аннуитет.'!F41-'График аннуитет.'!E41,'График аннуитет.'!C41)</f>
        <v>0</v>
      </c>
      <c r="E41" s="38">
        <f>ROUND(C41*'Общие данные'!$B$84/H41,2)*'График аннуитет.'!G41</f>
        <v>0</v>
      </c>
      <c r="F41" s="38">
        <f>IF(A41&lt;'Общие данные'!$B$81,'График аннуитет.'!F40,'График аннуитет.'!D41+'График аннуитет.'!E41)</f>
        <v>0</v>
      </c>
      <c r="G41" s="19">
        <f t="shared" si="7"/>
        <v>0</v>
      </c>
      <c r="H41" s="19">
        <f t="shared" si="8"/>
        <v>366</v>
      </c>
    </row>
    <row r="42" spans="1:8" x14ac:dyDescent="0.25">
      <c r="A42" s="22">
        <f t="shared" si="5"/>
        <v>35</v>
      </c>
      <c r="B42" s="37" t="b">
        <f>'График дифференц'!B42</f>
        <v>0</v>
      </c>
      <c r="C42" s="38">
        <f t="shared" si="6"/>
        <v>0</v>
      </c>
      <c r="D42" s="38">
        <f>IF(A42&lt;'Общие данные'!$B$81,'График аннуитет.'!F42-'График аннуитет.'!E42,'График аннуитет.'!C42)</f>
        <v>0</v>
      </c>
      <c r="E42" s="38">
        <f>ROUND(C42*'Общие данные'!$B$84/H42,2)*'График аннуитет.'!G42</f>
        <v>0</v>
      </c>
      <c r="F42" s="38">
        <f>IF(A42&lt;'Общие данные'!$B$81,'График аннуитет.'!F41,'График аннуитет.'!D42+'График аннуитет.'!E42)</f>
        <v>0</v>
      </c>
      <c r="G42" s="19">
        <f t="shared" si="7"/>
        <v>0</v>
      </c>
      <c r="H42" s="19">
        <f t="shared" si="8"/>
        <v>366</v>
      </c>
    </row>
    <row r="43" spans="1:8" x14ac:dyDescent="0.25">
      <c r="A43" s="22">
        <f t="shared" si="5"/>
        <v>36</v>
      </c>
      <c r="B43" s="37" t="b">
        <f>'График дифференц'!B43</f>
        <v>0</v>
      </c>
      <c r="C43" s="38">
        <f t="shared" si="6"/>
        <v>0</v>
      </c>
      <c r="D43" s="38">
        <f>IF(A43&lt;'Общие данные'!$B$81,'График аннуитет.'!F43-'График аннуитет.'!E43,'График аннуитет.'!C43)</f>
        <v>0</v>
      </c>
      <c r="E43" s="38">
        <f>ROUND(C43*'Общие данные'!$B$84/H43,2)*'График аннуитет.'!G43</f>
        <v>0</v>
      </c>
      <c r="F43" s="38">
        <f>IF(A43&lt;'Общие данные'!$B$81,'График аннуитет.'!F42,'График аннуитет.'!D43+'График аннуитет.'!E43)</f>
        <v>0</v>
      </c>
      <c r="G43" s="19">
        <f t="shared" si="7"/>
        <v>0</v>
      </c>
      <c r="H43" s="19">
        <f t="shared" si="8"/>
        <v>366</v>
      </c>
    </row>
    <row r="44" spans="1:8" x14ac:dyDescent="0.25">
      <c r="A44" s="50"/>
      <c r="B44" s="51" t="s">
        <v>7</v>
      </c>
      <c r="C44" s="52"/>
      <c r="D44" s="52">
        <f>SUM(D8:D31)</f>
        <v>100000000</v>
      </c>
      <c r="E44" s="52">
        <f>SUM(E8:E31)</f>
        <v>15986874.090000002</v>
      </c>
      <c r="F44" s="52">
        <f>SUM(F8:F31)</f>
        <v>115986874.09</v>
      </c>
    </row>
    <row r="45" spans="1:8" ht="9" customHeight="1" x14ac:dyDescent="0.25">
      <c r="B45" s="39"/>
      <c r="C45" s="40"/>
      <c r="D45" s="40"/>
      <c r="E45" s="40"/>
      <c r="F45" s="40"/>
    </row>
    <row r="46" spans="1:8" ht="47.25" customHeight="1" x14ac:dyDescent="0.25">
      <c r="A46" s="231" t="s">
        <v>17</v>
      </c>
      <c r="B46" s="231"/>
      <c r="C46" s="231"/>
      <c r="D46" s="231"/>
      <c r="E46" s="231"/>
      <c r="F46" s="231"/>
    </row>
    <row r="47" spans="1:8" ht="7.5" customHeight="1" x14ac:dyDescent="0.25"/>
    <row r="48" spans="1:8" x14ac:dyDescent="0.25">
      <c r="A48" s="259" t="e">
        <f>#REF!</f>
        <v>#REF!</v>
      </c>
      <c r="B48" s="259"/>
      <c r="C48" s="259"/>
      <c r="D48" s="259" t="e">
        <f>#REF!</f>
        <v>#REF!</v>
      </c>
      <c r="E48" s="259"/>
      <c r="F48" s="259"/>
    </row>
    <row r="49" spans="1:6" ht="11.25" customHeight="1" x14ac:dyDescent="0.25">
      <c r="A49" s="260"/>
      <c r="B49" s="260"/>
      <c r="C49" s="260"/>
      <c r="D49" s="260"/>
      <c r="E49" s="260"/>
      <c r="F49" s="260"/>
    </row>
    <row r="50" spans="1:6" ht="30" customHeight="1" x14ac:dyDescent="0.25">
      <c r="A50" s="258" t="e">
        <f>#REF!</f>
        <v>#REF!</v>
      </c>
      <c r="B50" s="258"/>
      <c r="C50" s="258"/>
      <c r="D50" s="258" t="e">
        <f>#REF!</f>
        <v>#REF!</v>
      </c>
      <c r="E50" s="258"/>
      <c r="F50" s="258"/>
    </row>
    <row r="51" spans="1:6" ht="32.25" customHeight="1" x14ac:dyDescent="0.25">
      <c r="A51" s="254" t="e">
        <f>#REF!</f>
        <v>#REF!</v>
      </c>
      <c r="B51" s="254"/>
      <c r="C51" s="254"/>
      <c r="D51" s="254" t="e">
        <f>#REF!</f>
        <v>#REF!</v>
      </c>
      <c r="E51" s="254"/>
      <c r="F51" s="254"/>
    </row>
    <row r="52" spans="1:6" x14ac:dyDescent="0.25">
      <c r="A52" s="254" t="e">
        <f>#REF!</f>
        <v>#REF!</v>
      </c>
      <c r="B52" s="254"/>
      <c r="C52" s="254"/>
      <c r="D52" s="254" t="str">
        <f>"паспорт серии "&amp;'Общие данные'!B16&amp;", "&amp;'Общие данные'!B20&amp;""</f>
        <v>паспорт серии AD 2029757, IIV 60005 tomonidan 16.11.2022 yilda berilgan</v>
      </c>
      <c r="E52" s="254"/>
      <c r="F52" s="254"/>
    </row>
    <row r="53" spans="1:6" ht="32.25" customHeight="1" x14ac:dyDescent="0.25">
      <c r="A53" s="254" t="e">
        <f>#REF!</f>
        <v>#REF!</v>
      </c>
      <c r="B53" s="254"/>
      <c r="C53" s="254"/>
      <c r="D53" s="254"/>
      <c r="E53" s="254"/>
      <c r="F53" s="254"/>
    </row>
    <row r="54" spans="1:6" x14ac:dyDescent="0.25">
      <c r="A54" s="254" t="e">
        <f>#REF!</f>
        <v>#REF!</v>
      </c>
      <c r="B54" s="254"/>
      <c r="C54" s="254"/>
      <c r="D54" s="254" t="e">
        <f>#REF!</f>
        <v>#REF!</v>
      </c>
      <c r="E54" s="254"/>
      <c r="F54" s="254"/>
    </row>
    <row r="55" spans="1:6" x14ac:dyDescent="0.25">
      <c r="A55" s="254" t="e">
        <f>#REF!</f>
        <v>#REF!</v>
      </c>
      <c r="B55" s="254"/>
      <c r="C55" s="254"/>
      <c r="D55" s="254" t="e">
        <f>#REF!</f>
        <v>#REF!</v>
      </c>
      <c r="E55" s="254"/>
      <c r="F55" s="254"/>
    </row>
    <row r="56" spans="1:6" x14ac:dyDescent="0.25">
      <c r="A56" s="254" t="e">
        <f>#REF!</f>
        <v>#REF!</v>
      </c>
      <c r="B56" s="254"/>
      <c r="C56" s="254"/>
      <c r="D56" s="254" t="e">
        <f>#REF!</f>
        <v>#REF!</v>
      </c>
      <c r="E56" s="254"/>
      <c r="F56" s="254"/>
    </row>
    <row r="57" spans="1:6" ht="8.25" customHeight="1" x14ac:dyDescent="0.25">
      <c r="A57" s="254"/>
      <c r="B57" s="254"/>
      <c r="C57" s="254"/>
      <c r="D57" s="254"/>
      <c r="E57" s="254"/>
      <c r="F57" s="254"/>
    </row>
    <row r="58" spans="1:6" x14ac:dyDescent="0.25">
      <c r="A58" s="258" t="e">
        <f>#REF!</f>
        <v>#REF!</v>
      </c>
      <c r="B58" s="258"/>
      <c r="C58" s="258"/>
      <c r="D58" s="258" t="e">
        <f>#REF!</f>
        <v>#REF!</v>
      </c>
      <c r="E58" s="258"/>
      <c r="F58" s="258"/>
    </row>
    <row r="59" spans="1:6" ht="7.5" customHeight="1" x14ac:dyDescent="0.25">
      <c r="A59" s="258"/>
      <c r="B59" s="258"/>
      <c r="C59" s="258"/>
      <c r="D59" s="258"/>
      <c r="E59" s="258"/>
      <c r="F59" s="258"/>
    </row>
    <row r="60" spans="1:6" x14ac:dyDescent="0.25">
      <c r="A60" s="258" t="e">
        <f>#REF!</f>
        <v>#REF!</v>
      </c>
      <c r="B60" s="258"/>
      <c r="C60" s="258"/>
      <c r="D60" s="258" t="e">
        <f>#REF!</f>
        <v>#REF!</v>
      </c>
      <c r="E60" s="258"/>
      <c r="F60" s="258"/>
    </row>
    <row r="61" spans="1:6" ht="8.25" customHeight="1" x14ac:dyDescent="0.25">
      <c r="A61" s="254"/>
      <c r="B61" s="254"/>
      <c r="C61" s="254"/>
      <c r="D61" s="254"/>
      <c r="E61" s="254"/>
      <c r="F61" s="254"/>
    </row>
    <row r="62" spans="1:6" ht="30" customHeight="1" x14ac:dyDescent="0.25">
      <c r="A62" s="255"/>
      <c r="B62" s="255"/>
      <c r="C62" s="255"/>
      <c r="D62" s="256"/>
      <c r="E62" s="256"/>
      <c r="F62" s="256"/>
    </row>
    <row r="63" spans="1:6" x14ac:dyDescent="0.25">
      <c r="A63" s="257"/>
      <c r="B63" s="257"/>
      <c r="C63" s="257"/>
      <c r="D63" s="257"/>
      <c r="E63" s="257"/>
      <c r="F63" s="257"/>
    </row>
    <row r="64" spans="1:6" x14ac:dyDescent="0.25">
      <c r="A64" s="253"/>
      <c r="B64" s="253"/>
      <c r="C64" s="253"/>
      <c r="D64" s="253"/>
      <c r="E64" s="253"/>
      <c r="F64" s="253"/>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5"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1" zoomScaleSheetLayoutView="100" workbookViewId="0">
      <selection activeCell="E47" sqref="E47"/>
    </sheetView>
  </sheetViews>
  <sheetFormatPr defaultColWidth="9.140625" defaultRowHeight="12.75" x14ac:dyDescent="0.2"/>
  <cols>
    <col min="1" max="6" width="14.28515625" style="28" customWidth="1"/>
    <col min="7" max="16384" width="9.140625" style="28"/>
  </cols>
  <sheetData>
    <row r="1" spans="1:6" x14ac:dyDescent="0.2">
      <c r="A1" s="267" t="s">
        <v>218</v>
      </c>
      <c r="B1" s="267"/>
      <c r="C1" s="267"/>
      <c r="D1" s="267"/>
      <c r="E1" s="267"/>
      <c r="F1" s="267"/>
    </row>
    <row r="2" spans="1:6" ht="35.25" customHeight="1" x14ac:dyDescent="0.2">
      <c r="A2" s="268" t="s">
        <v>328</v>
      </c>
      <c r="B2" s="268"/>
      <c r="C2" s="268"/>
      <c r="D2" s="268"/>
      <c r="E2" s="268"/>
      <c r="F2" s="268"/>
    </row>
    <row r="3" spans="1:6" x14ac:dyDescent="0.2">
      <c r="A3" s="267" t="s">
        <v>219</v>
      </c>
      <c r="B3" s="267"/>
      <c r="C3" s="267"/>
      <c r="D3" s="267"/>
      <c r="E3" s="267"/>
      <c r="F3" s="267"/>
    </row>
    <row r="4" spans="1:6" x14ac:dyDescent="0.2">
      <c r="A4" s="266" t="str">
        <f>'Заключение КК'!A4:E4</f>
        <v>Mijozning to'liq ismi sharifi: CHUCHARINA MARGARITA SERGEYEVNA</v>
      </c>
      <c r="B4" s="266"/>
      <c r="C4" s="266"/>
      <c r="D4" s="266"/>
      <c r="E4" s="266"/>
      <c r="F4" s="266"/>
    </row>
    <row r="5" spans="1:6" x14ac:dyDescent="0.2">
      <c r="A5" s="266" t="str">
        <f>'Заключение КК'!A5:E5</f>
        <v>Tug'ilgan sanasi: 02.11.1997 y</v>
      </c>
      <c r="B5" s="266"/>
      <c r="C5" s="266"/>
      <c r="D5" s="266"/>
      <c r="E5" s="266"/>
      <c r="F5" s="266"/>
    </row>
    <row r="6" spans="1:6" ht="32.25" customHeight="1" x14ac:dyDescent="0.2">
      <c r="A6" s="266" t="str">
        <f>'Заключение КК'!A6:E6</f>
        <v>Pasport seriyasi AD 2029757 IIV 60005 tomonidan 16.11.2022 yilda berilgan, amal qilish muddati - 15.11.2032 y.</v>
      </c>
      <c r="B6" s="266"/>
      <c r="C6" s="266"/>
      <c r="D6" s="266"/>
      <c r="E6" s="266"/>
      <c r="F6" s="266"/>
    </row>
    <row r="7" spans="1:6" x14ac:dyDescent="0.2">
      <c r="A7" s="266" t="str">
        <f>"Fuqaroligi: "&amp;'Общие данные'!B32&amp;""</f>
        <v>Fuqaroligi: O’zbekiston Respublikasi</v>
      </c>
      <c r="B7" s="266"/>
      <c r="C7" s="266"/>
      <c r="D7" s="266"/>
      <c r="E7" s="266"/>
      <c r="F7" s="266"/>
    </row>
    <row r="8" spans="1:6" ht="39" customHeight="1" x14ac:dyDescent="0.2">
      <c r="A8" s="266" t="str">
        <f>'Заключение КК'!A7:E7</f>
        <v xml:space="preserve">Ro‘yxatdan o‘tgan manzili: TOSHKЕNT SHAHRI YAKKASAROY TUMANI Rakat daxasi, Uy 12, Kvartira 47, mo'ljal: safia , korzinka </v>
      </c>
      <c r="B8" s="266"/>
      <c r="C8" s="266"/>
      <c r="D8" s="266"/>
      <c r="E8" s="266"/>
      <c r="F8" s="266"/>
    </row>
    <row r="9" spans="1:6" ht="28.5" customHeight="1" x14ac:dyDescent="0.2">
      <c r="A9" s="266" t="str">
        <f>IF('Общие данные'!B23="mos keladi"," ",'Анкета Клиента'!A10:F10)</f>
        <v xml:space="preserve"> </v>
      </c>
      <c r="B9" s="266"/>
      <c r="C9" s="266"/>
      <c r="D9" s="266"/>
      <c r="E9" s="266"/>
      <c r="F9" s="266"/>
    </row>
    <row r="10" spans="1:6" ht="31.5" hidden="1" customHeight="1" x14ac:dyDescent="0.2">
      <c r="A10" s="266" t="str">
        <f>"Haqiqatdan yashash joy manzili: "&amp;'Общие данные'!B28&amp;""</f>
        <v>Haqiqatdan yashash joy manzili: TOSHKЕNT SHAHRI YAKKASAROY TUMANI Rakat daxasi, Uy 12, Kvartira 47</v>
      </c>
      <c r="B10" s="266"/>
      <c r="C10" s="266"/>
      <c r="D10" s="266"/>
      <c r="E10" s="266"/>
      <c r="F10" s="266"/>
    </row>
    <row r="11" spans="1:6" ht="16.5" hidden="1" customHeight="1" x14ac:dyDescent="0.2">
      <c r="A11" s="266" t="str">
        <f>'Заключение КК'!A8:E8</f>
        <v>Ish joyi:  lavozimi Yakka tartibdagi tadbirkorda Yakka tartibdagi tadbirkor</v>
      </c>
      <c r="B11" s="266"/>
      <c r="C11" s="266"/>
      <c r="D11" s="266"/>
      <c r="E11" s="266"/>
      <c r="F11" s="266"/>
    </row>
    <row r="12" spans="1:6" x14ac:dyDescent="0.2">
      <c r="A12" s="267" t="s">
        <v>220</v>
      </c>
      <c r="B12" s="267"/>
      <c r="C12" s="267"/>
      <c r="D12" s="267"/>
      <c r="E12" s="267"/>
      <c r="F12" s="267"/>
    </row>
    <row r="13" spans="1:6" x14ac:dyDescent="0.2">
      <c r="A13" s="266" t="str">
        <f>"Uy telefoni raqami: "&amp;'Общие данные'!B40&amp;""</f>
        <v>Uy telefoni raqami: 97 443 05 80 KLIENT</v>
      </c>
      <c r="B13" s="266"/>
      <c r="C13" s="266"/>
      <c r="D13" s="266"/>
      <c r="E13" s="266"/>
      <c r="F13" s="266"/>
    </row>
    <row r="14" spans="1:6" x14ac:dyDescent="0.2">
      <c r="A14" s="266" t="str">
        <f>"Uyali telefon raqami: "&amp;'Общие данные'!B41&amp;""</f>
        <v>Uyali telefon raqami: 90 167 16 70 SHAHNOZA</v>
      </c>
      <c r="B14" s="266"/>
      <c r="C14" s="266"/>
      <c r="D14" s="266"/>
      <c r="E14" s="266"/>
      <c r="F14" s="266"/>
    </row>
    <row r="15" spans="1:6" x14ac:dyDescent="0.2">
      <c r="A15" s="266" t="str">
        <f>"Uyali telefon raqami: "&amp;'Общие данные'!B42&amp;""</f>
        <v>Uyali telefon raqami: 93 400 04 48 BARKAMOL</v>
      </c>
      <c r="B15" s="266"/>
      <c r="C15" s="266"/>
      <c r="D15" s="266"/>
      <c r="E15" s="266"/>
      <c r="F15" s="266"/>
    </row>
    <row r="16" spans="1:6" hidden="1" x14ac:dyDescent="0.2">
      <c r="A16" s="266" t="str">
        <f>"Uyali telefon raqami: "&amp;'Общие данные'!B42&amp;""</f>
        <v>Uyali telefon raqami: 93 400 04 48 BARKAMOL</v>
      </c>
      <c r="B16" s="266"/>
      <c r="C16" s="266"/>
      <c r="D16" s="266"/>
      <c r="E16" s="266"/>
      <c r="F16" s="266"/>
    </row>
    <row r="17" spans="1:6" x14ac:dyDescent="0.2">
      <c r="A17" s="266" t="str">
        <f>"Ish telefoni raqami: "&amp;'Общие данные'!B43&amp;""</f>
        <v xml:space="preserve">Ish telefoni raqami: </v>
      </c>
      <c r="B17" s="266"/>
      <c r="C17" s="266"/>
      <c r="D17" s="266"/>
      <c r="E17" s="266"/>
      <c r="F17" s="266"/>
    </row>
    <row r="18" spans="1:6" x14ac:dyDescent="0.2">
      <c r="A18" s="267" t="s">
        <v>221</v>
      </c>
      <c r="B18" s="267"/>
      <c r="C18" s="267"/>
      <c r="D18" s="267"/>
      <c r="E18" s="267"/>
      <c r="F18" s="267"/>
    </row>
    <row r="19" spans="1:6" x14ac:dyDescent="0.2">
      <c r="A19" s="266" t="str">
        <f>"Muassasa nomlanishi:"&amp;'Общие данные'!B58&amp;""</f>
        <v>Muassasa nomlanishi:Yakka tartibdagi tadbirkor</v>
      </c>
      <c r="B19" s="266"/>
      <c r="C19" s="266"/>
      <c r="D19" s="266"/>
      <c r="E19" s="266"/>
      <c r="F19" s="266"/>
    </row>
    <row r="20" spans="1:6" ht="18" customHeight="1" x14ac:dyDescent="0.2">
      <c r="A20" s="266" t="str">
        <f>"Ro‘yxatdan o‘tish manzili:"&amp;'Общие данные'!B50&amp;""</f>
        <v>Ro‘yxatdan o‘tish manzili:</v>
      </c>
      <c r="B20" s="266"/>
      <c r="C20" s="266"/>
      <c r="D20" s="266"/>
      <c r="E20" s="266"/>
      <c r="F20" s="266"/>
    </row>
    <row r="21" spans="1:6" ht="19.5" customHeight="1" x14ac:dyDescent="0.2">
      <c r="A21" s="266" t="str">
        <f>"Lavozimi: "&amp;'Общие данные'!B59&amp;""</f>
        <v>Lavozimi: Yakka tartibdagi tadbirkor</v>
      </c>
      <c r="B21" s="266"/>
      <c r="C21" s="266"/>
      <c r="D21" s="266"/>
      <c r="E21" s="266"/>
      <c r="F21" s="266"/>
    </row>
    <row r="22" spans="1:6" x14ac:dyDescent="0.2">
      <c r="A22" s="267" t="s">
        <v>222</v>
      </c>
      <c r="B22" s="269"/>
      <c r="C22" s="269"/>
      <c r="D22" s="269"/>
      <c r="E22" s="269"/>
      <c r="F22" s="269"/>
    </row>
    <row r="23" spans="1:6" s="30" customFormat="1" ht="25.5" x14ac:dyDescent="0.25">
      <c r="A23" s="29" t="s">
        <v>223</v>
      </c>
      <c r="B23" s="29" t="s">
        <v>224</v>
      </c>
      <c r="C23" s="29" t="s">
        <v>225</v>
      </c>
      <c r="D23" s="29" t="s">
        <v>226</v>
      </c>
      <c r="E23" s="29" t="s">
        <v>227</v>
      </c>
      <c r="F23" s="29" t="s">
        <v>228</v>
      </c>
    </row>
    <row r="24" spans="1:6" ht="51" x14ac:dyDescent="0.2">
      <c r="A24" s="31" t="s">
        <v>229</v>
      </c>
      <c r="B24" s="32">
        <f>'Общие данные'!B60</f>
        <v>43000000</v>
      </c>
      <c r="C24" s="32">
        <v>0</v>
      </c>
      <c r="D24" s="32">
        <v>0</v>
      </c>
      <c r="E24" s="31" t="s">
        <v>232</v>
      </c>
      <c r="F24" s="32">
        <v>800000</v>
      </c>
    </row>
    <row r="25" spans="1:6" ht="25.5" x14ac:dyDescent="0.2">
      <c r="A25" s="31" t="s">
        <v>230</v>
      </c>
      <c r="B25" s="32">
        <v>0</v>
      </c>
      <c r="C25" s="32">
        <v>0</v>
      </c>
      <c r="D25" s="32">
        <v>0</v>
      </c>
      <c r="E25" s="31" t="s">
        <v>233</v>
      </c>
      <c r="F25" s="32">
        <v>600000</v>
      </c>
    </row>
    <row r="26" spans="1:6" ht="28.5" customHeight="1" x14ac:dyDescent="0.2">
      <c r="A26" s="31" t="s">
        <v>231</v>
      </c>
      <c r="B26" s="32">
        <f>'Общие данные'!B61</f>
        <v>0</v>
      </c>
      <c r="C26" s="32">
        <v>0</v>
      </c>
      <c r="D26" s="32">
        <v>0</v>
      </c>
      <c r="E26" s="31" t="s">
        <v>234</v>
      </c>
      <c r="F26" s="32">
        <v>300000</v>
      </c>
    </row>
    <row r="27" spans="1:6" s="35" customFormat="1" x14ac:dyDescent="0.2">
      <c r="A27" s="33" t="s">
        <v>210</v>
      </c>
      <c r="B27" s="34">
        <f>B24+B25+B26</f>
        <v>43000000</v>
      </c>
      <c r="C27" s="34">
        <f t="shared" ref="C27:F27" si="0">SUM(C24:C26)</f>
        <v>0</v>
      </c>
      <c r="D27" s="34">
        <f t="shared" si="0"/>
        <v>0</v>
      </c>
      <c r="E27" s="33"/>
      <c r="F27" s="34">
        <f t="shared" si="0"/>
        <v>1700000</v>
      </c>
    </row>
    <row r="28" spans="1:6" ht="31.5" customHeight="1" x14ac:dyDescent="0.2">
      <c r="A28" s="266" t="str">
        <f>"Men, "&amp;'Общие данные'!B5&amp;", ushbu anketada ko‘rsatilgan barcha ma'lumotlar anketa to'ldirilgan sanada  to'g'ri va aniq ekanligini tasdiqlayman."</f>
        <v>Men, CHUCHARINA MARGARITA SERGEYEVNA, ushbu anketada ko‘rsatilgan barcha ma'lumotlar anketa to'ldirilgan sanada  to'g'ri va aniq ekanligini tasdiqlayman.</v>
      </c>
      <c r="B28" s="266"/>
      <c r="C28" s="266"/>
      <c r="D28" s="266"/>
      <c r="E28" s="266"/>
      <c r="F28" s="266"/>
    </row>
    <row r="29" spans="1:6" x14ac:dyDescent="0.2">
      <c r="A29" s="266" t="str">
        <f>"Men,  "&amp;'Общие данные'!B5&amp;", quyidagilarni tan olaman va roziman::"</f>
        <v>Men,  CHUCHARINA MARGARITA SERGEYEVNA, quyidagilarni tan olaman va roziman::</v>
      </c>
      <c r="B29" s="266"/>
      <c r="C29" s="266"/>
      <c r="D29" s="266"/>
      <c r="E29" s="266"/>
      <c r="F29" s="266"/>
    </row>
    <row r="30" spans="1:6" ht="45.75" customHeight="1" x14ac:dyDescent="0.2">
      <c r="A30" s="266"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66"/>
      <c r="C30" s="266"/>
      <c r="D30" s="266"/>
      <c r="E30" s="266"/>
      <c r="F30" s="266"/>
    </row>
    <row r="31" spans="1:6" ht="42.75" customHeight="1" x14ac:dyDescent="0.2">
      <c r="A31" s="266"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66"/>
      <c r="C31" s="266"/>
      <c r="D31" s="266"/>
      <c r="E31" s="266"/>
      <c r="F31" s="266"/>
    </row>
    <row r="32" spans="1:6" ht="71.25" customHeight="1" x14ac:dyDescent="0.2">
      <c r="A32" s="266" t="s">
        <v>235</v>
      </c>
      <c r="B32" s="266"/>
      <c r="C32" s="266"/>
      <c r="D32" s="266"/>
      <c r="E32" s="266"/>
      <c r="F32" s="266"/>
    </row>
    <row r="33" spans="1:6" x14ac:dyDescent="0.2">
      <c r="A33" s="266"/>
      <c r="B33" s="266"/>
      <c r="C33" s="266"/>
      <c r="D33" s="266"/>
      <c r="E33" s="266"/>
      <c r="F33" s="266"/>
    </row>
    <row r="34" spans="1:6" ht="12.75" customHeight="1" x14ac:dyDescent="0.2">
      <c r="A34" s="269" t="s">
        <v>236</v>
      </c>
      <c r="B34" s="269"/>
      <c r="C34" s="269"/>
      <c r="D34" s="169" t="s">
        <v>157</v>
      </c>
      <c r="E34" s="269" t="s">
        <v>237</v>
      </c>
      <c r="F34" s="269"/>
    </row>
    <row r="35" spans="1:6" ht="25.5" customHeight="1" x14ac:dyDescent="0.2">
      <c r="A35" s="270"/>
      <c r="B35" s="270"/>
      <c r="C35" s="270"/>
      <c r="D35" s="271" t="str">
        <f>'Общие данные'!B2</f>
        <v>27.01.2025</v>
      </c>
      <c r="E35" s="270"/>
      <c r="F35" s="270"/>
    </row>
    <row r="36" spans="1:6" ht="25.5" customHeight="1" x14ac:dyDescent="0.2">
      <c r="A36" s="270"/>
      <c r="B36" s="270"/>
      <c r="C36" s="270"/>
      <c r="D36" s="271"/>
      <c r="E36" s="270"/>
      <c r="F36" s="270"/>
    </row>
    <row r="37" spans="1:6" x14ac:dyDescent="0.2">
      <c r="A37" s="266"/>
      <c r="B37" s="266"/>
      <c r="C37" s="266"/>
      <c r="D37" s="266"/>
      <c r="E37" s="266"/>
      <c r="F37" s="266"/>
    </row>
    <row r="38" spans="1:6" x14ac:dyDescent="0.2">
      <c r="A38" s="266"/>
      <c r="B38" s="266"/>
      <c r="C38" s="266"/>
      <c r="D38" s="266"/>
      <c r="E38" s="266"/>
      <c r="F38" s="266"/>
    </row>
    <row r="39" spans="1:6" x14ac:dyDescent="0.2">
      <c r="A39" s="266"/>
      <c r="B39" s="266"/>
      <c r="C39" s="266"/>
      <c r="D39" s="266"/>
      <c r="E39" s="266"/>
      <c r="F39" s="266"/>
    </row>
    <row r="40" spans="1:6" x14ac:dyDescent="0.2">
      <c r="A40" s="266"/>
      <c r="B40" s="266"/>
      <c r="C40" s="266"/>
      <c r="D40" s="266"/>
      <c r="E40" s="266"/>
      <c r="F40" s="266"/>
    </row>
    <row r="41" spans="1:6" x14ac:dyDescent="0.2">
      <c r="A41" s="266"/>
      <c r="B41" s="266"/>
      <c r="C41" s="266"/>
      <c r="D41" s="266"/>
      <c r="E41" s="266"/>
      <c r="F41" s="266"/>
    </row>
    <row r="42" spans="1:6" x14ac:dyDescent="0.2">
      <c r="A42" s="266"/>
      <c r="B42" s="266"/>
      <c r="C42" s="266"/>
      <c r="D42" s="266"/>
      <c r="E42" s="266"/>
      <c r="F42" s="266"/>
    </row>
    <row r="43" spans="1:6" x14ac:dyDescent="0.2">
      <c r="A43" s="266"/>
      <c r="B43" s="266"/>
      <c r="C43" s="266"/>
      <c r="D43" s="266"/>
      <c r="E43" s="266"/>
      <c r="F43" s="266"/>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13" zoomScaleNormal="100" zoomScaleSheetLayoutView="100" workbookViewId="0">
      <selection activeCell="D40" sqref="D40"/>
    </sheetView>
  </sheetViews>
  <sheetFormatPr defaultColWidth="9.140625" defaultRowHeight="15.75" x14ac:dyDescent="0.25"/>
  <cols>
    <col min="1" max="2" width="17.42578125" style="139" customWidth="1"/>
    <col min="3" max="3" width="29.85546875" style="139" customWidth="1"/>
    <col min="4" max="4" width="18.140625" style="139" customWidth="1"/>
    <col min="5" max="5" width="6.5703125" style="139" customWidth="1"/>
    <col min="6" max="16384" width="9.140625" style="139"/>
  </cols>
  <sheetData>
    <row r="2" spans="1:5" x14ac:dyDescent="0.25">
      <c r="A2" s="276" t="s">
        <v>238</v>
      </c>
      <c r="B2" s="276"/>
      <c r="C2" s="276"/>
      <c r="D2" s="276"/>
      <c r="E2" s="276"/>
    </row>
    <row r="3" spans="1:5" x14ac:dyDescent="0.25">
      <c r="E3" s="138" t="str">
        <f>'Общие данные'!B68</f>
        <v>27 yanvar 2025 y.</v>
      </c>
    </row>
    <row r="5" spans="1:5" s="140" customFormat="1" ht="27" customHeight="1" x14ac:dyDescent="0.25">
      <c r="A5" s="280" t="s">
        <v>239</v>
      </c>
      <c r="B5" s="281"/>
      <c r="C5" s="277" t="str">
        <f>'Общие данные'!B8</f>
        <v>CHUCHARINA MARGARITA SERGEYEVNA</v>
      </c>
      <c r="D5" s="278"/>
      <c r="E5" s="279"/>
    </row>
    <row r="7" spans="1:5" ht="15.75" customHeight="1" x14ac:dyDescent="0.25">
      <c r="A7" s="282" t="s">
        <v>358</v>
      </c>
      <c r="B7" s="283"/>
      <c r="C7" s="284"/>
      <c r="D7" s="141" t="s">
        <v>132</v>
      </c>
      <c r="E7" s="141"/>
    </row>
    <row r="8" spans="1:5" x14ac:dyDescent="0.25">
      <c r="A8" s="285"/>
      <c r="B8" s="286"/>
      <c r="C8" s="287"/>
      <c r="D8" s="141" t="s">
        <v>243</v>
      </c>
      <c r="E8" s="141"/>
    </row>
    <row r="9" spans="1:5" ht="15.75" customHeight="1" x14ac:dyDescent="0.25">
      <c r="A9" s="273" t="s">
        <v>240</v>
      </c>
      <c r="B9" s="273"/>
      <c r="C9" s="273"/>
      <c r="D9" s="141" t="s">
        <v>132</v>
      </c>
      <c r="E9" s="141"/>
    </row>
    <row r="10" spans="1:5" x14ac:dyDescent="0.25">
      <c r="A10" s="273"/>
      <c r="B10" s="273"/>
      <c r="C10" s="273"/>
      <c r="D10" s="141" t="s">
        <v>243</v>
      </c>
      <c r="E10" s="141"/>
    </row>
    <row r="11" spans="1:5" ht="15.75" customHeight="1" x14ac:dyDescent="0.25">
      <c r="A11" s="273" t="s">
        <v>241</v>
      </c>
      <c r="B11" s="273"/>
      <c r="C11" s="273"/>
      <c r="D11" s="141" t="s">
        <v>132</v>
      </c>
      <c r="E11" s="141"/>
    </row>
    <row r="12" spans="1:5" x14ac:dyDescent="0.25">
      <c r="A12" s="273"/>
      <c r="B12" s="273"/>
      <c r="C12" s="273"/>
      <c r="D12" s="141" t="s">
        <v>243</v>
      </c>
      <c r="E12" s="141"/>
    </row>
    <row r="13" spans="1:5" ht="34.5" customHeight="1" x14ac:dyDescent="0.25">
      <c r="A13" s="274" t="s">
        <v>242</v>
      </c>
      <c r="B13" s="274"/>
      <c r="C13" s="274"/>
      <c r="D13" s="274"/>
      <c r="E13" s="274"/>
    </row>
    <row r="14" spans="1:5" ht="16.5" thickBot="1" x14ac:dyDescent="0.3">
      <c r="A14" s="275"/>
      <c r="B14" s="275"/>
      <c r="C14" s="275"/>
      <c r="D14" s="275"/>
      <c r="E14" s="275"/>
    </row>
    <row r="15" spans="1:5" ht="16.5" thickBot="1" x14ac:dyDescent="0.3">
      <c r="A15" s="275"/>
      <c r="B15" s="275"/>
      <c r="C15" s="275"/>
      <c r="D15" s="275"/>
      <c r="E15" s="275"/>
    </row>
    <row r="16" spans="1:5" ht="16.5" thickBot="1" x14ac:dyDescent="0.3">
      <c r="A16" s="275"/>
      <c r="B16" s="275"/>
      <c r="C16" s="275"/>
      <c r="D16" s="275"/>
      <c r="E16" s="275"/>
    </row>
    <row r="18" spans="1:8" ht="18.75" customHeight="1" x14ac:dyDescent="0.25">
      <c r="A18" s="273" t="s">
        <v>244</v>
      </c>
      <c r="B18" s="273"/>
      <c r="C18" s="273"/>
      <c r="D18" s="141" t="s">
        <v>132</v>
      </c>
      <c r="E18" s="141"/>
    </row>
    <row r="19" spans="1:8" ht="18.75" customHeight="1" x14ac:dyDescent="0.25">
      <c r="A19" s="273"/>
      <c r="B19" s="273"/>
      <c r="C19" s="273"/>
      <c r="D19" s="141" t="s">
        <v>243</v>
      </c>
      <c r="E19" s="141"/>
    </row>
    <row r="20" spans="1:8" ht="29.25" customHeight="1" x14ac:dyDescent="0.25">
      <c r="A20" s="273" t="s">
        <v>245</v>
      </c>
      <c r="B20" s="273"/>
      <c r="C20" s="273"/>
      <c r="D20" s="141" t="s">
        <v>132</v>
      </c>
      <c r="E20" s="141"/>
    </row>
    <row r="21" spans="1:8" ht="29.25" customHeight="1" x14ac:dyDescent="0.25">
      <c r="A21" s="273"/>
      <c r="B21" s="273"/>
      <c r="C21" s="273"/>
      <c r="D21" s="141" t="s">
        <v>243</v>
      </c>
      <c r="E21" s="141"/>
    </row>
    <row r="23" spans="1:8" ht="15.75" customHeight="1" x14ac:dyDescent="0.25">
      <c r="A23" s="274" t="s">
        <v>246</v>
      </c>
      <c r="B23" s="274"/>
      <c r="C23" s="274"/>
      <c r="D23" s="274"/>
      <c r="E23" s="274"/>
    </row>
    <row r="24" spans="1:8" ht="16.5" thickBot="1" x14ac:dyDescent="0.3">
      <c r="A24" s="275"/>
      <c r="B24" s="275"/>
      <c r="C24" s="275"/>
      <c r="D24" s="275"/>
      <c r="E24" s="275"/>
    </row>
    <row r="25" spans="1:8" ht="16.5" thickBot="1" x14ac:dyDescent="0.3">
      <c r="A25" s="275"/>
      <c r="B25" s="275"/>
      <c r="C25" s="275"/>
      <c r="D25" s="275"/>
      <c r="E25" s="275"/>
    </row>
    <row r="26" spans="1:8" ht="16.5" thickBot="1" x14ac:dyDescent="0.3">
      <c r="A26" s="275"/>
      <c r="B26" s="275"/>
      <c r="C26" s="275"/>
      <c r="D26" s="275"/>
      <c r="E26" s="275"/>
    </row>
    <row r="28" spans="1:8" ht="78.75" customHeight="1" x14ac:dyDescent="0.25">
      <c r="A28" s="272" t="s">
        <v>247</v>
      </c>
      <c r="B28" s="272"/>
      <c r="C28" s="272"/>
      <c r="D28" s="272"/>
      <c r="E28" s="272"/>
    </row>
    <row r="30" spans="1:8" ht="33" customHeight="1" x14ac:dyDescent="0.25">
      <c r="A30" s="272" t="s">
        <v>248</v>
      </c>
      <c r="B30" s="272"/>
      <c r="C30" s="272"/>
      <c r="D30" s="272"/>
      <c r="E30" s="272"/>
      <c r="F30" s="142"/>
      <c r="G30" s="142"/>
      <c r="H30" s="142"/>
    </row>
    <row r="33" spans="1:5" ht="16.5" thickBot="1" x14ac:dyDescent="0.3">
      <c r="A33" s="143" t="str">
        <f>C5</f>
        <v>CHUCHARINA MARGARITA SERGEYEVNA</v>
      </c>
      <c r="D33" s="144"/>
      <c r="E33" s="145"/>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I77"/>
  <sheetViews>
    <sheetView view="pageBreakPreview" topLeftCell="A10" zoomScaleSheetLayoutView="100" workbookViewId="0">
      <selection activeCell="A9" sqref="A9:D9"/>
    </sheetView>
  </sheetViews>
  <sheetFormatPr defaultColWidth="9.140625" defaultRowHeight="15.75" x14ac:dyDescent="0.25"/>
  <cols>
    <col min="1" max="1" width="20.140625" style="10" customWidth="1"/>
    <col min="2" max="2" width="18.7109375" style="10" customWidth="1"/>
    <col min="3" max="3" width="19.7109375" style="10" customWidth="1"/>
    <col min="4" max="4" width="28.7109375" style="10" customWidth="1"/>
    <col min="5" max="16384" width="9.140625" style="10"/>
  </cols>
  <sheetData>
    <row r="1" spans="1:4" ht="47.25" customHeight="1" x14ac:dyDescent="0.25">
      <c r="C1" s="289" t="str">
        <f>""&amp;'Общие данные'!B147&amp;"ning
"&amp;'Общие данные'!A150&amp;"i"</f>
        <v>«CLEVER MIKROMOLIYA TASHKILOTI» MChJning
Ijrochi direktori</v>
      </c>
      <c r="D1" s="289"/>
    </row>
    <row r="2" spans="1:4" x14ac:dyDescent="0.25">
      <c r="C2" s="17"/>
      <c r="D2" s="18" t="str">
        <f>""&amp;'Общие данные'!B150&amp;"ga"</f>
        <v>Abduraximov N.K.ga</v>
      </c>
    </row>
    <row r="4" spans="1:4" x14ac:dyDescent="0.25">
      <c r="A4" s="288" t="str">
        <f>""&amp;'Общие данные'!C64&amp;" olish uchun Ariza"</f>
        <v>Mikroqarz olish uchun Ariza</v>
      </c>
      <c r="B4" s="288"/>
      <c r="C4" s="288"/>
      <c r="D4" s="288"/>
    </row>
    <row r="5" spans="1:4" ht="16.5" customHeight="1" x14ac:dyDescent="0.25">
      <c r="A5" s="288"/>
      <c r="B5" s="288"/>
      <c r="C5" s="288"/>
      <c r="D5" s="288"/>
    </row>
    <row r="6" spans="1:4" ht="60" customHeight="1" x14ac:dyDescent="0.25">
      <c r="A6" s="290" t="str">
        <f>""&amp;'Общие данные'!B28&amp;".-da yashovchi O‘zbekiston Respublikasi fuqarosi "&amp;'Общие данные'!B8&amp;"dan. "</f>
        <v xml:space="preserve">TOSHKЕNT SHAHRI YAKKASAROY TUMANI Rakat daxasi, Uy 12, Kvartira 47.-da yashovchi O‘zbekiston Respublikasi fuqarosi CHUCHARINA MARGARITA SERGEYEVNAdan. </v>
      </c>
      <c r="B6" s="290"/>
      <c r="C6" s="290"/>
      <c r="D6" s="290"/>
    </row>
    <row r="7" spans="1:4" ht="21" customHeight="1" x14ac:dyDescent="0.25">
      <c r="A7" s="290" t="str">
        <f>"Tug'ilgan kuni: "&amp;'Общие данные'!B15&amp;""</f>
        <v>Tug'ilgan kuni: 02.11.1997 y</v>
      </c>
      <c r="B7" s="290"/>
      <c r="C7" s="290"/>
      <c r="D7" s="290"/>
    </row>
    <row r="8" spans="1:4" ht="34.5" customHeight="1" x14ac:dyDescent="0.25">
      <c r="A8" s="290" t="str">
        <f>"Pasport seriyasi: "&amp;'Общие данные'!B16&amp;" "&amp;'Общие данные'!B20&amp;""</f>
        <v>Pasport seriyasi: AD 2029757 IIV 60005 tomonidan 16.11.2022 yilda berilgan</v>
      </c>
      <c r="B8" s="290"/>
      <c r="C8" s="290"/>
      <c r="D8" s="290"/>
    </row>
    <row r="9" spans="1:4" ht="18.75" customHeight="1" x14ac:dyDescent="0.25">
      <c r="A9" s="290" t="str">
        <f>"Asosiy ish joyi : "&amp;'Общие данные'!B58&amp;""</f>
        <v>Asosiy ish joyi : Yakka tartibdagi tadbirkor</v>
      </c>
      <c r="B9" s="290"/>
      <c r="C9" s="290"/>
      <c r="D9" s="290"/>
    </row>
    <row r="10" spans="1:4" ht="23.25" customHeight="1" x14ac:dyDescent="0.25">
      <c r="A10" s="290" t="str">
        <f>"Lavozimi: "&amp;'Общие данные'!B59&amp;""</f>
        <v>Lavozimi: Yakka tartibdagi tadbirkor</v>
      </c>
      <c r="B10" s="290"/>
      <c r="C10" s="290"/>
      <c r="D10" s="290"/>
    </row>
    <row r="11" spans="1:4" ht="22.5" customHeight="1" x14ac:dyDescent="0.25">
      <c r="A11" s="290" t="str">
        <f>"O’rtacha oylik daromadi: "&amp;FIXED('Общие данные'!B60,2)&amp;" so'm."</f>
        <v>O’rtacha oylik daromadi: 43 000 000,00 so'm.</v>
      </c>
      <c r="B11" s="290"/>
      <c r="C11" s="290"/>
      <c r="D11" s="290"/>
    </row>
    <row r="12" spans="1:4" x14ac:dyDescent="0.25">
      <c r="A12" s="290" t="str">
        <f>"Menga quyidagi shartlarda "&amp;'Общие данные'!B65&amp;" berishingizni so’rayman:"</f>
        <v>Menga quyidagi shartlarda mikroqarz berishingizni so’rayman:</v>
      </c>
      <c r="B12" s="290"/>
      <c r="C12" s="290"/>
      <c r="D12" s="290"/>
    </row>
    <row r="13" spans="1:4" x14ac:dyDescent="0.25">
      <c r="A13" s="290" t="str">
        <f>""&amp;'Общие данные'!C64&amp;" summasi: "&amp;FIXED('Общие данные'!B75,2)&amp;" ("&amp;'Общие данные'!B76&amp;") so'm."</f>
        <v>Mikroqarz summasi: 100 000 000,00 (yuz million so'm) so'm.</v>
      </c>
      <c r="B13" s="290"/>
      <c r="C13" s="290"/>
      <c r="D13" s="290"/>
    </row>
    <row r="14" spans="1:4" x14ac:dyDescent="0.25">
      <c r="A14" s="290" t="str">
        <f>""&amp;'Общие данные'!C64&amp;" muddati: "&amp;'Общие данные'!B81&amp;" ("&amp;'Общие данные'!B82&amp;") oy."</f>
        <v>Mikroqarz muddati: 6 (olti) oy.</v>
      </c>
      <c r="B14" s="290"/>
      <c r="C14" s="290"/>
      <c r="D14" s="290"/>
    </row>
    <row r="15" spans="1:4" ht="17.25" customHeight="1" x14ac:dyDescent="0.25">
      <c r="A15" s="290" t="str">
        <f>""&amp;'Общие данные'!C64&amp;"dan foydalanganlik uchun foiz stavkasi: yillik  "&amp;'Общие данные'!B85&amp;"% ("&amp;'Общие данные'!B86&amp;") foiz"</f>
        <v>Mikroqarzdan foydalanganlik uchun foiz stavkasi: yillik  60% (Oltmish) foiz</v>
      </c>
      <c r="B15" s="290"/>
      <c r="C15" s="290"/>
      <c r="D15" s="290"/>
    </row>
    <row r="16" spans="1:4" x14ac:dyDescent="0.25">
      <c r="A16" s="290" t="str">
        <f>""&amp;'Общие данные'!C64&amp;" bo'yicha asosiy qarz va foizlarni to'lash:"</f>
        <v>Mikroqarz bo'yicha asosiy qarz va foizlarni to'lash:</v>
      </c>
      <c r="B16" s="290"/>
      <c r="C16" s="290"/>
      <c r="D16" s="290"/>
    </row>
    <row r="17" spans="1:5" ht="20.25" hidden="1" customHeight="1" x14ac:dyDescent="0.25">
      <c r="A17" s="291" t="str">
        <f>" - "&amp;'Общие данные'!B65&amp;" shartnomasi bo'yicha har oy differensial to'lovlari amalga oshiriladi"</f>
        <v xml:space="preserve"> - mikroqarz shartnomasi bo'yicha har oy differensial to'lovlari amalga oshiriladi</v>
      </c>
      <c r="B17" s="291"/>
      <c r="C17" s="291"/>
      <c r="D17" s="291"/>
    </row>
    <row r="18" spans="1:5" ht="33.75" hidden="1" customHeight="1" x14ac:dyDescent="0.25">
      <c r="A18" s="291" t="str">
        <f>" - "&amp;'Общие данные'!B65&amp;" shartnomasi bo'yicha har oy annuitet to'lovlari amalga oshiriladi"</f>
        <v xml:space="preserve"> - mikroqarz shartnomasi bo'yicha har oy annuitet to'lovlari amalga oshiriladi</v>
      </c>
      <c r="B18" s="291"/>
      <c r="C18" s="291"/>
      <c r="D18" s="291"/>
    </row>
    <row r="19" spans="1:5" ht="33.75" customHeight="1" x14ac:dyDescent="0.25">
      <c r="A19" s="291" t="str">
        <f>IF('Общие данные'!B77='Общие данные'!C77,'Кредитная заявка'!A17:D17,IF('Общие данные'!B77='Общие данные'!D77,'Кредитная заявка'!A18:D18))</f>
        <v xml:space="preserve"> - mikroqarz shartnomasi bo'yicha har oy annuitet to'lovlari amalga oshiriladi</v>
      </c>
      <c r="B19" s="291"/>
      <c r="C19" s="291"/>
      <c r="D19" s="291"/>
    </row>
    <row r="20" spans="1:5" ht="33.75" hidden="1" customHeight="1" x14ac:dyDescent="0.25">
      <c r="A20" s="290" t="str">
        <f>IF(DAY('Общие данные'!E67)&lt;15,"   ","  Oxirgi yakuniy to'lov "&amp;'Общие данные'!B65&amp;" shartnomasi tuzilgan kundan boshlab oxirgi oyning oxirgi kunida amalga oshiriladi")</f>
        <v xml:space="preserve">  Oxirgi yakuniy to'lov mikroqarz shartnomasi tuzilgan kundan boshlab oxirgi oyning oxirgi kunida amalga oshiriladi</v>
      </c>
      <c r="B20" s="290"/>
      <c r="C20" s="290"/>
      <c r="D20" s="290"/>
    </row>
    <row r="21" spans="1:5" x14ac:dyDescent="0.25">
      <c r="A21" s="290" t="str">
        <f>""&amp;'Общие данные'!C64&amp;" ta’minoti::"</f>
        <v>Mikroqarz ta’minoti::</v>
      </c>
      <c r="B21" s="290"/>
      <c r="C21" s="290"/>
      <c r="D21" s="290"/>
    </row>
    <row r="22" spans="1:5" ht="94.5" customHeight="1" x14ac:dyDescent="0.25">
      <c r="A22" s="291" t="str">
        <f>IF('Общие данные'!B103="Avtotransport",A26,A23)</f>
        <v xml:space="preserve">  Egalik huquqi CHUCHARINA MARGARITA SERGEYEVNAga tegishli bo'lgan garovga olingan avtomobil markasi   CHEVROLET TRACKER 2, rangi -  QORA CHYORNIY , ishlab chiqarilgan yili - 2023, davlat raqam belgisi 01Y604CC, kuzov turi - YENGIL KROSSOVER, kuzov raqami XWBUA7659PA551726, dvigatel raqami L4HA1222413MYWX0269, shassi raqami -  - </v>
      </c>
      <c r="B22" s="291"/>
      <c r="C22" s="291"/>
      <c r="D22" s="291"/>
    </row>
    <row r="23" spans="1:5" ht="79.5" hidden="1" customHeight="1" x14ac:dyDescent="0.25">
      <c r="A23" s="291" t="str">
        <f>IF('Общие данные'!B92='Общие данные'!C92,A25,IF('Общие данные'!B92='Общие данные'!D92,A24,0))</f>
        <v xml:space="preserve"> Egalik huquqi CHUCHARINA MARGARITA SERGEYEVNAga tegishli bo'lgan umumiy maydoni - 72,13  va yashash maydoni - 37,39 3 - xonali yakka tartibdagi uy-joy, SAMARQAND VILOYATI TAYLOQ TUMANI CHAROG'BON MFY YANGI TAYLOQ QISHLOG'I 6 TURAR JOY 12 QAVAT 58 XONADON </v>
      </c>
      <c r="B23" s="291"/>
      <c r="C23" s="291"/>
      <c r="D23" s="291"/>
    </row>
    <row r="24" spans="1:5" ht="96.75" hidden="1" customHeight="1" x14ac:dyDescent="0.25">
      <c r="A24" s="291"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CHUCHARINA MARGARITA SERGEYEVNAga 3 - xonali yakka tartibdagi uy-joy, umumiy maydoni - 72,13 va yashash maydoni - 37,39, manzili: SAMARQAND VILOYATI TAYLOQ TUMANI CHAROG'BON MFY YANGI TAYLOQ QISHLOG'I 6 TURAR JOY 12 QAVAT 58 XONADON.</v>
      </c>
      <c r="B24" s="291"/>
      <c r="C24" s="291"/>
      <c r="D24" s="291"/>
      <c r="E24" s="178"/>
    </row>
    <row r="25" spans="1:5" ht="92.25" hidden="1" customHeight="1" x14ac:dyDescent="0.25">
      <c r="A25" s="291"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CHUCHARINA MARGARITA SERGEYEVNAga tegishli bo'lgan umumiy maydoni - 72,13  va yashash maydoni - 37,39 3 - xonali yakka tartibdagi uy-joy, SAMARQAND VILOYATI TAYLOQ TUMANI CHAROG'BON MFY YANGI TAYLOQ QISHLOG'I 6 TURAR JOY 12 QAVAT 58 XONADON </v>
      </c>
      <c r="B25" s="291"/>
      <c r="C25" s="291"/>
      <c r="D25" s="291"/>
    </row>
    <row r="26" spans="1:5" ht="78" hidden="1" customHeight="1" x14ac:dyDescent="0.25">
      <c r="A26" s="291" t="str">
        <f>IF('Общие данные'!B92='Общие данные'!C92,'Кредитная заявка'!A28:D28,IF('Общие данные'!B92='Общие данные'!D92,'Кредитная заявка'!A27:D27,0))</f>
        <v xml:space="preserve">  Egalik huquqi CHUCHARINA MARGARITA SERGEYEVNAga tegishli bo'lgan garovga olingan avtomobil markasi   CHEVROLET TRACKER 2, rangi -  QORA CHYORNIY , ishlab chiqarilgan yili - 2023, davlat raqam belgisi 01Y604CC, kuzov turi - YENGIL KROSSOVER, kuzov raqami XWBUA7659PA551726, dvigatel raqami L4HA1222413MYWX0269, shassi raqami -  - </v>
      </c>
      <c r="B26" s="291"/>
      <c r="C26" s="291"/>
      <c r="D26" s="291"/>
    </row>
    <row r="27" spans="1:5" ht="93" hidden="1" customHeight="1" x14ac:dyDescent="0.25">
      <c r="A27" s="291"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CHUCHARINA MARGARITA SERGEYEVNAga tegishli bo'lgan CHEVROLET TRACKER 2, rangi -  QORA CHYORNIY , ishlab chiqarilgan yili - 2023, davlat raqam belgisi 01Y604CC, kuzov turi - YENGIL KROSSOVER, kuzov raqami XWBUA7659PA551726, dvigatel raqami L4HA1222413MYWX0269, shassi raqami -  -  avtotransport vositasi </v>
      </c>
      <c r="B27" s="291"/>
      <c r="C27" s="291"/>
      <c r="D27" s="291"/>
    </row>
    <row r="28" spans="1:5" ht="91.5" hidden="1" customHeight="1" x14ac:dyDescent="0.25">
      <c r="A28" s="291"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CHUCHARINA MARGARITA SERGEYEVNAga tegishli bo'lgan garovga olingan avtomobil markasi   CHEVROLET TRACKER 2, rangi -  QORA CHYORNIY , ishlab chiqarilgan yili - 2023, davlat raqam belgisi 01Y604CC, kuzov turi - YENGIL KROSSOVER, kuzov raqami XWBUA7659PA551726, dvigatel raqami L4HA1222413MYWX0269, shassi raqami -  - </v>
      </c>
      <c r="B28" s="291"/>
      <c r="C28" s="291"/>
      <c r="D28" s="291"/>
    </row>
    <row r="29" spans="1:5" ht="10.5" customHeight="1" x14ac:dyDescent="0.25">
      <c r="A29" s="290"/>
      <c r="B29" s="290"/>
      <c r="C29" s="290"/>
      <c r="D29" s="290"/>
    </row>
    <row r="30" spans="1:5" ht="53.25" customHeight="1" x14ac:dyDescent="0.25">
      <c r="A30" s="291"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1"/>
      <c r="C30" s="291"/>
      <c r="D30" s="291"/>
    </row>
    <row r="31" spans="1:5" ht="15.75" customHeight="1" x14ac:dyDescent="0.25">
      <c r="A31" s="291" t="s">
        <v>249</v>
      </c>
      <c r="B31" s="291"/>
      <c r="C31" s="291"/>
      <c r="D31" s="291"/>
    </row>
    <row r="32" spans="1:5" x14ac:dyDescent="0.25">
      <c r="A32" s="291" t="s">
        <v>250</v>
      </c>
      <c r="B32" s="291"/>
      <c r="C32" s="291"/>
      <c r="D32" s="291"/>
    </row>
    <row r="33" spans="1:9" x14ac:dyDescent="0.25">
      <c r="A33" s="291" t="s">
        <v>251</v>
      </c>
      <c r="B33" s="291"/>
      <c r="C33" s="291"/>
      <c r="D33" s="291"/>
    </row>
    <row r="34" spans="1:9" x14ac:dyDescent="0.25">
      <c r="A34" s="290" t="str">
        <f>"Ariza berilgan sana: "&amp;TEXT('Общие данные'!B2,"ДД.ММ.ГГГГ")&amp;"y."</f>
        <v>Ariza berilgan sana: 27.01.2025y.</v>
      </c>
      <c r="B34" s="290"/>
      <c r="C34" s="290"/>
      <c r="D34" s="290"/>
    </row>
    <row r="35" spans="1:9" x14ac:dyDescent="0.25">
      <c r="A35" s="290"/>
      <c r="B35" s="290"/>
      <c r="C35" s="290"/>
      <c r="D35" s="290"/>
    </row>
    <row r="36" spans="1:9" x14ac:dyDescent="0.25">
      <c r="A36" s="290" t="s">
        <v>252</v>
      </c>
      <c r="B36" s="290"/>
      <c r="C36" s="290"/>
      <c r="D36" s="290"/>
    </row>
    <row r="37" spans="1:9" x14ac:dyDescent="0.25">
      <c r="A37" s="290"/>
      <c r="B37" s="290"/>
      <c r="C37" s="290"/>
      <c r="D37" s="290"/>
    </row>
    <row r="38" spans="1:9" x14ac:dyDescent="0.25">
      <c r="A38" s="290"/>
      <c r="B38" s="290"/>
      <c r="C38" s="290"/>
      <c r="D38" s="290"/>
    </row>
    <row r="39" spans="1:9" ht="15.75" customHeight="1" x14ac:dyDescent="0.25">
      <c r="A39" s="292" t="str">
        <f>'Общие данные'!B5</f>
        <v>CHUCHARINA MARGARITA SERGEYEVNA</v>
      </c>
      <c r="B39" s="292"/>
      <c r="C39" s="292"/>
      <c r="D39" s="15" t="s">
        <v>4</v>
      </c>
    </row>
    <row r="40" spans="1:9" x14ac:dyDescent="0.25">
      <c r="A40" s="14"/>
      <c r="B40" s="14"/>
      <c r="D40" s="16" t="s">
        <v>333</v>
      </c>
    </row>
    <row r="41" spans="1:9" x14ac:dyDescent="0.25">
      <c r="A41" s="290"/>
      <c r="B41" s="290"/>
      <c r="C41" s="290"/>
      <c r="D41" s="290"/>
      <c r="I41" s="10" t="s">
        <v>391</v>
      </c>
    </row>
    <row r="42" spans="1:9" x14ac:dyDescent="0.25">
      <c r="A42" s="290"/>
      <c r="B42" s="290"/>
      <c r="C42" s="290"/>
      <c r="D42" s="290"/>
    </row>
    <row r="43" spans="1:9" x14ac:dyDescent="0.25">
      <c r="A43" s="290"/>
      <c r="B43" s="290"/>
      <c r="C43" s="290"/>
      <c r="D43" s="290"/>
    </row>
    <row r="44" spans="1:9" x14ac:dyDescent="0.25">
      <c r="A44" s="290"/>
      <c r="B44" s="290"/>
      <c r="C44" s="290"/>
      <c r="D44" s="290"/>
    </row>
    <row r="45" spans="1:9" x14ac:dyDescent="0.25">
      <c r="A45" s="290" t="s">
        <v>388</v>
      </c>
      <c r="B45" s="290"/>
      <c r="C45" s="290"/>
      <c r="D45" s="290"/>
    </row>
    <row r="46" spans="1:9" x14ac:dyDescent="0.25">
      <c r="A46" s="290"/>
      <c r="B46" s="290"/>
      <c r="C46" s="290"/>
      <c r="D46" s="290"/>
    </row>
    <row r="47" spans="1:9" x14ac:dyDescent="0.25">
      <c r="A47" s="290"/>
      <c r="B47" s="290"/>
      <c r="C47" s="290"/>
      <c r="D47" s="290"/>
    </row>
    <row r="48" spans="1:9" x14ac:dyDescent="0.25">
      <c r="A48" s="290"/>
      <c r="B48" s="290"/>
      <c r="C48" s="290"/>
      <c r="D48" s="290"/>
    </row>
    <row r="49" spans="1:4" x14ac:dyDescent="0.25">
      <c r="A49" s="290"/>
      <c r="B49" s="290"/>
      <c r="C49" s="290"/>
      <c r="D49" s="290"/>
    </row>
    <row r="50" spans="1:4" x14ac:dyDescent="0.25">
      <c r="A50" s="290"/>
      <c r="B50" s="290"/>
      <c r="C50" s="290"/>
      <c r="D50" s="290"/>
    </row>
    <row r="51" spans="1:4" x14ac:dyDescent="0.25">
      <c r="A51" s="290"/>
      <c r="B51" s="290"/>
      <c r="C51" s="290"/>
      <c r="D51" s="290"/>
    </row>
    <row r="52" spans="1:4" x14ac:dyDescent="0.25">
      <c r="A52" s="290"/>
      <c r="B52" s="290"/>
      <c r="C52" s="290"/>
      <c r="D52" s="290"/>
    </row>
    <row r="53" spans="1:4" x14ac:dyDescent="0.25">
      <c r="A53" s="290"/>
      <c r="B53" s="290"/>
      <c r="C53" s="290"/>
      <c r="D53" s="290"/>
    </row>
    <row r="54" spans="1:4" x14ac:dyDescent="0.25">
      <c r="A54" s="290"/>
      <c r="B54" s="290"/>
      <c r="C54" s="290"/>
      <c r="D54" s="290"/>
    </row>
    <row r="55" spans="1:4" x14ac:dyDescent="0.25">
      <c r="A55" s="290"/>
      <c r="B55" s="290"/>
      <c r="C55" s="290"/>
      <c r="D55" s="290"/>
    </row>
    <row r="56" spans="1:4" x14ac:dyDescent="0.25">
      <c r="A56" s="290"/>
      <c r="B56" s="290"/>
      <c r="C56" s="290"/>
      <c r="D56" s="290"/>
    </row>
    <row r="57" spans="1:4" x14ac:dyDescent="0.25">
      <c r="A57" s="290"/>
      <c r="B57" s="290"/>
      <c r="C57" s="290"/>
      <c r="D57" s="290"/>
    </row>
    <row r="58" spans="1:4" x14ac:dyDescent="0.25">
      <c r="A58" s="290"/>
      <c r="B58" s="290"/>
      <c r="C58" s="290"/>
      <c r="D58" s="290"/>
    </row>
    <row r="59" spans="1:4" x14ac:dyDescent="0.25">
      <c r="A59" s="290"/>
      <c r="B59" s="290"/>
      <c r="C59" s="290"/>
      <c r="D59" s="290"/>
    </row>
    <row r="60" spans="1:4" x14ac:dyDescent="0.25">
      <c r="A60" s="290"/>
      <c r="B60" s="290"/>
      <c r="C60" s="290"/>
      <c r="D60" s="290"/>
    </row>
    <row r="61" spans="1:4" x14ac:dyDescent="0.25">
      <c r="A61" s="290"/>
      <c r="B61" s="290"/>
      <c r="C61" s="290"/>
      <c r="D61" s="290"/>
    </row>
    <row r="62" spans="1:4" x14ac:dyDescent="0.25">
      <c r="A62" s="290"/>
      <c r="B62" s="290"/>
      <c r="C62" s="290"/>
      <c r="D62" s="290"/>
    </row>
    <row r="63" spans="1:4" x14ac:dyDescent="0.25">
      <c r="A63" s="290"/>
      <c r="B63" s="290"/>
      <c r="C63" s="290"/>
      <c r="D63" s="290"/>
    </row>
    <row r="64" spans="1:4" x14ac:dyDescent="0.25">
      <c r="A64" s="290"/>
      <c r="B64" s="290"/>
      <c r="C64" s="290"/>
      <c r="D64" s="290"/>
    </row>
    <row r="65" spans="1:4" x14ac:dyDescent="0.25">
      <c r="A65" s="290"/>
      <c r="B65" s="290"/>
      <c r="C65" s="290"/>
      <c r="D65" s="290"/>
    </row>
    <row r="66" spans="1:4" x14ac:dyDescent="0.25">
      <c r="A66" s="290"/>
      <c r="B66" s="290"/>
      <c r="C66" s="290"/>
      <c r="D66" s="290"/>
    </row>
    <row r="67" spans="1:4" x14ac:dyDescent="0.25">
      <c r="A67" s="290"/>
      <c r="B67" s="290"/>
      <c r="C67" s="290"/>
      <c r="D67" s="290"/>
    </row>
    <row r="68" spans="1:4" x14ac:dyDescent="0.25">
      <c r="A68" s="290"/>
      <c r="B68" s="290"/>
      <c r="C68" s="290"/>
      <c r="D68" s="290"/>
    </row>
    <row r="69" spans="1:4" x14ac:dyDescent="0.25">
      <c r="A69" s="290"/>
      <c r="B69" s="290"/>
      <c r="C69" s="290"/>
      <c r="D69" s="290"/>
    </row>
    <row r="70" spans="1:4" x14ac:dyDescent="0.25">
      <c r="A70" s="290"/>
      <c r="B70" s="290"/>
      <c r="C70" s="290"/>
      <c r="D70" s="290"/>
    </row>
    <row r="71" spans="1:4" x14ac:dyDescent="0.25">
      <c r="A71" s="290"/>
      <c r="B71" s="290"/>
      <c r="C71" s="290"/>
      <c r="D71" s="290"/>
    </row>
    <row r="72" spans="1:4" x14ac:dyDescent="0.25">
      <c r="A72" s="290"/>
      <c r="B72" s="290"/>
      <c r="C72" s="290"/>
      <c r="D72" s="290"/>
    </row>
    <row r="73" spans="1:4" x14ac:dyDescent="0.25">
      <c r="A73" s="290"/>
      <c r="B73" s="290"/>
      <c r="C73" s="290"/>
      <c r="D73" s="290"/>
    </row>
    <row r="74" spans="1:4" x14ac:dyDescent="0.25">
      <c r="A74" s="290"/>
      <c r="B74" s="290"/>
      <c r="C74" s="290"/>
      <c r="D74" s="290"/>
    </row>
    <row r="75" spans="1:4" x14ac:dyDescent="0.25">
      <c r="A75" s="290"/>
      <c r="B75" s="290"/>
      <c r="C75" s="290"/>
      <c r="D75" s="290"/>
    </row>
    <row r="76" spans="1:4" x14ac:dyDescent="0.25">
      <c r="A76" s="290"/>
      <c r="B76" s="290"/>
      <c r="C76" s="290"/>
      <c r="D76" s="290"/>
    </row>
    <row r="77" spans="1:4" x14ac:dyDescent="0.25">
      <c r="A77" s="290"/>
      <c r="B77" s="290"/>
      <c r="C77" s="290"/>
      <c r="D77" s="290"/>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D32" sqref="D31:D32"/>
    </sheetView>
  </sheetViews>
  <sheetFormatPr defaultRowHeight="15" x14ac:dyDescent="0.25"/>
  <cols>
    <col min="1" max="1" width="54.42578125" style="19" customWidth="1"/>
    <col min="2" max="2" width="32.28515625" style="19" customWidth="1"/>
  </cols>
  <sheetData>
    <row r="3" spans="1:2" ht="35.25" customHeight="1" x14ac:dyDescent="0.25">
      <c r="A3" s="293" t="s">
        <v>215</v>
      </c>
      <c r="B3" s="293"/>
    </row>
    <row r="4" spans="1:2" ht="92.25" customHeight="1" x14ac:dyDescent="0.25">
      <c r="A4" s="231"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CHUCHARINA MARGARITA SERGEYEVNA «CLEVER MIKROMOLIYA TASHKILOTI» MChJ bilan 27 yanvar 2025 y. sanasidagi №202-sonli shartnomaning garov ta'minoti sifatida taqdim etilayotgan mulk CHEVROLET TRACKER 2 rusumli avtotransport vositasini qonunga xilof ravishda o‘zlashtirmaslikka, yashirmaslikka, nobud qilmaslikka yoki unga shikast yetkazmaslik majburiyatini olaman.</v>
      </c>
      <c r="B4" s="231"/>
    </row>
    <row r="5" spans="1:2" ht="56.25" customHeight="1" x14ac:dyDescent="0.25">
      <c r="A5" s="294" t="s">
        <v>216</v>
      </c>
      <c r="B5" s="294"/>
    </row>
    <row r="6" spans="1:2" ht="42.75" customHeight="1" x14ac:dyDescent="0.25"/>
    <row r="7" spans="1:2" x14ac:dyDescent="0.25">
      <c r="A7" s="19" t="str">
        <f>'Общие данные'!B5</f>
        <v>CHUCHARINA MARGARITA SERGEYEVNA</v>
      </c>
      <c r="B7" s="155" t="s">
        <v>217</v>
      </c>
    </row>
    <row r="8" spans="1:2" ht="26.25" customHeight="1" x14ac:dyDescent="0.25"/>
    <row r="9" spans="1:2" ht="26.25" customHeight="1" x14ac:dyDescent="0.25"/>
    <row r="10" spans="1:2" ht="26.25" customHeight="1" x14ac:dyDescent="0.25"/>
    <row r="11" spans="1:2" x14ac:dyDescent="0.25">
      <c r="A11" s="19" t="str">
        <f>"sana:   "&amp;TEXT('Общие данные'!B2,"ДД.ММ.ГГГГ")&amp;" y."</f>
        <v>sana:   27.01.2025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view="pageBreakPreview" topLeftCell="A44" zoomScaleSheetLayoutView="100" workbookViewId="0">
      <selection activeCell="A25" sqref="A25:XFD25"/>
    </sheetView>
  </sheetViews>
  <sheetFormatPr defaultColWidth="9.140625" defaultRowHeight="15" outlineLevelRow="1" x14ac:dyDescent="0.25"/>
  <cols>
    <col min="1" max="1" width="23.7109375" style="19" customWidth="1"/>
    <col min="2" max="5" width="17" style="19" customWidth="1"/>
    <col min="6" max="16384" width="9.140625" style="19"/>
  </cols>
  <sheetData>
    <row r="1" spans="1:5" ht="36" customHeight="1" x14ac:dyDescent="0.25">
      <c r="A1" s="258" t="str">
        <f>""&amp;'Общие данные'!B147&amp;"
mikromoliya tashkilotining Xulosasi"</f>
        <v>«CLEVER MIKROMOLIYA TASHKILOTI» MChJ
mikromoliya tashkilotining Xulosasi</v>
      </c>
      <c r="B1" s="258"/>
      <c r="C1" s="258"/>
      <c r="D1" s="258"/>
      <c r="E1" s="258"/>
    </row>
    <row r="2" spans="1:5" x14ac:dyDescent="0.25">
      <c r="A2" s="231"/>
      <c r="B2" s="231"/>
      <c r="C2" s="231"/>
      <c r="D2" s="231"/>
      <c r="E2" s="231"/>
    </row>
    <row r="3" spans="1:5" x14ac:dyDescent="0.25">
      <c r="A3" s="258" t="s">
        <v>204</v>
      </c>
      <c r="B3" s="258"/>
      <c r="C3" s="258"/>
      <c r="D3" s="258"/>
      <c r="E3" s="258"/>
    </row>
    <row r="4" spans="1:5" x14ac:dyDescent="0.25">
      <c r="A4" s="231" t="str">
        <f>"Mijozning to'liq ismi sharifi: "&amp;'Общие данные'!B5&amp;""</f>
        <v>Mijozning to'liq ismi sharifi: CHUCHARINA MARGARITA SERGEYEVNA</v>
      </c>
      <c r="B4" s="231"/>
      <c r="C4" s="231"/>
      <c r="D4" s="231"/>
      <c r="E4" s="231"/>
    </row>
    <row r="5" spans="1:5" x14ac:dyDescent="0.25">
      <c r="A5" s="231" t="str">
        <f>"Tug'ilgan sanasi: "&amp;'Общие данные'!B15&amp;""</f>
        <v>Tug'ilgan sanasi: 02.11.1997 y</v>
      </c>
      <c r="B5" s="231"/>
      <c r="C5" s="231"/>
      <c r="D5" s="231"/>
      <c r="E5" s="231"/>
    </row>
    <row r="6" spans="1:5" ht="31.5" customHeight="1" x14ac:dyDescent="0.25">
      <c r="A6" s="231" t="str">
        <f>"Pasport seriyasi "&amp;'Общие данные'!B16&amp;" "&amp;'Общие данные'!B20&amp;", amal qilish muddati - "&amp;'Общие данные'!B21&amp;""</f>
        <v>Pasport seriyasi AD 2029757 IIV 60005 tomonidan 16.11.2022 yilda berilgan, amal qilish muddati - 15.11.2032 y.</v>
      </c>
      <c r="B6" s="231"/>
      <c r="C6" s="231"/>
      <c r="D6" s="231"/>
      <c r="E6" s="231"/>
    </row>
    <row r="7" spans="1:5" ht="48" customHeight="1" x14ac:dyDescent="0.25">
      <c r="A7" s="231" t="str">
        <f>"Ro‘yxatdan o‘tgan manzili: "&amp;'Общие данные'!B22&amp;", mo'ljal: "&amp;'Общие данные'!B26&amp;""</f>
        <v xml:space="preserve">Ro‘yxatdan o‘tgan manzili: TOSHKЕNT SHAHRI YAKKASAROY TUMANI Rakat daxasi, Uy 12, Kvartira 47, mo'ljal: safia , korzinka </v>
      </c>
      <c r="B7" s="231"/>
      <c r="C7" s="231"/>
      <c r="D7" s="231"/>
      <c r="E7" s="231"/>
    </row>
    <row r="8" spans="1:5" ht="28.5" customHeight="1" x14ac:dyDescent="0.25">
      <c r="A8" s="231" t="str">
        <f>"Ish joyi: "&amp;'Общие данные'!B52&amp;" lavozimi "&amp;'Общие данные'!B49&amp;"da "&amp;'Общие данные'!B44&amp;""</f>
        <v>Ish joyi:  lavozimi Yakka tartibdagi tadbirkorda Yakka tartibdagi tadbirkor</v>
      </c>
      <c r="B8" s="231"/>
      <c r="C8" s="231"/>
      <c r="D8" s="231"/>
      <c r="E8" s="231"/>
    </row>
    <row r="9" spans="1:5" x14ac:dyDescent="0.25">
      <c r="A9" s="231"/>
      <c r="B9" s="231"/>
      <c r="C9" s="231"/>
      <c r="D9" s="231"/>
      <c r="E9" s="231"/>
    </row>
    <row r="10" spans="1:5" x14ac:dyDescent="0.25">
      <c r="A10" s="258" t="str">
        <f>"Mijoz tomonidan so’ralgan "&amp;'Общие данные'!B65&amp;" shartlari:"</f>
        <v>Mijoz tomonidan so’ralgan mikroqarz shartlari:</v>
      </c>
      <c r="B10" s="258"/>
      <c r="C10" s="258"/>
      <c r="D10" s="258"/>
      <c r="E10" s="258"/>
    </row>
    <row r="11" spans="1:5" x14ac:dyDescent="0.25">
      <c r="A11" s="231" t="str">
        <f>'Кредитная заявка'!A13:D13</f>
        <v>Mikroqarz summasi: 100 000 000,00 (yuz million so'm) so'm.</v>
      </c>
      <c r="B11" s="231"/>
      <c r="C11" s="231"/>
      <c r="D11" s="231"/>
      <c r="E11" s="231"/>
    </row>
    <row r="12" spans="1:5" x14ac:dyDescent="0.25">
      <c r="A12" s="231" t="str">
        <f>'Кредитная заявка'!A14:D14</f>
        <v>Mikroqarz muddati: 6 (olti) oy.</v>
      </c>
      <c r="B12" s="231"/>
      <c r="C12" s="231"/>
      <c r="D12" s="231"/>
      <c r="E12" s="231"/>
    </row>
    <row r="13" spans="1:5" x14ac:dyDescent="0.25">
      <c r="A13" s="231" t="str">
        <f>'Кредитная заявка'!A15:D15</f>
        <v>Mikroqarzdan foydalanganlik uchun foiz stavkasi: yillik  60% (Oltmish) foiz</v>
      </c>
      <c r="B13" s="231"/>
      <c r="C13" s="231"/>
      <c r="D13" s="231"/>
      <c r="E13" s="231"/>
    </row>
    <row r="14" spans="1:5" x14ac:dyDescent="0.25">
      <c r="A14" s="231" t="str">
        <f>'Кредитная заявка'!A16:D16</f>
        <v>Mikroqarz bo'yicha asosiy qarz va foizlarni to'lash:</v>
      </c>
      <c r="B14" s="231"/>
      <c r="C14" s="231"/>
      <c r="D14" s="231"/>
      <c r="E14" s="231"/>
    </row>
    <row r="15" spans="1:5" ht="18.75" customHeight="1" x14ac:dyDescent="0.25">
      <c r="A15" s="231" t="str">
        <f>'Кредитная заявка'!A19:D19</f>
        <v xml:space="preserve"> - mikroqarz shartnomasi bo'yicha har oy annuitet to'lovlari amalga oshiriladi</v>
      </c>
      <c r="B15" s="231"/>
      <c r="C15" s="231"/>
      <c r="D15" s="231"/>
      <c r="E15" s="231"/>
    </row>
    <row r="16" spans="1:5" ht="14.25" customHeight="1" x14ac:dyDescent="0.25">
      <c r="A16" s="234" t="str">
        <f>'Кредитная заявка'!A20:D20</f>
        <v xml:space="preserve">  Oxirgi yakuniy to'lov mikroqarz shartnomasi tuzilgan kundan boshlab oxirgi oyning oxirgi kunida amalga oshiriladi</v>
      </c>
      <c r="B16" s="234"/>
      <c r="C16" s="234"/>
      <c r="D16" s="234"/>
      <c r="E16" s="234"/>
    </row>
    <row r="17" spans="1:5" x14ac:dyDescent="0.25">
      <c r="A17" s="231" t="str">
        <f>'Кредитная заявка'!A21:D21</f>
        <v>Mikroqarz ta’minoti::</v>
      </c>
      <c r="B17" s="231"/>
      <c r="C17" s="231"/>
      <c r="D17" s="231"/>
      <c r="E17" s="231"/>
    </row>
    <row r="18" spans="1:5" ht="67.5" customHeight="1" x14ac:dyDescent="0.25">
      <c r="A18" s="231" t="str">
        <f>'Кредитная заявка'!A22:D22</f>
        <v xml:space="preserve">  Egalik huquqi CHUCHARINA MARGARITA SERGEYEVNAga tegishli bo'lgan garovga olingan avtomobil markasi   CHEVROLET TRACKER 2, rangi -  QORA CHYORNIY , ishlab chiqarilgan yili - 2023, davlat raqam belgisi 01Y604CC, kuzov turi - YENGIL KROSSOVER, kuzov raqami XWBUA7659PA551726, dvigatel raqami L4HA1222413MYWX0269, shassi raqami -  - </v>
      </c>
      <c r="B18" s="231"/>
      <c r="C18" s="231"/>
      <c r="D18" s="231"/>
      <c r="E18" s="231"/>
    </row>
    <row r="19" spans="1:5" x14ac:dyDescent="0.25">
      <c r="A19" s="258" t="s">
        <v>205</v>
      </c>
      <c r="B19" s="258"/>
      <c r="C19" s="258"/>
      <c r="D19" s="258"/>
      <c r="E19" s="258"/>
    </row>
    <row r="20" spans="1:5" ht="21" customHeight="1" x14ac:dyDescent="0.25">
      <c r="A20" s="231" t="str">
        <f>"Anketaga muvofiq "&amp;'Общие данные'!B9&amp;"ning o‘rtacha oylik daromadi  "&amp;FIXED('Общие данные'!B60)&amp;" so‘mni tashkil etdi."</f>
        <v>Anketaga muvofiq CHUCHARINA M.S.ning o‘rtacha oylik daromadi  43 000 000,00 so‘mni tashkil etdi.</v>
      </c>
      <c r="B20" s="231"/>
      <c r="C20" s="231"/>
      <c r="D20" s="231"/>
      <c r="E20" s="231"/>
    </row>
    <row r="21" spans="1:5" ht="21" customHeight="1" x14ac:dyDescent="0.25">
      <c r="A21" s="231" t="str">
        <f>"Mijozning o'rtacha oylik xarajatlari "&amp;FIXED('Анкета Клиента'!F27)&amp;" so'mni tashkil etdi"</f>
        <v>Mijozning o'rtacha oylik xarajatlari 1 700 000,00 so'mni tashkil etdi</v>
      </c>
      <c r="B21" s="231"/>
      <c r="C21" s="231"/>
      <c r="D21" s="231"/>
      <c r="E21" s="231"/>
    </row>
    <row r="22" spans="1:5" ht="18.75" customHeight="1" x14ac:dyDescent="0.25">
      <c r="A22" s="231" t="str">
        <f>IF('Общие данные'!B77='Общие данные'!C77,'Заключение КК'!A23:E23,'Заключение КК'!A24:E24)</f>
        <v>Mikroqarz bo‘yicha oylik annuitet to‘lovi miqdori 19 702 000,00 so‘mni tashkil etadi.</v>
      </c>
      <c r="B22" s="231"/>
      <c r="C22" s="231"/>
      <c r="D22" s="231"/>
      <c r="E22" s="231"/>
    </row>
    <row r="23" spans="1:5" ht="2.25" customHeight="1" x14ac:dyDescent="0.25">
      <c r="A23" s="231" t="str">
        <f>""&amp;'Общие данные'!C64&amp;" shartnomasi bo'yicha birinchi oy uchun to'lov "&amp;FIXED('Общие данные'!B90)&amp;" so'mni tashkil etadi."</f>
        <v>Mikroqarz shartnomasi bo'yicha birinchi oy uchun to'lov 19 702 000,00 so'mni tashkil etadi.</v>
      </c>
      <c r="B23" s="231"/>
      <c r="C23" s="231"/>
      <c r="D23" s="231"/>
      <c r="E23" s="231"/>
    </row>
    <row r="24" spans="1:5" ht="2.25" customHeight="1" x14ac:dyDescent="0.25">
      <c r="A24" s="231" t="str">
        <f>""&amp;'Общие данные'!C64&amp;" bo‘yicha oylik "&amp;'Общие данные'!B77&amp;" to‘lovi miqdori "&amp;FIXED('Общие данные'!B90)&amp;" so‘mni tashkil etadi."</f>
        <v>Mikroqarz bo‘yicha oylik annuitet to‘lovi miqdori 19 702 000,00 so‘mni tashkil etadi.</v>
      </c>
      <c r="B24" s="231"/>
      <c r="C24" s="231"/>
      <c r="D24" s="231"/>
      <c r="E24" s="231"/>
    </row>
    <row r="25" spans="1:5" ht="75.75" hidden="1" customHeight="1" x14ac:dyDescent="0.25">
      <c r="A25" s="234" t="s">
        <v>410</v>
      </c>
      <c r="B25" s="234"/>
      <c r="C25" s="234"/>
      <c r="D25" s="234"/>
      <c r="E25" s="234"/>
    </row>
    <row r="26" spans="1:5" x14ac:dyDescent="0.25">
      <c r="A26" s="258" t="str">
        <f>""&amp;'Общие данные'!C64&amp;" bo’yicha ta’minot:"</f>
        <v>Mikroqarz bo’yicha ta’minot:</v>
      </c>
      <c r="B26" s="258"/>
      <c r="C26" s="258"/>
      <c r="D26" s="258"/>
      <c r="E26" s="258"/>
    </row>
    <row r="27" spans="1:5" ht="31.5" hidden="1" customHeight="1" x14ac:dyDescent="0.25">
      <c r="A27" s="231" t="str">
        <f>" - "&amp;'Общие данные'!B117&amp;" ga mulk huquqi asosida tegishli avtotransport vositasi "&amp;'Общие данные'!B125&amp;" , quyidagi tafsilotlarga muvofiq:"</f>
        <v xml:space="preserve"> - CHUCHARINA MARGARITA SERGEYEVNA ga mulk huquqi asosida tegishli avtotransport vositasi CHEVROLET TRACKER 2 , quyidagi tafsilotlarga muvofiq:</v>
      </c>
      <c r="B27" s="231"/>
      <c r="C27" s="231"/>
      <c r="D27" s="231"/>
      <c r="E27" s="231"/>
    </row>
    <row r="28" spans="1:5" ht="67.5" hidden="1" customHeight="1" x14ac:dyDescent="0.25">
      <c r="A28" s="231" t="str">
        <f>" -   "&amp;'Общие данные'!C117&amp;" ga mulk huquqi asosida tegishli ko'chmas mulk shaklida "&amp;'Общие данные'!C126&amp;", manzili: "&amp;'Общие данные'!C123&amp;", quyidagi tafsilotlarga muvofiq:"</f>
        <v xml:space="preserve"> -   CHUCHARINA MARGARITA SERGEYEVNA ga mulk huquqi asosida tegishli ko'chmas mulk shaklida 3 - xonali yakka tartibdagi uy-joy, manzili: SAMARQAND VILOYATI TAYLOQ TUMANI CHAROG'BON MFY YANGI TAYLOQ QISHLOG'I 6 TURAR JOY 12 QAVAT 58 XONADON, quyidagi tafsilotlarga muvofiq:</v>
      </c>
      <c r="B28" s="231"/>
      <c r="C28" s="231"/>
      <c r="D28" s="231"/>
      <c r="E28" s="231"/>
    </row>
    <row r="29" spans="1:5" ht="44.25" customHeight="1" x14ac:dyDescent="0.25">
      <c r="A29" s="231" t="str">
        <f>IF('Общие данные'!B103="Avtotransport",'Заключение КК'!A27:E27,'Заключение КК'!A28:E28)</f>
        <v xml:space="preserve"> - CHUCHARINA MARGARITA SERGEYEVNA ga mulk huquqi asosida tegishli avtotransport vositasi CHEVROLET TRACKER 2 , quyidagi tafsilotlarga muvofiq:</v>
      </c>
      <c r="B29" s="231"/>
      <c r="C29" s="231"/>
      <c r="D29" s="231"/>
      <c r="E29" s="231"/>
    </row>
    <row r="30" spans="1:5" s="20" customFormat="1" ht="47.25" customHeight="1" outlineLevel="1" x14ac:dyDescent="0.25">
      <c r="A30" s="43" t="str">
        <f>'Акт согласования'!A29</f>
        <v>Nomi</v>
      </c>
      <c r="B30" s="43" t="str">
        <f>'Акт согласования'!B29</f>
        <v>Kuzov turi  va kuzov raqami*</v>
      </c>
      <c r="C30" s="43" t="str">
        <f>'Акт согласования'!C29</f>
        <v>Dvigatel va shassi raqami*</v>
      </c>
      <c r="D30" s="43" t="str">
        <f>'Акт согласования'!D29</f>
        <v>Ishlab chiqarilgan yili va rangi*</v>
      </c>
      <c r="E30" s="43" t="str">
        <f>'Акт согласования'!E29</f>
        <v>Kelishilgan garov qiymati, so'm</v>
      </c>
    </row>
    <row r="31" spans="1:5" s="24" customFormat="1" ht="92.25" customHeight="1" outlineLevel="1" x14ac:dyDescent="0.25">
      <c r="A31" s="21" t="str">
        <f>'Акт согласования'!A30</f>
        <v>CHEVROLET TRACKER 2</v>
      </c>
      <c r="B31" s="21" t="str">
        <f>'Акт согласования'!B30</f>
        <v>kuzov turi - YENGIL KROSSOVER, kuzov raqami XWBUA7659PA551726</v>
      </c>
      <c r="C31" s="21" t="str">
        <f>'Акт согласования'!C30</f>
        <v xml:space="preserve">dvigatel raqami L4HA1222413MYWX0269, shassi raqami -  - </v>
      </c>
      <c r="D31" s="21" t="str">
        <f>'Акт согласования'!D30</f>
        <v>rangi -  QORA CHYORNIY , ishlab chiqarilgan yili - 2023</v>
      </c>
      <c r="E31" s="21" t="str">
        <f>'Акт согласования'!E30</f>
        <v>150 000 000,00 
(yuz ellik million so'm)</v>
      </c>
    </row>
    <row r="32" spans="1:5" ht="15.75" customHeight="1" outlineLevel="1" x14ac:dyDescent="0.25">
      <c r="A32" s="231" t="str">
        <f>'Акт согласования'!A22</f>
        <v>-* avtotransport egasi: CHUCHARINA MARGARITA SERGEYEVNA</v>
      </c>
      <c r="B32" s="231"/>
      <c r="C32" s="231"/>
      <c r="D32" s="231"/>
      <c r="E32" s="231"/>
    </row>
    <row r="33" spans="1:5" ht="15" customHeight="1" outlineLevel="1" x14ac:dyDescent="0.25">
      <c r="A33" s="231" t="str">
        <f>'Акт согласования'!A23</f>
        <v>-* texnik pasport: AAG  1888277   10.07.2023 Y</v>
      </c>
      <c r="B33" s="231"/>
      <c r="C33" s="231"/>
      <c r="D33" s="231"/>
      <c r="E33" s="231"/>
    </row>
    <row r="34" spans="1:5" ht="33" customHeight="1" outlineLevel="1" x14ac:dyDescent="0.25">
      <c r="A34" s="231" t="str">
        <f>'Акт согласования'!A24</f>
        <v>-* roʻyxatdan oʻtgan manzili/garaj manzili: TOSHKЕNT SHAHRI YAKKASAROY TUMANI Rakat daxasi, Uy 12, Kvartira 47</v>
      </c>
      <c r="B34" s="231"/>
      <c r="C34" s="231"/>
      <c r="D34" s="231"/>
      <c r="E34" s="231"/>
    </row>
    <row r="35" spans="1:5" ht="15" customHeight="1" outlineLevel="1" x14ac:dyDescent="0.25">
      <c r="A35" s="231" t="str">
        <f>'Акт согласования'!A25</f>
        <v>-* davlat raqami: 01Y604CC</v>
      </c>
      <c r="B35" s="231"/>
      <c r="C35" s="231"/>
      <c r="D35" s="231"/>
      <c r="E35" s="231"/>
    </row>
    <row r="36" spans="1:5" ht="9" customHeight="1" x14ac:dyDescent="0.25">
      <c r="A36" s="231"/>
      <c r="B36" s="231"/>
      <c r="C36" s="231"/>
      <c r="D36" s="231"/>
      <c r="E36" s="231"/>
    </row>
    <row r="37" spans="1:5" ht="39" customHeight="1" x14ac:dyDescent="0.25">
      <c r="A37" s="258" t="str">
        <f>""&amp;'Общие данные'!B147&amp;"
mikromoliya tashkilotining Xulosasi"</f>
        <v>«CLEVER MIKROMOLIYA TASHKILOTI» MChJ
mikromoliya tashkilotining Xulosasi</v>
      </c>
      <c r="B37" s="258"/>
      <c r="C37" s="258"/>
      <c r="D37" s="258"/>
      <c r="E37" s="258"/>
    </row>
    <row r="38" spans="1:5" ht="48" customHeight="1" x14ac:dyDescent="0.25">
      <c r="A38" s="231" t="str">
        <f>""&amp;'Общие данные'!B147&amp;" kredit qo‘mitasining xulosasiga quyidagi shartlarda "&amp;'Общие данные'!B10&amp;"ga "&amp;'Общие данные'!B65&amp;" berish masalasi kiritiladi:"</f>
        <v>«CLEVER MIKROMOLIYA TASHKILOTI» MChJ kredit qo‘mitasining xulosasiga quyidagi shartlarda CHUCHARINA MARGARITA SERGEYEVNAga mikroqarz berish masalasi kiritiladi:</v>
      </c>
      <c r="B38" s="231"/>
      <c r="C38" s="231"/>
      <c r="D38" s="231"/>
      <c r="E38" s="231"/>
    </row>
    <row r="39" spans="1:5" x14ac:dyDescent="0.25">
      <c r="A39" s="231" t="str">
        <f>A11</f>
        <v>Mikroqarz summasi: 100 000 000,00 (yuz million so'm) so'm.</v>
      </c>
      <c r="B39" s="231"/>
      <c r="C39" s="231"/>
      <c r="D39" s="231"/>
      <c r="E39" s="231"/>
    </row>
    <row r="40" spans="1:5" x14ac:dyDescent="0.25">
      <c r="A40" s="231" t="str">
        <f t="shared" ref="A40:A46" si="0">A12</f>
        <v>Mikroqarz muddati: 6 (olti) oy.</v>
      </c>
      <c r="B40" s="231"/>
      <c r="C40" s="231"/>
      <c r="D40" s="231"/>
      <c r="E40" s="231"/>
    </row>
    <row r="41" spans="1:5" x14ac:dyDescent="0.25">
      <c r="A41" s="231" t="str">
        <f t="shared" si="0"/>
        <v>Mikroqarzdan foydalanganlik uchun foiz stavkasi: yillik  60% (Oltmish) foiz</v>
      </c>
      <c r="B41" s="231"/>
      <c r="C41" s="231"/>
      <c r="D41" s="231"/>
      <c r="E41" s="231"/>
    </row>
    <row r="42" spans="1:5" x14ac:dyDescent="0.25">
      <c r="A42" s="231" t="str">
        <f t="shared" si="0"/>
        <v>Mikroqarz bo'yicha asosiy qarz va foizlarni to'lash:</v>
      </c>
      <c r="B42" s="231"/>
      <c r="C42" s="231"/>
      <c r="D42" s="231"/>
      <c r="E42" s="231"/>
    </row>
    <row r="43" spans="1:5" ht="20.25" customHeight="1" x14ac:dyDescent="0.25">
      <c r="A43" s="231" t="str">
        <f t="shared" si="0"/>
        <v xml:space="preserve"> - mikroqarz shartnomasi bo'yicha har oy annuitet to'lovlari amalga oshiriladi</v>
      </c>
      <c r="B43" s="231"/>
      <c r="C43" s="231"/>
      <c r="D43" s="231"/>
      <c r="E43" s="231"/>
    </row>
    <row r="44" spans="1:5" ht="26.25" customHeight="1" x14ac:dyDescent="0.25">
      <c r="A44" s="231" t="str">
        <f t="shared" si="0"/>
        <v xml:space="preserve">  Oxirgi yakuniy to'lov mikroqarz shartnomasi tuzilgan kundan boshlab oxirgi oyning oxirgi kunida amalga oshiriladi</v>
      </c>
      <c r="B44" s="231"/>
      <c r="C44" s="231"/>
      <c r="D44" s="231"/>
      <c r="E44" s="231"/>
    </row>
    <row r="45" spans="1:5" ht="18.75" customHeight="1" x14ac:dyDescent="0.25">
      <c r="A45" s="231" t="str">
        <f t="shared" si="0"/>
        <v>Mikroqarz ta’minoti::</v>
      </c>
      <c r="B45" s="231"/>
      <c r="C45" s="231"/>
      <c r="D45" s="231"/>
      <c r="E45" s="231"/>
    </row>
    <row r="46" spans="1:5" ht="75" customHeight="1" x14ac:dyDescent="0.25">
      <c r="A46" s="231" t="str">
        <f t="shared" si="0"/>
        <v xml:space="preserve">  Egalik huquqi CHUCHARINA MARGARITA SERGEYEVNAga tegishli bo'lgan garovga olingan avtomobil markasi   CHEVROLET TRACKER 2, rangi -  QORA CHYORNIY , ishlab chiqarilgan yili - 2023, davlat raqam belgisi 01Y604CC, kuzov turi - YENGIL KROSSOVER, kuzov raqami XWBUA7659PA551726, dvigatel raqami L4HA1222413MYWX0269, shassi raqami -  - </v>
      </c>
      <c r="B46" s="231"/>
      <c r="C46" s="231"/>
      <c r="D46" s="231"/>
      <c r="E46" s="231"/>
    </row>
    <row r="47" spans="1:5" x14ac:dyDescent="0.25">
      <c r="A47" s="231"/>
      <c r="B47" s="231"/>
      <c r="C47" s="231"/>
      <c r="D47" s="231"/>
      <c r="E47" s="231"/>
    </row>
    <row r="48" spans="1:5" ht="36.75" customHeight="1" x14ac:dyDescent="0.25">
      <c r="A48" s="231" t="str">
        <f>""&amp;'Общие данные'!B147&amp;" mikromoliya tashkilotining xulosasi  "&amp;TEXT('Общие данные'!B2,"ДД.ММ.ГГГГ")&amp;" y. tayyorlangan"</f>
        <v>«CLEVER MIKROMOLIYA TASHKILOTI» MChJ mikromoliya tashkilotining xulosasi  27.01.2025 y. tayyorlangan</v>
      </c>
      <c r="B48" s="231"/>
      <c r="C48" s="231"/>
      <c r="D48" s="231"/>
      <c r="E48" s="231"/>
    </row>
    <row r="49" spans="1:5" x14ac:dyDescent="0.25">
      <c r="A49" s="231"/>
      <c r="B49" s="231"/>
      <c r="C49" s="231"/>
      <c r="D49" s="231"/>
      <c r="E49" s="231"/>
    </row>
    <row r="50" spans="1:5" ht="15.75" customHeight="1" x14ac:dyDescent="0.25">
      <c r="A50" s="234"/>
      <c r="B50" s="234"/>
      <c r="C50" s="234"/>
      <c r="D50" s="26"/>
      <c r="E50" s="27"/>
    </row>
    <row r="51" spans="1:5" ht="35.25" customHeight="1" x14ac:dyDescent="0.25">
      <c r="A51" s="234" t="str">
        <f>'Общие данные'!A161</f>
        <v>Kredit bo'yicha menejer</v>
      </c>
      <c r="B51" s="234"/>
      <c r="C51" s="234"/>
      <c r="D51" s="27"/>
      <c r="E51" s="27" t="str">
        <f>'Общие данные'!B161</f>
        <v>Saipova R.S.</v>
      </c>
    </row>
    <row r="52" spans="1:5" x14ac:dyDescent="0.25">
      <c r="A52" s="231"/>
      <c r="B52" s="231"/>
      <c r="C52" s="231"/>
      <c r="D52" s="231"/>
      <c r="E52" s="231"/>
    </row>
    <row r="53" spans="1:5" ht="47.25" customHeight="1" x14ac:dyDescent="0.25">
      <c r="A53" s="231" t="str">
        <f>""&amp;'Общие данные'!B147&amp;" mikromoliya tashkilotining Kredit qo‘mitasi a’zolari "&amp;'Общие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3" s="231"/>
      <c r="C53" s="231"/>
      <c r="D53" s="231"/>
      <c r="E53" s="231"/>
    </row>
    <row r="54" spans="1:5" x14ac:dyDescent="0.25">
      <c r="A54" s="23"/>
      <c r="B54" s="23"/>
      <c r="C54" s="23"/>
      <c r="D54" s="23"/>
      <c r="E54" s="23"/>
    </row>
    <row r="55" spans="1:5" x14ac:dyDescent="0.25">
      <c r="A55" s="234" t="s">
        <v>394</v>
      </c>
      <c r="B55" s="234"/>
      <c r="C55" s="23"/>
      <c r="D55" s="23"/>
      <c r="E55" s="23"/>
    </row>
    <row r="56" spans="1:5" x14ac:dyDescent="0.25">
      <c r="A56" s="23"/>
      <c r="B56" s="23"/>
      <c r="C56" s="23"/>
      <c r="D56" s="23"/>
      <c r="E56" s="23"/>
    </row>
    <row r="57" spans="1:5" x14ac:dyDescent="0.25">
      <c r="A57" s="234" t="str">
        <f>'Общие данные'!B160</f>
        <v>Jumanazarov B.T.</v>
      </c>
      <c r="B57" s="234"/>
      <c r="C57" s="26"/>
      <c r="D57" s="26"/>
      <c r="E57" s="26"/>
    </row>
    <row r="58" spans="1:5" x14ac:dyDescent="0.25">
      <c r="A58" s="60"/>
      <c r="B58" s="60"/>
      <c r="C58" s="26"/>
      <c r="D58" s="26"/>
      <c r="E58" s="26"/>
    </row>
    <row r="59" spans="1:5" ht="21" customHeight="1" x14ac:dyDescent="0.25">
      <c r="A59" s="231" t="str">
        <f>'Общие данные'!B159</f>
        <v>Mominov B.X.</v>
      </c>
      <c r="B59" s="231"/>
      <c r="C59" s="231"/>
      <c r="D59" s="231"/>
      <c r="E59" s="231"/>
    </row>
  </sheetData>
  <mergeCells count="54">
    <mergeCell ref="A53:E53"/>
    <mergeCell ref="A59:E59"/>
    <mergeCell ref="A38:E38"/>
    <mergeCell ref="A39:E39"/>
    <mergeCell ref="A40:E40"/>
    <mergeCell ref="A41:E41"/>
    <mergeCell ref="A42:E42"/>
    <mergeCell ref="A43:E43"/>
    <mergeCell ref="A44:E44"/>
    <mergeCell ref="A45:E45"/>
    <mergeCell ref="A46:E46"/>
    <mergeCell ref="A47:E47"/>
    <mergeCell ref="A55:B55"/>
    <mergeCell ref="A57:B57"/>
    <mergeCell ref="A48:E48"/>
    <mergeCell ref="A49:E49"/>
    <mergeCell ref="A52:E52"/>
    <mergeCell ref="A33:E33"/>
    <mergeCell ref="A34:E34"/>
    <mergeCell ref="A35:E35"/>
    <mergeCell ref="A36:E36"/>
    <mergeCell ref="A37:E37"/>
    <mergeCell ref="A50:C50"/>
    <mergeCell ref="A51:C51"/>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0" orientation="portrait" r:id="rId1"/>
  <rowBreaks count="1" manualBreakCount="1">
    <brk id="38"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1"/>
  <sheetViews>
    <sheetView view="pageBreakPreview" topLeftCell="A73" zoomScale="85" zoomScaleNormal="55" zoomScaleSheetLayoutView="85" workbookViewId="0">
      <selection activeCell="A8" sqref="A8:B8"/>
    </sheetView>
  </sheetViews>
  <sheetFormatPr defaultColWidth="9.140625" defaultRowHeight="15.75" x14ac:dyDescent="0.25"/>
  <cols>
    <col min="1" max="1" width="50.42578125" style="10" customWidth="1"/>
    <col min="2" max="2" width="57.42578125" style="10" customWidth="1"/>
    <col min="3" max="3" width="93.28515625" style="10" customWidth="1"/>
    <col min="4" max="7" width="9.140625" style="10" customWidth="1"/>
    <col min="8" max="8" width="111.5703125" style="10" customWidth="1"/>
    <col min="9" max="16" width="9.140625" style="10" customWidth="1"/>
    <col min="17" max="16384" width="9.140625" style="10"/>
  </cols>
  <sheetData>
    <row r="1" spans="1:3" x14ac:dyDescent="0.25">
      <c r="A1" s="295" t="str">
        <f>""&amp;'Общие данные'!C64&amp;" shartnoma "&amp;'Общие данные'!B66&amp;""</f>
        <v>Mikroqarz shartnoma №202</v>
      </c>
      <c r="B1" s="295"/>
    </row>
    <row r="3" spans="1:3" x14ac:dyDescent="0.25">
      <c r="A3" s="295" t="str">
        <f>"Toshkent shahri                                                                               "&amp;'Общие данные'!B70&amp;""</f>
        <v>Toshkent shahri                                                                               27 yanvar 2025 y.</v>
      </c>
      <c r="B3" s="295"/>
    </row>
    <row r="4" spans="1:3" x14ac:dyDescent="0.25">
      <c r="A4" s="75"/>
    </row>
    <row r="5" spans="1:3" ht="132.75" customHeight="1" x14ac:dyDescent="0.25">
      <c r="A5" s="296"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Ijrochi direktor Abduraximov N.K.  bir tomondan va o‘z manfaati yo‘lida hamda o‘z nomidan harakat qiluvchi O‘zbekiston Respublikasi fuqarosi CHUCHARINA MARGARITA SERGEYEVNA  (pasport raqami AD 2029757, TOSHKЕNT SHAHRI YAKKASAROY TUMANI Rakat daxasi, Uy 12, Kvartira 47 tomonidan 16.11.2022 yilda berilgan ), bundan buyon «Qarz oluvchi» deb nomlanuvchi, boshqa tomondan, birgalikda “Tomonlar” yoki alohida “Tomon” deb nomlanuvchilar, Qarz oluvchi tomonidan 27.01.2025 yil,mikroqarz olish uchun ariza berilganligini hisobga olib, ushbu Mikroqarz shartnomasini (bundan keyin – «Shartnoma») quyidagilar haqida tuzdilar:</v>
      </c>
      <c r="B5" s="296"/>
    </row>
    <row r="7" spans="1:3" x14ac:dyDescent="0.25">
      <c r="A7" s="295" t="s">
        <v>264</v>
      </c>
      <c r="B7" s="295"/>
    </row>
    <row r="8" spans="1:3" ht="51.75" customHeight="1" x14ac:dyDescent="0.25">
      <c r="A8" s="296"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100 000 000,00 (Yuz million so'm) bo‘lgan mikroqarzni 27 yanvar 2025 y. dan 27 iyul 2025 y. gacha bo'lgan muddatga naqd pul va/yoki o'tkazmasi shaklida ajratadi.</v>
      </c>
      <c r="B8" s="296"/>
    </row>
    <row r="9" spans="1:3" ht="36" customHeight="1" x14ac:dyDescent="0.25">
      <c r="A9" s="296"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296"/>
    </row>
    <row r="10" spans="1:3" x14ac:dyDescent="0.25">
      <c r="A10" s="36"/>
    </row>
    <row r="11" spans="1:3" x14ac:dyDescent="0.25">
      <c r="A11" s="299" t="str">
        <f>"2. "&amp;'Общие данные'!D64&amp;" BERISH VA QAYTARISH TARTIBI"</f>
        <v>2. MIKROQARZ BERISH VA QAYTARISH TARTIBI</v>
      </c>
      <c r="B11" s="299"/>
      <c r="C11" s="73"/>
    </row>
    <row r="12" spans="1:3" ht="39" customHeight="1" x14ac:dyDescent="0.25">
      <c r="A12" s="296"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96"/>
    </row>
    <row r="13" spans="1:3" ht="35.25" customHeight="1" x14ac:dyDescent="0.25">
      <c r="A13" s="296"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96"/>
    </row>
    <row r="14" spans="1:3" ht="37.5" customHeight="1" x14ac:dyDescent="0.25">
      <c r="A14" s="296"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96"/>
    </row>
    <row r="15" spans="1:3" ht="74.25" customHeight="1" x14ac:dyDescent="0.25">
      <c r="A15" s="296"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96"/>
    </row>
    <row r="16" spans="1:3" ht="180" customHeight="1" x14ac:dyDescent="0.25">
      <c r="A16" s="296" t="s">
        <v>332</v>
      </c>
      <c r="B16" s="296"/>
    </row>
    <row r="17" spans="1:11" ht="161.25" customHeight="1" x14ac:dyDescent="0.25">
      <c r="A17" s="296"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96"/>
      <c r="C17" s="178" t="s">
        <v>336</v>
      </c>
      <c r="H17" s="10" t="str">
        <f>'Общие данные'!B65</f>
        <v>mikroqarz</v>
      </c>
      <c r="I17" s="10" t="s">
        <v>337</v>
      </c>
    </row>
    <row r="18" spans="1:11" ht="100.5" customHeight="1" x14ac:dyDescent="0.25">
      <c r="A18" s="298" t="s">
        <v>377</v>
      </c>
      <c r="B18" s="298"/>
    </row>
    <row r="19" spans="1:11" ht="36" customHeight="1" x14ac:dyDescent="0.25">
      <c r="A19" s="296"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96"/>
    </row>
    <row r="20" spans="1:11" ht="48.75" customHeight="1" x14ac:dyDescent="0.25">
      <c r="A20" s="296"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96"/>
    </row>
    <row r="21" spans="1:11" ht="113.25" customHeight="1" x14ac:dyDescent="0.25">
      <c r="A21" s="300"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0"/>
      <c r="C21" s="10"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10"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10"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x14ac:dyDescent="0.25">
      <c r="A22" s="299" t="str">
        <f>"3. "&amp;'Общие данные'!D64&amp;" TA'MINOTI BO‘YICHA "</f>
        <v xml:space="preserve">3. MIKROQARZ TA'MINOTI BO‘YICHA </v>
      </c>
      <c r="B22" s="299"/>
    </row>
    <row r="23" spans="1:11" ht="19.5" customHeight="1" x14ac:dyDescent="0.25">
      <c r="A23" s="296" t="str">
        <f>"3.1. Ushbu Shartnoma bo‘yicha taqdim etilgan "&amp;'Общие данные'!C64&amp;" quyidagi garov bilan ta'minlanadi:"</f>
        <v>3.1. Ushbu Shartnoma bo‘yicha taqdim etilgan Mikroqarz quyidagi garov bilan ta'minlanadi:</v>
      </c>
      <c r="B23" s="296"/>
    </row>
    <row r="24" spans="1:11" ht="135" customHeight="1" x14ac:dyDescent="0.25">
      <c r="A24" s="297" t="str">
        <f>IF('Общие данные'!B103='Общие данные'!C103,договор!A28,IF('Общие данные'!B103='Общие данные'!D103,договор!A25,0))</f>
        <v>3.1.1. Mikromoliya tashkiloti va Qarz oluvchi tomonidan 2025 yil 27 yanvarda imzolangan 1-sonli garov predmeti qiymatini tasdiqlash dalolatnomasiga muvofiq QORA CHYORNIY  rangli, ishlab chiqarilgan yili – 2023 yil,  dvigatel raqami L4HA1222413MYWX0269, shassi -  - ,  kuzov turi - YENGIL KROSSOVER, kuzov raqami №XWBUA7659PA551726, davlat raqam belgisi 01Y604CC bo'lgan CHEVROLET TRACKER 2 rusumli avtomashinasi (bundan keyin “Garov predmeti”), egalik huquqiga ega  CHUCHARINA MARGARITA SERGEYEVNAga tegishli va kelishilgan garov qiymati 2025 yil 27 yanvarda imzolangan 1-sonli Garov predmeti qiymatini tasdiqlash dalolatnomasiga muvifiq 150 000 000,00 (yuz ellik million so'm) so'mni tashkil qiladi. Garov garovining aniq shartlari tegishli notarial rasmiylashtirilgan garov shartnomasi bilan belgilanadi.</v>
      </c>
      <c r="B24" s="297"/>
    </row>
    <row r="25" spans="1:11" ht="129" hidden="1" customHeight="1" x14ac:dyDescent="0.25">
      <c r="A25" s="296" t="str">
        <f>IF('Общие данные'!B92='Общие данные'!C92,договор!A27,IF('Общие данные'!B92='Общие данные'!D92,договор!A26,0))</f>
        <v>3.1.1. Mikromoliya tashkiloti va Qarz oluvchi tomonidan 2025 yil 27 yanvarda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CHUCHARINA MARGARITA SERGEYEVNAga tegishli va kelishilgan garov qiymati 2025 yil 27 yanvarda imzolangan 1-sonli Garov predmeti qiymatini tasdiqlash dalolatnomasiga muvofiq 150 000 000,00 (yuz ellik million so'm) so'mni tashkil qiladi. Garovning aniq shartlari tegishli tarzda notarial tasdiqlangan garov shartnomasi bilan belgilangan.</v>
      </c>
      <c r="B25" s="296"/>
    </row>
    <row r="26" spans="1:11" ht="129.75" hidden="1" customHeight="1" x14ac:dyDescent="0.25">
      <c r="A26" s="297"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27 yanvarda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CHUCHARINA MARGARITA SERGEYEVNAga tegishli va kelishilgan garov qiymati 2025 yil 27 yanvarda imzolangan 1-sonli Garov predmeti qiymatini tasdiqlash dalolatnomasiga muvofiq 150 000 000,00 (yuz ellik million so'm) so'mni tashkil qiladi. Garovning aniq shartlari tegishli tarzda notarial tasdiqlangan garov shartnomasi bilan belgilangan.</v>
      </c>
      <c r="B26" s="297"/>
    </row>
    <row r="27" spans="1:11" ht="131.25" hidden="1" customHeight="1" x14ac:dyDescent="0.25">
      <c r="A27" s="296"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27 yanvarda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CHUCHARINA MARGARITA SERGEYEVNAga tegishli va kelishilgan garov qiymati 2025 yil 27 yanvarda imzolangan 1-sonli Garov predmeti qiymatini tasdiqlash dalolatnomasiga muvofiq 150 000 000,00 (yuz ellik million so'm) so'mni tashkil qiladi. Garovning aniq shartlari tegishli tarzda notarial tasdiqlangan garov shartnomasi bilan belgilangan.</v>
      </c>
      <c r="B27" s="296"/>
    </row>
    <row r="28" spans="1:11" ht="114" hidden="1" customHeight="1" x14ac:dyDescent="0.25">
      <c r="A28" s="297" t="str">
        <f>IF('Общие данные'!B92='Общие данные'!C92,A29,IF('Общие данные'!B92='Общие данные'!D92,A30,0))</f>
        <v>3.1.1. Mikromoliya tashkiloti va Qarz oluvchi tomonidan 2025 yil 27 yanvarda imzolangan 1-sonli garov predmeti qiymatini tasdiqlash dalolatnomasiga muvofiq QORA CHYORNIY  rangli, ishlab chiqarilgan yili – 2023 yil,  dvigatel raqami L4HA1222413MYWX0269, shassi -  - ,  kuzov turi - YENGIL KROSSOVER, kuzov raqami №XWBUA7659PA551726, davlat raqam belgisi 01Y604CC bo'lgan CHEVROLET TRACKER 2 rusumli avtomashinasi (bundan keyin “Garov predmeti”), egalik huquqiga ega  CHUCHARINA MARGARITA SERGEYEVNAga tegishli va kelishilgan garov qiymati 2025 yil 27 yanvarda imzolangan 1-sonli Garov predmeti qiymatini tasdiqlash dalolatnomasiga muvifiq 150 000 000,00 (yuz ellik million so'm) so'mni tashkil qiladi. Garov garovining aniq shartlari tegishli notarial rasmiylashtirilgan garov shartnomasi bilan belgilanadi.</v>
      </c>
      <c r="B28" s="297"/>
      <c r="K28" s="10" t="s">
        <v>329</v>
      </c>
    </row>
    <row r="29" spans="1:11" ht="114.75" hidden="1" customHeight="1" x14ac:dyDescent="0.25">
      <c r="A29" s="297"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27 yanvarda imzolangan 1-sonli garov predmeti qiymatini tasdiqlash dalolatnomasiga muvofiq QORA CHYORNIY  rangli, ishlab chiqarilgan yili – 2023 yil,  dvigatel raqami L4HA1222413MYWX0269, shassi -  - ,  kuzov turi - YENGIL KROSSOVER, kuzov raqami №XWBUA7659PA551726, davlat raqam belgisi 01Y604CC bo'lgan CHEVROLET TRACKER 2 rusumli avtomashinasi (bundan keyin “Garov predmeti”), egalik huquqiga ega  CHUCHARINA MARGARITA SERGEYEVNAga tegishli va kelishilgan garov qiymati 2025 yil 27 yanvarda imzolangan 1-sonli Garov predmeti qiymatini tasdiqlash dalolatnomasiga muvifiq 150 000 000,00 (yuz ellik million so'm) so'mni tashkil qiladi. Garov garovining aniq shartlari tegishli notarial rasmiylashtirilgan garov shartnomasi bilan belgilanadi.</v>
      </c>
      <c r="B29" s="297"/>
    </row>
    <row r="30" spans="1:11" ht="115.5" hidden="1" customHeight="1" x14ac:dyDescent="0.25">
      <c r="A30" s="302"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27 yanvarda imzolangan 1-sonli navbatdagi garov predmeti qiymatini tasdiqlash dalolatnomasiga muvofiq QORA CHYORNIY  rangli, ishlab chiqarilgan yili – 2023 yil,  dvigatel raqami L4HA1222413MYWX0269, shassi -  - ,  kuzov turi - YENGIL KROSSOVER, kuzov raqami №XWBUA7659PA551726, davlat raqam belgisi 01Y604CC bo'lgan CHEVROLET TRACKER 2 rusumli avtomashinasi (bundan keyin “navbatdagi garov predmeti”), egalik huquqiga ega  CHUCHARINA MARGARITA SERGEYEVNAga tegishli va kelishilgan garov qiymati 2025 yil 27 yanvarda imzolangan 1-sonli Garov predmeti qiymatini tasdiqlash dalolatnomasiga muvifiq 150 000 000,00 (yuz ellik million so'm) so'mni tashkil qiladi. Garov garovining aniq shartlari tegishli notarial rasmiylashtirilgan garov shartnomasi bilan belgilanadi.</v>
      </c>
      <c r="B30" s="302"/>
    </row>
    <row r="31" spans="1:11" ht="117" customHeight="1" x14ac:dyDescent="0.25">
      <c r="A31" s="301"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1"/>
    </row>
    <row r="32" spans="1:11" ht="94.5" hidden="1" x14ac:dyDescent="0.25">
      <c r="A32" s="185" t="s">
        <v>359</v>
      </c>
      <c r="B32" s="36"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x14ac:dyDescent="0.25">
      <c r="A33" s="185"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6" t="s">
        <v>339</v>
      </c>
    </row>
    <row r="34" spans="1:8" ht="85.5" customHeight="1" x14ac:dyDescent="0.25">
      <c r="A34" s="301" t="s">
        <v>265</v>
      </c>
      <c r="B34" s="301"/>
    </row>
    <row r="35" spans="1:8" ht="84" customHeight="1" x14ac:dyDescent="0.25">
      <c r="A35" s="301" t="s">
        <v>317</v>
      </c>
      <c r="B35" s="301"/>
    </row>
    <row r="37" spans="1:8" x14ac:dyDescent="0.25">
      <c r="A37" s="304" t="s">
        <v>316</v>
      </c>
      <c r="B37" s="304"/>
      <c r="C37" s="85"/>
    </row>
    <row r="38" spans="1:8" x14ac:dyDescent="0.25">
      <c r="A38" s="303" t="s">
        <v>315</v>
      </c>
      <c r="B38" s="303"/>
    </row>
    <row r="39" spans="1:8" ht="122.25" customHeight="1" x14ac:dyDescent="0.25">
      <c r="A39" s="301"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1"/>
      <c r="C39" s="10" t="str">
        <f>"4.1.1. Ushbu Shartnomada ko‘rsatilgan asoslar bo‘yicha Qarz oluvchiga Shartnomada ko‘zda tutilgan "&amp;'Общие данные'!B65&amp;""</f>
        <v>4.1.1. Ushbu Shartnomada ko‘rsatilgan asoslar bo‘yicha Qarz oluvchiga Shartnomada ko‘zda tutilgan mikroqarz</v>
      </c>
      <c r="H39" s="178" t="s">
        <v>389</v>
      </c>
    </row>
    <row r="40" spans="1:8" ht="39" customHeight="1" x14ac:dyDescent="0.25">
      <c r="A40" s="301"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1"/>
    </row>
    <row r="41" spans="1:8" x14ac:dyDescent="0.25">
      <c r="A41" s="301" t="s">
        <v>318</v>
      </c>
      <c r="B41" s="301"/>
    </row>
    <row r="42" spans="1:8" ht="20.25" customHeight="1" x14ac:dyDescent="0.25">
      <c r="A42" s="301" t="str">
        <f>"b) "&amp;'Общие данные'!B65&amp;" summasiga hisoblanadigan asosiy qarz bo‘yicha muddati o‘tgan qarzdorlik va/yoki foizlarning yuzaga kelishi;"</f>
        <v>b) mikroqarz summasiga hisoblanadigan asosiy qarz bo‘yicha muddati o‘tgan qarzdorlik va/yoki foizlarning yuzaga kelishi;</v>
      </c>
      <c r="B42" s="301"/>
    </row>
    <row r="43" spans="1:8" ht="37.5" customHeight="1" x14ac:dyDescent="0.25">
      <c r="A43" s="301" t="s">
        <v>319</v>
      </c>
      <c r="B43" s="301"/>
    </row>
    <row r="44" spans="1:8" ht="52.5" customHeight="1" x14ac:dyDescent="0.25">
      <c r="A44" s="301" t="s">
        <v>320</v>
      </c>
      <c r="B44" s="301"/>
    </row>
    <row r="45" spans="1:8" ht="19.5" customHeight="1" x14ac:dyDescent="0.25">
      <c r="A45" s="301" t="s">
        <v>321</v>
      </c>
      <c r="B45" s="301"/>
    </row>
    <row r="46" spans="1:8" ht="51.75" customHeight="1" x14ac:dyDescent="0.25">
      <c r="A46" s="301"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1"/>
    </row>
    <row r="47" spans="1:8" ht="33.75" customHeight="1" x14ac:dyDescent="0.25">
      <c r="A47" s="301" t="s">
        <v>314</v>
      </c>
      <c r="B47" s="301"/>
    </row>
    <row r="48" spans="1:8" ht="36.75" customHeight="1" x14ac:dyDescent="0.25">
      <c r="A48" s="301" t="s">
        <v>313</v>
      </c>
      <c r="B48" s="301"/>
      <c r="C48" s="185"/>
    </row>
    <row r="49" spans="1:8" ht="100.5" customHeight="1" x14ac:dyDescent="0.25">
      <c r="A49" s="296" t="s">
        <v>312</v>
      </c>
      <c r="B49" s="296"/>
      <c r="C49" s="185"/>
    </row>
    <row r="50" spans="1:8" ht="70.5" customHeight="1" x14ac:dyDescent="0.25">
      <c r="A50" s="296" t="s">
        <v>311</v>
      </c>
      <c r="B50" s="296"/>
      <c r="C50" s="185"/>
    </row>
    <row r="51" spans="1:8" ht="39.75" customHeight="1" x14ac:dyDescent="0.25">
      <c r="A51" s="296"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296"/>
      <c r="C51" s="185"/>
    </row>
    <row r="52" spans="1:8" ht="33" customHeight="1" x14ac:dyDescent="0.25">
      <c r="A52" s="296" t="s">
        <v>322</v>
      </c>
      <c r="B52" s="296"/>
      <c r="C52" s="185"/>
    </row>
    <row r="53" spans="1:8" ht="39.75" customHeight="1" x14ac:dyDescent="0.25">
      <c r="A53" s="296" t="s">
        <v>310</v>
      </c>
      <c r="B53" s="296"/>
      <c r="C53" s="185"/>
    </row>
    <row r="54" spans="1:8" ht="50.25" customHeight="1" x14ac:dyDescent="0.25">
      <c r="A54" s="296"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96"/>
      <c r="C54" s="185" t="str">
        <f>"4.1.10. Qarz oluvchi taqdim etilgan "&amp;'Общие данные'!B65&amp;"dan Shartnoma tuzilgan kundan boshlab 1 (bir) oy davomida foydalanmagan"</f>
        <v>4.1.10. Qarz oluvchi taqdim etilgan mikroqarzdan Shartnoma tuzilgan kundan boshlab 1 (bir) oy davomida foydalanmagan</v>
      </c>
      <c r="H54" s="10" t="s">
        <v>340</v>
      </c>
    </row>
    <row r="55" spans="1:8" ht="19.5" customHeight="1" x14ac:dyDescent="0.25">
      <c r="A55" s="296" t="str">
        <f>"4.1.11. Oldingi "&amp;'Общие данные'!B65&amp;" to‘liq to‘lanmagunga qadar yangi "&amp;'Общие данные'!B65&amp;" berishni rad etish."</f>
        <v>4.1.11. Oldingi mikroqarz to‘liq to‘lanmagunga qadar yangi mikroqarz berishni rad etish.</v>
      </c>
      <c r="B55" s="296"/>
      <c r="C55" s="185"/>
    </row>
    <row r="57" spans="1:8" x14ac:dyDescent="0.25">
      <c r="A57" s="299" t="s">
        <v>309</v>
      </c>
      <c r="B57" s="299"/>
      <c r="C57" s="184"/>
    </row>
    <row r="58" spans="1:8" x14ac:dyDescent="0.25">
      <c r="A58" s="305" t="s">
        <v>308</v>
      </c>
      <c r="B58" s="305"/>
      <c r="C58" s="186"/>
    </row>
    <row r="59" spans="1:8" ht="36" customHeight="1" x14ac:dyDescent="0.25">
      <c r="A59" s="296"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96"/>
      <c r="C59" s="185"/>
    </row>
    <row r="60" spans="1:8" ht="36.75" customHeight="1" x14ac:dyDescent="0.25">
      <c r="A60" s="296"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296"/>
      <c r="C60" s="185"/>
    </row>
    <row r="61" spans="1:8" ht="17.25" customHeight="1" x14ac:dyDescent="0.25">
      <c r="A61" s="296" t="str">
        <f>"5.1.3. "&amp;'Общие данные'!C64&amp;" xizmatlari ko‘rsatish qoidalari bilan tanishish."</f>
        <v>5.1.3. Mikroqarz xizmatlari ko‘rsatish qoidalari bilan tanishish.</v>
      </c>
      <c r="B61" s="296"/>
      <c r="C61" s="185"/>
    </row>
    <row r="62" spans="1:8" ht="36" customHeight="1" x14ac:dyDescent="0.25">
      <c r="A62" s="296"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296"/>
      <c r="C62" s="185"/>
    </row>
    <row r="63" spans="1:8" ht="33.75" customHeight="1" x14ac:dyDescent="0.25">
      <c r="A63" s="296" t="s">
        <v>323</v>
      </c>
      <c r="B63" s="296"/>
      <c r="C63" s="185"/>
    </row>
    <row r="64" spans="1:8" x14ac:dyDescent="0.25">
      <c r="A64" s="305" t="s">
        <v>307</v>
      </c>
      <c r="B64" s="305"/>
      <c r="C64" s="186"/>
    </row>
    <row r="65" spans="1:8" ht="37.5" customHeight="1" x14ac:dyDescent="0.25">
      <c r="A65" s="296"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96"/>
      <c r="C65" s="185"/>
    </row>
    <row r="66" spans="1:8" ht="39.75" customHeight="1" x14ac:dyDescent="0.25">
      <c r="A66" s="296" t="s">
        <v>324</v>
      </c>
      <c r="B66" s="296"/>
      <c r="C66" s="185"/>
    </row>
    <row r="67" spans="1:8" ht="27" customHeight="1" x14ac:dyDescent="0.25">
      <c r="A67" s="296" t="str">
        <f>"5.2.3. To‘lov jadvaliga muvofiq "&amp;'Общие данные'!B65&amp;", shuningdek hisoblangan foizlar to‘lovlarini amalga oshirish."</f>
        <v>5.2.3. To‘lov jadvaliga muvofiq mikroqarz, shuningdek hisoblangan foizlar to‘lovlarini amalga oshirish.</v>
      </c>
      <c r="B67" s="296"/>
      <c r="C67" s="185"/>
    </row>
    <row r="68" spans="1:8" ht="84" customHeight="1" x14ac:dyDescent="0.25">
      <c r="A68" s="296"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96"/>
      <c r="C68" s="185" t="s">
        <v>341</v>
      </c>
      <c r="H68" s="10"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x14ac:dyDescent="0.25">
      <c r="A69" s="296" t="s">
        <v>325</v>
      </c>
      <c r="B69" s="296"/>
      <c r="C69" s="185"/>
    </row>
    <row r="70" spans="1:8" ht="36" customHeight="1" x14ac:dyDescent="0.25">
      <c r="A70" s="296"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296"/>
      <c r="C70" s="185"/>
    </row>
    <row r="71" spans="1:8" ht="51.75" customHeight="1" x14ac:dyDescent="0.25">
      <c r="A71" s="298" t="s">
        <v>342</v>
      </c>
      <c r="B71" s="298"/>
      <c r="C71" s="188"/>
    </row>
    <row r="72" spans="1:8" ht="71.25" customHeight="1" x14ac:dyDescent="0.25">
      <c r="A72" s="296"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96"/>
      <c r="C72" s="185"/>
    </row>
    <row r="73" spans="1:8" ht="33.75" customHeight="1" x14ac:dyDescent="0.25">
      <c r="A73" s="296"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96"/>
      <c r="C73" s="185"/>
      <c r="H73" s="10" t="s">
        <v>338</v>
      </c>
    </row>
    <row r="74" spans="1:8" ht="68.25" customHeight="1" x14ac:dyDescent="0.25">
      <c r="A74" s="296"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96"/>
      <c r="C74" s="185"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10" t="s">
        <v>343</v>
      </c>
    </row>
    <row r="75" spans="1:8" x14ac:dyDescent="0.25">
      <c r="A75" s="81"/>
    </row>
    <row r="76" spans="1:8" x14ac:dyDescent="0.25">
      <c r="A76" s="304" t="s">
        <v>306</v>
      </c>
      <c r="B76" s="304"/>
      <c r="C76" s="187"/>
    </row>
    <row r="77" spans="1:8" ht="98.25" customHeight="1" x14ac:dyDescent="0.25">
      <c r="A77" s="296"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96"/>
      <c r="C77" s="185" t="s">
        <v>344</v>
      </c>
      <c r="H77" s="10"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x14ac:dyDescent="0.25">
      <c r="A78" s="296" t="s">
        <v>305</v>
      </c>
      <c r="B78" s="296"/>
      <c r="C78" s="185"/>
    </row>
    <row r="79" spans="1:8" ht="35.25" customHeight="1" x14ac:dyDescent="0.25">
      <c r="A79" s="296" t="s">
        <v>304</v>
      </c>
      <c r="B79" s="296"/>
      <c r="C79" s="185"/>
    </row>
    <row r="80" spans="1:8" ht="33" customHeight="1" x14ac:dyDescent="0.25">
      <c r="A80" s="296" t="s">
        <v>303</v>
      </c>
      <c r="B80" s="296"/>
      <c r="C80" s="185"/>
    </row>
    <row r="82" spans="1:3" x14ac:dyDescent="0.25">
      <c r="A82" s="288" t="s">
        <v>302</v>
      </c>
      <c r="B82" s="288"/>
      <c r="C82" s="74"/>
    </row>
    <row r="83" spans="1:3" ht="162.75" customHeight="1" x14ac:dyDescent="0.25">
      <c r="A83" s="296" t="s">
        <v>301</v>
      </c>
      <c r="B83" s="296"/>
      <c r="C83" s="185"/>
    </row>
    <row r="84" spans="1:3" ht="33.75" customHeight="1" x14ac:dyDescent="0.25">
      <c r="A84" s="296" t="s">
        <v>345</v>
      </c>
      <c r="B84" s="296"/>
      <c r="C84" s="185"/>
    </row>
    <row r="85" spans="1:3" ht="51.75" customHeight="1" x14ac:dyDescent="0.25">
      <c r="A85" s="296" t="s">
        <v>300</v>
      </c>
      <c r="B85" s="296"/>
      <c r="C85" s="185"/>
    </row>
    <row r="86" spans="1:3" ht="36" customHeight="1" x14ac:dyDescent="0.25">
      <c r="A86" s="296" t="s">
        <v>299</v>
      </c>
      <c r="B86" s="296"/>
      <c r="C86" s="185"/>
    </row>
    <row r="88" spans="1:3" x14ac:dyDescent="0.25">
      <c r="A88" s="288" t="s">
        <v>298</v>
      </c>
      <c r="B88" s="288"/>
      <c r="C88" s="74"/>
    </row>
    <row r="89" spans="1:3" ht="114.75" customHeight="1" x14ac:dyDescent="0.25">
      <c r="A89" s="296" t="s">
        <v>360</v>
      </c>
      <c r="B89" s="296"/>
      <c r="C89" s="185"/>
    </row>
    <row r="90" spans="1:3" ht="36" customHeight="1" x14ac:dyDescent="0.25">
      <c r="A90" s="296" t="s">
        <v>326</v>
      </c>
      <c r="B90" s="296"/>
      <c r="C90" s="185"/>
    </row>
    <row r="91" spans="1:3" ht="64.5" customHeight="1" x14ac:dyDescent="0.25">
      <c r="A91" s="296"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96"/>
      <c r="C91" s="185"/>
    </row>
    <row r="93" spans="1:3" x14ac:dyDescent="0.25">
      <c r="A93" s="306" t="s">
        <v>297</v>
      </c>
      <c r="B93" s="306"/>
      <c r="C93" s="83"/>
    </row>
    <row r="94" spans="1:3" ht="20.25" customHeight="1" x14ac:dyDescent="0.25">
      <c r="A94" s="296" t="s">
        <v>296</v>
      </c>
      <c r="B94" s="296"/>
      <c r="C94" s="185"/>
    </row>
    <row r="95" spans="1:3" ht="33.75" customHeight="1" x14ac:dyDescent="0.25">
      <c r="A95" s="296"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96"/>
      <c r="C95" s="185"/>
    </row>
    <row r="96" spans="1:3" ht="51" customHeight="1" x14ac:dyDescent="0.25">
      <c r="A96" s="296" t="s">
        <v>295</v>
      </c>
      <c r="B96" s="296"/>
      <c r="C96" s="185"/>
    </row>
    <row r="98" spans="1:3" x14ac:dyDescent="0.25">
      <c r="A98" s="299" t="s">
        <v>294</v>
      </c>
      <c r="B98" s="299"/>
      <c r="C98" s="73"/>
    </row>
    <row r="99" spans="1:3" ht="82.5" customHeight="1" x14ac:dyDescent="0.25">
      <c r="A99" s="296" t="s">
        <v>293</v>
      </c>
      <c r="B99" s="296"/>
      <c r="C99" s="185"/>
    </row>
    <row r="100" spans="1:3" ht="66" customHeight="1" x14ac:dyDescent="0.25">
      <c r="A100" s="296" t="s">
        <v>292</v>
      </c>
      <c r="B100" s="296"/>
      <c r="C100" s="185"/>
    </row>
    <row r="101" spans="1:3" ht="48" customHeight="1" x14ac:dyDescent="0.25">
      <c r="A101" s="296" t="s">
        <v>291</v>
      </c>
      <c r="B101" s="296"/>
      <c r="C101" s="185"/>
    </row>
    <row r="103" spans="1:3" x14ac:dyDescent="0.25">
      <c r="A103" s="288" t="s">
        <v>290</v>
      </c>
      <c r="B103" s="288"/>
      <c r="C103" s="164"/>
    </row>
    <row r="104" spans="1:3" ht="37.5" customHeight="1" x14ac:dyDescent="0.25">
      <c r="A104" s="296" t="s">
        <v>289</v>
      </c>
      <c r="B104" s="296"/>
      <c r="C104" s="185"/>
    </row>
    <row r="105" spans="1:3" ht="34.5" customHeight="1" x14ac:dyDescent="0.25">
      <c r="A105" s="296" t="s">
        <v>288</v>
      </c>
      <c r="B105" s="296"/>
      <c r="C105" s="185"/>
    </row>
    <row r="106" spans="1:3" ht="66.75" customHeight="1" x14ac:dyDescent="0.25">
      <c r="A106" s="296" t="s">
        <v>287</v>
      </c>
      <c r="B106" s="296"/>
      <c r="C106" s="185"/>
    </row>
    <row r="107" spans="1:3" ht="51" customHeight="1" x14ac:dyDescent="0.25">
      <c r="A107" s="296" t="s">
        <v>286</v>
      </c>
      <c r="B107" s="296"/>
      <c r="C107" s="185"/>
    </row>
    <row r="108" spans="1:3" ht="37.5" customHeight="1" x14ac:dyDescent="0.25">
      <c r="A108" s="296" t="s">
        <v>285</v>
      </c>
      <c r="B108" s="296"/>
      <c r="C108" s="185"/>
    </row>
    <row r="109" spans="1:3" ht="38.25" customHeight="1" x14ac:dyDescent="0.25">
      <c r="A109" s="296" t="s">
        <v>284</v>
      </c>
      <c r="B109" s="296"/>
      <c r="C109" s="185"/>
    </row>
    <row r="110" spans="1:3" ht="21" customHeight="1" x14ac:dyDescent="0.25">
      <c r="A110" s="296" t="s">
        <v>283</v>
      </c>
      <c r="B110" s="296"/>
      <c r="C110" s="185"/>
    </row>
    <row r="111" spans="1:3" ht="32.25" customHeight="1" x14ac:dyDescent="0.25">
      <c r="A111" s="296"/>
      <c r="B111" s="296"/>
      <c r="C111" s="185"/>
    </row>
    <row r="113" spans="1:3" x14ac:dyDescent="0.25">
      <c r="A113" s="306" t="s">
        <v>327</v>
      </c>
      <c r="B113" s="306"/>
      <c r="C113" s="83"/>
    </row>
    <row r="115" spans="1:3" x14ac:dyDescent="0.25">
      <c r="A115" s="84" t="s">
        <v>282</v>
      </c>
      <c r="B115" s="84" t="s">
        <v>281</v>
      </c>
    </row>
    <row r="117" spans="1:3" ht="31.5" x14ac:dyDescent="0.25">
      <c r="A117" s="83" t="str">
        <f>'Общие данные'!B148</f>
        <v>«CLEVER MIKROMOLIYA TASHKILOTI» MChJ</v>
      </c>
      <c r="B117" s="76" t="str">
        <f>'Общие данные'!B5</f>
        <v>CHUCHARINA MARGARITA SERGEYEVNA</v>
      </c>
    </row>
    <row r="119" spans="1:3" ht="52.5" customHeight="1" x14ac:dyDescent="0.25">
      <c r="A119" s="80" t="str">
        <f>"Manzil: "&amp;'Общие данные'!B153&amp;""</f>
        <v>Manzil: Toshkent shahri, Olmazor tumani, Sagbon ko'chasi, 30 boshi berk, 6-uy</v>
      </c>
      <c r="B119" s="80" t="str">
        <f>'Общие данные'!B22</f>
        <v>TOSHKЕNT SHAHRI YAKKASAROY TUMANI Rakat daxasi, Uy 12, Kvartira 47</v>
      </c>
    </row>
    <row r="120" spans="1:3" ht="13.5" customHeight="1" x14ac:dyDescent="0.25">
      <c r="A120" s="82" t="str">
        <f>"h/r: "&amp;'Общие данные'!B154&amp;""</f>
        <v>h/r: №20216000705068380001</v>
      </c>
    </row>
    <row r="121" spans="1:3" ht="51" customHeight="1" x14ac:dyDescent="0.25">
      <c r="A121" s="80" t="str">
        <f>"MFO: "&amp;'Общие данные'!B155&amp;" в "&amp;'Общие данные'!B156&amp;""</f>
        <v>MFO: №01042 в ATB “Kapitalbank” Sergeli filiali</v>
      </c>
      <c r="B121" s="80" t="str">
        <f>"pasport seriyasi: "&amp;'Общие данные'!B16&amp;", "&amp;'Общие данные'!B20&amp;""</f>
        <v>pasport seriyasi: AD 2029757, IIV 60005 tomonidan 16.11.2022 yilda berilgan</v>
      </c>
    </row>
    <row r="122" spans="1:3" x14ac:dyDescent="0.25">
      <c r="A122" s="80" t="str">
        <f>"STIR: "&amp;'Общие данные'!B157&amp;""</f>
        <v>STIR: 306365847</v>
      </c>
      <c r="B122" s="75" t="str">
        <f>"Tel: "&amp;'Общие данные'!B40&amp;""</f>
        <v>Tel: 97 443 05 80 KLIENT</v>
      </c>
    </row>
    <row r="123" spans="1:3" x14ac:dyDescent="0.25">
      <c r="A123" s="208" t="str">
        <f>"Tel: (78) 113 31 33"</f>
        <v>Tel: (78) 113 31 33</v>
      </c>
      <c r="B123" s="75" t="str">
        <f>'Общие данные'!B41</f>
        <v>90 167 16 70 SHAHNOZA</v>
      </c>
    </row>
    <row r="124" spans="1:3" x14ac:dyDescent="0.25">
      <c r="A124" s="208" t="s">
        <v>405</v>
      </c>
      <c r="B124" s="75" t="str">
        <f>'Общие данные'!B42</f>
        <v>93 400 04 48 BARKAMOL</v>
      </c>
    </row>
    <row r="126" spans="1:3" x14ac:dyDescent="0.25">
      <c r="A126" s="183" t="s">
        <v>393</v>
      </c>
      <c r="B126" s="74" t="str">
        <f>""&amp;'Общие данные'!B7&amp;"     __________________"</f>
        <v>CHUCHARINA M.S.     __________________</v>
      </c>
    </row>
    <row r="128" spans="1:3" x14ac:dyDescent="0.25">
      <c r="A128" s="164" t="s">
        <v>395</v>
      </c>
      <c r="B128" s="199" t="s">
        <v>409</v>
      </c>
    </row>
    <row r="131" spans="1:1" hidden="1" x14ac:dyDescent="0.25">
      <c r="A131" s="10" t="str">
        <f>"менеджер :   "&amp;'Общие данные'!B161&amp;"______________"</f>
        <v>менеджер :   Saipova R.S.______________</v>
      </c>
    </row>
  </sheetData>
  <mergeCells count="98">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pageSetUpPr fitToPage="1"/>
  </sheetPr>
  <dimension ref="A1:P65"/>
  <sheetViews>
    <sheetView view="pageBreakPreview" topLeftCell="A45" zoomScale="85" zoomScaleNormal="100" zoomScaleSheetLayoutView="85" workbookViewId="0">
      <selection activeCell="A32" sqref="A15:XFD32"/>
    </sheetView>
  </sheetViews>
  <sheetFormatPr defaultColWidth="9.140625" defaultRowHeight="15" outlineLevelCol="1" x14ac:dyDescent="0.25"/>
  <cols>
    <col min="1" max="1" width="6.140625" style="19" customWidth="1"/>
    <col min="2" max="2" width="12.28515625" style="19" customWidth="1"/>
    <col min="3" max="3" width="16.42578125" style="19" customWidth="1"/>
    <col min="4" max="4" width="16.85546875" style="19" customWidth="1"/>
    <col min="5" max="6" width="17.42578125" style="19" customWidth="1"/>
    <col min="7" max="7" width="10.140625" style="19" customWidth="1" outlineLevel="1"/>
    <col min="8" max="8" width="19.7109375" style="19" customWidth="1"/>
    <col min="9" max="10" width="9.140625" style="19" customWidth="1"/>
    <col min="11" max="16384" width="9.140625" style="19"/>
  </cols>
  <sheetData>
    <row r="1" spans="1:16" ht="11.25" customHeight="1" x14ac:dyDescent="0.25"/>
    <row r="2" spans="1:16" ht="18.75" hidden="1" customHeight="1" x14ac:dyDescent="0.25">
      <c r="A2" s="41"/>
      <c r="B2" s="41"/>
      <c r="C2" s="41"/>
      <c r="D2" s="41"/>
      <c r="E2" s="261"/>
      <c r="F2" s="261"/>
      <c r="G2" s="24"/>
    </row>
    <row r="3" spans="1:16" ht="85.5" customHeight="1" x14ac:dyDescent="0.25">
      <c r="A3" s="41"/>
      <c r="B3" s="41"/>
      <c r="C3" s="41"/>
      <c r="D3" s="41"/>
      <c r="E3" s="41"/>
      <c r="F3" s="179" t="str">
        <f>""&amp;'Общие данные'!B74&amp;" "&amp;'Общие данные'!B65&amp;" shartnomasiga 
1 sonli ilova"</f>
        <v>27 yanvar 2025 y.dan №202 mikroqarz shartnomasiga 
1 sonli ilova</v>
      </c>
      <c r="G3" s="24"/>
    </row>
    <row r="4" spans="1:16" ht="6.75" customHeight="1" x14ac:dyDescent="0.25">
      <c r="A4" s="41"/>
      <c r="B4" s="41"/>
      <c r="C4" s="41"/>
      <c r="D4" s="41"/>
      <c r="E4" s="41"/>
      <c r="F4" s="41"/>
    </row>
    <row r="5" spans="1:16" x14ac:dyDescent="0.25">
      <c r="A5" s="262" t="s">
        <v>266</v>
      </c>
      <c r="B5" s="262"/>
      <c r="C5" s="262"/>
      <c r="D5" s="262"/>
      <c r="E5" s="262"/>
      <c r="F5" s="262"/>
    </row>
    <row r="6" spans="1:16" ht="7.5" customHeight="1" x14ac:dyDescent="0.25"/>
    <row r="7" spans="1:16" ht="15" customHeight="1" x14ac:dyDescent="0.25">
      <c r="A7" s="263" t="s">
        <v>14</v>
      </c>
      <c r="B7" s="264" t="s">
        <v>267</v>
      </c>
      <c r="C7" s="264" t="s">
        <v>268</v>
      </c>
      <c r="D7" s="265" t="s">
        <v>269</v>
      </c>
      <c r="E7" s="265"/>
      <c r="F7" s="265"/>
    </row>
    <row r="8" spans="1:16" s="20" customFormat="1" x14ac:dyDescent="0.25">
      <c r="A8" s="263"/>
      <c r="B8" s="264"/>
      <c r="C8" s="264"/>
      <c r="D8" s="21" t="s">
        <v>270</v>
      </c>
      <c r="E8" s="21" t="s">
        <v>271</v>
      </c>
      <c r="F8" s="21" t="s">
        <v>272</v>
      </c>
    </row>
    <row r="9" spans="1:16" ht="13.5" customHeight="1" x14ac:dyDescent="0.25">
      <c r="A9" s="22">
        <v>1</v>
      </c>
      <c r="B9" s="37">
        <f>'График дифференц'!B8</f>
        <v>45705</v>
      </c>
      <c r="C9" s="38">
        <f>IF('Общие данные'!$B$77='Общие данные'!$C$77,'График дифференц'!C8,IF('Общие данные'!$B$77='Общие данные'!$D$77,'График аннуитет.'!C8))</f>
        <v>100000000</v>
      </c>
      <c r="D9" s="38">
        <f>IF('Общие данные'!$B$77='Общие данные'!$C$77,'График дифференц'!D8,IF('Общие данные'!$B$77='Общие данные'!$D$77,'График аннуитет.'!D8))</f>
        <v>16249945.24</v>
      </c>
      <c r="E9" s="38">
        <f>IF('Общие данные'!$B$77='Общие данные'!$C$77,'График дифференц'!E8,IF('Общие данные'!$B$77='Общие данные'!$D$77,'График аннуитет.'!E8))</f>
        <v>3452054.76</v>
      </c>
      <c r="F9" s="38">
        <f>IF('Общие данные'!$B$77='Общие данные'!$C$77,'График дифференц'!F8,IF('Общие данные'!$B$77='Общие данные'!$D$77,'График аннуитет.'!F8))</f>
        <v>19702000</v>
      </c>
    </row>
    <row r="10" spans="1:16" ht="13.5" customHeight="1" x14ac:dyDescent="0.25">
      <c r="A10" s="22">
        <v>2</v>
      </c>
      <c r="B10" s="37">
        <f>'График дифференц'!B9</f>
        <v>45733</v>
      </c>
      <c r="C10" s="38">
        <f>IF('Общие данные'!$B$77='Общие данные'!$C$77,'График дифференц'!C9,IF('Общие данные'!$B$77='Общие данные'!$D$77,'График аннуитет.'!C9))</f>
        <v>83750054.760000005</v>
      </c>
      <c r="D10" s="38">
        <f>IF('Общие данные'!$B$77='Общие данные'!$C$77,'График дифференц'!D9,IF('Общие данные'!$B$77='Общие данные'!$D$77,'График аннуитет.'!D9))</f>
        <v>15847203.039999999</v>
      </c>
      <c r="E10" s="38">
        <f>IF('Общие данные'!$B$77='Общие данные'!$C$77,'График дифференц'!E9,IF('Общие данные'!$B$77='Общие данные'!$D$77,'График аннуитет.'!E9))</f>
        <v>3854796.96</v>
      </c>
      <c r="F10" s="38">
        <f>IF('Общие данные'!$B$77='Общие данные'!$C$77,'График дифференц'!F9,IF('Общие данные'!$B$77='Общие данные'!$D$77,'График аннуитет.'!F9))</f>
        <v>19702000</v>
      </c>
    </row>
    <row r="11" spans="1:16" ht="13.5" customHeight="1" x14ac:dyDescent="0.25">
      <c r="A11" s="22">
        <v>3</v>
      </c>
      <c r="B11" s="37">
        <f>'График дифференц'!B10</f>
        <v>45762</v>
      </c>
      <c r="C11" s="38">
        <f>IF('Общие данные'!$B$77='Общие данные'!$C$77,'График дифференц'!C10,IF('Общие данные'!$B$77='Общие данные'!$D$77,'График аннуитет.'!C10))</f>
        <v>67902851.719999999</v>
      </c>
      <c r="D11" s="38">
        <f>IF('Общие данные'!$B$77='Общие данные'!$C$77,'График дифференц'!D10,IF('Общие данные'!$B$77='Общие данные'!$D$77,'График аннуитет.'!D10))</f>
        <v>16464987.23</v>
      </c>
      <c r="E11" s="38">
        <f>IF('Общие данные'!$B$77='Общие данные'!$C$77,'График дифференц'!E10,IF('Общие данные'!$B$77='Общие данные'!$D$77,'График аннуитет.'!E10))</f>
        <v>3237012.77</v>
      </c>
      <c r="F11" s="38">
        <f>IF('Общие данные'!$B$77='Общие данные'!$C$77,'График дифференц'!F10,IF('Общие данные'!$B$77='Общие данные'!$D$77,'График аннуитет.'!F10))</f>
        <v>19702000</v>
      </c>
    </row>
    <row r="12" spans="1:16" ht="13.5" customHeight="1" x14ac:dyDescent="0.25">
      <c r="A12" s="22">
        <v>4</v>
      </c>
      <c r="B12" s="37">
        <f>'График дифференц'!B11</f>
        <v>45792</v>
      </c>
      <c r="C12" s="38">
        <f>IF('Общие данные'!$B$77='Общие данные'!$C$77,'График дифференц'!C11,IF('Общие данные'!$B$77='Общие данные'!$D$77,'График аннуитет.'!C11))</f>
        <v>51437864.489999995</v>
      </c>
      <c r="D12" s="38">
        <f>IF('Общие данные'!$B$77='Общие данные'!$C$77,'График дифференц'!D11,IF('Общие данные'!$B$77='Общие данные'!$D$77,'График аннуитет.'!D11))</f>
        <v>17165338.300000001</v>
      </c>
      <c r="E12" s="38">
        <f>IF('Общие данные'!$B$77='Общие данные'!$C$77,'График дифференц'!E11,IF('Общие данные'!$B$77='Общие данные'!$D$77,'График аннуитет.'!E11))</f>
        <v>2536661.7000000002</v>
      </c>
      <c r="F12" s="38">
        <f>IF('Общие данные'!$B$77='Общие данные'!$C$77,'График дифференц'!F11,IF('Общие данные'!$B$77='Общие данные'!$D$77,'График аннуитет.'!F11))</f>
        <v>19702000</v>
      </c>
      <c r="H12" s="307" t="s">
        <v>378</v>
      </c>
      <c r="I12" s="307"/>
      <c r="J12" s="307"/>
      <c r="K12" s="307"/>
      <c r="L12" s="307"/>
      <c r="M12" s="307"/>
      <c r="N12" s="307"/>
      <c r="O12" s="307"/>
      <c r="P12" s="307"/>
    </row>
    <row r="13" spans="1:16" ht="13.5" customHeight="1" x14ac:dyDescent="0.25">
      <c r="A13" s="22">
        <v>5</v>
      </c>
      <c r="B13" s="37">
        <f>'График дифференц'!B12</f>
        <v>45824</v>
      </c>
      <c r="C13" s="38">
        <f>IF('Общие данные'!$B$77='Общие данные'!$C$77,'График дифференц'!C12,IF('Общие данные'!$B$77='Общие данные'!$D$77,'График аннуитет.'!C12))</f>
        <v>34272526.189999998</v>
      </c>
      <c r="D13" s="38">
        <f>IF('Общие данные'!$B$77='Общие данные'!$C$77,'График дифференц'!D12,IF('Общие данные'!$B$77='Общие данные'!$D$77,'График аннуитет.'!D12))</f>
        <v>17899171.199999999</v>
      </c>
      <c r="E13" s="38">
        <f>IF('Общие данные'!$B$77='Общие данные'!$C$77,'График дифференц'!E12,IF('Общие данные'!$B$77='Общие данные'!$D$77,'График аннуитет.'!E12))</f>
        <v>1802828.8</v>
      </c>
      <c r="F13" s="38">
        <f>IF('Общие данные'!$B$77='Общие данные'!$C$77,'График дифференц'!F12,IF('Общие данные'!$B$77='Общие данные'!$D$77,'График аннуитет.'!F12))</f>
        <v>19702000</v>
      </c>
      <c r="H13" s="307"/>
      <c r="I13" s="307"/>
      <c r="J13" s="307"/>
      <c r="K13" s="307"/>
      <c r="L13" s="307"/>
      <c r="M13" s="307"/>
      <c r="N13" s="307"/>
      <c r="O13" s="307"/>
      <c r="P13" s="307"/>
    </row>
    <row r="14" spans="1:16" ht="13.5" customHeight="1" x14ac:dyDescent="0.25">
      <c r="A14" s="22">
        <v>6</v>
      </c>
      <c r="B14" s="37">
        <f>'График дифференц'!B13</f>
        <v>45865</v>
      </c>
      <c r="C14" s="38">
        <f>IF('Общие данные'!$B$77='Общие данные'!$C$77,'График дифференц'!C13,IF('Общие данные'!$B$77='Общие данные'!$D$77,'График аннуитет.'!C13))</f>
        <v>16373354.989999998</v>
      </c>
      <c r="D14" s="38">
        <f>IF('Общие данные'!$B$77='Общие данные'!$C$77,'График дифференц'!D13,IF('Общие данные'!$B$77='Общие данные'!$D$77,'График аннуитет.'!D13))</f>
        <v>16373354.989999998</v>
      </c>
      <c r="E14" s="38">
        <f>IF('Общие данные'!$B$77='Общие данные'!$C$77,'График дифференц'!E13,IF('Общие данные'!$B$77='Общие данные'!$D$77,'График аннуитет.'!E13))</f>
        <v>1103519.0999999999</v>
      </c>
      <c r="F14" s="38">
        <f>IF('Общие данные'!$B$77='Общие данные'!$C$77,'График дифференц'!F13,IF('Общие данные'!$B$77='Общие данные'!$D$77,'График аннуитет.'!F13))</f>
        <v>17476874.09</v>
      </c>
      <c r="H14" s="307"/>
      <c r="I14" s="307"/>
      <c r="J14" s="307"/>
      <c r="K14" s="307"/>
      <c r="L14" s="307"/>
      <c r="M14" s="307"/>
      <c r="N14" s="307"/>
      <c r="O14" s="307"/>
      <c r="P14" s="307"/>
    </row>
    <row r="15" spans="1:16" ht="13.5" hidden="1" customHeight="1" x14ac:dyDescent="0.25">
      <c r="A15" s="22">
        <v>7</v>
      </c>
      <c r="B15" s="37" t="b">
        <f>'График дифференц'!B14</f>
        <v>0</v>
      </c>
      <c r="C15" s="38">
        <f>IF('Общие данные'!$B$77='Общие данные'!$C$77,'График дифференц'!C14,IF('Общие данные'!$B$77='Общие данные'!$D$77,'График аннуитет.'!C14))</f>
        <v>0</v>
      </c>
      <c r="D15" s="38">
        <f>IF('Общие данные'!$B$77='Общие данные'!$C$77,'График дифференц'!D14,IF('Общие данные'!$B$77='Общие данные'!$D$77,'График аннуитет.'!D14))</f>
        <v>0</v>
      </c>
      <c r="E15" s="38">
        <f>IF('Общие данные'!$B$77='Общие данные'!$C$77,'График дифференц'!E14,IF('Общие данные'!$B$77='Общие данные'!$D$77,'График аннуитет.'!E14))</f>
        <v>0</v>
      </c>
      <c r="F15" s="38">
        <f>IF('Общие данные'!$B$77='Общие данные'!$C$77,'График дифференц'!F14,IF('Общие данные'!$B$77='Общие данные'!$D$77,'График аннуитет.'!F14))</f>
        <v>0</v>
      </c>
      <c r="H15" s="307"/>
      <c r="I15" s="307"/>
      <c r="J15" s="307"/>
      <c r="K15" s="307"/>
      <c r="L15" s="307"/>
      <c r="M15" s="307"/>
      <c r="N15" s="307"/>
      <c r="O15" s="307"/>
      <c r="P15" s="307"/>
    </row>
    <row r="16" spans="1:16" ht="13.5" hidden="1" customHeight="1" x14ac:dyDescent="0.25">
      <c r="A16" s="22">
        <v>8</v>
      </c>
      <c r="B16" s="37" t="b">
        <f>'График дифференц'!B15</f>
        <v>0</v>
      </c>
      <c r="C16" s="38">
        <f>IF('Общие данные'!$B$77='Общие данные'!$C$77,'График дифференц'!C15,IF('Общие данные'!$B$77='Общие данные'!$D$77,'График аннуитет.'!C15))</f>
        <v>0</v>
      </c>
      <c r="D16" s="38">
        <f>IF('Общие данные'!$B$77='Общие данные'!$C$77,'График дифференц'!D15,IF('Общие данные'!$B$77='Общие данные'!$D$77,'График аннуитет.'!D15))</f>
        <v>0</v>
      </c>
      <c r="E16" s="38">
        <f>IF('Общие данные'!$B$77='Общие данные'!$C$77,'График дифференц'!E15,IF('Общие данные'!$B$77='Общие данные'!$D$77,'График аннуитет.'!E15))</f>
        <v>0</v>
      </c>
      <c r="F16" s="38">
        <f>IF('Общие данные'!$B$77='Общие данные'!$C$77,'График дифференц'!F15,IF('Общие данные'!$B$77='Общие данные'!$D$77,'График аннуитет.'!F15))</f>
        <v>0</v>
      </c>
      <c r="H16" s="307"/>
      <c r="I16" s="307"/>
      <c r="J16" s="307"/>
      <c r="K16" s="307"/>
      <c r="L16" s="307"/>
      <c r="M16" s="307"/>
      <c r="N16" s="307"/>
      <c r="O16" s="307"/>
      <c r="P16" s="307"/>
    </row>
    <row r="17" spans="1:16" ht="13.5" hidden="1" customHeight="1" x14ac:dyDescent="0.25">
      <c r="A17" s="22">
        <v>9</v>
      </c>
      <c r="B17" s="37" t="b">
        <f>'График дифференц'!B16</f>
        <v>0</v>
      </c>
      <c r="C17" s="38">
        <f>IF('Общие данные'!$B$77='Общие данные'!$C$77,'График дифференц'!C16,IF('Общие данные'!$B$77='Общие данные'!$D$77,'График аннуитет.'!C16))</f>
        <v>0</v>
      </c>
      <c r="D17" s="38">
        <f>IF('Общие данные'!$B$77='Общие данные'!$C$77,'График дифференц'!D16,IF('Общие данные'!$B$77='Общие данные'!$D$77,'График аннуитет.'!D16))</f>
        <v>0</v>
      </c>
      <c r="E17" s="38">
        <f>IF('Общие данные'!$B$77='Общие данные'!$C$77,'График дифференц'!E16,IF('Общие данные'!$B$77='Общие данные'!$D$77,'График аннуитет.'!E16))</f>
        <v>0</v>
      </c>
      <c r="F17" s="38">
        <f>IF('Общие данные'!$B$77='Общие данные'!$C$77,'График дифференц'!F16,IF('Общие данные'!$B$77='Общие данные'!$D$77,'График аннуитет.'!F16))</f>
        <v>0</v>
      </c>
      <c r="H17" s="307"/>
      <c r="I17" s="307"/>
      <c r="J17" s="307"/>
      <c r="K17" s="307"/>
      <c r="L17" s="307"/>
      <c r="M17" s="307"/>
      <c r="N17" s="307"/>
      <c r="O17" s="307"/>
      <c r="P17" s="307"/>
    </row>
    <row r="18" spans="1:16" ht="13.5" hidden="1" customHeight="1" x14ac:dyDescent="0.25">
      <c r="A18" s="22">
        <v>10</v>
      </c>
      <c r="B18" s="37" t="b">
        <f>'График дифференц'!B17</f>
        <v>0</v>
      </c>
      <c r="C18" s="38">
        <f>IF('Общие данные'!$B$77='Общие данные'!$C$77,'График дифференц'!C17,IF('Общие данные'!$B$77='Общие данные'!$D$77,'График аннуитет.'!C17))</f>
        <v>0</v>
      </c>
      <c r="D18" s="38">
        <f>IF('Общие данные'!$B$77='Общие данные'!$C$77,'График дифференц'!D17,IF('Общие данные'!$B$77='Общие данные'!$D$77,'График аннуитет.'!D17))</f>
        <v>0</v>
      </c>
      <c r="E18" s="38">
        <f>IF('Общие данные'!$B$77='Общие данные'!$C$77,'График дифференц'!E17,IF('Общие данные'!$B$77='Общие данные'!$D$77,'График аннуитет.'!E17))</f>
        <v>0</v>
      </c>
      <c r="F18" s="38">
        <f>IF('Общие данные'!$B$77='Общие данные'!$C$77,'График дифференц'!F17,IF('Общие данные'!$B$77='Общие данные'!$D$77,'График аннуитет.'!F17))</f>
        <v>0</v>
      </c>
      <c r="H18" s="307"/>
      <c r="I18" s="307"/>
      <c r="J18" s="307"/>
      <c r="K18" s="307"/>
      <c r="L18" s="307"/>
      <c r="M18" s="307"/>
      <c r="N18" s="307"/>
      <c r="O18" s="307"/>
      <c r="P18" s="307"/>
    </row>
    <row r="19" spans="1:16" ht="13.5" hidden="1" customHeight="1" x14ac:dyDescent="0.25">
      <c r="A19" s="22">
        <v>11</v>
      </c>
      <c r="B19" s="37" t="b">
        <f>'График дифференц'!B18</f>
        <v>0</v>
      </c>
      <c r="C19" s="38">
        <f>IF('Общие данные'!$B$77='Общие данные'!$C$77,'График дифференц'!C18,IF('Общие данные'!$B$77='Общие данные'!$D$77,'График аннуитет.'!C18))</f>
        <v>0</v>
      </c>
      <c r="D19" s="38">
        <f>IF('Общие данные'!$B$77='Общие данные'!$C$77,'График дифференц'!D18,IF('Общие данные'!$B$77='Общие данные'!$D$77,'График аннуитет.'!D18))</f>
        <v>0</v>
      </c>
      <c r="E19" s="38">
        <f>IF('Общие данные'!$B$77='Общие данные'!$C$77,'График дифференц'!E18,IF('Общие данные'!$B$77='Общие данные'!$D$77,'График аннуитет.'!E18))</f>
        <v>0</v>
      </c>
      <c r="F19" s="38">
        <f>IF('Общие данные'!$B$77='Общие данные'!$C$77,'График дифференц'!F18,IF('Общие данные'!$B$77='Общие данные'!$D$77,'График аннуитет.'!F18))</f>
        <v>0</v>
      </c>
      <c r="H19" s="307"/>
      <c r="I19" s="307"/>
      <c r="J19" s="307"/>
      <c r="K19" s="307"/>
      <c r="L19" s="307"/>
      <c r="M19" s="307"/>
      <c r="N19" s="307"/>
      <c r="O19" s="307"/>
      <c r="P19" s="307"/>
    </row>
    <row r="20" spans="1:16" ht="14.25" hidden="1" customHeight="1" x14ac:dyDescent="0.25">
      <c r="A20" s="22">
        <v>12</v>
      </c>
      <c r="B20" s="37" t="b">
        <f>'График дифференц'!B19</f>
        <v>0</v>
      </c>
      <c r="C20" s="38">
        <f>IF('Общие данные'!$B$77='Общие данные'!$C$77,'График дифференц'!C19,IF('Общие данные'!$B$77='Общие данные'!$D$77,'График аннуитет.'!C19))</f>
        <v>0</v>
      </c>
      <c r="D20" s="38">
        <f>IF('Общие данные'!$B$77='Общие данные'!$C$77,'График дифференц'!D19,IF('Общие данные'!$B$77='Общие данные'!$D$77,'График аннуитет.'!D19))</f>
        <v>0</v>
      </c>
      <c r="E20" s="38">
        <f>IF('Общие данные'!$B$77='Общие данные'!$C$77,'График дифференц'!E19,IF('Общие данные'!$B$77='Общие данные'!$D$77,'График аннуитет.'!E19))</f>
        <v>0</v>
      </c>
      <c r="F20" s="38">
        <f>IF('Общие данные'!$B$77='Общие данные'!$C$77,'График дифференц'!F19,IF('Общие данные'!$B$77='Общие данные'!$D$77,'График аннуитет.'!F19))</f>
        <v>0</v>
      </c>
      <c r="H20" s="307"/>
      <c r="I20" s="307"/>
      <c r="J20" s="307"/>
      <c r="K20" s="307"/>
      <c r="L20" s="307"/>
      <c r="M20" s="307"/>
      <c r="N20" s="307"/>
      <c r="O20" s="307"/>
      <c r="P20" s="307"/>
    </row>
    <row r="21" spans="1:16" hidden="1" x14ac:dyDescent="0.25">
      <c r="A21" s="22">
        <v>13</v>
      </c>
      <c r="B21" s="37" t="b">
        <f>'График дифференц'!B20</f>
        <v>0</v>
      </c>
      <c r="C21" s="38">
        <f>IF('Общие данные'!$B$77='Общие данные'!$C$77,'График дифференц'!C20,IF('Общие данные'!$B$77='Общие данные'!$D$77,'График аннуитет.'!C20))</f>
        <v>0</v>
      </c>
      <c r="D21" s="38">
        <f>IF('Общие данные'!$B$77='Общие данные'!$C$77,'График дифференц'!D20,IF('Общие данные'!$B$77='Общие данные'!$D$77,'График аннуитет.'!D20))</f>
        <v>0</v>
      </c>
      <c r="E21" s="38">
        <f>IF('Общие данные'!$B$77='Общие данные'!$C$77,'График дифференц'!E20,IF('Общие данные'!$B$77='Общие данные'!$D$77,'График аннуитет.'!E20))</f>
        <v>0</v>
      </c>
      <c r="F21" s="38">
        <f>IF('Общие данные'!$B$77='Общие данные'!$C$77,'График дифференц'!F20,IF('Общие данные'!$B$77='Общие данные'!$D$77,'График аннуитет.'!F20))</f>
        <v>0</v>
      </c>
      <c r="H21" s="307"/>
      <c r="I21" s="307"/>
      <c r="J21" s="307"/>
      <c r="K21" s="307"/>
      <c r="L21" s="307"/>
      <c r="M21" s="307"/>
      <c r="N21" s="307"/>
      <c r="O21" s="307"/>
      <c r="P21" s="307"/>
    </row>
    <row r="22" spans="1:16" hidden="1" x14ac:dyDescent="0.25">
      <c r="A22" s="22">
        <v>14</v>
      </c>
      <c r="B22" s="37" t="b">
        <f>'График дифференц'!B21</f>
        <v>0</v>
      </c>
      <c r="C22" s="38">
        <f>IF('Общие данные'!$B$77='Общие данные'!$C$77,'График дифференц'!C21,IF('Общие данные'!$B$77='Общие данные'!$D$77,'График аннуитет.'!C21))</f>
        <v>0</v>
      </c>
      <c r="D22" s="38">
        <f>IF('Общие данные'!$B$77='Общие данные'!$C$77,'График дифференц'!D21,IF('Общие данные'!$B$77='Общие данные'!$D$77,'График аннуитет.'!D21))</f>
        <v>0</v>
      </c>
      <c r="E22" s="38">
        <f>IF('Общие данные'!$B$77='Общие данные'!$C$77,'График дифференц'!E21,IF('Общие данные'!$B$77='Общие данные'!$D$77,'График аннуитет.'!E21))</f>
        <v>0</v>
      </c>
      <c r="F22" s="38">
        <f>IF('Общие данные'!$B$77='Общие данные'!$C$77,'График дифференц'!F21,IF('Общие данные'!$B$77='Общие данные'!$D$77,'График аннуитет.'!F21))</f>
        <v>0</v>
      </c>
      <c r="H22" s="307"/>
      <c r="I22" s="307"/>
      <c r="J22" s="307"/>
      <c r="K22" s="307"/>
      <c r="L22" s="307"/>
      <c r="M22" s="307"/>
      <c r="N22" s="307"/>
      <c r="O22" s="307"/>
      <c r="P22" s="307"/>
    </row>
    <row r="23" spans="1:16" hidden="1" x14ac:dyDescent="0.25">
      <c r="A23" s="22">
        <v>15</v>
      </c>
      <c r="B23" s="37" t="b">
        <f>'График дифференц'!B22</f>
        <v>0</v>
      </c>
      <c r="C23" s="38">
        <f>IF('Общие данные'!$B$77='Общие данные'!$C$77,'График дифференц'!C22,IF('Общие данные'!$B$77='Общие данные'!$D$77,'График аннуитет.'!C22))</f>
        <v>0</v>
      </c>
      <c r="D23" s="38">
        <f>IF('Общие данные'!$B$77='Общие данные'!$C$77,'График дифференц'!D22,IF('Общие данные'!$B$77='Общие данные'!$D$77,'График аннуитет.'!D22))</f>
        <v>0</v>
      </c>
      <c r="E23" s="38">
        <f>IF('Общие данные'!$B$77='Общие данные'!$C$77,'График дифференц'!E22,IF('Общие данные'!$B$77='Общие данные'!$D$77,'График аннуитет.'!E22))</f>
        <v>0</v>
      </c>
      <c r="F23" s="38">
        <f>IF('Общие данные'!$B$77='Общие данные'!$C$77,'График дифференц'!F22,IF('Общие данные'!$B$77='Общие данные'!$D$77,'График аннуитет.'!F22))</f>
        <v>0</v>
      </c>
      <c r="H23" s="307"/>
      <c r="I23" s="307"/>
      <c r="J23" s="307"/>
      <c r="K23" s="307"/>
      <c r="L23" s="307"/>
      <c r="M23" s="307"/>
      <c r="N23" s="307"/>
      <c r="O23" s="307"/>
      <c r="P23" s="307"/>
    </row>
    <row r="24" spans="1:16" hidden="1" x14ac:dyDescent="0.25">
      <c r="A24" s="22">
        <v>16</v>
      </c>
      <c r="B24" s="37" t="b">
        <f>'График дифференц'!B23</f>
        <v>0</v>
      </c>
      <c r="C24" s="38">
        <f>IF('Общие данные'!$B$77='Общие данные'!$C$77,'График дифференц'!C23,IF('Общие данные'!$B$77='Общие данные'!$D$77,'График аннуитет.'!C23))</f>
        <v>0</v>
      </c>
      <c r="D24" s="38">
        <f>IF('Общие данные'!$B$77='Общие данные'!$C$77,'График дифференц'!D23,IF('Общие данные'!$B$77='Общие данные'!$D$77,'График аннуитет.'!D23))</f>
        <v>0</v>
      </c>
      <c r="E24" s="38">
        <f>IF('Общие данные'!$B$77='Общие данные'!$C$77,'График дифференц'!E23,IF('Общие данные'!$B$77='Общие данные'!$D$77,'График аннуитет.'!E23))</f>
        <v>0</v>
      </c>
      <c r="F24" s="38">
        <f>IF('Общие данные'!$B$77='Общие данные'!$C$77,'График дифференц'!F23,IF('Общие данные'!$B$77='Общие данные'!$D$77,'График аннуитет.'!F23))</f>
        <v>0</v>
      </c>
      <c r="H24" s="307"/>
      <c r="I24" s="307"/>
      <c r="J24" s="307"/>
      <c r="K24" s="307"/>
      <c r="L24" s="307"/>
      <c r="M24" s="307"/>
      <c r="N24" s="307"/>
      <c r="O24" s="307"/>
      <c r="P24" s="307"/>
    </row>
    <row r="25" spans="1:16" hidden="1" x14ac:dyDescent="0.25">
      <c r="A25" s="22">
        <v>17</v>
      </c>
      <c r="B25" s="37" t="b">
        <f>'График дифференц'!B24</f>
        <v>0</v>
      </c>
      <c r="C25" s="38">
        <f>IF('Общие данные'!$B$77='Общие данные'!$C$77,'График дифференц'!C24,IF('Общие данные'!$B$77='Общие данные'!$D$77,'График аннуитет.'!C24))</f>
        <v>0</v>
      </c>
      <c r="D25" s="38">
        <f>IF('Общие данные'!$B$77='Общие данные'!$C$77,'График дифференц'!D24,IF('Общие данные'!$B$77='Общие данные'!$D$77,'График аннуитет.'!D24))</f>
        <v>0</v>
      </c>
      <c r="E25" s="38">
        <f>IF('Общие данные'!$B$77='Общие данные'!$C$77,'График дифференц'!E24,IF('Общие данные'!$B$77='Общие данные'!$D$77,'График аннуитет.'!E24))</f>
        <v>0</v>
      </c>
      <c r="F25" s="38">
        <f>IF('Общие данные'!$B$77='Общие данные'!$C$77,'График дифференц'!F24,IF('Общие данные'!$B$77='Общие данные'!$D$77,'График аннуитет.'!F24))</f>
        <v>0</v>
      </c>
    </row>
    <row r="26" spans="1:16" hidden="1" x14ac:dyDescent="0.25">
      <c r="A26" s="22">
        <v>18</v>
      </c>
      <c r="B26" s="37" t="b">
        <f>'График дифференц'!B25</f>
        <v>0</v>
      </c>
      <c r="C26" s="38">
        <f>IF('Общие данные'!$B$77='Общие данные'!$C$77,'График дифференц'!C25,IF('Общие данные'!$B$77='Общие данные'!$D$77,'График аннуитет.'!C25))</f>
        <v>0</v>
      </c>
      <c r="D26" s="38">
        <f>IF('Общие данные'!$B$77='Общие данные'!$C$77,'График дифференц'!D25,IF('Общие данные'!$B$77='Общие данные'!$D$77,'График аннуитет.'!D25))</f>
        <v>0</v>
      </c>
      <c r="E26" s="38">
        <f>IF('Общие данные'!$B$77='Общие данные'!$C$77,'График дифференц'!E25,IF('Общие данные'!$B$77='Общие данные'!$D$77,'График аннуитет.'!E25))</f>
        <v>0</v>
      </c>
      <c r="F26" s="38">
        <f>IF('Общие данные'!$B$77='Общие данные'!$C$77,'График дифференц'!F25,IF('Общие данные'!$B$77='Общие данные'!$D$77,'График аннуитет.'!F25))</f>
        <v>0</v>
      </c>
    </row>
    <row r="27" spans="1:16" hidden="1" x14ac:dyDescent="0.25">
      <c r="A27" s="22">
        <v>19</v>
      </c>
      <c r="B27" s="37" t="b">
        <f>'График дифференц'!B26</f>
        <v>0</v>
      </c>
      <c r="C27" s="38">
        <f>IF('Общие данные'!$B$77='Общие данные'!$C$77,'График дифференц'!C26,IF('Общие данные'!$B$77='Общие данные'!$D$77,'График аннуитет.'!C26))</f>
        <v>0</v>
      </c>
      <c r="D27" s="38">
        <f>IF('Общие данные'!$B$77='Общие данные'!$C$77,'График дифференц'!D26,IF('Общие данные'!$B$77='Общие данные'!$D$77,'График аннуитет.'!D26))</f>
        <v>0</v>
      </c>
      <c r="E27" s="38">
        <f>IF('Общие данные'!$B$77='Общие данные'!$C$77,'График дифференц'!E26,IF('Общие данные'!$B$77='Общие данные'!$D$77,'График аннуитет.'!E26))</f>
        <v>0</v>
      </c>
      <c r="F27" s="38">
        <f>IF('Общие данные'!$B$77='Общие данные'!$C$77,'График дифференц'!F26,IF('Общие данные'!$B$77='Общие данные'!$D$77,'График аннуитет.'!F26))</f>
        <v>0</v>
      </c>
    </row>
    <row r="28" spans="1:16" hidden="1" x14ac:dyDescent="0.25">
      <c r="A28" s="22">
        <v>20</v>
      </c>
      <c r="B28" s="37" t="b">
        <f>'График дифференц'!B27</f>
        <v>0</v>
      </c>
      <c r="C28" s="38">
        <f>IF('Общие данные'!$B$77='Общие данные'!$C$77,'График дифференц'!C27,IF('Общие данные'!$B$77='Общие данные'!$D$77,'График аннуитет.'!C27))</f>
        <v>0</v>
      </c>
      <c r="D28" s="38">
        <f>IF('Общие данные'!$B$77='Общие данные'!$C$77,'График дифференц'!D27,IF('Общие данные'!$B$77='Общие данные'!$D$77,'График аннуитет.'!D27))</f>
        <v>0</v>
      </c>
      <c r="E28" s="38">
        <f>IF('Общие данные'!$B$77='Общие данные'!$C$77,'График дифференц'!E27,IF('Общие данные'!$B$77='Общие данные'!$D$77,'График аннуитет.'!E27))</f>
        <v>0</v>
      </c>
      <c r="F28" s="38">
        <f>IF('Общие данные'!$B$77='Общие данные'!$C$77,'График дифференц'!F27,IF('Общие данные'!$B$77='Общие данные'!$D$77,'График аннуитет.'!F27))</f>
        <v>0</v>
      </c>
    </row>
    <row r="29" spans="1:16" hidden="1" x14ac:dyDescent="0.25">
      <c r="A29" s="22">
        <v>21</v>
      </c>
      <c r="B29" s="37" t="b">
        <f>'График дифференц'!B28</f>
        <v>0</v>
      </c>
      <c r="C29" s="38">
        <f>IF('Общие данные'!$B$77='Общие данные'!$C$77,'График дифференц'!C28,IF('Общие данные'!$B$77='Общие данные'!$D$77,'График аннуитет.'!C28))</f>
        <v>0</v>
      </c>
      <c r="D29" s="38">
        <f>IF('Общие данные'!$B$77='Общие данные'!$C$77,'График дифференц'!D28,IF('Общие данные'!$B$77='Общие данные'!$D$77,'График аннуитет.'!D28))</f>
        <v>0</v>
      </c>
      <c r="E29" s="38">
        <f>IF('Общие данные'!$B$77='Общие данные'!$C$77,'График дифференц'!E28,IF('Общие данные'!$B$77='Общие данные'!$D$77,'График аннуитет.'!E28))</f>
        <v>0</v>
      </c>
      <c r="F29" s="38">
        <f>IF('Общие данные'!$B$77='Общие данные'!$C$77,'График дифференц'!F28,IF('Общие данные'!$B$77='Общие данные'!$D$77,'График аннуитет.'!F28))</f>
        <v>0</v>
      </c>
    </row>
    <row r="30" spans="1:16" hidden="1" x14ac:dyDescent="0.25">
      <c r="A30" s="22">
        <v>22</v>
      </c>
      <c r="B30" s="37" t="b">
        <f>'График дифференц'!B29</f>
        <v>0</v>
      </c>
      <c r="C30" s="38">
        <f>IF('Общие данные'!$B$77='Общие данные'!$C$77,'График дифференц'!C29,IF('Общие данные'!$B$77='Общие данные'!$D$77,'График аннуитет.'!C29))</f>
        <v>0</v>
      </c>
      <c r="D30" s="38">
        <f>IF('Общие данные'!$B$77='Общие данные'!$C$77,'График дифференц'!D29,IF('Общие данные'!$B$77='Общие данные'!$D$77,'График аннуитет.'!D29))</f>
        <v>0</v>
      </c>
      <c r="E30" s="38">
        <f>IF('Общие данные'!$B$77='Общие данные'!$C$77,'График дифференц'!E29,IF('Общие данные'!$B$77='Общие данные'!$D$77,'График аннуитет.'!E29))</f>
        <v>0</v>
      </c>
      <c r="F30" s="38">
        <f>IF('Общие данные'!$B$77='Общие данные'!$C$77,'График дифференц'!F29,IF('Общие данные'!$B$77='Общие данные'!$D$77,'График аннуитет.'!F29))</f>
        <v>0</v>
      </c>
    </row>
    <row r="31" spans="1:16" hidden="1" x14ac:dyDescent="0.25">
      <c r="A31" s="22">
        <v>23</v>
      </c>
      <c r="B31" s="37" t="b">
        <f>'График дифференц'!B30</f>
        <v>0</v>
      </c>
      <c r="C31" s="38">
        <f>IF('Общие данные'!$B$77='Общие данные'!$C$77,'График дифференц'!C30,IF('Общие данные'!$B$77='Общие данные'!$D$77,'График аннуитет.'!C30))</f>
        <v>0</v>
      </c>
      <c r="D31" s="38">
        <f>IF('Общие данные'!$B$77='Общие данные'!$C$77,'График дифференц'!D30,IF('Общие данные'!$B$77='Общие данные'!$D$77,'График аннуитет.'!D30))</f>
        <v>0</v>
      </c>
      <c r="E31" s="38">
        <f>IF('Общие данные'!$B$77='Общие данные'!$C$77,'График дифференц'!E30,IF('Общие данные'!$B$77='Общие данные'!$D$77,'График аннуитет.'!E30))</f>
        <v>0</v>
      </c>
      <c r="F31" s="38">
        <f>IF('Общие данные'!$B$77='Общие данные'!$C$77,'График дифференц'!F30,IF('Общие данные'!$B$77='Общие данные'!$D$77,'График аннуитет.'!F30))</f>
        <v>0</v>
      </c>
    </row>
    <row r="32" spans="1:16" hidden="1" x14ac:dyDescent="0.25">
      <c r="A32" s="22">
        <f>1+A31</f>
        <v>24</v>
      </c>
      <c r="B32" s="37" t="b">
        <f>'График дифференц'!B31</f>
        <v>0</v>
      </c>
      <c r="C32" s="38">
        <f>IF('Общие данные'!$B$77='Общие данные'!$C$77,'График дифференц'!C31,IF('Общие данные'!$B$77='Общие данные'!$D$77,'График аннуитет.'!C31))</f>
        <v>0</v>
      </c>
      <c r="D32" s="38">
        <f>IF('Общие данные'!$B$77='Общие данные'!$C$77,'График дифференц'!D31,IF('Общие данные'!$B$77='Общие данные'!$D$77,'График аннуитет.'!D31))</f>
        <v>0</v>
      </c>
      <c r="E32" s="38">
        <f>IF('Общие данные'!$B$77='Общие данные'!$C$77,'График дифференц'!E31,IF('Общие данные'!$B$77='Общие данные'!$D$77,'График аннуитет.'!E31))</f>
        <v>0</v>
      </c>
      <c r="F32" s="38">
        <f>IF('Общие данные'!$B$77='Общие данные'!$C$77,'График дифференц'!F31,IF('Общие данные'!$B$77='Общие данные'!$D$77,'График аннуитет.'!F31))</f>
        <v>0</v>
      </c>
    </row>
    <row r="33" spans="1:6" hidden="1" x14ac:dyDescent="0.25">
      <c r="A33" s="22">
        <f t="shared" ref="A33:A44" si="0">1+A32</f>
        <v>25</v>
      </c>
      <c r="B33" s="37" t="b">
        <f>'График дифференц'!B32</f>
        <v>0</v>
      </c>
      <c r="C33" s="38">
        <f>IF('Общие данные'!$B$77='Общие данные'!$C$77,'График дифференц'!C32,IF('Общие данные'!$B$77='Общие данные'!$D$77,'График аннуитет.'!C32))</f>
        <v>0</v>
      </c>
      <c r="D33" s="38">
        <f>IF('Общие данные'!$B$77='Общие данные'!$C$77,'График дифференц'!D32,IF('Общие данные'!$B$77='Общие данные'!$D$77,'График аннуитет.'!D32))</f>
        <v>0</v>
      </c>
      <c r="E33" s="38">
        <f>IF('Общие данные'!$B$77='Общие данные'!$C$77,'График дифференц'!E32,IF('Общие данные'!$B$77='Общие данные'!$D$77,'График аннуитет.'!E32))</f>
        <v>0</v>
      </c>
      <c r="F33" s="38">
        <f>IF('Общие данные'!$B$77='Общие данные'!$C$77,'График дифференц'!F32,IF('Общие данные'!$B$77='Общие данные'!$D$77,'График аннуитет.'!F32))</f>
        <v>0</v>
      </c>
    </row>
    <row r="34" spans="1:6" hidden="1" x14ac:dyDescent="0.25">
      <c r="A34" s="22">
        <f t="shared" si="0"/>
        <v>26</v>
      </c>
      <c r="B34" s="37" t="b">
        <f>'График дифференц'!B33</f>
        <v>0</v>
      </c>
      <c r="C34" s="38">
        <f>IF('Общие данные'!$B$77='Общие данные'!$C$77,'График дифференц'!C33,IF('Общие данные'!$B$77='Общие данные'!$D$77,'График аннуитет.'!C33))</f>
        <v>0</v>
      </c>
      <c r="D34" s="38">
        <f>IF('Общие данные'!$B$77='Общие данные'!$C$77,'График дифференц'!D33,IF('Общие данные'!$B$77='Общие данные'!$D$77,'График аннуитет.'!D33))</f>
        <v>0</v>
      </c>
      <c r="E34" s="38">
        <f>IF('Общие данные'!$B$77='Общие данные'!$C$77,'График дифференц'!E33,IF('Общие данные'!$B$77='Общие данные'!$D$77,'График аннуитет.'!E33))</f>
        <v>0</v>
      </c>
      <c r="F34" s="38">
        <f>IF('Общие данные'!$B$77='Общие данные'!$C$77,'График дифференц'!F33,IF('Общие данные'!$B$77='Общие данные'!$D$77,'График аннуитет.'!F33))</f>
        <v>0</v>
      </c>
    </row>
    <row r="35" spans="1:6" hidden="1" x14ac:dyDescent="0.25">
      <c r="A35" s="22">
        <f t="shared" si="0"/>
        <v>27</v>
      </c>
      <c r="B35" s="37" t="b">
        <f>'График дифференц'!B34</f>
        <v>0</v>
      </c>
      <c r="C35" s="38">
        <f>IF('Общие данные'!$B$77='Общие данные'!$C$77,'График дифференц'!C34,IF('Общие данные'!$B$77='Общие данные'!$D$77,'График аннуитет.'!C34))</f>
        <v>0</v>
      </c>
      <c r="D35" s="38">
        <f>IF('Общие данные'!$B$77='Общие данные'!$C$77,'График дифференц'!D34,IF('Общие данные'!$B$77='Общие данные'!$D$77,'График аннуитет.'!D34))</f>
        <v>0</v>
      </c>
      <c r="E35" s="38">
        <f>IF('Общие данные'!$B$77='Общие данные'!$C$77,'График дифференц'!E34,IF('Общие данные'!$B$77='Общие данные'!$D$77,'График аннуитет.'!E34))</f>
        <v>0</v>
      </c>
      <c r="F35" s="38">
        <f>IF('Общие данные'!$B$77='Общие данные'!$C$77,'График дифференц'!F34,IF('Общие данные'!$B$77='Общие данные'!$D$77,'График аннуитет.'!F34))</f>
        <v>0</v>
      </c>
    </row>
    <row r="36" spans="1:6" hidden="1" x14ac:dyDescent="0.25">
      <c r="A36" s="22">
        <f t="shared" si="0"/>
        <v>28</v>
      </c>
      <c r="B36" s="37" t="b">
        <f>'График дифференц'!B35</f>
        <v>0</v>
      </c>
      <c r="C36" s="38">
        <f>IF('Общие данные'!$B$77='Общие данные'!$C$77,'График дифференц'!C35,IF('Общие данные'!$B$77='Общие данные'!$D$77,'График аннуитет.'!C35))</f>
        <v>0</v>
      </c>
      <c r="D36" s="38">
        <f>IF('Общие данные'!$B$77='Общие данные'!$C$77,'График дифференц'!D35,IF('Общие данные'!$B$77='Общие данные'!$D$77,'График аннуитет.'!D35))</f>
        <v>0</v>
      </c>
      <c r="E36" s="38">
        <f>IF('Общие данные'!$B$77='Общие данные'!$C$77,'График дифференц'!E35,IF('Общие данные'!$B$77='Общие данные'!$D$77,'График аннуитет.'!E35))</f>
        <v>0</v>
      </c>
      <c r="F36" s="38">
        <f>IF('Общие данные'!$B$77='Общие данные'!$C$77,'График дифференц'!F35,IF('Общие данные'!$B$77='Общие данные'!$D$77,'График аннуитет.'!F35))</f>
        <v>0</v>
      </c>
    </row>
    <row r="37" spans="1:6" hidden="1" x14ac:dyDescent="0.25">
      <c r="A37" s="22">
        <f t="shared" si="0"/>
        <v>29</v>
      </c>
      <c r="B37" s="37" t="b">
        <f>'График дифференц'!B36</f>
        <v>0</v>
      </c>
      <c r="C37" s="38">
        <f>IF('Общие данные'!$B$77='Общие данные'!$C$77,'График дифференц'!C36,IF('Общие данные'!$B$77='Общие данные'!$D$77,'График аннуитет.'!C36))</f>
        <v>0</v>
      </c>
      <c r="D37" s="38">
        <f>IF('Общие данные'!$B$77='Общие данные'!$C$77,'График дифференц'!D36,IF('Общие данные'!$B$77='Общие данные'!$D$77,'График аннуитет.'!D36))</f>
        <v>0</v>
      </c>
      <c r="E37" s="38">
        <f>IF('Общие данные'!$B$77='Общие данные'!$C$77,'График дифференц'!E36,IF('Общие данные'!$B$77='Общие данные'!$D$77,'График аннуитет.'!E36))</f>
        <v>0</v>
      </c>
      <c r="F37" s="38">
        <f>IF('Общие данные'!$B$77='Общие данные'!$C$77,'График дифференц'!F36,IF('Общие данные'!$B$77='Общие данные'!$D$77,'График аннуитет.'!F36))</f>
        <v>0</v>
      </c>
    </row>
    <row r="38" spans="1:6" hidden="1" x14ac:dyDescent="0.25">
      <c r="A38" s="22" t="s">
        <v>412</v>
      </c>
      <c r="B38" s="37" t="b">
        <f>'График дифференц'!B37</f>
        <v>0</v>
      </c>
      <c r="C38" s="38">
        <f>IF('Общие данные'!$B$77='Общие данные'!$C$77,'График дифференц'!C37,IF('Общие данные'!$B$77='Общие данные'!$D$77,'График аннуитет.'!C37))</f>
        <v>0</v>
      </c>
      <c r="D38" s="38">
        <f>IF('Общие данные'!$B$77='Общие данные'!$C$77,'График дифференц'!D37,IF('Общие данные'!$B$77='Общие данные'!$D$77,'График аннуитет.'!D37))</f>
        <v>0</v>
      </c>
      <c r="E38" s="38">
        <f>IF('Общие данные'!$B$77='Общие данные'!$C$77,'График дифференц'!E37,IF('Общие данные'!$B$77='Общие данные'!$D$77,'График аннуитет.'!E37))</f>
        <v>0</v>
      </c>
      <c r="F38" s="38">
        <f>IF('Общие данные'!$B$77='Общие данные'!$C$77,'График дифференц'!F37,IF('Общие данные'!$B$77='Общие данные'!$D$77,'График аннуитет.'!F37))</f>
        <v>0</v>
      </c>
    </row>
    <row r="39" spans="1:6" hidden="1" x14ac:dyDescent="0.25">
      <c r="A39" s="22" t="e">
        <f t="shared" si="0"/>
        <v>#VALUE!</v>
      </c>
      <c r="B39" s="37" t="b">
        <f>'График дифференц'!B38</f>
        <v>0</v>
      </c>
      <c r="C39" s="38">
        <f>IF('Общие данные'!$B$77='Общие данные'!$C$77,'График дифференц'!C38,IF('Общие данные'!$B$77='Общие данные'!$D$77,'График аннуитет.'!C38))</f>
        <v>0</v>
      </c>
      <c r="D39" s="38">
        <f>IF('Общие данные'!$B$77='Общие данные'!$C$77,'График дифференц'!D38,IF('Общие данные'!$B$77='Общие данные'!$D$77,'График аннуитет.'!D38))</f>
        <v>0</v>
      </c>
      <c r="E39" s="38">
        <f>IF('Общие данные'!$B$77='Общие данные'!$C$77,'График дифференц'!E38,IF('Общие данные'!$B$77='Общие данные'!$D$77,'График аннуитет.'!E38))</f>
        <v>0</v>
      </c>
      <c r="F39" s="38">
        <f>IF('Общие данные'!$B$77='Общие данные'!$C$77,'График дифференц'!F38,IF('Общие данные'!$B$77='Общие данные'!$D$77,'График аннуитет.'!F38))</f>
        <v>0</v>
      </c>
    </row>
    <row r="40" spans="1:6" hidden="1" x14ac:dyDescent="0.25">
      <c r="A40" s="22" t="e">
        <f t="shared" si="0"/>
        <v>#VALUE!</v>
      </c>
      <c r="B40" s="37" t="b">
        <f>'График дифференц'!B39</f>
        <v>0</v>
      </c>
      <c r="C40" s="38">
        <f>IF('Общие данные'!$B$77='Общие данные'!$C$77,'График дифференц'!C39,IF('Общие данные'!$B$77='Общие данные'!$D$77,'График аннуитет.'!C39))</f>
        <v>0</v>
      </c>
      <c r="D40" s="38">
        <f>IF('Общие данные'!$B$77='Общие данные'!$C$77,'График дифференц'!D39,IF('Общие данные'!$B$77='Общие данные'!$D$77,'График аннуитет.'!D39))</f>
        <v>0</v>
      </c>
      <c r="E40" s="38">
        <f>IF('Общие данные'!$B$77='Общие данные'!$C$77,'График дифференц'!E39,IF('Общие данные'!$B$77='Общие данные'!$D$77,'График аннуитет.'!E39))</f>
        <v>0</v>
      </c>
      <c r="F40" s="38">
        <f>IF('Общие данные'!$B$77='Общие данные'!$C$77,'График дифференц'!F39,IF('Общие данные'!$B$77='Общие данные'!$D$77,'График аннуитет.'!F39))</f>
        <v>0</v>
      </c>
    </row>
    <row r="41" spans="1:6" hidden="1" x14ac:dyDescent="0.25">
      <c r="A41" s="22" t="e">
        <f t="shared" si="0"/>
        <v>#VALUE!</v>
      </c>
      <c r="B41" s="37" t="b">
        <f>'График дифференц'!B40</f>
        <v>0</v>
      </c>
      <c r="C41" s="38">
        <f>IF('Общие данные'!$B$77='Общие данные'!$C$77,'График дифференц'!C40,IF('Общие данные'!$B$77='Общие данные'!$D$77,'График аннуитет.'!C40))</f>
        <v>0</v>
      </c>
      <c r="D41" s="38">
        <f>IF('Общие данные'!$B$77='Общие данные'!$C$77,'График дифференц'!D40,IF('Общие данные'!$B$77='Общие данные'!$D$77,'График аннуитет.'!D40))</f>
        <v>0</v>
      </c>
      <c r="E41" s="38">
        <f>IF('Общие данные'!$B$77='Общие данные'!$C$77,'График дифференц'!E40,IF('Общие данные'!$B$77='Общие данные'!$D$77,'График аннуитет.'!E40))</f>
        <v>0</v>
      </c>
      <c r="F41" s="38">
        <f>IF('Общие данные'!$B$77='Общие данные'!$C$77,'График дифференц'!F40,IF('Общие данные'!$B$77='Общие данные'!$D$77,'График аннуитет.'!F40))</f>
        <v>0</v>
      </c>
    </row>
    <row r="42" spans="1:6" hidden="1" x14ac:dyDescent="0.25">
      <c r="A42" s="22" t="e">
        <f t="shared" si="0"/>
        <v>#VALUE!</v>
      </c>
      <c r="B42" s="37" t="b">
        <f>'График дифференц'!B41</f>
        <v>0</v>
      </c>
      <c r="C42" s="38">
        <f>IF('Общие данные'!$B$77='Общие данные'!$C$77,'График дифференц'!C41,IF('Общие данные'!$B$77='Общие данные'!$D$77,'График аннуитет.'!C41))</f>
        <v>0</v>
      </c>
      <c r="D42" s="38">
        <f>IF('Общие данные'!$B$77='Общие данные'!$C$77,'График дифференц'!D41,IF('Общие данные'!$B$77='Общие данные'!$D$77,'График аннуитет.'!D41))</f>
        <v>0</v>
      </c>
      <c r="E42" s="38">
        <f>IF('Общие данные'!$B$77='Общие данные'!$C$77,'График дифференц'!E41,IF('Общие данные'!$B$77='Общие данные'!$D$77,'График аннуитет.'!E41))</f>
        <v>0</v>
      </c>
      <c r="F42" s="38">
        <f>IF('Общие данные'!$B$77='Общие данные'!$C$77,'График дифференц'!F41,IF('Общие данные'!$B$77='Общие данные'!$D$77,'График аннуитет.'!F41))</f>
        <v>0</v>
      </c>
    </row>
    <row r="43" spans="1:6" hidden="1" x14ac:dyDescent="0.25">
      <c r="A43" s="22" t="e">
        <f t="shared" si="0"/>
        <v>#VALUE!</v>
      </c>
      <c r="B43" s="37" t="b">
        <f>'График дифференц'!B42</f>
        <v>0</v>
      </c>
      <c r="C43" s="38">
        <f>IF('Общие данные'!$B$77='Общие данные'!$C$77,'График дифференц'!C42,IF('Общие данные'!$B$77='Общие данные'!$D$77,'График аннуитет.'!C42))</f>
        <v>0</v>
      </c>
      <c r="D43" s="38">
        <f>IF('Общие данные'!$B$77='Общие данные'!$C$77,'График дифференц'!D42,IF('Общие данные'!$B$77='Общие данные'!$D$77,'График аннуитет.'!D42))</f>
        <v>0</v>
      </c>
      <c r="E43" s="38">
        <f>IF('Общие данные'!$B$77='Общие данные'!$C$77,'График дифференц'!E42,IF('Общие данные'!$B$77='Общие данные'!$D$77,'График аннуитет.'!E42))</f>
        <v>0</v>
      </c>
      <c r="F43" s="38">
        <f>IF('Общие данные'!$B$77='Общие данные'!$C$77,'График дифференц'!F42,IF('Общие данные'!$B$77='Общие данные'!$D$77,'График аннуитет.'!F42))</f>
        <v>0</v>
      </c>
    </row>
    <row r="44" spans="1:6" ht="17.25" hidden="1" customHeight="1" x14ac:dyDescent="0.25">
      <c r="A44" s="22" t="e">
        <f t="shared" si="0"/>
        <v>#VALUE!</v>
      </c>
      <c r="B44" s="37" t="b">
        <f>'График дифференц'!B43</f>
        <v>0</v>
      </c>
      <c r="C44" s="38">
        <f>IF('Общие данные'!$B$77='Общие данные'!$C$77,'График дифференц'!C43,IF('Общие данные'!$B$77='Общие данные'!$D$77,'График аннуитет.'!C43))</f>
        <v>0</v>
      </c>
      <c r="D44" s="38">
        <f>IF('Общие данные'!$B$77='Общие данные'!$C$77,'График дифференц'!D43,IF('Общие данные'!$B$77='Общие данные'!$D$77,'График аннуитет.'!D43))</f>
        <v>0</v>
      </c>
      <c r="E44" s="38">
        <f>IF('Общие данные'!$B$77='Общие данные'!$C$77,'График дифференц'!E43,IF('Общие данные'!$B$77='Общие данные'!$D$77,'График аннуитет.'!E43))</f>
        <v>0</v>
      </c>
      <c r="F44" s="38">
        <f>IF('Общие данные'!$B$77='Общие данные'!$C$77,'График дифференц'!F43,IF('Общие данные'!$B$77='Общие данные'!$D$77,'График аннуитет.'!F43))</f>
        <v>0</v>
      </c>
    </row>
    <row r="45" spans="1:6" ht="15" customHeight="1" x14ac:dyDescent="0.25">
      <c r="A45" s="50"/>
      <c r="B45" s="51" t="s">
        <v>210</v>
      </c>
      <c r="C45" s="52"/>
      <c r="D45" s="52">
        <f>SUM(D9:D44)</f>
        <v>100000000</v>
      </c>
      <c r="E45" s="52">
        <f t="shared" ref="E45:F45" si="1">SUM(E9:E44)</f>
        <v>15986874.090000002</v>
      </c>
      <c r="F45" s="52">
        <f t="shared" si="1"/>
        <v>115986874.09</v>
      </c>
    </row>
    <row r="46" spans="1:6" ht="21" customHeight="1" x14ac:dyDescent="0.25">
      <c r="B46" s="39"/>
      <c r="C46" s="40"/>
      <c r="D46" s="40"/>
      <c r="E46" s="40"/>
      <c r="F46" s="40"/>
    </row>
    <row r="47" spans="1:6" ht="47.25" customHeight="1" x14ac:dyDescent="0.25">
      <c r="A47" s="231"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1"/>
      <c r="C47" s="231"/>
      <c r="D47" s="231"/>
      <c r="E47" s="231"/>
      <c r="F47" s="231"/>
    </row>
    <row r="48" spans="1:6" ht="7.5" customHeight="1" x14ac:dyDescent="0.25"/>
    <row r="49" spans="1:6" ht="15" customHeight="1" x14ac:dyDescent="0.25">
      <c r="A49" s="259" t="s">
        <v>273</v>
      </c>
      <c r="B49" s="259"/>
      <c r="C49" s="259"/>
      <c r="D49" s="259" t="s">
        <v>281</v>
      </c>
      <c r="E49" s="259"/>
      <c r="F49" s="259"/>
    </row>
    <row r="50" spans="1:6" ht="11.25" customHeight="1" x14ac:dyDescent="0.25">
      <c r="A50" s="260"/>
      <c r="B50" s="260"/>
      <c r="C50" s="260"/>
      <c r="D50" s="260"/>
      <c r="E50" s="260"/>
      <c r="F50" s="260"/>
    </row>
    <row r="51" spans="1:6" ht="30" customHeight="1" x14ac:dyDescent="0.25">
      <c r="A51" s="258" t="str">
        <f>договор!A117</f>
        <v>«CLEVER MIKROMOLIYA TASHKILOTI» MChJ</v>
      </c>
      <c r="B51" s="258"/>
      <c r="C51" s="258"/>
      <c r="D51" s="258" t="str">
        <f>договор!B117</f>
        <v>CHUCHARINA MARGARITA SERGEYEVNA</v>
      </c>
      <c r="E51" s="258"/>
      <c r="F51" s="258"/>
    </row>
    <row r="52" spans="1:6" ht="57.75" customHeight="1" x14ac:dyDescent="0.25">
      <c r="A52" s="254" t="str">
        <f>договор!A119</f>
        <v>Manzil: Toshkent shahri, Olmazor tumani, Sagbon ko'chasi, 30 boshi berk, 6-uy</v>
      </c>
      <c r="B52" s="254"/>
      <c r="C52" s="254"/>
      <c r="D52" s="254" t="str">
        <f>договор!B119</f>
        <v>TOSHKЕNT SHAHRI YAKKASAROY TUMANI Rakat daxasi, Uy 12, Kvartira 47</v>
      </c>
      <c r="E52" s="254"/>
      <c r="F52" s="254"/>
    </row>
    <row r="53" spans="1:6" ht="19.5" customHeight="1" x14ac:dyDescent="0.25">
      <c r="A53" s="254" t="str">
        <f>договор!A120</f>
        <v>h/r: №20216000705068380001</v>
      </c>
      <c r="B53" s="254"/>
      <c r="C53" s="254"/>
      <c r="D53" s="254" t="str">
        <f>договор!B121</f>
        <v>pasport seriyasi: AD 2029757, IIV 60005 tomonidan 16.11.2022 yilda berilgan</v>
      </c>
      <c r="E53" s="254"/>
      <c r="F53" s="254"/>
    </row>
    <row r="54" spans="1:6" ht="35.25" customHeight="1" x14ac:dyDescent="0.25">
      <c r="A54" s="254" t="str">
        <f>договор!A121</f>
        <v>MFO: №01042 в ATB “Kapitalbank” Sergeli filiali</v>
      </c>
      <c r="B54" s="254"/>
      <c r="C54" s="254"/>
      <c r="D54" s="254"/>
      <c r="E54" s="254"/>
      <c r="F54" s="254"/>
    </row>
    <row r="55" spans="1:6" ht="15" customHeight="1" x14ac:dyDescent="0.25">
      <c r="A55" s="254" t="str">
        <f>договор!A122</f>
        <v>STIR: 306365847</v>
      </c>
      <c r="B55" s="254"/>
      <c r="C55" s="254"/>
      <c r="D55" s="254" t="str">
        <f>договор!B122</f>
        <v>Tel: 97 443 05 80 KLIENT</v>
      </c>
      <c r="E55" s="254"/>
      <c r="F55" s="254"/>
    </row>
    <row r="56" spans="1:6" ht="15" customHeight="1" x14ac:dyDescent="0.25">
      <c r="A56" s="254" t="str">
        <f>договор!A123</f>
        <v>Tel: (78) 113 31 33</v>
      </c>
      <c r="B56" s="254"/>
      <c r="C56" s="254"/>
      <c r="D56" s="254" t="str">
        <f>договор!B123</f>
        <v>90 167 16 70 SHAHNOZA</v>
      </c>
      <c r="E56" s="254"/>
      <c r="F56" s="254"/>
    </row>
    <row r="57" spans="1:6" ht="15" customHeight="1" x14ac:dyDescent="0.25">
      <c r="A57" s="254" t="str">
        <f>договор!A124</f>
        <v>(90) 969 53 65</v>
      </c>
      <c r="B57" s="254"/>
      <c r="C57" s="254"/>
      <c r="D57" s="254" t="str">
        <f>договор!B124</f>
        <v>93 400 04 48 BARKAMOL</v>
      </c>
      <c r="E57" s="254"/>
      <c r="F57" s="254"/>
    </row>
    <row r="58" spans="1:6" ht="23.25" customHeight="1" x14ac:dyDescent="0.25">
      <c r="A58" s="254"/>
      <c r="B58" s="254"/>
      <c r="C58" s="254"/>
      <c r="D58" s="254" t="str">
        <f>IF(договор!B125=0,"",договор!B125)</f>
        <v/>
      </c>
      <c r="E58" s="254"/>
      <c r="F58" s="254"/>
    </row>
    <row r="59" spans="1:6" ht="29.25" customHeight="1" x14ac:dyDescent="0.25">
      <c r="A59" s="308" t="s">
        <v>393</v>
      </c>
      <c r="B59" s="308"/>
      <c r="C59" s="308"/>
      <c r="D59" s="258" t="str">
        <f>договор!B126</f>
        <v>CHUCHARINA M.S.     __________________</v>
      </c>
      <c r="E59" s="258"/>
      <c r="F59" s="258"/>
    </row>
    <row r="60" spans="1:6" ht="15" customHeight="1" x14ac:dyDescent="0.25">
      <c r="A60" s="254"/>
      <c r="B60" s="254"/>
      <c r="C60" s="254"/>
      <c r="D60" s="258"/>
      <c r="E60" s="258"/>
      <c r="F60" s="258"/>
    </row>
    <row r="61" spans="1:6" x14ac:dyDescent="0.25">
      <c r="A61" s="308" t="s">
        <v>396</v>
      </c>
      <c r="B61" s="308"/>
      <c r="C61" s="308"/>
      <c r="D61" s="258"/>
      <c r="E61" s="258"/>
      <c r="F61" s="258"/>
    </row>
    <row r="62" spans="1:6" ht="8.25" customHeight="1" x14ac:dyDescent="0.25">
      <c r="A62" s="254"/>
      <c r="B62" s="254"/>
      <c r="C62" s="254"/>
      <c r="D62" s="254"/>
      <c r="E62" s="254"/>
      <c r="F62" s="254"/>
    </row>
    <row r="63" spans="1:6" ht="30" customHeight="1" x14ac:dyDescent="0.25">
      <c r="A63" s="255"/>
      <c r="B63" s="255"/>
      <c r="C63" s="255"/>
      <c r="D63" s="256"/>
      <c r="E63" s="256"/>
      <c r="F63" s="256"/>
    </row>
    <row r="64" spans="1:6" x14ac:dyDescent="0.25">
      <c r="A64" s="257"/>
      <c r="B64" s="257"/>
      <c r="C64" s="257"/>
      <c r="D64" s="257"/>
      <c r="E64" s="257"/>
      <c r="F64" s="257"/>
    </row>
    <row r="65" spans="1:6" x14ac:dyDescent="0.25">
      <c r="A65" s="253"/>
      <c r="B65" s="253"/>
      <c r="C65" s="253"/>
      <c r="D65" s="253"/>
      <c r="E65" s="253"/>
      <c r="F65" s="253"/>
    </row>
  </sheetData>
  <mergeCells count="41">
    <mergeCell ref="E2:F2"/>
    <mergeCell ref="A5:F5"/>
    <mergeCell ref="A7:A8"/>
    <mergeCell ref="B7:B8"/>
    <mergeCell ref="C7:C8"/>
    <mergeCell ref="D7:F7"/>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D56:F56"/>
    <mergeCell ref="A57:C57"/>
    <mergeCell ref="D57:F57"/>
    <mergeCell ref="A58:C58"/>
    <mergeCell ref="D58:F58"/>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s>
  <conditionalFormatting sqref="B9:B44">
    <cfRule type="cellIs" dxfId="1" priority="6" operator="lessThan">
      <formula>22105</formula>
    </cfRule>
  </conditionalFormatting>
  <conditionalFormatting sqref="C9:F44">
    <cfRule type="cellIs" dxfId="0" priority="1" operator="lessThan">
      <formula>0.1</formula>
    </cfRule>
  </conditionalFormatting>
  <pageMargins left="0.70866141732283461" right="0.70866141732283461" top="0.19685039370078741" bottom="0.59055118110236215" header="0.31496062992125984" footer="0.19685039370078741"/>
  <pageSetup paperSize="9" fitToWidth="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XFC28"/>
  <sheetViews>
    <sheetView view="pageBreakPreview" topLeftCell="A5" zoomScaleNormal="100" zoomScaleSheetLayoutView="100" workbookViewId="0">
      <selection activeCell="A19" sqref="A19"/>
    </sheetView>
  </sheetViews>
  <sheetFormatPr defaultColWidth="0" defaultRowHeight="15.75" zeroHeight="1" x14ac:dyDescent="0.25"/>
  <cols>
    <col min="1" max="1" width="33" style="10" customWidth="1"/>
    <col min="2" max="2" width="53" style="10" customWidth="1"/>
    <col min="3" max="16383" width="9.140625" style="10" hidden="1"/>
    <col min="16384" max="16384" width="4" style="10" customWidth="1"/>
  </cols>
  <sheetData>
    <row r="5" spans="1:2" x14ac:dyDescent="0.25"/>
    <row r="6" spans="1:2" x14ac:dyDescent="0.25">
      <c r="B6" s="18" t="str">
        <f>'Общие данные'!B148</f>
        <v>«CLEVER MIKROMOLIYA TASHKILOTI» MChJ</v>
      </c>
    </row>
    <row r="7" spans="1:2" ht="20.25" customHeight="1" x14ac:dyDescent="0.25">
      <c r="A7" s="204"/>
      <c r="B7" s="195" t="str">
        <f>""&amp;'Общие данные'!A150&amp;"i "&amp;'Общие данные'!B150&amp;"ga"</f>
        <v>Ijrochi direktori Abduraximov N.K.ga</v>
      </c>
    </row>
    <row r="8" spans="1:2" x14ac:dyDescent="0.25">
      <c r="A8" s="180"/>
      <c r="B8" s="195" t="str">
        <f>""&amp;'Общие данные'!B111&amp;"dan"</f>
        <v>CHUCHARINA MARGARITA SERGEYEVNAdan</v>
      </c>
    </row>
    <row r="9" spans="1:2" ht="15.75" hidden="1" customHeight="1" x14ac:dyDescent="0.25">
      <c r="B9" s="11" t="str">
        <f>'Общие данные'!B111</f>
        <v>CHUCHARINA MARGARITA SERGEYEVNA</v>
      </c>
    </row>
    <row r="10" spans="1:2" ht="15.75" hidden="1" customHeight="1" x14ac:dyDescent="0.25">
      <c r="B10" s="11" t="str">
        <f>'Общие данные'!C111</f>
        <v>CHUCHARINA MARGARITA SERGEYEVNA</v>
      </c>
    </row>
    <row r="11" spans="1:2" ht="15.75" hidden="1" customHeight="1" x14ac:dyDescent="0.25">
      <c r="B11" s="180" t="s">
        <v>275</v>
      </c>
    </row>
    <row r="12" spans="1:2" x14ac:dyDescent="0.25"/>
    <row r="13" spans="1:2" ht="115.5" customHeight="1" x14ac:dyDescent="0.25">
      <c r="A13" s="291" t="str">
        <f>IF('Общие данные'!B103="Avtotransport",A14,A15)</f>
        <v>CHUCHARINA MARGARITA SERGEYEVNA tomonidan so’ralayotgan 6 (olti) oy muddatga, 100 000 000 (yuz million so'm) miqdoridagi mikroqarzning ta’minoti sifatida menga mulk huquqi asosida tegishli bo’lgan  CHEVROLET TRACKER 2, kuzov turi - YENGIL KROSSOVER, kuzov raqami XWBUA7659PA551726, dvigatel raqami L4HA1222413MYWX0269, shassi raqami -  - , rangi -  QORA CHYORNIY , ishlab chiqarilgan yili - 2023, avtotransport vositasini qabul qilishingizni so’rayman:</v>
      </c>
      <c r="B13" s="291"/>
    </row>
    <row r="14" spans="1:2" ht="124.5" hidden="1" customHeight="1" x14ac:dyDescent="0.25">
      <c r="A14" s="291"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CHUCHARINA MARGARITA SERGEYEVNA tomonidan so’ralayotgan 6 (olti) oy muddatga, 100 000 000 (yuz million so'm) miqdoridagi mikroqarzning ta’minoti sifatida menga mulk huquqi asosida tegishli bo’lgan  CHEVROLET TRACKER 2, kuzov turi - YENGIL KROSSOVER, kuzov raqami XWBUA7659PA551726, dvigatel raqami L4HA1222413MYWX0269, shassi raqami -  - , rangi -  QORA CHYORNIY , ishlab chiqarilgan yili - 2023, avtotransport vositasini qabul qilishingizni so’rayman:</v>
      </c>
      <c r="B14" s="291"/>
    </row>
    <row r="15" spans="1:2" ht="116.25" hidden="1" customHeight="1" x14ac:dyDescent="0.25">
      <c r="A15" s="291"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CHUCHARINA MARGARITA SERGEYEVNA tomonidan so’ralayotgan 6 (olti) oy muddatga, 100 000 000 (yuz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1"/>
    </row>
    <row r="16" spans="1:2" x14ac:dyDescent="0.25"/>
    <row r="17" spans="1:2" x14ac:dyDescent="0.25"/>
    <row r="18" spans="1:2" x14ac:dyDescent="0.25">
      <c r="B18" s="11" t="s">
        <v>274</v>
      </c>
    </row>
    <row r="19" spans="1:2" ht="18.75" customHeight="1" x14ac:dyDescent="0.25">
      <c r="A19" s="10" t="str">
        <f>IF('Общие данные'!B94='Общие данные'!C94,'Общие данные'!B112,'Общие данные'!B7)</f>
        <v>CHUCHARINA M.S.</v>
      </c>
      <c r="B19" s="63" t="str">
        <f>'Общие данные'!B2</f>
        <v>27.01.2025</v>
      </c>
    </row>
    <row r="20" spans="1:2" ht="57" hidden="1" customHeight="1" x14ac:dyDescent="0.25">
      <c r="A20" s="309" t="str">
        <f>IF('Общие данные'!B94='Общие данные'!D94,CONCATENATE(A24," ",A28,A22),"")</f>
        <v/>
      </c>
      <c r="B20" s="309"/>
    </row>
    <row r="21" spans="1:2" x14ac:dyDescent="0.25">
      <c r="A21" s="10" t="s">
        <v>26</v>
      </c>
    </row>
    <row r="22" spans="1:2" hidden="1" x14ac:dyDescent="0.25">
      <c r="A22" s="10"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x14ac:dyDescent="0.25">
      <c r="A24" s="10" t="str">
        <f>"№"&amp;'Общие данные'!B100&amp; ""</f>
        <v>№</v>
      </c>
    </row>
    <row r="25" spans="1:2" hidden="1" x14ac:dyDescent="0.25">
      <c r="A25" s="10" t="str">
        <f>'Общие данные'!B102</f>
        <v>00.01.1900</v>
      </c>
    </row>
    <row r="26" spans="1:2" hidden="1" x14ac:dyDescent="0.25">
      <c r="A26" s="10" t="str">
        <f>TEXT(A25,"ДД.ММ.ГГГГ")</f>
        <v>00.01.1900</v>
      </c>
    </row>
    <row r="27" spans="1:2" hidden="1" x14ac:dyDescent="0.25">
      <c r="A27" s="10" t="s">
        <v>350</v>
      </c>
    </row>
    <row r="28" spans="1:2" hidden="1" x14ac:dyDescent="0.25">
      <c r="A28" s="10"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7"/>
  <sheetViews>
    <sheetView view="pageBreakPreview" topLeftCell="A29" zoomScaleNormal="100" zoomScaleSheetLayoutView="100" workbookViewId="0">
      <selection activeCell="D62" sqref="D62:E62"/>
    </sheetView>
  </sheetViews>
  <sheetFormatPr defaultColWidth="9.140625" defaultRowHeight="15" outlineLevelRow="1" x14ac:dyDescent="0.25"/>
  <cols>
    <col min="1" max="1" width="28.42578125" style="19" customWidth="1"/>
    <col min="2" max="2" width="22.85546875" style="19" customWidth="1"/>
    <col min="3" max="3" width="22.42578125" style="19" customWidth="1"/>
    <col min="4" max="4" width="21.42578125" style="19" customWidth="1"/>
    <col min="5" max="5" width="24.140625" style="19" customWidth="1"/>
    <col min="6" max="16384" width="9.140625" style="19"/>
  </cols>
  <sheetData>
    <row r="1" spans="1:5" ht="106.5" customHeight="1" x14ac:dyDescent="0.25"/>
    <row r="2" spans="1:5" x14ac:dyDescent="0.25">
      <c r="A2" s="262" t="str">
        <f>"GAROV PREDMETI QIYMATINI KELISHISH 
№"&amp;'Общие данные'!B141&amp;" SONLI DALOLATNOMASI
 "</f>
        <v xml:space="preserve">GAROV PREDMETI QIYMATINI KELISHISH 
№1 SONLI DALOLATNOMASI
 </v>
      </c>
      <c r="B2" s="262"/>
      <c r="C2" s="262"/>
      <c r="D2" s="262"/>
      <c r="E2" s="262"/>
    </row>
    <row r="3" spans="1:5" x14ac:dyDescent="0.25">
      <c r="A3" s="44"/>
      <c r="B3" s="44"/>
      <c r="C3" s="44"/>
      <c r="D3" s="44"/>
      <c r="E3" s="44"/>
    </row>
    <row r="4" spans="1:5" x14ac:dyDescent="0.25">
      <c r="A4" s="41" t="s">
        <v>208</v>
      </c>
      <c r="B4" s="41"/>
      <c r="C4" s="41"/>
      <c r="D4" s="41"/>
      <c r="E4" s="41" t="str">
        <f>'Общие данные'!B142</f>
        <v>27 yanvar 2025 y.</v>
      </c>
    </row>
    <row r="5" spans="1:5" ht="9" customHeight="1" x14ac:dyDescent="0.25">
      <c r="A5" s="231"/>
      <c r="B5" s="231"/>
      <c r="C5" s="231"/>
      <c r="D5" s="231"/>
      <c r="E5" s="231"/>
    </row>
    <row r="6" spans="1:5" ht="83.25" customHeight="1" x14ac:dyDescent="0.25">
      <c r="A6" s="231" t="str">
        <f>IF('Общие данные'!B103="avtotransport",'Акт согласования'!A10:E10,'Акт согласования'!A7:E7)</f>
        <v>«CLEVER MIKROMOLIYA TASHKILOTI» MChJning (1-tomon) vakili bo‘lgan  Ijrochi direktor Abduraximov N.K., O‘zbekiston Respublikasi fuqarosi va garovga beruvchi CHUCHARINA MARGARITA SERGEYEVNA (2-tomon) o’rtalarida, 27 yanvar 2025 y.dan №202-sonli Mikroqarz shartnomasiga muvofiq 1-tomon 2-tomonga berilgan mikroqarz bo‘yicha ta’minot sifatida taqdim etilgan, 2-tomonga mulk huquqi asosida tegishli bo‘lgan mulkning garov qiymatini kelishish muzokaralari o’tkazildi.</v>
      </c>
      <c r="B6" s="231"/>
      <c r="C6" s="231"/>
      <c r="D6" s="231"/>
      <c r="E6" s="231"/>
    </row>
    <row r="7" spans="1:5" ht="88.5" hidden="1" customHeight="1" x14ac:dyDescent="0.25">
      <c r="A7" s="231" t="str">
        <f>IF('Общие данные'!B93="ha",'Акт согласования'!A9:E9,'Акт согласования'!A8:E8)</f>
        <v xml:space="preserve">«CLEVER MIKROMOLIYA TASHKILOTI» MChJning (1-tomon) vakili bo‘lgan  Ijrochi direktor Abduraximov N.K., va O‘zbekiston Respublikasi fuqarosi  CHUCHARINA MARGARITA SERGEYEVNA (2-tomon) va garov egasi CHUCHARINA MARGARITA SERGEYEVNA (3-tomon) 27 yanvar 2025 y.dan №202 Mikroqarz shartnomasiga muvofiq 1-tomon 2-tomonga berilgan mikroqarz bo‘yicha ta’minot sifatida taqdim etilgan, 2-tomonga mulk huquqi asosida tegishli bo‘lgan mulkning garov qiymatini kelishish muzokaralari o’tkazildi. </v>
      </c>
      <c r="B7" s="231"/>
      <c r="C7" s="231"/>
      <c r="D7" s="231"/>
      <c r="E7" s="231"/>
    </row>
    <row r="8" spans="1:5" ht="88.5" hidden="1" customHeight="1" x14ac:dyDescent="0.25">
      <c r="A8" s="231"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Ijrochi direktor Abduraximov N.K., va O‘zbekiston Respublikasi fuqarosi  CHUCHARINA MARGARITA SERGEYEVNA (2-tomon) va garov egasi CHUCHARINA MARGARITA SERGEYEVNA (3-tomon) 27 yanvar 2025 y.dan №202 Mikroqarz shartnomasiga muvofiq 1-tomon 2-tomonga berilgan mikroqarz bo‘yicha ta’minot sifatida taqdim etilgan, 2-tomonga mulk huquqi asosida tegishli bo‘lgan mulkning garov qiymatini kelishish muzokaralari o’tkazildi. </v>
      </c>
      <c r="B8" s="231"/>
      <c r="C8" s="231"/>
      <c r="D8" s="231"/>
      <c r="E8" s="231"/>
    </row>
    <row r="9" spans="1:5" ht="88.5" hidden="1" customHeight="1" x14ac:dyDescent="0.25">
      <c r="A9" s="231"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Ijrochi direktor Abduraximov N.K., va O‘zbekiston Respublikasi fuqarosi  CHUCHARINA MARGARITA SERGEYEVNA (2-tomon) va garov egasi CHUCHARINA MARGARITA SERGEYEVNA (3-tomon) 27 yanvar 2025 y.dan №202 Mikroqarz shartnomasiga muvofiq 1-tomon 2-tomonga berilgan mikroqarz bo‘yicha ta’minot sifatida taqdim etilgan, 2-tomonga mulk huquqi asosida tegishli bo‘lgan mulkning garov qiymatini kelishish muzokaralari o’tkazildi. </v>
      </c>
      <c r="B9" s="231"/>
      <c r="C9" s="231"/>
      <c r="D9" s="231"/>
      <c r="E9" s="231"/>
    </row>
    <row r="10" spans="1:5" ht="88.5" hidden="1" customHeight="1" x14ac:dyDescent="0.25">
      <c r="A10" s="231" t="str">
        <f>IF('Общие данные'!B93="ha",'Акт согласования'!A12:E12,'Акт согласования'!A11:E11)</f>
        <v>«CLEVER MIKROMOLIYA TASHKILOTI» MChJning (1-tomon) vakili bo‘lgan  Ijrochi direktor Abduraximov N.K., O‘zbekiston Respublikasi fuqarosi va garovga beruvchi CHUCHARINA MARGARITA SERGEYEVNA (2-tomon) o’rtalarida, 27 yanvar 2025 y.dan №202-sonli Mikroqarz shartnomasiga muvofiq 1-tomon 2-tomonga berilgan mikroqarz bo‘yicha ta’minot sifatida taqdim etilgan, 2-tomonga mulk huquqi asosida tegishli bo‘lgan mulkning garov qiymatini kelishish muzokaralari o’tkazildi.</v>
      </c>
      <c r="B10" s="231"/>
      <c r="C10" s="231"/>
      <c r="D10" s="231"/>
      <c r="E10" s="231"/>
    </row>
    <row r="11" spans="1:5" ht="88.5" hidden="1" customHeight="1" x14ac:dyDescent="0.25">
      <c r="A11" s="231"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Ijrochi direktor Abduraximov N.K., O‘zbekiston Respublikasi fuqarosi CHUCHARINA MARGARITA SERGEYEVNA (2-tomon) va garovga beruvchi O‘zbekiston Respublikasi fuqarosi CHUCHARINA MARGARITA SERGEYEVNA (3-tomon) o’rtalarida, 27 yanvar 2025 y.dan №202-sonli Mikroqarz shartnomasiga muvofiq 1-tomon 2-tomonga berilgan mikroqarz bo‘yicha ta’minot sifatida taqdim etilgan, 3-tomonga mulk huquqi asosida tegishli bo‘lgan mulkning garov qiymatini kelishish muzokaralari o’tkazildi.</v>
      </c>
      <c r="B11" s="231"/>
      <c r="C11" s="231"/>
      <c r="D11" s="231"/>
      <c r="E11" s="231"/>
    </row>
    <row r="12" spans="1:5" ht="88.5" hidden="1" customHeight="1" x14ac:dyDescent="0.25">
      <c r="A12" s="231"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Ijrochi direktor Abduraximov N.K., O‘zbekiston Respublikasi fuqarosi va garovga beruvchi CHUCHARINA MARGARITA SERGEYEVNA (2-tomon) o’rtalarida, 27 yanvar 2025 y.dan №202-sonli Mikroqarz shartnomasiga muvofiq 1-tomon 2-tomonga berilgan mikroqarz bo‘yicha ta’minot sifatida taqdim etilgan, 2-tomonga mulk huquqi asosida tegishli bo‘lgan mulkning garov qiymatini kelishish muzokaralari o’tkazildi.</v>
      </c>
      <c r="B12" s="231"/>
      <c r="C12" s="231"/>
      <c r="D12" s="231"/>
      <c r="E12" s="231"/>
    </row>
    <row r="13" spans="1:5" ht="88.5" hidden="1" customHeight="1" x14ac:dyDescent="0.25">
      <c r="A13" s="231" t="str">
        <f>"Garov predmeti sifatida "&amp;'Общие данные'!B125&amp;", 3-tomonga egalik huquqi tegishli bo'lgan, quyidagi tafsilotlarga ega avtotransport vositasi taqdim etiladi:"</f>
        <v>Garov predmeti sifatida CHEVROLET TRACKER 2, 3-tomonga egalik huquqi tegishli bo'lgan, quyidagi tafsilotlarga ega avtotransport vositasi taqdim etiladi:</v>
      </c>
      <c r="B13" s="231"/>
      <c r="C13" s="231"/>
      <c r="D13" s="231"/>
      <c r="E13" s="231"/>
    </row>
    <row r="14" spans="1:5" ht="88.5" hidden="1" customHeight="1" x14ac:dyDescent="0.25">
      <c r="A14" s="231" t="str">
        <f>"Garov predmeti sifatida "&amp;'Общие данные'!B125&amp;", 2-tomonga egalik huquqi tegishli bo'lgan, quyidagi tafsilotlarga ega avtotransport vositasi taqdim etiladi:"</f>
        <v>Garov predmeti sifatida CHEVROLET TRACKER 2, 2-tomonga egalik huquqi tegishli bo'lgan, quyidagi tafsilotlarga ega avtotransport vositasi taqdim etiladi:</v>
      </c>
      <c r="B14" s="231"/>
      <c r="C14" s="231"/>
      <c r="D14" s="231"/>
      <c r="E14" s="231"/>
    </row>
    <row r="15" spans="1:5" ht="88.5" hidden="1" customHeight="1" x14ac:dyDescent="0.25">
      <c r="A15" s="231" t="str">
        <f>IF('Общие данные'!B93="ha",'Акт согласования'!A14:E14,'Акт согласования'!A13:E13)</f>
        <v>Garov predmeti sifatida CHEVROLET TRACKER 2, 2-tomonga egalik huquqi tegishli bo'lgan, quyidagi tafsilotlarga ega avtotransport vositasi taqdim etiladi:</v>
      </c>
      <c r="B15" s="231"/>
      <c r="C15" s="231"/>
      <c r="D15" s="231"/>
      <c r="E15" s="231"/>
    </row>
    <row r="16" spans="1:5" ht="88.5" hidden="1" customHeight="1" x14ac:dyDescent="0.25">
      <c r="A16" s="231"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1"/>
      <c r="C16" s="231"/>
      <c r="D16" s="231"/>
      <c r="E16" s="231"/>
    </row>
    <row r="17" spans="1:5" ht="13.5" hidden="1" customHeight="1" x14ac:dyDescent="0.25">
      <c r="A17" s="231"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1"/>
      <c r="C17" s="231"/>
      <c r="D17" s="231"/>
      <c r="E17" s="231"/>
    </row>
    <row r="18" spans="1:5" ht="11.25" hidden="1" customHeight="1" x14ac:dyDescent="0.25">
      <c r="A18" s="231" t="str">
        <f>IF('Общие данные'!B93="ha",'Акт согласования'!A16:E16,'Акт согласования'!A17:E17)</f>
        <v>Garov predmeti sifatida 3 - xonali yakka tartibdagi uy-joy, 2-tomonga egalik huquqi tegishli bo'lgan, quyidagi tafsilotlarga ega ko'chmas mulk taqdim etiladi:</v>
      </c>
      <c r="B18" s="231"/>
      <c r="C18" s="231"/>
      <c r="D18" s="231"/>
      <c r="E18" s="231"/>
    </row>
    <row r="19" spans="1:5" ht="39.75" customHeight="1" x14ac:dyDescent="0.25">
      <c r="A19" s="231" t="str">
        <f>IF('Общие данные'!B103="Avtotransport",'Акт согласования'!A15:E15,'Акт согласования'!A18:E18)</f>
        <v>Garov predmeti sifatida CHEVROLET TRACKER 2, 2-tomonga egalik huquqi tegishli bo'lgan, quyidagi tafsilotlarga ega avtotransport vositasi taqdim etiladi:</v>
      </c>
      <c r="B19" s="231"/>
      <c r="C19" s="231"/>
      <c r="D19" s="231"/>
      <c r="E19" s="231"/>
    </row>
    <row r="20" spans="1:5" ht="48" customHeight="1" outlineLevel="1" x14ac:dyDescent="0.25">
      <c r="A20" s="43" t="s">
        <v>206</v>
      </c>
      <c r="B20" s="311" t="str">
        <f>IF('Общие данные'!B103='Общие данные'!C103,"Kuzov turi  va kuzov raqami*","Foydali maydoni")</f>
        <v>Kuzov turi  va kuzov raqami*</v>
      </c>
      <c r="C20" s="312"/>
      <c r="D20" s="43" t="str">
        <f>IF('Общие данные'!B103='Общие данные'!C103,"Dvigatel va shassi raqami*","Yashash maydoni")</f>
        <v>Dvigatel va shassi raqami*</v>
      </c>
      <c r="E20" s="43" t="str">
        <f>IF('Общие данные'!B103='Общие данные'!C103,"Ishlab chiqarilgan yili va rangi**","Umumiy maydoni")</f>
        <v>Ishlab chiqarilgan yili va rangi**</v>
      </c>
    </row>
    <row r="21" spans="1:5" ht="65.25" customHeight="1" outlineLevel="1" x14ac:dyDescent="0.25">
      <c r="A21" s="21" t="str">
        <f>IF('Общие данные'!B103='Общие данные'!C103,'Общие данные'!B125,'Общие данные'!C125)</f>
        <v>CHEVROLET TRACKER 2</v>
      </c>
      <c r="B21" s="264" t="str">
        <f>IF('Общие данные'!B103='Общие данные'!C103,'Общие данные'!B127,CONCATENATE('Общие данные'!F130," ","kv.m"))</f>
        <v>kuzov turi - YENGIL KROSSOVER, kuzov raqami XWBUA7659PA551726</v>
      </c>
      <c r="C21" s="264"/>
      <c r="D21" s="21" t="str">
        <f>IF('Общие данные'!B103='Общие данные'!C103,'Общие данные'!B130,'Общие данные'!E133)</f>
        <v xml:space="preserve">dvigatel raqami L4HA1222413MYWX0269, shassi raqami -  - </v>
      </c>
      <c r="E21" s="21" t="str">
        <f>IF('Общие данные'!B103='Общие данные'!C103,'Общие данные'!B133,'Общие данные'!E130)</f>
        <v>rangi -  QORA CHYORNIY , ishlab chiqarilgan yili - 2023</v>
      </c>
    </row>
    <row r="22" spans="1:5" ht="17.25" customHeight="1" outlineLevel="1" x14ac:dyDescent="0.25">
      <c r="A22" s="231" t="str">
        <f>"-* "&amp;IF('Общие данные'!B103='Общие данные'!C103,"avtotransport "&amp;"egasi: "&amp;'Общие данные'!B117&amp;"","ko'chmas mulk"&amp;" egasi: "&amp;'Общие данные'!B117&amp;"")</f>
        <v>-* avtotransport egasi: CHUCHARINA MARGARITA SERGEYEVNA</v>
      </c>
      <c r="B22" s="231"/>
      <c r="C22" s="231"/>
      <c r="D22" s="231"/>
      <c r="E22" s="231"/>
    </row>
    <row r="23" spans="1:5" outlineLevel="1" x14ac:dyDescent="0.25">
      <c r="A23" s="231" t="str">
        <f>IF('Общие данные'!B103='Общие данные'!C103,"-* texnik pasport: "&amp;'Общие данные'!B124&amp;"","-* reest raqami: "&amp;'Общие данные'!C124&amp;"")</f>
        <v>-* texnik pasport: AAG  1888277   10.07.2023 Y</v>
      </c>
      <c r="B23" s="231"/>
      <c r="C23" s="231"/>
      <c r="D23" s="231"/>
      <c r="E23" s="231"/>
    </row>
    <row r="24" spans="1:5" s="210" customFormat="1" outlineLevel="1" x14ac:dyDescent="0.25">
      <c r="A24" s="231" t="str">
        <f>IF('Общие данные'!B103='Общие данные'!C103,"-* roʻyxatdan oʻtgan manzili/garaj manzili: "&amp;'Общие данные'!B122&amp;"","-*  kadastr raqami: "&amp;'Общие данные'!C127&amp;"")</f>
        <v>-* roʻyxatdan oʻtgan manzili/garaj manzili: TOSHKЕNT SHAHRI YAKKASAROY TUMANI Rakat daxasi, Uy 12, Kvartira 47</v>
      </c>
      <c r="B24" s="231"/>
      <c r="C24" s="231"/>
      <c r="D24" s="231"/>
      <c r="E24" s="231"/>
    </row>
    <row r="25" spans="1:5" ht="33" customHeight="1" outlineLevel="1" x14ac:dyDescent="0.25">
      <c r="A25" s="231" t="str">
        <f>IF('Общие данные'!B103='Общие данные'!C103,"-* davlat raqami: "&amp;'Общие данные'!B126&amp;"","-* manzili: "&amp;'Общие данные'!C123&amp;"")</f>
        <v>-* davlat raqami: 01Y604CC</v>
      </c>
      <c r="B25" s="231"/>
      <c r="C25" s="231"/>
      <c r="D25" s="231"/>
      <c r="E25" s="231"/>
    </row>
    <row r="26" spans="1:5" ht="65.25" customHeight="1" x14ac:dyDescent="0.25">
      <c r="A26" s="231"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27 yanvar 2025 y.dan №202 Mikroqarz shartnomasi bo‘yicha berilgan mikroqarz bo‘yicha  
150 000 000,00 (yuz ellik million so'm) so’m bo‘lgan kelishilgan garov qiymatida qabul qiladi::</v>
      </c>
      <c r="B26" s="231"/>
      <c r="C26" s="231"/>
      <c r="D26" s="231"/>
      <c r="E26" s="231"/>
    </row>
    <row r="27" spans="1:5" ht="66" hidden="1" customHeight="1" x14ac:dyDescent="0.25">
      <c r="A27" s="231"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27 yanvar 2025 y.dan №202 mikroqarz shartnomasi bo‘yicha berilgan mikroqarz bo‘yicha  
150 000 000,00 (yuz ellik million so'm) so’m bo‘lgan kelishilgan garov qiymatida qabul qiladi::</v>
      </c>
      <c r="B27" s="231"/>
      <c r="C27" s="231"/>
      <c r="D27" s="231"/>
      <c r="E27" s="231"/>
    </row>
    <row r="28" spans="1:5" ht="58.5" hidden="1" customHeight="1" x14ac:dyDescent="0.25">
      <c r="A28" s="231"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27 yanvar 2025 y.dan №202 Mikroqarz shartnomasi bo‘yicha berilgan mikroqarz bo‘yicha  
150 000 000,00 (yuz ellik million so'm) so’m bo‘lgan kelishilgan garov qiymatida qabul qiladi::</v>
      </c>
      <c r="B28" s="231"/>
      <c r="C28" s="231"/>
      <c r="D28" s="231"/>
      <c r="E28" s="231"/>
    </row>
    <row r="29" spans="1:5" ht="51.75" customHeight="1" outlineLevel="1" x14ac:dyDescent="0.25">
      <c r="A29" s="43" t="s">
        <v>206</v>
      </c>
      <c r="B29" s="43" t="str">
        <f>B20</f>
        <v>Kuzov turi  va kuzov raqami*</v>
      </c>
      <c r="C29" s="43" t="str">
        <f>D20</f>
        <v>Dvigatel va shassi raqami*</v>
      </c>
      <c r="D29" s="43" t="str">
        <f>IF('Общие данные'!B103='Общие данные'!C103,"Ishlab chiqarilgan yili va rangi*","Foydalanishga topshirilgan sanasi")</f>
        <v>Ishlab chiqarilgan yili va rangi*</v>
      </c>
      <c r="E29" s="43" t="s">
        <v>207</v>
      </c>
    </row>
    <row r="30" spans="1:5" ht="76.5" customHeight="1" outlineLevel="1" x14ac:dyDescent="0.25">
      <c r="A30" s="21" t="str">
        <f>A21</f>
        <v>CHEVROLET TRACKER 2</v>
      </c>
      <c r="B30" s="21" t="str">
        <f>B21</f>
        <v>kuzov turi - YENGIL KROSSOVER, kuzov raqami XWBUA7659PA551726</v>
      </c>
      <c r="C30" s="21" t="str">
        <f>D21</f>
        <v xml:space="preserve">dvigatel raqami L4HA1222413MYWX0269, shassi raqami -  - </v>
      </c>
      <c r="D30" s="21" t="str">
        <f>IF('Общие данные'!B103='Общие данные'!C103,E21,TEXT('Общие данные'!C135,"ДД.ММ.ГГГГ"))</f>
        <v>rangi -  QORA CHYORNIY , ishlab chiqarilgan yili - 2023</v>
      </c>
      <c r="E30" s="21" t="str">
        <f>""&amp;FIXED('Общие данные'!B136,2)&amp;" 
("&amp;'Общие данные'!B137&amp;")"</f>
        <v>150 000 000,00 
(yuz ellik million so'm)</v>
      </c>
    </row>
    <row r="31" spans="1:5" ht="16.5" customHeight="1" x14ac:dyDescent="0.25">
      <c r="A31" s="20"/>
      <c r="B31" s="20"/>
      <c r="C31" s="20"/>
      <c r="D31" s="20"/>
      <c r="E31" s="20"/>
    </row>
    <row r="32" spans="1:5" ht="56.25" hidden="1" customHeight="1" outlineLevel="1" x14ac:dyDescent="0.25">
      <c r="A32" s="43" t="s">
        <v>5</v>
      </c>
      <c r="B32" s="43" t="s">
        <v>18</v>
      </c>
      <c r="C32" s="43" t="s">
        <v>19</v>
      </c>
      <c r="D32" s="43" t="s">
        <v>20</v>
      </c>
      <c r="E32" s="43" t="s">
        <v>6</v>
      </c>
    </row>
    <row r="33" spans="1:5" ht="15.75" hidden="1" customHeight="1" outlineLevel="1" x14ac:dyDescent="0.25">
      <c r="A33" s="21" t="e">
        <f>#REF!</f>
        <v>#REF!</v>
      </c>
      <c r="B33" s="128" t="e">
        <f>#REF!</f>
        <v>#REF!</v>
      </c>
      <c r="C33" s="128" t="e">
        <f>#REF!</f>
        <v>#REF!</v>
      </c>
      <c r="D33" s="128" t="e">
        <f>#REF!</f>
        <v>#REF!</v>
      </c>
      <c r="E33" s="314" t="str">
        <f>""&amp;FIXED('Общие данные'!C136,2)&amp;" ("&amp;'Общие данные'!B137&amp;")"</f>
        <v>150 000 000,00 (yuz ellik million so'm)</v>
      </c>
    </row>
    <row r="34" spans="1:5" ht="15.75" hidden="1" customHeight="1" outlineLevel="1" x14ac:dyDescent="0.25">
      <c r="A34" s="21"/>
      <c r="B34" s="128"/>
      <c r="C34" s="128"/>
      <c r="D34" s="128"/>
      <c r="E34" s="315"/>
    </row>
    <row r="35" spans="1:5" ht="15.75" hidden="1" customHeight="1" outlineLevel="1" x14ac:dyDescent="0.25">
      <c r="A35" s="21" t="e">
        <f>#REF!</f>
        <v>#REF!</v>
      </c>
      <c r="B35" s="128" t="e">
        <f>#REF!</f>
        <v>#REF!</v>
      </c>
      <c r="C35" s="128" t="e">
        <f>#REF!</f>
        <v>#REF!</v>
      </c>
      <c r="D35" s="128" t="e">
        <f>#REF!</f>
        <v>#REF!</v>
      </c>
      <c r="E35" s="315"/>
    </row>
    <row r="36" spans="1:5" ht="15.75" hidden="1" customHeight="1" outlineLevel="1" x14ac:dyDescent="0.25">
      <c r="A36" s="21" t="e">
        <f>#REF!</f>
        <v>#REF!</v>
      </c>
      <c r="B36" s="128" t="e">
        <f>#REF!</f>
        <v>#REF!</v>
      </c>
      <c r="C36" s="128" t="e">
        <f>#REF!</f>
        <v>#REF!</v>
      </c>
      <c r="D36" s="128" t="e">
        <f>#REF!</f>
        <v>#REF!</v>
      </c>
      <c r="E36" s="315"/>
    </row>
    <row r="37" spans="1:5" ht="15.75" hidden="1" customHeight="1" outlineLevel="1" x14ac:dyDescent="0.25">
      <c r="A37" s="21" t="e">
        <f>#REF!</f>
        <v>#REF!</v>
      </c>
      <c r="B37" s="128" t="e">
        <f>#REF!</f>
        <v>#REF!</v>
      </c>
      <c r="C37" s="128" t="e">
        <f>#REF!</f>
        <v>#REF!</v>
      </c>
      <c r="D37" s="128" t="e">
        <f>#REF!</f>
        <v>#REF!</v>
      </c>
      <c r="E37" s="315"/>
    </row>
    <row r="38" spans="1:5" ht="15.75" hidden="1" customHeight="1" outlineLevel="1" x14ac:dyDescent="0.25">
      <c r="A38" s="21" t="e">
        <f>#REF!</f>
        <v>#REF!</v>
      </c>
      <c r="B38" s="128" t="e">
        <f>#REF!</f>
        <v>#REF!</v>
      </c>
      <c r="C38" s="128" t="e">
        <f>#REF!</f>
        <v>#REF!</v>
      </c>
      <c r="D38" s="128" t="e">
        <f>#REF!</f>
        <v>#REF!</v>
      </c>
      <c r="E38" s="315"/>
    </row>
    <row r="39" spans="1:5" ht="15.75" hidden="1" customHeight="1" outlineLevel="1" x14ac:dyDescent="0.25">
      <c r="A39" s="21" t="e">
        <f>#REF!</f>
        <v>#REF!</v>
      </c>
      <c r="B39" s="128" t="e">
        <f>#REF!</f>
        <v>#REF!</v>
      </c>
      <c r="C39" s="128" t="e">
        <f>#REF!</f>
        <v>#REF!</v>
      </c>
      <c r="D39" s="128" t="e">
        <f>#REF!</f>
        <v>#REF!</v>
      </c>
      <c r="E39" s="315"/>
    </row>
    <row r="40" spans="1:5" ht="15.75" hidden="1" customHeight="1" outlineLevel="1" x14ac:dyDescent="0.25">
      <c r="A40" s="21" t="e">
        <f>#REF!</f>
        <v>#REF!</v>
      </c>
      <c r="B40" s="128" t="e">
        <f>#REF!</f>
        <v>#REF!</v>
      </c>
      <c r="C40" s="128" t="e">
        <f>#REF!</f>
        <v>#REF!</v>
      </c>
      <c r="D40" s="128" t="e">
        <f>#REF!</f>
        <v>#REF!</v>
      </c>
      <c r="E40" s="315"/>
    </row>
    <row r="41" spans="1:5" ht="15.75" hidden="1" customHeight="1" outlineLevel="1" x14ac:dyDescent="0.25">
      <c r="A41" s="21" t="e">
        <f>#REF!</f>
        <v>#REF!</v>
      </c>
      <c r="B41" s="128" t="e">
        <f>#REF!</f>
        <v>#REF!</v>
      </c>
      <c r="C41" s="128" t="e">
        <f>#REF!</f>
        <v>#REF!</v>
      </c>
      <c r="D41" s="128" t="e">
        <f>#REF!</f>
        <v>#REF!</v>
      </c>
      <c r="E41" s="315"/>
    </row>
    <row r="42" spans="1:5" ht="15.75" hidden="1" customHeight="1" outlineLevel="1" x14ac:dyDescent="0.25">
      <c r="A42" s="21" t="e">
        <f>#REF!</f>
        <v>#REF!</v>
      </c>
      <c r="B42" s="128" t="e">
        <f>#REF!</f>
        <v>#REF!</v>
      </c>
      <c r="C42" s="128" t="e">
        <f>#REF!</f>
        <v>#REF!</v>
      </c>
      <c r="D42" s="128" t="e">
        <f>#REF!</f>
        <v>#REF!</v>
      </c>
      <c r="E42" s="315"/>
    </row>
    <row r="43" spans="1:5" ht="15.75" hidden="1" customHeight="1" outlineLevel="1" x14ac:dyDescent="0.25">
      <c r="A43" s="21" t="e">
        <f>#REF!</f>
        <v>#REF!</v>
      </c>
      <c r="B43" s="21" t="e">
        <f>#REF!</f>
        <v>#REF!</v>
      </c>
      <c r="C43" s="21" t="e">
        <f>#REF!</f>
        <v>#REF!</v>
      </c>
      <c r="D43" s="21" t="e">
        <f>#REF!</f>
        <v>#REF!</v>
      </c>
      <c r="E43" s="316"/>
    </row>
    <row r="44" spans="1:5" s="41" customFormat="1" ht="15.75" hidden="1" customHeight="1" outlineLevel="1" x14ac:dyDescent="0.2">
      <c r="A44" s="43" t="e">
        <f>#REF!</f>
        <v>#REF!</v>
      </c>
      <c r="B44" s="43" t="e">
        <f>#REF!</f>
        <v>#REF!</v>
      </c>
      <c r="C44" s="43" t="e">
        <f>#REF!</f>
        <v>#REF!</v>
      </c>
      <c r="D44" s="43" t="e">
        <f>#REF!</f>
        <v>#REF!</v>
      </c>
      <c r="E44" s="43" t="str">
        <f>FIXED('Общие данные'!C136,2)</f>
        <v>150 000 000,00</v>
      </c>
    </row>
    <row r="45" spans="1:5" ht="12.75" customHeight="1" collapsed="1" x14ac:dyDescent="0.25">
      <c r="A45" s="20"/>
      <c r="B45" s="20"/>
      <c r="C45" s="20"/>
      <c r="D45" s="20"/>
      <c r="E45" s="20"/>
    </row>
    <row r="46" spans="1:5" ht="93.75" hidden="1" customHeight="1" x14ac:dyDescent="0.25">
      <c r="A46" s="231"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1"/>
      <c r="C46" s="231"/>
      <c r="D46" s="231"/>
      <c r="E46" s="231"/>
    </row>
    <row r="47" spans="1:5" ht="42" customHeight="1" x14ac:dyDescent="0.25">
      <c r="A47" s="231" t="s">
        <v>211</v>
      </c>
      <c r="B47" s="231"/>
      <c r="C47" s="231"/>
      <c r="D47" s="231"/>
      <c r="E47" s="231"/>
    </row>
    <row r="48" spans="1:5" ht="35.25" customHeight="1" x14ac:dyDescent="0.25">
      <c r="A48" s="231" t="str">
        <f>"Shunday qilib, garov predmetining kelishilgan garov qiymati  "&amp;FIXED('Общие данные'!B136)&amp;" ("&amp;'Общие данные'!B137&amp;") so‘mni tashkil etadi."</f>
        <v>Shunday qilib, garov predmetining kelishilgan garov qiymati  150 000 000,00 (yuz ellik million so'm) so‘mni tashkil etadi.</v>
      </c>
      <c r="B48" s="231"/>
      <c r="C48" s="231"/>
      <c r="D48" s="231"/>
      <c r="E48" s="231"/>
    </row>
    <row r="49" spans="1:6" ht="35.25" hidden="1" customHeight="1" x14ac:dyDescent="0.25">
      <c r="A49" s="23"/>
      <c r="B49" s="23"/>
      <c r="C49" s="23"/>
      <c r="D49" s="23">
        <f>IF('Общие данные'!B92='Общие данные'!C92,'Общие данные'!C136,IF('Общие данные'!B92='Общие данные'!D92,'Данные для послед. Залога'!M22,0))</f>
        <v>150000000</v>
      </c>
      <c r="E49" s="23" t="str">
        <f>IF('Общие данные'!B92='Общие данные'!C92,'Общие данные'!B137,IF('Общие данные'!B92='Общие данные'!D92,'Данные для послед. Залога'!Q22,0))</f>
        <v>yuz ellik million so'm</v>
      </c>
    </row>
    <row r="50" spans="1:6" x14ac:dyDescent="0.25">
      <c r="A50" s="308" t="s">
        <v>212</v>
      </c>
      <c r="B50" s="308"/>
      <c r="C50" s="308"/>
      <c r="D50" s="26"/>
      <c r="E50" s="26"/>
    </row>
    <row r="51" spans="1:6" x14ac:dyDescent="0.25">
      <c r="A51" s="234" t="str">
        <f>'Общие данные'!B148</f>
        <v>«CLEVER MIKROMOLIYA TASHKILOTI» MChJ</v>
      </c>
      <c r="B51" s="234"/>
      <c r="C51" s="234"/>
      <c r="D51" s="194"/>
      <c r="E51" s="194"/>
    </row>
    <row r="52" spans="1:6" ht="15" customHeight="1" x14ac:dyDescent="0.25">
      <c r="A52" s="234" t="str">
        <f>""&amp;'Общие данные'!A150&amp;"i"</f>
        <v>Ijrochi direktori</v>
      </c>
      <c r="B52" s="234"/>
      <c r="C52" s="234"/>
      <c r="D52" s="308" t="str">
        <f>"_______________   "&amp;'Общие данные'!B150&amp;""</f>
        <v>_______________   Abduraximov N.K.</v>
      </c>
      <c r="E52" s="308"/>
    </row>
    <row r="53" spans="1:6" x14ac:dyDescent="0.25">
      <c r="A53" s="60"/>
      <c r="B53" s="60"/>
      <c r="C53" s="60"/>
      <c r="D53" s="60"/>
      <c r="E53" s="60"/>
    </row>
    <row r="54" spans="1:6" x14ac:dyDescent="0.25">
      <c r="A54" s="308"/>
      <c r="B54" s="308"/>
      <c r="C54" s="308"/>
      <c r="D54" s="60"/>
      <c r="E54" s="60"/>
    </row>
    <row r="55" spans="1:6" hidden="1" x14ac:dyDescent="0.25">
      <c r="A55" s="234" t="s">
        <v>46</v>
      </c>
      <c r="B55" s="234"/>
      <c r="C55" s="234"/>
      <c r="D55" s="60"/>
      <c r="E55" s="60"/>
    </row>
    <row r="56" spans="1:6" hidden="1" x14ac:dyDescent="0.25">
      <c r="A56" s="234" t="str">
        <f>'Общие данные'!B148</f>
        <v>«CLEVER MIKROMOLIYA TASHKILOTI» MChJ</v>
      </c>
      <c r="B56" s="234"/>
      <c r="C56" s="234"/>
      <c r="D56" s="234" t="str">
        <f>"_______________   "&amp;'Общие данные'!B159&amp;""</f>
        <v>_______________   Mominov B.X.</v>
      </c>
      <c r="E56" s="234"/>
    </row>
    <row r="57" spans="1:6" ht="12.75" customHeight="1" x14ac:dyDescent="0.25">
      <c r="A57" s="234"/>
      <c r="B57" s="234"/>
      <c r="C57" s="234"/>
      <c r="D57" s="234"/>
      <c r="E57" s="234"/>
    </row>
    <row r="58" spans="1:6" x14ac:dyDescent="0.25">
      <c r="A58" s="308" t="s">
        <v>213</v>
      </c>
      <c r="B58" s="308"/>
      <c r="C58" s="308"/>
      <c r="D58" s="234"/>
      <c r="E58" s="234"/>
    </row>
    <row r="59" spans="1:6" ht="31.5" customHeight="1" x14ac:dyDescent="0.25">
      <c r="A59" s="234" t="s">
        <v>214</v>
      </c>
      <c r="B59" s="234"/>
      <c r="C59" s="234"/>
      <c r="D59" s="308" t="str">
        <f>"_______________  "&amp;'Общие данные'!B7&amp;""</f>
        <v>_______________  CHUCHARINA M.S.</v>
      </c>
      <c r="E59" s="308"/>
    </row>
    <row r="60" spans="1:6" ht="12.75" customHeight="1" x14ac:dyDescent="0.25">
      <c r="A60" s="234"/>
      <c r="B60" s="234"/>
      <c r="C60" s="234"/>
      <c r="D60" s="313" t="str">
        <f>IF('Общие данные'!B93="да","",'Общие данные'!B118)</f>
        <v>CHUCHARINA M.S.</v>
      </c>
      <c r="E60" s="313"/>
    </row>
    <row r="61" spans="1:6" ht="17.25" customHeight="1" x14ac:dyDescent="0.25">
      <c r="A61" s="308" t="str">
        <f>+IF('Общие данные'!B93="ha"," ","3-tomondan:")</f>
        <v xml:space="preserve"> </v>
      </c>
      <c r="B61" s="308"/>
      <c r="C61" s="308"/>
      <c r="D61" s="310"/>
      <c r="E61" s="310"/>
      <c r="F61" s="19" t="str">
        <f>IF('Общие данные'!B94='Общие данные'!D94,B7,"")</f>
        <v/>
      </c>
    </row>
    <row r="62" spans="1:6" ht="29.25" customHeight="1" x14ac:dyDescent="0.25">
      <c r="A62" s="234" t="str">
        <f>+IF('Общие данные'!B93="ha"," ","O'zbekiston Respublikasi fuqarosi")</f>
        <v xml:space="preserve"> </v>
      </c>
      <c r="B62" s="234"/>
      <c r="C62" s="234"/>
      <c r="D62" s="308" t="str">
        <f>IF('Общие данные'!B93='Общие данные'!C93,"",A63)</f>
        <v/>
      </c>
      <c r="E62" s="308"/>
    </row>
    <row r="63" spans="1:6" ht="3" customHeight="1" x14ac:dyDescent="0.25">
      <c r="A63" s="219" t="str">
        <f>IF('Общие данные'!B94='Общие данные'!C94,"_______________  "&amp;'Общие данные'!B112&amp;"","_______________  "&amp;'Общие данные'!B7&amp;"")</f>
        <v>_______________  CHUCHARINA M.S.</v>
      </c>
      <c r="B63" s="60"/>
      <c r="C63" s="234" t="str">
        <f>'заявление залогодателя'!A20</f>
        <v/>
      </c>
      <c r="D63" s="234"/>
      <c r="E63" s="234"/>
    </row>
    <row r="64" spans="1:6" x14ac:dyDescent="0.25">
      <c r="D64" s="255"/>
      <c r="E64" s="255"/>
    </row>
    <row r="65" spans="1:5" ht="6" customHeight="1" x14ac:dyDescent="0.25">
      <c r="A65" s="257" t="str">
        <f>'заявление залогодателя'!A20:B20</f>
        <v/>
      </c>
      <c r="B65" s="257"/>
      <c r="C65" s="257"/>
      <c r="D65" s="257"/>
      <c r="E65" s="257"/>
    </row>
    <row r="66" spans="1:5" x14ac:dyDescent="0.25">
      <c r="A66" s="257"/>
      <c r="B66" s="257"/>
      <c r="C66" s="257"/>
      <c r="D66" s="257"/>
      <c r="E66" s="257"/>
    </row>
    <row r="67" spans="1:5" ht="13.5" customHeight="1" x14ac:dyDescent="0.25">
      <c r="A67" s="257"/>
      <c r="B67" s="257"/>
      <c r="C67" s="257"/>
      <c r="D67" s="257"/>
      <c r="E67" s="257"/>
    </row>
  </sheetData>
  <mergeCells count="52">
    <mergeCell ref="A65:E67"/>
    <mergeCell ref="A56:C56"/>
    <mergeCell ref="D56:E56"/>
    <mergeCell ref="A27:E27"/>
    <mergeCell ref="A50:C50"/>
    <mergeCell ref="A51:C51"/>
    <mergeCell ref="A52:C52"/>
    <mergeCell ref="D52:E52"/>
    <mergeCell ref="A46:E46"/>
    <mergeCell ref="A47:E47"/>
    <mergeCell ref="E33:E43"/>
    <mergeCell ref="A28:E28"/>
    <mergeCell ref="A48:E48"/>
    <mergeCell ref="D64:E64"/>
    <mergeCell ref="C63:E63"/>
    <mergeCell ref="A58:C58"/>
    <mergeCell ref="A2:E2"/>
    <mergeCell ref="A11:E11"/>
    <mergeCell ref="A12:E12"/>
    <mergeCell ref="A13:E13"/>
    <mergeCell ref="A10:E10"/>
    <mergeCell ref="A5:E5"/>
    <mergeCell ref="A6:E6"/>
    <mergeCell ref="A7:E7"/>
    <mergeCell ref="A8:E8"/>
    <mergeCell ref="A9:E9"/>
    <mergeCell ref="A25:E25"/>
    <mergeCell ref="A54:C54"/>
    <mergeCell ref="A55:C55"/>
    <mergeCell ref="A57:C57"/>
    <mergeCell ref="D57:E57"/>
    <mergeCell ref="A59:C59"/>
    <mergeCell ref="D59:E59"/>
    <mergeCell ref="A60:C60"/>
    <mergeCell ref="D60:E60"/>
    <mergeCell ref="A26:E26"/>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 ref="D58:E5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22" zoomScaleSheetLayoutView="100" workbookViewId="0">
      <selection activeCell="A24" sqref="A24:E25"/>
    </sheetView>
  </sheetViews>
  <sheetFormatPr defaultColWidth="9.140625" defaultRowHeight="15" outlineLevelRow="1" x14ac:dyDescent="0.25"/>
  <cols>
    <col min="1" max="1" width="23.85546875" style="19" customWidth="1"/>
    <col min="2" max="2" width="23.28515625" style="19" customWidth="1"/>
    <col min="3" max="3" width="17" style="19" customWidth="1"/>
    <col min="4" max="4" width="17.5703125" style="19" customWidth="1"/>
    <col min="5" max="5" width="19.7109375" style="19" customWidth="1"/>
    <col min="6" max="16384" width="9.140625" style="19"/>
  </cols>
  <sheetData>
    <row r="3" spans="1:5" ht="16.5" customHeight="1" x14ac:dyDescent="0.25"/>
    <row r="4" spans="1:5" ht="17.25" customHeight="1" x14ac:dyDescent="0.25">
      <c r="A4" s="258" t="str">
        <f>""&amp;'Общие данные'!B147&amp;" ijrochi direktorining
"&amp;'Общие данные'!B165&amp;"dagi "&amp;'Общие данные'!B164&amp;"-sonli buyrug‘i"</f>
        <v>«CLEVER MIKROMOLIYA TASHKILOTI» MChJ ijrochi direktorining
27 yanvar 2025 y.dagi №202-sonli buyrug‘i</v>
      </c>
      <c r="B4" s="258"/>
      <c r="C4" s="258"/>
      <c r="D4" s="258"/>
      <c r="E4" s="258"/>
    </row>
    <row r="5" spans="1:5" x14ac:dyDescent="0.25">
      <c r="A5" s="258"/>
      <c r="B5" s="258"/>
      <c r="C5" s="258"/>
      <c r="D5" s="258"/>
      <c r="E5" s="258"/>
    </row>
    <row r="6" spans="1:5" x14ac:dyDescent="0.25">
      <c r="A6" s="258"/>
      <c r="B6" s="258"/>
      <c r="C6" s="258"/>
      <c r="D6" s="258"/>
      <c r="E6" s="258"/>
    </row>
    <row r="7" spans="1:5" x14ac:dyDescent="0.25">
      <c r="A7" s="231"/>
      <c r="B7" s="231"/>
      <c r="C7" s="231"/>
      <c r="D7" s="231"/>
      <c r="E7" s="231"/>
    </row>
    <row r="8" spans="1:5" ht="53.25" customHeight="1" x14ac:dyDescent="0.25">
      <c r="A8" s="231" t="str">
        <f>"Men, "&amp;'Общие данные'!B151&amp;", "&amp;'Общие данные'!B147&amp;" ijrochi direktori, jismoniy shaxs "&amp;'Общие данные'!B10&amp;"ga quyidagi shartlarda "&amp;'Общие данные'!B65&amp;" berishni buyuraman:"</f>
        <v>Men, Abduraximov Nаdirbek Kamilevich, «CLEVER MIKROMOLIYA TASHKILOTI» MChJ ijrochi direktori, jismoniy shaxs CHUCHARINA MARGARITA SERGEYEVNAga quyidagi shartlarda mikroqarz berishni buyuraman:</v>
      </c>
      <c r="B8" s="231"/>
      <c r="C8" s="231"/>
      <c r="D8" s="231"/>
      <c r="E8" s="231"/>
    </row>
    <row r="9" spans="1:5" ht="26.25" customHeight="1" x14ac:dyDescent="0.25">
      <c r="A9" s="231" t="str">
        <f>'Кредитная заявка'!A13:D13</f>
        <v>Mikroqarz summasi: 100 000 000,00 (yuz million so'm) so'm.</v>
      </c>
      <c r="B9" s="231"/>
      <c r="C9" s="231"/>
      <c r="D9" s="231"/>
      <c r="E9" s="231"/>
    </row>
    <row r="10" spans="1:5" ht="21" customHeight="1" x14ac:dyDescent="0.25">
      <c r="A10" s="231" t="str">
        <f>'Кредитная заявка'!A14:D14</f>
        <v>Mikroqarz muddati: 6 (olti) oy.</v>
      </c>
      <c r="B10" s="231"/>
      <c r="C10" s="231"/>
      <c r="D10" s="231"/>
      <c r="E10" s="231"/>
    </row>
    <row r="11" spans="1:5" ht="27" customHeight="1" x14ac:dyDescent="0.25">
      <c r="A11" s="231" t="str">
        <f>'Кредитная заявка'!A15:D15</f>
        <v>Mikroqarzdan foydalanganlik uchun foiz stavkasi: yillik  60% (Oltmish) foiz</v>
      </c>
      <c r="B11" s="231"/>
      <c r="C11" s="231"/>
      <c r="D11" s="231"/>
      <c r="E11" s="231"/>
    </row>
    <row r="12" spans="1:5" ht="26.25" customHeight="1" x14ac:dyDescent="0.25">
      <c r="A12" s="231" t="str">
        <f>'Кредитная заявка'!A16:D16</f>
        <v>Mikroqarz bo'yicha asosiy qarz va foizlarni to'lash:</v>
      </c>
      <c r="B12" s="231"/>
      <c r="C12" s="231"/>
      <c r="D12" s="231"/>
      <c r="E12" s="231"/>
    </row>
    <row r="13" spans="1:5" ht="21.75" hidden="1" customHeight="1" x14ac:dyDescent="0.25">
      <c r="A13" s="231" t="str">
        <f>'Кредитная заявка'!A17:D17</f>
        <v xml:space="preserve"> - mikroqarz shartnomasi bo'yicha har oy differensial to'lovlari amalga oshiriladi</v>
      </c>
      <c r="B13" s="231"/>
      <c r="C13" s="231"/>
      <c r="D13" s="231"/>
      <c r="E13" s="231"/>
    </row>
    <row r="14" spans="1:5" hidden="1" x14ac:dyDescent="0.25">
      <c r="A14" s="231" t="str">
        <f>'Кредитная заявка'!A19:D19</f>
        <v xml:space="preserve"> - mikroqarz shartnomasi bo'yicha har oy annuitet to'lovlari amalga oshiriladi</v>
      </c>
      <c r="B14" s="231"/>
      <c r="C14" s="231"/>
      <c r="D14" s="231"/>
      <c r="E14" s="231"/>
    </row>
    <row r="15" spans="1:5" ht="23.25" customHeight="1" x14ac:dyDescent="0.25">
      <c r="A15" s="231" t="str">
        <f>IF('Общие данные'!B103="Avtotransport",'Приказ на сделку'!A14:E14,'Приказ на сделку'!A13:E13)</f>
        <v xml:space="preserve"> - mikroqarz shartnomasi bo'yicha har oy annuitet to'lovlari amalga oshiriladi</v>
      </c>
      <c r="B15" s="231"/>
      <c r="C15" s="231"/>
      <c r="D15" s="231"/>
      <c r="E15" s="231"/>
    </row>
    <row r="16" spans="1:5" ht="45.75" customHeight="1" x14ac:dyDescent="0.25">
      <c r="A16" s="234"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CHUCHARINA MARGARITA SERGEYEVNAga tegishli CHEVROLET TRACKER 2 ko'rinishidagi transport vositasini quyidagi ma'lumotlarga muvofiq garovga qabul qilinsin:</v>
      </c>
      <c r="B16" s="234"/>
      <c r="C16" s="234"/>
      <c r="D16" s="234"/>
      <c r="E16" s="234"/>
    </row>
    <row r="17" spans="1:5" ht="50.25" hidden="1" customHeight="1" x14ac:dyDescent="0.25">
      <c r="A17" s="231" t="str">
        <f>""&amp;'Общие данные'!C117&amp;"ga tegishli "&amp;'Общие данные'!C126&amp;" ko'rinishidagi ko'chmas mulkni quyidagi ma'lumotlarga muvofiq  garovga qabul qilinsin:"</f>
        <v>CHUCHARINA MARGARITA SERGEYEVNAga tegishli 3 - xonali yakka tartibdagi uy-joy ko'rinishidagi ko'chmas mulkni quyidagi ma'lumotlarga muvofiq  garovga qabul qilinsin:</v>
      </c>
      <c r="B17" s="231"/>
      <c r="C17" s="231"/>
      <c r="D17" s="231"/>
      <c r="E17" s="231"/>
    </row>
    <row r="18" spans="1:5" ht="47.25" hidden="1" customHeight="1" x14ac:dyDescent="0.25">
      <c r="A18" s="231" t="str">
        <f>""&amp;'Общие данные'!B117&amp;"ga tegishli "&amp;'Общие данные'!B125&amp;" ko'rinishidagi transport vositasini quyidagi ma'lumotlarga muvofiq garovga qabul qilinsin:"</f>
        <v>CHUCHARINA MARGARITA SERGEYEVNAga tegishli CHEVROLET TRACKER 2 ko'rinishidagi transport vositasini quyidagi ma'lumotlarga muvofiq garovga qabul qilinsin:</v>
      </c>
      <c r="B18" s="231"/>
      <c r="C18" s="231"/>
      <c r="D18" s="231"/>
      <c r="E18" s="231"/>
    </row>
    <row r="19" spans="1:5" s="41" customFormat="1" ht="60" customHeight="1" outlineLevel="1" x14ac:dyDescent="0.2">
      <c r="A19" s="43" t="str">
        <f>'Акт согласования'!A29</f>
        <v>Nomi</v>
      </c>
      <c r="B19" s="43" t="str">
        <f>'Акт согласования'!B29</f>
        <v>Kuzov turi  va kuzov raqami*</v>
      </c>
      <c r="C19" s="43" t="str">
        <f>'Акт согласования'!C29</f>
        <v>Dvigatel va shassi raqami*</v>
      </c>
      <c r="D19" s="43" t="str">
        <f>'Акт согласования'!D29</f>
        <v>Ishlab chiqarilgan yili va rangi*</v>
      </c>
      <c r="E19" s="43" t="str">
        <f>'Акт согласования'!E29</f>
        <v>Kelishilgan garov qiymati, so'm</v>
      </c>
    </row>
    <row r="20" spans="1:5" ht="91.5" customHeight="1" outlineLevel="1" x14ac:dyDescent="0.25">
      <c r="A20" s="21" t="str">
        <f>'Акт согласования'!A30</f>
        <v>CHEVROLET TRACKER 2</v>
      </c>
      <c r="B20" s="21" t="str">
        <f>'Акт согласования'!B30</f>
        <v>kuzov turi - YENGIL KROSSOVER, kuzov raqami XWBUA7659PA551726</v>
      </c>
      <c r="C20" s="21" t="str">
        <f>'Акт согласования'!C30</f>
        <v xml:space="preserve">dvigatel raqami L4HA1222413MYWX0269, shassi raqami -  - </v>
      </c>
      <c r="D20" s="21" t="str">
        <f>'Акт согласования'!D30</f>
        <v>rangi -  QORA CHYORNIY , ishlab chiqarilgan yili - 2023</v>
      </c>
      <c r="E20" s="21" t="str">
        <f>'Акт согласования'!E30</f>
        <v>150 000 000,00 
(yuz ellik million so'm)</v>
      </c>
    </row>
    <row r="21" spans="1:5" ht="20.25" customHeight="1" outlineLevel="1" x14ac:dyDescent="0.25">
      <c r="A21" s="231" t="str">
        <f>'Акт согласования'!A22:E22</f>
        <v>-* avtotransport egasi: CHUCHARINA MARGARITA SERGEYEVNA</v>
      </c>
      <c r="B21" s="231"/>
      <c r="C21" s="231"/>
      <c r="D21" s="231"/>
      <c r="E21" s="231"/>
    </row>
    <row r="22" spans="1:5" ht="21" customHeight="1" outlineLevel="1" x14ac:dyDescent="0.25">
      <c r="A22" s="231" t="str">
        <f>'Акт согласования'!A23:E23</f>
        <v>-* texnik pasport: AAG  1888277   10.07.2023 Y</v>
      </c>
      <c r="B22" s="231"/>
      <c r="C22" s="231"/>
      <c r="D22" s="231"/>
      <c r="E22" s="231"/>
    </row>
    <row r="23" spans="1:5" ht="39" customHeight="1" outlineLevel="1" x14ac:dyDescent="0.25">
      <c r="A23" s="231" t="str">
        <f>'Акт согласования'!A24:E24</f>
        <v>-* roʻyxatdan oʻtgan manzili/garaj manzili: TOSHKЕNT SHAHRI YAKKASAROY TUMANI Rakat daxasi, Uy 12, Kvartira 47</v>
      </c>
      <c r="B23" s="231"/>
      <c r="C23" s="231"/>
      <c r="D23" s="231"/>
      <c r="E23" s="231"/>
    </row>
    <row r="24" spans="1:5" ht="35.25" customHeight="1" outlineLevel="1" x14ac:dyDescent="0.25">
      <c r="A24" s="231" t="str">
        <f>'Акт согласования'!A25:E25</f>
        <v>-* davlat raqami: 01Y604CC</v>
      </c>
      <c r="B24" s="231"/>
      <c r="C24" s="231"/>
      <c r="D24" s="231"/>
      <c r="E24" s="231"/>
    </row>
    <row r="25" spans="1:5" x14ac:dyDescent="0.25">
      <c r="A25" s="231"/>
      <c r="B25" s="231"/>
      <c r="C25" s="231"/>
      <c r="D25" s="231"/>
      <c r="E25" s="231"/>
    </row>
    <row r="26" spans="1:5" s="41" customFormat="1" ht="41.25" hidden="1" customHeight="1" outlineLevel="1" x14ac:dyDescent="0.2">
      <c r="A26" s="43" t="s">
        <v>206</v>
      </c>
      <c r="B26" s="43" t="s">
        <v>263</v>
      </c>
      <c r="C26" s="43" t="s">
        <v>280</v>
      </c>
      <c r="D26" s="43" t="s">
        <v>209</v>
      </c>
      <c r="E26" s="43" t="str">
        <f>'Акт согласования'!E29</f>
        <v>Kelishilgan garov qiymati, so'm</v>
      </c>
    </row>
    <row r="27" spans="1:5" hidden="1" outlineLevel="1" x14ac:dyDescent="0.25">
      <c r="A27" s="21" t="e">
        <f>'Акт согласования'!A33</f>
        <v>#REF!</v>
      </c>
      <c r="B27" s="128" t="e">
        <f>'Акт согласования'!B33</f>
        <v>#REF!</v>
      </c>
      <c r="C27" s="128" t="e">
        <f>'Акт согласования'!C33</f>
        <v>#REF!</v>
      </c>
      <c r="D27" s="128" t="e">
        <f>'Акт согласования'!D33</f>
        <v>#REF!</v>
      </c>
      <c r="E27" s="264" t="str">
        <f>'Акт согласования'!E33</f>
        <v>150 000 000,00 (yuz ellik million so'm)</v>
      </c>
    </row>
    <row r="28" spans="1:5" hidden="1" outlineLevel="1" x14ac:dyDescent="0.25">
      <c r="A28" s="21">
        <f>'Акт согласования'!A34</f>
        <v>0</v>
      </c>
      <c r="B28" s="128">
        <f>'Акт согласования'!B34</f>
        <v>0</v>
      </c>
      <c r="C28" s="128">
        <f>'Акт согласования'!C34</f>
        <v>0</v>
      </c>
      <c r="D28" s="128">
        <f>'Акт согласования'!D34</f>
        <v>0</v>
      </c>
      <c r="E28" s="264"/>
    </row>
    <row r="29" spans="1:5" hidden="1" outlineLevel="1" x14ac:dyDescent="0.25">
      <c r="A29" s="21" t="e">
        <f>'Акт согласования'!A35</f>
        <v>#REF!</v>
      </c>
      <c r="B29" s="128" t="e">
        <f>'Акт согласования'!B35</f>
        <v>#REF!</v>
      </c>
      <c r="C29" s="128" t="e">
        <f>'Акт согласования'!C35</f>
        <v>#REF!</v>
      </c>
      <c r="D29" s="128" t="e">
        <f>'Акт согласования'!D35</f>
        <v>#REF!</v>
      </c>
      <c r="E29" s="264"/>
    </row>
    <row r="30" spans="1:5" hidden="1" outlineLevel="1" x14ac:dyDescent="0.25">
      <c r="A30" s="21" t="e">
        <f>'Акт согласования'!A36</f>
        <v>#REF!</v>
      </c>
      <c r="B30" s="128" t="e">
        <f>'Акт согласования'!B36</f>
        <v>#REF!</v>
      </c>
      <c r="C30" s="128" t="e">
        <f>'Акт согласования'!C36</f>
        <v>#REF!</v>
      </c>
      <c r="D30" s="128" t="e">
        <f>'Акт согласования'!D36</f>
        <v>#REF!</v>
      </c>
      <c r="E30" s="264"/>
    </row>
    <row r="31" spans="1:5" hidden="1" outlineLevel="1" x14ac:dyDescent="0.25">
      <c r="A31" s="21" t="e">
        <f>'Акт согласования'!A37</f>
        <v>#REF!</v>
      </c>
      <c r="B31" s="128" t="e">
        <f>'Акт согласования'!B37</f>
        <v>#REF!</v>
      </c>
      <c r="C31" s="128" t="e">
        <f>'Акт согласования'!C37</f>
        <v>#REF!</v>
      </c>
      <c r="D31" s="128" t="e">
        <f>'Акт согласования'!D37</f>
        <v>#REF!</v>
      </c>
      <c r="E31" s="264"/>
    </row>
    <row r="32" spans="1:5" hidden="1" outlineLevel="1" x14ac:dyDescent="0.25">
      <c r="A32" s="21" t="e">
        <f>'Акт согласования'!A38</f>
        <v>#REF!</v>
      </c>
      <c r="B32" s="128" t="e">
        <f>'Акт согласования'!B38</f>
        <v>#REF!</v>
      </c>
      <c r="C32" s="128" t="e">
        <f>'Акт согласования'!C38</f>
        <v>#REF!</v>
      </c>
      <c r="D32" s="128" t="e">
        <f>'Акт согласования'!D38</f>
        <v>#REF!</v>
      </c>
      <c r="E32" s="264"/>
    </row>
    <row r="33" spans="1:5" hidden="1" outlineLevel="1" x14ac:dyDescent="0.25">
      <c r="A33" s="21" t="e">
        <f>'Акт согласования'!A39</f>
        <v>#REF!</v>
      </c>
      <c r="B33" s="128" t="e">
        <f>'Акт согласования'!B39</f>
        <v>#REF!</v>
      </c>
      <c r="C33" s="128" t="e">
        <f>'Акт согласования'!C39</f>
        <v>#REF!</v>
      </c>
      <c r="D33" s="128" t="e">
        <f>'Акт согласования'!D39</f>
        <v>#REF!</v>
      </c>
      <c r="E33" s="264"/>
    </row>
    <row r="34" spans="1:5" hidden="1" outlineLevel="1" x14ac:dyDescent="0.25">
      <c r="A34" s="21" t="e">
        <f>'Акт согласования'!A40</f>
        <v>#REF!</v>
      </c>
      <c r="B34" s="128" t="e">
        <f>'Акт согласования'!B40</f>
        <v>#REF!</v>
      </c>
      <c r="C34" s="128" t="e">
        <f>'Акт согласования'!C40</f>
        <v>#REF!</v>
      </c>
      <c r="D34" s="128" t="e">
        <f>'Акт согласования'!D40</f>
        <v>#REF!</v>
      </c>
      <c r="E34" s="264"/>
    </row>
    <row r="35" spans="1:5" hidden="1" outlineLevel="1" x14ac:dyDescent="0.25">
      <c r="A35" s="21" t="e">
        <f>'Акт согласования'!A41</f>
        <v>#REF!</v>
      </c>
      <c r="B35" s="128" t="e">
        <f>'Акт согласования'!B41</f>
        <v>#REF!</v>
      </c>
      <c r="C35" s="128" t="e">
        <f>'Акт согласования'!C41</f>
        <v>#REF!</v>
      </c>
      <c r="D35" s="128" t="e">
        <f>'Акт согласования'!D41</f>
        <v>#REF!</v>
      </c>
      <c r="E35" s="264"/>
    </row>
    <row r="36" spans="1:5" hidden="1" outlineLevel="1" x14ac:dyDescent="0.25">
      <c r="A36" s="21" t="e">
        <f>'Акт согласования'!A42</f>
        <v>#REF!</v>
      </c>
      <c r="B36" s="128" t="e">
        <f>'Акт согласования'!B42</f>
        <v>#REF!</v>
      </c>
      <c r="C36" s="128" t="e">
        <f>'Акт согласования'!C42</f>
        <v>#REF!</v>
      </c>
      <c r="D36" s="128" t="e">
        <f>'Акт согласования'!D42</f>
        <v>#REF!</v>
      </c>
      <c r="E36" s="264"/>
    </row>
    <row r="37" spans="1:5" hidden="1" outlineLevel="1" x14ac:dyDescent="0.25">
      <c r="A37" s="21" t="e">
        <f>'Акт согласования'!A43</f>
        <v>#REF!</v>
      </c>
      <c r="B37" s="21" t="e">
        <f>'Акт согласования'!B43</f>
        <v>#REF!</v>
      </c>
      <c r="C37" s="21" t="e">
        <f>'Акт согласования'!C43</f>
        <v>#REF!</v>
      </c>
      <c r="D37" s="21" t="e">
        <f>'Акт согласования'!D43</f>
        <v>#REF!</v>
      </c>
      <c r="E37" s="264"/>
    </row>
    <row r="38" spans="1:5" s="41" customFormat="1" ht="14.25" hidden="1" outlineLevel="1" x14ac:dyDescent="0.2">
      <c r="A38" s="43" t="e">
        <f>'Акт согласования'!A44</f>
        <v>#REF!</v>
      </c>
      <c r="B38" s="43" t="e">
        <f>'Акт согласования'!B44</f>
        <v>#REF!</v>
      </c>
      <c r="C38" s="43" t="e">
        <f>'Акт согласования'!C44</f>
        <v>#REF!</v>
      </c>
      <c r="D38" s="43" t="e">
        <f>'Акт согласования'!D44</f>
        <v>#REF!</v>
      </c>
      <c r="E38" s="43" t="str">
        <f>'Акт согласования'!E44</f>
        <v>150 000 000,00</v>
      </c>
    </row>
    <row r="39" spans="1:5" s="41" customFormat="1" ht="15" hidden="1" customHeight="1" outlineLevel="1" x14ac:dyDescent="0.2">
      <c r="A39" s="231" t="e">
        <f>_xlfn.SINGLE('Акт согласования'!#REF!)</f>
        <v>#REF!</v>
      </c>
      <c r="B39" s="231"/>
      <c r="C39" s="231"/>
      <c r="D39" s="231"/>
      <c r="E39" s="231"/>
    </row>
    <row r="40" spans="1:5" s="41" customFormat="1" hidden="1" outlineLevel="1" x14ac:dyDescent="0.2">
      <c r="A40" s="231" t="e">
        <f>_xlfn.SINGLE('Акт согласования'!#REF!)</f>
        <v>#REF!</v>
      </c>
      <c r="B40" s="231"/>
      <c r="C40" s="231"/>
      <c r="D40" s="231"/>
      <c r="E40" s="231"/>
    </row>
    <row r="41" spans="1:5" s="41" customFormat="1" hidden="1" outlineLevel="1" x14ac:dyDescent="0.2">
      <c r="A41" s="231" t="e">
        <f>_xlfn.SINGLE('Акт согласования'!#REF!)</f>
        <v>#REF!</v>
      </c>
      <c r="B41" s="231"/>
      <c r="C41" s="231"/>
      <c r="D41" s="231"/>
      <c r="E41" s="231"/>
    </row>
    <row r="42" spans="1:5" s="41" customFormat="1" hidden="1" outlineLevel="1" x14ac:dyDescent="0.2">
      <c r="A42" s="231" t="e">
        <f>_xlfn.SINGLE('Акт согласования'!#REF!)</f>
        <v>#REF!</v>
      </c>
      <c r="B42" s="231"/>
      <c r="C42" s="231"/>
      <c r="D42" s="231"/>
      <c r="E42" s="231"/>
    </row>
    <row r="43" spans="1:5" s="41" customFormat="1" collapsed="1" x14ac:dyDescent="0.2">
      <c r="A43" s="231"/>
      <c r="B43" s="231"/>
      <c r="C43" s="231"/>
      <c r="D43" s="231"/>
      <c r="E43" s="231"/>
    </row>
    <row r="44" spans="1:5" s="41" customFormat="1" x14ac:dyDescent="0.2">
      <c r="A44" s="231"/>
      <c r="B44" s="231"/>
      <c r="C44" s="231"/>
      <c r="D44" s="231"/>
      <c r="E44" s="231"/>
    </row>
    <row r="45" spans="1:5" s="41" customFormat="1" hidden="1" x14ac:dyDescent="0.2">
      <c r="A45" s="231"/>
      <c r="B45" s="231"/>
      <c r="C45" s="231"/>
      <c r="D45" s="231"/>
      <c r="E45" s="231"/>
    </row>
    <row r="46" spans="1:5" s="41" customFormat="1" ht="14.25" hidden="1" x14ac:dyDescent="0.2">
      <c r="A46" s="57"/>
      <c r="B46" s="57"/>
      <c r="C46" s="57"/>
      <c r="D46" s="57"/>
      <c r="E46" s="57"/>
    </row>
    <row r="47" spans="1:5" hidden="1" x14ac:dyDescent="0.25">
      <c r="A47" s="231"/>
      <c r="B47" s="231"/>
      <c r="C47" s="231"/>
      <c r="D47" s="231"/>
      <c r="E47" s="231"/>
    </row>
    <row r="48" spans="1:5" ht="15" customHeight="1" x14ac:dyDescent="0.25">
      <c r="A48" s="308" t="s">
        <v>381</v>
      </c>
      <c r="B48" s="308"/>
      <c r="C48" s="308"/>
      <c r="D48" s="317"/>
      <c r="E48" s="317"/>
    </row>
    <row r="49" spans="1:5" ht="15" customHeight="1" x14ac:dyDescent="0.25">
      <c r="A49" s="308" t="s">
        <v>397</v>
      </c>
      <c r="B49" s="308"/>
      <c r="C49" s="308"/>
      <c r="D49" s="317" t="s">
        <v>398</v>
      </c>
      <c r="E49" s="317"/>
    </row>
    <row r="50" spans="1:5" x14ac:dyDescent="0.25">
      <c r="A50" s="231"/>
      <c r="B50" s="231"/>
      <c r="C50" s="231"/>
      <c r="D50" s="231"/>
      <c r="E50" s="231"/>
    </row>
    <row r="51" spans="1:5" x14ac:dyDescent="0.25">
      <c r="A51" s="231"/>
      <c r="B51" s="231"/>
      <c r="C51" s="231"/>
      <c r="D51" s="231"/>
      <c r="E51" s="231"/>
    </row>
    <row r="52" spans="1:5" x14ac:dyDescent="0.25">
      <c r="A52" s="231"/>
      <c r="B52" s="231"/>
      <c r="C52" s="231"/>
      <c r="D52" s="231"/>
      <c r="E52" s="231"/>
    </row>
    <row r="53" spans="1:5" x14ac:dyDescent="0.25">
      <c r="A53" s="231"/>
      <c r="B53" s="231"/>
      <c r="C53" s="231"/>
      <c r="D53" s="231"/>
      <c r="E53" s="231"/>
    </row>
    <row r="54" spans="1:5" x14ac:dyDescent="0.25">
      <c r="A54" s="231"/>
      <c r="B54" s="231"/>
      <c r="C54" s="231"/>
      <c r="D54" s="231"/>
      <c r="E54" s="231"/>
    </row>
    <row r="55" spans="1:5" x14ac:dyDescent="0.25">
      <c r="A55" s="231"/>
      <c r="B55" s="231"/>
      <c r="C55" s="231"/>
      <c r="D55" s="231"/>
      <c r="E55" s="231"/>
    </row>
  </sheetData>
  <mergeCells count="37">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12:E12"/>
    <mergeCell ref="A53:E53"/>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19" zoomScaleSheetLayoutView="100" workbookViewId="0">
      <selection activeCell="D30" sqref="C30:D30"/>
    </sheetView>
  </sheetViews>
  <sheetFormatPr defaultColWidth="9.140625" defaultRowHeight="15" x14ac:dyDescent="0.25"/>
  <cols>
    <col min="1" max="1" width="3.42578125" style="19" customWidth="1"/>
    <col min="2" max="3" width="17.85546875" style="24" customWidth="1"/>
    <col min="4" max="4" width="15" style="24" customWidth="1"/>
    <col min="5" max="5" width="17.85546875" style="24" customWidth="1"/>
    <col min="6" max="6" width="9" style="24" customWidth="1"/>
    <col min="7" max="7" width="4.7109375" style="24" customWidth="1"/>
    <col min="8" max="16384" width="9.140625" style="19"/>
  </cols>
  <sheetData>
    <row r="1" spans="2:7" ht="15.75" thickBot="1" x14ac:dyDescent="0.3"/>
    <row r="2" spans="2:7" ht="62.25" customHeight="1" x14ac:dyDescent="0.35">
      <c r="B2" s="328" t="str">
        <f>'Общие данные'!B148</f>
        <v>«CLEVER MIKROMOLIYA TASHKILOTI» MChJ</v>
      </c>
      <c r="C2" s="329"/>
      <c r="D2" s="329"/>
      <c r="E2" s="329"/>
      <c r="F2" s="330"/>
      <c r="G2" s="45"/>
    </row>
    <row r="3" spans="2:7" x14ac:dyDescent="0.25">
      <c r="B3" s="321"/>
      <c r="C3" s="257"/>
      <c r="D3" s="257"/>
      <c r="E3" s="257"/>
      <c r="F3" s="322"/>
      <c r="G3" s="46"/>
    </row>
    <row r="4" spans="2:7" ht="8.25" customHeight="1" x14ac:dyDescent="0.25">
      <c r="B4" s="61"/>
      <c r="F4" s="62"/>
      <c r="G4" s="46"/>
    </row>
    <row r="5" spans="2:7" ht="12" customHeight="1" x14ac:dyDescent="0.25">
      <c r="B5" s="48"/>
      <c r="C5" s="46"/>
      <c r="D5" s="46"/>
      <c r="E5" s="46"/>
      <c r="F5" s="49"/>
      <c r="G5" s="46"/>
    </row>
    <row r="6" spans="2:7" ht="6.75" customHeight="1" x14ac:dyDescent="0.25">
      <c r="B6" s="48"/>
      <c r="C6" s="46"/>
      <c r="D6" s="46"/>
      <c r="E6" s="46"/>
      <c r="F6" s="49"/>
      <c r="G6" s="46"/>
    </row>
    <row r="7" spans="2:7" ht="6.75" customHeight="1" x14ac:dyDescent="0.25">
      <c r="B7" s="48"/>
      <c r="C7" s="46"/>
      <c r="D7" s="46"/>
      <c r="E7" s="46"/>
      <c r="F7" s="49"/>
      <c r="G7" s="46"/>
    </row>
    <row r="8" spans="2:7" x14ac:dyDescent="0.25">
      <c r="B8" s="48"/>
      <c r="C8" s="46"/>
      <c r="D8" s="46"/>
      <c r="E8" s="46"/>
      <c r="F8" s="49"/>
      <c r="G8" s="46"/>
    </row>
    <row r="9" spans="2:7" x14ac:dyDescent="0.25">
      <c r="B9" s="48"/>
      <c r="C9" s="46"/>
      <c r="D9" s="46"/>
      <c r="E9" s="46"/>
      <c r="F9" s="49"/>
      <c r="G9" s="46"/>
    </row>
    <row r="10" spans="2:7" x14ac:dyDescent="0.25">
      <c r="B10" s="321" t="s">
        <v>26</v>
      </c>
      <c r="C10" s="257"/>
      <c r="D10" s="257"/>
      <c r="E10" s="257"/>
      <c r="F10" s="322"/>
      <c r="G10" s="46"/>
    </row>
    <row r="11" spans="2:7" x14ac:dyDescent="0.25">
      <c r="B11" s="321" t="s">
        <v>26</v>
      </c>
      <c r="C11" s="257"/>
      <c r="D11" s="257"/>
      <c r="E11" s="257"/>
      <c r="F11" s="322"/>
      <c r="G11" s="46"/>
    </row>
    <row r="12" spans="2:7" ht="135" customHeight="1" x14ac:dyDescent="0.8">
      <c r="B12" s="331" t="str">
        <f>'Общие данные'!B5</f>
        <v>CHUCHARINA MARGARITA SERGEYEVNA</v>
      </c>
      <c r="C12" s="332"/>
      <c r="D12" s="332"/>
      <c r="E12" s="332"/>
      <c r="F12" s="333"/>
      <c r="G12" s="47"/>
    </row>
    <row r="13" spans="2:7" x14ac:dyDescent="0.25">
      <c r="B13" s="321"/>
      <c r="C13" s="257"/>
      <c r="D13" s="257"/>
      <c r="E13" s="257"/>
      <c r="F13" s="322"/>
      <c r="G13" s="46"/>
    </row>
    <row r="14" spans="2:7" x14ac:dyDescent="0.25">
      <c r="B14" s="48"/>
      <c r="C14" s="46"/>
      <c r="D14" s="46"/>
      <c r="E14" s="46"/>
      <c r="F14" s="49"/>
      <c r="G14" s="46"/>
    </row>
    <row r="15" spans="2:7" x14ac:dyDescent="0.25">
      <c r="B15" s="48"/>
      <c r="C15" s="46"/>
      <c r="D15" s="46"/>
      <c r="E15" s="46"/>
      <c r="F15" s="49"/>
      <c r="G15" s="46"/>
    </row>
    <row r="16" spans="2:7" x14ac:dyDescent="0.25">
      <c r="B16" s="48"/>
      <c r="C16" s="46"/>
      <c r="D16" s="46"/>
      <c r="E16" s="46"/>
      <c r="F16" s="49"/>
      <c r="G16" s="46"/>
    </row>
    <row r="17" spans="2:7" x14ac:dyDescent="0.25">
      <c r="B17" s="48"/>
      <c r="C17" s="46"/>
      <c r="D17" s="46"/>
      <c r="E17" s="46"/>
      <c r="F17" s="49"/>
      <c r="G17" s="46"/>
    </row>
    <row r="18" spans="2:7" x14ac:dyDescent="0.25">
      <c r="B18" s="321"/>
      <c r="C18" s="257"/>
      <c r="D18" s="257"/>
      <c r="E18" s="257"/>
      <c r="F18" s="322"/>
      <c r="G18" s="46"/>
    </row>
    <row r="19" spans="2:7" ht="20.25" x14ac:dyDescent="0.3">
      <c r="B19" s="325" t="str">
        <f>""&amp;'Общие данные'!C64&amp;" shartnoma "&amp;'Общие данные'!B74&amp;""</f>
        <v>Mikroqarz shartnoma 27 yanvar 2025 y.dan №202</v>
      </c>
      <c r="C19" s="326"/>
      <c r="D19" s="326"/>
      <c r="E19" s="326"/>
      <c r="F19" s="327"/>
      <c r="G19" s="46"/>
    </row>
    <row r="20" spans="2:7" x14ac:dyDescent="0.25">
      <c r="B20" s="321"/>
      <c r="C20" s="257"/>
      <c r="D20" s="257"/>
      <c r="E20" s="257"/>
      <c r="F20" s="322"/>
      <c r="G20" s="46"/>
    </row>
    <row r="21" spans="2:7" x14ac:dyDescent="0.25">
      <c r="B21" s="321"/>
      <c r="C21" s="257"/>
      <c r="D21" s="257"/>
      <c r="E21" s="257"/>
      <c r="F21" s="322"/>
      <c r="G21" s="46"/>
    </row>
    <row r="22" spans="2:7" x14ac:dyDescent="0.25">
      <c r="B22" s="321"/>
      <c r="C22" s="257"/>
      <c r="D22" s="257"/>
      <c r="E22" s="257"/>
      <c r="F22" s="322"/>
      <c r="G22" s="46"/>
    </row>
    <row r="23" spans="2:7" x14ac:dyDescent="0.25">
      <c r="B23" s="321"/>
      <c r="C23" s="257"/>
      <c r="D23" s="257"/>
      <c r="E23" s="257"/>
      <c r="F23" s="322"/>
      <c r="G23" s="46"/>
    </row>
    <row r="24" spans="2:7" x14ac:dyDescent="0.25">
      <c r="B24" s="323" t="str">
        <f>" Foiz stavkasi: "&amp;'Общие данные'!B85&amp;"%"</f>
        <v xml:space="preserve"> Foiz stavkasi: 60%</v>
      </c>
      <c r="C24" s="230"/>
      <c r="D24" s="230"/>
      <c r="E24" s="230"/>
      <c r="F24" s="324"/>
      <c r="G24" s="46"/>
    </row>
    <row r="25" spans="2:7" ht="15" customHeight="1" x14ac:dyDescent="0.25">
      <c r="B25" s="323" t="str">
        <f>" "&amp;'Общие данные'!C64&amp;" muddati: "&amp;'Общие данные'!B81&amp;" oy"</f>
        <v xml:space="preserve"> Mikroqarz muddati: 6 oy</v>
      </c>
      <c r="C25" s="230"/>
      <c r="D25" s="230"/>
      <c r="E25" s="230"/>
      <c r="F25" s="324"/>
      <c r="G25" s="46"/>
    </row>
    <row r="26" spans="2:7" x14ac:dyDescent="0.25">
      <c r="B26" s="323" t="str">
        <f>" "&amp;'Общие данные'!C64&amp;" miqdori: "&amp;FIXED('Общие данные'!B75,2)&amp;" so'm"</f>
        <v xml:space="preserve"> Mikroqarz miqdori: 100 000 000,00 so'm</v>
      </c>
      <c r="C26" s="230"/>
      <c r="D26" s="230"/>
      <c r="E26" s="230"/>
      <c r="F26" s="324"/>
      <c r="G26" s="46"/>
    </row>
    <row r="27" spans="2:7" x14ac:dyDescent="0.25">
      <c r="B27" s="321"/>
      <c r="C27" s="257"/>
      <c r="D27" s="257"/>
      <c r="E27" s="257"/>
      <c r="F27" s="322"/>
      <c r="G27" s="46"/>
    </row>
    <row r="28" spans="2:7" hidden="1" x14ac:dyDescent="0.25">
      <c r="G28" s="46"/>
    </row>
    <row r="29" spans="2:7" x14ac:dyDescent="0.25">
      <c r="B29" s="321"/>
      <c r="C29" s="257"/>
      <c r="D29" s="257"/>
      <c r="E29" s="257"/>
      <c r="F29" s="322"/>
      <c r="G29" s="46"/>
    </row>
    <row r="30" spans="2:7" ht="12.75" customHeight="1" x14ac:dyDescent="0.25">
      <c r="B30" s="48"/>
      <c r="C30" s="46"/>
      <c r="D30" s="46"/>
      <c r="E30" s="46"/>
      <c r="F30" s="49"/>
      <c r="G30" s="46"/>
    </row>
    <row r="31" spans="2:7" x14ac:dyDescent="0.25">
      <c r="B31" s="48"/>
      <c r="C31" s="46"/>
      <c r="D31" s="46"/>
      <c r="E31" s="46"/>
      <c r="F31" s="49"/>
      <c r="G31" s="46"/>
    </row>
    <row r="32" spans="2:7" ht="2.25" customHeight="1" x14ac:dyDescent="0.25">
      <c r="B32" s="48"/>
      <c r="C32" s="46"/>
      <c r="D32" s="46"/>
      <c r="E32" s="46"/>
      <c r="F32" s="49"/>
      <c r="G32" s="46"/>
    </row>
    <row r="33" spans="2:7" x14ac:dyDescent="0.25">
      <c r="B33" s="48"/>
      <c r="C33" s="46"/>
      <c r="D33" s="46"/>
      <c r="E33" s="46"/>
      <c r="F33" s="49"/>
      <c r="G33" s="46"/>
    </row>
    <row r="34" spans="2:7" x14ac:dyDescent="0.25">
      <c r="B34" s="48"/>
      <c r="C34" s="46"/>
      <c r="D34" s="46"/>
      <c r="E34" s="46"/>
      <c r="F34" s="49"/>
      <c r="G34" s="46"/>
    </row>
    <row r="35" spans="2:7" x14ac:dyDescent="0.25">
      <c r="B35" s="48"/>
      <c r="C35" s="46"/>
      <c r="D35" s="46"/>
      <c r="E35" s="46"/>
      <c r="F35" s="49"/>
      <c r="G35" s="46"/>
    </row>
    <row r="36" spans="2:7" x14ac:dyDescent="0.25">
      <c r="B36" s="48"/>
      <c r="C36" s="46"/>
      <c r="D36" s="46"/>
      <c r="E36" s="46"/>
      <c r="F36" s="49"/>
      <c r="G36" s="46"/>
    </row>
    <row r="37" spans="2:7" x14ac:dyDescent="0.25">
      <c r="B37" s="48"/>
      <c r="C37" s="46"/>
      <c r="D37" s="46"/>
      <c r="E37" s="46"/>
      <c r="F37" s="49"/>
      <c r="G37" s="46"/>
    </row>
    <row r="38" spans="2:7" x14ac:dyDescent="0.25">
      <c r="B38" s="48"/>
      <c r="C38" s="46"/>
      <c r="D38" s="46"/>
      <c r="E38" s="46"/>
      <c r="F38" s="49"/>
      <c r="G38" s="46"/>
    </row>
    <row r="39" spans="2:7" x14ac:dyDescent="0.25">
      <c r="B39" s="48"/>
      <c r="C39" s="46"/>
      <c r="D39" s="46"/>
      <c r="E39" s="46"/>
      <c r="F39" s="49"/>
      <c r="G39" s="46"/>
    </row>
    <row r="40" spans="2:7" ht="15.75" thickBot="1" x14ac:dyDescent="0.3">
      <c r="B40" s="318" t="str">
        <f>"Toshkent sh., "&amp;'Общие данные'!B70&amp;""</f>
        <v>Toshkent sh., 27 yanvar 2025 y.</v>
      </c>
      <c r="C40" s="319"/>
      <c r="D40" s="319"/>
      <c r="E40" s="319"/>
      <c r="F40" s="320"/>
      <c r="G40" s="46"/>
    </row>
    <row r="41" spans="2:7" x14ac:dyDescent="0.25">
      <c r="B41" s="257"/>
      <c r="C41" s="257"/>
      <c r="D41" s="257"/>
      <c r="E41" s="257"/>
      <c r="F41" s="257"/>
      <c r="G41" s="46"/>
    </row>
    <row r="42" spans="2:7" x14ac:dyDescent="0.25">
      <c r="B42" s="257"/>
      <c r="C42" s="257"/>
      <c r="D42" s="257"/>
      <c r="E42" s="257"/>
      <c r="F42" s="257"/>
      <c r="G42" s="46"/>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x14ac:dyDescent="0.25"/>
  <cols>
    <col min="1" max="1" width="33.85546875" style="19" customWidth="1"/>
    <col min="2" max="2" width="21.28515625" style="19" customWidth="1"/>
    <col min="3" max="3" width="19.140625" style="19" customWidth="1"/>
    <col min="4" max="5" width="21.28515625" style="19" customWidth="1"/>
    <col min="6" max="16384" width="9.140625" style="19"/>
  </cols>
  <sheetData>
    <row r="2" spans="1:5" x14ac:dyDescent="0.25">
      <c r="A2" s="125" t="s">
        <v>48</v>
      </c>
    </row>
    <row r="3" spans="1:5" x14ac:dyDescent="0.25">
      <c r="A3" s="125" t="s">
        <v>49</v>
      </c>
    </row>
    <row r="6" spans="1:5" ht="20.25" customHeight="1" x14ac:dyDescent="0.25">
      <c r="E6" s="126" t="s">
        <v>35</v>
      </c>
    </row>
    <row r="7" spans="1:5" x14ac:dyDescent="0.25">
      <c r="E7" s="126" t="s">
        <v>50</v>
      </c>
    </row>
    <row r="9" spans="1:5" ht="107.25" customHeight="1" x14ac:dyDescent="0.25">
      <c r="A9" s="335"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CHUCHARINA MARGARITA SERGEYEVNA  (паспорт: AD 2029757 IIV 60005 tomonidan 16.11.2022 yilda berilgan) заключен договор микрозайма 27 yanvar 2025 y.dan №202, на сумму 100 000 000,00 (yuz million so'm) сум, сроком на 6 (olti) месяцев. В качестве своевременного исполнения обязательств по договору Микрозайма 27 yanvar 2025 y.dan №202 планирует предоставить нижеследующее автотранспортного средство марки CHEVROLET TRACKER 2 принадлежащее на правах собственности CHUCHARINA MARGARITA SERGEYEVNA</v>
      </c>
      <c r="B9" s="335"/>
      <c r="C9" s="335"/>
      <c r="D9" s="335"/>
      <c r="E9" s="335"/>
    </row>
    <row r="11" spans="1:5" ht="28.5" x14ac:dyDescent="0.25">
      <c r="A11" s="43" t="str">
        <f>'Приказ на сделку'!A19</f>
        <v>Nomi</v>
      </c>
      <c r="B11" s="43" t="str">
        <f>'Приказ на сделку'!B19</f>
        <v>Kuzov turi  va kuzov raqami*</v>
      </c>
      <c r="C11" s="43" t="str">
        <f>'Приказ на сделку'!C19</f>
        <v>Dvigatel va shassi raqami*</v>
      </c>
      <c r="D11" s="43" t="str">
        <f>'Приказ на сделку'!D19</f>
        <v>Ishlab chiqarilgan yili va rangi*</v>
      </c>
      <c r="E11" s="43" t="str">
        <f>'Приказ на сделку'!E19</f>
        <v>Kelishilgan garov qiymati, so'm</v>
      </c>
    </row>
    <row r="12" spans="1:5" ht="73.5" customHeight="1" x14ac:dyDescent="0.25">
      <c r="A12" s="43" t="str">
        <f>'Приказ на сделку'!A20</f>
        <v>CHEVROLET TRACKER 2</v>
      </c>
      <c r="B12" s="43" t="str">
        <f>'Приказ на сделку'!B20</f>
        <v>kuzov turi - YENGIL KROSSOVER, kuzov raqami XWBUA7659PA551726</v>
      </c>
      <c r="C12" s="43" t="str">
        <f>'Приказ на сделку'!C20</f>
        <v xml:space="preserve">dvigatel raqami L4HA1222413MYWX0269, shassi raqami -  - </v>
      </c>
      <c r="D12" s="43" t="str">
        <f>'Приказ на сделку'!D20</f>
        <v>rangi -  QORA CHYORNIY , ishlab chiqarilgan yili - 2023</v>
      </c>
      <c r="E12" s="43" t="str">
        <f>'Приказ на сделку'!E20</f>
        <v>150 000 000,00 
(yuz ellik million so'm)</v>
      </c>
    </row>
    <row r="13" spans="1:5" x14ac:dyDescent="0.25">
      <c r="A13" s="339" t="str">
        <f>'Приказ на сделку'!A21:E21</f>
        <v>-* avtotransport egasi: CHUCHARINA MARGARITA SERGEYEVNA</v>
      </c>
      <c r="B13" s="339"/>
      <c r="C13" s="339"/>
      <c r="D13" s="339"/>
      <c r="E13" s="339"/>
    </row>
    <row r="14" spans="1:5" x14ac:dyDescent="0.25">
      <c r="A14" s="339" t="str">
        <f>'Приказ на сделку'!A22:E22</f>
        <v>-* texnik pasport: AAG  1888277   10.07.2023 Y</v>
      </c>
      <c r="B14" s="339"/>
      <c r="C14" s="339"/>
      <c r="D14" s="339"/>
      <c r="E14" s="339"/>
    </row>
    <row r="15" spans="1:5" x14ac:dyDescent="0.25">
      <c r="A15" s="339" t="str">
        <f>'Приказ на сделку'!A23:E23</f>
        <v>-* roʻyxatdan oʻtgan manzili/garaj manzili: TOSHKЕNT SHAHRI YAKKASAROY TUMANI Rakat daxasi, Uy 12, Kvartira 47</v>
      </c>
      <c r="B15" s="339"/>
      <c r="C15" s="339"/>
      <c r="D15" s="339"/>
      <c r="E15" s="339"/>
    </row>
    <row r="16" spans="1:5" x14ac:dyDescent="0.25">
      <c r="A16" s="339" t="str">
        <f>'Приказ на сделку'!A24:E24</f>
        <v>-* davlat raqami: 01Y604CC</v>
      </c>
      <c r="B16" s="339"/>
      <c r="C16" s="339"/>
      <c r="D16" s="339"/>
      <c r="E16" s="339"/>
    </row>
    <row r="17" spans="1:5" ht="3" customHeight="1" x14ac:dyDescent="0.25"/>
    <row r="19" spans="1:5" ht="59.25" hidden="1" customHeight="1" x14ac:dyDescent="0.25">
      <c r="A19" s="43" t="str">
        <f>'Акт согласования'!A32</f>
        <v>Наименование</v>
      </c>
      <c r="B19" s="43" t="str">
        <f>'Акт согласования'!B32</f>
        <v>Полезная площадь</v>
      </c>
      <c r="C19" s="43" t="str">
        <f>'Акт согласования'!C32</f>
        <v>Жилая площадь</v>
      </c>
      <c r="D19" s="43" t="str">
        <f>'Акт согласования'!D32</f>
        <v>Общая площадь</v>
      </c>
      <c r="E19" s="43" t="str">
        <f>'Акт согласования'!E32</f>
        <v>Согласованная залоговая стоимость, сум</v>
      </c>
    </row>
    <row r="20" spans="1:5" ht="17.25" hidden="1" customHeight="1" x14ac:dyDescent="0.25">
      <c r="A20" s="21" t="e">
        <f>'Акт согласования'!A33</f>
        <v>#REF!</v>
      </c>
      <c r="B20" s="21" t="e">
        <f>'Акт согласования'!B33</f>
        <v>#REF!</v>
      </c>
      <c r="C20" s="21" t="e">
        <f>'Акт согласования'!C33</f>
        <v>#REF!</v>
      </c>
      <c r="D20" s="21" t="e">
        <f>'Акт согласования'!D33</f>
        <v>#REF!</v>
      </c>
      <c r="E20" s="314" t="str">
        <f>""&amp;FIXED('Общие данные'!C136,2)&amp;" ("&amp;'Общие данные'!C137&amp;")"</f>
        <v>150 000 000,00 (yuz ellik million so'm)</v>
      </c>
    </row>
    <row r="21" spans="1:5" ht="17.25" hidden="1" customHeight="1" x14ac:dyDescent="0.25">
      <c r="A21" s="21">
        <f>'Акт согласования'!A34</f>
        <v>0</v>
      </c>
      <c r="B21" s="21">
        <f>'Акт согласования'!B34</f>
        <v>0</v>
      </c>
      <c r="C21" s="21">
        <f>'Акт согласования'!C34</f>
        <v>0</v>
      </c>
      <c r="D21" s="21">
        <f>'Акт согласования'!D34</f>
        <v>0</v>
      </c>
      <c r="E21" s="315"/>
    </row>
    <row r="22" spans="1:5" ht="17.25" hidden="1" customHeight="1" x14ac:dyDescent="0.25">
      <c r="A22" s="21" t="e">
        <f>'Акт согласования'!A35</f>
        <v>#REF!</v>
      </c>
      <c r="B22" s="21" t="e">
        <f>'Акт согласования'!B35</f>
        <v>#REF!</v>
      </c>
      <c r="C22" s="21" t="e">
        <f>'Акт согласования'!C35</f>
        <v>#REF!</v>
      </c>
      <c r="D22" s="21" t="e">
        <f>'Акт согласования'!D35</f>
        <v>#REF!</v>
      </c>
      <c r="E22" s="315"/>
    </row>
    <row r="23" spans="1:5" ht="17.25" hidden="1" customHeight="1" x14ac:dyDescent="0.25">
      <c r="A23" s="21" t="e">
        <f>'Акт согласования'!A36</f>
        <v>#REF!</v>
      </c>
      <c r="B23" s="21" t="e">
        <f>'Акт согласования'!B36</f>
        <v>#REF!</v>
      </c>
      <c r="C23" s="21" t="e">
        <f>'Акт согласования'!C36</f>
        <v>#REF!</v>
      </c>
      <c r="D23" s="21" t="e">
        <f>'Акт согласования'!D36</f>
        <v>#REF!</v>
      </c>
      <c r="E23" s="315"/>
    </row>
    <row r="24" spans="1:5" ht="17.25" hidden="1" customHeight="1" x14ac:dyDescent="0.25">
      <c r="A24" s="21" t="e">
        <f>'Акт согласования'!A37</f>
        <v>#REF!</v>
      </c>
      <c r="B24" s="21" t="e">
        <f>'Акт согласования'!B37</f>
        <v>#REF!</v>
      </c>
      <c r="C24" s="21" t="e">
        <f>'Акт согласования'!C37</f>
        <v>#REF!</v>
      </c>
      <c r="D24" s="21" t="e">
        <f>'Акт согласования'!D37</f>
        <v>#REF!</v>
      </c>
      <c r="E24" s="315"/>
    </row>
    <row r="25" spans="1:5" ht="15.75" hidden="1" customHeight="1" x14ac:dyDescent="0.25">
      <c r="A25" s="21" t="e">
        <f>'Акт согласования'!A38</f>
        <v>#REF!</v>
      </c>
      <c r="B25" s="21" t="e">
        <f>'Акт согласования'!B38</f>
        <v>#REF!</v>
      </c>
      <c r="C25" s="21" t="e">
        <f>'Акт согласования'!C38</f>
        <v>#REF!</v>
      </c>
      <c r="D25" s="21" t="e">
        <f>'Акт согласования'!D38</f>
        <v>#REF!</v>
      </c>
      <c r="E25" s="315"/>
    </row>
    <row r="26" spans="1:5" ht="17.25" hidden="1" customHeight="1" x14ac:dyDescent="0.25">
      <c r="A26" s="21" t="e">
        <f>'Акт согласования'!A39</f>
        <v>#REF!</v>
      </c>
      <c r="B26" s="21" t="e">
        <f>'Акт согласования'!B39</f>
        <v>#REF!</v>
      </c>
      <c r="C26" s="21" t="e">
        <f>'Акт согласования'!C39</f>
        <v>#REF!</v>
      </c>
      <c r="D26" s="21" t="e">
        <f>'Акт согласования'!D39</f>
        <v>#REF!</v>
      </c>
      <c r="E26" s="315"/>
    </row>
    <row r="27" spans="1:5" ht="17.25" hidden="1" customHeight="1" x14ac:dyDescent="0.25">
      <c r="A27" s="21" t="e">
        <f>'Акт согласования'!A40</f>
        <v>#REF!</v>
      </c>
      <c r="B27" s="21" t="e">
        <f>'Акт согласования'!B40</f>
        <v>#REF!</v>
      </c>
      <c r="C27" s="21" t="e">
        <f>'Акт согласования'!C40</f>
        <v>#REF!</v>
      </c>
      <c r="D27" s="21" t="e">
        <f>'Акт согласования'!D40</f>
        <v>#REF!</v>
      </c>
      <c r="E27" s="315"/>
    </row>
    <row r="28" spans="1:5" ht="17.25" hidden="1" customHeight="1" x14ac:dyDescent="0.25">
      <c r="A28" s="21" t="e">
        <f>'Акт согласования'!A41</f>
        <v>#REF!</v>
      </c>
      <c r="B28" s="21" t="e">
        <f>'Акт согласования'!B41</f>
        <v>#REF!</v>
      </c>
      <c r="C28" s="21" t="e">
        <f>'Акт согласования'!C41</f>
        <v>#REF!</v>
      </c>
      <c r="D28" s="21" t="e">
        <f>'Акт согласования'!D41</f>
        <v>#REF!</v>
      </c>
      <c r="E28" s="315"/>
    </row>
    <row r="29" spans="1:5" ht="17.25" hidden="1" customHeight="1" x14ac:dyDescent="0.25">
      <c r="A29" s="21" t="e">
        <f>'Акт согласования'!A42</f>
        <v>#REF!</v>
      </c>
      <c r="B29" s="21" t="e">
        <f>'Акт согласования'!B42</f>
        <v>#REF!</v>
      </c>
      <c r="C29" s="21" t="e">
        <f>'Акт согласования'!C42</f>
        <v>#REF!</v>
      </c>
      <c r="D29" s="21" t="e">
        <f>'Акт согласования'!D42</f>
        <v>#REF!</v>
      </c>
      <c r="E29" s="315"/>
    </row>
    <row r="30" spans="1:5" ht="17.25" hidden="1" customHeight="1" x14ac:dyDescent="0.25">
      <c r="A30" s="21" t="e">
        <f>'Акт согласования'!A43</f>
        <v>#REF!</v>
      </c>
      <c r="B30" s="21" t="e">
        <f>'Акт согласования'!B43</f>
        <v>#REF!</v>
      </c>
      <c r="C30" s="21" t="e">
        <f>'Акт согласования'!C43</f>
        <v>#REF!</v>
      </c>
      <c r="D30" s="21" t="e">
        <f>'Акт согласования'!D43</f>
        <v>#REF!</v>
      </c>
      <c r="E30" s="316"/>
    </row>
    <row r="31" spans="1:5" ht="17.25" hidden="1" customHeight="1" x14ac:dyDescent="0.25">
      <c r="A31" s="21" t="e">
        <f>'Акт согласования'!A44</f>
        <v>#REF!</v>
      </c>
      <c r="B31" s="21" t="e">
        <f>'Акт согласования'!B44</f>
        <v>#REF!</v>
      </c>
      <c r="C31" s="21" t="e">
        <f>'Акт согласования'!C44</f>
        <v>#REF!</v>
      </c>
      <c r="D31" s="21" t="e">
        <f>'Акт согласования'!D44</f>
        <v>#REF!</v>
      </c>
      <c r="E31" s="21" t="str">
        <f>'Акт согласования'!E44</f>
        <v>150 000 000,00</v>
      </c>
    </row>
    <row r="32" spans="1:5" ht="18.75" hidden="1" customHeight="1" x14ac:dyDescent="0.25">
      <c r="A32" s="335" t="e">
        <f>_xlfn.SINGLE('Акт согласования'!#REF!)</f>
        <v>#REF!</v>
      </c>
      <c r="B32" s="335"/>
      <c r="C32" s="335"/>
      <c r="D32" s="335"/>
      <c r="E32" s="335"/>
    </row>
    <row r="33" spans="1:5" ht="24.75" hidden="1" customHeight="1" x14ac:dyDescent="0.25">
      <c r="A33" s="335" t="e">
        <f>_xlfn.SINGLE('Акт согласования'!#REF!)</f>
        <v>#REF!</v>
      </c>
      <c r="B33" s="335"/>
      <c r="C33" s="335"/>
      <c r="D33" s="335"/>
      <c r="E33" s="335"/>
    </row>
    <row r="34" spans="1:5" ht="30.75" hidden="1" customHeight="1" x14ac:dyDescent="0.25">
      <c r="A34" s="335" t="e">
        <f>_xlfn.SINGLE('Акт согласования'!#REF!)</f>
        <v>#REF!</v>
      </c>
      <c r="B34" s="335"/>
      <c r="C34" s="335"/>
      <c r="D34" s="335"/>
      <c r="E34" s="335"/>
    </row>
    <row r="35" spans="1:5" ht="15" hidden="1" customHeight="1" x14ac:dyDescent="0.25">
      <c r="A35" s="335" t="e">
        <f>_xlfn.SINGLE('Акт согласования'!#REF!)</f>
        <v>#REF!</v>
      </c>
      <c r="B35" s="335"/>
      <c r="C35" s="335"/>
      <c r="D35" s="335"/>
      <c r="E35" s="335"/>
    </row>
    <row r="36" spans="1:5" x14ac:dyDescent="0.25">
      <c r="A36" s="26"/>
      <c r="B36" s="26"/>
      <c r="C36" s="26"/>
      <c r="D36" s="26"/>
      <c r="E36" s="26"/>
    </row>
    <row r="37" spans="1:5" s="147" customFormat="1" ht="51" customHeight="1" x14ac:dyDescent="0.25">
      <c r="A37" s="338"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38"/>
      <c r="C37" s="338"/>
      <c r="D37" s="338"/>
      <c r="E37" s="338"/>
    </row>
    <row r="38" spans="1:5" ht="40.5" customHeight="1" x14ac:dyDescent="0.25">
      <c r="A38" s="335" t="str">
        <f>'Акт согласования'!A47:E47</f>
        <v>Shu bilan birga, garov predmetining kelishilgan garov qiymati deganda ushbu mulk garov sifatida taqdim etilgan/qabul qilingan qiymati tushuniladi.</v>
      </c>
      <c r="B38" s="335"/>
      <c r="C38" s="335"/>
      <c r="D38" s="335"/>
      <c r="E38" s="335"/>
    </row>
    <row r="39" spans="1:5" ht="39" customHeight="1" x14ac:dyDescent="0.25">
      <c r="A39" s="335"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27 yanvar 2025 y.dan №202, при сохранении запрета.</v>
      </c>
      <c r="B39" s="335"/>
      <c r="C39" s="335"/>
      <c r="D39" s="335"/>
      <c r="E39" s="335"/>
    </row>
    <row r="40" spans="1:5" x14ac:dyDescent="0.25">
      <c r="A40" s="336"/>
      <c r="B40" s="336"/>
      <c r="C40" s="336"/>
      <c r="D40" s="336"/>
      <c r="E40" s="336"/>
    </row>
    <row r="41" spans="1:5" x14ac:dyDescent="0.25">
      <c r="A41" s="337" t="s">
        <v>36</v>
      </c>
      <c r="B41" s="337"/>
      <c r="C41" s="337"/>
      <c r="D41" s="337"/>
      <c r="E41" s="337"/>
    </row>
    <row r="42" spans="1:5" x14ac:dyDescent="0.25">
      <c r="A42" s="336"/>
      <c r="B42" s="336"/>
      <c r="C42" s="336"/>
      <c r="D42" s="336"/>
      <c r="E42" s="336"/>
    </row>
    <row r="43" spans="1:5" x14ac:dyDescent="0.25">
      <c r="A43" s="337" t="s">
        <v>37</v>
      </c>
      <c r="B43" s="337"/>
      <c r="C43" s="337"/>
      <c r="D43" s="337"/>
      <c r="E43" s="337"/>
    </row>
    <row r="44" spans="1:5" ht="28.5" customHeight="1" x14ac:dyDescent="0.25">
      <c r="A44" s="334" t="s">
        <v>38</v>
      </c>
      <c r="B44" s="334"/>
      <c r="C44" s="334"/>
      <c r="D44" s="334"/>
      <c r="E44" s="127"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7" zoomScaleNormal="100" zoomScaleSheetLayoutView="100" workbookViewId="0">
      <selection activeCell="I23" sqref="I23"/>
    </sheetView>
  </sheetViews>
  <sheetFormatPr defaultColWidth="9.140625" defaultRowHeight="12.75" x14ac:dyDescent="0.2"/>
  <cols>
    <col min="1" max="2" width="11" style="28" customWidth="1"/>
    <col min="3" max="4" width="14.42578125" style="28" customWidth="1"/>
    <col min="5" max="6" width="13.5703125" style="28" customWidth="1"/>
    <col min="7" max="7" width="9.140625" style="28"/>
    <col min="8" max="8" width="19" style="28" bestFit="1" customWidth="1"/>
    <col min="9" max="16384" width="9.140625" style="28"/>
  </cols>
  <sheetData>
    <row r="1" spans="1:9" x14ac:dyDescent="0.2">
      <c r="A1" s="35"/>
      <c r="B1" s="35"/>
      <c r="C1" s="35"/>
      <c r="D1" s="35"/>
      <c r="E1" s="35"/>
      <c r="F1" s="35"/>
      <c r="G1" s="35"/>
      <c r="H1" s="35"/>
      <c r="I1" s="35"/>
    </row>
    <row r="2" spans="1:9" x14ac:dyDescent="0.2">
      <c r="A2" s="342" t="str">
        <f>""&amp;" "&amp;'Общие данные'!B74&amp;"-sonli "&amp;" "&amp;'Общие данные'!C64&amp;" shartnomasi bo‘yicha
 garovga qo‘yilgan mol-mulkni tekshirish bo’yicha "&amp;'Общие данные'!B5&amp;" bilan tuzilgan dalolatnomasi"</f>
        <v xml:space="preserve"> 27 yanvar 2025 y.dan №202-sonli  Mikroqarz shartnomasi bo‘yicha
 garovga qo‘yilgan mol-mulkni tekshirish bo’yicha CHUCHARINA MARGARITA SERGEYEVNA bilan tuzilgan dalolatnomasi</v>
      </c>
      <c r="B2" s="342"/>
      <c r="C2" s="342"/>
      <c r="D2" s="342"/>
      <c r="E2" s="342"/>
      <c r="F2" s="342"/>
      <c r="G2" s="342"/>
      <c r="H2" s="342"/>
      <c r="I2" s="35"/>
    </row>
    <row r="3" spans="1:9" x14ac:dyDescent="0.2">
      <c r="A3" s="342"/>
      <c r="B3" s="342"/>
      <c r="C3" s="342"/>
      <c r="D3" s="342"/>
      <c r="E3" s="342"/>
      <c r="F3" s="342"/>
      <c r="G3" s="342"/>
      <c r="H3" s="342"/>
      <c r="I3" s="35"/>
    </row>
    <row r="5" spans="1:9" x14ac:dyDescent="0.2">
      <c r="A5" s="28" t="s">
        <v>203</v>
      </c>
      <c r="H5" s="161" t="str">
        <f>TEXT(+'Общие данные'!B2+720,"ДД.ММ.ГГГГ")</f>
        <v>17.01.2027</v>
      </c>
    </row>
    <row r="7" spans="1:9" ht="45" customHeight="1" x14ac:dyDescent="0.2">
      <c r="A7" s="345"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Ijrochi direktori Abduraximov N.K., jismoniy shaxs  CHUCHARINA MARGARITA SERGEYEVNA  27 yanvar 2025 y.dan №202-sonli Mikroqarz shartnomasi bo‘yicha garovga qo‘yilgan mol-mulkni ko‘zdan kechirdim</v>
      </c>
      <c r="B7" s="345"/>
      <c r="C7" s="345"/>
      <c r="D7" s="345"/>
      <c r="E7" s="345"/>
      <c r="F7" s="345"/>
      <c r="G7" s="345"/>
      <c r="H7" s="345"/>
    </row>
    <row r="8" spans="1:9" ht="19.5" customHeight="1" x14ac:dyDescent="0.2">
      <c r="A8" s="346" t="s">
        <v>276</v>
      </c>
      <c r="B8" s="346"/>
      <c r="C8" s="346"/>
      <c r="D8" s="346"/>
      <c r="E8" s="346"/>
      <c r="F8" s="346"/>
      <c r="G8" s="346"/>
      <c r="H8" s="346"/>
    </row>
    <row r="9" spans="1:9" s="162" customFormat="1" ht="32.25" customHeight="1" x14ac:dyDescent="0.25">
      <c r="A9" s="340" t="str">
        <f>' Акт мониторинга 1'!A9</f>
        <v>Nomi</v>
      </c>
      <c r="B9" s="341"/>
      <c r="C9" s="340" t="str">
        <f>' Акт мониторинга 1'!C9</f>
        <v>Kuzov turi  va kuzov raqami*</v>
      </c>
      <c r="D9" s="341"/>
      <c r="E9" s="340" t="str">
        <f>' Акт мониторинга 1'!E9</f>
        <v>Dvigatel va shassi raqami*</v>
      </c>
      <c r="F9" s="341"/>
      <c r="G9" s="340" t="str">
        <f>' Акт мониторинга 1'!G9</f>
        <v>Ishlab chiqarilgan yili va rangi**</v>
      </c>
      <c r="H9" s="341"/>
    </row>
    <row r="10" spans="1:9" s="160" customFormat="1" ht="58.5" customHeight="1" x14ac:dyDescent="0.2">
      <c r="A10" s="348" t="str">
        <f>' Акт мониторинга 1'!A10</f>
        <v>CHEVROLET TRACKER 2</v>
      </c>
      <c r="B10" s="348"/>
      <c r="C10" s="348" t="str">
        <f>' Акт мониторинга 1'!C10</f>
        <v>kuzov turi - YENGIL KROSSOVER, kuzov raqami XWBUA7659PA551726</v>
      </c>
      <c r="D10" s="348"/>
      <c r="E10" s="348" t="str">
        <f>' Акт мониторинга 1'!E10</f>
        <v xml:space="preserve">dvigatel raqami L4HA1222413MYWX0269, shassi raqami -  - </v>
      </c>
      <c r="F10" s="348"/>
      <c r="G10" s="348" t="str">
        <f>' Акт мониторинга 1'!G10</f>
        <v>rangi -  QORA CHYORNIY , ishlab chiqarilgan yili - 2023</v>
      </c>
      <c r="H10" s="348"/>
    </row>
    <row r="11" spans="1:9" ht="19.5" customHeight="1" x14ac:dyDescent="0.2">
      <c r="A11" s="343" t="str">
        <f>'Акт согласования'!A22:E22</f>
        <v>-* avtotransport egasi: CHUCHARINA MARGARITA SERGEYEVNA</v>
      </c>
      <c r="B11" s="343"/>
      <c r="C11" s="343"/>
      <c r="D11" s="343"/>
      <c r="E11" s="343"/>
      <c r="F11" s="343"/>
      <c r="G11" s="343"/>
      <c r="H11" s="343"/>
    </row>
    <row r="12" spans="1:9" ht="19.5" customHeight="1" x14ac:dyDescent="0.2">
      <c r="A12" s="343" t="str">
        <f>'Акт согласования'!A23:E23</f>
        <v>-* texnik pasport: AAG  1888277   10.07.2023 Y</v>
      </c>
      <c r="B12" s="343"/>
      <c r="C12" s="343"/>
      <c r="D12" s="343"/>
      <c r="E12" s="343"/>
      <c r="F12" s="343"/>
      <c r="G12" s="343"/>
      <c r="H12" s="343"/>
    </row>
    <row r="13" spans="1:9" ht="19.5" customHeight="1" x14ac:dyDescent="0.2">
      <c r="A13" s="343" t="str">
        <f>'Акт согласования'!A24:E24</f>
        <v>-* roʻyxatdan oʻtgan manzili/garaj manzili: TOSHKЕNT SHAHRI YAKKASAROY TUMANI Rakat daxasi, Uy 12, Kvartira 47</v>
      </c>
      <c r="B13" s="343"/>
      <c r="C13" s="343"/>
      <c r="D13" s="343"/>
      <c r="E13" s="343"/>
      <c r="F13" s="343"/>
      <c r="G13" s="343"/>
      <c r="H13" s="343"/>
    </row>
    <row r="14" spans="1:9" ht="19.5" customHeight="1" x14ac:dyDescent="0.2">
      <c r="A14" s="343" t="str">
        <f>'Акт согласования'!A25:E25</f>
        <v>-* davlat raqami: 01Y604CC</v>
      </c>
      <c r="B14" s="343"/>
      <c r="C14" s="343"/>
      <c r="D14" s="343"/>
      <c r="E14" s="343"/>
      <c r="F14" s="343"/>
      <c r="G14" s="343"/>
      <c r="H14" s="343"/>
    </row>
    <row r="15" spans="1:9" ht="33.75" customHeight="1" x14ac:dyDescent="0.2">
      <c r="A15" s="344" t="str">
        <f>+"Shu bilan birga, yuqoridagi mulkning kelishilgan garov qiymati "&amp;'Акт согласования'!E30</f>
        <v>Shu bilan birga, yuqoridagi mulkning kelishilgan garov qiymati 150 000 000,00 
(yuz ellik million so'm)</v>
      </c>
      <c r="B15" s="344"/>
      <c r="C15" s="344"/>
      <c r="D15" s="344"/>
      <c r="E15" s="344"/>
      <c r="F15" s="344"/>
      <c r="G15" s="344"/>
      <c r="H15" s="344"/>
    </row>
    <row r="17" spans="1:8" ht="28.5" customHeight="1" x14ac:dyDescent="0.2">
      <c r="A17" s="347" t="s">
        <v>277</v>
      </c>
      <c r="B17" s="347"/>
      <c r="C17" s="347"/>
      <c r="D17" s="347"/>
      <c r="E17" s="347"/>
      <c r="F17" s="347"/>
      <c r="G17" s="347"/>
      <c r="H17" s="347"/>
    </row>
    <row r="21" spans="1:8" s="35" customFormat="1" x14ac:dyDescent="0.2"/>
    <row r="22" spans="1:8" s="35" customFormat="1" x14ac:dyDescent="0.2">
      <c r="A22" s="35" t="str">
        <f>'Общие данные'!A150</f>
        <v>Ijrochi direktor</v>
      </c>
      <c r="H22" s="163" t="str">
        <f>'Общие данные'!B150</f>
        <v>Abduraximov N.K.</v>
      </c>
    </row>
    <row r="23" spans="1:8" s="35" customFormat="1" ht="32.25" customHeight="1" x14ac:dyDescent="0.2">
      <c r="H23" s="163"/>
    </row>
    <row r="24" spans="1:8" s="35" customFormat="1" ht="16.5" customHeight="1" x14ac:dyDescent="0.2">
      <c r="A24" s="35" t="s">
        <v>278</v>
      </c>
      <c r="H24" s="35" t="str">
        <f>'Общие данные'!B160</f>
        <v>Jumanazarov B.T.</v>
      </c>
    </row>
    <row r="25" spans="1:8" s="35" customFormat="1" ht="60" customHeight="1" x14ac:dyDescent="0.2"/>
    <row r="26" spans="1:8" s="35" customFormat="1" x14ac:dyDescent="0.2">
      <c r="A26" s="35" t="s">
        <v>279</v>
      </c>
      <c r="H26" s="163" t="str">
        <f>'Общие данные'!B7</f>
        <v>CHUCHARINA M.S.</v>
      </c>
    </row>
    <row r="27" spans="1:8" s="35" customFormat="1" x14ac:dyDescent="0.2"/>
    <row r="28" spans="1:8" s="35" customFormat="1" x14ac:dyDescent="0.2"/>
    <row r="29" spans="1:8" s="35"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tabSelected="1" view="pageBreakPreview" zoomScaleNormal="100" zoomScaleSheetLayoutView="100" workbookViewId="0">
      <selection activeCell="E19" sqref="E19"/>
    </sheetView>
  </sheetViews>
  <sheetFormatPr defaultColWidth="9.140625" defaultRowHeight="12.75" x14ac:dyDescent="0.2"/>
  <cols>
    <col min="1" max="2" width="11" style="28" customWidth="1"/>
    <col min="3" max="4" width="14.42578125" style="28" customWidth="1"/>
    <col min="5" max="6" width="13.5703125" style="28" customWidth="1"/>
    <col min="7" max="7" width="9.140625" style="28"/>
    <col min="8" max="8" width="19" style="28" bestFit="1" customWidth="1"/>
    <col min="9" max="9" width="9.140625" style="28" hidden="1" customWidth="1"/>
    <col min="10" max="10" width="9.140625" style="28" customWidth="1"/>
    <col min="11" max="11" width="0.5703125" style="28" customWidth="1"/>
    <col min="12" max="16384" width="9.140625" style="28"/>
  </cols>
  <sheetData>
    <row r="1" spans="1:9" x14ac:dyDescent="0.2">
      <c r="A1" s="35"/>
      <c r="B1" s="35"/>
      <c r="C1" s="35"/>
      <c r="D1" s="35"/>
      <c r="E1" s="35"/>
      <c r="F1" s="35"/>
      <c r="G1" s="35"/>
      <c r="H1" s="35"/>
      <c r="I1" s="35"/>
    </row>
    <row r="2" spans="1:9" x14ac:dyDescent="0.2">
      <c r="A2" s="342" t="str">
        <f>""&amp;" "&amp;'Общие данные'!B74&amp;"-sonli "&amp;" "&amp;'Общие данные'!C64&amp;" shartnomasi bo‘yicha
 garovga qo‘yilgan mol-mulkni tekshirish bo’yicha "&amp;'Общие данные'!B5&amp;" bilan tuzilgan dalolatnomasi"</f>
        <v xml:space="preserve"> 27 yanvar 2025 y.dan №202-sonli  Mikroqarz shartnomasi bo‘yicha
 garovga qo‘yilgan mol-mulkni tekshirish bo’yicha CHUCHARINA MARGARITA SERGEYEVNA bilan tuzilgan dalolatnomasi</v>
      </c>
      <c r="B2" s="342"/>
      <c r="C2" s="342"/>
      <c r="D2" s="342"/>
      <c r="E2" s="342"/>
      <c r="F2" s="342"/>
      <c r="G2" s="342"/>
      <c r="H2" s="342"/>
      <c r="I2" s="35"/>
    </row>
    <row r="3" spans="1:9" x14ac:dyDescent="0.2">
      <c r="A3" s="342"/>
      <c r="B3" s="342"/>
      <c r="C3" s="342"/>
      <c r="D3" s="342"/>
      <c r="E3" s="342"/>
      <c r="F3" s="342"/>
      <c r="G3" s="342"/>
      <c r="H3" s="342"/>
      <c r="I3" s="35"/>
    </row>
    <row r="5" spans="1:9" x14ac:dyDescent="0.2">
      <c r="A5" s="28" t="s">
        <v>203</v>
      </c>
      <c r="F5" s="182"/>
      <c r="H5" s="161" t="str">
        <f>TEXT('Общие данные'!D2,"ДД.ММ.ГГГГ")</f>
        <v>26.07.2025</v>
      </c>
    </row>
    <row r="7" spans="1:9" ht="45" customHeight="1" x14ac:dyDescent="0.2">
      <c r="A7" s="345"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Ijrochi direktori Abduraximov N.K., jismoniy shaxs  CHUCHARINA MARGARITA SERGEYEVNA  27 yanvar 2025 y.dan №202-sonli mikroqarz shartnomasi bo‘yicha garovga qo‘yilgan mol-mulkni ko‘zdan kechirdim</v>
      </c>
      <c r="B7" s="345"/>
      <c r="C7" s="345"/>
      <c r="D7" s="345"/>
      <c r="E7" s="345"/>
      <c r="F7" s="345"/>
      <c r="G7" s="345"/>
      <c r="H7" s="345"/>
    </row>
    <row r="8" spans="1:9" ht="19.5" customHeight="1" x14ac:dyDescent="0.2">
      <c r="A8" s="346" t="s">
        <v>276</v>
      </c>
      <c r="B8" s="346"/>
      <c r="C8" s="346"/>
      <c r="D8" s="346"/>
      <c r="E8" s="346"/>
      <c r="F8" s="346"/>
      <c r="G8" s="346"/>
      <c r="H8" s="346"/>
    </row>
    <row r="9" spans="1:9" s="162" customFormat="1" ht="32.25" customHeight="1" x14ac:dyDescent="0.25">
      <c r="A9" s="340" t="str">
        <f>'Акт согласования'!A20</f>
        <v>Nomi</v>
      </c>
      <c r="B9" s="341"/>
      <c r="C9" s="340" t="str">
        <f>'Акт согласования'!B20</f>
        <v>Kuzov turi  va kuzov raqami*</v>
      </c>
      <c r="D9" s="341"/>
      <c r="E9" s="340" t="str">
        <f>'Акт согласования'!D20</f>
        <v>Dvigatel va shassi raqami*</v>
      </c>
      <c r="F9" s="341"/>
      <c r="G9" s="340" t="str">
        <f>'Акт согласования'!E20</f>
        <v>Ishlab chiqarilgan yili va rangi**</v>
      </c>
      <c r="H9" s="341"/>
    </row>
    <row r="10" spans="1:9" s="160" customFormat="1" ht="58.5" customHeight="1" x14ac:dyDescent="0.2">
      <c r="A10" s="348" t="str">
        <f>'Акт согласования'!A21</f>
        <v>CHEVROLET TRACKER 2</v>
      </c>
      <c r="B10" s="348"/>
      <c r="C10" s="348" t="str">
        <f>'Акт согласования'!B21</f>
        <v>kuzov turi - YENGIL KROSSOVER, kuzov raqami XWBUA7659PA551726</v>
      </c>
      <c r="D10" s="348"/>
      <c r="E10" s="348" t="str">
        <f>'Акт согласования'!D21</f>
        <v xml:space="preserve">dvigatel raqami L4HA1222413MYWX0269, shassi raqami -  - </v>
      </c>
      <c r="F10" s="348"/>
      <c r="G10" s="348" t="str">
        <f>'Акт согласования'!E21</f>
        <v>rangi -  QORA CHYORNIY , ishlab chiqarilgan yili - 2023</v>
      </c>
      <c r="H10" s="348"/>
    </row>
    <row r="11" spans="1:9" ht="19.5" customHeight="1" x14ac:dyDescent="0.2">
      <c r="A11" s="343" t="str">
        <f>'Акт согласования'!A22:E22</f>
        <v>-* avtotransport egasi: CHUCHARINA MARGARITA SERGEYEVNA</v>
      </c>
      <c r="B11" s="343"/>
      <c r="C11" s="343"/>
      <c r="D11" s="343"/>
      <c r="E11" s="343"/>
      <c r="F11" s="343"/>
      <c r="G11" s="343"/>
      <c r="H11" s="343"/>
    </row>
    <row r="12" spans="1:9" ht="19.5" customHeight="1" x14ac:dyDescent="0.2">
      <c r="A12" s="343" t="str">
        <f>'Акт согласования'!A23:E23</f>
        <v>-* texnik pasport: AAG  1888277   10.07.2023 Y</v>
      </c>
      <c r="B12" s="343"/>
      <c r="C12" s="343"/>
      <c r="D12" s="343"/>
      <c r="E12" s="343"/>
      <c r="F12" s="343"/>
      <c r="G12" s="343"/>
      <c r="H12" s="343"/>
    </row>
    <row r="13" spans="1:9" ht="19.5" customHeight="1" x14ac:dyDescent="0.2">
      <c r="A13" s="343" t="str">
        <f>'Акт согласования'!A24:E24</f>
        <v>-* roʻyxatdan oʻtgan manzili/garaj manzili: TOSHKЕNT SHAHRI YAKKASAROY TUMANI Rakat daxasi, Uy 12, Kvartira 47</v>
      </c>
      <c r="B13" s="343"/>
      <c r="C13" s="343"/>
      <c r="D13" s="343"/>
      <c r="E13" s="343"/>
      <c r="F13" s="343"/>
      <c r="G13" s="343"/>
      <c r="H13" s="343"/>
    </row>
    <row r="14" spans="1:9" ht="19.5" customHeight="1" x14ac:dyDescent="0.2">
      <c r="A14" s="343" t="str">
        <f>'Акт согласования'!A25:E25</f>
        <v>-* davlat raqami: 01Y604CC</v>
      </c>
      <c r="B14" s="343"/>
      <c r="C14" s="343"/>
      <c r="D14" s="343"/>
      <c r="E14" s="343"/>
      <c r="F14" s="343"/>
      <c r="G14" s="343"/>
      <c r="H14" s="343"/>
    </row>
    <row r="15" spans="1:9" ht="33.75" customHeight="1" x14ac:dyDescent="0.2">
      <c r="A15" s="344" t="str">
        <f>+"Shu bilan birga, yuqoridagi mulkning kelishilgan garov qiymati "&amp;'Акт согласования'!E30</f>
        <v>Shu bilan birga, yuqoridagi mulkning kelishilgan garov qiymati 150 000 000,00 
(yuz ellik million so'm)</v>
      </c>
      <c r="B15" s="344"/>
      <c r="C15" s="344"/>
      <c r="D15" s="344"/>
      <c r="E15" s="344"/>
      <c r="F15" s="344"/>
      <c r="G15" s="344"/>
      <c r="H15" s="344"/>
    </row>
    <row r="17" spans="1:8" ht="27" customHeight="1" x14ac:dyDescent="0.2">
      <c r="A17" s="347" t="s">
        <v>277</v>
      </c>
      <c r="B17" s="347"/>
      <c r="C17" s="347"/>
      <c r="D17" s="347"/>
      <c r="E17" s="347"/>
      <c r="F17" s="347"/>
      <c r="G17" s="347"/>
      <c r="H17" s="347"/>
    </row>
    <row r="21" spans="1:8" s="35" customFormat="1" x14ac:dyDescent="0.2"/>
    <row r="22" spans="1:8" s="35" customFormat="1" x14ac:dyDescent="0.2">
      <c r="A22" s="35" t="str">
        <f>'Общие данные'!A150</f>
        <v>Ijrochi direktor</v>
      </c>
      <c r="H22" s="163" t="str">
        <f>'Общие данные'!B150</f>
        <v>Abduraximov N.K.</v>
      </c>
    </row>
    <row r="23" spans="1:8" s="35" customFormat="1" ht="32.25" customHeight="1" x14ac:dyDescent="0.2">
      <c r="H23" s="163"/>
    </row>
    <row r="24" spans="1:8" s="35" customFormat="1" ht="16.5" customHeight="1" x14ac:dyDescent="0.2">
      <c r="A24" s="35" t="s">
        <v>278</v>
      </c>
      <c r="H24" s="35" t="str">
        <f>'Общие данные'!B160</f>
        <v>Jumanazarov B.T.</v>
      </c>
    </row>
    <row r="25" spans="1:8" s="35" customFormat="1" ht="60" customHeight="1" x14ac:dyDescent="0.2"/>
    <row r="26" spans="1:8" s="35" customFormat="1" x14ac:dyDescent="0.2">
      <c r="A26" s="35" t="s">
        <v>279</v>
      </c>
      <c r="H26" s="163" t="str">
        <f>'Общие данные'!B7</f>
        <v>CHUCHARINA M.S.</v>
      </c>
    </row>
    <row r="27" spans="1:8" s="35" customFormat="1" x14ac:dyDescent="0.2"/>
    <row r="28" spans="1:8" s="35" customFormat="1" x14ac:dyDescent="0.2"/>
    <row r="29" spans="1:8" s="35" customFormat="1" x14ac:dyDescent="0.2"/>
    <row r="30" spans="1:8" s="35" customFormat="1" x14ac:dyDescent="0.2"/>
  </sheetData>
  <mergeCells count="17">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2" zoomScaleNormal="100" zoomScaleSheetLayoutView="100" workbookViewId="0">
      <selection activeCell="D23" sqref="D23"/>
    </sheetView>
  </sheetViews>
  <sheetFormatPr defaultColWidth="9.140625" defaultRowHeight="12.75" x14ac:dyDescent="0.2"/>
  <cols>
    <col min="1" max="2" width="11" style="28" customWidth="1"/>
    <col min="3" max="4" width="14.42578125" style="28" customWidth="1"/>
    <col min="5" max="6" width="13.5703125" style="28" customWidth="1"/>
    <col min="7" max="7" width="9.140625" style="28"/>
    <col min="8" max="8" width="19" style="28" bestFit="1" customWidth="1"/>
    <col min="9" max="9" width="10.7109375" style="28" customWidth="1"/>
    <col min="10" max="16384" width="9.140625" style="28"/>
  </cols>
  <sheetData>
    <row r="1" spans="1:9" x14ac:dyDescent="0.2">
      <c r="A1" s="35"/>
      <c r="B1" s="35"/>
      <c r="C1" s="35"/>
      <c r="D1" s="35"/>
      <c r="E1" s="35"/>
      <c r="F1" s="35"/>
      <c r="G1" s="35"/>
      <c r="H1" s="35"/>
      <c r="I1" s="35"/>
    </row>
    <row r="2" spans="1:9" x14ac:dyDescent="0.2">
      <c r="A2" s="342" t="str">
        <f>""&amp;" "&amp;'Общие данные'!B74&amp;"-sonli "&amp;" "&amp;'Общие данные'!C64&amp;" shartnomasi bo‘yicha
 garovga qo‘yilgan mol-mulkni tekshirish bo’yicha "&amp;'Общие данные'!B5&amp;" bilan tuzilgan dalolatnomasi"</f>
        <v xml:space="preserve"> 27 yanvar 2025 y.dan №202-sonli  Mikroqarz shartnomasi bo‘yicha
 garovga qo‘yilgan mol-mulkni tekshirish bo’yicha CHUCHARINA MARGARITA SERGEYEVNA bilan tuzilgan dalolatnomasi</v>
      </c>
      <c r="B2" s="342"/>
      <c r="C2" s="342"/>
      <c r="D2" s="342"/>
      <c r="E2" s="342"/>
      <c r="F2" s="342"/>
      <c r="G2" s="342"/>
      <c r="H2" s="342"/>
      <c r="I2" s="35"/>
    </row>
    <row r="3" spans="1:9" x14ac:dyDescent="0.2">
      <c r="A3" s="342"/>
      <c r="B3" s="342"/>
      <c r="C3" s="342"/>
      <c r="D3" s="342"/>
      <c r="E3" s="342"/>
      <c r="F3" s="342"/>
      <c r="G3" s="342"/>
      <c r="H3" s="342"/>
      <c r="I3" s="35"/>
    </row>
    <row r="5" spans="1:9" x14ac:dyDescent="0.2">
      <c r="A5" s="28" t="s">
        <v>203</v>
      </c>
      <c r="H5" s="161" t="str">
        <f>TEXT(+'Общие данные'!B2+360,"ДД.ММ.ГГГГ")</f>
        <v>22.01.2026</v>
      </c>
    </row>
    <row r="7" spans="1:9" ht="45" customHeight="1" x14ac:dyDescent="0.2">
      <c r="A7" s="345"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Ijrochi direktori Abduraximov N.K., jismoniy shaxs  CHUCHARINA MARGARITA SERGEYEVNA  27 yanvar 2025 y.dan №202-sonli Mikroqarz shartnomasi bo‘yicha garovga qo‘yilgan mol-mulkni ko‘zdan kechirdim</v>
      </c>
      <c r="B7" s="345"/>
      <c r="C7" s="345"/>
      <c r="D7" s="345"/>
      <c r="E7" s="345"/>
      <c r="F7" s="345"/>
      <c r="G7" s="345"/>
      <c r="H7" s="345"/>
    </row>
    <row r="8" spans="1:9" ht="19.5" customHeight="1" x14ac:dyDescent="0.2">
      <c r="A8" s="346" t="s">
        <v>276</v>
      </c>
      <c r="B8" s="346"/>
      <c r="C8" s="346"/>
      <c r="D8" s="346"/>
      <c r="E8" s="346"/>
      <c r="F8" s="346"/>
      <c r="G8" s="346"/>
      <c r="H8" s="346"/>
    </row>
    <row r="9" spans="1:9" s="162" customFormat="1" ht="32.25" customHeight="1" x14ac:dyDescent="0.25">
      <c r="A9" s="340" t="str">
        <f>' Акт мониторинга 1'!A9</f>
        <v>Nomi</v>
      </c>
      <c r="B9" s="341"/>
      <c r="C9" s="340" t="str">
        <f>' Акт мониторинга 1'!C9</f>
        <v>Kuzov turi  va kuzov raqami*</v>
      </c>
      <c r="D9" s="341"/>
      <c r="E9" s="340" t="str">
        <f>' Акт мониторинга 1'!E9</f>
        <v>Dvigatel va shassi raqami*</v>
      </c>
      <c r="F9" s="341"/>
      <c r="G9" s="340" t="str">
        <f>' Акт мониторинга 1'!G9</f>
        <v>Ishlab chiqarilgan yili va rangi**</v>
      </c>
      <c r="H9" s="341"/>
    </row>
    <row r="10" spans="1:9" s="160" customFormat="1" ht="58.5" customHeight="1" x14ac:dyDescent="0.2">
      <c r="A10" s="348" t="str">
        <f>' Акт мониторинга 1'!A10</f>
        <v>CHEVROLET TRACKER 2</v>
      </c>
      <c r="B10" s="348"/>
      <c r="C10" s="348" t="str">
        <f>' Акт мониторинга 1'!C10</f>
        <v>kuzov turi - YENGIL KROSSOVER, kuzov raqami XWBUA7659PA551726</v>
      </c>
      <c r="D10" s="348"/>
      <c r="E10" s="348" t="str">
        <f>' Акт мониторинга 1'!E10</f>
        <v xml:space="preserve">dvigatel raqami L4HA1222413MYWX0269, shassi raqami -  - </v>
      </c>
      <c r="F10" s="348"/>
      <c r="G10" s="348" t="str">
        <f>' Акт мониторинга 1'!G10</f>
        <v>rangi -  QORA CHYORNIY , ishlab chiqarilgan yili - 2023</v>
      </c>
      <c r="H10" s="348"/>
    </row>
    <row r="11" spans="1:9" ht="19.5" customHeight="1" x14ac:dyDescent="0.2">
      <c r="A11" s="343" t="str">
        <f>'Акт согласования'!A22:E22</f>
        <v>-* avtotransport egasi: CHUCHARINA MARGARITA SERGEYEVNA</v>
      </c>
      <c r="B11" s="343"/>
      <c r="C11" s="343"/>
      <c r="D11" s="343"/>
      <c r="E11" s="343"/>
      <c r="F11" s="343"/>
      <c r="G11" s="343"/>
      <c r="H11" s="343"/>
    </row>
    <row r="12" spans="1:9" ht="19.5" customHeight="1" x14ac:dyDescent="0.2">
      <c r="A12" s="343" t="str">
        <f>'Акт согласования'!A23:E23</f>
        <v>-* texnik pasport: AAG  1888277   10.07.2023 Y</v>
      </c>
      <c r="B12" s="343"/>
      <c r="C12" s="343"/>
      <c r="D12" s="343"/>
      <c r="E12" s="343"/>
      <c r="F12" s="343"/>
      <c r="G12" s="343"/>
      <c r="H12" s="343"/>
    </row>
    <row r="13" spans="1:9" ht="19.5" customHeight="1" x14ac:dyDescent="0.2">
      <c r="A13" s="343" t="str">
        <f>'Акт согласования'!A24:E24</f>
        <v>-* roʻyxatdan oʻtgan manzili/garaj manzili: TOSHKЕNT SHAHRI YAKKASAROY TUMANI Rakat daxasi, Uy 12, Kvartira 47</v>
      </c>
      <c r="B13" s="343"/>
      <c r="C13" s="343"/>
      <c r="D13" s="343"/>
      <c r="E13" s="343"/>
      <c r="F13" s="343"/>
      <c r="G13" s="343"/>
      <c r="H13" s="343"/>
    </row>
    <row r="14" spans="1:9" ht="19.5" customHeight="1" x14ac:dyDescent="0.2">
      <c r="A14" s="343" t="str">
        <f>'Акт согласования'!A25:E25</f>
        <v>-* davlat raqami: 01Y604CC</v>
      </c>
      <c r="B14" s="343"/>
      <c r="C14" s="343"/>
      <c r="D14" s="343"/>
      <c r="E14" s="343"/>
      <c r="F14" s="343"/>
      <c r="G14" s="343"/>
      <c r="H14" s="343"/>
    </row>
    <row r="15" spans="1:9" ht="33.75" customHeight="1" x14ac:dyDescent="0.2">
      <c r="A15" s="344" t="str">
        <f>+"Shu bilan birga, yuqoridagi mulkning kelishilgan garov qiymati "&amp;'Акт согласования'!E30</f>
        <v>Shu bilan birga, yuqoridagi mulkning kelishilgan garov qiymati 150 000 000,00 
(yuz ellik million so'm)</v>
      </c>
      <c r="B15" s="344"/>
      <c r="C15" s="344"/>
      <c r="D15" s="344"/>
      <c r="E15" s="344"/>
      <c r="F15" s="344"/>
      <c r="G15" s="344"/>
      <c r="H15" s="344"/>
    </row>
    <row r="17" spans="1:8" ht="35.25" customHeight="1" x14ac:dyDescent="0.2">
      <c r="A17" s="347">
        <v>3</v>
      </c>
      <c r="B17" s="347"/>
      <c r="C17" s="347"/>
      <c r="D17" s="347"/>
      <c r="E17" s="347"/>
      <c r="F17" s="347"/>
      <c r="G17" s="347"/>
      <c r="H17" s="347"/>
    </row>
    <row r="21" spans="1:8" s="35" customFormat="1" x14ac:dyDescent="0.2"/>
    <row r="22" spans="1:8" s="35" customFormat="1" x14ac:dyDescent="0.2">
      <c r="A22" s="35" t="str">
        <f>'Общие данные'!A150</f>
        <v>Ijrochi direktor</v>
      </c>
      <c r="H22" s="163" t="str">
        <f>'Общие данные'!B150</f>
        <v>Abduraximov N.K.</v>
      </c>
    </row>
    <row r="23" spans="1:8" s="35" customFormat="1" ht="32.25" customHeight="1" x14ac:dyDescent="0.2">
      <c r="H23" s="163"/>
    </row>
    <row r="24" spans="1:8" s="35" customFormat="1" ht="16.5" customHeight="1" x14ac:dyDescent="0.2">
      <c r="A24" s="35" t="s">
        <v>278</v>
      </c>
      <c r="H24" s="35" t="str">
        <f>'Общие данные'!B160</f>
        <v>Jumanazarov B.T.</v>
      </c>
    </row>
    <row r="25" spans="1:8" s="35" customFormat="1" ht="60" customHeight="1" x14ac:dyDescent="0.2"/>
    <row r="26" spans="1:8" s="35" customFormat="1" x14ac:dyDescent="0.2">
      <c r="A26" s="35" t="s">
        <v>279</v>
      </c>
      <c r="H26" s="163" t="str">
        <f>'Общие данные'!B7</f>
        <v>CHUCHARINA M.S.</v>
      </c>
    </row>
    <row r="27" spans="1:8" s="35" customFormat="1" x14ac:dyDescent="0.2"/>
    <row r="28" spans="1:8" s="35" customFormat="1" x14ac:dyDescent="0.2"/>
    <row r="29" spans="1:8" s="35"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74"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zoomScaleNormal="100" zoomScaleSheetLayoutView="100" workbookViewId="0">
      <selection activeCell="E24" sqref="E24"/>
    </sheetView>
  </sheetViews>
  <sheetFormatPr defaultColWidth="9.140625" defaultRowHeight="12.75" x14ac:dyDescent="0.2"/>
  <cols>
    <col min="1" max="2" width="11" style="28" customWidth="1"/>
    <col min="3" max="4" width="14.42578125" style="28" customWidth="1"/>
    <col min="5" max="6" width="13.5703125" style="28" customWidth="1"/>
    <col min="7" max="7" width="9.140625" style="28"/>
    <col min="8" max="8" width="19" style="28" bestFit="1" customWidth="1"/>
    <col min="9" max="16384" width="9.140625" style="28"/>
  </cols>
  <sheetData>
    <row r="1" spans="1:9" x14ac:dyDescent="0.2">
      <c r="A1" s="35"/>
      <c r="B1" s="35"/>
      <c r="C1" s="35"/>
      <c r="D1" s="35"/>
      <c r="E1" s="35"/>
      <c r="F1" s="35"/>
      <c r="G1" s="35"/>
      <c r="H1" s="35"/>
      <c r="I1" s="35"/>
    </row>
    <row r="2" spans="1:9" x14ac:dyDescent="0.2">
      <c r="A2" s="342" t="str">
        <f>""&amp;" "&amp;'Общие данные'!B74&amp;"-sonli "&amp;" "&amp;'Общие данные'!C64&amp;" shartnomasi bo‘yicha
 garovga qo‘yilgan mol-mulkni tekshirish bo’yicha "&amp;'Общие данные'!B5&amp;" bilan tuzilgan dalolatnomasi"</f>
        <v xml:space="preserve"> 27 yanvar 2025 y.dan №202-sonli  Mikroqarz shartnomasi bo‘yicha
 garovga qo‘yilgan mol-mulkni tekshirish bo’yicha CHUCHARINA MARGARITA SERGEYEVNA bilan tuzilgan dalolatnomasi</v>
      </c>
      <c r="B2" s="342"/>
      <c r="C2" s="342"/>
      <c r="D2" s="342"/>
      <c r="E2" s="342"/>
      <c r="F2" s="342"/>
      <c r="G2" s="342"/>
      <c r="H2" s="342"/>
      <c r="I2" s="35"/>
    </row>
    <row r="3" spans="1:9" x14ac:dyDescent="0.2">
      <c r="A3" s="342"/>
      <c r="B3" s="342"/>
      <c r="C3" s="342"/>
      <c r="D3" s="342"/>
      <c r="E3" s="342"/>
      <c r="F3" s="342"/>
      <c r="G3" s="342"/>
      <c r="H3" s="342"/>
      <c r="I3" s="35"/>
    </row>
    <row r="5" spans="1:9" x14ac:dyDescent="0.2">
      <c r="A5" s="28" t="s">
        <v>203</v>
      </c>
      <c r="H5" s="161" t="str">
        <f>TEXT(+'Общие данные'!B2+540,"ДД.ММ.ГГГГ")</f>
        <v>21.07.2026</v>
      </c>
    </row>
    <row r="7" spans="1:9" ht="45" customHeight="1" x14ac:dyDescent="0.2">
      <c r="A7" s="345"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Ijrochi direktori Abduraximov N.K., jismoniy shaxs  CHUCHARINA MARGARITA SERGEYEVNA  27 yanvar 2025 y.dan №202-sonli Mikroqarz shartnomasi bo‘yicha garovga qo‘yilgan mol-mulkni ko‘zdan kechirdim</v>
      </c>
      <c r="B7" s="345"/>
      <c r="C7" s="345"/>
      <c r="D7" s="345"/>
      <c r="E7" s="345"/>
      <c r="F7" s="345"/>
      <c r="G7" s="345"/>
      <c r="H7" s="345"/>
    </row>
    <row r="8" spans="1:9" ht="19.5" customHeight="1" x14ac:dyDescent="0.2">
      <c r="A8" s="346" t="s">
        <v>276</v>
      </c>
      <c r="B8" s="346"/>
      <c r="C8" s="346"/>
      <c r="D8" s="346"/>
      <c r="E8" s="346"/>
      <c r="F8" s="346"/>
      <c r="G8" s="346"/>
      <c r="H8" s="346"/>
    </row>
    <row r="9" spans="1:9" s="162" customFormat="1" ht="32.25" customHeight="1" x14ac:dyDescent="0.25">
      <c r="A9" s="340" t="str">
        <f>' Акт мониторинга 1'!A9</f>
        <v>Nomi</v>
      </c>
      <c r="B9" s="341"/>
      <c r="C9" s="340" t="str">
        <f>' Акт мониторинга 1'!C9</f>
        <v>Kuzov turi  va kuzov raqami*</v>
      </c>
      <c r="D9" s="341"/>
      <c r="E9" s="340" t="str">
        <f>' Акт мониторинга 1'!E9</f>
        <v>Dvigatel va shassi raqami*</v>
      </c>
      <c r="F9" s="341"/>
      <c r="G9" s="340" t="str">
        <f>' Акт мониторинга 1'!G9</f>
        <v>Ishlab chiqarilgan yili va rangi**</v>
      </c>
      <c r="H9" s="341"/>
    </row>
    <row r="10" spans="1:9" s="160" customFormat="1" ht="58.5" customHeight="1" x14ac:dyDescent="0.2">
      <c r="A10" s="349" t="str">
        <f>' Акт мониторинга 1'!A10</f>
        <v>CHEVROLET TRACKER 2</v>
      </c>
      <c r="B10" s="350"/>
      <c r="C10" s="349" t="str">
        <f>' Акт мониторинга 1'!C10</f>
        <v>kuzov turi - YENGIL KROSSOVER, kuzov raqami XWBUA7659PA551726</v>
      </c>
      <c r="D10" s="350"/>
      <c r="E10" s="349" t="str">
        <f>' Акт мониторинга 1'!E10</f>
        <v xml:space="preserve">dvigatel raqami L4HA1222413MYWX0269, shassi raqami -  - </v>
      </c>
      <c r="F10" s="350"/>
      <c r="G10" s="349" t="str">
        <f>' Акт мониторинга 1'!G10</f>
        <v>rangi -  QORA CHYORNIY , ishlab chiqarilgan yili - 2023</v>
      </c>
      <c r="H10" s="350"/>
    </row>
    <row r="11" spans="1:9" ht="19.5" customHeight="1" x14ac:dyDescent="0.2">
      <c r="A11" s="343" t="str">
        <f>'Акт согласования'!A22:E22</f>
        <v>-* avtotransport egasi: CHUCHARINA MARGARITA SERGEYEVNA</v>
      </c>
      <c r="B11" s="343"/>
      <c r="C11" s="343"/>
      <c r="D11" s="343"/>
      <c r="E11" s="343"/>
      <c r="F11" s="343"/>
      <c r="G11" s="343"/>
      <c r="H11" s="343"/>
    </row>
    <row r="12" spans="1:9" ht="19.5" customHeight="1" x14ac:dyDescent="0.2">
      <c r="A12" s="343" t="str">
        <f>'Акт согласования'!A23:E23</f>
        <v>-* texnik pasport: AAG  1888277   10.07.2023 Y</v>
      </c>
      <c r="B12" s="343"/>
      <c r="C12" s="343"/>
      <c r="D12" s="343"/>
      <c r="E12" s="343"/>
      <c r="F12" s="343"/>
      <c r="G12" s="343"/>
      <c r="H12" s="343"/>
    </row>
    <row r="13" spans="1:9" ht="19.5" customHeight="1" x14ac:dyDescent="0.2">
      <c r="A13" s="343" t="str">
        <f>'Акт согласования'!A24:E24</f>
        <v>-* roʻyxatdan oʻtgan manzili/garaj manzili: TOSHKЕNT SHAHRI YAKKASAROY TUMANI Rakat daxasi, Uy 12, Kvartira 47</v>
      </c>
      <c r="B13" s="343"/>
      <c r="C13" s="343"/>
      <c r="D13" s="343"/>
      <c r="E13" s="343"/>
      <c r="F13" s="343"/>
      <c r="G13" s="343"/>
      <c r="H13" s="343"/>
    </row>
    <row r="14" spans="1:9" ht="19.5" customHeight="1" x14ac:dyDescent="0.2">
      <c r="A14" s="343" t="str">
        <f>'Акт согласования'!A25:E25</f>
        <v>-* davlat raqami: 01Y604CC</v>
      </c>
      <c r="B14" s="343"/>
      <c r="C14" s="343"/>
      <c r="D14" s="343"/>
      <c r="E14" s="343"/>
      <c r="F14" s="343"/>
      <c r="G14" s="343"/>
      <c r="H14" s="343"/>
    </row>
    <row r="15" spans="1:9" ht="33.75" customHeight="1" x14ac:dyDescent="0.2">
      <c r="A15" s="344" t="str">
        <f>+"Shu bilan birga, yuqoridagi mulkning kelishilgan garov qiymati "&amp;'Акт согласования'!E30</f>
        <v>Shu bilan birga, yuqoridagi mulkning kelishilgan garov qiymati 150 000 000,00 
(yuz ellik million so'm)</v>
      </c>
      <c r="B15" s="344"/>
      <c r="C15" s="344"/>
      <c r="D15" s="344"/>
      <c r="E15" s="344"/>
      <c r="F15" s="344"/>
      <c r="G15" s="344"/>
      <c r="H15" s="344"/>
    </row>
    <row r="17" spans="1:8" s="160" customFormat="1" ht="32.25" customHeight="1" x14ac:dyDescent="0.2">
      <c r="A17" s="347" t="s">
        <v>277</v>
      </c>
      <c r="B17" s="347"/>
      <c r="C17" s="347"/>
      <c r="D17" s="347"/>
      <c r="E17" s="347"/>
      <c r="F17" s="347"/>
      <c r="G17" s="347"/>
      <c r="H17" s="347"/>
    </row>
    <row r="21" spans="1:8" s="35" customFormat="1" x14ac:dyDescent="0.2"/>
    <row r="22" spans="1:8" s="35" customFormat="1" x14ac:dyDescent="0.2">
      <c r="A22" s="35" t="str">
        <f>'Общие данные'!A150</f>
        <v>Ijrochi direktor</v>
      </c>
      <c r="H22" s="163" t="str">
        <f>'Общие данные'!B150</f>
        <v>Abduraximov N.K.</v>
      </c>
    </row>
    <row r="23" spans="1:8" s="35" customFormat="1" ht="32.25" customHeight="1" x14ac:dyDescent="0.2">
      <c r="H23" s="163"/>
    </row>
    <row r="24" spans="1:8" s="35" customFormat="1" ht="16.5" customHeight="1" x14ac:dyDescent="0.2">
      <c r="A24" s="35" t="s">
        <v>278</v>
      </c>
      <c r="H24" s="35" t="str">
        <f>'Общие данные'!B160</f>
        <v>Jumanazarov B.T.</v>
      </c>
    </row>
    <row r="25" spans="1:8" s="35" customFormat="1" ht="60" customHeight="1" x14ac:dyDescent="0.2"/>
    <row r="26" spans="1:8" s="35" customFormat="1" x14ac:dyDescent="0.2">
      <c r="A26" s="35" t="s">
        <v>279</v>
      </c>
      <c r="H26" s="163" t="str">
        <f>'Общие данные'!B7</f>
        <v>CHUCHARINA M.S.</v>
      </c>
    </row>
    <row r="27" spans="1:8" s="35" customFormat="1" x14ac:dyDescent="0.2"/>
    <row r="28" spans="1:8" s="35" customFormat="1" x14ac:dyDescent="0.2"/>
    <row r="29" spans="1:8" s="35"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9</vt:i4>
      </vt:variant>
    </vt:vector>
  </HeadingPairs>
  <TitlesOfParts>
    <vt:vector size="30"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4</vt:lpstr>
      <vt:lpstr> Акт мониторинга 1</vt:lpstr>
      <vt:lpstr> Акт мониторинга 2</vt:lpstr>
      <vt:lpstr> Акт мониторинга 3</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r.saipova</cp:lastModifiedBy>
  <cp:lastPrinted>2025-01-27T05:34:31Z</cp:lastPrinted>
  <dcterms:created xsi:type="dcterms:W3CDTF">2015-06-05T18:19:34Z</dcterms:created>
  <dcterms:modified xsi:type="dcterms:W3CDTF">2025-01-27T05:55:02Z</dcterms:modified>
</cp:coreProperties>
</file>