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Z:\Кредитный дела 2025\01 Январь\№134 улица\"/>
    </mc:Choice>
  </mc:AlternateContent>
  <xr:revisionPtr revIDLastSave="0" documentId="13_ncr:1_{5C9FC533-186C-4F1E-ADDD-FEA42D227FF0}" xr6:coauthVersionLast="47" xr6:coauthVersionMax="47" xr10:uidLastSave="{00000000-0000-0000-0000-000000000000}"/>
  <bookViews>
    <workbookView xWindow="-120" yWindow="-120" windowWidth="29040" windowHeight="15840" tabRatio="915" firstSheet="5" activeTab="18"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4" sheetId="29" r:id="rId18"/>
    <sheet name=" Акт мониторинга 1" sheetId="26" r:id="rId19"/>
    <sheet name=" Акт мониторинга 2" sheetId="27" r:id="rId20"/>
    <sheet name=" Акт мониторинга 3" sheetId="28"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согласования'!$A$1:$E$66</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договор!$A$1:$B$128</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1" i="3" l="1"/>
  <c r="B122" i="1"/>
  <c r="A32" i="16"/>
  <c r="A33" i="16" s="1"/>
  <c r="A34" i="16" s="1"/>
  <c r="A35" i="16" s="1"/>
  <c r="A36" i="16" s="1"/>
  <c r="A37" i="16" s="1"/>
  <c r="A38" i="16" s="1"/>
  <c r="A39" i="16" s="1"/>
  <c r="A40" i="16" s="1"/>
  <c r="A41" i="16" s="1"/>
  <c r="A42" i="16" s="1"/>
  <c r="A43" i="16" s="1"/>
  <c r="A44" i="16" s="1"/>
  <c r="A32" i="12"/>
  <c r="A31" i="12"/>
  <c r="A32" i="15"/>
  <c r="A31" i="15"/>
  <c r="B65" i="1"/>
  <c r="A7" i="3"/>
  <c r="A8" i="4" s="1"/>
  <c r="D59" i="7"/>
  <c r="C8" i="15"/>
  <c r="A33" i="12" l="1"/>
  <c r="A33" i="15"/>
  <c r="B116" i="1"/>
  <c r="A62" i="7"/>
  <c r="A34" i="12" l="1"/>
  <c r="A34" i="15"/>
  <c r="B119" i="19"/>
  <c r="C116" i="1"/>
  <c r="C122" i="1" s="1"/>
  <c r="C114" i="1"/>
  <c r="C120" i="1" s="1"/>
  <c r="C113" i="1"/>
  <c r="C119" i="1" s="1"/>
  <c r="C112" i="1"/>
  <c r="C118" i="1" s="1"/>
  <c r="C111" i="1"/>
  <c r="C117" i="1" s="1"/>
  <c r="A61" i="7"/>
  <c r="F61" i="7"/>
  <c r="A25" i="7"/>
  <c r="A23" i="7"/>
  <c r="A35" i="12" l="1"/>
  <c r="A35" i="15"/>
  <c r="H24" i="27"/>
  <c r="A9" i="26"/>
  <c r="A9" i="29" s="1"/>
  <c r="A36" i="12" l="1"/>
  <c r="A36" i="15"/>
  <c r="A9" i="27"/>
  <c r="A9" i="28"/>
  <c r="I126" i="1"/>
  <c r="A48" i="3"/>
  <c r="A35" i="3"/>
  <c r="E30" i="3"/>
  <c r="A30" i="3"/>
  <c r="A33" i="3"/>
  <c r="A37" i="12" l="1"/>
  <c r="A37" i="15"/>
  <c r="D29" i="7"/>
  <c r="D30" i="3" s="1"/>
  <c r="F130" i="1"/>
  <c r="E133" i="1"/>
  <c r="E130" i="1"/>
  <c r="D20" i="7"/>
  <c r="E20" i="7"/>
  <c r="G9" i="26" s="1"/>
  <c r="B20" i="7"/>
  <c r="A38" i="12" l="1"/>
  <c r="A38" i="15"/>
  <c r="G9" i="28"/>
  <c r="G9" i="27"/>
  <c r="G9" i="29"/>
  <c r="B29" i="7"/>
  <c r="B30" i="3" s="1"/>
  <c r="C9" i="26"/>
  <c r="C29" i="7"/>
  <c r="C30" i="3" s="1"/>
  <c r="E9" i="26"/>
  <c r="A39" i="12" l="1"/>
  <c r="A39" i="15"/>
  <c r="E9" i="29"/>
  <c r="E9" i="28"/>
  <c r="E9" i="27"/>
  <c r="C9" i="29"/>
  <c r="C9" i="28"/>
  <c r="C9" i="27"/>
  <c r="B76" i="1"/>
  <c r="A7" i="23" s="1"/>
  <c r="A40" i="12" l="1"/>
  <c r="A40" i="15"/>
  <c r="H24" i="29"/>
  <c r="H24" i="28"/>
  <c r="A22" i="26"/>
  <c r="H24" i="26"/>
  <c r="B7" i="13"/>
  <c r="B126" i="19"/>
  <c r="A51" i="3"/>
  <c r="A59" i="3"/>
  <c r="A57" i="3"/>
  <c r="A53" i="3"/>
  <c r="A37" i="3"/>
  <c r="A1" i="3"/>
  <c r="C1" i="2"/>
  <c r="D17" i="23"/>
  <c r="E17" i="23" s="1"/>
  <c r="A1" i="23"/>
  <c r="A39" i="23"/>
  <c r="A38" i="23"/>
  <c r="A37" i="23"/>
  <c r="D58" i="16"/>
  <c r="A41" i="12" l="1"/>
  <c r="A41" i="15"/>
  <c r="A110" i="1"/>
  <c r="A109" i="1"/>
  <c r="A108" i="1"/>
  <c r="A107" i="1"/>
  <c r="B19" i="1"/>
  <c r="C22" i="1" s="1"/>
  <c r="H9" i="23"/>
  <c r="A18" i="23" s="1"/>
  <c r="A57" i="16"/>
  <c r="A42" i="12" l="1"/>
  <c r="A42" i="15"/>
  <c r="B49" i="1"/>
  <c r="B59" i="1" s="1"/>
  <c r="A43" i="12" l="1"/>
  <c r="A43" i="15"/>
  <c r="A16" i="4"/>
  <c r="A17" i="4"/>
  <c r="A7" i="24"/>
  <c r="B27" i="1"/>
  <c r="B34" i="1"/>
  <c r="A24" i="7"/>
  <c r="B114" i="1"/>
  <c r="B113" i="1"/>
  <c r="B119" i="1" s="1"/>
  <c r="B112" i="1"/>
  <c r="B118" i="1" s="1"/>
  <c r="B111" i="1"/>
  <c r="B117" i="1" s="1"/>
  <c r="B8" i="13" l="1"/>
  <c r="A34" i="3"/>
  <c r="A23" i="8"/>
  <c r="B45" i="1"/>
  <c r="B58" i="1"/>
  <c r="A63" i="7"/>
  <c r="D62" i="7" s="1"/>
  <c r="A19" i="13"/>
  <c r="A52" i="7"/>
  <c r="A51" i="7"/>
  <c r="B6" i="13"/>
  <c r="D2" i="2"/>
  <c r="C76" i="1"/>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A34"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A22" i="7"/>
  <c r="A18" i="8" l="1"/>
  <c r="A32" i="3"/>
  <c r="H7" i="23"/>
  <c r="A2" i="23" s="1"/>
  <c r="A120" i="19" l="1"/>
  <c r="A53" i="16" s="1"/>
  <c r="A30" i="4"/>
  <c r="B122" i="19"/>
  <c r="D55" i="16" s="1"/>
  <c r="A15" i="4"/>
  <c r="A14" i="4"/>
  <c r="A13" i="4"/>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11" i="1" s="1"/>
  <c r="B13" i="1" s="1"/>
  <c r="B8" i="1"/>
  <c r="B136" i="1"/>
  <c r="B137" i="1" s="1"/>
  <c r="B133" i="1"/>
  <c r="E21" i="7" s="1"/>
  <c r="B130" i="1"/>
  <c r="D21" i="7" s="1"/>
  <c r="E10" i="26" s="1"/>
  <c r="B127" i="1"/>
  <c r="B21" i="7" s="1"/>
  <c r="C10" i="26" s="1"/>
  <c r="G10" i="26" l="1"/>
  <c r="D30" i="7"/>
  <c r="D31" i="3" s="1"/>
  <c r="E10" i="28"/>
  <c r="E10" i="27"/>
  <c r="E10" i="29"/>
  <c r="C10" i="28"/>
  <c r="C10" i="27"/>
  <c r="C10" i="29"/>
  <c r="C126" i="1"/>
  <c r="A28" i="3" s="1"/>
  <c r="A21" i="7"/>
  <c r="A10" i="26" s="1"/>
  <c r="C137" i="1"/>
  <c r="B138" i="1"/>
  <c r="A6" i="2"/>
  <c r="E30" i="7"/>
  <c r="A48" i="7"/>
  <c r="A15" i="7"/>
  <c r="E125" i="1"/>
  <c r="A27" i="3"/>
  <c r="B9" i="13"/>
  <c r="A20" i="3"/>
  <c r="A27" i="2"/>
  <c r="A28" i="2"/>
  <c r="F126" i="1"/>
  <c r="E126" i="1"/>
  <c r="B10" i="1"/>
  <c r="E31" i="3" l="1"/>
  <c r="E28" i="23"/>
  <c r="A17" i="8"/>
  <c r="A17" i="7"/>
  <c r="A24" i="2"/>
  <c r="G10" i="28"/>
  <c r="G10" i="29"/>
  <c r="G10" i="27"/>
  <c r="A16" i="8"/>
  <c r="A25" i="2"/>
  <c r="A16" i="7"/>
  <c r="A10" i="27"/>
  <c r="A10" i="28"/>
  <c r="A10" i="29"/>
  <c r="A29" i="3"/>
  <c r="A26" i="23" s="1"/>
  <c r="A8" i="8"/>
  <c r="A38" i="3"/>
  <c r="B12" i="1"/>
  <c r="A18" i="7" l="1"/>
  <c r="A19" i="7" s="1"/>
  <c r="A15" i="13"/>
  <c r="A14" i="13"/>
  <c r="A21" i="4"/>
  <c r="A10" i="2"/>
  <c r="A9" i="2"/>
  <c r="A19" i="4"/>
  <c r="A13" i="13" l="1"/>
  <c r="B66" i="1"/>
  <c r="A1" i="19" s="1"/>
  <c r="H26" i="29"/>
  <c r="H26" i="28"/>
  <c r="H26" i="27"/>
  <c r="H22" i="29"/>
  <c r="H22" i="28"/>
  <c r="H22" i="27"/>
  <c r="H26" i="26"/>
  <c r="D56" i="7" l="1"/>
  <c r="A56" i="7"/>
  <c r="A131" i="19"/>
  <c r="B102" i="1"/>
  <c r="R124" i="1" l="1"/>
  <c r="R125" i="1" s="1"/>
  <c r="N126" i="1" s="1"/>
  <c r="A25" i="13"/>
  <c r="A26" i="13" s="1"/>
  <c r="A28" i="13" s="1"/>
  <c r="A20" i="13" s="1"/>
  <c r="A65" i="7" s="1"/>
  <c r="Q124" i="1"/>
  <c r="Q125" i="1" s="1"/>
  <c r="N125" i="1" s="1"/>
  <c r="C63" i="7" l="1"/>
  <c r="B24" i="4"/>
  <c r="B67" i="1" l="1"/>
  <c r="C78" i="1" s="1"/>
  <c r="C79" i="1" s="1"/>
  <c r="C80" i="1" s="1"/>
  <c r="B79" i="1" s="1"/>
  <c r="B80" i="1" l="1"/>
  <c r="B8" i="15"/>
  <c r="B145" i="1"/>
  <c r="B143" i="1"/>
  <c r="B9" i="16" l="1"/>
  <c r="R32" i="15"/>
  <c r="R33" i="15"/>
  <c r="R34" i="15"/>
  <c r="R35" i="15"/>
  <c r="R36" i="15"/>
  <c r="R37" i="15"/>
  <c r="R38" i="15"/>
  <c r="R39" i="15"/>
  <c r="R40" i="15"/>
  <c r="R41" i="15"/>
  <c r="R42" i="15"/>
  <c r="R43" i="15"/>
  <c r="C18" i="1"/>
  <c r="B20" i="1" s="1"/>
  <c r="O38" i="15" l="1"/>
  <c r="P38" i="15" s="1"/>
  <c r="Q38" i="15" s="1"/>
  <c r="B38" i="15" s="1"/>
  <c r="O36" i="15"/>
  <c r="P36" i="15" s="1"/>
  <c r="Q36" i="15" s="1"/>
  <c r="B36" i="15" s="1"/>
  <c r="O35" i="15"/>
  <c r="P35" i="15" s="1"/>
  <c r="Q35" i="15" s="1"/>
  <c r="B35" i="15" s="1"/>
  <c r="O42" i="15"/>
  <c r="P42" i="15" s="1"/>
  <c r="Q42" i="15" s="1"/>
  <c r="B42" i="15" s="1"/>
  <c r="O34" i="15"/>
  <c r="P34" i="15" s="1"/>
  <c r="Q34" i="15" s="1"/>
  <c r="B34" i="15" s="1"/>
  <c r="O43" i="15"/>
  <c r="P43" i="15" s="1"/>
  <c r="Q43" i="15" s="1"/>
  <c r="B43" i="15"/>
  <c r="O33" i="15"/>
  <c r="P33" i="15" s="1"/>
  <c r="Q33" i="15" s="1"/>
  <c r="B33" i="15" s="1"/>
  <c r="O37" i="15"/>
  <c r="P37" i="15" s="1"/>
  <c r="Q37" i="15" s="1"/>
  <c r="B37" i="15" s="1"/>
  <c r="O40" i="15"/>
  <c r="P40" i="15" s="1"/>
  <c r="Q40" i="15" s="1"/>
  <c r="B40" i="15" s="1"/>
  <c r="O32" i="15"/>
  <c r="P32" i="15" s="1"/>
  <c r="Q32" i="15" s="1"/>
  <c r="B32" i="15" s="1"/>
  <c r="O41" i="15"/>
  <c r="P41" i="15" s="1"/>
  <c r="Q41" i="15" s="1"/>
  <c r="B41" i="15" s="1"/>
  <c r="O39" i="15"/>
  <c r="P39" i="15" s="1"/>
  <c r="Q39" i="15" s="1"/>
  <c r="B39" i="15" s="1"/>
  <c r="C115" i="1"/>
  <c r="C20" i="1"/>
  <c r="A5" i="19" s="1"/>
  <c r="H33" i="15" l="1"/>
  <c r="G33" i="15"/>
  <c r="B34" i="16"/>
  <c r="B33" i="12"/>
  <c r="H40" i="15"/>
  <c r="B41" i="16"/>
  <c r="G40" i="15"/>
  <c r="B40" i="12"/>
  <c r="G34" i="15"/>
  <c r="B35" i="16"/>
  <c r="B34" i="12"/>
  <c r="H34" i="15"/>
  <c r="G41" i="15"/>
  <c r="B42" i="16"/>
  <c r="B41" i="12"/>
  <c r="H41" i="15"/>
  <c r="G42" i="15"/>
  <c r="B42" i="12"/>
  <c r="H42" i="15"/>
  <c r="B43" i="16"/>
  <c r="B32" i="12"/>
  <c r="H32" i="12" s="1"/>
  <c r="H32" i="15"/>
  <c r="B33" i="16"/>
  <c r="H35" i="15"/>
  <c r="G35" i="15"/>
  <c r="B35" i="12"/>
  <c r="B36" i="16"/>
  <c r="H36" i="15"/>
  <c r="G36" i="15"/>
  <c r="B36" i="12"/>
  <c r="B37" i="16"/>
  <c r="H39" i="15"/>
  <c r="B39" i="12"/>
  <c r="B40" i="16"/>
  <c r="G39" i="15"/>
  <c r="B38" i="16"/>
  <c r="G37" i="15"/>
  <c r="B37" i="12"/>
  <c r="H37" i="15"/>
  <c r="G38" i="15"/>
  <c r="H38" i="15"/>
  <c r="B38" i="12"/>
  <c r="B39" i="16"/>
  <c r="B43" i="12"/>
  <c r="B44" i="16"/>
  <c r="H43" i="15"/>
  <c r="G43" i="15"/>
  <c r="B115" i="1"/>
  <c r="B121" i="1" s="1"/>
  <c r="C121" i="1"/>
  <c r="B121" i="19"/>
  <c r="D53" i="16" s="1"/>
  <c r="A8" i="2"/>
  <c r="B27" i="23"/>
  <c r="C27" i="23"/>
  <c r="D27" i="23"/>
  <c r="E27" i="23"/>
  <c r="A27" i="23"/>
  <c r="H41" i="12" l="1"/>
  <c r="G41" i="12"/>
  <c r="H36" i="12"/>
  <c r="G36" i="12"/>
  <c r="G43" i="12"/>
  <c r="H43" i="12"/>
  <c r="H33" i="12"/>
  <c r="G33" i="12"/>
  <c r="H34" i="12"/>
  <c r="G34" i="12"/>
  <c r="H38" i="12"/>
  <c r="G38" i="12"/>
  <c r="G35" i="12"/>
  <c r="H35" i="12"/>
  <c r="H42" i="12"/>
  <c r="G42" i="12"/>
  <c r="G40" i="12"/>
  <c r="H40" i="12"/>
  <c r="H37" i="12"/>
  <c r="G37" i="12"/>
  <c r="G39" i="12"/>
  <c r="H39" i="12"/>
  <c r="J4" i="2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D8" i="15" l="1"/>
  <c r="C9" i="15" s="1"/>
  <c r="A33" i="20"/>
  <c r="C19" i="1"/>
  <c r="B21" i="1" l="1"/>
  <c r="A6" i="3" s="1"/>
  <c r="C21" i="1"/>
  <c r="C5" i="22"/>
  <c r="A33" i="22" s="1"/>
  <c r="R28" i="15" l="1"/>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O26" i="15" l="1"/>
  <c r="P26" i="15" s="1"/>
  <c r="Q26" i="15" s="1"/>
  <c r="B26" i="15" s="1"/>
  <c r="B27" i="16" s="1"/>
  <c r="O30" i="15"/>
  <c r="P30" i="15" s="1"/>
  <c r="Q30" i="15" s="1"/>
  <c r="B30" i="15" s="1"/>
  <c r="B31" i="16" s="1"/>
  <c r="O27" i="15"/>
  <c r="P27" i="15" s="1"/>
  <c r="Q27" i="15" s="1"/>
  <c r="B27" i="15" s="1"/>
  <c r="B28" i="16" s="1"/>
  <c r="O29" i="15"/>
  <c r="P29" i="15" s="1"/>
  <c r="Q29" i="15" s="1"/>
  <c r="B29" i="15" s="1"/>
  <c r="B30" i="16" s="1"/>
  <c r="O28" i="15"/>
  <c r="P28" i="15" s="1"/>
  <c r="Q28" i="15" s="1"/>
  <c r="B28" i="15" s="1"/>
  <c r="B29" i="16" s="1"/>
  <c r="O31" i="15"/>
  <c r="P31" i="15" s="1"/>
  <c r="Q31" i="15" s="1"/>
  <c r="B31" i="15" s="1"/>
  <c r="O18" i="15"/>
  <c r="P18" i="15" s="1"/>
  <c r="Q18" i="15" s="1"/>
  <c r="B18" i="15" s="1"/>
  <c r="B19" i="16" s="1"/>
  <c r="O24" i="15"/>
  <c r="P24" i="15" s="1"/>
  <c r="Q24" i="15" s="1"/>
  <c r="B24" i="15" s="1"/>
  <c r="B25" i="16" s="1"/>
  <c r="O15" i="15"/>
  <c r="P15" i="15" s="1"/>
  <c r="Q15" i="15" s="1"/>
  <c r="O13" i="15"/>
  <c r="P13" i="15" s="1"/>
  <c r="Q13" i="15" s="1"/>
  <c r="B13" i="15" s="1"/>
  <c r="B14" i="16" s="1"/>
  <c r="O17" i="15"/>
  <c r="P17" i="15" s="1"/>
  <c r="Q17" i="15" s="1"/>
  <c r="B17" i="15" s="1"/>
  <c r="B18" i="16" s="1"/>
  <c r="O16" i="15"/>
  <c r="P16" i="15" s="1"/>
  <c r="Q16" i="15" s="1"/>
  <c r="B16" i="15" s="1"/>
  <c r="B17" i="16" s="1"/>
  <c r="O22" i="15"/>
  <c r="P22" i="15" s="1"/>
  <c r="Q22" i="15" s="1"/>
  <c r="B22" i="15" s="1"/>
  <c r="B23" i="16" s="1"/>
  <c r="O23" i="15"/>
  <c r="P23" i="15" s="1"/>
  <c r="Q23" i="15" s="1"/>
  <c r="O21" i="15"/>
  <c r="P21" i="15" s="1"/>
  <c r="Q21" i="15" s="1"/>
  <c r="B21" i="15" s="1"/>
  <c r="B22" i="16" s="1"/>
  <c r="O20" i="15"/>
  <c r="P20" i="15" s="1"/>
  <c r="Q20" i="15" s="1"/>
  <c r="B20" i="15" s="1"/>
  <c r="B21" i="16" s="1"/>
  <c r="L8" i="15"/>
  <c r="O11" i="15"/>
  <c r="P11" i="15" s="1"/>
  <c r="Q11" i="15" s="1"/>
  <c r="B11" i="15" s="1"/>
  <c r="B12" i="16" s="1"/>
  <c r="O10" i="15"/>
  <c r="P10" i="15" s="1"/>
  <c r="Q10" i="15" s="1"/>
  <c r="B10" i="15" s="1"/>
  <c r="B11" i="16" s="1"/>
  <c r="O9" i="15"/>
  <c r="P9" i="15" s="1"/>
  <c r="Q9" i="15" s="1"/>
  <c r="O19" i="15"/>
  <c r="P19" i="15" s="1"/>
  <c r="Q19" i="15" s="1"/>
  <c r="B19" i="15" s="1"/>
  <c r="B20" i="16" s="1"/>
  <c r="O14" i="15"/>
  <c r="P14" i="15" s="1"/>
  <c r="Q14" i="15" s="1"/>
  <c r="B14" i="15" s="1"/>
  <c r="B15" i="16" s="1"/>
  <c r="O12" i="15"/>
  <c r="P12" i="15" s="1"/>
  <c r="Q12" i="15" s="1"/>
  <c r="B12" i="15" s="1"/>
  <c r="B13" i="16" s="1"/>
  <c r="O25" i="15"/>
  <c r="P25" i="15" s="1"/>
  <c r="Q25" i="15" s="1"/>
  <c r="B25" i="15" s="1"/>
  <c r="B26" i="16" s="1"/>
  <c r="B32" i="16" l="1"/>
  <c r="G32" i="15"/>
  <c r="B23" i="15"/>
  <c r="B24" i="16" s="1"/>
  <c r="E8" i="15"/>
  <c r="B28" i="12"/>
  <c r="B15" i="15"/>
  <c r="B9" i="15"/>
  <c r="B10" i="16" s="1"/>
  <c r="B18" i="12"/>
  <c r="B16" i="12"/>
  <c r="B13" i="12"/>
  <c r="B20" i="12"/>
  <c r="B21" i="12"/>
  <c r="B29" i="12"/>
  <c r="B26" i="12"/>
  <c r="B27" i="12"/>
  <c r="B30" i="12"/>
  <c r="B31" i="12"/>
  <c r="G32" i="12" s="1"/>
  <c r="H31" i="15"/>
  <c r="H16" i="15"/>
  <c r="H18" i="15"/>
  <c r="G18" i="15"/>
  <c r="H13" i="15"/>
  <c r="H20" i="15"/>
  <c r="H21" i="15"/>
  <c r="G21" i="15"/>
  <c r="D17" i="1"/>
  <c r="H23" i="15" l="1"/>
  <c r="B23" i="12"/>
  <c r="B9" i="12"/>
  <c r="B15" i="12"/>
  <c r="B16" i="16"/>
  <c r="G9" i="15"/>
  <c r="H15" i="15"/>
  <c r="G16" i="15"/>
  <c r="B10" i="12"/>
  <c r="B14" i="12"/>
  <c r="B24" i="12"/>
  <c r="B11" i="12"/>
  <c r="H25" i="15"/>
  <c r="H19" i="15"/>
  <c r="G19" i="15"/>
  <c r="G20" i="15"/>
  <c r="B19" i="12"/>
  <c r="H14" i="15"/>
  <c r="B25" i="12"/>
  <c r="B17" i="12"/>
  <c r="G15" i="15"/>
  <c r="G14" i="15"/>
  <c r="H17" i="15"/>
  <c r="G17" i="15"/>
  <c r="B12" i="12"/>
  <c r="G23" i="15"/>
  <c r="G22" i="15"/>
  <c r="H22" i="15"/>
  <c r="B2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B70" i="1"/>
  <c r="A3" i="19" s="1"/>
  <c r="E3" i="22"/>
  <c r="B71" i="1"/>
  <c r="A8" i="19" s="1"/>
  <c r="A28" i="7" l="1"/>
  <c r="A27" i="7"/>
  <c r="A7" i="26"/>
  <c r="A7" i="28"/>
  <c r="A7" i="27"/>
  <c r="A12" i="7"/>
  <c r="A7" i="29"/>
  <c r="A11" i="7"/>
  <c r="A9" i="7"/>
  <c r="A8" i="7"/>
  <c r="B19" i="9"/>
  <c r="F3" i="16"/>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A15" i="20"/>
  <c r="A21" i="8"/>
  <c r="A13" i="20" s="1"/>
  <c r="E20" i="8"/>
  <c r="E12" i="20" s="1"/>
  <c r="A18" i="3"/>
  <c r="A16" i="23" s="1"/>
  <c r="F2" i="12"/>
  <c r="A46"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9" i="15" l="1"/>
  <c r="C10" i="15" s="1"/>
  <c r="I10" i="15"/>
  <c r="I11" i="15" s="1"/>
  <c r="I12" i="15" s="1"/>
  <c r="M8" i="15"/>
  <c r="L9" i="15"/>
  <c r="E9" i="15" l="1"/>
  <c r="M9" i="15" s="1"/>
  <c r="F8" i="15"/>
  <c r="D10" i="15"/>
  <c r="J13" i="15"/>
  <c r="K13" i="15" s="1"/>
  <c r="I13" i="15" s="1"/>
  <c r="I14" i="15" s="1"/>
  <c r="I15" i="15" s="1"/>
  <c r="I16" i="15" s="1"/>
  <c r="I17" i="15" s="1"/>
  <c r="I18" i="15" s="1"/>
  <c r="L10" i="15"/>
  <c r="C11" i="15" l="1"/>
  <c r="L11" i="15" s="1"/>
  <c r="E11" i="15" s="1"/>
  <c r="E10" i="15"/>
  <c r="F9" i="15"/>
  <c r="J14" i="15"/>
  <c r="K14" i="15" s="1"/>
  <c r="J17" i="15"/>
  <c r="K17" i="15" s="1"/>
  <c r="J15" i="15"/>
  <c r="K15" i="15" s="1"/>
  <c r="J19" i="15"/>
  <c r="K19" i="15" s="1"/>
  <c r="I19" i="15" s="1"/>
  <c r="J16" i="15"/>
  <c r="K16" i="15" s="1"/>
  <c r="J18" i="15"/>
  <c r="K18" i="15" s="1"/>
  <c r="D11" i="15" l="1"/>
  <c r="C12" i="15" s="1"/>
  <c r="M10" i="15"/>
  <c r="F10" i="15" s="1"/>
  <c r="I20" i="15"/>
  <c r="J20" i="15"/>
  <c r="K20" i="15" s="1"/>
  <c r="I21" i="15" l="1"/>
  <c r="I22" i="15" s="1"/>
  <c r="I23" i="15" s="1"/>
  <c r="I24" i="15" s="1"/>
  <c r="M11" i="15"/>
  <c r="F11" i="15" s="1"/>
  <c r="D12" i="15"/>
  <c r="C13" i="15" s="1"/>
  <c r="D13" i="15" s="1"/>
  <c r="L12" i="15"/>
  <c r="E12" i="15" s="1"/>
  <c r="J21" i="15"/>
  <c r="K21" i="15" s="1"/>
  <c r="J24" i="15" l="1"/>
  <c r="K24" i="15" s="1"/>
  <c r="J22" i="15"/>
  <c r="K22" i="15" s="1"/>
  <c r="J25" i="15"/>
  <c r="K25" i="15" s="1"/>
  <c r="I25" i="15" s="1"/>
  <c r="I26" i="15" s="1"/>
  <c r="J23" i="15"/>
  <c r="K23" i="15" s="1"/>
  <c r="C14" i="15"/>
  <c r="M12" i="15"/>
  <c r="L13" i="15"/>
  <c r="J27" i="15" l="1"/>
  <c r="K27" i="15" s="1"/>
  <c r="I27" i="15" s="1"/>
  <c r="J26" i="15"/>
  <c r="K26" i="15" s="1"/>
  <c r="E13" i="15"/>
  <c r="F12" i="15"/>
  <c r="L14" i="15"/>
  <c r="I28" i="15" l="1"/>
  <c r="J29" i="15" s="1"/>
  <c r="K29" i="15" s="1"/>
  <c r="I29" i="15" s="1"/>
  <c r="J28" i="15"/>
  <c r="K28" i="15" s="1"/>
  <c r="E14" i="15"/>
  <c r="D14" i="15"/>
  <c r="C15" i="15" s="1"/>
  <c r="M13" i="15"/>
  <c r="J30" i="15" l="1"/>
  <c r="K30" i="15" s="1"/>
  <c r="I30" i="15"/>
  <c r="J31" i="15"/>
  <c r="K31" i="15" s="1"/>
  <c r="I31" i="15" s="1"/>
  <c r="F13" i="15"/>
  <c r="M14" i="15"/>
  <c r="J32" i="15" l="1"/>
  <c r="K32" i="15" s="1"/>
  <c r="I32" i="15"/>
  <c r="J33" i="15" s="1"/>
  <c r="K33" i="15" s="1"/>
  <c r="F14" i="15"/>
  <c r="L15" i="15"/>
  <c r="D15" i="15" s="1"/>
  <c r="C16" i="15" s="1"/>
  <c r="I33" i="15" l="1"/>
  <c r="J34" i="15" s="1"/>
  <c r="K34" i="15" s="1"/>
  <c r="E15" i="15"/>
  <c r="M15" i="15" s="1"/>
  <c r="I34" i="15" l="1"/>
  <c r="J35" i="15" s="1"/>
  <c r="K35" i="15" s="1"/>
  <c r="F15" i="15"/>
  <c r="L16" i="15"/>
  <c r="D16" i="15" s="1"/>
  <c r="C17" i="15" s="1"/>
  <c r="I35" i="15" l="1"/>
  <c r="J36" i="15" s="1"/>
  <c r="K36" i="15" s="1"/>
  <c r="E16" i="15"/>
  <c r="M16" i="15" s="1"/>
  <c r="I36" i="15" l="1"/>
  <c r="J37" i="15" s="1"/>
  <c r="K37" i="15" s="1"/>
  <c r="I37" i="15" s="1"/>
  <c r="I38" i="15" s="1"/>
  <c r="I39" i="15" s="1"/>
  <c r="F16" i="15"/>
  <c r="L17" i="15"/>
  <c r="D17" i="15" s="1"/>
  <c r="C18" i="15" s="1"/>
  <c r="J39" i="15" l="1"/>
  <c r="K39" i="15" s="1"/>
  <c r="J38" i="15"/>
  <c r="K38" i="15" s="1"/>
  <c r="J40" i="15"/>
  <c r="K40" i="15" s="1"/>
  <c r="I40" i="15" s="1"/>
  <c r="E17" i="15"/>
  <c r="M17" i="15" s="1"/>
  <c r="L18" i="15"/>
  <c r="D18" i="15" s="1"/>
  <c r="C19" i="15" s="1"/>
  <c r="J41" i="15" l="1"/>
  <c r="K41" i="15" s="1"/>
  <c r="I41" i="15"/>
  <c r="E18" i="15"/>
  <c r="M18" i="15" s="1"/>
  <c r="F17" i="15"/>
  <c r="J42" i="15" l="1"/>
  <c r="K42" i="15" s="1"/>
  <c r="I42" i="15"/>
  <c r="J43" i="15" s="1"/>
  <c r="K43" i="15" s="1"/>
  <c r="I43" i="15" s="1"/>
  <c r="F18" i="15"/>
  <c r="L19" i="15"/>
  <c r="D19" i="15" s="1"/>
  <c r="C20" i="15" s="1"/>
  <c r="E19" i="15" l="1"/>
  <c r="M19" i="15" s="1"/>
  <c r="L20" i="15"/>
  <c r="D20" i="15" s="1"/>
  <c r="C21" i="15" l="1"/>
  <c r="F19" i="15"/>
  <c r="E20" i="15"/>
  <c r="M20" i="15" l="1"/>
  <c r="F20" i="15" s="1"/>
  <c r="L21" i="15"/>
  <c r="D21" i="15" s="1"/>
  <c r="C22" i="15" l="1"/>
  <c r="E21" i="15"/>
  <c r="M21" i="15" l="1"/>
  <c r="F21" i="15" s="1"/>
  <c r="L22" i="15"/>
  <c r="D22" i="15" s="1"/>
  <c r="C23" i="15" l="1"/>
  <c r="L23" i="15" s="1"/>
  <c r="E22" i="15"/>
  <c r="M22" i="15" s="1"/>
  <c r="D23" i="15" l="1"/>
  <c r="F22" i="15"/>
  <c r="E23" i="15"/>
  <c r="C24" i="15" l="1"/>
  <c r="L24" i="15" s="1"/>
  <c r="M23" i="15"/>
  <c r="F23" i="15" s="1"/>
  <c r="D24" i="15" l="1"/>
  <c r="E24" i="15"/>
  <c r="M24" i="15" l="1"/>
  <c r="F24" i="15" s="1"/>
  <c r="C25" i="15"/>
  <c r="L25" i="15" l="1"/>
  <c r="D25" i="15" l="1"/>
  <c r="C26" i="15" s="1"/>
  <c r="E25" i="15"/>
  <c r="M25" i="15" l="1"/>
  <c r="F25" i="15" s="1"/>
  <c r="L26" i="15"/>
  <c r="E26" i="15" s="1"/>
  <c r="D26" i="15" l="1"/>
  <c r="M26" i="15" l="1"/>
  <c r="F26" i="15" s="1"/>
  <c r="C27" i="15"/>
  <c r="L27" i="15" l="1"/>
  <c r="E27" i="15" s="1"/>
  <c r="D27" i="15" l="1"/>
  <c r="M27" i="15" l="1"/>
  <c r="F27" i="15" s="1"/>
  <c r="C28" i="15"/>
  <c r="L28" i="15" l="1"/>
  <c r="E28" i="15" s="1"/>
  <c r="D28" i="15" l="1"/>
  <c r="M28" i="15" l="1"/>
  <c r="F28" i="15" s="1"/>
  <c r="C29" i="15"/>
  <c r="L29" i="15" l="1"/>
  <c r="E29" i="15" s="1"/>
  <c r="D29" i="15" l="1"/>
  <c r="M29" i="15" l="1"/>
  <c r="F29" i="15" s="1"/>
  <c r="C30" i="15"/>
  <c r="L30" i="15" l="1"/>
  <c r="E30" i="15" s="1"/>
  <c r="D30" i="15" l="1"/>
  <c r="M30" i="15" l="1"/>
  <c r="F30" i="15" s="1"/>
  <c r="C31" i="15"/>
  <c r="L31" i="15" l="1"/>
  <c r="D31" i="15" s="1"/>
  <c r="C32" i="15" s="1"/>
  <c r="L32" i="15" l="1"/>
  <c r="E32" i="15" s="1"/>
  <c r="E31" i="15"/>
  <c r="M31" i="15" s="1"/>
  <c r="F31" i="15" s="1"/>
  <c r="D44" i="15"/>
  <c r="D32" i="15" l="1"/>
  <c r="C33" i="15" s="1"/>
  <c r="L33" i="15" s="1"/>
  <c r="E33" i="15" s="1"/>
  <c r="E44" i="15"/>
  <c r="F44" i="15"/>
  <c r="M32" i="15" l="1"/>
  <c r="F32" i="15" s="1"/>
  <c r="D33" i="15"/>
  <c r="M33" i="15" s="1"/>
  <c r="F33" i="15" s="1"/>
  <c r="C34" i="15" l="1"/>
  <c r="L34" i="15" s="1"/>
  <c r="E34" i="15" s="1"/>
  <c r="D34" i="15" l="1"/>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s="1"/>
  <c r="E38" i="15" s="1"/>
  <c r="D38" i="15" l="1"/>
  <c r="C39" i="15" s="1"/>
  <c r="L39" i="15" s="1"/>
  <c r="E39" i="15" s="1"/>
  <c r="M38" i="15" l="1"/>
  <c r="F38" i="15" s="1"/>
  <c r="D39" i="15"/>
  <c r="C40" i="15" s="1"/>
  <c r="M39" i="15" l="1"/>
  <c r="F39" i="15" s="1"/>
  <c r="L40" i="15"/>
  <c r="E40" i="15" s="1"/>
  <c r="D40" i="15" l="1"/>
  <c r="C41" i="15" l="1"/>
  <c r="M40" i="15"/>
  <c r="F40" i="15" s="1"/>
  <c r="L41" i="15" l="1"/>
  <c r="E41" i="15" s="1"/>
  <c r="D41" i="15" l="1"/>
  <c r="M41" i="15" l="1"/>
  <c r="F41" i="15" s="1"/>
  <c r="C42" i="15"/>
  <c r="L42" i="15" l="1"/>
  <c r="E42" i="15" s="1"/>
  <c r="D42" i="15" l="1"/>
  <c r="C43" i="15" s="1"/>
  <c r="L43" i="15" l="1"/>
  <c r="E43" i="15" s="1"/>
  <c r="M42" i="15"/>
  <c r="F42" i="15" s="1"/>
  <c r="D43" i="15" l="1"/>
  <c r="M43" i="15" s="1"/>
  <c r="F43" i="15" s="1"/>
  <c r="D14" i="16" l="1"/>
  <c r="E15" i="16" l="1"/>
  <c r="D15" i="16" l="1"/>
  <c r="C16" i="16" l="1"/>
  <c r="E16" i="16" l="1"/>
  <c r="D16" i="16" l="1"/>
  <c r="C17" i="16" l="1"/>
  <c r="E17" i="16" l="1"/>
  <c r="D17" i="16" l="1"/>
  <c r="C18" i="16" l="1"/>
  <c r="E18" i="16" l="1"/>
  <c r="D18" i="16" l="1"/>
  <c r="C19" i="16" l="1"/>
  <c r="E19" i="16" l="1"/>
  <c r="D19" i="16" l="1"/>
  <c r="C20" i="16" l="1"/>
  <c r="E20" i="16" l="1"/>
  <c r="D20" i="16" l="1"/>
  <c r="C21" i="16" l="1"/>
  <c r="E21" i="16" l="1"/>
  <c r="D21" i="16" l="1"/>
  <c r="C22" i="16" l="1"/>
  <c r="E22" i="16" l="1"/>
  <c r="D22" i="16" l="1"/>
  <c r="C23" i="16" l="1"/>
  <c r="E23" i="16" l="1"/>
  <c r="D23" i="16" l="1"/>
  <c r="C24" i="16" l="1"/>
  <c r="E24" i="16" l="1"/>
  <c r="D24" i="16" l="1"/>
  <c r="C25" i="16" l="1"/>
  <c r="E25" i="16" l="1"/>
  <c r="D25" i="16" l="1"/>
  <c r="C26" i="16" l="1"/>
  <c r="E26" i="16" l="1"/>
  <c r="D26" i="16" l="1"/>
  <c r="C27" i="16" l="1"/>
  <c r="E27" i="16" l="1"/>
  <c r="D27" i="16" l="1"/>
  <c r="C28" i="16" l="1"/>
  <c r="E28" i="16" l="1"/>
  <c r="D28" i="16" l="1"/>
  <c r="C29" i="16" l="1"/>
  <c r="E29" i="16" l="1"/>
  <c r="D29" i="16" l="1"/>
  <c r="C30" i="16" l="1"/>
  <c r="E30" i="16" l="1"/>
  <c r="D30" i="16" l="1"/>
  <c r="C31" i="16" l="1"/>
  <c r="E31" i="16" l="1"/>
  <c r="D31" i="16" l="1"/>
  <c r="C32" i="16" l="1"/>
  <c r="D32" i="16" l="1"/>
  <c r="E32" i="16"/>
  <c r="C33" i="16" l="1"/>
  <c r="F32" i="16"/>
  <c r="C34" i="16" l="1"/>
  <c r="D33" i="16"/>
  <c r="C35" i="16" l="1"/>
  <c r="D34" i="16"/>
  <c r="C36" i="16" l="1"/>
  <c r="D35" i="16"/>
  <c r="D36" i="16" l="1"/>
  <c r="C37" i="16" l="1"/>
  <c r="C38" i="16" l="1"/>
  <c r="D37" i="16"/>
  <c r="C39" i="16" l="1"/>
  <c r="D38" i="16"/>
  <c r="C40" i="16" l="1"/>
  <c r="D39" i="16"/>
  <c r="C41" i="16" l="1"/>
  <c r="D40" i="16"/>
  <c r="D41" i="16" l="1"/>
  <c r="C42" i="16" l="1"/>
  <c r="D42" i="16" l="1"/>
  <c r="C43" i="16" l="1"/>
  <c r="C44" i="16" l="1"/>
  <c r="D43" i="16"/>
  <c r="D44" i="16" l="1"/>
  <c r="D9" i="16"/>
  <c r="D10" i="16"/>
  <c r="D11" i="16"/>
  <c r="D12" i="16"/>
  <c r="D13" i="16"/>
  <c r="F44" i="16"/>
  <c r="F9" i="16"/>
  <c r="F10" i="16"/>
  <c r="F11" i="16"/>
  <c r="F12" i="16"/>
  <c r="F13" i="16"/>
  <c r="F14" i="16"/>
  <c r="F15" i="16"/>
  <c r="F16" i="16"/>
  <c r="F17" i="16"/>
  <c r="F18" i="16"/>
  <c r="F19" i="16"/>
  <c r="F20" i="16"/>
  <c r="F21" i="16"/>
  <c r="F22" i="16"/>
  <c r="F23" i="16"/>
  <c r="F24" i="16"/>
  <c r="F25" i="16"/>
  <c r="F26" i="16"/>
  <c r="F27" i="16"/>
  <c r="F28" i="16"/>
  <c r="F29" i="16"/>
  <c r="F30" i="16"/>
  <c r="F31" i="16"/>
  <c r="F33" i="16"/>
  <c r="F34" i="16"/>
  <c r="F35" i="16"/>
  <c r="F36" i="16"/>
  <c r="F37" i="16"/>
  <c r="F38" i="16"/>
  <c r="F39" i="16"/>
  <c r="F40" i="16"/>
  <c r="F41" i="16"/>
  <c r="F42" i="16"/>
  <c r="F43" i="16"/>
  <c r="B90" i="1"/>
  <c r="F8" i="12" s="1"/>
  <c r="E44" i="16"/>
  <c r="E10" i="16"/>
  <c r="E11" i="16"/>
  <c r="E12" i="16"/>
  <c r="E13" i="16"/>
  <c r="E14" i="16"/>
  <c r="E33" i="16"/>
  <c r="E34" i="16"/>
  <c r="E35" i="16"/>
  <c r="E36" i="16"/>
  <c r="E37" i="16"/>
  <c r="E38" i="16"/>
  <c r="E39" i="16"/>
  <c r="E40" i="16"/>
  <c r="E41" i="16"/>
  <c r="E42" i="16"/>
  <c r="E43" i="16"/>
  <c r="C15" i="16"/>
  <c r="C14" i="16"/>
  <c r="C13" i="16"/>
  <c r="C12" i="16"/>
  <c r="C11" i="16"/>
  <c r="C10" i="16"/>
  <c r="C63" i="1" l="1"/>
  <c r="C60" i="1" s="1"/>
  <c r="E45" i="16"/>
  <c r="D45" i="16"/>
  <c r="A24" i="3"/>
  <c r="A23" i="3"/>
  <c r="A22" i="3" s="1"/>
  <c r="F45" i="16"/>
  <c r="D8" i="12"/>
  <c r="F9" i="12"/>
  <c r="C9" i="12" l="1"/>
  <c r="F10" i="12"/>
  <c r="F11" i="12" l="1"/>
  <c r="E9" i="12"/>
  <c r="F12" i="12" l="1"/>
  <c r="D9" i="12"/>
  <c r="C10" i="12" l="1"/>
  <c r="F13" i="12"/>
  <c r="F14" i="12" l="1"/>
  <c r="E10" i="12"/>
  <c r="D10" i="12" l="1"/>
  <c r="F15" i="12"/>
  <c r="F16" i="12" l="1"/>
  <c r="C11" i="12"/>
  <c r="F17" i="12" l="1"/>
  <c r="E11" i="12"/>
  <c r="F18" i="12" l="1"/>
  <c r="D11" i="12"/>
  <c r="F19" i="12" l="1"/>
  <c r="C12" i="12"/>
  <c r="F20" i="12" l="1"/>
  <c r="E12" i="12"/>
  <c r="F21" i="12" l="1"/>
  <c r="D12" i="12"/>
  <c r="C13" i="12" l="1"/>
  <c r="F22" i="12"/>
  <c r="F23" i="12" l="1"/>
  <c r="E1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E21" i="12" l="1"/>
  <c r="D21" i="12" s="1"/>
  <c r="C22" i="12" s="1"/>
  <c r="E22" i="12" l="1"/>
  <c r="D22" i="12" s="1"/>
  <c r="C23" i="12" s="1"/>
  <c r="E23" i="12" l="1"/>
  <c r="D23" i="12" s="1"/>
  <c r="C24" i="12" s="1"/>
  <c r="E24" i="12" l="1"/>
  <c r="D24" i="12" s="1"/>
  <c r="C25" i="12" s="1"/>
  <c r="E25" i="12" l="1"/>
  <c r="D25" i="12" s="1"/>
  <c r="C26" i="12" s="1"/>
  <c r="E26" i="12" l="1"/>
  <c r="D26" i="12" s="1"/>
  <c r="C27" i="12" s="1"/>
  <c r="E27" i="12" l="1"/>
  <c r="D27" i="12" s="1"/>
  <c r="C28" i="12" s="1"/>
  <c r="E28" i="12" l="1"/>
  <c r="D28" i="12" s="1"/>
  <c r="C29" i="12" s="1"/>
  <c r="E29" i="12" l="1"/>
  <c r="D29" i="12" s="1"/>
  <c r="C30" i="12" s="1"/>
  <c r="E30" i="12" l="1"/>
  <c r="D30" i="12" s="1"/>
  <c r="C31" i="12" s="1"/>
  <c r="E31" i="12" l="1"/>
  <c r="E44" i="12" l="1"/>
  <c r="F31" i="12"/>
  <c r="D31" i="12"/>
  <c r="C32" i="12" s="1"/>
  <c r="F32" i="12"/>
  <c r="F33" i="12" s="1"/>
  <c r="F44" i="12"/>
  <c r="D44" i="12" l="1"/>
  <c r="F34" i="12"/>
  <c r="E32" i="12"/>
  <c r="D32" i="12" s="1"/>
  <c r="C33" i="12" s="1"/>
  <c r="E33" i="12" l="1"/>
  <c r="D33" i="12" s="1"/>
  <c r="C34" i="12" s="1"/>
  <c r="F35" i="12"/>
  <c r="E34" i="12" l="1"/>
  <c r="D34" i="12" s="1"/>
  <c r="C35" i="12" s="1"/>
  <c r="F36" i="12"/>
  <c r="E35" i="12" l="1"/>
  <c r="D35" i="12" s="1"/>
  <c r="C36" i="12" s="1"/>
  <c r="F37" i="12"/>
  <c r="E36" i="12" l="1"/>
  <c r="D36" i="12" s="1"/>
  <c r="C37" i="12" s="1"/>
  <c r="F38" i="12"/>
  <c r="E37" i="12" l="1"/>
  <c r="D37" i="12" s="1"/>
  <c r="C38" i="12" s="1"/>
  <c r="F39" i="12"/>
  <c r="E38" i="12" l="1"/>
  <c r="D38" i="12" s="1"/>
  <c r="C39" i="12" s="1"/>
  <c r="E39" i="12" l="1"/>
  <c r="D39" i="12" s="1"/>
  <c r="C40" i="12" s="1"/>
  <c r="E40" i="12" l="1"/>
  <c r="F40" i="12"/>
  <c r="D40" i="12"/>
  <c r="C41" i="12" s="1"/>
  <c r="F41" i="12"/>
  <c r="F42" i="12" s="1"/>
  <c r="E41" i="12" l="1"/>
  <c r="D41" i="12" s="1"/>
  <c r="C42" i="12" s="1"/>
  <c r="E42" i="12" l="1"/>
  <c r="D42" i="12" s="1"/>
  <c r="C43" i="12" s="1"/>
  <c r="D43" i="12" l="1"/>
  <c r="E43" i="12"/>
  <c r="F43" i="12" l="1"/>
</calcChain>
</file>

<file path=xl/sharedStrings.xml><?xml version="1.0" encoding="utf-8"?>
<sst xmlns="http://schemas.openxmlformats.org/spreadsheetml/2006/main" count="599" uniqueCount="437">
  <si>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</si>
  <si>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</si>
  <si>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</si>
  <si>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</si>
  <si>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</si>
  <si>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</si>
  <si>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</si>
  <si>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</si>
  <si>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</si>
  <si>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</si>
  <si>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</si>
  <si>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</si>
  <si>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</si>
  <si>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</si>
  <si>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</si>
  <si>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</si>
  <si>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</si>
  <si>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</si>
  <si>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</si>
  <si>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</si>
  <si>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</si>
  <si>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</si>
  <si>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</si>
  <si>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</si>
  <si>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</si>
  <si>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</si>
  <si>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</si>
  <si>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</si>
  <si>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</si>
  <si>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</si>
  <si>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</si>
  <si>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</si>
  <si>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</si>
  <si>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</si>
  <si>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</si>
  <si>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</si>
  <si>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</si>
  <si>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</si>
  <si>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</si>
  <si>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</si>
  <si>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</si>
  <si>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</si>
  <si>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</si>
  <si>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</si>
  <si>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</si>
  <si>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</si>
  <si>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</si>
  <si>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</si>
  <si>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</si>
  <si>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</si>
  <si>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</si>
  <si>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</si>
  <si>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</si>
  <si>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</si>
  <si>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</si>
  <si>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</si>
  <si>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</si>
  <si>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</si>
  <si>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</si>
  <si>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</si>
  <si>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</si>
  <si>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</si>
  <si>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</si>
  <si>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</si>
  <si>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</si>
  <si>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</si>
  <si>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</si>
  <si>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</si>
  <si>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</si>
  <si>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</si>
  <si>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</si>
  <si>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</si>
  <si>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</si>
  <si>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</si>
  <si>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</si>
  <si>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</si>
  <si>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</si>
  <si>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</si>
  <si>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</si>
  <si>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</si>
  <si>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</si>
  <si>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</si>
  <si>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</si>
  <si>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</si>
  <si>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</si>
  <si>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</si>
  <si>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</si>
  <si>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</si>
  <si>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</si>
  <si>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</si>
  <si>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</si>
  <si>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</si>
  <si>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</si>
  <si>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</si>
  <si>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</si>
  <si>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</si>
  <si>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</si>
  <si>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</si>
  <si>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</si>
  <si>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</si>
  <si>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</si>
  <si>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</si>
  <si>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</si>
  <si>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</si>
  <si>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</si>
  <si>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</si>
  <si>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</si>
  <si>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</si>
  <si>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</si>
  <si>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</si>
  <si>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</si>
  <si>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</si>
  <si>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</si>
  <si>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</si>
  <si>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</si>
  <si>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</si>
  <si>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</si>
  <si>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</si>
  <si>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</si>
  <si>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</si>
  <si>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</si>
  <si>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</si>
  <si>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</si>
  <si>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</si>
  <si>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</si>
  <si>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</si>
  <si>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</si>
  <si>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</si>
  <si>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</si>
  <si>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</si>
  <si>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</si>
  <si>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</si>
  <si>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</si>
  <si>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</si>
  <si>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</si>
  <si>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</si>
  <si>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</si>
  <si>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</si>
  <si>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</si>
  <si>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</si>
  <si>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</si>
  <si>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</si>
  <si>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</si>
  <si>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</si>
  <si>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</si>
  <si>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</si>
  <si>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</si>
  <si>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</si>
  <si>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</si>
  <si>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</si>
  <si>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</si>
  <si>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</si>
  <si>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</si>
  <si>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</si>
  <si>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</si>
  <si>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</si>
  <si>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</si>
  <si>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</si>
  <si>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</si>
  <si>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</si>
  <si>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</si>
  <si>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</si>
  <si>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</si>
  <si>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</si>
  <si>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</si>
  <si>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</si>
  <si>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</si>
  <si>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</si>
  <si>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</si>
  <si>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</si>
  <si>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</si>
  <si>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</si>
  <si>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</si>
  <si>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</si>
  <si>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</si>
  <si>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</si>
  <si>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</si>
  <si>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</si>
  <si>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</si>
  <si>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</si>
  <si>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</si>
  <si>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</si>
  <si>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</si>
  <si>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</si>
  <si>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</si>
  <si>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</si>
  <si>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</si>
  <si>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</si>
  <si>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</si>
  <si>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</si>
  <si>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</si>
  <si>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</si>
  <si>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</si>
  <si>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</si>
  <si>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</si>
  <si>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</si>
  <si>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</si>
  <si>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</si>
  <si>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</si>
  <si>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</si>
  <si>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</si>
  <si>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</si>
  <si>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</si>
  <si>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</si>
  <si>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</si>
  <si>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</si>
  <si>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</si>
  <si>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</si>
  <si>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</si>
  <si>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</si>
  <si>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</si>
  <si>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</si>
  <si>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</si>
  <si>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</si>
  <si>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</si>
  <si>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</si>
  <si>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</si>
  <si>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</si>
  <si>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</si>
  <si>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</si>
  <si>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</si>
  <si>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</si>
  <si>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</si>
  <si>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</si>
  <si>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</si>
  <si>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</si>
  <si>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</si>
  <si>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</si>
  <si>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</si>
  <si>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</si>
  <si>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</si>
  <si>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</si>
  <si>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</si>
  <si>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</si>
  <si>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</si>
  <si>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</si>
  <si>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</si>
  <si>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</si>
  <si>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</si>
  <si>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</si>
  <si>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</si>
  <si>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</si>
  <si>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</si>
  <si>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</si>
  <si>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</si>
  <si>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</si>
  <si>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</si>
  <si>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</si>
  <si>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</si>
  <si>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</si>
  <si>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</si>
  <si>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</si>
  <si>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</si>
  <si>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</si>
  <si>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</si>
  <si>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</si>
  <si>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</si>
  <si>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</si>
  <si>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</si>
  <si>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</si>
  <si>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</si>
  <si>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</si>
  <si>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</si>
  <si>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</si>
  <si>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</si>
  <si>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</si>
  <si>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</si>
  <si>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</si>
  <si>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</si>
  <si>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</si>
  <si>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</si>
  <si>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</si>
  <si>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</si>
  <si>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</si>
  <si>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</si>
  <si>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</si>
  <si>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</si>
  <si>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</si>
  <si>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</si>
  <si>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</si>
  <si>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</si>
  <si>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</si>
  <si>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</si>
  <si>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</si>
  <si>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</si>
  <si>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</si>
  <si>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</si>
  <si>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</si>
  <si>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</si>
  <si>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</si>
  <si>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</si>
  <si>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</si>
  <si>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</si>
  <si>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</si>
  <si>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</si>
  <si>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</si>
  <si>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</si>
  <si>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</si>
  <si>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</si>
  <si>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</si>
  <si>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</si>
  <si>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</si>
  <si>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</si>
  <si>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</si>
  <si>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</si>
  <si>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</si>
  <si>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</si>
  <si>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</si>
  <si>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</si>
  <si>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</si>
  <si>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</si>
  <si>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</si>
  <si>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</si>
  <si>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</si>
  <si>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</si>
  <si>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</si>
  <si>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</si>
  <si>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</si>
  <si>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</si>
  <si>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</si>
  <si>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</si>
  <si>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</si>
  <si>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</si>
  <si>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</si>
  <si>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</si>
  <si>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</si>
  <si>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</si>
  <si>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</si>
  <si>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</si>
  <si>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</si>
  <si>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</si>
  <si>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</si>
  <si>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</si>
  <si>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</si>
  <si>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</si>
  <si>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</si>
  <si>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</si>
  <si>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</si>
  <si>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</si>
  <si>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</si>
  <si>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</si>
  <si>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</si>
  <si>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</si>
  <si>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</si>
  <si>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</si>
  <si>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</si>
  <si>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</si>
  <si>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</si>
  <si>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</si>
  <si>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</si>
  <si>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</si>
  <si>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</si>
  <si>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</si>
  <si>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</si>
  <si>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</si>
  <si>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</si>
  <si>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</si>
  <si>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</si>
  <si>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</si>
  <si>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</si>
  <si>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</si>
  <si>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</si>
  <si>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</si>
  <si>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</si>
  <si>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</si>
  <si>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</si>
  <si>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</si>
  <si>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</si>
  <si>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</si>
  <si>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</si>
  <si>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</si>
  <si>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</si>
  <si>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</si>
  <si>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</si>
  <si>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</si>
  <si>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</si>
  <si>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</si>
  <si>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</si>
  <si>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</si>
  <si>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</si>
  <si>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</si>
  <si>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</si>
  <si>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Kredit bo'yicha menejer</t>
  </si>
  <si>
    <t>37,39</t>
  </si>
  <si>
    <t>16.12.2020 yildan №14:13:02:01:03:1179:0006:058</t>
  </si>
  <si>
    <t>13.12.2020 yildan 1718238/R-A1419303</t>
  </si>
  <si>
    <t>№ kadastr raqami</t>
  </si>
  <si>
    <t>Foydalanishga topshirilgan yili</t>
  </si>
  <si>
    <t>P</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</si>
  <si>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</si>
  <si>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AB8490244</t>
  </si>
  <si>
    <t>з</t>
  </si>
  <si>
    <t>`</t>
  </si>
  <si>
    <t>Ijrochi direktor</t>
  </si>
  <si>
    <t>Abduraximov Nаdirbek Kamilevich</t>
  </si>
  <si>
    <t xml:space="preserve">Abduraximov N.K.  ________________ </t>
  </si>
  <si>
    <t>Abduraximov N.K. ________________</t>
  </si>
  <si>
    <t>Ijrochi direktori</t>
  </si>
  <si>
    <t>Abduraximov N.K.</t>
  </si>
  <si>
    <t>Йиллик фойз 50 фойздан утиб кетмаслиги керак</t>
  </si>
  <si>
    <t>60</t>
  </si>
  <si>
    <t>Oltmish</t>
  </si>
  <si>
    <t>Jumanazarov B.T.</t>
  </si>
  <si>
    <t>100</t>
  </si>
  <si>
    <t>bir yuz</t>
  </si>
  <si>
    <t>(90) 969 53 65</t>
  </si>
  <si>
    <t>Mominov B.X.</t>
  </si>
  <si>
    <t>Kreditlash bo’limi boshlig’I</t>
  </si>
  <si>
    <t>Mijoz quyidagi majburiyatlarga ega: OXANGARON T., "AGROBANK" ATB OXANGARON FILIALI 33 000 000.00 so'm. Ayni paytda muddati o'tgan qarzdorligi mavjud emas. O‘rtacha oylik to‘lov  767 852 so‘mni tashkil qiladi.</t>
  </si>
  <si>
    <t>EGAMBERDIYEV TO‘XTASIN INOYATOVICH</t>
  </si>
  <si>
    <t>EGAMBERDIYEV T.I.</t>
  </si>
  <si>
    <t>06.10.1979 y</t>
  </si>
  <si>
    <t xml:space="preserve">IIV 60001 </t>
  </si>
  <si>
    <t>TOSHKENT SHAHRI UCHTEPA TUMANI 25-MAVZE 4-DOM 34-XONADON</t>
  </si>
  <si>
    <t>VATAN KINOTEATRI OLMOS TOYXONA</t>
  </si>
  <si>
    <t>BUXORO VILOYATI</t>
  </si>
  <si>
    <t>90 711 88 88 KLIENT</t>
  </si>
  <si>
    <t>90 715 25 25 KLIENT 2-NOMERI</t>
  </si>
  <si>
    <t>90 413 01 01 SHOXRUX OGLI</t>
  </si>
  <si>
    <t>№ 0008006825</t>
  </si>
  <si>
    <t>BEMORLARGA QARASH</t>
  </si>
  <si>
    <t>CHILONZOR TRIB</t>
  </si>
  <si>
    <t>AAF4345420    08.04.2022</t>
  </si>
  <si>
    <t>KIA SELTOS G702</t>
  </si>
  <si>
    <t>01R888QA</t>
  </si>
  <si>
    <t>YENGIL LEGKOVAYA</t>
  </si>
  <si>
    <t>KNAER81AEM7233541</t>
  </si>
  <si>
    <t>G4NHMH323294</t>
  </si>
  <si>
    <t>RAKAMSIZ</t>
  </si>
  <si>
    <t>OQ BELIY JEMCHUG</t>
  </si>
  <si>
    <t>2021</t>
  </si>
  <si>
    <r>
      <t xml:space="preserve">      </t>
    </r>
    <r>
      <rPr>
        <b/>
        <sz val="12"/>
        <color theme="1"/>
        <rFont val="Times New Roman"/>
        <family val="1"/>
        <charset val="204"/>
      </rPr>
      <t>Mikrokredit shartnomasini bir nusxasini oldim</t>
    </r>
    <r>
      <rPr>
        <sz val="12"/>
        <color theme="1"/>
        <rFont val="Times New Roman"/>
        <family val="1"/>
        <charset val="204"/>
      </rPr>
      <t xml:space="preserve">  ________ </t>
    </r>
  </si>
  <si>
    <t>№134</t>
  </si>
  <si>
    <t>20.01.2025</t>
  </si>
  <si>
    <t>AD 1582556</t>
  </si>
  <si>
    <t>O'ttiz olti</t>
  </si>
  <si>
    <t>Saipova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</si>
</sst>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40">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3" fillId="0" borderId="0">
      <alignment vertical="center"/>
    </xf>
    <xf numFmtId="0" fontId="53"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351">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43" fontId="4"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0" fontId="4" fillId="0" borderId="1" xfId="0" applyFont="1" applyBorder="1"/>
    <xf numFmtId="0" fontId="4" fillId="0" borderId="1" xfId="0" applyFont="1" applyBorder="1" applyAlignment="1">
      <alignment horizontal="left" vertical="center"/>
    </xf>
    <xf numFmtId="0" fontId="5" fillId="0" borderId="0" xfId="0" applyFont="1" applyAlignment="1">
      <alignment vertical="center"/>
    </xf>
    <xf numFmtId="0" fontId="14" fillId="0" borderId="0" xfId="0" applyFont="1" applyAlignment="1">
      <alignment horizontal="center" vertical="center"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0" fontId="4" fillId="4" borderId="15" xfId="0" applyFont="1" applyFill="1" applyBorder="1" applyAlignment="1">
      <alignment vertical="center"/>
    </xf>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1"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2"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5" fillId="0" borderId="0" xfId="0" applyFont="1"/>
    <xf numFmtId="49" fontId="4" fillId="0" borderId="0" xfId="0" applyNumberFormat="1" applyFont="1"/>
    <xf numFmtId="0" fontId="46"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4" fillId="5" borderId="1" xfId="0" applyFont="1" applyFill="1" applyBorder="1" applyAlignment="1">
      <alignment vertical="center"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1" borderId="2" xfId="0" applyFont="1" applyFill="1" applyBorder="1" applyAlignment="1">
      <alignment horizontal="left" vertical="center" wrapText="1"/>
    </xf>
    <xf numFmtId="0" fontId="48" fillId="11"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49" fontId="4" fillId="0" borderId="1" xfId="0" applyNumberFormat="1" applyFont="1" applyBorder="1"/>
    <xf numFmtId="0" fontId="13" fillId="12" borderId="0" xfId="0" applyFont="1" applyFill="1"/>
    <xf numFmtId="0" fontId="5" fillId="0" borderId="0" xfId="0" applyFont="1"/>
    <xf numFmtId="0" fontId="4" fillId="11" borderId="0" xfId="0" applyFont="1" applyFill="1"/>
    <xf numFmtId="164" fontId="4" fillId="11" borderId="3" xfId="0" applyNumberFormat="1" applyFont="1" applyFill="1" applyBorder="1" applyAlignment="1">
      <alignment horizontal="left" vertical="top" wrapText="1"/>
    </xf>
    <xf numFmtId="14" fontId="4" fillId="11" borderId="0" xfId="0" applyNumberFormat="1" applyFont="1" applyFill="1"/>
    <xf numFmtId="0" fontId="54" fillId="11" borderId="16" xfId="0" applyFont="1" applyFill="1" applyBorder="1"/>
    <xf numFmtId="168" fontId="5" fillId="11" borderId="0" xfId="0" applyNumberFormat="1" applyFont="1" applyFill="1"/>
    <xf numFmtId="0" fontId="4" fillId="11" borderId="19" xfId="0" applyFont="1" applyFill="1" applyBorder="1"/>
    <xf numFmtId="0" fontId="4" fillId="11" borderId="20" xfId="0" applyFont="1" applyFill="1" applyBorder="1"/>
    <xf numFmtId="0" fontId="24" fillId="0" borderId="0" xfId="0" applyFont="1" applyAlignment="1">
      <alignment horizontal="left" vertical="top" wrapText="1"/>
    </xf>
    <xf numFmtId="0" fontId="5" fillId="0" borderId="0" xfId="0" applyFont="1" applyAlignment="1">
      <alignment wrapText="1"/>
    </xf>
    <xf numFmtId="0" fontId="4" fillId="4" borderId="0" xfId="0" applyFont="1" applyFill="1" applyAlignment="1">
      <alignment vertical="center" wrapText="1"/>
    </xf>
    <xf numFmtId="49" fontId="28" fillId="4" borderId="1" xfId="0" applyNumberFormat="1" applyFont="1" applyFill="1" applyBorder="1" applyAlignment="1">
      <alignment vertical="center" wrapText="1"/>
    </xf>
    <xf numFmtId="14" fontId="9" fillId="2" borderId="1" xfId="0" applyNumberFormat="1" applyFont="1" applyFill="1" applyBorder="1" applyAlignment="1">
      <alignment horizontal="center" vertical="center" wrapText="1"/>
    </xf>
    <xf numFmtId="0" fontId="28" fillId="11" borderId="0" xfId="0" applyFont="1" applyFill="1"/>
    <xf numFmtId="43" fontId="25" fillId="11" borderId="0" xfId="0" applyNumberFormat="1" applyFont="1" applyFill="1"/>
    <xf numFmtId="10" fontId="28" fillId="11" borderId="0" xfId="139" applyNumberFormat="1" applyFont="1" applyFill="1" applyAlignment="1">
      <alignment horizontal="center" vertical="center"/>
    </xf>
    <xf numFmtId="0" fontId="28" fillId="11" borderId="0" xfId="0" applyFont="1" applyFill="1" applyAlignment="1">
      <alignment horizontal="center" vertical="center"/>
    </xf>
    <xf numFmtId="0" fontId="14" fillId="0" borderId="0" xfId="0" applyFont="1" applyAlignment="1">
      <alignment horizontal="left"/>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33" fillId="0" borderId="0" xfId="0" applyFont="1" applyAlignment="1">
      <alignment horizontal="center" vertical="center" wrapText="1"/>
    </xf>
    <xf numFmtId="0" fontId="44" fillId="0" borderId="0" xfId="0" applyFont="1" applyAlignment="1">
      <alignment horizontal="justify" vertical="top" wrapText="1"/>
    </xf>
    <xf numFmtId="0" fontId="14" fillId="0" borderId="0" xfId="0" applyFont="1" applyAlignment="1">
      <alignment horizontal="left"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center"/>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center" vertical="top" wrapText="1"/>
    </xf>
    <xf numFmtId="0" fontId="13" fillId="0" borderId="0" xfId="0" applyFont="1" applyAlignment="1">
      <alignment horizontal="center"/>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justify" vertical="center" wrapText="1"/>
    </xf>
    <xf numFmtId="0" fontId="7" fillId="0" borderId="0" xfId="0" applyFont="1" applyAlignment="1">
      <alignment horizontal="justify" wrapText="1"/>
    </xf>
    <xf numFmtId="0" fontId="8" fillId="0" borderId="0" xfId="0" applyFont="1" applyAlignment="1">
      <alignment horizontal="left" vertical="center" wrapText="1"/>
    </xf>
    <xf numFmtId="0" fontId="7" fillId="0" borderId="0" xfId="0" applyFont="1" applyAlignment="1">
      <alignment horizontal="justify" vertical="top" wrapText="1"/>
    </xf>
    <xf numFmtId="0" fontId="8" fillId="0" borderId="0" xfId="0" applyFont="1" applyAlignment="1">
      <alignment horizontal="center"/>
    </xf>
    <xf numFmtId="0" fontId="8" fillId="0" borderId="0" xfId="0" applyFont="1" applyAlignment="1">
      <alignment horizontal="right" vertical="top"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wrapText="1"/>
    </xf>
    <xf numFmtId="0" fontId="7"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top" wrapText="1"/>
    </xf>
    <xf numFmtId="49" fontId="7" fillId="0" borderId="0" xfId="0" applyNumberFormat="1" applyFont="1" applyAlignment="1">
      <alignment horizontal="left" vertical="top" wrapText="1"/>
    </xf>
    <xf numFmtId="0" fontId="31" fillId="0" borderId="0" xfId="0" applyFont="1" applyAlignment="1">
      <alignment horizontal="left"/>
    </xf>
    <xf numFmtId="0" fontId="7" fillId="0" borderId="0" xfId="0" applyFont="1" applyAlignment="1">
      <alignment vertical="top" wrapText="1"/>
    </xf>
    <xf numFmtId="0" fontId="31" fillId="0" borderId="0" xfId="0" applyFont="1" applyAlignment="1">
      <alignment horizontal="center" vertical="top" wrapText="1"/>
    </xf>
    <xf numFmtId="0" fontId="27" fillId="0" borderId="0" xfId="0" applyFont="1" applyAlignment="1">
      <alignment horizontal="left" vertical="top" wrapText="1"/>
    </xf>
    <xf numFmtId="0" fontId="27" fillId="5" borderId="0" xfId="0" applyFont="1" applyFill="1" applyAlignment="1">
      <alignment horizontal="left" vertical="top" wrapText="1"/>
    </xf>
    <xf numFmtId="0" fontId="7" fillId="0" borderId="0" xfId="0" applyFont="1" applyAlignment="1">
      <alignment horizontal="left" wrapText="1"/>
    </xf>
    <xf numFmtId="0" fontId="8" fillId="0" borderId="0" xfId="0" applyFont="1" applyAlignment="1">
      <alignment horizontal="center" vertical="center"/>
    </xf>
    <xf numFmtId="0" fontId="52"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4" fillId="0" borderId="0" xfId="0" applyFont="1" applyAlignment="1">
      <alignment horizontal="right" vertical="top" wrapText="1"/>
    </xf>
    <xf numFmtId="0" fontId="26" fillId="0" borderId="0" xfId="0" applyFont="1" applyAlignment="1">
      <alignment horizontal="right"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right" vertical="top"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37" fillId="0" borderId="0" xfId="0" applyFont="1" applyAlignment="1">
      <alignment horizontal="justify" vertical="top" wrapText="1"/>
    </xf>
    <xf numFmtId="0" fontId="37" fillId="0" borderId="0" xfId="0" applyFont="1" applyAlignment="1">
      <alignment horizontal="justify" vertical="center" wrapText="1"/>
    </xf>
    <xf numFmtId="0" fontId="13" fillId="0" borderId="0" xfId="0" applyFont="1" applyAlignment="1">
      <alignment horizontal="left"/>
    </xf>
    <xf numFmtId="0" fontId="38" fillId="0" borderId="0" xfId="0" applyFont="1" applyAlignment="1">
      <alignment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16" fillId="0" borderId="0" xfId="0" applyFont="1" applyAlignment="1">
      <alignment horizontal="left" wrapText="1"/>
    </xf>
    <xf numFmtId="0" fontId="16" fillId="0" borderId="1" xfId="0" applyFont="1" applyBorder="1" applyAlignment="1">
      <alignment horizontal="center" vertical="center" wrapText="1"/>
    </xf>
    <xf numFmtId="0" fontId="16" fillId="0" borderId="0" xfId="0" applyFont="1" applyAlignment="1">
      <alignment horizontal="left"/>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0" borderId="0" xfId="0" applyFont="1" applyAlignment="1">
      <alignment horizontal="center" wrapText="1"/>
    </xf>
    <xf numFmtId="0" fontId="40" fillId="0" borderId="0" xfId="0" applyFont="1" applyAlignment="1">
      <alignment horizontal="left" vertical="center" wrapText="1" readingOrder="1"/>
    </xf>
    <xf numFmtId="0" fontId="16" fillId="0" borderId="0" xfId="0" applyFont="1" applyAlignment="1">
      <alignment horizontal="justify" vertical="top" wrapText="1" readingOrder="1"/>
    </xf>
    <xf numFmtId="0" fontId="15" fillId="0" borderId="4" xfId="0" applyFont="1" applyBorder="1" applyAlignment="1">
      <alignment horizontal="left" vertical="top"/>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140">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Процентный" xfId="139" builtinId="5"/>
    <cellStyle name="Финансовый" xfId="1" builtinId="3"/>
    <cellStyle name="Финансовый 10" xfId="125" xr:uid="{00000000-0005-0000-0000-00000C000000}"/>
    <cellStyle name="Финансовый 11" xfId="61" xr:uid="{00000000-0005-0000-0000-00000D000000}"/>
    <cellStyle name="Финансовый 12" xfId="49" xr:uid="{00000000-0005-0000-0000-00000E000000}"/>
    <cellStyle name="Финансовый 13" xfId="127" xr:uid="{00000000-0005-0000-0000-00000F000000}"/>
    <cellStyle name="Финансовый 14" xfId="25" xr:uid="{00000000-0005-0000-0000-000010000000}"/>
    <cellStyle name="Финансовый 15" xfId="13" xr:uid="{00000000-0005-0000-0000-000011000000}"/>
    <cellStyle name="Финансовый 2" xfId="2" xr:uid="{00000000-0005-0000-0000-000012000000}"/>
    <cellStyle name="Финансовый 2 10" xfId="62" xr:uid="{00000000-0005-0000-0000-000013000000}"/>
    <cellStyle name="Финансовый 2 11" xfId="50" xr:uid="{00000000-0005-0000-0000-000014000000}"/>
    <cellStyle name="Финансовый 2 12" xfId="128" xr:uid="{00000000-0005-0000-0000-000015000000}"/>
    <cellStyle name="Финансовый 2 13" xfId="26" xr:uid="{00000000-0005-0000-0000-000016000000}"/>
    <cellStyle name="Финансовый 2 14" xfId="14" xr:uid="{00000000-0005-0000-0000-000017000000}"/>
    <cellStyle name="Финансовый 2 2" xfId="4" xr:uid="{00000000-0005-0000-0000-000018000000}"/>
    <cellStyle name="Финансовый 2 2 10" xfId="28" xr:uid="{00000000-0005-0000-0000-000019000000}"/>
    <cellStyle name="Финансовый 2 2 11" xfId="16" xr:uid="{00000000-0005-0000-0000-00001A000000}"/>
    <cellStyle name="Финансовый 2 2 2" xfId="10" xr:uid="{00000000-0005-0000-0000-00001B000000}"/>
    <cellStyle name="Финансовый 2 2 2 2" xfId="46" xr:uid="{00000000-0005-0000-0000-00001C000000}"/>
    <cellStyle name="Финансовый 2 2 2 2 2" xfId="104" xr:uid="{00000000-0005-0000-0000-00001D000000}"/>
    <cellStyle name="Финансовый 2 2 2 3" xfId="116" xr:uid="{00000000-0005-0000-0000-00001E000000}"/>
    <cellStyle name="Финансовый 2 2 2 4" xfId="80" xr:uid="{00000000-0005-0000-0000-00001F000000}"/>
    <cellStyle name="Финансовый 2 2 2 5" xfId="58" xr:uid="{00000000-0005-0000-0000-000020000000}"/>
    <cellStyle name="Финансовый 2 2 2 6" xfId="136" xr:uid="{00000000-0005-0000-0000-000021000000}"/>
    <cellStyle name="Финансовый 2 2 2 7" xfId="34" xr:uid="{00000000-0005-0000-0000-000022000000}"/>
    <cellStyle name="Финансовый 2 2 2 8" xfId="22" xr:uid="{00000000-0005-0000-0000-000023000000}"/>
    <cellStyle name="Финансовый 2 2 3" xfId="40" xr:uid="{00000000-0005-0000-0000-000024000000}"/>
    <cellStyle name="Финансовый 2 2 3 2" xfId="122" xr:uid="{00000000-0005-0000-0000-000025000000}"/>
    <cellStyle name="Финансовый 2 2 3 3" xfId="86" xr:uid="{00000000-0005-0000-0000-000026000000}"/>
    <cellStyle name="Финансовый 2 2 4" xfId="92" xr:uid="{00000000-0005-0000-0000-000027000000}"/>
    <cellStyle name="Финансовый 2 2 5" xfId="98" xr:uid="{00000000-0005-0000-0000-000028000000}"/>
    <cellStyle name="Финансовый 2 2 6" xfId="110" xr:uid="{00000000-0005-0000-0000-000029000000}"/>
    <cellStyle name="Финансовый 2 2 7" xfId="65" xr:uid="{00000000-0005-0000-0000-00002A000000}"/>
    <cellStyle name="Финансовый 2 2 8" xfId="52" xr:uid="{00000000-0005-0000-0000-00002B000000}"/>
    <cellStyle name="Финансовый 2 2 9" xfId="130" xr:uid="{00000000-0005-0000-0000-00002C000000}"/>
    <cellStyle name="Финансовый 2 3" xfId="6" xr:uid="{00000000-0005-0000-0000-00002D000000}"/>
    <cellStyle name="Финансовый 2 3 10" xfId="30" xr:uid="{00000000-0005-0000-0000-00002E000000}"/>
    <cellStyle name="Финансовый 2 3 11" xfId="18" xr:uid="{00000000-0005-0000-0000-00002F000000}"/>
    <cellStyle name="Финансовый 2 3 2" xfId="12" xr:uid="{00000000-0005-0000-0000-000030000000}"/>
    <cellStyle name="Финансовый 2 3 2 2" xfId="48" xr:uid="{00000000-0005-0000-0000-000031000000}"/>
    <cellStyle name="Финансовый 2 3 2 2 2" xfId="106" xr:uid="{00000000-0005-0000-0000-000032000000}"/>
    <cellStyle name="Финансовый 2 3 2 3" xfId="118" xr:uid="{00000000-0005-0000-0000-000033000000}"/>
    <cellStyle name="Финансовый 2 3 2 4" xfId="82" xr:uid="{00000000-0005-0000-0000-000034000000}"/>
    <cellStyle name="Финансовый 2 3 2 5" xfId="60" xr:uid="{00000000-0005-0000-0000-000035000000}"/>
    <cellStyle name="Финансовый 2 3 2 6" xfId="138" xr:uid="{00000000-0005-0000-0000-000036000000}"/>
    <cellStyle name="Финансовый 2 3 2 7" xfId="36" xr:uid="{00000000-0005-0000-0000-000037000000}"/>
    <cellStyle name="Финансовый 2 3 2 8" xfId="24" xr:uid="{00000000-0005-0000-0000-000038000000}"/>
    <cellStyle name="Финансовый 2 3 3" xfId="42" xr:uid="{00000000-0005-0000-0000-000039000000}"/>
    <cellStyle name="Финансовый 2 3 3 2" xfId="124" xr:uid="{00000000-0005-0000-0000-00003A000000}"/>
    <cellStyle name="Финансовый 2 3 3 3" xfId="88" xr:uid="{00000000-0005-0000-0000-00003B000000}"/>
    <cellStyle name="Финансовый 2 3 4" xfId="94" xr:uid="{00000000-0005-0000-0000-00003C000000}"/>
    <cellStyle name="Финансовый 2 3 5" xfId="100" xr:uid="{00000000-0005-0000-0000-00003D000000}"/>
    <cellStyle name="Финансовый 2 3 6" xfId="112" xr:uid="{00000000-0005-0000-0000-00003E000000}"/>
    <cellStyle name="Финансовый 2 3 7" xfId="76" xr:uid="{00000000-0005-0000-0000-00003F000000}"/>
    <cellStyle name="Финансовый 2 3 8" xfId="54" xr:uid="{00000000-0005-0000-0000-000040000000}"/>
    <cellStyle name="Финансовый 2 3 9" xfId="132" xr:uid="{00000000-0005-0000-0000-000041000000}"/>
    <cellStyle name="Финансовый 2 4" xfId="8" xr:uid="{00000000-0005-0000-0000-000042000000}"/>
    <cellStyle name="Финансовый 2 4 2" xfId="44" xr:uid="{00000000-0005-0000-0000-000043000000}"/>
    <cellStyle name="Финансовый 2 4 2 2" xfId="102" xr:uid="{00000000-0005-0000-0000-000044000000}"/>
    <cellStyle name="Финансовый 2 4 3" xfId="114" xr:uid="{00000000-0005-0000-0000-000045000000}"/>
    <cellStyle name="Финансовый 2 4 4" xfId="78" xr:uid="{00000000-0005-0000-0000-000046000000}"/>
    <cellStyle name="Финансовый 2 4 5" xfId="56" xr:uid="{00000000-0005-0000-0000-000047000000}"/>
    <cellStyle name="Финансовый 2 4 6" xfId="134" xr:uid="{00000000-0005-0000-0000-000048000000}"/>
    <cellStyle name="Финансовый 2 4 7" xfId="32" xr:uid="{00000000-0005-0000-0000-000049000000}"/>
    <cellStyle name="Финансовый 2 4 8" xfId="20" xr:uid="{00000000-0005-0000-0000-00004A000000}"/>
    <cellStyle name="Финансовый 2 5" xfId="38" xr:uid="{00000000-0005-0000-0000-00004B000000}"/>
    <cellStyle name="Финансовый 2 5 2" xfId="120" xr:uid="{00000000-0005-0000-0000-00004C000000}"/>
    <cellStyle name="Финансовый 2 5 3" xfId="84" xr:uid="{00000000-0005-0000-0000-00004D000000}"/>
    <cellStyle name="Финансовый 2 6" xfId="90" xr:uid="{00000000-0005-0000-0000-00004E000000}"/>
    <cellStyle name="Финансовый 2 7" xfId="96" xr:uid="{00000000-0005-0000-0000-00004F000000}"/>
    <cellStyle name="Финансовый 2 8" xfId="108" xr:uid="{00000000-0005-0000-0000-000050000000}"/>
    <cellStyle name="Финансовый 2 9" xfId="126" xr:uid="{00000000-0005-0000-0000-000051000000}"/>
    <cellStyle name="Финансовый 3" xfId="3" xr:uid="{00000000-0005-0000-0000-000052000000}"/>
    <cellStyle name="Финансовый 3 10" xfId="27" xr:uid="{00000000-0005-0000-0000-000053000000}"/>
    <cellStyle name="Финансовый 3 11" xfId="15" xr:uid="{00000000-0005-0000-0000-000054000000}"/>
    <cellStyle name="Финансовый 3 2" xfId="9" xr:uid="{00000000-0005-0000-0000-000055000000}"/>
    <cellStyle name="Финансовый 3 2 2" xfId="45" xr:uid="{00000000-0005-0000-0000-000056000000}"/>
    <cellStyle name="Финансовый 3 2 2 2" xfId="103" xr:uid="{00000000-0005-0000-0000-000057000000}"/>
    <cellStyle name="Финансовый 3 2 3" xfId="115" xr:uid="{00000000-0005-0000-0000-000058000000}"/>
    <cellStyle name="Финансовый 3 2 4" xfId="79" xr:uid="{00000000-0005-0000-0000-000059000000}"/>
    <cellStyle name="Финансовый 3 2 5" xfId="57" xr:uid="{00000000-0005-0000-0000-00005A000000}"/>
    <cellStyle name="Финансовый 3 2 6" xfId="135" xr:uid="{00000000-0005-0000-0000-00005B000000}"/>
    <cellStyle name="Финансовый 3 2 7" xfId="33" xr:uid="{00000000-0005-0000-0000-00005C000000}"/>
    <cellStyle name="Финансовый 3 2 8" xfId="21" xr:uid="{00000000-0005-0000-0000-00005D000000}"/>
    <cellStyle name="Финансовый 3 3" xfId="39" xr:uid="{00000000-0005-0000-0000-00005E000000}"/>
    <cellStyle name="Финансовый 3 3 2" xfId="121" xr:uid="{00000000-0005-0000-0000-00005F000000}"/>
    <cellStyle name="Финансовый 3 3 3" xfId="85" xr:uid="{00000000-0005-0000-0000-000060000000}"/>
    <cellStyle name="Финансовый 3 4" xfId="91" xr:uid="{00000000-0005-0000-0000-000061000000}"/>
    <cellStyle name="Финансовый 3 5" xfId="97" xr:uid="{00000000-0005-0000-0000-000062000000}"/>
    <cellStyle name="Финансовый 3 6" xfId="109" xr:uid="{00000000-0005-0000-0000-000063000000}"/>
    <cellStyle name="Финансовый 3 7" xfId="74" xr:uid="{00000000-0005-0000-0000-000064000000}"/>
    <cellStyle name="Финансовый 3 8" xfId="51" xr:uid="{00000000-0005-0000-0000-000065000000}"/>
    <cellStyle name="Финансовый 3 9" xfId="129" xr:uid="{00000000-0005-0000-0000-000066000000}"/>
    <cellStyle name="Финансовый 4" xfId="5" xr:uid="{00000000-0005-0000-0000-000067000000}"/>
    <cellStyle name="Финансовый 4 10" xfId="29" xr:uid="{00000000-0005-0000-0000-000068000000}"/>
    <cellStyle name="Финансовый 4 11" xfId="17" xr:uid="{00000000-0005-0000-0000-000069000000}"/>
    <cellStyle name="Финансовый 4 2" xfId="11" xr:uid="{00000000-0005-0000-0000-00006A000000}"/>
    <cellStyle name="Финансовый 4 2 2" xfId="47" xr:uid="{00000000-0005-0000-0000-00006B000000}"/>
    <cellStyle name="Финансовый 4 2 2 2" xfId="105" xr:uid="{00000000-0005-0000-0000-00006C000000}"/>
    <cellStyle name="Финансовый 4 2 3" xfId="117" xr:uid="{00000000-0005-0000-0000-00006D000000}"/>
    <cellStyle name="Финансовый 4 2 4" xfId="81" xr:uid="{00000000-0005-0000-0000-00006E000000}"/>
    <cellStyle name="Финансовый 4 2 5" xfId="59" xr:uid="{00000000-0005-0000-0000-00006F000000}"/>
    <cellStyle name="Финансовый 4 2 6" xfId="137" xr:uid="{00000000-0005-0000-0000-000070000000}"/>
    <cellStyle name="Финансовый 4 2 7" xfId="35" xr:uid="{00000000-0005-0000-0000-000071000000}"/>
    <cellStyle name="Финансовый 4 2 8" xfId="23" xr:uid="{00000000-0005-0000-0000-000072000000}"/>
    <cellStyle name="Финансовый 4 3" xfId="41" xr:uid="{00000000-0005-0000-0000-000073000000}"/>
    <cellStyle name="Финансовый 4 3 2" xfId="123" xr:uid="{00000000-0005-0000-0000-000074000000}"/>
    <cellStyle name="Финансовый 4 3 3" xfId="87" xr:uid="{00000000-0005-0000-0000-000075000000}"/>
    <cellStyle name="Финансовый 4 4" xfId="93" xr:uid="{00000000-0005-0000-0000-000076000000}"/>
    <cellStyle name="Финансовый 4 5" xfId="99" xr:uid="{00000000-0005-0000-0000-000077000000}"/>
    <cellStyle name="Финансовый 4 6" xfId="111" xr:uid="{00000000-0005-0000-0000-000078000000}"/>
    <cellStyle name="Финансовый 4 7" xfId="75" xr:uid="{00000000-0005-0000-0000-000079000000}"/>
    <cellStyle name="Финансовый 4 8" xfId="53" xr:uid="{00000000-0005-0000-0000-00007A000000}"/>
    <cellStyle name="Финансовый 4 9" xfId="131" xr:uid="{00000000-0005-0000-0000-00007B000000}"/>
    <cellStyle name="Финансовый 5" xfId="7" xr:uid="{00000000-0005-0000-0000-00007C000000}"/>
    <cellStyle name="Финансовый 5 2" xfId="43" xr:uid="{00000000-0005-0000-0000-00007D000000}"/>
    <cellStyle name="Финансовый 5 2 2" xfId="101" xr:uid="{00000000-0005-0000-0000-00007E000000}"/>
    <cellStyle name="Финансовый 5 3" xfId="113" xr:uid="{00000000-0005-0000-0000-00007F000000}"/>
    <cellStyle name="Финансовый 5 4" xfId="77" xr:uid="{00000000-0005-0000-0000-000080000000}"/>
    <cellStyle name="Финансовый 5 5" xfId="55" xr:uid="{00000000-0005-0000-0000-000081000000}"/>
    <cellStyle name="Финансовый 5 6" xfId="133" xr:uid="{00000000-0005-0000-0000-000082000000}"/>
    <cellStyle name="Финансовый 5 7" xfId="31" xr:uid="{00000000-0005-0000-0000-000083000000}"/>
    <cellStyle name="Финансовый 5 8" xfId="19" xr:uid="{00000000-0005-0000-0000-000084000000}"/>
    <cellStyle name="Финансовый 6" xfId="37" xr:uid="{00000000-0005-0000-0000-000085000000}"/>
    <cellStyle name="Финансовый 6 2" xfId="119" xr:uid="{00000000-0005-0000-0000-000086000000}"/>
    <cellStyle name="Финансовый 6 3" xfId="83" xr:uid="{00000000-0005-0000-0000-000087000000}"/>
    <cellStyle name="Финансовый 7" xfId="89" xr:uid="{00000000-0005-0000-0000-000088000000}"/>
    <cellStyle name="Финансовый 8" xfId="95" xr:uid="{00000000-0005-0000-0000-000089000000}"/>
    <cellStyle name="Финансовый 9" xfId="107" xr:uid="{00000000-0005-0000-0000-00008A00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C39" sqref="C39"/>
    </sheetView>
  </sheetViews>
  <sheetFormatPr defaultRowHeight="15" x14ac:dyDescent="0.25"/>
  <cols>
    <col min="1" max="1" width="22.85546875" style="70" customWidth="1"/>
    <col min="2" max="2" width="24.28515625" style="70" customWidth="1"/>
    <col min="3" max="3" width="21.28515625" style="70" customWidth="1"/>
    <col min="4" max="4" width="18" style="70" customWidth="1"/>
    <col min="5" max="5" width="25.140625" style="70"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0" t="str">
        <f>""&amp;'Общие данные'!B147&amp;"
mikromoliya tashkiloti
Kredit qo‘mitasining yig‘ilishi"</f>
        <v>«CLEVER MIKROMOLIYA TASHKILOTI» MChJ
mikromoliya tashkiloti
Kredit qo‘mitasining yig‘ilishi</v>
      </c>
      <c r="B1" s="230"/>
      <c r="C1" s="230"/>
      <c r="D1" s="230"/>
      <c r="E1" s="230"/>
    </row>
    <row r="2" spans="1:33" ht="29.25" customHeight="1" x14ac:dyDescent="0.25">
      <c r="A2" s="230" t="str">
        <f>""&amp;H7&amp;" protokolidan ko'chirma"</f>
        <v>№134 protokolidan ko'chirma</v>
      </c>
      <c r="B2" s="230"/>
      <c r="C2" s="230"/>
      <c r="D2" s="230"/>
      <c r="E2" s="230"/>
    </row>
    <row r="3" spans="1:33" ht="29.25" customHeight="1" x14ac:dyDescent="0.25">
      <c r="A3" s="150" t="s">
        <v>203</v>
      </c>
      <c r="B3" s="57"/>
      <c r="C3" s="57"/>
      <c r="D3" s="57"/>
      <c r="E3" s="151" t="str">
        <f>'Общие данные'!B68</f>
        <v>20 yanvar 2025 y.</v>
      </c>
    </row>
    <row r="4" spans="1:33" ht="29.25" customHeight="1" x14ac:dyDescent="0.25">
      <c r="A4" s="57"/>
      <c r="B4" s="230" t="s">
        <v>202</v>
      </c>
      <c r="C4" s="230"/>
      <c r="D4" s="230"/>
      <c r="E4" s="57"/>
    </row>
    <row r="5" spans="1:33" ht="36" customHeight="1" x14ac:dyDescent="0.25">
      <c r="A5" s="229" t="str">
        <f>"         "&amp;H8&amp;"."&amp;'Общие данные'!B5&amp;" ga "&amp;'Общие данные'!B65&amp;" berish masalasini ko‘rib chiqish to‘g‘risida."</f>
        <v xml:space="preserve">         1.EGAMBERDIYEV TO‘XTASIN INOYATOVICH ga mikrokredit berish masalasini ko‘rib chiqish to‘g‘risida.</v>
      </c>
      <c r="B5" s="229"/>
      <c r="C5" s="229"/>
      <c r="D5" s="229"/>
      <c r="E5" s="229"/>
    </row>
    <row r="7" spans="1:33" ht="21" customHeight="1" x14ac:dyDescent="0.35">
      <c r="A7" s="231"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EGAMBERDIYEV TO‘XTASIN INOYATOVICHga 200 000 000,00 (ikki yuz million so'm) so‘m miqdorida, muddati 36 (O'ttiz olti) oyga va yillik 60 (Oltmish) foiz miqdorida mikrokredit berich bo‘yicha EGAMBERDIYEV TO‘XTASIN INOYATOVICHning kredit arizasi va «CLEVER MIKROMOLIYA TASHKILOTI» MChJning xulosasi bilan ishtirokchilarni tanishtirdi.</v>
      </c>
      <c r="B7" s="231"/>
      <c r="C7" s="231"/>
      <c r="D7" s="231"/>
      <c r="E7" s="231"/>
      <c r="G7" s="71" t="s">
        <v>258</v>
      </c>
      <c r="H7" s="72" t="str">
        <f>'Общие данные'!B1</f>
        <v>№134</v>
      </c>
    </row>
    <row r="8" spans="1:33" ht="23.25" x14ac:dyDescent="0.35">
      <c r="A8" s="231"/>
      <c r="B8" s="231"/>
      <c r="C8" s="231"/>
      <c r="D8" s="231"/>
      <c r="E8" s="231"/>
      <c r="G8" s="71" t="s">
        <v>259</v>
      </c>
      <c r="H8" s="72">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6.25" customHeight="1" x14ac:dyDescent="0.35">
      <c r="A9" s="231"/>
      <c r="B9" s="231"/>
      <c r="C9" s="231"/>
      <c r="D9" s="231"/>
      <c r="E9" s="231"/>
      <c r="G9" s="71" t="s">
        <v>260</v>
      </c>
      <c r="H9" s="72" t="str">
        <f>IF(H8=I8,I9,IF(H8=J8,J9,IF(H8=K8,K9,IF(H8=L8,L9,IF(H8=M8,M9,IF(H8=N8,N9,IF(H8=O8,O9,IF(H8=P8,P9,IF(H8=Q8,Q9,IF(H8=R8,R9,IF(H8=S8,S9,IF(H8=T8,T9,IF(H8=U8,U9,IF(H8=V8,V9,IF(H8=W8,W9,IF(H8=X8,X9,IF(H8=Y8,Y9,IF(H8=Z8,Z9,IF(H8=AA8,AA9,IF(H8=AB8,AB9,IF(H8=AC8,AC9,IF(H8=AD8,AD9,IF(H8=AE8,AE9,IF(H8=AF8,AF9,IF(H8=AG8,AG9)))))))))))))))))))))))))</f>
        <v>Birinchi</v>
      </c>
      <c r="I9" s="175" t="s">
        <v>190</v>
      </c>
      <c r="J9" s="176" t="s">
        <v>191</v>
      </c>
      <c r="K9" s="176" t="s">
        <v>192</v>
      </c>
      <c r="L9" s="176" t="s">
        <v>371</v>
      </c>
      <c r="M9" s="176" t="s">
        <v>193</v>
      </c>
      <c r="N9" s="176" t="s">
        <v>372</v>
      </c>
      <c r="O9" s="176" t="s">
        <v>194</v>
      </c>
      <c r="P9" s="176" t="s">
        <v>195</v>
      </c>
      <c r="Q9" s="176" t="s">
        <v>196</v>
      </c>
      <c r="R9" s="176" t="s">
        <v>361</v>
      </c>
      <c r="S9" s="176" t="s">
        <v>362</v>
      </c>
      <c r="T9" s="176" t="s">
        <v>363</v>
      </c>
      <c r="U9" s="176" t="s">
        <v>364</v>
      </c>
      <c r="V9" s="176" t="s">
        <v>373</v>
      </c>
      <c r="W9" s="176" t="s">
        <v>365</v>
      </c>
      <c r="X9" s="176" t="s">
        <v>366</v>
      </c>
      <c r="Y9" s="176" t="s">
        <v>367</v>
      </c>
      <c r="Z9" s="176" t="s">
        <v>368</v>
      </c>
      <c r="AA9" s="176" t="s">
        <v>369</v>
      </c>
      <c r="AB9" s="176" t="s">
        <v>197</v>
      </c>
      <c r="AC9" s="176" t="s">
        <v>198</v>
      </c>
      <c r="AD9" s="176" t="s">
        <v>199</v>
      </c>
      <c r="AE9" s="176" t="s">
        <v>200</v>
      </c>
      <c r="AF9" s="176" t="s">
        <v>370</v>
      </c>
      <c r="AG9" s="176" t="s">
        <v>201</v>
      </c>
    </row>
    <row r="10" spans="1:33" ht="10.5" hidden="1" customHeight="1" x14ac:dyDescent="0.25">
      <c r="A10" s="231"/>
      <c r="B10" s="231"/>
      <c r="C10" s="231"/>
      <c r="D10" s="231"/>
      <c r="E10" s="231"/>
    </row>
    <row r="11" spans="1:33" ht="9" hidden="1" customHeight="1" x14ac:dyDescent="0.25">
      <c r="A11" s="231"/>
      <c r="B11" s="231"/>
      <c r="C11" s="231"/>
      <c r="D11" s="231"/>
      <c r="E11" s="231"/>
    </row>
    <row r="12" spans="1:33" ht="3" customHeight="1" x14ac:dyDescent="0.25">
      <c r="A12" s="231"/>
      <c r="B12" s="231"/>
      <c r="C12" s="231"/>
      <c r="D12" s="231"/>
      <c r="E12" s="231"/>
    </row>
    <row r="13" spans="1:33" ht="7.5" customHeight="1" x14ac:dyDescent="0.25"/>
    <row r="14" spans="1:33" ht="19.5" customHeight="1" x14ac:dyDescent="0.25">
      <c r="A14" s="232" t="str">
        <f>""&amp;'Общие данные'!C64&amp;" ta’minoti:"</f>
        <v>Mikrokredit ta’minoti:</v>
      </c>
      <c r="B14" s="232"/>
      <c r="C14" s="232"/>
      <c r="D14" s="232"/>
      <c r="E14" s="232"/>
    </row>
    <row r="15" spans="1:33" ht="14.25" customHeight="1" x14ac:dyDescent="0.25"/>
    <row r="16" spans="1:33" ht="72" customHeight="1" x14ac:dyDescent="0.25">
      <c r="A16" s="231" t="str">
        <f>'Заключение КК'!A18:E18</f>
        <v xml:space="preserve">  Egalik huquqi EGAMBERDIYEV TO‘XTASIN INOYATOVICHga tegishli bo'lgan garovga olingan avtomobil markasi   KIA SELTOS G702, rangi -  OQ BELIY JEMCHUG, ishlab chiqarilgan yili - 2021, davlat raqam belgisi 01R888QA, kuzov turi - YENGIL LEGKOVAYA, kuzov raqami KNAER81AEM7233541, dvigatel raqami G4NHMH323294, shassi raqami - RAKAMSIZ</v>
      </c>
      <c r="B16" s="231"/>
      <c r="C16" s="231"/>
      <c r="D16" s="231"/>
      <c r="E16" s="231"/>
    </row>
    <row r="17" spans="1:5" ht="17.25" customHeight="1" x14ac:dyDescent="0.25">
      <c r="C17" s="177" t="s">
        <v>380</v>
      </c>
      <c r="D17" s="177" t="str">
        <f>""&amp;'Общие данные'!B147&amp;" kredit qo‘mitasi"</f>
        <v>«CLEVER MIKROMOLIYA TASHKILOTI» MChJ kredit qo‘mitasi</v>
      </c>
      <c r="E17" s="177"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x14ac:dyDescent="0.25">
      <c r="A18" s="231"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1"/>
      <c r="C18" s="231"/>
      <c r="D18" s="231"/>
      <c r="E18" s="231"/>
    </row>
    <row r="19" spans="1:5" ht="24" customHeight="1" x14ac:dyDescent="0.25">
      <c r="A19" s="233" t="s">
        <v>261</v>
      </c>
      <c r="B19" s="233"/>
      <c r="C19" s="233"/>
      <c r="D19" s="233"/>
      <c r="E19" s="233"/>
    </row>
    <row r="20" spans="1:5" ht="32.25" customHeight="1" x14ac:dyDescent="0.25">
      <c r="A20" s="231" t="str">
        <f>"       "&amp;'Общие данные'!B5&amp;"ga quyidagi shartlarda "&amp;'Общие данные'!B65&amp;" berish masalasi ma’qullansin:"</f>
        <v xml:space="preserve">       EGAMBERDIYEV TO‘XTASIN INOYATOVICHga quyidagi shartlarda mikrokredit berish masalasi ma’qullansin:</v>
      </c>
      <c r="B20" s="231"/>
      <c r="C20" s="231"/>
      <c r="D20" s="231"/>
      <c r="E20" s="231"/>
    </row>
    <row r="21" spans="1:5" s="152" customFormat="1" ht="18.75" customHeight="1" x14ac:dyDescent="0.25">
      <c r="A21" s="229" t="str">
        <f>"1. "&amp;'Общие данные'!C64&amp;" summasi: "&amp;FIXED('Общие данные'!B75)&amp;" ("&amp;'Общие данные'!B76&amp;") so'm."</f>
        <v>1. Mikrokredit summasi: 200 000 000,00 (ikki yuz million so'm) so'm.</v>
      </c>
      <c r="B21" s="229"/>
      <c r="C21" s="229"/>
      <c r="D21" s="229"/>
      <c r="E21" s="229"/>
    </row>
    <row r="22" spans="1:5" s="152" customFormat="1" ht="18.75" customHeight="1" x14ac:dyDescent="0.25">
      <c r="A22" s="229" t="str">
        <f>"2. "&amp;'Общие данные'!C64&amp;" muddati: "&amp;'Общие данные'!B81&amp;" ("&amp;'Общие данные'!B82&amp;") oy "</f>
        <v xml:space="preserve">2. Mikrokredit muddati: 36 (O'ttiz olti) oy </v>
      </c>
      <c r="B22" s="229"/>
      <c r="C22" s="229"/>
      <c r="D22" s="229"/>
      <c r="E22" s="229"/>
    </row>
    <row r="23" spans="1:5" s="152" customFormat="1" ht="18.75" customHeight="1" x14ac:dyDescent="0.25">
      <c r="A23" s="229" t="str">
        <f>"3. "&amp;'Общие данные'!C64&amp;"dan foydalanganlik uchun foiz stavkasi:yillik "&amp;'Общие данные'!B85&amp;"% ("&amp;'Общие данные'!B86&amp;") foiz."</f>
        <v>3. Mikrokreditdan foydalanganlik uchun foiz stavkasi:yillik 60% (Oltmish) foiz.</v>
      </c>
      <c r="B23" s="229"/>
      <c r="C23" s="229"/>
      <c r="D23" s="229"/>
      <c r="E23" s="229"/>
    </row>
    <row r="24" spans="1:5" s="152" customFormat="1" ht="18.75" customHeight="1" x14ac:dyDescent="0.25">
      <c r="A24" s="229" t="str">
        <f>"4. "&amp;'Общие данные'!C64&amp;" bo‘yicha asosiy qarz va foizlarni to‘lash:"</f>
        <v>4. Mikrokredit bo‘yicha asosiy qarz va foizlarni to‘lash:</v>
      </c>
      <c r="B24" s="229"/>
      <c r="C24" s="229"/>
      <c r="D24" s="229"/>
      <c r="E24" s="229"/>
    </row>
    <row r="25" spans="1:5" s="152" customFormat="1" ht="18.75" customHeight="1" x14ac:dyDescent="0.25">
      <c r="A25" s="229" t="str">
        <f>'Кредитная заявка'!A19:D19</f>
        <v xml:space="preserve"> - mikrokredit shartnomasi bo'yicha har oy differensial to'lovlari amalga oshiriladi</v>
      </c>
      <c r="B25" s="229"/>
      <c r="C25" s="229"/>
      <c r="D25" s="229"/>
      <c r="E25" s="229"/>
    </row>
    <row r="26" spans="1:5" ht="48" customHeight="1" x14ac:dyDescent="0.25">
      <c r="A26" s="231" t="str">
        <f>"5. "&amp;'Общие данные'!C64&amp;" bo‘yicha garov  "&amp;'Заключение КК'!A29:E29&amp;""</f>
        <v>5. Mikrokredit bo‘yicha garov   - EGAMBERDIYEV TO‘XTASIN INOYATOVICH ga mulk huquqi asosida tegishli avtotransport vositasi KIA SELTOS G702 , quyidagi tafsilotlarga muvofiq:</v>
      </c>
      <c r="B26" s="231"/>
      <c r="C26" s="231"/>
      <c r="D26" s="231"/>
      <c r="E26" s="231"/>
    </row>
    <row r="27" spans="1:5" ht="40.5" customHeight="1" x14ac:dyDescent="0.25">
      <c r="A27" s="21" t="str">
        <f>'Акт согласования'!A29</f>
        <v>Nomi</v>
      </c>
      <c r="B27" s="21" t="str">
        <f>'Акт согласования'!B29</f>
        <v>Kuzov turi  va kuzov raqami*</v>
      </c>
      <c r="C27" s="21" t="str">
        <f>'Акт согласования'!C29</f>
        <v>Dvigatel va shassi raqami*</v>
      </c>
      <c r="D27" s="21" t="str">
        <f>'Акт согласования'!D29</f>
        <v>Ishlab chiqarilgan yili va rangi*</v>
      </c>
      <c r="E27" s="21" t="str">
        <f>'Акт согласования'!E29</f>
        <v>Kelishilgan garov qiymati, so'm</v>
      </c>
    </row>
    <row r="28" spans="1:5" ht="84" customHeight="1" x14ac:dyDescent="0.25">
      <c r="A28" s="21" t="str">
        <f>'Акт согласования'!A30</f>
        <v>KIA SELTOS G702</v>
      </c>
      <c r="B28" s="21" t="str">
        <f>'Акт согласования'!B30</f>
        <v>kuzov turi - YENGIL LEGKOVAYA, kuzov raqami KNAER81AEM7233541</v>
      </c>
      <c r="C28" s="21" t="str">
        <f>'Акт согласования'!C30</f>
        <v>dvigatel raqami G4NHMH323294, shassi raqami - RAKAMSIZ</v>
      </c>
      <c r="D28" s="21" t="str">
        <f>'Акт согласования'!D30</f>
        <v>rangi -  OQ BELIY JEMCHUG, ishlab chiqarilgan yili - 2021</v>
      </c>
      <c r="E28" s="21" t="str">
        <f>'Акт согласования'!E30</f>
        <v>300 000 000,00 
(uch yuz million so'm)</v>
      </c>
    </row>
    <row r="29" spans="1:5" ht="20.25" customHeight="1" x14ac:dyDescent="0.25">
      <c r="A29" s="231" t="str">
        <f>'Акт согласования'!A22:E22</f>
        <v>-* avtotransport egasi: EGAMBERDIYEV TO‘XTASIN INOYATOVICH</v>
      </c>
      <c r="B29" s="231"/>
      <c r="C29" s="231"/>
      <c r="D29" s="231"/>
      <c r="E29" s="231"/>
    </row>
    <row r="30" spans="1:5" ht="20.25" customHeight="1" x14ac:dyDescent="0.25">
      <c r="A30" s="231" t="str">
        <f>'Акт согласования'!A23:E23</f>
        <v>-* texnik pasport: AAF4345420    08.04.2022</v>
      </c>
      <c r="B30" s="231"/>
      <c r="C30" s="231"/>
      <c r="D30" s="231"/>
      <c r="E30" s="231"/>
    </row>
    <row r="31" spans="1:5" ht="38.25" customHeight="1" x14ac:dyDescent="0.25">
      <c r="A31" s="231" t="str">
        <f>'Акт согласования'!A24:E24</f>
        <v>-* roʻyxatdan oʻtgan manzili/garaj manzili: TOSHKENT SHAHRI UCHTEPA TUMANI 25-MAVZE 4-DOM 34-XONADON</v>
      </c>
      <c r="B31" s="231"/>
      <c r="C31" s="231"/>
      <c r="D31" s="231"/>
      <c r="E31" s="231"/>
    </row>
    <row r="32" spans="1:5" ht="24" customHeight="1" x14ac:dyDescent="0.25">
      <c r="A32" s="231" t="str">
        <f>'Акт согласования'!A25:E25</f>
        <v>-* davlat raqami: 01R888QA</v>
      </c>
      <c r="B32" s="231"/>
      <c r="C32" s="231"/>
      <c r="D32" s="231"/>
      <c r="E32" s="231"/>
    </row>
    <row r="33" spans="1:5" ht="2.25" customHeight="1" x14ac:dyDescent="0.25">
      <c r="A33" s="153"/>
      <c r="B33" s="153"/>
      <c r="C33" s="153"/>
      <c r="D33" s="153"/>
      <c r="E33" s="153"/>
    </row>
    <row r="34" spans="1:5" ht="27" customHeight="1" x14ac:dyDescent="0.25">
      <c r="A34" s="231"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mikrokredit berish.</v>
      </c>
      <c r="B34" s="231"/>
      <c r="C34" s="231"/>
      <c r="D34" s="231"/>
      <c r="E34" s="231"/>
    </row>
    <row r="36" spans="1:5" ht="29.25" customHeight="1" x14ac:dyDescent="0.25">
      <c r="A36" s="234" t="s">
        <v>262</v>
      </c>
      <c r="B36" s="234"/>
      <c r="C36" s="234"/>
      <c r="D36" s="234"/>
      <c r="E36" s="234"/>
    </row>
    <row r="37" spans="1:5" ht="29.25" customHeight="1" x14ac:dyDescent="0.25">
      <c r="A37" s="228" t="str">
        <f>"1. "&amp;'Общие данные'!B151&amp;""</f>
        <v>1. Abduraximov Nаdirbek Kamilevich</v>
      </c>
      <c r="B37" s="228"/>
      <c r="C37" s="189"/>
      <c r="D37" s="190"/>
      <c r="E37" s="190"/>
    </row>
    <row r="38" spans="1:5" ht="29.25" customHeight="1" x14ac:dyDescent="0.25">
      <c r="A38" s="235" t="str">
        <f>"2. "&amp;'Общие данные'!B159&amp;""</f>
        <v>2. Mominov B.X.</v>
      </c>
      <c r="B38" s="235"/>
      <c r="C38" s="189"/>
      <c r="D38" s="191"/>
      <c r="E38" s="191"/>
    </row>
    <row r="39" spans="1:5" ht="29.25" customHeight="1" x14ac:dyDescent="0.25">
      <c r="A39" s="228" t="str">
        <f>"3. "&amp;'Общие данные'!B160&amp;""</f>
        <v>3. Jumanazarov B.T.</v>
      </c>
      <c r="B39" s="228"/>
      <c r="C39" s="149"/>
      <c r="D39" s="192"/>
      <c r="E39" s="192"/>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1"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topLeftCell="A7" zoomScale="70" zoomScaleNormal="70" zoomScaleSheetLayoutView="70" workbookViewId="0">
      <selection activeCell="A44" sqref="A44"/>
    </sheetView>
  </sheetViews>
  <sheetFormatPr defaultColWidth="9.140625" defaultRowHeight="15" outlineLevelCol="1" x14ac:dyDescent="0.25"/>
  <cols>
    <col min="1" max="1" width="9.140625" style="104"/>
    <col min="2" max="2" width="12.28515625" style="104" customWidth="1"/>
    <col min="3" max="3" width="16.5703125" style="104" customWidth="1"/>
    <col min="4" max="4" width="16.7109375" style="104" customWidth="1"/>
    <col min="5" max="5" width="16.5703125" style="104" customWidth="1"/>
    <col min="6" max="6" width="20.85546875" style="104" customWidth="1"/>
    <col min="7" max="7" width="10.140625" style="104" customWidth="1" outlineLevel="1"/>
    <col min="8" max="8" width="19.140625" style="104" customWidth="1"/>
    <col min="9" max="9" width="21.42578125" style="104" customWidth="1"/>
    <col min="10" max="10" width="20.85546875" style="104" customWidth="1"/>
    <col min="11" max="11" width="20.140625" style="104" customWidth="1"/>
    <col min="12" max="12" width="21.42578125" style="104" customWidth="1"/>
    <col min="13" max="13" width="25.42578125" style="104" customWidth="1"/>
    <col min="14" max="14" width="18.28515625" style="104" customWidth="1"/>
    <col min="15" max="17" width="9.140625" style="19"/>
    <col min="18" max="18" width="24.42578125" style="19" customWidth="1"/>
    <col min="19" max="16384" width="9.140625" style="19"/>
  </cols>
  <sheetData>
    <row r="1" spans="1:22" x14ac:dyDescent="0.25">
      <c r="A1" s="103"/>
      <c r="B1" s="103"/>
      <c r="C1" s="103"/>
      <c r="D1" s="103"/>
      <c r="E1" s="236" t="s">
        <v>15</v>
      </c>
      <c r="F1" s="236"/>
    </row>
    <row r="2" spans="1:22" x14ac:dyDescent="0.25">
      <c r="A2" s="103"/>
      <c r="B2" s="103"/>
      <c r="C2" s="103"/>
      <c r="D2" s="103"/>
      <c r="E2" s="103"/>
      <c r="F2" s="105" t="str">
        <f>"к договору микрозайма "&amp;'Общие данные'!B74&amp;""</f>
        <v>к договору микрозайма 20 yanvar 2025 y.dan №134</v>
      </c>
    </row>
    <row r="3" spans="1:22" ht="19.5" customHeight="1" x14ac:dyDescent="0.25">
      <c r="A3" s="103"/>
      <c r="B3" s="103"/>
      <c r="C3" s="103"/>
      <c r="D3" s="103"/>
      <c r="E3" s="103"/>
      <c r="F3" s="103"/>
      <c r="H3" s="106"/>
      <c r="I3" s="106"/>
      <c r="J3" s="107"/>
      <c r="K3" s="107"/>
    </row>
    <row r="4" spans="1:22" ht="19.5" customHeight="1" x14ac:dyDescent="0.25">
      <c r="A4" s="237" t="s">
        <v>16</v>
      </c>
      <c r="B4" s="237"/>
      <c r="C4" s="237"/>
      <c r="D4" s="237"/>
      <c r="E4" s="237"/>
      <c r="F4" s="237"/>
      <c r="H4" s="106"/>
      <c r="I4" s="106"/>
      <c r="J4" s="106"/>
      <c r="K4" s="106"/>
    </row>
    <row r="5" spans="1:22" ht="19.5" customHeight="1" x14ac:dyDescent="0.25">
      <c r="L5" s="104">
        <f>'Общие данные'!B81</f>
        <v>36</v>
      </c>
    </row>
    <row r="6" spans="1:22" x14ac:dyDescent="0.25">
      <c r="A6" s="238" t="s">
        <v>14</v>
      </c>
      <c r="B6" s="239" t="s">
        <v>8</v>
      </c>
      <c r="C6" s="239" t="s">
        <v>9</v>
      </c>
      <c r="D6" s="240" t="s">
        <v>10</v>
      </c>
      <c r="E6" s="240"/>
      <c r="F6" s="240"/>
    </row>
    <row r="7" spans="1:22" s="20" customFormat="1" x14ac:dyDescent="0.25">
      <c r="A7" s="238"/>
      <c r="B7" s="239"/>
      <c r="C7" s="239"/>
      <c r="D7" s="108" t="s">
        <v>11</v>
      </c>
      <c r="E7" s="108" t="s">
        <v>12</v>
      </c>
      <c r="F7" s="108" t="s">
        <v>13</v>
      </c>
      <c r="G7" s="109"/>
      <c r="H7" s="109"/>
      <c r="I7" s="109"/>
      <c r="J7" s="109"/>
      <c r="K7" s="109"/>
      <c r="L7" s="109"/>
      <c r="M7" s="109"/>
      <c r="N7" s="109"/>
    </row>
    <row r="8" spans="1:22" x14ac:dyDescent="0.25">
      <c r="A8" s="110">
        <v>1</v>
      </c>
      <c r="B8" s="111">
        <f>'Общие данные'!B79</f>
        <v>45698</v>
      </c>
      <c r="C8" s="58">
        <f>'Общие данные'!B75</f>
        <v>200000000</v>
      </c>
      <c r="D8" s="58">
        <f>IF(IF(C8=0,L8,IF(C8&gt;1,I8))="",0,(IF(C8=0,L8,IF(C8&gt;1,I8))))</f>
        <v>5555555.5599999996</v>
      </c>
      <c r="E8" s="58">
        <f>IF(C8=0,N6,IF(C8&gt;1,L8))</f>
        <v>6904109.5199999996</v>
      </c>
      <c r="F8" s="58">
        <f>IF(C8=0,O6,IF(C8&gt;1,M8))</f>
        <v>12459665.079999998</v>
      </c>
      <c r="G8" s="124">
        <f>B8-'Общие данные'!B67</f>
        <v>21</v>
      </c>
      <c r="H8" s="104">
        <f>DATE(YEAR(B8),12,31)-DATE(YEAR(B8),1,1)+1</f>
        <v>365</v>
      </c>
      <c r="I8" s="112">
        <f>IF('Общие данные'!B83=0,ROUND(C8/L5,2),"")</f>
        <v>5555555.5599999996</v>
      </c>
      <c r="J8" s="112"/>
      <c r="K8" s="112"/>
      <c r="L8" s="106">
        <f>ROUND(C8*'Общие данные'!$B$84/H8,2)*G8</f>
        <v>6904109.5199999996</v>
      </c>
      <c r="M8" s="106">
        <f t="shared" ref="M8:M31" si="0">D8+E8</f>
        <v>12459665.079999998</v>
      </c>
      <c r="N8" s="106"/>
      <c r="O8" s="121" t="str">
        <f>TEXT(B8,"ддд")</f>
        <v>Пн</v>
      </c>
      <c r="P8" s="123">
        <f>IF(O8=$U$8,2,IF(O8=$V$8,1,0))</f>
        <v>0</v>
      </c>
      <c r="Q8" s="123">
        <f>DAY('Общие данные'!$B$78)+P8</f>
        <v>10</v>
      </c>
      <c r="R8" s="118"/>
      <c r="S8" s="119" t="s">
        <v>31</v>
      </c>
      <c r="T8" s="119" t="s">
        <v>32</v>
      </c>
      <c r="U8" s="119" t="s">
        <v>33</v>
      </c>
      <c r="V8" s="120" t="s">
        <v>34</v>
      </c>
    </row>
    <row r="9" spans="1:22" x14ac:dyDescent="0.25">
      <c r="A9" s="110">
        <v>2</v>
      </c>
      <c r="B9" s="111">
        <f>IF(A9&lt;='Общие данные'!$B$81,DATE(YEAR(R9),MONTH(R9),DAY(IF(A9='Общие данные'!$B$81,'Общие данные'!$B$67,IF(A9&lt;'Общие данные'!$B$81,(Q9),IF(A9&gt;'Общие данные'!$B$81,$H$44,0))))))</f>
        <v>45726</v>
      </c>
      <c r="C9" s="58">
        <f t="shared" ref="C9:C30" si="1">C8-D8</f>
        <v>194444444.44</v>
      </c>
      <c r="D9" s="58">
        <f t="shared" ref="D9:D30" si="2">IF(C9=0,L9,IF(C9&gt;1,I9))</f>
        <v>5555555.5599999996</v>
      </c>
      <c r="E9" s="58">
        <f t="shared" ref="E9:E30" si="3">IF(C9=0,N8,IF(C9&gt;1,L9))</f>
        <v>8949771.5999999996</v>
      </c>
      <c r="F9" s="58">
        <f t="shared" ref="F9:F30" si="4">IF(C9=0,N8,IF(C9&gt;1,M9))</f>
        <v>14505327.16</v>
      </c>
      <c r="G9" s="104">
        <f>B9-B8</f>
        <v>28</v>
      </c>
      <c r="H9" s="104">
        <f t="shared" ref="H9:H31" si="5">DATE(YEAR(B9),12,31)-DATE(YEAR(B9),1,1)+1</f>
        <v>365</v>
      </c>
      <c r="I9" s="112">
        <f>IF(I8="",ROUND(C8/(L5-1),2),I8)</f>
        <v>5555555.5599999996</v>
      </c>
      <c r="J9" s="112"/>
      <c r="K9" s="112"/>
      <c r="L9" s="106">
        <f>ROUND(C9*'Общие данные'!$B$84/H9,2)*G9</f>
        <v>8949771.5999999996</v>
      </c>
      <c r="M9" s="106">
        <f t="shared" si="0"/>
        <v>14505327.16</v>
      </c>
      <c r="N9" s="106"/>
      <c r="O9" s="121" t="str">
        <f>TEXT(R9,"ддд")</f>
        <v>Пн</v>
      </c>
      <c r="P9" s="123">
        <f t="shared" ref="P9:P31" si="6">IF(O9=$U$8,2,IF(O9=$V$8,1,0))</f>
        <v>0</v>
      </c>
      <c r="Q9" s="123">
        <f>DAY('Общие данные'!$B$78)+P9</f>
        <v>10</v>
      </c>
      <c r="R9" s="118">
        <f>IF(A9&lt;='Общие данные'!$B$81,DATE(YEAR($B$8),MONTH($B$8)+A8,DAY('Общие данные'!$B$78)),0)</f>
        <v>45726</v>
      </c>
      <c r="S9" s="104"/>
      <c r="T9" s="104"/>
      <c r="U9" s="104"/>
      <c r="V9" s="104"/>
    </row>
    <row r="10" spans="1:22" x14ac:dyDescent="0.25">
      <c r="A10" s="110">
        <v>3</v>
      </c>
      <c r="B10" s="111">
        <f>IF(A10&lt;='Общие данные'!$B$81,DATE(YEAR(R10),MONTH(R10),DAY(IF(A10='Общие данные'!$B$81,'Общие данные'!$B$67,IF(A10&lt;'Общие данные'!$B$81,(Q10),IF(A10&gt;'Общие данные'!$B$81,$H$44,0))))))</f>
        <v>45757</v>
      </c>
      <c r="C10" s="58">
        <f t="shared" si="1"/>
        <v>188888888.88</v>
      </c>
      <c r="D10" s="58">
        <f t="shared" si="2"/>
        <v>5555555.5599999996</v>
      </c>
      <c r="E10" s="58">
        <f t="shared" si="3"/>
        <v>9625570.6800000016</v>
      </c>
      <c r="F10" s="58">
        <f t="shared" si="4"/>
        <v>15181126.240000002</v>
      </c>
      <c r="G10" s="104">
        <f t="shared" ref="G10:G31" si="7">B10-B9</f>
        <v>31</v>
      </c>
      <c r="H10" s="104">
        <f t="shared" si="5"/>
        <v>365</v>
      </c>
      <c r="I10" s="112">
        <f t="shared" ref="I10:I30" si="8">IF($L$5=A10,K10,IF($L$5&gt;A10,I9))</f>
        <v>5555555.5599999996</v>
      </c>
      <c r="J10" s="112"/>
      <c r="K10" s="112"/>
      <c r="L10" s="106">
        <f>ROUND(C10*'Общие данные'!$B$84/H10,2)*G10</f>
        <v>9625570.6800000016</v>
      </c>
      <c r="M10" s="106">
        <f t="shared" si="0"/>
        <v>15181126.240000002</v>
      </c>
      <c r="N10" s="106"/>
      <c r="O10" s="121" t="str">
        <f t="shared" ref="O10:O31" si="9">TEXT(R10,"ддд")</f>
        <v>Чт</v>
      </c>
      <c r="P10" s="123">
        <f t="shared" si="6"/>
        <v>0</v>
      </c>
      <c r="Q10" s="123">
        <f>DAY('Общие данные'!$B$78)+P10</f>
        <v>10</v>
      </c>
      <c r="R10" s="118">
        <f>IF(A10&lt;='Общие данные'!$B$81,DATE(YEAR($B$8),MONTH($B$8)+A9,DAY('Общие данные'!$B$78)),0)</f>
        <v>45757</v>
      </c>
      <c r="S10" s="104"/>
      <c r="T10" s="104"/>
      <c r="U10" s="104"/>
      <c r="V10" s="104"/>
    </row>
    <row r="11" spans="1:22" x14ac:dyDescent="0.25">
      <c r="A11" s="110">
        <v>4</v>
      </c>
      <c r="B11" s="111">
        <f>IF(A11&lt;='Общие данные'!$B$81,DATE(YEAR(R11),MONTH(R11),DAY(IF(A11='Общие данные'!$B$81,'Общие данные'!$B$67,IF(A11&lt;'Общие данные'!$B$81,(Q11),IF(A11&gt;'Общие данные'!$B$81,$H$44,0))))))</f>
        <v>45789</v>
      </c>
      <c r="C11" s="58">
        <f t="shared" si="1"/>
        <v>183333333.31999999</v>
      </c>
      <c r="D11" s="58">
        <f t="shared" si="2"/>
        <v>5555555.5599999996</v>
      </c>
      <c r="E11" s="58">
        <f t="shared" si="3"/>
        <v>9643835.5199999996</v>
      </c>
      <c r="F11" s="58">
        <f t="shared" si="4"/>
        <v>15199391.079999998</v>
      </c>
      <c r="G11" s="104">
        <f t="shared" si="7"/>
        <v>32</v>
      </c>
      <c r="H11" s="104">
        <f t="shared" si="5"/>
        <v>365</v>
      </c>
      <c r="I11" s="112">
        <f t="shared" si="8"/>
        <v>5555555.5599999996</v>
      </c>
      <c r="J11" s="112"/>
      <c r="K11" s="112"/>
      <c r="L11" s="106">
        <f>ROUND(C11*'Общие данные'!$B$84/H11,2)*G11</f>
        <v>9643835.5199999996</v>
      </c>
      <c r="M11" s="106">
        <f t="shared" si="0"/>
        <v>15199391.079999998</v>
      </c>
      <c r="N11" s="106"/>
      <c r="O11" s="121" t="str">
        <f t="shared" si="9"/>
        <v>Сб</v>
      </c>
      <c r="P11" s="123">
        <f t="shared" si="6"/>
        <v>2</v>
      </c>
      <c r="Q11" s="123">
        <f>DAY('Общие данные'!$B$78)+P11</f>
        <v>12</v>
      </c>
      <c r="R11" s="118">
        <f>IF(A11&lt;='Общие данные'!$B$81,DATE(YEAR($B$8),MONTH($B$8)+A10,DAY('Общие данные'!$B$78)),0)</f>
        <v>45787</v>
      </c>
      <c r="S11" s="104"/>
      <c r="T11" s="104"/>
      <c r="U11" s="104"/>
      <c r="V11" s="104"/>
    </row>
    <row r="12" spans="1:22" x14ac:dyDescent="0.25">
      <c r="A12" s="110">
        <v>5</v>
      </c>
      <c r="B12" s="111">
        <f>IF(A12&lt;='Общие данные'!$B$81,DATE(YEAR(R12),MONTH(R12),DAY(IF(A12='Общие данные'!$B$81,'Общие данные'!$B$67,IF(A12&lt;'Общие данные'!$B$81,(Q12),IF(A12&gt;'Общие данные'!$B$81,$H$44,0))))))</f>
        <v>45818</v>
      </c>
      <c r="C12" s="58">
        <f t="shared" si="1"/>
        <v>177777777.75999999</v>
      </c>
      <c r="D12" s="58">
        <f t="shared" si="2"/>
        <v>5555555.5599999996</v>
      </c>
      <c r="E12" s="58">
        <f t="shared" si="3"/>
        <v>8474885.7599999998</v>
      </c>
      <c r="F12" s="58">
        <f t="shared" si="4"/>
        <v>14030441.32</v>
      </c>
      <c r="G12" s="104">
        <f t="shared" si="7"/>
        <v>29</v>
      </c>
      <c r="H12" s="104">
        <f t="shared" si="5"/>
        <v>365</v>
      </c>
      <c r="I12" s="112">
        <f t="shared" si="8"/>
        <v>5555555.5599999996</v>
      </c>
      <c r="J12" s="112">
        <f>'Общие данные'!B75</f>
        <v>200000000</v>
      </c>
      <c r="K12" s="112"/>
      <c r="L12" s="106">
        <f>ROUND(C12*'Общие данные'!$B$84/H12,2)*G12</f>
        <v>8474885.7599999998</v>
      </c>
      <c r="M12" s="106">
        <f t="shared" si="0"/>
        <v>14030441.32</v>
      </c>
      <c r="N12" s="106"/>
      <c r="O12" s="121" t="str">
        <f t="shared" si="9"/>
        <v>Вт</v>
      </c>
      <c r="P12" s="123">
        <f t="shared" si="6"/>
        <v>0</v>
      </c>
      <c r="Q12" s="123">
        <f>DAY('Общие данные'!$B$78)+P12</f>
        <v>10</v>
      </c>
      <c r="R12" s="118">
        <f>IF(A12&lt;='Общие данные'!$B$81,DATE(YEAR($B$8),MONTH($B$8)+A11,DAY('Общие данные'!$B$78)),0)</f>
        <v>45818</v>
      </c>
      <c r="S12" s="104"/>
      <c r="T12" s="104"/>
      <c r="U12" s="104"/>
      <c r="V12" s="104"/>
    </row>
    <row r="13" spans="1:22" x14ac:dyDescent="0.25">
      <c r="A13" s="110">
        <v>6</v>
      </c>
      <c r="B13" s="111">
        <f>IF(A13&lt;='Общие данные'!$B$81,DATE(YEAR(R13),MONTH(R13),DAY(IF(A13='Общие данные'!$B$81,'Общие данные'!$B$67,IF(A13&lt;'Общие данные'!$B$81,(Q13),IF(A13&gt;'Общие данные'!$B$81,$H$44,0))))))</f>
        <v>45848</v>
      </c>
      <c r="C13" s="58">
        <f t="shared" si="1"/>
        <v>172222222.19999999</v>
      </c>
      <c r="D13" s="58">
        <f t="shared" si="2"/>
        <v>5555555.5599999996</v>
      </c>
      <c r="E13" s="58">
        <f t="shared" si="3"/>
        <v>8493150.6000000015</v>
      </c>
      <c r="F13" s="58">
        <f t="shared" si="4"/>
        <v>14048706.16</v>
      </c>
      <c r="G13" s="104">
        <f t="shared" si="7"/>
        <v>30</v>
      </c>
      <c r="H13" s="104">
        <f t="shared" si="5"/>
        <v>365</v>
      </c>
      <c r="I13" s="112">
        <f t="shared" si="8"/>
        <v>5555555.5599999996</v>
      </c>
      <c r="J13" s="112">
        <f>SUM($I$8:I12)</f>
        <v>27777777.799999997</v>
      </c>
      <c r="K13" s="112">
        <f>$J$12-J13</f>
        <v>172222222.19999999</v>
      </c>
      <c r="L13" s="106">
        <f>ROUND(C13*'Общие данные'!$B$84/H13,2)*G13</f>
        <v>8493150.6000000015</v>
      </c>
      <c r="M13" s="106">
        <f t="shared" si="0"/>
        <v>14048706.16</v>
      </c>
      <c r="N13" s="106"/>
      <c r="O13" s="121" t="str">
        <f t="shared" si="9"/>
        <v>Чт</v>
      </c>
      <c r="P13" s="123">
        <f t="shared" si="6"/>
        <v>0</v>
      </c>
      <c r="Q13" s="123">
        <f>DAY('Общие данные'!$B$78)+P13</f>
        <v>10</v>
      </c>
      <c r="R13" s="118">
        <f>IF(A13&lt;='Общие данные'!$B$81,DATE(YEAR($B$8),MONTH($B$8)+A12,DAY('Общие данные'!$B$78)),0)</f>
        <v>45848</v>
      </c>
      <c r="S13" s="104"/>
      <c r="T13" s="104"/>
      <c r="U13" s="104"/>
      <c r="V13" s="104"/>
    </row>
    <row r="14" spans="1:22" x14ac:dyDescent="0.25">
      <c r="A14" s="110">
        <v>7</v>
      </c>
      <c r="B14" s="111">
        <f>IF(A14&lt;='Общие данные'!$B$81,DATE(YEAR(R14),MONTH(R14),DAY(IF(A14='Общие данные'!$B$81,'Общие данные'!$B$67,IF(A14&lt;'Общие данные'!$B$81,(Q14),IF(A14&gt;'Общие данные'!$B$81,$H$44,0))))))</f>
        <v>45880</v>
      </c>
      <c r="C14" s="58">
        <f t="shared" si="1"/>
        <v>166666666.63999999</v>
      </c>
      <c r="D14" s="58">
        <f t="shared" si="2"/>
        <v>5555555.5599999996</v>
      </c>
      <c r="E14" s="58">
        <f t="shared" si="3"/>
        <v>8767123.1999999993</v>
      </c>
      <c r="F14" s="58">
        <f t="shared" si="4"/>
        <v>14322678.759999998</v>
      </c>
      <c r="G14" s="104">
        <f t="shared" si="7"/>
        <v>32</v>
      </c>
      <c r="H14" s="104">
        <f t="shared" si="5"/>
        <v>365</v>
      </c>
      <c r="I14" s="112">
        <f t="shared" si="8"/>
        <v>5555555.5599999996</v>
      </c>
      <c r="J14" s="112">
        <f>SUM($I$8:I13)</f>
        <v>33333333.359999996</v>
      </c>
      <c r="K14" s="112">
        <f t="shared" ref="K14:K31" si="10">$J$12-J14</f>
        <v>166666666.64000002</v>
      </c>
      <c r="L14" s="106">
        <f>ROUND(C14*'Общие данные'!$B$84/H14,2)*G14</f>
        <v>8767123.1999999993</v>
      </c>
      <c r="M14" s="106">
        <f t="shared" si="0"/>
        <v>14322678.759999998</v>
      </c>
      <c r="N14" s="106"/>
      <c r="O14" s="121" t="str">
        <f t="shared" si="9"/>
        <v>Вс</v>
      </c>
      <c r="P14" s="123">
        <f t="shared" si="6"/>
        <v>1</v>
      </c>
      <c r="Q14" s="123">
        <f>DAY('Общие данные'!$B$78)+P14</f>
        <v>11</v>
      </c>
      <c r="R14" s="118">
        <f>IF(A14&lt;='Общие данные'!$B$81,DATE(YEAR($B$8),MONTH($B$8)+A13,DAY('Общие данные'!$B$78)),0)</f>
        <v>45879</v>
      </c>
      <c r="S14" s="104"/>
      <c r="T14" s="104"/>
      <c r="U14" s="104"/>
      <c r="V14" s="104"/>
    </row>
    <row r="15" spans="1:22" x14ac:dyDescent="0.25">
      <c r="A15" s="110">
        <v>8</v>
      </c>
      <c r="B15" s="111">
        <f>IF(A15&lt;='Общие данные'!$B$81,DATE(YEAR(R15),MONTH(R15),DAY(IF(A15='Общие данные'!$B$81,'Общие данные'!$B$67,IF(A15&lt;'Общие данные'!$B$81,(Q15),IF(A15&gt;'Общие данные'!$B$81,$H$44,0))))))</f>
        <v>45910</v>
      </c>
      <c r="C15" s="58">
        <f t="shared" si="1"/>
        <v>161111111.07999998</v>
      </c>
      <c r="D15" s="58">
        <f t="shared" si="2"/>
        <v>5555555.5599999996</v>
      </c>
      <c r="E15" s="58">
        <f t="shared" si="3"/>
        <v>7945205.3999999994</v>
      </c>
      <c r="F15" s="58">
        <f t="shared" si="4"/>
        <v>13500760.959999999</v>
      </c>
      <c r="G15" s="104">
        <f t="shared" si="7"/>
        <v>30</v>
      </c>
      <c r="H15" s="104">
        <f t="shared" si="5"/>
        <v>365</v>
      </c>
      <c r="I15" s="112">
        <f t="shared" si="8"/>
        <v>5555555.5599999996</v>
      </c>
      <c r="J15" s="112">
        <f>SUM($I$8:I14)</f>
        <v>38888888.919999994</v>
      </c>
      <c r="K15" s="112">
        <f t="shared" si="10"/>
        <v>161111111.08000001</v>
      </c>
      <c r="L15" s="106">
        <f>ROUND(C15*'Общие данные'!$B$84/H15,2)*G15</f>
        <v>7945205.3999999994</v>
      </c>
      <c r="M15" s="106">
        <f t="shared" si="0"/>
        <v>13500760.959999999</v>
      </c>
      <c r="N15" s="106"/>
      <c r="O15" s="121" t="str">
        <f t="shared" si="9"/>
        <v>Ср</v>
      </c>
      <c r="P15" s="123">
        <f t="shared" si="6"/>
        <v>0</v>
      </c>
      <c r="Q15" s="123">
        <f>DAY('Общие данные'!$B$78)+P15</f>
        <v>10</v>
      </c>
      <c r="R15" s="118">
        <f>IF(A15&lt;='Общие данные'!$B$81,DATE(YEAR($B$8),MONTH($B$8)+A14,DAY('Общие данные'!$B$78)),0)</f>
        <v>45910</v>
      </c>
      <c r="S15" s="104"/>
      <c r="T15" s="104"/>
      <c r="U15" s="104"/>
      <c r="V15" s="104"/>
    </row>
    <row r="16" spans="1:22" x14ac:dyDescent="0.25">
      <c r="A16" s="110">
        <v>9</v>
      </c>
      <c r="B16" s="111">
        <f>IF(A16&lt;='Общие данные'!$B$81,DATE(YEAR(R16),MONTH(R16),DAY(IF(A16='Общие данные'!$B$81,'Общие данные'!$B$67,IF(A16&lt;'Общие данные'!$B$81,(Q16),IF(A16&gt;'Общие данные'!$B$81,$H$44,0))))))</f>
        <v>45940</v>
      </c>
      <c r="C16" s="58">
        <f t="shared" si="1"/>
        <v>155555555.51999998</v>
      </c>
      <c r="D16" s="58">
        <f t="shared" si="2"/>
        <v>5555555.5599999996</v>
      </c>
      <c r="E16" s="58">
        <f t="shared" si="3"/>
        <v>7671232.8000000007</v>
      </c>
      <c r="F16" s="58">
        <f t="shared" si="4"/>
        <v>13226788.359999999</v>
      </c>
      <c r="G16" s="104">
        <f t="shared" si="7"/>
        <v>30</v>
      </c>
      <c r="H16" s="104">
        <f t="shared" si="5"/>
        <v>365</v>
      </c>
      <c r="I16" s="112">
        <f t="shared" si="8"/>
        <v>5555555.5599999996</v>
      </c>
      <c r="J16" s="112">
        <f>SUM($I$8:I15)</f>
        <v>44444444.479999997</v>
      </c>
      <c r="K16" s="112">
        <f t="shared" si="10"/>
        <v>155555555.52000001</v>
      </c>
      <c r="L16" s="106">
        <f>ROUND(C16*'Общие данные'!$B$84/H16,2)*G16</f>
        <v>7671232.8000000007</v>
      </c>
      <c r="M16" s="106">
        <f t="shared" si="0"/>
        <v>13226788.359999999</v>
      </c>
      <c r="N16" s="106"/>
      <c r="O16" s="121" t="str">
        <f t="shared" si="9"/>
        <v>Пт</v>
      </c>
      <c r="P16" s="123">
        <f t="shared" si="6"/>
        <v>0</v>
      </c>
      <c r="Q16" s="123">
        <f>DAY('Общие данные'!$B$78)+P16</f>
        <v>10</v>
      </c>
      <c r="R16" s="118">
        <f>IF(A16&lt;='Общие данные'!$B$81,DATE(YEAR($B$8),MONTH($B$8)+A15,DAY('Общие данные'!$B$78)),0)</f>
        <v>45940</v>
      </c>
      <c r="S16" s="104"/>
      <c r="T16" s="104"/>
      <c r="U16" s="104"/>
      <c r="V16" s="104"/>
    </row>
    <row r="17" spans="1:22" x14ac:dyDescent="0.25">
      <c r="A17" s="110">
        <v>10</v>
      </c>
      <c r="B17" s="111">
        <f>IF(A17&lt;='Общие данные'!$B$81,DATE(YEAR(R17),MONTH(R17),DAY(IF(A17='Общие данные'!$B$81,'Общие данные'!$B$67,IF(A17&lt;'Общие данные'!$B$81,(Q17),IF(A17&gt;'Общие данные'!$B$81,$H$44,0))))))</f>
        <v>45971</v>
      </c>
      <c r="C17" s="58">
        <f t="shared" si="1"/>
        <v>149999999.95999998</v>
      </c>
      <c r="D17" s="58">
        <f t="shared" si="2"/>
        <v>5555555.5599999996</v>
      </c>
      <c r="E17" s="58">
        <f t="shared" si="3"/>
        <v>7643835.54</v>
      </c>
      <c r="F17" s="58">
        <f t="shared" si="4"/>
        <v>13199391.1</v>
      </c>
      <c r="G17" s="104">
        <f t="shared" si="7"/>
        <v>31</v>
      </c>
      <c r="H17" s="104">
        <f t="shared" si="5"/>
        <v>365</v>
      </c>
      <c r="I17" s="112">
        <f t="shared" si="8"/>
        <v>5555555.5599999996</v>
      </c>
      <c r="J17" s="112">
        <f>SUM($I$8:I16)</f>
        <v>50000000.039999999</v>
      </c>
      <c r="K17" s="112">
        <f>$J$12-J17</f>
        <v>149999999.96000001</v>
      </c>
      <c r="L17" s="106">
        <f>ROUND(C17*'Общие данные'!$B$84/H17,2)*G17</f>
        <v>7643835.54</v>
      </c>
      <c r="M17" s="106">
        <f t="shared" si="0"/>
        <v>13199391.1</v>
      </c>
      <c r="N17" s="106"/>
      <c r="O17" s="121" t="str">
        <f t="shared" si="9"/>
        <v>Пн</v>
      </c>
      <c r="P17" s="123">
        <f t="shared" si="6"/>
        <v>0</v>
      </c>
      <c r="Q17" s="123">
        <f>DAY('Общие данные'!$B$78)+P17</f>
        <v>10</v>
      </c>
      <c r="R17" s="118">
        <f>IF(A17&lt;='Общие данные'!$B$81,DATE(YEAR($B$8),MONTH($B$8)+A16,DAY('Общие данные'!$B$78)),0)</f>
        <v>45971</v>
      </c>
      <c r="S17" s="104"/>
      <c r="T17" s="104"/>
      <c r="U17" s="104"/>
      <c r="V17" s="104"/>
    </row>
    <row r="18" spans="1:22" x14ac:dyDescent="0.25">
      <c r="A18" s="110">
        <v>11</v>
      </c>
      <c r="B18" s="111">
        <f>IF(A18&lt;='Общие данные'!$B$81,DATE(YEAR(R18),MONTH(R18),DAY(IF(A18='Общие данные'!$B$81,'Общие данные'!$B$67,IF(A18&lt;'Общие данные'!$B$81,(Q18),IF(A18&gt;'Общие данные'!$B$81,$H$44,0))))))</f>
        <v>46001</v>
      </c>
      <c r="C18" s="58">
        <f t="shared" si="1"/>
        <v>144444444.39999998</v>
      </c>
      <c r="D18" s="58">
        <f t="shared" si="2"/>
        <v>5555555.5599999996</v>
      </c>
      <c r="E18" s="58">
        <f t="shared" si="3"/>
        <v>7123287.6000000006</v>
      </c>
      <c r="F18" s="58">
        <f t="shared" si="4"/>
        <v>12678843.16</v>
      </c>
      <c r="G18" s="104">
        <f t="shared" si="7"/>
        <v>30</v>
      </c>
      <c r="H18" s="104">
        <f t="shared" si="5"/>
        <v>365</v>
      </c>
      <c r="I18" s="112">
        <f t="shared" si="8"/>
        <v>5555555.5599999996</v>
      </c>
      <c r="J18" s="112">
        <f>SUM($I$8:I17)</f>
        <v>55555555.600000001</v>
      </c>
      <c r="K18" s="112">
        <f t="shared" si="10"/>
        <v>144444444.40000001</v>
      </c>
      <c r="L18" s="106">
        <f>ROUND(C18*'Общие данные'!$B$84/H18,2)*G18</f>
        <v>7123287.6000000006</v>
      </c>
      <c r="M18" s="106">
        <f t="shared" si="0"/>
        <v>12678843.16</v>
      </c>
      <c r="N18" s="106"/>
      <c r="O18" s="121" t="str">
        <f t="shared" si="9"/>
        <v>Ср</v>
      </c>
      <c r="P18" s="123">
        <f t="shared" si="6"/>
        <v>0</v>
      </c>
      <c r="Q18" s="123">
        <f>DAY('Общие данные'!$B$78)+P18</f>
        <v>10</v>
      </c>
      <c r="R18" s="118">
        <f>IF(A18&lt;='Общие данные'!$B$81,DATE(YEAR($B$8),MONTH($B$8)+A17,DAY('Общие данные'!$B$78)),0)</f>
        <v>46001</v>
      </c>
      <c r="S18" s="104"/>
      <c r="T18" s="104"/>
      <c r="U18" s="104"/>
      <c r="V18" s="104"/>
    </row>
    <row r="19" spans="1:22" x14ac:dyDescent="0.25">
      <c r="A19" s="110">
        <v>12</v>
      </c>
      <c r="B19" s="111">
        <f>IF(A19&lt;='Общие данные'!$B$81,DATE(YEAR(R19),MONTH(R19),DAY(IF(A19='Общие данные'!$B$81,'Общие данные'!$B$67,IF(A19&lt;'Общие данные'!$B$81,(Q19),IF(A19&gt;'Общие данные'!$B$81,$H$44,0))))))</f>
        <v>46034</v>
      </c>
      <c r="C19" s="58">
        <f t="shared" si="1"/>
        <v>138888888.83999997</v>
      </c>
      <c r="D19" s="58">
        <f t="shared" si="2"/>
        <v>5555555.5599999996</v>
      </c>
      <c r="E19" s="58">
        <f t="shared" si="3"/>
        <v>7534246.5</v>
      </c>
      <c r="F19" s="58">
        <f t="shared" si="4"/>
        <v>13089802.059999999</v>
      </c>
      <c r="G19" s="104">
        <f t="shared" si="7"/>
        <v>33</v>
      </c>
      <c r="H19" s="104">
        <f t="shared" si="5"/>
        <v>365</v>
      </c>
      <c r="I19" s="112">
        <f t="shared" si="8"/>
        <v>5555555.5599999996</v>
      </c>
      <c r="J19" s="112">
        <f>SUM($I$8:I18)</f>
        <v>61111111.160000004</v>
      </c>
      <c r="K19" s="112">
        <f t="shared" si="10"/>
        <v>138888888.84</v>
      </c>
      <c r="L19" s="106">
        <f>ROUND(C19*'Общие данные'!$B$84/H19,2)*G19</f>
        <v>7534246.5</v>
      </c>
      <c r="M19" s="106">
        <f t="shared" si="0"/>
        <v>13089802.059999999</v>
      </c>
      <c r="N19" s="106"/>
      <c r="O19" s="121" t="str">
        <f t="shared" si="9"/>
        <v>Сб</v>
      </c>
      <c r="P19" s="123">
        <f t="shared" si="6"/>
        <v>2</v>
      </c>
      <c r="Q19" s="123">
        <f>DAY('Общие данные'!$B$78)+P19</f>
        <v>12</v>
      </c>
      <c r="R19" s="118">
        <f>IF(A19&lt;='Общие данные'!$B$81,DATE(YEAR($B$8),MONTH($B$8)+A18,DAY('Общие данные'!$B$78)),0)</f>
        <v>46032</v>
      </c>
      <c r="S19" s="104"/>
      <c r="T19" s="104"/>
      <c r="U19" s="104"/>
      <c r="V19" s="104"/>
    </row>
    <row r="20" spans="1:22" x14ac:dyDescent="0.25">
      <c r="A20" s="110">
        <v>13</v>
      </c>
      <c r="B20" s="111">
        <f>IF(A20&lt;='Общие данные'!$B$81,DATE(YEAR(R20),MONTH(R20),DAY(IF(A20='Общие данные'!$B$81,'Общие данные'!$B$67,IF(A20&lt;'Общие данные'!$B$81,(Q20),IF(A20&gt;'Общие данные'!$B$81,$H$44,0))))))</f>
        <v>46063</v>
      </c>
      <c r="C20" s="58">
        <f t="shared" si="1"/>
        <v>133333333.27999997</v>
      </c>
      <c r="D20" s="58">
        <f t="shared" si="2"/>
        <v>5555555.5599999996</v>
      </c>
      <c r="E20" s="58">
        <f t="shared" si="3"/>
        <v>6356164.3199999994</v>
      </c>
      <c r="F20" s="58">
        <f t="shared" si="4"/>
        <v>11911719.879999999</v>
      </c>
      <c r="G20" s="104">
        <f t="shared" si="7"/>
        <v>29</v>
      </c>
      <c r="H20" s="104">
        <f t="shared" si="5"/>
        <v>365</v>
      </c>
      <c r="I20" s="112">
        <f t="shared" si="8"/>
        <v>5555555.5599999996</v>
      </c>
      <c r="J20" s="112">
        <f>SUM($I$8:I19)</f>
        <v>66666666.720000006</v>
      </c>
      <c r="K20" s="112">
        <f>$J$12-J20</f>
        <v>133333333.28</v>
      </c>
      <c r="L20" s="106">
        <f>ROUND(C20*'Общие данные'!$B$84/H20,2)*G20</f>
        <v>6356164.3199999994</v>
      </c>
      <c r="M20" s="106">
        <f t="shared" si="0"/>
        <v>11911719.879999999</v>
      </c>
      <c r="N20" s="106"/>
      <c r="O20" s="121" t="str">
        <f t="shared" si="9"/>
        <v>Вт</v>
      </c>
      <c r="P20" s="123">
        <f t="shared" si="6"/>
        <v>0</v>
      </c>
      <c r="Q20" s="123">
        <f>DAY('Общие данные'!$B$78)+P20</f>
        <v>10</v>
      </c>
      <c r="R20" s="118">
        <f>IF(A20&lt;='Общие данные'!$B$81,DATE(YEAR($B$8),MONTH($B$8)+A19,DAY('Общие данные'!$B$78)),0)</f>
        <v>46063</v>
      </c>
      <c r="S20" s="104"/>
      <c r="T20" s="104"/>
      <c r="U20" s="104"/>
      <c r="V20" s="104"/>
    </row>
    <row r="21" spans="1:22" x14ac:dyDescent="0.25">
      <c r="A21" s="110">
        <v>14</v>
      </c>
      <c r="B21" s="111">
        <f>IF(A21&lt;='Общие данные'!$B$81,DATE(YEAR(R21),MONTH(R21),DAY(IF(A21='Общие данные'!$B$81,'Общие данные'!$B$67,IF(A21&lt;'Общие данные'!$B$81,(Q21),IF(A21&gt;'Общие данные'!$B$81,$H$44,0))))))</f>
        <v>46091</v>
      </c>
      <c r="C21" s="58">
        <f t="shared" si="1"/>
        <v>127777777.71999997</v>
      </c>
      <c r="D21" s="58">
        <f t="shared" si="2"/>
        <v>5555555.5599999996</v>
      </c>
      <c r="E21" s="58">
        <f t="shared" si="3"/>
        <v>5881278.4800000004</v>
      </c>
      <c r="F21" s="58">
        <f t="shared" si="4"/>
        <v>11436834.039999999</v>
      </c>
      <c r="G21" s="104">
        <f t="shared" si="7"/>
        <v>28</v>
      </c>
      <c r="H21" s="104">
        <f t="shared" si="5"/>
        <v>365</v>
      </c>
      <c r="I21" s="112">
        <f t="shared" si="8"/>
        <v>5555555.5599999996</v>
      </c>
      <c r="J21" s="112">
        <f>SUM($I$8:I20)</f>
        <v>72222222.280000001</v>
      </c>
      <c r="K21" s="112">
        <f t="shared" si="10"/>
        <v>127777777.72</v>
      </c>
      <c r="L21" s="106">
        <f>ROUND(C21*'Общие данные'!$B$84/H21,2)*G21</f>
        <v>5881278.4800000004</v>
      </c>
      <c r="M21" s="106">
        <f t="shared" si="0"/>
        <v>11436834.039999999</v>
      </c>
      <c r="N21" s="106"/>
      <c r="O21" s="121" t="str">
        <f t="shared" si="9"/>
        <v>Вт</v>
      </c>
      <c r="P21" s="123">
        <f t="shared" si="6"/>
        <v>0</v>
      </c>
      <c r="Q21" s="123">
        <f>DAY('Общие данные'!$B$78)+P21</f>
        <v>10</v>
      </c>
      <c r="R21" s="118">
        <f>IF(A21&lt;='Общие данные'!$B$81,DATE(YEAR($B$8),MONTH($B$8)+A20,DAY('Общие данные'!$B$78)),0)</f>
        <v>46091</v>
      </c>
      <c r="S21" s="104"/>
      <c r="T21" s="104"/>
      <c r="U21" s="104"/>
      <c r="V21" s="104"/>
    </row>
    <row r="22" spans="1:22" x14ac:dyDescent="0.25">
      <c r="A22" s="110">
        <v>15</v>
      </c>
      <c r="B22" s="111">
        <f>IF(A22&lt;='Общие данные'!$B$81,DATE(YEAR(R22),MONTH(R22),DAY(IF(A22='Общие данные'!$B$81,'Общие данные'!$B$67,IF(A22&lt;'Общие данные'!$B$81,(Q22),IF(A22&gt;'Общие данные'!$B$81,$H$44,0))))))</f>
        <v>46122</v>
      </c>
      <c r="C22" s="58">
        <f t="shared" si="1"/>
        <v>122222222.15999997</v>
      </c>
      <c r="D22" s="58">
        <f t="shared" si="2"/>
        <v>5555555.5599999996</v>
      </c>
      <c r="E22" s="58">
        <f t="shared" si="3"/>
        <v>6228310.4399999995</v>
      </c>
      <c r="F22" s="58">
        <f t="shared" si="4"/>
        <v>11783866</v>
      </c>
      <c r="G22" s="104">
        <f t="shared" si="7"/>
        <v>31</v>
      </c>
      <c r="H22" s="104">
        <f t="shared" si="5"/>
        <v>365</v>
      </c>
      <c r="I22" s="112">
        <f t="shared" si="8"/>
        <v>5555555.5599999996</v>
      </c>
      <c r="J22" s="112">
        <f>SUM($I$8:I21)</f>
        <v>77777777.840000004</v>
      </c>
      <c r="K22" s="112">
        <f t="shared" si="10"/>
        <v>122222222.16</v>
      </c>
      <c r="L22" s="106">
        <f>ROUND(C22*'Общие данные'!$B$84/H22,2)*G22</f>
        <v>6228310.4399999995</v>
      </c>
      <c r="M22" s="106">
        <f t="shared" si="0"/>
        <v>11783866</v>
      </c>
      <c r="N22" s="106"/>
      <c r="O22" s="121" t="str">
        <f t="shared" si="9"/>
        <v>Пт</v>
      </c>
      <c r="P22" s="123">
        <f t="shared" si="6"/>
        <v>0</v>
      </c>
      <c r="Q22" s="123">
        <f>DAY('Общие данные'!$B$78)+P22</f>
        <v>10</v>
      </c>
      <c r="R22" s="118">
        <f>IF(A22&lt;='Общие данные'!$B$81,DATE(YEAR($B$8),MONTH($B$8)+A21,DAY('Общие данные'!$B$78)),0)</f>
        <v>46122</v>
      </c>
      <c r="S22" s="104"/>
      <c r="T22" s="104"/>
      <c r="U22" s="104"/>
      <c r="V22" s="104"/>
    </row>
    <row r="23" spans="1:22" x14ac:dyDescent="0.25">
      <c r="A23" s="110">
        <v>16</v>
      </c>
      <c r="B23" s="111">
        <f>IF(A23&lt;='Общие данные'!$B$81,DATE(YEAR(R23),MONTH(R23),DAY(IF(A23='Общие данные'!$B$81,'Общие данные'!$B$67,IF(A23&lt;'Общие данные'!$B$81,(Q23),IF(A23&gt;'Общие данные'!$B$81,$H$44,0))))))</f>
        <v>46153</v>
      </c>
      <c r="C23" s="58">
        <f t="shared" si="1"/>
        <v>116666666.59999996</v>
      </c>
      <c r="D23" s="58">
        <f t="shared" si="2"/>
        <v>5555555.5599999996</v>
      </c>
      <c r="E23" s="58">
        <f t="shared" si="3"/>
        <v>5945205.4199999999</v>
      </c>
      <c r="F23" s="58">
        <f t="shared" si="4"/>
        <v>11500760.98</v>
      </c>
      <c r="G23" s="104">
        <f t="shared" si="7"/>
        <v>31</v>
      </c>
      <c r="H23" s="104">
        <f t="shared" si="5"/>
        <v>365</v>
      </c>
      <c r="I23" s="112">
        <f t="shared" si="8"/>
        <v>5555555.5599999996</v>
      </c>
      <c r="J23" s="112">
        <f>SUM($I$8:I22)</f>
        <v>83333333.400000006</v>
      </c>
      <c r="K23" s="112">
        <f t="shared" si="10"/>
        <v>116666666.59999999</v>
      </c>
      <c r="L23" s="106">
        <f>ROUND(C23*'Общие данные'!$B$84/H23,2)*G23</f>
        <v>5945205.4199999999</v>
      </c>
      <c r="M23" s="106">
        <f t="shared" si="0"/>
        <v>11500760.98</v>
      </c>
      <c r="N23" s="106"/>
      <c r="O23" s="121" t="str">
        <f t="shared" si="9"/>
        <v>Вс</v>
      </c>
      <c r="P23" s="123">
        <f t="shared" si="6"/>
        <v>1</v>
      </c>
      <c r="Q23" s="123">
        <f>DAY('Общие данные'!$B$78)+P23</f>
        <v>11</v>
      </c>
      <c r="R23" s="118">
        <f>IF(A23&lt;='Общие данные'!$B$81,DATE(YEAR($B$8),MONTH($B$8)+A22,DAY('Общие данные'!$B$78)),0)</f>
        <v>46152</v>
      </c>
      <c r="S23" s="104"/>
      <c r="T23" s="104"/>
      <c r="U23" s="104"/>
      <c r="V23" s="104"/>
    </row>
    <row r="24" spans="1:22" x14ac:dyDescent="0.25">
      <c r="A24" s="110">
        <v>17</v>
      </c>
      <c r="B24" s="111">
        <f>IF(A24&lt;='Общие данные'!$B$81,DATE(YEAR(R24),MONTH(R24),DAY(IF(A24='Общие данные'!$B$81,'Общие данные'!$B$67,IF(A24&lt;'Общие данные'!$B$81,(Q24),IF(A24&gt;'Общие данные'!$B$81,$H$44,0))))))</f>
        <v>46183</v>
      </c>
      <c r="C24" s="58">
        <f t="shared" si="1"/>
        <v>111111111.03999996</v>
      </c>
      <c r="D24" s="58">
        <f t="shared" si="2"/>
        <v>5555555.5599999996</v>
      </c>
      <c r="E24" s="58">
        <f t="shared" si="3"/>
        <v>5479452</v>
      </c>
      <c r="F24" s="58">
        <f t="shared" si="4"/>
        <v>11035007.559999999</v>
      </c>
      <c r="G24" s="104">
        <f t="shared" si="7"/>
        <v>30</v>
      </c>
      <c r="H24" s="104">
        <f t="shared" si="5"/>
        <v>365</v>
      </c>
      <c r="I24" s="112">
        <f t="shared" si="8"/>
        <v>5555555.5599999996</v>
      </c>
      <c r="J24" s="112">
        <f>SUM($I$8:I23)</f>
        <v>88888888.960000008</v>
      </c>
      <c r="K24" s="112">
        <f t="shared" si="10"/>
        <v>111111111.03999999</v>
      </c>
      <c r="L24" s="106">
        <f>ROUND(C24*'Общие данные'!$B$84/H24,2)*G24</f>
        <v>5479452</v>
      </c>
      <c r="M24" s="106">
        <f t="shared" si="0"/>
        <v>11035007.559999999</v>
      </c>
      <c r="N24" s="106"/>
      <c r="O24" s="121" t="str">
        <f t="shared" si="9"/>
        <v>Ср</v>
      </c>
      <c r="P24" s="123">
        <f t="shared" si="6"/>
        <v>0</v>
      </c>
      <c r="Q24" s="123">
        <f>DAY('Общие данные'!$B$78)+P24</f>
        <v>10</v>
      </c>
      <c r="R24" s="118">
        <f>IF(A24&lt;='Общие данные'!$B$81,DATE(YEAR($B$8),MONTH($B$8)+A23,DAY('Общие данные'!$B$78)),0)</f>
        <v>46183</v>
      </c>
      <c r="S24" s="104"/>
      <c r="T24" s="104"/>
      <c r="U24" s="104"/>
      <c r="V24" s="104"/>
    </row>
    <row r="25" spans="1:22" x14ac:dyDescent="0.25">
      <c r="A25" s="110">
        <v>18</v>
      </c>
      <c r="B25" s="111">
        <f>IF(A25&lt;='Общие данные'!$B$81,DATE(YEAR(R25),MONTH(R25),DAY(IF(A25='Общие данные'!$B$81,'Общие данные'!$B$67,IF(A25&lt;'Общие данные'!$B$81,(Q25),IF(A25&gt;'Общие данные'!$B$81,$H$44,0))))))</f>
        <v>46213</v>
      </c>
      <c r="C25" s="58">
        <f t="shared" si="1"/>
        <v>105555555.47999996</v>
      </c>
      <c r="D25" s="58">
        <f t="shared" si="2"/>
        <v>5555555.5599999996</v>
      </c>
      <c r="E25" s="58">
        <f t="shared" si="3"/>
        <v>5205479.4000000004</v>
      </c>
      <c r="F25" s="58">
        <f t="shared" si="4"/>
        <v>10761034.960000001</v>
      </c>
      <c r="G25" s="104">
        <f t="shared" si="7"/>
        <v>30</v>
      </c>
      <c r="H25" s="104">
        <f t="shared" si="5"/>
        <v>365</v>
      </c>
      <c r="I25" s="112">
        <f t="shared" si="8"/>
        <v>5555555.5599999996</v>
      </c>
      <c r="J25" s="112">
        <f>SUM($I$8:I24)</f>
        <v>94444444.520000011</v>
      </c>
      <c r="K25" s="112">
        <f t="shared" si="10"/>
        <v>105555555.47999999</v>
      </c>
      <c r="L25" s="106">
        <f>ROUND(C25*'Общие данные'!$B$84/H25,2)*G25</f>
        <v>5205479.4000000004</v>
      </c>
      <c r="M25" s="106">
        <f t="shared" si="0"/>
        <v>10761034.960000001</v>
      </c>
      <c r="N25" s="106"/>
      <c r="O25" s="121" t="str">
        <f t="shared" si="9"/>
        <v>Пт</v>
      </c>
      <c r="P25" s="123">
        <f t="shared" si="6"/>
        <v>0</v>
      </c>
      <c r="Q25" s="123">
        <f>DAY('Общие данные'!$B$78)+P25</f>
        <v>10</v>
      </c>
      <c r="R25" s="118">
        <f>IF(A25&lt;='Общие данные'!$B$81,DATE(YEAR($B$8),MONTH($B$8)+A24,DAY('Общие данные'!$B$78)),0)</f>
        <v>46213</v>
      </c>
      <c r="S25" s="104"/>
      <c r="T25" s="104"/>
      <c r="U25" s="104"/>
      <c r="V25" s="104"/>
    </row>
    <row r="26" spans="1:22" x14ac:dyDescent="0.25">
      <c r="A26" s="110">
        <v>19</v>
      </c>
      <c r="B26" s="111">
        <f>IF(A26&lt;='Общие данные'!$B$81,DATE(YEAR(R26),MONTH(R26),DAY(IF(A26='Общие данные'!$B$81,'Общие данные'!$B$67,IF(A26&lt;'Общие данные'!$B$81,(Q26),IF(A26&gt;'Общие данные'!$B$81,$H$44,0))))))</f>
        <v>46244</v>
      </c>
      <c r="C26" s="58">
        <f t="shared" si="1"/>
        <v>99999999.919999957</v>
      </c>
      <c r="D26" s="58">
        <f t="shared" si="2"/>
        <v>5555555.5599999996</v>
      </c>
      <c r="E26" s="58">
        <f t="shared" si="3"/>
        <v>5095890.3600000003</v>
      </c>
      <c r="F26" s="58">
        <f t="shared" si="4"/>
        <v>10651445.92</v>
      </c>
      <c r="G26" s="104">
        <f t="shared" si="7"/>
        <v>31</v>
      </c>
      <c r="H26" s="104">
        <f t="shared" si="5"/>
        <v>365</v>
      </c>
      <c r="I26" s="112">
        <f t="shared" si="8"/>
        <v>5555555.5599999996</v>
      </c>
      <c r="J26" s="112">
        <f>SUM($I$8:I25)</f>
        <v>100000000.08000001</v>
      </c>
      <c r="K26" s="112">
        <f t="shared" si="10"/>
        <v>99999999.919999987</v>
      </c>
      <c r="L26" s="106">
        <f>ROUND(C26*'Общие данные'!$B$84/H26,2)*G26</f>
        <v>5095890.3600000003</v>
      </c>
      <c r="M26" s="106">
        <f t="shared" si="0"/>
        <v>10651445.92</v>
      </c>
      <c r="N26" s="106"/>
      <c r="O26" s="121" t="str">
        <f t="shared" si="9"/>
        <v>Пн</v>
      </c>
      <c r="P26" s="123">
        <f t="shared" si="6"/>
        <v>0</v>
      </c>
      <c r="Q26" s="123">
        <f>DAY('Общие данные'!$B$78)+P26</f>
        <v>10</v>
      </c>
      <c r="R26" s="118">
        <f>IF(A26&lt;='Общие данные'!$B$81,DATE(YEAR($B$8),MONTH($B$8)+A25,DAY('Общие данные'!$B$78)),0)</f>
        <v>46244</v>
      </c>
      <c r="S26" s="104"/>
      <c r="T26" s="104"/>
      <c r="U26" s="104"/>
      <c r="V26" s="104"/>
    </row>
    <row r="27" spans="1:22" x14ac:dyDescent="0.25">
      <c r="A27" s="110">
        <v>20</v>
      </c>
      <c r="B27" s="111">
        <f>IF(A27&lt;='Общие данные'!$B$81,DATE(YEAR(R27),MONTH(R27),DAY(IF(A27='Общие данные'!$B$81,'Общие данные'!$B$67,IF(A27&lt;'Общие данные'!$B$81,(Q27),IF(A27&gt;'Общие данные'!$B$81,$H$44,0))))))</f>
        <v>46275</v>
      </c>
      <c r="C27" s="58">
        <f t="shared" si="1"/>
        <v>94444444.359999955</v>
      </c>
      <c r="D27" s="58">
        <f t="shared" si="2"/>
        <v>5555555.5599999996</v>
      </c>
      <c r="E27" s="58">
        <f t="shared" si="3"/>
        <v>4812785.3400000008</v>
      </c>
      <c r="F27" s="58">
        <f t="shared" si="4"/>
        <v>10368340.9</v>
      </c>
      <c r="G27" s="104">
        <f t="shared" si="7"/>
        <v>31</v>
      </c>
      <c r="H27" s="104">
        <f t="shared" si="5"/>
        <v>365</v>
      </c>
      <c r="I27" s="112">
        <f t="shared" si="8"/>
        <v>5555555.5599999996</v>
      </c>
      <c r="J27" s="112">
        <f>SUM($I$8:I26)</f>
        <v>105555555.64000002</v>
      </c>
      <c r="K27" s="112">
        <f t="shared" si="10"/>
        <v>94444444.359999985</v>
      </c>
      <c r="L27" s="106">
        <f>ROUND(C27*'Общие данные'!$B$84/H27,2)*G27</f>
        <v>4812785.3400000008</v>
      </c>
      <c r="M27" s="106">
        <f t="shared" si="0"/>
        <v>10368340.9</v>
      </c>
      <c r="N27" s="106"/>
      <c r="O27" s="121" t="str">
        <f t="shared" si="9"/>
        <v>Чт</v>
      </c>
      <c r="P27" s="123">
        <f t="shared" si="6"/>
        <v>0</v>
      </c>
      <c r="Q27" s="123">
        <f>DAY('Общие данные'!$B$78)+P27</f>
        <v>10</v>
      </c>
      <c r="R27" s="118">
        <f>IF(A27&lt;='Общие данные'!$B$81,DATE(YEAR($B$8),MONTH($B$8)+A26,DAY('Общие данные'!$B$78)),0)</f>
        <v>46275</v>
      </c>
      <c r="S27" s="104"/>
      <c r="T27" s="104"/>
      <c r="U27" s="104"/>
      <c r="V27" s="104"/>
    </row>
    <row r="28" spans="1:22" x14ac:dyDescent="0.25">
      <c r="A28" s="110">
        <v>21</v>
      </c>
      <c r="B28" s="111">
        <f>IF(A28&lt;='Общие данные'!$B$81,DATE(YEAR(R28),MONTH(R28),DAY(IF(A28='Общие данные'!$B$81,'Общие данные'!$B$67,IF(A28&lt;'Общие данные'!$B$81,(Q28),IF(A28&gt;'Общие данные'!$B$81,$H$44,0))))))</f>
        <v>46307</v>
      </c>
      <c r="C28" s="58">
        <f t="shared" si="1"/>
        <v>88888888.799999952</v>
      </c>
      <c r="D28" s="58">
        <f t="shared" si="2"/>
        <v>5555555.5599999996</v>
      </c>
      <c r="E28" s="58">
        <f t="shared" si="3"/>
        <v>4675799.04</v>
      </c>
      <c r="F28" s="58">
        <f t="shared" si="4"/>
        <v>10231354.6</v>
      </c>
      <c r="G28" s="104">
        <f t="shared" si="7"/>
        <v>32</v>
      </c>
      <c r="H28" s="104">
        <f t="shared" si="5"/>
        <v>365</v>
      </c>
      <c r="I28" s="112">
        <f t="shared" si="8"/>
        <v>5555555.5599999996</v>
      </c>
      <c r="J28" s="112">
        <f>SUM($I$8:I27)</f>
        <v>111111111.20000002</v>
      </c>
      <c r="K28" s="112">
        <f t="shared" si="10"/>
        <v>88888888.799999982</v>
      </c>
      <c r="L28" s="106">
        <f>ROUND(C28*'Общие данные'!$B$84/H28,2)*G28</f>
        <v>4675799.04</v>
      </c>
      <c r="M28" s="106">
        <f t="shared" si="0"/>
        <v>10231354.6</v>
      </c>
      <c r="N28" s="106"/>
      <c r="O28" s="121" t="str">
        <f t="shared" si="9"/>
        <v>Сб</v>
      </c>
      <c r="P28" s="123">
        <f t="shared" si="6"/>
        <v>2</v>
      </c>
      <c r="Q28" s="123">
        <f>DAY('Общие данные'!$B$78)+P28</f>
        <v>12</v>
      </c>
      <c r="R28" s="118">
        <f>IF(A28&lt;='Общие данные'!$B$81,DATE(YEAR($B$8),MONTH($B$8)+A27,DAY('Общие данные'!$B$78)),0)</f>
        <v>46305</v>
      </c>
      <c r="S28" s="104"/>
      <c r="T28" s="104"/>
      <c r="U28" s="104"/>
      <c r="V28" s="104"/>
    </row>
    <row r="29" spans="1:22" x14ac:dyDescent="0.25">
      <c r="A29" s="110">
        <v>22</v>
      </c>
      <c r="B29" s="111">
        <f>IF(A29&lt;='Общие данные'!$B$81,DATE(YEAR(R29),MONTH(R29),DAY(IF(A29='Общие данные'!$B$81,'Общие данные'!$B$67,IF(A29&lt;'Общие данные'!$B$81,(Q29),IF(A29&gt;'Общие данные'!$B$81,$H$44,0))))))</f>
        <v>46336</v>
      </c>
      <c r="C29" s="58">
        <f t="shared" si="1"/>
        <v>83333333.23999995</v>
      </c>
      <c r="D29" s="58">
        <f t="shared" si="2"/>
        <v>5555555.5599999996</v>
      </c>
      <c r="E29" s="58">
        <f t="shared" si="3"/>
        <v>3972602.6999999997</v>
      </c>
      <c r="F29" s="58">
        <f t="shared" si="4"/>
        <v>9528158.2599999998</v>
      </c>
      <c r="G29" s="104">
        <f t="shared" si="7"/>
        <v>29</v>
      </c>
      <c r="H29" s="104">
        <f t="shared" si="5"/>
        <v>365</v>
      </c>
      <c r="I29" s="112">
        <f t="shared" si="8"/>
        <v>5555555.5599999996</v>
      </c>
      <c r="J29" s="112">
        <f>SUM($I$8:I28)</f>
        <v>116666666.76000002</v>
      </c>
      <c r="K29" s="112">
        <f t="shared" si="10"/>
        <v>83333333.23999998</v>
      </c>
      <c r="L29" s="106">
        <f>ROUND(C29*'Общие данные'!$B$84/H29,2)*G29</f>
        <v>3972602.6999999997</v>
      </c>
      <c r="M29" s="106">
        <f t="shared" si="0"/>
        <v>9528158.2599999998</v>
      </c>
      <c r="N29" s="106"/>
      <c r="O29" s="121" t="str">
        <f t="shared" si="9"/>
        <v>Вт</v>
      </c>
      <c r="P29" s="123">
        <f t="shared" si="6"/>
        <v>0</v>
      </c>
      <c r="Q29" s="123">
        <f>DAY('Общие данные'!$B$78)+P29</f>
        <v>10</v>
      </c>
      <c r="R29" s="118">
        <f>IF(A29&lt;='Общие данные'!$B$81,DATE(YEAR($B$8),MONTH($B$8)+A28,DAY('Общие данные'!$B$78)),0)</f>
        <v>46336</v>
      </c>
      <c r="S29" s="104"/>
      <c r="T29" s="104"/>
      <c r="U29" s="104"/>
      <c r="V29" s="104"/>
    </row>
    <row r="30" spans="1:22" x14ac:dyDescent="0.25">
      <c r="A30" s="110">
        <v>23</v>
      </c>
      <c r="B30" s="111">
        <f>IF(A30&lt;='Общие данные'!$B$81,DATE(YEAR(R30),MONTH(R30),DAY(IF(A30='Общие данные'!$B$81,'Общие данные'!$B$67,IF(A30&lt;'Общие данные'!$B$81,(Q30),IF(A30&gt;'Общие данные'!$B$81,$H$44,0))))))</f>
        <v>46366</v>
      </c>
      <c r="C30" s="58">
        <f t="shared" si="1"/>
        <v>77777777.679999948</v>
      </c>
      <c r="D30" s="58">
        <f t="shared" si="2"/>
        <v>5555555.5599999996</v>
      </c>
      <c r="E30" s="58">
        <f t="shared" si="3"/>
        <v>3835616.4000000004</v>
      </c>
      <c r="F30" s="58">
        <f t="shared" si="4"/>
        <v>9391171.9600000009</v>
      </c>
      <c r="G30" s="104">
        <f t="shared" si="7"/>
        <v>30</v>
      </c>
      <c r="H30" s="104">
        <f t="shared" si="5"/>
        <v>365</v>
      </c>
      <c r="I30" s="112">
        <f t="shared" si="8"/>
        <v>5555555.5599999996</v>
      </c>
      <c r="J30" s="112">
        <f>SUM($I$8:I29)</f>
        <v>122222222.32000002</v>
      </c>
      <c r="K30" s="112">
        <f t="shared" si="10"/>
        <v>77777777.679999977</v>
      </c>
      <c r="L30" s="106">
        <f>ROUND(C30*'Общие данные'!$B$84/H30,2)*G30</f>
        <v>3835616.4000000004</v>
      </c>
      <c r="M30" s="106">
        <f t="shared" si="0"/>
        <v>9391171.9600000009</v>
      </c>
      <c r="N30" s="106"/>
      <c r="O30" s="121" t="str">
        <f t="shared" si="9"/>
        <v>Чт</v>
      </c>
      <c r="P30" s="123">
        <f t="shared" si="6"/>
        <v>0</v>
      </c>
      <c r="Q30" s="123">
        <f>DAY('Общие данные'!$B$78)+P30</f>
        <v>10</v>
      </c>
      <c r="R30" s="118">
        <f>IF(A30&lt;='Общие данные'!$B$81,DATE(YEAR($B$8),MONTH($B$8)+A29,DAY('Общие данные'!$B$78)),0)</f>
        <v>46366</v>
      </c>
      <c r="S30" s="104"/>
      <c r="T30" s="104"/>
      <c r="U30" s="104"/>
      <c r="V30" s="104"/>
    </row>
    <row r="31" spans="1:22" x14ac:dyDescent="0.25">
      <c r="A31" s="110">
        <f>1+A30</f>
        <v>24</v>
      </c>
      <c r="B31" s="111">
        <f>IF(A31&lt;='Общие данные'!$B$81,DATE(YEAR(R31),MONTH(R31),DAY(IF(A31='Общие данные'!$B$81,'Общие данные'!$B$67,IF(A31&lt;'Общие данные'!$B$81,(Q31),IF(A31&gt;'Общие данные'!$B$81,$H$44,0))))))</f>
        <v>46398</v>
      </c>
      <c r="C31" s="58">
        <f t="shared" ref="C31" si="11">C30-D30</f>
        <v>72222222.119999945</v>
      </c>
      <c r="D31" s="58">
        <f t="shared" ref="D31" si="12">IF(C31=0,L31,IF(C31&gt;1,I31))</f>
        <v>5555555.5599999996</v>
      </c>
      <c r="E31" s="58">
        <f t="shared" ref="E31" si="13">IF(C31=0,N30,IF(C31&gt;1,L31))</f>
        <v>3799086.72</v>
      </c>
      <c r="F31" s="58">
        <f t="shared" ref="F31" si="14">IF(C31=0,N30,IF(C31&gt;1,M31))</f>
        <v>9354642.2799999993</v>
      </c>
      <c r="G31" s="104">
        <f t="shared" si="7"/>
        <v>32</v>
      </c>
      <c r="H31" s="104">
        <f t="shared" si="5"/>
        <v>365</v>
      </c>
      <c r="I31" s="112">
        <f t="shared" ref="I31" si="15">IF($L$5=A31,K31,IF($L$5&gt;A31,I30))</f>
        <v>5555555.5599999996</v>
      </c>
      <c r="J31" s="112">
        <f>SUM($I$8:I30)</f>
        <v>127777777.88000003</v>
      </c>
      <c r="K31" s="112">
        <f t="shared" si="10"/>
        <v>72222222.119999975</v>
      </c>
      <c r="L31" s="106">
        <f>ROUND(C31*'Общие данные'!$B$84/H31,2)*G31</f>
        <v>3799086.72</v>
      </c>
      <c r="M31" s="106">
        <f t="shared" si="0"/>
        <v>9354642.2799999993</v>
      </c>
      <c r="N31" s="106"/>
      <c r="O31" s="121" t="str">
        <f t="shared" si="9"/>
        <v>Вс</v>
      </c>
      <c r="P31" s="123">
        <f t="shared" si="6"/>
        <v>1</v>
      </c>
      <c r="Q31" s="123">
        <f>DAY('Общие данные'!$B$78)+P31</f>
        <v>11</v>
      </c>
      <c r="R31" s="118">
        <f>IF(A31&lt;='Общие данные'!$B$81,DATE(YEAR($B$8),MONTH($B$8)+A30,DAY('Общие данные'!$B$78)),0)</f>
        <v>46397</v>
      </c>
      <c r="S31" s="104"/>
      <c r="T31" s="104"/>
      <c r="U31" s="104"/>
      <c r="V31" s="104"/>
    </row>
    <row r="32" spans="1:22" x14ac:dyDescent="0.25">
      <c r="A32" s="110">
        <f t="shared" ref="A32:A43" si="16">1+A31</f>
        <v>25</v>
      </c>
      <c r="B32" s="111">
        <f>IF(A32&lt;='Общие данные'!$B$81,DATE(YEAR(R32),MONTH(R32),DAY(IF(A32='Общие данные'!$B$81,'Общие данные'!$B$67,IF(A32&lt;'Общие данные'!$B$81,(Q32),IF(A32&gt;'Общие данные'!$B$81,$H$44,0))))))</f>
        <v>46428</v>
      </c>
      <c r="C32" s="58">
        <f t="shared" ref="C32:C43" si="17">C31-D31</f>
        <v>66666666.559999943</v>
      </c>
      <c r="D32" s="58">
        <f t="shared" ref="D32:D43" si="18">IF(C32=0,L32,IF(C32&gt;1,I32))</f>
        <v>5555555.5599999996</v>
      </c>
      <c r="E32" s="58">
        <f t="shared" ref="E32:E43" si="19">IF(C32=0,N31,IF(C32&gt;1,L32))</f>
        <v>3287671.1999999997</v>
      </c>
      <c r="F32" s="58">
        <f t="shared" ref="F32:F43" si="20">IF(C32=0,N31,IF(C32&gt;1,M32))</f>
        <v>8843226.7599999998</v>
      </c>
      <c r="G32" s="104">
        <f t="shared" ref="G32:G43" si="21">B32-B31</f>
        <v>30</v>
      </c>
      <c r="H32" s="104">
        <f t="shared" ref="H32:H43" si="22">DATE(YEAR(B32),12,31)-DATE(YEAR(B32),1,1)+1</f>
        <v>365</v>
      </c>
      <c r="I32" s="112">
        <f t="shared" ref="I32:I43" si="23">IF($L$5=A32,K32,IF($L$5&gt;A32,I31))</f>
        <v>5555555.5599999996</v>
      </c>
      <c r="J32" s="112">
        <f>SUM($I$8:I31)</f>
        <v>133333333.44000003</v>
      </c>
      <c r="K32" s="112">
        <f t="shared" ref="K32:K43" si="24">$J$12-J32</f>
        <v>66666666.559999973</v>
      </c>
      <c r="L32" s="106">
        <f>ROUND(C32*'Общие данные'!$B$84/H32,2)*G32</f>
        <v>3287671.1999999997</v>
      </c>
      <c r="M32" s="106">
        <f t="shared" ref="M32:M43" si="25">D32+E32</f>
        <v>8843226.7599999998</v>
      </c>
      <c r="N32" s="106"/>
      <c r="O32" s="121" t="str">
        <f t="shared" ref="O32:O43" si="26">TEXT(R32,"ддд")</f>
        <v>Ср</v>
      </c>
      <c r="P32" s="123">
        <f t="shared" ref="P32:P43" si="27">IF(O32=$U$8,2,IF(O32=$V$8,1,0))</f>
        <v>0</v>
      </c>
      <c r="Q32" s="123">
        <f>DAY('Общие данные'!$B$78)+P32</f>
        <v>10</v>
      </c>
      <c r="R32" s="118">
        <f>IF(A32&lt;='Общие данные'!$B$81,DATE(YEAR($B$8),MONTH($B$8)+A31,DAY('Общие данные'!$B$78)),0)</f>
        <v>46428</v>
      </c>
      <c r="S32" s="104"/>
      <c r="T32" s="104"/>
      <c r="U32" s="104"/>
      <c r="V32" s="104"/>
    </row>
    <row r="33" spans="1:22" x14ac:dyDescent="0.25">
      <c r="A33" s="110">
        <f t="shared" si="16"/>
        <v>26</v>
      </c>
      <c r="B33" s="111">
        <f>IF(A33&lt;='Общие данные'!$B$81,DATE(YEAR(R33),MONTH(R33),DAY(IF(A33='Общие данные'!$B$81,'Общие данные'!$B$67,IF(A33&lt;'Общие данные'!$B$81,(Q33),IF(A33&gt;'Общие данные'!$B$81,$H$44,0))))))</f>
        <v>46456</v>
      </c>
      <c r="C33" s="58">
        <f t="shared" si="17"/>
        <v>61111110.99999994</v>
      </c>
      <c r="D33" s="58">
        <f t="shared" si="18"/>
        <v>5555555.5599999996</v>
      </c>
      <c r="E33" s="58">
        <f t="shared" si="19"/>
        <v>2812785.36</v>
      </c>
      <c r="F33" s="58">
        <f t="shared" si="20"/>
        <v>8368340.9199999999</v>
      </c>
      <c r="G33" s="104">
        <f t="shared" si="21"/>
        <v>28</v>
      </c>
      <c r="H33" s="104">
        <f t="shared" si="22"/>
        <v>365</v>
      </c>
      <c r="I33" s="112">
        <f t="shared" si="23"/>
        <v>5555555.5599999996</v>
      </c>
      <c r="J33" s="112">
        <f>SUM($I$8:I32)</f>
        <v>138888889.00000003</v>
      </c>
      <c r="K33" s="112">
        <f t="shared" si="24"/>
        <v>61111110.99999997</v>
      </c>
      <c r="L33" s="106">
        <f>ROUND(C33*'Общие данные'!$B$84/H33,2)*G33</f>
        <v>2812785.36</v>
      </c>
      <c r="M33" s="106">
        <f t="shared" si="25"/>
        <v>8368340.9199999999</v>
      </c>
      <c r="N33" s="106"/>
      <c r="O33" s="121" t="str">
        <f t="shared" si="26"/>
        <v>Ср</v>
      </c>
      <c r="P33" s="123">
        <f t="shared" si="27"/>
        <v>0</v>
      </c>
      <c r="Q33" s="123">
        <f>DAY('Общие данные'!$B$78)+P33</f>
        <v>10</v>
      </c>
      <c r="R33" s="118">
        <f>IF(A33&lt;='Общие данные'!$B$81,DATE(YEAR($B$8),MONTH($B$8)+A32,DAY('Общие данные'!$B$78)),0)</f>
        <v>46456</v>
      </c>
      <c r="S33" s="104"/>
      <c r="T33" s="104"/>
      <c r="U33" s="104"/>
      <c r="V33" s="104"/>
    </row>
    <row r="34" spans="1:22" x14ac:dyDescent="0.25">
      <c r="A34" s="110">
        <f t="shared" si="16"/>
        <v>27</v>
      </c>
      <c r="B34" s="111">
        <f>IF(A34&lt;='Общие данные'!$B$81,DATE(YEAR(R34),MONTH(R34),DAY(IF(A34='Общие данные'!$B$81,'Общие данные'!$B$67,IF(A34&lt;'Общие данные'!$B$81,(Q34),IF(A34&gt;'Общие данные'!$B$81,$H$44,0))))))</f>
        <v>46489</v>
      </c>
      <c r="C34" s="58">
        <f t="shared" si="17"/>
        <v>55555555.439999938</v>
      </c>
      <c r="D34" s="58">
        <f t="shared" si="18"/>
        <v>5555555.5599999996</v>
      </c>
      <c r="E34" s="58">
        <f t="shared" si="19"/>
        <v>3013698.6</v>
      </c>
      <c r="F34" s="58">
        <f t="shared" si="20"/>
        <v>8569254.1600000001</v>
      </c>
      <c r="G34" s="104">
        <f t="shared" si="21"/>
        <v>33</v>
      </c>
      <c r="H34" s="104">
        <f t="shared" si="22"/>
        <v>365</v>
      </c>
      <c r="I34" s="112">
        <f t="shared" si="23"/>
        <v>5555555.5599999996</v>
      </c>
      <c r="J34" s="112">
        <f>SUM($I$8:I33)</f>
        <v>144444444.56000003</v>
      </c>
      <c r="K34" s="112">
        <f t="shared" si="24"/>
        <v>55555555.439999968</v>
      </c>
      <c r="L34" s="106">
        <f>ROUND(C34*'Общие данные'!$B$84/H34,2)*G34</f>
        <v>3013698.6</v>
      </c>
      <c r="M34" s="106">
        <f t="shared" si="25"/>
        <v>8569254.1600000001</v>
      </c>
      <c r="N34" s="106"/>
      <c r="O34" s="121" t="str">
        <f t="shared" si="26"/>
        <v>Сб</v>
      </c>
      <c r="P34" s="123">
        <f t="shared" si="27"/>
        <v>2</v>
      </c>
      <c r="Q34" s="123">
        <f>DAY('Общие данные'!$B$78)+P34</f>
        <v>12</v>
      </c>
      <c r="R34" s="118">
        <f>IF(A34&lt;='Общие данные'!$B$81,DATE(YEAR($B$8),MONTH($B$8)+A33,DAY('Общие данные'!$B$78)),0)</f>
        <v>46487</v>
      </c>
      <c r="S34" s="104"/>
      <c r="T34" s="104"/>
      <c r="U34" s="104"/>
      <c r="V34" s="104"/>
    </row>
    <row r="35" spans="1:22" x14ac:dyDescent="0.25">
      <c r="A35" s="110">
        <f t="shared" si="16"/>
        <v>28</v>
      </c>
      <c r="B35" s="111">
        <f>IF(A35&lt;='Общие данные'!$B$81,DATE(YEAR(R35),MONTH(R35),DAY(IF(A35='Общие данные'!$B$81,'Общие данные'!$B$67,IF(A35&lt;'Общие данные'!$B$81,(Q35),IF(A35&gt;'Общие данные'!$B$81,$H$44,0))))))</f>
        <v>46517</v>
      </c>
      <c r="C35" s="58">
        <f t="shared" si="17"/>
        <v>49999999.879999936</v>
      </c>
      <c r="D35" s="58">
        <f t="shared" si="18"/>
        <v>5555555.5599999996</v>
      </c>
      <c r="E35" s="58">
        <f t="shared" si="19"/>
        <v>2301369.84</v>
      </c>
      <c r="F35" s="58">
        <f t="shared" si="20"/>
        <v>7856925.3999999994</v>
      </c>
      <c r="G35" s="104">
        <f t="shared" si="21"/>
        <v>28</v>
      </c>
      <c r="H35" s="104">
        <f t="shared" si="22"/>
        <v>365</v>
      </c>
      <c r="I35" s="112">
        <f t="shared" si="23"/>
        <v>5555555.5599999996</v>
      </c>
      <c r="J35" s="112">
        <f>SUM($I$8:I34)</f>
        <v>150000000.12000003</v>
      </c>
      <c r="K35" s="112">
        <f t="shared" si="24"/>
        <v>49999999.879999965</v>
      </c>
      <c r="L35" s="106">
        <f>ROUND(C35*'Общие данные'!$B$84/H35,2)*G35</f>
        <v>2301369.84</v>
      </c>
      <c r="M35" s="106">
        <f t="shared" si="25"/>
        <v>7856925.3999999994</v>
      </c>
      <c r="N35" s="106"/>
      <c r="O35" s="121" t="str">
        <f t="shared" si="26"/>
        <v>Пн</v>
      </c>
      <c r="P35" s="123">
        <f t="shared" si="27"/>
        <v>0</v>
      </c>
      <c r="Q35" s="123">
        <f>DAY('Общие данные'!$B$78)+P35</f>
        <v>10</v>
      </c>
      <c r="R35" s="118">
        <f>IF(A35&lt;='Общие данные'!$B$81,DATE(YEAR($B$8),MONTH($B$8)+A34,DAY('Общие данные'!$B$78)),0)</f>
        <v>46517</v>
      </c>
      <c r="S35" s="104"/>
      <c r="T35" s="104"/>
      <c r="U35" s="104"/>
      <c r="V35" s="104"/>
    </row>
    <row r="36" spans="1:22" x14ac:dyDescent="0.25">
      <c r="A36" s="110">
        <f t="shared" si="16"/>
        <v>29</v>
      </c>
      <c r="B36" s="111">
        <f>IF(A36&lt;='Общие данные'!$B$81,DATE(YEAR(R36),MONTH(R36),DAY(IF(A36='Общие данные'!$B$81,'Общие данные'!$B$67,IF(A36&lt;'Общие данные'!$B$81,(Q36),IF(A36&gt;'Общие данные'!$B$81,$H$44,0))))))</f>
        <v>46548</v>
      </c>
      <c r="C36" s="58">
        <f t="shared" si="17"/>
        <v>44444444.319999933</v>
      </c>
      <c r="D36" s="58">
        <f t="shared" si="18"/>
        <v>5555555.5599999996</v>
      </c>
      <c r="E36" s="58">
        <f t="shared" si="19"/>
        <v>2264840.16</v>
      </c>
      <c r="F36" s="58">
        <f t="shared" si="20"/>
        <v>7820395.7199999997</v>
      </c>
      <c r="G36" s="104">
        <f t="shared" si="21"/>
        <v>31</v>
      </c>
      <c r="H36" s="104">
        <f t="shared" si="22"/>
        <v>365</v>
      </c>
      <c r="I36" s="112">
        <f t="shared" si="23"/>
        <v>5555555.5599999996</v>
      </c>
      <c r="J36" s="112">
        <f>SUM($I$8:I35)</f>
        <v>155555555.68000004</v>
      </c>
      <c r="K36" s="112">
        <f t="shared" si="24"/>
        <v>44444444.319999963</v>
      </c>
      <c r="L36" s="106">
        <f>ROUND(C36*'Общие данные'!$B$84/H36,2)*G36</f>
        <v>2264840.16</v>
      </c>
      <c r="M36" s="106">
        <f t="shared" si="25"/>
        <v>7820395.7199999997</v>
      </c>
      <c r="N36" s="106"/>
      <c r="O36" s="121" t="str">
        <f t="shared" si="26"/>
        <v>Чт</v>
      </c>
      <c r="P36" s="123">
        <f t="shared" si="27"/>
        <v>0</v>
      </c>
      <c r="Q36" s="123">
        <f>DAY('Общие данные'!$B$78)+P36</f>
        <v>10</v>
      </c>
      <c r="R36" s="118">
        <f>IF(A36&lt;='Общие данные'!$B$81,DATE(YEAR($B$8),MONTH($B$8)+A35,DAY('Общие данные'!$B$78)),0)</f>
        <v>46548</v>
      </c>
      <c r="S36" s="104"/>
      <c r="T36" s="104"/>
      <c r="U36" s="104"/>
      <c r="V36" s="104"/>
    </row>
    <row r="37" spans="1:22" x14ac:dyDescent="0.25">
      <c r="A37" s="110">
        <f t="shared" si="16"/>
        <v>30</v>
      </c>
      <c r="B37" s="111">
        <f>IF(A37&lt;='Общие данные'!$B$81,DATE(YEAR(R37),MONTH(R37),DAY(IF(A37='Общие данные'!$B$81,'Общие данные'!$B$67,IF(A37&lt;'Общие данные'!$B$81,(Q37),IF(A37&gt;'Общие данные'!$B$81,$H$44,0))))))</f>
        <v>46580</v>
      </c>
      <c r="C37" s="58">
        <f t="shared" si="17"/>
        <v>38888888.759999931</v>
      </c>
      <c r="D37" s="58">
        <f t="shared" si="18"/>
        <v>5555555.5599999996</v>
      </c>
      <c r="E37" s="58">
        <f t="shared" si="19"/>
        <v>2045662.08</v>
      </c>
      <c r="F37" s="58">
        <f t="shared" si="20"/>
        <v>7601217.6399999997</v>
      </c>
      <c r="G37" s="104">
        <f t="shared" si="21"/>
        <v>32</v>
      </c>
      <c r="H37" s="104">
        <f t="shared" si="22"/>
        <v>365</v>
      </c>
      <c r="I37" s="112">
        <f t="shared" si="23"/>
        <v>5555555.5599999996</v>
      </c>
      <c r="J37" s="112">
        <f>SUM($I$8:I36)</f>
        <v>161111111.24000004</v>
      </c>
      <c r="K37" s="112">
        <f t="shared" si="24"/>
        <v>38888888.759999961</v>
      </c>
      <c r="L37" s="106">
        <f>ROUND(C37*'Общие данные'!$B$84/H37,2)*G37</f>
        <v>2045662.08</v>
      </c>
      <c r="M37" s="106">
        <f t="shared" si="25"/>
        <v>7601217.6399999997</v>
      </c>
      <c r="N37" s="106"/>
      <c r="O37" s="121" t="str">
        <f t="shared" si="26"/>
        <v>Сб</v>
      </c>
      <c r="P37" s="123">
        <f t="shared" si="27"/>
        <v>2</v>
      </c>
      <c r="Q37" s="123">
        <f>DAY('Общие данные'!$B$78)+P37</f>
        <v>12</v>
      </c>
      <c r="R37" s="118">
        <f>IF(A37&lt;='Общие данные'!$B$81,DATE(YEAR($B$8),MONTH($B$8)+A36,DAY('Общие данные'!$B$78)),0)</f>
        <v>46578</v>
      </c>
      <c r="S37" s="104"/>
      <c r="T37" s="104"/>
      <c r="U37" s="104"/>
      <c r="V37" s="104"/>
    </row>
    <row r="38" spans="1:22" x14ac:dyDescent="0.25">
      <c r="A38" s="110">
        <f t="shared" si="16"/>
        <v>31</v>
      </c>
      <c r="B38" s="111">
        <f>IF(A38&lt;='Общие данные'!$B$81,DATE(YEAR(R38),MONTH(R38),DAY(IF(A38='Общие данные'!$B$81,'Общие данные'!$B$67,IF(A38&lt;'Общие данные'!$B$81,(Q38),IF(A38&gt;'Общие данные'!$B$81,$H$44,0))))))</f>
        <v>46609</v>
      </c>
      <c r="C38" s="58">
        <f t="shared" si="17"/>
        <v>33333333.199999932</v>
      </c>
      <c r="D38" s="58">
        <f t="shared" si="18"/>
        <v>5555555.5599999996</v>
      </c>
      <c r="E38" s="58">
        <f t="shared" si="19"/>
        <v>1589041.0799999998</v>
      </c>
      <c r="F38" s="58">
        <f t="shared" si="20"/>
        <v>7144596.6399999997</v>
      </c>
      <c r="G38" s="104">
        <f t="shared" si="21"/>
        <v>29</v>
      </c>
      <c r="H38" s="104">
        <f t="shared" si="22"/>
        <v>365</v>
      </c>
      <c r="I38" s="112">
        <f t="shared" si="23"/>
        <v>5555555.5599999996</v>
      </c>
      <c r="J38" s="112">
        <f>SUM($I$8:I37)</f>
        <v>166666666.80000004</v>
      </c>
      <c r="K38" s="112">
        <f t="shared" si="24"/>
        <v>33333333.199999958</v>
      </c>
      <c r="L38" s="106">
        <f>ROUND(C38*'Общие данные'!$B$84/H38,2)*G38</f>
        <v>1589041.0799999998</v>
      </c>
      <c r="M38" s="106">
        <f t="shared" si="25"/>
        <v>7144596.6399999997</v>
      </c>
      <c r="N38" s="106"/>
      <c r="O38" s="121" t="str">
        <f t="shared" si="26"/>
        <v>Вт</v>
      </c>
      <c r="P38" s="123">
        <f t="shared" si="27"/>
        <v>0</v>
      </c>
      <c r="Q38" s="123">
        <f>DAY('Общие данные'!$B$78)+P38</f>
        <v>10</v>
      </c>
      <c r="R38" s="118">
        <f>IF(A38&lt;='Общие данные'!$B$81,DATE(YEAR($B$8),MONTH($B$8)+A37,DAY('Общие данные'!$B$78)),0)</f>
        <v>46609</v>
      </c>
      <c r="S38" s="104"/>
      <c r="T38" s="104"/>
      <c r="U38" s="104"/>
      <c r="V38" s="104"/>
    </row>
    <row r="39" spans="1:22" x14ac:dyDescent="0.25">
      <c r="A39" s="110">
        <f t="shared" si="16"/>
        <v>32</v>
      </c>
      <c r="B39" s="111">
        <f>IF(A39&lt;='Общие данные'!$B$81,DATE(YEAR(R39),MONTH(R39),DAY(IF(A39='Общие данные'!$B$81,'Общие данные'!$B$67,IF(A39&lt;'Общие данные'!$B$81,(Q39),IF(A39&gt;'Общие данные'!$B$81,$H$44,0))))))</f>
        <v>46640</v>
      </c>
      <c r="C39" s="58">
        <f t="shared" si="17"/>
        <v>27777777.639999934</v>
      </c>
      <c r="D39" s="58">
        <f t="shared" si="18"/>
        <v>5555555.5599999996</v>
      </c>
      <c r="E39" s="58">
        <f t="shared" si="19"/>
        <v>1415525.0999999999</v>
      </c>
      <c r="F39" s="58">
        <f t="shared" si="20"/>
        <v>6971080.6599999992</v>
      </c>
      <c r="G39" s="104">
        <f t="shared" si="21"/>
        <v>31</v>
      </c>
      <c r="H39" s="104">
        <f t="shared" si="22"/>
        <v>365</v>
      </c>
      <c r="I39" s="112">
        <f t="shared" si="23"/>
        <v>5555555.5599999996</v>
      </c>
      <c r="J39" s="112">
        <f>SUM($I$8:I38)</f>
        <v>172222222.36000004</v>
      </c>
      <c r="K39" s="112">
        <f t="shared" si="24"/>
        <v>27777777.639999956</v>
      </c>
      <c r="L39" s="106">
        <f>ROUND(C39*'Общие данные'!$B$84/H39,2)*G39</f>
        <v>1415525.0999999999</v>
      </c>
      <c r="M39" s="106">
        <f t="shared" si="25"/>
        <v>6971080.6599999992</v>
      </c>
      <c r="N39" s="106"/>
      <c r="O39" s="121" t="str">
        <f t="shared" si="26"/>
        <v>Пт</v>
      </c>
      <c r="P39" s="123">
        <f t="shared" si="27"/>
        <v>0</v>
      </c>
      <c r="Q39" s="123">
        <f>DAY('Общие данные'!$B$78)+P39</f>
        <v>10</v>
      </c>
      <c r="R39" s="118">
        <f>IF(A39&lt;='Общие данные'!$B$81,DATE(YEAR($B$8),MONTH($B$8)+A38,DAY('Общие данные'!$B$78)),0)</f>
        <v>46640</v>
      </c>
      <c r="S39" s="104"/>
      <c r="T39" s="104"/>
      <c r="U39" s="104"/>
      <c r="V39" s="104"/>
    </row>
    <row r="40" spans="1:22" x14ac:dyDescent="0.25">
      <c r="A40" s="110">
        <f t="shared" si="16"/>
        <v>33</v>
      </c>
      <c r="B40" s="111">
        <f>IF(A40&lt;='Общие данные'!$B$81,DATE(YEAR(R40),MONTH(R40),DAY(IF(A40='Общие данные'!$B$81,'Общие данные'!$B$67,IF(A40&lt;'Общие данные'!$B$81,(Q40),IF(A40&gt;'Общие данные'!$B$81,$H$44,0))))))</f>
        <v>46671</v>
      </c>
      <c r="C40" s="58">
        <f t="shared" si="17"/>
        <v>22222222.079999935</v>
      </c>
      <c r="D40" s="58">
        <f t="shared" si="18"/>
        <v>5555555.5599999996</v>
      </c>
      <c r="E40" s="58">
        <f t="shared" si="19"/>
        <v>1132420.08</v>
      </c>
      <c r="F40" s="58">
        <f t="shared" si="20"/>
        <v>6687975.6399999997</v>
      </c>
      <c r="G40" s="104">
        <f t="shared" si="21"/>
        <v>31</v>
      </c>
      <c r="H40" s="104">
        <f t="shared" si="22"/>
        <v>365</v>
      </c>
      <c r="I40" s="112">
        <f t="shared" si="23"/>
        <v>5555555.5599999996</v>
      </c>
      <c r="J40" s="112">
        <f>SUM($I$8:I39)</f>
        <v>177777777.92000005</v>
      </c>
      <c r="K40" s="112">
        <f t="shared" si="24"/>
        <v>22222222.079999954</v>
      </c>
      <c r="L40" s="106">
        <f>ROUND(C40*'Общие данные'!$B$84/H40,2)*G40</f>
        <v>1132420.08</v>
      </c>
      <c r="M40" s="106">
        <f t="shared" si="25"/>
        <v>6687975.6399999997</v>
      </c>
      <c r="N40" s="106"/>
      <c r="O40" s="121" t="str">
        <f t="shared" si="26"/>
        <v>Вс</v>
      </c>
      <c r="P40" s="123">
        <f t="shared" si="27"/>
        <v>1</v>
      </c>
      <c r="Q40" s="123">
        <f>DAY('Общие данные'!$B$78)+P40</f>
        <v>11</v>
      </c>
      <c r="R40" s="118">
        <f>IF(A40&lt;='Общие данные'!$B$81,DATE(YEAR($B$8),MONTH($B$8)+A39,DAY('Общие данные'!$B$78)),0)</f>
        <v>46670</v>
      </c>
      <c r="S40" s="104"/>
      <c r="T40" s="104"/>
      <c r="U40" s="104"/>
      <c r="V40" s="104"/>
    </row>
    <row r="41" spans="1:22" x14ac:dyDescent="0.25">
      <c r="A41" s="110">
        <f t="shared" si="16"/>
        <v>34</v>
      </c>
      <c r="B41" s="111">
        <f>IF(A41&lt;='Общие данные'!$B$81,DATE(YEAR(R41),MONTH(R41),DAY(IF(A41='Общие данные'!$B$81,'Общие данные'!$B$67,IF(A41&lt;'Общие данные'!$B$81,(Q41),IF(A41&gt;'Общие данные'!$B$81,$H$44,0))))))</f>
        <v>46701</v>
      </c>
      <c r="C41" s="58">
        <f t="shared" si="17"/>
        <v>16666666.519999936</v>
      </c>
      <c r="D41" s="58">
        <f t="shared" si="18"/>
        <v>5555555.5599999996</v>
      </c>
      <c r="E41" s="58">
        <f t="shared" si="19"/>
        <v>821917.79999999993</v>
      </c>
      <c r="F41" s="58">
        <f t="shared" si="20"/>
        <v>6377473.3599999994</v>
      </c>
      <c r="G41" s="104">
        <f t="shared" si="21"/>
        <v>30</v>
      </c>
      <c r="H41" s="104">
        <f t="shared" si="22"/>
        <v>365</v>
      </c>
      <c r="I41" s="112">
        <f t="shared" si="23"/>
        <v>5555555.5599999996</v>
      </c>
      <c r="J41" s="112">
        <f>SUM($I$8:I40)</f>
        <v>183333333.48000005</v>
      </c>
      <c r="K41" s="112">
        <f t="shared" si="24"/>
        <v>16666666.519999951</v>
      </c>
      <c r="L41" s="106">
        <f>ROUND(C41*'Общие данные'!$B$84/H41,2)*G41</f>
        <v>821917.79999999993</v>
      </c>
      <c r="M41" s="106">
        <f t="shared" si="25"/>
        <v>6377473.3599999994</v>
      </c>
      <c r="N41" s="106"/>
      <c r="O41" s="121" t="str">
        <f t="shared" si="26"/>
        <v>Ср</v>
      </c>
      <c r="P41" s="123">
        <f t="shared" si="27"/>
        <v>0</v>
      </c>
      <c r="Q41" s="123">
        <f>DAY('Общие данные'!$B$78)+P41</f>
        <v>10</v>
      </c>
      <c r="R41" s="118">
        <f>IF(A41&lt;='Общие данные'!$B$81,DATE(YEAR($B$8),MONTH($B$8)+A40,DAY('Общие данные'!$B$78)),0)</f>
        <v>46701</v>
      </c>
      <c r="S41" s="104"/>
      <c r="T41" s="104"/>
      <c r="U41" s="104"/>
      <c r="V41" s="104"/>
    </row>
    <row r="42" spans="1:22" x14ac:dyDescent="0.25">
      <c r="A42" s="110">
        <f t="shared" si="16"/>
        <v>35</v>
      </c>
      <c r="B42" s="111">
        <f>IF(A42&lt;='Общие данные'!$B$81,DATE(YEAR(R42),MONTH(R42),DAY(IF(A42='Общие данные'!$B$81,'Общие данные'!$B$67,IF(A42&lt;'Общие данные'!$B$81,(Q42),IF(A42&gt;'Общие данные'!$B$81,$H$44,0))))))</f>
        <v>46731</v>
      </c>
      <c r="C42" s="58">
        <f t="shared" si="17"/>
        <v>11111110.959999938</v>
      </c>
      <c r="D42" s="58">
        <f t="shared" si="18"/>
        <v>5555555.5599999996</v>
      </c>
      <c r="E42" s="58">
        <f t="shared" si="19"/>
        <v>547945.19999999995</v>
      </c>
      <c r="F42" s="58">
        <f t="shared" si="20"/>
        <v>6103500.7599999998</v>
      </c>
      <c r="G42" s="104">
        <f t="shared" si="21"/>
        <v>30</v>
      </c>
      <c r="H42" s="104">
        <f t="shared" si="22"/>
        <v>365</v>
      </c>
      <c r="I42" s="112">
        <f t="shared" si="23"/>
        <v>5555555.5599999996</v>
      </c>
      <c r="J42" s="112">
        <f>SUM($I$8:I41)</f>
        <v>188888889.04000005</v>
      </c>
      <c r="K42" s="112">
        <f t="shared" si="24"/>
        <v>11111110.959999949</v>
      </c>
      <c r="L42" s="106">
        <f>ROUND(C42*'Общие данные'!$B$84/H42,2)*G42</f>
        <v>547945.19999999995</v>
      </c>
      <c r="M42" s="106">
        <f t="shared" si="25"/>
        <v>6103500.7599999998</v>
      </c>
      <c r="N42" s="106"/>
      <c r="O42" s="121" t="str">
        <f t="shared" si="26"/>
        <v>Пт</v>
      </c>
      <c r="P42" s="123">
        <f t="shared" si="27"/>
        <v>0</v>
      </c>
      <c r="Q42" s="123">
        <f>DAY('Общие данные'!$B$78)+P42</f>
        <v>10</v>
      </c>
      <c r="R42" s="118">
        <f>IF(A42&lt;='Общие данные'!$B$81,DATE(YEAR($B$8),MONTH($B$8)+A41,DAY('Общие данные'!$B$78)),0)</f>
        <v>46731</v>
      </c>
      <c r="S42" s="104"/>
      <c r="T42" s="104"/>
      <c r="U42" s="104"/>
      <c r="V42" s="104"/>
    </row>
    <row r="43" spans="1:22" x14ac:dyDescent="0.25">
      <c r="A43" s="110">
        <f t="shared" si="16"/>
        <v>36</v>
      </c>
      <c r="B43" s="111">
        <f>IF(A43&lt;='Общие данные'!$B$81,DATE(YEAR(R43),MONTH(R43),DAY(IF(A43='Общие данные'!$B$81,'Общие данные'!$B$67,IF(A43&lt;'Общие данные'!$B$81,(Q43),IF(A43&gt;'Общие данные'!$B$81,$H$44,0))))))</f>
        <v>46772</v>
      </c>
      <c r="C43" s="58">
        <f t="shared" si="17"/>
        <v>5555555.399999938</v>
      </c>
      <c r="D43" s="58">
        <f t="shared" si="18"/>
        <v>5555555.3999999464</v>
      </c>
      <c r="E43" s="58">
        <f t="shared" si="19"/>
        <v>373406.26999999996</v>
      </c>
      <c r="F43" s="58">
        <f t="shared" si="20"/>
        <v>5928961.6699999459</v>
      </c>
      <c r="G43" s="104">
        <f t="shared" si="21"/>
        <v>41</v>
      </c>
      <c r="H43" s="104">
        <f t="shared" si="22"/>
        <v>366</v>
      </c>
      <c r="I43" s="112">
        <f t="shared" si="23"/>
        <v>5555555.3999999464</v>
      </c>
      <c r="J43" s="112">
        <f>SUM($I$8:I42)</f>
        <v>194444444.60000005</v>
      </c>
      <c r="K43" s="112">
        <f t="shared" si="24"/>
        <v>5555555.3999999464</v>
      </c>
      <c r="L43" s="106">
        <f>ROUND(C43*'Общие данные'!$B$84/H43,2)*G43</f>
        <v>373406.26999999996</v>
      </c>
      <c r="M43" s="106">
        <f t="shared" si="25"/>
        <v>5928961.6699999459</v>
      </c>
      <c r="N43" s="106"/>
      <c r="O43" s="121" t="str">
        <f t="shared" si="26"/>
        <v>Пн</v>
      </c>
      <c r="P43" s="123">
        <f t="shared" si="27"/>
        <v>0</v>
      </c>
      <c r="Q43" s="123">
        <f>DAY('Общие данные'!$B$78)+P43</f>
        <v>10</v>
      </c>
      <c r="R43" s="118">
        <f>IF(A43&lt;='Общие данные'!$B$81,DATE(YEAR($B$8),MONTH($B$8)+A42,DAY('Общие данные'!$B$78)),0)</f>
        <v>46762</v>
      </c>
      <c r="S43" s="104"/>
      <c r="T43" s="104"/>
      <c r="U43" s="104"/>
      <c r="V43" s="104"/>
    </row>
    <row r="44" spans="1:22" x14ac:dyDescent="0.25">
      <c r="A44" s="113"/>
      <c r="B44" s="114" t="s">
        <v>7</v>
      </c>
      <c r="C44" s="115"/>
      <c r="D44" s="115">
        <f>SUM(D8:D31)</f>
        <v>133333333.44000003</v>
      </c>
      <c r="E44" s="115">
        <f>SUM(E8:E31)</f>
        <v>160063925.34</v>
      </c>
      <c r="F44" s="115">
        <f>SUM(F8:F31)</f>
        <v>293397258.77999991</v>
      </c>
    </row>
    <row r="45" spans="1:22" ht="9" customHeight="1" x14ac:dyDescent="0.25">
      <c r="B45" s="116"/>
      <c r="C45" s="117"/>
      <c r="D45" s="117"/>
      <c r="E45" s="117"/>
      <c r="F45" s="117"/>
    </row>
    <row r="46" spans="1:22" ht="47.25" customHeight="1" x14ac:dyDescent="0.25">
      <c r="A46" s="242" t="s">
        <v>17</v>
      </c>
      <c r="B46" s="242"/>
      <c r="C46" s="242"/>
      <c r="D46" s="242"/>
      <c r="E46" s="242"/>
      <c r="F46" s="242"/>
    </row>
    <row r="47" spans="1:22" ht="7.5" customHeight="1" x14ac:dyDescent="0.25"/>
    <row r="48" spans="1:22" x14ac:dyDescent="0.25">
      <c r="A48" s="243" t="e">
        <f>#REF!</f>
        <v>#REF!</v>
      </c>
      <c r="B48" s="243"/>
      <c r="C48" s="243"/>
      <c r="D48" s="243" t="e">
        <f>#REF!</f>
        <v>#REF!</v>
      </c>
      <c r="E48" s="243"/>
      <c r="F48" s="243"/>
    </row>
    <row r="49" spans="1:6" ht="11.25" customHeight="1" x14ac:dyDescent="0.25">
      <c r="A49" s="244"/>
      <c r="B49" s="244"/>
      <c r="C49" s="244"/>
      <c r="D49" s="244"/>
      <c r="E49" s="244"/>
      <c r="F49" s="244"/>
    </row>
    <row r="50" spans="1:6" ht="30" customHeight="1" x14ac:dyDescent="0.25">
      <c r="A50" s="245" t="e">
        <f>#REF!</f>
        <v>#REF!</v>
      </c>
      <c r="B50" s="245"/>
      <c r="C50" s="245"/>
      <c r="D50" s="245" t="e">
        <f>#REF!</f>
        <v>#REF!</v>
      </c>
      <c r="E50" s="245"/>
      <c r="F50" s="245"/>
    </row>
    <row r="51" spans="1:6" ht="32.25" customHeight="1" x14ac:dyDescent="0.25">
      <c r="A51" s="241" t="e">
        <f>#REF!</f>
        <v>#REF!</v>
      </c>
      <c r="B51" s="241"/>
      <c r="C51" s="241"/>
      <c r="D51" s="241" t="e">
        <f>#REF!</f>
        <v>#REF!</v>
      </c>
      <c r="E51" s="241"/>
      <c r="F51" s="241"/>
    </row>
    <row r="52" spans="1:6" x14ac:dyDescent="0.25">
      <c r="A52" s="241" t="e">
        <f>#REF!</f>
        <v>#REF!</v>
      </c>
      <c r="B52" s="241"/>
      <c r="C52" s="241"/>
      <c r="D52" s="241" t="str">
        <f>"паспорт серии "&amp;'Общие данные'!B16&amp;", "&amp;'Общие данные'!B20&amp;""</f>
        <v>паспорт серии AD 1582556, IIV 60001  tomonidan 25.07.2022 yilda berilgan</v>
      </c>
      <c r="E52" s="241"/>
      <c r="F52" s="241"/>
    </row>
    <row r="53" spans="1:6" ht="32.25" customHeight="1" x14ac:dyDescent="0.25">
      <c r="A53" s="241" t="e">
        <f>#REF!</f>
        <v>#REF!</v>
      </c>
      <c r="B53" s="241"/>
      <c r="C53" s="241"/>
      <c r="D53" s="241"/>
      <c r="E53" s="241"/>
      <c r="F53" s="241"/>
    </row>
    <row r="54" spans="1:6" x14ac:dyDescent="0.25">
      <c r="A54" s="241" t="e">
        <f>#REF!</f>
        <v>#REF!</v>
      </c>
      <c r="B54" s="241"/>
      <c r="C54" s="241"/>
      <c r="D54" s="241" t="e">
        <f>#REF!</f>
        <v>#REF!</v>
      </c>
      <c r="E54" s="241"/>
      <c r="F54" s="241"/>
    </row>
    <row r="55" spans="1:6" x14ac:dyDescent="0.25">
      <c r="A55" s="241" t="e">
        <f>#REF!</f>
        <v>#REF!</v>
      </c>
      <c r="B55" s="241"/>
      <c r="C55" s="241"/>
      <c r="D55" s="241" t="e">
        <f>#REF!</f>
        <v>#REF!</v>
      </c>
      <c r="E55" s="241"/>
      <c r="F55" s="241"/>
    </row>
    <row r="56" spans="1:6" x14ac:dyDescent="0.25">
      <c r="A56" s="241" t="e">
        <f>#REF!</f>
        <v>#REF!</v>
      </c>
      <c r="B56" s="241"/>
      <c r="C56" s="241"/>
      <c r="D56" s="241" t="e">
        <f>#REF!</f>
        <v>#REF!</v>
      </c>
      <c r="E56" s="241"/>
      <c r="F56" s="241"/>
    </row>
    <row r="57" spans="1:6" ht="8.25" customHeight="1" x14ac:dyDescent="0.25">
      <c r="A57" s="241"/>
      <c r="B57" s="241"/>
      <c r="C57" s="241"/>
      <c r="D57" s="241"/>
      <c r="E57" s="241"/>
      <c r="F57" s="241"/>
    </row>
    <row r="58" spans="1:6" x14ac:dyDescent="0.25">
      <c r="A58" s="245" t="e">
        <f>#REF!</f>
        <v>#REF!</v>
      </c>
      <c r="B58" s="245"/>
      <c r="C58" s="245"/>
      <c r="D58" s="245" t="e">
        <f>#REF!</f>
        <v>#REF!</v>
      </c>
      <c r="E58" s="245"/>
      <c r="F58" s="245"/>
    </row>
    <row r="59" spans="1:6" ht="7.5" customHeight="1" x14ac:dyDescent="0.25">
      <c r="A59" s="245"/>
      <c r="B59" s="245"/>
      <c r="C59" s="245"/>
      <c r="D59" s="245"/>
      <c r="E59" s="245"/>
      <c r="F59" s="245"/>
    </row>
    <row r="60" spans="1:6" x14ac:dyDescent="0.25">
      <c r="A60" s="245" t="e">
        <f>#REF!</f>
        <v>#REF!</v>
      </c>
      <c r="B60" s="245"/>
      <c r="C60" s="245"/>
      <c r="D60" s="245" t="e">
        <f>#REF!</f>
        <v>#REF!</v>
      </c>
      <c r="E60" s="245"/>
      <c r="F60" s="245"/>
    </row>
    <row r="61" spans="1:6" ht="8.25" customHeight="1" x14ac:dyDescent="0.25">
      <c r="A61" s="241"/>
      <c r="B61" s="241"/>
      <c r="C61" s="241"/>
      <c r="D61" s="241"/>
      <c r="E61" s="241"/>
      <c r="F61" s="241"/>
    </row>
    <row r="62" spans="1:6" ht="30" customHeight="1" x14ac:dyDescent="0.25">
      <c r="A62" s="247"/>
      <c r="B62" s="247"/>
      <c r="C62" s="247"/>
      <c r="D62" s="248" t="e">
        <f>#REF!</f>
        <v>#REF!</v>
      </c>
      <c r="E62" s="248"/>
      <c r="F62" s="248"/>
    </row>
    <row r="63" spans="1:6" x14ac:dyDescent="0.25">
      <c r="A63" s="249"/>
      <c r="B63" s="249"/>
      <c r="C63" s="249"/>
      <c r="D63" s="249"/>
      <c r="E63" s="249"/>
      <c r="F63" s="249"/>
    </row>
    <row r="64" spans="1:6" x14ac:dyDescent="0.25">
      <c r="A64" s="246"/>
      <c r="B64" s="246"/>
      <c r="C64" s="246"/>
      <c r="D64" s="246"/>
      <c r="E64" s="246"/>
      <c r="F64" s="246"/>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30"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36" customFormat="1" ht="36.75" customHeight="1" x14ac:dyDescent="0.25">
      <c r="A1" s="135" t="s">
        <v>14</v>
      </c>
      <c r="B1" s="136" t="s">
        <v>3</v>
      </c>
      <c r="D1" s="135"/>
      <c r="E1" s="135" t="s">
        <v>39</v>
      </c>
      <c r="F1" s="135" t="s">
        <v>40</v>
      </c>
      <c r="G1" s="135"/>
      <c r="H1" s="135"/>
      <c r="I1" s="135"/>
      <c r="J1" s="135"/>
      <c r="K1" s="135"/>
      <c r="L1" s="135" t="s">
        <v>41</v>
      </c>
      <c r="M1" s="135" t="s">
        <v>43</v>
      </c>
      <c r="N1" s="135" t="s">
        <v>42</v>
      </c>
    </row>
    <row r="2" spans="1:23" ht="15" customHeight="1" x14ac:dyDescent="0.25">
      <c r="A2" s="129">
        <v>1</v>
      </c>
      <c r="B2" t="s">
        <v>257</v>
      </c>
      <c r="C2" t="s">
        <v>66</v>
      </c>
      <c r="D2" s="131" t="s">
        <v>257</v>
      </c>
      <c r="E2" s="131" t="s">
        <v>45</v>
      </c>
      <c r="F2" s="132">
        <v>44207</v>
      </c>
      <c r="G2" s="122">
        <f>MONTH(F2)</f>
        <v>1</v>
      </c>
      <c r="H2" s="132" t="str">
        <f>IF(G2=$A$26,$A$28,IF(G2=$B$26,$B$28,IF(G2=$C$26,$C$28,IF(G2=$D$26,$D$28,IF(G2=$E$26,$E$28,IF(G2=$F$26,$F$28,IF(G2=$K$26,$K$28,IF(G2=$L$26,$L$28,IF(G2=$M$26,$M$28,IF(G2=$N$26,$N$28,IF(G2=$O$26,$O$28,IF(G2=$P$26,$P$28,0))))))))))))</f>
        <v>yanvar</v>
      </c>
      <c r="I2" s="122">
        <f>DAY(F2)</f>
        <v>11</v>
      </c>
      <c r="J2" s="134">
        <f>YEAR(F2)</f>
        <v>2021</v>
      </c>
      <c r="K2" s="132" t="str">
        <f>""&amp;I2&amp;" "&amp;H2&amp;" "&amp;J2&amp;" г."</f>
        <v>11 yanvar 2021 г.</v>
      </c>
      <c r="L2" s="131">
        <v>5</v>
      </c>
      <c r="M2" s="133">
        <v>15000000</v>
      </c>
      <c r="N2" s="131"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0"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29">
        <v>2</v>
      </c>
      <c r="D3" s="131" t="s">
        <v>257</v>
      </c>
      <c r="E3" s="131" t="s">
        <v>44</v>
      </c>
      <c r="F3" s="132">
        <v>43775</v>
      </c>
      <c r="G3" s="122">
        <f>MONTH(F3)</f>
        <v>11</v>
      </c>
      <c r="H3" s="132" t="str">
        <f>IF(G3=$A$26,$A$28,IF(G3=$B$26,$B$28,IF(G3=$C$26,$C$28,IF(G3=$D$26,$D$28,IF(G3=$E$26,$E$28,IF(G3=$F$26,$F$28,IF(G3=$K$26,$K$28,IF(G3=$L$26,$L$28,IF(G3=$M$26,$M$28,IF(G3=$N$26,$N$28,IF(G3=$O$26,$O$28,IF(G3=$P$26,$P$28,0))))))))))))</f>
        <v>noyabr</v>
      </c>
      <c r="I3" s="122">
        <f>DAY(F3)</f>
        <v>6</v>
      </c>
      <c r="J3" s="134">
        <f>YEAR(F3)</f>
        <v>2019</v>
      </c>
      <c r="K3" s="132" t="str">
        <f>""&amp;I3&amp;" "&amp;H3&amp;" "&amp;J3&amp;" г."</f>
        <v>6 noyabr 2019 г.</v>
      </c>
      <c r="L3" s="131">
        <v>386</v>
      </c>
      <c r="M3" s="133">
        <v>15000000</v>
      </c>
      <c r="N3" s="131"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29">
        <v>3</v>
      </c>
      <c r="D4" s="131" t="s">
        <v>257</v>
      </c>
      <c r="E4" s="131" t="s">
        <v>44</v>
      </c>
      <c r="F4" s="132">
        <v>44217</v>
      </c>
      <c r="G4" s="122">
        <f>MONTH(F4)</f>
        <v>1</v>
      </c>
      <c r="H4" s="132" t="str">
        <f>IF(G4=$A$26,$A$28,IF(G4=$B$26,$B$28,IF(G4=$C$26,$C$28,IF(G4=$D$26,$D$28,IF(G4=$E$26,$E$28,IF(G4=$F$26,$F$28,IF(G4=$K$26,$K$28,IF(G4=$L$26,$L$28,IF(G4=$M$26,$M$28,IF(G4=$N$26,$N$28,IF(G4=$O$26,$O$28,IF(G4=$P$26,$P$28,0))))))))))))</f>
        <v>yanvar</v>
      </c>
      <c r="I4" s="122">
        <f>DAY(F4)</f>
        <v>21</v>
      </c>
      <c r="J4" s="134">
        <f>YEAR(F4)</f>
        <v>2021</v>
      </c>
      <c r="K4" s="132" t="str">
        <f>""&amp;I4&amp;" "&amp;H4&amp;" "&amp;J4&amp;" г."</f>
        <v>21 yanvar 2021 г.</v>
      </c>
      <c r="L4" s="131">
        <v>33</v>
      </c>
      <c r="M4" s="133">
        <v>15000000</v>
      </c>
      <c r="N4" s="131"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29">
        <v>4</v>
      </c>
      <c r="D5" s="131" t="s">
        <v>257</v>
      </c>
      <c r="E5" s="131"/>
      <c r="F5" s="132"/>
      <c r="G5" s="122">
        <f t="shared" ref="G5:G21" si="2">MONTH(F5)</f>
        <v>1</v>
      </c>
      <c r="H5" s="132" t="str">
        <f t="shared" ref="H5:H21" si="3">IF(G5=$A$26,$A$28,IF(G5=$B$26,$B$28,IF(G5=$C$26,$C$28,IF(G5=$D$26,$D$28,IF(G5=$E$26,$E$28,IF(G5=$F$26,$F$28,IF(G5=$K$26,$K$28,IF(G5=$L$26,$L$28,IF(G5=$M$26,$M$28,IF(G5=$N$26,$N$28,IF(G5=$O$26,$O$28,IF(G5=$P$26,$P$28,0))))))))))))</f>
        <v>yanvar</v>
      </c>
      <c r="I5" s="122">
        <f t="shared" ref="I5:I21" si="4">DAY(F5)</f>
        <v>0</v>
      </c>
      <c r="J5" s="134">
        <f t="shared" ref="J5:J21" si="5">YEAR(F5)</f>
        <v>1900</v>
      </c>
      <c r="K5" s="132" t="str">
        <f t="shared" ref="K5:K21" si="6">""&amp;I5&amp;" "&amp;H5&amp;" "&amp;J5&amp;" г."</f>
        <v>0 yanvar 1900 г.</v>
      </c>
      <c r="L5" s="131"/>
      <c r="M5" s="133"/>
      <c r="N5" s="131"/>
      <c r="P5">
        <f t="shared" si="1"/>
        <v>0</v>
      </c>
    </row>
    <row r="6" spans="1:23" ht="15" customHeight="1" x14ac:dyDescent="0.25">
      <c r="A6" s="129">
        <v>5</v>
      </c>
      <c r="D6" s="131" t="s">
        <v>257</v>
      </c>
      <c r="E6" s="131"/>
      <c r="F6" s="132"/>
      <c r="G6" s="122">
        <f t="shared" si="2"/>
        <v>1</v>
      </c>
      <c r="H6" s="132" t="str">
        <f t="shared" si="3"/>
        <v>yanvar</v>
      </c>
      <c r="I6" s="122">
        <f t="shared" si="4"/>
        <v>0</v>
      </c>
      <c r="J6" s="134">
        <f t="shared" si="5"/>
        <v>1900</v>
      </c>
      <c r="K6" s="132" t="str">
        <f t="shared" si="6"/>
        <v>0 yanvar 1900 г.</v>
      </c>
      <c r="L6" s="131"/>
      <c r="M6" s="133"/>
      <c r="N6" s="131"/>
      <c r="P6">
        <f t="shared" si="1"/>
        <v>0</v>
      </c>
    </row>
    <row r="7" spans="1:23" ht="15" customHeight="1" x14ac:dyDescent="0.25">
      <c r="A7" s="129">
        <v>6</v>
      </c>
      <c r="D7" s="131" t="s">
        <v>257</v>
      </c>
      <c r="E7" s="131"/>
      <c r="F7" s="132"/>
      <c r="G7" s="122">
        <f t="shared" si="2"/>
        <v>1</v>
      </c>
      <c r="H7" s="132" t="str">
        <f t="shared" si="3"/>
        <v>yanvar</v>
      </c>
      <c r="I7" s="122">
        <f t="shared" si="4"/>
        <v>0</v>
      </c>
      <c r="J7" s="134">
        <f t="shared" si="5"/>
        <v>1900</v>
      </c>
      <c r="K7" s="132" t="str">
        <f t="shared" si="6"/>
        <v>0 yanvar 1900 г.</v>
      </c>
      <c r="L7" s="131"/>
      <c r="M7" s="133"/>
      <c r="N7" s="131"/>
      <c r="P7">
        <f t="shared" si="1"/>
        <v>0</v>
      </c>
    </row>
    <row r="8" spans="1:23" ht="15" customHeight="1" x14ac:dyDescent="0.25">
      <c r="A8" s="129">
        <v>7</v>
      </c>
      <c r="D8" s="131" t="s">
        <v>257</v>
      </c>
      <c r="E8" s="131"/>
      <c r="F8" s="132"/>
      <c r="G8" s="122">
        <f t="shared" si="2"/>
        <v>1</v>
      </c>
      <c r="H8" s="132" t="str">
        <f t="shared" si="3"/>
        <v>yanvar</v>
      </c>
      <c r="I8" s="122">
        <f t="shared" si="4"/>
        <v>0</v>
      </c>
      <c r="J8" s="134">
        <f t="shared" si="5"/>
        <v>1900</v>
      </c>
      <c r="K8" s="132" t="str">
        <f t="shared" si="6"/>
        <v>0 yanvar 1900 г.</v>
      </c>
      <c r="L8" s="131"/>
      <c r="M8" s="133"/>
      <c r="N8" s="131"/>
      <c r="P8">
        <f t="shared" si="1"/>
        <v>0</v>
      </c>
    </row>
    <row r="9" spans="1:23" ht="15" customHeight="1" x14ac:dyDescent="0.25">
      <c r="A9" s="129">
        <v>8</v>
      </c>
      <c r="D9" s="131" t="s">
        <v>257</v>
      </c>
      <c r="E9" s="131"/>
      <c r="F9" s="132"/>
      <c r="G9" s="122">
        <f t="shared" si="2"/>
        <v>1</v>
      </c>
      <c r="H9" s="132" t="str">
        <f t="shared" si="3"/>
        <v>yanvar</v>
      </c>
      <c r="I9" s="122">
        <f t="shared" si="4"/>
        <v>0</v>
      </c>
      <c r="J9" s="134">
        <f t="shared" si="5"/>
        <v>1900</v>
      </c>
      <c r="K9" s="132" t="str">
        <f t="shared" si="6"/>
        <v>0 yanvar 1900 г.</v>
      </c>
      <c r="L9" s="131"/>
      <c r="M9" s="133"/>
      <c r="N9" s="131"/>
      <c r="P9">
        <f t="shared" si="1"/>
        <v>0</v>
      </c>
    </row>
    <row r="10" spans="1:23" ht="15" customHeight="1" x14ac:dyDescent="0.25">
      <c r="A10" s="129">
        <v>9</v>
      </c>
      <c r="D10" s="131" t="s">
        <v>257</v>
      </c>
      <c r="E10" s="131"/>
      <c r="F10" s="132"/>
      <c r="G10" s="122">
        <f t="shared" si="2"/>
        <v>1</v>
      </c>
      <c r="H10" s="132" t="str">
        <f t="shared" si="3"/>
        <v>yanvar</v>
      </c>
      <c r="I10" s="122">
        <f t="shared" si="4"/>
        <v>0</v>
      </c>
      <c r="J10" s="134">
        <f t="shared" si="5"/>
        <v>1900</v>
      </c>
      <c r="K10" s="132" t="str">
        <f t="shared" si="6"/>
        <v>0 yanvar 1900 г.</v>
      </c>
      <c r="L10" s="131"/>
      <c r="M10" s="133"/>
      <c r="N10" s="131"/>
      <c r="P10">
        <f t="shared" si="1"/>
        <v>0</v>
      </c>
    </row>
    <row r="11" spans="1:23" ht="15" customHeight="1" x14ac:dyDescent="0.25">
      <c r="A11" s="129">
        <v>10</v>
      </c>
      <c r="D11" s="131" t="s">
        <v>257</v>
      </c>
      <c r="E11" s="131"/>
      <c r="F11" s="132"/>
      <c r="G11" s="122">
        <f t="shared" si="2"/>
        <v>1</v>
      </c>
      <c r="H11" s="132" t="str">
        <f t="shared" si="3"/>
        <v>yanvar</v>
      </c>
      <c r="I11" s="122">
        <f t="shared" si="4"/>
        <v>0</v>
      </c>
      <c r="J11" s="134">
        <f t="shared" si="5"/>
        <v>1900</v>
      </c>
      <c r="K11" s="132" t="str">
        <f t="shared" si="6"/>
        <v>0 yanvar 1900 г.</v>
      </c>
      <c r="L11" s="131"/>
      <c r="M11" s="133"/>
      <c r="N11" s="131"/>
      <c r="P11">
        <f t="shared" si="1"/>
        <v>0</v>
      </c>
    </row>
    <row r="12" spans="1:23" ht="15" customHeight="1" x14ac:dyDescent="0.25">
      <c r="A12" s="129">
        <v>11</v>
      </c>
      <c r="D12" s="131" t="s">
        <v>257</v>
      </c>
      <c r="E12" s="131"/>
      <c r="F12" s="132"/>
      <c r="G12" s="122">
        <f t="shared" si="2"/>
        <v>1</v>
      </c>
      <c r="H12" s="132" t="str">
        <f t="shared" si="3"/>
        <v>yanvar</v>
      </c>
      <c r="I12" s="122">
        <f t="shared" si="4"/>
        <v>0</v>
      </c>
      <c r="J12" s="134">
        <f t="shared" si="5"/>
        <v>1900</v>
      </c>
      <c r="K12" s="132" t="str">
        <f t="shared" si="6"/>
        <v>0 yanvar 1900 г.</v>
      </c>
      <c r="L12" s="131"/>
      <c r="M12" s="133"/>
      <c r="N12" s="131"/>
      <c r="P12">
        <f t="shared" si="1"/>
        <v>0</v>
      </c>
    </row>
    <row r="13" spans="1:23" ht="15" customHeight="1" x14ac:dyDescent="0.25">
      <c r="A13" s="129">
        <v>12</v>
      </c>
      <c r="D13" s="131" t="s">
        <v>257</v>
      </c>
      <c r="E13" s="131"/>
      <c r="F13" s="132"/>
      <c r="G13" s="122">
        <f t="shared" si="2"/>
        <v>1</v>
      </c>
      <c r="H13" s="132" t="str">
        <f t="shared" si="3"/>
        <v>yanvar</v>
      </c>
      <c r="I13" s="122">
        <f t="shared" si="4"/>
        <v>0</v>
      </c>
      <c r="J13" s="134">
        <f t="shared" si="5"/>
        <v>1900</v>
      </c>
      <c r="K13" s="132" t="str">
        <f t="shared" si="6"/>
        <v>0 yanvar 1900 г.</v>
      </c>
      <c r="L13" s="131"/>
      <c r="M13" s="133"/>
      <c r="N13" s="131"/>
      <c r="P13">
        <f t="shared" si="1"/>
        <v>0</v>
      </c>
    </row>
    <row r="14" spans="1:23" ht="15" customHeight="1" x14ac:dyDescent="0.25">
      <c r="A14" s="129">
        <v>13</v>
      </c>
      <c r="D14" s="131" t="s">
        <v>257</v>
      </c>
      <c r="E14" s="131"/>
      <c r="F14" s="132"/>
      <c r="G14" s="122">
        <f t="shared" si="2"/>
        <v>1</v>
      </c>
      <c r="H14" s="132" t="str">
        <f t="shared" si="3"/>
        <v>yanvar</v>
      </c>
      <c r="I14" s="122">
        <f t="shared" si="4"/>
        <v>0</v>
      </c>
      <c r="J14" s="134">
        <f t="shared" si="5"/>
        <v>1900</v>
      </c>
      <c r="K14" s="132" t="str">
        <f t="shared" si="6"/>
        <v>0 yanvar 1900 г.</v>
      </c>
      <c r="L14" s="131"/>
      <c r="M14" s="133"/>
      <c r="N14" s="131"/>
      <c r="P14">
        <f t="shared" si="1"/>
        <v>0</v>
      </c>
    </row>
    <row r="15" spans="1:23" ht="15" customHeight="1" x14ac:dyDescent="0.25">
      <c r="A15" s="129">
        <v>14</v>
      </c>
      <c r="D15" s="131" t="s">
        <v>257</v>
      </c>
      <c r="E15" s="131"/>
      <c r="F15" s="132"/>
      <c r="G15" s="122">
        <f t="shared" si="2"/>
        <v>1</v>
      </c>
      <c r="H15" s="132" t="str">
        <f t="shared" si="3"/>
        <v>yanvar</v>
      </c>
      <c r="I15" s="122">
        <f t="shared" si="4"/>
        <v>0</v>
      </c>
      <c r="J15" s="134">
        <f t="shared" si="5"/>
        <v>1900</v>
      </c>
      <c r="K15" s="132" t="str">
        <f t="shared" si="6"/>
        <v>0 yanvar 1900 г.</v>
      </c>
      <c r="L15" s="131"/>
      <c r="M15" s="133"/>
      <c r="N15" s="131"/>
      <c r="P15">
        <f t="shared" si="1"/>
        <v>0</v>
      </c>
    </row>
    <row r="16" spans="1:23" ht="15" customHeight="1" x14ac:dyDescent="0.25">
      <c r="A16" s="129">
        <v>15</v>
      </c>
      <c r="D16" s="131" t="s">
        <v>257</v>
      </c>
      <c r="E16" s="131"/>
      <c r="F16" s="132"/>
      <c r="G16" s="122">
        <f t="shared" si="2"/>
        <v>1</v>
      </c>
      <c r="H16" s="132" t="str">
        <f t="shared" si="3"/>
        <v>yanvar</v>
      </c>
      <c r="I16" s="122">
        <f t="shared" si="4"/>
        <v>0</v>
      </c>
      <c r="J16" s="134">
        <f t="shared" si="5"/>
        <v>1900</v>
      </c>
      <c r="K16" s="132" t="str">
        <f t="shared" si="6"/>
        <v>0 yanvar 1900 г.</v>
      </c>
      <c r="L16" s="131"/>
      <c r="M16" s="133"/>
      <c r="N16" s="131"/>
      <c r="P16">
        <f t="shared" si="1"/>
        <v>0</v>
      </c>
    </row>
    <row r="17" spans="1:17" ht="15" customHeight="1" x14ac:dyDescent="0.25">
      <c r="A17" s="129">
        <v>16</v>
      </c>
      <c r="D17" s="131" t="s">
        <v>257</v>
      </c>
      <c r="E17" s="131"/>
      <c r="F17" s="132"/>
      <c r="G17" s="122">
        <f t="shared" si="2"/>
        <v>1</v>
      </c>
      <c r="H17" s="132" t="str">
        <f t="shared" si="3"/>
        <v>yanvar</v>
      </c>
      <c r="I17" s="122">
        <f t="shared" si="4"/>
        <v>0</v>
      </c>
      <c r="J17" s="134">
        <f t="shared" si="5"/>
        <v>1900</v>
      </c>
      <c r="K17" s="132" t="str">
        <f t="shared" si="6"/>
        <v>0 yanvar 1900 г.</v>
      </c>
      <c r="L17" s="131"/>
      <c r="M17" s="133"/>
      <c r="N17" s="131"/>
      <c r="P17">
        <f t="shared" si="1"/>
        <v>0</v>
      </c>
    </row>
    <row r="18" spans="1:17" ht="15" customHeight="1" x14ac:dyDescent="0.25">
      <c r="A18" s="129">
        <v>17</v>
      </c>
      <c r="D18" s="131" t="s">
        <v>257</v>
      </c>
      <c r="E18" s="131"/>
      <c r="F18" s="132"/>
      <c r="G18" s="122">
        <f t="shared" si="2"/>
        <v>1</v>
      </c>
      <c r="H18" s="132" t="str">
        <f t="shared" si="3"/>
        <v>yanvar</v>
      </c>
      <c r="I18" s="122">
        <f t="shared" si="4"/>
        <v>0</v>
      </c>
      <c r="J18" s="134">
        <f t="shared" si="5"/>
        <v>1900</v>
      </c>
      <c r="K18" s="132" t="str">
        <f t="shared" si="6"/>
        <v>0 yanvar 1900 г.</v>
      </c>
      <c r="L18" s="131"/>
      <c r="M18" s="133"/>
      <c r="N18" s="131"/>
      <c r="P18">
        <f t="shared" si="1"/>
        <v>0</v>
      </c>
    </row>
    <row r="19" spans="1:17" ht="15" customHeight="1" x14ac:dyDescent="0.25">
      <c r="A19" s="129">
        <v>18</v>
      </c>
      <c r="D19" s="131" t="s">
        <v>257</v>
      </c>
      <c r="E19" s="131"/>
      <c r="F19" s="132"/>
      <c r="G19" s="122">
        <f t="shared" si="2"/>
        <v>1</v>
      </c>
      <c r="H19" s="132" t="str">
        <f t="shared" si="3"/>
        <v>yanvar</v>
      </c>
      <c r="I19" s="122">
        <f t="shared" si="4"/>
        <v>0</v>
      </c>
      <c r="J19" s="134">
        <f t="shared" si="5"/>
        <v>1900</v>
      </c>
      <c r="K19" s="132" t="str">
        <f t="shared" si="6"/>
        <v>0 yanvar 1900 г.</v>
      </c>
      <c r="L19" s="131"/>
      <c r="M19" s="133"/>
      <c r="N19" s="131"/>
      <c r="P19">
        <f t="shared" si="1"/>
        <v>0</v>
      </c>
    </row>
    <row r="20" spans="1:17" ht="15" customHeight="1" x14ac:dyDescent="0.25">
      <c r="A20" s="129">
        <v>19</v>
      </c>
      <c r="D20" s="131" t="s">
        <v>257</v>
      </c>
      <c r="E20" s="131"/>
      <c r="F20" s="132"/>
      <c r="G20" s="122">
        <f t="shared" si="2"/>
        <v>1</v>
      </c>
      <c r="H20" s="132" t="str">
        <f t="shared" si="3"/>
        <v>yanvar</v>
      </c>
      <c r="I20" s="122">
        <f t="shared" si="4"/>
        <v>0</v>
      </c>
      <c r="J20" s="134">
        <f t="shared" si="5"/>
        <v>1900</v>
      </c>
      <c r="K20" s="132" t="str">
        <f t="shared" si="6"/>
        <v>0 yanvar 1900 г.</v>
      </c>
      <c r="L20" s="131"/>
      <c r="M20" s="133"/>
      <c r="N20" s="131"/>
      <c r="P20">
        <f t="shared" si="1"/>
        <v>0</v>
      </c>
    </row>
    <row r="21" spans="1:17" ht="15" customHeight="1" x14ac:dyDescent="0.25">
      <c r="A21" s="129">
        <v>20</v>
      </c>
      <c r="D21" s="131" t="s">
        <v>257</v>
      </c>
      <c r="E21" s="131"/>
      <c r="F21" s="132"/>
      <c r="G21" s="122">
        <f t="shared" si="2"/>
        <v>1</v>
      </c>
      <c r="H21" s="132" t="str">
        <f t="shared" si="3"/>
        <v>yanvar</v>
      </c>
      <c r="I21" s="122">
        <f t="shared" si="4"/>
        <v>0</v>
      </c>
      <c r="J21" s="134">
        <f t="shared" si="5"/>
        <v>1900</v>
      </c>
      <c r="K21" s="132" t="str">
        <f t="shared" si="6"/>
        <v>0 yanvar 1900 г.</v>
      </c>
      <c r="L21" s="131"/>
      <c r="M21" s="133"/>
      <c r="N21" s="131"/>
      <c r="P21">
        <f t="shared" si="1"/>
        <v>0</v>
      </c>
    </row>
    <row r="22" spans="1:17" x14ac:dyDescent="0.25">
      <c r="M22" s="137">
        <f>SUM(M2:M21)+'Общие данные'!B136</f>
        <v>345000000</v>
      </c>
      <c r="Q22" t="s">
        <v>256</v>
      </c>
    </row>
    <row r="23" spans="1:17" x14ac:dyDescent="0.25">
      <c r="A23" s="118"/>
      <c r="B23" s="119"/>
      <c r="C23" s="119"/>
      <c r="D23" s="119"/>
      <c r="E23" s="119"/>
      <c r="F23" s="119"/>
      <c r="G23" s="119"/>
      <c r="H23" s="119"/>
      <c r="I23" s="119"/>
      <c r="J23" s="119"/>
      <c r="K23" s="119"/>
      <c r="L23" s="119"/>
      <c r="M23" s="119"/>
      <c r="N23" s="119"/>
      <c r="O23" s="119"/>
    </row>
    <row r="24" spans="1:17" x14ac:dyDescent="0.25">
      <c r="A24" s="119"/>
      <c r="B24" s="119"/>
      <c r="C24" s="119"/>
      <c r="D24" s="119"/>
      <c r="E24" s="119"/>
      <c r="F24" s="119"/>
      <c r="G24" s="119"/>
      <c r="H24" s="119"/>
      <c r="I24" s="119"/>
      <c r="J24" s="119"/>
      <c r="K24" s="119"/>
      <c r="L24" s="119"/>
      <c r="M24" s="119"/>
      <c r="N24" s="119"/>
      <c r="O24" s="119"/>
    </row>
    <row r="25" spans="1:17" x14ac:dyDescent="0.25">
      <c r="A25" s="119">
        <f>MONTH(F2)</f>
        <v>1</v>
      </c>
      <c r="B25" s="119" t="str">
        <f>IF(A25=A26,A28,IF(A25=B26,B28,IF(A25=C26,C28,IF(A25=D26,D28,IF(A25=E26,E28,IF(A25=F26,F28,IF(A25=K26,K28,IF(A25=L26,L28,IF(A25=M26,M28,IF(A25=N26,N28,IF(A25=O26,O28,IF(A25=#REF!,#REF!,))))))))))))</f>
        <v>yanvar</v>
      </c>
      <c r="C25" s="119">
        <f>DAY(F2)</f>
        <v>11</v>
      </c>
      <c r="D25" s="119">
        <f>YEAR(F2)</f>
        <v>2021</v>
      </c>
      <c r="E25" s="119"/>
      <c r="F25" s="119"/>
      <c r="G25" s="119"/>
      <c r="H25" s="119"/>
      <c r="I25" s="119"/>
      <c r="J25" s="119"/>
      <c r="K25" s="119"/>
      <c r="L25" s="119"/>
      <c r="M25" s="119"/>
      <c r="N25" s="119"/>
      <c r="O25" s="119"/>
    </row>
    <row r="26" spans="1:17" x14ac:dyDescent="0.25">
      <c r="A26" s="119">
        <v>1</v>
      </c>
      <c r="B26" s="119">
        <v>2</v>
      </c>
      <c r="C26" s="119">
        <v>3</v>
      </c>
      <c r="D26" s="119">
        <v>4</v>
      </c>
      <c r="E26" s="119">
        <v>5</v>
      </c>
      <c r="F26" s="119">
        <v>6</v>
      </c>
      <c r="G26" s="119"/>
      <c r="H26" s="119"/>
      <c r="I26" s="119"/>
      <c r="J26" s="119"/>
      <c r="K26" s="119">
        <v>7</v>
      </c>
      <c r="L26" s="119">
        <v>8</v>
      </c>
      <c r="M26" s="119">
        <v>9</v>
      </c>
      <c r="N26" s="119">
        <v>10</v>
      </c>
      <c r="O26" s="119">
        <v>11</v>
      </c>
      <c r="P26" s="119">
        <v>12</v>
      </c>
    </row>
    <row r="27" spans="1:17" x14ac:dyDescent="0.25">
      <c r="A27" s="119"/>
      <c r="B27" s="119"/>
      <c r="C27" s="119"/>
      <c r="D27" s="119"/>
      <c r="E27" s="119"/>
      <c r="F27" s="119"/>
      <c r="G27" s="119"/>
      <c r="H27" s="119"/>
      <c r="I27" s="119"/>
      <c r="J27" s="119"/>
      <c r="K27" s="119"/>
      <c r="L27" s="119"/>
      <c r="M27" s="119"/>
      <c r="N27" s="119"/>
      <c r="O27" s="119"/>
    </row>
    <row r="28" spans="1:17" x14ac:dyDescent="0.25">
      <c r="A28" s="119" t="s">
        <v>118</v>
      </c>
      <c r="B28" s="119" t="s">
        <v>119</v>
      </c>
      <c r="C28" s="119" t="s">
        <v>108</v>
      </c>
      <c r="D28" s="119" t="s">
        <v>109</v>
      </c>
      <c r="E28" s="119" t="s">
        <v>110</v>
      </c>
      <c r="F28" s="119" t="s">
        <v>111</v>
      </c>
      <c r="G28" s="119"/>
      <c r="H28" s="119"/>
      <c r="I28" s="119"/>
      <c r="J28" s="119"/>
      <c r="K28" s="119" t="s">
        <v>23</v>
      </c>
      <c r="L28" s="119" t="s">
        <v>113</v>
      </c>
      <c r="M28" s="119" t="s">
        <v>255</v>
      </c>
      <c r="N28" s="119" t="s">
        <v>254</v>
      </c>
      <c r="O28" s="119" t="s">
        <v>116</v>
      </c>
      <c r="P28" s="119" t="s">
        <v>117</v>
      </c>
    </row>
    <row r="29" spans="1:17" x14ac:dyDescent="0.25">
      <c r="A29" s="119" t="s">
        <v>118</v>
      </c>
      <c r="B29" s="119" t="s">
        <v>119</v>
      </c>
      <c r="C29" s="119" t="s">
        <v>108</v>
      </c>
      <c r="D29" s="119" t="s">
        <v>109</v>
      </c>
      <c r="E29" s="119" t="s">
        <v>110</v>
      </c>
      <c r="F29" s="119" t="s">
        <v>111</v>
      </c>
      <c r="G29" s="119"/>
      <c r="H29" s="119"/>
      <c r="I29" s="119"/>
      <c r="J29" s="119"/>
      <c r="K29" s="119" t="s">
        <v>27</v>
      </c>
      <c r="L29" s="119" t="s">
        <v>113</v>
      </c>
      <c r="M29" s="119" t="s">
        <v>255</v>
      </c>
      <c r="N29" s="119" t="s">
        <v>254</v>
      </c>
      <c r="O29" s="119" t="s">
        <v>116</v>
      </c>
      <c r="P29" s="119" t="s">
        <v>117</v>
      </c>
    </row>
    <row r="30" spans="1:17" x14ac:dyDescent="0.25">
      <c r="A30" s="119"/>
      <c r="B30" s="119"/>
      <c r="C30" s="119"/>
      <c r="D30" s="119"/>
      <c r="E30" s="119"/>
      <c r="F30" s="119"/>
      <c r="G30" s="119"/>
      <c r="H30" s="119"/>
      <c r="I30" s="119"/>
      <c r="J30" s="119"/>
      <c r="K30" s="119"/>
      <c r="L30" s="120"/>
      <c r="M30" s="120"/>
      <c r="N30" s="120"/>
      <c r="O30" s="120"/>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162" sqref="B162"/>
    </sheetView>
  </sheetViews>
  <sheetFormatPr defaultColWidth="0" defaultRowHeight="15" zeroHeight="1" x14ac:dyDescent="0.2"/>
  <cols>
    <col min="1" max="1" width="68" style="6" customWidth="1"/>
    <col min="2" max="2" width="61.85546875" style="7" customWidth="1"/>
    <col min="3" max="3" width="63.85546875" style="212" customWidth="1"/>
    <col min="4" max="4" width="29.7109375" style="212" customWidth="1"/>
    <col min="5" max="7" width="9.140625" style="4" hidden="1" customWidth="1"/>
    <col min="8" max="8" width="62.5703125" style="4" hidden="1" customWidth="1"/>
    <col min="9" max="13" width="9.140625" style="4" hidden="1" customWidth="1"/>
    <col min="14" max="14" width="70.7109375" style="4" hidden="1" customWidth="1"/>
    <col min="15" max="16" width="9.140625" style="4" hidden="1" customWidth="1"/>
    <col min="17" max="17" width="59.7109375" style="4" hidden="1" customWidth="1"/>
    <col min="18" max="18" width="49.85546875" style="4" hidden="1" customWidth="1"/>
    <col min="19" max="16384" width="9.140625" style="4" hidden="1"/>
  </cols>
  <sheetData>
    <row r="1" spans="1:4" x14ac:dyDescent="0.2">
      <c r="A1" s="3" t="str">
        <f>CONCATENATE(B65," olish uchun ariza")</f>
        <v>mikrokredit olish uchun ariza</v>
      </c>
      <c r="B1" s="53" t="s">
        <v>432</v>
      </c>
    </row>
    <row r="2" spans="1:4" x14ac:dyDescent="0.2">
      <c r="A2" s="3" t="str">
        <f>CONCATENATE(B65," olish uchun ariza sanasi QO’L BILAN KIRITILADI")</f>
        <v>mikrokredit olish uchun ariza sanasi QO’L BILAN KIRITILADI</v>
      </c>
      <c r="B2" s="64" t="s">
        <v>433</v>
      </c>
      <c r="D2" s="212">
        <f>180+B2</f>
        <v>45857</v>
      </c>
    </row>
    <row r="3" spans="1:4" x14ac:dyDescent="0.2">
      <c r="A3" s="3"/>
      <c r="B3" s="1"/>
    </row>
    <row r="4" spans="1:4" x14ac:dyDescent="0.2">
      <c r="A4" s="250" t="s">
        <v>52</v>
      </c>
      <c r="B4" s="250"/>
    </row>
    <row r="5" spans="1:4" x14ac:dyDescent="0.2">
      <c r="A5" s="3" t="s">
        <v>53</v>
      </c>
      <c r="B5" s="53" t="s">
        <v>409</v>
      </c>
    </row>
    <row r="6" spans="1:4" ht="30" x14ac:dyDescent="0.2">
      <c r="A6" s="3" t="s">
        <v>54</v>
      </c>
      <c r="B6" s="53" t="s">
        <v>133</v>
      </c>
      <c r="C6" s="212" t="s">
        <v>257</v>
      </c>
      <c r="D6" s="212" t="s">
        <v>133</v>
      </c>
    </row>
    <row r="7" spans="1:4" x14ac:dyDescent="0.2">
      <c r="A7" s="3" t="s">
        <v>55</v>
      </c>
      <c r="B7" s="53" t="s">
        <v>410</v>
      </c>
    </row>
    <row r="8" spans="1:4" hidden="1" x14ac:dyDescent="0.2">
      <c r="A8" s="3" t="s">
        <v>56</v>
      </c>
      <c r="B8" s="86" t="str">
        <f>B5</f>
        <v>EGAMBERDIYEV TO‘XTASIN INOYATOVICH</v>
      </c>
    </row>
    <row r="9" spans="1:4" hidden="1" x14ac:dyDescent="0.2">
      <c r="A9" s="3" t="s">
        <v>57</v>
      </c>
      <c r="B9" s="86" t="str">
        <f>B7</f>
        <v>EGAMBERDIYEV T.I.</v>
      </c>
    </row>
    <row r="10" spans="1:4" hidden="1" x14ac:dyDescent="0.2">
      <c r="A10" s="3" t="s">
        <v>58</v>
      </c>
      <c r="B10" s="86" t="str">
        <f>B8</f>
        <v>EGAMBERDIYEV TO‘XTASIN INOYATOVICH</v>
      </c>
    </row>
    <row r="11" spans="1:4" hidden="1" x14ac:dyDescent="0.2">
      <c r="A11" s="3" t="s">
        <v>59</v>
      </c>
      <c r="B11" s="86" t="str">
        <f>B9</f>
        <v>EGAMBERDIYEV T.I.</v>
      </c>
    </row>
    <row r="12" spans="1:4" hidden="1" x14ac:dyDescent="0.2">
      <c r="A12" s="3" t="s">
        <v>60</v>
      </c>
      <c r="B12" s="86" t="str">
        <f>B10</f>
        <v>EGAMBERDIYEV TO‘XTASIN INOYATOVICH</v>
      </c>
    </row>
    <row r="13" spans="1:4" hidden="1" x14ac:dyDescent="0.2">
      <c r="A13" s="3" t="s">
        <v>61</v>
      </c>
      <c r="B13" s="86" t="str">
        <f>B11</f>
        <v>EGAMBERDIYEV T.I.</v>
      </c>
    </row>
    <row r="14" spans="1:4" hidden="1" x14ac:dyDescent="0.2">
      <c r="A14" s="3" t="s">
        <v>62</v>
      </c>
      <c r="B14" s="86" t="s">
        <v>65</v>
      </c>
    </row>
    <row r="15" spans="1:4" x14ac:dyDescent="0.2">
      <c r="A15" s="3" t="s">
        <v>63</v>
      </c>
      <c r="B15" s="154" t="s">
        <v>411</v>
      </c>
    </row>
    <row r="16" spans="1:4" x14ac:dyDescent="0.2">
      <c r="A16" s="3" t="s">
        <v>64</v>
      </c>
      <c r="B16" s="53" t="s">
        <v>434</v>
      </c>
    </row>
    <row r="17" spans="1:10" x14ac:dyDescent="0.2">
      <c r="A17" s="3"/>
      <c r="B17" s="221" t="s">
        <v>412</v>
      </c>
      <c r="D17" s="212" t="str">
        <f>TEXT(C17,"ДД.ММ.ГГГГ")</f>
        <v>00.01.1900</v>
      </c>
    </row>
    <row r="18" spans="1:10" x14ac:dyDescent="0.2">
      <c r="A18" s="3"/>
      <c r="B18" s="154">
        <v>44767</v>
      </c>
      <c r="C18" s="90" t="str">
        <f>TEXT(B18,"ДД.ММ.ГГГГ")</f>
        <v>25.07.2022</v>
      </c>
    </row>
    <row r="19" spans="1:10" x14ac:dyDescent="0.2">
      <c r="A19" s="3"/>
      <c r="B19" s="154">
        <f>DATE(YEAR(B18)+10,MONTH(B18),DAY(B18)-1)</f>
        <v>48419</v>
      </c>
      <c r="C19" s="90" t="str">
        <f>TEXT(B19,"ДД.ММ.ГГГГ")</f>
        <v>24.07.2032</v>
      </c>
    </row>
    <row r="20" spans="1:10" ht="45" x14ac:dyDescent="0.2">
      <c r="A20" s="3" t="s">
        <v>67</v>
      </c>
      <c r="B20" s="69" t="str">
        <f>""&amp;B17&amp;" tomonidan "&amp;C18&amp;" yilda berilgan"</f>
        <v>IIV 60001  tomonidan 25.07.2022 yilda berilgan</v>
      </c>
      <c r="C20" s="91" t="str">
        <f>""&amp;B22&amp;" tomonidan "&amp;C18&amp;" yilda berilgan"</f>
        <v>TOSHKENT SHAHRI UCHTEPA TUMANI 25-MAVZE 4-DOM 34-XONADON tomonidan 25.07.2022 yilda berilgan</v>
      </c>
    </row>
    <row r="21" spans="1:10" ht="45" x14ac:dyDescent="0.2">
      <c r="A21" s="3" t="s">
        <v>68</v>
      </c>
      <c r="B21" s="69" t="str">
        <f>""&amp;C19&amp;" y."</f>
        <v>24.07.2032 y.</v>
      </c>
      <c r="C21" s="90" t="str">
        <f>""&amp;C19&amp;" yilgacha"</f>
        <v>24.07.2032 yilgacha</v>
      </c>
    </row>
    <row r="22" spans="1:10" ht="42.75" customHeight="1" x14ac:dyDescent="0.2">
      <c r="A22" s="3" t="s">
        <v>69</v>
      </c>
      <c r="B22" s="221" t="s">
        <v>413</v>
      </c>
      <c r="C22" s="90" t="str">
        <f>TEXT(B19,"ДД.ММ.ГГГГ")</f>
        <v>24.07.2032</v>
      </c>
    </row>
    <row r="23" spans="1:10" ht="30" x14ac:dyDescent="0.2">
      <c r="A23" s="3" t="s">
        <v>70</v>
      </c>
      <c r="B23" s="53" t="s">
        <v>94</v>
      </c>
      <c r="C23" s="212" t="s">
        <v>94</v>
      </c>
      <c r="D23" s="212" t="s">
        <v>95</v>
      </c>
    </row>
    <row r="24" spans="1:10" ht="30" hidden="1" x14ac:dyDescent="0.2">
      <c r="A24" s="3" t="s">
        <v>71</v>
      </c>
      <c r="B24" s="53" t="s">
        <v>92</v>
      </c>
      <c r="C24" s="212" t="s">
        <v>92</v>
      </c>
      <c r="D24" s="212" t="s">
        <v>93</v>
      </c>
      <c r="E24" s="5" t="s">
        <v>0</v>
      </c>
      <c r="F24" s="5" t="s">
        <v>1</v>
      </c>
      <c r="G24" s="4" t="s">
        <v>3</v>
      </c>
    </row>
    <row r="25" spans="1:10" x14ac:dyDescent="0.2">
      <c r="A25" s="3" t="s">
        <v>72</v>
      </c>
      <c r="B25" s="53" t="s">
        <v>416</v>
      </c>
    </row>
    <row r="26" spans="1:10" ht="44.25" customHeight="1" x14ac:dyDescent="0.2">
      <c r="A26" s="3" t="s">
        <v>73</v>
      </c>
      <c r="B26" s="53" t="s">
        <v>414</v>
      </c>
      <c r="C26" s="212" t="s">
        <v>26</v>
      </c>
    </row>
    <row r="27" spans="1:10" ht="44.25" hidden="1" customHeight="1" x14ac:dyDescent="0.2">
      <c r="A27" s="3"/>
      <c r="B27" s="53" t="e">
        <f>IF(B23="mos keladi",#REF!,B28)</f>
        <v>#REF!</v>
      </c>
    </row>
    <row r="28" spans="1:10" ht="39.75" customHeight="1" x14ac:dyDescent="0.2">
      <c r="A28" s="3" t="s">
        <v>74</v>
      </c>
      <c r="B28" s="221" t="s">
        <v>413</v>
      </c>
    </row>
    <row r="29" spans="1:10" x14ac:dyDescent="0.2">
      <c r="A29" s="3" t="s">
        <v>75</v>
      </c>
      <c r="B29" s="53" t="s">
        <v>92</v>
      </c>
      <c r="C29" s="212" t="s">
        <v>92</v>
      </c>
      <c r="D29" s="212" t="s">
        <v>93</v>
      </c>
      <c r="E29" s="120" t="s">
        <v>330</v>
      </c>
      <c r="F29" s="120" t="s">
        <v>331</v>
      </c>
      <c r="G29" s="120" t="s">
        <v>3</v>
      </c>
      <c r="H29" s="120"/>
      <c r="I29" s="120"/>
      <c r="J29" s="120"/>
    </row>
    <row r="30" spans="1:10" ht="27" x14ac:dyDescent="0.2">
      <c r="A30" s="3" t="s">
        <v>76</v>
      </c>
      <c r="B30" s="201" t="s">
        <v>148</v>
      </c>
      <c r="C30" s="212" t="s">
        <v>148</v>
      </c>
      <c r="D30" s="212" t="s">
        <v>334</v>
      </c>
    </row>
    <row r="31" spans="1:10" x14ac:dyDescent="0.2">
      <c r="A31" s="3" t="s">
        <v>77</v>
      </c>
      <c r="B31" s="53" t="s">
        <v>415</v>
      </c>
    </row>
    <row r="32" spans="1:10" x14ac:dyDescent="0.2">
      <c r="A32" s="3" t="s">
        <v>62</v>
      </c>
      <c r="B32" s="53" t="s">
        <v>65</v>
      </c>
    </row>
    <row r="33" spans="1:4" x14ac:dyDescent="0.2">
      <c r="A33" s="3" t="s">
        <v>72</v>
      </c>
      <c r="B33" s="53" t="s">
        <v>416</v>
      </c>
    </row>
    <row r="34" spans="1:4" hidden="1" x14ac:dyDescent="0.2">
      <c r="A34" s="3"/>
      <c r="B34" s="53" t="str">
        <f>IF(B23="mos keladi",B26,B35)</f>
        <v>VATAN KINOTEATRI OLMOS TOYXONA</v>
      </c>
    </row>
    <row r="35" spans="1:4" x14ac:dyDescent="0.2">
      <c r="A35" s="3" t="s">
        <v>73</v>
      </c>
      <c r="B35" s="53"/>
    </row>
    <row r="36" spans="1:4" x14ac:dyDescent="0.2">
      <c r="A36" s="3" t="s">
        <v>78</v>
      </c>
      <c r="B36" s="53"/>
    </row>
    <row r="37" spans="1:4" x14ac:dyDescent="0.2">
      <c r="A37" s="3" t="s">
        <v>79</v>
      </c>
      <c r="B37" s="53"/>
    </row>
    <row r="38" spans="1:4" x14ac:dyDescent="0.2">
      <c r="A38" s="3" t="s">
        <v>80</v>
      </c>
      <c r="B38" s="53"/>
    </row>
    <row r="39" spans="1:4" x14ac:dyDescent="0.2">
      <c r="A39" s="3" t="s">
        <v>81</v>
      </c>
      <c r="B39" s="53"/>
    </row>
    <row r="40" spans="1:4" ht="24.75" customHeight="1" x14ac:dyDescent="0.2">
      <c r="A40" s="3" t="s">
        <v>82</v>
      </c>
      <c r="B40" s="53" t="s">
        <v>416</v>
      </c>
    </row>
    <row r="41" spans="1:4" ht="24.75" customHeight="1" x14ac:dyDescent="0.2">
      <c r="A41" s="3" t="s">
        <v>83</v>
      </c>
      <c r="B41" s="53" t="s">
        <v>417</v>
      </c>
    </row>
    <row r="42" spans="1:4" ht="24.75" customHeight="1" x14ac:dyDescent="0.2">
      <c r="A42" s="3" t="s">
        <v>82</v>
      </c>
      <c r="B42" s="53" t="s">
        <v>418</v>
      </c>
      <c r="C42" s="212" t="s">
        <v>392</v>
      </c>
    </row>
    <row r="43" spans="1:4" x14ac:dyDescent="0.2">
      <c r="A43" s="3" t="s">
        <v>83</v>
      </c>
      <c r="B43" s="53"/>
    </row>
    <row r="44" spans="1:4" ht="23.25" x14ac:dyDescent="0.2">
      <c r="A44" s="203" t="s">
        <v>84</v>
      </c>
      <c r="B44" s="202" t="s">
        <v>354</v>
      </c>
      <c r="C44" s="212" t="s">
        <v>346</v>
      </c>
      <c r="D44" s="212" t="s">
        <v>354</v>
      </c>
    </row>
    <row r="45" spans="1:4" hidden="1" x14ac:dyDescent="0.2">
      <c r="A45" s="3"/>
      <c r="B45" s="200" t="str">
        <f>IF(B44=D44,CONCATENATE("MA'LUMOTNOMA ",B47,B46),C44)</f>
        <v>MA'LUMOTNOMA № 0008006825</v>
      </c>
    </row>
    <row r="46" spans="1:4" ht="46.5" x14ac:dyDescent="0.2">
      <c r="A46" s="203" t="s">
        <v>355</v>
      </c>
      <c r="B46" s="222" t="s">
        <v>419</v>
      </c>
    </row>
    <row r="47" spans="1:4" ht="23.25" x14ac:dyDescent="0.2">
      <c r="A47" s="203"/>
      <c r="B47" s="222"/>
      <c r="C47" s="212" t="s">
        <v>14</v>
      </c>
    </row>
    <row r="48" spans="1:4" ht="72.75" customHeight="1" x14ac:dyDescent="0.2">
      <c r="A48" s="203" t="s">
        <v>356</v>
      </c>
      <c r="B48" s="200" t="s">
        <v>420</v>
      </c>
    </row>
    <row r="49" spans="1:22" hidden="1" x14ac:dyDescent="0.2">
      <c r="A49" s="3" t="s">
        <v>85</v>
      </c>
      <c r="B49" s="53" t="str">
        <f>IF(B44=C44,C44,B48)</f>
        <v>BEMORLARGA QARASH</v>
      </c>
    </row>
    <row r="50" spans="1:22" ht="30" x14ac:dyDescent="0.2">
      <c r="A50" s="3" t="s">
        <v>86</v>
      </c>
      <c r="B50" s="53"/>
    </row>
    <row r="51" spans="1:22" x14ac:dyDescent="0.2">
      <c r="A51" s="3" t="s">
        <v>73</v>
      </c>
      <c r="B51" s="53" t="s">
        <v>26</v>
      </c>
    </row>
    <row r="52" spans="1:22" x14ac:dyDescent="0.2">
      <c r="A52" s="3" t="s">
        <v>87</v>
      </c>
      <c r="B52" s="53"/>
    </row>
    <row r="53" spans="1:22" x14ac:dyDescent="0.2">
      <c r="A53" s="3" t="s">
        <v>88</v>
      </c>
      <c r="B53" s="53"/>
    </row>
    <row r="54" spans="1:22" x14ac:dyDescent="0.2">
      <c r="A54" s="3" t="s">
        <v>89</v>
      </c>
      <c r="B54" s="53"/>
    </row>
    <row r="55" spans="1:22" x14ac:dyDescent="0.2">
      <c r="A55" s="3" t="s">
        <v>90</v>
      </c>
      <c r="B55" s="2"/>
    </row>
    <row r="56" spans="1:22" x14ac:dyDescent="0.2">
      <c r="A56" s="3" t="s">
        <v>91</v>
      </c>
      <c r="B56" s="2" t="s">
        <v>21</v>
      </c>
    </row>
    <row r="57" spans="1:22" ht="30" customHeight="1" x14ac:dyDescent="0.2">
      <c r="A57" s="251" t="s">
        <v>96</v>
      </c>
      <c r="B57" s="252"/>
    </row>
    <row r="58" spans="1:22" ht="20.25" hidden="1" customHeight="1" x14ac:dyDescent="0.2">
      <c r="A58" s="3" t="s">
        <v>97</v>
      </c>
      <c r="B58" s="53" t="str">
        <f>IF(B44=C44,C44,CONCATENATE(B44," ",B47))</f>
        <v xml:space="preserve">O'Z O'ZINI BAND QILGAN FUQARO </v>
      </c>
    </row>
    <row r="59" spans="1:22" ht="31.5" hidden="1" customHeight="1" x14ac:dyDescent="0.2">
      <c r="A59" s="3" t="s">
        <v>85</v>
      </c>
      <c r="B59" s="53" t="str">
        <f>B49</f>
        <v>BEMORLARGA QARASH</v>
      </c>
    </row>
    <row r="60" spans="1:22" ht="23.25" x14ac:dyDescent="0.2">
      <c r="A60" s="203" t="s">
        <v>98</v>
      </c>
      <c r="B60" s="207">
        <v>29000000</v>
      </c>
      <c r="C60" s="226">
        <f>C63/B75</f>
        <v>0.4938812736</v>
      </c>
    </row>
    <row r="61" spans="1:22" x14ac:dyDescent="0.2">
      <c r="A61" s="3" t="s">
        <v>99</v>
      </c>
      <c r="B61" s="9"/>
      <c r="C61" s="227" t="s">
        <v>399</v>
      </c>
      <c r="E61" s="120"/>
      <c r="F61" s="120"/>
      <c r="G61" s="120"/>
      <c r="H61" s="120"/>
      <c r="I61" s="120"/>
      <c r="J61" s="120"/>
      <c r="K61" s="120"/>
      <c r="L61" s="120"/>
      <c r="M61" s="120"/>
      <c r="N61" s="120"/>
      <c r="O61" s="120"/>
    </row>
    <row r="62" spans="1:22" hidden="1" x14ac:dyDescent="0.2">
      <c r="A62" s="3" t="s">
        <v>100</v>
      </c>
      <c r="B62" s="53">
        <f>B53</f>
        <v>0</v>
      </c>
      <c r="C62" s="224"/>
      <c r="E62" s="120"/>
      <c r="F62" s="120"/>
      <c r="G62" s="120"/>
      <c r="H62" s="120"/>
      <c r="I62" s="120"/>
      <c r="J62" s="120"/>
      <c r="K62" s="120"/>
      <c r="L62" s="120"/>
      <c r="M62" s="120"/>
      <c r="N62" s="120"/>
      <c r="O62" s="120"/>
    </row>
    <row r="63" spans="1:22" x14ac:dyDescent="0.2">
      <c r="A63" s="3" t="s">
        <v>101</v>
      </c>
      <c r="B63" s="53"/>
      <c r="C63" s="225">
        <f>SUM(График!E9:E20)</f>
        <v>98776254.719999999</v>
      </c>
      <c r="E63" s="5"/>
      <c r="F63" s="5"/>
      <c r="G63" s="5"/>
      <c r="H63" s="5"/>
      <c r="I63" s="5"/>
      <c r="J63" s="5"/>
      <c r="K63" s="5"/>
      <c r="L63" s="5"/>
      <c r="M63" s="5"/>
      <c r="N63" s="5"/>
      <c r="O63" s="5"/>
    </row>
    <row r="64" spans="1:22" x14ac:dyDescent="0.2">
      <c r="A64" s="250" t="s">
        <v>102</v>
      </c>
      <c r="B64" s="250"/>
      <c r="C64" s="212" t="str">
        <f>PROPER(B65)</f>
        <v>Mikrokredit</v>
      </c>
      <c r="D64" s="212" t="str">
        <f>UPPER(B65)</f>
        <v>MIKROKREDIT</v>
      </c>
      <c r="E64" s="120"/>
      <c r="F64" s="120"/>
      <c r="G64" s="120"/>
      <c r="H64" s="120"/>
      <c r="I64" s="120"/>
      <c r="J64" s="120"/>
      <c r="K64" s="120"/>
      <c r="L64" s="120"/>
      <c r="M64" s="120"/>
      <c r="N64" s="120"/>
      <c r="O64" s="120"/>
      <c r="P64" s="120"/>
      <c r="Q64" s="120"/>
      <c r="R64" s="120"/>
      <c r="S64" s="120"/>
      <c r="T64" s="120"/>
      <c r="U64" s="120"/>
      <c r="V64" s="120"/>
    </row>
    <row r="65" spans="1:22" ht="15.75" thickBot="1" x14ac:dyDescent="0.25">
      <c r="A65" s="3" t="s">
        <v>103</v>
      </c>
      <c r="B65" s="1" t="str">
        <f>IF(B75&gt;100000001,"mikrokredit",IF(B75&lt;100000001,"mikroqarz",0))</f>
        <v>mikrokredit</v>
      </c>
      <c r="C65" s="214">
        <f>DATE(YEAR(B67),MONTH(B67)+B81,DAY(B67))</f>
        <v>46772</v>
      </c>
      <c r="E65" s="119"/>
      <c r="F65" s="119"/>
      <c r="G65" s="119"/>
      <c r="H65" s="119"/>
      <c r="I65" s="119"/>
      <c r="J65" s="119"/>
      <c r="K65" s="119"/>
      <c r="L65" s="119"/>
      <c r="M65" s="119"/>
      <c r="N65" s="119"/>
      <c r="O65" s="120"/>
      <c r="P65" s="120"/>
      <c r="Q65" s="120"/>
      <c r="R65" s="120"/>
      <c r="S65" s="120"/>
      <c r="T65" s="120"/>
      <c r="U65" s="120"/>
      <c r="V65" s="120"/>
    </row>
    <row r="66" spans="1:22" hidden="1" x14ac:dyDescent="0.2">
      <c r="A66" s="3" t="s">
        <v>104</v>
      </c>
      <c r="B66" s="53" t="str">
        <f>B1</f>
        <v>№134</v>
      </c>
      <c r="C66" s="212">
        <f>MONTH(C65)</f>
        <v>1</v>
      </c>
      <c r="D66" s="212" t="str">
        <f>IF(C66=C68,C70,IF(C66=D68,D70,IF(C66=E68,E70,IF(C66=F68,F70,IF(C66=G68,G70,IF(C66=H68,H70,IF(C66=I68,I70,IF(C66=J68,J70,IF(C66=K68,K70,IF(C66=L68,L70,IF(C66=M68,M70,IF(C66=N68,N70,))))))))))))</f>
        <v>yanvar</v>
      </c>
      <c r="E66" s="119">
        <f>DAY(C65)</f>
        <v>20</v>
      </c>
      <c r="F66" s="119">
        <f>YEAR(C65)</f>
        <v>2028</v>
      </c>
      <c r="G66" s="119">
        <f>MONTH(C65)</f>
        <v>1</v>
      </c>
      <c r="H66" s="119" t="str">
        <f>IF(C66=C68,C71,IF(C66=D68,D71,IF(C66=E68,E71,IF(C66=F68,F71,IF(C66=G68,G71,IF(C66=H68,H71,IF(C66=I68,I71,IF(C66=J68,J71,IF(C66=K68,K71,IF(C66=L68,L71,IF(C66=M68,M71,IF(C66=N68,N71,))))))))))))</f>
        <v>yanvar</v>
      </c>
      <c r="I66" s="119">
        <f>YEAR(C65)</f>
        <v>2028</v>
      </c>
      <c r="J66" s="119"/>
      <c r="K66" s="119"/>
      <c r="L66" s="119"/>
      <c r="M66" s="119"/>
      <c r="N66" s="119"/>
      <c r="O66" s="120"/>
      <c r="P66" s="120"/>
      <c r="Q66" s="120"/>
      <c r="R66" s="120"/>
      <c r="S66" s="120"/>
      <c r="T66" s="120"/>
      <c r="U66" s="120"/>
      <c r="V66" s="120"/>
    </row>
    <row r="67" spans="1:22" hidden="1" x14ac:dyDescent="0.2">
      <c r="A67" s="3" t="s">
        <v>105</v>
      </c>
      <c r="B67" s="102" t="str">
        <f>B2</f>
        <v>20.01.2025</v>
      </c>
      <c r="C67" s="212">
        <f>MONTH(B67)</f>
        <v>1</v>
      </c>
      <c r="D67" s="212" t="str">
        <f>IF(C67=C68,C70,IF(C67=D68,D70,IF(C67=E68,E70,IF(C67=F68,F70,IF(C67=G68,G70,IF(C67=H68,H70,IF(C67=I68,I70,IF(C67=J68,J70,IF(C67=K68,K70,IF(C67=L68,L70,IF(C67=M68,M70,IF(C67=N68,N70,))))))))))))</f>
        <v>yanvar</v>
      </c>
      <c r="E67" s="119">
        <f>DAY(B67)</f>
        <v>20</v>
      </c>
      <c r="F67" s="119">
        <f>YEAR(B67)</f>
        <v>2025</v>
      </c>
      <c r="G67" s="119">
        <f>MONTH(B67)</f>
        <v>1</v>
      </c>
      <c r="H67" s="119" t="str">
        <f>IF(C67=C68,C71,IF(C67=D68,D71,IF(C67=E68,E71,IF(C67=F68,F71,IF(C67=G68,G71,IF(C67=H68,H71,IF(C67=I68,I71,IF(C67=J68,J71,IF(C67=K68,K71,IF(C67=L68,L71,IF(C67=M68,M71,IF(C67=N68,N71,))))))))))))</f>
        <v>yanvar</v>
      </c>
      <c r="I67" s="119">
        <f>YEAR(B67)</f>
        <v>2025</v>
      </c>
      <c r="J67" s="119"/>
      <c r="K67" s="119"/>
      <c r="L67" s="119"/>
      <c r="M67" s="119"/>
      <c r="N67" s="119"/>
      <c r="O67" s="120"/>
      <c r="P67" s="120"/>
      <c r="Q67" s="120"/>
      <c r="R67" s="120"/>
      <c r="S67" s="120"/>
      <c r="T67" s="120"/>
      <c r="U67" s="120"/>
      <c r="V67" s="120"/>
    </row>
    <row r="68" spans="1:22" hidden="1" x14ac:dyDescent="0.2">
      <c r="A68" s="3" t="s">
        <v>106</v>
      </c>
      <c r="B68" s="92" t="str">
        <f>""&amp;E67&amp;" "&amp;D67&amp;" "&amp;F67&amp;" y."</f>
        <v>20 yanvar 2025 y.</v>
      </c>
      <c r="C68" s="212">
        <v>1</v>
      </c>
      <c r="D68" s="212">
        <v>2</v>
      </c>
      <c r="E68" s="119">
        <v>3</v>
      </c>
      <c r="F68" s="119">
        <v>4</v>
      </c>
      <c r="G68" s="119">
        <v>5</v>
      </c>
      <c r="H68" s="119">
        <v>6</v>
      </c>
      <c r="I68" s="119">
        <v>7</v>
      </c>
      <c r="J68" s="119">
        <v>8</v>
      </c>
      <c r="K68" s="119">
        <v>9</v>
      </c>
      <c r="L68" s="119">
        <v>10</v>
      </c>
      <c r="M68" s="119">
        <v>11</v>
      </c>
      <c r="N68" s="119">
        <v>12</v>
      </c>
      <c r="O68" s="120"/>
      <c r="P68" s="120"/>
      <c r="Q68" s="120"/>
      <c r="R68" s="120"/>
      <c r="S68" s="120"/>
      <c r="T68" s="120"/>
      <c r="U68" s="120"/>
      <c r="V68" s="120"/>
    </row>
    <row r="69" spans="1:22" hidden="1" x14ac:dyDescent="0.2">
      <c r="A69" s="3"/>
      <c r="B69" s="92" t="str">
        <f>""&amp;E67&amp;" "&amp;H67&amp;" "&amp;F67&amp;" y."</f>
        <v>20 yanvar 2025 y.</v>
      </c>
      <c r="E69" s="119"/>
      <c r="F69" s="119"/>
      <c r="G69" s="119"/>
      <c r="H69" s="119"/>
      <c r="I69" s="119"/>
      <c r="J69" s="119"/>
      <c r="K69" s="119"/>
      <c r="L69" s="119"/>
      <c r="M69" s="119"/>
      <c r="N69" s="119"/>
      <c r="O69" s="120"/>
      <c r="P69" s="120"/>
      <c r="Q69" s="120"/>
      <c r="R69" s="120"/>
      <c r="S69" s="120"/>
      <c r="T69" s="120"/>
      <c r="U69" s="120"/>
      <c r="V69" s="120"/>
    </row>
    <row r="70" spans="1:22" hidden="1" x14ac:dyDescent="0.2">
      <c r="A70" s="3"/>
      <c r="B70" s="68" t="str">
        <f>B68</f>
        <v>20 yanvar 2025 y.</v>
      </c>
      <c r="C70" s="212" t="s">
        <v>118</v>
      </c>
      <c r="D70" s="212" t="s">
        <v>119</v>
      </c>
      <c r="E70" s="170" t="s">
        <v>108</v>
      </c>
      <c r="F70" s="170" t="s">
        <v>109</v>
      </c>
      <c r="G70" s="170" t="s">
        <v>110</v>
      </c>
      <c r="H70" s="170" t="s">
        <v>111</v>
      </c>
      <c r="I70" s="170" t="s">
        <v>112</v>
      </c>
      <c r="J70" s="170" t="s">
        <v>113</v>
      </c>
      <c r="K70" s="170" t="s">
        <v>114</v>
      </c>
      <c r="L70" s="170" t="s">
        <v>115</v>
      </c>
      <c r="M70" s="170" t="s">
        <v>116</v>
      </c>
      <c r="N70" s="170" t="s">
        <v>117</v>
      </c>
      <c r="O70" s="120"/>
      <c r="P70" s="120"/>
      <c r="Q70" s="120"/>
      <c r="R70" s="120"/>
      <c r="S70" s="120"/>
      <c r="T70" s="120"/>
      <c r="U70" s="120"/>
      <c r="V70" s="120"/>
    </row>
    <row r="71" spans="1:22" hidden="1" x14ac:dyDescent="0.2">
      <c r="A71" s="3"/>
      <c r="B71" s="68" t="str">
        <f>B69</f>
        <v>20 yanvar 2025 y.</v>
      </c>
      <c r="C71" s="212" t="s">
        <v>118</v>
      </c>
      <c r="D71" s="212" t="s">
        <v>119</v>
      </c>
      <c r="E71" s="170" t="s">
        <v>108</v>
      </c>
      <c r="F71" s="170" t="s">
        <v>109</v>
      </c>
      <c r="G71" s="170" t="s">
        <v>110</v>
      </c>
      <c r="H71" s="170" t="s">
        <v>111</v>
      </c>
      <c r="I71" s="170" t="s">
        <v>112</v>
      </c>
      <c r="J71" s="170" t="s">
        <v>113</v>
      </c>
      <c r="K71" s="170" t="s">
        <v>114</v>
      </c>
      <c r="L71" s="170" t="s">
        <v>115</v>
      </c>
      <c r="M71" s="170" t="s">
        <v>116</v>
      </c>
      <c r="N71" s="170" t="s">
        <v>117</v>
      </c>
      <c r="O71" s="120"/>
      <c r="P71" s="120"/>
      <c r="Q71" s="120"/>
      <c r="R71" s="120"/>
      <c r="S71" s="120"/>
      <c r="T71" s="120"/>
      <c r="U71" s="120"/>
      <c r="V71" s="120"/>
    </row>
    <row r="72" spans="1:22" hidden="1" x14ac:dyDescent="0.2">
      <c r="A72" s="3" t="s">
        <v>107</v>
      </c>
      <c r="B72" s="65" t="str">
        <f>""&amp;E66&amp;" "&amp;D66&amp;" "&amp;F66&amp;" y."</f>
        <v>20 yanvar 2028 y.</v>
      </c>
      <c r="E72" s="119"/>
      <c r="F72" s="119"/>
      <c r="G72" s="119"/>
      <c r="H72" s="119"/>
      <c r="I72" s="119"/>
      <c r="J72" s="120"/>
      <c r="K72" s="120"/>
      <c r="L72" s="120"/>
      <c r="M72" s="120"/>
      <c r="N72" s="120"/>
      <c r="O72" s="120"/>
      <c r="P72" s="120"/>
      <c r="Q72" s="120"/>
      <c r="R72" s="120"/>
      <c r="S72" s="120"/>
      <c r="T72" s="120"/>
      <c r="U72" s="120"/>
      <c r="V72" s="120"/>
    </row>
    <row r="73" spans="1:22" hidden="1" x14ac:dyDescent="0.2">
      <c r="A73" s="3"/>
      <c r="B73" s="65" t="str">
        <f>""&amp;E66&amp;" "&amp;H66&amp;" "&amp;F66&amp;" y."</f>
        <v>20 yanvar 2028 y.</v>
      </c>
      <c r="E73" s="119"/>
      <c r="F73" s="119"/>
      <c r="G73" s="119"/>
      <c r="H73" s="119"/>
      <c r="I73" s="119"/>
      <c r="J73" s="120"/>
      <c r="K73" s="120"/>
      <c r="L73" s="120"/>
      <c r="M73" s="120"/>
      <c r="N73" s="120"/>
      <c r="O73" s="120"/>
      <c r="P73" s="120"/>
      <c r="Q73" s="120"/>
      <c r="R73" s="120"/>
      <c r="S73" s="120"/>
      <c r="T73" s="120"/>
      <c r="U73" s="120"/>
      <c r="V73" s="120"/>
    </row>
    <row r="74" spans="1:22" ht="15.75" hidden="1" thickBot="1" x14ac:dyDescent="0.25">
      <c r="A74" s="3" t="s">
        <v>120</v>
      </c>
      <c r="B74" s="1" t="str">
        <f>""&amp;B68&amp;"dan "&amp;B66&amp;""</f>
        <v>20 yanvar 2025 y.dan №134</v>
      </c>
      <c r="E74" s="66"/>
      <c r="F74" s="66"/>
      <c r="G74" s="66"/>
      <c r="H74" s="66"/>
      <c r="I74" s="66"/>
      <c r="J74" s="5"/>
      <c r="K74" s="5"/>
      <c r="L74" s="5"/>
      <c r="M74" s="5"/>
      <c r="N74" s="5"/>
      <c r="O74" s="5"/>
      <c r="P74" s="67"/>
      <c r="Q74" s="67"/>
      <c r="R74" s="67"/>
      <c r="S74" s="67"/>
      <c r="T74" s="67"/>
      <c r="U74" s="67"/>
      <c r="V74" s="67"/>
    </row>
    <row r="75" spans="1:22" x14ac:dyDescent="0.2">
      <c r="A75" s="3" t="str">
        <f>CONCATENATE(B65," miqdori (summasi)")</f>
        <v>mikrokredit miqdori (summasi)</v>
      </c>
      <c r="B75" s="77">
        <v>200000000</v>
      </c>
      <c r="C75" s="215" t="s">
        <v>126</v>
      </c>
      <c r="E75" s="66"/>
      <c r="F75" s="66"/>
      <c r="G75" s="66"/>
      <c r="H75" s="66"/>
      <c r="I75" s="66"/>
      <c r="J75" s="5"/>
      <c r="K75" s="5"/>
      <c r="L75" s="5"/>
      <c r="M75" s="5"/>
      <c r="N75" s="5"/>
      <c r="O75" s="5"/>
      <c r="P75" s="67"/>
      <c r="Q75" s="67"/>
      <c r="R75" s="67"/>
      <c r="S75" s="67"/>
      <c r="T75" s="67"/>
      <c r="U75" s="67"/>
      <c r="V75" s="67"/>
    </row>
    <row r="76" spans="1:22" x14ac:dyDescent="0.2">
      <c r="A76" s="171" t="s">
        <v>121</v>
      </c>
      <c r="B76" s="5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ikki yuz million so'm</v>
      </c>
      <c r="C76" s="21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Ikki yuz million so'm</v>
      </c>
      <c r="E76" s="66"/>
      <c r="F76" s="66"/>
      <c r="G76" s="66"/>
      <c r="H76" s="66"/>
      <c r="I76" s="66"/>
      <c r="J76" s="5"/>
      <c r="K76" s="5"/>
      <c r="L76" s="5"/>
      <c r="M76" s="5"/>
      <c r="N76" s="5"/>
      <c r="O76" s="5"/>
      <c r="P76" s="67"/>
      <c r="Q76" s="67"/>
      <c r="R76" s="67"/>
      <c r="S76" s="67"/>
      <c r="T76" s="67"/>
      <c r="U76" s="67"/>
      <c r="V76" s="67"/>
    </row>
    <row r="77" spans="1:22" x14ac:dyDescent="0.2">
      <c r="A77" s="3" t="s">
        <v>122</v>
      </c>
      <c r="B77" s="53" t="s">
        <v>128</v>
      </c>
      <c r="C77" s="212" t="s">
        <v>128</v>
      </c>
      <c r="D77" s="212" t="s">
        <v>127</v>
      </c>
      <c r="E77" s="119"/>
      <c r="F77" s="119"/>
      <c r="G77" s="119"/>
      <c r="H77" s="119"/>
      <c r="I77" s="119"/>
      <c r="J77" s="120"/>
      <c r="K77" s="120"/>
      <c r="L77" s="120"/>
      <c r="M77" s="120"/>
      <c r="N77" s="120"/>
      <c r="O77" s="120"/>
      <c r="P77" s="120"/>
      <c r="Q77" s="120"/>
      <c r="R77" s="120"/>
      <c r="S77" s="67"/>
      <c r="T77" s="67"/>
      <c r="U77" s="67"/>
      <c r="V77" s="67"/>
    </row>
    <row r="78" spans="1:22" x14ac:dyDescent="0.2">
      <c r="A78" s="3" t="str">
        <f>CONCATENATE(B65,"ni to'lash sanasi (14.10.2011)")</f>
        <v>mikrokreditni to'lash sanasi (14.10.2011)</v>
      </c>
      <c r="B78" s="53">
        <v>10</v>
      </c>
      <c r="C78" s="214">
        <f>DATE(YEAR(B67),MONTH(B67)+1,DAY(B78))</f>
        <v>45698</v>
      </c>
      <c r="D78" s="212" t="s">
        <v>28</v>
      </c>
      <c r="E78" s="119" t="s">
        <v>29</v>
      </c>
      <c r="F78" s="119" t="s">
        <v>30</v>
      </c>
      <c r="G78" s="119" t="s">
        <v>31</v>
      </c>
      <c r="H78" s="119" t="s">
        <v>32</v>
      </c>
      <c r="I78" s="119" t="s">
        <v>33</v>
      </c>
      <c r="J78" s="120" t="s">
        <v>34</v>
      </c>
      <c r="K78" s="120"/>
      <c r="L78" s="120"/>
      <c r="M78" s="120"/>
      <c r="N78" s="120"/>
      <c r="O78" s="120"/>
      <c r="P78" s="120"/>
      <c r="Q78" s="120"/>
      <c r="R78" s="120"/>
      <c r="S78" s="67"/>
      <c r="T78" s="67"/>
      <c r="U78" s="67"/>
      <c r="V78" s="67"/>
    </row>
    <row r="79" spans="1:22" ht="16.5" hidden="1" customHeight="1" x14ac:dyDescent="0.25">
      <c r="A79" s="3" t="str">
        <f>CONCATENATE(B65,"ni to'lash sanasi (14.10.2011 y.) QO’L BILAN KIRITILADI")</f>
        <v>mikrokreditni to'lash sanasi (14.10.2011 y.) QO’L BILAN KIRITILADI</v>
      </c>
      <c r="B79" s="93">
        <f>DATE(YEAR(B67),MONTH(B67)+1,DAY(B78+C80))</f>
        <v>45698</v>
      </c>
      <c r="C79" s="216" t="str">
        <f>TEXT(C78,"ддд")</f>
        <v>Пн</v>
      </c>
      <c r="D79" s="212" t="s">
        <v>28</v>
      </c>
      <c r="E79" s="119" t="s">
        <v>29</v>
      </c>
      <c r="F79" s="119" t="s">
        <v>30</v>
      </c>
      <c r="G79" s="119" t="s">
        <v>31</v>
      </c>
      <c r="H79" s="119" t="s">
        <v>32</v>
      </c>
      <c r="I79" s="119" t="s">
        <v>33</v>
      </c>
      <c r="J79" s="120" t="s">
        <v>34</v>
      </c>
      <c r="K79" s="120"/>
      <c r="L79" s="120"/>
      <c r="M79" s="120"/>
      <c r="N79" s="120"/>
      <c r="O79" s="120"/>
      <c r="P79" s="120"/>
      <c r="Q79" s="120"/>
      <c r="R79" s="120"/>
      <c r="S79" s="67"/>
      <c r="T79" s="67"/>
      <c r="U79" s="67"/>
      <c r="V79" s="67"/>
    </row>
    <row r="80" spans="1:22" ht="16.5" hidden="1" customHeight="1" x14ac:dyDescent="0.2">
      <c r="A80" s="3" t="s">
        <v>123</v>
      </c>
      <c r="B80" s="94">
        <f>B79</f>
        <v>45698</v>
      </c>
      <c r="C80" s="212">
        <f>IF(C79=I79,2,IF(C79=J79,1,0))</f>
        <v>0</v>
      </c>
      <c r="E80" s="120"/>
      <c r="F80" s="120"/>
      <c r="G80" s="120"/>
      <c r="H80" s="120"/>
      <c r="I80" s="120"/>
      <c r="J80" s="120"/>
      <c r="K80" s="120"/>
      <c r="L80" s="120"/>
      <c r="M80" s="120"/>
      <c r="N80" s="120"/>
      <c r="O80" s="120"/>
      <c r="P80" s="120"/>
      <c r="Q80" s="120"/>
      <c r="R80" s="120"/>
      <c r="S80" s="67"/>
      <c r="T80" s="67"/>
      <c r="U80" s="67"/>
      <c r="V80" s="67"/>
    </row>
    <row r="81" spans="1:63" ht="16.5" customHeight="1" x14ac:dyDescent="0.2">
      <c r="A81" s="3" t="str">
        <f>CONCATENATE(B65," muddati")</f>
        <v>mikrokredit muddati</v>
      </c>
      <c r="B81" s="53">
        <v>36</v>
      </c>
      <c r="C81" s="212">
        <v>6</v>
      </c>
      <c r="D81" s="212">
        <v>12</v>
      </c>
      <c r="E81" s="120">
        <v>18</v>
      </c>
      <c r="F81" s="120"/>
      <c r="G81" s="120"/>
      <c r="H81" s="120"/>
      <c r="I81" s="120"/>
      <c r="J81" s="120"/>
      <c r="K81" s="120"/>
      <c r="L81" s="120"/>
      <c r="M81" s="120"/>
      <c r="N81" s="120"/>
      <c r="O81" s="120"/>
      <c r="P81" s="120"/>
      <c r="Q81" s="120"/>
      <c r="R81" s="120"/>
      <c r="S81" s="67"/>
      <c r="T81" s="67"/>
      <c r="U81" s="67"/>
      <c r="V81" s="67"/>
    </row>
    <row r="82" spans="1:63" x14ac:dyDescent="0.2">
      <c r="A82" s="3" t="str">
        <f>CONCATENATE(B65," muddati QO’L BILAN KIRITILADI")</f>
        <v>mikrokredit muddati QO’L BILAN KIRITILADI</v>
      </c>
      <c r="B82" s="166" t="s">
        <v>435</v>
      </c>
      <c r="E82" s="120"/>
      <c r="F82" s="120"/>
      <c r="G82" s="120"/>
      <c r="H82" s="120"/>
      <c r="I82" s="120"/>
      <c r="J82" s="120"/>
      <c r="K82" s="120"/>
      <c r="L82" s="120"/>
      <c r="M82" s="120"/>
      <c r="N82" s="120"/>
      <c r="O82" s="120"/>
      <c r="P82" s="120"/>
      <c r="Q82" s="120"/>
      <c r="R82" s="120"/>
    </row>
    <row r="83" spans="1:63" ht="30" x14ac:dyDescent="0.2">
      <c r="A83" s="198" t="s">
        <v>351</v>
      </c>
      <c r="B83" s="166">
        <v>0</v>
      </c>
      <c r="E83" s="120"/>
      <c r="F83" s="120"/>
      <c r="G83" s="120"/>
      <c r="H83" s="120"/>
      <c r="I83" s="120"/>
      <c r="J83" s="120"/>
      <c r="K83" s="120"/>
      <c r="L83" s="120"/>
      <c r="M83" s="120"/>
      <c r="N83" s="120"/>
      <c r="O83" s="120"/>
      <c r="P83" s="120"/>
      <c r="Q83" s="120"/>
      <c r="R83" s="120"/>
      <c r="BJ83" s="5">
        <v>1</v>
      </c>
      <c r="BK83" s="5">
        <v>0</v>
      </c>
    </row>
    <row r="84" spans="1:63" x14ac:dyDescent="0.2">
      <c r="A84" s="3" t="str">
        <f>CONCATENATE(B65," stavkasi")</f>
        <v>mikrokredit stavkasi</v>
      </c>
      <c r="B84" s="96">
        <v>0.6</v>
      </c>
      <c r="E84" s="120"/>
      <c r="F84" s="120"/>
      <c r="G84" s="120"/>
      <c r="H84" s="120"/>
      <c r="I84" s="120"/>
      <c r="J84" s="120"/>
      <c r="K84" s="120"/>
      <c r="L84" s="120"/>
      <c r="M84" s="120"/>
      <c r="N84" s="120"/>
      <c r="O84" s="120"/>
      <c r="P84" s="120"/>
      <c r="Q84" s="120"/>
      <c r="R84" s="120"/>
    </row>
    <row r="85" spans="1:63" x14ac:dyDescent="0.2">
      <c r="A85" s="3" t="str">
        <f>CONCATENATE(B65," stavkasi")</f>
        <v>mikrokredit stavkasi</v>
      </c>
      <c r="B85" s="97" t="s">
        <v>400</v>
      </c>
      <c r="E85" s="120"/>
      <c r="F85" s="120"/>
      <c r="G85" s="120"/>
      <c r="H85" s="120"/>
      <c r="I85" s="120"/>
      <c r="J85" s="120"/>
      <c r="K85" s="120"/>
      <c r="L85" s="120"/>
      <c r="M85" s="120"/>
      <c r="N85" s="120"/>
      <c r="O85" s="120"/>
      <c r="P85" s="120"/>
      <c r="Q85" s="120"/>
      <c r="R85" s="120"/>
    </row>
    <row r="86" spans="1:63" x14ac:dyDescent="0.2">
      <c r="A86" s="3" t="str">
        <f>CONCATENATE(B65," stavkasi (so’z bilan)")</f>
        <v>mikrokredit stavkasi (so’z bilan)</v>
      </c>
      <c r="B86" s="95" t="s">
        <v>401</v>
      </c>
      <c r="C86" s="212" t="s">
        <v>401</v>
      </c>
      <c r="E86" s="120"/>
      <c r="F86" s="120"/>
      <c r="G86" s="120"/>
      <c r="H86" s="120"/>
      <c r="I86" s="120"/>
      <c r="J86" s="120"/>
      <c r="K86" s="120"/>
      <c r="L86" s="120"/>
      <c r="M86" s="120"/>
      <c r="N86" s="120"/>
      <c r="O86" s="120"/>
      <c r="P86" s="120"/>
      <c r="Q86" s="120"/>
      <c r="R86" s="120"/>
    </row>
    <row r="87" spans="1:63" x14ac:dyDescent="0.2">
      <c r="A87" s="3" t="str">
        <f>CONCATENATE("Muddati o'tgan ",B65," bo’yicha stavka")</f>
        <v>Muddati o'tgan mikrokredit bo’yicha stavka</v>
      </c>
      <c r="B87" s="96">
        <v>1</v>
      </c>
      <c r="E87" s="120"/>
      <c r="F87" s="120"/>
      <c r="G87" s="120"/>
      <c r="H87" s="120"/>
      <c r="I87" s="120"/>
      <c r="J87" s="120"/>
      <c r="K87" s="120"/>
      <c r="L87" s="120"/>
      <c r="M87" s="120"/>
      <c r="N87" s="120"/>
      <c r="O87" s="120"/>
      <c r="P87" s="120"/>
      <c r="Q87" s="120"/>
      <c r="R87" s="120"/>
    </row>
    <row r="88" spans="1:63" x14ac:dyDescent="0.2">
      <c r="A88" s="171" t="s">
        <v>121</v>
      </c>
      <c r="B88" s="97" t="s">
        <v>403</v>
      </c>
      <c r="E88" s="120"/>
      <c r="F88" s="120"/>
      <c r="G88" s="120"/>
      <c r="H88" s="120"/>
      <c r="I88" s="120"/>
      <c r="J88" s="120"/>
      <c r="K88" s="120"/>
      <c r="L88" s="120"/>
      <c r="M88" s="120"/>
      <c r="N88" s="120"/>
      <c r="O88" s="120"/>
      <c r="P88" s="120"/>
      <c r="Q88" s="120"/>
      <c r="R88" s="120"/>
    </row>
    <row r="89" spans="1:63" x14ac:dyDescent="0.2">
      <c r="A89" s="3" t="str">
        <f>CONCATENATE("Muddati o'tgan ",B65," bo’yicha stavka")</f>
        <v>Muddati o'tgan mikrokredit bo’yicha stavka</v>
      </c>
      <c r="B89" s="95" t="s">
        <v>404</v>
      </c>
      <c r="C89" s="212" t="s">
        <v>404</v>
      </c>
      <c r="E89" s="120"/>
      <c r="F89" s="120"/>
      <c r="G89" s="120"/>
      <c r="H89" s="120"/>
      <c r="I89" s="120"/>
      <c r="J89" s="120"/>
      <c r="K89" s="120"/>
      <c r="L89" s="120"/>
      <c r="M89" s="120"/>
      <c r="N89" s="120"/>
      <c r="O89" s="120"/>
      <c r="P89" s="120"/>
      <c r="Q89" s="120"/>
      <c r="R89" s="120"/>
    </row>
    <row r="90" spans="1:63" x14ac:dyDescent="0.2">
      <c r="A90" s="3" t="s">
        <v>124</v>
      </c>
      <c r="B90" s="98">
        <f>IF(B77=C77,LARGE(График!F9:F26,1),ROUND(PMT(B84/12,B81,-B75,0),-3))</f>
        <v>15199391.079999998</v>
      </c>
      <c r="E90" s="120"/>
      <c r="F90" s="120"/>
      <c r="G90" s="120"/>
      <c r="H90" s="120"/>
      <c r="I90" s="120"/>
      <c r="J90" s="120"/>
      <c r="K90" s="120"/>
      <c r="L90" s="120"/>
      <c r="M90" s="120"/>
      <c r="N90" s="120"/>
      <c r="O90" s="120"/>
      <c r="P90" s="120"/>
      <c r="Q90" s="120"/>
      <c r="R90" s="120"/>
    </row>
    <row r="91" spans="1:63" x14ac:dyDescent="0.2">
      <c r="A91" s="250" t="s">
        <v>125</v>
      </c>
      <c r="B91" s="250"/>
      <c r="E91" s="120"/>
      <c r="F91" s="120"/>
      <c r="G91" s="120"/>
      <c r="H91" s="120"/>
      <c r="I91" s="120"/>
      <c r="J91" s="120"/>
      <c r="K91" s="120"/>
      <c r="L91" s="120"/>
      <c r="M91" s="120"/>
      <c r="N91" s="120"/>
      <c r="O91" s="120"/>
      <c r="P91" s="120"/>
      <c r="Q91" s="120"/>
      <c r="R91" s="120"/>
    </row>
    <row r="92" spans="1:63" ht="18" x14ac:dyDescent="0.2">
      <c r="A92" s="101"/>
      <c r="B92" s="159" t="s">
        <v>130</v>
      </c>
      <c r="C92" s="217" t="s">
        <v>130</v>
      </c>
      <c r="D92" s="212" t="s">
        <v>131</v>
      </c>
      <c r="E92" s="120"/>
      <c r="F92" s="120"/>
      <c r="G92" s="120"/>
      <c r="H92" s="120"/>
      <c r="I92" s="120"/>
      <c r="J92" s="120"/>
      <c r="K92" s="120"/>
      <c r="L92" s="120"/>
      <c r="M92" s="120"/>
      <c r="N92" s="120"/>
      <c r="O92" s="120"/>
      <c r="P92" s="120"/>
      <c r="Q92" s="120"/>
      <c r="R92" s="120"/>
    </row>
    <row r="93" spans="1:63" ht="18" x14ac:dyDescent="0.2">
      <c r="A93" s="12" t="s">
        <v>136</v>
      </c>
      <c r="B93" s="159" t="s">
        <v>132</v>
      </c>
      <c r="C93" s="218" t="s">
        <v>132</v>
      </c>
      <c r="D93" s="212" t="s">
        <v>133</v>
      </c>
      <c r="E93" s="120"/>
      <c r="F93" s="120"/>
      <c r="G93" s="120"/>
      <c r="H93" s="120"/>
      <c r="I93" s="120"/>
      <c r="J93" s="120"/>
      <c r="K93" s="120"/>
      <c r="L93" s="120"/>
      <c r="M93" s="120"/>
      <c r="N93" s="120"/>
      <c r="O93" s="120"/>
      <c r="P93" s="120"/>
      <c r="Q93" s="120"/>
      <c r="R93" s="120"/>
    </row>
    <row r="94" spans="1:63" ht="36" x14ac:dyDescent="0.2">
      <c r="A94" s="12" t="s">
        <v>137</v>
      </c>
      <c r="B94" s="159" t="s">
        <v>134</v>
      </c>
      <c r="C94" s="212" t="s">
        <v>134</v>
      </c>
      <c r="D94" s="212" t="s">
        <v>135</v>
      </c>
      <c r="E94" s="120"/>
      <c r="F94" s="120"/>
      <c r="G94" s="120"/>
      <c r="H94" s="120"/>
      <c r="I94" s="120"/>
    </row>
    <row r="95" spans="1:63" ht="36" x14ac:dyDescent="0.2">
      <c r="A95" s="12" t="s">
        <v>138</v>
      </c>
      <c r="B95" s="159"/>
    </row>
    <row r="96" spans="1:63" ht="36" x14ac:dyDescent="0.2">
      <c r="A96" s="12" t="s">
        <v>139</v>
      </c>
      <c r="B96" s="159"/>
    </row>
    <row r="97" spans="1:4" x14ac:dyDescent="0.2">
      <c r="A97" s="250" t="s">
        <v>140</v>
      </c>
      <c r="B97" s="250"/>
    </row>
    <row r="98" spans="1:4" ht="36" x14ac:dyDescent="0.2">
      <c r="A98" s="12" t="s">
        <v>141</v>
      </c>
      <c r="B98" s="159"/>
    </row>
    <row r="99" spans="1:4" ht="36" x14ac:dyDescent="0.2">
      <c r="A99" s="12" t="s">
        <v>142</v>
      </c>
      <c r="B99" s="159"/>
    </row>
    <row r="100" spans="1:4" ht="18" x14ac:dyDescent="0.2">
      <c r="A100" s="12" t="s">
        <v>143</v>
      </c>
      <c r="B100" s="167"/>
    </row>
    <row r="101" spans="1:4" ht="18" x14ac:dyDescent="0.2">
      <c r="A101" s="12" t="s">
        <v>144</v>
      </c>
      <c r="B101" s="165"/>
    </row>
    <row r="102" spans="1:4" ht="18" hidden="1" x14ac:dyDescent="0.2">
      <c r="A102" s="12"/>
      <c r="B102" s="159" t="str">
        <f>TEXT(B101,"ДД.ММ.ГГГГ")</f>
        <v>00.01.1900</v>
      </c>
    </row>
    <row r="103" spans="1:4" ht="18" x14ac:dyDescent="0.2">
      <c r="A103" s="12"/>
      <c r="B103" s="13" t="s">
        <v>145</v>
      </c>
      <c r="C103" s="212" t="s">
        <v>145</v>
      </c>
      <c r="D103" s="212" t="s">
        <v>146</v>
      </c>
    </row>
    <row r="104" spans="1:4" ht="60" x14ac:dyDescent="0.2">
      <c r="A104" s="206" t="s">
        <v>353</v>
      </c>
      <c r="B104" s="205" t="s">
        <v>352</v>
      </c>
      <c r="C104" s="13" t="s">
        <v>146</v>
      </c>
    </row>
    <row r="105" spans="1:4" ht="30" x14ac:dyDescent="0.2">
      <c r="A105" s="197" t="s">
        <v>374</v>
      </c>
      <c r="B105" s="13"/>
      <c r="C105" s="13"/>
    </row>
    <row r="106" spans="1:4" ht="30" x14ac:dyDescent="0.2">
      <c r="A106" s="197" t="s">
        <v>375</v>
      </c>
      <c r="B106" s="13"/>
      <c r="C106" s="13"/>
    </row>
    <row r="107" spans="1:4" ht="60" x14ac:dyDescent="0.2">
      <c r="A107" s="197" t="str">
        <f>A113</f>
        <v>Tug’ilgan sanasi (01.10.2011 y.)</v>
      </c>
      <c r="B107" s="223"/>
      <c r="C107" s="13"/>
    </row>
    <row r="108" spans="1:4" ht="60" x14ac:dyDescent="0.2">
      <c r="A108" s="197" t="str">
        <f>A114</f>
        <v>Pasport seriyasi (СА №1234567)</v>
      </c>
      <c r="B108" s="13"/>
      <c r="C108" s="13"/>
    </row>
    <row r="109" spans="1:4" ht="150" x14ac:dyDescent="0.2">
      <c r="A109" s="197" t="str">
        <f>A115</f>
        <v xml:space="preserve">Kim va qachon berilgan
(Toshkent shahri Chilonzor IIB tomonidan 2011 yil __.____)
</v>
      </c>
      <c r="B109" s="13"/>
      <c r="C109" s="13"/>
    </row>
    <row r="110" spans="1:4" ht="150" x14ac:dyDescent="0.2">
      <c r="A110" s="197" t="str">
        <f>A116</f>
        <v xml:space="preserve">doimiy ro’yhatdan o’tgan joyi
(Toshkent sh., Mirobod tumani, Nukus ko’chasi, 1 uy, 1 honadon)
</v>
      </c>
      <c r="B110" s="13"/>
      <c r="C110" s="13"/>
    </row>
    <row r="111" spans="1:4" hidden="1" x14ac:dyDescent="0.2">
      <c r="A111" s="156" t="s">
        <v>158</v>
      </c>
      <c r="B111" s="146" t="str">
        <f>IF(B93="HA",B5,B105)</f>
        <v>EGAMBERDIYEV TO‘XTASIN INOYATOVICH</v>
      </c>
      <c r="C111" s="173" t="str">
        <f>IF(B93="HA",B5,C105)</f>
        <v>EGAMBERDIYEV TO‘XTASIN INOYATOVICH</v>
      </c>
    </row>
    <row r="112" spans="1:4" hidden="1" x14ac:dyDescent="0.2">
      <c r="A112" s="156"/>
      <c r="B112" s="146" t="str">
        <f>IF(B93="HA",B7,B106)</f>
        <v>EGAMBERDIYEV T.I.</v>
      </c>
      <c r="C112" s="173" t="str">
        <f>IF(B93="HA",B7,C106)</f>
        <v>EGAMBERDIYEV T.I.</v>
      </c>
    </row>
    <row r="113" spans="1:18" hidden="1" x14ac:dyDescent="0.2">
      <c r="A113" s="157" t="s">
        <v>159</v>
      </c>
      <c r="B113" s="196" t="str">
        <f>IF(B93="HA",B15,B107)</f>
        <v>06.10.1979 y</v>
      </c>
      <c r="C113" s="173" t="str">
        <f>IF(B93="HA",B15,C107)</f>
        <v>06.10.1979 y</v>
      </c>
    </row>
    <row r="114" spans="1:18" hidden="1" x14ac:dyDescent="0.2">
      <c r="A114" s="157" t="s">
        <v>64</v>
      </c>
      <c r="B114" s="196" t="str">
        <f>IF(B93="HA",B16,B108)</f>
        <v>AD 1582556</v>
      </c>
      <c r="C114" s="173" t="str">
        <f>IF(B93="HA",B16,C108)</f>
        <v>AD 1582556</v>
      </c>
    </row>
    <row r="115" spans="1:18" ht="30" hidden="1" customHeight="1" x14ac:dyDescent="0.2">
      <c r="A115" s="157" t="s">
        <v>67</v>
      </c>
      <c r="B115" s="146" t="str">
        <f>IF(B93="HA",B20,B109)</f>
        <v>IIV 60001  tomonidan 25.07.2022 yilda berilgan</v>
      </c>
      <c r="C115" s="173" t="str">
        <f>IF(B93="HA",B20,C109)</f>
        <v>IIV 60001  tomonidan 25.07.2022 yilda berilgan</v>
      </c>
      <c r="D115" s="212">
        <v>493193762</v>
      </c>
    </row>
    <row r="116" spans="1:18" ht="53.25" hidden="1" customHeight="1" x14ac:dyDescent="0.2">
      <c r="A116" s="157" t="s">
        <v>69</v>
      </c>
      <c r="B116" s="146" t="str">
        <f>IF(B93="HA",B22,B110)</f>
        <v>TOSHKENT SHAHRI UCHTEPA TUMANI 25-MAVZE 4-DOM 34-XONADON</v>
      </c>
      <c r="C116" s="146" t="e">
        <f>IF(B93="HA",#REF!,C110)</f>
        <v>#REF!</v>
      </c>
    </row>
    <row r="117" spans="1:18" x14ac:dyDescent="0.2">
      <c r="A117" s="157" t="s">
        <v>160</v>
      </c>
      <c r="B117" s="1" t="str">
        <f>IF(B93="ha",B5,B111)</f>
        <v>EGAMBERDIYEV TO‘XTASIN INOYATOVICH</v>
      </c>
      <c r="C117" s="99" t="str">
        <f>IF(B93="ha",B5,C111)</f>
        <v>EGAMBERDIYEV TO‘XTASIN INOYATOVICH</v>
      </c>
    </row>
    <row r="118" spans="1:18" x14ac:dyDescent="0.2">
      <c r="A118" s="157"/>
      <c r="B118" s="1" t="str">
        <f>IF(B93="ha",B7,B112)</f>
        <v>EGAMBERDIYEV T.I.</v>
      </c>
      <c r="C118" s="99" t="str">
        <f>IF(B93="ha",B7,C112)</f>
        <v>EGAMBERDIYEV T.I.</v>
      </c>
    </row>
    <row r="119" spans="1:18" x14ac:dyDescent="0.2">
      <c r="A119" s="3" t="s">
        <v>159</v>
      </c>
      <c r="B119" s="1" t="str">
        <f>IF(B93="ha",B15,B113)</f>
        <v>06.10.1979 y</v>
      </c>
      <c r="C119" s="99" t="str">
        <f>IF(B93="ha",B15,C113)</f>
        <v>06.10.1979 y</v>
      </c>
    </row>
    <row r="120" spans="1:18" x14ac:dyDescent="0.2">
      <c r="A120" s="3" t="s">
        <v>64</v>
      </c>
      <c r="B120" s="1" t="s">
        <v>390</v>
      </c>
      <c r="C120" s="99" t="str">
        <f>IF(B93="ha",B16,C114)</f>
        <v>AD 1582556</v>
      </c>
    </row>
    <row r="121" spans="1:18" ht="45" x14ac:dyDescent="0.2">
      <c r="A121" s="3" t="s">
        <v>67</v>
      </c>
      <c r="B121" s="1" t="str">
        <f>IF(B93="ha",B20,B115)</f>
        <v>IIV 60001  tomonidan 25.07.2022 yilda berilgan</v>
      </c>
      <c r="C121" s="99" t="str">
        <f>IF(B93="ha",B20,C115)</f>
        <v>IIV 60001  tomonidan 25.07.2022 yilda berilgan</v>
      </c>
    </row>
    <row r="122" spans="1:18" ht="45" x14ac:dyDescent="0.2">
      <c r="A122" s="3" t="s">
        <v>69</v>
      </c>
      <c r="B122" s="193" t="str">
        <f>B22</f>
        <v>TOSHKENT SHAHRI UCHTEPA TUMANI 25-MAVZE 4-DOM 34-XONADON</v>
      </c>
      <c r="C122" s="100" t="e">
        <f>IF(B93="ha",#REF!,C116)</f>
        <v>#REF!</v>
      </c>
    </row>
    <row r="123" spans="1:18" ht="42.75" x14ac:dyDescent="0.2">
      <c r="A123" s="3" t="s">
        <v>161</v>
      </c>
      <c r="B123" s="53" t="s">
        <v>421</v>
      </c>
      <c r="C123" s="1" t="s">
        <v>47</v>
      </c>
      <c r="N123" s="4" t="str">
        <f>IF(B103=C103,B117,IF(B103=D103,C117,0))</f>
        <v>EGAMBERDIYEV TO‘XTASIN INOYATOVICH</v>
      </c>
    </row>
    <row r="124" spans="1:18" ht="45" x14ac:dyDescent="0.2">
      <c r="A124" s="3" t="s">
        <v>162</v>
      </c>
      <c r="B124" s="53" t="s">
        <v>422</v>
      </c>
      <c r="C124" s="55" t="s">
        <v>385</v>
      </c>
      <c r="D124" s="56" t="s">
        <v>151</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30" x14ac:dyDescent="0.2">
      <c r="A125" s="3" t="s">
        <v>163</v>
      </c>
      <c r="B125" s="53" t="s">
        <v>423</v>
      </c>
      <c r="C125" s="100" t="str">
        <f>""&amp;D126&amp;" "&amp;IF(C129=D129,"- xonali yakka tartibdagi uy-joy", IF(C129=E129,"-  xonali ko'p qavatli uydagi xonadon",0))&amp;""</f>
        <v>3 - xonali yakka tartibdagi uy-joy</v>
      </c>
      <c r="D125" s="88" t="s">
        <v>149</v>
      </c>
      <c r="E125" s="89" t="str">
        <f>IF($C$129=$D$129,I125,IF($C$129=$E$129,H125,0))</f>
        <v>3 - xonali yakka tartibdagi uy-joy</v>
      </c>
      <c r="F125" s="174" t="str">
        <f>IF($C$129=$D$129,I125,IF($C$129=$E$129,H125,0))</f>
        <v>3 - xonali yakka tartibdagi uy-joy</v>
      </c>
      <c r="G125" s="89"/>
      <c r="H125" s="89" t="str">
        <f>"Ko'p qavatli uydagi "&amp;D126&amp;" - xonali xonadon"</f>
        <v>Ko'p qavatli uydagi 3 - xonali xonadon</v>
      </c>
      <c r="I125" s="89" t="str">
        <f>""&amp;D126&amp;" - xonali yakka tartibdagi uy-joy"</f>
        <v>3 - xonali yakka tartibdagi uy-joy</v>
      </c>
      <c r="J125" s="89"/>
      <c r="K125" s="89"/>
      <c r="L125" s="89"/>
      <c r="M125" s="89"/>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EGAMBERDIYEV TO‘XTASIN INOYATOVICH</v>
      </c>
      <c r="R125" s="4" t="str">
        <f>"Mikromoliya tashkiloti, Qarz oluvchi va "&amp;IF(B94=D94,R124,IF(B94=C94,B111))&amp;""</f>
        <v>Mikromoliya tashkiloti, Qarz oluvchi va EGAMBERDIYEV TO‘XTASIN INOYATOVICH</v>
      </c>
    </row>
    <row r="126" spans="1:18" x14ac:dyDescent="0.2">
      <c r="A126" s="3" t="s">
        <v>164</v>
      </c>
      <c r="B126" s="158" t="s">
        <v>424</v>
      </c>
      <c r="C126" s="100" t="str">
        <f>C125</f>
        <v>3 - xonali yakka tartibdagi uy-joy</v>
      </c>
      <c r="D126" s="87">
        <v>3</v>
      </c>
      <c r="E126" s="89" t="str">
        <f>IF($C$129=$D$129,I126,IF($C$129=$E$129,H126,0))</f>
        <v>yer uchastkasi maydoni - , umumiy maydoni - 72,13, yashash maydoni - 37,39</v>
      </c>
      <c r="F126" s="174" t="str">
        <f>IF($C$129=$D$129,I126,IF($C$129=$E$129,H126,0))</f>
        <v>yer uchastkasi maydoni - , umumiy maydoni - 72,13, yashash maydoni - 37,39</v>
      </c>
      <c r="G126" s="89"/>
      <c r="H126" s="89" t="str">
        <f>"umumiy maydoni - "&amp;C130&amp;", yashash maydoni - "&amp;C133&amp;""</f>
        <v>umumiy maydoni - 72,13, yashash maydoni - 37,39</v>
      </c>
      <c r="I126" s="89" t="str">
        <f>"yer uchastkasi maydoni - "&amp;C131&amp;", umumiy maydoni - "&amp;C130&amp;", yashash maydoni - "&amp;C133&amp;""</f>
        <v>yer uchastkasi maydoni - , umumiy maydoni - 72,13, yashash maydoni - 37,39</v>
      </c>
      <c r="J126" s="89"/>
      <c r="K126" s="89"/>
      <c r="L126" s="89"/>
      <c r="M126" s="89"/>
      <c r="N126" s="4" t="str">
        <f>IF(B93=C93,R126,IF(B93=D93,R125,0))</f>
        <v>Mikromoliya tashkiloti va Qarz oluvchi</v>
      </c>
      <c r="Q126" s="4" t="s">
        <v>51</v>
      </c>
      <c r="R126" s="4" t="s">
        <v>150</v>
      </c>
    </row>
    <row r="127" spans="1:18" ht="27" customHeight="1" x14ac:dyDescent="0.2">
      <c r="A127" s="3" t="s">
        <v>165</v>
      </c>
      <c r="B127" s="86" t="str">
        <f>"kuzov turi - "&amp;B128&amp;", kuzov raqami "&amp;B129&amp;""</f>
        <v>kuzov turi - YENGIL LEGKOVAYA, kuzov raqami KNAER81AEM7233541</v>
      </c>
      <c r="C127" s="55" t="s">
        <v>384</v>
      </c>
      <c r="D127" s="56" t="s">
        <v>386</v>
      </c>
    </row>
    <row r="128" spans="1:18" x14ac:dyDescent="0.2">
      <c r="A128" s="78" t="s">
        <v>166</v>
      </c>
      <c r="B128" s="53" t="s">
        <v>425</v>
      </c>
      <c r="C128" s="148"/>
    </row>
    <row r="129" spans="1:6" x14ac:dyDescent="0.2">
      <c r="A129" s="78" t="s">
        <v>167</v>
      </c>
      <c r="B129" s="53" t="s">
        <v>426</v>
      </c>
      <c r="C129" s="54" t="s">
        <v>152</v>
      </c>
      <c r="D129" s="212" t="s">
        <v>152</v>
      </c>
      <c r="E129" s="5" t="s">
        <v>153</v>
      </c>
    </row>
    <row r="130" spans="1:6" ht="27" customHeight="1" x14ac:dyDescent="0.25">
      <c r="A130" s="3" t="s">
        <v>168</v>
      </c>
      <c r="B130" s="86" t="str">
        <f>"dvigatel raqami "&amp;B131&amp;", shassi raqami - "&amp;B132&amp;""</f>
        <v>dvigatel raqami G4NHMH323294, shassi raqami - RAKAMSIZ</v>
      </c>
      <c r="C130" s="54">
        <v>72.13</v>
      </c>
      <c r="D130" s="211" t="s">
        <v>154</v>
      </c>
      <c r="E130" s="4" t="str">
        <f>CONCATENATE(C130," ","kv.m")</f>
        <v>72,13 kv.m</v>
      </c>
      <c r="F130" s="181">
        <f>C130-C133</f>
        <v>34.739999999999995</v>
      </c>
    </row>
    <row r="131" spans="1:6" x14ac:dyDescent="0.25">
      <c r="A131" s="78" t="s">
        <v>169</v>
      </c>
      <c r="B131" s="102" t="s">
        <v>427</v>
      </c>
      <c r="C131" s="54"/>
      <c r="D131" s="211" t="s">
        <v>155</v>
      </c>
    </row>
    <row r="132" spans="1:6" x14ac:dyDescent="0.2">
      <c r="A132" s="78" t="s">
        <v>170</v>
      </c>
      <c r="B132" s="53" t="s">
        <v>428</v>
      </c>
      <c r="C132" s="54"/>
    </row>
    <row r="133" spans="1:6" ht="25.5" customHeight="1" x14ac:dyDescent="0.25">
      <c r="A133" s="3" t="s">
        <v>171</v>
      </c>
      <c r="B133" s="86" t="str">
        <f>"rangi -  "&amp;B134&amp;", ishlab chiqarilgan yili - "&amp;B135&amp;""</f>
        <v>rangi -  OQ BELIY JEMCHUG, ishlab chiqarilgan yili - 2021</v>
      </c>
      <c r="C133" s="209" t="s">
        <v>383</v>
      </c>
      <c r="D133" s="211" t="s">
        <v>253</v>
      </c>
      <c r="E133" s="4" t="str">
        <f>CONCATENATE(C133," ","kv.m")</f>
        <v>37,39 kv.m</v>
      </c>
    </row>
    <row r="134" spans="1:6" x14ac:dyDescent="0.2">
      <c r="A134" s="78" t="s">
        <v>172</v>
      </c>
      <c r="B134" s="53" t="s">
        <v>429</v>
      </c>
      <c r="C134" s="54"/>
    </row>
    <row r="135" spans="1:6" ht="30" x14ac:dyDescent="0.25">
      <c r="A135" s="78" t="s">
        <v>173</v>
      </c>
      <c r="B135" s="64" t="s">
        <v>430</v>
      </c>
      <c r="C135" s="148">
        <v>44181</v>
      </c>
      <c r="D135" s="220" t="s">
        <v>387</v>
      </c>
    </row>
    <row r="136" spans="1:6" hidden="1" x14ac:dyDescent="0.25">
      <c r="A136" s="3" t="s">
        <v>174</v>
      </c>
      <c r="B136" s="25">
        <f>B75*1.5</f>
        <v>300000000</v>
      </c>
      <c r="C136" s="25">
        <f>B136</f>
        <v>300000000</v>
      </c>
      <c r="D136" s="211" t="s">
        <v>174</v>
      </c>
    </row>
    <row r="137" spans="1:6" ht="27.75" hidden="1" customHeight="1" x14ac:dyDescent="0.2">
      <c r="A137" s="203"/>
      <c r="B137" s="5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uch yuz million so'm</v>
      </c>
      <c r="C137" s="168" t="str">
        <f>B137</f>
        <v>uch yuz million so'm</v>
      </c>
      <c r="D137" s="4"/>
    </row>
    <row r="138" spans="1:6" ht="27.75" hidden="1" customHeight="1" x14ac:dyDescent="0.2">
      <c r="A138" s="3"/>
      <c r="B138" s="168" t="str">
        <f>B137</f>
        <v>uch yuz million so'm</v>
      </c>
      <c r="C138" s="79"/>
      <c r="D138" s="4"/>
    </row>
    <row r="139" spans="1:6" ht="20.25" x14ac:dyDescent="0.2">
      <c r="A139" s="3" t="s">
        <v>347</v>
      </c>
      <c r="B139" s="59">
        <v>137291</v>
      </c>
    </row>
    <row r="140" spans="1:6" x14ac:dyDescent="0.2">
      <c r="A140" s="3" t="s">
        <v>376</v>
      </c>
      <c r="B140" s="53">
        <v>2</v>
      </c>
    </row>
    <row r="141" spans="1:6" x14ac:dyDescent="0.2">
      <c r="A141" s="3" t="s">
        <v>156</v>
      </c>
      <c r="B141" s="2" t="s">
        <v>147</v>
      </c>
      <c r="C141" s="212">
        <v>1</v>
      </c>
    </row>
    <row r="142" spans="1:6" hidden="1" x14ac:dyDescent="0.2">
      <c r="A142" s="3" t="s">
        <v>157</v>
      </c>
      <c r="B142" s="8" t="str">
        <f>B70</f>
        <v>20 yanvar 2025 y.</v>
      </c>
      <c r="C142" s="212" t="str">
        <f>B70</f>
        <v>20 yanvar 2025 y.</v>
      </c>
    </row>
    <row r="143" spans="1:6" hidden="1" x14ac:dyDescent="0.2">
      <c r="A143" s="3"/>
      <c r="B143" s="1">
        <f>YEAR(B67)</f>
        <v>2025</v>
      </c>
    </row>
    <row r="144" spans="1:6" hidden="1" x14ac:dyDescent="0.2">
      <c r="A144" s="3"/>
      <c r="B144" s="172" t="str">
        <f>D67</f>
        <v>yanvar</v>
      </c>
    </row>
    <row r="145" spans="1:3" hidden="1" x14ac:dyDescent="0.2">
      <c r="A145" s="3"/>
      <c r="B145" s="1">
        <f>DAY(B67)</f>
        <v>20</v>
      </c>
    </row>
    <row r="146" spans="1:3" x14ac:dyDescent="0.2">
      <c r="A146" s="250" t="s">
        <v>357</v>
      </c>
      <c r="B146" s="250"/>
    </row>
    <row r="147" spans="1:3" x14ac:dyDescent="0.2">
      <c r="A147" s="3" t="s">
        <v>175</v>
      </c>
      <c r="B147" s="1" t="s">
        <v>381</v>
      </c>
    </row>
    <row r="148" spans="1:3" x14ac:dyDescent="0.2">
      <c r="A148" s="3"/>
      <c r="B148" s="1" t="s">
        <v>381</v>
      </c>
    </row>
    <row r="149" spans="1:3" x14ac:dyDescent="0.2">
      <c r="A149" s="3"/>
      <c r="B149" s="1" t="s">
        <v>381</v>
      </c>
    </row>
    <row r="150" spans="1:3" x14ac:dyDescent="0.2">
      <c r="A150" s="3" t="s">
        <v>393</v>
      </c>
      <c r="B150" s="1" t="s">
        <v>398</v>
      </c>
      <c r="C150" s="212" t="s">
        <v>392</v>
      </c>
    </row>
    <row r="151" spans="1:3" x14ac:dyDescent="0.2">
      <c r="A151" s="3"/>
      <c r="B151" s="1" t="s">
        <v>394</v>
      </c>
    </row>
    <row r="152" spans="1:3" hidden="1" x14ac:dyDescent="0.2">
      <c r="A152" s="3" t="s">
        <v>179</v>
      </c>
      <c r="B152" s="1" t="s">
        <v>176</v>
      </c>
    </row>
    <row r="153" spans="1:3" ht="28.5" hidden="1" x14ac:dyDescent="0.2">
      <c r="A153" s="3" t="s">
        <v>180</v>
      </c>
      <c r="B153" s="1" t="s">
        <v>177</v>
      </c>
    </row>
    <row r="154" spans="1:3" hidden="1" x14ac:dyDescent="0.2">
      <c r="A154" s="3" t="s">
        <v>181</v>
      </c>
      <c r="B154" s="1" t="s">
        <v>24</v>
      </c>
    </row>
    <row r="155" spans="1:3" hidden="1" x14ac:dyDescent="0.2">
      <c r="A155" s="3" t="s">
        <v>182</v>
      </c>
      <c r="B155" s="1" t="s">
        <v>22</v>
      </c>
    </row>
    <row r="156" spans="1:3" hidden="1" x14ac:dyDescent="0.2">
      <c r="A156" s="3" t="s">
        <v>183</v>
      </c>
      <c r="B156" s="1" t="s">
        <v>178</v>
      </c>
    </row>
    <row r="157" spans="1:3" hidden="1" x14ac:dyDescent="0.2">
      <c r="A157" s="3" t="s">
        <v>184</v>
      </c>
      <c r="B157" s="2" t="s">
        <v>25</v>
      </c>
    </row>
    <row r="158" spans="1:3" hidden="1" x14ac:dyDescent="0.2">
      <c r="A158" s="3" t="s">
        <v>185</v>
      </c>
      <c r="B158" s="1" t="s">
        <v>335</v>
      </c>
    </row>
    <row r="159" spans="1:3" x14ac:dyDescent="0.2">
      <c r="A159" s="3" t="s">
        <v>407</v>
      </c>
      <c r="B159" s="1" t="s">
        <v>406</v>
      </c>
    </row>
    <row r="160" spans="1:3" x14ac:dyDescent="0.2">
      <c r="A160" s="3" t="s">
        <v>379</v>
      </c>
      <c r="B160" s="1" t="s">
        <v>402</v>
      </c>
    </row>
    <row r="161" spans="1:2" x14ac:dyDescent="0.2">
      <c r="A161" s="3" t="s">
        <v>382</v>
      </c>
      <c r="B161" s="1" t="s">
        <v>436</v>
      </c>
    </row>
    <row r="162" spans="1:2" x14ac:dyDescent="0.2">
      <c r="A162" s="3" t="s">
        <v>186</v>
      </c>
      <c r="B162" s="2" t="s">
        <v>348</v>
      </c>
    </row>
    <row r="163" spans="1:2" x14ac:dyDescent="0.2">
      <c r="A163" s="3" t="s">
        <v>187</v>
      </c>
      <c r="B163" s="2" t="s">
        <v>349</v>
      </c>
    </row>
    <row r="164" spans="1:2" x14ac:dyDescent="0.2">
      <c r="A164" s="3" t="s">
        <v>188</v>
      </c>
      <c r="B164" s="1" t="str">
        <f>B1</f>
        <v>№134</v>
      </c>
    </row>
    <row r="165" spans="1:2" x14ac:dyDescent="0.2">
      <c r="A165" s="3" t="s">
        <v>189</v>
      </c>
      <c r="B165" s="8" t="str">
        <f>B70</f>
        <v>20 yanvar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2" zoomScaleSheetLayoutView="100" workbookViewId="0">
      <selection activeCell="B2" sqref="B2"/>
    </sheetView>
  </sheetViews>
  <sheetFormatPr defaultColWidth="9.140625" defaultRowHeight="15" outlineLevelCol="1" x14ac:dyDescent="0.25"/>
  <cols>
    <col min="1" max="1" width="9.140625" style="19"/>
    <col min="2" max="2" width="10.140625" style="19" bestFit="1" customWidth="1"/>
    <col min="3" max="3" width="16.5703125" style="19" customWidth="1"/>
    <col min="4" max="5" width="15.7109375" style="19" bestFit="1" customWidth="1"/>
    <col min="6" max="6" width="20.85546875" style="19" customWidth="1"/>
    <col min="7" max="7" width="10.140625" style="19" customWidth="1" outlineLevel="1"/>
    <col min="8" max="16384" width="9.140625" style="19"/>
  </cols>
  <sheetData>
    <row r="1" spans="1:8" x14ac:dyDescent="0.25">
      <c r="A1" s="41"/>
      <c r="B1" s="41"/>
      <c r="C1" s="41"/>
      <c r="D1" s="41"/>
      <c r="E1" s="253" t="s">
        <v>15</v>
      </c>
      <c r="F1" s="253"/>
    </row>
    <row r="2" spans="1:8" x14ac:dyDescent="0.25">
      <c r="A2" s="41"/>
      <c r="B2" s="41"/>
      <c r="C2" s="41"/>
      <c r="D2" s="41"/>
      <c r="E2" s="41"/>
      <c r="F2" s="42" t="str">
        <f>"к договору микрозайма "&amp;'Общие данные'!B74&amp;""</f>
        <v>к договору микрозайма 20 yanvar 2025 y.dan №134</v>
      </c>
    </row>
    <row r="3" spans="1:8" ht="6.75" customHeight="1" x14ac:dyDescent="0.25">
      <c r="A3" s="41"/>
      <c r="B3" s="41"/>
      <c r="C3" s="41"/>
      <c r="D3" s="41"/>
      <c r="E3" s="41"/>
      <c r="F3" s="41"/>
    </row>
    <row r="4" spans="1:8" x14ac:dyDescent="0.25">
      <c r="A4" s="254" t="s">
        <v>16</v>
      </c>
      <c r="B4" s="254"/>
      <c r="C4" s="254"/>
      <c r="D4" s="254"/>
      <c r="E4" s="254"/>
      <c r="F4" s="254"/>
    </row>
    <row r="5" spans="1:8" ht="7.5" customHeight="1" x14ac:dyDescent="0.25"/>
    <row r="6" spans="1:8" x14ac:dyDescent="0.25">
      <c r="A6" s="255" t="s">
        <v>14</v>
      </c>
      <c r="B6" s="256" t="s">
        <v>8</v>
      </c>
      <c r="C6" s="256" t="s">
        <v>9</v>
      </c>
      <c r="D6" s="257" t="s">
        <v>10</v>
      </c>
      <c r="E6" s="257"/>
      <c r="F6" s="257"/>
    </row>
    <row r="7" spans="1:8" s="20" customFormat="1" ht="30" x14ac:dyDescent="0.25">
      <c r="A7" s="255"/>
      <c r="B7" s="256"/>
      <c r="C7" s="256"/>
      <c r="D7" s="21" t="s">
        <v>11</v>
      </c>
      <c r="E7" s="21" t="s">
        <v>12</v>
      </c>
      <c r="F7" s="21" t="s">
        <v>13</v>
      </c>
    </row>
    <row r="8" spans="1:8" x14ac:dyDescent="0.25">
      <c r="A8" s="22">
        <v>1</v>
      </c>
      <c r="B8" s="37">
        <f>'График дифференц'!B8</f>
        <v>45698</v>
      </c>
      <c r="C8" s="38">
        <f>'Общие данные'!B75</f>
        <v>200000000</v>
      </c>
      <c r="D8" s="38">
        <f>IF(A8&lt;'Общие данные'!$B$81,'График аннуитет.'!F8-'График аннуитет.'!E8,'График аннуитет.'!C8)</f>
        <v>8295281.5599999987</v>
      </c>
      <c r="E8" s="38">
        <f>ROUND(C8*'Общие данные'!$B$84/H8,2)*'График аннуитет.'!G8</f>
        <v>6904109.5199999996</v>
      </c>
      <c r="F8" s="38">
        <f>'Общие данные'!B90</f>
        <v>15199391.079999998</v>
      </c>
      <c r="G8" s="19">
        <f>B8-'Общие данные'!B67</f>
        <v>21</v>
      </c>
      <c r="H8" s="19">
        <f>DATE(YEAR(B8),12,31)-DATE(YEAR(B8),1,1)+1</f>
        <v>365</v>
      </c>
    </row>
    <row r="9" spans="1:8" x14ac:dyDescent="0.25">
      <c r="A9" s="22">
        <v>2</v>
      </c>
      <c r="B9" s="37">
        <f>'График дифференц'!B9</f>
        <v>45726</v>
      </c>
      <c r="C9" s="38">
        <f t="shared" ref="C9:C30" si="0">C8-D8</f>
        <v>191704718.44</v>
      </c>
      <c r="D9" s="38">
        <f>IF(A9&lt;'Общие данные'!$B$81,'График аннуитет.'!F9-'График аннуитет.'!E9,'График аннуитет.'!C9)</f>
        <v>6375721.959999999</v>
      </c>
      <c r="E9" s="38">
        <f>ROUND(C9*'Общие данные'!$B$84/H9,2)*'График аннуитет.'!G9</f>
        <v>8823669.1199999992</v>
      </c>
      <c r="F9" s="38">
        <f>IF(A9&lt;'Общие данные'!$B$81,'График аннуитет.'!F8,'График аннуитет.'!D9+'График аннуитет.'!E9)</f>
        <v>15199391.079999998</v>
      </c>
      <c r="G9" s="19">
        <f>B9-B8</f>
        <v>28</v>
      </c>
      <c r="H9" s="19">
        <f t="shared" ref="H9:H31" si="1">DATE(YEAR(B9),12,31)-DATE(YEAR(B9),1,1)+1</f>
        <v>365</v>
      </c>
    </row>
    <row r="10" spans="1:8" x14ac:dyDescent="0.25">
      <c r="A10" s="22">
        <v>3</v>
      </c>
      <c r="B10" s="37">
        <f>'График дифференц'!B10</f>
        <v>45757</v>
      </c>
      <c r="C10" s="38">
        <f t="shared" si="0"/>
        <v>185328996.47999999</v>
      </c>
      <c r="D10" s="38">
        <f>IF(A10&lt;'Общие данные'!$B$81,'График аннуитет.'!F10-'График аннуитет.'!E10,'График аннуитет.'!C10)</f>
        <v>5755228.3699999992</v>
      </c>
      <c r="E10" s="38">
        <f>ROUND(C10*'Общие данные'!$B$84/H10,2)*'График аннуитет.'!G10</f>
        <v>9444162.709999999</v>
      </c>
      <c r="F10" s="38">
        <f>IF(A10&lt;'Общие данные'!$B$81,'График аннуитет.'!F9,'График аннуитет.'!D10+'График аннуитет.'!E10)</f>
        <v>15199391.079999998</v>
      </c>
      <c r="G10" s="19">
        <f t="shared" ref="G10:G24" si="2">B10-B9</f>
        <v>31</v>
      </c>
      <c r="H10" s="19">
        <f t="shared" si="1"/>
        <v>365</v>
      </c>
    </row>
    <row r="11" spans="1:8" x14ac:dyDescent="0.25">
      <c r="A11" s="22">
        <v>4</v>
      </c>
      <c r="B11" s="37">
        <f>'График дифференц'!B11</f>
        <v>45789</v>
      </c>
      <c r="C11" s="38">
        <f t="shared" si="0"/>
        <v>179573768.10999998</v>
      </c>
      <c r="D11" s="38">
        <f>IF(A11&lt;'Общие данные'!$B$81,'График аннуитет.'!F11-'График аннуитет.'!E11,'График аннуитет.'!C11)</f>
        <v>5753318.7599999979</v>
      </c>
      <c r="E11" s="38">
        <f>ROUND(C11*'Общие данные'!$B$84/H11,2)*'График аннуитет.'!G11</f>
        <v>9446072.3200000003</v>
      </c>
      <c r="F11" s="38">
        <f>IF(A11&lt;'Общие данные'!$B$81,'График аннуитет.'!F10,'График аннуитет.'!D11+'График аннуитет.'!E11)</f>
        <v>15199391.079999998</v>
      </c>
      <c r="G11" s="19">
        <f t="shared" si="2"/>
        <v>32</v>
      </c>
      <c r="H11" s="19">
        <f t="shared" si="1"/>
        <v>365</v>
      </c>
    </row>
    <row r="12" spans="1:8" x14ac:dyDescent="0.25">
      <c r="A12" s="22">
        <v>5</v>
      </c>
      <c r="B12" s="37">
        <f>'График дифференц'!B12</f>
        <v>45818</v>
      </c>
      <c r="C12" s="38">
        <f t="shared" si="0"/>
        <v>173820449.34999999</v>
      </c>
      <c r="D12" s="38">
        <f>IF(A12&lt;'Общие данные'!$B$81,'График аннуитет.'!F12-'График аннуитет.'!E12,'График аннуитет.'!C12)</f>
        <v>6913155.8299999982</v>
      </c>
      <c r="E12" s="38">
        <f>ROUND(C12*'Общие данные'!$B$84/H12,2)*'График аннуитет.'!G12</f>
        <v>8286235.25</v>
      </c>
      <c r="F12" s="38">
        <f>IF(A12&lt;'Общие данные'!$B$81,'График аннуитет.'!F11,'График аннуитет.'!D12+'График аннуитет.'!E12)</f>
        <v>15199391.079999998</v>
      </c>
      <c r="G12" s="19">
        <f t="shared" si="2"/>
        <v>29</v>
      </c>
      <c r="H12" s="19">
        <f t="shared" si="1"/>
        <v>365</v>
      </c>
    </row>
    <row r="13" spans="1:8" x14ac:dyDescent="0.25">
      <c r="A13" s="22">
        <v>6</v>
      </c>
      <c r="B13" s="37">
        <f>'График дифференц'!B13</f>
        <v>45848</v>
      </c>
      <c r="C13" s="38">
        <f t="shared" si="0"/>
        <v>166907293.51999998</v>
      </c>
      <c r="D13" s="38">
        <f>IF(A13&lt;'Общие данные'!$B$81,'График аннуитет.'!F13-'График аннуитет.'!E13,'График аннуитет.'!C13)</f>
        <v>6968346.5799999973</v>
      </c>
      <c r="E13" s="38">
        <f>ROUND(C13*'Общие данные'!$B$84/H13,2)*'График аннуитет.'!G13</f>
        <v>8231044.5000000009</v>
      </c>
      <c r="F13" s="38">
        <f>IF(A13&lt;'Общие данные'!$B$81,'График аннуитет.'!F12,'График аннуитет.'!D13+'График аннуитет.'!E13)</f>
        <v>15199391.079999998</v>
      </c>
      <c r="G13" s="19">
        <f t="shared" si="2"/>
        <v>30</v>
      </c>
      <c r="H13" s="19">
        <f t="shared" si="1"/>
        <v>365</v>
      </c>
    </row>
    <row r="14" spans="1:8" x14ac:dyDescent="0.25">
      <c r="A14" s="22">
        <v>7</v>
      </c>
      <c r="B14" s="37">
        <f>'График дифференц'!B14</f>
        <v>45880</v>
      </c>
      <c r="C14" s="38">
        <f t="shared" si="0"/>
        <v>159938946.94</v>
      </c>
      <c r="D14" s="38">
        <f>IF(A14&lt;'Общие данные'!$B$81,'График аннуитет.'!F14-'График аннуитет.'!E14,'График аннуитет.'!C14)</f>
        <v>6786164.1999999974</v>
      </c>
      <c r="E14" s="38">
        <f>ROUND(C14*'Общие данные'!$B$84/H14,2)*'График аннуитет.'!G14</f>
        <v>8413226.8800000008</v>
      </c>
      <c r="F14" s="38">
        <f>IF(A14&lt;'Общие данные'!$B$81,'График аннуитет.'!F13,'График аннуитет.'!D14+'График аннуитет.'!E14)</f>
        <v>15199391.079999998</v>
      </c>
      <c r="G14" s="19">
        <f t="shared" si="2"/>
        <v>32</v>
      </c>
      <c r="H14" s="19">
        <f t="shared" si="1"/>
        <v>365</v>
      </c>
    </row>
    <row r="15" spans="1:8" x14ac:dyDescent="0.25">
      <c r="A15" s="22">
        <v>8</v>
      </c>
      <c r="B15" s="37">
        <f>'График дифференц'!B15</f>
        <v>45910</v>
      </c>
      <c r="C15" s="38">
        <f t="shared" si="0"/>
        <v>153152782.74000001</v>
      </c>
      <c r="D15" s="38">
        <f>IF(A15&lt;'Общие данные'!$B$81,'График аннуитет.'!F15-'График аннуитет.'!E15,'График аннуитет.'!C15)</f>
        <v>7646651.0799999982</v>
      </c>
      <c r="E15" s="38">
        <f>ROUND(C15*'Общие данные'!$B$84/H15,2)*'График аннуитет.'!G15</f>
        <v>7552740</v>
      </c>
      <c r="F15" s="38">
        <f>IF(A15&lt;'Общие данные'!$B$81,'График аннуитет.'!F14,'График аннуитет.'!D15+'График аннуитет.'!E15)</f>
        <v>15199391.079999998</v>
      </c>
      <c r="G15" s="19">
        <f t="shared" si="2"/>
        <v>30</v>
      </c>
      <c r="H15" s="19">
        <f t="shared" si="1"/>
        <v>365</v>
      </c>
    </row>
    <row r="16" spans="1:8" x14ac:dyDescent="0.25">
      <c r="A16" s="22">
        <v>9</v>
      </c>
      <c r="B16" s="37">
        <f>'График дифференц'!B16</f>
        <v>45940</v>
      </c>
      <c r="C16" s="38">
        <f t="shared" si="0"/>
        <v>145506131.66000003</v>
      </c>
      <c r="D16" s="38">
        <f>IF(A16&lt;'Общие данные'!$B$81,'График аннуитет.'!F16-'График аннуитет.'!E16,'График аннуитет.'!C16)</f>
        <v>8023746.2799999984</v>
      </c>
      <c r="E16" s="38">
        <f>ROUND(C16*'Общие данные'!$B$84/H16,2)*'График аннуитет.'!G16</f>
        <v>7175644.7999999998</v>
      </c>
      <c r="F16" s="38">
        <f>IF(A16&lt;'Общие данные'!$B$81,'График аннуитет.'!F15,'График аннуитет.'!D16+'График аннуитет.'!E16)</f>
        <v>15199391.079999998</v>
      </c>
      <c r="G16" s="19">
        <f t="shared" si="2"/>
        <v>30</v>
      </c>
      <c r="H16" s="19">
        <f t="shared" si="1"/>
        <v>365</v>
      </c>
    </row>
    <row r="17" spans="1:8" x14ac:dyDescent="0.25">
      <c r="A17" s="22">
        <v>10</v>
      </c>
      <c r="B17" s="37">
        <f>'График дифференц'!B17</f>
        <v>45971</v>
      </c>
      <c r="C17" s="38">
        <f t="shared" si="0"/>
        <v>137482385.38000003</v>
      </c>
      <c r="D17" s="38">
        <f>IF(A17&lt;'Общие данные'!$B$81,'График аннуитет.'!F17-'График аннуитет.'!E17,'График аннуитет.'!C17)</f>
        <v>8193439.4399999985</v>
      </c>
      <c r="E17" s="38">
        <f>ROUND(C17*'Общие данные'!$B$84/H17,2)*'График аннуитет.'!G17</f>
        <v>7005951.6399999997</v>
      </c>
      <c r="F17" s="38">
        <f>IF(A17&lt;'Общие данные'!$B$81,'График аннуитет.'!F16,'График аннуитет.'!D17+'График аннуитет.'!E17)</f>
        <v>15199391.079999998</v>
      </c>
      <c r="G17" s="19">
        <f t="shared" si="2"/>
        <v>31</v>
      </c>
      <c r="H17" s="19">
        <f t="shared" si="1"/>
        <v>365</v>
      </c>
    </row>
    <row r="18" spans="1:8" x14ac:dyDescent="0.25">
      <c r="A18" s="22">
        <v>11</v>
      </c>
      <c r="B18" s="37">
        <f>'График дифференц'!B18</f>
        <v>46001</v>
      </c>
      <c r="C18" s="38">
        <f t="shared" si="0"/>
        <v>129288945.94000003</v>
      </c>
      <c r="D18" s="38">
        <f>IF(A18&lt;'Общие данные'!$B$81,'График аннуитет.'!F18-'График аннуитет.'!E18,'График аннуитет.'!C18)</f>
        <v>8823497.9799999986</v>
      </c>
      <c r="E18" s="38">
        <f>ROUND(C18*'Общие данные'!$B$84/H18,2)*'График аннуитет.'!G18</f>
        <v>6375893.0999999996</v>
      </c>
      <c r="F18" s="38">
        <f>IF(A18&lt;'Общие данные'!$B$81,'График аннуитет.'!F17,'График аннуитет.'!D18+'График аннуитет.'!E18)</f>
        <v>15199391.079999998</v>
      </c>
      <c r="G18" s="19">
        <f t="shared" si="2"/>
        <v>30</v>
      </c>
      <c r="H18" s="19">
        <f t="shared" si="1"/>
        <v>365</v>
      </c>
    </row>
    <row r="19" spans="1:8" x14ac:dyDescent="0.25">
      <c r="A19" s="22">
        <v>12</v>
      </c>
      <c r="B19" s="37">
        <f>'График дифференц'!B19</f>
        <v>46034</v>
      </c>
      <c r="C19" s="38">
        <f t="shared" si="0"/>
        <v>120465447.96000002</v>
      </c>
      <c r="D19" s="38">
        <f>IF(A19&lt;'Общие данные'!$B$81,'График аннуитет.'!F19-'График аннуитет.'!E19,'График аннуитет.'!C19)</f>
        <v>8664553.2099999972</v>
      </c>
      <c r="E19" s="38">
        <f>ROUND(C19*'Общие данные'!$B$84/H19,2)*'График аннуитет.'!G19</f>
        <v>6534837.8700000001</v>
      </c>
      <c r="F19" s="38">
        <f>IF(A19&lt;'Общие данные'!$B$81,'График аннуитет.'!F18,'График аннуитет.'!D19+'График аннуитет.'!E19)</f>
        <v>15199391.079999998</v>
      </c>
      <c r="G19" s="19">
        <f>B19-B18</f>
        <v>33</v>
      </c>
      <c r="H19" s="19">
        <f t="shared" si="1"/>
        <v>365</v>
      </c>
    </row>
    <row r="20" spans="1:8" x14ac:dyDescent="0.25">
      <c r="A20" s="22">
        <v>13</v>
      </c>
      <c r="B20" s="37">
        <f>'График дифференц'!B20</f>
        <v>46063</v>
      </c>
      <c r="C20" s="38">
        <f t="shared" si="0"/>
        <v>111800894.75000003</v>
      </c>
      <c r="D20" s="38">
        <f>IF(A20&lt;'Общие данные'!$B$81,'График аннуитет.'!F20-'График аннуитет.'!E20,'График аннуитет.'!C20)</f>
        <v>9869704.6699999981</v>
      </c>
      <c r="E20" s="38">
        <f>ROUND(C20*'Общие данные'!$B$84/H20,2)*'График аннуитет.'!G20</f>
        <v>5329686.41</v>
      </c>
      <c r="F20" s="38">
        <f>IF(A20&lt;'Общие данные'!$B$81,'График аннуитет.'!F19,'График аннуитет.'!D20+'График аннуитет.'!E20)</f>
        <v>15199391.079999998</v>
      </c>
      <c r="G20" s="19">
        <f t="shared" si="2"/>
        <v>29</v>
      </c>
      <c r="H20" s="19">
        <f t="shared" si="1"/>
        <v>365</v>
      </c>
    </row>
    <row r="21" spans="1:8" x14ac:dyDescent="0.25">
      <c r="A21" s="22">
        <v>14</v>
      </c>
      <c r="B21" s="37">
        <f>'График дифференц'!B21</f>
        <v>46091</v>
      </c>
      <c r="C21" s="38">
        <f t="shared" si="0"/>
        <v>101931190.08000003</v>
      </c>
      <c r="D21" s="38">
        <f>IF(A21&lt;'Общие данные'!$B$81,'График аннуитет.'!F21-'График аннуитет.'!E21,'График аннуитет.'!C21)</f>
        <v>10507763.719999999</v>
      </c>
      <c r="E21" s="38">
        <f>ROUND(C21*'Общие данные'!$B$84/H21,2)*'График аннуитет.'!G21</f>
        <v>4691627.3599999994</v>
      </c>
      <c r="F21" s="38">
        <f>IF(A21&lt;'Общие данные'!$B$81,'График аннуитет.'!F20,'График аннуитет.'!D21+'График аннуитет.'!E21)</f>
        <v>15199391.079999998</v>
      </c>
      <c r="G21" s="19">
        <f t="shared" si="2"/>
        <v>28</v>
      </c>
      <c r="H21" s="19">
        <f t="shared" si="1"/>
        <v>365</v>
      </c>
    </row>
    <row r="22" spans="1:8" x14ac:dyDescent="0.25">
      <c r="A22" s="22">
        <v>15</v>
      </c>
      <c r="B22" s="37">
        <f>'График дифференц'!B22</f>
        <v>46122</v>
      </c>
      <c r="C22" s="38">
        <f t="shared" si="0"/>
        <v>91423426.360000029</v>
      </c>
      <c r="D22" s="38">
        <f>IF(A22&lt;'Общие данные'!$B$81,'График аннуитет.'!F22-'График аннуитет.'!E22,'График аннуитет.'!C22)</f>
        <v>10540553.599999998</v>
      </c>
      <c r="E22" s="38">
        <f>ROUND(C22*'Общие данные'!$B$84/H22,2)*'График аннуитет.'!G22</f>
        <v>4658837.4799999995</v>
      </c>
      <c r="F22" s="38">
        <f>IF(A22&lt;'Общие данные'!$B$81,'График аннуитет.'!F21,'График аннуитет.'!D22+'График аннуитет.'!E22)</f>
        <v>15199391.079999998</v>
      </c>
      <c r="G22" s="19">
        <f t="shared" si="2"/>
        <v>31</v>
      </c>
      <c r="H22" s="19">
        <f t="shared" si="1"/>
        <v>365</v>
      </c>
    </row>
    <row r="23" spans="1:8" x14ac:dyDescent="0.25">
      <c r="A23" s="22">
        <v>16</v>
      </c>
      <c r="B23" s="37">
        <f>'График дифференц'!B23</f>
        <v>46153</v>
      </c>
      <c r="C23" s="38">
        <f t="shared" si="0"/>
        <v>80882872.760000035</v>
      </c>
      <c r="D23" s="38">
        <f>IF(A23&lt;'Общие данные'!$B$81,'График аннуитет.'!F23-'График аннуитет.'!E23,'График аннуитет.'!C23)</f>
        <v>11077688.429999998</v>
      </c>
      <c r="E23" s="38">
        <f>ROUND(C23*'Общие данные'!$B$84/H23,2)*'График аннуитет.'!G23</f>
        <v>4121702.65</v>
      </c>
      <c r="F23" s="38">
        <f>IF(A23&lt;'Общие данные'!$B$81,'График аннуитет.'!F22,'График аннуитет.'!D23+'График аннуитет.'!E23)</f>
        <v>15199391.079999998</v>
      </c>
      <c r="G23" s="19">
        <f t="shared" si="2"/>
        <v>31</v>
      </c>
      <c r="H23" s="19">
        <f t="shared" si="1"/>
        <v>365</v>
      </c>
    </row>
    <row r="24" spans="1:8" x14ac:dyDescent="0.25">
      <c r="A24" s="22">
        <v>17</v>
      </c>
      <c r="B24" s="37">
        <f>'График дифференц'!B24</f>
        <v>46183</v>
      </c>
      <c r="C24" s="38">
        <f t="shared" si="0"/>
        <v>69805184.330000043</v>
      </c>
      <c r="D24" s="38">
        <f>IF(A24&lt;'Общие данные'!$B$81,'График аннуитет.'!F24-'График аннуитет.'!E24,'График аннуитет.'!C24)</f>
        <v>11756943.579999998</v>
      </c>
      <c r="E24" s="38">
        <f>ROUND(C24*'Общие данные'!$B$84/H24,2)*'График аннуитет.'!G24</f>
        <v>3442447.5</v>
      </c>
      <c r="F24" s="38">
        <f>IF(A24&lt;'Общие данные'!$B$81,'График аннуитет.'!F23,'График аннуитет.'!D24+'График аннуитет.'!E24)</f>
        <v>15199391.079999998</v>
      </c>
      <c r="G24" s="19">
        <f t="shared" si="2"/>
        <v>30</v>
      </c>
      <c r="H24" s="19">
        <f t="shared" si="1"/>
        <v>365</v>
      </c>
    </row>
    <row r="25" spans="1:8" x14ac:dyDescent="0.25">
      <c r="A25" s="22">
        <v>18</v>
      </c>
      <c r="B25" s="37">
        <f>'График дифференц'!B25</f>
        <v>46213</v>
      </c>
      <c r="C25" s="38">
        <f t="shared" si="0"/>
        <v>58048240.750000045</v>
      </c>
      <c r="D25" s="38">
        <f>IF(A25&lt;'Общие данные'!$B$81,'График аннуитет.'!F25-'График аннуитет.'!E25,'График аннуитет.'!C25)</f>
        <v>12336737.979999999</v>
      </c>
      <c r="E25" s="38">
        <f>ROUND(C25*'Общие данные'!$B$84/H25,2)*'График аннуитет.'!G25</f>
        <v>2862653.1</v>
      </c>
      <c r="F25" s="38">
        <f>IF(A25&lt;'Общие данные'!$B$81,'График аннуитет.'!F24,'График аннуитет.'!D25+'График аннуитет.'!E25)</f>
        <v>15199391.079999998</v>
      </c>
      <c r="G25" s="19">
        <f>B25-B24</f>
        <v>30</v>
      </c>
      <c r="H25" s="19">
        <f t="shared" si="1"/>
        <v>365</v>
      </c>
    </row>
    <row r="26" spans="1:8" x14ac:dyDescent="0.25">
      <c r="A26" s="22">
        <v>19</v>
      </c>
      <c r="B26" s="37">
        <f>'График дифференц'!B26</f>
        <v>46244</v>
      </c>
      <c r="C26" s="38">
        <f t="shared" si="0"/>
        <v>45711502.770000048</v>
      </c>
      <c r="D26" s="38">
        <f>IF(A26&lt;'Общие данные'!$B$81,'График аннуитет.'!F26-'График аннуитет.'!E26,'График аннуитет.'!C26)</f>
        <v>12869982.879999999</v>
      </c>
      <c r="E26" s="38">
        <f>ROUND(C26*'Общие данные'!$B$84/H26,2)*'График аннуитет.'!G26</f>
        <v>2329408.1999999997</v>
      </c>
      <c r="F26" s="38">
        <f>IF(A26&lt;'Общие данные'!$B$81,'График аннуитет.'!F25,'График аннуитет.'!D26+'График аннуитет.'!E26)</f>
        <v>15199391.079999998</v>
      </c>
      <c r="G26" s="19">
        <f t="shared" ref="G26:G31" si="3">B26-B25</f>
        <v>31</v>
      </c>
      <c r="H26" s="19">
        <f t="shared" si="1"/>
        <v>365</v>
      </c>
    </row>
    <row r="27" spans="1:8" x14ac:dyDescent="0.25">
      <c r="A27" s="22">
        <v>20</v>
      </c>
      <c r="B27" s="37">
        <f>'График дифференц'!B27</f>
        <v>46275</v>
      </c>
      <c r="C27" s="38">
        <f t="shared" si="0"/>
        <v>32841519.890000049</v>
      </c>
      <c r="D27" s="38">
        <f>IF(A27&lt;'Общие данные'!$B$81,'График аннуитет.'!F27-'График аннуитет.'!E27,'График аннуитет.'!C27)</f>
        <v>13525823.219999999</v>
      </c>
      <c r="E27" s="38">
        <f>ROUND(C27*'Общие данные'!$B$84/H27,2)*'График аннуитет.'!G27</f>
        <v>1673567.8599999999</v>
      </c>
      <c r="F27" s="38">
        <f>IF(A27&lt;'Общие данные'!$B$81,'График аннуитет.'!F26,'График аннуитет.'!D27+'График аннуитет.'!E27)</f>
        <v>15199391.079999998</v>
      </c>
      <c r="G27" s="19">
        <f t="shared" si="3"/>
        <v>31</v>
      </c>
      <c r="H27" s="19">
        <f t="shared" si="1"/>
        <v>365</v>
      </c>
    </row>
    <row r="28" spans="1:8" x14ac:dyDescent="0.25">
      <c r="A28" s="22">
        <v>21</v>
      </c>
      <c r="B28" s="37">
        <f>'График дифференц'!B28</f>
        <v>46307</v>
      </c>
      <c r="C28" s="38">
        <f t="shared" si="0"/>
        <v>19315696.67000005</v>
      </c>
      <c r="D28" s="38">
        <f>IF(A28&lt;'Общие данные'!$B$81,'График аннуитет.'!F28-'График аннуитет.'!E28,'График аннуитет.'!C28)</f>
        <v>14183332.519999998</v>
      </c>
      <c r="E28" s="38">
        <f>ROUND(C28*'Общие данные'!$B$84/H28,2)*'График аннуитет.'!G28</f>
        <v>1016058.56</v>
      </c>
      <c r="F28" s="38">
        <f>IF(A28&lt;'Общие данные'!$B$81,'График аннуитет.'!F27,'График аннуитет.'!D28+'График аннуитет.'!E28)</f>
        <v>15199391.079999998</v>
      </c>
      <c r="G28" s="19">
        <f t="shared" si="3"/>
        <v>32</v>
      </c>
      <c r="H28" s="19">
        <f t="shared" si="1"/>
        <v>365</v>
      </c>
    </row>
    <row r="29" spans="1:8" x14ac:dyDescent="0.25">
      <c r="A29" s="22">
        <v>22</v>
      </c>
      <c r="B29" s="37">
        <f>'График дифференц'!B29</f>
        <v>46336</v>
      </c>
      <c r="C29" s="38">
        <f t="shared" si="0"/>
        <v>5132364.1500000525</v>
      </c>
      <c r="D29" s="38">
        <f>IF(A29&lt;'Общие данные'!$B$81,'График аннуитет.'!F29-'График аннуитет.'!E29,'График аннуитет.'!C29)</f>
        <v>14954725.039999999</v>
      </c>
      <c r="E29" s="38">
        <f>ROUND(C29*'Общие данные'!$B$84/H29,2)*'График аннуитет.'!G29</f>
        <v>244666.04</v>
      </c>
      <c r="F29" s="38">
        <f>IF(A29&lt;'Общие данные'!$B$81,'График аннуитет.'!F28,'График аннуитет.'!D29+'График аннуитет.'!E29)</f>
        <v>15199391.079999998</v>
      </c>
      <c r="G29" s="19">
        <f t="shared" si="3"/>
        <v>29</v>
      </c>
      <c r="H29" s="19">
        <f t="shared" si="1"/>
        <v>365</v>
      </c>
    </row>
    <row r="30" spans="1:8" x14ac:dyDescent="0.25">
      <c r="A30" s="22">
        <v>23</v>
      </c>
      <c r="B30" s="37">
        <f>'График дифференц'!B30</f>
        <v>46366</v>
      </c>
      <c r="C30" s="38">
        <f t="shared" si="0"/>
        <v>-9822360.8899999466</v>
      </c>
      <c r="D30" s="38">
        <f>IF(A30&lt;'Общие данные'!$B$81,'График аннуитет.'!F30-'График аннуитет.'!E30,'График аннуитет.'!C30)</f>
        <v>15683781.579999998</v>
      </c>
      <c r="E30" s="38">
        <f>ROUND(C30*'Общие данные'!$B$84/H30,2)*'График аннуитет.'!G30</f>
        <v>-484390.5</v>
      </c>
      <c r="F30" s="38">
        <f>IF(A30&lt;'Общие данные'!$B$81,'График аннуитет.'!F29,'График аннуитет.'!D30+'График аннуитет.'!E30)</f>
        <v>15199391.079999998</v>
      </c>
      <c r="G30" s="19">
        <f t="shared" si="3"/>
        <v>30</v>
      </c>
      <c r="H30" s="19">
        <f t="shared" si="1"/>
        <v>365</v>
      </c>
    </row>
    <row r="31" spans="1:8" x14ac:dyDescent="0.25">
      <c r="A31" s="22">
        <f>1+A30</f>
        <v>24</v>
      </c>
      <c r="B31" s="37">
        <f>'График дифференц'!B31</f>
        <v>46398</v>
      </c>
      <c r="C31" s="38">
        <f t="shared" ref="C31" si="4">C30-D30</f>
        <v>-25506142.469999947</v>
      </c>
      <c r="D31" s="38">
        <f>IF(A31&lt;'Общие данные'!$B$81,'График аннуитет.'!F31-'График аннуитет.'!E31,'График аннуитет.'!C31)</f>
        <v>16541084.199999999</v>
      </c>
      <c r="E31" s="38">
        <f>ROUND(C31*'Общие данные'!$B$84/H31,2)*'График аннуитет.'!G31</f>
        <v>-1341693.1200000001</v>
      </c>
      <c r="F31" s="38">
        <f>IF(A31&lt;'Общие данные'!$B$81,'График аннуитет.'!F30,'График аннуитет.'!D31+'График аннуитет.'!E31)</f>
        <v>15199391.079999998</v>
      </c>
      <c r="G31" s="19">
        <f t="shared" si="3"/>
        <v>32</v>
      </c>
      <c r="H31" s="19">
        <f t="shared" si="1"/>
        <v>365</v>
      </c>
    </row>
    <row r="32" spans="1:8" x14ac:dyDescent="0.25">
      <c r="A32" s="22">
        <f t="shared" ref="A32:A43" si="5">1+A31</f>
        <v>25</v>
      </c>
      <c r="B32" s="37">
        <f>'График дифференц'!B32</f>
        <v>46428</v>
      </c>
      <c r="C32" s="38">
        <f t="shared" ref="C32:C43" si="6">C31-D31</f>
        <v>-42047226.669999942</v>
      </c>
      <c r="D32" s="38">
        <f>IF(A32&lt;'Общие данные'!$B$81,'График аннуитет.'!F32-'График аннуитет.'!E32,'График аннуитет.'!C32)</f>
        <v>17272952.979999997</v>
      </c>
      <c r="E32" s="38">
        <f>ROUND(C32*'Общие данные'!$B$84/H32,2)*'График аннуитет.'!G32</f>
        <v>-2073561.9</v>
      </c>
      <c r="F32" s="38">
        <f>IF(A32&lt;'Общие данные'!$B$81,'График аннуитет.'!F31,'График аннуитет.'!D32+'График аннуитет.'!E32)</f>
        <v>15199391.079999998</v>
      </c>
      <c r="G32" s="19">
        <f t="shared" ref="G32:G43" si="7">B32-B31</f>
        <v>30</v>
      </c>
      <c r="H32" s="19">
        <f t="shared" ref="H32:H43" si="8">DATE(YEAR(B32),12,31)-DATE(YEAR(B32),1,1)+1</f>
        <v>365</v>
      </c>
    </row>
    <row r="33" spans="1:8" x14ac:dyDescent="0.25">
      <c r="A33" s="22">
        <f t="shared" si="5"/>
        <v>26</v>
      </c>
      <c r="B33" s="37">
        <f>'График дифференц'!B33</f>
        <v>46456</v>
      </c>
      <c r="C33" s="38">
        <f t="shared" si="6"/>
        <v>-59320179.649999939</v>
      </c>
      <c r="D33" s="38">
        <f>IF(A33&lt;'Общие данные'!$B$81,'График аннуитет.'!F33-'График аннуитет.'!E33,'График аннуитет.'!C33)</f>
        <v>17929744.439999998</v>
      </c>
      <c r="E33" s="38">
        <f>ROUND(C33*'Общие данные'!$B$84/H33,2)*'График аннуитет.'!G33</f>
        <v>-2730353.36</v>
      </c>
      <c r="F33" s="38">
        <f>IF(A33&lt;'Общие данные'!$B$81,'График аннуитет.'!F32,'График аннуитет.'!D33+'График аннуитет.'!E33)</f>
        <v>15199391.079999998</v>
      </c>
      <c r="G33" s="19">
        <f t="shared" si="7"/>
        <v>28</v>
      </c>
      <c r="H33" s="19">
        <f t="shared" si="8"/>
        <v>365</v>
      </c>
    </row>
    <row r="34" spans="1:8" x14ac:dyDescent="0.25">
      <c r="A34" s="22">
        <f t="shared" si="5"/>
        <v>27</v>
      </c>
      <c r="B34" s="37">
        <f>'График дифференц'!B34</f>
        <v>46489</v>
      </c>
      <c r="C34" s="38">
        <f t="shared" si="6"/>
        <v>-77249924.089999944</v>
      </c>
      <c r="D34" s="38">
        <f>IF(A34&lt;'Общие данные'!$B$81,'График аннуитет.'!F34-'График аннуитет.'!E34,'График аннуитет.'!C34)</f>
        <v>19389935.02</v>
      </c>
      <c r="E34" s="38">
        <f>ROUND(C34*'Общие данные'!$B$84/H34,2)*'График аннуитет.'!G34</f>
        <v>-4190543.94</v>
      </c>
      <c r="F34" s="38">
        <f>IF(A34&lt;'Общие данные'!$B$81,'График аннуитет.'!F33,'График аннуитет.'!D34+'График аннуитет.'!E34)</f>
        <v>15199391.079999998</v>
      </c>
      <c r="G34" s="19">
        <f t="shared" si="7"/>
        <v>33</v>
      </c>
      <c r="H34" s="19">
        <f t="shared" si="8"/>
        <v>365</v>
      </c>
    </row>
    <row r="35" spans="1:8" x14ac:dyDescent="0.25">
      <c r="A35" s="22">
        <f t="shared" si="5"/>
        <v>28</v>
      </c>
      <c r="B35" s="37">
        <f>'График дифференц'!B35</f>
        <v>46517</v>
      </c>
      <c r="C35" s="38">
        <f t="shared" si="6"/>
        <v>-96639859.10999994</v>
      </c>
      <c r="D35" s="38">
        <f>IF(A35&lt;'Общие данные'!$B$81,'График аннуитет.'!F35-'График аннуитет.'!E35,'График аннуитет.'!C35)</f>
        <v>19647472.199999999</v>
      </c>
      <c r="E35" s="38">
        <f>ROUND(C35*'Общие данные'!$B$84/H35,2)*'График аннуитет.'!G35</f>
        <v>-4448081.12</v>
      </c>
      <c r="F35" s="38">
        <f>IF(A35&lt;'Общие данные'!$B$81,'График аннуитет.'!F34,'График аннуитет.'!D35+'График аннуитет.'!E35)</f>
        <v>15199391.079999998</v>
      </c>
      <c r="G35" s="19">
        <f t="shared" si="7"/>
        <v>28</v>
      </c>
      <c r="H35" s="19">
        <f t="shared" si="8"/>
        <v>365</v>
      </c>
    </row>
    <row r="36" spans="1:8" x14ac:dyDescent="0.25">
      <c r="A36" s="22">
        <f t="shared" si="5"/>
        <v>29</v>
      </c>
      <c r="B36" s="37">
        <f>'График дифференц'!B36</f>
        <v>46548</v>
      </c>
      <c r="C36" s="38">
        <f t="shared" si="6"/>
        <v>-116287331.30999994</v>
      </c>
      <c r="D36" s="38">
        <f>IF(A36&lt;'Общие данные'!$B$81,'График аннуитет.'!F36-'График аннуитет.'!E36,'График аннуитет.'!C36)</f>
        <v>21125266.140000001</v>
      </c>
      <c r="E36" s="38">
        <f>ROUND(C36*'Общие данные'!$B$84/H36,2)*'График аннуитет.'!G36</f>
        <v>-5925875.0600000005</v>
      </c>
      <c r="F36" s="38">
        <f>IF(A36&lt;'Общие данные'!$B$81,'График аннуитет.'!F35,'График аннуитет.'!D36+'График аннуитет.'!E36)</f>
        <v>15199391.079999998</v>
      </c>
      <c r="G36" s="19">
        <f t="shared" si="7"/>
        <v>31</v>
      </c>
      <c r="H36" s="19">
        <f t="shared" si="8"/>
        <v>365</v>
      </c>
    </row>
    <row r="37" spans="1:8" x14ac:dyDescent="0.25">
      <c r="A37" s="22">
        <f t="shared" si="5"/>
        <v>30</v>
      </c>
      <c r="B37" s="37">
        <f>'График дифференц'!B37</f>
        <v>46580</v>
      </c>
      <c r="C37" s="38">
        <f t="shared" si="6"/>
        <v>-137412597.44999993</v>
      </c>
      <c r="D37" s="38">
        <f>IF(A37&lt;'Общие данные'!$B$81,'График аннуитет.'!F37-'График аннуитет.'!E37,'График аннуитет.'!C37)</f>
        <v>22427670.119999997</v>
      </c>
      <c r="E37" s="38">
        <f>ROUND(C37*'Общие данные'!$B$84/H37,2)*'График аннуитет.'!G37</f>
        <v>-7228279.04</v>
      </c>
      <c r="F37" s="38">
        <f>IF(A37&lt;'Общие данные'!$B$81,'График аннуитет.'!F36,'График аннуитет.'!D37+'График аннуитет.'!E37)</f>
        <v>15199391.079999998</v>
      </c>
      <c r="G37" s="19">
        <f t="shared" si="7"/>
        <v>32</v>
      </c>
      <c r="H37" s="19">
        <f t="shared" si="8"/>
        <v>365</v>
      </c>
    </row>
    <row r="38" spans="1:8" x14ac:dyDescent="0.25">
      <c r="A38" s="22">
        <f t="shared" si="5"/>
        <v>31</v>
      </c>
      <c r="B38" s="37">
        <f>'График дифференц'!B38</f>
        <v>46609</v>
      </c>
      <c r="C38" s="38">
        <f t="shared" si="6"/>
        <v>-159840267.56999993</v>
      </c>
      <c r="D38" s="38">
        <f>IF(A38&lt;'Общие данные'!$B$81,'График аннуитет.'!F38-'График аннуитет.'!E38,'График аннуитет.'!C38)</f>
        <v>22819173.559999999</v>
      </c>
      <c r="E38" s="38">
        <f>ROUND(C38*'Общие данные'!$B$84/H38,2)*'График аннуитет.'!G38</f>
        <v>-7619782.4799999995</v>
      </c>
      <c r="F38" s="38">
        <f>IF(A38&lt;'Общие данные'!$B$81,'График аннуитет.'!F37,'График аннуитет.'!D38+'График аннуитет.'!E38)</f>
        <v>15199391.079999998</v>
      </c>
      <c r="G38" s="19">
        <f t="shared" si="7"/>
        <v>29</v>
      </c>
      <c r="H38" s="19">
        <f t="shared" si="8"/>
        <v>365</v>
      </c>
    </row>
    <row r="39" spans="1:8" x14ac:dyDescent="0.25">
      <c r="A39" s="22">
        <f t="shared" si="5"/>
        <v>32</v>
      </c>
      <c r="B39" s="37">
        <f>'График дифференц'!B39</f>
        <v>46640</v>
      </c>
      <c r="C39" s="38">
        <f t="shared" si="6"/>
        <v>-182659441.12999994</v>
      </c>
      <c r="D39" s="38">
        <f>IF(A39&lt;'Общие данные'!$B$81,'График аннуитет.'!F39-'График аннуитет.'!E39,'График аннуитет.'!C39)</f>
        <v>24507516.18</v>
      </c>
      <c r="E39" s="38">
        <f>ROUND(C39*'Общие данные'!$B$84/H39,2)*'График аннуитет.'!G39</f>
        <v>-9308125.0999999996</v>
      </c>
      <c r="F39" s="38">
        <f>IF(A39&lt;'Общие данные'!$B$81,'График аннуитет.'!F38,'График аннуитет.'!D39+'График аннуитет.'!E39)</f>
        <v>15199391.079999998</v>
      </c>
      <c r="G39" s="19">
        <f t="shared" si="7"/>
        <v>31</v>
      </c>
      <c r="H39" s="19">
        <f t="shared" si="8"/>
        <v>365</v>
      </c>
    </row>
    <row r="40" spans="1:8" x14ac:dyDescent="0.25">
      <c r="A40" s="22">
        <f t="shared" si="5"/>
        <v>33</v>
      </c>
      <c r="B40" s="37">
        <f>'График дифференц'!B40</f>
        <v>46671</v>
      </c>
      <c r="C40" s="38">
        <f t="shared" si="6"/>
        <v>-207166957.30999994</v>
      </c>
      <c r="D40" s="38">
        <f>IF(A40&lt;'Общие данные'!$B$81,'График аннуитет.'!F40-'График аннуитет.'!E40,'График аннуитет.'!C40)</f>
        <v>25756392.099999998</v>
      </c>
      <c r="E40" s="38">
        <f>ROUND(C40*'Общие данные'!$B$84/H40,2)*'График аннуитет.'!G40</f>
        <v>-10557001.02</v>
      </c>
      <c r="F40" s="38">
        <f>IF(A40&lt;'Общие данные'!$B$81,'График аннуитет.'!F39,'График аннуитет.'!D40+'График аннуитет.'!E40)</f>
        <v>15199391.079999998</v>
      </c>
      <c r="G40" s="19">
        <f t="shared" si="7"/>
        <v>31</v>
      </c>
      <c r="H40" s="19">
        <f t="shared" si="8"/>
        <v>365</v>
      </c>
    </row>
    <row r="41" spans="1:8" x14ac:dyDescent="0.25">
      <c r="A41" s="22">
        <f t="shared" si="5"/>
        <v>34</v>
      </c>
      <c r="B41" s="37">
        <f>'График дифференц'!B41</f>
        <v>46701</v>
      </c>
      <c r="C41" s="38">
        <f t="shared" si="6"/>
        <v>-232923349.40999994</v>
      </c>
      <c r="D41" s="38">
        <f>IF(A41&lt;'Общие данные'!$B$81,'График аннуитет.'!F41-'График аннуитет.'!E41,'График аннуитет.'!C41)</f>
        <v>26686022.079999998</v>
      </c>
      <c r="E41" s="38">
        <f>ROUND(C41*'Общие данные'!$B$84/H41,2)*'График аннуитет.'!G41</f>
        <v>-11486631</v>
      </c>
      <c r="F41" s="38">
        <f>IF(A41&lt;'Общие данные'!$B$81,'График аннуитет.'!F40,'График аннуитет.'!D41+'График аннуитет.'!E41)</f>
        <v>15199391.079999998</v>
      </c>
      <c r="G41" s="19">
        <f t="shared" si="7"/>
        <v>30</v>
      </c>
      <c r="H41" s="19">
        <f t="shared" si="8"/>
        <v>365</v>
      </c>
    </row>
    <row r="42" spans="1:8" x14ac:dyDescent="0.25">
      <c r="A42" s="22">
        <f t="shared" si="5"/>
        <v>35</v>
      </c>
      <c r="B42" s="37">
        <f>'График дифференц'!B42</f>
        <v>46731</v>
      </c>
      <c r="C42" s="38">
        <f t="shared" si="6"/>
        <v>-259609371.48999995</v>
      </c>
      <c r="D42" s="38">
        <f>IF(A42&lt;'Общие данные'!$B$81,'График аннуитет.'!F42-'График аннуитет.'!E42,'График аннуитет.'!C42)</f>
        <v>28002044.979999997</v>
      </c>
      <c r="E42" s="38">
        <f>ROUND(C42*'Общие данные'!$B$84/H42,2)*'График аннуитет.'!G42</f>
        <v>-12802653.9</v>
      </c>
      <c r="F42" s="38">
        <f>IF(A42&lt;'Общие данные'!$B$81,'График аннуитет.'!F41,'График аннуитет.'!D42+'График аннуитет.'!E42)</f>
        <v>15199391.079999998</v>
      </c>
      <c r="G42" s="19">
        <f t="shared" si="7"/>
        <v>30</v>
      </c>
      <c r="H42" s="19">
        <f t="shared" si="8"/>
        <v>365</v>
      </c>
    </row>
    <row r="43" spans="1:8" x14ac:dyDescent="0.25">
      <c r="A43" s="22">
        <f t="shared" si="5"/>
        <v>36</v>
      </c>
      <c r="B43" s="37">
        <f>'График дифференц'!B43</f>
        <v>46772</v>
      </c>
      <c r="C43" s="38">
        <f t="shared" si="6"/>
        <v>-287611416.46999997</v>
      </c>
      <c r="D43" s="38">
        <f>IF(A43&lt;'Общие данные'!$B$81,'График аннуитет.'!F43-'График аннуитет.'!E43,'График аннуитет.'!C43)</f>
        <v>-287611416.46999997</v>
      </c>
      <c r="E43" s="38">
        <f>ROUND(C43*'Общие данные'!$B$84/H43,2)*'График аннуитет.'!G43</f>
        <v>-19331259.330000002</v>
      </c>
      <c r="F43" s="38">
        <f>IF(A43&lt;'Общие данные'!$B$81,'График аннуитет.'!F42,'График аннуитет.'!D43+'График аннуитет.'!E43)</f>
        <v>-306942675.79999995</v>
      </c>
      <c r="G43" s="19">
        <f t="shared" si="7"/>
        <v>41</v>
      </c>
      <c r="H43" s="19">
        <f t="shared" si="8"/>
        <v>366</v>
      </c>
    </row>
    <row r="44" spans="1:8" x14ac:dyDescent="0.25">
      <c r="A44" s="50"/>
      <c r="B44" s="51" t="s">
        <v>7</v>
      </c>
      <c r="C44" s="52"/>
      <c r="D44" s="52">
        <f>SUM(D8:D31)</f>
        <v>242047226.66999996</v>
      </c>
      <c r="E44" s="52">
        <f>SUM(E8:E31)</f>
        <v>122738159.25000001</v>
      </c>
      <c r="F44" s="52">
        <f>SUM(F8:F31)</f>
        <v>364785385.91999972</v>
      </c>
    </row>
    <row r="45" spans="1:8" ht="9" customHeight="1" x14ac:dyDescent="0.25">
      <c r="B45" s="39"/>
      <c r="C45" s="40"/>
      <c r="D45" s="40"/>
      <c r="E45" s="40"/>
      <c r="F45" s="40"/>
    </row>
    <row r="46" spans="1:8" ht="47.25" customHeight="1" x14ac:dyDescent="0.25">
      <c r="A46" s="231" t="s">
        <v>17</v>
      </c>
      <c r="B46" s="231"/>
      <c r="C46" s="231"/>
      <c r="D46" s="231"/>
      <c r="E46" s="231"/>
      <c r="F46" s="231"/>
    </row>
    <row r="47" spans="1:8" ht="7.5" customHeight="1" x14ac:dyDescent="0.25"/>
    <row r="48" spans="1:8" x14ac:dyDescent="0.25">
      <c r="A48" s="259" t="e">
        <f>#REF!</f>
        <v>#REF!</v>
      </c>
      <c r="B48" s="259"/>
      <c r="C48" s="259"/>
      <c r="D48" s="259" t="e">
        <f>#REF!</f>
        <v>#REF!</v>
      </c>
      <c r="E48" s="259"/>
      <c r="F48" s="259"/>
    </row>
    <row r="49" spans="1:6" ht="11.25" customHeight="1" x14ac:dyDescent="0.25">
      <c r="A49" s="260"/>
      <c r="B49" s="260"/>
      <c r="C49" s="260"/>
      <c r="D49" s="260"/>
      <c r="E49" s="260"/>
      <c r="F49" s="260"/>
    </row>
    <row r="50" spans="1:6" ht="30" customHeight="1" x14ac:dyDescent="0.25">
      <c r="A50" s="261" t="e">
        <f>#REF!</f>
        <v>#REF!</v>
      </c>
      <c r="B50" s="261"/>
      <c r="C50" s="261"/>
      <c r="D50" s="261" t="e">
        <f>#REF!</f>
        <v>#REF!</v>
      </c>
      <c r="E50" s="261"/>
      <c r="F50" s="261"/>
    </row>
    <row r="51" spans="1:6" ht="32.25" customHeight="1" x14ac:dyDescent="0.25">
      <c r="A51" s="258" t="e">
        <f>#REF!</f>
        <v>#REF!</v>
      </c>
      <c r="B51" s="258"/>
      <c r="C51" s="258"/>
      <c r="D51" s="258" t="e">
        <f>#REF!</f>
        <v>#REF!</v>
      </c>
      <c r="E51" s="258"/>
      <c r="F51" s="258"/>
    </row>
    <row r="52" spans="1:6" x14ac:dyDescent="0.25">
      <c r="A52" s="258" t="e">
        <f>#REF!</f>
        <v>#REF!</v>
      </c>
      <c r="B52" s="258"/>
      <c r="C52" s="258"/>
      <c r="D52" s="258" t="str">
        <f>"паспорт серии "&amp;'Общие данные'!B16&amp;", "&amp;'Общие данные'!B20&amp;""</f>
        <v>паспорт серии AD 1582556, IIV 60001  tomonidan 25.07.2022 yilda berilgan</v>
      </c>
      <c r="E52" s="258"/>
      <c r="F52" s="258"/>
    </row>
    <row r="53" spans="1:6" ht="32.25" customHeight="1" x14ac:dyDescent="0.25">
      <c r="A53" s="258" t="e">
        <f>#REF!</f>
        <v>#REF!</v>
      </c>
      <c r="B53" s="258"/>
      <c r="C53" s="258"/>
      <c r="D53" s="258"/>
      <c r="E53" s="258"/>
      <c r="F53" s="258"/>
    </row>
    <row r="54" spans="1:6" x14ac:dyDescent="0.25">
      <c r="A54" s="258" t="e">
        <f>#REF!</f>
        <v>#REF!</v>
      </c>
      <c r="B54" s="258"/>
      <c r="C54" s="258"/>
      <c r="D54" s="258" t="e">
        <f>#REF!</f>
        <v>#REF!</v>
      </c>
      <c r="E54" s="258"/>
      <c r="F54" s="258"/>
    </row>
    <row r="55" spans="1:6" x14ac:dyDescent="0.25">
      <c r="A55" s="258" t="e">
        <f>#REF!</f>
        <v>#REF!</v>
      </c>
      <c r="B55" s="258"/>
      <c r="C55" s="258"/>
      <c r="D55" s="258" t="e">
        <f>#REF!</f>
        <v>#REF!</v>
      </c>
      <c r="E55" s="258"/>
      <c r="F55" s="258"/>
    </row>
    <row r="56" spans="1:6" x14ac:dyDescent="0.25">
      <c r="A56" s="258" t="e">
        <f>#REF!</f>
        <v>#REF!</v>
      </c>
      <c r="B56" s="258"/>
      <c r="C56" s="258"/>
      <c r="D56" s="258" t="e">
        <f>#REF!</f>
        <v>#REF!</v>
      </c>
      <c r="E56" s="258"/>
      <c r="F56" s="258"/>
    </row>
    <row r="57" spans="1:6" ht="8.25" customHeight="1" x14ac:dyDescent="0.25">
      <c r="A57" s="258"/>
      <c r="B57" s="258"/>
      <c r="C57" s="258"/>
      <c r="D57" s="258"/>
      <c r="E57" s="258"/>
      <c r="F57" s="258"/>
    </row>
    <row r="58" spans="1:6" x14ac:dyDescent="0.25">
      <c r="A58" s="261" t="e">
        <f>#REF!</f>
        <v>#REF!</v>
      </c>
      <c r="B58" s="261"/>
      <c r="C58" s="261"/>
      <c r="D58" s="261" t="e">
        <f>#REF!</f>
        <v>#REF!</v>
      </c>
      <c r="E58" s="261"/>
      <c r="F58" s="261"/>
    </row>
    <row r="59" spans="1:6" ht="7.5" customHeight="1" x14ac:dyDescent="0.25">
      <c r="A59" s="261"/>
      <c r="B59" s="261"/>
      <c r="C59" s="261"/>
      <c r="D59" s="261"/>
      <c r="E59" s="261"/>
      <c r="F59" s="261"/>
    </row>
    <row r="60" spans="1:6" x14ac:dyDescent="0.25">
      <c r="A60" s="261" t="e">
        <f>#REF!</f>
        <v>#REF!</v>
      </c>
      <c r="B60" s="261"/>
      <c r="C60" s="261"/>
      <c r="D60" s="261" t="e">
        <f>#REF!</f>
        <v>#REF!</v>
      </c>
      <c r="E60" s="261"/>
      <c r="F60" s="261"/>
    </row>
    <row r="61" spans="1:6" ht="8.25" customHeight="1" x14ac:dyDescent="0.25">
      <c r="A61" s="258"/>
      <c r="B61" s="258"/>
      <c r="C61" s="258"/>
      <c r="D61" s="258"/>
      <c r="E61" s="258"/>
      <c r="F61" s="258"/>
    </row>
    <row r="62" spans="1:6" ht="30" customHeight="1" x14ac:dyDescent="0.25">
      <c r="A62" s="263"/>
      <c r="B62" s="263"/>
      <c r="C62" s="263"/>
      <c r="D62" s="264"/>
      <c r="E62" s="264"/>
      <c r="F62" s="264"/>
    </row>
    <row r="63" spans="1:6" x14ac:dyDescent="0.25">
      <c r="A63" s="265"/>
      <c r="B63" s="265"/>
      <c r="C63" s="265"/>
      <c r="D63" s="265"/>
      <c r="E63" s="265"/>
      <c r="F63" s="265"/>
    </row>
    <row r="64" spans="1:6" x14ac:dyDescent="0.25">
      <c r="A64" s="262"/>
      <c r="B64" s="262"/>
      <c r="C64" s="262"/>
      <c r="D64" s="262"/>
      <c r="E64" s="262"/>
      <c r="F64" s="262"/>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5"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18" zoomScaleSheetLayoutView="100" workbookViewId="0">
      <selection activeCell="E47" sqref="E47"/>
    </sheetView>
  </sheetViews>
  <sheetFormatPr defaultColWidth="9.140625" defaultRowHeight="12.75" x14ac:dyDescent="0.2"/>
  <cols>
    <col min="1" max="6" width="14.28515625" style="28" customWidth="1"/>
    <col min="7" max="16384" width="9.140625" style="28"/>
  </cols>
  <sheetData>
    <row r="1" spans="1:6" x14ac:dyDescent="0.2">
      <c r="A1" s="270" t="s">
        <v>218</v>
      </c>
      <c r="B1" s="270"/>
      <c r="C1" s="270"/>
      <c r="D1" s="270"/>
      <c r="E1" s="270"/>
      <c r="F1" s="270"/>
    </row>
    <row r="2" spans="1:6" ht="35.25" customHeight="1" x14ac:dyDescent="0.2">
      <c r="A2" s="271" t="s">
        <v>328</v>
      </c>
      <c r="B2" s="271"/>
      <c r="C2" s="271"/>
      <c r="D2" s="271"/>
      <c r="E2" s="271"/>
      <c r="F2" s="271"/>
    </row>
    <row r="3" spans="1:6" x14ac:dyDescent="0.2">
      <c r="A3" s="270" t="s">
        <v>219</v>
      </c>
      <c r="B3" s="270"/>
      <c r="C3" s="270"/>
      <c r="D3" s="270"/>
      <c r="E3" s="270"/>
      <c r="F3" s="270"/>
    </row>
    <row r="4" spans="1:6" x14ac:dyDescent="0.2">
      <c r="A4" s="266" t="str">
        <f>'Заключение КК'!A4:E4</f>
        <v>Mijozning to'liq ismi sharifi: EGAMBERDIYEV TO‘XTASIN INOYATOVICH</v>
      </c>
      <c r="B4" s="266"/>
      <c r="C4" s="266"/>
      <c r="D4" s="266"/>
      <c r="E4" s="266"/>
      <c r="F4" s="266"/>
    </row>
    <row r="5" spans="1:6" x14ac:dyDescent="0.2">
      <c r="A5" s="266" t="str">
        <f>'Заключение КК'!A5:E5</f>
        <v>Tug'ilgan sanasi: 06.10.1979 y</v>
      </c>
      <c r="B5" s="266"/>
      <c r="C5" s="266"/>
      <c r="D5" s="266"/>
      <c r="E5" s="266"/>
      <c r="F5" s="266"/>
    </row>
    <row r="6" spans="1:6" ht="32.25" customHeight="1" x14ac:dyDescent="0.2">
      <c r="A6" s="266" t="str">
        <f>'Заключение КК'!A6:E6</f>
        <v>Pasport seriyasi AD 1582556 IIV 60001  tomonidan 25.07.2022 yilda berilgan, amal qilish muddati - 24.07.2032 y.</v>
      </c>
      <c r="B6" s="266"/>
      <c r="C6" s="266"/>
      <c r="D6" s="266"/>
      <c r="E6" s="266"/>
      <c r="F6" s="266"/>
    </row>
    <row r="7" spans="1:6" x14ac:dyDescent="0.2">
      <c r="A7" s="266" t="str">
        <f>"Fuqaroligi: "&amp;'Общие данные'!B32&amp;""</f>
        <v>Fuqaroligi: O’zbekiston Respublikasi</v>
      </c>
      <c r="B7" s="266"/>
      <c r="C7" s="266"/>
      <c r="D7" s="266"/>
      <c r="E7" s="266"/>
      <c r="F7" s="266"/>
    </row>
    <row r="8" spans="1:6" ht="39" customHeight="1" x14ac:dyDescent="0.2">
      <c r="A8" s="266" t="str">
        <f>'Заключение КК'!A7:E7</f>
        <v>Ro‘yxatdan o‘tgan manzili: TOSHKENT SHAHRI UCHTEPA TUMANI 25-MAVZE 4-DOM 34-XONADON, mo'ljal: VATAN KINOTEATRI OLMOS TOYXONA</v>
      </c>
      <c r="B8" s="266"/>
      <c r="C8" s="266"/>
      <c r="D8" s="266"/>
      <c r="E8" s="266"/>
      <c r="F8" s="266"/>
    </row>
    <row r="9" spans="1:6" ht="28.5" customHeight="1" x14ac:dyDescent="0.2">
      <c r="A9" s="266" t="str">
        <f>IF('Общие данные'!B23="mos keladi"," ",'Анкета Клиента'!A10:F10)</f>
        <v xml:space="preserve"> </v>
      </c>
      <c r="B9" s="266"/>
      <c r="C9" s="266"/>
      <c r="D9" s="266"/>
      <c r="E9" s="266"/>
      <c r="F9" s="266"/>
    </row>
    <row r="10" spans="1:6" ht="31.5" hidden="1" customHeight="1" x14ac:dyDescent="0.2">
      <c r="A10" s="266" t="str">
        <f>"Haqiqatdan yashash joy manzili: "&amp;'Общие данные'!B28&amp;""</f>
        <v>Haqiqatdan yashash joy manzili: TOSHKENT SHAHRI UCHTEPA TUMANI 25-MAVZE 4-DOM 34-XONADON</v>
      </c>
      <c r="B10" s="266"/>
      <c r="C10" s="266"/>
      <c r="D10" s="266"/>
      <c r="E10" s="266"/>
      <c r="F10" s="266"/>
    </row>
    <row r="11" spans="1:6" ht="16.5" hidden="1" customHeight="1" x14ac:dyDescent="0.2">
      <c r="A11" s="266" t="str">
        <f>'Заключение КК'!A8:E8</f>
        <v>Ish joyi:  lavozimi BEMORLARGA QARASHda O'Z O'ZINI BAND QILGAN FUQARO</v>
      </c>
      <c r="B11" s="266"/>
      <c r="C11" s="266"/>
      <c r="D11" s="266"/>
      <c r="E11" s="266"/>
      <c r="F11" s="266"/>
    </row>
    <row r="12" spans="1:6" x14ac:dyDescent="0.2">
      <c r="A12" s="270" t="s">
        <v>220</v>
      </c>
      <c r="B12" s="270"/>
      <c r="C12" s="270"/>
      <c r="D12" s="270"/>
      <c r="E12" s="270"/>
      <c r="F12" s="270"/>
    </row>
    <row r="13" spans="1:6" x14ac:dyDescent="0.2">
      <c r="A13" s="266" t="str">
        <f>"Uy telefoni raqami: "&amp;'Общие данные'!B40&amp;""</f>
        <v>Uy telefoni raqami: 90 711 88 88 KLIENT</v>
      </c>
      <c r="B13" s="266"/>
      <c r="C13" s="266"/>
      <c r="D13" s="266"/>
      <c r="E13" s="266"/>
      <c r="F13" s="266"/>
    </row>
    <row r="14" spans="1:6" x14ac:dyDescent="0.2">
      <c r="A14" s="266" t="str">
        <f>"Uyali telefon raqami: "&amp;'Общие данные'!B41&amp;""</f>
        <v>Uyali telefon raqami: 90 715 25 25 KLIENT 2-NOMERI</v>
      </c>
      <c r="B14" s="266"/>
      <c r="C14" s="266"/>
      <c r="D14" s="266"/>
      <c r="E14" s="266"/>
      <c r="F14" s="266"/>
    </row>
    <row r="15" spans="1:6" x14ac:dyDescent="0.2">
      <c r="A15" s="266" t="str">
        <f>"Uyali telefon raqami: "&amp;'Общие данные'!B42&amp;""</f>
        <v>Uyali telefon raqami: 90 413 01 01 SHOXRUX OGLI</v>
      </c>
      <c r="B15" s="266"/>
      <c r="C15" s="266"/>
      <c r="D15" s="266"/>
      <c r="E15" s="266"/>
      <c r="F15" s="266"/>
    </row>
    <row r="16" spans="1:6" hidden="1" x14ac:dyDescent="0.2">
      <c r="A16" s="266" t="str">
        <f>"Uyali telefon raqami: "&amp;'Общие данные'!B42&amp;""</f>
        <v>Uyali telefon raqami: 90 413 01 01 SHOXRUX OGLI</v>
      </c>
      <c r="B16" s="266"/>
      <c r="C16" s="266"/>
      <c r="D16" s="266"/>
      <c r="E16" s="266"/>
      <c r="F16" s="266"/>
    </row>
    <row r="17" spans="1:6" x14ac:dyDescent="0.2">
      <c r="A17" s="266" t="str">
        <f>"Ish telefoni raqami: "&amp;'Общие данные'!B43&amp;""</f>
        <v xml:space="preserve">Ish telefoni raqami: </v>
      </c>
      <c r="B17" s="266"/>
      <c r="C17" s="266"/>
      <c r="D17" s="266"/>
      <c r="E17" s="266"/>
      <c r="F17" s="266"/>
    </row>
    <row r="18" spans="1:6" x14ac:dyDescent="0.2">
      <c r="A18" s="270" t="s">
        <v>221</v>
      </c>
      <c r="B18" s="270"/>
      <c r="C18" s="270"/>
      <c r="D18" s="270"/>
      <c r="E18" s="270"/>
      <c r="F18" s="270"/>
    </row>
    <row r="19" spans="1:6" x14ac:dyDescent="0.2">
      <c r="A19" s="266" t="str">
        <f>"Muassasa nomlanishi:"&amp;'Общие данные'!B58&amp;""</f>
        <v xml:space="preserve">Muassasa nomlanishi:O'Z O'ZINI BAND QILGAN FUQARO </v>
      </c>
      <c r="B19" s="266"/>
      <c r="C19" s="266"/>
      <c r="D19" s="266"/>
      <c r="E19" s="266"/>
      <c r="F19" s="266"/>
    </row>
    <row r="20" spans="1:6" ht="18" customHeight="1" x14ac:dyDescent="0.2">
      <c r="A20" s="266" t="str">
        <f>"Ro‘yxatdan o‘tish manzili:"&amp;'Общие данные'!B50&amp;""</f>
        <v>Ro‘yxatdan o‘tish manzili:</v>
      </c>
      <c r="B20" s="266"/>
      <c r="C20" s="266"/>
      <c r="D20" s="266"/>
      <c r="E20" s="266"/>
      <c r="F20" s="266"/>
    </row>
    <row r="21" spans="1:6" ht="19.5" customHeight="1" x14ac:dyDescent="0.2">
      <c r="A21" s="266" t="str">
        <f>"Lavozimi: "&amp;'Общие данные'!B59&amp;""</f>
        <v>Lavozimi: BEMORLARGA QARASH</v>
      </c>
      <c r="B21" s="266"/>
      <c r="C21" s="266"/>
      <c r="D21" s="266"/>
      <c r="E21" s="266"/>
      <c r="F21" s="266"/>
    </row>
    <row r="22" spans="1:6" x14ac:dyDescent="0.2">
      <c r="A22" s="270" t="s">
        <v>222</v>
      </c>
      <c r="B22" s="267"/>
      <c r="C22" s="267"/>
      <c r="D22" s="267"/>
      <c r="E22" s="267"/>
      <c r="F22" s="267"/>
    </row>
    <row r="23" spans="1:6" s="30" customFormat="1" ht="25.5" x14ac:dyDescent="0.25">
      <c r="A23" s="29" t="s">
        <v>223</v>
      </c>
      <c r="B23" s="29" t="s">
        <v>224</v>
      </c>
      <c r="C23" s="29" t="s">
        <v>225</v>
      </c>
      <c r="D23" s="29" t="s">
        <v>226</v>
      </c>
      <c r="E23" s="29" t="s">
        <v>227</v>
      </c>
      <c r="F23" s="29" t="s">
        <v>228</v>
      </c>
    </row>
    <row r="24" spans="1:6" ht="51" x14ac:dyDescent="0.2">
      <c r="A24" s="31" t="s">
        <v>229</v>
      </c>
      <c r="B24" s="32">
        <f>'Общие данные'!B60</f>
        <v>29000000</v>
      </c>
      <c r="C24" s="32">
        <v>0</v>
      </c>
      <c r="D24" s="32">
        <v>0</v>
      </c>
      <c r="E24" s="31" t="s">
        <v>232</v>
      </c>
      <c r="F24" s="32">
        <v>800000</v>
      </c>
    </row>
    <row r="25" spans="1:6" ht="25.5" x14ac:dyDescent="0.2">
      <c r="A25" s="31" t="s">
        <v>230</v>
      </c>
      <c r="B25" s="32">
        <v>0</v>
      </c>
      <c r="C25" s="32">
        <v>0</v>
      </c>
      <c r="D25" s="32">
        <v>0</v>
      </c>
      <c r="E25" s="31" t="s">
        <v>233</v>
      </c>
      <c r="F25" s="32">
        <v>600000</v>
      </c>
    </row>
    <row r="26" spans="1:6" ht="28.5" customHeight="1" x14ac:dyDescent="0.2">
      <c r="A26" s="31" t="s">
        <v>231</v>
      </c>
      <c r="B26" s="32">
        <f>'Общие данные'!B61</f>
        <v>0</v>
      </c>
      <c r="C26" s="32">
        <v>0</v>
      </c>
      <c r="D26" s="32">
        <v>0</v>
      </c>
      <c r="E26" s="31" t="s">
        <v>234</v>
      </c>
      <c r="F26" s="32">
        <v>300000</v>
      </c>
    </row>
    <row r="27" spans="1:6" s="35" customFormat="1" x14ac:dyDescent="0.2">
      <c r="A27" s="33" t="s">
        <v>210</v>
      </c>
      <c r="B27" s="34">
        <f>B24+B25+B26</f>
        <v>29000000</v>
      </c>
      <c r="C27" s="34">
        <f t="shared" ref="C27:F27" si="0">SUM(C24:C26)</f>
        <v>0</v>
      </c>
      <c r="D27" s="34">
        <f t="shared" si="0"/>
        <v>0</v>
      </c>
      <c r="E27" s="33"/>
      <c r="F27" s="34">
        <f t="shared" si="0"/>
        <v>1700000</v>
      </c>
    </row>
    <row r="28" spans="1:6" ht="31.5" customHeight="1" x14ac:dyDescent="0.2">
      <c r="A28" s="266" t="str">
        <f>"Men, "&amp;'Общие данные'!B5&amp;", ushbu anketada ko‘rsatilgan barcha ma'lumotlar anketa to'ldirilgan sanada  to'g'ri va aniq ekanligini tasdiqlayman."</f>
        <v>Men, EGAMBERDIYEV TO‘XTASIN INOYATOVICH, ushbu anketada ko‘rsatilgan barcha ma'lumotlar anketa to'ldirilgan sanada  to'g'ri va aniq ekanligini tasdiqlayman.</v>
      </c>
      <c r="B28" s="266"/>
      <c r="C28" s="266"/>
      <c r="D28" s="266"/>
      <c r="E28" s="266"/>
      <c r="F28" s="266"/>
    </row>
    <row r="29" spans="1:6" x14ac:dyDescent="0.2">
      <c r="A29" s="266" t="str">
        <f>"Men,  "&amp;'Общие данные'!B5&amp;", quyidagilarni tan olaman va roziman::"</f>
        <v>Men,  EGAMBERDIYEV TO‘XTASIN INOYATOVICH, quyidagilarni tan olaman va roziman::</v>
      </c>
      <c r="B29" s="266"/>
      <c r="C29" s="266"/>
      <c r="D29" s="266"/>
      <c r="E29" s="266"/>
      <c r="F29" s="266"/>
    </row>
    <row r="30" spans="1:6" ht="45.75" customHeight="1" x14ac:dyDescent="0.2">
      <c r="A30" s="266"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6"/>
      <c r="C30" s="266"/>
      <c r="D30" s="266"/>
      <c r="E30" s="266"/>
      <c r="F30" s="266"/>
    </row>
    <row r="31" spans="1:6" ht="42.75" customHeight="1" x14ac:dyDescent="0.2">
      <c r="A31" s="266"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mikrokredit berish majburiyatini yuklamaydi.</v>
      </c>
      <c r="B31" s="266"/>
      <c r="C31" s="266"/>
      <c r="D31" s="266"/>
      <c r="E31" s="266"/>
      <c r="F31" s="266"/>
    </row>
    <row r="32" spans="1:6" ht="71.25" customHeight="1" x14ac:dyDescent="0.2">
      <c r="A32" s="266" t="s">
        <v>235</v>
      </c>
      <c r="B32" s="266"/>
      <c r="C32" s="266"/>
      <c r="D32" s="266"/>
      <c r="E32" s="266"/>
      <c r="F32" s="266"/>
    </row>
    <row r="33" spans="1:6" x14ac:dyDescent="0.2">
      <c r="A33" s="266"/>
      <c r="B33" s="266"/>
      <c r="C33" s="266"/>
      <c r="D33" s="266"/>
      <c r="E33" s="266"/>
      <c r="F33" s="266"/>
    </row>
    <row r="34" spans="1:6" ht="12.75" customHeight="1" x14ac:dyDescent="0.2">
      <c r="A34" s="267" t="s">
        <v>236</v>
      </c>
      <c r="B34" s="267"/>
      <c r="C34" s="267"/>
      <c r="D34" s="169" t="s">
        <v>157</v>
      </c>
      <c r="E34" s="267" t="s">
        <v>237</v>
      </c>
      <c r="F34" s="267"/>
    </row>
    <row r="35" spans="1:6" ht="25.5" customHeight="1" x14ac:dyDescent="0.2">
      <c r="A35" s="268"/>
      <c r="B35" s="268"/>
      <c r="C35" s="268"/>
      <c r="D35" s="269" t="str">
        <f>'Общие данные'!B2</f>
        <v>20.01.2025</v>
      </c>
      <c r="E35" s="268"/>
      <c r="F35" s="268"/>
    </row>
    <row r="36" spans="1:6" ht="25.5" customHeight="1" x14ac:dyDescent="0.2">
      <c r="A36" s="268"/>
      <c r="B36" s="268"/>
      <c r="C36" s="268"/>
      <c r="D36" s="269"/>
      <c r="E36" s="268"/>
      <c r="F36" s="268"/>
    </row>
    <row r="37" spans="1:6" x14ac:dyDescent="0.2">
      <c r="A37" s="266"/>
      <c r="B37" s="266"/>
      <c r="C37" s="266"/>
      <c r="D37" s="266"/>
      <c r="E37" s="266"/>
      <c r="F37" s="266"/>
    </row>
    <row r="38" spans="1:6" x14ac:dyDescent="0.2">
      <c r="A38" s="266"/>
      <c r="B38" s="266"/>
      <c r="C38" s="266"/>
      <c r="D38" s="266"/>
      <c r="E38" s="266"/>
      <c r="F38" s="266"/>
    </row>
    <row r="39" spans="1:6" x14ac:dyDescent="0.2">
      <c r="A39" s="266"/>
      <c r="B39" s="266"/>
      <c r="C39" s="266"/>
      <c r="D39" s="266"/>
      <c r="E39" s="266"/>
      <c r="F39" s="266"/>
    </row>
    <row r="40" spans="1:6" x14ac:dyDescent="0.2">
      <c r="A40" s="266"/>
      <c r="B40" s="266"/>
      <c r="C40" s="266"/>
      <c r="D40" s="266"/>
      <c r="E40" s="266"/>
      <c r="F40" s="266"/>
    </row>
    <row r="41" spans="1:6" x14ac:dyDescent="0.2">
      <c r="A41" s="266"/>
      <c r="B41" s="266"/>
      <c r="C41" s="266"/>
      <c r="D41" s="266"/>
      <c r="E41" s="266"/>
      <c r="F41" s="266"/>
    </row>
    <row r="42" spans="1:6" x14ac:dyDescent="0.2">
      <c r="A42" s="266"/>
      <c r="B42" s="266"/>
      <c r="C42" s="266"/>
      <c r="D42" s="266"/>
      <c r="E42" s="266"/>
      <c r="F42" s="266"/>
    </row>
    <row r="43" spans="1:6" x14ac:dyDescent="0.2">
      <c r="A43" s="266"/>
      <c r="B43" s="266"/>
      <c r="C43" s="266"/>
      <c r="D43" s="266"/>
      <c r="E43" s="266"/>
      <c r="F43" s="266"/>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13" zoomScaleNormal="100" zoomScaleSheetLayoutView="100" workbookViewId="0">
      <selection activeCell="D40" sqref="D40"/>
    </sheetView>
  </sheetViews>
  <sheetFormatPr defaultColWidth="9.140625" defaultRowHeight="15.75" x14ac:dyDescent="0.25"/>
  <cols>
    <col min="1" max="2" width="17.42578125" style="139" customWidth="1"/>
    <col min="3" max="3" width="29.85546875" style="139" customWidth="1"/>
    <col min="4" max="4" width="18.140625" style="139" customWidth="1"/>
    <col min="5" max="5" width="6.5703125" style="139" customWidth="1"/>
    <col min="6" max="16384" width="9.140625" style="139"/>
  </cols>
  <sheetData>
    <row r="2" spans="1:5" x14ac:dyDescent="0.25">
      <c r="A2" s="272" t="s">
        <v>238</v>
      </c>
      <c r="B2" s="272"/>
      <c r="C2" s="272"/>
      <c r="D2" s="272"/>
      <c r="E2" s="272"/>
    </row>
    <row r="3" spans="1:5" x14ac:dyDescent="0.25">
      <c r="E3" s="138" t="str">
        <f>'Общие данные'!B68</f>
        <v>20 yanvar 2025 y.</v>
      </c>
    </row>
    <row r="5" spans="1:5" s="140" customFormat="1" ht="27" customHeight="1" x14ac:dyDescent="0.25">
      <c r="A5" s="276" t="s">
        <v>239</v>
      </c>
      <c r="B5" s="277"/>
      <c r="C5" s="273" t="str">
        <f>'Общие данные'!B8</f>
        <v>EGAMBERDIYEV TO‘XTASIN INOYATOVICH</v>
      </c>
      <c r="D5" s="274"/>
      <c r="E5" s="275"/>
    </row>
    <row r="7" spans="1:5" ht="15.75" customHeight="1" x14ac:dyDescent="0.25">
      <c r="A7" s="278" t="s">
        <v>358</v>
      </c>
      <c r="B7" s="279"/>
      <c r="C7" s="280"/>
      <c r="D7" s="141" t="s">
        <v>132</v>
      </c>
      <c r="E7" s="141"/>
    </row>
    <row r="8" spans="1:5" x14ac:dyDescent="0.25">
      <c r="A8" s="281"/>
      <c r="B8" s="282"/>
      <c r="C8" s="283"/>
      <c r="D8" s="141" t="s">
        <v>243</v>
      </c>
      <c r="E8" s="141"/>
    </row>
    <row r="9" spans="1:5" ht="15.75" customHeight="1" x14ac:dyDescent="0.25">
      <c r="A9" s="284" t="s">
        <v>240</v>
      </c>
      <c r="B9" s="284"/>
      <c r="C9" s="284"/>
      <c r="D9" s="141" t="s">
        <v>132</v>
      </c>
      <c r="E9" s="141"/>
    </row>
    <row r="10" spans="1:5" x14ac:dyDescent="0.25">
      <c r="A10" s="284"/>
      <c r="B10" s="284"/>
      <c r="C10" s="284"/>
      <c r="D10" s="141" t="s">
        <v>243</v>
      </c>
      <c r="E10" s="141"/>
    </row>
    <row r="11" spans="1:5" ht="15.75" customHeight="1" x14ac:dyDescent="0.25">
      <c r="A11" s="284" t="s">
        <v>241</v>
      </c>
      <c r="B11" s="284"/>
      <c r="C11" s="284"/>
      <c r="D11" s="141" t="s">
        <v>132</v>
      </c>
      <c r="E11" s="141"/>
    </row>
    <row r="12" spans="1:5" x14ac:dyDescent="0.25">
      <c r="A12" s="284"/>
      <c r="B12" s="284"/>
      <c r="C12" s="284"/>
      <c r="D12" s="141" t="s">
        <v>243</v>
      </c>
      <c r="E12" s="141"/>
    </row>
    <row r="13" spans="1:5" ht="34.5" customHeight="1" x14ac:dyDescent="0.25">
      <c r="A13" s="285" t="s">
        <v>242</v>
      </c>
      <c r="B13" s="285"/>
      <c r="C13" s="285"/>
      <c r="D13" s="285"/>
      <c r="E13" s="285"/>
    </row>
    <row r="14" spans="1:5" ht="16.5" thickBot="1" x14ac:dyDescent="0.3">
      <c r="A14" s="286"/>
      <c r="B14" s="286"/>
      <c r="C14" s="286"/>
      <c r="D14" s="286"/>
      <c r="E14" s="286"/>
    </row>
    <row r="15" spans="1:5" ht="16.5" thickBot="1" x14ac:dyDescent="0.3">
      <c r="A15" s="286"/>
      <c r="B15" s="286"/>
      <c r="C15" s="286"/>
      <c r="D15" s="286"/>
      <c r="E15" s="286"/>
    </row>
    <row r="16" spans="1:5" ht="16.5" thickBot="1" x14ac:dyDescent="0.3">
      <c r="A16" s="286"/>
      <c r="B16" s="286"/>
      <c r="C16" s="286"/>
      <c r="D16" s="286"/>
      <c r="E16" s="286"/>
    </row>
    <row r="18" spans="1:8" ht="18.75" customHeight="1" x14ac:dyDescent="0.25">
      <c r="A18" s="284" t="s">
        <v>244</v>
      </c>
      <c r="B18" s="284"/>
      <c r="C18" s="284"/>
      <c r="D18" s="141" t="s">
        <v>132</v>
      </c>
      <c r="E18" s="141"/>
    </row>
    <row r="19" spans="1:8" ht="18.75" customHeight="1" x14ac:dyDescent="0.25">
      <c r="A19" s="284"/>
      <c r="B19" s="284"/>
      <c r="C19" s="284"/>
      <c r="D19" s="141" t="s">
        <v>243</v>
      </c>
      <c r="E19" s="141"/>
    </row>
    <row r="20" spans="1:8" ht="29.25" customHeight="1" x14ac:dyDescent="0.25">
      <c r="A20" s="284" t="s">
        <v>245</v>
      </c>
      <c r="B20" s="284"/>
      <c r="C20" s="284"/>
      <c r="D20" s="141" t="s">
        <v>132</v>
      </c>
      <c r="E20" s="141"/>
    </row>
    <row r="21" spans="1:8" ht="29.25" customHeight="1" x14ac:dyDescent="0.25">
      <c r="A21" s="284"/>
      <c r="B21" s="284"/>
      <c r="C21" s="284"/>
      <c r="D21" s="141" t="s">
        <v>243</v>
      </c>
      <c r="E21" s="141"/>
    </row>
    <row r="23" spans="1:8" ht="15.75" customHeight="1" x14ac:dyDescent="0.25">
      <c r="A23" s="285" t="s">
        <v>246</v>
      </c>
      <c r="B23" s="285"/>
      <c r="C23" s="285"/>
      <c r="D23" s="285"/>
      <c r="E23" s="285"/>
    </row>
    <row r="24" spans="1:8" ht="16.5" thickBot="1" x14ac:dyDescent="0.3">
      <c r="A24" s="286"/>
      <c r="B24" s="286"/>
      <c r="C24" s="286"/>
      <c r="D24" s="286"/>
      <c r="E24" s="286"/>
    </row>
    <row r="25" spans="1:8" ht="16.5" thickBot="1" x14ac:dyDescent="0.3">
      <c r="A25" s="286"/>
      <c r="B25" s="286"/>
      <c r="C25" s="286"/>
      <c r="D25" s="286"/>
      <c r="E25" s="286"/>
    </row>
    <row r="26" spans="1:8" ht="16.5" thickBot="1" x14ac:dyDescent="0.3">
      <c r="A26" s="286"/>
      <c r="B26" s="286"/>
      <c r="C26" s="286"/>
      <c r="D26" s="286"/>
      <c r="E26" s="286"/>
    </row>
    <row r="28" spans="1:8" ht="78.75" customHeight="1" x14ac:dyDescent="0.25">
      <c r="A28" s="287" t="s">
        <v>247</v>
      </c>
      <c r="B28" s="287"/>
      <c r="C28" s="287"/>
      <c r="D28" s="287"/>
      <c r="E28" s="287"/>
    </row>
    <row r="30" spans="1:8" ht="33" customHeight="1" x14ac:dyDescent="0.25">
      <c r="A30" s="287" t="s">
        <v>248</v>
      </c>
      <c r="B30" s="287"/>
      <c r="C30" s="287"/>
      <c r="D30" s="287"/>
      <c r="E30" s="287"/>
      <c r="F30" s="142"/>
      <c r="G30" s="142"/>
      <c r="H30" s="142"/>
    </row>
    <row r="33" spans="1:5" ht="16.5" thickBot="1" x14ac:dyDescent="0.3">
      <c r="A33" s="143" t="str">
        <f>C5</f>
        <v>EGAMBERDIYEV TO‘XTASIN INOYATOVICH</v>
      </c>
      <c r="D33" s="144"/>
      <c r="E33" s="145"/>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I77"/>
  <sheetViews>
    <sheetView view="pageBreakPreview" topLeftCell="A13" zoomScaleSheetLayoutView="100" workbookViewId="0">
      <selection activeCell="A9" sqref="A9:D9"/>
    </sheetView>
  </sheetViews>
  <sheetFormatPr defaultColWidth="9.140625" defaultRowHeight="15.75" x14ac:dyDescent="0.25"/>
  <cols>
    <col min="1" max="1" width="20.140625" style="10" customWidth="1"/>
    <col min="2" max="2" width="18.7109375" style="10" customWidth="1"/>
    <col min="3" max="3" width="19.7109375" style="10" customWidth="1"/>
    <col min="4" max="4" width="28.7109375" style="10" customWidth="1"/>
    <col min="5" max="16384" width="9.140625" style="10"/>
  </cols>
  <sheetData>
    <row r="1" spans="1:4" ht="47.25" customHeight="1" x14ac:dyDescent="0.25">
      <c r="C1" s="292" t="str">
        <f>""&amp;'Общие данные'!B147&amp;"ning
"&amp;'Общие данные'!A150&amp;"i"</f>
        <v>«CLEVER MIKROMOLIYA TASHKILOTI» MChJning
Ijrochi direktori</v>
      </c>
      <c r="D1" s="292"/>
    </row>
    <row r="2" spans="1:4" x14ac:dyDescent="0.25">
      <c r="C2" s="17"/>
      <c r="D2" s="18" t="str">
        <f>""&amp;'Общие данные'!B150&amp;"ga"</f>
        <v>Abduraximov N.K.ga</v>
      </c>
    </row>
    <row r="4" spans="1:4" x14ac:dyDescent="0.25">
      <c r="A4" s="291" t="str">
        <f>""&amp;'Общие данные'!C64&amp;" olish uchun Ariza"</f>
        <v>Mikrokredit olish uchun Ariza</v>
      </c>
      <c r="B4" s="291"/>
      <c r="C4" s="291"/>
      <c r="D4" s="291"/>
    </row>
    <row r="5" spans="1:4" ht="16.5" customHeight="1" x14ac:dyDescent="0.25">
      <c r="A5" s="291"/>
      <c r="B5" s="291"/>
      <c r="C5" s="291"/>
      <c r="D5" s="291"/>
    </row>
    <row r="6" spans="1:4" ht="60" customHeight="1" x14ac:dyDescent="0.25">
      <c r="A6" s="288" t="str">
        <f>""&amp;'Общие данные'!B28&amp;".-da yashovchi O‘zbekiston Respublikasi fuqarosi "&amp;'Общие данные'!B8&amp;"dan. "</f>
        <v xml:space="preserve">TOSHKENT SHAHRI UCHTEPA TUMANI 25-MAVZE 4-DOM 34-XONADON.-da yashovchi O‘zbekiston Respublikasi fuqarosi EGAMBERDIYEV TO‘XTASIN INOYATOVICHdan. </v>
      </c>
      <c r="B6" s="288"/>
      <c r="C6" s="288"/>
      <c r="D6" s="288"/>
    </row>
    <row r="7" spans="1:4" ht="21" customHeight="1" x14ac:dyDescent="0.25">
      <c r="A7" s="288" t="str">
        <f>"Tug'ilgan kuni: "&amp;'Общие данные'!B15&amp;""</f>
        <v>Tug'ilgan kuni: 06.10.1979 y</v>
      </c>
      <c r="B7" s="288"/>
      <c r="C7" s="288"/>
      <c r="D7" s="288"/>
    </row>
    <row r="8" spans="1:4" ht="34.5" customHeight="1" x14ac:dyDescent="0.25">
      <c r="A8" s="288" t="str">
        <f>"Pasport seriyasi: "&amp;'Общие данные'!B16&amp;" "&amp;'Общие данные'!B20&amp;""</f>
        <v>Pasport seriyasi: AD 1582556 IIV 60001  tomonidan 25.07.2022 yilda berilgan</v>
      </c>
      <c r="B8" s="288"/>
      <c r="C8" s="288"/>
      <c r="D8" s="288"/>
    </row>
    <row r="9" spans="1:4" ht="18.75" customHeight="1" x14ac:dyDescent="0.25">
      <c r="A9" s="288" t="str">
        <f>"Asosiy ish joyi : "&amp;'Общие данные'!B58&amp;""</f>
        <v xml:space="preserve">Asosiy ish joyi : O'Z O'ZINI BAND QILGAN FUQARO </v>
      </c>
      <c r="B9" s="288"/>
      <c r="C9" s="288"/>
      <c r="D9" s="288"/>
    </row>
    <row r="10" spans="1:4" ht="23.25" customHeight="1" x14ac:dyDescent="0.25">
      <c r="A10" s="288" t="str">
        <f>"Lavozimi: "&amp;'Общие данные'!B59&amp;""</f>
        <v>Lavozimi: BEMORLARGA QARASH</v>
      </c>
      <c r="B10" s="288"/>
      <c r="C10" s="288"/>
      <c r="D10" s="288"/>
    </row>
    <row r="11" spans="1:4" ht="22.5" customHeight="1" x14ac:dyDescent="0.25">
      <c r="A11" s="288" t="str">
        <f>"O’rtacha oylik daromadi: "&amp;FIXED('Общие данные'!B60,2)&amp;" so'm."</f>
        <v>O’rtacha oylik daromadi: 29 000 000,00 so'm.</v>
      </c>
      <c r="B11" s="288"/>
      <c r="C11" s="288"/>
      <c r="D11" s="288"/>
    </row>
    <row r="12" spans="1:4" x14ac:dyDescent="0.25">
      <c r="A12" s="288" t="str">
        <f>"Menga quyidagi shartlarda "&amp;'Общие данные'!B65&amp;" berishingizni so’rayman:"</f>
        <v>Menga quyidagi shartlarda mikrokredit berishingizni so’rayman:</v>
      </c>
      <c r="B12" s="288"/>
      <c r="C12" s="288"/>
      <c r="D12" s="288"/>
    </row>
    <row r="13" spans="1:4" x14ac:dyDescent="0.25">
      <c r="A13" s="288" t="str">
        <f>""&amp;'Общие данные'!C64&amp;" summasi: "&amp;FIXED('Общие данные'!B75,2)&amp;" ("&amp;'Общие данные'!B76&amp;") so'm."</f>
        <v>Mikrokredit summasi: 200 000 000,00 (ikki yuz million so'm) so'm.</v>
      </c>
      <c r="B13" s="288"/>
      <c r="C13" s="288"/>
      <c r="D13" s="288"/>
    </row>
    <row r="14" spans="1:4" x14ac:dyDescent="0.25">
      <c r="A14" s="288" t="str">
        <f>""&amp;'Общие данные'!C64&amp;" muddati: "&amp;'Общие данные'!B81&amp;" ("&amp;'Общие данные'!B82&amp;") oy."</f>
        <v>Mikrokredit muddati: 36 (O'ttiz olti) oy.</v>
      </c>
      <c r="B14" s="288"/>
      <c r="C14" s="288"/>
      <c r="D14" s="288"/>
    </row>
    <row r="15" spans="1:4" ht="17.25" customHeight="1" x14ac:dyDescent="0.25">
      <c r="A15" s="288" t="str">
        <f>""&amp;'Общие данные'!C64&amp;"dan foydalanganlik uchun foiz stavkasi: yillik  "&amp;'Общие данные'!B85&amp;"% ("&amp;'Общие данные'!B86&amp;") foiz"</f>
        <v>Mikrokreditdan foydalanganlik uchun foiz stavkasi: yillik  60% (Oltmish) foiz</v>
      </c>
      <c r="B15" s="288"/>
      <c r="C15" s="288"/>
      <c r="D15" s="288"/>
    </row>
    <row r="16" spans="1:4" x14ac:dyDescent="0.25">
      <c r="A16" s="288" t="str">
        <f>""&amp;'Общие данные'!C64&amp;" bo'yicha asosiy qarz va foizlarni to'lash:"</f>
        <v>Mikrokredit bo'yicha asosiy qarz va foizlarni to'lash:</v>
      </c>
      <c r="B16" s="288"/>
      <c r="C16" s="288"/>
      <c r="D16" s="288"/>
    </row>
    <row r="17" spans="1:5" ht="20.25" hidden="1" customHeight="1" x14ac:dyDescent="0.25">
      <c r="A17" s="290" t="str">
        <f>" - "&amp;'Общие данные'!B65&amp;" shartnomasi bo'yicha har oy differensial to'lovlari amalga oshiriladi"</f>
        <v xml:space="preserve"> - mikrokredit shartnomasi bo'yicha har oy differensial to'lovlari amalga oshiriladi</v>
      </c>
      <c r="B17" s="290"/>
      <c r="C17" s="290"/>
      <c r="D17" s="290"/>
    </row>
    <row r="18" spans="1:5" ht="33.75" hidden="1" customHeight="1" x14ac:dyDescent="0.25">
      <c r="A18" s="290" t="str">
        <f>" - "&amp;'Общие данные'!B65&amp;" shartnomasi bo'yicha har oy annuitet to'lovlari amalga oshiriladi"</f>
        <v xml:space="preserve"> - mikrokredit shartnomasi bo'yicha har oy annuitet to'lovlari amalga oshiriladi</v>
      </c>
      <c r="B18" s="290"/>
      <c r="C18" s="290"/>
      <c r="D18" s="290"/>
    </row>
    <row r="19" spans="1:5" ht="33.75" customHeight="1" x14ac:dyDescent="0.25">
      <c r="A19" s="290" t="str">
        <f>IF('Общие данные'!B77='Общие данные'!C77,'Кредитная заявка'!A17:D17,IF('Общие данные'!B77='Общие данные'!D77,'Кредитная заявка'!A18:D18))</f>
        <v xml:space="preserve"> - mikrokredit shartnomasi bo'yicha har oy differensial to'lovlari amalga oshiriladi</v>
      </c>
      <c r="B19" s="290"/>
      <c r="C19" s="290"/>
      <c r="D19" s="290"/>
    </row>
    <row r="20" spans="1:5" ht="33.75" hidden="1" customHeight="1" x14ac:dyDescent="0.25">
      <c r="A20" s="288" t="str">
        <f>IF(DAY('Общие данные'!E67)&lt;15,"   ","  Oxirgi yakuniy to'lov "&amp;'Общие данные'!B65&amp;" shartnomasi tuzilgan kundan boshlab oxirgi oyning oxirgi kunida amalga oshiriladi")</f>
        <v xml:space="preserve">  Oxirgi yakuniy to'lov mikrokredit shartnomasi tuzilgan kundan boshlab oxirgi oyning oxirgi kunida amalga oshiriladi</v>
      </c>
      <c r="B20" s="288"/>
      <c r="C20" s="288"/>
      <c r="D20" s="288"/>
    </row>
    <row r="21" spans="1:5" x14ac:dyDescent="0.25">
      <c r="A21" s="288" t="str">
        <f>""&amp;'Общие данные'!C64&amp;" ta’minoti::"</f>
        <v>Mikrokredit ta’minoti::</v>
      </c>
      <c r="B21" s="288"/>
      <c r="C21" s="288"/>
      <c r="D21" s="288"/>
    </row>
    <row r="22" spans="1:5" ht="94.5" customHeight="1" x14ac:dyDescent="0.25">
      <c r="A22" s="290" t="str">
        <f>IF('Общие данные'!B103="Avtotransport",A26,A23)</f>
        <v xml:space="preserve">  Egalik huquqi EGAMBERDIYEV TO‘XTASIN INOYATOVICHga tegishli bo'lgan garovga olingan avtomobil markasi   KIA SELTOS G702, rangi -  OQ BELIY JEMCHUG, ishlab chiqarilgan yili - 2021, davlat raqam belgisi 01R888QA, kuzov turi - YENGIL LEGKOVAYA, kuzov raqami KNAER81AEM7233541, dvigatel raqami G4NHMH323294, shassi raqami - RAKAMSIZ</v>
      </c>
      <c r="B22" s="290"/>
      <c r="C22" s="290"/>
      <c r="D22" s="290"/>
    </row>
    <row r="23" spans="1:5" ht="79.5" hidden="1" customHeight="1" x14ac:dyDescent="0.25">
      <c r="A23" s="290" t="str">
        <f>IF('Общие данные'!B92='Общие данные'!C92,A25,IF('Общие данные'!B92='Общие данные'!D92,A24,0))</f>
        <v xml:space="preserve"> Egalik huquqi EGAMBERDIYEV TO‘XTASIN INOYATOVICHga tegishli bo'lgan umumiy maydoni - 72,13  va yashash maydoni - 37,39 3 - xonali yakka tartibdagi uy-joy, SAMARQAND VILOYATI TAYLOQ TUMANI CHAROG'BON MFY YANGI TAYLOQ QISHLOG'I 6 TURAR JOY 12 QAVAT 58 XONADON </v>
      </c>
      <c r="B23" s="290"/>
      <c r="C23" s="290"/>
      <c r="D23" s="290"/>
    </row>
    <row r="24" spans="1:5" ht="96.75" hidden="1" customHeight="1" x14ac:dyDescent="0.25">
      <c r="A24" s="290"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EGAMBERDIYEV TO‘XTASIN INOYATOVICHga 3 - xonali yakka tartibdagi uy-joy, umumiy maydoni - 72,13 va yashash maydoni - 37,39, manzili: SAMARQAND VILOYATI TAYLOQ TUMANI CHAROG'BON MFY YANGI TAYLOQ QISHLOG'I 6 TURAR JOY 12 QAVAT 58 XONADON.</v>
      </c>
      <c r="B24" s="290"/>
      <c r="C24" s="290"/>
      <c r="D24" s="290"/>
      <c r="E24" s="178"/>
    </row>
    <row r="25" spans="1:5" ht="92.25" hidden="1" customHeight="1" x14ac:dyDescent="0.25">
      <c r="A25" s="290"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EGAMBERDIYEV TO‘XTASIN INOYATOVICHga tegishli bo'lgan umumiy maydoni - 72,13  va yashash maydoni - 37,39 3 - xonali yakka tartibdagi uy-joy, SAMARQAND VILOYATI TAYLOQ TUMANI CHAROG'BON MFY YANGI TAYLOQ QISHLOG'I 6 TURAR JOY 12 QAVAT 58 XONADON </v>
      </c>
      <c r="B25" s="290"/>
      <c r="C25" s="290"/>
      <c r="D25" s="290"/>
    </row>
    <row r="26" spans="1:5" ht="78" hidden="1" customHeight="1" x14ac:dyDescent="0.25">
      <c r="A26" s="290" t="str">
        <f>IF('Общие данные'!B92='Общие данные'!C92,'Кредитная заявка'!A28:D28,IF('Общие данные'!B92='Общие данные'!D92,'Кредитная заявка'!A27:D27,0))</f>
        <v xml:space="preserve">  Egalik huquqi EGAMBERDIYEV TO‘XTASIN INOYATOVICHga tegishli bo'lgan garovga olingan avtomobil markasi   KIA SELTOS G702, rangi -  OQ BELIY JEMCHUG, ishlab chiqarilgan yili - 2021, davlat raqam belgisi 01R888QA, kuzov turi - YENGIL LEGKOVAYA, kuzov raqami KNAER81AEM7233541, dvigatel raqami G4NHMH323294, shassi raqami - RAKAMSIZ</v>
      </c>
      <c r="B26" s="290"/>
      <c r="C26" s="290"/>
      <c r="D26" s="290"/>
    </row>
    <row r="27" spans="1:5" ht="93" hidden="1" customHeight="1" x14ac:dyDescent="0.25">
      <c r="A27" s="290"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EGAMBERDIYEV TO‘XTASIN INOYATOVICHga tegishli bo'lgan KIA SELTOS G702, rangi -  OQ BELIY JEMCHUG, ishlab chiqarilgan yili - 2021, davlat raqam belgisi 01R888QA, kuzov turi - YENGIL LEGKOVAYA, kuzov raqami KNAER81AEM7233541, dvigatel raqami G4NHMH323294, shassi raqami - RAKAMSIZ avtotransport vositasi </v>
      </c>
      <c r="B27" s="290"/>
      <c r="C27" s="290"/>
      <c r="D27" s="290"/>
    </row>
    <row r="28" spans="1:5" ht="91.5" hidden="1" customHeight="1" x14ac:dyDescent="0.25">
      <c r="A28" s="290"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EGAMBERDIYEV TO‘XTASIN INOYATOVICHga tegishli bo'lgan garovga olingan avtomobil markasi   KIA SELTOS G702, rangi -  OQ BELIY JEMCHUG, ishlab chiqarilgan yili - 2021, davlat raqam belgisi 01R888QA, kuzov turi - YENGIL LEGKOVAYA, kuzov raqami KNAER81AEM7233541, dvigatel raqami G4NHMH323294, shassi raqami - RAKAMSIZ</v>
      </c>
      <c r="B28" s="290"/>
      <c r="C28" s="290"/>
      <c r="D28" s="290"/>
    </row>
    <row r="29" spans="1:5" ht="10.5" customHeight="1" x14ac:dyDescent="0.25">
      <c r="A29" s="288"/>
      <c r="B29" s="288"/>
      <c r="C29" s="288"/>
      <c r="D29" s="288"/>
    </row>
    <row r="30" spans="1:5" ht="53.25" customHeight="1" x14ac:dyDescent="0.25">
      <c r="A30" s="290"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mikrokredit boʻyicha barcha zarur maʼlumotlarni quyida ko’rsatilgan tashkilotlarga taqdim etish va olishga roziligimni bildirib, ushbu amaliyotlarni o’tkazish uchun huquq beraman:</v>
      </c>
      <c r="B30" s="290"/>
      <c r="C30" s="290"/>
      <c r="D30" s="290"/>
    </row>
    <row r="31" spans="1:5" ht="15.75" customHeight="1" x14ac:dyDescent="0.25">
      <c r="A31" s="290" t="s">
        <v>249</v>
      </c>
      <c r="B31" s="290"/>
      <c r="C31" s="290"/>
      <c r="D31" s="290"/>
    </row>
    <row r="32" spans="1:5" x14ac:dyDescent="0.25">
      <c r="A32" s="290" t="s">
        <v>250</v>
      </c>
      <c r="B32" s="290"/>
      <c r="C32" s="290"/>
      <c r="D32" s="290"/>
    </row>
    <row r="33" spans="1:9" x14ac:dyDescent="0.25">
      <c r="A33" s="290" t="s">
        <v>251</v>
      </c>
      <c r="B33" s="290"/>
      <c r="C33" s="290"/>
      <c r="D33" s="290"/>
    </row>
    <row r="34" spans="1:9" x14ac:dyDescent="0.25">
      <c r="A34" s="288" t="str">
        <f>"Ariza berilgan sana: "&amp;TEXT('Общие данные'!B2,"ДД.ММ.ГГГГ")&amp;"y."</f>
        <v>Ariza berilgan sana: 20.01.2025y.</v>
      </c>
      <c r="B34" s="288"/>
      <c r="C34" s="288"/>
      <c r="D34" s="288"/>
    </row>
    <row r="35" spans="1:9" x14ac:dyDescent="0.25">
      <c r="A35" s="288"/>
      <c r="B35" s="288"/>
      <c r="C35" s="288"/>
      <c r="D35" s="288"/>
    </row>
    <row r="36" spans="1:9" x14ac:dyDescent="0.25">
      <c r="A36" s="288" t="s">
        <v>252</v>
      </c>
      <c r="B36" s="288"/>
      <c r="C36" s="288"/>
      <c r="D36" s="288"/>
    </row>
    <row r="37" spans="1:9" x14ac:dyDescent="0.25">
      <c r="A37" s="288"/>
      <c r="B37" s="288"/>
      <c r="C37" s="288"/>
      <c r="D37" s="288"/>
    </row>
    <row r="38" spans="1:9" x14ac:dyDescent="0.25">
      <c r="A38" s="288"/>
      <c r="B38" s="288"/>
      <c r="C38" s="288"/>
      <c r="D38" s="288"/>
    </row>
    <row r="39" spans="1:9" ht="15.75" customHeight="1" x14ac:dyDescent="0.25">
      <c r="A39" s="289" t="str">
        <f>'Общие данные'!B5</f>
        <v>EGAMBERDIYEV TO‘XTASIN INOYATOVICH</v>
      </c>
      <c r="B39" s="289"/>
      <c r="C39" s="289"/>
      <c r="D39" s="15" t="s">
        <v>4</v>
      </c>
    </row>
    <row r="40" spans="1:9" x14ac:dyDescent="0.25">
      <c r="A40" s="14"/>
      <c r="B40" s="14"/>
      <c r="D40" s="16" t="s">
        <v>333</v>
      </c>
    </row>
    <row r="41" spans="1:9" x14ac:dyDescent="0.25">
      <c r="A41" s="288"/>
      <c r="B41" s="288"/>
      <c r="C41" s="288"/>
      <c r="D41" s="288"/>
      <c r="I41" s="10" t="s">
        <v>391</v>
      </c>
    </row>
    <row r="42" spans="1:9" x14ac:dyDescent="0.25">
      <c r="A42" s="288"/>
      <c r="B42" s="288"/>
      <c r="C42" s="288"/>
      <c r="D42" s="288"/>
    </row>
    <row r="43" spans="1:9" x14ac:dyDescent="0.25">
      <c r="A43" s="288"/>
      <c r="B43" s="288"/>
      <c r="C43" s="288"/>
      <c r="D43" s="288"/>
    </row>
    <row r="44" spans="1:9" x14ac:dyDescent="0.25">
      <c r="A44" s="288"/>
      <c r="B44" s="288"/>
      <c r="C44" s="288"/>
      <c r="D44" s="288"/>
    </row>
    <row r="45" spans="1:9" x14ac:dyDescent="0.25">
      <c r="A45" s="288" t="s">
        <v>388</v>
      </c>
      <c r="B45" s="288"/>
      <c r="C45" s="288"/>
      <c r="D45" s="288"/>
    </row>
    <row r="46" spans="1:9" x14ac:dyDescent="0.25">
      <c r="A46" s="288"/>
      <c r="B46" s="288"/>
      <c r="C46" s="288"/>
      <c r="D46" s="288"/>
    </row>
    <row r="47" spans="1:9" x14ac:dyDescent="0.25">
      <c r="A47" s="288"/>
      <c r="B47" s="288"/>
      <c r="C47" s="288"/>
      <c r="D47" s="288"/>
    </row>
    <row r="48" spans="1:9" x14ac:dyDescent="0.25">
      <c r="A48" s="288"/>
      <c r="B48" s="288"/>
      <c r="C48" s="288"/>
      <c r="D48" s="288"/>
    </row>
    <row r="49" spans="1:4" x14ac:dyDescent="0.25">
      <c r="A49" s="288"/>
      <c r="B49" s="288"/>
      <c r="C49" s="288"/>
      <c r="D49" s="288"/>
    </row>
    <row r="50" spans="1:4" x14ac:dyDescent="0.25">
      <c r="A50" s="288"/>
      <c r="B50" s="288"/>
      <c r="C50" s="288"/>
      <c r="D50" s="288"/>
    </row>
    <row r="51" spans="1:4" x14ac:dyDescent="0.25">
      <c r="A51" s="288"/>
      <c r="B51" s="288"/>
      <c r="C51" s="288"/>
      <c r="D51" s="288"/>
    </row>
    <row r="52" spans="1:4" x14ac:dyDescent="0.25">
      <c r="A52" s="288"/>
      <c r="B52" s="288"/>
      <c r="C52" s="288"/>
      <c r="D52" s="288"/>
    </row>
    <row r="53" spans="1:4" x14ac:dyDescent="0.25">
      <c r="A53" s="288"/>
      <c r="B53" s="288"/>
      <c r="C53" s="288"/>
      <c r="D53" s="288"/>
    </row>
    <row r="54" spans="1:4" x14ac:dyDescent="0.25">
      <c r="A54" s="288"/>
      <c r="B54" s="288"/>
      <c r="C54" s="288"/>
      <c r="D54" s="288"/>
    </row>
    <row r="55" spans="1:4" x14ac:dyDescent="0.25">
      <c r="A55" s="288"/>
      <c r="B55" s="288"/>
      <c r="C55" s="288"/>
      <c r="D55" s="288"/>
    </row>
    <row r="56" spans="1:4" x14ac:dyDescent="0.25">
      <c r="A56" s="288"/>
      <c r="B56" s="288"/>
      <c r="C56" s="288"/>
      <c r="D56" s="288"/>
    </row>
    <row r="57" spans="1:4" x14ac:dyDescent="0.25">
      <c r="A57" s="288"/>
      <c r="B57" s="288"/>
      <c r="C57" s="288"/>
      <c r="D57" s="288"/>
    </row>
    <row r="58" spans="1:4" x14ac:dyDescent="0.25">
      <c r="A58" s="288"/>
      <c r="B58" s="288"/>
      <c r="C58" s="288"/>
      <c r="D58" s="288"/>
    </row>
    <row r="59" spans="1:4" x14ac:dyDescent="0.25">
      <c r="A59" s="288"/>
      <c r="B59" s="288"/>
      <c r="C59" s="288"/>
      <c r="D59" s="288"/>
    </row>
    <row r="60" spans="1:4" x14ac:dyDescent="0.25">
      <c r="A60" s="288"/>
      <c r="B60" s="288"/>
      <c r="C60" s="288"/>
      <c r="D60" s="288"/>
    </row>
    <row r="61" spans="1:4" x14ac:dyDescent="0.25">
      <c r="A61" s="288"/>
      <c r="B61" s="288"/>
      <c r="C61" s="288"/>
      <c r="D61" s="288"/>
    </row>
    <row r="62" spans="1:4" x14ac:dyDescent="0.25">
      <c r="A62" s="288"/>
      <c r="B62" s="288"/>
      <c r="C62" s="288"/>
      <c r="D62" s="288"/>
    </row>
    <row r="63" spans="1:4" x14ac:dyDescent="0.25">
      <c r="A63" s="288"/>
      <c r="B63" s="288"/>
      <c r="C63" s="288"/>
      <c r="D63" s="288"/>
    </row>
    <row r="64" spans="1:4" x14ac:dyDescent="0.25">
      <c r="A64" s="288"/>
      <c r="B64" s="288"/>
      <c r="C64" s="288"/>
      <c r="D64" s="288"/>
    </row>
    <row r="65" spans="1:4" x14ac:dyDescent="0.25">
      <c r="A65" s="288"/>
      <c r="B65" s="288"/>
      <c r="C65" s="288"/>
      <c r="D65" s="288"/>
    </row>
    <row r="66" spans="1:4" x14ac:dyDescent="0.25">
      <c r="A66" s="288"/>
      <c r="B66" s="288"/>
      <c r="C66" s="288"/>
      <c r="D66" s="288"/>
    </row>
    <row r="67" spans="1:4" x14ac:dyDescent="0.25">
      <c r="A67" s="288"/>
      <c r="B67" s="288"/>
      <c r="C67" s="288"/>
      <c r="D67" s="288"/>
    </row>
    <row r="68" spans="1:4" x14ac:dyDescent="0.25">
      <c r="A68" s="288"/>
      <c r="B68" s="288"/>
      <c r="C68" s="288"/>
      <c r="D68" s="288"/>
    </row>
    <row r="69" spans="1:4" x14ac:dyDescent="0.25">
      <c r="A69" s="288"/>
      <c r="B69" s="288"/>
      <c r="C69" s="288"/>
      <c r="D69" s="288"/>
    </row>
    <row r="70" spans="1:4" x14ac:dyDescent="0.25">
      <c r="A70" s="288"/>
      <c r="B70" s="288"/>
      <c r="C70" s="288"/>
      <c r="D70" s="288"/>
    </row>
    <row r="71" spans="1:4" x14ac:dyDescent="0.25">
      <c r="A71" s="288"/>
      <c r="B71" s="288"/>
      <c r="C71" s="288"/>
      <c r="D71" s="288"/>
    </row>
    <row r="72" spans="1:4" x14ac:dyDescent="0.25">
      <c r="A72" s="288"/>
      <c r="B72" s="288"/>
      <c r="C72" s="288"/>
      <c r="D72" s="288"/>
    </row>
    <row r="73" spans="1:4" x14ac:dyDescent="0.25">
      <c r="A73" s="288"/>
      <c r="B73" s="288"/>
      <c r="C73" s="288"/>
      <c r="D73" s="288"/>
    </row>
    <row r="74" spans="1:4" x14ac:dyDescent="0.25">
      <c r="A74" s="288"/>
      <c r="B74" s="288"/>
      <c r="C74" s="288"/>
      <c r="D74" s="288"/>
    </row>
    <row r="75" spans="1:4" x14ac:dyDescent="0.25">
      <c r="A75" s="288"/>
      <c r="B75" s="288"/>
      <c r="C75" s="288"/>
      <c r="D75" s="288"/>
    </row>
    <row r="76" spans="1:4" x14ac:dyDescent="0.25">
      <c r="A76" s="288"/>
      <c r="B76" s="288"/>
      <c r="C76" s="288"/>
      <c r="D76" s="288"/>
    </row>
    <row r="77" spans="1:4" x14ac:dyDescent="0.25">
      <c r="A77" s="288"/>
      <c r="B77" s="288"/>
      <c r="C77" s="288"/>
      <c r="D77" s="288"/>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D32" sqref="D31:D32"/>
    </sheetView>
  </sheetViews>
  <sheetFormatPr defaultRowHeight="15" x14ac:dyDescent="0.25"/>
  <cols>
    <col min="1" max="1" width="54.42578125" style="19" customWidth="1"/>
    <col min="2" max="2" width="32.28515625" style="19" customWidth="1"/>
  </cols>
  <sheetData>
    <row r="3" spans="1:2" ht="35.25" customHeight="1" x14ac:dyDescent="0.25">
      <c r="A3" s="293" t="s">
        <v>215</v>
      </c>
      <c r="B3" s="293"/>
    </row>
    <row r="4" spans="1:2" ht="92.25" customHeight="1" x14ac:dyDescent="0.25">
      <c r="A4" s="231"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EGAMBERDIYEV TO‘XTASIN INOYATOVICH «CLEVER MIKROMOLIYA TASHKILOTI» MChJ bilan 20 yanvar 2025 y. sanasidagi №134-sonli shartnomaning garov ta'minoti sifatida taqdim etilayotgan mulk KIA SELTOS G702 rusumli avtotransport vositasini qonunga xilof ravishda o‘zlashtirmaslikka, yashirmaslikka, nobud qilmaslikka yoki unga shikast yetkazmaslik majburiyatini olaman.</v>
      </c>
      <c r="B4" s="231"/>
    </row>
    <row r="5" spans="1:2" ht="56.25" customHeight="1" x14ac:dyDescent="0.25">
      <c r="A5" s="294" t="s">
        <v>216</v>
      </c>
      <c r="B5" s="294"/>
    </row>
    <row r="6" spans="1:2" ht="42.75" customHeight="1" x14ac:dyDescent="0.25"/>
    <row r="7" spans="1:2" x14ac:dyDescent="0.25">
      <c r="A7" s="19" t="str">
        <f>'Общие данные'!B5</f>
        <v>EGAMBERDIYEV TO‘XTASIN INOYATOVICH</v>
      </c>
      <c r="B7" s="155" t="s">
        <v>217</v>
      </c>
    </row>
    <row r="8" spans="1:2" ht="26.25" customHeight="1" x14ac:dyDescent="0.25"/>
    <row r="9" spans="1:2" ht="26.25" customHeight="1" x14ac:dyDescent="0.25"/>
    <row r="10" spans="1:2" ht="26.25" customHeight="1" x14ac:dyDescent="0.25"/>
    <row r="11" spans="1:2" x14ac:dyDescent="0.25">
      <c r="A11" s="19" t="str">
        <f>"sana:   "&amp;TEXT('Общие данные'!B2,"ДД.ММ.ГГГГ")&amp;" y."</f>
        <v>sana:   20.01.2025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view="pageBreakPreview" topLeftCell="A41" zoomScaleSheetLayoutView="100" workbookViewId="0">
      <selection activeCell="A39" sqref="A39:E39"/>
    </sheetView>
  </sheetViews>
  <sheetFormatPr defaultColWidth="9.140625" defaultRowHeight="15" outlineLevelRow="1" x14ac:dyDescent="0.25"/>
  <cols>
    <col min="1" max="1" width="23.7109375" style="19" customWidth="1"/>
    <col min="2" max="5" width="17" style="19" customWidth="1"/>
    <col min="6" max="16384" width="9.140625" style="19"/>
  </cols>
  <sheetData>
    <row r="1" spans="1:5" ht="36" customHeight="1" x14ac:dyDescent="0.25">
      <c r="A1" s="261" t="str">
        <f>""&amp;'Общие данные'!B147&amp;"
mikromoliya tashkilotining Xulosasi"</f>
        <v>«CLEVER MIKROMOLIYA TASHKILOTI» MChJ
mikromoliya tashkilotining Xulosasi</v>
      </c>
      <c r="B1" s="261"/>
      <c r="C1" s="261"/>
      <c r="D1" s="261"/>
      <c r="E1" s="261"/>
    </row>
    <row r="2" spans="1:5" x14ac:dyDescent="0.25">
      <c r="A2" s="231"/>
      <c r="B2" s="231"/>
      <c r="C2" s="231"/>
      <c r="D2" s="231"/>
      <c r="E2" s="231"/>
    </row>
    <row r="3" spans="1:5" x14ac:dyDescent="0.25">
      <c r="A3" s="261" t="s">
        <v>204</v>
      </c>
      <c r="B3" s="261"/>
      <c r="C3" s="261"/>
      <c r="D3" s="261"/>
      <c r="E3" s="261"/>
    </row>
    <row r="4" spans="1:5" x14ac:dyDescent="0.25">
      <c r="A4" s="231" t="str">
        <f>"Mijozning to'liq ismi sharifi: "&amp;'Общие данные'!B5&amp;""</f>
        <v>Mijozning to'liq ismi sharifi: EGAMBERDIYEV TO‘XTASIN INOYATOVICH</v>
      </c>
      <c r="B4" s="231"/>
      <c r="C4" s="231"/>
      <c r="D4" s="231"/>
      <c r="E4" s="231"/>
    </row>
    <row r="5" spans="1:5" x14ac:dyDescent="0.25">
      <c r="A5" s="231" t="str">
        <f>"Tug'ilgan sanasi: "&amp;'Общие данные'!B15&amp;""</f>
        <v>Tug'ilgan sanasi: 06.10.1979 y</v>
      </c>
      <c r="B5" s="231"/>
      <c r="C5" s="231"/>
      <c r="D5" s="231"/>
      <c r="E5" s="231"/>
    </row>
    <row r="6" spans="1:5" ht="31.5" customHeight="1" x14ac:dyDescent="0.25">
      <c r="A6" s="231" t="str">
        <f>"Pasport seriyasi "&amp;'Общие данные'!B16&amp;" "&amp;'Общие данные'!B20&amp;", amal qilish muddati - "&amp;'Общие данные'!B21&amp;""</f>
        <v>Pasport seriyasi AD 1582556 IIV 60001  tomonidan 25.07.2022 yilda berilgan, amal qilish muddati - 24.07.2032 y.</v>
      </c>
      <c r="B6" s="231"/>
      <c r="C6" s="231"/>
      <c r="D6" s="231"/>
      <c r="E6" s="231"/>
    </row>
    <row r="7" spans="1:5" ht="48" customHeight="1" x14ac:dyDescent="0.25">
      <c r="A7" s="231" t="str">
        <f>"Ro‘yxatdan o‘tgan manzili: "&amp;'Общие данные'!B22&amp;", mo'ljal: "&amp;'Общие данные'!B26&amp;""</f>
        <v>Ro‘yxatdan o‘tgan manzili: TOSHKENT SHAHRI UCHTEPA TUMANI 25-MAVZE 4-DOM 34-XONADON, mo'ljal: VATAN KINOTEATRI OLMOS TOYXONA</v>
      </c>
      <c r="B7" s="231"/>
      <c r="C7" s="231"/>
      <c r="D7" s="231"/>
      <c r="E7" s="231"/>
    </row>
    <row r="8" spans="1:5" ht="28.5" customHeight="1" x14ac:dyDescent="0.25">
      <c r="A8" s="231" t="str">
        <f>"Ish joyi: "&amp;'Общие данные'!B52&amp;" lavozimi "&amp;'Общие данные'!B49&amp;"da "&amp;'Общие данные'!B44&amp;""</f>
        <v>Ish joyi:  lavozimi BEMORLARGA QARASHda O'Z O'ZINI BAND QILGAN FUQARO</v>
      </c>
      <c r="B8" s="231"/>
      <c r="C8" s="231"/>
      <c r="D8" s="231"/>
      <c r="E8" s="231"/>
    </row>
    <row r="9" spans="1:5" x14ac:dyDescent="0.25">
      <c r="A9" s="231"/>
      <c r="B9" s="231"/>
      <c r="C9" s="231"/>
      <c r="D9" s="231"/>
      <c r="E9" s="231"/>
    </row>
    <row r="10" spans="1:5" x14ac:dyDescent="0.25">
      <c r="A10" s="261" t="str">
        <f>"Mijoz tomonidan so’ralgan "&amp;'Общие данные'!B65&amp;" shartlari:"</f>
        <v>Mijoz tomonidan so’ralgan mikrokredit shartlari:</v>
      </c>
      <c r="B10" s="261"/>
      <c r="C10" s="261"/>
      <c r="D10" s="261"/>
      <c r="E10" s="261"/>
    </row>
    <row r="11" spans="1:5" x14ac:dyDescent="0.25">
      <c r="A11" s="231" t="str">
        <f>'Кредитная заявка'!A13:D13</f>
        <v>Mikrokredit summasi: 200 000 000,00 (ikki yuz million so'm) so'm.</v>
      </c>
      <c r="B11" s="231"/>
      <c r="C11" s="231"/>
      <c r="D11" s="231"/>
      <c r="E11" s="231"/>
    </row>
    <row r="12" spans="1:5" x14ac:dyDescent="0.25">
      <c r="A12" s="231" t="str">
        <f>'Кредитная заявка'!A14:D14</f>
        <v>Mikrokredit muddati: 36 (O'ttiz olti) oy.</v>
      </c>
      <c r="B12" s="231"/>
      <c r="C12" s="231"/>
      <c r="D12" s="231"/>
      <c r="E12" s="231"/>
    </row>
    <row r="13" spans="1:5" x14ac:dyDescent="0.25">
      <c r="A13" s="231" t="str">
        <f>'Кредитная заявка'!A15:D15</f>
        <v>Mikrokreditdan foydalanganlik uchun foiz stavkasi: yillik  60% (Oltmish) foiz</v>
      </c>
      <c r="B13" s="231"/>
      <c r="C13" s="231"/>
      <c r="D13" s="231"/>
      <c r="E13" s="231"/>
    </row>
    <row r="14" spans="1:5" x14ac:dyDescent="0.25">
      <c r="A14" s="231" t="str">
        <f>'Кредитная заявка'!A16:D16</f>
        <v>Mikrokredit bo'yicha asosiy qarz va foizlarni to'lash:</v>
      </c>
      <c r="B14" s="231"/>
      <c r="C14" s="231"/>
      <c r="D14" s="231"/>
      <c r="E14" s="231"/>
    </row>
    <row r="15" spans="1:5" ht="18.75" customHeight="1" x14ac:dyDescent="0.25">
      <c r="A15" s="231" t="str">
        <f>'Кредитная заявка'!A19:D19</f>
        <v xml:space="preserve"> - mikrokredit shartnomasi bo'yicha har oy differensial to'lovlari amalga oshiriladi</v>
      </c>
      <c r="B15" s="231"/>
      <c r="C15" s="231"/>
      <c r="D15" s="231"/>
      <c r="E15" s="231"/>
    </row>
    <row r="16" spans="1:5" ht="14.25" customHeight="1" x14ac:dyDescent="0.25">
      <c r="A16" s="232" t="str">
        <f>'Кредитная заявка'!A20:D20</f>
        <v xml:space="preserve">  Oxirgi yakuniy to'lov mikrokredit shartnomasi tuzilgan kundan boshlab oxirgi oyning oxirgi kunida amalga oshiriladi</v>
      </c>
      <c r="B16" s="232"/>
      <c r="C16" s="232"/>
      <c r="D16" s="232"/>
      <c r="E16" s="232"/>
    </row>
    <row r="17" spans="1:5" x14ac:dyDescent="0.25">
      <c r="A17" s="231" t="str">
        <f>'Кредитная заявка'!A21:D21</f>
        <v>Mikrokredit ta’minoti::</v>
      </c>
      <c r="B17" s="231"/>
      <c r="C17" s="231"/>
      <c r="D17" s="231"/>
      <c r="E17" s="231"/>
    </row>
    <row r="18" spans="1:5" ht="67.5" customHeight="1" x14ac:dyDescent="0.25">
      <c r="A18" s="231" t="str">
        <f>'Кредитная заявка'!A22:D22</f>
        <v xml:space="preserve">  Egalik huquqi EGAMBERDIYEV TO‘XTASIN INOYATOVICHga tegishli bo'lgan garovga olingan avtomobil markasi   KIA SELTOS G702, rangi -  OQ BELIY JEMCHUG, ishlab chiqarilgan yili - 2021, davlat raqam belgisi 01R888QA, kuzov turi - YENGIL LEGKOVAYA, kuzov raqami KNAER81AEM7233541, dvigatel raqami G4NHMH323294, shassi raqami - RAKAMSIZ</v>
      </c>
      <c r="B18" s="231"/>
      <c r="C18" s="231"/>
      <c r="D18" s="231"/>
      <c r="E18" s="231"/>
    </row>
    <row r="19" spans="1:5" x14ac:dyDescent="0.25">
      <c r="A19" s="261" t="s">
        <v>205</v>
      </c>
      <c r="B19" s="261"/>
      <c r="C19" s="261"/>
      <c r="D19" s="261"/>
      <c r="E19" s="261"/>
    </row>
    <row r="20" spans="1:5" ht="21" customHeight="1" x14ac:dyDescent="0.25">
      <c r="A20" s="231" t="str">
        <f>"Anketaga muvofiq "&amp;'Общие данные'!B9&amp;"ning o‘rtacha oylik daromadi  "&amp;FIXED('Общие данные'!B60)&amp;" so‘mni tashkil etdi."</f>
        <v>Anketaga muvofiq EGAMBERDIYEV T.I.ning o‘rtacha oylik daromadi  29 000 000,00 so‘mni tashkil etdi.</v>
      </c>
      <c r="B20" s="231"/>
      <c r="C20" s="231"/>
      <c r="D20" s="231"/>
      <c r="E20" s="231"/>
    </row>
    <row r="21" spans="1:5" ht="21" customHeight="1" x14ac:dyDescent="0.25">
      <c r="A21" s="231" t="str">
        <f>"Mijozning o'rtacha oylik xarajatlari "&amp;FIXED('Анкета Клиента'!F27)&amp;" so'mni tashkil etdi"</f>
        <v>Mijozning o'rtacha oylik xarajatlari 1 700 000,00 so'mni tashkil etdi</v>
      </c>
      <c r="B21" s="231"/>
      <c r="C21" s="231"/>
      <c r="D21" s="231"/>
      <c r="E21" s="231"/>
    </row>
    <row r="22" spans="1:5" ht="18.75" customHeight="1" x14ac:dyDescent="0.25">
      <c r="A22" s="231" t="str">
        <f>IF('Общие данные'!B77='Общие данные'!C77,'Заключение КК'!A23:E23,'Заключение КК'!A24:E24)</f>
        <v>Mikrokredit shartnomasi bo'yicha birinchi oy uchun to'lov 15 199 391,08 so'mni tashkil etadi.</v>
      </c>
      <c r="B22" s="231"/>
      <c r="C22" s="231"/>
      <c r="D22" s="231"/>
      <c r="E22" s="231"/>
    </row>
    <row r="23" spans="1:5" ht="2.25" customHeight="1" x14ac:dyDescent="0.25">
      <c r="A23" s="231" t="str">
        <f>""&amp;'Общие данные'!C64&amp;" shartnomasi bo'yicha birinchi oy uchun to'lov "&amp;FIXED('Общие данные'!B90)&amp;" so'mni tashkil etadi."</f>
        <v>Mikrokredit shartnomasi bo'yicha birinchi oy uchun to'lov 15 199 391,08 so'mni tashkil etadi.</v>
      </c>
      <c r="B23" s="231"/>
      <c r="C23" s="231"/>
      <c r="D23" s="231"/>
      <c r="E23" s="231"/>
    </row>
    <row r="24" spans="1:5" ht="2.25" customHeight="1" x14ac:dyDescent="0.25">
      <c r="A24" s="231" t="str">
        <f>""&amp;'Общие данные'!C64&amp;" bo‘yicha oylik "&amp;'Общие данные'!B77&amp;" to‘lovi miqdori "&amp;FIXED('Общие данные'!B90)&amp;" so‘mni tashkil etadi."</f>
        <v>Mikrokredit bo‘yicha oylik differensial to‘lovi miqdori 15 199 391,08 so‘mni tashkil etadi.</v>
      </c>
      <c r="B24" s="231"/>
      <c r="C24" s="231"/>
      <c r="D24" s="231"/>
      <c r="E24" s="231"/>
    </row>
    <row r="25" spans="1:5" ht="54.75" hidden="1" customHeight="1" x14ac:dyDescent="0.25">
      <c r="A25" s="232" t="s">
        <v>408</v>
      </c>
      <c r="B25" s="232"/>
      <c r="C25" s="232"/>
      <c r="D25" s="232"/>
      <c r="E25" s="232"/>
    </row>
    <row r="26" spans="1:5" x14ac:dyDescent="0.25">
      <c r="A26" s="261" t="str">
        <f>""&amp;'Общие данные'!C64&amp;" bo’yicha ta’minot:"</f>
        <v>Mikrokredit bo’yicha ta’minot:</v>
      </c>
      <c r="B26" s="261"/>
      <c r="C26" s="261"/>
      <c r="D26" s="261"/>
      <c r="E26" s="261"/>
    </row>
    <row r="27" spans="1:5" ht="31.5" hidden="1" customHeight="1" x14ac:dyDescent="0.25">
      <c r="A27" s="231" t="str">
        <f>" - "&amp;'Общие данные'!B117&amp;" ga mulk huquqi asosida tegishli avtotransport vositasi "&amp;'Общие данные'!B125&amp;" , quyidagi tafsilotlarga muvofiq:"</f>
        <v xml:space="preserve"> - EGAMBERDIYEV TO‘XTASIN INOYATOVICH ga mulk huquqi asosida tegishli avtotransport vositasi KIA SELTOS G702 , quyidagi tafsilotlarga muvofiq:</v>
      </c>
      <c r="B27" s="231"/>
      <c r="C27" s="231"/>
      <c r="D27" s="231"/>
      <c r="E27" s="231"/>
    </row>
    <row r="28" spans="1:5" ht="67.5" hidden="1" customHeight="1" x14ac:dyDescent="0.25">
      <c r="A28" s="231" t="str">
        <f>" -   "&amp;'Общие данные'!C117&amp;" ga mulk huquqi asosida tegishli ko'chmas mulk shaklida "&amp;'Общие данные'!C126&amp;", manzili: "&amp;'Общие данные'!C123&amp;", quyidagi tafsilotlarga muvofiq:"</f>
        <v xml:space="preserve"> -   EGAMBERDIYEV TO‘XTASIN INOYATOVICH ga mulk huquqi asosida tegishli ko'chmas mulk shaklida 3 - xonali yakka tartibdagi uy-joy, manzili: SAMARQAND VILOYATI TAYLOQ TUMANI CHAROG'BON MFY YANGI TAYLOQ QISHLOG'I 6 TURAR JOY 12 QAVAT 58 XONADON, quyidagi tafsilotlarga muvofiq:</v>
      </c>
      <c r="B28" s="231"/>
      <c r="C28" s="231"/>
      <c r="D28" s="231"/>
      <c r="E28" s="231"/>
    </row>
    <row r="29" spans="1:5" ht="44.25" customHeight="1" x14ac:dyDescent="0.25">
      <c r="A29" s="231" t="str">
        <f>IF('Общие данные'!B103="Avtotransport",'Заключение КК'!A27:E27,'Заключение КК'!A28:E28)</f>
        <v xml:space="preserve"> - EGAMBERDIYEV TO‘XTASIN INOYATOVICH ga mulk huquqi asosida tegishli avtotransport vositasi KIA SELTOS G702 , quyidagi tafsilotlarga muvofiq:</v>
      </c>
      <c r="B29" s="231"/>
      <c r="C29" s="231"/>
      <c r="D29" s="231"/>
      <c r="E29" s="231"/>
    </row>
    <row r="30" spans="1:5" s="20" customFormat="1" ht="47.25" customHeight="1" outlineLevel="1" x14ac:dyDescent="0.25">
      <c r="A30" s="43" t="str">
        <f>'Акт согласования'!A29</f>
        <v>Nomi</v>
      </c>
      <c r="B30" s="43" t="str">
        <f>'Акт согласования'!B29</f>
        <v>Kuzov turi  va kuzov raqami*</v>
      </c>
      <c r="C30" s="43" t="str">
        <f>'Акт согласования'!C29</f>
        <v>Dvigatel va shassi raqami*</v>
      </c>
      <c r="D30" s="43" t="str">
        <f>'Акт согласования'!D29</f>
        <v>Ishlab chiqarilgan yili va rangi*</v>
      </c>
      <c r="E30" s="43" t="str">
        <f>'Акт согласования'!E29</f>
        <v>Kelishilgan garov qiymati, so'm</v>
      </c>
    </row>
    <row r="31" spans="1:5" s="24" customFormat="1" ht="92.25" customHeight="1" outlineLevel="1" x14ac:dyDescent="0.25">
      <c r="A31" s="21" t="str">
        <f>'Акт согласования'!A30</f>
        <v>KIA SELTOS G702</v>
      </c>
      <c r="B31" s="21" t="str">
        <f>'Акт согласования'!B30</f>
        <v>kuzov turi - YENGIL LEGKOVAYA, kuzov raqami KNAER81AEM7233541</v>
      </c>
      <c r="C31" s="21" t="str">
        <f>'Акт согласования'!C30</f>
        <v>dvigatel raqami G4NHMH323294, shassi raqami - RAKAMSIZ</v>
      </c>
      <c r="D31" s="21" t="str">
        <f>'Акт согласования'!D30</f>
        <v>rangi -  OQ BELIY JEMCHUG, ishlab chiqarilgan yili - 2021</v>
      </c>
      <c r="E31" s="21" t="str">
        <f>'Акт согласования'!E30</f>
        <v>300 000 000,00 
(uch yuz million so'm)</v>
      </c>
    </row>
    <row r="32" spans="1:5" ht="15.75" customHeight="1" outlineLevel="1" x14ac:dyDescent="0.25">
      <c r="A32" s="231" t="str">
        <f>'Акт согласования'!A22</f>
        <v>-* avtotransport egasi: EGAMBERDIYEV TO‘XTASIN INOYATOVICH</v>
      </c>
      <c r="B32" s="231"/>
      <c r="C32" s="231"/>
      <c r="D32" s="231"/>
      <c r="E32" s="231"/>
    </row>
    <row r="33" spans="1:5" ht="15" customHeight="1" outlineLevel="1" x14ac:dyDescent="0.25">
      <c r="A33" s="231" t="str">
        <f>'Акт согласования'!A23</f>
        <v>-* texnik pasport: AAF4345420    08.04.2022</v>
      </c>
      <c r="B33" s="231"/>
      <c r="C33" s="231"/>
      <c r="D33" s="231"/>
      <c r="E33" s="231"/>
    </row>
    <row r="34" spans="1:5" ht="33" customHeight="1" outlineLevel="1" x14ac:dyDescent="0.25">
      <c r="A34" s="231" t="str">
        <f>'Акт согласования'!A24</f>
        <v>-* roʻyxatdan oʻtgan manzili/garaj manzili: TOSHKENT SHAHRI UCHTEPA TUMANI 25-MAVZE 4-DOM 34-XONADON</v>
      </c>
      <c r="B34" s="231"/>
      <c r="C34" s="231"/>
      <c r="D34" s="231"/>
      <c r="E34" s="231"/>
    </row>
    <row r="35" spans="1:5" ht="15" customHeight="1" outlineLevel="1" x14ac:dyDescent="0.25">
      <c r="A35" s="231" t="str">
        <f>'Акт согласования'!A25</f>
        <v>-* davlat raqami: 01R888QA</v>
      </c>
      <c r="B35" s="231"/>
      <c r="C35" s="231"/>
      <c r="D35" s="231"/>
      <c r="E35" s="231"/>
    </row>
    <row r="36" spans="1:5" ht="9" customHeight="1" x14ac:dyDescent="0.25">
      <c r="A36" s="231"/>
      <c r="B36" s="231"/>
      <c r="C36" s="231"/>
      <c r="D36" s="231"/>
      <c r="E36" s="231"/>
    </row>
    <row r="37" spans="1:5" ht="39" customHeight="1" x14ac:dyDescent="0.25">
      <c r="A37" s="261" t="str">
        <f>""&amp;'Общие данные'!B147&amp;"
mikromoliya tashkilotining Xulosasi"</f>
        <v>«CLEVER MIKROMOLIYA TASHKILOTI» MChJ
mikromoliya tashkilotining Xulosasi</v>
      </c>
      <c r="B37" s="261"/>
      <c r="C37" s="261"/>
      <c r="D37" s="261"/>
      <c r="E37" s="261"/>
    </row>
    <row r="38" spans="1:5" ht="48" customHeight="1" x14ac:dyDescent="0.25">
      <c r="A38" s="231" t="str">
        <f>""&amp;'Общие данные'!B147&amp;" kredit qo‘mitasining xulosasiga quyidagi shartlarda "&amp;'Общие данные'!B10&amp;"ga "&amp;'Общие данные'!B65&amp;" berish masalasi kiritiladi:"</f>
        <v>«CLEVER MIKROMOLIYA TASHKILOTI» MChJ kredit qo‘mitasining xulosasiga quyidagi shartlarda EGAMBERDIYEV TO‘XTASIN INOYATOVICHga mikrokredit berish masalasi kiritiladi:</v>
      </c>
      <c r="B38" s="231"/>
      <c r="C38" s="231"/>
      <c r="D38" s="231"/>
      <c r="E38" s="231"/>
    </row>
    <row r="39" spans="1:5" x14ac:dyDescent="0.25">
      <c r="A39" s="231" t="str">
        <f>A11</f>
        <v>Mikrokredit summasi: 200 000 000,00 (ikki yuz million so'm) so'm.</v>
      </c>
      <c r="B39" s="231"/>
      <c r="C39" s="231"/>
      <c r="D39" s="231"/>
      <c r="E39" s="231"/>
    </row>
    <row r="40" spans="1:5" x14ac:dyDescent="0.25">
      <c r="A40" s="231" t="str">
        <f t="shared" ref="A40:A46" si="0">A12</f>
        <v>Mikrokredit muddati: 36 (O'ttiz olti) oy.</v>
      </c>
      <c r="B40" s="231"/>
      <c r="C40" s="231"/>
      <c r="D40" s="231"/>
      <c r="E40" s="231"/>
    </row>
    <row r="41" spans="1:5" x14ac:dyDescent="0.25">
      <c r="A41" s="231" t="str">
        <f t="shared" si="0"/>
        <v>Mikrokreditdan foydalanganlik uchun foiz stavkasi: yillik  60% (Oltmish) foiz</v>
      </c>
      <c r="B41" s="231"/>
      <c r="C41" s="231"/>
      <c r="D41" s="231"/>
      <c r="E41" s="231"/>
    </row>
    <row r="42" spans="1:5" x14ac:dyDescent="0.25">
      <c r="A42" s="231" t="str">
        <f t="shared" si="0"/>
        <v>Mikrokredit bo'yicha asosiy qarz va foizlarni to'lash:</v>
      </c>
      <c r="B42" s="231"/>
      <c r="C42" s="231"/>
      <c r="D42" s="231"/>
      <c r="E42" s="231"/>
    </row>
    <row r="43" spans="1:5" ht="20.25" customHeight="1" x14ac:dyDescent="0.25">
      <c r="A43" s="231" t="str">
        <f t="shared" si="0"/>
        <v xml:space="preserve"> - mikrokredit shartnomasi bo'yicha har oy differensial to'lovlari amalga oshiriladi</v>
      </c>
      <c r="B43" s="231"/>
      <c r="C43" s="231"/>
      <c r="D43" s="231"/>
      <c r="E43" s="231"/>
    </row>
    <row r="44" spans="1:5" ht="26.25" customHeight="1" x14ac:dyDescent="0.25">
      <c r="A44" s="231" t="str">
        <f t="shared" si="0"/>
        <v xml:space="preserve">  Oxirgi yakuniy to'lov mikrokredit shartnomasi tuzilgan kundan boshlab oxirgi oyning oxirgi kunida amalga oshiriladi</v>
      </c>
      <c r="B44" s="231"/>
      <c r="C44" s="231"/>
      <c r="D44" s="231"/>
      <c r="E44" s="231"/>
    </row>
    <row r="45" spans="1:5" ht="18.75" customHeight="1" x14ac:dyDescent="0.25">
      <c r="A45" s="231" t="str">
        <f t="shared" si="0"/>
        <v>Mikrokredit ta’minoti::</v>
      </c>
      <c r="B45" s="231"/>
      <c r="C45" s="231"/>
      <c r="D45" s="231"/>
      <c r="E45" s="231"/>
    </row>
    <row r="46" spans="1:5" ht="75" customHeight="1" x14ac:dyDescent="0.25">
      <c r="A46" s="231" t="str">
        <f t="shared" si="0"/>
        <v xml:space="preserve">  Egalik huquqi EGAMBERDIYEV TO‘XTASIN INOYATOVICHga tegishli bo'lgan garovga olingan avtomobil markasi   KIA SELTOS G702, rangi -  OQ BELIY JEMCHUG, ishlab chiqarilgan yili - 2021, davlat raqam belgisi 01R888QA, kuzov turi - YENGIL LEGKOVAYA, kuzov raqami KNAER81AEM7233541, dvigatel raqami G4NHMH323294, shassi raqami - RAKAMSIZ</v>
      </c>
      <c r="B46" s="231"/>
      <c r="C46" s="231"/>
      <c r="D46" s="231"/>
      <c r="E46" s="231"/>
    </row>
    <row r="47" spans="1:5" x14ac:dyDescent="0.25">
      <c r="A47" s="231"/>
      <c r="B47" s="231"/>
      <c r="C47" s="231"/>
      <c r="D47" s="231"/>
      <c r="E47" s="231"/>
    </row>
    <row r="48" spans="1:5" ht="36.75" customHeight="1" x14ac:dyDescent="0.25">
      <c r="A48" s="231" t="str">
        <f>""&amp;'Общие данные'!B147&amp;" mikromoliya tashkilotining xulosasi  "&amp;TEXT('Общие данные'!B2,"ДД.ММ.ГГГГ")&amp;" y. tayyorlangan"</f>
        <v>«CLEVER MIKROMOLIYA TASHKILOTI» MChJ mikromoliya tashkilotining xulosasi  20.01.2025 y. tayyorlangan</v>
      </c>
      <c r="B48" s="231"/>
      <c r="C48" s="231"/>
      <c r="D48" s="231"/>
      <c r="E48" s="231"/>
    </row>
    <row r="49" spans="1:5" x14ac:dyDescent="0.25">
      <c r="A49" s="231"/>
      <c r="B49" s="231"/>
      <c r="C49" s="231"/>
      <c r="D49" s="231"/>
      <c r="E49" s="231"/>
    </row>
    <row r="50" spans="1:5" ht="15.75" customHeight="1" x14ac:dyDescent="0.25">
      <c r="A50" s="232"/>
      <c r="B50" s="232"/>
      <c r="C50" s="232"/>
      <c r="D50" s="26"/>
      <c r="E50" s="27"/>
    </row>
    <row r="51" spans="1:5" ht="35.25" customHeight="1" x14ac:dyDescent="0.25">
      <c r="A51" s="232" t="str">
        <f>'Общие данные'!A161</f>
        <v>Kredit bo'yicha menejer</v>
      </c>
      <c r="B51" s="232"/>
      <c r="C51" s="232"/>
      <c r="D51" s="27"/>
      <c r="E51" s="27" t="str">
        <f>'Общие данные'!B161</f>
        <v>Saipova R.S.</v>
      </c>
    </row>
    <row r="52" spans="1:5" x14ac:dyDescent="0.25">
      <c r="A52" s="231"/>
      <c r="B52" s="231"/>
      <c r="C52" s="231"/>
      <c r="D52" s="231"/>
      <c r="E52" s="231"/>
    </row>
    <row r="53" spans="1:5" ht="47.25" customHeight="1" x14ac:dyDescent="0.25">
      <c r="A53" s="231"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1"/>
      <c r="C53" s="231"/>
      <c r="D53" s="231"/>
      <c r="E53" s="231"/>
    </row>
    <row r="54" spans="1:5" x14ac:dyDescent="0.25">
      <c r="A54" s="23"/>
      <c r="B54" s="23"/>
      <c r="C54" s="23"/>
      <c r="D54" s="23"/>
      <c r="E54" s="23"/>
    </row>
    <row r="55" spans="1:5" x14ac:dyDescent="0.25">
      <c r="A55" s="232" t="s">
        <v>394</v>
      </c>
      <c r="B55" s="232"/>
      <c r="C55" s="23"/>
      <c r="D55" s="23"/>
      <c r="E55" s="23"/>
    </row>
    <row r="56" spans="1:5" x14ac:dyDescent="0.25">
      <c r="A56" s="23"/>
      <c r="B56" s="23"/>
      <c r="C56" s="23"/>
      <c r="D56" s="23"/>
      <c r="E56" s="23"/>
    </row>
    <row r="57" spans="1:5" x14ac:dyDescent="0.25">
      <c r="A57" s="232" t="str">
        <f>'Общие данные'!B160</f>
        <v>Jumanazarov B.T.</v>
      </c>
      <c r="B57" s="232"/>
      <c r="C57" s="26"/>
      <c r="D57" s="26"/>
      <c r="E57" s="26"/>
    </row>
    <row r="58" spans="1:5" x14ac:dyDescent="0.25">
      <c r="A58" s="60"/>
      <c r="B58" s="60"/>
      <c r="C58" s="26"/>
      <c r="D58" s="26"/>
      <c r="E58" s="26"/>
    </row>
    <row r="59" spans="1:5" ht="21" customHeight="1" x14ac:dyDescent="0.25">
      <c r="A59" s="231" t="str">
        <f>'Общие данные'!B159</f>
        <v>Mominov B.X.</v>
      </c>
      <c r="B59" s="231"/>
      <c r="C59" s="231"/>
      <c r="D59" s="231"/>
      <c r="E59" s="231"/>
    </row>
  </sheetData>
  <mergeCells count="54">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52:E52"/>
    <mergeCell ref="A33:E33"/>
    <mergeCell ref="A34:E34"/>
    <mergeCell ref="A35:E35"/>
    <mergeCell ref="A36:E36"/>
    <mergeCell ref="A37:E37"/>
    <mergeCell ref="A50:C50"/>
    <mergeCell ref="A51:C51"/>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s>
  <pageMargins left="0.7" right="0.7" top="0.75" bottom="0.75" header="0.3" footer="0.3"/>
  <pageSetup paperSize="9" scale="84" orientation="portrait" r:id="rId1"/>
  <rowBreaks count="1" manualBreakCount="1">
    <brk id="3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118" zoomScale="85" zoomScaleNormal="55" zoomScaleSheetLayoutView="85" workbookViewId="0">
      <selection activeCell="B128" sqref="B128"/>
    </sheetView>
  </sheetViews>
  <sheetFormatPr defaultColWidth="9.140625" defaultRowHeight="15.75" x14ac:dyDescent="0.25"/>
  <cols>
    <col min="1" max="1" width="50.42578125" style="10" customWidth="1"/>
    <col min="2" max="2" width="57.42578125" style="10" customWidth="1"/>
    <col min="3" max="3" width="93.28515625" style="10" customWidth="1"/>
    <col min="4" max="7" width="9.140625" style="10" customWidth="1"/>
    <col min="8" max="8" width="111.5703125" style="10" customWidth="1"/>
    <col min="9" max="16" width="9.140625" style="10" customWidth="1"/>
    <col min="17" max="16384" width="9.140625" style="10"/>
  </cols>
  <sheetData>
    <row r="1" spans="1:3" x14ac:dyDescent="0.25">
      <c r="A1" s="306" t="str">
        <f>""&amp;'Общие данные'!C64&amp;" shartnoma "&amp;'Общие данные'!B66&amp;""</f>
        <v>Mikrokredit shartnoma №134</v>
      </c>
      <c r="B1" s="306"/>
    </row>
    <row r="3" spans="1:3" x14ac:dyDescent="0.25">
      <c r="A3" s="306" t="str">
        <f>"Toshkent shahri                                                                               "&amp;'Общие данные'!B70&amp;""</f>
        <v>Toshkent shahri                                                                               20 yanvar 2025 y.</v>
      </c>
      <c r="B3" s="306"/>
    </row>
    <row r="4" spans="1:3" x14ac:dyDescent="0.25">
      <c r="A4" s="75"/>
    </row>
    <row r="5" spans="1:3" ht="132.75" customHeight="1" x14ac:dyDescent="0.25">
      <c r="A5" s="296"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Ijrochi direktor Abduraximov N.K.  bir tomondan va o‘z manfaati yo‘lida hamda o‘z nomidan harakat qiluvchi O‘zbekiston Respublikasi fuqarosi EGAMBERDIYEV TO‘XTASIN INOYATOVICH  (pasport raqami AD 1582556, TOSHKENT SHAHRI UCHTEPA TUMANI 25-MAVZE 4-DOM 34-XONADON tomonidan 25.07.2022 yilda berilgan ), bundan buyon «Qarz oluvchi» deb nomlanuvchi, boshqa tomondan, birgalikda “Tomonlar” yoki alohida “Tomon” deb nomlanuvchilar, Qarz oluvchi tomonidan 20.01.2025 yil,mikrokredit olish uchun ariza berilganligini hisobga olib, ushbu Mikrokredit shartnomasini (bundan keyin – «Shartnoma») quyidagilar haqida tuzdilar:</v>
      </c>
      <c r="B5" s="296"/>
    </row>
    <row r="7" spans="1:3" x14ac:dyDescent="0.25">
      <c r="A7" s="306" t="s">
        <v>264</v>
      </c>
      <c r="B7" s="306"/>
    </row>
    <row r="8" spans="1:3" ht="51.75" customHeight="1" x14ac:dyDescent="0.25">
      <c r="A8" s="296"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200 000 000,00 (Ikki yuz million so'm) bo‘lgan mikrokreditni 20 yanvar 2025 y. dan 20 yanvar 2028 y. gacha bo'lgan muddatga naqd pul va/yoki o'tkazmasi shaklida ajratadi.</v>
      </c>
      <c r="B8" s="296"/>
    </row>
    <row r="9" spans="1:3" ht="36" customHeight="1" x14ac:dyDescent="0.25">
      <c r="A9" s="296" t="str">
        <f>"1.2. Qarz oluvchi to‘lovlilik, muddatlilik va ta’minlanganlik tamoyillariga amal qilgan holda "&amp;'Общие данные'!B65&amp;"dan foydalanish majburiyatini o‘z zimmasiga oladi."</f>
        <v>1.2. Qarz oluvchi to‘lovlilik, muddatlilik va ta’minlanganlik tamoyillariga amal qilgan holda mikrokreditdan foydalanish majburiyatini o‘z zimmasiga oladi.</v>
      </c>
      <c r="B9" s="296"/>
    </row>
    <row r="10" spans="1:3" x14ac:dyDescent="0.25">
      <c r="A10" s="36"/>
    </row>
    <row r="11" spans="1:3" x14ac:dyDescent="0.25">
      <c r="A11" s="297" t="str">
        <f>"2. "&amp;'Общие данные'!D64&amp;" BERISH VA QAYTARISH TARTIBI"</f>
        <v>2. MIKROKREDIT BERISH VA QAYTARISH TARTIBI</v>
      </c>
      <c r="B11" s="297"/>
      <c r="C11" s="73"/>
    </row>
    <row r="12" spans="1:3" ht="39" customHeight="1" x14ac:dyDescent="0.25">
      <c r="A12" s="296" t="str">
        <f>"2.1. Ushbu Shartnomaning 1.1.-bandida ko‘rsatilgan summa miqdoridagi "&amp;'Общие данные'!B65&amp;" Mikromoliya tashkiloti kassasidan naqd pul shaklida va/yoki plastik kartaga o‘tkazish yuli bilan beriladi."</f>
        <v>2.1. Ushbu Shartnomaning 1.1.-bandida ko‘rsatilgan summa miqdoridagi mikrokredit Mikromoliya tashkiloti kassasidan naqd pul shaklida va/yoki plastik kartaga o‘tkazish yuli bilan beriladi.</v>
      </c>
      <c r="B12" s="296"/>
    </row>
    <row r="13" spans="1:3" ht="35.25" customHeight="1" x14ac:dyDescent="0.25">
      <c r="A13" s="296" t="str">
        <f>"2.2. "&amp;'Общие данные'!C64&amp;" berish ushbu Shartnoma tuzilgan va Qarz oluvchi tomonidan ushbu shartnomaning 3-bo‘limiga muvofiq garov ta'minoti ta'minlangandan so‘ng 10 kalendar kundan kechiktirmay amalga oshiriladi."</f>
        <v>2.2. Mikrokredit berish ushbu Shartnoma tuzilgan va Qarz oluvchi tomonidan ushbu shartnomaning 3-bo‘limiga muvofiq garov ta'minoti ta'minlangandan so‘ng 10 kalendar kundan kechiktirmay amalga oshiriladi.</v>
      </c>
      <c r="B13" s="296"/>
    </row>
    <row r="14" spans="1:3" ht="37.5" customHeight="1" x14ac:dyDescent="0.25">
      <c r="A14" s="296" t="str">
        <f>"2.3. "&amp;'Общие данные'!C64&amp;" Qarz oluvchi tomonidan ushbu Shartnomaning ajralmas qismi hisoblanadigan 1-ilovasida ko‘rsatilgan to‘lov jadvalida (bundan keyin - To‘lov jadvali) belgilangan miqdor, tartib va muddatlarda qaytariladi."</f>
        <v>2.3. Mikrokredit Qarz oluvchi tomonidan ushbu Shartnomaning ajralmas qismi hisoblanadigan 1-ilovasida ko‘rsatilgan to‘lov jadvalida (bundan keyin - To‘lov jadvali) belgilangan miqdor, tartib va muddatlarda qaytariladi.</v>
      </c>
      <c r="B14" s="296"/>
    </row>
    <row r="15" spans="1:3" ht="74.25" customHeight="1" x14ac:dyDescent="0.25">
      <c r="A15" s="296"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mikrokredit berilgan vaqtdan boshlab, mikrokredit miqdorining qoldiq summasiga 60% (Oltmish) foiz yillik va yiliga 365/366 kunlik hisobidan foizlar hisoblaydi. To'lov jadvaliga muvofiq asosiy qarz bo'yicha navbatdagi to'lov buzilgan hollarda, foiz stavkasi oshiriladi va  Mikromoliya tashkiloti mikrokreditning muddati o'tgan asosiy qarz summasiga yillik 100 (bir yuz) foiz miqdorida foizlar hisoblaydi.</v>
      </c>
      <c r="B15" s="296"/>
    </row>
    <row r="16" spans="1:3" ht="180" customHeight="1" x14ac:dyDescent="0.25">
      <c r="A16" s="296" t="s">
        <v>332</v>
      </c>
      <c r="B16" s="296"/>
    </row>
    <row r="17" spans="1:11" ht="161.25" customHeight="1" x14ac:dyDescent="0.25">
      <c r="A17" s="29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mikrokreditni va undan foydalanganlik uchun foizlarni qaytarish bo‘yicha muddati o‘tgan qarzdorlik hosil bo‘lganda Qarz oluvchi tomonidan ko‘rsatilgan qarzdorlikni to‘lash hisobiga to‘lanadigan summalar quyidagi tartibda hisobga olinadi:</v>
      </c>
      <c r="B17" s="296"/>
      <c r="C17" s="178" t="s">
        <v>336</v>
      </c>
      <c r="H17" s="10" t="str">
        <f>'Общие данные'!B65</f>
        <v>mikrokredit</v>
      </c>
      <c r="I17" s="10" t="s">
        <v>337</v>
      </c>
    </row>
    <row r="18" spans="1:11" ht="100.5" customHeight="1" x14ac:dyDescent="0.25">
      <c r="A18" s="299" t="s">
        <v>377</v>
      </c>
      <c r="B18" s="299"/>
    </row>
    <row r="19" spans="1:11" ht="36" customHeight="1" x14ac:dyDescent="0.25">
      <c r="A19" s="296" t="str">
        <f>"2.7. Qarz oluvchi Mikromoliya tashkilotining "&amp;'Общие данные'!B65&amp;" bo‘yicha asosiy summasi, hisoblangan foizlarni, penya va boshqa moliyaviy talablarini ham naqd pul shaklida, ham naqdsiz shaklda qaytarib beradi."</f>
        <v>2.7. Qarz oluvchi Mikromoliya tashkilotining mikrokredit bo‘yicha asosiy summasi, hisoblangan foizlarni, penya va boshqa moliyaviy talablarini ham naqd pul shaklida, ham naqdsiz shaklda qaytarib beradi.</v>
      </c>
      <c r="B19" s="296"/>
    </row>
    <row r="20" spans="1:11" ht="48.75" customHeight="1" x14ac:dyDescent="0.25">
      <c r="A20" s="296" t="str">
        <f>"2.8. Qarz oluvchi "&amp;'Общие данные'!B65&amp;" miqdorini muddatidan oldin qaytarish, shuningdek, bu haqida Mikromoliya tashkilotini albatta ogohlantirgan holda ulardan aniq foydalangan muddat uchun hisoblangan foizlarni to‘lash huquqiga ega."</f>
        <v>2.8. Qarz oluvchi mikrokredit miqdorini muddatidan oldin qaytarish, shuningdek, bu haqida Mikromoliya tashkilotini albatta ogohlantirgan holda ulardan aniq foydalangan muddat uchun hisoblangan foizlarni to‘lash huquqiga ega.</v>
      </c>
      <c r="B20" s="296"/>
    </row>
    <row r="21" spans="1:11" ht="113.25" customHeight="1" x14ac:dyDescent="0.25">
      <c r="A21" s="305" t="str">
        <f>CONCATENATE(C21,H21,I21)</f>
        <v>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mikrokredit ajratishda uning summasi va qarz oluvchining amaldagi kredit (mikrokredit) shartnomalari bo‘yicha asosiy qarz qoldig‘i yig‘indisi bazaviy hisoblash miqdorining 50 baravaridan oshganda hisoblanadi.</v>
      </c>
      <c r="B21" s="305"/>
      <c r="C21" s="10"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(mikrokreditlar) bo‘yicha qarz yukini hisoblash tartibi, qarz yukining ruxsat etilgan miqdori, shuningdek qarz yuki o‘sishini cheklash to‘g‘risidagi Nizomga muvofiq (O’zbekiston Respublikasi Adliya vazirligi tomonidan 19.12.2019 y. 3205-son bilan ro‘yxatga </v>
      </c>
      <c r="H21" s="10"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mikrokredit ajratishda uning summasi va </v>
      </c>
      <c r="I21" s="10" t="str">
        <f>"qarz oluvchining amaldagi kredit ("&amp;'Общие данные'!B65&amp;") shartnomalari bo‘yicha asosiy qarz qoldig‘i yig‘indisi bazaviy hisoblash miqdorining 50 baravaridan oshganda hisoblanadi."</f>
        <v>qarz oluvchining amaldagi kredit (mikrokredit) shartnomalari bo‘yicha asosiy qarz qoldig‘i yig‘indisi bazaviy hisoblash miqdorining 50 baravaridan oshganda hisoblanadi.</v>
      </c>
    </row>
    <row r="22" spans="1:11" x14ac:dyDescent="0.25">
      <c r="A22" s="297" t="str">
        <f>"3. "&amp;'Общие данные'!D64&amp;" TA'MINOTI BO‘YICHA "</f>
        <v xml:space="preserve">3. MIKROKREDIT TA'MINOTI BO‘YICHA </v>
      </c>
      <c r="B22" s="297"/>
    </row>
    <row r="23" spans="1:11" ht="19.5" customHeight="1" x14ac:dyDescent="0.25">
      <c r="A23" s="296" t="str">
        <f>"3.1. Ushbu Shartnoma bo‘yicha taqdim etilgan "&amp;'Общие данные'!C64&amp;" quyidagi garov bilan ta'minlanadi:"</f>
        <v>3.1. Ushbu Shartnoma bo‘yicha taqdim etilgan Mikrokredit quyidagi garov bilan ta'minlanadi:</v>
      </c>
      <c r="B23" s="296"/>
    </row>
    <row r="24" spans="1:11" ht="130.5" customHeight="1" x14ac:dyDescent="0.25">
      <c r="A24" s="303" t="str">
        <f>IF('Общие данные'!B103='Общие данные'!C103,договор!A28,IF('Общие данные'!B103='Общие данные'!D103,договор!A25,0))</f>
        <v>3.1.1. Mikromoliya tashkiloti va Qarz oluvchi tomonidan 2025 yil 20 yanvarda imzolangan 1-sonli garov predmeti qiymatini tasdiqlash dalolatnomasiga muvofiq OQ BELIY JEMCHUG rangli, ishlab chiqarilgan yili – 2021 yil,  dvigatel raqami G4NHMH323294, shassi - RAKAMSIZ,  kuzov turi - YENGIL LEGKOVAYA, kuzov raqami №KNAER81AEM7233541, davlat raqam belgisi 01R888QA bo'lgan KIA SELTOS G702 rusumli avtomashinasi (bundan keyin “Garov predmeti”), egalik huquqiga ega  EGAMBERDIYEV TO‘XTASIN INOYATOVICHga tegishli va kelishilgan garov qiymati 2025 yil 20 yanvarda imzolangan 1-sonli Garov predmeti qiymatini tasdiqlash dalolatnomasiga muvifiq 300 000 000,00 (uch yuz million so'm) so'mni tashkil qiladi. Garov garovining aniq shartlari tegishli notarial rasmiylashtirilgan garov shartnomasi bilan belgilanadi.</v>
      </c>
      <c r="B24" s="303"/>
    </row>
    <row r="25" spans="1:11" ht="129" hidden="1" customHeight="1" x14ac:dyDescent="0.25">
      <c r="A25" s="296" t="str">
        <f>IF('Общие данные'!B92='Общие данные'!C92,договор!A27,IF('Общие данные'!B92='Общие данные'!D92,договор!A26,0))</f>
        <v>3.1.1. Mikromoliya tashkiloti va Qarz oluvchi tomonidan 2025 yil 20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EGAMBERDIYEV TO‘XTASIN INOYATOVICHga tegishli va kelishilgan garov qiymati 2025 yil 20 yanvarda imzolangan 1-sonli Garov predmeti qiymatini tasdiqlash dalolatnomasiga muvofiq 300 000 000,00 (uch yuz million so'm) so'mni tashkil qiladi. Garovning aniq shartlari tegishli tarzda notarial tasdiqlangan garov shartnomasi bilan belgilangan.</v>
      </c>
      <c r="B25" s="296"/>
    </row>
    <row r="26" spans="1:11" ht="129.75" hidden="1" customHeight="1" x14ac:dyDescent="0.25">
      <c r="A26" s="303"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20 yanvarda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EGAMBERDIYEV TO‘XTASIN INOYATOVICHga tegishli va kelishilgan garov qiymati 2025 yil 20 yanvarda imzolangan 1-sonli Garov predmeti qiymatini tasdiqlash dalolatnomasiga muvofiq 300 000 000,00 (uch yuz million so'm) so'mni tashkil qiladi. Garovning aniq shartlari tegishli tarzda notarial tasdiqlangan garov shartnomasi bilan belgilangan.</v>
      </c>
      <c r="B26" s="303"/>
    </row>
    <row r="27" spans="1:11" ht="131.25" hidden="1" customHeight="1" x14ac:dyDescent="0.25">
      <c r="A27" s="296"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20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EGAMBERDIYEV TO‘XTASIN INOYATOVICHga tegishli va kelishilgan garov qiymati 2025 yil 20 yanvarda imzolangan 1-sonli Garov predmeti qiymatini tasdiqlash dalolatnomasiga muvofiq 300 000 000,00 (uch yuz million so'm) so'mni tashkil qiladi. Garovning aniq shartlari tegishli tarzda notarial tasdiqlangan garov shartnomasi bilan belgilangan.</v>
      </c>
      <c r="B27" s="296"/>
    </row>
    <row r="28" spans="1:11" ht="114" hidden="1" customHeight="1" x14ac:dyDescent="0.25">
      <c r="A28" s="303" t="str">
        <f>IF('Общие данные'!B92='Общие данные'!C92,A29,IF('Общие данные'!B92='Общие данные'!D92,A30,0))</f>
        <v>3.1.1. Mikromoliya tashkiloti va Qarz oluvchi tomonidan 2025 yil 20 yanvarda imzolangan 1-sonli garov predmeti qiymatini tasdiqlash dalolatnomasiga muvofiq OQ BELIY JEMCHUG rangli, ishlab chiqarilgan yili – 2021 yil,  dvigatel raqami G4NHMH323294, shassi - RAKAMSIZ,  kuzov turi - YENGIL LEGKOVAYA, kuzov raqami №KNAER81AEM7233541, davlat raqam belgisi 01R888QA bo'lgan KIA SELTOS G702 rusumli avtomashinasi (bundan keyin “Garov predmeti”), egalik huquqiga ega  EGAMBERDIYEV TO‘XTASIN INOYATOVICHga tegishli va kelishilgan garov qiymati 2025 yil 20 yanvarda imzolangan 1-sonli Garov predmeti qiymatini tasdiqlash dalolatnomasiga muvifiq 300 000 000,00 (uch yuz million so'm) so'mni tashkil qiladi. Garov garovining aniq shartlari tegishli notarial rasmiylashtirilgan garov shartnomasi bilan belgilanadi.</v>
      </c>
      <c r="B28" s="303"/>
      <c r="K28" s="10" t="s">
        <v>329</v>
      </c>
    </row>
    <row r="29" spans="1:11" ht="114.75" hidden="1" customHeight="1" x14ac:dyDescent="0.25">
      <c r="A29" s="303"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20 yanvarda imzolangan 1-sonli garov predmeti qiymatini tasdiqlash dalolatnomasiga muvofiq OQ BELIY JEMCHUG rangli, ishlab chiqarilgan yili – 2021 yil,  dvigatel raqami G4NHMH323294, shassi - RAKAMSIZ,  kuzov turi - YENGIL LEGKOVAYA, kuzov raqami №KNAER81AEM7233541, davlat raqam belgisi 01R888QA bo'lgan KIA SELTOS G702 rusumli avtomashinasi (bundan keyin “Garov predmeti”), egalik huquqiga ega  EGAMBERDIYEV TO‘XTASIN INOYATOVICHga tegishli va kelishilgan garov qiymati 2025 yil 20 yanvarda imzolangan 1-sonli Garov predmeti qiymatini tasdiqlash dalolatnomasiga muvifiq 300 000 000,00 (uch yuz million so'm) so'mni tashkil qiladi. Garov garovining aniq shartlari tegishli notarial rasmiylashtirilgan garov shartnomasi bilan belgilanadi.</v>
      </c>
      <c r="B29" s="303"/>
    </row>
    <row r="30" spans="1:11" ht="115.5" hidden="1" customHeight="1" x14ac:dyDescent="0.25">
      <c r="A30" s="304"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20 yanvarda imzolangan 1-sonli navbatdagi garov predmeti qiymatini tasdiqlash dalolatnomasiga muvofiq OQ BELIY JEMCHUG rangli, ishlab chiqarilgan yili – 2021 yil,  dvigatel raqami G4NHMH323294, shassi - RAKAMSIZ,  kuzov turi - YENGIL LEGKOVAYA, kuzov raqami №KNAER81AEM7233541, davlat raqam belgisi 01R888QA bo'lgan KIA SELTOS G702 rusumli avtomashinasi (bundan keyin “navbatdagi garov predmeti”), egalik huquqiga ega  EGAMBERDIYEV TO‘XTASIN INOYATOVICHga tegishli va kelishilgan garov qiymati 2025 yil 20 yanvarda imzolangan 1-sonli Garov predmeti qiymatini tasdiqlash dalolatnomasiga muvifiq 300 000 000,00 (uch yuz million so'm) so'mni tashkil qiladi. Garov garovining aniq shartlari tegishli notarial rasmiylashtirilgan garov shartnomasi bilan belgilanadi.</v>
      </c>
      <c r="B30" s="304"/>
    </row>
    <row r="31" spans="1:11" ht="117" customHeight="1" x14ac:dyDescent="0.25">
      <c r="A31" s="30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c r="B31" s="301"/>
    </row>
    <row r="32" spans="1:11" ht="94.5" hidden="1" x14ac:dyDescent="0.25">
      <c r="A32" s="185" t="s">
        <v>359</v>
      </c>
      <c r="B32" s="36" t="str">
        <f>CONCATENATE(A33,B33)</f>
        <v xml:space="preserve"> Mikromoliya tashkilotiga taqdim etilishi lozim. Garov shartnomasi belgilangan muddatda taqdim etilmagan hollarda, Mikromoliya tashkiloti Qarz oluvchining manziliga yozma bildirishnoma yuborish orqali mikrokredit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x14ac:dyDescent="0.25">
      <c r="A33" s="185"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mikrokredit</v>
      </c>
      <c r="B33" s="36" t="s">
        <v>339</v>
      </c>
    </row>
    <row r="34" spans="1:8" ht="85.5" customHeight="1" x14ac:dyDescent="0.25">
      <c r="A34" s="301" t="s">
        <v>265</v>
      </c>
      <c r="B34" s="301"/>
    </row>
    <row r="35" spans="1:8" ht="84" customHeight="1" x14ac:dyDescent="0.25">
      <c r="A35" s="301" t="s">
        <v>317</v>
      </c>
      <c r="B35" s="301"/>
    </row>
    <row r="37" spans="1:8" x14ac:dyDescent="0.25">
      <c r="A37" s="298" t="s">
        <v>316</v>
      </c>
      <c r="B37" s="298"/>
      <c r="C37" s="85"/>
    </row>
    <row r="38" spans="1:8" x14ac:dyDescent="0.25">
      <c r="A38" s="302" t="s">
        <v>315</v>
      </c>
      <c r="B38" s="302"/>
    </row>
    <row r="39" spans="1:8" ht="122.25" customHeight="1" x14ac:dyDescent="0.25">
      <c r="A39" s="301" t="str">
        <f>CONCATENATE(C39,H39)</f>
        <v>4.1.1. Ushbu Shartnomada ko‘rsatilgan asoslar bo‘yicha Qarz oluvchiga Shartnomada ko‘zda tutilgan mikrokredit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1"/>
      <c r="C39" s="10" t="str">
        <f>"4.1.1. Ushbu Shartnomada ko‘rsatilgan asoslar bo‘yicha Qarz oluvchiga Shartnomada ko‘zda tutilgan "&amp;'Общие данные'!B65&amp;""</f>
        <v>4.1.1. Ushbu Shartnomada ko‘rsatilgan asoslar bo‘yicha Qarz oluvchiga Shartnomada ko‘zda tutilgan mikrokredit</v>
      </c>
      <c r="H39" s="178" t="s">
        <v>389</v>
      </c>
    </row>
    <row r="40" spans="1:8" ht="39" customHeight="1" x14ac:dyDescent="0.25">
      <c r="A40" s="301" t="str">
        <f>"4.1.2.1. "&amp;'Общие данные'!C64&amp;"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0" s="301"/>
    </row>
    <row r="41" spans="1:8" x14ac:dyDescent="0.25">
      <c r="A41" s="301" t="s">
        <v>318</v>
      </c>
      <c r="B41" s="301"/>
    </row>
    <row r="42" spans="1:8" ht="20.25" customHeight="1" x14ac:dyDescent="0.25">
      <c r="A42" s="301" t="str">
        <f>"b) "&amp;'Общие данные'!B65&amp;" summasiga hisoblanadigan asosiy qarz bo‘yicha muddati o‘tgan qarzdorlik va/yoki foizlarning yuzaga kelishi;"</f>
        <v>b) mikrokredit summasiga hisoblanadigan asosiy qarz bo‘yicha muddati o‘tgan qarzdorlik va/yoki foizlarning yuzaga kelishi;</v>
      </c>
      <c r="B42" s="301"/>
    </row>
    <row r="43" spans="1:8" ht="37.5" customHeight="1" x14ac:dyDescent="0.25">
      <c r="A43" s="301" t="s">
        <v>319</v>
      </c>
      <c r="B43" s="301"/>
    </row>
    <row r="44" spans="1:8" ht="52.5" customHeight="1" x14ac:dyDescent="0.25">
      <c r="A44" s="301" t="s">
        <v>320</v>
      </c>
      <c r="B44" s="301"/>
    </row>
    <row r="45" spans="1:8" ht="19.5" customHeight="1" x14ac:dyDescent="0.25">
      <c r="A45" s="301" t="s">
        <v>321</v>
      </c>
      <c r="B45" s="301"/>
    </row>
    <row r="46" spans="1:8" ht="51.75" customHeight="1" x14ac:dyDescent="0.25">
      <c r="A46" s="301"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mikrokredit summasini olish uchun Mikromoliya tashkilotiga mikrokredit taqdim etilishi to‘g‘risida ijobiy qaror qabul qilinishi uchun muhim hisoblangan masalalar bo‘yicha yolg‘on yoki to‘liq bo‘lmagan ma'lumotlarni taqdim etganligi aniqlanganda.</v>
      </c>
      <c r="B46" s="301"/>
    </row>
    <row r="47" spans="1:8" ht="33.75" customHeight="1" x14ac:dyDescent="0.25">
      <c r="A47" s="301" t="s">
        <v>314</v>
      </c>
      <c r="B47" s="301"/>
    </row>
    <row r="48" spans="1:8" ht="36.75" customHeight="1" x14ac:dyDescent="0.25">
      <c r="A48" s="301" t="s">
        <v>313</v>
      </c>
      <c r="B48" s="301"/>
      <c r="C48" s="185"/>
    </row>
    <row r="49" spans="1:8" ht="100.5" customHeight="1" x14ac:dyDescent="0.25">
      <c r="A49" s="296" t="s">
        <v>312</v>
      </c>
      <c r="B49" s="296"/>
      <c r="C49" s="185"/>
    </row>
    <row r="50" spans="1:8" ht="70.5" customHeight="1" x14ac:dyDescent="0.25">
      <c r="A50" s="296" t="s">
        <v>311</v>
      </c>
      <c r="B50" s="296"/>
      <c r="C50" s="185"/>
    </row>
    <row r="51" spans="1:8" ht="39.75" customHeight="1" x14ac:dyDescent="0.25">
      <c r="A51" s="296" t="str">
        <f>"4.1.7. Qarz oluvchini oldindan ogohlantirmasdan "&amp;'Общие данные'!B65&amp;"ni qaytarish uchun haqiqatdan ham garov ta'minoti mavjudligini tekshirishni amalga oshirish."</f>
        <v>4.1.7. Qarz oluvchini oldindan ogohlantirmasdan mikrokreditni qaytarish uchun haqiqatdan ham garov ta'minoti mavjudligini tekshirishni amalga oshirish.</v>
      </c>
      <c r="B51" s="296"/>
      <c r="C51" s="185"/>
    </row>
    <row r="52" spans="1:8" ht="33" customHeight="1" x14ac:dyDescent="0.25">
      <c r="A52" s="296" t="s">
        <v>322</v>
      </c>
      <c r="B52" s="296"/>
      <c r="C52" s="185"/>
    </row>
    <row r="53" spans="1:8" ht="39.75" customHeight="1" x14ac:dyDescent="0.25">
      <c r="A53" s="296" t="s">
        <v>310</v>
      </c>
      <c r="B53" s="296"/>
      <c r="C53" s="185"/>
    </row>
    <row r="54" spans="1:8" ht="50.25" customHeight="1" x14ac:dyDescent="0.25">
      <c r="A54" s="296" t="str">
        <f>CONCATENATE(C54,H54)</f>
        <v>4.1.10. Qarz oluvchi taqdim etilgan mikrokreditdan Shartnoma tuzilgan kundan boshlab 1 (bir) oy davomida foydalanmagan holatlarda, bu haqda Qarz oluvchini yozma ravishda xabardor qilib, Shartnoma bir tomonlama bekor qilish. Yozma xabarni jo‘natish sanasi uni taqdim etish yoki pochta orqali jo‘natish sanasi hisoblanadi.</v>
      </c>
      <c r="B54" s="296"/>
      <c r="C54" s="185" t="str">
        <f>"4.1.10. Qarz oluvchi taqdim etilgan "&amp;'Общие данные'!B65&amp;"dan Shartnoma tuzilgan kundan boshlab 1 (bir) oy davomida foydalanmagan"</f>
        <v>4.1.10. Qarz oluvchi taqdim etilgan mikrokreditdan Shartnoma tuzilgan kundan boshlab 1 (bir) oy davomida foydalanmagan</v>
      </c>
      <c r="H54" s="10" t="s">
        <v>340</v>
      </c>
    </row>
    <row r="55" spans="1:8" ht="19.5" customHeight="1" x14ac:dyDescent="0.25">
      <c r="A55" s="296" t="str">
        <f>"4.1.11. Oldingi "&amp;'Общие данные'!B65&amp;" to‘liq to‘lanmagunga qadar yangi "&amp;'Общие данные'!B65&amp;" berishni rad etish."</f>
        <v>4.1.11. Oldingi mikrokredit to‘liq to‘lanmagunga qadar yangi mikrokredit berishni rad etish.</v>
      </c>
      <c r="B55" s="296"/>
      <c r="C55" s="185"/>
    </row>
    <row r="57" spans="1:8" x14ac:dyDescent="0.25">
      <c r="A57" s="297" t="s">
        <v>309</v>
      </c>
      <c r="B57" s="297"/>
      <c r="C57" s="184"/>
    </row>
    <row r="58" spans="1:8" x14ac:dyDescent="0.25">
      <c r="A58" s="300" t="s">
        <v>308</v>
      </c>
      <c r="B58" s="300"/>
      <c r="C58" s="186"/>
    </row>
    <row r="59" spans="1:8" ht="36" customHeight="1" x14ac:dyDescent="0.25">
      <c r="A59" s="296" t="str">
        <f>"5.1.1. Ushbu shartnomada nazarda tutilgan shartlar bo‘yicha "&amp;'Общие данные'!B65&amp;" olish, shuningdek, Mikromoliya tashkiloti tomonidan ko‘rsatiladigan pullik xizmatlardan foydalanish."</f>
        <v>5.1.1. Ushbu shartnomada nazarda tutilgan shartlar bo‘yicha mikrokredit olish, shuningdek, Mikromoliya tashkiloti tomonidan ko‘rsatiladigan pullik xizmatlardan foydalanish.</v>
      </c>
      <c r="B59" s="296"/>
      <c r="C59" s="185"/>
    </row>
    <row r="60" spans="1:8" ht="36.75" customHeight="1" x14ac:dyDescent="0.25">
      <c r="A60" s="296"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mikrokreditning foydalanilmagan summasidan voz kechish.</v>
      </c>
      <c r="B60" s="296"/>
      <c r="C60" s="185"/>
    </row>
    <row r="61" spans="1:8" ht="17.25" customHeight="1" x14ac:dyDescent="0.25">
      <c r="A61" s="296" t="str">
        <f>"5.1.3. "&amp;'Общие данные'!C64&amp;" xizmatlari ko‘rsatish qoidalari bilan tanishish."</f>
        <v>5.1.3. Mikrokredit xizmatlari ko‘rsatish qoidalari bilan tanishish.</v>
      </c>
      <c r="B61" s="296"/>
      <c r="C61" s="185"/>
    </row>
    <row r="62" spans="1:8" ht="36" customHeight="1" x14ac:dyDescent="0.25">
      <c r="A62" s="296" t="str">
        <f>"5.1.4. O‘z huquq va majburiyatlari, shu jumladan "&amp;'Общие данные'!B65&amp;" xizmatlari ko‘rsatish bilan bog‘liq barcha xarajatlar haqida aniq va to‘liq ma'lumot olish."</f>
        <v>5.1.4. O‘z huquq va majburiyatlari, shu jumladan mikrokredit xizmatlari ko‘rsatish bilan bog‘liq barcha xarajatlar haqida aniq va to‘liq ma'lumot olish.</v>
      </c>
      <c r="B62" s="296"/>
      <c r="C62" s="185"/>
    </row>
    <row r="63" spans="1:8" ht="33.75" customHeight="1" x14ac:dyDescent="0.25">
      <c r="A63" s="296" t="s">
        <v>323</v>
      </c>
      <c r="B63" s="296"/>
      <c r="C63" s="185"/>
    </row>
    <row r="64" spans="1:8" x14ac:dyDescent="0.25">
      <c r="A64" s="300" t="s">
        <v>307</v>
      </c>
      <c r="B64" s="300"/>
      <c r="C64" s="186"/>
    </row>
    <row r="65" spans="1:8" ht="37.5" customHeight="1" x14ac:dyDescent="0.25">
      <c r="A65" s="296"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mikrokreditdan foydalanishning butun davri davomida uning moliyaviy holati va to‘lash qobiliyatiga tegishli bo‘lgan ma'lumotlarni taqdim etish.</v>
      </c>
      <c r="B65" s="296"/>
      <c r="C65" s="185"/>
    </row>
    <row r="66" spans="1:8" ht="39.75" customHeight="1" x14ac:dyDescent="0.25">
      <c r="A66" s="296" t="s">
        <v>324</v>
      </c>
      <c r="B66" s="296"/>
      <c r="C66" s="185"/>
    </row>
    <row r="67" spans="1:8" ht="27" customHeight="1" x14ac:dyDescent="0.25">
      <c r="A67" s="296" t="str">
        <f>"5.2.3. To‘lov jadvaliga muvofiq "&amp;'Общие данные'!B65&amp;", shuningdek hisoblangan foizlar to‘lovlarini amalga oshirish."</f>
        <v>5.2.3. To‘lov jadvaliga muvofiq mikrokredit, shuningdek hisoblangan foizlar to‘lovlarini amalga oshirish.</v>
      </c>
      <c r="B67" s="296"/>
      <c r="C67" s="185"/>
    </row>
    <row r="68" spans="1:8" ht="84" customHeight="1" x14ac:dyDescent="0.25">
      <c r="A68" s="29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mikrokredit mablag‘lari hisobiga moliyalashtirilgan hujjatlarni ko‘zdan kechirish va Mikromoliya tashkiloti tomonidan ushbu huquqni amalga oshirishga to‘sqinlik qilmaslik majburiyatini oladi.</v>
      </c>
      <c r="B68" s="296"/>
      <c r="C68" s="185" t="s">
        <v>341</v>
      </c>
      <c r="H68" s="10" t="str">
        <f>" "&amp;'Общие данные'!B65&amp;" mablag‘lari hisobiga moliyalashtirilgan hujjatlarni ko‘zdan kechirish va Mikromoliya tashkiloti tomonidan ushbu huquqni amalga oshirishga to‘sqinlik qilmaslik majburiyatini oladi."</f>
        <v xml:space="preserve"> mikrokredit mablag‘lari hisobiga moliyalashtirilgan hujjatlarni ko‘zdan kechirish va Mikromoliya tashkiloti tomonidan ushbu huquqni amalga oshirishga to‘sqinlik qilmaslik majburiyatini oladi.</v>
      </c>
    </row>
    <row r="69" spans="1:8" ht="49.5" customHeight="1" x14ac:dyDescent="0.25">
      <c r="A69" s="296" t="s">
        <v>325</v>
      </c>
      <c r="B69" s="296"/>
      <c r="C69" s="185"/>
    </row>
    <row r="70" spans="1:8" ht="36" customHeight="1" x14ac:dyDescent="0.25">
      <c r="A70" s="296" t="str">
        <f>"5.2.6. Quyidagi holatlarda Mikromoliya tashkilotning birinchi talabi bilan "&amp;'Общие данные'!B65&amp;" qaytarilishi bo‘yicha qo‘shimcha garov ta'minotini taqdim etish: "</f>
        <v xml:space="preserve">5.2.6. Quyidagi holatlarda Mikromoliya tashkilotning birinchi talabi bilan mikrokredit qaytarilishi bo‘yicha qo‘shimcha garov ta'minotini taqdim etish: </v>
      </c>
      <c r="B70" s="296"/>
      <c r="C70" s="185"/>
    </row>
    <row r="71" spans="1:8" ht="51.75" customHeight="1" x14ac:dyDescent="0.25">
      <c r="A71" s="299" t="s">
        <v>342</v>
      </c>
      <c r="B71" s="299"/>
      <c r="C71" s="188"/>
    </row>
    <row r="72" spans="1:8" ht="71.25" customHeight="1" x14ac:dyDescent="0.25">
      <c r="A72" s="296"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mikrokreditning asosiy summa bo‘yicha qarzdorlikni mikrokreditdan aniq foydalanish muddati uchun foizlar bilan kechiktirmasdan to‘liq to‘lashi shart.</v>
      </c>
      <c r="B72" s="296"/>
      <c r="C72" s="185"/>
    </row>
    <row r="73" spans="1:8" ht="33.75" customHeight="1" x14ac:dyDescent="0.25">
      <c r="A73" s="296" t="str">
        <f>"5.2.8. Mikromoliya tashkilotining "&amp;'Общие данные'!B65&amp;" umumiy summasi va hisoblangan foizlarni muddatidan oldin qaytarish to‘g‘risidagi talabini kechiktirmasdan bajarish."</f>
        <v>5.2.8. Mikromoliya tashkilotining mikrokredit umumiy summasi va hisoblangan foizlarni muddatidan oldin qaytarish to‘g‘risidagi talabini kechiktirmasdan bajarish.</v>
      </c>
      <c r="B73" s="296"/>
      <c r="C73" s="185"/>
      <c r="H73" s="10" t="s">
        <v>338</v>
      </c>
    </row>
    <row r="74" spans="1:8" ht="68.25" customHeight="1" x14ac:dyDescent="0.25">
      <c r="A74" s="296" t="str">
        <f>CONCATENATE(C74,H74)</f>
        <v>5.2.9. Mikromoliya tashkilotining talabi bo‘yicha Mikromoliya tashkiloti ko‘rgan, shu jumladan mikrokredit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6"/>
      <c r="C74" s="185" t="str">
        <f>"5.2.9. Mikromoliya tashkilotining talabi bo‘yicha Mikromoliya tashkiloti ko‘rgan, shu jumladan "&amp;'Общие данные'!B65&amp;" bo‘yicha (asosiy qarz, foizlar va boshqalar)"</f>
        <v>5.2.9. Mikromoliya tashkilotining talabi bo‘yicha Mikromoliya tashkiloti ko‘rgan, shu jumladan mikrokredit bo‘yicha (asosiy qarz, foizlar va boshqalar)</v>
      </c>
      <c r="H74" s="10" t="s">
        <v>343</v>
      </c>
    </row>
    <row r="75" spans="1:8" x14ac:dyDescent="0.25">
      <c r="A75" s="81"/>
    </row>
    <row r="76" spans="1:8" x14ac:dyDescent="0.25">
      <c r="A76" s="298" t="s">
        <v>306</v>
      </c>
      <c r="B76" s="298"/>
      <c r="C76" s="187"/>
    </row>
    <row r="77" spans="1:8" ht="98.25" customHeight="1" x14ac:dyDescent="0.25">
      <c r="A77" s="29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mikrokredit miqdori umumiy summasining 50% dan ko‘p bo‘lmagan miqdorda penya ko‘rinishidagi neustoyka to‘lash majburiyatini o‘z zimmasiga oladi.</v>
      </c>
      <c r="B77" s="296"/>
      <c r="C77" s="185" t="s">
        <v>344</v>
      </c>
      <c r="H77" s="10" t="str">
        <f>""&amp;'Общие данные'!B65&amp;" miqdori umumiy summasining 50% dan ko‘p bo‘lmagan miqdorda penya ko‘rinishidagi neustoyka to‘lash majburiyatini o‘z zimmasiga oladi."</f>
        <v>mikrokredit miqdori umumiy summasining 50% dan ko‘p bo‘lmagan miqdorda penya ko‘rinishidagi neustoyka to‘lash majburiyatini o‘z zimmasiga oladi.</v>
      </c>
    </row>
    <row r="78" spans="1:8" ht="37.5" customHeight="1" x14ac:dyDescent="0.25">
      <c r="A78" s="296" t="s">
        <v>305</v>
      </c>
      <c r="B78" s="296"/>
      <c r="C78" s="185"/>
    </row>
    <row r="79" spans="1:8" ht="35.25" customHeight="1" x14ac:dyDescent="0.25">
      <c r="A79" s="296" t="s">
        <v>304</v>
      </c>
      <c r="B79" s="296"/>
      <c r="C79" s="185"/>
    </row>
    <row r="80" spans="1:8" ht="33" customHeight="1" x14ac:dyDescent="0.25">
      <c r="A80" s="296" t="s">
        <v>303</v>
      </c>
      <c r="B80" s="296"/>
      <c r="C80" s="185"/>
    </row>
    <row r="82" spans="1:3" x14ac:dyDescent="0.25">
      <c r="A82" s="291" t="s">
        <v>302</v>
      </c>
      <c r="B82" s="291"/>
      <c r="C82" s="74"/>
    </row>
    <row r="83" spans="1:3" ht="162.75" customHeight="1" x14ac:dyDescent="0.25">
      <c r="A83" s="296" t="s">
        <v>301</v>
      </c>
      <c r="B83" s="296"/>
      <c r="C83" s="185"/>
    </row>
    <row r="84" spans="1:3" ht="33.75" customHeight="1" x14ac:dyDescent="0.25">
      <c r="A84" s="296" t="s">
        <v>345</v>
      </c>
      <c r="B84" s="296"/>
      <c r="C84" s="185"/>
    </row>
    <row r="85" spans="1:3" ht="51.75" customHeight="1" x14ac:dyDescent="0.25">
      <c r="A85" s="296" t="s">
        <v>300</v>
      </c>
      <c r="B85" s="296"/>
      <c r="C85" s="185"/>
    </row>
    <row r="86" spans="1:3" ht="36" customHeight="1" x14ac:dyDescent="0.25">
      <c r="A86" s="296" t="s">
        <v>299</v>
      </c>
      <c r="B86" s="296"/>
      <c r="C86" s="185"/>
    </row>
    <row r="88" spans="1:3" x14ac:dyDescent="0.25">
      <c r="A88" s="291" t="s">
        <v>298</v>
      </c>
      <c r="B88" s="291"/>
      <c r="C88" s="74"/>
    </row>
    <row r="89" spans="1:3" ht="114.75" customHeight="1" x14ac:dyDescent="0.25">
      <c r="A89" s="296" t="s">
        <v>360</v>
      </c>
      <c r="B89" s="296"/>
      <c r="C89" s="185"/>
    </row>
    <row r="90" spans="1:3" ht="36" customHeight="1" x14ac:dyDescent="0.25">
      <c r="A90" s="296" t="s">
        <v>326</v>
      </c>
      <c r="B90" s="296"/>
      <c r="C90" s="185"/>
    </row>
    <row r="91" spans="1:3" ht="64.5" customHeight="1" x14ac:dyDescent="0.25">
      <c r="A91" s="296"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mikrokredit bo‘yicha muddati o‘tgan qarzdorlikning to‘lanishi Mikromoliya tashkilotning mikrokredit bo‘yicha qarzdorlikni muddatidan avval undirish, shu jumladan undiruvni garovdagi mol-mulkka qaratish yo‘li bilan undirish huquqidan mahrum qilmaydi.</v>
      </c>
      <c r="B91" s="296"/>
      <c r="C91" s="185"/>
    </row>
    <row r="93" spans="1:3" x14ac:dyDescent="0.25">
      <c r="A93" s="295" t="s">
        <v>297</v>
      </c>
      <c r="B93" s="295"/>
      <c r="C93" s="83"/>
    </row>
    <row r="94" spans="1:3" ht="20.25" customHeight="1" x14ac:dyDescent="0.25">
      <c r="A94" s="296" t="s">
        <v>296</v>
      </c>
      <c r="B94" s="296"/>
      <c r="C94" s="185"/>
    </row>
    <row r="95" spans="1:3" ht="33.75" customHeight="1" x14ac:dyDescent="0.25">
      <c r="A95" s="296" t="str">
        <f>"9.2. Shartnomaning amal qilish muddati Qarz oluvchi "&amp;'Общие данные'!B65&amp;"ni to‘liq qaytargan, hisoblangan foizlar, penya va boshqa pul majburiyatlarini to‘lagan kunda yakunlanadi."</f>
        <v>9.2. Shartnomaning amal qilish muddati Qarz oluvchi mikrokreditni to‘liq qaytargan, hisoblangan foizlar, penya va boshqa pul majburiyatlarini to‘lagan kunda yakunlanadi.</v>
      </c>
      <c r="B95" s="296"/>
      <c r="C95" s="185"/>
    </row>
    <row r="96" spans="1:3" ht="51" customHeight="1" x14ac:dyDescent="0.25">
      <c r="A96" s="296" t="s">
        <v>295</v>
      </c>
      <c r="B96" s="296"/>
      <c r="C96" s="185"/>
    </row>
    <row r="98" spans="1:3" x14ac:dyDescent="0.25">
      <c r="A98" s="297" t="s">
        <v>294</v>
      </c>
      <c r="B98" s="297"/>
      <c r="C98" s="73"/>
    </row>
    <row r="99" spans="1:3" ht="82.5" customHeight="1" x14ac:dyDescent="0.25">
      <c r="A99" s="296" t="s">
        <v>293</v>
      </c>
      <c r="B99" s="296"/>
      <c r="C99" s="185"/>
    </row>
    <row r="100" spans="1:3" ht="66" customHeight="1" x14ac:dyDescent="0.25">
      <c r="A100" s="296" t="s">
        <v>292</v>
      </c>
      <c r="B100" s="296"/>
      <c r="C100" s="185"/>
    </row>
    <row r="101" spans="1:3" ht="48" customHeight="1" x14ac:dyDescent="0.25">
      <c r="A101" s="296" t="s">
        <v>291</v>
      </c>
      <c r="B101" s="296"/>
      <c r="C101" s="185"/>
    </row>
    <row r="103" spans="1:3" x14ac:dyDescent="0.25">
      <c r="A103" s="291" t="s">
        <v>290</v>
      </c>
      <c r="B103" s="291"/>
      <c r="C103" s="164"/>
    </row>
    <row r="104" spans="1:3" ht="37.5" customHeight="1" x14ac:dyDescent="0.25">
      <c r="A104" s="296" t="s">
        <v>289</v>
      </c>
      <c r="B104" s="296"/>
      <c r="C104" s="185"/>
    </row>
    <row r="105" spans="1:3" ht="34.5" customHeight="1" x14ac:dyDescent="0.25">
      <c r="A105" s="296" t="s">
        <v>288</v>
      </c>
      <c r="B105" s="296"/>
      <c r="C105" s="185"/>
    </row>
    <row r="106" spans="1:3" ht="66.75" customHeight="1" x14ac:dyDescent="0.25">
      <c r="A106" s="296" t="s">
        <v>287</v>
      </c>
      <c r="B106" s="296"/>
      <c r="C106" s="185"/>
    </row>
    <row r="107" spans="1:3" ht="51" customHeight="1" x14ac:dyDescent="0.25">
      <c r="A107" s="296" t="s">
        <v>286</v>
      </c>
      <c r="B107" s="296"/>
      <c r="C107" s="185"/>
    </row>
    <row r="108" spans="1:3" ht="37.5" customHeight="1" x14ac:dyDescent="0.25">
      <c r="A108" s="296" t="s">
        <v>285</v>
      </c>
      <c r="B108" s="296"/>
      <c r="C108" s="185"/>
    </row>
    <row r="109" spans="1:3" ht="38.25" customHeight="1" x14ac:dyDescent="0.25">
      <c r="A109" s="296" t="s">
        <v>284</v>
      </c>
      <c r="B109" s="296"/>
      <c r="C109" s="185"/>
    </row>
    <row r="110" spans="1:3" ht="21" customHeight="1" x14ac:dyDescent="0.25">
      <c r="A110" s="296" t="s">
        <v>283</v>
      </c>
      <c r="B110" s="296"/>
      <c r="C110" s="185"/>
    </row>
    <row r="111" spans="1:3" ht="32.25" customHeight="1" x14ac:dyDescent="0.25">
      <c r="A111" s="296"/>
      <c r="B111" s="296"/>
      <c r="C111" s="185"/>
    </row>
    <row r="113" spans="1:3" x14ac:dyDescent="0.25">
      <c r="A113" s="295" t="s">
        <v>327</v>
      </c>
      <c r="B113" s="295"/>
      <c r="C113" s="83"/>
    </row>
    <row r="115" spans="1:3" x14ac:dyDescent="0.25">
      <c r="A115" s="84" t="s">
        <v>282</v>
      </c>
      <c r="B115" s="84" t="s">
        <v>281</v>
      </c>
    </row>
    <row r="117" spans="1:3" ht="31.5" x14ac:dyDescent="0.25">
      <c r="A117" s="83" t="str">
        <f>'Общие данные'!B148</f>
        <v>«CLEVER MIKROMOLIYA TASHKILOTI» MChJ</v>
      </c>
      <c r="B117" s="76" t="str">
        <f>'Общие данные'!B5</f>
        <v>EGAMBERDIYEV TO‘XTASIN INOYATOVICH</v>
      </c>
    </row>
    <row r="119" spans="1:3" ht="52.5" customHeight="1" x14ac:dyDescent="0.25">
      <c r="A119" s="80" t="str">
        <f>"Manzil: "&amp;'Общие данные'!B153&amp;""</f>
        <v>Manzil: Toshkent shahri, Olmazor tumani, Sagbon ko'chasi, 30 boshi berk, 6-uy</v>
      </c>
      <c r="B119" s="80" t="str">
        <f>'Общие данные'!B22</f>
        <v>TOSHKENT SHAHRI UCHTEPA TUMANI 25-MAVZE 4-DOM 34-XONADON</v>
      </c>
    </row>
    <row r="120" spans="1:3" ht="13.5" customHeight="1" x14ac:dyDescent="0.25">
      <c r="A120" s="82" t="str">
        <f>"h/r: "&amp;'Общие данные'!B154&amp;""</f>
        <v>h/r: №20216000705068380001</v>
      </c>
    </row>
    <row r="121" spans="1:3" ht="51" customHeight="1" x14ac:dyDescent="0.25">
      <c r="A121" s="80" t="str">
        <f>"MFO: "&amp;'Общие данные'!B155&amp;" в "&amp;'Общие данные'!B156&amp;""</f>
        <v>MFO: №01042 в ATB “Kapitalbank” Sergeli filiali</v>
      </c>
      <c r="B121" s="80" t="str">
        <f>"pasport seriyasi: "&amp;'Общие данные'!B16&amp;", "&amp;'Общие данные'!B20&amp;""</f>
        <v>pasport seriyasi: AD 1582556, IIV 60001  tomonidan 25.07.2022 yilda berilgan</v>
      </c>
    </row>
    <row r="122" spans="1:3" x14ac:dyDescent="0.25">
      <c r="A122" s="80" t="str">
        <f>"STIR: "&amp;'Общие данные'!B157&amp;""</f>
        <v>STIR: 306365847</v>
      </c>
      <c r="B122" s="75" t="str">
        <f>"Tel: "&amp;'Общие данные'!B40&amp;""</f>
        <v>Tel: 90 711 88 88 KLIENT</v>
      </c>
    </row>
    <row r="123" spans="1:3" x14ac:dyDescent="0.25">
      <c r="A123" s="208" t="str">
        <f>"Tel: (78) 113 31 33"</f>
        <v>Tel: (78) 113 31 33</v>
      </c>
      <c r="B123" s="75" t="str">
        <f>'Общие данные'!B41</f>
        <v>90 715 25 25 KLIENT 2-NOMERI</v>
      </c>
    </row>
    <row r="124" spans="1:3" x14ac:dyDescent="0.25">
      <c r="A124" s="208" t="s">
        <v>405</v>
      </c>
      <c r="B124" s="75" t="str">
        <f>'Общие данные'!B42</f>
        <v>90 413 01 01 SHOXRUX OGLI</v>
      </c>
    </row>
    <row r="126" spans="1:3" x14ac:dyDescent="0.25">
      <c r="A126" s="183" t="s">
        <v>393</v>
      </c>
      <c r="B126" s="74" t="str">
        <f>""&amp;'Общие данные'!B7&amp;"     __________________"</f>
        <v>EGAMBERDIYEV T.I.     __________________</v>
      </c>
    </row>
    <row r="128" spans="1:3" x14ac:dyDescent="0.25">
      <c r="A128" s="164" t="s">
        <v>395</v>
      </c>
      <c r="B128" s="199" t="s">
        <v>431</v>
      </c>
    </row>
    <row r="131" spans="1:1" hidden="1" x14ac:dyDescent="0.25">
      <c r="A131" s="10" t="str">
        <f>"менеджер :   "&amp;'Общие данные'!B161&amp;"______________"</f>
        <v>менеджер :   Saipova R.S.______________</v>
      </c>
    </row>
  </sheetData>
  <mergeCells count="98">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5"/>
  <sheetViews>
    <sheetView view="pageBreakPreview" topLeftCell="A37" zoomScaleNormal="100" zoomScaleSheetLayoutView="100" workbookViewId="0">
      <selection activeCell="A45" sqref="A41:XFD45"/>
    </sheetView>
  </sheetViews>
  <sheetFormatPr defaultColWidth="9.140625" defaultRowHeight="15" outlineLevelCol="1" x14ac:dyDescent="0.25"/>
  <cols>
    <col min="1" max="1" width="6.140625" style="19" customWidth="1"/>
    <col min="2" max="2" width="12.28515625" style="19" customWidth="1"/>
    <col min="3" max="3" width="16.42578125" style="19" customWidth="1"/>
    <col min="4" max="4" width="16.85546875" style="19" customWidth="1"/>
    <col min="5" max="6" width="17.42578125" style="19" customWidth="1"/>
    <col min="7" max="7" width="10.140625" style="19" customWidth="1" outlineLevel="1"/>
    <col min="8" max="8" width="19.7109375" style="19" customWidth="1"/>
    <col min="9" max="10" width="9.140625" style="19" customWidth="1"/>
    <col min="11" max="16384" width="9.140625" style="19"/>
  </cols>
  <sheetData>
    <row r="1" spans="1:16" ht="11.25" customHeight="1" x14ac:dyDescent="0.25"/>
    <row r="2" spans="1:16" ht="18.75" hidden="1" customHeight="1" x14ac:dyDescent="0.25">
      <c r="A2" s="41"/>
      <c r="B2" s="41"/>
      <c r="C2" s="41"/>
      <c r="D2" s="41"/>
      <c r="E2" s="253"/>
      <c r="F2" s="253"/>
      <c r="G2" s="24"/>
    </row>
    <row r="3" spans="1:16" ht="85.5" customHeight="1" x14ac:dyDescent="0.25">
      <c r="A3" s="41"/>
      <c r="B3" s="41"/>
      <c r="C3" s="41"/>
      <c r="D3" s="41"/>
      <c r="E3" s="41"/>
      <c r="F3" s="179" t="str">
        <f>""&amp;'Общие данные'!B74&amp;" "&amp;'Общие данные'!B65&amp;" shartnomasiga 
1 sonli ilova"</f>
        <v>20 yanvar 2025 y.dan №134 mikrokredit shartnomasiga 
1 sonli ilova</v>
      </c>
      <c r="G3" s="24"/>
    </row>
    <row r="4" spans="1:16" ht="6.75" customHeight="1" x14ac:dyDescent="0.25">
      <c r="A4" s="41"/>
      <c r="B4" s="41"/>
      <c r="C4" s="41"/>
      <c r="D4" s="41"/>
      <c r="E4" s="41"/>
      <c r="F4" s="41"/>
    </row>
    <row r="5" spans="1:16" x14ac:dyDescent="0.25">
      <c r="A5" s="254" t="s">
        <v>266</v>
      </c>
      <c r="B5" s="254"/>
      <c r="C5" s="254"/>
      <c r="D5" s="254"/>
      <c r="E5" s="254"/>
      <c r="F5" s="254"/>
    </row>
    <row r="6" spans="1:16" ht="7.5" customHeight="1" x14ac:dyDescent="0.25"/>
    <row r="7" spans="1:16" ht="15" customHeight="1" x14ac:dyDescent="0.25">
      <c r="A7" s="255" t="s">
        <v>14</v>
      </c>
      <c r="B7" s="256" t="s">
        <v>267</v>
      </c>
      <c r="C7" s="256" t="s">
        <v>268</v>
      </c>
      <c r="D7" s="257" t="s">
        <v>269</v>
      </c>
      <c r="E7" s="257"/>
      <c r="F7" s="257"/>
    </row>
    <row r="8" spans="1:16" s="20" customFormat="1" x14ac:dyDescent="0.25">
      <c r="A8" s="255"/>
      <c r="B8" s="256"/>
      <c r="C8" s="256"/>
      <c r="D8" s="21" t="s">
        <v>270</v>
      </c>
      <c r="E8" s="21" t="s">
        <v>271</v>
      </c>
      <c r="F8" s="21" t="s">
        <v>272</v>
      </c>
    </row>
    <row r="9" spans="1:16" ht="13.5" customHeight="1" x14ac:dyDescent="0.25">
      <c r="A9" s="22">
        <v>1</v>
      </c>
      <c r="B9" s="37">
        <f>'График дифференц'!B8</f>
        <v>45698</v>
      </c>
      <c r="C9" s="38">
        <f>IF('Общие данные'!$B$77='Общие данные'!$C$77,'График дифференц'!C8,IF('Общие данные'!$B$77='Общие данные'!$D$77,'График аннуитет.'!C8))</f>
        <v>200000000</v>
      </c>
      <c r="D9" s="38">
        <f>IF('Общие данные'!$B$77='Общие данные'!$C$77,'График дифференц'!D8,IF('Общие данные'!$B$77='Общие данные'!$D$77,'График аннуитет.'!D8))</f>
        <v>5555555.5599999996</v>
      </c>
      <c r="E9" s="38">
        <f>IF('Общие данные'!$B$77='Общие данные'!$C$77,'График дифференц'!E8,IF('Общие данные'!$B$77='Общие данные'!$D$77,'График аннуитет.'!E8))</f>
        <v>6904109.5199999996</v>
      </c>
      <c r="F9" s="38">
        <f>IF('Общие данные'!$B$77='Общие данные'!$C$77,'График дифференц'!F8,IF('Общие данные'!$B$77='Общие данные'!$D$77,'График аннуитет.'!F8))</f>
        <v>12459665.079999998</v>
      </c>
    </row>
    <row r="10" spans="1:16" ht="13.5" customHeight="1" x14ac:dyDescent="0.25">
      <c r="A10" s="22">
        <v>2</v>
      </c>
      <c r="B10" s="37">
        <f>'График дифференц'!B9</f>
        <v>45726</v>
      </c>
      <c r="C10" s="38">
        <f>IF('Общие данные'!$B$77='Общие данные'!$C$77,'График дифференц'!C9,IF('Общие данные'!$B$77='Общие данные'!$D$77,'График аннуитет.'!C9))</f>
        <v>194444444.44</v>
      </c>
      <c r="D10" s="38">
        <f>IF('Общие данные'!$B$77='Общие данные'!$C$77,'График дифференц'!D9,IF('Общие данные'!$B$77='Общие данные'!$D$77,'График аннуитет.'!D9))</f>
        <v>5555555.5599999996</v>
      </c>
      <c r="E10" s="38">
        <f>IF('Общие данные'!$B$77='Общие данные'!$C$77,'График дифференц'!E9,IF('Общие данные'!$B$77='Общие данные'!$D$77,'График аннуитет.'!E9))</f>
        <v>8949771.5999999996</v>
      </c>
      <c r="F10" s="38">
        <f>IF('Общие данные'!$B$77='Общие данные'!$C$77,'График дифференц'!F9,IF('Общие данные'!$B$77='Общие данные'!$D$77,'График аннуитет.'!F9))</f>
        <v>14505327.16</v>
      </c>
    </row>
    <row r="11" spans="1:16" ht="13.5" customHeight="1" x14ac:dyDescent="0.25">
      <c r="A11" s="22">
        <v>3</v>
      </c>
      <c r="B11" s="37">
        <f>'График дифференц'!B10</f>
        <v>45757</v>
      </c>
      <c r="C11" s="38">
        <f>IF('Общие данные'!$B$77='Общие данные'!$C$77,'График дифференц'!C10,IF('Общие данные'!$B$77='Общие данные'!$D$77,'График аннуитет.'!C10))</f>
        <v>188888888.88</v>
      </c>
      <c r="D11" s="38">
        <f>IF('Общие данные'!$B$77='Общие данные'!$C$77,'График дифференц'!D10,IF('Общие данные'!$B$77='Общие данные'!$D$77,'График аннуитет.'!D10))</f>
        <v>5555555.5599999996</v>
      </c>
      <c r="E11" s="38">
        <f>IF('Общие данные'!$B$77='Общие данные'!$C$77,'График дифференц'!E10,IF('Общие данные'!$B$77='Общие данные'!$D$77,'График аннуитет.'!E10))</f>
        <v>9625570.6800000016</v>
      </c>
      <c r="F11" s="38">
        <f>IF('Общие данные'!$B$77='Общие данные'!$C$77,'График дифференц'!F10,IF('Общие данные'!$B$77='Общие данные'!$D$77,'График аннуитет.'!F10))</f>
        <v>15181126.240000002</v>
      </c>
    </row>
    <row r="12" spans="1:16" ht="13.5" customHeight="1" x14ac:dyDescent="0.25">
      <c r="A12" s="22">
        <v>4</v>
      </c>
      <c r="B12" s="37">
        <f>'График дифференц'!B11</f>
        <v>45789</v>
      </c>
      <c r="C12" s="38">
        <f>IF('Общие данные'!$B$77='Общие данные'!$C$77,'График дифференц'!C11,IF('Общие данные'!$B$77='Общие данные'!$D$77,'График аннуитет.'!C11))</f>
        <v>183333333.31999999</v>
      </c>
      <c r="D12" s="38">
        <f>IF('Общие данные'!$B$77='Общие данные'!$C$77,'График дифференц'!D11,IF('Общие данные'!$B$77='Общие данные'!$D$77,'График аннуитет.'!D11))</f>
        <v>5555555.5599999996</v>
      </c>
      <c r="E12" s="38">
        <f>IF('Общие данные'!$B$77='Общие данные'!$C$77,'График дифференц'!E11,IF('Общие данные'!$B$77='Общие данные'!$D$77,'График аннуитет.'!E11))</f>
        <v>9643835.5199999996</v>
      </c>
      <c r="F12" s="38">
        <f>IF('Общие данные'!$B$77='Общие данные'!$C$77,'График дифференц'!F11,IF('Общие данные'!$B$77='Общие данные'!$D$77,'График аннуитет.'!F11))</f>
        <v>15199391.079999998</v>
      </c>
      <c r="H12" s="307" t="s">
        <v>378</v>
      </c>
      <c r="I12" s="307"/>
      <c r="J12" s="307"/>
      <c r="K12" s="307"/>
      <c r="L12" s="307"/>
      <c r="M12" s="307"/>
      <c r="N12" s="307"/>
      <c r="O12" s="307"/>
      <c r="P12" s="307"/>
    </row>
    <row r="13" spans="1:16" ht="13.5" customHeight="1" x14ac:dyDescent="0.25">
      <c r="A13" s="22">
        <v>5</v>
      </c>
      <c r="B13" s="37">
        <f>'График дифференц'!B12</f>
        <v>45818</v>
      </c>
      <c r="C13" s="38">
        <f>IF('Общие данные'!$B$77='Общие данные'!$C$77,'График дифференц'!C12,IF('Общие данные'!$B$77='Общие данные'!$D$77,'График аннуитет.'!C12))</f>
        <v>177777777.75999999</v>
      </c>
      <c r="D13" s="38">
        <f>IF('Общие данные'!$B$77='Общие данные'!$C$77,'График дифференц'!D12,IF('Общие данные'!$B$77='Общие данные'!$D$77,'График аннуитет.'!D12))</f>
        <v>5555555.5599999996</v>
      </c>
      <c r="E13" s="38">
        <f>IF('Общие данные'!$B$77='Общие данные'!$C$77,'График дифференц'!E12,IF('Общие данные'!$B$77='Общие данные'!$D$77,'График аннуитет.'!E12))</f>
        <v>8474885.7599999998</v>
      </c>
      <c r="F13" s="38">
        <f>IF('Общие данные'!$B$77='Общие данные'!$C$77,'График дифференц'!F12,IF('Общие данные'!$B$77='Общие данные'!$D$77,'График аннуитет.'!F12))</f>
        <v>14030441.32</v>
      </c>
      <c r="H13" s="307"/>
      <c r="I13" s="307"/>
      <c r="J13" s="307"/>
      <c r="K13" s="307"/>
      <c r="L13" s="307"/>
      <c r="M13" s="307"/>
      <c r="N13" s="307"/>
      <c r="O13" s="307"/>
      <c r="P13" s="307"/>
    </row>
    <row r="14" spans="1:16" ht="13.5" customHeight="1" x14ac:dyDescent="0.25">
      <c r="A14" s="22">
        <v>6</v>
      </c>
      <c r="B14" s="37">
        <f>'График дифференц'!B13</f>
        <v>45848</v>
      </c>
      <c r="C14" s="38">
        <f>IF('Общие данные'!$B$77='Общие данные'!$C$77,'График дифференц'!C13,IF('Общие данные'!$B$77='Общие данные'!$D$77,'График аннуитет.'!C13))</f>
        <v>172222222.19999999</v>
      </c>
      <c r="D14" s="38">
        <f>IF('Общие данные'!$B$77='Общие данные'!$C$77,'График дифференц'!D13,IF('Общие данные'!$B$77='Общие данные'!$D$77,'График аннуитет.'!D13))</f>
        <v>5555555.5599999996</v>
      </c>
      <c r="E14" s="38">
        <f>IF('Общие данные'!$B$77='Общие данные'!$C$77,'График дифференц'!E13,IF('Общие данные'!$B$77='Общие данные'!$D$77,'График аннуитет.'!E13))</f>
        <v>8493150.6000000015</v>
      </c>
      <c r="F14" s="38">
        <f>IF('Общие данные'!$B$77='Общие данные'!$C$77,'График дифференц'!F13,IF('Общие данные'!$B$77='Общие данные'!$D$77,'График аннуитет.'!F13))</f>
        <v>14048706.16</v>
      </c>
      <c r="H14" s="307"/>
      <c r="I14" s="307"/>
      <c r="J14" s="307"/>
      <c r="K14" s="307"/>
      <c r="L14" s="307"/>
      <c r="M14" s="307"/>
      <c r="N14" s="307"/>
      <c r="O14" s="307"/>
      <c r="P14" s="307"/>
    </row>
    <row r="15" spans="1:16" ht="13.5" customHeight="1" x14ac:dyDescent="0.25">
      <c r="A15" s="22">
        <v>7</v>
      </c>
      <c r="B15" s="37">
        <f>'График дифференц'!B14</f>
        <v>45880</v>
      </c>
      <c r="C15" s="38">
        <f>IF('Общие данные'!$B$77='Общие данные'!$C$77,'График дифференц'!C14,IF('Общие данные'!$B$77='Общие данные'!$D$77,'График аннуитет.'!C14))</f>
        <v>166666666.63999999</v>
      </c>
      <c r="D15" s="38">
        <f>IF('Общие данные'!$B$77='Общие данные'!$C$77,'График дифференц'!D14,IF('Общие данные'!$B$77='Общие данные'!$D$77,'График аннуитет.'!D14))</f>
        <v>5555555.5599999996</v>
      </c>
      <c r="E15" s="38">
        <f>IF('Общие данные'!$B$77='Общие данные'!$C$77,'График дифференц'!E14,IF('Общие данные'!$B$77='Общие данные'!$D$77,'График аннуитет.'!E14))</f>
        <v>8767123.1999999993</v>
      </c>
      <c r="F15" s="38">
        <f>IF('Общие данные'!$B$77='Общие данные'!$C$77,'График дифференц'!F14,IF('Общие данные'!$B$77='Общие данные'!$D$77,'График аннуитет.'!F14))</f>
        <v>14322678.759999998</v>
      </c>
      <c r="H15" s="307"/>
      <c r="I15" s="307"/>
      <c r="J15" s="307"/>
      <c r="K15" s="307"/>
      <c r="L15" s="307"/>
      <c r="M15" s="307"/>
      <c r="N15" s="307"/>
      <c r="O15" s="307"/>
      <c r="P15" s="307"/>
    </row>
    <row r="16" spans="1:16" ht="13.5" customHeight="1" x14ac:dyDescent="0.25">
      <c r="A16" s="22">
        <v>8</v>
      </c>
      <c r="B16" s="37">
        <f>'График дифференц'!B15</f>
        <v>45910</v>
      </c>
      <c r="C16" s="38">
        <f>IF('Общие данные'!$B$77='Общие данные'!$C$77,'График дифференц'!C15,IF('Общие данные'!$B$77='Общие данные'!$D$77,'График аннуитет.'!C15))</f>
        <v>161111111.07999998</v>
      </c>
      <c r="D16" s="38">
        <f>IF('Общие данные'!$B$77='Общие данные'!$C$77,'График дифференц'!D15,IF('Общие данные'!$B$77='Общие данные'!$D$77,'График аннуитет.'!D15))</f>
        <v>5555555.5599999996</v>
      </c>
      <c r="E16" s="38">
        <f>IF('Общие данные'!$B$77='Общие данные'!$C$77,'График дифференц'!E15,IF('Общие данные'!$B$77='Общие данные'!$D$77,'График аннуитет.'!E15))</f>
        <v>7945205.3999999994</v>
      </c>
      <c r="F16" s="38">
        <f>IF('Общие данные'!$B$77='Общие данные'!$C$77,'График дифференц'!F15,IF('Общие данные'!$B$77='Общие данные'!$D$77,'График аннуитет.'!F15))</f>
        <v>13500760.959999999</v>
      </c>
      <c r="H16" s="307"/>
      <c r="I16" s="307"/>
      <c r="J16" s="307"/>
      <c r="K16" s="307"/>
      <c r="L16" s="307"/>
      <c r="M16" s="307"/>
      <c r="N16" s="307"/>
      <c r="O16" s="307"/>
      <c r="P16" s="307"/>
    </row>
    <row r="17" spans="1:16" ht="13.5" customHeight="1" x14ac:dyDescent="0.25">
      <c r="A17" s="22">
        <v>9</v>
      </c>
      <c r="B17" s="37">
        <f>'График дифференц'!B16</f>
        <v>45940</v>
      </c>
      <c r="C17" s="38">
        <f>IF('Общие данные'!$B$77='Общие данные'!$C$77,'График дифференц'!C16,IF('Общие данные'!$B$77='Общие данные'!$D$77,'График аннуитет.'!C16))</f>
        <v>155555555.51999998</v>
      </c>
      <c r="D17" s="38">
        <f>IF('Общие данные'!$B$77='Общие данные'!$C$77,'График дифференц'!D16,IF('Общие данные'!$B$77='Общие данные'!$D$77,'График аннуитет.'!D16))</f>
        <v>5555555.5599999996</v>
      </c>
      <c r="E17" s="38">
        <f>IF('Общие данные'!$B$77='Общие данные'!$C$77,'График дифференц'!E16,IF('Общие данные'!$B$77='Общие данные'!$D$77,'График аннуитет.'!E16))</f>
        <v>7671232.8000000007</v>
      </c>
      <c r="F17" s="38">
        <f>IF('Общие данные'!$B$77='Общие данные'!$C$77,'График дифференц'!F16,IF('Общие данные'!$B$77='Общие данные'!$D$77,'График аннуитет.'!F16))</f>
        <v>13226788.359999999</v>
      </c>
      <c r="H17" s="307"/>
      <c r="I17" s="307"/>
      <c r="J17" s="307"/>
      <c r="K17" s="307"/>
      <c r="L17" s="307"/>
      <c r="M17" s="307"/>
      <c r="N17" s="307"/>
      <c r="O17" s="307"/>
      <c r="P17" s="307"/>
    </row>
    <row r="18" spans="1:16" ht="13.5" customHeight="1" x14ac:dyDescent="0.25">
      <c r="A18" s="22">
        <v>10</v>
      </c>
      <c r="B18" s="37">
        <f>'График дифференц'!B17</f>
        <v>45971</v>
      </c>
      <c r="C18" s="38">
        <f>IF('Общие данные'!$B$77='Общие данные'!$C$77,'График дифференц'!C17,IF('Общие данные'!$B$77='Общие данные'!$D$77,'График аннуитет.'!C17))</f>
        <v>149999999.95999998</v>
      </c>
      <c r="D18" s="38">
        <f>IF('Общие данные'!$B$77='Общие данные'!$C$77,'График дифференц'!D17,IF('Общие данные'!$B$77='Общие данные'!$D$77,'График аннуитет.'!D17))</f>
        <v>5555555.5599999996</v>
      </c>
      <c r="E18" s="38">
        <f>IF('Общие данные'!$B$77='Общие данные'!$C$77,'График дифференц'!E17,IF('Общие данные'!$B$77='Общие данные'!$D$77,'График аннуитет.'!E17))</f>
        <v>7643835.54</v>
      </c>
      <c r="F18" s="38">
        <f>IF('Общие данные'!$B$77='Общие данные'!$C$77,'График дифференц'!F17,IF('Общие данные'!$B$77='Общие данные'!$D$77,'График аннуитет.'!F17))</f>
        <v>13199391.1</v>
      </c>
      <c r="H18" s="307"/>
      <c r="I18" s="307"/>
      <c r="J18" s="307"/>
      <c r="K18" s="307"/>
      <c r="L18" s="307"/>
      <c r="M18" s="307"/>
      <c r="N18" s="307"/>
      <c r="O18" s="307"/>
      <c r="P18" s="307"/>
    </row>
    <row r="19" spans="1:16" ht="13.5" customHeight="1" x14ac:dyDescent="0.25">
      <c r="A19" s="22">
        <v>11</v>
      </c>
      <c r="B19" s="37">
        <f>'График дифференц'!B18</f>
        <v>46001</v>
      </c>
      <c r="C19" s="38">
        <f>IF('Общие данные'!$B$77='Общие данные'!$C$77,'График дифференц'!C18,IF('Общие данные'!$B$77='Общие данные'!$D$77,'График аннуитет.'!C18))</f>
        <v>144444444.39999998</v>
      </c>
      <c r="D19" s="38">
        <f>IF('Общие данные'!$B$77='Общие данные'!$C$77,'График дифференц'!D18,IF('Общие данные'!$B$77='Общие данные'!$D$77,'График аннуитет.'!D18))</f>
        <v>5555555.5599999996</v>
      </c>
      <c r="E19" s="38">
        <f>IF('Общие данные'!$B$77='Общие данные'!$C$77,'График дифференц'!E18,IF('Общие данные'!$B$77='Общие данные'!$D$77,'График аннуитет.'!E18))</f>
        <v>7123287.6000000006</v>
      </c>
      <c r="F19" s="38">
        <f>IF('Общие данные'!$B$77='Общие данные'!$C$77,'График дифференц'!F18,IF('Общие данные'!$B$77='Общие данные'!$D$77,'График аннуитет.'!F18))</f>
        <v>12678843.16</v>
      </c>
      <c r="H19" s="307"/>
      <c r="I19" s="307"/>
      <c r="J19" s="307"/>
      <c r="K19" s="307"/>
      <c r="L19" s="307"/>
      <c r="M19" s="307"/>
      <c r="N19" s="307"/>
      <c r="O19" s="307"/>
      <c r="P19" s="307"/>
    </row>
    <row r="20" spans="1:16" ht="14.25" customHeight="1" x14ac:dyDescent="0.25">
      <c r="A20" s="22">
        <v>12</v>
      </c>
      <c r="B20" s="37">
        <f>'График дифференц'!B19</f>
        <v>46034</v>
      </c>
      <c r="C20" s="38">
        <f>IF('Общие данные'!$B$77='Общие данные'!$C$77,'График дифференц'!C19,IF('Общие данные'!$B$77='Общие данные'!$D$77,'График аннуитет.'!C19))</f>
        <v>138888888.83999997</v>
      </c>
      <c r="D20" s="38">
        <f>IF('Общие данные'!$B$77='Общие данные'!$C$77,'График дифференц'!D19,IF('Общие данные'!$B$77='Общие данные'!$D$77,'График аннуитет.'!D19))</f>
        <v>5555555.5599999996</v>
      </c>
      <c r="E20" s="38">
        <f>IF('Общие данные'!$B$77='Общие данные'!$C$77,'График дифференц'!E19,IF('Общие данные'!$B$77='Общие данные'!$D$77,'График аннуитет.'!E19))</f>
        <v>7534246.5</v>
      </c>
      <c r="F20" s="38">
        <f>IF('Общие данные'!$B$77='Общие данные'!$C$77,'График дифференц'!F19,IF('Общие данные'!$B$77='Общие данные'!$D$77,'График аннуитет.'!F19))</f>
        <v>13089802.059999999</v>
      </c>
      <c r="H20" s="307"/>
      <c r="I20" s="307"/>
      <c r="J20" s="307"/>
      <c r="K20" s="307"/>
      <c r="L20" s="307"/>
      <c r="M20" s="307"/>
      <c r="N20" s="307"/>
      <c r="O20" s="307"/>
      <c r="P20" s="307"/>
    </row>
    <row r="21" spans="1:16" x14ac:dyDescent="0.25">
      <c r="A21" s="22">
        <v>13</v>
      </c>
      <c r="B21" s="37">
        <f>'График дифференц'!B20</f>
        <v>46063</v>
      </c>
      <c r="C21" s="38">
        <f>IF('Общие данные'!$B$77='Общие данные'!$C$77,'График дифференц'!C20,IF('Общие данные'!$B$77='Общие данные'!$D$77,'График аннуитет.'!C20))</f>
        <v>133333333.27999997</v>
      </c>
      <c r="D21" s="38">
        <f>IF('Общие данные'!$B$77='Общие данные'!$C$77,'График дифференц'!D20,IF('Общие данные'!$B$77='Общие данные'!$D$77,'График аннуитет.'!D20))</f>
        <v>5555555.5599999996</v>
      </c>
      <c r="E21" s="38">
        <f>IF('Общие данные'!$B$77='Общие данные'!$C$77,'График дифференц'!E20,IF('Общие данные'!$B$77='Общие данные'!$D$77,'График аннуитет.'!E20))</f>
        <v>6356164.3199999994</v>
      </c>
      <c r="F21" s="38">
        <f>IF('Общие данные'!$B$77='Общие данные'!$C$77,'График дифференц'!F20,IF('Общие данные'!$B$77='Общие данные'!$D$77,'График аннуитет.'!F20))</f>
        <v>11911719.879999999</v>
      </c>
      <c r="H21" s="307"/>
      <c r="I21" s="307"/>
      <c r="J21" s="307"/>
      <c r="K21" s="307"/>
      <c r="L21" s="307"/>
      <c r="M21" s="307"/>
      <c r="N21" s="307"/>
      <c r="O21" s="307"/>
      <c r="P21" s="307"/>
    </row>
    <row r="22" spans="1:16" x14ac:dyDescent="0.25">
      <c r="A22" s="22">
        <v>14</v>
      </c>
      <c r="B22" s="37">
        <f>'График дифференц'!B21</f>
        <v>46091</v>
      </c>
      <c r="C22" s="38">
        <f>IF('Общие данные'!$B$77='Общие данные'!$C$77,'График дифференц'!C21,IF('Общие данные'!$B$77='Общие данные'!$D$77,'График аннуитет.'!C21))</f>
        <v>127777777.71999997</v>
      </c>
      <c r="D22" s="38">
        <f>IF('Общие данные'!$B$77='Общие данные'!$C$77,'График дифференц'!D21,IF('Общие данные'!$B$77='Общие данные'!$D$77,'График аннуитет.'!D21))</f>
        <v>5555555.5599999996</v>
      </c>
      <c r="E22" s="38">
        <f>IF('Общие данные'!$B$77='Общие данные'!$C$77,'График дифференц'!E21,IF('Общие данные'!$B$77='Общие данные'!$D$77,'График аннуитет.'!E21))</f>
        <v>5881278.4800000004</v>
      </c>
      <c r="F22" s="38">
        <f>IF('Общие данные'!$B$77='Общие данные'!$C$77,'График дифференц'!F21,IF('Общие данные'!$B$77='Общие данные'!$D$77,'График аннуитет.'!F21))</f>
        <v>11436834.039999999</v>
      </c>
      <c r="H22" s="307"/>
      <c r="I22" s="307"/>
      <c r="J22" s="307"/>
      <c r="K22" s="307"/>
      <c r="L22" s="307"/>
      <c r="M22" s="307"/>
      <c r="N22" s="307"/>
      <c r="O22" s="307"/>
      <c r="P22" s="307"/>
    </row>
    <row r="23" spans="1:16" x14ac:dyDescent="0.25">
      <c r="A23" s="22">
        <v>15</v>
      </c>
      <c r="B23" s="37">
        <f>'График дифференц'!B22</f>
        <v>46122</v>
      </c>
      <c r="C23" s="38">
        <f>IF('Общие данные'!$B$77='Общие данные'!$C$77,'График дифференц'!C22,IF('Общие данные'!$B$77='Общие данные'!$D$77,'График аннуитет.'!C22))</f>
        <v>122222222.15999997</v>
      </c>
      <c r="D23" s="38">
        <f>IF('Общие данные'!$B$77='Общие данные'!$C$77,'График дифференц'!D22,IF('Общие данные'!$B$77='Общие данные'!$D$77,'График аннуитет.'!D22))</f>
        <v>5555555.5599999996</v>
      </c>
      <c r="E23" s="38">
        <f>IF('Общие данные'!$B$77='Общие данные'!$C$77,'График дифференц'!E22,IF('Общие данные'!$B$77='Общие данные'!$D$77,'График аннуитет.'!E22))</f>
        <v>6228310.4399999995</v>
      </c>
      <c r="F23" s="38">
        <f>IF('Общие данные'!$B$77='Общие данные'!$C$77,'График дифференц'!F22,IF('Общие данные'!$B$77='Общие данные'!$D$77,'График аннуитет.'!F22))</f>
        <v>11783866</v>
      </c>
      <c r="H23" s="307"/>
      <c r="I23" s="307"/>
      <c r="J23" s="307"/>
      <c r="K23" s="307"/>
      <c r="L23" s="307"/>
      <c r="M23" s="307"/>
      <c r="N23" s="307"/>
      <c r="O23" s="307"/>
      <c r="P23" s="307"/>
    </row>
    <row r="24" spans="1:16" x14ac:dyDescent="0.25">
      <c r="A24" s="22">
        <v>16</v>
      </c>
      <c r="B24" s="37">
        <f>'График дифференц'!B23</f>
        <v>46153</v>
      </c>
      <c r="C24" s="38">
        <f>IF('Общие данные'!$B$77='Общие данные'!$C$77,'График дифференц'!C23,IF('Общие данные'!$B$77='Общие данные'!$D$77,'График аннуитет.'!C23))</f>
        <v>116666666.59999996</v>
      </c>
      <c r="D24" s="38">
        <f>IF('Общие данные'!$B$77='Общие данные'!$C$77,'График дифференц'!D23,IF('Общие данные'!$B$77='Общие данные'!$D$77,'График аннуитет.'!D23))</f>
        <v>5555555.5599999996</v>
      </c>
      <c r="E24" s="38">
        <f>IF('Общие данные'!$B$77='Общие данные'!$C$77,'График дифференц'!E23,IF('Общие данные'!$B$77='Общие данные'!$D$77,'График аннуитет.'!E23))</f>
        <v>5945205.4199999999</v>
      </c>
      <c r="F24" s="38">
        <f>IF('Общие данные'!$B$77='Общие данные'!$C$77,'График дифференц'!F23,IF('Общие данные'!$B$77='Общие данные'!$D$77,'График аннуитет.'!F23))</f>
        <v>11500760.98</v>
      </c>
      <c r="H24" s="307"/>
      <c r="I24" s="307"/>
      <c r="J24" s="307"/>
      <c r="K24" s="307"/>
      <c r="L24" s="307"/>
      <c r="M24" s="307"/>
      <c r="N24" s="307"/>
      <c r="O24" s="307"/>
      <c r="P24" s="307"/>
    </row>
    <row r="25" spans="1:16" x14ac:dyDescent="0.25">
      <c r="A25" s="22">
        <v>17</v>
      </c>
      <c r="B25" s="37">
        <f>'График дифференц'!B24</f>
        <v>46183</v>
      </c>
      <c r="C25" s="38">
        <f>IF('Общие данные'!$B$77='Общие данные'!$C$77,'График дифференц'!C24,IF('Общие данные'!$B$77='Общие данные'!$D$77,'График аннуитет.'!C24))</f>
        <v>111111111.03999996</v>
      </c>
      <c r="D25" s="38">
        <f>IF('Общие данные'!$B$77='Общие данные'!$C$77,'График дифференц'!D24,IF('Общие данные'!$B$77='Общие данные'!$D$77,'График аннуитет.'!D24))</f>
        <v>5555555.5599999996</v>
      </c>
      <c r="E25" s="38">
        <f>IF('Общие данные'!$B$77='Общие данные'!$C$77,'График дифференц'!E24,IF('Общие данные'!$B$77='Общие данные'!$D$77,'График аннуитет.'!E24))</f>
        <v>5479452</v>
      </c>
      <c r="F25" s="38">
        <f>IF('Общие данные'!$B$77='Общие данные'!$C$77,'График дифференц'!F24,IF('Общие данные'!$B$77='Общие данные'!$D$77,'График аннуитет.'!F24))</f>
        <v>11035007.559999999</v>
      </c>
    </row>
    <row r="26" spans="1:16" x14ac:dyDescent="0.25">
      <c r="A26" s="22">
        <v>18</v>
      </c>
      <c r="B26" s="37">
        <f>'График дифференц'!B25</f>
        <v>46213</v>
      </c>
      <c r="C26" s="38">
        <f>IF('Общие данные'!$B$77='Общие данные'!$C$77,'График дифференц'!C25,IF('Общие данные'!$B$77='Общие данные'!$D$77,'График аннуитет.'!C25))</f>
        <v>105555555.47999996</v>
      </c>
      <c r="D26" s="38">
        <f>IF('Общие данные'!$B$77='Общие данные'!$C$77,'График дифференц'!D25,IF('Общие данные'!$B$77='Общие данные'!$D$77,'График аннуитет.'!D25))</f>
        <v>5555555.5599999996</v>
      </c>
      <c r="E26" s="38">
        <f>IF('Общие данные'!$B$77='Общие данные'!$C$77,'График дифференц'!E25,IF('Общие данные'!$B$77='Общие данные'!$D$77,'График аннуитет.'!E25))</f>
        <v>5205479.4000000004</v>
      </c>
      <c r="F26" s="38">
        <f>IF('Общие данные'!$B$77='Общие данные'!$C$77,'График дифференц'!F25,IF('Общие данные'!$B$77='Общие данные'!$D$77,'График аннуитет.'!F25))</f>
        <v>10761034.960000001</v>
      </c>
    </row>
    <row r="27" spans="1:16" x14ac:dyDescent="0.25">
      <c r="A27" s="22">
        <v>19</v>
      </c>
      <c r="B27" s="37">
        <f>'График дифференц'!B26</f>
        <v>46244</v>
      </c>
      <c r="C27" s="38">
        <f>IF('Общие данные'!$B$77='Общие данные'!$C$77,'График дифференц'!C26,IF('Общие данные'!$B$77='Общие данные'!$D$77,'График аннуитет.'!C26))</f>
        <v>99999999.919999957</v>
      </c>
      <c r="D27" s="38">
        <f>IF('Общие данные'!$B$77='Общие данные'!$C$77,'График дифференц'!D26,IF('Общие данные'!$B$77='Общие данные'!$D$77,'График аннуитет.'!D26))</f>
        <v>5555555.5599999996</v>
      </c>
      <c r="E27" s="38">
        <f>IF('Общие данные'!$B$77='Общие данные'!$C$77,'График дифференц'!E26,IF('Общие данные'!$B$77='Общие данные'!$D$77,'График аннуитет.'!E26))</f>
        <v>5095890.3600000003</v>
      </c>
      <c r="F27" s="38">
        <f>IF('Общие данные'!$B$77='Общие данные'!$C$77,'График дифференц'!F26,IF('Общие данные'!$B$77='Общие данные'!$D$77,'График аннуитет.'!F26))</f>
        <v>10651445.92</v>
      </c>
    </row>
    <row r="28" spans="1:16" x14ac:dyDescent="0.25">
      <c r="A28" s="22">
        <v>20</v>
      </c>
      <c r="B28" s="37">
        <f>'График дифференц'!B27</f>
        <v>46275</v>
      </c>
      <c r="C28" s="38">
        <f>IF('Общие данные'!$B$77='Общие данные'!$C$77,'График дифференц'!C27,IF('Общие данные'!$B$77='Общие данные'!$D$77,'График аннуитет.'!C27))</f>
        <v>94444444.359999955</v>
      </c>
      <c r="D28" s="38">
        <f>IF('Общие данные'!$B$77='Общие данные'!$C$77,'График дифференц'!D27,IF('Общие данные'!$B$77='Общие данные'!$D$77,'График аннуитет.'!D27))</f>
        <v>5555555.5599999996</v>
      </c>
      <c r="E28" s="38">
        <f>IF('Общие данные'!$B$77='Общие данные'!$C$77,'График дифференц'!E27,IF('Общие данные'!$B$77='Общие данные'!$D$77,'График аннуитет.'!E27))</f>
        <v>4812785.3400000008</v>
      </c>
      <c r="F28" s="38">
        <f>IF('Общие данные'!$B$77='Общие данные'!$C$77,'График дифференц'!F27,IF('Общие данные'!$B$77='Общие данные'!$D$77,'График аннуитет.'!F27))</f>
        <v>10368340.9</v>
      </c>
    </row>
    <row r="29" spans="1:16" x14ac:dyDescent="0.25">
      <c r="A29" s="22">
        <v>21</v>
      </c>
      <c r="B29" s="37">
        <f>'График дифференц'!B28</f>
        <v>46307</v>
      </c>
      <c r="C29" s="38">
        <f>IF('Общие данные'!$B$77='Общие данные'!$C$77,'График дифференц'!C28,IF('Общие данные'!$B$77='Общие данные'!$D$77,'График аннуитет.'!C28))</f>
        <v>88888888.799999952</v>
      </c>
      <c r="D29" s="38">
        <f>IF('Общие данные'!$B$77='Общие данные'!$C$77,'График дифференц'!D28,IF('Общие данные'!$B$77='Общие данные'!$D$77,'График аннуитет.'!D28))</f>
        <v>5555555.5599999996</v>
      </c>
      <c r="E29" s="38">
        <f>IF('Общие данные'!$B$77='Общие данные'!$C$77,'График дифференц'!E28,IF('Общие данные'!$B$77='Общие данные'!$D$77,'График аннуитет.'!E28))</f>
        <v>4675799.04</v>
      </c>
      <c r="F29" s="38">
        <f>IF('Общие данные'!$B$77='Общие данные'!$C$77,'График дифференц'!F28,IF('Общие данные'!$B$77='Общие данные'!$D$77,'График аннуитет.'!F28))</f>
        <v>10231354.6</v>
      </c>
    </row>
    <row r="30" spans="1:16" x14ac:dyDescent="0.25">
      <c r="A30" s="22">
        <v>22</v>
      </c>
      <c r="B30" s="37">
        <f>'График дифференц'!B29</f>
        <v>46336</v>
      </c>
      <c r="C30" s="38">
        <f>IF('Общие данные'!$B$77='Общие данные'!$C$77,'График дифференц'!C29,IF('Общие данные'!$B$77='Общие данные'!$D$77,'График аннуитет.'!C29))</f>
        <v>83333333.23999995</v>
      </c>
      <c r="D30" s="38">
        <f>IF('Общие данные'!$B$77='Общие данные'!$C$77,'График дифференц'!D29,IF('Общие данные'!$B$77='Общие данные'!$D$77,'График аннуитет.'!D29))</f>
        <v>5555555.5599999996</v>
      </c>
      <c r="E30" s="38">
        <f>IF('Общие данные'!$B$77='Общие данные'!$C$77,'График дифференц'!E29,IF('Общие данные'!$B$77='Общие данные'!$D$77,'График аннуитет.'!E29))</f>
        <v>3972602.6999999997</v>
      </c>
      <c r="F30" s="38">
        <f>IF('Общие данные'!$B$77='Общие данные'!$C$77,'График дифференц'!F29,IF('Общие данные'!$B$77='Общие данные'!$D$77,'График аннуитет.'!F29))</f>
        <v>9528158.2599999998</v>
      </c>
    </row>
    <row r="31" spans="1:16" x14ac:dyDescent="0.25">
      <c r="A31" s="22">
        <v>23</v>
      </c>
      <c r="B31" s="37">
        <f>'График дифференц'!B30</f>
        <v>46366</v>
      </c>
      <c r="C31" s="38">
        <f>IF('Общие данные'!$B$77='Общие данные'!$C$77,'График дифференц'!C30,IF('Общие данные'!$B$77='Общие данные'!$D$77,'График аннуитет.'!C30))</f>
        <v>77777777.679999948</v>
      </c>
      <c r="D31" s="38">
        <f>IF('Общие данные'!$B$77='Общие данные'!$C$77,'График дифференц'!D30,IF('Общие данные'!$B$77='Общие данные'!$D$77,'График аннуитет.'!D30))</f>
        <v>5555555.5599999996</v>
      </c>
      <c r="E31" s="38">
        <f>IF('Общие данные'!$B$77='Общие данные'!$C$77,'График дифференц'!E30,IF('Общие данные'!$B$77='Общие данные'!$D$77,'График аннуитет.'!E30))</f>
        <v>3835616.4000000004</v>
      </c>
      <c r="F31" s="38">
        <f>IF('Общие данные'!$B$77='Общие данные'!$C$77,'График дифференц'!F30,IF('Общие данные'!$B$77='Общие данные'!$D$77,'График аннуитет.'!F30))</f>
        <v>9391171.9600000009</v>
      </c>
    </row>
    <row r="32" spans="1:16" x14ac:dyDescent="0.25">
      <c r="A32" s="22">
        <f>1+A31</f>
        <v>24</v>
      </c>
      <c r="B32" s="37">
        <f>'График дифференц'!B31</f>
        <v>46398</v>
      </c>
      <c r="C32" s="38">
        <f>IF('Общие данные'!$B$77='Общие данные'!$C$77,'График дифференц'!C31,IF('Общие данные'!$B$77='Общие данные'!$D$77,'График аннуитет.'!C31))</f>
        <v>72222222.119999945</v>
      </c>
      <c r="D32" s="38">
        <f>IF('Общие данные'!$B$77='Общие данные'!$C$77,'График дифференц'!D31,IF('Общие данные'!$B$77='Общие данные'!$D$77,'График аннуитет.'!D31))</f>
        <v>5555555.5599999996</v>
      </c>
      <c r="E32" s="38">
        <f>IF('Общие данные'!$B$77='Общие данные'!$C$77,'График дифференц'!E31,IF('Общие данные'!$B$77='Общие данные'!$D$77,'График аннуитет.'!E31))</f>
        <v>3799086.72</v>
      </c>
      <c r="F32" s="38">
        <f>IF('Общие данные'!$B$77='Общие данные'!$C$77,'График дифференц'!F31,IF('Общие данные'!$B$77='Общие данные'!$D$77,'График аннуитет.'!F31))</f>
        <v>9354642.2799999993</v>
      </c>
    </row>
    <row r="33" spans="1:6" x14ac:dyDescent="0.25">
      <c r="A33" s="22">
        <f t="shared" ref="A33:A44" si="0">1+A32</f>
        <v>25</v>
      </c>
      <c r="B33" s="37">
        <f>'График дифференц'!B32</f>
        <v>46428</v>
      </c>
      <c r="C33" s="38">
        <f>IF('Общие данные'!$B$77='Общие данные'!$C$77,'График дифференц'!C32,IF('Общие данные'!$B$77='Общие данные'!$D$77,'График аннуитет.'!C32))</f>
        <v>66666666.559999943</v>
      </c>
      <c r="D33" s="38">
        <f>IF('Общие данные'!$B$77='Общие данные'!$C$77,'График дифференц'!D32,IF('Общие данные'!$B$77='Общие данные'!$D$77,'График аннуитет.'!D32))</f>
        <v>5555555.5599999996</v>
      </c>
      <c r="E33" s="38">
        <f>IF('Общие данные'!$B$77='Общие данные'!$C$77,'График дифференц'!E32,IF('Общие данные'!$B$77='Общие данные'!$D$77,'График аннуитет.'!E32))</f>
        <v>3287671.1999999997</v>
      </c>
      <c r="F33" s="38">
        <f>IF('Общие данные'!$B$77='Общие данные'!$C$77,'График дифференц'!F32,IF('Общие данные'!$B$77='Общие данные'!$D$77,'График аннуитет.'!F32))</f>
        <v>8843226.7599999998</v>
      </c>
    </row>
    <row r="34" spans="1:6" x14ac:dyDescent="0.25">
      <c r="A34" s="22">
        <f t="shared" si="0"/>
        <v>26</v>
      </c>
      <c r="B34" s="37">
        <f>'График дифференц'!B33</f>
        <v>46456</v>
      </c>
      <c r="C34" s="38">
        <f>IF('Общие данные'!$B$77='Общие данные'!$C$77,'График дифференц'!C33,IF('Общие данные'!$B$77='Общие данные'!$D$77,'График аннуитет.'!C33))</f>
        <v>61111110.99999994</v>
      </c>
      <c r="D34" s="38">
        <f>IF('Общие данные'!$B$77='Общие данные'!$C$77,'График дифференц'!D33,IF('Общие данные'!$B$77='Общие данные'!$D$77,'График аннуитет.'!D33))</f>
        <v>5555555.5599999996</v>
      </c>
      <c r="E34" s="38">
        <f>IF('Общие данные'!$B$77='Общие данные'!$C$77,'График дифференц'!E33,IF('Общие данные'!$B$77='Общие данные'!$D$77,'График аннуитет.'!E33))</f>
        <v>2812785.36</v>
      </c>
      <c r="F34" s="38">
        <f>IF('Общие данные'!$B$77='Общие данные'!$C$77,'График дифференц'!F33,IF('Общие данные'!$B$77='Общие данные'!$D$77,'График аннуитет.'!F33))</f>
        <v>8368340.9199999999</v>
      </c>
    </row>
    <row r="35" spans="1:6" x14ac:dyDescent="0.25">
      <c r="A35" s="22">
        <f t="shared" si="0"/>
        <v>27</v>
      </c>
      <c r="B35" s="37">
        <f>'График дифференц'!B34</f>
        <v>46489</v>
      </c>
      <c r="C35" s="38">
        <f>IF('Общие данные'!$B$77='Общие данные'!$C$77,'График дифференц'!C34,IF('Общие данные'!$B$77='Общие данные'!$D$77,'График аннуитет.'!C34))</f>
        <v>55555555.439999938</v>
      </c>
      <c r="D35" s="38">
        <f>IF('Общие данные'!$B$77='Общие данные'!$C$77,'График дифференц'!D34,IF('Общие данные'!$B$77='Общие данные'!$D$77,'График аннуитет.'!D34))</f>
        <v>5555555.5599999996</v>
      </c>
      <c r="E35" s="38">
        <f>IF('Общие данные'!$B$77='Общие данные'!$C$77,'График дифференц'!E34,IF('Общие данные'!$B$77='Общие данные'!$D$77,'График аннуитет.'!E34))</f>
        <v>3013698.6</v>
      </c>
      <c r="F35" s="38">
        <f>IF('Общие данные'!$B$77='Общие данные'!$C$77,'График дифференц'!F34,IF('Общие данные'!$B$77='Общие данные'!$D$77,'График аннуитет.'!F34))</f>
        <v>8569254.1600000001</v>
      </c>
    </row>
    <row r="36" spans="1:6" x14ac:dyDescent="0.25">
      <c r="A36" s="22">
        <f t="shared" si="0"/>
        <v>28</v>
      </c>
      <c r="B36" s="37">
        <f>'График дифференц'!B35</f>
        <v>46517</v>
      </c>
      <c r="C36" s="38">
        <f>IF('Общие данные'!$B$77='Общие данные'!$C$77,'График дифференц'!C35,IF('Общие данные'!$B$77='Общие данные'!$D$77,'График аннуитет.'!C35))</f>
        <v>49999999.879999936</v>
      </c>
      <c r="D36" s="38">
        <f>IF('Общие данные'!$B$77='Общие данные'!$C$77,'График дифференц'!D35,IF('Общие данные'!$B$77='Общие данные'!$D$77,'График аннуитет.'!D35))</f>
        <v>5555555.5599999996</v>
      </c>
      <c r="E36" s="38">
        <f>IF('Общие данные'!$B$77='Общие данные'!$C$77,'График дифференц'!E35,IF('Общие данные'!$B$77='Общие данные'!$D$77,'График аннуитет.'!E35))</f>
        <v>2301369.84</v>
      </c>
      <c r="F36" s="38">
        <f>IF('Общие данные'!$B$77='Общие данные'!$C$77,'График дифференц'!F35,IF('Общие данные'!$B$77='Общие данные'!$D$77,'График аннуитет.'!F35))</f>
        <v>7856925.3999999994</v>
      </c>
    </row>
    <row r="37" spans="1:6" x14ac:dyDescent="0.25">
      <c r="A37" s="22">
        <f t="shared" si="0"/>
        <v>29</v>
      </c>
      <c r="B37" s="37">
        <f>'График дифференц'!B36</f>
        <v>46548</v>
      </c>
      <c r="C37" s="38">
        <f>IF('Общие данные'!$B$77='Общие данные'!$C$77,'График дифференц'!C36,IF('Общие данные'!$B$77='Общие данные'!$D$77,'График аннуитет.'!C36))</f>
        <v>44444444.319999933</v>
      </c>
      <c r="D37" s="38">
        <f>IF('Общие данные'!$B$77='Общие данные'!$C$77,'График дифференц'!D36,IF('Общие данные'!$B$77='Общие данные'!$D$77,'График аннуитет.'!D36))</f>
        <v>5555555.5599999996</v>
      </c>
      <c r="E37" s="38">
        <f>IF('Общие данные'!$B$77='Общие данные'!$C$77,'График дифференц'!E36,IF('Общие данные'!$B$77='Общие данные'!$D$77,'График аннуитет.'!E36))</f>
        <v>2264840.16</v>
      </c>
      <c r="F37" s="38">
        <f>IF('Общие данные'!$B$77='Общие данные'!$C$77,'График дифференц'!F36,IF('Общие данные'!$B$77='Общие данные'!$D$77,'График аннуитет.'!F36))</f>
        <v>7820395.7199999997</v>
      </c>
    </row>
    <row r="38" spans="1:6" x14ac:dyDescent="0.25">
      <c r="A38" s="22">
        <f t="shared" si="0"/>
        <v>30</v>
      </c>
      <c r="B38" s="37">
        <f>'График дифференц'!B37</f>
        <v>46580</v>
      </c>
      <c r="C38" s="38">
        <f>IF('Общие данные'!$B$77='Общие данные'!$C$77,'График дифференц'!C37,IF('Общие данные'!$B$77='Общие данные'!$D$77,'График аннуитет.'!C37))</f>
        <v>38888888.759999931</v>
      </c>
      <c r="D38" s="38">
        <f>IF('Общие данные'!$B$77='Общие данные'!$C$77,'График дифференц'!D37,IF('Общие данные'!$B$77='Общие данные'!$D$77,'График аннуитет.'!D37))</f>
        <v>5555555.5599999996</v>
      </c>
      <c r="E38" s="38">
        <f>IF('Общие данные'!$B$77='Общие данные'!$C$77,'График дифференц'!E37,IF('Общие данные'!$B$77='Общие данные'!$D$77,'График аннуитет.'!E37))</f>
        <v>2045662.08</v>
      </c>
      <c r="F38" s="38">
        <f>IF('Общие данные'!$B$77='Общие данные'!$C$77,'График дифференц'!F37,IF('Общие данные'!$B$77='Общие данные'!$D$77,'График аннуитет.'!F37))</f>
        <v>7601217.6399999997</v>
      </c>
    </row>
    <row r="39" spans="1:6" x14ac:dyDescent="0.25">
      <c r="A39" s="22">
        <f t="shared" si="0"/>
        <v>31</v>
      </c>
      <c r="B39" s="37">
        <f>'График дифференц'!B38</f>
        <v>46609</v>
      </c>
      <c r="C39" s="38">
        <f>IF('Общие данные'!$B$77='Общие данные'!$C$77,'График дифференц'!C38,IF('Общие данные'!$B$77='Общие данные'!$D$77,'График аннуитет.'!C38))</f>
        <v>33333333.199999932</v>
      </c>
      <c r="D39" s="38">
        <f>IF('Общие данные'!$B$77='Общие данные'!$C$77,'График дифференц'!D38,IF('Общие данные'!$B$77='Общие данные'!$D$77,'График аннуитет.'!D38))</f>
        <v>5555555.5599999996</v>
      </c>
      <c r="E39" s="38">
        <f>IF('Общие данные'!$B$77='Общие данные'!$C$77,'График дифференц'!E38,IF('Общие данные'!$B$77='Общие данные'!$D$77,'График аннуитет.'!E38))</f>
        <v>1589041.0799999998</v>
      </c>
      <c r="F39" s="38">
        <f>IF('Общие данные'!$B$77='Общие данные'!$C$77,'График дифференц'!F38,IF('Общие данные'!$B$77='Общие данные'!$D$77,'График аннуитет.'!F38))</f>
        <v>7144596.6399999997</v>
      </c>
    </row>
    <row r="40" spans="1:6" x14ac:dyDescent="0.25">
      <c r="A40" s="22">
        <f t="shared" si="0"/>
        <v>32</v>
      </c>
      <c r="B40" s="37">
        <f>'График дифференц'!B39</f>
        <v>46640</v>
      </c>
      <c r="C40" s="38">
        <f>IF('Общие данные'!$B$77='Общие данные'!$C$77,'График дифференц'!C39,IF('Общие данные'!$B$77='Общие данные'!$D$77,'График аннуитет.'!C39))</f>
        <v>27777777.639999934</v>
      </c>
      <c r="D40" s="38">
        <f>IF('Общие данные'!$B$77='Общие данные'!$C$77,'График дифференц'!D39,IF('Общие данные'!$B$77='Общие данные'!$D$77,'График аннуитет.'!D39))</f>
        <v>5555555.5599999996</v>
      </c>
      <c r="E40" s="38">
        <f>IF('Общие данные'!$B$77='Общие данные'!$C$77,'График дифференц'!E39,IF('Общие данные'!$B$77='Общие данные'!$D$77,'График аннуитет.'!E39))</f>
        <v>1415525.0999999999</v>
      </c>
      <c r="F40" s="38">
        <f>IF('Общие данные'!$B$77='Общие данные'!$C$77,'График дифференц'!F39,IF('Общие данные'!$B$77='Общие данные'!$D$77,'График аннуитет.'!F39))</f>
        <v>6971080.6599999992</v>
      </c>
    </row>
    <row r="41" spans="1:6" x14ac:dyDescent="0.25">
      <c r="A41" s="22">
        <f t="shared" si="0"/>
        <v>33</v>
      </c>
      <c r="B41" s="37">
        <f>'График дифференц'!B40</f>
        <v>46671</v>
      </c>
      <c r="C41" s="38">
        <f>IF('Общие данные'!$B$77='Общие данные'!$C$77,'График дифференц'!C40,IF('Общие данные'!$B$77='Общие данные'!$D$77,'График аннуитет.'!C40))</f>
        <v>22222222.079999935</v>
      </c>
      <c r="D41" s="38">
        <f>IF('Общие данные'!$B$77='Общие данные'!$C$77,'График дифференц'!D40,IF('Общие данные'!$B$77='Общие данные'!$D$77,'График аннуитет.'!D40))</f>
        <v>5555555.5599999996</v>
      </c>
      <c r="E41" s="38">
        <f>IF('Общие данные'!$B$77='Общие данные'!$C$77,'График дифференц'!E40,IF('Общие данные'!$B$77='Общие данные'!$D$77,'График аннуитет.'!E40))</f>
        <v>1132420.08</v>
      </c>
      <c r="F41" s="38">
        <f>IF('Общие данные'!$B$77='Общие данные'!$C$77,'График дифференц'!F40,IF('Общие данные'!$B$77='Общие данные'!$D$77,'График аннуитет.'!F40))</f>
        <v>6687975.6399999997</v>
      </c>
    </row>
    <row r="42" spans="1:6" x14ac:dyDescent="0.25">
      <c r="A42" s="22">
        <f t="shared" si="0"/>
        <v>34</v>
      </c>
      <c r="B42" s="37">
        <f>'График дифференц'!B41</f>
        <v>46701</v>
      </c>
      <c r="C42" s="38">
        <f>IF('Общие данные'!$B$77='Общие данные'!$C$77,'График дифференц'!C41,IF('Общие данные'!$B$77='Общие данные'!$D$77,'График аннуитет.'!C41))</f>
        <v>16666666.519999936</v>
      </c>
      <c r="D42" s="38">
        <f>IF('Общие данные'!$B$77='Общие данные'!$C$77,'График дифференц'!D41,IF('Общие данные'!$B$77='Общие данные'!$D$77,'График аннуитет.'!D41))</f>
        <v>5555555.5599999996</v>
      </c>
      <c r="E42" s="38">
        <f>IF('Общие данные'!$B$77='Общие данные'!$C$77,'График дифференц'!E41,IF('Общие данные'!$B$77='Общие данные'!$D$77,'График аннуитет.'!E41))</f>
        <v>821917.79999999993</v>
      </c>
      <c r="F42" s="38">
        <f>IF('Общие данные'!$B$77='Общие данные'!$C$77,'График дифференц'!F41,IF('Общие данные'!$B$77='Общие данные'!$D$77,'График аннуитет.'!F41))</f>
        <v>6377473.3599999994</v>
      </c>
    </row>
    <row r="43" spans="1:6" x14ac:dyDescent="0.25">
      <c r="A43" s="22">
        <f t="shared" si="0"/>
        <v>35</v>
      </c>
      <c r="B43" s="37">
        <f>'График дифференц'!B42</f>
        <v>46731</v>
      </c>
      <c r="C43" s="38">
        <f>IF('Общие данные'!$B$77='Общие данные'!$C$77,'График дифференц'!C42,IF('Общие данные'!$B$77='Общие данные'!$D$77,'График аннуитет.'!C42))</f>
        <v>11111110.959999938</v>
      </c>
      <c r="D43" s="38">
        <f>IF('Общие данные'!$B$77='Общие данные'!$C$77,'График дифференц'!D42,IF('Общие данные'!$B$77='Общие данные'!$D$77,'График аннуитет.'!D42))</f>
        <v>5555555.5599999996</v>
      </c>
      <c r="E43" s="38">
        <f>IF('Общие данные'!$B$77='Общие данные'!$C$77,'График дифференц'!E42,IF('Общие данные'!$B$77='Общие данные'!$D$77,'График аннуитет.'!E42))</f>
        <v>547945.19999999995</v>
      </c>
      <c r="F43" s="38">
        <f>IF('Общие данные'!$B$77='Общие данные'!$C$77,'График дифференц'!F42,IF('Общие данные'!$B$77='Общие данные'!$D$77,'График аннуитет.'!F42))</f>
        <v>6103500.7599999998</v>
      </c>
    </row>
    <row r="44" spans="1:6" ht="17.25" customHeight="1" x14ac:dyDescent="0.25">
      <c r="A44" s="22">
        <f t="shared" si="0"/>
        <v>36</v>
      </c>
      <c r="B44" s="37">
        <f>'График дифференц'!B43</f>
        <v>46772</v>
      </c>
      <c r="C44" s="38">
        <f>IF('Общие данные'!$B$77='Общие данные'!$C$77,'График дифференц'!C43,IF('Общие данные'!$B$77='Общие данные'!$D$77,'График аннуитет.'!C43))</f>
        <v>5555555.399999938</v>
      </c>
      <c r="D44" s="38">
        <f>IF('Общие данные'!$B$77='Общие данные'!$C$77,'График дифференц'!D43,IF('Общие данные'!$B$77='Общие данные'!$D$77,'График аннуитет.'!D43))</f>
        <v>5555555.3999999464</v>
      </c>
      <c r="E44" s="38">
        <f>IF('Общие данные'!$B$77='Общие данные'!$C$77,'График дифференц'!E43,IF('Общие данные'!$B$77='Общие данные'!$D$77,'График аннуитет.'!E43))</f>
        <v>373406.26999999996</v>
      </c>
      <c r="F44" s="38">
        <f>IF('Общие данные'!$B$77='Общие данные'!$C$77,'График дифференц'!F43,IF('Общие данные'!$B$77='Общие данные'!$D$77,'График аннуитет.'!F43))</f>
        <v>5928961.6699999459</v>
      </c>
    </row>
    <row r="45" spans="1:6" ht="15" customHeight="1" x14ac:dyDescent="0.25">
      <c r="A45" s="50"/>
      <c r="B45" s="51" t="s">
        <v>210</v>
      </c>
      <c r="C45" s="52"/>
      <c r="D45" s="52">
        <f>SUM(D9:D44)</f>
        <v>200000000</v>
      </c>
      <c r="E45" s="52">
        <f t="shared" ref="E45:F45" si="1">SUM(E9:E44)</f>
        <v>181670208.11000004</v>
      </c>
      <c r="F45" s="52">
        <f t="shared" si="1"/>
        <v>381670208.1099999</v>
      </c>
    </row>
    <row r="46" spans="1:6" ht="21" customHeight="1" x14ac:dyDescent="0.25">
      <c r="B46" s="39"/>
      <c r="C46" s="40"/>
      <c r="D46" s="40"/>
      <c r="E46" s="40"/>
      <c r="F46" s="40"/>
    </row>
    <row r="47" spans="1:6" ht="47.25" customHeight="1" x14ac:dyDescent="0.25">
      <c r="A47" s="231" t="str">
        <f>"*"&amp;'Общие данные'!C64&amp;" bo‘yicha to‘lovlar to‘lov jadvalida ko‘rsatilmagan sanalarda to‘langan taqdirda, to‘lov summasi mikroqarz shartnomasining 2.2.-bandiga muvofiq "&amp;'Общие данные'!B65&amp;" qoldig‘iga hisoblangan foizlar summasiga o‘zgartiriladi."</f>
        <v>*Mikrokredit bo‘yicha to‘lovlar to‘lov jadvalida ko‘rsatilmagan sanalarda to‘langan taqdirda, to‘lov summasi mikroqarz shartnomasining 2.2.-bandiga muvofiq mikrokredit qoldig‘iga hisoblangan foizlar summasiga o‘zgartiriladi.</v>
      </c>
      <c r="B47" s="231"/>
      <c r="C47" s="231"/>
      <c r="D47" s="231"/>
      <c r="E47" s="231"/>
      <c r="F47" s="231"/>
    </row>
    <row r="48" spans="1:6" ht="7.5" customHeight="1" x14ac:dyDescent="0.25"/>
    <row r="49" spans="1:6" ht="15" customHeight="1" x14ac:dyDescent="0.25">
      <c r="A49" s="259" t="s">
        <v>273</v>
      </c>
      <c r="B49" s="259"/>
      <c r="C49" s="259"/>
      <c r="D49" s="259" t="s">
        <v>281</v>
      </c>
      <c r="E49" s="259"/>
      <c r="F49" s="259"/>
    </row>
    <row r="50" spans="1:6" ht="11.25" customHeight="1" x14ac:dyDescent="0.25">
      <c r="A50" s="260"/>
      <c r="B50" s="260"/>
      <c r="C50" s="260"/>
      <c r="D50" s="260"/>
      <c r="E50" s="260"/>
      <c r="F50" s="260"/>
    </row>
    <row r="51" spans="1:6" ht="30" customHeight="1" x14ac:dyDescent="0.25">
      <c r="A51" s="261" t="str">
        <f>договор!A117</f>
        <v>«CLEVER MIKROMOLIYA TASHKILOTI» MChJ</v>
      </c>
      <c r="B51" s="261"/>
      <c r="C51" s="261"/>
      <c r="D51" s="261" t="str">
        <f>договор!B117</f>
        <v>EGAMBERDIYEV TO‘XTASIN INOYATOVICH</v>
      </c>
      <c r="E51" s="261"/>
      <c r="F51" s="261"/>
    </row>
    <row r="52" spans="1:6" ht="57.75" customHeight="1" x14ac:dyDescent="0.25">
      <c r="A52" s="258" t="str">
        <f>договор!A119</f>
        <v>Manzil: Toshkent shahri, Olmazor tumani, Sagbon ko'chasi, 30 boshi berk, 6-uy</v>
      </c>
      <c r="B52" s="258"/>
      <c r="C52" s="258"/>
      <c r="D52" s="258" t="str">
        <f>договор!B119</f>
        <v>TOSHKENT SHAHRI UCHTEPA TUMANI 25-MAVZE 4-DOM 34-XONADON</v>
      </c>
      <c r="E52" s="258"/>
      <c r="F52" s="258"/>
    </row>
    <row r="53" spans="1:6" ht="19.5" customHeight="1" x14ac:dyDescent="0.25">
      <c r="A53" s="258" t="str">
        <f>договор!A120</f>
        <v>h/r: №20216000705068380001</v>
      </c>
      <c r="B53" s="258"/>
      <c r="C53" s="258"/>
      <c r="D53" s="258" t="str">
        <f>договор!B121</f>
        <v>pasport seriyasi: AD 1582556, IIV 60001  tomonidan 25.07.2022 yilda berilgan</v>
      </c>
      <c r="E53" s="258"/>
      <c r="F53" s="258"/>
    </row>
    <row r="54" spans="1:6" ht="39.75" customHeight="1" x14ac:dyDescent="0.25">
      <c r="A54" s="258" t="str">
        <f>договор!A121</f>
        <v>MFO: №01042 в ATB “Kapitalbank” Sergeli filiali</v>
      </c>
      <c r="B54" s="258"/>
      <c r="C54" s="258"/>
      <c r="D54" s="258"/>
      <c r="E54" s="258"/>
      <c r="F54" s="258"/>
    </row>
    <row r="55" spans="1:6" ht="15" customHeight="1" x14ac:dyDescent="0.25">
      <c r="A55" s="258" t="str">
        <f>договор!A122</f>
        <v>STIR: 306365847</v>
      </c>
      <c r="B55" s="258"/>
      <c r="C55" s="258"/>
      <c r="D55" s="258" t="str">
        <f>договор!B122</f>
        <v>Tel: 90 711 88 88 KLIENT</v>
      </c>
      <c r="E55" s="258"/>
      <c r="F55" s="258"/>
    </row>
    <row r="56" spans="1:6" ht="15" customHeight="1" x14ac:dyDescent="0.25">
      <c r="A56" s="258" t="str">
        <f>договор!A123</f>
        <v>Tel: (78) 113 31 33</v>
      </c>
      <c r="B56" s="258"/>
      <c r="C56" s="258"/>
      <c r="D56" s="258" t="str">
        <f>договор!B123</f>
        <v>90 715 25 25 KLIENT 2-NOMERI</v>
      </c>
      <c r="E56" s="258"/>
      <c r="F56" s="258"/>
    </row>
    <row r="57" spans="1:6" ht="15" customHeight="1" x14ac:dyDescent="0.25">
      <c r="A57" s="258" t="str">
        <f>договор!A124</f>
        <v>(90) 969 53 65</v>
      </c>
      <c r="B57" s="258"/>
      <c r="C57" s="258"/>
      <c r="D57" s="258" t="str">
        <f>договор!B124</f>
        <v>90 413 01 01 SHOXRUX OGLI</v>
      </c>
      <c r="E57" s="258"/>
      <c r="F57" s="258"/>
    </row>
    <row r="58" spans="1:6" ht="23.25" customHeight="1" x14ac:dyDescent="0.25">
      <c r="A58" s="258"/>
      <c r="B58" s="258"/>
      <c r="C58" s="258"/>
      <c r="D58" s="258" t="str">
        <f>IF(договор!B125=0,"",договор!B125)</f>
        <v/>
      </c>
      <c r="E58" s="258"/>
      <c r="F58" s="258"/>
    </row>
    <row r="59" spans="1:6" ht="29.25" customHeight="1" x14ac:dyDescent="0.25">
      <c r="A59" s="308" t="s">
        <v>393</v>
      </c>
      <c r="B59" s="308"/>
      <c r="C59" s="308"/>
      <c r="D59" s="261" t="str">
        <f>договор!B126</f>
        <v>EGAMBERDIYEV T.I.     __________________</v>
      </c>
      <c r="E59" s="261"/>
      <c r="F59" s="261"/>
    </row>
    <row r="60" spans="1:6" ht="15" customHeight="1" x14ac:dyDescent="0.25">
      <c r="A60" s="258"/>
      <c r="B60" s="258"/>
      <c r="C60" s="258"/>
      <c r="D60" s="261"/>
      <c r="E60" s="261"/>
      <c r="F60" s="261"/>
    </row>
    <row r="61" spans="1:6" x14ac:dyDescent="0.25">
      <c r="A61" s="308" t="s">
        <v>396</v>
      </c>
      <c r="B61" s="308"/>
      <c r="C61" s="308"/>
      <c r="D61" s="261"/>
      <c r="E61" s="261"/>
      <c r="F61" s="261"/>
    </row>
    <row r="62" spans="1:6" ht="8.25" customHeight="1" x14ac:dyDescent="0.25">
      <c r="A62" s="258"/>
      <c r="B62" s="258"/>
      <c r="C62" s="258"/>
      <c r="D62" s="258"/>
      <c r="E62" s="258"/>
      <c r="F62" s="258"/>
    </row>
    <row r="63" spans="1:6" ht="30" customHeight="1" x14ac:dyDescent="0.25">
      <c r="A63" s="263"/>
      <c r="B63" s="263"/>
      <c r="C63" s="263"/>
      <c r="D63" s="264"/>
      <c r="E63" s="264"/>
      <c r="F63" s="264"/>
    </row>
    <row r="64" spans="1:6" x14ac:dyDescent="0.25">
      <c r="A64" s="265"/>
      <c r="B64" s="265"/>
      <c r="C64" s="265"/>
      <c r="D64" s="265"/>
      <c r="E64" s="265"/>
      <c r="F64" s="265"/>
    </row>
    <row r="65" spans="1:6" x14ac:dyDescent="0.25">
      <c r="A65" s="262"/>
      <c r="B65" s="262"/>
      <c r="C65" s="262"/>
      <c r="D65" s="262"/>
      <c r="E65" s="262"/>
      <c r="F65" s="262"/>
    </row>
  </sheetData>
  <mergeCells count="41">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s>
  <conditionalFormatting sqref="B9:B44">
    <cfRule type="cellIs" dxfId="1" priority="6" operator="lessThan">
      <formula>22105</formula>
    </cfRule>
  </conditionalFormatting>
  <conditionalFormatting sqref="C9:F44">
    <cfRule type="cellIs" dxfId="0" priority="1" operator="lessThan">
      <formula>0.1</formula>
    </cfRule>
  </conditionalFormatting>
  <pageMargins left="0.70866141732283461" right="0.70866141732283461" top="0.19685039370078741" bottom="0.59055118110236215" header="0.31496062992125984" footer="0.19685039370078741"/>
  <pageSetup paperSize="9" scale="74" fitToWidth="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XFC28"/>
  <sheetViews>
    <sheetView view="pageBreakPreview" topLeftCell="A5" zoomScaleNormal="100" zoomScaleSheetLayoutView="100" workbookViewId="0">
      <selection activeCell="A18" sqref="A18"/>
    </sheetView>
  </sheetViews>
  <sheetFormatPr defaultColWidth="0" defaultRowHeight="15.75" zeroHeight="1" x14ac:dyDescent="0.25"/>
  <cols>
    <col min="1" max="1" width="33" style="10" customWidth="1"/>
    <col min="2" max="2" width="53" style="10" customWidth="1"/>
    <col min="3" max="16383" width="9.140625" style="10" hidden="1"/>
    <col min="16384" max="16384" width="4" style="10" customWidth="1"/>
  </cols>
  <sheetData>
    <row r="5" spans="1:2" x14ac:dyDescent="0.25"/>
    <row r="6" spans="1:2" x14ac:dyDescent="0.25">
      <c r="B6" s="18" t="str">
        <f>'Общие данные'!B148</f>
        <v>«CLEVER MIKROMOLIYA TASHKILOTI» MChJ</v>
      </c>
    </row>
    <row r="7" spans="1:2" ht="20.25" customHeight="1" x14ac:dyDescent="0.25">
      <c r="A7" s="204"/>
      <c r="B7" s="195" t="str">
        <f>""&amp;'Общие данные'!A150&amp;"i "&amp;'Общие данные'!B150&amp;"ga"</f>
        <v>Ijrochi direktori Abduraximov N.K.ga</v>
      </c>
    </row>
    <row r="8" spans="1:2" ht="31.5" x14ac:dyDescent="0.25">
      <c r="A8" s="180"/>
      <c r="B8" s="195" t="str">
        <f>""&amp;'Общие данные'!B111&amp;"dan"</f>
        <v>EGAMBERDIYEV TO‘XTASIN INOYATOVICHdan</v>
      </c>
    </row>
    <row r="9" spans="1:2" ht="15.75" hidden="1" customHeight="1" x14ac:dyDescent="0.25">
      <c r="B9" s="11" t="str">
        <f>'Общие данные'!B111</f>
        <v>EGAMBERDIYEV TO‘XTASIN INOYATOVICH</v>
      </c>
    </row>
    <row r="10" spans="1:2" ht="15.75" hidden="1" customHeight="1" x14ac:dyDescent="0.25">
      <c r="B10" s="11" t="str">
        <f>'Общие данные'!C111</f>
        <v>EGAMBERDIYEV TO‘XTASIN INOYATOVICH</v>
      </c>
    </row>
    <row r="11" spans="1:2" ht="15.75" hidden="1" customHeight="1" x14ac:dyDescent="0.25">
      <c r="B11" s="180" t="s">
        <v>275</v>
      </c>
    </row>
    <row r="12" spans="1:2" x14ac:dyDescent="0.25"/>
    <row r="13" spans="1:2" ht="115.5" customHeight="1" x14ac:dyDescent="0.25">
      <c r="A13" s="290" t="str">
        <f>IF('Общие данные'!B103="Avtotransport",A14,A15)</f>
        <v>EGAMBERDIYEV TO‘XTASIN INOYATOVICH tomonidan so’ralayotgan 36 (O'ttiz olti) oy muddatga, 200 000 000 (ikki yuz million so'm) miqdoridagi mikrokreditning ta’minoti sifatida menga mulk huquqi asosida tegishli bo’lgan  KIA SELTOS G702, kuzov turi - YENGIL LEGKOVAYA, kuzov raqami KNAER81AEM7233541, dvigatel raqami G4NHMH323294, shassi raqami - RAKAMSIZ, rangi -  OQ BELIY JEMCHUG, ishlab chiqarilgan yili - 2021, avtotransport vositasini qabul qilishingizni so’rayman:</v>
      </c>
      <c r="B13" s="290"/>
    </row>
    <row r="14" spans="1:2" ht="124.5" hidden="1" customHeight="1" x14ac:dyDescent="0.25">
      <c r="A14" s="290"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EGAMBERDIYEV TO‘XTASIN INOYATOVICH tomonidan so’ralayotgan 36 (O'ttiz olti) oy muddatga, 200 000 000 (ikki yuz million so'm) miqdoridagi mikrokreditning ta’minoti sifatida menga mulk huquqi asosida tegishli bo’lgan  KIA SELTOS G702, kuzov turi - YENGIL LEGKOVAYA, kuzov raqami KNAER81AEM7233541, dvigatel raqami G4NHMH323294, shassi raqami - RAKAMSIZ, rangi -  OQ BELIY JEMCHUG, ishlab chiqarilgan yili - 2021, avtotransport vositasini qabul qilishingizni so’rayman:</v>
      </c>
      <c r="B14" s="290"/>
    </row>
    <row r="15" spans="1:2" ht="116.25" hidden="1" customHeight="1" x14ac:dyDescent="0.25">
      <c r="A15" s="290"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EGAMBERDIYEV TO‘XTASIN INOYATOVICH tomonidan so’ralayotgan 36 (O'ttiz olti) oy muddatga, 200 000 000 (ikki yuz million so'm) miqdoridagi mikrokreditning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0"/>
    </row>
    <row r="16" spans="1:2" x14ac:dyDescent="0.25"/>
    <row r="17" spans="1:2" x14ac:dyDescent="0.25"/>
    <row r="18" spans="1:2" x14ac:dyDescent="0.25">
      <c r="B18" s="11" t="s">
        <v>274</v>
      </c>
    </row>
    <row r="19" spans="1:2" ht="18.75" customHeight="1" x14ac:dyDescent="0.25">
      <c r="A19" s="10" t="str">
        <f>IF('Общие данные'!B94='Общие данные'!C94,'Общие данные'!B112,'Общие данные'!B7)</f>
        <v>EGAMBERDIYEV T.I.</v>
      </c>
      <c r="B19" s="63" t="str">
        <f>'Общие данные'!B2</f>
        <v>20.01.2025</v>
      </c>
    </row>
    <row r="20" spans="1:2" ht="57" hidden="1" customHeight="1" x14ac:dyDescent="0.25">
      <c r="A20" s="309" t="str">
        <f>IF('Общие данные'!B94='Общие данные'!D94,CONCATENATE(A24," ",A28,A22),"")</f>
        <v/>
      </c>
      <c r="B20" s="309"/>
    </row>
    <row r="21" spans="1:2" x14ac:dyDescent="0.25">
      <c r="A21" s="10" t="s">
        <v>26</v>
      </c>
    </row>
    <row r="22" spans="1:2" hidden="1" x14ac:dyDescent="0.25">
      <c r="A22" s="10"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x14ac:dyDescent="0.25">
      <c r="A24" s="10" t="str">
        <f>"№"&amp;'Общие данные'!B100&amp; ""</f>
        <v>№</v>
      </c>
    </row>
    <row r="25" spans="1:2" hidden="1" x14ac:dyDescent="0.25">
      <c r="A25" s="10" t="str">
        <f>'Общие данные'!B102</f>
        <v>00.01.1900</v>
      </c>
    </row>
    <row r="26" spans="1:2" hidden="1" x14ac:dyDescent="0.25">
      <c r="A26" s="10" t="str">
        <f>TEXT(A25,"ДД.ММ.ГГГГ")</f>
        <v>00.01.1900</v>
      </c>
    </row>
    <row r="27" spans="1:2" hidden="1" x14ac:dyDescent="0.25">
      <c r="A27" s="10" t="s">
        <v>350</v>
      </c>
    </row>
    <row r="28" spans="1:2" hidden="1" x14ac:dyDescent="0.25">
      <c r="A28" s="10"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7"/>
  <sheetViews>
    <sheetView view="pageBreakPreview" topLeftCell="A45" zoomScaleNormal="100" zoomScaleSheetLayoutView="100" workbookViewId="0">
      <selection activeCell="A59" sqref="A59:C59"/>
    </sheetView>
  </sheetViews>
  <sheetFormatPr defaultColWidth="9.140625" defaultRowHeight="15" outlineLevelRow="1" x14ac:dyDescent="0.25"/>
  <cols>
    <col min="1" max="1" width="28.42578125" style="19" customWidth="1"/>
    <col min="2" max="2" width="22.85546875" style="19" customWidth="1"/>
    <col min="3" max="3" width="22.42578125" style="19" customWidth="1"/>
    <col min="4" max="4" width="21.42578125" style="19" customWidth="1"/>
    <col min="5" max="5" width="24.140625" style="19" customWidth="1"/>
    <col min="6" max="16384" width="9.140625" style="19"/>
  </cols>
  <sheetData>
    <row r="1" spans="1:5" ht="106.5" customHeight="1" x14ac:dyDescent="0.25"/>
    <row r="2" spans="1:5" x14ac:dyDescent="0.25">
      <c r="A2" s="254" t="str">
        <f>"GAROV PREDMETI QIYMATINI KELISHISH 
№"&amp;'Общие данные'!B141&amp;" SONLI DALOLATNOMASI
 "</f>
        <v xml:space="preserve">GAROV PREDMETI QIYMATINI KELISHISH 
№1 SONLI DALOLATNOMASI
 </v>
      </c>
      <c r="B2" s="254"/>
      <c r="C2" s="254"/>
      <c r="D2" s="254"/>
      <c r="E2" s="254"/>
    </row>
    <row r="3" spans="1:5" x14ac:dyDescent="0.25">
      <c r="A3" s="44"/>
      <c r="B3" s="44"/>
      <c r="C3" s="44"/>
      <c r="D3" s="44"/>
      <c r="E3" s="44"/>
    </row>
    <row r="4" spans="1:5" x14ac:dyDescent="0.25">
      <c r="A4" s="41" t="s">
        <v>208</v>
      </c>
      <c r="B4" s="41"/>
      <c r="C4" s="41"/>
      <c r="D4" s="41"/>
      <c r="E4" s="41" t="str">
        <f>'Общие данные'!B142</f>
        <v>20 yanvar 2025 y.</v>
      </c>
    </row>
    <row r="5" spans="1:5" ht="9" customHeight="1" x14ac:dyDescent="0.25">
      <c r="A5" s="231"/>
      <c r="B5" s="231"/>
      <c r="C5" s="231"/>
      <c r="D5" s="231"/>
      <c r="E5" s="231"/>
    </row>
    <row r="6" spans="1:5" ht="83.25" customHeight="1" x14ac:dyDescent="0.25">
      <c r="A6" s="231" t="str">
        <f>IF('Общие данные'!B103="avtotransport",'Акт согласования'!A10:E10,'Акт согласования'!A7:E7)</f>
        <v>«CLEVER MIKROMOLIYA TASHKILOTI» MChJning (1-tomon) vakili bo‘lgan  Ijrochi direktor Abduraximov N.K., O‘zbekiston Respublikasi fuqarosi va garovga beruvchi EGAMBERDIYEV TO‘XTASIN INOYATOVICH (2-tomon) o’rtalarida, 20 yanvar 2025 y.dan №134-sonli Mikrokredit shartnomasiga muvofiq 1-tomon 2-tomonga berilgan mikrokredit bo‘yicha ta’minot sifatida taqdim etilgan, 2-tomonga mulk huquqi asosida tegishli bo‘lgan mulkning garov qiymatini kelishish muzokaralari o’tkazildi.</v>
      </c>
      <c r="B6" s="231"/>
      <c r="C6" s="231"/>
      <c r="D6" s="231"/>
      <c r="E6" s="231"/>
    </row>
    <row r="7" spans="1:5" ht="88.5" hidden="1" customHeight="1" x14ac:dyDescent="0.25">
      <c r="A7" s="231" t="str">
        <f>IF('Общие данные'!B93="ha",'Акт согласования'!A9:E9,'Акт согласования'!A8:E8)</f>
        <v xml:space="preserve">«CLEVER MIKROMOLIYA TASHKILOTI» MChJning (1-tomon) vakili bo‘lgan  Ijrochi direktor Abduraximov N.K., va O‘zbekiston Respublikasi fuqarosi  EGAMBERDIYEV TO‘XTASIN INOYATOVICH (2-tomon) va garov egasi EGAMBERDIYEV TO‘XTASIN INOYATOVICH (3-tomon) 20 yanvar 2025 y.dan №134 Mikrokredit shartnomasiga muvofiq 1-tomon 2-tomonga berilgan mikrokredit bo‘yicha ta’minot sifatida taqdim etilgan, 2-tomonga mulk huquqi asosida tegishli bo‘lgan mulkning garov qiymatini kelishish muzokaralari o’tkazildi. </v>
      </c>
      <c r="B7" s="231"/>
      <c r="C7" s="231"/>
      <c r="D7" s="231"/>
      <c r="E7" s="231"/>
    </row>
    <row r="8" spans="1:5" ht="88.5" hidden="1" customHeight="1" x14ac:dyDescent="0.25">
      <c r="A8" s="231"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EGAMBERDIYEV TO‘XTASIN INOYATOVICH (2-tomon) va garov egasi EGAMBERDIYEV TO‘XTASIN INOYATOVICH (3-tomon) 20 yanvar 2025 y.dan №134 Mikrokredit shartnomasiga muvofiq 1-tomon 2-tomonga berilgan mikrokredit bo‘yicha ta’minot sifatida taqdim etilgan, 2-tomonga mulk huquqi asosida tegishli bo‘lgan mulkning garov qiymatini kelishish muzokaralari o’tkazildi. </v>
      </c>
      <c r="B8" s="231"/>
      <c r="C8" s="231"/>
      <c r="D8" s="231"/>
      <c r="E8" s="231"/>
    </row>
    <row r="9" spans="1:5" ht="88.5" hidden="1" customHeight="1" x14ac:dyDescent="0.25">
      <c r="A9" s="231"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EGAMBERDIYEV TO‘XTASIN INOYATOVICH (2-tomon) va garov egasi EGAMBERDIYEV TO‘XTASIN INOYATOVICH (3-tomon) 20 yanvar 2025 y.dan №134 Mikrokredit shartnomasiga muvofiq 1-tomon 2-tomonga berilgan mikrokredit bo‘yicha ta’minot sifatida taqdim etilgan, 2-tomonga mulk huquqi asosida tegishli bo‘lgan mulkning garov qiymatini kelishish muzokaralari o’tkazildi. </v>
      </c>
      <c r="B9" s="231"/>
      <c r="C9" s="231"/>
      <c r="D9" s="231"/>
      <c r="E9" s="231"/>
    </row>
    <row r="10" spans="1:5" ht="88.5" hidden="1" customHeight="1" x14ac:dyDescent="0.25">
      <c r="A10" s="231" t="str">
        <f>IF('Общие данные'!B93="ha",'Акт согласования'!A12:E12,'Акт согласования'!A11:E11)</f>
        <v>«CLEVER MIKROMOLIYA TASHKILOTI» MChJning (1-tomon) vakili bo‘lgan  Ijrochi direktor Abduraximov N.K., O‘zbekiston Respublikasi fuqarosi va garovga beruvchi EGAMBERDIYEV TO‘XTASIN INOYATOVICH (2-tomon) o’rtalarida, 20 yanvar 2025 y.dan №134-sonli Mikrokredit shartnomasiga muvofiq 1-tomon 2-tomonga berilgan mikrokredit bo‘yicha ta’minot sifatida taqdim etilgan, 2-tomonga mulk huquqi asosida tegishli bo‘lgan mulkning garov qiymatini kelishish muzokaralari o’tkazildi.</v>
      </c>
      <c r="B10" s="231"/>
      <c r="C10" s="231"/>
      <c r="D10" s="231"/>
      <c r="E10" s="231"/>
    </row>
    <row r="11" spans="1:5" ht="88.5" hidden="1" customHeight="1" x14ac:dyDescent="0.25">
      <c r="A11" s="231"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Ijrochi direktor Abduraximov N.K., O‘zbekiston Respublikasi fuqarosi EGAMBERDIYEV TO‘XTASIN INOYATOVICH (2-tomon) va garovga beruvchi O‘zbekiston Respublikasi fuqarosi EGAMBERDIYEV TO‘XTASIN INOYATOVICH (3-tomon) o’rtalarida, 20 yanvar 2025 y.dan №134-sonli Mikrokredit shartnomasiga muvofiq 1-tomon 2-tomonga berilgan mikrokredit bo‘yicha ta’minot sifatida taqdim etilgan, 3-tomonga mulk huquqi asosida tegishli bo‘lgan mulkning garov qiymatini kelishish muzokaralari o’tkazildi.</v>
      </c>
      <c r="B11" s="231"/>
      <c r="C11" s="231"/>
      <c r="D11" s="231"/>
      <c r="E11" s="231"/>
    </row>
    <row r="12" spans="1:5" ht="88.5" hidden="1" customHeight="1" x14ac:dyDescent="0.25">
      <c r="A12" s="231"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Ijrochi direktor Abduraximov N.K., O‘zbekiston Respublikasi fuqarosi va garovga beruvchi EGAMBERDIYEV TO‘XTASIN INOYATOVICH (2-tomon) o’rtalarida, 20 yanvar 2025 y.dan №134-sonli Mikrokredit shartnomasiga muvofiq 1-tomon 2-tomonga berilgan mikrokredit bo‘yicha ta’minot sifatida taqdim etilgan, 2-tomonga mulk huquqi asosida tegishli bo‘lgan mulkning garov qiymatini kelishish muzokaralari o’tkazildi.</v>
      </c>
      <c r="B12" s="231"/>
      <c r="C12" s="231"/>
      <c r="D12" s="231"/>
      <c r="E12" s="231"/>
    </row>
    <row r="13" spans="1:5" ht="88.5" hidden="1" customHeight="1" x14ac:dyDescent="0.25">
      <c r="A13" s="231" t="str">
        <f>"Garov predmeti sifatida "&amp;'Общие данные'!B125&amp;", 3-tomonga egalik huquqi tegishli bo'lgan, quyidagi tafsilotlarga ega avtotransport vositasi taqdim etiladi:"</f>
        <v>Garov predmeti sifatida KIA SELTOS G702, 3-tomonga egalik huquqi tegishli bo'lgan, quyidagi tafsilotlarga ega avtotransport vositasi taqdim etiladi:</v>
      </c>
      <c r="B13" s="231"/>
      <c r="C13" s="231"/>
      <c r="D13" s="231"/>
      <c r="E13" s="231"/>
    </row>
    <row r="14" spans="1:5" ht="88.5" hidden="1" customHeight="1" x14ac:dyDescent="0.25">
      <c r="A14" s="231" t="str">
        <f>"Garov predmeti sifatida "&amp;'Общие данные'!B125&amp;", 2-tomonga egalik huquqi tegishli bo'lgan, quyidagi tafsilotlarga ega avtotransport vositasi taqdim etiladi:"</f>
        <v>Garov predmeti sifatida KIA SELTOS G702, 2-tomonga egalik huquqi tegishli bo'lgan, quyidagi tafsilotlarga ega avtotransport vositasi taqdim etiladi:</v>
      </c>
      <c r="B14" s="231"/>
      <c r="C14" s="231"/>
      <c r="D14" s="231"/>
      <c r="E14" s="231"/>
    </row>
    <row r="15" spans="1:5" ht="88.5" hidden="1" customHeight="1" x14ac:dyDescent="0.25">
      <c r="A15" s="231" t="str">
        <f>IF('Общие данные'!B93="ha",'Акт согласования'!A14:E14,'Акт согласования'!A13:E13)</f>
        <v>Garov predmeti sifatida KIA SELTOS G702, 2-tomonga egalik huquqi tegishli bo'lgan, quyidagi tafsilotlarga ega avtotransport vositasi taqdim etiladi:</v>
      </c>
      <c r="B15" s="231"/>
      <c r="C15" s="231"/>
      <c r="D15" s="231"/>
      <c r="E15" s="231"/>
    </row>
    <row r="16" spans="1:5" ht="88.5" hidden="1" customHeight="1" x14ac:dyDescent="0.25">
      <c r="A16" s="231"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1"/>
      <c r="C16" s="231"/>
      <c r="D16" s="231"/>
      <c r="E16" s="231"/>
    </row>
    <row r="17" spans="1:5" ht="13.5" hidden="1" customHeight="1" x14ac:dyDescent="0.25">
      <c r="A17" s="231"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1"/>
      <c r="C17" s="231"/>
      <c r="D17" s="231"/>
      <c r="E17" s="231"/>
    </row>
    <row r="18" spans="1:5" ht="11.25" hidden="1" customHeight="1" x14ac:dyDescent="0.25">
      <c r="A18" s="231" t="str">
        <f>IF('Общие данные'!B93="ha",'Акт согласования'!A16:E16,'Акт согласования'!A17:E17)</f>
        <v>Garov predmeti sifatida 3 - xonali yakka tartibdagi uy-joy, 2-tomonga egalik huquqi tegishli bo'lgan, quyidagi tafsilotlarga ega ko'chmas mulk taqdim etiladi:</v>
      </c>
      <c r="B18" s="231"/>
      <c r="C18" s="231"/>
      <c r="D18" s="231"/>
      <c r="E18" s="231"/>
    </row>
    <row r="19" spans="1:5" ht="39.75" customHeight="1" x14ac:dyDescent="0.25">
      <c r="A19" s="231" t="str">
        <f>IF('Общие данные'!B103="Avtotransport",'Акт согласования'!A15:E15,'Акт согласования'!A18:E18)</f>
        <v>Garov predmeti sifatida KIA SELTOS G702, 2-tomonga egalik huquqi tegishli bo'lgan, quyidagi tafsilotlarga ega avtotransport vositasi taqdim etiladi:</v>
      </c>
      <c r="B19" s="231"/>
      <c r="C19" s="231"/>
      <c r="D19" s="231"/>
      <c r="E19" s="231"/>
    </row>
    <row r="20" spans="1:5" ht="48" customHeight="1" outlineLevel="1" x14ac:dyDescent="0.25">
      <c r="A20" s="43" t="s">
        <v>206</v>
      </c>
      <c r="B20" s="315" t="str">
        <f>IF('Общие данные'!B103='Общие данные'!C103,"Kuzov turi  va kuzov raqami*","Foydali maydoni")</f>
        <v>Kuzov turi  va kuzov raqami*</v>
      </c>
      <c r="C20" s="316"/>
      <c r="D20" s="43" t="str">
        <f>IF('Общие данные'!B103='Общие данные'!C103,"Dvigatel va shassi raqami*","Yashash maydoni")</f>
        <v>Dvigatel va shassi raqami*</v>
      </c>
      <c r="E20" s="43" t="str">
        <f>IF('Общие данные'!B103='Общие данные'!C103,"Ishlab chiqarilgan yili va rangi**","Umumiy maydoni")</f>
        <v>Ishlab chiqarilgan yili va rangi**</v>
      </c>
    </row>
    <row r="21" spans="1:5" ht="65.25" customHeight="1" outlineLevel="1" x14ac:dyDescent="0.25">
      <c r="A21" s="21" t="str">
        <f>IF('Общие данные'!B103='Общие данные'!C103,'Общие данные'!B125,'Общие данные'!C125)</f>
        <v>KIA SELTOS G702</v>
      </c>
      <c r="B21" s="256" t="str">
        <f>IF('Общие данные'!B103='Общие данные'!C103,'Общие данные'!B127,CONCATENATE('Общие данные'!F130," ","kv.m"))</f>
        <v>kuzov turi - YENGIL LEGKOVAYA, kuzov raqami KNAER81AEM7233541</v>
      </c>
      <c r="C21" s="256"/>
      <c r="D21" s="21" t="str">
        <f>IF('Общие данные'!B103='Общие данные'!C103,'Общие данные'!B130,'Общие данные'!E133)</f>
        <v>dvigatel raqami G4NHMH323294, shassi raqami - RAKAMSIZ</v>
      </c>
      <c r="E21" s="21" t="str">
        <f>IF('Общие данные'!B103='Общие данные'!C103,'Общие данные'!B133,'Общие данные'!E130)</f>
        <v>rangi -  OQ BELIY JEMCHUG, ishlab chiqarilgan yili - 2021</v>
      </c>
    </row>
    <row r="22" spans="1:5" ht="17.25" customHeight="1" outlineLevel="1" x14ac:dyDescent="0.25">
      <c r="A22" s="231" t="str">
        <f>"-* "&amp;IF('Общие данные'!B103='Общие данные'!C103,"avtotransport "&amp;"egasi: "&amp;'Общие данные'!B117&amp;"","ko'chmas mulk"&amp;" egasi: "&amp;'Общие данные'!B117&amp;"")</f>
        <v>-* avtotransport egasi: EGAMBERDIYEV TO‘XTASIN INOYATOVICH</v>
      </c>
      <c r="B22" s="231"/>
      <c r="C22" s="231"/>
      <c r="D22" s="231"/>
      <c r="E22" s="231"/>
    </row>
    <row r="23" spans="1:5" outlineLevel="1" x14ac:dyDescent="0.25">
      <c r="A23" s="231" t="str">
        <f>IF('Общие данные'!B103='Общие данные'!C103,"-* texnik pasport: "&amp;'Общие данные'!B124&amp;"","-* reest raqami: "&amp;'Общие данные'!C124&amp;"")</f>
        <v>-* texnik pasport: AAF4345420    08.04.2022</v>
      </c>
      <c r="B23" s="231"/>
      <c r="C23" s="231"/>
      <c r="D23" s="231"/>
      <c r="E23" s="231"/>
    </row>
    <row r="24" spans="1:5" s="210" customFormat="1" outlineLevel="1" x14ac:dyDescent="0.25">
      <c r="A24" s="231" t="str">
        <f>IF('Общие данные'!B103='Общие данные'!C103,"-* roʻyxatdan oʻtgan manzili/garaj manzili: "&amp;'Общие данные'!B122&amp;"","-*  kadastr raqami: "&amp;'Общие данные'!C127&amp;"")</f>
        <v>-* roʻyxatdan oʻtgan manzili/garaj manzili: TOSHKENT SHAHRI UCHTEPA TUMANI 25-MAVZE 4-DOM 34-XONADON</v>
      </c>
      <c r="B24" s="231"/>
      <c r="C24" s="231"/>
      <c r="D24" s="231"/>
      <c r="E24" s="231"/>
    </row>
    <row r="25" spans="1:5" ht="33" customHeight="1" outlineLevel="1" x14ac:dyDescent="0.25">
      <c r="A25" s="231" t="str">
        <f>IF('Общие данные'!B103='Общие данные'!C103,"-* davlat raqami: "&amp;'Общие данные'!B126&amp;"","-* manzili: "&amp;'Общие данные'!C123&amp;"")</f>
        <v>-* davlat raqami: 01R888QA</v>
      </c>
      <c r="B25" s="231"/>
      <c r="C25" s="231"/>
      <c r="D25" s="231"/>
      <c r="E25" s="231"/>
    </row>
    <row r="26" spans="1:5" ht="65.25" customHeight="1" x14ac:dyDescent="0.25">
      <c r="A26" s="231"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20 yanvar 2025 y.dan №134 Mikrokredit shartnomasi bo‘yicha berilgan mikrokredit bo‘yicha  
300 000 000,00 (uch yuz million so'm) so’m bo‘lgan kelishilgan garov qiymatida qabul qiladi::</v>
      </c>
      <c r="B26" s="231"/>
      <c r="C26" s="231"/>
      <c r="D26" s="231"/>
      <c r="E26" s="231"/>
    </row>
    <row r="27" spans="1:5" ht="66" hidden="1" customHeight="1" x14ac:dyDescent="0.25">
      <c r="A27" s="231"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20 yanvar 2025 y.dan №134 mikrokredit shartnomasi bo‘yicha berilgan mikrokredit bo‘yicha  
300 000 000,00 (uch yuz million so'm) so’m bo‘lgan kelishilgan garov qiymatida qabul qiladi::</v>
      </c>
      <c r="B27" s="231"/>
      <c r="C27" s="231"/>
      <c r="D27" s="231"/>
      <c r="E27" s="231"/>
    </row>
    <row r="28" spans="1:5" ht="58.5" hidden="1" customHeight="1" x14ac:dyDescent="0.25">
      <c r="A28" s="231"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20 yanvar 2025 y.dan №134 Mikrokredit shartnomasi bo‘yicha berilgan mikrokredit bo‘yicha  
300 000 000,00 (uch yuz million so'm) so’m bo‘lgan kelishilgan garov qiymatida qabul qiladi::</v>
      </c>
      <c r="B28" s="231"/>
      <c r="C28" s="231"/>
      <c r="D28" s="231"/>
      <c r="E28" s="231"/>
    </row>
    <row r="29" spans="1:5" ht="51.75" customHeight="1" outlineLevel="1" x14ac:dyDescent="0.25">
      <c r="A29" s="43" t="s">
        <v>206</v>
      </c>
      <c r="B29" s="43" t="str">
        <f>B20</f>
        <v>Kuzov turi  va kuzov raqami*</v>
      </c>
      <c r="C29" s="43" t="str">
        <f>D20</f>
        <v>Dvigatel va shassi raqami*</v>
      </c>
      <c r="D29" s="43" t="str">
        <f>IF('Общие данные'!B103='Общие данные'!C103,"Ishlab chiqarilgan yili va rangi*","Foydalanishga topshirilgan sanasi")</f>
        <v>Ishlab chiqarilgan yili va rangi*</v>
      </c>
      <c r="E29" s="43" t="s">
        <v>207</v>
      </c>
    </row>
    <row r="30" spans="1:5" ht="76.5" customHeight="1" outlineLevel="1" x14ac:dyDescent="0.25">
      <c r="A30" s="21" t="str">
        <f>A21</f>
        <v>KIA SELTOS G702</v>
      </c>
      <c r="B30" s="21" t="str">
        <f>B21</f>
        <v>kuzov turi - YENGIL LEGKOVAYA, kuzov raqami KNAER81AEM7233541</v>
      </c>
      <c r="C30" s="21" t="str">
        <f>D21</f>
        <v>dvigatel raqami G4NHMH323294, shassi raqami - RAKAMSIZ</v>
      </c>
      <c r="D30" s="21" t="str">
        <f>IF('Общие данные'!B103='Общие данные'!C103,E21,TEXT('Общие данные'!C135,"ДД.ММ.ГГГГ"))</f>
        <v>rangi -  OQ BELIY JEMCHUG, ishlab chiqarilgan yili - 2021</v>
      </c>
      <c r="E30" s="21" t="str">
        <f>""&amp;FIXED('Общие данные'!B136,2)&amp;" 
("&amp;'Общие данные'!B137&amp;")"</f>
        <v>300 000 000,00 
(uch yuz million so'm)</v>
      </c>
    </row>
    <row r="31" spans="1:5" ht="16.5" customHeight="1" x14ac:dyDescent="0.25">
      <c r="A31" s="20"/>
      <c r="B31" s="20"/>
      <c r="C31" s="20"/>
      <c r="D31" s="20"/>
      <c r="E31" s="20"/>
    </row>
    <row r="32" spans="1:5" ht="56.25" hidden="1" customHeight="1" outlineLevel="1" x14ac:dyDescent="0.25">
      <c r="A32" s="43" t="s">
        <v>5</v>
      </c>
      <c r="B32" s="43" t="s">
        <v>18</v>
      </c>
      <c r="C32" s="43" t="s">
        <v>19</v>
      </c>
      <c r="D32" s="43" t="s">
        <v>20</v>
      </c>
      <c r="E32" s="43" t="s">
        <v>6</v>
      </c>
    </row>
    <row r="33" spans="1:5" ht="15.75" hidden="1" customHeight="1" outlineLevel="1" x14ac:dyDescent="0.25">
      <c r="A33" s="21" t="e">
        <f>#REF!</f>
        <v>#REF!</v>
      </c>
      <c r="B33" s="128" t="e">
        <f>#REF!</f>
        <v>#REF!</v>
      </c>
      <c r="C33" s="128" t="e">
        <f>#REF!</f>
        <v>#REF!</v>
      </c>
      <c r="D33" s="128" t="e">
        <f>#REF!</f>
        <v>#REF!</v>
      </c>
      <c r="E33" s="310" t="str">
        <f>""&amp;FIXED('Общие данные'!C136,2)&amp;" ("&amp;'Общие данные'!B137&amp;")"</f>
        <v>300 000 000,00 (uch yuz million so'm)</v>
      </c>
    </row>
    <row r="34" spans="1:5" ht="15.75" hidden="1" customHeight="1" outlineLevel="1" x14ac:dyDescent="0.25">
      <c r="A34" s="21"/>
      <c r="B34" s="128"/>
      <c r="C34" s="128"/>
      <c r="D34" s="128"/>
      <c r="E34" s="311"/>
    </row>
    <row r="35" spans="1:5" ht="15.75" hidden="1" customHeight="1" outlineLevel="1" x14ac:dyDescent="0.25">
      <c r="A35" s="21" t="e">
        <f>#REF!</f>
        <v>#REF!</v>
      </c>
      <c r="B35" s="128" t="e">
        <f>#REF!</f>
        <v>#REF!</v>
      </c>
      <c r="C35" s="128" t="e">
        <f>#REF!</f>
        <v>#REF!</v>
      </c>
      <c r="D35" s="128" t="e">
        <f>#REF!</f>
        <v>#REF!</v>
      </c>
      <c r="E35" s="311"/>
    </row>
    <row r="36" spans="1:5" ht="15.75" hidden="1" customHeight="1" outlineLevel="1" x14ac:dyDescent="0.25">
      <c r="A36" s="21" t="e">
        <f>#REF!</f>
        <v>#REF!</v>
      </c>
      <c r="B36" s="128" t="e">
        <f>#REF!</f>
        <v>#REF!</v>
      </c>
      <c r="C36" s="128" t="e">
        <f>#REF!</f>
        <v>#REF!</v>
      </c>
      <c r="D36" s="128" t="e">
        <f>#REF!</f>
        <v>#REF!</v>
      </c>
      <c r="E36" s="311"/>
    </row>
    <row r="37" spans="1:5" ht="15.75" hidden="1" customHeight="1" outlineLevel="1" x14ac:dyDescent="0.25">
      <c r="A37" s="21" t="e">
        <f>#REF!</f>
        <v>#REF!</v>
      </c>
      <c r="B37" s="128" t="e">
        <f>#REF!</f>
        <v>#REF!</v>
      </c>
      <c r="C37" s="128" t="e">
        <f>#REF!</f>
        <v>#REF!</v>
      </c>
      <c r="D37" s="128" t="e">
        <f>#REF!</f>
        <v>#REF!</v>
      </c>
      <c r="E37" s="311"/>
    </row>
    <row r="38" spans="1:5" ht="15.75" hidden="1" customHeight="1" outlineLevel="1" x14ac:dyDescent="0.25">
      <c r="A38" s="21" t="e">
        <f>#REF!</f>
        <v>#REF!</v>
      </c>
      <c r="B38" s="128" t="e">
        <f>#REF!</f>
        <v>#REF!</v>
      </c>
      <c r="C38" s="128" t="e">
        <f>#REF!</f>
        <v>#REF!</v>
      </c>
      <c r="D38" s="128" t="e">
        <f>#REF!</f>
        <v>#REF!</v>
      </c>
      <c r="E38" s="311"/>
    </row>
    <row r="39" spans="1:5" ht="15.75" hidden="1" customHeight="1" outlineLevel="1" x14ac:dyDescent="0.25">
      <c r="A39" s="21" t="e">
        <f>#REF!</f>
        <v>#REF!</v>
      </c>
      <c r="B39" s="128" t="e">
        <f>#REF!</f>
        <v>#REF!</v>
      </c>
      <c r="C39" s="128" t="e">
        <f>#REF!</f>
        <v>#REF!</v>
      </c>
      <c r="D39" s="128" t="e">
        <f>#REF!</f>
        <v>#REF!</v>
      </c>
      <c r="E39" s="311"/>
    </row>
    <row r="40" spans="1:5" ht="15.75" hidden="1" customHeight="1" outlineLevel="1" x14ac:dyDescent="0.25">
      <c r="A40" s="21" t="e">
        <f>#REF!</f>
        <v>#REF!</v>
      </c>
      <c r="B40" s="128" t="e">
        <f>#REF!</f>
        <v>#REF!</v>
      </c>
      <c r="C40" s="128" t="e">
        <f>#REF!</f>
        <v>#REF!</v>
      </c>
      <c r="D40" s="128" t="e">
        <f>#REF!</f>
        <v>#REF!</v>
      </c>
      <c r="E40" s="311"/>
    </row>
    <row r="41" spans="1:5" ht="15.75" hidden="1" customHeight="1" outlineLevel="1" x14ac:dyDescent="0.25">
      <c r="A41" s="21" t="e">
        <f>#REF!</f>
        <v>#REF!</v>
      </c>
      <c r="B41" s="128" t="e">
        <f>#REF!</f>
        <v>#REF!</v>
      </c>
      <c r="C41" s="128" t="e">
        <f>#REF!</f>
        <v>#REF!</v>
      </c>
      <c r="D41" s="128" t="e">
        <f>#REF!</f>
        <v>#REF!</v>
      </c>
      <c r="E41" s="311"/>
    </row>
    <row r="42" spans="1:5" ht="15.75" hidden="1" customHeight="1" outlineLevel="1" x14ac:dyDescent="0.25">
      <c r="A42" s="21" t="e">
        <f>#REF!</f>
        <v>#REF!</v>
      </c>
      <c r="B42" s="128" t="e">
        <f>#REF!</f>
        <v>#REF!</v>
      </c>
      <c r="C42" s="128" t="e">
        <f>#REF!</f>
        <v>#REF!</v>
      </c>
      <c r="D42" s="128" t="e">
        <f>#REF!</f>
        <v>#REF!</v>
      </c>
      <c r="E42" s="311"/>
    </row>
    <row r="43" spans="1:5" ht="15.75" hidden="1" customHeight="1" outlineLevel="1" x14ac:dyDescent="0.25">
      <c r="A43" s="21" t="e">
        <f>#REF!</f>
        <v>#REF!</v>
      </c>
      <c r="B43" s="21" t="e">
        <f>#REF!</f>
        <v>#REF!</v>
      </c>
      <c r="C43" s="21" t="e">
        <f>#REF!</f>
        <v>#REF!</v>
      </c>
      <c r="D43" s="21" t="e">
        <f>#REF!</f>
        <v>#REF!</v>
      </c>
      <c r="E43" s="312"/>
    </row>
    <row r="44" spans="1:5" s="41" customFormat="1" ht="15.75" hidden="1" customHeight="1" outlineLevel="1" x14ac:dyDescent="0.2">
      <c r="A44" s="43" t="e">
        <f>#REF!</f>
        <v>#REF!</v>
      </c>
      <c r="B44" s="43" t="e">
        <f>#REF!</f>
        <v>#REF!</v>
      </c>
      <c r="C44" s="43" t="e">
        <f>#REF!</f>
        <v>#REF!</v>
      </c>
      <c r="D44" s="43" t="e">
        <f>#REF!</f>
        <v>#REF!</v>
      </c>
      <c r="E44" s="43" t="str">
        <f>FIXED('Общие данные'!C136,2)</f>
        <v>300 000 000,00</v>
      </c>
    </row>
    <row r="45" spans="1:5" ht="12.75" customHeight="1" collapsed="1" x14ac:dyDescent="0.25">
      <c r="A45" s="20"/>
      <c r="B45" s="20"/>
      <c r="C45" s="20"/>
      <c r="D45" s="20"/>
      <c r="E45" s="20"/>
    </row>
    <row r="46" spans="1:5" ht="93.75" hidden="1" customHeight="1" x14ac:dyDescent="0.25">
      <c r="A46" s="23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1"/>
      <c r="C46" s="231"/>
      <c r="D46" s="231"/>
      <c r="E46" s="231"/>
    </row>
    <row r="47" spans="1:5" ht="42" customHeight="1" x14ac:dyDescent="0.25">
      <c r="A47" s="231" t="s">
        <v>211</v>
      </c>
      <c r="B47" s="231"/>
      <c r="C47" s="231"/>
      <c r="D47" s="231"/>
      <c r="E47" s="231"/>
    </row>
    <row r="48" spans="1:5" ht="35.25" customHeight="1" x14ac:dyDescent="0.25">
      <c r="A48" s="231" t="str">
        <f>"Shunday qilib, garov predmetining kelishilgan garov qiymati  "&amp;FIXED('Общие данные'!B136)&amp;" ("&amp;'Общие данные'!B137&amp;") so‘mni tashkil etadi."</f>
        <v>Shunday qilib, garov predmetining kelishilgan garov qiymati  300 000 000,00 (uch yuz million so'm) so‘mni tashkil etadi.</v>
      </c>
      <c r="B48" s="231"/>
      <c r="C48" s="231"/>
      <c r="D48" s="231"/>
      <c r="E48" s="231"/>
    </row>
    <row r="49" spans="1:6" ht="35.25" hidden="1" customHeight="1" x14ac:dyDescent="0.25">
      <c r="A49" s="23"/>
      <c r="B49" s="23"/>
      <c r="C49" s="23"/>
      <c r="D49" s="23">
        <f>IF('Общие данные'!B92='Общие данные'!C92,'Общие данные'!C136,IF('Общие данные'!B92='Общие данные'!D92,'Данные для послед. Залога'!M22,0))</f>
        <v>300000000</v>
      </c>
      <c r="E49" s="23" t="str">
        <f>IF('Общие данные'!B92='Общие данные'!C92,'Общие данные'!B137,IF('Общие данные'!B92='Общие данные'!D92,'Данные для послед. Залога'!Q22,0))</f>
        <v>uch yuz million so'm</v>
      </c>
    </row>
    <row r="50" spans="1:6" x14ac:dyDescent="0.25">
      <c r="A50" s="308" t="s">
        <v>212</v>
      </c>
      <c r="B50" s="308"/>
      <c r="C50" s="308"/>
      <c r="D50" s="26"/>
      <c r="E50" s="26"/>
    </row>
    <row r="51" spans="1:6" x14ac:dyDescent="0.25">
      <c r="A51" s="232" t="str">
        <f>'Общие данные'!B148</f>
        <v>«CLEVER MIKROMOLIYA TASHKILOTI» MChJ</v>
      </c>
      <c r="B51" s="232"/>
      <c r="C51" s="232"/>
      <c r="D51" s="194"/>
      <c r="E51" s="194"/>
    </row>
    <row r="52" spans="1:6" ht="15" customHeight="1" x14ac:dyDescent="0.25">
      <c r="A52" s="232" t="str">
        <f>""&amp;'Общие данные'!A150&amp;"i"</f>
        <v>Ijrochi direktori</v>
      </c>
      <c r="B52" s="232"/>
      <c r="C52" s="232"/>
      <c r="D52" s="308" t="str">
        <f>"_______________   "&amp;'Общие данные'!B150&amp;""</f>
        <v>_______________   Abduraximov N.K.</v>
      </c>
      <c r="E52" s="308"/>
    </row>
    <row r="53" spans="1:6" x14ac:dyDescent="0.25">
      <c r="A53" s="60"/>
      <c r="B53" s="60"/>
      <c r="C53" s="60"/>
      <c r="D53" s="60"/>
      <c r="E53" s="60"/>
    </row>
    <row r="54" spans="1:6" x14ac:dyDescent="0.25">
      <c r="A54" s="308"/>
      <c r="B54" s="308"/>
      <c r="C54" s="308"/>
      <c r="D54" s="60"/>
      <c r="E54" s="60"/>
    </row>
    <row r="55" spans="1:6" hidden="1" x14ac:dyDescent="0.25">
      <c r="A55" s="232" t="s">
        <v>46</v>
      </c>
      <c r="B55" s="232"/>
      <c r="C55" s="232"/>
      <c r="D55" s="60"/>
      <c r="E55" s="60"/>
    </row>
    <row r="56" spans="1:6" hidden="1" x14ac:dyDescent="0.25">
      <c r="A56" s="232" t="str">
        <f>'Общие данные'!B148</f>
        <v>«CLEVER MIKROMOLIYA TASHKILOTI» MChJ</v>
      </c>
      <c r="B56" s="232"/>
      <c r="C56" s="232"/>
      <c r="D56" s="232" t="str">
        <f>"_______________   "&amp;'Общие данные'!B159&amp;""</f>
        <v>_______________   Mominov B.X.</v>
      </c>
      <c r="E56" s="232"/>
    </row>
    <row r="57" spans="1:6" ht="12.75" customHeight="1" x14ac:dyDescent="0.25">
      <c r="A57" s="232"/>
      <c r="B57" s="232"/>
      <c r="C57" s="232"/>
      <c r="D57" s="232"/>
      <c r="E57" s="232"/>
    </row>
    <row r="58" spans="1:6" x14ac:dyDescent="0.25">
      <c r="A58" s="308" t="s">
        <v>213</v>
      </c>
      <c r="B58" s="308"/>
      <c r="C58" s="308"/>
      <c r="D58" s="232"/>
      <c r="E58" s="232"/>
    </row>
    <row r="59" spans="1:6" ht="31.5" customHeight="1" x14ac:dyDescent="0.25">
      <c r="A59" s="232" t="s">
        <v>214</v>
      </c>
      <c r="B59" s="232"/>
      <c r="C59" s="232"/>
      <c r="D59" s="308" t="str">
        <f>"_______________  "&amp;'Общие данные'!B7&amp;""</f>
        <v>_______________  EGAMBERDIYEV T.I.</v>
      </c>
      <c r="E59" s="308"/>
    </row>
    <row r="60" spans="1:6" ht="12.75" customHeight="1" x14ac:dyDescent="0.25">
      <c r="A60" s="232"/>
      <c r="B60" s="232"/>
      <c r="C60" s="232"/>
      <c r="D60" s="313" t="str">
        <f>IF('Общие данные'!B93="да","",'Общие данные'!B118)</f>
        <v>EGAMBERDIYEV T.I.</v>
      </c>
      <c r="E60" s="313"/>
    </row>
    <row r="61" spans="1:6" ht="17.25" customHeight="1" x14ac:dyDescent="0.25">
      <c r="A61" s="308" t="str">
        <f>+IF('Общие данные'!B93="ha"," ","3-tomondan:")</f>
        <v xml:space="preserve"> </v>
      </c>
      <c r="B61" s="308"/>
      <c r="C61" s="308"/>
      <c r="D61" s="314"/>
      <c r="E61" s="314"/>
      <c r="F61" s="19" t="str">
        <f>IF('Общие данные'!B94='Общие данные'!D94,B7,"")</f>
        <v/>
      </c>
    </row>
    <row r="62" spans="1:6" ht="29.25" customHeight="1" x14ac:dyDescent="0.25">
      <c r="A62" s="232" t="str">
        <f>+IF('Общие данные'!B93="ha"," ","O'zbekiston Respublikasi fuqarosi")</f>
        <v xml:space="preserve"> </v>
      </c>
      <c r="B62" s="232"/>
      <c r="C62" s="232"/>
      <c r="D62" s="308" t="str">
        <f>IF('Общие данные'!B93='Общие данные'!C93,"",A63)</f>
        <v/>
      </c>
      <c r="E62" s="308"/>
    </row>
    <row r="63" spans="1:6" ht="3" customHeight="1" x14ac:dyDescent="0.25">
      <c r="A63" s="219" t="str">
        <f>IF('Общие данные'!B94='Общие данные'!C94,"_______________  "&amp;'Общие данные'!B112&amp;"","_______________  "&amp;'Общие данные'!B7&amp;"")</f>
        <v>_______________  EGAMBERDIYEV T.I.</v>
      </c>
      <c r="B63" s="60"/>
      <c r="C63" s="232" t="str">
        <f>'заявление залогодателя'!A20</f>
        <v/>
      </c>
      <c r="D63" s="232"/>
      <c r="E63" s="232"/>
    </row>
    <row r="64" spans="1:6" x14ac:dyDescent="0.25">
      <c r="D64" s="263"/>
      <c r="E64" s="263"/>
    </row>
    <row r="65" spans="1:5" ht="6" customHeight="1" x14ac:dyDescent="0.25">
      <c r="A65" s="265" t="str">
        <f>'заявление залогодателя'!A20:B20</f>
        <v/>
      </c>
      <c r="B65" s="265"/>
      <c r="C65" s="265"/>
      <c r="D65" s="265"/>
      <c r="E65" s="265"/>
    </row>
    <row r="66" spans="1:5" x14ac:dyDescent="0.25">
      <c r="A66" s="265"/>
      <c r="B66" s="265"/>
      <c r="C66" s="265"/>
      <c r="D66" s="265"/>
      <c r="E66" s="265"/>
    </row>
    <row r="67" spans="1:5" ht="13.5" customHeight="1" x14ac:dyDescent="0.25">
      <c r="A67" s="265"/>
      <c r="B67" s="265"/>
      <c r="C67" s="265"/>
      <c r="D67" s="265"/>
      <c r="E67" s="265"/>
    </row>
  </sheetData>
  <mergeCells count="52">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D58:E58"/>
    <mergeCell ref="A59:C59"/>
    <mergeCell ref="D59:E59"/>
    <mergeCell ref="A60:C60"/>
    <mergeCell ref="D60:E60"/>
    <mergeCell ref="A26:E26"/>
    <mergeCell ref="A25:E25"/>
    <mergeCell ref="A54:C54"/>
    <mergeCell ref="A55:C55"/>
    <mergeCell ref="A57:C57"/>
    <mergeCell ref="D57:E57"/>
    <mergeCell ref="A2:E2"/>
    <mergeCell ref="A11:E11"/>
    <mergeCell ref="A12:E12"/>
    <mergeCell ref="A13:E13"/>
    <mergeCell ref="A10:E10"/>
    <mergeCell ref="A5:E5"/>
    <mergeCell ref="A6:E6"/>
    <mergeCell ref="A7:E7"/>
    <mergeCell ref="A8:E8"/>
    <mergeCell ref="A9:E9"/>
    <mergeCell ref="A65:E67"/>
    <mergeCell ref="A56:C56"/>
    <mergeCell ref="D56:E56"/>
    <mergeCell ref="A27:E27"/>
    <mergeCell ref="A50:C50"/>
    <mergeCell ref="A51:C51"/>
    <mergeCell ref="A52:C52"/>
    <mergeCell ref="D52:E52"/>
    <mergeCell ref="A46:E46"/>
    <mergeCell ref="A47:E47"/>
    <mergeCell ref="E33:E43"/>
    <mergeCell ref="A28:E28"/>
    <mergeCell ref="A48:E48"/>
    <mergeCell ref="D64:E64"/>
    <mergeCell ref="C63:E63"/>
    <mergeCell ref="A58:C5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15" zoomScaleSheetLayoutView="100" workbookViewId="0">
      <selection activeCell="A24" sqref="A24:E25"/>
    </sheetView>
  </sheetViews>
  <sheetFormatPr defaultColWidth="9.140625" defaultRowHeight="15" outlineLevelRow="1" x14ac:dyDescent="0.25"/>
  <cols>
    <col min="1" max="1" width="23.85546875" style="19" customWidth="1"/>
    <col min="2" max="2" width="23.28515625" style="19" customWidth="1"/>
    <col min="3" max="3" width="17" style="19" customWidth="1"/>
    <col min="4" max="4" width="17.5703125" style="19" customWidth="1"/>
    <col min="5" max="5" width="19.7109375" style="19" customWidth="1"/>
    <col min="6" max="16384" width="9.140625" style="19"/>
  </cols>
  <sheetData>
    <row r="3" spans="1:5" ht="16.5" customHeight="1" x14ac:dyDescent="0.25"/>
    <row r="4" spans="1:5" ht="17.25" customHeight="1" x14ac:dyDescent="0.25">
      <c r="A4" s="261" t="str">
        <f>""&amp;'Общие данные'!B147&amp;" ijrochi direktorining
"&amp;'Общие данные'!B165&amp;"dagi "&amp;'Общие данные'!B164&amp;"-sonli buyrug‘i"</f>
        <v>«CLEVER MIKROMOLIYA TASHKILOTI» MChJ ijrochi direktorining
20 yanvar 2025 y.dagi №134-sonli buyrug‘i</v>
      </c>
      <c r="B4" s="261"/>
      <c r="C4" s="261"/>
      <c r="D4" s="261"/>
      <c r="E4" s="261"/>
    </row>
    <row r="5" spans="1:5" x14ac:dyDescent="0.25">
      <c r="A5" s="261"/>
      <c r="B5" s="261"/>
      <c r="C5" s="261"/>
      <c r="D5" s="261"/>
      <c r="E5" s="261"/>
    </row>
    <row r="6" spans="1:5" x14ac:dyDescent="0.25">
      <c r="A6" s="261"/>
      <c r="B6" s="261"/>
      <c r="C6" s="261"/>
      <c r="D6" s="261"/>
      <c r="E6" s="261"/>
    </row>
    <row r="7" spans="1:5" x14ac:dyDescent="0.25">
      <c r="A7" s="231"/>
      <c r="B7" s="231"/>
      <c r="C7" s="231"/>
      <c r="D7" s="231"/>
      <c r="E7" s="231"/>
    </row>
    <row r="8" spans="1:5" ht="53.25" customHeight="1" x14ac:dyDescent="0.25">
      <c r="A8" s="231" t="str">
        <f>"Men, "&amp;'Общие данные'!B151&amp;", "&amp;'Общие данные'!B147&amp;" ijrochi direktori, jismoniy shaxs "&amp;'Общие данные'!B10&amp;"ga quyidagi shartlarda "&amp;'Общие данные'!B65&amp;" berishni buyuraman:"</f>
        <v>Men, Abduraximov Nаdirbek Kamilevich, «CLEVER MIKROMOLIYA TASHKILOTI» MChJ ijrochi direktori, jismoniy shaxs EGAMBERDIYEV TO‘XTASIN INOYATOVICHga quyidagi shartlarda mikrokredit berishni buyuraman:</v>
      </c>
      <c r="B8" s="231"/>
      <c r="C8" s="231"/>
      <c r="D8" s="231"/>
      <c r="E8" s="231"/>
    </row>
    <row r="9" spans="1:5" ht="26.25" customHeight="1" x14ac:dyDescent="0.25">
      <c r="A9" s="231" t="str">
        <f>'Кредитная заявка'!A13:D13</f>
        <v>Mikrokredit summasi: 200 000 000,00 (ikki yuz million so'm) so'm.</v>
      </c>
      <c r="B9" s="231"/>
      <c r="C9" s="231"/>
      <c r="D9" s="231"/>
      <c r="E9" s="231"/>
    </row>
    <row r="10" spans="1:5" ht="21" customHeight="1" x14ac:dyDescent="0.25">
      <c r="A10" s="231" t="str">
        <f>'Кредитная заявка'!A14:D14</f>
        <v>Mikrokredit muddati: 36 (O'ttiz olti) oy.</v>
      </c>
      <c r="B10" s="231"/>
      <c r="C10" s="231"/>
      <c r="D10" s="231"/>
      <c r="E10" s="231"/>
    </row>
    <row r="11" spans="1:5" ht="27" customHeight="1" x14ac:dyDescent="0.25">
      <c r="A11" s="231" t="str">
        <f>'Кредитная заявка'!A15:D15</f>
        <v>Mikrokreditdan foydalanganlik uchun foiz stavkasi: yillik  60% (Oltmish) foiz</v>
      </c>
      <c r="B11" s="231"/>
      <c r="C11" s="231"/>
      <c r="D11" s="231"/>
      <c r="E11" s="231"/>
    </row>
    <row r="12" spans="1:5" ht="26.25" customHeight="1" x14ac:dyDescent="0.25">
      <c r="A12" s="231" t="str">
        <f>'Кредитная заявка'!A16:D16</f>
        <v>Mikrokredit bo'yicha asosiy qarz va foizlarni to'lash:</v>
      </c>
      <c r="B12" s="231"/>
      <c r="C12" s="231"/>
      <c r="D12" s="231"/>
      <c r="E12" s="231"/>
    </row>
    <row r="13" spans="1:5" ht="21.75" hidden="1" customHeight="1" x14ac:dyDescent="0.25">
      <c r="A13" s="231" t="str">
        <f>'Кредитная заявка'!A17:D17</f>
        <v xml:space="preserve"> - mikrokredit shartnomasi bo'yicha har oy differensial to'lovlari amalga oshiriladi</v>
      </c>
      <c r="B13" s="231"/>
      <c r="C13" s="231"/>
      <c r="D13" s="231"/>
      <c r="E13" s="231"/>
    </row>
    <row r="14" spans="1:5" hidden="1" x14ac:dyDescent="0.25">
      <c r="A14" s="231" t="str">
        <f>'Кредитная заявка'!A19:D19</f>
        <v xml:space="preserve"> - mikrokredit shartnomasi bo'yicha har oy differensial to'lovlari amalga oshiriladi</v>
      </c>
      <c r="B14" s="231"/>
      <c r="C14" s="231"/>
      <c r="D14" s="231"/>
      <c r="E14" s="231"/>
    </row>
    <row r="15" spans="1:5" ht="23.25" customHeight="1" x14ac:dyDescent="0.25">
      <c r="A15" s="231" t="str">
        <f>IF('Общие данные'!B103="Avtotransport",'Приказ на сделку'!A14:E14,'Приказ на сделку'!A13:E13)</f>
        <v xml:space="preserve"> - mikrokredit shartnomasi bo'yicha har oy differensial to'lovlari amalga oshiriladi</v>
      </c>
      <c r="B15" s="231"/>
      <c r="C15" s="231"/>
      <c r="D15" s="231"/>
      <c r="E15" s="231"/>
    </row>
    <row r="16" spans="1:5" ht="45.75" customHeight="1" x14ac:dyDescent="0.25">
      <c r="A16" s="232"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EGAMBERDIYEV TO‘XTASIN INOYATOVICHga tegishli KIA SELTOS G702 ko'rinishidagi transport vositasini quyidagi ma'lumotlarga muvofiq garovga qabul qilinsin:</v>
      </c>
      <c r="B16" s="232"/>
      <c r="C16" s="232"/>
      <c r="D16" s="232"/>
      <c r="E16" s="232"/>
    </row>
    <row r="17" spans="1:5" ht="50.25" hidden="1" customHeight="1" x14ac:dyDescent="0.25">
      <c r="A17" s="231" t="str">
        <f>""&amp;'Общие данные'!C117&amp;"ga tegishli "&amp;'Общие данные'!C126&amp;" ko'rinishidagi ko'chmas mulkni quyidagi ma'lumotlarga muvofiq  garovga qabul qilinsin:"</f>
        <v>EGAMBERDIYEV TO‘XTASIN INOYATOVICHga tegishli 3 - xonali yakka tartibdagi uy-joy ko'rinishidagi ko'chmas mulkni quyidagi ma'lumotlarga muvofiq  garovga qabul qilinsin:</v>
      </c>
      <c r="B17" s="231"/>
      <c r="C17" s="231"/>
      <c r="D17" s="231"/>
      <c r="E17" s="231"/>
    </row>
    <row r="18" spans="1:5" ht="47.25" hidden="1" customHeight="1" x14ac:dyDescent="0.25">
      <c r="A18" s="231" t="str">
        <f>""&amp;'Общие данные'!B117&amp;"ga tegishli "&amp;'Общие данные'!B125&amp;" ko'rinishidagi transport vositasini quyidagi ma'lumotlarga muvofiq garovga qabul qilinsin:"</f>
        <v>EGAMBERDIYEV TO‘XTASIN INOYATOVICHga tegishli KIA SELTOS G702 ko'rinishidagi transport vositasini quyidagi ma'lumotlarga muvofiq garovga qabul qilinsin:</v>
      </c>
      <c r="B18" s="231"/>
      <c r="C18" s="231"/>
      <c r="D18" s="231"/>
      <c r="E18" s="231"/>
    </row>
    <row r="19" spans="1:5" s="41" customFormat="1" ht="60" customHeight="1" outlineLevel="1" x14ac:dyDescent="0.2">
      <c r="A19" s="43" t="str">
        <f>'Акт согласования'!A29</f>
        <v>Nomi</v>
      </c>
      <c r="B19" s="43" t="str">
        <f>'Акт согласования'!B29</f>
        <v>Kuzov turi  va kuzov raqami*</v>
      </c>
      <c r="C19" s="43" t="str">
        <f>'Акт согласования'!C29</f>
        <v>Dvigatel va shassi raqami*</v>
      </c>
      <c r="D19" s="43" t="str">
        <f>'Акт согласования'!D29</f>
        <v>Ishlab chiqarilgan yili va rangi*</v>
      </c>
      <c r="E19" s="43" t="str">
        <f>'Акт согласования'!E29</f>
        <v>Kelishilgan garov qiymati, so'm</v>
      </c>
    </row>
    <row r="20" spans="1:5" ht="91.5" customHeight="1" outlineLevel="1" x14ac:dyDescent="0.25">
      <c r="A20" s="21" t="str">
        <f>'Акт согласования'!A30</f>
        <v>KIA SELTOS G702</v>
      </c>
      <c r="B20" s="21" t="str">
        <f>'Акт согласования'!B30</f>
        <v>kuzov turi - YENGIL LEGKOVAYA, kuzov raqami KNAER81AEM7233541</v>
      </c>
      <c r="C20" s="21" t="str">
        <f>'Акт согласования'!C30</f>
        <v>dvigatel raqami G4NHMH323294, shassi raqami - RAKAMSIZ</v>
      </c>
      <c r="D20" s="21" t="str">
        <f>'Акт согласования'!D30</f>
        <v>rangi -  OQ BELIY JEMCHUG, ishlab chiqarilgan yili - 2021</v>
      </c>
      <c r="E20" s="21" t="str">
        <f>'Акт согласования'!E30</f>
        <v>300 000 000,00 
(uch yuz million so'm)</v>
      </c>
    </row>
    <row r="21" spans="1:5" ht="20.25" customHeight="1" outlineLevel="1" x14ac:dyDescent="0.25">
      <c r="A21" s="231" t="str">
        <f>'Акт согласования'!A22:E22</f>
        <v>-* avtotransport egasi: EGAMBERDIYEV TO‘XTASIN INOYATOVICH</v>
      </c>
      <c r="B21" s="231"/>
      <c r="C21" s="231"/>
      <c r="D21" s="231"/>
      <c r="E21" s="231"/>
    </row>
    <row r="22" spans="1:5" ht="21" customHeight="1" outlineLevel="1" x14ac:dyDescent="0.25">
      <c r="A22" s="231" t="str">
        <f>'Акт согласования'!A23:E23</f>
        <v>-* texnik pasport: AAF4345420    08.04.2022</v>
      </c>
      <c r="B22" s="231"/>
      <c r="C22" s="231"/>
      <c r="D22" s="231"/>
      <c r="E22" s="231"/>
    </row>
    <row r="23" spans="1:5" ht="39" customHeight="1" outlineLevel="1" x14ac:dyDescent="0.25">
      <c r="A23" s="231" t="str">
        <f>'Акт согласования'!A24:E24</f>
        <v>-* roʻyxatdan oʻtgan manzili/garaj manzili: TOSHKENT SHAHRI UCHTEPA TUMANI 25-MAVZE 4-DOM 34-XONADON</v>
      </c>
      <c r="B23" s="231"/>
      <c r="C23" s="231"/>
      <c r="D23" s="231"/>
      <c r="E23" s="231"/>
    </row>
    <row r="24" spans="1:5" ht="35.25" customHeight="1" outlineLevel="1" x14ac:dyDescent="0.25">
      <c r="A24" s="231" t="str">
        <f>'Акт согласования'!A25:E25</f>
        <v>-* davlat raqami: 01R888QA</v>
      </c>
      <c r="B24" s="231"/>
      <c r="C24" s="231"/>
      <c r="D24" s="231"/>
      <c r="E24" s="231"/>
    </row>
    <row r="25" spans="1:5" x14ac:dyDescent="0.25">
      <c r="A25" s="231"/>
      <c r="B25" s="231"/>
      <c r="C25" s="231"/>
      <c r="D25" s="231"/>
      <c r="E25" s="231"/>
    </row>
    <row r="26" spans="1:5" s="41" customFormat="1" ht="41.25" hidden="1" customHeight="1" outlineLevel="1" x14ac:dyDescent="0.2">
      <c r="A26" s="43" t="s">
        <v>206</v>
      </c>
      <c r="B26" s="43" t="s">
        <v>263</v>
      </c>
      <c r="C26" s="43" t="s">
        <v>280</v>
      </c>
      <c r="D26" s="43" t="s">
        <v>209</v>
      </c>
      <c r="E26" s="43" t="str">
        <f>'Акт согласования'!E29</f>
        <v>Kelishilgan garov qiymati, so'm</v>
      </c>
    </row>
    <row r="27" spans="1:5" hidden="1" outlineLevel="1" x14ac:dyDescent="0.25">
      <c r="A27" s="21" t="e">
        <f>'Акт согласования'!A33</f>
        <v>#REF!</v>
      </c>
      <c r="B27" s="128" t="e">
        <f>'Акт согласования'!B33</f>
        <v>#REF!</v>
      </c>
      <c r="C27" s="128" t="e">
        <f>'Акт согласования'!C33</f>
        <v>#REF!</v>
      </c>
      <c r="D27" s="128" t="e">
        <f>'Акт согласования'!D33</f>
        <v>#REF!</v>
      </c>
      <c r="E27" s="256" t="str">
        <f>'Акт согласования'!E33</f>
        <v>300 000 000,00 (uch yuz million so'm)</v>
      </c>
    </row>
    <row r="28" spans="1:5" hidden="1" outlineLevel="1" x14ac:dyDescent="0.25">
      <c r="A28" s="21">
        <f>'Акт согласования'!A34</f>
        <v>0</v>
      </c>
      <c r="B28" s="128">
        <f>'Акт согласования'!B34</f>
        <v>0</v>
      </c>
      <c r="C28" s="128">
        <f>'Акт согласования'!C34</f>
        <v>0</v>
      </c>
      <c r="D28" s="128">
        <f>'Акт согласования'!D34</f>
        <v>0</v>
      </c>
      <c r="E28" s="256"/>
    </row>
    <row r="29" spans="1:5" hidden="1" outlineLevel="1" x14ac:dyDescent="0.25">
      <c r="A29" s="21" t="e">
        <f>'Акт согласования'!A35</f>
        <v>#REF!</v>
      </c>
      <c r="B29" s="128" t="e">
        <f>'Акт согласования'!B35</f>
        <v>#REF!</v>
      </c>
      <c r="C29" s="128" t="e">
        <f>'Акт согласования'!C35</f>
        <v>#REF!</v>
      </c>
      <c r="D29" s="128" t="e">
        <f>'Акт согласования'!D35</f>
        <v>#REF!</v>
      </c>
      <c r="E29" s="256"/>
    </row>
    <row r="30" spans="1:5" hidden="1" outlineLevel="1" x14ac:dyDescent="0.25">
      <c r="A30" s="21" t="e">
        <f>'Акт согласования'!A36</f>
        <v>#REF!</v>
      </c>
      <c r="B30" s="128" t="e">
        <f>'Акт согласования'!B36</f>
        <v>#REF!</v>
      </c>
      <c r="C30" s="128" t="e">
        <f>'Акт согласования'!C36</f>
        <v>#REF!</v>
      </c>
      <c r="D30" s="128" t="e">
        <f>'Акт согласования'!D36</f>
        <v>#REF!</v>
      </c>
      <c r="E30" s="256"/>
    </row>
    <row r="31" spans="1:5" hidden="1" outlineLevel="1" x14ac:dyDescent="0.25">
      <c r="A31" s="21" t="e">
        <f>'Акт согласования'!A37</f>
        <v>#REF!</v>
      </c>
      <c r="B31" s="128" t="e">
        <f>'Акт согласования'!B37</f>
        <v>#REF!</v>
      </c>
      <c r="C31" s="128" t="e">
        <f>'Акт согласования'!C37</f>
        <v>#REF!</v>
      </c>
      <c r="D31" s="128" t="e">
        <f>'Акт согласования'!D37</f>
        <v>#REF!</v>
      </c>
      <c r="E31" s="256"/>
    </row>
    <row r="32" spans="1:5" hidden="1" outlineLevel="1" x14ac:dyDescent="0.25">
      <c r="A32" s="21" t="e">
        <f>'Акт согласования'!A38</f>
        <v>#REF!</v>
      </c>
      <c r="B32" s="128" t="e">
        <f>'Акт согласования'!B38</f>
        <v>#REF!</v>
      </c>
      <c r="C32" s="128" t="e">
        <f>'Акт согласования'!C38</f>
        <v>#REF!</v>
      </c>
      <c r="D32" s="128" t="e">
        <f>'Акт согласования'!D38</f>
        <v>#REF!</v>
      </c>
      <c r="E32" s="256"/>
    </row>
    <row r="33" spans="1:5" hidden="1" outlineLevel="1" x14ac:dyDescent="0.25">
      <c r="A33" s="21" t="e">
        <f>'Акт согласования'!A39</f>
        <v>#REF!</v>
      </c>
      <c r="B33" s="128" t="e">
        <f>'Акт согласования'!B39</f>
        <v>#REF!</v>
      </c>
      <c r="C33" s="128" t="e">
        <f>'Акт согласования'!C39</f>
        <v>#REF!</v>
      </c>
      <c r="D33" s="128" t="e">
        <f>'Акт согласования'!D39</f>
        <v>#REF!</v>
      </c>
      <c r="E33" s="256"/>
    </row>
    <row r="34" spans="1:5" hidden="1" outlineLevel="1" x14ac:dyDescent="0.25">
      <c r="A34" s="21" t="e">
        <f>'Акт согласования'!A40</f>
        <v>#REF!</v>
      </c>
      <c r="B34" s="128" t="e">
        <f>'Акт согласования'!B40</f>
        <v>#REF!</v>
      </c>
      <c r="C34" s="128" t="e">
        <f>'Акт согласования'!C40</f>
        <v>#REF!</v>
      </c>
      <c r="D34" s="128" t="e">
        <f>'Акт согласования'!D40</f>
        <v>#REF!</v>
      </c>
      <c r="E34" s="256"/>
    </row>
    <row r="35" spans="1:5" hidden="1" outlineLevel="1" x14ac:dyDescent="0.25">
      <c r="A35" s="21" t="e">
        <f>'Акт согласования'!A41</f>
        <v>#REF!</v>
      </c>
      <c r="B35" s="128" t="e">
        <f>'Акт согласования'!B41</f>
        <v>#REF!</v>
      </c>
      <c r="C35" s="128" t="e">
        <f>'Акт согласования'!C41</f>
        <v>#REF!</v>
      </c>
      <c r="D35" s="128" t="e">
        <f>'Акт согласования'!D41</f>
        <v>#REF!</v>
      </c>
      <c r="E35" s="256"/>
    </row>
    <row r="36" spans="1:5" hidden="1" outlineLevel="1" x14ac:dyDescent="0.25">
      <c r="A36" s="21" t="e">
        <f>'Акт согласования'!A42</f>
        <v>#REF!</v>
      </c>
      <c r="B36" s="128" t="e">
        <f>'Акт согласования'!B42</f>
        <v>#REF!</v>
      </c>
      <c r="C36" s="128" t="e">
        <f>'Акт согласования'!C42</f>
        <v>#REF!</v>
      </c>
      <c r="D36" s="128" t="e">
        <f>'Акт согласования'!D42</f>
        <v>#REF!</v>
      </c>
      <c r="E36" s="256"/>
    </row>
    <row r="37" spans="1:5" hidden="1" outlineLevel="1" x14ac:dyDescent="0.25">
      <c r="A37" s="21" t="e">
        <f>'Акт согласования'!A43</f>
        <v>#REF!</v>
      </c>
      <c r="B37" s="21" t="e">
        <f>'Акт согласования'!B43</f>
        <v>#REF!</v>
      </c>
      <c r="C37" s="21" t="e">
        <f>'Акт согласования'!C43</f>
        <v>#REF!</v>
      </c>
      <c r="D37" s="21" t="e">
        <f>'Акт согласования'!D43</f>
        <v>#REF!</v>
      </c>
      <c r="E37" s="256"/>
    </row>
    <row r="38" spans="1:5" s="41" customFormat="1" ht="14.25" hidden="1" outlineLevel="1" x14ac:dyDescent="0.2">
      <c r="A38" s="43" t="e">
        <f>'Акт согласования'!A44</f>
        <v>#REF!</v>
      </c>
      <c r="B38" s="43" t="e">
        <f>'Акт согласования'!B44</f>
        <v>#REF!</v>
      </c>
      <c r="C38" s="43" t="e">
        <f>'Акт согласования'!C44</f>
        <v>#REF!</v>
      </c>
      <c r="D38" s="43" t="e">
        <f>'Акт согласования'!D44</f>
        <v>#REF!</v>
      </c>
      <c r="E38" s="43" t="str">
        <f>'Акт согласования'!E44</f>
        <v>300 000 000,00</v>
      </c>
    </row>
    <row r="39" spans="1:5" s="41" customFormat="1" ht="15" hidden="1" customHeight="1" outlineLevel="1" x14ac:dyDescent="0.2">
      <c r="A39" s="231" t="e">
        <f>_xlfn.SINGLE('Акт согласования'!#REF!)</f>
        <v>#REF!</v>
      </c>
      <c r="B39" s="231"/>
      <c r="C39" s="231"/>
      <c r="D39" s="231"/>
      <c r="E39" s="231"/>
    </row>
    <row r="40" spans="1:5" s="41" customFormat="1" hidden="1" outlineLevel="1" x14ac:dyDescent="0.2">
      <c r="A40" s="231" t="e">
        <f>_xlfn.SINGLE('Акт согласования'!#REF!)</f>
        <v>#REF!</v>
      </c>
      <c r="B40" s="231"/>
      <c r="C40" s="231"/>
      <c r="D40" s="231"/>
      <c r="E40" s="231"/>
    </row>
    <row r="41" spans="1:5" s="41" customFormat="1" hidden="1" outlineLevel="1" x14ac:dyDescent="0.2">
      <c r="A41" s="231" t="e">
        <f>_xlfn.SINGLE('Акт согласования'!#REF!)</f>
        <v>#REF!</v>
      </c>
      <c r="B41" s="231"/>
      <c r="C41" s="231"/>
      <c r="D41" s="231"/>
      <c r="E41" s="231"/>
    </row>
    <row r="42" spans="1:5" s="41" customFormat="1" hidden="1" outlineLevel="1" x14ac:dyDescent="0.2">
      <c r="A42" s="231" t="e">
        <f>_xlfn.SINGLE('Акт согласования'!#REF!)</f>
        <v>#REF!</v>
      </c>
      <c r="B42" s="231"/>
      <c r="C42" s="231"/>
      <c r="D42" s="231"/>
      <c r="E42" s="231"/>
    </row>
    <row r="43" spans="1:5" s="41" customFormat="1" collapsed="1" x14ac:dyDescent="0.2">
      <c r="A43" s="231"/>
      <c r="B43" s="231"/>
      <c r="C43" s="231"/>
      <c r="D43" s="231"/>
      <c r="E43" s="231"/>
    </row>
    <row r="44" spans="1:5" s="41" customFormat="1" x14ac:dyDescent="0.2">
      <c r="A44" s="231"/>
      <c r="B44" s="231"/>
      <c r="C44" s="231"/>
      <c r="D44" s="231"/>
      <c r="E44" s="231"/>
    </row>
    <row r="45" spans="1:5" s="41" customFormat="1" hidden="1" x14ac:dyDescent="0.2">
      <c r="A45" s="231"/>
      <c r="B45" s="231"/>
      <c r="C45" s="231"/>
      <c r="D45" s="231"/>
      <c r="E45" s="231"/>
    </row>
    <row r="46" spans="1:5" s="41" customFormat="1" ht="14.25" hidden="1" x14ac:dyDescent="0.2">
      <c r="A46" s="57"/>
      <c r="B46" s="57"/>
      <c r="C46" s="57"/>
      <c r="D46" s="57"/>
      <c r="E46" s="57"/>
    </row>
    <row r="47" spans="1:5" hidden="1" x14ac:dyDescent="0.25">
      <c r="A47" s="231"/>
      <c r="B47" s="231"/>
      <c r="C47" s="231"/>
      <c r="D47" s="231"/>
      <c r="E47" s="231"/>
    </row>
    <row r="48" spans="1:5" ht="15" customHeight="1" x14ac:dyDescent="0.25">
      <c r="A48" s="308" t="s">
        <v>381</v>
      </c>
      <c r="B48" s="308"/>
      <c r="C48" s="308"/>
      <c r="D48" s="317"/>
      <c r="E48" s="317"/>
    </row>
    <row r="49" spans="1:5" ht="15" customHeight="1" x14ac:dyDescent="0.25">
      <c r="A49" s="308" t="s">
        <v>397</v>
      </c>
      <c r="B49" s="308"/>
      <c r="C49" s="308"/>
      <c r="D49" s="317" t="s">
        <v>398</v>
      </c>
      <c r="E49" s="317"/>
    </row>
    <row r="50" spans="1:5" x14ac:dyDescent="0.25">
      <c r="A50" s="231"/>
      <c r="B50" s="231"/>
      <c r="C50" s="231"/>
      <c r="D50" s="231"/>
      <c r="E50" s="231"/>
    </row>
    <row r="51" spans="1:5" x14ac:dyDescent="0.25">
      <c r="A51" s="231"/>
      <c r="B51" s="231"/>
      <c r="C51" s="231"/>
      <c r="D51" s="231"/>
      <c r="E51" s="231"/>
    </row>
    <row r="52" spans="1:5" x14ac:dyDescent="0.25">
      <c r="A52" s="231"/>
      <c r="B52" s="231"/>
      <c r="C52" s="231"/>
      <c r="D52" s="231"/>
      <c r="E52" s="231"/>
    </row>
    <row r="53" spans="1:5" x14ac:dyDescent="0.25">
      <c r="A53" s="231"/>
      <c r="B53" s="231"/>
      <c r="C53" s="231"/>
      <c r="D53" s="231"/>
      <c r="E53" s="231"/>
    </row>
    <row r="54" spans="1:5" x14ac:dyDescent="0.25">
      <c r="A54" s="231"/>
      <c r="B54" s="231"/>
      <c r="C54" s="231"/>
      <c r="D54" s="231"/>
      <c r="E54" s="231"/>
    </row>
    <row r="55" spans="1:5" x14ac:dyDescent="0.25">
      <c r="A55" s="231"/>
      <c r="B55" s="231"/>
      <c r="C55" s="231"/>
      <c r="D55" s="231"/>
      <c r="E55" s="231"/>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3" zoomScaleSheetLayoutView="100" workbookViewId="0">
      <selection activeCell="D30" sqref="C30:D30"/>
    </sheetView>
  </sheetViews>
  <sheetFormatPr defaultColWidth="9.140625" defaultRowHeight="15" x14ac:dyDescent="0.25"/>
  <cols>
    <col min="1" max="1" width="3.42578125" style="19" customWidth="1"/>
    <col min="2" max="3" width="17.85546875" style="24" customWidth="1"/>
    <col min="4" max="4" width="15" style="24" customWidth="1"/>
    <col min="5" max="5" width="17.85546875" style="24" customWidth="1"/>
    <col min="6" max="6" width="9" style="24" customWidth="1"/>
    <col min="7" max="7" width="4.7109375" style="24" customWidth="1"/>
    <col min="8" max="16384" width="9.140625" style="19"/>
  </cols>
  <sheetData>
    <row r="1" spans="2:7" ht="15.75" thickBot="1" x14ac:dyDescent="0.3"/>
    <row r="2" spans="2:7" ht="62.25" customHeight="1" x14ac:dyDescent="0.35">
      <c r="B2" s="323" t="str">
        <f>'Общие данные'!B148</f>
        <v>«CLEVER MIKROMOLIYA TASHKILOTI» MChJ</v>
      </c>
      <c r="C2" s="324"/>
      <c r="D2" s="324"/>
      <c r="E2" s="324"/>
      <c r="F2" s="325"/>
      <c r="G2" s="45"/>
    </row>
    <row r="3" spans="2:7" x14ac:dyDescent="0.25">
      <c r="B3" s="318"/>
      <c r="C3" s="265"/>
      <c r="D3" s="265"/>
      <c r="E3" s="265"/>
      <c r="F3" s="319"/>
      <c r="G3" s="46"/>
    </row>
    <row r="4" spans="2:7" ht="8.25" customHeight="1" x14ac:dyDescent="0.25">
      <c r="B4" s="61"/>
      <c r="F4" s="62"/>
      <c r="G4" s="46"/>
    </row>
    <row r="5" spans="2:7" ht="12" customHeight="1" x14ac:dyDescent="0.25">
      <c r="B5" s="48"/>
      <c r="C5" s="46"/>
      <c r="D5" s="46"/>
      <c r="E5" s="46"/>
      <c r="F5" s="49"/>
      <c r="G5" s="46"/>
    </row>
    <row r="6" spans="2:7" ht="6.75" customHeight="1" x14ac:dyDescent="0.25">
      <c r="B6" s="48"/>
      <c r="C6" s="46"/>
      <c r="D6" s="46"/>
      <c r="E6" s="46"/>
      <c r="F6" s="49"/>
      <c r="G6" s="46"/>
    </row>
    <row r="7" spans="2:7" ht="6.75" customHeight="1" x14ac:dyDescent="0.25">
      <c r="B7" s="48"/>
      <c r="C7" s="46"/>
      <c r="D7" s="46"/>
      <c r="E7" s="46"/>
      <c r="F7" s="49"/>
      <c r="G7" s="46"/>
    </row>
    <row r="8" spans="2:7" x14ac:dyDescent="0.25">
      <c r="B8" s="48"/>
      <c r="C8" s="46"/>
      <c r="D8" s="46"/>
      <c r="E8" s="46"/>
      <c r="F8" s="49"/>
      <c r="G8" s="46"/>
    </row>
    <row r="9" spans="2:7" x14ac:dyDescent="0.25">
      <c r="B9" s="48"/>
      <c r="C9" s="46"/>
      <c r="D9" s="46"/>
      <c r="E9" s="46"/>
      <c r="F9" s="49"/>
      <c r="G9" s="46"/>
    </row>
    <row r="10" spans="2:7" x14ac:dyDescent="0.25">
      <c r="B10" s="318" t="s">
        <v>26</v>
      </c>
      <c r="C10" s="265"/>
      <c r="D10" s="265"/>
      <c r="E10" s="265"/>
      <c r="F10" s="319"/>
      <c r="G10" s="46"/>
    </row>
    <row r="11" spans="2:7" x14ac:dyDescent="0.25">
      <c r="B11" s="318" t="s">
        <v>26</v>
      </c>
      <c r="C11" s="265"/>
      <c r="D11" s="265"/>
      <c r="E11" s="265"/>
      <c r="F11" s="319"/>
      <c r="G11" s="46"/>
    </row>
    <row r="12" spans="2:7" ht="135" customHeight="1" x14ac:dyDescent="0.8">
      <c r="B12" s="326" t="str">
        <f>'Общие данные'!B5</f>
        <v>EGAMBERDIYEV TO‘XTASIN INOYATOVICH</v>
      </c>
      <c r="C12" s="327"/>
      <c r="D12" s="327"/>
      <c r="E12" s="327"/>
      <c r="F12" s="328"/>
      <c r="G12" s="47"/>
    </row>
    <row r="13" spans="2:7" x14ac:dyDescent="0.25">
      <c r="B13" s="318"/>
      <c r="C13" s="265"/>
      <c r="D13" s="265"/>
      <c r="E13" s="265"/>
      <c r="F13" s="319"/>
      <c r="G13" s="46"/>
    </row>
    <row r="14" spans="2:7" x14ac:dyDescent="0.25">
      <c r="B14" s="48"/>
      <c r="C14" s="46"/>
      <c r="D14" s="46"/>
      <c r="E14" s="46"/>
      <c r="F14" s="49"/>
      <c r="G14" s="46"/>
    </row>
    <row r="15" spans="2:7" x14ac:dyDescent="0.25">
      <c r="B15" s="48"/>
      <c r="C15" s="46"/>
      <c r="D15" s="46"/>
      <c r="E15" s="46"/>
      <c r="F15" s="49"/>
      <c r="G15" s="46"/>
    </row>
    <row r="16" spans="2:7" x14ac:dyDescent="0.25">
      <c r="B16" s="48"/>
      <c r="C16" s="46"/>
      <c r="D16" s="46"/>
      <c r="E16" s="46"/>
      <c r="F16" s="49"/>
      <c r="G16" s="46"/>
    </row>
    <row r="17" spans="2:7" x14ac:dyDescent="0.25">
      <c r="B17" s="48"/>
      <c r="C17" s="46"/>
      <c r="D17" s="46"/>
      <c r="E17" s="46"/>
      <c r="F17" s="49"/>
      <c r="G17" s="46"/>
    </row>
    <row r="18" spans="2:7" x14ac:dyDescent="0.25">
      <c r="B18" s="318"/>
      <c r="C18" s="265"/>
      <c r="D18" s="265"/>
      <c r="E18" s="265"/>
      <c r="F18" s="319"/>
      <c r="G18" s="46"/>
    </row>
    <row r="19" spans="2:7" ht="20.25" x14ac:dyDescent="0.3">
      <c r="B19" s="320" t="str">
        <f>""&amp;'Общие данные'!C64&amp;" shartnoma "&amp;'Общие данные'!B74&amp;""</f>
        <v>Mikrokredit shartnoma 20 yanvar 2025 y.dan №134</v>
      </c>
      <c r="C19" s="321"/>
      <c r="D19" s="321"/>
      <c r="E19" s="321"/>
      <c r="F19" s="322"/>
      <c r="G19" s="46"/>
    </row>
    <row r="20" spans="2:7" x14ac:dyDescent="0.25">
      <c r="B20" s="318"/>
      <c r="C20" s="265"/>
      <c r="D20" s="265"/>
      <c r="E20" s="265"/>
      <c r="F20" s="319"/>
      <c r="G20" s="46"/>
    </row>
    <row r="21" spans="2:7" x14ac:dyDescent="0.25">
      <c r="B21" s="318"/>
      <c r="C21" s="265"/>
      <c r="D21" s="265"/>
      <c r="E21" s="265"/>
      <c r="F21" s="319"/>
      <c r="G21" s="46"/>
    </row>
    <row r="22" spans="2:7" x14ac:dyDescent="0.25">
      <c r="B22" s="318"/>
      <c r="C22" s="265"/>
      <c r="D22" s="265"/>
      <c r="E22" s="265"/>
      <c r="F22" s="319"/>
      <c r="G22" s="46"/>
    </row>
    <row r="23" spans="2:7" x14ac:dyDescent="0.25">
      <c r="B23" s="318"/>
      <c r="C23" s="265"/>
      <c r="D23" s="265"/>
      <c r="E23" s="265"/>
      <c r="F23" s="319"/>
      <c r="G23" s="46"/>
    </row>
    <row r="24" spans="2:7" x14ac:dyDescent="0.25">
      <c r="B24" s="332" t="str">
        <f>" Foiz stavkasi: "&amp;'Общие данные'!B85&amp;"%"</f>
        <v xml:space="preserve"> Foiz stavkasi: 60%</v>
      </c>
      <c r="C24" s="235"/>
      <c r="D24" s="235"/>
      <c r="E24" s="235"/>
      <c r="F24" s="333"/>
      <c r="G24" s="46"/>
    </row>
    <row r="25" spans="2:7" ht="15" customHeight="1" x14ac:dyDescent="0.25">
      <c r="B25" s="332" t="str">
        <f>" "&amp;'Общие данные'!C64&amp;" muddati: "&amp;'Общие данные'!B81&amp;" oy"</f>
        <v xml:space="preserve"> Mikrokredit muddati: 36 oy</v>
      </c>
      <c r="C25" s="235"/>
      <c r="D25" s="235"/>
      <c r="E25" s="235"/>
      <c r="F25" s="333"/>
      <c r="G25" s="46"/>
    </row>
    <row r="26" spans="2:7" x14ac:dyDescent="0.25">
      <c r="B26" s="332" t="str">
        <f>" "&amp;'Общие данные'!C64&amp;" miqdori: "&amp;FIXED('Общие данные'!B75,2)&amp;" so'm"</f>
        <v xml:space="preserve"> Mikrokredit miqdori: 200 000 000,00 so'm</v>
      </c>
      <c r="C26" s="235"/>
      <c r="D26" s="235"/>
      <c r="E26" s="235"/>
      <c r="F26" s="333"/>
      <c r="G26" s="46"/>
    </row>
    <row r="27" spans="2:7" x14ac:dyDescent="0.25">
      <c r="B27" s="318"/>
      <c r="C27" s="265"/>
      <c r="D27" s="265"/>
      <c r="E27" s="265"/>
      <c r="F27" s="319"/>
      <c r="G27" s="46"/>
    </row>
    <row r="28" spans="2:7" hidden="1" x14ac:dyDescent="0.25">
      <c r="G28" s="46"/>
    </row>
    <row r="29" spans="2:7" x14ac:dyDescent="0.25">
      <c r="B29" s="318"/>
      <c r="C29" s="265"/>
      <c r="D29" s="265"/>
      <c r="E29" s="265"/>
      <c r="F29" s="319"/>
      <c r="G29" s="46"/>
    </row>
    <row r="30" spans="2:7" ht="12.75" customHeight="1" x14ac:dyDescent="0.25">
      <c r="B30" s="48"/>
      <c r="C30" s="46"/>
      <c r="D30" s="46"/>
      <c r="E30" s="46"/>
      <c r="F30" s="49"/>
      <c r="G30" s="46"/>
    </row>
    <row r="31" spans="2:7" x14ac:dyDescent="0.25">
      <c r="B31" s="48"/>
      <c r="C31" s="46"/>
      <c r="D31" s="46"/>
      <c r="E31" s="46"/>
      <c r="F31" s="49"/>
      <c r="G31" s="46"/>
    </row>
    <row r="32" spans="2:7" ht="2.25" customHeight="1" x14ac:dyDescent="0.25">
      <c r="B32" s="48"/>
      <c r="C32" s="46"/>
      <c r="D32" s="46"/>
      <c r="E32" s="46"/>
      <c r="F32" s="49"/>
      <c r="G32" s="46"/>
    </row>
    <row r="33" spans="2:7" x14ac:dyDescent="0.25">
      <c r="B33" s="48"/>
      <c r="C33" s="46"/>
      <c r="D33" s="46"/>
      <c r="E33" s="46"/>
      <c r="F33" s="49"/>
      <c r="G33" s="46"/>
    </row>
    <row r="34" spans="2:7" x14ac:dyDescent="0.25">
      <c r="B34" s="48"/>
      <c r="C34" s="46"/>
      <c r="D34" s="46"/>
      <c r="E34" s="46"/>
      <c r="F34" s="49"/>
      <c r="G34" s="46"/>
    </row>
    <row r="35" spans="2:7" x14ac:dyDescent="0.25">
      <c r="B35" s="48"/>
      <c r="C35" s="46"/>
      <c r="D35" s="46"/>
      <c r="E35" s="46"/>
      <c r="F35" s="49"/>
      <c r="G35" s="46"/>
    </row>
    <row r="36" spans="2:7" x14ac:dyDescent="0.25">
      <c r="B36" s="48"/>
      <c r="C36" s="46"/>
      <c r="D36" s="46"/>
      <c r="E36" s="46"/>
      <c r="F36" s="49"/>
      <c r="G36" s="46"/>
    </row>
    <row r="37" spans="2:7" x14ac:dyDescent="0.25">
      <c r="B37" s="48"/>
      <c r="C37" s="46"/>
      <c r="D37" s="46"/>
      <c r="E37" s="46"/>
      <c r="F37" s="49"/>
      <c r="G37" s="46"/>
    </row>
    <row r="38" spans="2:7" x14ac:dyDescent="0.25">
      <c r="B38" s="48"/>
      <c r="C38" s="46"/>
      <c r="D38" s="46"/>
      <c r="E38" s="46"/>
      <c r="F38" s="49"/>
      <c r="G38" s="46"/>
    </row>
    <row r="39" spans="2:7" x14ac:dyDescent="0.25">
      <c r="B39" s="48"/>
      <c r="C39" s="46"/>
      <c r="D39" s="46"/>
      <c r="E39" s="46"/>
      <c r="F39" s="49"/>
      <c r="G39" s="46"/>
    </row>
    <row r="40" spans="2:7" ht="15.75" thickBot="1" x14ac:dyDescent="0.3">
      <c r="B40" s="329" t="str">
        <f>"Toshkent sh., "&amp;'Общие данные'!B70&amp;""</f>
        <v>Toshkent sh., 20 yanvar 2025 y.</v>
      </c>
      <c r="C40" s="330"/>
      <c r="D40" s="330"/>
      <c r="E40" s="330"/>
      <c r="F40" s="331"/>
      <c r="G40" s="46"/>
    </row>
    <row r="41" spans="2:7" x14ac:dyDescent="0.25">
      <c r="B41" s="265"/>
      <c r="C41" s="265"/>
      <c r="D41" s="265"/>
      <c r="E41" s="265"/>
      <c r="F41" s="265"/>
      <c r="G41" s="46"/>
    </row>
    <row r="42" spans="2:7" x14ac:dyDescent="0.25">
      <c r="B42" s="265"/>
      <c r="C42" s="265"/>
      <c r="D42" s="265"/>
      <c r="E42" s="265"/>
      <c r="F42" s="265"/>
      <c r="G42" s="46"/>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9" customWidth="1"/>
    <col min="2" max="2" width="21.28515625" style="19" customWidth="1"/>
    <col min="3" max="3" width="19.140625" style="19" customWidth="1"/>
    <col min="4" max="5" width="21.28515625" style="19" customWidth="1"/>
    <col min="6" max="16384" width="9.140625" style="19"/>
  </cols>
  <sheetData>
    <row r="2" spans="1:5" x14ac:dyDescent="0.25">
      <c r="A2" s="125" t="s">
        <v>48</v>
      </c>
    </row>
    <row r="3" spans="1:5" x14ac:dyDescent="0.25">
      <c r="A3" s="125" t="s">
        <v>49</v>
      </c>
    </row>
    <row r="6" spans="1:5" ht="20.25" customHeight="1" x14ac:dyDescent="0.25">
      <c r="E6" s="126" t="s">
        <v>35</v>
      </c>
    </row>
    <row r="7" spans="1:5" x14ac:dyDescent="0.25">
      <c r="E7" s="126" t="s">
        <v>50</v>
      </c>
    </row>
    <row r="9" spans="1:5" ht="107.25" customHeight="1" x14ac:dyDescent="0.25">
      <c r="A9" s="335"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EGAMBERDIYEV TO‘XTASIN INOYATOVICH  (паспорт: AD 1582556 IIV 60001  tomonidan 25.07.2022 yilda berilgan) заключен договор микрозайма 20 yanvar 2025 y.dan №134, на сумму 200 000 000,00 (ikki yuz million so'm) сум, сроком на 36 (O'ttiz olti) месяцев. В качестве своевременного исполнения обязательств по договору Микрозайма 20 yanvar 2025 y.dan №134 планирует предоставить нижеследующее автотранспортного средство марки KIA SELTOS G702 принадлежащее на правах собственности EGAMBERDIYEV TO‘XTASIN INOYATOVICH</v>
      </c>
      <c r="B9" s="335"/>
      <c r="C9" s="335"/>
      <c r="D9" s="335"/>
      <c r="E9" s="335"/>
    </row>
    <row r="11" spans="1:5" ht="28.5" x14ac:dyDescent="0.25">
      <c r="A11" s="43" t="str">
        <f>'Приказ на сделку'!A19</f>
        <v>Nomi</v>
      </c>
      <c r="B11" s="43" t="str">
        <f>'Приказ на сделку'!B19</f>
        <v>Kuzov turi  va kuzov raqami*</v>
      </c>
      <c r="C11" s="43" t="str">
        <f>'Приказ на сделку'!C19</f>
        <v>Dvigatel va shassi raqami*</v>
      </c>
      <c r="D11" s="43" t="str">
        <f>'Приказ на сделку'!D19</f>
        <v>Ishlab chiqarilgan yili va rangi*</v>
      </c>
      <c r="E11" s="43" t="str">
        <f>'Приказ на сделку'!E19</f>
        <v>Kelishilgan garov qiymati, so'm</v>
      </c>
    </row>
    <row r="12" spans="1:5" ht="73.5" customHeight="1" x14ac:dyDescent="0.25">
      <c r="A12" s="43" t="str">
        <f>'Приказ на сделку'!A20</f>
        <v>KIA SELTOS G702</v>
      </c>
      <c r="B12" s="43" t="str">
        <f>'Приказ на сделку'!B20</f>
        <v>kuzov turi - YENGIL LEGKOVAYA, kuzov raqami KNAER81AEM7233541</v>
      </c>
      <c r="C12" s="43" t="str">
        <f>'Приказ на сделку'!C20</f>
        <v>dvigatel raqami G4NHMH323294, shassi raqami - RAKAMSIZ</v>
      </c>
      <c r="D12" s="43" t="str">
        <f>'Приказ на сделку'!D20</f>
        <v>rangi -  OQ BELIY JEMCHUG, ishlab chiqarilgan yili - 2021</v>
      </c>
      <c r="E12" s="43" t="str">
        <f>'Приказ на сделку'!E20</f>
        <v>300 000 000,00 
(uch yuz million so'm)</v>
      </c>
    </row>
    <row r="13" spans="1:5" x14ac:dyDescent="0.25">
      <c r="A13" s="336" t="str">
        <f>'Приказ на сделку'!A21:E21</f>
        <v>-* avtotransport egasi: EGAMBERDIYEV TO‘XTASIN INOYATOVICH</v>
      </c>
      <c r="B13" s="336"/>
      <c r="C13" s="336"/>
      <c r="D13" s="336"/>
      <c r="E13" s="336"/>
    </row>
    <row r="14" spans="1:5" x14ac:dyDescent="0.25">
      <c r="A14" s="336" t="str">
        <f>'Приказ на сделку'!A22:E22</f>
        <v>-* texnik pasport: AAF4345420    08.04.2022</v>
      </c>
      <c r="B14" s="336"/>
      <c r="C14" s="336"/>
      <c r="D14" s="336"/>
      <c r="E14" s="336"/>
    </row>
    <row r="15" spans="1:5" x14ac:dyDescent="0.25">
      <c r="A15" s="336" t="str">
        <f>'Приказ на сделку'!A23:E23</f>
        <v>-* roʻyxatdan oʻtgan manzili/garaj manzili: TOSHKENT SHAHRI UCHTEPA TUMANI 25-MAVZE 4-DOM 34-XONADON</v>
      </c>
      <c r="B15" s="336"/>
      <c r="C15" s="336"/>
      <c r="D15" s="336"/>
      <c r="E15" s="336"/>
    </row>
    <row r="16" spans="1:5" x14ac:dyDescent="0.25">
      <c r="A16" s="336" t="str">
        <f>'Приказ на сделку'!A24:E24</f>
        <v>-* davlat raqami: 01R888QA</v>
      </c>
      <c r="B16" s="336"/>
      <c r="C16" s="336"/>
      <c r="D16" s="336"/>
      <c r="E16" s="336"/>
    </row>
    <row r="17" spans="1:5" ht="3" customHeight="1" x14ac:dyDescent="0.25"/>
    <row r="19" spans="1:5" ht="59.25" hidden="1" customHeight="1" x14ac:dyDescent="0.25">
      <c r="A19" s="43" t="str">
        <f>'Акт согласования'!A32</f>
        <v>Наименование</v>
      </c>
      <c r="B19" s="43" t="str">
        <f>'Акт согласования'!B32</f>
        <v>Полезная площадь</v>
      </c>
      <c r="C19" s="43" t="str">
        <f>'Акт согласования'!C32</f>
        <v>Жилая площадь</v>
      </c>
      <c r="D19" s="43" t="str">
        <f>'Акт согласования'!D32</f>
        <v>Общая площадь</v>
      </c>
      <c r="E19" s="43" t="str">
        <f>'Акт согласования'!E32</f>
        <v>Согласованная залоговая стоимость, сум</v>
      </c>
    </row>
    <row r="20" spans="1:5" ht="17.25" hidden="1" customHeight="1" x14ac:dyDescent="0.25">
      <c r="A20" s="21" t="e">
        <f>'Акт согласования'!A33</f>
        <v>#REF!</v>
      </c>
      <c r="B20" s="21" t="e">
        <f>'Акт согласования'!B33</f>
        <v>#REF!</v>
      </c>
      <c r="C20" s="21" t="e">
        <f>'Акт согласования'!C33</f>
        <v>#REF!</v>
      </c>
      <c r="D20" s="21" t="e">
        <f>'Акт согласования'!D33</f>
        <v>#REF!</v>
      </c>
      <c r="E20" s="310" t="str">
        <f>""&amp;FIXED('Общие данные'!C136,2)&amp;" ("&amp;'Общие данные'!C137&amp;")"</f>
        <v>300 000 000,00 (uch yuz million so'm)</v>
      </c>
    </row>
    <row r="21" spans="1:5" ht="17.25" hidden="1" customHeight="1" x14ac:dyDescent="0.25">
      <c r="A21" s="21">
        <f>'Акт согласования'!A34</f>
        <v>0</v>
      </c>
      <c r="B21" s="21">
        <f>'Акт согласования'!B34</f>
        <v>0</v>
      </c>
      <c r="C21" s="21">
        <f>'Акт согласования'!C34</f>
        <v>0</v>
      </c>
      <c r="D21" s="21">
        <f>'Акт согласования'!D34</f>
        <v>0</v>
      </c>
      <c r="E21" s="311"/>
    </row>
    <row r="22" spans="1:5" ht="17.25" hidden="1" customHeight="1" x14ac:dyDescent="0.25">
      <c r="A22" s="21" t="e">
        <f>'Акт согласования'!A35</f>
        <v>#REF!</v>
      </c>
      <c r="B22" s="21" t="e">
        <f>'Акт согласования'!B35</f>
        <v>#REF!</v>
      </c>
      <c r="C22" s="21" t="e">
        <f>'Акт согласования'!C35</f>
        <v>#REF!</v>
      </c>
      <c r="D22" s="21" t="e">
        <f>'Акт согласования'!D35</f>
        <v>#REF!</v>
      </c>
      <c r="E22" s="311"/>
    </row>
    <row r="23" spans="1:5" ht="17.25" hidden="1" customHeight="1" x14ac:dyDescent="0.25">
      <c r="A23" s="21" t="e">
        <f>'Акт согласования'!A36</f>
        <v>#REF!</v>
      </c>
      <c r="B23" s="21" t="e">
        <f>'Акт согласования'!B36</f>
        <v>#REF!</v>
      </c>
      <c r="C23" s="21" t="e">
        <f>'Акт согласования'!C36</f>
        <v>#REF!</v>
      </c>
      <c r="D23" s="21" t="e">
        <f>'Акт согласования'!D36</f>
        <v>#REF!</v>
      </c>
      <c r="E23" s="311"/>
    </row>
    <row r="24" spans="1:5" ht="17.25" hidden="1" customHeight="1" x14ac:dyDescent="0.25">
      <c r="A24" s="21" t="e">
        <f>'Акт согласования'!A37</f>
        <v>#REF!</v>
      </c>
      <c r="B24" s="21" t="e">
        <f>'Акт согласования'!B37</f>
        <v>#REF!</v>
      </c>
      <c r="C24" s="21" t="e">
        <f>'Акт согласования'!C37</f>
        <v>#REF!</v>
      </c>
      <c r="D24" s="21" t="e">
        <f>'Акт согласования'!D37</f>
        <v>#REF!</v>
      </c>
      <c r="E24" s="311"/>
    </row>
    <row r="25" spans="1:5" ht="15.75" hidden="1" customHeight="1" x14ac:dyDescent="0.25">
      <c r="A25" s="21" t="e">
        <f>'Акт согласования'!A38</f>
        <v>#REF!</v>
      </c>
      <c r="B25" s="21" t="e">
        <f>'Акт согласования'!B38</f>
        <v>#REF!</v>
      </c>
      <c r="C25" s="21" t="e">
        <f>'Акт согласования'!C38</f>
        <v>#REF!</v>
      </c>
      <c r="D25" s="21" t="e">
        <f>'Акт согласования'!D38</f>
        <v>#REF!</v>
      </c>
      <c r="E25" s="311"/>
    </row>
    <row r="26" spans="1:5" ht="17.25" hidden="1" customHeight="1" x14ac:dyDescent="0.25">
      <c r="A26" s="21" t="e">
        <f>'Акт согласования'!A39</f>
        <v>#REF!</v>
      </c>
      <c r="B26" s="21" t="e">
        <f>'Акт согласования'!B39</f>
        <v>#REF!</v>
      </c>
      <c r="C26" s="21" t="e">
        <f>'Акт согласования'!C39</f>
        <v>#REF!</v>
      </c>
      <c r="D26" s="21" t="e">
        <f>'Акт согласования'!D39</f>
        <v>#REF!</v>
      </c>
      <c r="E26" s="311"/>
    </row>
    <row r="27" spans="1:5" ht="17.25" hidden="1" customHeight="1" x14ac:dyDescent="0.25">
      <c r="A27" s="21" t="e">
        <f>'Акт согласования'!A40</f>
        <v>#REF!</v>
      </c>
      <c r="B27" s="21" t="e">
        <f>'Акт согласования'!B40</f>
        <v>#REF!</v>
      </c>
      <c r="C27" s="21" t="e">
        <f>'Акт согласования'!C40</f>
        <v>#REF!</v>
      </c>
      <c r="D27" s="21" t="e">
        <f>'Акт согласования'!D40</f>
        <v>#REF!</v>
      </c>
      <c r="E27" s="311"/>
    </row>
    <row r="28" spans="1:5" ht="17.25" hidden="1" customHeight="1" x14ac:dyDescent="0.25">
      <c r="A28" s="21" t="e">
        <f>'Акт согласования'!A41</f>
        <v>#REF!</v>
      </c>
      <c r="B28" s="21" t="e">
        <f>'Акт согласования'!B41</f>
        <v>#REF!</v>
      </c>
      <c r="C28" s="21" t="e">
        <f>'Акт согласования'!C41</f>
        <v>#REF!</v>
      </c>
      <c r="D28" s="21" t="e">
        <f>'Акт согласования'!D41</f>
        <v>#REF!</v>
      </c>
      <c r="E28" s="311"/>
    </row>
    <row r="29" spans="1:5" ht="17.25" hidden="1" customHeight="1" x14ac:dyDescent="0.25">
      <c r="A29" s="21" t="e">
        <f>'Акт согласования'!A42</f>
        <v>#REF!</v>
      </c>
      <c r="B29" s="21" t="e">
        <f>'Акт согласования'!B42</f>
        <v>#REF!</v>
      </c>
      <c r="C29" s="21" t="e">
        <f>'Акт согласования'!C42</f>
        <v>#REF!</v>
      </c>
      <c r="D29" s="21" t="e">
        <f>'Акт согласования'!D42</f>
        <v>#REF!</v>
      </c>
      <c r="E29" s="311"/>
    </row>
    <row r="30" spans="1:5" ht="17.25" hidden="1" customHeight="1" x14ac:dyDescent="0.25">
      <c r="A30" s="21" t="e">
        <f>'Акт согласования'!A43</f>
        <v>#REF!</v>
      </c>
      <c r="B30" s="21" t="e">
        <f>'Акт согласования'!B43</f>
        <v>#REF!</v>
      </c>
      <c r="C30" s="21" t="e">
        <f>'Акт согласования'!C43</f>
        <v>#REF!</v>
      </c>
      <c r="D30" s="21" t="e">
        <f>'Акт согласования'!D43</f>
        <v>#REF!</v>
      </c>
      <c r="E30" s="312"/>
    </row>
    <row r="31" spans="1:5" ht="17.25" hidden="1" customHeight="1" x14ac:dyDescent="0.25">
      <c r="A31" s="21" t="e">
        <f>'Акт согласования'!A44</f>
        <v>#REF!</v>
      </c>
      <c r="B31" s="21" t="e">
        <f>'Акт согласования'!B44</f>
        <v>#REF!</v>
      </c>
      <c r="C31" s="21" t="e">
        <f>'Акт согласования'!C44</f>
        <v>#REF!</v>
      </c>
      <c r="D31" s="21" t="e">
        <f>'Акт согласования'!D44</f>
        <v>#REF!</v>
      </c>
      <c r="E31" s="21" t="str">
        <f>'Акт согласования'!E44</f>
        <v>300 000 000,00</v>
      </c>
    </row>
    <row r="32" spans="1:5" ht="18.75" hidden="1" customHeight="1" x14ac:dyDescent="0.25">
      <c r="A32" s="335" t="e">
        <f>_xlfn.SINGLE('Акт согласования'!#REF!)</f>
        <v>#REF!</v>
      </c>
      <c r="B32" s="335"/>
      <c r="C32" s="335"/>
      <c r="D32" s="335"/>
      <c r="E32" s="335"/>
    </row>
    <row r="33" spans="1:5" ht="24.75" hidden="1" customHeight="1" x14ac:dyDescent="0.25">
      <c r="A33" s="335" t="e">
        <f>_xlfn.SINGLE('Акт согласования'!#REF!)</f>
        <v>#REF!</v>
      </c>
      <c r="B33" s="335"/>
      <c r="C33" s="335"/>
      <c r="D33" s="335"/>
      <c r="E33" s="335"/>
    </row>
    <row r="34" spans="1:5" ht="30.75" hidden="1" customHeight="1" x14ac:dyDescent="0.25">
      <c r="A34" s="335" t="e">
        <f>_xlfn.SINGLE('Акт согласования'!#REF!)</f>
        <v>#REF!</v>
      </c>
      <c r="B34" s="335"/>
      <c r="C34" s="335"/>
      <c r="D34" s="335"/>
      <c r="E34" s="335"/>
    </row>
    <row r="35" spans="1:5" ht="15" hidden="1" customHeight="1" x14ac:dyDescent="0.25">
      <c r="A35" s="335" t="e">
        <f>_xlfn.SINGLE('Акт согласования'!#REF!)</f>
        <v>#REF!</v>
      </c>
      <c r="B35" s="335"/>
      <c r="C35" s="335"/>
      <c r="D35" s="335"/>
      <c r="E35" s="335"/>
    </row>
    <row r="36" spans="1:5" x14ac:dyDescent="0.25">
      <c r="A36" s="26"/>
      <c r="B36" s="26"/>
      <c r="C36" s="26"/>
      <c r="D36" s="26"/>
      <c r="E36" s="26"/>
    </row>
    <row r="37" spans="1:5" s="147" customFormat="1" ht="51" customHeight="1" x14ac:dyDescent="0.25">
      <c r="A37" s="334"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4"/>
      <c r="C37" s="334"/>
      <c r="D37" s="334"/>
      <c r="E37" s="334"/>
    </row>
    <row r="38" spans="1:5" ht="40.5" customHeight="1" x14ac:dyDescent="0.25">
      <c r="A38" s="335" t="str">
        <f>'Акт согласования'!A47:E47</f>
        <v>Shu bilan birga, garov predmetining kelishilgan garov qiymati deganda ushbu mulk garov sifatida taqdim etilgan/qabul qilingan qiymati tushuniladi.</v>
      </c>
      <c r="B38" s="335"/>
      <c r="C38" s="335"/>
      <c r="D38" s="335"/>
      <c r="E38" s="335"/>
    </row>
    <row r="39" spans="1:5" ht="39" customHeight="1" x14ac:dyDescent="0.25">
      <c r="A39" s="335"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20 yanvar 2025 y.dan №134, при сохранении запрета.</v>
      </c>
      <c r="B39" s="335"/>
      <c r="C39" s="335"/>
      <c r="D39" s="335"/>
      <c r="E39" s="335"/>
    </row>
    <row r="40" spans="1:5" x14ac:dyDescent="0.25">
      <c r="A40" s="338"/>
      <c r="B40" s="338"/>
      <c r="C40" s="338"/>
      <c r="D40" s="338"/>
      <c r="E40" s="338"/>
    </row>
    <row r="41" spans="1:5" x14ac:dyDescent="0.25">
      <c r="A41" s="339" t="s">
        <v>36</v>
      </c>
      <c r="B41" s="339"/>
      <c r="C41" s="339"/>
      <c r="D41" s="339"/>
      <c r="E41" s="339"/>
    </row>
    <row r="42" spans="1:5" x14ac:dyDescent="0.25">
      <c r="A42" s="338"/>
      <c r="B42" s="338"/>
      <c r="C42" s="338"/>
      <c r="D42" s="338"/>
      <c r="E42" s="338"/>
    </row>
    <row r="43" spans="1:5" x14ac:dyDescent="0.25">
      <c r="A43" s="339" t="s">
        <v>37</v>
      </c>
      <c r="B43" s="339"/>
      <c r="C43" s="339"/>
      <c r="D43" s="339"/>
      <c r="E43" s="339"/>
    </row>
    <row r="44" spans="1:5" ht="28.5" customHeight="1" x14ac:dyDescent="0.25">
      <c r="A44" s="337" t="s">
        <v>38</v>
      </c>
      <c r="B44" s="337"/>
      <c r="C44" s="337"/>
      <c r="D44" s="337"/>
      <c r="E44" s="127"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zoomScaleNormal="100" zoomScaleSheetLayoutView="100" workbookViewId="0">
      <selection activeCell="I23" sqref="I23"/>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x14ac:dyDescent="0.2">
      <c r="A1" s="35"/>
      <c r="B1" s="35"/>
      <c r="C1" s="35"/>
      <c r="D1" s="35"/>
      <c r="E1" s="35"/>
      <c r="F1" s="35"/>
      <c r="G1" s="35"/>
      <c r="H1" s="35"/>
      <c r="I1" s="35"/>
    </row>
    <row r="2" spans="1:9" x14ac:dyDescent="0.2">
      <c r="A2" s="345" t="str">
        <f>""&amp;" "&amp;'Общие данные'!B74&amp;"-sonli "&amp;" "&amp;'Общие данные'!C64&amp;" shartnomasi bo‘yicha
 garovga qo‘yilgan mol-mulkni tekshirish bo’yicha "&amp;'Общие данные'!B5&amp;" bilan tuzilgan dalolatnomasi"</f>
        <v xml:space="preserve"> 20 yanvar 2025 y.dan №134-sonli  Mikrokredit shartnomasi bo‘yicha
 garovga qo‘yilgan mol-mulkni tekshirish bo’yicha EGAMBERDIYEV TO‘XTASIN INOYATOVICH bilan tuzilgan dalolatnomasi</v>
      </c>
      <c r="B2" s="345"/>
      <c r="C2" s="345"/>
      <c r="D2" s="345"/>
      <c r="E2" s="345"/>
      <c r="F2" s="345"/>
      <c r="G2" s="345"/>
      <c r="H2" s="345"/>
      <c r="I2" s="35"/>
    </row>
    <row r="3" spans="1:9" x14ac:dyDescent="0.2">
      <c r="A3" s="345"/>
      <c r="B3" s="345"/>
      <c r="C3" s="345"/>
      <c r="D3" s="345"/>
      <c r="E3" s="345"/>
      <c r="F3" s="345"/>
      <c r="G3" s="345"/>
      <c r="H3" s="345"/>
      <c r="I3" s="35"/>
    </row>
    <row r="5" spans="1:9" x14ac:dyDescent="0.2">
      <c r="A5" s="28" t="s">
        <v>203</v>
      </c>
      <c r="H5" s="161" t="str">
        <f>TEXT(+'Общие данные'!B2+720,"ДД.ММ.ГГГГ")</f>
        <v>10.01.2027</v>
      </c>
    </row>
    <row r="7" spans="1:9" ht="45" customHeight="1" x14ac:dyDescent="0.2">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EGAMBERDIYEV TO‘XTASIN INOYATOVICH  20 yanvar 2025 y.dan №134-sonli Mikrokredit shartnomasi bo‘yicha garovga qo‘yilgan mol-mulkni ko‘zdan kechirdim</v>
      </c>
      <c r="B7" s="347"/>
      <c r="C7" s="347"/>
      <c r="D7" s="347"/>
      <c r="E7" s="347"/>
      <c r="F7" s="347"/>
      <c r="G7" s="347"/>
      <c r="H7" s="347"/>
    </row>
    <row r="8" spans="1:9" ht="19.5" customHeight="1" x14ac:dyDescent="0.2">
      <c r="A8" s="348" t="s">
        <v>276</v>
      </c>
      <c r="B8" s="348"/>
      <c r="C8" s="348"/>
      <c r="D8" s="348"/>
      <c r="E8" s="348"/>
      <c r="F8" s="348"/>
      <c r="G8" s="348"/>
      <c r="H8" s="348"/>
    </row>
    <row r="9" spans="1:9" s="162" customFormat="1" ht="32.25" customHeight="1" x14ac:dyDescent="0.25">
      <c r="A9" s="343" t="str">
        <f>' Акт мониторинга 1'!A9</f>
        <v>Nomi</v>
      </c>
      <c r="B9" s="344"/>
      <c r="C9" s="343" t="str">
        <f>' Акт мониторинга 1'!C9</f>
        <v>Kuzov turi  va kuzov raqami*</v>
      </c>
      <c r="D9" s="344"/>
      <c r="E9" s="343" t="str">
        <f>' Акт мониторинга 1'!E9</f>
        <v>Dvigatel va shassi raqami*</v>
      </c>
      <c r="F9" s="344"/>
      <c r="G9" s="343" t="str">
        <f>' Акт мониторинга 1'!G9</f>
        <v>Ishlab chiqarilgan yili va rangi**</v>
      </c>
      <c r="H9" s="344"/>
    </row>
    <row r="10" spans="1:9" s="160" customFormat="1" ht="58.5" customHeight="1" x14ac:dyDescent="0.2">
      <c r="A10" s="341" t="str">
        <f>' Акт мониторинга 1'!A10</f>
        <v>KIA SELTOS G702</v>
      </c>
      <c r="B10" s="341"/>
      <c r="C10" s="341" t="str">
        <f>' Акт мониторинга 1'!C10</f>
        <v>kuzov turi - YENGIL LEGKOVAYA, kuzov raqami KNAER81AEM7233541</v>
      </c>
      <c r="D10" s="341"/>
      <c r="E10" s="341" t="str">
        <f>' Акт мониторинга 1'!E10</f>
        <v>dvigatel raqami G4NHMH323294, shassi raqami - RAKAMSIZ</v>
      </c>
      <c r="F10" s="341"/>
      <c r="G10" s="341" t="str">
        <f>' Акт мониторинга 1'!G10</f>
        <v>rangi -  OQ BELIY JEMCHUG, ishlab chiqarilgan yili - 2021</v>
      </c>
      <c r="H10" s="341"/>
    </row>
    <row r="11" spans="1:9" ht="19.5" customHeight="1" x14ac:dyDescent="0.2">
      <c r="A11" s="342" t="str">
        <f>'Акт согласования'!A22:E22</f>
        <v>-* avtotransport egasi: EGAMBERDIYEV TO‘XTASIN INOYATOVICH</v>
      </c>
      <c r="B11" s="342"/>
      <c r="C11" s="342"/>
      <c r="D11" s="342"/>
      <c r="E11" s="342"/>
      <c r="F11" s="342"/>
      <c r="G11" s="342"/>
      <c r="H11" s="342"/>
    </row>
    <row r="12" spans="1:9" ht="19.5" customHeight="1" x14ac:dyDescent="0.2">
      <c r="A12" s="342" t="str">
        <f>'Акт согласования'!A23:E23</f>
        <v>-* texnik pasport: AAF4345420    08.04.2022</v>
      </c>
      <c r="B12" s="342"/>
      <c r="C12" s="342"/>
      <c r="D12" s="342"/>
      <c r="E12" s="342"/>
      <c r="F12" s="342"/>
      <c r="G12" s="342"/>
      <c r="H12" s="342"/>
    </row>
    <row r="13" spans="1:9" ht="19.5" customHeight="1" x14ac:dyDescent="0.2">
      <c r="A13" s="342" t="str">
        <f>'Акт согласования'!A24:E24</f>
        <v>-* roʻyxatdan oʻtgan manzili/garaj manzili: TOSHKENT SHAHRI UCHTEPA TUMANI 25-MAVZE 4-DOM 34-XONADON</v>
      </c>
      <c r="B13" s="342"/>
      <c r="C13" s="342"/>
      <c r="D13" s="342"/>
      <c r="E13" s="342"/>
      <c r="F13" s="342"/>
      <c r="G13" s="342"/>
      <c r="H13" s="342"/>
    </row>
    <row r="14" spans="1:9" ht="19.5" customHeight="1" x14ac:dyDescent="0.2">
      <c r="A14" s="342" t="str">
        <f>'Акт согласования'!A25:E25</f>
        <v>-* davlat raqami: 01R888QA</v>
      </c>
      <c r="B14" s="342"/>
      <c r="C14" s="342"/>
      <c r="D14" s="342"/>
      <c r="E14" s="342"/>
      <c r="F14" s="342"/>
      <c r="G14" s="342"/>
      <c r="H14" s="342"/>
    </row>
    <row r="15" spans="1:9" ht="33.75" customHeight="1" x14ac:dyDescent="0.2">
      <c r="A15" s="346" t="str">
        <f>+"Shu bilan birga, yuqoridagi mulkning kelishilgan garov qiymati "&amp;'Акт согласования'!E30</f>
        <v>Shu bilan birga, yuqoridagi mulkning kelishilgan garov qiymati 300 000 000,00 
(uch yuz million so'm)</v>
      </c>
      <c r="B15" s="346"/>
      <c r="C15" s="346"/>
      <c r="D15" s="346"/>
      <c r="E15" s="346"/>
      <c r="F15" s="346"/>
      <c r="G15" s="346"/>
      <c r="H15" s="346"/>
    </row>
    <row r="17" spans="1:8" ht="28.5" customHeight="1" x14ac:dyDescent="0.2">
      <c r="A17" s="340" t="s">
        <v>277</v>
      </c>
      <c r="B17" s="340"/>
      <c r="C17" s="340"/>
      <c r="D17" s="340"/>
      <c r="E17" s="340"/>
      <c r="F17" s="340"/>
      <c r="G17" s="340"/>
      <c r="H17" s="340"/>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EGAMBERDIYEV T.I.</v>
      </c>
    </row>
    <row r="27" spans="1:8" s="35" customFormat="1" x14ac:dyDescent="0.2"/>
    <row r="28" spans="1:8" s="35" customFormat="1" x14ac:dyDescent="0.2"/>
    <row r="29" spans="1:8" s="35"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tabSelected="1" view="pageBreakPreview" zoomScaleNormal="100" zoomScaleSheetLayoutView="100" workbookViewId="0">
      <selection activeCell="E19" sqref="E19"/>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9" width="9.140625" style="28" hidden="1" customWidth="1"/>
    <col min="10" max="10" width="9.140625" style="28" customWidth="1"/>
    <col min="11" max="11" width="0.5703125" style="28" customWidth="1"/>
    <col min="12" max="16384" width="9.140625" style="28"/>
  </cols>
  <sheetData>
    <row r="1" spans="1:9" x14ac:dyDescent="0.2">
      <c r="A1" s="35"/>
      <c r="B1" s="35"/>
      <c r="C1" s="35"/>
      <c r="D1" s="35"/>
      <c r="E1" s="35"/>
      <c r="F1" s="35"/>
      <c r="G1" s="35"/>
      <c r="H1" s="35"/>
      <c r="I1" s="35"/>
    </row>
    <row r="2" spans="1:9" x14ac:dyDescent="0.2">
      <c r="A2" s="345" t="str">
        <f>""&amp;" "&amp;'Общие данные'!B74&amp;"-sonli "&amp;" "&amp;'Общие данные'!C64&amp;" shartnomasi bo‘yicha
 garovga qo‘yilgan mol-mulkni tekshirish bo’yicha "&amp;'Общие данные'!B5&amp;" bilan tuzilgan dalolatnomasi"</f>
        <v xml:space="preserve"> 20 yanvar 2025 y.dan №134-sonli  Mikrokredit shartnomasi bo‘yicha
 garovga qo‘yilgan mol-mulkni tekshirish bo’yicha EGAMBERDIYEV TO‘XTASIN INOYATOVICH bilan tuzilgan dalolatnomasi</v>
      </c>
      <c r="B2" s="345"/>
      <c r="C2" s="345"/>
      <c r="D2" s="345"/>
      <c r="E2" s="345"/>
      <c r="F2" s="345"/>
      <c r="G2" s="345"/>
      <c r="H2" s="345"/>
      <c r="I2" s="35"/>
    </row>
    <row r="3" spans="1:9" x14ac:dyDescent="0.2">
      <c r="A3" s="345"/>
      <c r="B3" s="345"/>
      <c r="C3" s="345"/>
      <c r="D3" s="345"/>
      <c r="E3" s="345"/>
      <c r="F3" s="345"/>
      <c r="G3" s="345"/>
      <c r="H3" s="345"/>
      <c r="I3" s="35"/>
    </row>
    <row r="5" spans="1:9" x14ac:dyDescent="0.2">
      <c r="A5" s="28" t="s">
        <v>203</v>
      </c>
      <c r="F5" s="182"/>
      <c r="H5" s="161" t="str">
        <f>TEXT('Общие данные'!D2,"ДД.ММ.ГГГГ")</f>
        <v>19.07.2025</v>
      </c>
    </row>
    <row r="7" spans="1:9" ht="45" customHeight="1" x14ac:dyDescent="0.2">
      <c r="A7" s="347"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Ijrochi direktori Abduraximov N.K., jismoniy shaxs  EGAMBERDIYEV TO‘XTASIN INOYATOVICH  20 yanvar 2025 y.dan №134-sonli mikrokredit shartnomasi bo‘yicha garovga qo‘yilgan mol-mulkni ko‘zdan kechirdim</v>
      </c>
      <c r="B7" s="347"/>
      <c r="C7" s="347"/>
      <c r="D7" s="347"/>
      <c r="E7" s="347"/>
      <c r="F7" s="347"/>
      <c r="G7" s="347"/>
      <c r="H7" s="347"/>
    </row>
    <row r="8" spans="1:9" ht="19.5" customHeight="1" x14ac:dyDescent="0.2">
      <c r="A8" s="348" t="s">
        <v>276</v>
      </c>
      <c r="B8" s="348"/>
      <c r="C8" s="348"/>
      <c r="D8" s="348"/>
      <c r="E8" s="348"/>
      <c r="F8" s="348"/>
      <c r="G8" s="348"/>
      <c r="H8" s="348"/>
    </row>
    <row r="9" spans="1:9" s="162" customFormat="1" ht="32.25" customHeight="1" x14ac:dyDescent="0.25">
      <c r="A9" s="343" t="str">
        <f>'Акт согласования'!A20</f>
        <v>Nomi</v>
      </c>
      <c r="B9" s="344"/>
      <c r="C9" s="343" t="str">
        <f>'Акт согласования'!B20</f>
        <v>Kuzov turi  va kuzov raqami*</v>
      </c>
      <c r="D9" s="344"/>
      <c r="E9" s="343" t="str">
        <f>'Акт согласования'!D20</f>
        <v>Dvigatel va shassi raqami*</v>
      </c>
      <c r="F9" s="344"/>
      <c r="G9" s="343" t="str">
        <f>'Акт согласования'!E20</f>
        <v>Ishlab chiqarilgan yili va rangi**</v>
      </c>
      <c r="H9" s="344"/>
    </row>
    <row r="10" spans="1:9" s="160" customFormat="1" ht="58.5" customHeight="1" x14ac:dyDescent="0.2">
      <c r="A10" s="341" t="str">
        <f>'Акт согласования'!A21</f>
        <v>KIA SELTOS G702</v>
      </c>
      <c r="B10" s="341"/>
      <c r="C10" s="341" t="str">
        <f>'Акт согласования'!B21</f>
        <v>kuzov turi - YENGIL LEGKOVAYA, kuzov raqami KNAER81AEM7233541</v>
      </c>
      <c r="D10" s="341"/>
      <c r="E10" s="341" t="str">
        <f>'Акт согласования'!D21</f>
        <v>dvigatel raqami G4NHMH323294, shassi raqami - RAKAMSIZ</v>
      </c>
      <c r="F10" s="341"/>
      <c r="G10" s="341" t="str">
        <f>'Акт согласования'!E21</f>
        <v>rangi -  OQ BELIY JEMCHUG, ishlab chiqarilgan yili - 2021</v>
      </c>
      <c r="H10" s="341"/>
    </row>
    <row r="11" spans="1:9" ht="19.5" customHeight="1" x14ac:dyDescent="0.2">
      <c r="A11" s="342" t="str">
        <f>'Акт согласования'!A22:E22</f>
        <v>-* avtotransport egasi: EGAMBERDIYEV TO‘XTASIN INOYATOVICH</v>
      </c>
      <c r="B11" s="342"/>
      <c r="C11" s="342"/>
      <c r="D11" s="342"/>
      <c r="E11" s="342"/>
      <c r="F11" s="342"/>
      <c r="G11" s="342"/>
      <c r="H11" s="342"/>
    </row>
    <row r="12" spans="1:9" ht="19.5" customHeight="1" x14ac:dyDescent="0.2">
      <c r="A12" s="342" t="str">
        <f>'Акт согласования'!A23:E23</f>
        <v>-* texnik pasport: AAF4345420    08.04.2022</v>
      </c>
      <c r="B12" s="342"/>
      <c r="C12" s="342"/>
      <c r="D12" s="342"/>
      <c r="E12" s="342"/>
      <c r="F12" s="342"/>
      <c r="G12" s="342"/>
      <c r="H12" s="342"/>
    </row>
    <row r="13" spans="1:9" ht="19.5" customHeight="1" x14ac:dyDescent="0.2">
      <c r="A13" s="342" t="str">
        <f>'Акт согласования'!A24:E24</f>
        <v>-* roʻyxatdan oʻtgan manzili/garaj manzili: TOSHKENT SHAHRI UCHTEPA TUMANI 25-MAVZE 4-DOM 34-XONADON</v>
      </c>
      <c r="B13" s="342"/>
      <c r="C13" s="342"/>
      <c r="D13" s="342"/>
      <c r="E13" s="342"/>
      <c r="F13" s="342"/>
      <c r="G13" s="342"/>
      <c r="H13" s="342"/>
    </row>
    <row r="14" spans="1:9" ht="19.5" customHeight="1" x14ac:dyDescent="0.2">
      <c r="A14" s="342" t="str">
        <f>'Акт согласования'!A25:E25</f>
        <v>-* davlat raqami: 01R888QA</v>
      </c>
      <c r="B14" s="342"/>
      <c r="C14" s="342"/>
      <c r="D14" s="342"/>
      <c r="E14" s="342"/>
      <c r="F14" s="342"/>
      <c r="G14" s="342"/>
      <c r="H14" s="342"/>
    </row>
    <row r="15" spans="1:9" ht="33.75" customHeight="1" x14ac:dyDescent="0.2">
      <c r="A15" s="346" t="str">
        <f>+"Shu bilan birga, yuqoridagi mulkning kelishilgan garov qiymati "&amp;'Акт согласования'!E30</f>
        <v>Shu bilan birga, yuqoridagi mulkning kelishilgan garov qiymati 300 000 000,00 
(uch yuz million so'm)</v>
      </c>
      <c r="B15" s="346"/>
      <c r="C15" s="346"/>
      <c r="D15" s="346"/>
      <c r="E15" s="346"/>
      <c r="F15" s="346"/>
      <c r="G15" s="346"/>
      <c r="H15" s="346"/>
    </row>
    <row r="17" spans="1:8" ht="27" customHeight="1" x14ac:dyDescent="0.2">
      <c r="A17" s="340" t="s">
        <v>277</v>
      </c>
      <c r="B17" s="340"/>
      <c r="C17" s="340"/>
      <c r="D17" s="340"/>
      <c r="E17" s="340"/>
      <c r="F17" s="340"/>
      <c r="G17" s="340"/>
      <c r="H17" s="340"/>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EGAMBERDIYEV T.I.</v>
      </c>
    </row>
    <row r="27" spans="1:8" s="35" customFormat="1" x14ac:dyDescent="0.2"/>
    <row r="28" spans="1:8" s="35" customFormat="1" x14ac:dyDescent="0.2"/>
    <row r="29" spans="1:8" s="35" customFormat="1" x14ac:dyDescent="0.2"/>
    <row r="30" spans="1:8" s="35" customFormat="1" x14ac:dyDescent="0.2"/>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2" zoomScaleNormal="100" zoomScaleSheetLayoutView="100" workbookViewId="0">
      <selection activeCell="D23" sqref="D23"/>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9" width="10.7109375" style="28" customWidth="1"/>
    <col min="10" max="16384" width="9.140625" style="28"/>
  </cols>
  <sheetData>
    <row r="1" spans="1:9" x14ac:dyDescent="0.2">
      <c r="A1" s="35"/>
      <c r="B1" s="35"/>
      <c r="C1" s="35"/>
      <c r="D1" s="35"/>
      <c r="E1" s="35"/>
      <c r="F1" s="35"/>
      <c r="G1" s="35"/>
      <c r="H1" s="35"/>
      <c r="I1" s="35"/>
    </row>
    <row r="2" spans="1:9" x14ac:dyDescent="0.2">
      <c r="A2" s="345" t="str">
        <f>""&amp;" "&amp;'Общие данные'!B74&amp;"-sonli "&amp;" "&amp;'Общие данные'!C64&amp;" shartnomasi bo‘yicha
 garovga qo‘yilgan mol-mulkni tekshirish bo’yicha "&amp;'Общие данные'!B5&amp;" bilan tuzilgan dalolatnomasi"</f>
        <v xml:space="preserve"> 20 yanvar 2025 y.dan №134-sonli  Mikrokredit shartnomasi bo‘yicha
 garovga qo‘yilgan mol-mulkni tekshirish bo’yicha EGAMBERDIYEV TO‘XTASIN INOYATOVICH bilan tuzilgan dalolatnomasi</v>
      </c>
      <c r="B2" s="345"/>
      <c r="C2" s="345"/>
      <c r="D2" s="345"/>
      <c r="E2" s="345"/>
      <c r="F2" s="345"/>
      <c r="G2" s="345"/>
      <c r="H2" s="345"/>
      <c r="I2" s="35"/>
    </row>
    <row r="3" spans="1:9" x14ac:dyDescent="0.2">
      <c r="A3" s="345"/>
      <c r="B3" s="345"/>
      <c r="C3" s="345"/>
      <c r="D3" s="345"/>
      <c r="E3" s="345"/>
      <c r="F3" s="345"/>
      <c r="G3" s="345"/>
      <c r="H3" s="345"/>
      <c r="I3" s="35"/>
    </row>
    <row r="5" spans="1:9" x14ac:dyDescent="0.2">
      <c r="A5" s="28" t="s">
        <v>203</v>
      </c>
      <c r="H5" s="161" t="str">
        <f>TEXT(+'Общие данные'!B2+360,"ДД.ММ.ГГГГ")</f>
        <v>15.01.2026</v>
      </c>
    </row>
    <row r="7" spans="1:9" ht="45" customHeight="1" x14ac:dyDescent="0.2">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EGAMBERDIYEV TO‘XTASIN INOYATOVICH  20 yanvar 2025 y.dan №134-sonli Mikrokredit shartnomasi bo‘yicha garovga qo‘yilgan mol-mulkni ko‘zdan kechirdim</v>
      </c>
      <c r="B7" s="347"/>
      <c r="C7" s="347"/>
      <c r="D7" s="347"/>
      <c r="E7" s="347"/>
      <c r="F7" s="347"/>
      <c r="G7" s="347"/>
      <c r="H7" s="347"/>
    </row>
    <row r="8" spans="1:9" ht="19.5" customHeight="1" x14ac:dyDescent="0.2">
      <c r="A8" s="348" t="s">
        <v>276</v>
      </c>
      <c r="B8" s="348"/>
      <c r="C8" s="348"/>
      <c r="D8" s="348"/>
      <c r="E8" s="348"/>
      <c r="F8" s="348"/>
      <c r="G8" s="348"/>
      <c r="H8" s="348"/>
    </row>
    <row r="9" spans="1:9" s="162" customFormat="1" ht="32.25" customHeight="1" x14ac:dyDescent="0.25">
      <c r="A9" s="343" t="str">
        <f>' Акт мониторинга 1'!A9</f>
        <v>Nomi</v>
      </c>
      <c r="B9" s="344"/>
      <c r="C9" s="343" t="str">
        <f>' Акт мониторинга 1'!C9</f>
        <v>Kuzov turi  va kuzov raqami*</v>
      </c>
      <c r="D9" s="344"/>
      <c r="E9" s="343" t="str">
        <f>' Акт мониторинга 1'!E9</f>
        <v>Dvigatel va shassi raqami*</v>
      </c>
      <c r="F9" s="344"/>
      <c r="G9" s="343" t="str">
        <f>' Акт мониторинга 1'!G9</f>
        <v>Ishlab chiqarilgan yili va rangi**</v>
      </c>
      <c r="H9" s="344"/>
    </row>
    <row r="10" spans="1:9" s="160" customFormat="1" ht="58.5" customHeight="1" x14ac:dyDescent="0.2">
      <c r="A10" s="341" t="str">
        <f>' Акт мониторинга 1'!A10</f>
        <v>KIA SELTOS G702</v>
      </c>
      <c r="B10" s="341"/>
      <c r="C10" s="341" t="str">
        <f>' Акт мониторинга 1'!C10</f>
        <v>kuzov turi - YENGIL LEGKOVAYA, kuzov raqami KNAER81AEM7233541</v>
      </c>
      <c r="D10" s="341"/>
      <c r="E10" s="341" t="str">
        <f>' Акт мониторинга 1'!E10</f>
        <v>dvigatel raqami G4NHMH323294, shassi raqami - RAKAMSIZ</v>
      </c>
      <c r="F10" s="341"/>
      <c r="G10" s="341" t="str">
        <f>' Акт мониторинга 1'!G10</f>
        <v>rangi -  OQ BELIY JEMCHUG, ishlab chiqarilgan yili - 2021</v>
      </c>
      <c r="H10" s="341"/>
    </row>
    <row r="11" spans="1:9" ht="19.5" customHeight="1" x14ac:dyDescent="0.2">
      <c r="A11" s="342" t="str">
        <f>'Акт согласования'!A22:E22</f>
        <v>-* avtotransport egasi: EGAMBERDIYEV TO‘XTASIN INOYATOVICH</v>
      </c>
      <c r="B11" s="342"/>
      <c r="C11" s="342"/>
      <c r="D11" s="342"/>
      <c r="E11" s="342"/>
      <c r="F11" s="342"/>
      <c r="G11" s="342"/>
      <c r="H11" s="342"/>
    </row>
    <row r="12" spans="1:9" ht="19.5" customHeight="1" x14ac:dyDescent="0.2">
      <c r="A12" s="342" t="str">
        <f>'Акт согласования'!A23:E23</f>
        <v>-* texnik pasport: AAF4345420    08.04.2022</v>
      </c>
      <c r="B12" s="342"/>
      <c r="C12" s="342"/>
      <c r="D12" s="342"/>
      <c r="E12" s="342"/>
      <c r="F12" s="342"/>
      <c r="G12" s="342"/>
      <c r="H12" s="342"/>
    </row>
    <row r="13" spans="1:9" ht="19.5" customHeight="1" x14ac:dyDescent="0.2">
      <c r="A13" s="342" t="str">
        <f>'Акт согласования'!A24:E24</f>
        <v>-* roʻyxatdan oʻtgan manzili/garaj manzili: TOSHKENT SHAHRI UCHTEPA TUMANI 25-MAVZE 4-DOM 34-XONADON</v>
      </c>
      <c r="B13" s="342"/>
      <c r="C13" s="342"/>
      <c r="D13" s="342"/>
      <c r="E13" s="342"/>
      <c r="F13" s="342"/>
      <c r="G13" s="342"/>
      <c r="H13" s="342"/>
    </row>
    <row r="14" spans="1:9" ht="19.5" customHeight="1" x14ac:dyDescent="0.2">
      <c r="A14" s="342" t="str">
        <f>'Акт согласования'!A25:E25</f>
        <v>-* davlat raqami: 01R888QA</v>
      </c>
      <c r="B14" s="342"/>
      <c r="C14" s="342"/>
      <c r="D14" s="342"/>
      <c r="E14" s="342"/>
      <c r="F14" s="342"/>
      <c r="G14" s="342"/>
      <c r="H14" s="342"/>
    </row>
    <row r="15" spans="1:9" ht="33.75" customHeight="1" x14ac:dyDescent="0.2">
      <c r="A15" s="346" t="str">
        <f>+"Shu bilan birga, yuqoridagi mulkning kelishilgan garov qiymati "&amp;'Акт согласования'!E30</f>
        <v>Shu bilan birga, yuqoridagi mulkning kelishilgan garov qiymati 300 000 000,00 
(uch yuz million so'm)</v>
      </c>
      <c r="B15" s="346"/>
      <c r="C15" s="346"/>
      <c r="D15" s="346"/>
      <c r="E15" s="346"/>
      <c r="F15" s="346"/>
      <c r="G15" s="346"/>
      <c r="H15" s="346"/>
    </row>
    <row r="17" spans="1:8" ht="35.25" customHeight="1" x14ac:dyDescent="0.2">
      <c r="A17" s="340">
        <v>3</v>
      </c>
      <c r="B17" s="340"/>
      <c r="C17" s="340"/>
      <c r="D17" s="340"/>
      <c r="E17" s="340"/>
      <c r="F17" s="340"/>
      <c r="G17" s="340"/>
      <c r="H17" s="340"/>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EGAMBERDIYEV T.I.</v>
      </c>
    </row>
    <row r="27" spans="1:8" s="35" customFormat="1" x14ac:dyDescent="0.2"/>
    <row r="28" spans="1:8" s="35" customFormat="1" x14ac:dyDescent="0.2"/>
    <row r="29" spans="1:8" s="35"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D20" sqref="D20"/>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x14ac:dyDescent="0.2">
      <c r="A1" s="35"/>
      <c r="B1" s="35"/>
      <c r="C1" s="35"/>
      <c r="D1" s="35"/>
      <c r="E1" s="35"/>
      <c r="F1" s="35"/>
      <c r="G1" s="35"/>
      <c r="H1" s="35"/>
      <c r="I1" s="35"/>
    </row>
    <row r="2" spans="1:9" x14ac:dyDescent="0.2">
      <c r="A2" s="345" t="str">
        <f>""&amp;" "&amp;'Общие данные'!B74&amp;"-sonli "&amp;" "&amp;'Общие данные'!C64&amp;" shartnomasi bo‘yicha
 garovga qo‘yilgan mol-mulkni tekshirish bo’yicha "&amp;'Общие данные'!B5&amp;" bilan tuzilgan dalolatnomasi"</f>
        <v xml:space="preserve"> 20 yanvar 2025 y.dan №134-sonli  Mikrokredit shartnomasi bo‘yicha
 garovga qo‘yilgan mol-mulkni tekshirish bo’yicha EGAMBERDIYEV TO‘XTASIN INOYATOVICH bilan tuzilgan dalolatnomasi</v>
      </c>
      <c r="B2" s="345"/>
      <c r="C2" s="345"/>
      <c r="D2" s="345"/>
      <c r="E2" s="345"/>
      <c r="F2" s="345"/>
      <c r="G2" s="345"/>
      <c r="H2" s="345"/>
      <c r="I2" s="35"/>
    </row>
    <row r="3" spans="1:9" x14ac:dyDescent="0.2">
      <c r="A3" s="345"/>
      <c r="B3" s="345"/>
      <c r="C3" s="345"/>
      <c r="D3" s="345"/>
      <c r="E3" s="345"/>
      <c r="F3" s="345"/>
      <c r="G3" s="345"/>
      <c r="H3" s="345"/>
      <c r="I3" s="35"/>
    </row>
    <row r="5" spans="1:9" x14ac:dyDescent="0.2">
      <c r="A5" s="28" t="s">
        <v>203</v>
      </c>
      <c r="H5" s="161" t="str">
        <f>TEXT(+'Общие данные'!B2+540,"ДД.ММ.ГГГГ")</f>
        <v>14.07.2026</v>
      </c>
    </row>
    <row r="7" spans="1:9" ht="45" customHeight="1" x14ac:dyDescent="0.2">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EGAMBERDIYEV TO‘XTASIN INOYATOVICH  20 yanvar 2025 y.dan №134-sonli Mikrokredit shartnomasi bo‘yicha garovga qo‘yilgan mol-mulkni ko‘zdan kechirdim</v>
      </c>
      <c r="B7" s="347"/>
      <c r="C7" s="347"/>
      <c r="D7" s="347"/>
      <c r="E7" s="347"/>
      <c r="F7" s="347"/>
      <c r="G7" s="347"/>
      <c r="H7" s="347"/>
    </row>
    <row r="8" spans="1:9" ht="19.5" customHeight="1" x14ac:dyDescent="0.2">
      <c r="A8" s="348" t="s">
        <v>276</v>
      </c>
      <c r="B8" s="348"/>
      <c r="C8" s="348"/>
      <c r="D8" s="348"/>
      <c r="E8" s="348"/>
      <c r="F8" s="348"/>
      <c r="G8" s="348"/>
      <c r="H8" s="348"/>
    </row>
    <row r="9" spans="1:9" s="162" customFormat="1" ht="32.25" customHeight="1" x14ac:dyDescent="0.25">
      <c r="A9" s="343" t="str">
        <f>' Акт мониторинга 1'!A9</f>
        <v>Nomi</v>
      </c>
      <c r="B9" s="344"/>
      <c r="C9" s="343" t="str">
        <f>' Акт мониторинга 1'!C9</f>
        <v>Kuzov turi  va kuzov raqami*</v>
      </c>
      <c r="D9" s="344"/>
      <c r="E9" s="343" t="str">
        <f>' Акт мониторинга 1'!E9</f>
        <v>Dvigatel va shassi raqami*</v>
      </c>
      <c r="F9" s="344"/>
      <c r="G9" s="343" t="str">
        <f>' Акт мониторинга 1'!G9</f>
        <v>Ishlab chiqarilgan yili va rangi**</v>
      </c>
      <c r="H9" s="344"/>
    </row>
    <row r="10" spans="1:9" s="160" customFormat="1" ht="58.5" customHeight="1" x14ac:dyDescent="0.2">
      <c r="A10" s="349" t="str">
        <f>' Акт мониторинга 1'!A10</f>
        <v>KIA SELTOS G702</v>
      </c>
      <c r="B10" s="350"/>
      <c r="C10" s="349" t="str">
        <f>' Акт мониторинга 1'!C10</f>
        <v>kuzov turi - YENGIL LEGKOVAYA, kuzov raqami KNAER81AEM7233541</v>
      </c>
      <c r="D10" s="350"/>
      <c r="E10" s="349" t="str">
        <f>' Акт мониторинга 1'!E10</f>
        <v>dvigatel raqami G4NHMH323294, shassi raqami - RAKAMSIZ</v>
      </c>
      <c r="F10" s="350"/>
      <c r="G10" s="349" t="str">
        <f>' Акт мониторинга 1'!G10</f>
        <v>rangi -  OQ BELIY JEMCHUG, ishlab chiqarilgan yili - 2021</v>
      </c>
      <c r="H10" s="350"/>
    </row>
    <row r="11" spans="1:9" ht="19.5" customHeight="1" x14ac:dyDescent="0.2">
      <c r="A11" s="342" t="str">
        <f>'Акт согласования'!A22:E22</f>
        <v>-* avtotransport egasi: EGAMBERDIYEV TO‘XTASIN INOYATOVICH</v>
      </c>
      <c r="B11" s="342"/>
      <c r="C11" s="342"/>
      <c r="D11" s="342"/>
      <c r="E11" s="342"/>
      <c r="F11" s="342"/>
      <c r="G11" s="342"/>
      <c r="H11" s="342"/>
    </row>
    <row r="12" spans="1:9" ht="19.5" customHeight="1" x14ac:dyDescent="0.2">
      <c r="A12" s="342" t="str">
        <f>'Акт согласования'!A23:E23</f>
        <v>-* texnik pasport: AAF4345420    08.04.2022</v>
      </c>
      <c r="B12" s="342"/>
      <c r="C12" s="342"/>
      <c r="D12" s="342"/>
      <c r="E12" s="342"/>
      <c r="F12" s="342"/>
      <c r="G12" s="342"/>
      <c r="H12" s="342"/>
    </row>
    <row r="13" spans="1:9" ht="19.5" customHeight="1" x14ac:dyDescent="0.2">
      <c r="A13" s="342" t="str">
        <f>'Акт согласования'!A24:E24</f>
        <v>-* roʻyxatdan oʻtgan manzili/garaj manzili: TOSHKENT SHAHRI UCHTEPA TUMANI 25-MAVZE 4-DOM 34-XONADON</v>
      </c>
      <c r="B13" s="342"/>
      <c r="C13" s="342"/>
      <c r="D13" s="342"/>
      <c r="E13" s="342"/>
      <c r="F13" s="342"/>
      <c r="G13" s="342"/>
      <c r="H13" s="342"/>
    </row>
    <row r="14" spans="1:9" ht="19.5" customHeight="1" x14ac:dyDescent="0.2">
      <c r="A14" s="342" t="str">
        <f>'Акт согласования'!A25:E25</f>
        <v>-* davlat raqami: 01R888QA</v>
      </c>
      <c r="B14" s="342"/>
      <c r="C14" s="342"/>
      <c r="D14" s="342"/>
      <c r="E14" s="342"/>
      <c r="F14" s="342"/>
      <c r="G14" s="342"/>
      <c r="H14" s="342"/>
    </row>
    <row r="15" spans="1:9" ht="33.75" customHeight="1" x14ac:dyDescent="0.2">
      <c r="A15" s="346" t="str">
        <f>+"Shu bilan birga, yuqoridagi mulkning kelishilgan garov qiymati "&amp;'Акт согласования'!E30</f>
        <v>Shu bilan birga, yuqoridagi mulkning kelishilgan garov qiymati 300 000 000,00 
(uch yuz million so'm)</v>
      </c>
      <c r="B15" s="346"/>
      <c r="C15" s="346"/>
      <c r="D15" s="346"/>
      <c r="E15" s="346"/>
      <c r="F15" s="346"/>
      <c r="G15" s="346"/>
      <c r="H15" s="346"/>
    </row>
    <row r="17" spans="1:8" s="160" customFormat="1" ht="32.25" customHeight="1" x14ac:dyDescent="0.2">
      <c r="A17" s="340" t="s">
        <v>277</v>
      </c>
      <c r="B17" s="340"/>
      <c r="C17" s="340"/>
      <c r="D17" s="340"/>
      <c r="E17" s="340"/>
      <c r="F17" s="340"/>
      <c r="G17" s="340"/>
      <c r="H17" s="340"/>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EGAMBERDIYEV T.I.</v>
      </c>
    </row>
    <row r="27" spans="1:8" s="35" customFormat="1" x14ac:dyDescent="0.2"/>
    <row r="28" spans="1:8" s="35" customFormat="1" x14ac:dyDescent="0.2"/>
    <row r="29" spans="1:8" s="35"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4</vt:lpstr>
      <vt:lpstr> Акт мониторинга 1</vt:lpstr>
      <vt:lpstr> Акт мониторинга 2</vt:lpstr>
      <vt:lpstr> Акт мониторинга 3</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r.saipova</cp:lastModifiedBy>
  <cp:lastPrinted>2025-01-20T05:20:16Z</cp:lastPrinted>
  <dcterms:created xsi:type="dcterms:W3CDTF">2015-06-05T18:19:34Z</dcterms:created>
  <dcterms:modified xsi:type="dcterms:W3CDTF">2025-01-20T05:32:49Z</dcterms:modified>
</cp:coreProperties>
</file>