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templates\material\example\"/>
    </mc:Choice>
  </mc:AlternateContent>
  <xr:revisionPtr revIDLastSave="0" documentId="8_{374ED3E9-9CC0-4E90-8650-D0CF95332DE5}" xr6:coauthVersionLast="47" xr6:coauthVersionMax="47" xr10:uidLastSave="{00000000-0000-0000-0000-000000000000}"/>
  <bookViews>
    <workbookView xWindow="-120" yWindow="-120" windowWidth="29040" windowHeight="15840" tabRatio="915" activeTab="3"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4" sheetId="29" r:id="rId18"/>
    <sheet name=" Акт мониторинга 1" sheetId="26" r:id="rId19"/>
    <sheet name=" Акт мониторинга 2" sheetId="27" r:id="rId20"/>
    <sheet name=" Акт мониторинга 3" sheetId="28"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согласования'!$A$1:$E$66</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договор!$A$1:$B$128</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7" l="1"/>
  <c r="D62" i="7"/>
  <c r="B8" i="13"/>
  <c r="A19" i="13"/>
  <c r="C125" i="1"/>
  <c r="E20" i="7"/>
  <c r="B21" i="7"/>
  <c r="B20" i="7"/>
  <c r="A32" i="16" l="1"/>
  <c r="A33" i="16" s="1"/>
  <c r="A34" i="16" s="1"/>
  <c r="A35" i="16" s="1"/>
  <c r="A36" i="16" s="1"/>
  <c r="A37" i="16" s="1"/>
  <c r="A38" i="16" s="1"/>
  <c r="A39" i="16" s="1"/>
  <c r="A40" i="16" s="1"/>
  <c r="A41" i="16" s="1"/>
  <c r="A42" i="16" s="1"/>
  <c r="A43" i="16" s="1"/>
  <c r="A44" i="16" s="1"/>
  <c r="A31" i="12"/>
  <c r="A32" i="12" s="1"/>
  <c r="A31" i="15"/>
  <c r="A32" i="15" s="1"/>
  <c r="B65" i="1"/>
  <c r="A7" i="3"/>
  <c r="A8" i="4" s="1"/>
  <c r="D59" i="7"/>
  <c r="B122" i="1"/>
  <c r="C8" i="15"/>
  <c r="A33" i="12" l="1"/>
  <c r="A33" i="15"/>
  <c r="B116" i="1"/>
  <c r="A62" i="7"/>
  <c r="A34" i="12" l="1"/>
  <c r="A34" i="15"/>
  <c r="B119" i="19"/>
  <c r="C116" i="1"/>
  <c r="C122" i="1" s="1"/>
  <c r="C114" i="1"/>
  <c r="C120" i="1" s="1"/>
  <c r="C113" i="1"/>
  <c r="C119" i="1" s="1"/>
  <c r="C112" i="1"/>
  <c r="C118" i="1" s="1"/>
  <c r="C111" i="1"/>
  <c r="C117" i="1" s="1"/>
  <c r="A61" i="7"/>
  <c r="F61" i="7"/>
  <c r="A25" i="7"/>
  <c r="A23" i="7"/>
  <c r="A35" i="12" l="1"/>
  <c r="A35" i="15"/>
  <c r="H24" i="27"/>
  <c r="A9" i="26"/>
  <c r="A9" i="29" s="1"/>
  <c r="A36" i="12" l="1"/>
  <c r="A36" i="15"/>
  <c r="A9" i="27"/>
  <c r="A9" i="28"/>
  <c r="I126" i="1"/>
  <c r="A48" i="3"/>
  <c r="A35" i="3"/>
  <c r="E30" i="3"/>
  <c r="A30" i="3"/>
  <c r="A33" i="3"/>
  <c r="A37" i="12" l="1"/>
  <c r="A37" i="15"/>
  <c r="D29" i="7"/>
  <c r="D30" i="3" s="1"/>
  <c r="E133" i="1"/>
  <c r="E130" i="1"/>
  <c r="D20" i="7"/>
  <c r="G9" i="26"/>
  <c r="A38" i="12" l="1"/>
  <c r="A38" i="15"/>
  <c r="G9" i="28"/>
  <c r="G9" i="27"/>
  <c r="G9" i="29"/>
  <c r="B29" i="7"/>
  <c r="B30" i="3" s="1"/>
  <c r="C9" i="26"/>
  <c r="C29" i="7"/>
  <c r="C30" i="3" s="1"/>
  <c r="E9" i="26"/>
  <c r="A39" i="12" l="1"/>
  <c r="A39" i="15"/>
  <c r="E9" i="29"/>
  <c r="E9" i="28"/>
  <c r="E9" i="27"/>
  <c r="C9" i="29"/>
  <c r="C9" i="28"/>
  <c r="C9" i="27"/>
  <c r="B76" i="1"/>
  <c r="A40" i="12" l="1"/>
  <c r="A40" i="15"/>
  <c r="H24" i="29"/>
  <c r="H24" i="28"/>
  <c r="A22" i="26"/>
  <c r="H24" i="26"/>
  <c r="B7" i="13"/>
  <c r="B126" i="19"/>
  <c r="E51" i="3"/>
  <c r="A51" i="3"/>
  <c r="A59" i="3"/>
  <c r="A57" i="3"/>
  <c r="A53" i="3"/>
  <c r="A37" i="3"/>
  <c r="A1" i="3"/>
  <c r="C1" i="2"/>
  <c r="D17" i="23"/>
  <c r="E17" i="23" s="1"/>
  <c r="A1" i="23"/>
  <c r="A39" i="23"/>
  <c r="A38" i="23"/>
  <c r="D58" i="16"/>
  <c r="A41" i="12" l="1"/>
  <c r="A41" i="15"/>
  <c r="A110" i="1"/>
  <c r="A109" i="1"/>
  <c r="A108" i="1"/>
  <c r="A107" i="1"/>
  <c r="B19" i="1"/>
  <c r="C22" i="1" s="1"/>
  <c r="H9" i="23"/>
  <c r="A57" i="16"/>
  <c r="A18" i="23" l="1"/>
  <c r="A7" i="23"/>
  <c r="A42" i="12"/>
  <c r="A42" i="15"/>
  <c r="B49" i="1"/>
  <c r="B59" i="1" s="1"/>
  <c r="A43" i="12" l="1"/>
  <c r="A43" i="15"/>
  <c r="A16" i="4"/>
  <c r="A17" i="4"/>
  <c r="A7" i="24"/>
  <c r="B27" i="1"/>
  <c r="B34" i="1"/>
  <c r="A24" i="7"/>
  <c r="B114" i="1"/>
  <c r="B113" i="1"/>
  <c r="B119" i="1" s="1"/>
  <c r="B112" i="1"/>
  <c r="B118" i="1" s="1"/>
  <c r="B111" i="1"/>
  <c r="B117" i="1" s="1"/>
  <c r="A34" i="3" l="1"/>
  <c r="A23" i="8"/>
  <c r="B45" i="1"/>
  <c r="B58" i="1"/>
  <c r="A63" i="7"/>
  <c r="A52" i="7"/>
  <c r="A51" i="7"/>
  <c r="B6" i="13"/>
  <c r="D2" i="2"/>
  <c r="C76" i="1"/>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A34"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A18" i="8" l="1"/>
  <c r="A32" i="3"/>
  <c r="H7" i="23"/>
  <c r="A2" i="23" s="1"/>
  <c r="A120" i="19" l="1"/>
  <c r="A53" i="16" s="1"/>
  <c r="A30" i="4"/>
  <c r="B122" i="19"/>
  <c r="D55" i="16" s="1"/>
  <c r="A15" i="4"/>
  <c r="A14" i="4"/>
  <c r="A13" i="4"/>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B9" i="1"/>
  <c r="B11" i="1" s="1"/>
  <c r="B13" i="1" s="1"/>
  <c r="B8" i="1"/>
  <c r="B136" i="1"/>
  <c r="B137" i="1" s="1"/>
  <c r="B133" i="1"/>
  <c r="E21" i="7" s="1"/>
  <c r="B127" i="1"/>
  <c r="C10" i="26" s="1"/>
  <c r="G10" i="26" l="1"/>
  <c r="D30" i="7"/>
  <c r="D31" i="3" s="1"/>
  <c r="C10" i="28"/>
  <c r="C10" i="27"/>
  <c r="C10" i="29"/>
  <c r="C126" i="1"/>
  <c r="A28" i="3" s="1"/>
  <c r="A21" i="7"/>
  <c r="A10" i="26" s="1"/>
  <c r="C137" i="1"/>
  <c r="B138" i="1"/>
  <c r="A6" i="2"/>
  <c r="E30" i="7"/>
  <c r="A48" i="7"/>
  <c r="A15" i="7"/>
  <c r="E125" i="1"/>
  <c r="A27" i="3"/>
  <c r="B9" i="13"/>
  <c r="A20" i="3"/>
  <c r="F126" i="1"/>
  <c r="E126" i="1"/>
  <c r="B10" i="1"/>
  <c r="E31" i="3" l="1"/>
  <c r="E28" i="23"/>
  <c r="A17" i="8"/>
  <c r="A17" i="7"/>
  <c r="A24" i="2"/>
  <c r="G10" i="28"/>
  <c r="G10" i="29"/>
  <c r="G10" i="27"/>
  <c r="A16" i="8"/>
  <c r="A25" i="2"/>
  <c r="A16" i="7"/>
  <c r="A10" i="27"/>
  <c r="A10" i="28"/>
  <c r="A10" i="29"/>
  <c r="A29" i="3"/>
  <c r="A26" i="23" s="1"/>
  <c r="A8" i="8"/>
  <c r="A38" i="3"/>
  <c r="B12" i="1"/>
  <c r="A18" i="7" l="1"/>
  <c r="A19" i="7" s="1"/>
  <c r="A15" i="13"/>
  <c r="A21" i="4"/>
  <c r="A10" i="2"/>
  <c r="A9" i="2"/>
  <c r="A19" i="4"/>
  <c r="B66" i="1" l="1"/>
  <c r="H26" i="29"/>
  <c r="H26" i="28"/>
  <c r="H26" i="27"/>
  <c r="H22" i="29"/>
  <c r="H22" i="28"/>
  <c r="H22" i="27"/>
  <c r="H26" i="26"/>
  <c r="A1" i="19" l="1"/>
  <c r="D56" i="7"/>
  <c r="A56" i="7"/>
  <c r="A131" i="19"/>
  <c r="B102" i="1"/>
  <c r="R124" i="1" l="1"/>
  <c r="R125" i="1" s="1"/>
  <c r="N126" i="1" s="1"/>
  <c r="A25" i="13"/>
  <c r="A26" i="13" s="1"/>
  <c r="A28" i="13" s="1"/>
  <c r="A20" i="13" s="1"/>
  <c r="A65" i="7" s="1"/>
  <c r="Q124" i="1"/>
  <c r="Q125" i="1" s="1"/>
  <c r="N125" i="1" s="1"/>
  <c r="C63" i="7" l="1"/>
  <c r="B24" i="4"/>
  <c r="B67" i="1" l="1"/>
  <c r="C78" i="1" s="1"/>
  <c r="C79" i="1" s="1"/>
  <c r="C80" i="1" s="1"/>
  <c r="B79" i="1" s="1"/>
  <c r="B80" i="1" l="1"/>
  <c r="B8" i="15"/>
  <c r="B145" i="1"/>
  <c r="B143" i="1"/>
  <c r="B9" i="16" l="1"/>
  <c r="R32" i="15"/>
  <c r="R33" i="15"/>
  <c r="R34" i="15"/>
  <c r="R35" i="15"/>
  <c r="R36" i="15"/>
  <c r="R37" i="15"/>
  <c r="R38" i="15"/>
  <c r="R39" i="15"/>
  <c r="R40" i="15"/>
  <c r="R41" i="15"/>
  <c r="R42" i="15"/>
  <c r="R43" i="15"/>
  <c r="C18" i="1"/>
  <c r="B20" i="1" s="1"/>
  <c r="O38" i="15" l="1"/>
  <c r="P38" i="15" s="1"/>
  <c r="Q38" i="15" s="1"/>
  <c r="B38" i="15" s="1"/>
  <c r="O36" i="15"/>
  <c r="P36" i="15" s="1"/>
  <c r="Q36" i="15" s="1"/>
  <c r="B36" i="15" s="1"/>
  <c r="O35" i="15"/>
  <c r="P35" i="15" s="1"/>
  <c r="Q35" i="15" s="1"/>
  <c r="B35" i="15" s="1"/>
  <c r="O42" i="15"/>
  <c r="P42" i="15" s="1"/>
  <c r="Q42" i="15" s="1"/>
  <c r="B42" i="15" s="1"/>
  <c r="O34" i="15"/>
  <c r="P34" i="15" s="1"/>
  <c r="Q34" i="15" s="1"/>
  <c r="B34" i="15" s="1"/>
  <c r="O43" i="15"/>
  <c r="P43" i="15" s="1"/>
  <c r="Q43" i="15" s="1"/>
  <c r="B43" i="15"/>
  <c r="O33" i="15"/>
  <c r="P33" i="15" s="1"/>
  <c r="Q33" i="15" s="1"/>
  <c r="B33" i="15" s="1"/>
  <c r="O37" i="15"/>
  <c r="P37" i="15" s="1"/>
  <c r="Q37" i="15" s="1"/>
  <c r="B37" i="15" s="1"/>
  <c r="O40" i="15"/>
  <c r="P40" i="15" s="1"/>
  <c r="Q40" i="15" s="1"/>
  <c r="B40" i="15" s="1"/>
  <c r="O32" i="15"/>
  <c r="P32" i="15" s="1"/>
  <c r="Q32" i="15" s="1"/>
  <c r="B32" i="15" s="1"/>
  <c r="O41" i="15"/>
  <c r="P41" i="15" s="1"/>
  <c r="Q41" i="15" s="1"/>
  <c r="B41" i="15" s="1"/>
  <c r="O39" i="15"/>
  <c r="P39" i="15" s="1"/>
  <c r="Q39" i="15" s="1"/>
  <c r="B39" i="15" s="1"/>
  <c r="C115" i="1"/>
  <c r="C20" i="1"/>
  <c r="A5" i="19" s="1"/>
  <c r="H33" i="15" l="1"/>
  <c r="G33" i="15"/>
  <c r="B34" i="16"/>
  <c r="B33" i="12"/>
  <c r="H40" i="15"/>
  <c r="B41" i="16"/>
  <c r="G40" i="15"/>
  <c r="B40" i="12"/>
  <c r="G34" i="15"/>
  <c r="B35" i="16"/>
  <c r="B34" i="12"/>
  <c r="H34" i="15"/>
  <c r="G41" i="15"/>
  <c r="B42" i="16"/>
  <c r="B41" i="12"/>
  <c r="H41" i="15"/>
  <c r="G42" i="15"/>
  <c r="B42" i="12"/>
  <c r="H42" i="15"/>
  <c r="B43" i="16"/>
  <c r="B32" i="12"/>
  <c r="H32" i="12" s="1"/>
  <c r="H32" i="15"/>
  <c r="B33" i="16"/>
  <c r="H35" i="15"/>
  <c r="G35" i="15"/>
  <c r="B35" i="12"/>
  <c r="B36" i="16"/>
  <c r="H36" i="15"/>
  <c r="G36" i="15"/>
  <c r="B36" i="12"/>
  <c r="B37" i="16"/>
  <c r="H39" i="15"/>
  <c r="B39" i="12"/>
  <c r="B40" i="16"/>
  <c r="G39" i="15"/>
  <c r="B38" i="16"/>
  <c r="G37" i="15"/>
  <c r="B37" i="12"/>
  <c r="H37" i="15"/>
  <c r="G38" i="15"/>
  <c r="H38" i="15"/>
  <c r="B38" i="12"/>
  <c r="B39" i="16"/>
  <c r="B43" i="12"/>
  <c r="B44" i="16"/>
  <c r="H43" i="15"/>
  <c r="G43" i="15"/>
  <c r="B115" i="1"/>
  <c r="B121" i="1" s="1"/>
  <c r="C121" i="1"/>
  <c r="B121" i="19"/>
  <c r="D53" i="16" s="1"/>
  <c r="A8" i="2"/>
  <c r="B27" i="23"/>
  <c r="C27" i="23"/>
  <c r="D27" i="23"/>
  <c r="E27" i="23"/>
  <c r="A27" i="23"/>
  <c r="H41" i="12" l="1"/>
  <c r="G41" i="12"/>
  <c r="H36" i="12"/>
  <c r="G36" i="12"/>
  <c r="G43" i="12"/>
  <c r="H43" i="12"/>
  <c r="H33" i="12"/>
  <c r="G33" i="12"/>
  <c r="H34" i="12"/>
  <c r="G34" i="12"/>
  <c r="H38" i="12"/>
  <c r="G38" i="12"/>
  <c r="G35" i="12"/>
  <c r="H35" i="12"/>
  <c r="H42" i="12"/>
  <c r="G42" i="12"/>
  <c r="G40" i="12"/>
  <c r="H40" i="12"/>
  <c r="H37" i="12"/>
  <c r="G37" i="12"/>
  <c r="G39" i="12"/>
  <c r="H39" i="12"/>
  <c r="J4" i="2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D8" i="15" l="1"/>
  <c r="C9" i="15" s="1"/>
  <c r="A33" i="20"/>
  <c r="C19" i="1"/>
  <c r="B21" i="1" l="1"/>
  <c r="A6" i="3" s="1"/>
  <c r="C21" i="1"/>
  <c r="C5" i="22"/>
  <c r="A33" i="22" s="1"/>
  <c r="R28" i="15" l="1"/>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26" i="15" l="1"/>
  <c r="P26" i="15" s="1"/>
  <c r="Q26" i="15" s="1"/>
  <c r="B26" i="15" s="1"/>
  <c r="B27" i="16" s="1"/>
  <c r="O30" i="15"/>
  <c r="P30" i="15" s="1"/>
  <c r="Q30" i="15" s="1"/>
  <c r="B30" i="15" s="1"/>
  <c r="B31" i="16" s="1"/>
  <c r="O27" i="15"/>
  <c r="P27" i="15" s="1"/>
  <c r="Q27" i="15" s="1"/>
  <c r="B27" i="15" s="1"/>
  <c r="B28" i="16" s="1"/>
  <c r="O29" i="15"/>
  <c r="P29" i="15" s="1"/>
  <c r="Q29" i="15" s="1"/>
  <c r="B29" i="15" s="1"/>
  <c r="B30" i="16" s="1"/>
  <c r="O28" i="15"/>
  <c r="P28" i="15" s="1"/>
  <c r="Q28" i="15" s="1"/>
  <c r="B28" i="15" s="1"/>
  <c r="B29" i="16" s="1"/>
  <c r="O31" i="15"/>
  <c r="P31" i="15" s="1"/>
  <c r="Q31" i="15" s="1"/>
  <c r="B31" i="15" s="1"/>
  <c r="O18" i="15"/>
  <c r="P18" i="15" s="1"/>
  <c r="Q18" i="15" s="1"/>
  <c r="B18" i="15" s="1"/>
  <c r="B19" i="16" s="1"/>
  <c r="O24" i="15"/>
  <c r="P24" i="15" s="1"/>
  <c r="Q24" i="15" s="1"/>
  <c r="B24" i="15" s="1"/>
  <c r="B25" i="16" s="1"/>
  <c r="O15" i="15"/>
  <c r="P15" i="15" s="1"/>
  <c r="Q15" i="15" s="1"/>
  <c r="O13" i="15"/>
  <c r="P13" i="15" s="1"/>
  <c r="Q13" i="15" s="1"/>
  <c r="B13" i="15" s="1"/>
  <c r="B14" i="16" s="1"/>
  <c r="O17" i="15"/>
  <c r="P17" i="15" s="1"/>
  <c r="Q17" i="15" s="1"/>
  <c r="B17" i="15" s="1"/>
  <c r="B18" i="16" s="1"/>
  <c r="O16" i="15"/>
  <c r="P16" i="15" s="1"/>
  <c r="Q16" i="15" s="1"/>
  <c r="B16" i="15" s="1"/>
  <c r="B17" i="16" s="1"/>
  <c r="O22" i="15"/>
  <c r="P22" i="15" s="1"/>
  <c r="Q22" i="15" s="1"/>
  <c r="B22" i="15" s="1"/>
  <c r="B23" i="16" s="1"/>
  <c r="O23" i="15"/>
  <c r="P23" i="15" s="1"/>
  <c r="Q23" i="15" s="1"/>
  <c r="O21" i="15"/>
  <c r="P21" i="15" s="1"/>
  <c r="Q21" i="15" s="1"/>
  <c r="B21" i="15" s="1"/>
  <c r="B22" i="16" s="1"/>
  <c r="O20" i="15"/>
  <c r="P20" i="15" s="1"/>
  <c r="Q20" i="15" s="1"/>
  <c r="B20" i="15" s="1"/>
  <c r="B21" i="16" s="1"/>
  <c r="L8" i="15"/>
  <c r="O11" i="15"/>
  <c r="P11" i="15" s="1"/>
  <c r="Q11" i="15" s="1"/>
  <c r="B11" i="15" s="1"/>
  <c r="B12" i="16" s="1"/>
  <c r="O10" i="15"/>
  <c r="P10" i="15" s="1"/>
  <c r="Q10" i="15" s="1"/>
  <c r="B10" i="15" s="1"/>
  <c r="B11" i="16" s="1"/>
  <c r="O9" i="15"/>
  <c r="P9" i="15" s="1"/>
  <c r="Q9" i="15" s="1"/>
  <c r="O19" i="15"/>
  <c r="P19" i="15" s="1"/>
  <c r="Q19" i="15" s="1"/>
  <c r="B19" i="15" s="1"/>
  <c r="B20" i="16" s="1"/>
  <c r="O14" i="15"/>
  <c r="P14" i="15" s="1"/>
  <c r="Q14" i="15" s="1"/>
  <c r="B14" i="15" s="1"/>
  <c r="B15" i="16" s="1"/>
  <c r="O12" i="15"/>
  <c r="P12" i="15" s="1"/>
  <c r="Q12" i="15" s="1"/>
  <c r="B12" i="15" s="1"/>
  <c r="B13" i="16" s="1"/>
  <c r="O25" i="15"/>
  <c r="P25" i="15" s="1"/>
  <c r="Q25" i="15" s="1"/>
  <c r="B25" i="15" s="1"/>
  <c r="B26" i="16" s="1"/>
  <c r="B32" i="16" l="1"/>
  <c r="G32" i="15"/>
  <c r="B23" i="15"/>
  <c r="B24" i="16" s="1"/>
  <c r="E8" i="15"/>
  <c r="B28" i="12"/>
  <c r="B15" i="15"/>
  <c r="B9" i="15"/>
  <c r="B10" i="16" s="1"/>
  <c r="B18" i="12"/>
  <c r="B16" i="12"/>
  <c r="B13" i="12"/>
  <c r="B20" i="12"/>
  <c r="B21" i="12"/>
  <c r="B29" i="12"/>
  <c r="B26" i="12"/>
  <c r="B27" i="12"/>
  <c r="B30" i="12"/>
  <c r="B31" i="12"/>
  <c r="G32" i="12" s="1"/>
  <c r="H31" i="15"/>
  <c r="H16" i="15"/>
  <c r="H18" i="15"/>
  <c r="G18" i="15"/>
  <c r="H13" i="15"/>
  <c r="H20" i="15"/>
  <c r="H21" i="15"/>
  <c r="G21" i="15"/>
  <c r="D17" i="1"/>
  <c r="H23" i="15" l="1"/>
  <c r="B23" i="12"/>
  <c r="B9" i="12"/>
  <c r="B15" i="12"/>
  <c r="B16" i="16"/>
  <c r="G9" i="15"/>
  <c r="H15" i="15"/>
  <c r="G16" i="15"/>
  <c r="B10" i="12"/>
  <c r="B14" i="12"/>
  <c r="B24" i="12"/>
  <c r="B11" i="12"/>
  <c r="H25" i="15"/>
  <c r="H19" i="15"/>
  <c r="G19" i="15"/>
  <c r="G20" i="15"/>
  <c r="B19" i="12"/>
  <c r="H14" i="15"/>
  <c r="B25" i="12"/>
  <c r="B17" i="12"/>
  <c r="G15" i="15"/>
  <c r="G14" i="15"/>
  <c r="H17" i="15"/>
  <c r="G17" i="15"/>
  <c r="B12" i="12"/>
  <c r="G23" i="15"/>
  <c r="G22" i="15"/>
  <c r="H22" i="15"/>
  <c r="B2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27" i="19" l="1"/>
  <c r="B68" i="1"/>
  <c r="D66" i="1"/>
  <c r="B72" i="1" s="1"/>
  <c r="H66" i="1"/>
  <c r="B73" i="1" s="1"/>
  <c r="E3" i="23" l="1"/>
  <c r="B74" i="1"/>
  <c r="B70" i="1"/>
  <c r="A3" i="19" s="1"/>
  <c r="E3" i="22"/>
  <c r="B71" i="1"/>
  <c r="A8" i="19" s="1"/>
  <c r="A28" i="7" l="1"/>
  <c r="A27" i="7"/>
  <c r="A7" i="26"/>
  <c r="A7" i="28"/>
  <c r="A7" i="27"/>
  <c r="A12" i="7"/>
  <c r="A7" i="29"/>
  <c r="A11" i="7"/>
  <c r="A9" i="7"/>
  <c r="A8" i="7"/>
  <c r="B19" i="9"/>
  <c r="F3" i="16"/>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B12" i="9" l="1"/>
  <c r="A12" i="8"/>
  <c r="E19" i="8"/>
  <c r="E11" i="20" s="1"/>
  <c r="D19" i="8"/>
  <c r="D11" i="20" s="1"/>
  <c r="C19" i="8"/>
  <c r="C11" i="20" s="1"/>
  <c r="B19" i="8"/>
  <c r="B11" i="20" s="1"/>
  <c r="A19" i="8"/>
  <c r="A11" i="20" s="1"/>
  <c r="D60" i="7"/>
  <c r="D28" i="23"/>
  <c r="B30" i="7"/>
  <c r="A30" i="7"/>
  <c r="A28" i="23" l="1"/>
  <c r="A31" i="3"/>
  <c r="B28" i="23"/>
  <c r="B31" i="3"/>
  <c r="A32" i="23"/>
  <c r="A14" i="26"/>
  <c r="A14" i="29"/>
  <c r="A14" i="28"/>
  <c r="A14" i="27"/>
  <c r="A30" i="23"/>
  <c r="A12" i="27"/>
  <c r="A12" i="29"/>
  <c r="A12" i="28"/>
  <c r="A12" i="26"/>
  <c r="D20" i="8"/>
  <c r="D12" i="20" s="1"/>
  <c r="B20" i="8"/>
  <c r="B12" i="20" s="1"/>
  <c r="A24" i="8"/>
  <c r="A16" i="20" s="1"/>
  <c r="A20" i="8"/>
  <c r="A12" i="20" s="1"/>
  <c r="A22" i="8"/>
  <c r="A14" i="20" s="1"/>
  <c r="D35" i="4"/>
  <c r="D27" i="4"/>
  <c r="C27" i="4"/>
  <c r="A14" i="3"/>
  <c r="A42" i="3" s="1"/>
  <c r="A11"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15" i="27" l="1"/>
  <c r="A15" i="26"/>
  <c r="A15" i="29"/>
  <c r="A15" i="28"/>
  <c r="A31" i="23"/>
  <c r="A13" i="27"/>
  <c r="A13" i="28"/>
  <c r="A13" i="29"/>
  <c r="A13" i="26"/>
  <c r="A29" i="23"/>
  <c r="A11" i="29"/>
  <c r="A11" i="28"/>
  <c r="A11" i="27"/>
  <c r="A11" i="26"/>
  <c r="A15" i="20"/>
  <c r="A21" i="8"/>
  <c r="A13" i="20" s="1"/>
  <c r="E20" i="8"/>
  <c r="E12" i="20" s="1"/>
  <c r="F2" i="12"/>
  <c r="G8" i="12" l="1"/>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9" i="15" l="1"/>
  <c r="C10" i="15" s="1"/>
  <c r="I10" i="15"/>
  <c r="I11" i="15" s="1"/>
  <c r="I12" i="15" s="1"/>
  <c r="M8" i="15"/>
  <c r="L9" i="15"/>
  <c r="E9" i="15" l="1"/>
  <c r="M9" i="15" s="1"/>
  <c r="F8" i="15"/>
  <c r="D10" i="15"/>
  <c r="J13" i="15"/>
  <c r="K13" i="15" s="1"/>
  <c r="I13" i="15" s="1"/>
  <c r="I14" i="15" s="1"/>
  <c r="I15" i="15" s="1"/>
  <c r="I16" i="15" s="1"/>
  <c r="I17" i="15" s="1"/>
  <c r="I18" i="15" s="1"/>
  <c r="L10" i="15"/>
  <c r="C11" i="15" l="1"/>
  <c r="L11" i="15" s="1"/>
  <c r="E11" i="15" s="1"/>
  <c r="E10" i="15"/>
  <c r="F9" i="15"/>
  <c r="J14" i="15"/>
  <c r="K14" i="15" s="1"/>
  <c r="J17" i="15"/>
  <c r="K17" i="15" s="1"/>
  <c r="J15" i="15"/>
  <c r="K15" i="15" s="1"/>
  <c r="J19" i="15"/>
  <c r="K19" i="15" s="1"/>
  <c r="I19" i="15" s="1"/>
  <c r="J16" i="15"/>
  <c r="K16" i="15" s="1"/>
  <c r="J18" i="15"/>
  <c r="K18" i="15" s="1"/>
  <c r="D11" i="15" l="1"/>
  <c r="C12" i="15" s="1"/>
  <c r="M10" i="15"/>
  <c r="F10" i="15" s="1"/>
  <c r="I20" i="15"/>
  <c r="J20" i="15"/>
  <c r="K20" i="15" s="1"/>
  <c r="I21" i="15" l="1"/>
  <c r="I22" i="15" s="1"/>
  <c r="I23" i="15" s="1"/>
  <c r="I24" i="15" s="1"/>
  <c r="M11" i="15"/>
  <c r="F11" i="15" s="1"/>
  <c r="D12" i="15"/>
  <c r="C13" i="15" s="1"/>
  <c r="D13" i="15" s="1"/>
  <c r="L12" i="15"/>
  <c r="E12" i="15" s="1"/>
  <c r="J21" i="15"/>
  <c r="K21" i="15" s="1"/>
  <c r="J24" i="15" l="1"/>
  <c r="K24" i="15" s="1"/>
  <c r="J22" i="15"/>
  <c r="K22" i="15" s="1"/>
  <c r="J25" i="15"/>
  <c r="K25" i="15" s="1"/>
  <c r="I25" i="15" s="1"/>
  <c r="I26" i="15" s="1"/>
  <c r="I27" i="15" s="1"/>
  <c r="I28" i="15" s="1"/>
  <c r="I29" i="15" s="1"/>
  <c r="I30" i="15" s="1"/>
  <c r="J23" i="15"/>
  <c r="K23" i="15" s="1"/>
  <c r="C14" i="15"/>
  <c r="M12" i="15"/>
  <c r="L13" i="15"/>
  <c r="J27" i="15" l="1"/>
  <c r="K27" i="15" s="1"/>
  <c r="J26" i="15"/>
  <c r="K26" i="15" s="1"/>
  <c r="J30" i="15"/>
  <c r="K30" i="15" s="1"/>
  <c r="J28" i="15"/>
  <c r="K28" i="15" s="1"/>
  <c r="J31" i="15"/>
  <c r="K31" i="15" s="1"/>
  <c r="I31" i="15" s="1"/>
  <c r="J32" i="15" s="1"/>
  <c r="K32" i="15" s="1"/>
  <c r="J29" i="15"/>
  <c r="K29" i="15" s="1"/>
  <c r="E13" i="15"/>
  <c r="F12" i="15"/>
  <c r="L14" i="15"/>
  <c r="I32" i="15" l="1"/>
  <c r="I33" i="15" s="1"/>
  <c r="J33" i="15"/>
  <c r="K33" i="15" s="1"/>
  <c r="E14" i="15"/>
  <c r="D14" i="15"/>
  <c r="C15" i="15" s="1"/>
  <c r="M13" i="15"/>
  <c r="I34" i="15" l="1"/>
  <c r="J34" i="15"/>
  <c r="K34" i="15" s="1"/>
  <c r="F13" i="15"/>
  <c r="M14" i="15"/>
  <c r="I35" i="15" l="1"/>
  <c r="J35" i="15"/>
  <c r="K35" i="15" s="1"/>
  <c r="F14" i="15"/>
  <c r="L15" i="15"/>
  <c r="D15" i="15" s="1"/>
  <c r="C16" i="15" s="1"/>
  <c r="I36" i="15" l="1"/>
  <c r="J36" i="15"/>
  <c r="K36" i="15" s="1"/>
  <c r="E15" i="15"/>
  <c r="M15" i="15" s="1"/>
  <c r="J37" i="15" l="1"/>
  <c r="K37" i="15" s="1"/>
  <c r="I37" i="15" s="1"/>
  <c r="F15" i="15"/>
  <c r="L16" i="15"/>
  <c r="D16" i="15" s="1"/>
  <c r="C17" i="15" s="1"/>
  <c r="I38" i="15" l="1"/>
  <c r="J38" i="15"/>
  <c r="K38" i="15" s="1"/>
  <c r="E16" i="15"/>
  <c r="M16" i="15" s="1"/>
  <c r="I39" i="15" l="1"/>
  <c r="J39" i="15"/>
  <c r="K39" i="15" s="1"/>
  <c r="F16" i="15"/>
  <c r="L17" i="15"/>
  <c r="D17" i="15" s="1"/>
  <c r="C18" i="15" s="1"/>
  <c r="J40" i="15" l="1"/>
  <c r="K40" i="15" s="1"/>
  <c r="I40" i="15"/>
  <c r="E17" i="15"/>
  <c r="M17" i="15" s="1"/>
  <c r="L18" i="15"/>
  <c r="D18" i="15" s="1"/>
  <c r="C19" i="15" s="1"/>
  <c r="J41" i="15" l="1"/>
  <c r="K41" i="15" s="1"/>
  <c r="I41" i="15"/>
  <c r="E18" i="15"/>
  <c r="M18" i="15" s="1"/>
  <c r="F17" i="15"/>
  <c r="J42" i="15" l="1"/>
  <c r="K42" i="15" s="1"/>
  <c r="I42" i="15"/>
  <c r="J43" i="15" s="1"/>
  <c r="K43" i="15" s="1"/>
  <c r="I43" i="15" s="1"/>
  <c r="F18" i="15"/>
  <c r="L19" i="15"/>
  <c r="D19" i="15" s="1"/>
  <c r="C20" i="15" s="1"/>
  <c r="E19" i="15" l="1"/>
  <c r="M19" i="15" s="1"/>
  <c r="L20" i="15"/>
  <c r="D20" i="15" s="1"/>
  <c r="C21" i="15" l="1"/>
  <c r="F19" i="15"/>
  <c r="E20" i="15"/>
  <c r="M20" i="15" l="1"/>
  <c r="F20" i="15" s="1"/>
  <c r="L21" i="15"/>
  <c r="D21" i="15" s="1"/>
  <c r="C22" i="15" l="1"/>
  <c r="E21" i="15"/>
  <c r="M21" i="15" l="1"/>
  <c r="F21" i="15" s="1"/>
  <c r="L22" i="15"/>
  <c r="D22" i="15" s="1"/>
  <c r="C23" i="15" l="1"/>
  <c r="L23" i="15" s="1"/>
  <c r="E22" i="15"/>
  <c r="M22" i="15" s="1"/>
  <c r="D23" i="15" l="1"/>
  <c r="F22" i="15"/>
  <c r="E23" i="15"/>
  <c r="C24" i="15" l="1"/>
  <c r="L24" i="15" s="1"/>
  <c r="M23" i="15"/>
  <c r="F23" i="15" s="1"/>
  <c r="D24" i="15" l="1"/>
  <c r="E24" i="15"/>
  <c r="M24" i="15" l="1"/>
  <c r="F24" i="15" s="1"/>
  <c r="C25" i="15"/>
  <c r="L25" i="15" l="1"/>
  <c r="D25" i="15" l="1"/>
  <c r="C26" i="15" s="1"/>
  <c r="E25" i="15"/>
  <c r="M25" i="15" l="1"/>
  <c r="F25" i="15" s="1"/>
  <c r="L26" i="15"/>
  <c r="E26" i="15" s="1"/>
  <c r="D26" i="15" l="1"/>
  <c r="M26" i="15" l="1"/>
  <c r="F26" i="15" s="1"/>
  <c r="C27" i="15"/>
  <c r="L27" i="15" l="1"/>
  <c r="E27" i="15" s="1"/>
  <c r="D27" i="15" l="1"/>
  <c r="M27" i="15" l="1"/>
  <c r="F27" i="15" s="1"/>
  <c r="C28" i="15"/>
  <c r="L28" i="15" l="1"/>
  <c r="E28" i="15" s="1"/>
  <c r="D28" i="15" l="1"/>
  <c r="M28" i="15" l="1"/>
  <c r="F28" i="15" s="1"/>
  <c r="C29" i="15"/>
  <c r="L29" i="15" l="1"/>
  <c r="E29" i="15" s="1"/>
  <c r="D29" i="15" l="1"/>
  <c r="M29" i="15" l="1"/>
  <c r="F29" i="15" s="1"/>
  <c r="C30" i="15"/>
  <c r="L30" i="15" l="1"/>
  <c r="E30" i="15" s="1"/>
  <c r="D30" i="15" l="1"/>
  <c r="M30" i="15" l="1"/>
  <c r="F30" i="15" s="1"/>
  <c r="C31" i="15"/>
  <c r="L31" i="15" l="1"/>
  <c r="D31" i="15" s="1"/>
  <c r="C32" i="15" s="1"/>
  <c r="L32" i="15" l="1"/>
  <c r="E32" i="15" s="1"/>
  <c r="E31" i="15"/>
  <c r="M31" i="15" s="1"/>
  <c r="F31" i="15" s="1"/>
  <c r="D44" i="15"/>
  <c r="D32" i="15" l="1"/>
  <c r="C33" i="15" s="1"/>
  <c r="L33" i="15" s="1"/>
  <c r="E33" i="15" s="1"/>
  <c r="E44" i="15"/>
  <c r="F44" i="15"/>
  <c r="M32" i="15" l="1"/>
  <c r="F32" i="15" s="1"/>
  <c r="D33" i="15"/>
  <c r="M33" i="15" s="1"/>
  <c r="F33" i="15" s="1"/>
  <c r="C34" i="15" l="1"/>
  <c r="L34" i="15"/>
  <c r="E34" i="15" s="1"/>
  <c r="D34" i="15" l="1"/>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s="1"/>
  <c r="E38" i="15" s="1"/>
  <c r="D38" i="15" l="1"/>
  <c r="C39" i="15" s="1"/>
  <c r="L39" i="15" s="1"/>
  <c r="E39" i="15" s="1"/>
  <c r="M38" i="15" l="1"/>
  <c r="F38" i="15" s="1"/>
  <c r="D39" i="15"/>
  <c r="C40" i="15" s="1"/>
  <c r="M39" i="15" l="1"/>
  <c r="F39" i="15" s="1"/>
  <c r="L40" i="15"/>
  <c r="E40" i="15" s="1"/>
  <c r="D40" i="15" l="1"/>
  <c r="C41" i="15" l="1"/>
  <c r="M40" i="15"/>
  <c r="F40" i="15" s="1"/>
  <c r="L41" i="15" l="1"/>
  <c r="E41" i="15" s="1"/>
  <c r="D41" i="15" l="1"/>
  <c r="M41" i="15" l="1"/>
  <c r="F41" i="15" s="1"/>
  <c r="C42" i="15"/>
  <c r="L42" i="15" l="1"/>
  <c r="E42" i="15" s="1"/>
  <c r="D42" i="15" l="1"/>
  <c r="C43" i="15" s="1"/>
  <c r="L43" i="15" l="1"/>
  <c r="E43" i="15" s="1"/>
  <c r="M42" i="15"/>
  <c r="F42" i="15" s="1"/>
  <c r="D43" i="15" l="1"/>
  <c r="M43" i="15" s="1"/>
  <c r="F43" i="15" s="1"/>
  <c r="F9" i="16" l="1"/>
  <c r="F10" i="16" l="1"/>
  <c r="D9" i="16"/>
  <c r="C10" i="16" l="1"/>
  <c r="F11" i="16"/>
  <c r="F12" i="16" l="1"/>
  <c r="E10" i="16"/>
  <c r="D10" i="16" l="1"/>
  <c r="F13" i="16"/>
  <c r="C11" i="16" l="1"/>
  <c r="F14" i="16"/>
  <c r="E11" i="16" l="1"/>
  <c r="F15" i="16"/>
  <c r="F16" i="16" l="1"/>
  <c r="D11" i="16"/>
  <c r="C12" i="16" l="1"/>
  <c r="F17" i="16"/>
  <c r="F18" i="16" l="1"/>
  <c r="E12" i="16"/>
  <c r="F19" i="16" l="1"/>
  <c r="D12"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E20" i="16" l="1"/>
  <c r="C63" i="1" s="1"/>
  <c r="C60" i="1" s="1"/>
  <c r="D20" i="16" l="1"/>
  <c r="C21" i="16"/>
  <c r="E21" i="16" l="1"/>
  <c r="F21" i="16" l="1"/>
  <c r="D21" i="16"/>
  <c r="C22" i="16" l="1"/>
  <c r="E22" i="16" l="1"/>
  <c r="D22" i="16" l="1"/>
  <c r="C23" i="16" l="1"/>
  <c r="E23" i="16" l="1"/>
  <c r="D23" i="16" l="1"/>
  <c r="C24" i="16" l="1"/>
  <c r="E24" i="16" l="1"/>
  <c r="D24" i="16" l="1"/>
  <c r="C25" i="16" l="1"/>
  <c r="E25" i="16" l="1"/>
  <c r="D25" i="16" l="1"/>
  <c r="C26" i="16" l="1"/>
  <c r="E26" i="16" l="1"/>
  <c r="D26" i="16" l="1"/>
  <c r="C27" i="16" l="1"/>
  <c r="E27" i="16" l="1"/>
  <c r="D27" i="16" l="1"/>
  <c r="C28" i="16" l="1"/>
  <c r="E28" i="16" l="1"/>
  <c r="D28" i="16" l="1"/>
  <c r="C29" i="16" l="1"/>
  <c r="E29" i="16" l="1"/>
  <c r="D29" i="16" l="1"/>
  <c r="C30" i="16" l="1"/>
  <c r="E30" i="16" l="1"/>
  <c r="D30" i="16" l="1"/>
  <c r="C31" i="16" l="1"/>
  <c r="E31" i="16" l="1"/>
  <c r="D31" i="16" l="1"/>
  <c r="C32" i="16" l="1"/>
  <c r="E32" i="16" l="1"/>
  <c r="C33" i="16"/>
  <c r="D32" i="16"/>
  <c r="D33" i="16" l="1"/>
  <c r="F32" i="16"/>
  <c r="C34" i="16" l="1"/>
  <c r="D34" i="16" l="1"/>
  <c r="C35" i="16" l="1"/>
  <c r="C36" i="16" l="1"/>
  <c r="D35" i="16"/>
  <c r="C37" i="16" l="1"/>
  <c r="D36" i="16"/>
  <c r="C38" i="16" l="1"/>
  <c r="D37" i="16"/>
  <c r="C39" i="16" l="1"/>
  <c r="D38" i="16"/>
  <c r="D39" i="16" l="1"/>
  <c r="C40" i="16" l="1"/>
  <c r="C41" i="16" l="1"/>
  <c r="D40" i="16"/>
  <c r="C42" i="16" l="1"/>
  <c r="D41" i="16"/>
  <c r="D42" i="16" l="1"/>
  <c r="C43" i="16" l="1"/>
  <c r="C44" i="16" l="1"/>
  <c r="D43" i="16"/>
  <c r="D44" i="16" l="1"/>
  <c r="D45" i="16" s="1"/>
  <c r="A29" i="19"/>
  <c r="A28" i="19" s="1"/>
  <c r="A24" i="19" s="1"/>
  <c r="B130" i="1"/>
  <c r="A27" i="2" s="1"/>
  <c r="A30" i="19"/>
  <c r="A14" i="13" l="1"/>
  <c r="A13" i="13" s="1"/>
  <c r="D21" i="7"/>
  <c r="A28" i="2"/>
  <c r="A26" i="2" s="1"/>
  <c r="A22" i="2" s="1"/>
  <c r="A18" i="3" s="1"/>
  <c r="A46" i="3" l="1"/>
  <c r="A16" i="23"/>
  <c r="C30" i="7"/>
  <c r="E10" i="26"/>
  <c r="E10" i="28" l="1"/>
  <c r="E10" i="29"/>
  <c r="E10" i="27"/>
  <c r="C20" i="8"/>
  <c r="C12" i="20" s="1"/>
  <c r="C31" i="3"/>
  <c r="C28" i="23"/>
  <c r="F44" i="16"/>
  <c r="F20" i="16"/>
  <c r="F22" i="16"/>
  <c r="F23" i="16"/>
  <c r="F24" i="16"/>
  <c r="F25" i="16"/>
  <c r="F26" i="16"/>
  <c r="F27" i="16"/>
  <c r="F28" i="16"/>
  <c r="F29" i="16"/>
  <c r="F30" i="16"/>
  <c r="F31" i="16"/>
  <c r="F33" i="16"/>
  <c r="F34" i="16"/>
  <c r="F35" i="16"/>
  <c r="F36" i="16"/>
  <c r="F37" i="16"/>
  <c r="F38" i="16"/>
  <c r="F39" i="16"/>
  <c r="F40" i="16"/>
  <c r="F41" i="16"/>
  <c r="F42" i="16"/>
  <c r="F43" i="16"/>
  <c r="B90" i="1"/>
  <c r="F8" i="12" s="1"/>
  <c r="E44" i="16"/>
  <c r="E33" i="16"/>
  <c r="E34" i="16"/>
  <c r="E35" i="16"/>
  <c r="E36" i="16"/>
  <c r="E37" i="16"/>
  <c r="E38" i="16"/>
  <c r="E39" i="16"/>
  <c r="E40" i="16"/>
  <c r="E41" i="16"/>
  <c r="E42" i="16"/>
  <c r="E43" i="16"/>
  <c r="F45" i="16" l="1"/>
  <c r="A23" i="3"/>
  <c r="A22" i="3" s="1"/>
  <c r="A24" i="3"/>
  <c r="E45" i="16"/>
  <c r="D8" i="12"/>
  <c r="F9" i="12"/>
  <c r="F10" i="12" l="1"/>
  <c r="C9" i="12"/>
  <c r="F11" i="12" l="1"/>
  <c r="E9" i="12"/>
  <c r="F12" i="12" l="1"/>
  <c r="D9" i="12"/>
  <c r="C10" i="12" l="1"/>
  <c r="F13" i="12"/>
  <c r="F14" i="12" l="1"/>
  <c r="E10" i="12"/>
  <c r="F15" i="12" l="1"/>
  <c r="D10" i="12"/>
  <c r="F16" i="12" l="1"/>
  <c r="C11"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c r="F21" i="12" s="1"/>
  <c r="F22" i="12" s="1"/>
  <c r="D20" i="12" l="1"/>
  <c r="C21" i="12" s="1"/>
  <c r="F23" i="12"/>
  <c r="E21" i="12"/>
  <c r="D21" i="12" l="1"/>
  <c r="F24" i="12"/>
  <c r="C22" i="12" l="1"/>
  <c r="F25" i="12"/>
  <c r="F26" i="12" l="1"/>
  <c r="E22" i="12"/>
  <c r="D22" i="12" l="1"/>
  <c r="F27" i="12"/>
  <c r="F28" i="12" l="1"/>
  <c r="C23" i="12"/>
  <c r="E23" i="12" l="1"/>
  <c r="F29" i="12"/>
  <c r="F30" i="12" l="1"/>
  <c r="D23" i="12"/>
  <c r="C24" i="12" l="1"/>
  <c r="F31" i="12"/>
  <c r="F32" i="12" l="1"/>
  <c r="F44" i="12"/>
  <c r="E24" i="12"/>
  <c r="D24" i="12" l="1"/>
  <c r="F33" i="12"/>
  <c r="F34" i="12" l="1"/>
  <c r="C25" i="12"/>
  <c r="E25" i="12" l="1"/>
  <c r="F35" i="12"/>
  <c r="F36" i="12" l="1"/>
  <c r="D25" i="12"/>
  <c r="C26" i="12" l="1"/>
  <c r="F37" i="12"/>
  <c r="E26" i="12" l="1"/>
  <c r="D26" i="12" s="1"/>
  <c r="C27" i="12" s="1"/>
  <c r="F38" i="12"/>
  <c r="E27" i="12" l="1"/>
  <c r="D27" i="12" s="1"/>
  <c r="C28" i="12" s="1"/>
  <c r="F39" i="12"/>
  <c r="E28" i="12" l="1"/>
  <c r="D28" i="12" s="1"/>
  <c r="C29" i="12" s="1"/>
  <c r="F40" i="12"/>
  <c r="E29" i="12" l="1"/>
  <c r="D29" i="12" s="1"/>
  <c r="C30" i="12" s="1"/>
  <c r="F41" i="12"/>
  <c r="E30" i="12" l="1"/>
  <c r="D30" i="12" s="1"/>
  <c r="C31" i="12" s="1"/>
  <c r="F42" i="12"/>
  <c r="E31" i="12" l="1"/>
  <c r="D31" i="12" l="1"/>
  <c r="E44" i="12"/>
  <c r="D44" i="12" l="1"/>
  <c r="C3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D43" i="12" l="1"/>
  <c r="E43" i="12"/>
  <c r="F43" i="12" l="1"/>
</calcChain>
</file>

<file path=xl/sharedStrings.xml><?xml version="1.0" encoding="utf-8"?>
<sst xmlns="http://schemas.openxmlformats.org/spreadsheetml/2006/main" count="607" uniqueCount="442">
  <si>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</si>
  <si>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</si>
  <si>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</si>
  <si>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</si>
  <si>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</si>
  <si>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</si>
  <si>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</si>
  <si>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</si>
  <si>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</si>
  <si>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</si>
  <si>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</si>
  <si>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</si>
  <si>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</si>
  <si>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</si>
  <si>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</si>
  <si>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</si>
  <si>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</si>
  <si>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</si>
  <si>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</si>
  <si>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</si>
  <si>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</si>
  <si>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</si>
  <si>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</si>
  <si>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</si>
  <si>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</si>
  <si>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</si>
  <si>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</si>
  <si>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</si>
  <si>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</si>
  <si>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</si>
  <si>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</si>
  <si>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</si>
  <si>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</si>
  <si>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</si>
  <si>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</si>
  <si>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</si>
  <si>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</si>
  <si>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</si>
  <si>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</si>
  <si>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</si>
  <si>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</si>
  <si>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</si>
  <si>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</si>
  <si>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</si>
  <si>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</si>
  <si>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</si>
  <si>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</si>
  <si>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</si>
  <si>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</si>
  <si>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</si>
  <si>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</si>
  <si>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</si>
  <si>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</si>
  <si>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</si>
  <si>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</si>
  <si>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</si>
  <si>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</si>
  <si>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</si>
  <si>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</si>
  <si>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</si>
  <si>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</si>
  <si>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</si>
  <si>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</si>
  <si>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</si>
  <si>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</si>
  <si>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</si>
  <si>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</si>
  <si>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</si>
  <si>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</si>
  <si>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</si>
  <si>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</si>
  <si>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</si>
  <si>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</si>
  <si>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</si>
  <si>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</si>
  <si>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</si>
  <si>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</si>
  <si>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</si>
  <si>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</si>
  <si>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</si>
  <si>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</si>
  <si>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</si>
  <si>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</si>
  <si>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</si>
  <si>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</si>
  <si>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</si>
  <si>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</si>
  <si>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</si>
  <si>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</si>
  <si>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</si>
  <si>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</si>
  <si>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</si>
  <si>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</si>
  <si>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</si>
  <si>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</si>
  <si>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</si>
  <si>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</si>
  <si>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</si>
  <si>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</si>
  <si>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</si>
  <si>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</si>
  <si>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</si>
  <si>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</si>
  <si>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</si>
  <si>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</si>
  <si>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</si>
  <si>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</si>
  <si>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</si>
  <si>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</si>
  <si>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</si>
  <si>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</si>
  <si>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</si>
  <si>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</si>
  <si>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</si>
  <si>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</si>
  <si>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</si>
  <si>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</si>
  <si>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</si>
  <si>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</si>
  <si>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</si>
  <si>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</si>
  <si>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</si>
  <si>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</si>
  <si>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</si>
  <si>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</si>
  <si>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</si>
  <si>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</si>
  <si>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</si>
  <si>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</si>
  <si>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</si>
  <si>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</si>
  <si>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</si>
  <si>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</si>
  <si>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</si>
  <si>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</si>
  <si>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</si>
  <si>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</si>
  <si>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</si>
  <si>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</si>
  <si>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</si>
  <si>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</si>
  <si>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</si>
  <si>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</si>
  <si>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</si>
  <si>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</si>
  <si>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</si>
  <si>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</si>
  <si>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</si>
  <si>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</si>
  <si>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</si>
  <si>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</si>
  <si>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</si>
  <si>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</si>
  <si>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</si>
  <si>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</si>
  <si>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</si>
  <si>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</si>
  <si>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</si>
  <si>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</si>
  <si>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</si>
  <si>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</si>
  <si>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</si>
  <si>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</si>
  <si>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</si>
  <si>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</si>
  <si>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</si>
  <si>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</si>
  <si>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</si>
  <si>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</si>
  <si>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</si>
  <si>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</si>
  <si>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</si>
  <si>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</si>
  <si>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</si>
  <si>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</si>
  <si>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</si>
  <si>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</si>
  <si>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</si>
  <si>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</si>
  <si>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</si>
  <si>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</si>
  <si>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</si>
  <si>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</si>
  <si>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</si>
  <si>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</si>
  <si>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</si>
  <si>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</si>
  <si>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</si>
  <si>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</si>
  <si>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</si>
  <si>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</si>
  <si>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</si>
  <si>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</si>
  <si>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</si>
  <si>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</si>
  <si>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</si>
  <si>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</si>
  <si>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</si>
  <si>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</si>
  <si>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</si>
  <si>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</si>
  <si>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</si>
  <si>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</si>
  <si>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</si>
  <si>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</si>
  <si>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</si>
  <si>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</si>
  <si>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</si>
  <si>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</si>
  <si>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</si>
  <si>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</si>
  <si>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</si>
  <si>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</si>
  <si>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</si>
  <si>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</si>
  <si>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</si>
  <si>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</si>
  <si>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</si>
  <si>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</si>
  <si>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</si>
  <si>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</si>
  <si>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</si>
  <si>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</si>
  <si>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</si>
  <si>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</si>
  <si>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</si>
  <si>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</si>
  <si>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</si>
  <si>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</si>
  <si>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</si>
  <si>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</si>
  <si>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</si>
  <si>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</si>
  <si>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</si>
  <si>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</si>
  <si>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</si>
  <si>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</si>
  <si>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</si>
  <si>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</si>
  <si>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</si>
  <si>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</si>
  <si>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</si>
  <si>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</si>
  <si>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</si>
  <si>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</si>
  <si>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</si>
  <si>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</si>
  <si>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</si>
  <si>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</si>
  <si>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</si>
  <si>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</si>
  <si>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</si>
  <si>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</si>
  <si>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</si>
  <si>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</si>
  <si>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</si>
  <si>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</si>
  <si>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</si>
  <si>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</si>
  <si>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</si>
  <si>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</si>
  <si>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</si>
  <si>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</si>
  <si>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</si>
  <si>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</si>
  <si>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</si>
  <si>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</si>
  <si>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</si>
  <si>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</si>
  <si>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</si>
  <si>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</si>
  <si>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</si>
  <si>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</si>
  <si>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</si>
  <si>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</si>
  <si>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</si>
  <si>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</si>
  <si>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</si>
  <si>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</si>
  <si>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</si>
  <si>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</si>
  <si>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</si>
  <si>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</si>
  <si>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</si>
  <si>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</si>
  <si>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</si>
  <si>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</si>
  <si>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</si>
  <si>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</si>
  <si>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</si>
  <si>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</si>
  <si>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</si>
  <si>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</si>
  <si>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</si>
  <si>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</si>
  <si>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</si>
  <si>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</si>
  <si>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</si>
  <si>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</si>
  <si>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</si>
  <si>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</si>
  <si>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</si>
  <si>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</si>
  <si>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</si>
  <si>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</si>
  <si>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</si>
  <si>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</si>
  <si>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</si>
  <si>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</si>
  <si>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</si>
  <si>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</si>
  <si>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</si>
  <si>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</si>
  <si>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</si>
  <si>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</si>
  <si>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</si>
  <si>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</si>
  <si>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</si>
  <si>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</si>
  <si>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</si>
  <si>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</si>
  <si>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</si>
  <si>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</si>
  <si>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</si>
  <si>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</si>
  <si>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</si>
  <si>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</si>
  <si>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</si>
  <si>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</si>
  <si>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</si>
  <si>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</si>
  <si>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</si>
  <si>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</si>
  <si>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</si>
  <si>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</si>
  <si>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</si>
  <si>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</si>
  <si>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</si>
  <si>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</si>
  <si>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</si>
  <si>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</si>
  <si>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</si>
  <si>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</si>
  <si>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</si>
  <si>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</si>
  <si>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</si>
  <si>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</si>
  <si>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</si>
  <si>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</si>
  <si>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</si>
  <si>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</si>
  <si>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</si>
  <si>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</si>
  <si>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</si>
  <si>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</si>
  <si>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</si>
  <si>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</si>
  <si>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</si>
  <si>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</si>
  <si>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</si>
  <si>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</si>
  <si>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</si>
  <si>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</si>
  <si>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</si>
  <si>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</si>
  <si>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</si>
  <si>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</si>
  <si>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</si>
  <si>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</si>
  <si>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</si>
  <si>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</si>
  <si>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</si>
  <si>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</si>
  <si>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</si>
  <si>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</si>
  <si>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</si>
  <si>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</si>
  <si>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</si>
  <si>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</si>
  <si>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</si>
  <si>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</si>
  <si>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</si>
  <si>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P</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</si>
  <si>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</si>
  <si>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з</t>
  </si>
  <si>
    <t>`</t>
  </si>
  <si>
    <t>Abduraximov Nаdirbek Kamilevich</t>
  </si>
  <si>
    <t>Ijrochi direktori</t>
  </si>
  <si>
    <t>Abduraximov N.K.</t>
  </si>
  <si>
    <t>Йиллик фойз 50 фойздан утиб кетмаслиги керак</t>
  </si>
  <si>
    <t>60</t>
  </si>
  <si>
    <t>Oltmish</t>
  </si>
  <si>
    <t>YENGIL SEDAN</t>
  </si>
  <si>
    <t>AAG 3925840 от 01.05.2024 y</t>
  </si>
  <si>
    <t>CHEVROLET ONIX</t>
  </si>
  <si>
    <t>01L756QC</t>
  </si>
  <si>
    <t>XWBSA695ERA084391</t>
  </si>
  <si>
    <t>L4H21240863MNBX0144</t>
  </si>
  <si>
    <t>QORA CHERNIY METALIK</t>
  </si>
  <si>
    <t>2024</t>
  </si>
  <si>
    <t>O'ttiz olti</t>
  </si>
  <si>
    <t>umumiy foydalanish maydon</t>
  </si>
  <si>
    <t>qurilish osti maydoni</t>
  </si>
  <si>
    <t>100</t>
  </si>
  <si>
    <t>bir yuz</t>
  </si>
  <si>
    <t>Mominov B.X.</t>
  </si>
  <si>
    <t>Jumanazarov B.T.</t>
  </si>
  <si>
    <t>89,00</t>
  </si>
  <si>
    <t>Qorako'l filiali boshlig'i</t>
  </si>
  <si>
    <t>Egamberdiyeva D.I.</t>
  </si>
  <si>
    <t>Egamberdiyeva Dilnora Inayatovna</t>
  </si>
  <si>
    <t>Kreditlash bo’limi boshlig’i</t>
  </si>
  <si>
    <t xml:space="preserve">Egamberdiyeva D.I.  ________________ </t>
  </si>
  <si>
    <t>Egamberdiyeva D.I.________________</t>
  </si>
  <si>
    <t>1.Abduraximov N.K.</t>
  </si>
  <si>
    <t>OTASHEVA RUQIYA SHERALI QIZI</t>
  </si>
  <si>
    <t>AD1337033</t>
  </si>
  <si>
    <t>IIV6215</t>
  </si>
  <si>
    <t>OLOT TUMAN CHOVDUR MFY</t>
  </si>
  <si>
    <t>94-016-90-45 KLIENT</t>
  </si>
  <si>
    <t>JUMABOZOR CHORRAXA</t>
  </si>
  <si>
    <t>94-545-33-77 ONASI</t>
  </si>
  <si>
    <t>93 47233-77 ONASI</t>
  </si>
  <si>
    <t>QODIROVA IBODAT BAXTIYOR QIZI</t>
  </si>
  <si>
    <t>QODIROVA I.B</t>
  </si>
  <si>
    <t>AC2786500</t>
  </si>
  <si>
    <t>BUXORO VILOYATI QORAKO'L TUMANI IIB tomonidan 16.03.2020 yilda</t>
  </si>
  <si>
    <t>QORAKO'L TUMANI DO'RMON MFY</t>
  </si>
  <si>
    <t>20.01.2025y  1706230/R-A5590011</t>
  </si>
  <si>
    <t>20.01.2025 yildan №20:10:07:01:02:0754:0011:018</t>
  </si>
  <si>
    <t>42,00</t>
  </si>
  <si>
    <t>27,5</t>
  </si>
  <si>
    <t>№150-QR</t>
  </si>
  <si>
    <t>OTASHEVA R.SH.</t>
  </si>
  <si>
    <t>21.01.2025</t>
  </si>
  <si>
    <t>13.12.2005y</t>
  </si>
  <si>
    <t>OLOT TUMANI</t>
  </si>
  <si>
    <t>16.08.1996y</t>
  </si>
  <si>
    <t>№0007714896</t>
  </si>
  <si>
    <t>Qishloq xo'jaligi ishlari</t>
  </si>
  <si>
    <t>BUXORO VILOYATI QORAKO'L TUMANI QARAKUL MSG O'TIK DO'RMAN KO'CHASI 61-UY 18-XONADON</t>
  </si>
  <si>
    <t>Mijoz quyidagi majburiyatlarga ega: "Mikrokreditbank" ATB bosh offisi 33 208 585.58 so'm.Ayni paytda muddati o'tgan qarzdorligi mavjud emas. O‘rtacha oylik to‘lov 1 046 875.17 so‘mni tashkil qiladi.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</si>
</sst>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40">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3" fillId="0" borderId="0">
      <alignment vertical="center"/>
    </xf>
    <xf numFmtId="0" fontId="53"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352">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0" fontId="4" fillId="0" borderId="1" xfId="0" applyFont="1" applyBorder="1"/>
    <xf numFmtId="0" fontId="4" fillId="0" borderId="1" xfId="0" applyFont="1" applyBorder="1" applyAlignment="1">
      <alignment horizontal="left" vertical="center"/>
    </xf>
    <xf numFmtId="0" fontId="5" fillId="0" borderId="0" xfId="0" applyFont="1" applyAlignment="1">
      <alignment vertical="center"/>
    </xf>
    <xf numFmtId="0" fontId="14" fillId="0" borderId="0" xfId="0" applyFont="1" applyAlignment="1">
      <alignment horizontal="center" vertical="center"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0" fontId="4" fillId="4" borderId="15" xfId="0" applyFont="1" applyFill="1" applyBorder="1" applyAlignment="1">
      <alignment vertical="center"/>
    </xf>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1"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2"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5" fillId="0" borderId="0" xfId="0" applyFont="1"/>
    <xf numFmtId="49" fontId="4" fillId="0" borderId="0" xfId="0" applyNumberFormat="1" applyFont="1"/>
    <xf numFmtId="0" fontId="46"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1" borderId="2" xfId="0" applyFont="1" applyFill="1" applyBorder="1" applyAlignment="1">
      <alignment horizontal="left" vertical="center" wrapText="1"/>
    </xf>
    <xf numFmtId="0" fontId="48" fillId="11"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49" fontId="4" fillId="0" borderId="1" xfId="0" applyNumberFormat="1" applyFont="1" applyBorder="1"/>
    <xf numFmtId="0" fontId="13" fillId="12" borderId="0" xfId="0" applyFont="1" applyFill="1"/>
    <xf numFmtId="0" fontId="5" fillId="0" borderId="0" xfId="0" applyFont="1"/>
    <xf numFmtId="0" fontId="4" fillId="11" borderId="0" xfId="0" applyFont="1" applyFill="1"/>
    <xf numFmtId="164" fontId="4" fillId="11" borderId="3" xfId="0" applyNumberFormat="1" applyFont="1" applyFill="1" applyBorder="1" applyAlignment="1">
      <alignment horizontal="left" vertical="top" wrapText="1"/>
    </xf>
    <xf numFmtId="14" fontId="4" fillId="11" borderId="0" xfId="0" applyNumberFormat="1" applyFont="1" applyFill="1"/>
    <xf numFmtId="0" fontId="54" fillId="11" borderId="16" xfId="0" applyFont="1" applyFill="1" applyBorder="1"/>
    <xf numFmtId="168" fontId="5" fillId="11" borderId="0" xfId="0" applyNumberFormat="1" applyFont="1" applyFill="1"/>
    <xf numFmtId="0" fontId="4" fillId="11" borderId="19" xfId="0" applyFont="1" applyFill="1" applyBorder="1"/>
    <xf numFmtId="0" fontId="4" fillId="11" borderId="20" xfId="0" applyFont="1" applyFill="1" applyBorder="1"/>
    <xf numFmtId="0" fontId="24" fillId="0" borderId="0" xfId="0" applyFont="1" applyAlignment="1">
      <alignment horizontal="left" vertical="top" wrapText="1"/>
    </xf>
    <xf numFmtId="0" fontId="5" fillId="0" borderId="0" xfId="0" applyFont="1" applyAlignment="1">
      <alignment wrapText="1"/>
    </xf>
    <xf numFmtId="0" fontId="4" fillId="4" borderId="0" xfId="0" applyFont="1" applyFill="1" applyAlignment="1">
      <alignment vertical="center" wrapText="1"/>
    </xf>
    <xf numFmtId="49" fontId="28" fillId="4" borderId="1" xfId="0" applyNumberFormat="1" applyFont="1" applyFill="1" applyBorder="1" applyAlignment="1">
      <alignment vertical="center" wrapText="1"/>
    </xf>
    <xf numFmtId="14" fontId="9" fillId="2" borderId="1" xfId="0" applyNumberFormat="1" applyFont="1" applyFill="1" applyBorder="1" applyAlignment="1">
      <alignment horizontal="center" vertical="center" wrapText="1"/>
    </xf>
    <xf numFmtId="0" fontId="28" fillId="11" borderId="0" xfId="0" applyFont="1" applyFill="1"/>
    <xf numFmtId="43" fontId="25" fillId="11" borderId="0" xfId="0" applyNumberFormat="1" applyFont="1" applyFill="1"/>
    <xf numFmtId="10" fontId="28" fillId="11" borderId="0" xfId="139" applyNumberFormat="1" applyFont="1" applyFill="1" applyAlignment="1">
      <alignment horizontal="center" vertical="center"/>
    </xf>
    <xf numFmtId="0" fontId="28" fillId="11" borderId="0" xfId="0" applyFont="1" applyFill="1" applyAlignment="1">
      <alignment horizontal="center" vertical="center"/>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52"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26" fillId="0" borderId="0" xfId="0" applyFont="1" applyAlignment="1">
      <alignment horizontal="right"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0" borderId="0" xfId="0" applyFont="1" applyAlignment="1">
      <alignment horizontal="center" wrapText="1"/>
    </xf>
    <xf numFmtId="0" fontId="16" fillId="0" borderId="0" xfId="0" applyFont="1" applyAlignment="1">
      <alignment horizontal="left"/>
    </xf>
    <xf numFmtId="0" fontId="40" fillId="0" borderId="0" xfId="0" applyFont="1" applyAlignment="1">
      <alignment horizontal="left" vertical="center" wrapText="1" readingOrder="1"/>
    </xf>
    <xf numFmtId="0" fontId="16" fillId="0" borderId="0" xfId="0" applyFont="1" applyAlignment="1">
      <alignment horizontal="justify" vertical="top" wrapText="1" readingOrder="1"/>
    </xf>
    <xf numFmtId="0" fontId="15" fillId="0" borderId="4" xfId="0" applyFont="1" applyBorder="1" applyAlignment="1">
      <alignment horizontal="left" vertical="top"/>
    </xf>
    <xf numFmtId="0" fontId="16" fillId="0" borderId="0" xfId="0" applyFont="1" applyAlignment="1">
      <alignment horizontal="left"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140">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Процентный" xfId="139" builtinId="5"/>
    <cellStyle name="Финансовый" xfId="1" builtinId="3"/>
    <cellStyle name="Финансовый 10" xfId="125" xr:uid="{00000000-0005-0000-0000-00000D000000}"/>
    <cellStyle name="Финансовый 11" xfId="61" xr:uid="{00000000-0005-0000-0000-00000E000000}"/>
    <cellStyle name="Финансовый 12" xfId="49" xr:uid="{00000000-0005-0000-0000-00000F000000}"/>
    <cellStyle name="Финансовый 13" xfId="127" xr:uid="{00000000-0005-0000-0000-000010000000}"/>
    <cellStyle name="Финансовый 14" xfId="25" xr:uid="{00000000-0005-0000-0000-000011000000}"/>
    <cellStyle name="Финансовый 15" xfId="13" xr:uid="{00000000-0005-0000-0000-000012000000}"/>
    <cellStyle name="Финансовый 2" xfId="2" xr:uid="{00000000-0005-0000-0000-000013000000}"/>
    <cellStyle name="Финансовый 2 10" xfId="62" xr:uid="{00000000-0005-0000-0000-000014000000}"/>
    <cellStyle name="Финансовый 2 11" xfId="50" xr:uid="{00000000-0005-0000-0000-000015000000}"/>
    <cellStyle name="Финансовый 2 12" xfId="128" xr:uid="{00000000-0005-0000-0000-000016000000}"/>
    <cellStyle name="Финансовый 2 13" xfId="26" xr:uid="{00000000-0005-0000-0000-000017000000}"/>
    <cellStyle name="Финансовый 2 14" xfId="14" xr:uid="{00000000-0005-0000-0000-000018000000}"/>
    <cellStyle name="Финансовый 2 2" xfId="4" xr:uid="{00000000-0005-0000-0000-000019000000}"/>
    <cellStyle name="Финансовый 2 2 10" xfId="28" xr:uid="{00000000-0005-0000-0000-00001A000000}"/>
    <cellStyle name="Финансовый 2 2 11" xfId="16" xr:uid="{00000000-0005-0000-0000-00001B000000}"/>
    <cellStyle name="Финансовый 2 2 2" xfId="10" xr:uid="{00000000-0005-0000-0000-00001C000000}"/>
    <cellStyle name="Финансовый 2 2 2 2" xfId="46" xr:uid="{00000000-0005-0000-0000-00001D000000}"/>
    <cellStyle name="Финансовый 2 2 2 2 2" xfId="104" xr:uid="{00000000-0005-0000-0000-00001E000000}"/>
    <cellStyle name="Финансовый 2 2 2 3" xfId="116" xr:uid="{00000000-0005-0000-0000-00001F000000}"/>
    <cellStyle name="Финансовый 2 2 2 4" xfId="80" xr:uid="{00000000-0005-0000-0000-000020000000}"/>
    <cellStyle name="Финансовый 2 2 2 5" xfId="58" xr:uid="{00000000-0005-0000-0000-000021000000}"/>
    <cellStyle name="Финансовый 2 2 2 6" xfId="136" xr:uid="{00000000-0005-0000-0000-000022000000}"/>
    <cellStyle name="Финансовый 2 2 2 7" xfId="34" xr:uid="{00000000-0005-0000-0000-000023000000}"/>
    <cellStyle name="Финансовый 2 2 2 8" xfId="22" xr:uid="{00000000-0005-0000-0000-000024000000}"/>
    <cellStyle name="Финансовый 2 2 3" xfId="40" xr:uid="{00000000-0005-0000-0000-000025000000}"/>
    <cellStyle name="Финансовый 2 2 3 2" xfId="122" xr:uid="{00000000-0005-0000-0000-000026000000}"/>
    <cellStyle name="Финансовый 2 2 3 3" xfId="86" xr:uid="{00000000-0005-0000-0000-000027000000}"/>
    <cellStyle name="Финансовый 2 2 4" xfId="92" xr:uid="{00000000-0005-0000-0000-000028000000}"/>
    <cellStyle name="Финансовый 2 2 5" xfId="98" xr:uid="{00000000-0005-0000-0000-000029000000}"/>
    <cellStyle name="Финансовый 2 2 6" xfId="110" xr:uid="{00000000-0005-0000-0000-00002A000000}"/>
    <cellStyle name="Финансовый 2 2 7" xfId="65" xr:uid="{00000000-0005-0000-0000-00002B000000}"/>
    <cellStyle name="Финансовый 2 2 8" xfId="52" xr:uid="{00000000-0005-0000-0000-00002C000000}"/>
    <cellStyle name="Финансовый 2 2 9" xfId="130" xr:uid="{00000000-0005-0000-0000-00002D000000}"/>
    <cellStyle name="Финансовый 2 3" xfId="6" xr:uid="{00000000-0005-0000-0000-00002E000000}"/>
    <cellStyle name="Финансовый 2 3 10" xfId="30" xr:uid="{00000000-0005-0000-0000-00002F000000}"/>
    <cellStyle name="Финансовый 2 3 11" xfId="18" xr:uid="{00000000-0005-0000-0000-000030000000}"/>
    <cellStyle name="Финансовый 2 3 2" xfId="12" xr:uid="{00000000-0005-0000-0000-000031000000}"/>
    <cellStyle name="Финансовый 2 3 2 2" xfId="48" xr:uid="{00000000-0005-0000-0000-000032000000}"/>
    <cellStyle name="Финансовый 2 3 2 2 2" xfId="106" xr:uid="{00000000-0005-0000-0000-000033000000}"/>
    <cellStyle name="Финансовый 2 3 2 3" xfId="118" xr:uid="{00000000-0005-0000-0000-000034000000}"/>
    <cellStyle name="Финансовый 2 3 2 4" xfId="82" xr:uid="{00000000-0005-0000-0000-000035000000}"/>
    <cellStyle name="Финансовый 2 3 2 5" xfId="60" xr:uid="{00000000-0005-0000-0000-000036000000}"/>
    <cellStyle name="Финансовый 2 3 2 6" xfId="138" xr:uid="{00000000-0005-0000-0000-000037000000}"/>
    <cellStyle name="Финансовый 2 3 2 7" xfId="36" xr:uid="{00000000-0005-0000-0000-000038000000}"/>
    <cellStyle name="Финансовый 2 3 2 8" xfId="24" xr:uid="{00000000-0005-0000-0000-000039000000}"/>
    <cellStyle name="Финансовый 2 3 3" xfId="42" xr:uid="{00000000-0005-0000-0000-00003A000000}"/>
    <cellStyle name="Финансовый 2 3 3 2" xfId="124" xr:uid="{00000000-0005-0000-0000-00003B000000}"/>
    <cellStyle name="Финансовый 2 3 3 3" xfId="88" xr:uid="{00000000-0005-0000-0000-00003C000000}"/>
    <cellStyle name="Финансовый 2 3 4" xfId="94" xr:uid="{00000000-0005-0000-0000-00003D000000}"/>
    <cellStyle name="Финансовый 2 3 5" xfId="100" xr:uid="{00000000-0005-0000-0000-00003E000000}"/>
    <cellStyle name="Финансовый 2 3 6" xfId="112" xr:uid="{00000000-0005-0000-0000-00003F000000}"/>
    <cellStyle name="Финансовый 2 3 7" xfId="76" xr:uid="{00000000-0005-0000-0000-000040000000}"/>
    <cellStyle name="Финансовый 2 3 8" xfId="54" xr:uid="{00000000-0005-0000-0000-000041000000}"/>
    <cellStyle name="Финансовый 2 3 9" xfId="132" xr:uid="{00000000-0005-0000-0000-000042000000}"/>
    <cellStyle name="Финансовый 2 4" xfId="8" xr:uid="{00000000-0005-0000-0000-000043000000}"/>
    <cellStyle name="Финансовый 2 4 2" xfId="44" xr:uid="{00000000-0005-0000-0000-000044000000}"/>
    <cellStyle name="Финансовый 2 4 2 2" xfId="102" xr:uid="{00000000-0005-0000-0000-000045000000}"/>
    <cellStyle name="Финансовый 2 4 3" xfId="114" xr:uid="{00000000-0005-0000-0000-000046000000}"/>
    <cellStyle name="Финансовый 2 4 4" xfId="78" xr:uid="{00000000-0005-0000-0000-000047000000}"/>
    <cellStyle name="Финансовый 2 4 5" xfId="56" xr:uid="{00000000-0005-0000-0000-000048000000}"/>
    <cellStyle name="Финансовый 2 4 6" xfId="134" xr:uid="{00000000-0005-0000-0000-000049000000}"/>
    <cellStyle name="Финансовый 2 4 7" xfId="32" xr:uid="{00000000-0005-0000-0000-00004A000000}"/>
    <cellStyle name="Финансовый 2 4 8" xfId="20" xr:uid="{00000000-0005-0000-0000-00004B000000}"/>
    <cellStyle name="Финансовый 2 5" xfId="38" xr:uid="{00000000-0005-0000-0000-00004C000000}"/>
    <cellStyle name="Финансовый 2 5 2" xfId="120" xr:uid="{00000000-0005-0000-0000-00004D000000}"/>
    <cellStyle name="Финансовый 2 5 3" xfId="84" xr:uid="{00000000-0005-0000-0000-00004E000000}"/>
    <cellStyle name="Финансовый 2 6" xfId="90" xr:uid="{00000000-0005-0000-0000-00004F000000}"/>
    <cellStyle name="Финансовый 2 7" xfId="96" xr:uid="{00000000-0005-0000-0000-000050000000}"/>
    <cellStyle name="Финансовый 2 8" xfId="108" xr:uid="{00000000-0005-0000-0000-000051000000}"/>
    <cellStyle name="Финансовый 2 9" xfId="126" xr:uid="{00000000-0005-0000-0000-000052000000}"/>
    <cellStyle name="Финансовый 3" xfId="3" xr:uid="{00000000-0005-0000-0000-000053000000}"/>
    <cellStyle name="Финансовый 3 10" xfId="27" xr:uid="{00000000-0005-0000-0000-000054000000}"/>
    <cellStyle name="Финансовый 3 11" xfId="15" xr:uid="{00000000-0005-0000-0000-000055000000}"/>
    <cellStyle name="Финансовый 3 2" xfId="9" xr:uid="{00000000-0005-0000-0000-000056000000}"/>
    <cellStyle name="Финансовый 3 2 2" xfId="45" xr:uid="{00000000-0005-0000-0000-000057000000}"/>
    <cellStyle name="Финансовый 3 2 2 2" xfId="103" xr:uid="{00000000-0005-0000-0000-000058000000}"/>
    <cellStyle name="Финансовый 3 2 3" xfId="115" xr:uid="{00000000-0005-0000-0000-000059000000}"/>
    <cellStyle name="Финансовый 3 2 4" xfId="79" xr:uid="{00000000-0005-0000-0000-00005A000000}"/>
    <cellStyle name="Финансовый 3 2 5" xfId="57" xr:uid="{00000000-0005-0000-0000-00005B000000}"/>
    <cellStyle name="Финансовый 3 2 6" xfId="135" xr:uid="{00000000-0005-0000-0000-00005C000000}"/>
    <cellStyle name="Финансовый 3 2 7" xfId="33" xr:uid="{00000000-0005-0000-0000-00005D000000}"/>
    <cellStyle name="Финансовый 3 2 8" xfId="21" xr:uid="{00000000-0005-0000-0000-00005E000000}"/>
    <cellStyle name="Финансовый 3 3" xfId="39" xr:uid="{00000000-0005-0000-0000-00005F000000}"/>
    <cellStyle name="Финансовый 3 3 2" xfId="121" xr:uid="{00000000-0005-0000-0000-000060000000}"/>
    <cellStyle name="Финансовый 3 3 3" xfId="85" xr:uid="{00000000-0005-0000-0000-000061000000}"/>
    <cellStyle name="Финансовый 3 4" xfId="91" xr:uid="{00000000-0005-0000-0000-000062000000}"/>
    <cellStyle name="Финансовый 3 5" xfId="97" xr:uid="{00000000-0005-0000-0000-000063000000}"/>
    <cellStyle name="Финансовый 3 6" xfId="109" xr:uid="{00000000-0005-0000-0000-000064000000}"/>
    <cellStyle name="Финансовый 3 7" xfId="74" xr:uid="{00000000-0005-0000-0000-000065000000}"/>
    <cellStyle name="Финансовый 3 8" xfId="51" xr:uid="{00000000-0005-0000-0000-000066000000}"/>
    <cellStyle name="Финансовый 3 9" xfId="129" xr:uid="{00000000-0005-0000-0000-000067000000}"/>
    <cellStyle name="Финансовый 4" xfId="5" xr:uid="{00000000-0005-0000-0000-000068000000}"/>
    <cellStyle name="Финансовый 4 10" xfId="29" xr:uid="{00000000-0005-0000-0000-000069000000}"/>
    <cellStyle name="Финансовый 4 11" xfId="17" xr:uid="{00000000-0005-0000-0000-00006A000000}"/>
    <cellStyle name="Финансовый 4 2" xfId="11" xr:uid="{00000000-0005-0000-0000-00006B000000}"/>
    <cellStyle name="Финансовый 4 2 2" xfId="47" xr:uid="{00000000-0005-0000-0000-00006C000000}"/>
    <cellStyle name="Финансовый 4 2 2 2" xfId="105" xr:uid="{00000000-0005-0000-0000-00006D000000}"/>
    <cellStyle name="Финансовый 4 2 3" xfId="117" xr:uid="{00000000-0005-0000-0000-00006E000000}"/>
    <cellStyle name="Финансовый 4 2 4" xfId="81" xr:uid="{00000000-0005-0000-0000-00006F000000}"/>
    <cellStyle name="Финансовый 4 2 5" xfId="59" xr:uid="{00000000-0005-0000-0000-000070000000}"/>
    <cellStyle name="Финансовый 4 2 6" xfId="137" xr:uid="{00000000-0005-0000-0000-000071000000}"/>
    <cellStyle name="Финансовый 4 2 7" xfId="35" xr:uid="{00000000-0005-0000-0000-000072000000}"/>
    <cellStyle name="Финансовый 4 2 8" xfId="23" xr:uid="{00000000-0005-0000-0000-000073000000}"/>
    <cellStyle name="Финансовый 4 3" xfId="41" xr:uid="{00000000-0005-0000-0000-000074000000}"/>
    <cellStyle name="Финансовый 4 3 2" xfId="123" xr:uid="{00000000-0005-0000-0000-000075000000}"/>
    <cellStyle name="Финансовый 4 3 3" xfId="87" xr:uid="{00000000-0005-0000-0000-000076000000}"/>
    <cellStyle name="Финансовый 4 4" xfId="93" xr:uid="{00000000-0005-0000-0000-000077000000}"/>
    <cellStyle name="Финансовый 4 5" xfId="99" xr:uid="{00000000-0005-0000-0000-000078000000}"/>
    <cellStyle name="Финансовый 4 6" xfId="111" xr:uid="{00000000-0005-0000-0000-000079000000}"/>
    <cellStyle name="Финансовый 4 7" xfId="75" xr:uid="{00000000-0005-0000-0000-00007A000000}"/>
    <cellStyle name="Финансовый 4 8" xfId="53" xr:uid="{00000000-0005-0000-0000-00007B000000}"/>
    <cellStyle name="Финансовый 4 9" xfId="131" xr:uid="{00000000-0005-0000-0000-00007C000000}"/>
    <cellStyle name="Финансовый 5" xfId="7" xr:uid="{00000000-0005-0000-0000-00007D000000}"/>
    <cellStyle name="Финансовый 5 2" xfId="43" xr:uid="{00000000-0005-0000-0000-00007E000000}"/>
    <cellStyle name="Финансовый 5 2 2" xfId="101" xr:uid="{00000000-0005-0000-0000-00007F000000}"/>
    <cellStyle name="Финансовый 5 3" xfId="113" xr:uid="{00000000-0005-0000-0000-000080000000}"/>
    <cellStyle name="Финансовый 5 4" xfId="77" xr:uid="{00000000-0005-0000-0000-000081000000}"/>
    <cellStyle name="Финансовый 5 5" xfId="55" xr:uid="{00000000-0005-0000-0000-000082000000}"/>
    <cellStyle name="Финансовый 5 6" xfId="133" xr:uid="{00000000-0005-0000-0000-000083000000}"/>
    <cellStyle name="Финансовый 5 7" xfId="31" xr:uid="{00000000-0005-0000-0000-000084000000}"/>
    <cellStyle name="Финансовый 5 8" xfId="19" xr:uid="{00000000-0005-0000-0000-000085000000}"/>
    <cellStyle name="Финансовый 6" xfId="37" xr:uid="{00000000-0005-0000-0000-000086000000}"/>
    <cellStyle name="Финансовый 6 2" xfId="119" xr:uid="{00000000-0005-0000-0000-000087000000}"/>
    <cellStyle name="Финансовый 6 3" xfId="83" xr:uid="{00000000-0005-0000-0000-000088000000}"/>
    <cellStyle name="Финансовый 7" xfId="89" xr:uid="{00000000-0005-0000-0000-000089000000}"/>
    <cellStyle name="Финансовый 8" xfId="95" xr:uid="{00000000-0005-0000-0000-00008A000000}"/>
    <cellStyle name="Финансовый 9" xfId="107" xr:uid="{00000000-0005-0000-0000-00008B00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 zoomScaleNormal="100" zoomScaleSheetLayoutView="100" workbookViewId="0">
      <selection activeCell="A16" sqref="A16:E16"/>
    </sheetView>
  </sheetViews>
  <sheetFormatPr defaultRowHeight="15" x14ac:dyDescent="0.25"/>
  <cols>
    <col min="1" max="1" width="22.85546875" style="70" customWidth="1"/>
    <col min="2" max="2" width="24.28515625" style="70" customWidth="1"/>
    <col min="3" max="3" width="21.28515625" style="70" customWidth="1"/>
    <col min="4" max="4" width="18" style="70" customWidth="1"/>
    <col min="5" max="5" width="25.140625" style="70"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4" t="str">
        <f>""&amp;'Общие данные'!B147&amp;"
mikromoliya tashkiloti
Kredit qo‘mitasining yig‘ilishi"</f>
        <v>«CLEVER MIKROMOLIYA TASHKILOTI» MChJ
mikromoliya tashkiloti
Kredit qo‘mitasining yig‘ilishi</v>
      </c>
      <c r="B1" s="234"/>
      <c r="C1" s="234"/>
      <c r="D1" s="234"/>
      <c r="E1" s="234"/>
    </row>
    <row r="2" spans="1:33" ht="29.25" customHeight="1" x14ac:dyDescent="0.25">
      <c r="A2" s="234" t="str">
        <f>""&amp;H7&amp;" protokolidan ko'chirma"</f>
        <v>№150-QR protokolidan ko'chirma</v>
      </c>
      <c r="B2" s="234"/>
      <c r="C2" s="234"/>
      <c r="D2" s="234"/>
      <c r="E2" s="234"/>
    </row>
    <row r="3" spans="1:33" ht="29.25" customHeight="1" x14ac:dyDescent="0.25">
      <c r="A3" s="150" t="s">
        <v>201</v>
      </c>
      <c r="B3" s="57"/>
      <c r="C3" s="57"/>
      <c r="D3" s="57"/>
      <c r="E3" s="151" t="str">
        <f>'Общие данные'!B68</f>
        <v>21 yanvar 2025 y.</v>
      </c>
    </row>
    <row r="4" spans="1:33" ht="29.25" customHeight="1" x14ac:dyDescent="0.25">
      <c r="A4" s="57"/>
      <c r="B4" s="234" t="s">
        <v>200</v>
      </c>
      <c r="C4" s="234"/>
      <c r="D4" s="234"/>
      <c r="E4" s="57"/>
    </row>
    <row r="5" spans="1:33" ht="36" customHeight="1" x14ac:dyDescent="0.25">
      <c r="A5" s="233" t="str">
        <f>"         "&amp;H8&amp;"."&amp;'Общие данные'!B5&amp;" ga "&amp;'Общие данные'!B65&amp;" berish masalasini ko‘rib chiqish to‘g‘risida."</f>
        <v xml:space="preserve">         1.OTASHEVA RUQIYA SHERALI QIZI ga mikrokredit berish masalasini ko‘rib chiqish to‘g‘risida.</v>
      </c>
      <c r="B5" s="233"/>
      <c r="C5" s="233"/>
      <c r="D5" s="233"/>
      <c r="E5" s="233"/>
    </row>
    <row r="7" spans="1:33" ht="21" customHeight="1" x14ac:dyDescent="0.35">
      <c r="A7" s="232"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OTASHEVA RUQIYA SHERALI QIZIga 150 000 000,00 (yuz ellik million so'm) so‘m miqdorida, muddati 36 (O'ttiz olti) oyga va yillik 60 (Oltmish) foiz miqdorida mikrokredit berich bo‘yicha OTASHEVA RUQIYA SHERALI QIZIning kredit arizasi va «CLEVER MIKROMOLIYA TASHKILOTI» MChJning xulosasi bilan ishtirokchilarni tanishtirdi.</v>
      </c>
      <c r="B7" s="232"/>
      <c r="C7" s="232"/>
      <c r="D7" s="232"/>
      <c r="E7" s="232"/>
      <c r="G7" s="71" t="s">
        <v>256</v>
      </c>
      <c r="H7" s="72" t="str">
        <f>'Общие данные'!B1</f>
        <v>№150-QR</v>
      </c>
    </row>
    <row r="8" spans="1:33" ht="23.25" x14ac:dyDescent="0.35">
      <c r="A8" s="232"/>
      <c r="B8" s="232"/>
      <c r="C8" s="232"/>
      <c r="D8" s="232"/>
      <c r="E8" s="232"/>
      <c r="G8" s="71" t="s">
        <v>257</v>
      </c>
      <c r="H8" s="72">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6.25" customHeight="1" x14ac:dyDescent="0.35">
      <c r="A9" s="232"/>
      <c r="B9" s="232"/>
      <c r="C9" s="232"/>
      <c r="D9" s="232"/>
      <c r="E9" s="232"/>
      <c r="G9" s="71" t="s">
        <v>258</v>
      </c>
      <c r="H9" s="72" t="str">
        <f>IF(H8=I8,I9,IF(H8=J8,J9,IF(H8=K8,K9,IF(H8=L8,L9,IF(H8=M8,M9,IF(H8=N8,N9,IF(H8=O8,O9,IF(H8=P8,P9,IF(H8=Q8,Q9,IF(H8=R8,R9,IF(H8=S8,S9,IF(H8=T8,T9,IF(H8=U8,U9,IF(H8=V8,V9,IF(H8=W8,W9,IF(H8=X8,X9,IF(H8=Y8,Y9,IF(H8=Z8,Z9,IF(H8=AA8,AA9,IF(H8=AB8,AB9,IF(H8=AC8,AC9,IF(H8=AD8,AD9,IF(H8=AE8,AE9,IF(H8=AF8,AF9,IF(H8=AG8,AG9)))))))))))))))))))))))))</f>
        <v>Birinchi</v>
      </c>
      <c r="I9" s="175" t="s">
        <v>188</v>
      </c>
      <c r="J9" s="176" t="s">
        <v>189</v>
      </c>
      <c r="K9" s="176" t="s">
        <v>190</v>
      </c>
      <c r="L9" s="176" t="s">
        <v>369</v>
      </c>
      <c r="M9" s="176" t="s">
        <v>191</v>
      </c>
      <c r="N9" s="176" t="s">
        <v>370</v>
      </c>
      <c r="O9" s="176" t="s">
        <v>192</v>
      </c>
      <c r="P9" s="176" t="s">
        <v>193</v>
      </c>
      <c r="Q9" s="176" t="s">
        <v>194</v>
      </c>
      <c r="R9" s="176" t="s">
        <v>359</v>
      </c>
      <c r="S9" s="176" t="s">
        <v>360</v>
      </c>
      <c r="T9" s="176" t="s">
        <v>361</v>
      </c>
      <c r="U9" s="176" t="s">
        <v>362</v>
      </c>
      <c r="V9" s="176" t="s">
        <v>371</v>
      </c>
      <c r="W9" s="176" t="s">
        <v>363</v>
      </c>
      <c r="X9" s="176" t="s">
        <v>364</v>
      </c>
      <c r="Y9" s="176" t="s">
        <v>365</v>
      </c>
      <c r="Z9" s="176" t="s">
        <v>366</v>
      </c>
      <c r="AA9" s="176" t="s">
        <v>367</v>
      </c>
      <c r="AB9" s="176" t="s">
        <v>195</v>
      </c>
      <c r="AC9" s="176" t="s">
        <v>196</v>
      </c>
      <c r="AD9" s="176" t="s">
        <v>197</v>
      </c>
      <c r="AE9" s="176" t="s">
        <v>198</v>
      </c>
      <c r="AF9" s="176" t="s">
        <v>368</v>
      </c>
      <c r="AG9" s="176" t="s">
        <v>199</v>
      </c>
    </row>
    <row r="10" spans="1:33" ht="10.5" hidden="1" customHeight="1" x14ac:dyDescent="0.25">
      <c r="A10" s="232"/>
      <c r="B10" s="232"/>
      <c r="C10" s="232"/>
      <c r="D10" s="232"/>
      <c r="E10" s="232"/>
    </row>
    <row r="11" spans="1:33" ht="9" hidden="1" customHeight="1" x14ac:dyDescent="0.25">
      <c r="A11" s="232"/>
      <c r="B11" s="232"/>
      <c r="C11" s="232"/>
      <c r="D11" s="232"/>
      <c r="E11" s="232"/>
    </row>
    <row r="12" spans="1:33" ht="3" customHeight="1" x14ac:dyDescent="0.25">
      <c r="A12" s="232"/>
      <c r="B12" s="232"/>
      <c r="C12" s="232"/>
      <c r="D12" s="232"/>
      <c r="E12" s="232"/>
    </row>
    <row r="13" spans="1:33" ht="7.5" customHeight="1" x14ac:dyDescent="0.25"/>
    <row r="14" spans="1:33" ht="15.75" customHeight="1" x14ac:dyDescent="0.25">
      <c r="A14" s="235" t="str">
        <f>""&amp;'Общие данные'!C64&amp;" ta’minoti:"</f>
        <v>Mikrokredit ta’minoti:</v>
      </c>
      <c r="B14" s="235"/>
      <c r="C14" s="235"/>
      <c r="D14" s="235"/>
      <c r="E14" s="235"/>
    </row>
    <row r="15" spans="1:33" ht="7.5" customHeight="1" x14ac:dyDescent="0.25"/>
    <row r="16" spans="1:33" ht="42.75" customHeight="1" x14ac:dyDescent="0.25">
      <c r="A16" s="232" t="str">
        <f>'Заключение КК'!A18:E18</f>
        <v xml:space="preserve"> Egalik huquqi QODIROVA IBODAT BAXTIYOR QIZIga tegishli bo'lgan umumiy maydoni - 42,00  va yashash maydoni - 27,5 2 - xonali ko'p qavatli uydagi xonadon, BUXORO VILOYATI QORAKO'L TUMANI QARAKUL MSG O'TIK DO'RMAN KO'CHASI 61-UY 18-XONADON </v>
      </c>
      <c r="B16" s="232"/>
      <c r="C16" s="232"/>
      <c r="D16" s="232"/>
      <c r="E16" s="232"/>
    </row>
    <row r="17" spans="1:5" ht="17.25" customHeight="1" x14ac:dyDescent="0.25">
      <c r="C17" s="177" t="s">
        <v>378</v>
      </c>
      <c r="D17" s="177" t="str">
        <f>""&amp;'Общие данные'!B147&amp;" kredit qo‘mitasi"</f>
        <v>«CLEVER MIKROMOLIYA TASHKILOTI» MChJ kredit qo‘mitasi</v>
      </c>
      <c r="E17" s="177"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x14ac:dyDescent="0.25">
      <c r="A18" s="232"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2"/>
      <c r="C18" s="232"/>
      <c r="D18" s="232"/>
      <c r="E18" s="232"/>
    </row>
    <row r="19" spans="1:5" ht="24" customHeight="1" x14ac:dyDescent="0.25">
      <c r="A19" s="236" t="s">
        <v>259</v>
      </c>
      <c r="B19" s="236"/>
      <c r="C19" s="236"/>
      <c r="D19" s="236"/>
      <c r="E19" s="236"/>
    </row>
    <row r="20" spans="1:5" ht="32.25" customHeight="1" x14ac:dyDescent="0.25">
      <c r="A20" s="232" t="str">
        <f>"       "&amp;'Общие данные'!B5&amp;"ga quyidagi shartlarda "&amp;'Общие данные'!B65&amp;" berish masalasi ma’qullansin:"</f>
        <v xml:space="preserve">       OTASHEVA RUQIYA SHERALI QIZIga quyidagi shartlarda mikrokredit berish masalasi ma’qullansin:</v>
      </c>
      <c r="B20" s="232"/>
      <c r="C20" s="232"/>
      <c r="D20" s="232"/>
      <c r="E20" s="232"/>
    </row>
    <row r="21" spans="1:5" s="152" customFormat="1" ht="18.75" customHeight="1" x14ac:dyDescent="0.25">
      <c r="A21" s="233" t="str">
        <f>"1. "&amp;'Общие данные'!C64&amp;" summasi: "&amp;FIXED('Общие данные'!B75)&amp;" ("&amp;'Общие данные'!B76&amp;") so'm."</f>
        <v>1. Mikrokredit summasi: 150 000 000,00 (yuz ellik million so'm) so'm.</v>
      </c>
      <c r="B21" s="233"/>
      <c r="C21" s="233"/>
      <c r="D21" s="233"/>
      <c r="E21" s="233"/>
    </row>
    <row r="22" spans="1:5" s="152" customFormat="1" ht="18.75" customHeight="1" x14ac:dyDescent="0.25">
      <c r="A22" s="233" t="str">
        <f>"2. "&amp;'Общие данные'!C64&amp;" muddati: "&amp;'Общие данные'!B81&amp;" ("&amp;'Общие данные'!B82&amp;") oy "</f>
        <v xml:space="preserve">2. Mikrokredit muddati: 36 (O'ttiz olti) oy </v>
      </c>
      <c r="B22" s="233"/>
      <c r="C22" s="233"/>
      <c r="D22" s="233"/>
      <c r="E22" s="233"/>
    </row>
    <row r="23" spans="1:5" s="152" customFormat="1" ht="18.75" customHeight="1" x14ac:dyDescent="0.25">
      <c r="A23" s="233" t="str">
        <f>"3. "&amp;'Общие данные'!C64&amp;"dan foydalanganlik uchun foiz stavkasi:yillik "&amp;'Общие данные'!B85&amp;"% ("&amp;'Общие данные'!B86&amp;") foiz."</f>
        <v>3. Mikrokreditdan foydalanganlik uchun foiz stavkasi:yillik 60% (Oltmish) foiz.</v>
      </c>
      <c r="B23" s="233"/>
      <c r="C23" s="233"/>
      <c r="D23" s="233"/>
      <c r="E23" s="233"/>
    </row>
    <row r="24" spans="1:5" s="152" customFormat="1" ht="18.75" customHeight="1" x14ac:dyDescent="0.25">
      <c r="A24" s="233" t="str">
        <f>"4. "&amp;'Общие данные'!C64&amp;" bo‘yicha asosiy qarz va foizlarni to‘lash:"</f>
        <v>4. Mikrokredit bo‘yicha asosiy qarz va foizlarni to‘lash:</v>
      </c>
      <c r="B24" s="233"/>
      <c r="C24" s="233"/>
      <c r="D24" s="233"/>
      <c r="E24" s="233"/>
    </row>
    <row r="25" spans="1:5" s="152" customFormat="1" ht="18.75" customHeight="1" x14ac:dyDescent="0.25">
      <c r="A25" s="233" t="str">
        <f>'Кредитная заявка'!A19:D19</f>
        <v xml:space="preserve"> - mikrokredit shartnomasi bo'yicha har oy differensial to'lovlari amalga oshiriladi</v>
      </c>
      <c r="B25" s="233"/>
      <c r="C25" s="233"/>
      <c r="D25" s="233"/>
      <c r="E25" s="233"/>
    </row>
    <row r="26" spans="1:5" ht="48" customHeight="1" x14ac:dyDescent="0.25">
      <c r="A26" s="232" t="str">
        <f>"5. "&amp;'Общие данные'!C64&amp;" bo‘yicha garov  "&amp;'Заключение КК'!A29:E29&amp;""</f>
        <v>5. Mikrokredit bo‘yicha garov   -   QODIROVA IBODAT BAXTIYOR QIZI ga mulk huquqi asosida tegishli ko'chmas mulk shaklida 2 - xonali ko'p qavatli uydagi xonadon, manzili: BUXORO VILOYATI QORAKO'L TUMANI QARAKUL MSG O'TIK DO'RMAN KO'CHASI 61-UY 18-XONADON, quyidagi tafsilotlarga muvofiq:</v>
      </c>
      <c r="B26" s="232"/>
      <c r="C26" s="232"/>
      <c r="D26" s="232"/>
      <c r="E26" s="232"/>
    </row>
    <row r="27" spans="1:5" ht="40.5" customHeight="1" x14ac:dyDescent="0.25">
      <c r="A27" s="21" t="str">
        <f>'Акт согласования'!A29</f>
        <v>Nomi</v>
      </c>
      <c r="B27" s="21" t="str">
        <f>'Акт согласования'!B29</f>
        <v>kadastr</v>
      </c>
      <c r="C27" s="21" t="str">
        <f>'Акт согласования'!C29</f>
        <v>Yashash maydoni</v>
      </c>
      <c r="D27" s="21" t="str">
        <f>'Акт согласования'!D29</f>
        <v>Foydalanishga topshirilgan sanasi</v>
      </c>
      <c r="E27" s="21" t="str">
        <f>'Акт согласования'!E29</f>
        <v>Kelishilgan garov qiymati, so'm</v>
      </c>
    </row>
    <row r="28" spans="1:5" ht="81" customHeight="1" x14ac:dyDescent="0.25">
      <c r="A28" s="21" t="str">
        <f>'Акт согласования'!A30</f>
        <v>2 - xonali ko'p qavatli uydagi xonadon</v>
      </c>
      <c r="B28" s="21" t="str">
        <f>'Акт согласования'!B30</f>
        <v>20.01.2025 yildan №20:10:07:01:02:0754:0011:018 kv.m</v>
      </c>
      <c r="C28" s="21" t="str">
        <f>'Акт согласования'!C30</f>
        <v>27,5 kv.m</v>
      </c>
      <c r="D28" s="21" t="str">
        <f>'Акт согласования'!D30</f>
        <v>20.01.2025</v>
      </c>
      <c r="E28" s="21" t="str">
        <f>'Акт согласования'!E30</f>
        <v>225 000 000,00 
(ikki yuz yigirma besh million so'm)</v>
      </c>
    </row>
    <row r="29" spans="1:5" ht="20.25" customHeight="1" x14ac:dyDescent="0.25">
      <c r="A29" s="232" t="str">
        <f>'Акт согласования'!A22:E22</f>
        <v>-* ko'chmas mulk egasi: QODIROVA IBODAT BAXTIYOR QIZI</v>
      </c>
      <c r="B29" s="232"/>
      <c r="C29" s="232"/>
      <c r="D29" s="232"/>
      <c r="E29" s="232"/>
    </row>
    <row r="30" spans="1:5" ht="20.25" customHeight="1" x14ac:dyDescent="0.25">
      <c r="A30" s="232" t="str">
        <f>'Акт согласования'!A23:E23</f>
        <v>-* reest raqami: 20.01.2025y  1706230/R-A5590011</v>
      </c>
      <c r="B30" s="232"/>
      <c r="C30" s="232"/>
      <c r="D30" s="232"/>
      <c r="E30" s="232"/>
    </row>
    <row r="31" spans="1:5" ht="38.25" customHeight="1" x14ac:dyDescent="0.25">
      <c r="A31" s="232" t="str">
        <f>'Акт согласования'!A24:E24</f>
        <v>-*  kadastr raqami: 20.01.2025 yildan №20:10:07:01:02:0754:0011:018</v>
      </c>
      <c r="B31" s="232"/>
      <c r="C31" s="232"/>
      <c r="D31" s="232"/>
      <c r="E31" s="232"/>
    </row>
    <row r="32" spans="1:5" ht="24" customHeight="1" x14ac:dyDescent="0.25">
      <c r="A32" s="232" t="str">
        <f>'Акт согласования'!A25:E25</f>
        <v>-* manzili: BUXORO VILOYATI QORAKO'L TUMANI QARAKUL MSG O'TIK DO'RMAN KO'CHASI 61-UY 18-XONADON</v>
      </c>
      <c r="B32" s="232"/>
      <c r="C32" s="232"/>
      <c r="D32" s="232"/>
      <c r="E32" s="232"/>
    </row>
    <row r="33" spans="1:5" ht="2.25" customHeight="1" x14ac:dyDescent="0.25">
      <c r="A33" s="153"/>
      <c r="B33" s="153"/>
      <c r="C33" s="153"/>
      <c r="D33" s="153"/>
      <c r="E33" s="153"/>
    </row>
    <row r="34" spans="1:5" ht="27" customHeight="1" x14ac:dyDescent="0.25">
      <c r="A34" s="232" t="str">
        <f>"6. Boshqa shartlar – "&amp;IF('Общие данные'!B103='Общие данные'!B104,"avtotransport vositasi",IF('Общие данные'!B103='Общие данные'!C104,"ko'chmas mulk",0))&amp;" shaklida garov ta'minlangandan keyin "&amp;'Общие данные'!B65&amp;" berish."</f>
        <v>6. Boshqa shartlar – ko'chmas mulk shaklida garov ta'minlangandan keyin mikrokredit berish.</v>
      </c>
      <c r="B34" s="232"/>
      <c r="C34" s="232"/>
      <c r="D34" s="232"/>
      <c r="E34" s="232"/>
    </row>
    <row r="36" spans="1:5" ht="29.25" customHeight="1" x14ac:dyDescent="0.25">
      <c r="A36" s="229" t="s">
        <v>260</v>
      </c>
      <c r="B36" s="229"/>
      <c r="C36" s="229"/>
      <c r="D36" s="229"/>
      <c r="E36" s="229"/>
    </row>
    <row r="37" spans="1:5" ht="29.25" customHeight="1" x14ac:dyDescent="0.25">
      <c r="A37" s="230" t="s">
        <v>414</v>
      </c>
      <c r="B37" s="230"/>
      <c r="C37" s="189"/>
      <c r="D37" s="190"/>
      <c r="E37" s="190"/>
    </row>
    <row r="38" spans="1:5" ht="29.25" customHeight="1" x14ac:dyDescent="0.25">
      <c r="A38" s="231" t="str">
        <f>"2. "&amp;'Общие данные'!B159&amp;""</f>
        <v>2. Mominov B.X.</v>
      </c>
      <c r="B38" s="231"/>
      <c r="C38" s="189"/>
      <c r="D38" s="191"/>
      <c r="E38" s="191"/>
    </row>
    <row r="39" spans="1:5" ht="29.25" customHeight="1" x14ac:dyDescent="0.25">
      <c r="A39" s="230" t="str">
        <f>"3. "&amp;'Общие данные'!B160&amp;""</f>
        <v>3. Jumanazarov B.T.</v>
      </c>
      <c r="B39" s="230"/>
      <c r="C39" s="149"/>
      <c r="D39" s="192"/>
      <c r="E39" s="192"/>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7" zoomScale="70" zoomScaleNormal="70" zoomScaleSheetLayoutView="70" workbookViewId="0">
      <selection activeCell="A44" sqref="A44"/>
    </sheetView>
  </sheetViews>
  <sheetFormatPr defaultColWidth="9.140625" defaultRowHeight="15" outlineLevelCol="1" x14ac:dyDescent="0.25"/>
  <cols>
    <col min="1" max="1" width="9.140625" style="104"/>
    <col min="2" max="2" width="12.28515625" style="104" customWidth="1"/>
    <col min="3" max="3" width="16.5703125" style="104" customWidth="1"/>
    <col min="4" max="4" width="16.7109375" style="104" customWidth="1"/>
    <col min="5" max="5" width="16.5703125" style="104" customWidth="1"/>
    <col min="6" max="6" width="20.85546875" style="104" customWidth="1"/>
    <col min="7" max="7" width="10.140625" style="104" customWidth="1" outlineLevel="1"/>
    <col min="8" max="8" width="19.140625" style="104" customWidth="1"/>
    <col min="9" max="9" width="21.42578125" style="104" customWidth="1"/>
    <col min="10" max="10" width="20.85546875" style="104" customWidth="1"/>
    <col min="11" max="11" width="20.140625" style="104" customWidth="1"/>
    <col min="12" max="12" width="21.42578125" style="104" customWidth="1"/>
    <col min="13" max="13" width="25.42578125" style="104" customWidth="1"/>
    <col min="14" max="14" width="18.28515625" style="104" customWidth="1"/>
    <col min="15" max="17" width="9.140625" style="19"/>
    <col min="18" max="18" width="24.42578125" style="19" customWidth="1"/>
    <col min="19" max="16384" width="9.140625" style="19"/>
  </cols>
  <sheetData>
    <row r="1" spans="1:22" x14ac:dyDescent="0.25">
      <c r="A1" s="103"/>
      <c r="B1" s="103"/>
      <c r="C1" s="103"/>
      <c r="D1" s="103"/>
      <c r="E1" s="246" t="s">
        <v>16</v>
      </c>
      <c r="F1" s="246"/>
    </row>
    <row r="2" spans="1:22" x14ac:dyDescent="0.25">
      <c r="A2" s="103"/>
      <c r="B2" s="103"/>
      <c r="C2" s="103"/>
      <c r="D2" s="103"/>
      <c r="E2" s="103"/>
      <c r="F2" s="105" t="str">
        <f>"к договору микрозайма "&amp;'Общие данные'!B74&amp;""</f>
        <v>к договору микрозайма 21 yanvar 2025 y.dan №150-QR</v>
      </c>
    </row>
    <row r="3" spans="1:22" ht="19.5" customHeight="1" x14ac:dyDescent="0.25">
      <c r="A3" s="103"/>
      <c r="B3" s="103"/>
      <c r="C3" s="103"/>
      <c r="D3" s="103"/>
      <c r="E3" s="103"/>
      <c r="F3" s="103"/>
      <c r="H3" s="106"/>
      <c r="I3" s="106"/>
      <c r="J3" s="107"/>
      <c r="K3" s="107"/>
    </row>
    <row r="4" spans="1:22" ht="19.5" customHeight="1" x14ac:dyDescent="0.25">
      <c r="A4" s="247" t="s">
        <v>17</v>
      </c>
      <c r="B4" s="247"/>
      <c r="C4" s="247"/>
      <c r="D4" s="247"/>
      <c r="E4" s="247"/>
      <c r="F4" s="247"/>
      <c r="H4" s="106"/>
      <c r="I4" s="106"/>
      <c r="J4" s="106"/>
      <c r="K4" s="106"/>
    </row>
    <row r="5" spans="1:22" ht="19.5" customHeight="1" x14ac:dyDescent="0.25">
      <c r="L5" s="104">
        <f>'Общие данные'!B81</f>
        <v>36</v>
      </c>
    </row>
    <row r="6" spans="1:22" x14ac:dyDescent="0.25">
      <c r="A6" s="248" t="s">
        <v>15</v>
      </c>
      <c r="B6" s="249" t="s">
        <v>9</v>
      </c>
      <c r="C6" s="249" t="s">
        <v>10</v>
      </c>
      <c r="D6" s="250" t="s">
        <v>11</v>
      </c>
      <c r="E6" s="250"/>
      <c r="F6" s="250"/>
    </row>
    <row r="7" spans="1:22" s="20" customFormat="1" x14ac:dyDescent="0.25">
      <c r="A7" s="248"/>
      <c r="B7" s="249"/>
      <c r="C7" s="249"/>
      <c r="D7" s="108" t="s">
        <v>12</v>
      </c>
      <c r="E7" s="108" t="s">
        <v>13</v>
      </c>
      <c r="F7" s="108" t="s">
        <v>14</v>
      </c>
      <c r="G7" s="109"/>
      <c r="H7" s="109"/>
      <c r="I7" s="109"/>
      <c r="J7" s="109"/>
      <c r="K7" s="109"/>
      <c r="L7" s="109"/>
      <c r="M7" s="109"/>
      <c r="N7" s="109"/>
    </row>
    <row r="8" spans="1:22" x14ac:dyDescent="0.25">
      <c r="A8" s="110">
        <v>1</v>
      </c>
      <c r="B8" s="111">
        <f>'Общие данные'!B79</f>
        <v>45698</v>
      </c>
      <c r="C8" s="58">
        <f>'Общие данные'!B75</f>
        <v>150000000</v>
      </c>
      <c r="D8" s="58">
        <f>IF(IF(C8=0,L8,IF(C8&gt;1,I8))="",0,(IF(C8=0,L8,IF(C8&gt;1,I8))))</f>
        <v>4166666.67</v>
      </c>
      <c r="E8" s="58">
        <f>IF(C8=0,N6,IF(C8&gt;1,L8))</f>
        <v>4931506.8</v>
      </c>
      <c r="F8" s="58">
        <f>IF(C8=0,O6,IF(C8&gt;1,M8))</f>
        <v>9098173.4699999988</v>
      </c>
      <c r="G8" s="124">
        <f>B8-'Общие данные'!B67</f>
        <v>20</v>
      </c>
      <c r="H8" s="104">
        <f>DATE(YEAR(B8),12,31)-DATE(YEAR(B8),1,1)+1</f>
        <v>365</v>
      </c>
      <c r="I8" s="112">
        <f>IF('Общие данные'!B83=0,ROUND(C8/L5,2),"")</f>
        <v>4166666.67</v>
      </c>
      <c r="J8" s="112"/>
      <c r="K8" s="112"/>
      <c r="L8" s="106">
        <f>ROUND(C8*'Общие данные'!$B$84/H8,2)*G8</f>
        <v>4931506.8</v>
      </c>
      <c r="M8" s="106">
        <f t="shared" ref="M8:M31" si="0">D8+E8</f>
        <v>9098173.4699999988</v>
      </c>
      <c r="N8" s="106"/>
      <c r="O8" s="121" t="str">
        <f>TEXT(B8,"ддд")</f>
        <v>Пн</v>
      </c>
      <c r="P8" s="123">
        <f>IF(O8=$U$8,2,IF(O8=$V$8,1,0))</f>
        <v>0</v>
      </c>
      <c r="Q8" s="123">
        <f>DAY('Общие данные'!$B$78)+P8</f>
        <v>10</v>
      </c>
      <c r="R8" s="118"/>
      <c r="S8" s="119" t="s">
        <v>32</v>
      </c>
      <c r="T8" s="119" t="s">
        <v>33</v>
      </c>
      <c r="U8" s="119" t="s">
        <v>34</v>
      </c>
      <c r="V8" s="120" t="s">
        <v>35</v>
      </c>
    </row>
    <row r="9" spans="1:22" x14ac:dyDescent="0.25">
      <c r="A9" s="110">
        <v>2</v>
      </c>
      <c r="B9" s="111">
        <f>IF(A9&lt;='Общие данные'!$B$81,DATE(YEAR(R9),MONTH(R9),DAY(IF(A9='Общие данные'!$B$81,'Общие данные'!$B$67,IF(A9&lt;'Общие данные'!$B$81,(Q9),IF(A9&gt;'Общие данные'!$B$81,$H$44,0))))))</f>
        <v>45726</v>
      </c>
      <c r="C9" s="58">
        <f t="shared" ref="C9:C30" si="1">C8-D8</f>
        <v>145833333.33000001</v>
      </c>
      <c r="D9" s="58">
        <f t="shared" ref="D9:D30" si="2">IF(C9=0,L9,IF(C9&gt;1,I9))</f>
        <v>4166666.67</v>
      </c>
      <c r="E9" s="58">
        <f t="shared" ref="E9:E30" si="3">IF(C9=0,N8,IF(C9&gt;1,L9))</f>
        <v>6712328.8399999999</v>
      </c>
      <c r="F9" s="58">
        <f t="shared" ref="F9:F30" si="4">IF(C9=0,N8,IF(C9&gt;1,M9))</f>
        <v>10878995.51</v>
      </c>
      <c r="G9" s="104">
        <f>B9-B8</f>
        <v>28</v>
      </c>
      <c r="H9" s="104">
        <f t="shared" ref="H9:H31" si="5">DATE(YEAR(B9),12,31)-DATE(YEAR(B9),1,1)+1</f>
        <v>365</v>
      </c>
      <c r="I9" s="112">
        <f>IF(I8="",ROUND(C8/(L5-1),2),I8)</f>
        <v>4166666.67</v>
      </c>
      <c r="J9" s="112"/>
      <c r="K9" s="112"/>
      <c r="L9" s="106">
        <f>ROUND(C9*'Общие данные'!$B$84/H9,2)*G9</f>
        <v>6712328.8399999999</v>
      </c>
      <c r="M9" s="106">
        <f t="shared" si="0"/>
        <v>10878995.51</v>
      </c>
      <c r="N9" s="106"/>
      <c r="O9" s="121" t="str">
        <f>TEXT(R9,"ддд")</f>
        <v>Пн</v>
      </c>
      <c r="P9" s="123">
        <f t="shared" ref="P9:P31" si="6">IF(O9=$U$8,2,IF(O9=$V$8,1,0))</f>
        <v>0</v>
      </c>
      <c r="Q9" s="123">
        <f>DAY('Общие данные'!$B$78)+P9</f>
        <v>10</v>
      </c>
      <c r="R9" s="118">
        <f>IF(A9&lt;='Общие данные'!$B$81,DATE(YEAR($B$8),MONTH($B$8)+A8,DAY('Общие данные'!$B$78)),0)</f>
        <v>45726</v>
      </c>
      <c r="S9" s="104"/>
      <c r="T9" s="104"/>
      <c r="U9" s="104"/>
      <c r="V9" s="104"/>
    </row>
    <row r="10" spans="1:22" x14ac:dyDescent="0.25">
      <c r="A10" s="110">
        <v>3</v>
      </c>
      <c r="B10" s="111">
        <f>IF(A10&lt;='Общие данные'!$B$81,DATE(YEAR(R10),MONTH(R10),DAY(IF(A10='Общие данные'!$B$81,'Общие данные'!$B$67,IF(A10&lt;'Общие данные'!$B$81,(Q10),IF(A10&gt;'Общие данные'!$B$81,$H$44,0))))))</f>
        <v>45757</v>
      </c>
      <c r="C10" s="58">
        <f t="shared" si="1"/>
        <v>141666666.66000003</v>
      </c>
      <c r="D10" s="58">
        <f t="shared" si="2"/>
        <v>4166666.67</v>
      </c>
      <c r="E10" s="58">
        <f t="shared" si="3"/>
        <v>7219178.0099999998</v>
      </c>
      <c r="F10" s="58">
        <f t="shared" si="4"/>
        <v>11385844.68</v>
      </c>
      <c r="G10" s="104">
        <f t="shared" ref="G10:G31" si="7">B10-B9</f>
        <v>31</v>
      </c>
      <c r="H10" s="104">
        <f t="shared" si="5"/>
        <v>365</v>
      </c>
      <c r="I10" s="112">
        <f t="shared" ref="I10:I30" si="8">IF($L$5=A10,K10,IF($L$5&gt;A10,I9))</f>
        <v>4166666.67</v>
      </c>
      <c r="J10" s="112"/>
      <c r="K10" s="112"/>
      <c r="L10" s="106">
        <f>ROUND(C10*'Общие данные'!$B$84/H10,2)*G10</f>
        <v>7219178.0099999998</v>
      </c>
      <c r="M10" s="106">
        <f t="shared" si="0"/>
        <v>11385844.68</v>
      </c>
      <c r="N10" s="106"/>
      <c r="O10" s="121" t="str">
        <f t="shared" ref="O10:O31" si="9">TEXT(R10,"ддд")</f>
        <v>Чт</v>
      </c>
      <c r="P10" s="123">
        <f t="shared" si="6"/>
        <v>0</v>
      </c>
      <c r="Q10" s="123">
        <f>DAY('Общие данные'!$B$78)+P10</f>
        <v>10</v>
      </c>
      <c r="R10" s="118">
        <f>IF(A10&lt;='Общие данные'!$B$81,DATE(YEAR($B$8),MONTH($B$8)+A9,DAY('Общие данные'!$B$78)),0)</f>
        <v>45757</v>
      </c>
      <c r="S10" s="104"/>
      <c r="T10" s="104"/>
      <c r="U10" s="104"/>
      <c r="V10" s="104"/>
    </row>
    <row r="11" spans="1:22" x14ac:dyDescent="0.25">
      <c r="A11" s="110">
        <v>4</v>
      </c>
      <c r="B11" s="111">
        <f>IF(A11&lt;='Общие данные'!$B$81,DATE(YEAR(R11),MONTH(R11),DAY(IF(A11='Общие данные'!$B$81,'Общие данные'!$B$67,IF(A11&lt;'Общие данные'!$B$81,(Q11),IF(A11&gt;'Общие данные'!$B$81,$H$44,0))))))</f>
        <v>45789</v>
      </c>
      <c r="C11" s="58">
        <f t="shared" si="1"/>
        <v>137499999.99000004</v>
      </c>
      <c r="D11" s="58">
        <f t="shared" si="2"/>
        <v>4166666.67</v>
      </c>
      <c r="E11" s="58">
        <f t="shared" si="3"/>
        <v>7232876.7999999998</v>
      </c>
      <c r="F11" s="58">
        <f t="shared" si="4"/>
        <v>11399543.469999999</v>
      </c>
      <c r="G11" s="104">
        <f t="shared" si="7"/>
        <v>32</v>
      </c>
      <c r="H11" s="104">
        <f t="shared" si="5"/>
        <v>365</v>
      </c>
      <c r="I11" s="112">
        <f t="shared" si="8"/>
        <v>4166666.67</v>
      </c>
      <c r="J11" s="112"/>
      <c r="K11" s="112"/>
      <c r="L11" s="106">
        <f>ROUND(C11*'Общие данные'!$B$84/H11,2)*G11</f>
        <v>7232876.7999999998</v>
      </c>
      <c r="M11" s="106">
        <f t="shared" si="0"/>
        <v>11399543.469999999</v>
      </c>
      <c r="N11" s="106"/>
      <c r="O11" s="121" t="str">
        <f t="shared" si="9"/>
        <v>Сб</v>
      </c>
      <c r="P11" s="123">
        <f t="shared" si="6"/>
        <v>2</v>
      </c>
      <c r="Q11" s="123">
        <f>DAY('Общие данные'!$B$78)+P11</f>
        <v>12</v>
      </c>
      <c r="R11" s="118">
        <f>IF(A11&lt;='Общие данные'!$B$81,DATE(YEAR($B$8),MONTH($B$8)+A10,DAY('Общие данные'!$B$78)),0)</f>
        <v>45787</v>
      </c>
      <c r="S11" s="104"/>
      <c r="T11" s="104"/>
      <c r="U11" s="104"/>
      <c r="V11" s="104"/>
    </row>
    <row r="12" spans="1:22" x14ac:dyDescent="0.25">
      <c r="A12" s="110">
        <v>5</v>
      </c>
      <c r="B12" s="111">
        <f>IF(A12&lt;='Общие данные'!$B$81,DATE(YEAR(R12),MONTH(R12),DAY(IF(A12='Общие данные'!$B$81,'Общие данные'!$B$67,IF(A12&lt;'Общие данные'!$B$81,(Q12),IF(A12&gt;'Общие данные'!$B$81,$H$44,0))))))</f>
        <v>45818</v>
      </c>
      <c r="C12" s="58">
        <f t="shared" si="1"/>
        <v>133333333.32000004</v>
      </c>
      <c r="D12" s="58">
        <f t="shared" si="2"/>
        <v>4166666.67</v>
      </c>
      <c r="E12" s="58">
        <f t="shared" si="3"/>
        <v>6356164.3199999994</v>
      </c>
      <c r="F12" s="58">
        <f t="shared" si="4"/>
        <v>10522830.989999998</v>
      </c>
      <c r="G12" s="104">
        <f t="shared" si="7"/>
        <v>29</v>
      </c>
      <c r="H12" s="104">
        <f t="shared" si="5"/>
        <v>365</v>
      </c>
      <c r="I12" s="112">
        <f t="shared" si="8"/>
        <v>4166666.67</v>
      </c>
      <c r="J12" s="112">
        <f>'Общие данные'!B75</f>
        <v>150000000</v>
      </c>
      <c r="K12" s="112"/>
      <c r="L12" s="106">
        <f>ROUND(C12*'Общие данные'!$B$84/H12,2)*G12</f>
        <v>6356164.3199999994</v>
      </c>
      <c r="M12" s="106">
        <f t="shared" si="0"/>
        <v>10522830.989999998</v>
      </c>
      <c r="N12" s="106"/>
      <c r="O12" s="121" t="str">
        <f t="shared" si="9"/>
        <v>Вт</v>
      </c>
      <c r="P12" s="123">
        <f t="shared" si="6"/>
        <v>0</v>
      </c>
      <c r="Q12" s="123">
        <f>DAY('Общие данные'!$B$78)+P12</f>
        <v>10</v>
      </c>
      <c r="R12" s="118">
        <f>IF(A12&lt;='Общие данные'!$B$81,DATE(YEAR($B$8),MONTH($B$8)+A11,DAY('Общие данные'!$B$78)),0)</f>
        <v>45818</v>
      </c>
      <c r="S12" s="104"/>
      <c r="T12" s="104"/>
      <c r="U12" s="104"/>
      <c r="V12" s="104"/>
    </row>
    <row r="13" spans="1:22" x14ac:dyDescent="0.25">
      <c r="A13" s="110">
        <v>6</v>
      </c>
      <c r="B13" s="111">
        <f>IF(A13&lt;='Общие данные'!$B$81,DATE(YEAR(R13),MONTH(R13),DAY(IF(A13='Общие данные'!$B$81,'Общие данные'!$B$67,IF(A13&lt;'Общие данные'!$B$81,(Q13),IF(A13&gt;'Общие данные'!$B$81,$H$44,0))))))</f>
        <v>45848</v>
      </c>
      <c r="C13" s="58">
        <f t="shared" si="1"/>
        <v>129166666.65000004</v>
      </c>
      <c r="D13" s="58">
        <f t="shared" si="2"/>
        <v>4166666.67</v>
      </c>
      <c r="E13" s="58">
        <f t="shared" si="3"/>
        <v>6369863.0999999996</v>
      </c>
      <c r="F13" s="58">
        <f t="shared" si="4"/>
        <v>10536529.77</v>
      </c>
      <c r="G13" s="104">
        <f t="shared" si="7"/>
        <v>30</v>
      </c>
      <c r="H13" s="104">
        <f t="shared" si="5"/>
        <v>365</v>
      </c>
      <c r="I13" s="112">
        <f t="shared" si="8"/>
        <v>4166666.67</v>
      </c>
      <c r="J13" s="112">
        <f>SUM($I$8:I12)</f>
        <v>20833333.350000001</v>
      </c>
      <c r="K13" s="112">
        <f>$J$12-J13</f>
        <v>129166666.65000001</v>
      </c>
      <c r="L13" s="106">
        <f>ROUND(C13*'Общие данные'!$B$84/H13,2)*G13</f>
        <v>6369863.0999999996</v>
      </c>
      <c r="M13" s="106">
        <f t="shared" si="0"/>
        <v>10536529.77</v>
      </c>
      <c r="N13" s="106"/>
      <c r="O13" s="121" t="str">
        <f t="shared" si="9"/>
        <v>Чт</v>
      </c>
      <c r="P13" s="123">
        <f t="shared" si="6"/>
        <v>0</v>
      </c>
      <c r="Q13" s="123">
        <f>DAY('Общие данные'!$B$78)+P13</f>
        <v>10</v>
      </c>
      <c r="R13" s="118">
        <f>IF(A13&lt;='Общие данные'!$B$81,DATE(YEAR($B$8),MONTH($B$8)+A12,DAY('Общие данные'!$B$78)),0)</f>
        <v>45848</v>
      </c>
      <c r="S13" s="104"/>
      <c r="T13" s="104"/>
      <c r="U13" s="104"/>
      <c r="V13" s="104"/>
    </row>
    <row r="14" spans="1:22" x14ac:dyDescent="0.25">
      <c r="A14" s="110">
        <v>7</v>
      </c>
      <c r="B14" s="111">
        <f>IF(A14&lt;='Общие данные'!$B$81,DATE(YEAR(R14),MONTH(R14),DAY(IF(A14='Общие данные'!$B$81,'Общие данные'!$B$67,IF(A14&lt;'Общие данные'!$B$81,(Q14),IF(A14&gt;'Общие данные'!$B$81,$H$44,0))))))</f>
        <v>45880</v>
      </c>
      <c r="C14" s="58">
        <f t="shared" si="1"/>
        <v>124999999.98000003</v>
      </c>
      <c r="D14" s="58">
        <f t="shared" si="2"/>
        <v>4166666.67</v>
      </c>
      <c r="E14" s="58">
        <f t="shared" si="3"/>
        <v>6575342.4000000004</v>
      </c>
      <c r="F14" s="58">
        <f t="shared" si="4"/>
        <v>10742009.07</v>
      </c>
      <c r="G14" s="104">
        <f t="shared" si="7"/>
        <v>32</v>
      </c>
      <c r="H14" s="104">
        <f t="shared" si="5"/>
        <v>365</v>
      </c>
      <c r="I14" s="112">
        <f t="shared" si="8"/>
        <v>4166666.67</v>
      </c>
      <c r="J14" s="112">
        <f>SUM($I$8:I13)</f>
        <v>25000000.020000003</v>
      </c>
      <c r="K14" s="112">
        <f t="shared" ref="K14:K31" si="10">$J$12-J14</f>
        <v>124999999.97999999</v>
      </c>
      <c r="L14" s="106">
        <f>ROUND(C14*'Общие данные'!$B$84/H14,2)*G14</f>
        <v>6575342.4000000004</v>
      </c>
      <c r="M14" s="106">
        <f t="shared" si="0"/>
        <v>10742009.07</v>
      </c>
      <c r="N14" s="106"/>
      <c r="O14" s="121" t="str">
        <f t="shared" si="9"/>
        <v>Вс</v>
      </c>
      <c r="P14" s="123">
        <f t="shared" si="6"/>
        <v>1</v>
      </c>
      <c r="Q14" s="123">
        <f>DAY('Общие данные'!$B$78)+P14</f>
        <v>11</v>
      </c>
      <c r="R14" s="118">
        <f>IF(A14&lt;='Общие данные'!$B$81,DATE(YEAR($B$8),MONTH($B$8)+A13,DAY('Общие данные'!$B$78)),0)</f>
        <v>45879</v>
      </c>
      <c r="S14" s="104"/>
      <c r="T14" s="104"/>
      <c r="U14" s="104"/>
      <c r="V14" s="104"/>
    </row>
    <row r="15" spans="1:22" x14ac:dyDescent="0.25">
      <c r="A15" s="110">
        <v>8</v>
      </c>
      <c r="B15" s="111">
        <f>IF(A15&lt;='Общие данные'!$B$81,DATE(YEAR(R15),MONTH(R15),DAY(IF(A15='Общие данные'!$B$81,'Общие данные'!$B$67,IF(A15&lt;'Общие данные'!$B$81,(Q15),IF(A15&gt;'Общие данные'!$B$81,$H$44,0))))))</f>
        <v>45910</v>
      </c>
      <c r="C15" s="58">
        <f t="shared" si="1"/>
        <v>120833333.31000003</v>
      </c>
      <c r="D15" s="58">
        <f t="shared" si="2"/>
        <v>4166666.67</v>
      </c>
      <c r="E15" s="58">
        <f t="shared" si="3"/>
        <v>5958904.2000000002</v>
      </c>
      <c r="F15" s="58">
        <f t="shared" si="4"/>
        <v>10125570.870000001</v>
      </c>
      <c r="G15" s="104">
        <f t="shared" si="7"/>
        <v>30</v>
      </c>
      <c r="H15" s="104">
        <f t="shared" si="5"/>
        <v>365</v>
      </c>
      <c r="I15" s="112">
        <f t="shared" si="8"/>
        <v>4166666.67</v>
      </c>
      <c r="J15" s="112">
        <f>SUM($I$8:I14)</f>
        <v>29166666.690000005</v>
      </c>
      <c r="K15" s="112">
        <f t="shared" si="10"/>
        <v>120833333.31</v>
      </c>
      <c r="L15" s="106">
        <f>ROUND(C15*'Общие данные'!$B$84/H15,2)*G15</f>
        <v>5958904.2000000002</v>
      </c>
      <c r="M15" s="106">
        <f t="shared" si="0"/>
        <v>10125570.870000001</v>
      </c>
      <c r="N15" s="106"/>
      <c r="O15" s="121" t="str">
        <f t="shared" si="9"/>
        <v>Ср</v>
      </c>
      <c r="P15" s="123">
        <f t="shared" si="6"/>
        <v>0</v>
      </c>
      <c r="Q15" s="123">
        <f>DAY('Общие данные'!$B$78)+P15</f>
        <v>10</v>
      </c>
      <c r="R15" s="118">
        <f>IF(A15&lt;='Общие данные'!$B$81,DATE(YEAR($B$8),MONTH($B$8)+A14,DAY('Общие данные'!$B$78)),0)</f>
        <v>45910</v>
      </c>
      <c r="S15" s="104"/>
      <c r="T15" s="104"/>
      <c r="U15" s="104"/>
      <c r="V15" s="104"/>
    </row>
    <row r="16" spans="1:22" x14ac:dyDescent="0.25">
      <c r="A16" s="110">
        <v>9</v>
      </c>
      <c r="B16" s="111">
        <f>IF(A16&lt;='Общие данные'!$B$81,DATE(YEAR(R16),MONTH(R16),DAY(IF(A16='Общие данные'!$B$81,'Общие данные'!$B$67,IF(A16&lt;'Общие данные'!$B$81,(Q16),IF(A16&gt;'Общие данные'!$B$81,$H$44,0))))))</f>
        <v>45940</v>
      </c>
      <c r="C16" s="58">
        <f t="shared" si="1"/>
        <v>116666666.64000003</v>
      </c>
      <c r="D16" s="58">
        <f t="shared" si="2"/>
        <v>4166666.67</v>
      </c>
      <c r="E16" s="58">
        <f t="shared" si="3"/>
        <v>5753424.6000000006</v>
      </c>
      <c r="F16" s="58">
        <f t="shared" si="4"/>
        <v>9920091.2699999996</v>
      </c>
      <c r="G16" s="104">
        <f t="shared" si="7"/>
        <v>30</v>
      </c>
      <c r="H16" s="104">
        <f t="shared" si="5"/>
        <v>365</v>
      </c>
      <c r="I16" s="112">
        <f t="shared" si="8"/>
        <v>4166666.67</v>
      </c>
      <c r="J16" s="112">
        <f>SUM($I$8:I15)</f>
        <v>33333333.360000007</v>
      </c>
      <c r="K16" s="112">
        <f t="shared" si="10"/>
        <v>116666666.63999999</v>
      </c>
      <c r="L16" s="106">
        <f>ROUND(C16*'Общие данные'!$B$84/H16,2)*G16</f>
        <v>5753424.6000000006</v>
      </c>
      <c r="M16" s="106">
        <f t="shared" si="0"/>
        <v>9920091.2699999996</v>
      </c>
      <c r="N16" s="106"/>
      <c r="O16" s="121" t="str">
        <f t="shared" si="9"/>
        <v>Пт</v>
      </c>
      <c r="P16" s="123">
        <f t="shared" si="6"/>
        <v>0</v>
      </c>
      <c r="Q16" s="123">
        <f>DAY('Общие данные'!$B$78)+P16</f>
        <v>10</v>
      </c>
      <c r="R16" s="118">
        <f>IF(A16&lt;='Общие данные'!$B$81,DATE(YEAR($B$8),MONTH($B$8)+A15,DAY('Общие данные'!$B$78)),0)</f>
        <v>45940</v>
      </c>
      <c r="S16" s="104"/>
      <c r="T16" s="104"/>
      <c r="U16" s="104"/>
      <c r="V16" s="104"/>
    </row>
    <row r="17" spans="1:22" x14ac:dyDescent="0.25">
      <c r="A17" s="110">
        <v>10</v>
      </c>
      <c r="B17" s="111">
        <f>IF(A17&lt;='Общие данные'!$B$81,DATE(YEAR(R17),MONTH(R17),DAY(IF(A17='Общие данные'!$B$81,'Общие данные'!$B$67,IF(A17&lt;'Общие данные'!$B$81,(Q17),IF(A17&gt;'Общие данные'!$B$81,$H$44,0))))))</f>
        <v>45971</v>
      </c>
      <c r="C17" s="58">
        <f t="shared" si="1"/>
        <v>112499999.97000003</v>
      </c>
      <c r="D17" s="58">
        <f t="shared" si="2"/>
        <v>4166666.67</v>
      </c>
      <c r="E17" s="58">
        <f t="shared" si="3"/>
        <v>5732876.8100000005</v>
      </c>
      <c r="F17" s="58">
        <f t="shared" si="4"/>
        <v>9899543.4800000004</v>
      </c>
      <c r="G17" s="104">
        <f t="shared" si="7"/>
        <v>31</v>
      </c>
      <c r="H17" s="104">
        <f t="shared" si="5"/>
        <v>365</v>
      </c>
      <c r="I17" s="112">
        <f t="shared" si="8"/>
        <v>4166666.67</v>
      </c>
      <c r="J17" s="112">
        <f>SUM($I$8:I16)</f>
        <v>37500000.030000009</v>
      </c>
      <c r="K17" s="112">
        <f>$J$12-J17</f>
        <v>112499999.97</v>
      </c>
      <c r="L17" s="106">
        <f>ROUND(C17*'Общие данные'!$B$84/H17,2)*G17</f>
        <v>5732876.8100000005</v>
      </c>
      <c r="M17" s="106">
        <f t="shared" si="0"/>
        <v>9899543.4800000004</v>
      </c>
      <c r="N17" s="106"/>
      <c r="O17" s="121" t="str">
        <f t="shared" si="9"/>
        <v>Пн</v>
      </c>
      <c r="P17" s="123">
        <f t="shared" si="6"/>
        <v>0</v>
      </c>
      <c r="Q17" s="123">
        <f>DAY('Общие данные'!$B$78)+P17</f>
        <v>10</v>
      </c>
      <c r="R17" s="118">
        <f>IF(A17&lt;='Общие данные'!$B$81,DATE(YEAR($B$8),MONTH($B$8)+A16,DAY('Общие данные'!$B$78)),0)</f>
        <v>45971</v>
      </c>
      <c r="S17" s="104"/>
      <c r="T17" s="104"/>
      <c r="U17" s="104"/>
      <c r="V17" s="104"/>
    </row>
    <row r="18" spans="1:22" x14ac:dyDescent="0.25">
      <c r="A18" s="110">
        <v>11</v>
      </c>
      <c r="B18" s="111">
        <f>IF(A18&lt;='Общие данные'!$B$81,DATE(YEAR(R18),MONTH(R18),DAY(IF(A18='Общие данные'!$B$81,'Общие данные'!$B$67,IF(A18&lt;'Общие данные'!$B$81,(Q18),IF(A18&gt;'Общие данные'!$B$81,$H$44,0))))))</f>
        <v>46001</v>
      </c>
      <c r="C18" s="58">
        <f t="shared" si="1"/>
        <v>108333333.30000003</v>
      </c>
      <c r="D18" s="58">
        <f t="shared" si="2"/>
        <v>4166666.67</v>
      </c>
      <c r="E18" s="58">
        <f t="shared" si="3"/>
        <v>5342465.7</v>
      </c>
      <c r="F18" s="58">
        <f t="shared" si="4"/>
        <v>9509132.370000001</v>
      </c>
      <c r="G18" s="104">
        <f t="shared" si="7"/>
        <v>30</v>
      </c>
      <c r="H18" s="104">
        <f t="shared" si="5"/>
        <v>365</v>
      </c>
      <c r="I18" s="112">
        <f t="shared" si="8"/>
        <v>4166666.67</v>
      </c>
      <c r="J18" s="112">
        <f>SUM($I$8:I17)</f>
        <v>41666666.70000001</v>
      </c>
      <c r="K18" s="112">
        <f t="shared" si="10"/>
        <v>108333333.29999998</v>
      </c>
      <c r="L18" s="106">
        <f>ROUND(C18*'Общие данные'!$B$84/H18,2)*G18</f>
        <v>5342465.7</v>
      </c>
      <c r="M18" s="106">
        <f t="shared" si="0"/>
        <v>9509132.370000001</v>
      </c>
      <c r="N18" s="106"/>
      <c r="O18" s="121" t="str">
        <f t="shared" si="9"/>
        <v>Ср</v>
      </c>
      <c r="P18" s="123">
        <f t="shared" si="6"/>
        <v>0</v>
      </c>
      <c r="Q18" s="123">
        <f>DAY('Общие данные'!$B$78)+P18</f>
        <v>10</v>
      </c>
      <c r="R18" s="118">
        <f>IF(A18&lt;='Общие данные'!$B$81,DATE(YEAR($B$8),MONTH($B$8)+A17,DAY('Общие данные'!$B$78)),0)</f>
        <v>46001</v>
      </c>
      <c r="S18" s="104"/>
      <c r="T18" s="104"/>
      <c r="U18" s="104"/>
      <c r="V18" s="104"/>
    </row>
    <row r="19" spans="1:22" x14ac:dyDescent="0.25">
      <c r="A19" s="110">
        <v>12</v>
      </c>
      <c r="B19" s="111">
        <f>IF(A19&lt;='Общие данные'!$B$81,DATE(YEAR(R19),MONTH(R19),DAY(IF(A19='Общие данные'!$B$81,'Общие данные'!$B$67,IF(A19&lt;'Общие данные'!$B$81,(Q19),IF(A19&gt;'Общие данные'!$B$81,$H$44,0))))))</f>
        <v>46034</v>
      </c>
      <c r="C19" s="58">
        <f t="shared" si="1"/>
        <v>104166666.63000003</v>
      </c>
      <c r="D19" s="58">
        <f t="shared" si="2"/>
        <v>4166666.67</v>
      </c>
      <c r="E19" s="58">
        <f t="shared" si="3"/>
        <v>5650685.04</v>
      </c>
      <c r="F19" s="58">
        <f t="shared" si="4"/>
        <v>9817351.7100000009</v>
      </c>
      <c r="G19" s="104">
        <f t="shared" si="7"/>
        <v>33</v>
      </c>
      <c r="H19" s="104">
        <f t="shared" si="5"/>
        <v>365</v>
      </c>
      <c r="I19" s="112">
        <f t="shared" si="8"/>
        <v>4166666.67</v>
      </c>
      <c r="J19" s="112">
        <f>SUM($I$8:I18)</f>
        <v>45833333.370000012</v>
      </c>
      <c r="K19" s="112">
        <f t="shared" si="10"/>
        <v>104166666.63</v>
      </c>
      <c r="L19" s="106">
        <f>ROUND(C19*'Общие данные'!$B$84/H19,2)*G19</f>
        <v>5650685.04</v>
      </c>
      <c r="M19" s="106">
        <f t="shared" si="0"/>
        <v>9817351.7100000009</v>
      </c>
      <c r="N19" s="106"/>
      <c r="O19" s="121" t="str">
        <f t="shared" si="9"/>
        <v>Сб</v>
      </c>
      <c r="P19" s="123">
        <f t="shared" si="6"/>
        <v>2</v>
      </c>
      <c r="Q19" s="123">
        <f>DAY('Общие данные'!$B$78)+P19</f>
        <v>12</v>
      </c>
      <c r="R19" s="118">
        <f>IF(A19&lt;='Общие данные'!$B$81,DATE(YEAR($B$8),MONTH($B$8)+A18,DAY('Общие данные'!$B$78)),0)</f>
        <v>46032</v>
      </c>
      <c r="S19" s="104"/>
      <c r="T19" s="104"/>
      <c r="U19" s="104"/>
      <c r="V19" s="104"/>
    </row>
    <row r="20" spans="1:22" x14ac:dyDescent="0.25">
      <c r="A20" s="110">
        <v>13</v>
      </c>
      <c r="B20" s="111">
        <f>IF(A20&lt;='Общие данные'!$B$81,DATE(YEAR(R20),MONTH(R20),DAY(IF(A20='Общие данные'!$B$81,'Общие данные'!$B$67,IF(A20&lt;'Общие данные'!$B$81,(Q20),IF(A20&gt;'Общие данные'!$B$81,$H$44,0))))))</f>
        <v>46063</v>
      </c>
      <c r="C20" s="58">
        <f t="shared" si="1"/>
        <v>99999999.960000023</v>
      </c>
      <c r="D20" s="58">
        <f t="shared" si="2"/>
        <v>4166666.67</v>
      </c>
      <c r="E20" s="58">
        <f t="shared" si="3"/>
        <v>4767123.24</v>
      </c>
      <c r="F20" s="58">
        <f t="shared" si="4"/>
        <v>8933789.9100000001</v>
      </c>
      <c r="G20" s="104">
        <f t="shared" si="7"/>
        <v>29</v>
      </c>
      <c r="H20" s="104">
        <f t="shared" si="5"/>
        <v>365</v>
      </c>
      <c r="I20" s="112">
        <f t="shared" si="8"/>
        <v>4166666.67</v>
      </c>
      <c r="J20" s="112">
        <f>SUM($I$8:I19)</f>
        <v>50000000.040000014</v>
      </c>
      <c r="K20" s="112">
        <f>$J$12-J20</f>
        <v>99999999.959999979</v>
      </c>
      <c r="L20" s="106">
        <f>ROUND(C20*'Общие данные'!$B$84/H20,2)*G20</f>
        <v>4767123.24</v>
      </c>
      <c r="M20" s="106">
        <f t="shared" si="0"/>
        <v>8933789.9100000001</v>
      </c>
      <c r="N20" s="106"/>
      <c r="O20" s="121" t="str">
        <f t="shared" si="9"/>
        <v>Вт</v>
      </c>
      <c r="P20" s="123">
        <f t="shared" si="6"/>
        <v>0</v>
      </c>
      <c r="Q20" s="123">
        <f>DAY('Общие данные'!$B$78)+P20</f>
        <v>10</v>
      </c>
      <c r="R20" s="118">
        <f>IF(A20&lt;='Общие данные'!$B$81,DATE(YEAR($B$8),MONTH($B$8)+A19,DAY('Общие данные'!$B$78)),0)</f>
        <v>46063</v>
      </c>
      <c r="S20" s="104"/>
      <c r="T20" s="104"/>
      <c r="U20" s="104"/>
      <c r="V20" s="104"/>
    </row>
    <row r="21" spans="1:22" x14ac:dyDescent="0.25">
      <c r="A21" s="110">
        <v>14</v>
      </c>
      <c r="B21" s="111">
        <f>IF(A21&lt;='Общие данные'!$B$81,DATE(YEAR(R21),MONTH(R21),DAY(IF(A21='Общие данные'!$B$81,'Общие данные'!$B$67,IF(A21&lt;'Общие данные'!$B$81,(Q21),IF(A21&gt;'Общие данные'!$B$81,$H$44,0))))))</f>
        <v>46091</v>
      </c>
      <c r="C21" s="58">
        <f t="shared" si="1"/>
        <v>95833333.290000021</v>
      </c>
      <c r="D21" s="58">
        <f t="shared" si="2"/>
        <v>4166666.67</v>
      </c>
      <c r="E21" s="58">
        <f t="shared" si="3"/>
        <v>4410959</v>
      </c>
      <c r="F21" s="58">
        <f t="shared" si="4"/>
        <v>8577625.6699999999</v>
      </c>
      <c r="G21" s="104">
        <f t="shared" si="7"/>
        <v>28</v>
      </c>
      <c r="H21" s="104">
        <f t="shared" si="5"/>
        <v>365</v>
      </c>
      <c r="I21" s="112">
        <f t="shared" si="8"/>
        <v>4166666.67</v>
      </c>
      <c r="J21" s="112">
        <f>SUM($I$8:I20)</f>
        <v>54166666.710000016</v>
      </c>
      <c r="K21" s="112">
        <f t="shared" si="10"/>
        <v>95833333.289999992</v>
      </c>
      <c r="L21" s="106">
        <f>ROUND(C21*'Общие данные'!$B$84/H21,2)*G21</f>
        <v>4410959</v>
      </c>
      <c r="M21" s="106">
        <f t="shared" si="0"/>
        <v>8577625.6699999999</v>
      </c>
      <c r="N21" s="106"/>
      <c r="O21" s="121" t="str">
        <f t="shared" si="9"/>
        <v>Вт</v>
      </c>
      <c r="P21" s="123">
        <f t="shared" si="6"/>
        <v>0</v>
      </c>
      <c r="Q21" s="123">
        <f>DAY('Общие данные'!$B$78)+P21</f>
        <v>10</v>
      </c>
      <c r="R21" s="118">
        <f>IF(A21&lt;='Общие данные'!$B$81,DATE(YEAR($B$8),MONTH($B$8)+A20,DAY('Общие данные'!$B$78)),0)</f>
        <v>46091</v>
      </c>
      <c r="S21" s="104"/>
      <c r="T21" s="104"/>
      <c r="U21" s="104"/>
      <c r="V21" s="104"/>
    </row>
    <row r="22" spans="1:22" x14ac:dyDescent="0.25">
      <c r="A22" s="110">
        <v>15</v>
      </c>
      <c r="B22" s="111">
        <f>IF(A22&lt;='Общие данные'!$B$81,DATE(YEAR(R22),MONTH(R22),DAY(IF(A22='Общие данные'!$B$81,'Общие данные'!$B$67,IF(A22&lt;'Общие данные'!$B$81,(Q22),IF(A22&gt;'Общие данные'!$B$81,$H$44,0))))))</f>
        <v>46122</v>
      </c>
      <c r="C22" s="58">
        <f t="shared" si="1"/>
        <v>91666666.62000002</v>
      </c>
      <c r="D22" s="58">
        <f t="shared" si="2"/>
        <v>4166666.67</v>
      </c>
      <c r="E22" s="58">
        <f t="shared" si="3"/>
        <v>4671232.83</v>
      </c>
      <c r="F22" s="58">
        <f t="shared" si="4"/>
        <v>8837899.5</v>
      </c>
      <c r="G22" s="104">
        <f t="shared" si="7"/>
        <v>31</v>
      </c>
      <c r="H22" s="104">
        <f t="shared" si="5"/>
        <v>365</v>
      </c>
      <c r="I22" s="112">
        <f t="shared" si="8"/>
        <v>4166666.67</v>
      </c>
      <c r="J22" s="112">
        <f>SUM($I$8:I21)</f>
        <v>58333333.380000018</v>
      </c>
      <c r="K22" s="112">
        <f t="shared" si="10"/>
        <v>91666666.619999975</v>
      </c>
      <c r="L22" s="106">
        <f>ROUND(C22*'Общие данные'!$B$84/H22,2)*G22</f>
        <v>4671232.83</v>
      </c>
      <c r="M22" s="106">
        <f t="shared" si="0"/>
        <v>8837899.5</v>
      </c>
      <c r="N22" s="106"/>
      <c r="O22" s="121" t="str">
        <f t="shared" si="9"/>
        <v>Пт</v>
      </c>
      <c r="P22" s="123">
        <f t="shared" si="6"/>
        <v>0</v>
      </c>
      <c r="Q22" s="123">
        <f>DAY('Общие данные'!$B$78)+P22</f>
        <v>10</v>
      </c>
      <c r="R22" s="118">
        <f>IF(A22&lt;='Общие данные'!$B$81,DATE(YEAR($B$8),MONTH($B$8)+A21,DAY('Общие данные'!$B$78)),0)</f>
        <v>46122</v>
      </c>
      <c r="S22" s="104"/>
      <c r="T22" s="104"/>
      <c r="U22" s="104"/>
      <c r="V22" s="104"/>
    </row>
    <row r="23" spans="1:22" x14ac:dyDescent="0.25">
      <c r="A23" s="110">
        <v>16</v>
      </c>
      <c r="B23" s="111">
        <f>IF(A23&lt;='Общие данные'!$B$81,DATE(YEAR(R23),MONTH(R23),DAY(IF(A23='Общие данные'!$B$81,'Общие данные'!$B$67,IF(A23&lt;'Общие данные'!$B$81,(Q23),IF(A23&gt;'Общие данные'!$B$81,$H$44,0))))))</f>
        <v>46153</v>
      </c>
      <c r="C23" s="58">
        <f t="shared" si="1"/>
        <v>87499999.950000018</v>
      </c>
      <c r="D23" s="58">
        <f t="shared" si="2"/>
        <v>4166666.67</v>
      </c>
      <c r="E23" s="58">
        <f t="shared" si="3"/>
        <v>4458904.22</v>
      </c>
      <c r="F23" s="58">
        <f t="shared" si="4"/>
        <v>8625570.8900000006</v>
      </c>
      <c r="G23" s="104">
        <f t="shared" si="7"/>
        <v>31</v>
      </c>
      <c r="H23" s="104">
        <f t="shared" si="5"/>
        <v>365</v>
      </c>
      <c r="I23" s="112">
        <f t="shared" si="8"/>
        <v>4166666.67</v>
      </c>
      <c r="J23" s="112">
        <f>SUM($I$8:I22)</f>
        <v>62500000.050000019</v>
      </c>
      <c r="K23" s="112">
        <f t="shared" si="10"/>
        <v>87499999.949999988</v>
      </c>
      <c r="L23" s="106">
        <f>ROUND(C23*'Общие данные'!$B$84/H23,2)*G23</f>
        <v>4458904.22</v>
      </c>
      <c r="M23" s="106">
        <f t="shared" si="0"/>
        <v>8625570.8900000006</v>
      </c>
      <c r="N23" s="106"/>
      <c r="O23" s="121" t="str">
        <f t="shared" si="9"/>
        <v>Вс</v>
      </c>
      <c r="P23" s="123">
        <f t="shared" si="6"/>
        <v>1</v>
      </c>
      <c r="Q23" s="123">
        <f>DAY('Общие данные'!$B$78)+P23</f>
        <v>11</v>
      </c>
      <c r="R23" s="118">
        <f>IF(A23&lt;='Общие данные'!$B$81,DATE(YEAR($B$8),MONTH($B$8)+A22,DAY('Общие данные'!$B$78)),0)</f>
        <v>46152</v>
      </c>
      <c r="S23" s="104"/>
      <c r="T23" s="104"/>
      <c r="U23" s="104"/>
      <c r="V23" s="104"/>
    </row>
    <row r="24" spans="1:22" x14ac:dyDescent="0.25">
      <c r="A24" s="110">
        <v>17</v>
      </c>
      <c r="B24" s="111">
        <f>IF(A24&lt;='Общие данные'!$B$81,DATE(YEAR(R24),MONTH(R24),DAY(IF(A24='Общие данные'!$B$81,'Общие данные'!$B$67,IF(A24&lt;'Общие данные'!$B$81,(Q24),IF(A24&gt;'Общие данные'!$B$81,$H$44,0))))))</f>
        <v>46183</v>
      </c>
      <c r="C24" s="58">
        <f t="shared" si="1"/>
        <v>83333333.280000016</v>
      </c>
      <c r="D24" s="58">
        <f t="shared" si="2"/>
        <v>4166666.67</v>
      </c>
      <c r="E24" s="58">
        <f t="shared" si="3"/>
        <v>4109588.9999999995</v>
      </c>
      <c r="F24" s="58">
        <f t="shared" si="4"/>
        <v>8276255.6699999999</v>
      </c>
      <c r="G24" s="104">
        <f t="shared" si="7"/>
        <v>30</v>
      </c>
      <c r="H24" s="104">
        <f t="shared" si="5"/>
        <v>365</v>
      </c>
      <c r="I24" s="112">
        <f t="shared" si="8"/>
        <v>4166666.67</v>
      </c>
      <c r="J24" s="112">
        <f>SUM($I$8:I23)</f>
        <v>66666666.720000021</v>
      </c>
      <c r="K24" s="112">
        <f t="shared" si="10"/>
        <v>83333333.279999971</v>
      </c>
      <c r="L24" s="106">
        <f>ROUND(C24*'Общие данные'!$B$84/H24,2)*G24</f>
        <v>4109588.9999999995</v>
      </c>
      <c r="M24" s="106">
        <f t="shared" si="0"/>
        <v>8276255.6699999999</v>
      </c>
      <c r="N24" s="106"/>
      <c r="O24" s="121" t="str">
        <f t="shared" si="9"/>
        <v>Ср</v>
      </c>
      <c r="P24" s="123">
        <f t="shared" si="6"/>
        <v>0</v>
      </c>
      <c r="Q24" s="123">
        <f>DAY('Общие данные'!$B$78)+P24</f>
        <v>10</v>
      </c>
      <c r="R24" s="118">
        <f>IF(A24&lt;='Общие данные'!$B$81,DATE(YEAR($B$8),MONTH($B$8)+A23,DAY('Общие данные'!$B$78)),0)</f>
        <v>46183</v>
      </c>
      <c r="S24" s="104"/>
      <c r="T24" s="104"/>
      <c r="U24" s="104"/>
      <c r="V24" s="104"/>
    </row>
    <row r="25" spans="1:22" x14ac:dyDescent="0.25">
      <c r="A25" s="110">
        <v>18</v>
      </c>
      <c r="B25" s="111">
        <f>IF(A25&lt;='Общие данные'!$B$81,DATE(YEAR(R25),MONTH(R25),DAY(IF(A25='Общие данные'!$B$81,'Общие данные'!$B$67,IF(A25&lt;'Общие данные'!$B$81,(Q25),IF(A25&gt;'Общие данные'!$B$81,$H$44,0))))))</f>
        <v>46213</v>
      </c>
      <c r="C25" s="58">
        <f t="shared" si="1"/>
        <v>79166666.610000014</v>
      </c>
      <c r="D25" s="58">
        <f t="shared" si="2"/>
        <v>4166666.67</v>
      </c>
      <c r="E25" s="58">
        <f t="shared" si="3"/>
        <v>3904109.7</v>
      </c>
      <c r="F25" s="58">
        <f t="shared" si="4"/>
        <v>8070776.3700000001</v>
      </c>
      <c r="G25" s="104">
        <f t="shared" si="7"/>
        <v>30</v>
      </c>
      <c r="H25" s="104">
        <f t="shared" si="5"/>
        <v>365</v>
      </c>
      <c r="I25" s="112">
        <f t="shared" si="8"/>
        <v>4166666.67</v>
      </c>
      <c r="J25" s="112">
        <f>SUM($I$8:I24)</f>
        <v>70833333.390000015</v>
      </c>
      <c r="K25" s="112">
        <f t="shared" si="10"/>
        <v>79166666.609999985</v>
      </c>
      <c r="L25" s="106">
        <f>ROUND(C25*'Общие данные'!$B$84/H25,2)*G25</f>
        <v>3904109.7</v>
      </c>
      <c r="M25" s="106">
        <f t="shared" si="0"/>
        <v>8070776.3700000001</v>
      </c>
      <c r="N25" s="106"/>
      <c r="O25" s="121" t="str">
        <f t="shared" si="9"/>
        <v>Пт</v>
      </c>
      <c r="P25" s="123">
        <f t="shared" si="6"/>
        <v>0</v>
      </c>
      <c r="Q25" s="123">
        <f>DAY('Общие данные'!$B$78)+P25</f>
        <v>10</v>
      </c>
      <c r="R25" s="118">
        <f>IF(A25&lt;='Общие данные'!$B$81,DATE(YEAR($B$8),MONTH($B$8)+A24,DAY('Общие данные'!$B$78)),0)</f>
        <v>46213</v>
      </c>
      <c r="S25" s="104"/>
      <c r="T25" s="104"/>
      <c r="U25" s="104"/>
      <c r="V25" s="104"/>
    </row>
    <row r="26" spans="1:22" x14ac:dyDescent="0.25">
      <c r="A26" s="110">
        <v>19</v>
      </c>
      <c r="B26" s="111">
        <f>IF(A26&lt;='Общие данные'!$B$81,DATE(YEAR(R26),MONTH(R26),DAY(IF(A26='Общие данные'!$B$81,'Общие данные'!$B$67,IF(A26&lt;'Общие данные'!$B$81,(Q26),IF(A26&gt;'Общие данные'!$B$81,$H$44,0))))))</f>
        <v>46244</v>
      </c>
      <c r="C26" s="58">
        <f t="shared" si="1"/>
        <v>74999999.940000013</v>
      </c>
      <c r="D26" s="58">
        <f t="shared" si="2"/>
        <v>4166666.67</v>
      </c>
      <c r="E26" s="58">
        <f t="shared" si="3"/>
        <v>3821917.77</v>
      </c>
      <c r="F26" s="58">
        <f t="shared" si="4"/>
        <v>7988584.4399999995</v>
      </c>
      <c r="G26" s="104">
        <f t="shared" si="7"/>
        <v>31</v>
      </c>
      <c r="H26" s="104">
        <f t="shared" si="5"/>
        <v>365</v>
      </c>
      <c r="I26" s="112">
        <f t="shared" si="8"/>
        <v>4166666.67</v>
      </c>
      <c r="J26" s="112">
        <f>SUM($I$8:I25)</f>
        <v>75000000.060000017</v>
      </c>
      <c r="K26" s="112">
        <f t="shared" si="10"/>
        <v>74999999.939999983</v>
      </c>
      <c r="L26" s="106">
        <f>ROUND(C26*'Общие данные'!$B$84/H26,2)*G26</f>
        <v>3821917.77</v>
      </c>
      <c r="M26" s="106">
        <f t="shared" si="0"/>
        <v>7988584.4399999995</v>
      </c>
      <c r="N26" s="106"/>
      <c r="O26" s="121" t="str">
        <f t="shared" si="9"/>
        <v>Пн</v>
      </c>
      <c r="P26" s="123">
        <f t="shared" si="6"/>
        <v>0</v>
      </c>
      <c r="Q26" s="123">
        <f>DAY('Общие данные'!$B$78)+P26</f>
        <v>10</v>
      </c>
      <c r="R26" s="118">
        <f>IF(A26&lt;='Общие данные'!$B$81,DATE(YEAR($B$8),MONTH($B$8)+A25,DAY('Общие данные'!$B$78)),0)</f>
        <v>46244</v>
      </c>
      <c r="S26" s="104"/>
      <c r="T26" s="104"/>
      <c r="U26" s="104"/>
      <c r="V26" s="104"/>
    </row>
    <row r="27" spans="1:22" x14ac:dyDescent="0.25">
      <c r="A27" s="110">
        <v>20</v>
      </c>
      <c r="B27" s="111">
        <f>IF(A27&lt;='Общие данные'!$B$81,DATE(YEAR(R27),MONTH(R27),DAY(IF(A27='Общие данные'!$B$81,'Общие данные'!$B$67,IF(A27&lt;'Общие данные'!$B$81,(Q27),IF(A27&gt;'Общие данные'!$B$81,$H$44,0))))))</f>
        <v>46275</v>
      </c>
      <c r="C27" s="58">
        <f t="shared" si="1"/>
        <v>70833333.270000011</v>
      </c>
      <c r="D27" s="58">
        <f t="shared" si="2"/>
        <v>4166666.67</v>
      </c>
      <c r="E27" s="58">
        <f t="shared" si="3"/>
        <v>3609589.16</v>
      </c>
      <c r="F27" s="58">
        <f t="shared" si="4"/>
        <v>7776255.8300000001</v>
      </c>
      <c r="G27" s="104">
        <f t="shared" si="7"/>
        <v>31</v>
      </c>
      <c r="H27" s="104">
        <f t="shared" si="5"/>
        <v>365</v>
      </c>
      <c r="I27" s="112">
        <f t="shared" si="8"/>
        <v>4166666.67</v>
      </c>
      <c r="J27" s="112">
        <f>SUM($I$8:I26)</f>
        <v>79166666.730000019</v>
      </c>
      <c r="K27" s="112">
        <f t="shared" si="10"/>
        <v>70833333.269999981</v>
      </c>
      <c r="L27" s="106">
        <f>ROUND(C27*'Общие данные'!$B$84/H27,2)*G27</f>
        <v>3609589.16</v>
      </c>
      <c r="M27" s="106">
        <f t="shared" si="0"/>
        <v>7776255.8300000001</v>
      </c>
      <c r="N27" s="106"/>
      <c r="O27" s="121" t="str">
        <f t="shared" si="9"/>
        <v>Чт</v>
      </c>
      <c r="P27" s="123">
        <f t="shared" si="6"/>
        <v>0</v>
      </c>
      <c r="Q27" s="123">
        <f>DAY('Общие данные'!$B$78)+P27</f>
        <v>10</v>
      </c>
      <c r="R27" s="118">
        <f>IF(A27&lt;='Общие данные'!$B$81,DATE(YEAR($B$8),MONTH($B$8)+A26,DAY('Общие данные'!$B$78)),0)</f>
        <v>46275</v>
      </c>
      <c r="S27" s="104"/>
      <c r="T27" s="104"/>
      <c r="U27" s="104"/>
      <c r="V27" s="104"/>
    </row>
    <row r="28" spans="1:22" x14ac:dyDescent="0.25">
      <c r="A28" s="110">
        <v>21</v>
      </c>
      <c r="B28" s="111">
        <f>IF(A28&lt;='Общие данные'!$B$81,DATE(YEAR(R28),MONTH(R28),DAY(IF(A28='Общие данные'!$B$81,'Общие данные'!$B$67,IF(A28&lt;'Общие данные'!$B$81,(Q28),IF(A28&gt;'Общие данные'!$B$81,$H$44,0))))))</f>
        <v>46307</v>
      </c>
      <c r="C28" s="58">
        <f t="shared" si="1"/>
        <v>66666666.600000009</v>
      </c>
      <c r="D28" s="58">
        <f t="shared" si="2"/>
        <v>4166666.67</v>
      </c>
      <c r="E28" s="58">
        <f t="shared" si="3"/>
        <v>3506849.28</v>
      </c>
      <c r="F28" s="58">
        <f t="shared" si="4"/>
        <v>7673515.9499999993</v>
      </c>
      <c r="G28" s="104">
        <f t="shared" si="7"/>
        <v>32</v>
      </c>
      <c r="H28" s="104">
        <f t="shared" si="5"/>
        <v>365</v>
      </c>
      <c r="I28" s="112">
        <f t="shared" si="8"/>
        <v>4166666.67</v>
      </c>
      <c r="J28" s="112">
        <f>SUM($I$8:I27)</f>
        <v>83333333.400000021</v>
      </c>
      <c r="K28" s="112">
        <f t="shared" si="10"/>
        <v>66666666.599999979</v>
      </c>
      <c r="L28" s="106">
        <f>ROUND(C28*'Общие данные'!$B$84/H28,2)*G28</f>
        <v>3506849.28</v>
      </c>
      <c r="M28" s="106">
        <f t="shared" si="0"/>
        <v>7673515.9499999993</v>
      </c>
      <c r="N28" s="106"/>
      <c r="O28" s="121" t="str">
        <f t="shared" si="9"/>
        <v>Сб</v>
      </c>
      <c r="P28" s="123">
        <f t="shared" si="6"/>
        <v>2</v>
      </c>
      <c r="Q28" s="123">
        <f>DAY('Общие данные'!$B$78)+P28</f>
        <v>12</v>
      </c>
      <c r="R28" s="118">
        <f>IF(A28&lt;='Общие данные'!$B$81,DATE(YEAR($B$8),MONTH($B$8)+A27,DAY('Общие данные'!$B$78)),0)</f>
        <v>46305</v>
      </c>
      <c r="S28" s="104"/>
      <c r="T28" s="104"/>
      <c r="U28" s="104"/>
      <c r="V28" s="104"/>
    </row>
    <row r="29" spans="1:22" x14ac:dyDescent="0.25">
      <c r="A29" s="110">
        <v>22</v>
      </c>
      <c r="B29" s="111">
        <f>IF(A29&lt;='Общие данные'!$B$81,DATE(YEAR(R29),MONTH(R29),DAY(IF(A29='Общие данные'!$B$81,'Общие данные'!$B$67,IF(A29&lt;'Общие данные'!$B$81,(Q29),IF(A29&gt;'Общие данные'!$B$81,$H$44,0))))))</f>
        <v>46336</v>
      </c>
      <c r="C29" s="58">
        <f t="shared" si="1"/>
        <v>62499999.930000007</v>
      </c>
      <c r="D29" s="58">
        <f t="shared" si="2"/>
        <v>4166666.67</v>
      </c>
      <c r="E29" s="58">
        <f t="shared" si="3"/>
        <v>2979452.17</v>
      </c>
      <c r="F29" s="58">
        <f t="shared" si="4"/>
        <v>7146118.8399999999</v>
      </c>
      <c r="G29" s="104">
        <f t="shared" si="7"/>
        <v>29</v>
      </c>
      <c r="H29" s="104">
        <f t="shared" si="5"/>
        <v>365</v>
      </c>
      <c r="I29" s="112">
        <f t="shared" si="8"/>
        <v>4166666.67</v>
      </c>
      <c r="J29" s="112">
        <f>SUM($I$8:I28)</f>
        <v>87500000.070000023</v>
      </c>
      <c r="K29" s="112">
        <f t="shared" si="10"/>
        <v>62499999.929999977</v>
      </c>
      <c r="L29" s="106">
        <f>ROUND(C29*'Общие данные'!$B$84/H29,2)*G29</f>
        <v>2979452.17</v>
      </c>
      <c r="M29" s="106">
        <f t="shared" si="0"/>
        <v>7146118.8399999999</v>
      </c>
      <c r="N29" s="106"/>
      <c r="O29" s="121" t="str">
        <f t="shared" si="9"/>
        <v>Вт</v>
      </c>
      <c r="P29" s="123">
        <f t="shared" si="6"/>
        <v>0</v>
      </c>
      <c r="Q29" s="123">
        <f>DAY('Общие данные'!$B$78)+P29</f>
        <v>10</v>
      </c>
      <c r="R29" s="118">
        <f>IF(A29&lt;='Общие данные'!$B$81,DATE(YEAR($B$8),MONTH($B$8)+A28,DAY('Общие данные'!$B$78)),0)</f>
        <v>46336</v>
      </c>
      <c r="S29" s="104"/>
      <c r="T29" s="104"/>
      <c r="U29" s="104"/>
      <c r="V29" s="104"/>
    </row>
    <row r="30" spans="1:22" x14ac:dyDescent="0.25">
      <c r="A30" s="110">
        <v>23</v>
      </c>
      <c r="B30" s="111">
        <f>IF(A30&lt;='Общие данные'!$B$81,DATE(YEAR(R30),MONTH(R30),DAY(IF(A30='Общие данные'!$B$81,'Общие данные'!$B$67,IF(A30&lt;'Общие данные'!$B$81,(Q30),IF(A30&gt;'Общие данные'!$B$81,$H$44,0))))))</f>
        <v>46366</v>
      </c>
      <c r="C30" s="58">
        <f t="shared" si="1"/>
        <v>58333333.260000005</v>
      </c>
      <c r="D30" s="58">
        <f t="shared" si="2"/>
        <v>4166666.67</v>
      </c>
      <c r="E30" s="58">
        <f t="shared" si="3"/>
        <v>2876712.3000000003</v>
      </c>
      <c r="F30" s="58">
        <f t="shared" si="4"/>
        <v>7043378.9700000007</v>
      </c>
      <c r="G30" s="104">
        <f t="shared" si="7"/>
        <v>30</v>
      </c>
      <c r="H30" s="104">
        <f t="shared" si="5"/>
        <v>365</v>
      </c>
      <c r="I30" s="112">
        <f t="shared" si="8"/>
        <v>4166666.67</v>
      </c>
      <c r="J30" s="112">
        <f>SUM($I$8:I29)</f>
        <v>91666666.740000024</v>
      </c>
      <c r="K30" s="112">
        <f t="shared" si="10"/>
        <v>58333333.259999976</v>
      </c>
      <c r="L30" s="106">
        <f>ROUND(C30*'Общие данные'!$B$84/H30,2)*G30</f>
        <v>2876712.3000000003</v>
      </c>
      <c r="M30" s="106">
        <f t="shared" si="0"/>
        <v>7043378.9700000007</v>
      </c>
      <c r="N30" s="106"/>
      <c r="O30" s="121" t="str">
        <f t="shared" si="9"/>
        <v>Чт</v>
      </c>
      <c r="P30" s="123">
        <f t="shared" si="6"/>
        <v>0</v>
      </c>
      <c r="Q30" s="123">
        <f>DAY('Общие данные'!$B$78)+P30</f>
        <v>10</v>
      </c>
      <c r="R30" s="118">
        <f>IF(A30&lt;='Общие данные'!$B$81,DATE(YEAR($B$8),MONTH($B$8)+A29,DAY('Общие данные'!$B$78)),0)</f>
        <v>46366</v>
      </c>
      <c r="S30" s="104"/>
      <c r="T30" s="104"/>
      <c r="U30" s="104"/>
      <c r="V30" s="104"/>
    </row>
    <row r="31" spans="1:22" x14ac:dyDescent="0.25">
      <c r="A31" s="110">
        <f>1+A30</f>
        <v>24</v>
      </c>
      <c r="B31" s="111">
        <f>IF(A31&lt;='Общие данные'!$B$81,DATE(YEAR(R31),MONTH(R31),DAY(IF(A31='Общие данные'!$B$81,'Общие данные'!$B$67,IF(A31&lt;'Общие данные'!$B$81,(Q31),IF(A31&gt;'Общие данные'!$B$81,$H$44,0))))))</f>
        <v>46398</v>
      </c>
      <c r="C31" s="58">
        <f t="shared" ref="C31" si="11">C30-D30</f>
        <v>54166666.590000004</v>
      </c>
      <c r="D31" s="58">
        <f t="shared" ref="D31" si="12">IF(C31=0,L31,IF(C31&gt;1,I31))</f>
        <v>4166666.67</v>
      </c>
      <c r="E31" s="58">
        <f t="shared" ref="E31" si="13">IF(C31=0,N30,IF(C31&gt;1,L31))</f>
        <v>2849315.2</v>
      </c>
      <c r="F31" s="58">
        <f t="shared" ref="F31" si="14">IF(C31=0,N30,IF(C31&gt;1,M31))</f>
        <v>7015981.8700000001</v>
      </c>
      <c r="G31" s="104">
        <f t="shared" si="7"/>
        <v>32</v>
      </c>
      <c r="H31" s="104">
        <f t="shared" si="5"/>
        <v>365</v>
      </c>
      <c r="I31" s="112">
        <f t="shared" ref="I31" si="15">IF($L$5=A31,K31,IF($L$5&gt;A31,I30))</f>
        <v>4166666.67</v>
      </c>
      <c r="J31" s="112">
        <f>SUM($I$8:I30)</f>
        <v>95833333.410000026</v>
      </c>
      <c r="K31" s="112">
        <f t="shared" si="10"/>
        <v>54166666.589999974</v>
      </c>
      <c r="L31" s="106">
        <f>ROUND(C31*'Общие данные'!$B$84/H31,2)*G31</f>
        <v>2849315.2</v>
      </c>
      <c r="M31" s="106">
        <f t="shared" si="0"/>
        <v>7015981.8700000001</v>
      </c>
      <c r="N31" s="106"/>
      <c r="O31" s="121" t="str">
        <f t="shared" si="9"/>
        <v>Вс</v>
      </c>
      <c r="P31" s="123">
        <f t="shared" si="6"/>
        <v>1</v>
      </c>
      <c r="Q31" s="123">
        <f>DAY('Общие данные'!$B$78)+P31</f>
        <v>11</v>
      </c>
      <c r="R31" s="118">
        <f>IF(A31&lt;='Общие данные'!$B$81,DATE(YEAR($B$8),MONTH($B$8)+A30,DAY('Общие данные'!$B$78)),0)</f>
        <v>46397</v>
      </c>
      <c r="S31" s="104"/>
      <c r="T31" s="104"/>
      <c r="U31" s="104"/>
      <c r="V31" s="104"/>
    </row>
    <row r="32" spans="1:22" x14ac:dyDescent="0.25">
      <c r="A32" s="110">
        <f t="shared" ref="A32:A43" si="16">1+A31</f>
        <v>25</v>
      </c>
      <c r="B32" s="111">
        <f>IF(A32&lt;='Общие данные'!$B$81,DATE(YEAR(R32),MONTH(R32),DAY(IF(A32='Общие данные'!$B$81,'Общие данные'!$B$67,IF(A32&lt;'Общие данные'!$B$81,(Q32),IF(A32&gt;'Общие данные'!$B$81,$H$44,0))))))</f>
        <v>46428</v>
      </c>
      <c r="C32" s="58">
        <f t="shared" ref="C32:C43" si="17">C31-D31</f>
        <v>49999999.920000002</v>
      </c>
      <c r="D32" s="58">
        <f t="shared" ref="D32:D43" si="18">IF(C32=0,L32,IF(C32&gt;1,I32))</f>
        <v>4166666.67</v>
      </c>
      <c r="E32" s="58">
        <f t="shared" ref="E32:E43" si="19">IF(C32=0,N31,IF(C32&gt;1,L32))</f>
        <v>2465753.4</v>
      </c>
      <c r="F32" s="58">
        <f t="shared" ref="F32:F43" si="20">IF(C32=0,N31,IF(C32&gt;1,M32))</f>
        <v>6632420.0700000003</v>
      </c>
      <c r="G32" s="104">
        <f t="shared" ref="G32:G43" si="21">B32-B31</f>
        <v>30</v>
      </c>
      <c r="H32" s="104">
        <f t="shared" ref="H32:H43" si="22">DATE(YEAR(B32),12,31)-DATE(YEAR(B32),1,1)+1</f>
        <v>365</v>
      </c>
      <c r="I32" s="112">
        <f t="shared" ref="I32:I43" si="23">IF($L$5=A32,K32,IF($L$5&gt;A32,I31))</f>
        <v>4166666.67</v>
      </c>
      <c r="J32" s="112">
        <f>SUM($I$8:I31)</f>
        <v>100000000.08000003</v>
      </c>
      <c r="K32" s="112">
        <f t="shared" ref="K32:K43" si="24">$J$12-J32</f>
        <v>49999999.919999972</v>
      </c>
      <c r="L32" s="106">
        <f>ROUND(C32*'Общие данные'!$B$84/H32,2)*G32</f>
        <v>2465753.4</v>
      </c>
      <c r="M32" s="106">
        <f t="shared" ref="M32:M43" si="25">D32+E32</f>
        <v>6632420.0700000003</v>
      </c>
      <c r="N32" s="106"/>
      <c r="O32" s="121" t="str">
        <f t="shared" ref="O32:O43" si="26">TEXT(R32,"ддд")</f>
        <v>Ср</v>
      </c>
      <c r="P32" s="123">
        <f t="shared" ref="P32:P43" si="27">IF(O32=$U$8,2,IF(O32=$V$8,1,0))</f>
        <v>0</v>
      </c>
      <c r="Q32" s="123">
        <f>DAY('Общие данные'!$B$78)+P32</f>
        <v>10</v>
      </c>
      <c r="R32" s="118">
        <f>IF(A32&lt;='Общие данные'!$B$81,DATE(YEAR($B$8),MONTH($B$8)+A31,DAY('Общие данные'!$B$78)),0)</f>
        <v>46428</v>
      </c>
      <c r="S32" s="104"/>
      <c r="T32" s="104"/>
      <c r="U32" s="104"/>
      <c r="V32" s="104"/>
    </row>
    <row r="33" spans="1:22" x14ac:dyDescent="0.25">
      <c r="A33" s="110">
        <f t="shared" si="16"/>
        <v>26</v>
      </c>
      <c r="B33" s="111">
        <f>IF(A33&lt;='Общие данные'!$B$81,DATE(YEAR(R33),MONTH(R33),DAY(IF(A33='Общие данные'!$B$81,'Общие данные'!$B$67,IF(A33&lt;'Общие данные'!$B$81,(Q33),IF(A33&gt;'Общие данные'!$B$81,$H$44,0))))))</f>
        <v>46456</v>
      </c>
      <c r="C33" s="58">
        <f t="shared" si="17"/>
        <v>45833333.25</v>
      </c>
      <c r="D33" s="58">
        <f t="shared" si="18"/>
        <v>4166666.67</v>
      </c>
      <c r="E33" s="58">
        <f t="shared" si="19"/>
        <v>2109589.16</v>
      </c>
      <c r="F33" s="58">
        <f t="shared" si="20"/>
        <v>6276255.8300000001</v>
      </c>
      <c r="G33" s="104">
        <f t="shared" si="21"/>
        <v>28</v>
      </c>
      <c r="H33" s="104">
        <f t="shared" si="22"/>
        <v>365</v>
      </c>
      <c r="I33" s="112">
        <f t="shared" si="23"/>
        <v>4166666.67</v>
      </c>
      <c r="J33" s="112">
        <f>SUM($I$8:I32)</f>
        <v>104166666.75000003</v>
      </c>
      <c r="K33" s="112">
        <f t="shared" si="24"/>
        <v>45833333.24999997</v>
      </c>
      <c r="L33" s="106">
        <f>ROUND(C33*'Общие данные'!$B$84/H33,2)*G33</f>
        <v>2109589.16</v>
      </c>
      <c r="M33" s="106">
        <f t="shared" si="25"/>
        <v>6276255.8300000001</v>
      </c>
      <c r="N33" s="106"/>
      <c r="O33" s="121" t="str">
        <f t="shared" si="26"/>
        <v>Ср</v>
      </c>
      <c r="P33" s="123">
        <f t="shared" si="27"/>
        <v>0</v>
      </c>
      <c r="Q33" s="123">
        <f>DAY('Общие данные'!$B$78)+P33</f>
        <v>10</v>
      </c>
      <c r="R33" s="118">
        <f>IF(A33&lt;='Общие данные'!$B$81,DATE(YEAR($B$8),MONTH($B$8)+A32,DAY('Общие данные'!$B$78)),0)</f>
        <v>46456</v>
      </c>
      <c r="S33" s="104"/>
      <c r="T33" s="104"/>
      <c r="U33" s="104"/>
      <c r="V33" s="104"/>
    </row>
    <row r="34" spans="1:22" x14ac:dyDescent="0.25">
      <c r="A34" s="110">
        <f t="shared" si="16"/>
        <v>27</v>
      </c>
      <c r="B34" s="111">
        <f>IF(A34&lt;='Общие данные'!$B$81,DATE(YEAR(R34),MONTH(R34),DAY(IF(A34='Общие данные'!$B$81,'Общие данные'!$B$67,IF(A34&lt;'Общие данные'!$B$81,(Q34),IF(A34&gt;'Общие данные'!$B$81,$H$44,0))))))</f>
        <v>46489</v>
      </c>
      <c r="C34" s="58">
        <f t="shared" si="17"/>
        <v>41666666.579999998</v>
      </c>
      <c r="D34" s="58">
        <f t="shared" si="18"/>
        <v>4166666.67</v>
      </c>
      <c r="E34" s="58">
        <f t="shared" si="19"/>
        <v>2260273.9499999997</v>
      </c>
      <c r="F34" s="58">
        <f t="shared" si="20"/>
        <v>6426940.6199999992</v>
      </c>
      <c r="G34" s="104">
        <f t="shared" si="21"/>
        <v>33</v>
      </c>
      <c r="H34" s="104">
        <f t="shared" si="22"/>
        <v>365</v>
      </c>
      <c r="I34" s="112">
        <f t="shared" si="23"/>
        <v>4166666.67</v>
      </c>
      <c r="J34" s="112">
        <f>SUM($I$8:I33)</f>
        <v>108333333.42000003</v>
      </c>
      <c r="K34" s="112">
        <f t="shared" si="24"/>
        <v>41666666.579999968</v>
      </c>
      <c r="L34" s="106">
        <f>ROUND(C34*'Общие данные'!$B$84/H34,2)*G34</f>
        <v>2260273.9499999997</v>
      </c>
      <c r="M34" s="106">
        <f t="shared" si="25"/>
        <v>6426940.6199999992</v>
      </c>
      <c r="N34" s="106"/>
      <c r="O34" s="121" t="str">
        <f t="shared" si="26"/>
        <v>Сб</v>
      </c>
      <c r="P34" s="123">
        <f t="shared" si="27"/>
        <v>2</v>
      </c>
      <c r="Q34" s="123">
        <f>DAY('Общие данные'!$B$78)+P34</f>
        <v>12</v>
      </c>
      <c r="R34" s="118">
        <f>IF(A34&lt;='Общие данные'!$B$81,DATE(YEAR($B$8),MONTH($B$8)+A33,DAY('Общие данные'!$B$78)),0)</f>
        <v>46487</v>
      </c>
      <c r="S34" s="104"/>
      <c r="T34" s="104"/>
      <c r="U34" s="104"/>
      <c r="V34" s="104"/>
    </row>
    <row r="35" spans="1:22" x14ac:dyDescent="0.25">
      <c r="A35" s="110">
        <f t="shared" si="16"/>
        <v>28</v>
      </c>
      <c r="B35" s="111">
        <f>IF(A35&lt;='Общие данные'!$B$81,DATE(YEAR(R35),MONTH(R35),DAY(IF(A35='Общие данные'!$B$81,'Общие данные'!$B$67,IF(A35&lt;'Общие данные'!$B$81,(Q35),IF(A35&gt;'Общие данные'!$B$81,$H$44,0))))))</f>
        <v>46517</v>
      </c>
      <c r="C35" s="58">
        <f t="shared" si="17"/>
        <v>37499999.909999996</v>
      </c>
      <c r="D35" s="58">
        <f t="shared" si="18"/>
        <v>4166666.67</v>
      </c>
      <c r="E35" s="58">
        <f t="shared" si="19"/>
        <v>1726027.52</v>
      </c>
      <c r="F35" s="58">
        <f t="shared" si="20"/>
        <v>5892694.1899999995</v>
      </c>
      <c r="G35" s="104">
        <f t="shared" si="21"/>
        <v>28</v>
      </c>
      <c r="H35" s="104">
        <f t="shared" si="22"/>
        <v>365</v>
      </c>
      <c r="I35" s="112">
        <f t="shared" si="23"/>
        <v>4166666.67</v>
      </c>
      <c r="J35" s="112">
        <f>SUM($I$8:I34)</f>
        <v>112500000.09000003</v>
      </c>
      <c r="K35" s="112">
        <f t="shared" si="24"/>
        <v>37499999.909999967</v>
      </c>
      <c r="L35" s="106">
        <f>ROUND(C35*'Общие данные'!$B$84/H35,2)*G35</f>
        <v>1726027.52</v>
      </c>
      <c r="M35" s="106">
        <f t="shared" si="25"/>
        <v>5892694.1899999995</v>
      </c>
      <c r="N35" s="106"/>
      <c r="O35" s="121" t="str">
        <f t="shared" si="26"/>
        <v>Пн</v>
      </c>
      <c r="P35" s="123">
        <f t="shared" si="27"/>
        <v>0</v>
      </c>
      <c r="Q35" s="123">
        <f>DAY('Общие данные'!$B$78)+P35</f>
        <v>10</v>
      </c>
      <c r="R35" s="118">
        <f>IF(A35&lt;='Общие данные'!$B$81,DATE(YEAR($B$8),MONTH($B$8)+A34,DAY('Общие данные'!$B$78)),0)</f>
        <v>46517</v>
      </c>
      <c r="S35" s="104"/>
      <c r="T35" s="104"/>
      <c r="U35" s="104"/>
      <c r="V35" s="104"/>
    </row>
    <row r="36" spans="1:22" x14ac:dyDescent="0.25">
      <c r="A36" s="110">
        <f t="shared" si="16"/>
        <v>29</v>
      </c>
      <c r="B36" s="111">
        <f>IF(A36&lt;='Общие данные'!$B$81,DATE(YEAR(R36),MONTH(R36),DAY(IF(A36='Общие данные'!$B$81,'Общие данные'!$B$67,IF(A36&lt;'Общие данные'!$B$81,(Q36),IF(A36&gt;'Общие данные'!$B$81,$H$44,0))))))</f>
        <v>46548</v>
      </c>
      <c r="C36" s="58">
        <f t="shared" si="17"/>
        <v>33333333.239999995</v>
      </c>
      <c r="D36" s="58">
        <f t="shared" si="18"/>
        <v>4166666.67</v>
      </c>
      <c r="E36" s="58">
        <f t="shared" si="19"/>
        <v>1698630.1199999999</v>
      </c>
      <c r="F36" s="58">
        <f t="shared" si="20"/>
        <v>5865296.79</v>
      </c>
      <c r="G36" s="104">
        <f t="shared" si="21"/>
        <v>31</v>
      </c>
      <c r="H36" s="104">
        <f t="shared" si="22"/>
        <v>365</v>
      </c>
      <c r="I36" s="112">
        <f t="shared" si="23"/>
        <v>4166666.67</v>
      </c>
      <c r="J36" s="112">
        <f>SUM($I$8:I35)</f>
        <v>116666666.76000004</v>
      </c>
      <c r="K36" s="112">
        <f t="shared" si="24"/>
        <v>33333333.239999965</v>
      </c>
      <c r="L36" s="106">
        <f>ROUND(C36*'Общие данные'!$B$84/H36,2)*G36</f>
        <v>1698630.1199999999</v>
      </c>
      <c r="M36" s="106">
        <f t="shared" si="25"/>
        <v>5865296.79</v>
      </c>
      <c r="N36" s="106"/>
      <c r="O36" s="121" t="str">
        <f t="shared" si="26"/>
        <v>Чт</v>
      </c>
      <c r="P36" s="123">
        <f t="shared" si="27"/>
        <v>0</v>
      </c>
      <c r="Q36" s="123">
        <f>DAY('Общие данные'!$B$78)+P36</f>
        <v>10</v>
      </c>
      <c r="R36" s="118">
        <f>IF(A36&lt;='Общие данные'!$B$81,DATE(YEAR($B$8),MONTH($B$8)+A35,DAY('Общие данные'!$B$78)),0)</f>
        <v>46548</v>
      </c>
      <c r="S36" s="104"/>
      <c r="T36" s="104"/>
      <c r="U36" s="104"/>
      <c r="V36" s="104"/>
    </row>
    <row r="37" spans="1:22" x14ac:dyDescent="0.25">
      <c r="A37" s="110">
        <f t="shared" si="16"/>
        <v>30</v>
      </c>
      <c r="B37" s="111">
        <f>IF(A37&lt;='Общие данные'!$B$81,DATE(YEAR(R37),MONTH(R37),DAY(IF(A37='Общие данные'!$B$81,'Общие данные'!$B$67,IF(A37&lt;'Общие данные'!$B$81,(Q37),IF(A37&gt;'Общие данные'!$B$81,$H$44,0))))))</f>
        <v>46580</v>
      </c>
      <c r="C37" s="58">
        <f t="shared" si="17"/>
        <v>29166666.569999993</v>
      </c>
      <c r="D37" s="58">
        <f t="shared" si="18"/>
        <v>4166666.67</v>
      </c>
      <c r="E37" s="58">
        <f t="shared" si="19"/>
        <v>1534246.72</v>
      </c>
      <c r="F37" s="58">
        <f t="shared" si="20"/>
        <v>5700913.3899999997</v>
      </c>
      <c r="G37" s="104">
        <f t="shared" si="21"/>
        <v>32</v>
      </c>
      <c r="H37" s="104">
        <f t="shared" si="22"/>
        <v>365</v>
      </c>
      <c r="I37" s="112">
        <f t="shared" si="23"/>
        <v>4166666.67</v>
      </c>
      <c r="J37" s="112">
        <f>SUM($I$8:I36)</f>
        <v>120833333.43000004</v>
      </c>
      <c r="K37" s="112">
        <f t="shared" si="24"/>
        <v>29166666.569999963</v>
      </c>
      <c r="L37" s="106">
        <f>ROUND(C37*'Общие данные'!$B$84/H37,2)*G37</f>
        <v>1534246.72</v>
      </c>
      <c r="M37" s="106">
        <f t="shared" si="25"/>
        <v>5700913.3899999997</v>
      </c>
      <c r="N37" s="106"/>
      <c r="O37" s="121" t="str">
        <f t="shared" si="26"/>
        <v>Сб</v>
      </c>
      <c r="P37" s="123">
        <f t="shared" si="27"/>
        <v>2</v>
      </c>
      <c r="Q37" s="123">
        <f>DAY('Общие данные'!$B$78)+P37</f>
        <v>12</v>
      </c>
      <c r="R37" s="118">
        <f>IF(A37&lt;='Общие данные'!$B$81,DATE(YEAR($B$8),MONTH($B$8)+A36,DAY('Общие данные'!$B$78)),0)</f>
        <v>46578</v>
      </c>
      <c r="S37" s="104"/>
      <c r="T37" s="104"/>
      <c r="U37" s="104"/>
      <c r="V37" s="104"/>
    </row>
    <row r="38" spans="1:22" x14ac:dyDescent="0.25">
      <c r="A38" s="110">
        <f t="shared" si="16"/>
        <v>31</v>
      </c>
      <c r="B38" s="111">
        <f>IF(A38&lt;='Общие данные'!$B$81,DATE(YEAR(R38),MONTH(R38),DAY(IF(A38='Общие данные'!$B$81,'Общие данные'!$B$67,IF(A38&lt;'Общие данные'!$B$81,(Q38),IF(A38&gt;'Общие данные'!$B$81,$H$44,0))))))</f>
        <v>46609</v>
      </c>
      <c r="C38" s="58">
        <f t="shared" si="17"/>
        <v>24999999.899999991</v>
      </c>
      <c r="D38" s="58">
        <f t="shared" si="18"/>
        <v>4166666.67</v>
      </c>
      <c r="E38" s="58">
        <f t="shared" si="19"/>
        <v>1191780.81</v>
      </c>
      <c r="F38" s="58">
        <f t="shared" si="20"/>
        <v>5358447.4800000004</v>
      </c>
      <c r="G38" s="104">
        <f t="shared" si="21"/>
        <v>29</v>
      </c>
      <c r="H38" s="104">
        <f t="shared" si="22"/>
        <v>365</v>
      </c>
      <c r="I38" s="112">
        <f t="shared" si="23"/>
        <v>4166666.67</v>
      </c>
      <c r="J38" s="112">
        <f>SUM($I$8:I37)</f>
        <v>125000000.10000004</v>
      </c>
      <c r="K38" s="112">
        <f t="shared" si="24"/>
        <v>24999999.899999961</v>
      </c>
      <c r="L38" s="106">
        <f>ROUND(C38*'Общие данные'!$B$84/H38,2)*G38</f>
        <v>1191780.81</v>
      </c>
      <c r="M38" s="106">
        <f t="shared" si="25"/>
        <v>5358447.4800000004</v>
      </c>
      <c r="N38" s="106"/>
      <c r="O38" s="121" t="str">
        <f t="shared" si="26"/>
        <v>Вт</v>
      </c>
      <c r="P38" s="123">
        <f t="shared" si="27"/>
        <v>0</v>
      </c>
      <c r="Q38" s="123">
        <f>DAY('Общие данные'!$B$78)+P38</f>
        <v>10</v>
      </c>
      <c r="R38" s="118">
        <f>IF(A38&lt;='Общие данные'!$B$81,DATE(YEAR($B$8),MONTH($B$8)+A37,DAY('Общие данные'!$B$78)),0)</f>
        <v>46609</v>
      </c>
      <c r="S38" s="104"/>
      <c r="T38" s="104"/>
      <c r="U38" s="104"/>
      <c r="V38" s="104"/>
    </row>
    <row r="39" spans="1:22" x14ac:dyDescent="0.25">
      <c r="A39" s="110">
        <f t="shared" si="16"/>
        <v>32</v>
      </c>
      <c r="B39" s="111">
        <f>IF(A39&lt;='Общие данные'!$B$81,DATE(YEAR(R39),MONTH(R39),DAY(IF(A39='Общие данные'!$B$81,'Общие данные'!$B$67,IF(A39&lt;'Общие данные'!$B$81,(Q39),IF(A39&gt;'Общие данные'!$B$81,$H$44,0))))))</f>
        <v>46640</v>
      </c>
      <c r="C39" s="58">
        <f t="shared" si="17"/>
        <v>20833333.229999989</v>
      </c>
      <c r="D39" s="58">
        <f t="shared" si="18"/>
        <v>4166666.67</v>
      </c>
      <c r="E39" s="58">
        <f t="shared" si="19"/>
        <v>1061643.98</v>
      </c>
      <c r="F39" s="58">
        <f t="shared" si="20"/>
        <v>5228310.6500000004</v>
      </c>
      <c r="G39" s="104">
        <f t="shared" si="21"/>
        <v>31</v>
      </c>
      <c r="H39" s="104">
        <f t="shared" si="22"/>
        <v>365</v>
      </c>
      <c r="I39" s="112">
        <f t="shared" si="23"/>
        <v>4166666.67</v>
      </c>
      <c r="J39" s="112">
        <f>SUM($I$8:I38)</f>
        <v>129166666.77000004</v>
      </c>
      <c r="K39" s="112">
        <f t="shared" si="24"/>
        <v>20833333.229999959</v>
      </c>
      <c r="L39" s="106">
        <f>ROUND(C39*'Общие данные'!$B$84/H39,2)*G39</f>
        <v>1061643.98</v>
      </c>
      <c r="M39" s="106">
        <f t="shared" si="25"/>
        <v>5228310.6500000004</v>
      </c>
      <c r="N39" s="106"/>
      <c r="O39" s="121" t="str">
        <f t="shared" si="26"/>
        <v>Пт</v>
      </c>
      <c r="P39" s="123">
        <f t="shared" si="27"/>
        <v>0</v>
      </c>
      <c r="Q39" s="123">
        <f>DAY('Общие данные'!$B$78)+P39</f>
        <v>10</v>
      </c>
      <c r="R39" s="118">
        <f>IF(A39&lt;='Общие данные'!$B$81,DATE(YEAR($B$8),MONTH($B$8)+A38,DAY('Общие данные'!$B$78)),0)</f>
        <v>46640</v>
      </c>
      <c r="S39" s="104"/>
      <c r="T39" s="104"/>
      <c r="U39" s="104"/>
      <c r="V39" s="104"/>
    </row>
    <row r="40" spans="1:22" x14ac:dyDescent="0.25">
      <c r="A40" s="110">
        <f t="shared" si="16"/>
        <v>33</v>
      </c>
      <c r="B40" s="111">
        <f>IF(A40&lt;='Общие данные'!$B$81,DATE(YEAR(R40),MONTH(R40),DAY(IF(A40='Общие данные'!$B$81,'Общие данные'!$B$67,IF(A40&lt;'Общие данные'!$B$81,(Q40),IF(A40&gt;'Общие данные'!$B$81,$H$44,0))))))</f>
        <v>46671</v>
      </c>
      <c r="C40" s="58">
        <f t="shared" si="17"/>
        <v>16666666.559999989</v>
      </c>
      <c r="D40" s="58">
        <f t="shared" si="18"/>
        <v>4166666.67</v>
      </c>
      <c r="E40" s="58">
        <f t="shared" si="19"/>
        <v>849315.05999999994</v>
      </c>
      <c r="F40" s="58">
        <f t="shared" si="20"/>
        <v>5015981.7299999995</v>
      </c>
      <c r="G40" s="104">
        <f t="shared" si="21"/>
        <v>31</v>
      </c>
      <c r="H40" s="104">
        <f t="shared" si="22"/>
        <v>365</v>
      </c>
      <c r="I40" s="112">
        <f t="shared" si="23"/>
        <v>4166666.67</v>
      </c>
      <c r="J40" s="112">
        <f>SUM($I$8:I39)</f>
        <v>133333333.44000004</v>
      </c>
      <c r="K40" s="112">
        <f t="shared" si="24"/>
        <v>16666666.559999958</v>
      </c>
      <c r="L40" s="106">
        <f>ROUND(C40*'Общие данные'!$B$84/H40,2)*G40</f>
        <v>849315.05999999994</v>
      </c>
      <c r="M40" s="106">
        <f t="shared" si="25"/>
        <v>5015981.7299999995</v>
      </c>
      <c r="N40" s="106"/>
      <c r="O40" s="121" t="str">
        <f t="shared" si="26"/>
        <v>Вс</v>
      </c>
      <c r="P40" s="123">
        <f t="shared" si="27"/>
        <v>1</v>
      </c>
      <c r="Q40" s="123">
        <f>DAY('Общие данные'!$B$78)+P40</f>
        <v>11</v>
      </c>
      <c r="R40" s="118">
        <f>IF(A40&lt;='Общие данные'!$B$81,DATE(YEAR($B$8),MONTH($B$8)+A39,DAY('Общие данные'!$B$78)),0)</f>
        <v>46670</v>
      </c>
      <c r="S40" s="104"/>
      <c r="T40" s="104"/>
      <c r="U40" s="104"/>
      <c r="V40" s="104"/>
    </row>
    <row r="41" spans="1:22" x14ac:dyDescent="0.25">
      <c r="A41" s="110">
        <f t="shared" si="16"/>
        <v>34</v>
      </c>
      <c r="B41" s="111">
        <f>IF(A41&lt;='Общие данные'!$B$81,DATE(YEAR(R41),MONTH(R41),DAY(IF(A41='Общие данные'!$B$81,'Общие данные'!$B$67,IF(A41&lt;'Общие данные'!$B$81,(Q41),IF(A41&gt;'Общие данные'!$B$81,$H$44,0))))))</f>
        <v>46701</v>
      </c>
      <c r="C41" s="58">
        <f t="shared" si="17"/>
        <v>12499999.889999989</v>
      </c>
      <c r="D41" s="58">
        <f t="shared" si="18"/>
        <v>4166666.67</v>
      </c>
      <c r="E41" s="58">
        <f t="shared" si="19"/>
        <v>616438.5</v>
      </c>
      <c r="F41" s="58">
        <f t="shared" si="20"/>
        <v>4783105.17</v>
      </c>
      <c r="G41" s="104">
        <f t="shared" si="21"/>
        <v>30</v>
      </c>
      <c r="H41" s="104">
        <f t="shared" si="22"/>
        <v>365</v>
      </c>
      <c r="I41" s="112">
        <f t="shared" si="23"/>
        <v>4166666.67</v>
      </c>
      <c r="J41" s="112">
        <f>SUM($I$8:I40)</f>
        <v>137500000.11000004</v>
      </c>
      <c r="K41" s="112">
        <f t="shared" si="24"/>
        <v>12499999.889999956</v>
      </c>
      <c r="L41" s="106">
        <f>ROUND(C41*'Общие данные'!$B$84/H41,2)*G41</f>
        <v>616438.5</v>
      </c>
      <c r="M41" s="106">
        <f t="shared" si="25"/>
        <v>4783105.17</v>
      </c>
      <c r="N41" s="106"/>
      <c r="O41" s="121" t="str">
        <f t="shared" si="26"/>
        <v>Ср</v>
      </c>
      <c r="P41" s="123">
        <f t="shared" si="27"/>
        <v>0</v>
      </c>
      <c r="Q41" s="123">
        <f>DAY('Общие данные'!$B$78)+P41</f>
        <v>10</v>
      </c>
      <c r="R41" s="118">
        <f>IF(A41&lt;='Общие данные'!$B$81,DATE(YEAR($B$8),MONTH($B$8)+A40,DAY('Общие данные'!$B$78)),0)</f>
        <v>46701</v>
      </c>
      <c r="S41" s="104"/>
      <c r="T41" s="104"/>
      <c r="U41" s="104"/>
      <c r="V41" s="104"/>
    </row>
    <row r="42" spans="1:22" x14ac:dyDescent="0.25">
      <c r="A42" s="110">
        <f t="shared" si="16"/>
        <v>35</v>
      </c>
      <c r="B42" s="111">
        <f>IF(A42&lt;='Общие данные'!$B$81,DATE(YEAR(R42),MONTH(R42),DAY(IF(A42='Общие данные'!$B$81,'Общие данные'!$B$67,IF(A42&lt;'Общие данные'!$B$81,(Q42),IF(A42&gt;'Общие данные'!$B$81,$H$44,0))))))</f>
        <v>46731</v>
      </c>
      <c r="C42" s="58">
        <f t="shared" si="17"/>
        <v>8333333.2199999895</v>
      </c>
      <c r="D42" s="58">
        <f t="shared" si="18"/>
        <v>4166666.67</v>
      </c>
      <c r="E42" s="58">
        <f t="shared" si="19"/>
        <v>410958.89999999997</v>
      </c>
      <c r="F42" s="58">
        <f t="shared" si="20"/>
        <v>4577625.57</v>
      </c>
      <c r="G42" s="104">
        <f t="shared" si="21"/>
        <v>30</v>
      </c>
      <c r="H42" s="104">
        <f t="shared" si="22"/>
        <v>365</v>
      </c>
      <c r="I42" s="112">
        <f t="shared" si="23"/>
        <v>4166666.67</v>
      </c>
      <c r="J42" s="112">
        <f>SUM($I$8:I41)</f>
        <v>141666666.78000003</v>
      </c>
      <c r="K42" s="112">
        <f t="shared" si="24"/>
        <v>8333333.219999969</v>
      </c>
      <c r="L42" s="106">
        <f>ROUND(C42*'Общие данные'!$B$84/H42,2)*G42</f>
        <v>410958.89999999997</v>
      </c>
      <c r="M42" s="106">
        <f t="shared" si="25"/>
        <v>4577625.57</v>
      </c>
      <c r="N42" s="106"/>
      <c r="O42" s="121" t="str">
        <f t="shared" si="26"/>
        <v>Пт</v>
      </c>
      <c r="P42" s="123">
        <f t="shared" si="27"/>
        <v>0</v>
      </c>
      <c r="Q42" s="123">
        <f>DAY('Общие данные'!$B$78)+P42</f>
        <v>10</v>
      </c>
      <c r="R42" s="118">
        <f>IF(A42&lt;='Общие данные'!$B$81,DATE(YEAR($B$8),MONTH($B$8)+A41,DAY('Общие данные'!$B$78)),0)</f>
        <v>46731</v>
      </c>
      <c r="S42" s="104"/>
      <c r="T42" s="104"/>
      <c r="U42" s="104"/>
      <c r="V42" s="104"/>
    </row>
    <row r="43" spans="1:22" x14ac:dyDescent="0.25">
      <c r="A43" s="110">
        <f t="shared" si="16"/>
        <v>36</v>
      </c>
      <c r="B43" s="111">
        <f>IF(A43&lt;='Общие данные'!$B$81,DATE(YEAR(R43),MONTH(R43),DAY(IF(A43='Общие данные'!$B$81,'Общие данные'!$B$67,IF(A43&lt;'Общие данные'!$B$81,(Q43),IF(A43&gt;'Общие данные'!$B$81,$H$44,0))))))</f>
        <v>46773</v>
      </c>
      <c r="C43" s="58">
        <f t="shared" si="17"/>
        <v>4166666.5499999896</v>
      </c>
      <c r="D43" s="58">
        <f t="shared" si="18"/>
        <v>4166666.5499999821</v>
      </c>
      <c r="E43" s="58">
        <f t="shared" si="19"/>
        <v>286885.2</v>
      </c>
      <c r="F43" s="58">
        <f t="shared" si="20"/>
        <v>4453551.7499999823</v>
      </c>
      <c r="G43" s="104">
        <f t="shared" si="21"/>
        <v>42</v>
      </c>
      <c r="H43" s="104">
        <f t="shared" si="22"/>
        <v>366</v>
      </c>
      <c r="I43" s="112">
        <f t="shared" si="23"/>
        <v>4166666.5499999821</v>
      </c>
      <c r="J43" s="112">
        <f>SUM($I$8:I42)</f>
        <v>145833333.45000002</v>
      </c>
      <c r="K43" s="112">
        <f t="shared" si="24"/>
        <v>4166666.5499999821</v>
      </c>
      <c r="L43" s="106">
        <f>ROUND(C43*'Общие данные'!$B$84/H43,2)*G43</f>
        <v>286885.2</v>
      </c>
      <c r="M43" s="106">
        <f t="shared" si="25"/>
        <v>4453551.7499999823</v>
      </c>
      <c r="N43" s="106"/>
      <c r="O43" s="121" t="str">
        <f t="shared" si="26"/>
        <v>Пн</v>
      </c>
      <c r="P43" s="123">
        <f t="shared" si="27"/>
        <v>0</v>
      </c>
      <c r="Q43" s="123">
        <f>DAY('Общие данные'!$B$78)+P43</f>
        <v>10</v>
      </c>
      <c r="R43" s="118">
        <f>IF(A43&lt;='Общие данные'!$B$81,DATE(YEAR($B$8),MONTH($B$8)+A42,DAY('Общие данные'!$B$78)),0)</f>
        <v>46762</v>
      </c>
      <c r="S43" s="104"/>
      <c r="T43" s="104"/>
      <c r="U43" s="104"/>
      <c r="V43" s="104"/>
    </row>
    <row r="44" spans="1:22" x14ac:dyDescent="0.25">
      <c r="A44" s="113"/>
      <c r="B44" s="114" t="s">
        <v>7</v>
      </c>
      <c r="C44" s="115"/>
      <c r="D44" s="115">
        <f>SUM(D8:D31)</f>
        <v>100000000.08000003</v>
      </c>
      <c r="E44" s="115">
        <f>SUM(E8:E31)</f>
        <v>119801370.48999999</v>
      </c>
      <c r="F44" s="115">
        <f>SUM(F8:F31)</f>
        <v>219801370.56999999</v>
      </c>
    </row>
    <row r="45" spans="1:22" ht="9" customHeight="1" x14ac:dyDescent="0.25">
      <c r="B45" s="116"/>
      <c r="C45" s="117"/>
      <c r="D45" s="117"/>
      <c r="E45" s="117"/>
      <c r="F45" s="117"/>
    </row>
    <row r="46" spans="1:22" ht="47.25" customHeight="1" x14ac:dyDescent="0.25">
      <c r="A46" s="243" t="s">
        <v>18</v>
      </c>
      <c r="B46" s="243"/>
      <c r="C46" s="243"/>
      <c r="D46" s="243"/>
      <c r="E46" s="243"/>
      <c r="F46" s="243"/>
    </row>
    <row r="47" spans="1:22" ht="7.5" customHeight="1" x14ac:dyDescent="0.25"/>
    <row r="48" spans="1:22" x14ac:dyDescent="0.25">
      <c r="A48" s="244" t="e">
        <f>#REF!</f>
        <v>#REF!</v>
      </c>
      <c r="B48" s="244"/>
      <c r="C48" s="244"/>
      <c r="D48" s="244" t="e">
        <f>#REF!</f>
        <v>#REF!</v>
      </c>
      <c r="E48" s="244"/>
      <c r="F48" s="244"/>
    </row>
    <row r="49" spans="1:6" ht="11.25" customHeight="1" x14ac:dyDescent="0.25">
      <c r="A49" s="245"/>
      <c r="B49" s="245"/>
      <c r="C49" s="245"/>
      <c r="D49" s="245"/>
      <c r="E49" s="245"/>
      <c r="F49" s="245"/>
    </row>
    <row r="50" spans="1:6" ht="30" customHeight="1" x14ac:dyDescent="0.25">
      <c r="A50" s="242" t="e">
        <f>#REF!</f>
        <v>#REF!</v>
      </c>
      <c r="B50" s="242"/>
      <c r="C50" s="242"/>
      <c r="D50" s="242" t="e">
        <f>#REF!</f>
        <v>#REF!</v>
      </c>
      <c r="E50" s="242"/>
      <c r="F50" s="242"/>
    </row>
    <row r="51" spans="1:6" ht="32.25" customHeight="1" x14ac:dyDescent="0.25">
      <c r="A51" s="238" t="e">
        <f>#REF!</f>
        <v>#REF!</v>
      </c>
      <c r="B51" s="238"/>
      <c r="C51" s="238"/>
      <c r="D51" s="238" t="e">
        <f>#REF!</f>
        <v>#REF!</v>
      </c>
      <c r="E51" s="238"/>
      <c r="F51" s="238"/>
    </row>
    <row r="52" spans="1:6" x14ac:dyDescent="0.25">
      <c r="A52" s="238" t="e">
        <f>#REF!</f>
        <v>#REF!</v>
      </c>
      <c r="B52" s="238"/>
      <c r="C52" s="238"/>
      <c r="D52" s="238" t="str">
        <f>"паспорт серии "&amp;'Общие данные'!B16&amp;", "&amp;'Общие данные'!B20&amp;""</f>
        <v>паспорт серии AD1337033, IIV6215 tomonidan 11.05.2022 yilda berilgan</v>
      </c>
      <c r="E52" s="238"/>
      <c r="F52" s="238"/>
    </row>
    <row r="53" spans="1:6" ht="32.25" customHeight="1" x14ac:dyDescent="0.25">
      <c r="A53" s="238" t="e">
        <f>#REF!</f>
        <v>#REF!</v>
      </c>
      <c r="B53" s="238"/>
      <c r="C53" s="238"/>
      <c r="D53" s="238"/>
      <c r="E53" s="238"/>
      <c r="F53" s="238"/>
    </row>
    <row r="54" spans="1:6" x14ac:dyDescent="0.25">
      <c r="A54" s="238" t="e">
        <f>#REF!</f>
        <v>#REF!</v>
      </c>
      <c r="B54" s="238"/>
      <c r="C54" s="238"/>
      <c r="D54" s="238" t="e">
        <f>#REF!</f>
        <v>#REF!</v>
      </c>
      <c r="E54" s="238"/>
      <c r="F54" s="238"/>
    </row>
    <row r="55" spans="1:6" x14ac:dyDescent="0.25">
      <c r="A55" s="238" t="e">
        <f>#REF!</f>
        <v>#REF!</v>
      </c>
      <c r="B55" s="238"/>
      <c r="C55" s="238"/>
      <c r="D55" s="238" t="e">
        <f>#REF!</f>
        <v>#REF!</v>
      </c>
      <c r="E55" s="238"/>
      <c r="F55" s="238"/>
    </row>
    <row r="56" spans="1:6" x14ac:dyDescent="0.25">
      <c r="A56" s="238" t="e">
        <f>#REF!</f>
        <v>#REF!</v>
      </c>
      <c r="B56" s="238"/>
      <c r="C56" s="238"/>
      <c r="D56" s="238" t="e">
        <f>#REF!</f>
        <v>#REF!</v>
      </c>
      <c r="E56" s="238"/>
      <c r="F56" s="238"/>
    </row>
    <row r="57" spans="1:6" ht="8.25" customHeight="1" x14ac:dyDescent="0.25">
      <c r="A57" s="238"/>
      <c r="B57" s="238"/>
      <c r="C57" s="238"/>
      <c r="D57" s="238"/>
      <c r="E57" s="238"/>
      <c r="F57" s="238"/>
    </row>
    <row r="58" spans="1:6" x14ac:dyDescent="0.25">
      <c r="A58" s="242" t="e">
        <f>#REF!</f>
        <v>#REF!</v>
      </c>
      <c r="B58" s="242"/>
      <c r="C58" s="242"/>
      <c r="D58" s="242" t="e">
        <f>#REF!</f>
        <v>#REF!</v>
      </c>
      <c r="E58" s="242"/>
      <c r="F58" s="242"/>
    </row>
    <row r="59" spans="1:6" ht="7.5" customHeight="1" x14ac:dyDescent="0.25">
      <c r="A59" s="242"/>
      <c r="B59" s="242"/>
      <c r="C59" s="242"/>
      <c r="D59" s="242"/>
      <c r="E59" s="242"/>
      <c r="F59" s="242"/>
    </row>
    <row r="60" spans="1:6" x14ac:dyDescent="0.25">
      <c r="A60" s="242" t="e">
        <f>#REF!</f>
        <v>#REF!</v>
      </c>
      <c r="B60" s="242"/>
      <c r="C60" s="242"/>
      <c r="D60" s="242" t="e">
        <f>#REF!</f>
        <v>#REF!</v>
      </c>
      <c r="E60" s="242"/>
      <c r="F60" s="242"/>
    </row>
    <row r="61" spans="1:6" ht="8.25" customHeight="1" x14ac:dyDescent="0.25">
      <c r="A61" s="238"/>
      <c r="B61" s="238"/>
      <c r="C61" s="238"/>
      <c r="D61" s="238"/>
      <c r="E61" s="238"/>
      <c r="F61" s="238"/>
    </row>
    <row r="62" spans="1:6" ht="30" customHeight="1" x14ac:dyDescent="0.25">
      <c r="A62" s="239"/>
      <c r="B62" s="239"/>
      <c r="C62" s="239"/>
      <c r="D62" s="240" t="e">
        <f>#REF!</f>
        <v>#REF!</v>
      </c>
      <c r="E62" s="240"/>
      <c r="F62" s="240"/>
    </row>
    <row r="63" spans="1:6" x14ac:dyDescent="0.25">
      <c r="A63" s="241"/>
      <c r="B63" s="241"/>
      <c r="C63" s="241"/>
      <c r="D63" s="241"/>
      <c r="E63" s="241"/>
      <c r="F63" s="241"/>
    </row>
    <row r="64" spans="1:6" x14ac:dyDescent="0.25">
      <c r="A64" s="237"/>
      <c r="B64" s="237"/>
      <c r="C64" s="237"/>
      <c r="D64" s="237"/>
      <c r="E64" s="237"/>
      <c r="F64" s="237"/>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3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36" customFormat="1" ht="36.75" customHeight="1" x14ac:dyDescent="0.25">
      <c r="A1" s="135" t="s">
        <v>15</v>
      </c>
      <c r="B1" s="136" t="s">
        <v>3</v>
      </c>
      <c r="D1" s="135"/>
      <c r="E1" s="135" t="s">
        <v>40</v>
      </c>
      <c r="F1" s="135" t="s">
        <v>41</v>
      </c>
      <c r="G1" s="135"/>
      <c r="H1" s="135"/>
      <c r="I1" s="135"/>
      <c r="J1" s="135"/>
      <c r="K1" s="135"/>
      <c r="L1" s="135" t="s">
        <v>42</v>
      </c>
      <c r="M1" s="135" t="s">
        <v>44</v>
      </c>
      <c r="N1" s="135" t="s">
        <v>43</v>
      </c>
    </row>
    <row r="2" spans="1:23" ht="15" customHeight="1" x14ac:dyDescent="0.25">
      <c r="A2" s="129">
        <v>1</v>
      </c>
      <c r="B2" t="s">
        <v>255</v>
      </c>
      <c r="C2" t="s">
        <v>66</v>
      </c>
      <c r="D2" s="131" t="s">
        <v>255</v>
      </c>
      <c r="E2" s="131" t="s">
        <v>46</v>
      </c>
      <c r="F2" s="132">
        <v>44207</v>
      </c>
      <c r="G2" s="122">
        <f>MONTH(F2)</f>
        <v>1</v>
      </c>
      <c r="H2" s="132" t="str">
        <f>IF(G2=$A$26,$A$28,IF(G2=$B$26,$B$28,IF(G2=$C$26,$C$28,IF(G2=$D$26,$D$28,IF(G2=$E$26,$E$28,IF(G2=$F$26,$F$28,IF(G2=$K$26,$K$28,IF(G2=$L$26,$L$28,IF(G2=$M$26,$M$28,IF(G2=$N$26,$N$28,IF(G2=$O$26,$O$28,IF(G2=$P$26,$P$28,0))))))))))))</f>
        <v>yanvar</v>
      </c>
      <c r="I2" s="122">
        <f>DAY(F2)</f>
        <v>11</v>
      </c>
      <c r="J2" s="134">
        <f>YEAR(F2)</f>
        <v>2021</v>
      </c>
      <c r="K2" s="132" t="str">
        <f>""&amp;I2&amp;" "&amp;H2&amp;" "&amp;J2&amp;" г."</f>
        <v>11 yanvar 2021 г.</v>
      </c>
      <c r="L2" s="131">
        <v>5</v>
      </c>
      <c r="M2" s="133">
        <v>15000000</v>
      </c>
      <c r="N2" s="131"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0"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29">
        <v>2</v>
      </c>
      <c r="D3" s="131" t="s">
        <v>255</v>
      </c>
      <c r="E3" s="131" t="s">
        <v>45</v>
      </c>
      <c r="F3" s="132">
        <v>43775</v>
      </c>
      <c r="G3" s="122">
        <f>MONTH(F3)</f>
        <v>11</v>
      </c>
      <c r="H3" s="132" t="str">
        <f>IF(G3=$A$26,$A$28,IF(G3=$B$26,$B$28,IF(G3=$C$26,$C$28,IF(G3=$D$26,$D$28,IF(G3=$E$26,$E$28,IF(G3=$F$26,$F$28,IF(G3=$K$26,$K$28,IF(G3=$L$26,$L$28,IF(G3=$M$26,$M$28,IF(G3=$N$26,$N$28,IF(G3=$O$26,$O$28,IF(G3=$P$26,$P$28,0))))))))))))</f>
        <v>noyabr</v>
      </c>
      <c r="I3" s="122">
        <f>DAY(F3)</f>
        <v>6</v>
      </c>
      <c r="J3" s="134">
        <f>YEAR(F3)</f>
        <v>2019</v>
      </c>
      <c r="K3" s="132" t="str">
        <f>""&amp;I3&amp;" "&amp;H3&amp;" "&amp;J3&amp;" г."</f>
        <v>6 noyabr 2019 г.</v>
      </c>
      <c r="L3" s="131">
        <v>386</v>
      </c>
      <c r="M3" s="133">
        <v>15000000</v>
      </c>
      <c r="N3" s="131"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29">
        <v>3</v>
      </c>
      <c r="D4" s="131" t="s">
        <v>255</v>
      </c>
      <c r="E4" s="131" t="s">
        <v>45</v>
      </c>
      <c r="F4" s="132">
        <v>44217</v>
      </c>
      <c r="G4" s="122">
        <f>MONTH(F4)</f>
        <v>1</v>
      </c>
      <c r="H4" s="132" t="str">
        <f>IF(G4=$A$26,$A$28,IF(G4=$B$26,$B$28,IF(G4=$C$26,$C$28,IF(G4=$D$26,$D$28,IF(G4=$E$26,$E$28,IF(G4=$F$26,$F$28,IF(G4=$K$26,$K$28,IF(G4=$L$26,$L$28,IF(G4=$M$26,$M$28,IF(G4=$N$26,$N$28,IF(G4=$O$26,$O$28,IF(G4=$P$26,$P$28,0))))))))))))</f>
        <v>yanvar</v>
      </c>
      <c r="I4" s="122">
        <f>DAY(F4)</f>
        <v>21</v>
      </c>
      <c r="J4" s="134">
        <f>YEAR(F4)</f>
        <v>2021</v>
      </c>
      <c r="K4" s="132" t="str">
        <f>""&amp;I4&amp;" "&amp;H4&amp;" "&amp;J4&amp;" г."</f>
        <v>21 yanvar 2021 г.</v>
      </c>
      <c r="L4" s="131">
        <v>33</v>
      </c>
      <c r="M4" s="133">
        <v>15000000</v>
      </c>
      <c r="N4" s="131"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29">
        <v>4</v>
      </c>
      <c r="D5" s="131" t="s">
        <v>255</v>
      </c>
      <c r="E5" s="131"/>
      <c r="F5" s="132"/>
      <c r="G5" s="122">
        <f t="shared" ref="G5:G21" si="2">MONTH(F5)</f>
        <v>1</v>
      </c>
      <c r="H5" s="132" t="str">
        <f t="shared" ref="H5:H21" si="3">IF(G5=$A$26,$A$28,IF(G5=$B$26,$B$28,IF(G5=$C$26,$C$28,IF(G5=$D$26,$D$28,IF(G5=$E$26,$E$28,IF(G5=$F$26,$F$28,IF(G5=$K$26,$K$28,IF(G5=$L$26,$L$28,IF(G5=$M$26,$M$28,IF(G5=$N$26,$N$28,IF(G5=$O$26,$O$28,IF(G5=$P$26,$P$28,0))))))))))))</f>
        <v>yanvar</v>
      </c>
      <c r="I5" s="122">
        <f t="shared" ref="I5:I21" si="4">DAY(F5)</f>
        <v>0</v>
      </c>
      <c r="J5" s="134">
        <f t="shared" ref="J5:J21" si="5">YEAR(F5)</f>
        <v>1900</v>
      </c>
      <c r="K5" s="132" t="str">
        <f t="shared" ref="K5:K21" si="6">""&amp;I5&amp;" "&amp;H5&amp;" "&amp;J5&amp;" г."</f>
        <v>0 yanvar 1900 г.</v>
      </c>
      <c r="L5" s="131"/>
      <c r="M5" s="133"/>
      <c r="N5" s="131"/>
      <c r="P5">
        <f t="shared" si="1"/>
        <v>0</v>
      </c>
    </row>
    <row r="6" spans="1:23" ht="15" customHeight="1" x14ac:dyDescent="0.25">
      <c r="A6" s="129">
        <v>5</v>
      </c>
      <c r="D6" s="131" t="s">
        <v>255</v>
      </c>
      <c r="E6" s="131"/>
      <c r="F6" s="132"/>
      <c r="G6" s="122">
        <f t="shared" si="2"/>
        <v>1</v>
      </c>
      <c r="H6" s="132" t="str">
        <f t="shared" si="3"/>
        <v>yanvar</v>
      </c>
      <c r="I6" s="122">
        <f t="shared" si="4"/>
        <v>0</v>
      </c>
      <c r="J6" s="134">
        <f t="shared" si="5"/>
        <v>1900</v>
      </c>
      <c r="K6" s="132" t="str">
        <f t="shared" si="6"/>
        <v>0 yanvar 1900 г.</v>
      </c>
      <c r="L6" s="131"/>
      <c r="M6" s="133"/>
      <c r="N6" s="131"/>
      <c r="P6">
        <f t="shared" si="1"/>
        <v>0</v>
      </c>
    </row>
    <row r="7" spans="1:23" ht="15" customHeight="1" x14ac:dyDescent="0.25">
      <c r="A7" s="129">
        <v>6</v>
      </c>
      <c r="D7" s="131" t="s">
        <v>255</v>
      </c>
      <c r="E7" s="131"/>
      <c r="F7" s="132"/>
      <c r="G7" s="122">
        <f t="shared" si="2"/>
        <v>1</v>
      </c>
      <c r="H7" s="132" t="str">
        <f t="shared" si="3"/>
        <v>yanvar</v>
      </c>
      <c r="I7" s="122">
        <f t="shared" si="4"/>
        <v>0</v>
      </c>
      <c r="J7" s="134">
        <f t="shared" si="5"/>
        <v>1900</v>
      </c>
      <c r="K7" s="132" t="str">
        <f t="shared" si="6"/>
        <v>0 yanvar 1900 г.</v>
      </c>
      <c r="L7" s="131"/>
      <c r="M7" s="133"/>
      <c r="N7" s="131"/>
      <c r="P7">
        <f t="shared" si="1"/>
        <v>0</v>
      </c>
    </row>
    <row r="8" spans="1:23" ht="15" customHeight="1" x14ac:dyDescent="0.25">
      <c r="A8" s="129">
        <v>7</v>
      </c>
      <c r="D8" s="131" t="s">
        <v>255</v>
      </c>
      <c r="E8" s="131"/>
      <c r="F8" s="132"/>
      <c r="G8" s="122">
        <f t="shared" si="2"/>
        <v>1</v>
      </c>
      <c r="H8" s="132" t="str">
        <f t="shared" si="3"/>
        <v>yanvar</v>
      </c>
      <c r="I8" s="122">
        <f t="shared" si="4"/>
        <v>0</v>
      </c>
      <c r="J8" s="134">
        <f t="shared" si="5"/>
        <v>1900</v>
      </c>
      <c r="K8" s="132" t="str">
        <f t="shared" si="6"/>
        <v>0 yanvar 1900 г.</v>
      </c>
      <c r="L8" s="131"/>
      <c r="M8" s="133"/>
      <c r="N8" s="131"/>
      <c r="P8">
        <f t="shared" si="1"/>
        <v>0</v>
      </c>
    </row>
    <row r="9" spans="1:23" ht="15" customHeight="1" x14ac:dyDescent="0.25">
      <c r="A9" s="129">
        <v>8</v>
      </c>
      <c r="D9" s="131" t="s">
        <v>255</v>
      </c>
      <c r="E9" s="131"/>
      <c r="F9" s="132"/>
      <c r="G9" s="122">
        <f t="shared" si="2"/>
        <v>1</v>
      </c>
      <c r="H9" s="132" t="str">
        <f t="shared" si="3"/>
        <v>yanvar</v>
      </c>
      <c r="I9" s="122">
        <f t="shared" si="4"/>
        <v>0</v>
      </c>
      <c r="J9" s="134">
        <f t="shared" si="5"/>
        <v>1900</v>
      </c>
      <c r="K9" s="132" t="str">
        <f t="shared" si="6"/>
        <v>0 yanvar 1900 г.</v>
      </c>
      <c r="L9" s="131"/>
      <c r="M9" s="133"/>
      <c r="N9" s="131"/>
      <c r="P9">
        <f t="shared" si="1"/>
        <v>0</v>
      </c>
    </row>
    <row r="10" spans="1:23" ht="15" customHeight="1" x14ac:dyDescent="0.25">
      <c r="A10" s="129">
        <v>9</v>
      </c>
      <c r="D10" s="131" t="s">
        <v>255</v>
      </c>
      <c r="E10" s="131"/>
      <c r="F10" s="132"/>
      <c r="G10" s="122">
        <f t="shared" si="2"/>
        <v>1</v>
      </c>
      <c r="H10" s="132" t="str">
        <f t="shared" si="3"/>
        <v>yanvar</v>
      </c>
      <c r="I10" s="122">
        <f t="shared" si="4"/>
        <v>0</v>
      </c>
      <c r="J10" s="134">
        <f t="shared" si="5"/>
        <v>1900</v>
      </c>
      <c r="K10" s="132" t="str">
        <f t="shared" si="6"/>
        <v>0 yanvar 1900 г.</v>
      </c>
      <c r="L10" s="131"/>
      <c r="M10" s="133"/>
      <c r="N10" s="131"/>
      <c r="P10">
        <f t="shared" si="1"/>
        <v>0</v>
      </c>
    </row>
    <row r="11" spans="1:23" ht="15" customHeight="1" x14ac:dyDescent="0.25">
      <c r="A11" s="129">
        <v>10</v>
      </c>
      <c r="D11" s="131" t="s">
        <v>255</v>
      </c>
      <c r="E11" s="131"/>
      <c r="F11" s="132"/>
      <c r="G11" s="122">
        <f t="shared" si="2"/>
        <v>1</v>
      </c>
      <c r="H11" s="132" t="str">
        <f t="shared" si="3"/>
        <v>yanvar</v>
      </c>
      <c r="I11" s="122">
        <f t="shared" si="4"/>
        <v>0</v>
      </c>
      <c r="J11" s="134">
        <f t="shared" si="5"/>
        <v>1900</v>
      </c>
      <c r="K11" s="132" t="str">
        <f t="shared" si="6"/>
        <v>0 yanvar 1900 г.</v>
      </c>
      <c r="L11" s="131"/>
      <c r="M11" s="133"/>
      <c r="N11" s="131"/>
      <c r="P11">
        <f t="shared" si="1"/>
        <v>0</v>
      </c>
    </row>
    <row r="12" spans="1:23" ht="15" customHeight="1" x14ac:dyDescent="0.25">
      <c r="A12" s="129">
        <v>11</v>
      </c>
      <c r="D12" s="131" t="s">
        <v>255</v>
      </c>
      <c r="E12" s="131"/>
      <c r="F12" s="132"/>
      <c r="G12" s="122">
        <f t="shared" si="2"/>
        <v>1</v>
      </c>
      <c r="H12" s="132" t="str">
        <f t="shared" si="3"/>
        <v>yanvar</v>
      </c>
      <c r="I12" s="122">
        <f t="shared" si="4"/>
        <v>0</v>
      </c>
      <c r="J12" s="134">
        <f t="shared" si="5"/>
        <v>1900</v>
      </c>
      <c r="K12" s="132" t="str">
        <f t="shared" si="6"/>
        <v>0 yanvar 1900 г.</v>
      </c>
      <c r="L12" s="131"/>
      <c r="M12" s="133"/>
      <c r="N12" s="131"/>
      <c r="P12">
        <f t="shared" si="1"/>
        <v>0</v>
      </c>
    </row>
    <row r="13" spans="1:23" ht="15" customHeight="1" x14ac:dyDescent="0.25">
      <c r="A13" s="129">
        <v>12</v>
      </c>
      <c r="D13" s="131" t="s">
        <v>255</v>
      </c>
      <c r="E13" s="131"/>
      <c r="F13" s="132"/>
      <c r="G13" s="122">
        <f t="shared" si="2"/>
        <v>1</v>
      </c>
      <c r="H13" s="132" t="str">
        <f t="shared" si="3"/>
        <v>yanvar</v>
      </c>
      <c r="I13" s="122">
        <f t="shared" si="4"/>
        <v>0</v>
      </c>
      <c r="J13" s="134">
        <f t="shared" si="5"/>
        <v>1900</v>
      </c>
      <c r="K13" s="132" t="str">
        <f t="shared" si="6"/>
        <v>0 yanvar 1900 г.</v>
      </c>
      <c r="L13" s="131"/>
      <c r="M13" s="133"/>
      <c r="N13" s="131"/>
      <c r="P13">
        <f t="shared" si="1"/>
        <v>0</v>
      </c>
    </row>
    <row r="14" spans="1:23" ht="15" customHeight="1" x14ac:dyDescent="0.25">
      <c r="A14" s="129">
        <v>13</v>
      </c>
      <c r="D14" s="131" t="s">
        <v>255</v>
      </c>
      <c r="E14" s="131"/>
      <c r="F14" s="132"/>
      <c r="G14" s="122">
        <f t="shared" si="2"/>
        <v>1</v>
      </c>
      <c r="H14" s="132" t="str">
        <f t="shared" si="3"/>
        <v>yanvar</v>
      </c>
      <c r="I14" s="122">
        <f t="shared" si="4"/>
        <v>0</v>
      </c>
      <c r="J14" s="134">
        <f t="shared" si="5"/>
        <v>1900</v>
      </c>
      <c r="K14" s="132" t="str">
        <f t="shared" si="6"/>
        <v>0 yanvar 1900 г.</v>
      </c>
      <c r="L14" s="131"/>
      <c r="M14" s="133"/>
      <c r="N14" s="131"/>
      <c r="P14">
        <f t="shared" si="1"/>
        <v>0</v>
      </c>
    </row>
    <row r="15" spans="1:23" ht="15" customHeight="1" x14ac:dyDescent="0.25">
      <c r="A15" s="129">
        <v>14</v>
      </c>
      <c r="D15" s="131" t="s">
        <v>255</v>
      </c>
      <c r="E15" s="131"/>
      <c r="F15" s="132"/>
      <c r="G15" s="122">
        <f t="shared" si="2"/>
        <v>1</v>
      </c>
      <c r="H15" s="132" t="str">
        <f t="shared" si="3"/>
        <v>yanvar</v>
      </c>
      <c r="I15" s="122">
        <f t="shared" si="4"/>
        <v>0</v>
      </c>
      <c r="J15" s="134">
        <f t="shared" si="5"/>
        <v>1900</v>
      </c>
      <c r="K15" s="132" t="str">
        <f t="shared" si="6"/>
        <v>0 yanvar 1900 г.</v>
      </c>
      <c r="L15" s="131"/>
      <c r="M15" s="133"/>
      <c r="N15" s="131"/>
      <c r="P15">
        <f t="shared" si="1"/>
        <v>0</v>
      </c>
    </row>
    <row r="16" spans="1:23" ht="15" customHeight="1" x14ac:dyDescent="0.25">
      <c r="A16" s="129">
        <v>15</v>
      </c>
      <c r="D16" s="131" t="s">
        <v>255</v>
      </c>
      <c r="E16" s="131"/>
      <c r="F16" s="132"/>
      <c r="G16" s="122">
        <f t="shared" si="2"/>
        <v>1</v>
      </c>
      <c r="H16" s="132" t="str">
        <f t="shared" si="3"/>
        <v>yanvar</v>
      </c>
      <c r="I16" s="122">
        <f t="shared" si="4"/>
        <v>0</v>
      </c>
      <c r="J16" s="134">
        <f t="shared" si="5"/>
        <v>1900</v>
      </c>
      <c r="K16" s="132" t="str">
        <f t="shared" si="6"/>
        <v>0 yanvar 1900 г.</v>
      </c>
      <c r="L16" s="131"/>
      <c r="M16" s="133"/>
      <c r="N16" s="131"/>
      <c r="P16">
        <f t="shared" si="1"/>
        <v>0</v>
      </c>
    </row>
    <row r="17" spans="1:17" ht="15" customHeight="1" x14ac:dyDescent="0.25">
      <c r="A17" s="129">
        <v>16</v>
      </c>
      <c r="D17" s="131" t="s">
        <v>255</v>
      </c>
      <c r="E17" s="131"/>
      <c r="F17" s="132"/>
      <c r="G17" s="122">
        <f t="shared" si="2"/>
        <v>1</v>
      </c>
      <c r="H17" s="132" t="str">
        <f t="shared" si="3"/>
        <v>yanvar</v>
      </c>
      <c r="I17" s="122">
        <f t="shared" si="4"/>
        <v>0</v>
      </c>
      <c r="J17" s="134">
        <f t="shared" si="5"/>
        <v>1900</v>
      </c>
      <c r="K17" s="132" t="str">
        <f t="shared" si="6"/>
        <v>0 yanvar 1900 г.</v>
      </c>
      <c r="L17" s="131"/>
      <c r="M17" s="133"/>
      <c r="N17" s="131"/>
      <c r="P17">
        <f t="shared" si="1"/>
        <v>0</v>
      </c>
    </row>
    <row r="18" spans="1:17" ht="15" customHeight="1" x14ac:dyDescent="0.25">
      <c r="A18" s="129">
        <v>17</v>
      </c>
      <c r="D18" s="131" t="s">
        <v>255</v>
      </c>
      <c r="E18" s="131"/>
      <c r="F18" s="132"/>
      <c r="G18" s="122">
        <f t="shared" si="2"/>
        <v>1</v>
      </c>
      <c r="H18" s="132" t="str">
        <f t="shared" si="3"/>
        <v>yanvar</v>
      </c>
      <c r="I18" s="122">
        <f t="shared" si="4"/>
        <v>0</v>
      </c>
      <c r="J18" s="134">
        <f t="shared" si="5"/>
        <v>1900</v>
      </c>
      <c r="K18" s="132" t="str">
        <f t="shared" si="6"/>
        <v>0 yanvar 1900 г.</v>
      </c>
      <c r="L18" s="131"/>
      <c r="M18" s="133"/>
      <c r="N18" s="131"/>
      <c r="P18">
        <f t="shared" si="1"/>
        <v>0</v>
      </c>
    </row>
    <row r="19" spans="1:17" ht="15" customHeight="1" x14ac:dyDescent="0.25">
      <c r="A19" s="129">
        <v>18</v>
      </c>
      <c r="D19" s="131" t="s">
        <v>255</v>
      </c>
      <c r="E19" s="131"/>
      <c r="F19" s="132"/>
      <c r="G19" s="122">
        <f t="shared" si="2"/>
        <v>1</v>
      </c>
      <c r="H19" s="132" t="str">
        <f t="shared" si="3"/>
        <v>yanvar</v>
      </c>
      <c r="I19" s="122">
        <f t="shared" si="4"/>
        <v>0</v>
      </c>
      <c r="J19" s="134">
        <f t="shared" si="5"/>
        <v>1900</v>
      </c>
      <c r="K19" s="132" t="str">
        <f t="shared" si="6"/>
        <v>0 yanvar 1900 г.</v>
      </c>
      <c r="L19" s="131"/>
      <c r="M19" s="133"/>
      <c r="N19" s="131"/>
      <c r="P19">
        <f t="shared" si="1"/>
        <v>0</v>
      </c>
    </row>
    <row r="20" spans="1:17" ht="15" customHeight="1" x14ac:dyDescent="0.25">
      <c r="A20" s="129">
        <v>19</v>
      </c>
      <c r="D20" s="131" t="s">
        <v>255</v>
      </c>
      <c r="E20" s="131"/>
      <c r="F20" s="132"/>
      <c r="G20" s="122">
        <f t="shared" si="2"/>
        <v>1</v>
      </c>
      <c r="H20" s="132" t="str">
        <f t="shared" si="3"/>
        <v>yanvar</v>
      </c>
      <c r="I20" s="122">
        <f t="shared" si="4"/>
        <v>0</v>
      </c>
      <c r="J20" s="134">
        <f t="shared" si="5"/>
        <v>1900</v>
      </c>
      <c r="K20" s="132" t="str">
        <f t="shared" si="6"/>
        <v>0 yanvar 1900 г.</v>
      </c>
      <c r="L20" s="131"/>
      <c r="M20" s="133"/>
      <c r="N20" s="131"/>
      <c r="P20">
        <f t="shared" si="1"/>
        <v>0</v>
      </c>
    </row>
    <row r="21" spans="1:17" ht="15" customHeight="1" x14ac:dyDescent="0.25">
      <c r="A21" s="129">
        <v>20</v>
      </c>
      <c r="D21" s="131" t="s">
        <v>255</v>
      </c>
      <c r="E21" s="131"/>
      <c r="F21" s="132"/>
      <c r="G21" s="122">
        <f t="shared" si="2"/>
        <v>1</v>
      </c>
      <c r="H21" s="132" t="str">
        <f t="shared" si="3"/>
        <v>yanvar</v>
      </c>
      <c r="I21" s="122">
        <f t="shared" si="4"/>
        <v>0</v>
      </c>
      <c r="J21" s="134">
        <f t="shared" si="5"/>
        <v>1900</v>
      </c>
      <c r="K21" s="132" t="str">
        <f t="shared" si="6"/>
        <v>0 yanvar 1900 г.</v>
      </c>
      <c r="L21" s="131"/>
      <c r="M21" s="133"/>
      <c r="N21" s="131"/>
      <c r="P21">
        <f t="shared" si="1"/>
        <v>0</v>
      </c>
    </row>
    <row r="22" spans="1:17" x14ac:dyDescent="0.25">
      <c r="M22" s="137">
        <f>SUM(M2:M21)+'Общие данные'!B136</f>
        <v>270000000</v>
      </c>
      <c r="Q22" t="s">
        <v>254</v>
      </c>
    </row>
    <row r="23" spans="1:17" x14ac:dyDescent="0.25">
      <c r="A23" s="118"/>
      <c r="B23" s="119"/>
      <c r="C23" s="119"/>
      <c r="D23" s="119"/>
      <c r="E23" s="119"/>
      <c r="F23" s="119"/>
      <c r="G23" s="119"/>
      <c r="H23" s="119"/>
      <c r="I23" s="119"/>
      <c r="J23" s="119"/>
      <c r="K23" s="119"/>
      <c r="L23" s="119"/>
      <c r="M23" s="119"/>
      <c r="N23" s="119"/>
      <c r="O23" s="119"/>
    </row>
    <row r="24" spans="1:17" x14ac:dyDescent="0.25">
      <c r="A24" s="119"/>
      <c r="B24" s="119"/>
      <c r="C24" s="119"/>
      <c r="D24" s="119"/>
      <c r="E24" s="119"/>
      <c r="F24" s="119"/>
      <c r="G24" s="119"/>
      <c r="H24" s="119"/>
      <c r="I24" s="119"/>
      <c r="J24" s="119"/>
      <c r="K24" s="119"/>
      <c r="L24" s="119"/>
      <c r="M24" s="119"/>
      <c r="N24" s="119"/>
      <c r="O24" s="119"/>
    </row>
    <row r="25" spans="1:17" x14ac:dyDescent="0.25">
      <c r="A25" s="119">
        <f>MONTH(F2)</f>
        <v>1</v>
      </c>
      <c r="B25" s="119" t="str">
        <f>IF(A25=A26,A28,IF(A25=B26,B28,IF(A25=C26,C28,IF(A25=D26,D28,IF(A25=E26,E28,IF(A25=F26,F28,IF(A25=K26,K28,IF(A25=L26,L28,IF(A25=M26,M28,IF(A25=N26,N28,IF(A25=O26,O28,IF(A25=#REF!,#REF!,))))))))))))</f>
        <v>yanvar</v>
      </c>
      <c r="C25" s="119">
        <f>DAY(F2)</f>
        <v>11</v>
      </c>
      <c r="D25" s="119">
        <f>YEAR(F2)</f>
        <v>2021</v>
      </c>
      <c r="E25" s="119"/>
      <c r="F25" s="119"/>
      <c r="G25" s="119"/>
      <c r="H25" s="119"/>
      <c r="I25" s="119"/>
      <c r="J25" s="119"/>
      <c r="K25" s="119"/>
      <c r="L25" s="119"/>
      <c r="M25" s="119"/>
      <c r="N25" s="119"/>
      <c r="O25" s="119"/>
    </row>
    <row r="26" spans="1:17" x14ac:dyDescent="0.25">
      <c r="A26" s="119">
        <v>1</v>
      </c>
      <c r="B26" s="119">
        <v>2</v>
      </c>
      <c r="C26" s="119">
        <v>3</v>
      </c>
      <c r="D26" s="119">
        <v>4</v>
      </c>
      <c r="E26" s="119">
        <v>5</v>
      </c>
      <c r="F26" s="119">
        <v>6</v>
      </c>
      <c r="G26" s="119"/>
      <c r="H26" s="119"/>
      <c r="I26" s="119"/>
      <c r="J26" s="119"/>
      <c r="K26" s="119">
        <v>7</v>
      </c>
      <c r="L26" s="119">
        <v>8</v>
      </c>
      <c r="M26" s="119">
        <v>9</v>
      </c>
      <c r="N26" s="119">
        <v>10</v>
      </c>
      <c r="O26" s="119">
        <v>11</v>
      </c>
      <c r="P26" s="119">
        <v>12</v>
      </c>
    </row>
    <row r="27" spans="1:17" x14ac:dyDescent="0.25">
      <c r="A27" s="119"/>
      <c r="B27" s="119"/>
      <c r="C27" s="119"/>
      <c r="D27" s="119"/>
      <c r="E27" s="119"/>
      <c r="F27" s="119"/>
      <c r="G27" s="119"/>
      <c r="H27" s="119"/>
      <c r="I27" s="119"/>
      <c r="J27" s="119"/>
      <c r="K27" s="119"/>
      <c r="L27" s="119"/>
      <c r="M27" s="119"/>
      <c r="N27" s="119"/>
      <c r="O27" s="119"/>
    </row>
    <row r="28" spans="1:17" x14ac:dyDescent="0.25">
      <c r="A28" s="119" t="s">
        <v>118</v>
      </c>
      <c r="B28" s="119" t="s">
        <v>119</v>
      </c>
      <c r="C28" s="119" t="s">
        <v>108</v>
      </c>
      <c r="D28" s="119" t="s">
        <v>109</v>
      </c>
      <c r="E28" s="119" t="s">
        <v>110</v>
      </c>
      <c r="F28" s="119" t="s">
        <v>111</v>
      </c>
      <c r="G28" s="119"/>
      <c r="H28" s="119"/>
      <c r="I28" s="119"/>
      <c r="J28" s="119"/>
      <c r="K28" s="119" t="s">
        <v>24</v>
      </c>
      <c r="L28" s="119" t="s">
        <v>113</v>
      </c>
      <c r="M28" s="119" t="s">
        <v>253</v>
      </c>
      <c r="N28" s="119" t="s">
        <v>252</v>
      </c>
      <c r="O28" s="119" t="s">
        <v>116</v>
      </c>
      <c r="P28" s="119" t="s">
        <v>117</v>
      </c>
    </row>
    <row r="29" spans="1:17" x14ac:dyDescent="0.25">
      <c r="A29" s="119" t="s">
        <v>118</v>
      </c>
      <c r="B29" s="119" t="s">
        <v>119</v>
      </c>
      <c r="C29" s="119" t="s">
        <v>108</v>
      </c>
      <c r="D29" s="119" t="s">
        <v>109</v>
      </c>
      <c r="E29" s="119" t="s">
        <v>110</v>
      </c>
      <c r="F29" s="119" t="s">
        <v>111</v>
      </c>
      <c r="G29" s="119"/>
      <c r="H29" s="119"/>
      <c r="I29" s="119"/>
      <c r="J29" s="119"/>
      <c r="K29" s="119" t="s">
        <v>28</v>
      </c>
      <c r="L29" s="119" t="s">
        <v>113</v>
      </c>
      <c r="M29" s="119" t="s">
        <v>253</v>
      </c>
      <c r="N29" s="119" t="s">
        <v>252</v>
      </c>
      <c r="O29" s="119" t="s">
        <v>116</v>
      </c>
      <c r="P29" s="119" t="s">
        <v>117</v>
      </c>
    </row>
    <row r="30" spans="1:17" x14ac:dyDescent="0.25">
      <c r="A30" s="119"/>
      <c r="B30" s="119"/>
      <c r="C30" s="119"/>
      <c r="D30" s="119"/>
      <c r="E30" s="119"/>
      <c r="F30" s="119"/>
      <c r="G30" s="119"/>
      <c r="H30" s="119"/>
      <c r="I30" s="119"/>
      <c r="J30" s="119"/>
      <c r="K30" s="119"/>
      <c r="L30" s="120"/>
      <c r="M30" s="120"/>
      <c r="N30" s="120"/>
      <c r="O30" s="120"/>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abSelected="1" topLeftCell="A123" zoomScaleNormal="100" workbookViewId="0">
      <selection activeCell="D165" sqref="D165"/>
    </sheetView>
  </sheetViews>
  <sheetFormatPr defaultColWidth="9.140625" defaultRowHeight="15" zeroHeight="1" x14ac:dyDescent="0.2"/>
  <cols>
    <col min="1" max="1" width="68" style="6" customWidth="1"/>
    <col min="2" max="2" width="61.85546875" style="7" customWidth="1"/>
    <col min="3" max="3" width="63.85546875" style="211" customWidth="1"/>
    <col min="4" max="4" width="29.7109375" style="211" customWidth="1"/>
    <col min="5" max="7" width="9.140625" style="4" customWidth="1"/>
    <col min="8" max="8" width="62.5703125" style="4" customWidth="1"/>
    <col min="9" max="13" width="9.140625" style="4" customWidth="1"/>
    <col min="14" max="14" width="70.7109375" style="4" customWidth="1"/>
    <col min="15" max="16" width="9.140625" style="4" customWidth="1"/>
    <col min="17" max="17" width="59.7109375" style="4" customWidth="1"/>
    <col min="18" max="18" width="49.85546875" style="4" customWidth="1"/>
    <col min="19" max="16384" width="9.140625" style="4"/>
  </cols>
  <sheetData>
    <row r="1" spans="1:4" x14ac:dyDescent="0.2">
      <c r="A1" s="3" t="str">
        <f>CONCATENATE(B65," olish uchun ariza")</f>
        <v>mikrokredit olish uchun ariza</v>
      </c>
      <c r="B1" s="53" t="s">
        <v>432</v>
      </c>
    </row>
    <row r="2" spans="1:4" x14ac:dyDescent="0.2">
      <c r="A2" s="3" t="str">
        <f>CONCATENATE(B65," olish uchun ariza sanasi QO’L BILAN KIRITILADI")</f>
        <v>mikrokredit olish uchun ariza sanasi QO’L BILAN KIRITILADI</v>
      </c>
      <c r="B2" s="64" t="s">
        <v>434</v>
      </c>
      <c r="D2" s="211">
        <f>180+B2</f>
        <v>45858</v>
      </c>
    </row>
    <row r="3" spans="1:4" x14ac:dyDescent="0.2">
      <c r="A3" s="3"/>
      <c r="B3" s="1"/>
    </row>
    <row r="4" spans="1:4" x14ac:dyDescent="0.2">
      <c r="A4" s="251" t="s">
        <v>52</v>
      </c>
      <c r="B4" s="251"/>
    </row>
    <row r="5" spans="1:4" x14ac:dyDescent="0.2">
      <c r="A5" s="3" t="s">
        <v>53</v>
      </c>
      <c r="B5" s="53" t="s">
        <v>415</v>
      </c>
    </row>
    <row r="6" spans="1:4" ht="30" x14ac:dyDescent="0.2">
      <c r="A6" s="3" t="s">
        <v>54</v>
      </c>
      <c r="B6" s="53" t="s">
        <v>133</v>
      </c>
      <c r="C6" s="211" t="s">
        <v>255</v>
      </c>
      <c r="D6" s="211" t="s">
        <v>133</v>
      </c>
    </row>
    <row r="7" spans="1:4" x14ac:dyDescent="0.2">
      <c r="A7" s="3" t="s">
        <v>55</v>
      </c>
      <c r="B7" s="53" t="s">
        <v>433</v>
      </c>
    </row>
    <row r="8" spans="1:4" hidden="1" x14ac:dyDescent="0.2">
      <c r="A8" s="3" t="s">
        <v>56</v>
      </c>
      <c r="B8" s="86" t="str">
        <f>B5</f>
        <v>OTASHEVA RUQIYA SHERALI QIZI</v>
      </c>
    </row>
    <row r="9" spans="1:4" hidden="1" x14ac:dyDescent="0.2">
      <c r="A9" s="3" t="s">
        <v>57</v>
      </c>
      <c r="B9" s="86" t="str">
        <f>B7</f>
        <v>OTASHEVA R.SH.</v>
      </c>
    </row>
    <row r="10" spans="1:4" hidden="1" x14ac:dyDescent="0.2">
      <c r="A10" s="3" t="s">
        <v>58</v>
      </c>
      <c r="B10" s="86" t="str">
        <f>B8</f>
        <v>OTASHEVA RUQIYA SHERALI QIZI</v>
      </c>
    </row>
    <row r="11" spans="1:4" hidden="1" x14ac:dyDescent="0.2">
      <c r="A11" s="3" t="s">
        <v>59</v>
      </c>
      <c r="B11" s="86" t="str">
        <f>B9</f>
        <v>OTASHEVA R.SH.</v>
      </c>
    </row>
    <row r="12" spans="1:4" hidden="1" x14ac:dyDescent="0.2">
      <c r="A12" s="3" t="s">
        <v>60</v>
      </c>
      <c r="B12" s="86" t="str">
        <f>B10</f>
        <v>OTASHEVA RUQIYA SHERALI QIZI</v>
      </c>
    </row>
    <row r="13" spans="1:4" hidden="1" x14ac:dyDescent="0.2">
      <c r="A13" s="3" t="s">
        <v>61</v>
      </c>
      <c r="B13" s="86" t="str">
        <f>B11</f>
        <v>OTASHEVA R.SH.</v>
      </c>
    </row>
    <row r="14" spans="1:4" hidden="1" x14ac:dyDescent="0.2">
      <c r="A14" s="3" t="s">
        <v>62</v>
      </c>
      <c r="B14" s="86" t="s">
        <v>65</v>
      </c>
    </row>
    <row r="15" spans="1:4" x14ac:dyDescent="0.2">
      <c r="A15" s="3" t="s">
        <v>63</v>
      </c>
      <c r="B15" s="154" t="s">
        <v>435</v>
      </c>
    </row>
    <row r="16" spans="1:4" x14ac:dyDescent="0.2">
      <c r="A16" s="3" t="s">
        <v>64</v>
      </c>
      <c r="B16" s="53" t="s">
        <v>416</v>
      </c>
    </row>
    <row r="17" spans="1:10" x14ac:dyDescent="0.2">
      <c r="A17" s="3"/>
      <c r="B17" s="220" t="s">
        <v>417</v>
      </c>
      <c r="D17" s="211" t="str">
        <f>TEXT(C17,"ДД.ММ.ГГГГ")</f>
        <v>00.01.1900</v>
      </c>
    </row>
    <row r="18" spans="1:10" x14ac:dyDescent="0.2">
      <c r="A18" s="3"/>
      <c r="B18" s="154">
        <v>44692</v>
      </c>
      <c r="C18" s="90" t="str">
        <f>TEXT(B18,"ДД.ММ.ГГГГ")</f>
        <v>11.05.2022</v>
      </c>
    </row>
    <row r="19" spans="1:10" x14ac:dyDescent="0.2">
      <c r="A19" s="3"/>
      <c r="B19" s="154">
        <f>DATE(YEAR(B18)+10,MONTH(B18),DAY(B18)-1)</f>
        <v>48344</v>
      </c>
      <c r="C19" s="90" t="str">
        <f>TEXT(B19,"ДД.ММ.ГГГГ")</f>
        <v>10.05.2032</v>
      </c>
    </row>
    <row r="20" spans="1:10" ht="45" x14ac:dyDescent="0.2">
      <c r="A20" s="3" t="s">
        <v>67</v>
      </c>
      <c r="B20" s="69" t="str">
        <f>""&amp;B17&amp;" tomonidan "&amp;C18&amp;" yilda berilgan"</f>
        <v>IIV6215 tomonidan 11.05.2022 yilda berilgan</v>
      </c>
      <c r="C20" s="91" t="str">
        <f>""&amp;B22&amp;" tomonidan "&amp;C18&amp;" yilda berilgan"</f>
        <v>OLOT TUMAN CHOVDUR MFY tomonidan 11.05.2022 yilda berilgan</v>
      </c>
    </row>
    <row r="21" spans="1:10" ht="45" x14ac:dyDescent="0.2">
      <c r="A21" s="3" t="s">
        <v>68</v>
      </c>
      <c r="B21" s="69" t="str">
        <f>""&amp;C19&amp;" y."</f>
        <v>10.05.2032 y.</v>
      </c>
      <c r="C21" s="90" t="str">
        <f>""&amp;C19&amp;" yilgacha"</f>
        <v>10.05.2032 yilgacha</v>
      </c>
    </row>
    <row r="22" spans="1:10" ht="42.75" customHeight="1" x14ac:dyDescent="0.2">
      <c r="A22" s="3" t="s">
        <v>69</v>
      </c>
      <c r="B22" s="220" t="s">
        <v>418</v>
      </c>
      <c r="C22" s="90" t="str">
        <f>TEXT(B19,"ДД.ММ.ГГГГ")</f>
        <v>10.05.2032</v>
      </c>
    </row>
    <row r="23" spans="1:10" ht="30" x14ac:dyDescent="0.2">
      <c r="A23" s="3" t="s">
        <v>70</v>
      </c>
      <c r="B23" s="53" t="s">
        <v>95</v>
      </c>
      <c r="C23" s="211" t="s">
        <v>94</v>
      </c>
      <c r="D23" s="211" t="s">
        <v>95</v>
      </c>
    </row>
    <row r="24" spans="1:10" ht="30" hidden="1" x14ac:dyDescent="0.2">
      <c r="A24" s="3" t="s">
        <v>71</v>
      </c>
      <c r="B24" s="53" t="s">
        <v>92</v>
      </c>
      <c r="C24" s="211" t="s">
        <v>92</v>
      </c>
      <c r="D24" s="211" t="s">
        <v>93</v>
      </c>
      <c r="E24" s="5" t="s">
        <v>0</v>
      </c>
      <c r="F24" s="5" t="s">
        <v>1</v>
      </c>
      <c r="G24" s="4" t="s">
        <v>3</v>
      </c>
    </row>
    <row r="25" spans="1:10" x14ac:dyDescent="0.2">
      <c r="A25" s="3" t="s">
        <v>72</v>
      </c>
      <c r="B25" s="53" t="s">
        <v>419</v>
      </c>
    </row>
    <row r="26" spans="1:10" ht="44.25" customHeight="1" x14ac:dyDescent="0.2">
      <c r="A26" s="3" t="s">
        <v>73</v>
      </c>
      <c r="B26" s="53" t="s">
        <v>420</v>
      </c>
      <c r="C26" s="211" t="s">
        <v>27</v>
      </c>
    </row>
    <row r="27" spans="1:10" ht="44.25" hidden="1" customHeight="1" x14ac:dyDescent="0.2">
      <c r="A27" s="3"/>
      <c r="B27" s="53" t="str">
        <f>IF(B23="mos keladi",#REF!,B28)</f>
        <v>OLOT TUMAN CHOVDUR MFY</v>
      </c>
    </row>
    <row r="28" spans="1:10" ht="30" x14ac:dyDescent="0.2">
      <c r="A28" s="3" t="s">
        <v>74</v>
      </c>
      <c r="B28" s="220" t="s">
        <v>418</v>
      </c>
    </row>
    <row r="29" spans="1:10" x14ac:dyDescent="0.2">
      <c r="A29" s="3" t="s">
        <v>75</v>
      </c>
      <c r="B29" s="53" t="s">
        <v>92</v>
      </c>
      <c r="C29" s="211" t="s">
        <v>92</v>
      </c>
      <c r="D29" s="211" t="s">
        <v>93</v>
      </c>
      <c r="E29" s="120" t="s">
        <v>328</v>
      </c>
      <c r="F29" s="120" t="s">
        <v>329</v>
      </c>
      <c r="G29" s="120" t="s">
        <v>3</v>
      </c>
      <c r="H29" s="120"/>
      <c r="I29" s="120"/>
      <c r="J29" s="120"/>
    </row>
    <row r="30" spans="1:10" ht="27" x14ac:dyDescent="0.2">
      <c r="A30" s="3" t="s">
        <v>76</v>
      </c>
      <c r="B30" s="200" t="s">
        <v>332</v>
      </c>
      <c r="C30" s="211" t="s">
        <v>148</v>
      </c>
      <c r="D30" s="211" t="s">
        <v>332</v>
      </c>
    </row>
    <row r="31" spans="1:10" x14ac:dyDescent="0.2">
      <c r="A31" s="3" t="s">
        <v>77</v>
      </c>
      <c r="B31" s="220" t="s">
        <v>436</v>
      </c>
    </row>
    <row r="32" spans="1:10" x14ac:dyDescent="0.2">
      <c r="A32" s="3" t="s">
        <v>62</v>
      </c>
      <c r="B32" s="53" t="s">
        <v>65</v>
      </c>
    </row>
    <row r="33" spans="1:4" x14ac:dyDescent="0.2">
      <c r="A33" s="3" t="s">
        <v>72</v>
      </c>
      <c r="B33" s="53" t="s">
        <v>419</v>
      </c>
    </row>
    <row r="34" spans="1:4" hidden="1" x14ac:dyDescent="0.2">
      <c r="A34" s="3"/>
      <c r="B34" s="53">
        <f>IF(B23="mos keladi",B26,B35)</f>
        <v>0</v>
      </c>
    </row>
    <row r="35" spans="1:4" x14ac:dyDescent="0.2">
      <c r="A35" s="3" t="s">
        <v>73</v>
      </c>
      <c r="B35" s="53"/>
    </row>
    <row r="36" spans="1:4" x14ac:dyDescent="0.2">
      <c r="A36" s="3" t="s">
        <v>78</v>
      </c>
      <c r="B36" s="53"/>
    </row>
    <row r="37" spans="1:4" x14ac:dyDescent="0.2">
      <c r="A37" s="3" t="s">
        <v>79</v>
      </c>
      <c r="B37" s="53"/>
    </row>
    <row r="38" spans="1:4" x14ac:dyDescent="0.2">
      <c r="A38" s="3" t="s">
        <v>80</v>
      </c>
      <c r="B38" s="53"/>
    </row>
    <row r="39" spans="1:4" x14ac:dyDescent="0.2">
      <c r="A39" s="3" t="s">
        <v>81</v>
      </c>
      <c r="B39" s="53"/>
    </row>
    <row r="40" spans="1:4" ht="24.75" customHeight="1" x14ac:dyDescent="0.2">
      <c r="A40" s="3" t="s">
        <v>82</v>
      </c>
      <c r="B40" s="53" t="s">
        <v>421</v>
      </c>
    </row>
    <row r="41" spans="1:4" ht="24.75" customHeight="1" x14ac:dyDescent="0.2">
      <c r="A41" s="3" t="s">
        <v>83</v>
      </c>
      <c r="B41" s="53" t="s">
        <v>422</v>
      </c>
    </row>
    <row r="42" spans="1:4" ht="24.75" customHeight="1" x14ac:dyDescent="0.2">
      <c r="A42" s="3" t="s">
        <v>82</v>
      </c>
      <c r="B42" s="53" t="s">
        <v>419</v>
      </c>
      <c r="C42" s="211" t="s">
        <v>385</v>
      </c>
    </row>
    <row r="43" spans="1:4" x14ac:dyDescent="0.2">
      <c r="A43" s="3" t="s">
        <v>83</v>
      </c>
      <c r="B43" s="53"/>
    </row>
    <row r="44" spans="1:4" ht="23.25" x14ac:dyDescent="0.2">
      <c r="A44" s="202" t="s">
        <v>84</v>
      </c>
      <c r="B44" s="201" t="s">
        <v>352</v>
      </c>
      <c r="C44" s="211" t="s">
        <v>344</v>
      </c>
      <c r="D44" s="211" t="s">
        <v>352</v>
      </c>
    </row>
    <row r="45" spans="1:4" hidden="1" x14ac:dyDescent="0.2">
      <c r="A45" s="3"/>
      <c r="B45" s="199" t="str">
        <f>IF(B44=D44,CONCATENATE("MA'LUMOTNOMA ",B47,B46),C44)</f>
        <v>MA'LUMOTNOMA №0007714896</v>
      </c>
    </row>
    <row r="46" spans="1:4" ht="46.5" x14ac:dyDescent="0.2">
      <c r="A46" s="202" t="s">
        <v>353</v>
      </c>
      <c r="B46" s="221" t="s">
        <v>438</v>
      </c>
    </row>
    <row r="47" spans="1:4" ht="23.25" hidden="1" x14ac:dyDescent="0.2">
      <c r="A47" s="202"/>
      <c r="B47" s="199"/>
      <c r="C47" s="211" t="s">
        <v>15</v>
      </c>
    </row>
    <row r="48" spans="1:4" ht="69.75" x14ac:dyDescent="0.2">
      <c r="A48" s="202" t="s">
        <v>354</v>
      </c>
      <c r="B48" s="199" t="s">
        <v>439</v>
      </c>
    </row>
    <row r="49" spans="1:22" hidden="1" x14ac:dyDescent="0.2">
      <c r="A49" s="3" t="s">
        <v>85</v>
      </c>
      <c r="B49" s="53" t="str">
        <f>IF(B44=C44,C44,B48)</f>
        <v>Qishloq xo'jaligi ishlari</v>
      </c>
    </row>
    <row r="50" spans="1:22" ht="30" x14ac:dyDescent="0.2">
      <c r="A50" s="3" t="s">
        <v>86</v>
      </c>
      <c r="B50" s="53"/>
    </row>
    <row r="51" spans="1:22" x14ac:dyDescent="0.2">
      <c r="A51" s="3" t="s">
        <v>73</v>
      </c>
      <c r="B51" s="53" t="s">
        <v>27</v>
      </c>
    </row>
    <row r="52" spans="1:22" x14ac:dyDescent="0.2">
      <c r="A52" s="3" t="s">
        <v>87</v>
      </c>
      <c r="B52" s="53"/>
    </row>
    <row r="53" spans="1:22" x14ac:dyDescent="0.2">
      <c r="A53" s="3" t="s">
        <v>88</v>
      </c>
      <c r="B53" s="53"/>
    </row>
    <row r="54" spans="1:22" x14ac:dyDescent="0.2">
      <c r="A54" s="3" t="s">
        <v>89</v>
      </c>
      <c r="B54" s="53"/>
    </row>
    <row r="55" spans="1:22" x14ac:dyDescent="0.2">
      <c r="A55" s="3" t="s">
        <v>90</v>
      </c>
      <c r="B55" s="2"/>
    </row>
    <row r="56" spans="1:22" x14ac:dyDescent="0.2">
      <c r="A56" s="3" t="s">
        <v>91</v>
      </c>
      <c r="B56" s="2" t="s">
        <v>22</v>
      </c>
    </row>
    <row r="57" spans="1:22" ht="30" customHeight="1" x14ac:dyDescent="0.2">
      <c r="A57" s="252" t="s">
        <v>96</v>
      </c>
      <c r="B57" s="253"/>
    </row>
    <row r="58" spans="1:22" ht="20.25" hidden="1" customHeight="1" x14ac:dyDescent="0.2">
      <c r="A58" s="3" t="s">
        <v>97</v>
      </c>
      <c r="B58" s="53" t="str">
        <f>IF(B44=C44,C44,CONCATENATE(B44," ",B47))</f>
        <v xml:space="preserve">O'Z O'ZINI BAND QILGAN FUQARO </v>
      </c>
    </row>
    <row r="59" spans="1:22" ht="31.5" hidden="1" customHeight="1" x14ac:dyDescent="0.2">
      <c r="A59" s="3" t="s">
        <v>85</v>
      </c>
      <c r="B59" s="53" t="str">
        <f>B49</f>
        <v>Qishloq xo'jaligi ishlari</v>
      </c>
    </row>
    <row r="60" spans="1:22" ht="23.25" x14ac:dyDescent="0.2">
      <c r="A60" s="202" t="s">
        <v>98</v>
      </c>
      <c r="B60" s="206">
        <v>29000000</v>
      </c>
      <c r="C60" s="225">
        <f>C63/B75</f>
        <v>0.49223744413333337</v>
      </c>
    </row>
    <row r="61" spans="1:22" x14ac:dyDescent="0.2">
      <c r="A61" s="3" t="s">
        <v>99</v>
      </c>
      <c r="B61" s="9"/>
      <c r="C61" s="226" t="s">
        <v>389</v>
      </c>
      <c r="E61" s="120"/>
      <c r="F61" s="120"/>
      <c r="G61" s="120"/>
      <c r="H61" s="120"/>
      <c r="I61" s="120"/>
      <c r="J61" s="120"/>
      <c r="K61" s="120"/>
      <c r="L61" s="120"/>
      <c r="M61" s="120"/>
      <c r="N61" s="120"/>
      <c r="O61" s="120"/>
    </row>
    <row r="62" spans="1:22" hidden="1" x14ac:dyDescent="0.2">
      <c r="A62" s="3" t="s">
        <v>100</v>
      </c>
      <c r="B62" s="53">
        <f>B53</f>
        <v>0</v>
      </c>
      <c r="C62" s="223"/>
      <c r="E62" s="120"/>
      <c r="F62" s="120"/>
      <c r="G62" s="120"/>
      <c r="H62" s="120"/>
      <c r="I62" s="120"/>
      <c r="J62" s="120"/>
      <c r="K62" s="120"/>
      <c r="L62" s="120"/>
      <c r="M62" s="120"/>
      <c r="N62" s="120"/>
      <c r="O62" s="120"/>
    </row>
    <row r="63" spans="1:22" x14ac:dyDescent="0.2">
      <c r="A63" s="3" t="s">
        <v>101</v>
      </c>
      <c r="B63" s="53"/>
      <c r="C63" s="224">
        <f>SUM(График!E9:E20)</f>
        <v>73835616.620000005</v>
      </c>
      <c r="E63" s="5"/>
      <c r="F63" s="5"/>
      <c r="G63" s="5"/>
      <c r="H63" s="5"/>
      <c r="I63" s="5"/>
      <c r="J63" s="5"/>
      <c r="K63" s="5"/>
      <c r="L63" s="5"/>
      <c r="M63" s="5"/>
      <c r="N63" s="5"/>
      <c r="O63" s="5"/>
    </row>
    <row r="64" spans="1:22" x14ac:dyDescent="0.2">
      <c r="A64" s="251" t="s">
        <v>102</v>
      </c>
      <c r="B64" s="251"/>
      <c r="C64" s="211" t="str">
        <f>PROPER(B65)</f>
        <v>Mikrokredit</v>
      </c>
      <c r="D64" s="211" t="str">
        <f>UPPER(B65)</f>
        <v>MIKROKREDIT</v>
      </c>
      <c r="E64" s="120"/>
      <c r="F64" s="120"/>
      <c r="G64" s="120"/>
      <c r="H64" s="120"/>
      <c r="I64" s="120"/>
      <c r="J64" s="120"/>
      <c r="K64" s="120"/>
      <c r="L64" s="120"/>
      <c r="M64" s="120"/>
      <c r="N64" s="120"/>
      <c r="O64" s="120"/>
      <c r="P64" s="120"/>
      <c r="Q64" s="120"/>
      <c r="R64" s="120"/>
      <c r="S64" s="120"/>
      <c r="T64" s="120"/>
      <c r="U64" s="120"/>
      <c r="V64" s="120"/>
    </row>
    <row r="65" spans="1:22" ht="15.75" thickBot="1" x14ac:dyDescent="0.25">
      <c r="A65" s="3" t="s">
        <v>103</v>
      </c>
      <c r="B65" s="1" t="str">
        <f>IF(B75&gt;100000001,"mikrokredit",IF(B75&lt;100000001,"mikroqarz",0))</f>
        <v>mikrokredit</v>
      </c>
      <c r="C65" s="213">
        <f>DATE(YEAR(B67),MONTH(B67)+B81,DAY(B67))</f>
        <v>46773</v>
      </c>
      <c r="E65" s="119"/>
      <c r="F65" s="119"/>
      <c r="G65" s="119"/>
      <c r="H65" s="119"/>
      <c r="I65" s="119"/>
      <c r="J65" s="119"/>
      <c r="K65" s="119"/>
      <c r="L65" s="119"/>
      <c r="M65" s="119"/>
      <c r="N65" s="119"/>
      <c r="O65" s="120"/>
      <c r="P65" s="120"/>
      <c r="Q65" s="120"/>
      <c r="R65" s="120"/>
      <c r="S65" s="120"/>
      <c r="T65" s="120"/>
      <c r="U65" s="120"/>
      <c r="V65" s="120"/>
    </row>
    <row r="66" spans="1:22" hidden="1" x14ac:dyDescent="0.2">
      <c r="A66" s="3" t="s">
        <v>104</v>
      </c>
      <c r="B66" s="53" t="str">
        <f>B1</f>
        <v>№150-QR</v>
      </c>
      <c r="C66" s="211">
        <f>MONTH(C65)</f>
        <v>1</v>
      </c>
      <c r="D66" s="211" t="str">
        <f>IF(C66=C68,C70,IF(C66=D68,D70,IF(C66=E68,E70,IF(C66=F68,F70,IF(C66=G68,G70,IF(C66=H68,H70,IF(C66=I68,I70,IF(C66=J68,J70,IF(C66=K68,K70,IF(C66=L68,L70,IF(C66=M68,M70,IF(C66=N68,N70,))))))))))))</f>
        <v>yanvar</v>
      </c>
      <c r="E66" s="119">
        <f>DAY(C65)</f>
        <v>21</v>
      </c>
      <c r="F66" s="119">
        <f>YEAR(C65)</f>
        <v>2028</v>
      </c>
      <c r="G66" s="119">
        <f>MONTH(C65)</f>
        <v>1</v>
      </c>
      <c r="H66" s="119" t="str">
        <f>IF(C66=C68,C71,IF(C66=D68,D71,IF(C66=E68,E71,IF(C66=F68,F71,IF(C66=G68,G71,IF(C66=H68,H71,IF(C66=I68,I71,IF(C66=J68,J71,IF(C66=K68,K71,IF(C66=L68,L71,IF(C66=M68,M71,IF(C66=N68,N71,))))))))))))</f>
        <v>yanvar</v>
      </c>
      <c r="I66" s="119">
        <f>YEAR(C65)</f>
        <v>2028</v>
      </c>
      <c r="J66" s="119"/>
      <c r="K66" s="119"/>
      <c r="L66" s="119"/>
      <c r="M66" s="119"/>
      <c r="N66" s="119"/>
      <c r="O66" s="120"/>
      <c r="P66" s="120"/>
      <c r="Q66" s="120"/>
      <c r="R66" s="120"/>
      <c r="S66" s="120"/>
      <c r="T66" s="120"/>
      <c r="U66" s="120"/>
      <c r="V66" s="120"/>
    </row>
    <row r="67" spans="1:22" hidden="1" x14ac:dyDescent="0.2">
      <c r="A67" s="3" t="s">
        <v>105</v>
      </c>
      <c r="B67" s="102" t="str">
        <f>B2</f>
        <v>21.01.2025</v>
      </c>
      <c r="C67" s="211">
        <f>MONTH(B67)</f>
        <v>1</v>
      </c>
      <c r="D67" s="211" t="str">
        <f>IF(C67=C68,C70,IF(C67=D68,D70,IF(C67=E68,E70,IF(C67=F68,F70,IF(C67=G68,G70,IF(C67=H68,H70,IF(C67=I68,I70,IF(C67=J68,J70,IF(C67=K68,K70,IF(C67=L68,L70,IF(C67=M68,M70,IF(C67=N68,N70,))))))))))))</f>
        <v>yanvar</v>
      </c>
      <c r="E67" s="119">
        <f>DAY(B67)</f>
        <v>21</v>
      </c>
      <c r="F67" s="119">
        <f>YEAR(B67)</f>
        <v>2025</v>
      </c>
      <c r="G67" s="119">
        <f>MONTH(B67)</f>
        <v>1</v>
      </c>
      <c r="H67" s="119" t="str">
        <f>IF(C67=C68,C71,IF(C67=D68,D71,IF(C67=E68,E71,IF(C67=F68,F71,IF(C67=G68,G71,IF(C67=H68,H71,IF(C67=I68,I71,IF(C67=J68,J71,IF(C67=K68,K71,IF(C67=L68,L71,IF(C67=M68,M71,IF(C67=N68,N71,))))))))))))</f>
        <v>yanvar</v>
      </c>
      <c r="I67" s="119">
        <f>YEAR(B67)</f>
        <v>2025</v>
      </c>
      <c r="J67" s="119"/>
      <c r="K67" s="119"/>
      <c r="L67" s="119"/>
      <c r="M67" s="119"/>
      <c r="N67" s="119"/>
      <c r="O67" s="120"/>
      <c r="P67" s="120"/>
      <c r="Q67" s="120"/>
      <c r="R67" s="120"/>
      <c r="S67" s="120"/>
      <c r="T67" s="120"/>
      <c r="U67" s="120"/>
      <c r="V67" s="120"/>
    </row>
    <row r="68" spans="1:22" hidden="1" x14ac:dyDescent="0.2">
      <c r="A68" s="3" t="s">
        <v>106</v>
      </c>
      <c r="B68" s="92" t="str">
        <f>""&amp;E67&amp;" "&amp;D67&amp;" "&amp;F67&amp;" y."</f>
        <v>21 yanvar 2025 y.</v>
      </c>
      <c r="C68" s="211">
        <v>1</v>
      </c>
      <c r="D68" s="211">
        <v>2</v>
      </c>
      <c r="E68" s="119">
        <v>3</v>
      </c>
      <c r="F68" s="119">
        <v>4</v>
      </c>
      <c r="G68" s="119">
        <v>5</v>
      </c>
      <c r="H68" s="119">
        <v>6</v>
      </c>
      <c r="I68" s="119">
        <v>7</v>
      </c>
      <c r="J68" s="119">
        <v>8</v>
      </c>
      <c r="K68" s="119">
        <v>9</v>
      </c>
      <c r="L68" s="119">
        <v>10</v>
      </c>
      <c r="M68" s="119">
        <v>11</v>
      </c>
      <c r="N68" s="119">
        <v>12</v>
      </c>
      <c r="O68" s="120"/>
      <c r="P68" s="120"/>
      <c r="Q68" s="120"/>
      <c r="R68" s="120"/>
      <c r="S68" s="120"/>
      <c r="T68" s="120"/>
      <c r="U68" s="120"/>
      <c r="V68" s="120"/>
    </row>
    <row r="69" spans="1:22" hidden="1" x14ac:dyDescent="0.2">
      <c r="A69" s="3"/>
      <c r="B69" s="92" t="str">
        <f>""&amp;E67&amp;" "&amp;H67&amp;" "&amp;F67&amp;" y."</f>
        <v>21 yanvar 2025 y.</v>
      </c>
      <c r="E69" s="119"/>
      <c r="F69" s="119"/>
      <c r="G69" s="119"/>
      <c r="H69" s="119"/>
      <c r="I69" s="119"/>
      <c r="J69" s="119"/>
      <c r="K69" s="119"/>
      <c r="L69" s="119"/>
      <c r="M69" s="119"/>
      <c r="N69" s="119"/>
      <c r="O69" s="120"/>
      <c r="P69" s="120"/>
      <c r="Q69" s="120"/>
      <c r="R69" s="120"/>
      <c r="S69" s="120"/>
      <c r="T69" s="120"/>
      <c r="U69" s="120"/>
      <c r="V69" s="120"/>
    </row>
    <row r="70" spans="1:22" hidden="1" x14ac:dyDescent="0.2">
      <c r="A70" s="3"/>
      <c r="B70" s="68" t="str">
        <f>B68</f>
        <v>21 yanvar 2025 y.</v>
      </c>
      <c r="C70" s="211" t="s">
        <v>118</v>
      </c>
      <c r="D70" s="211" t="s">
        <v>119</v>
      </c>
      <c r="E70" s="170" t="s">
        <v>108</v>
      </c>
      <c r="F70" s="170" t="s">
        <v>109</v>
      </c>
      <c r="G70" s="170" t="s">
        <v>110</v>
      </c>
      <c r="H70" s="170" t="s">
        <v>111</v>
      </c>
      <c r="I70" s="170" t="s">
        <v>112</v>
      </c>
      <c r="J70" s="170" t="s">
        <v>113</v>
      </c>
      <c r="K70" s="170" t="s">
        <v>114</v>
      </c>
      <c r="L70" s="170" t="s">
        <v>115</v>
      </c>
      <c r="M70" s="170" t="s">
        <v>116</v>
      </c>
      <c r="N70" s="170" t="s">
        <v>117</v>
      </c>
      <c r="O70" s="120"/>
      <c r="P70" s="120"/>
      <c r="Q70" s="120"/>
      <c r="R70" s="120"/>
      <c r="S70" s="120"/>
      <c r="T70" s="120"/>
      <c r="U70" s="120"/>
      <c r="V70" s="120"/>
    </row>
    <row r="71" spans="1:22" hidden="1" x14ac:dyDescent="0.2">
      <c r="A71" s="3"/>
      <c r="B71" s="68" t="str">
        <f>B69</f>
        <v>21 yanvar 2025 y.</v>
      </c>
      <c r="C71" s="211" t="s">
        <v>118</v>
      </c>
      <c r="D71" s="211" t="s">
        <v>119</v>
      </c>
      <c r="E71" s="170" t="s">
        <v>108</v>
      </c>
      <c r="F71" s="170" t="s">
        <v>109</v>
      </c>
      <c r="G71" s="170" t="s">
        <v>110</v>
      </c>
      <c r="H71" s="170" t="s">
        <v>111</v>
      </c>
      <c r="I71" s="170" t="s">
        <v>112</v>
      </c>
      <c r="J71" s="170" t="s">
        <v>113</v>
      </c>
      <c r="K71" s="170" t="s">
        <v>114</v>
      </c>
      <c r="L71" s="170" t="s">
        <v>115</v>
      </c>
      <c r="M71" s="170" t="s">
        <v>116</v>
      </c>
      <c r="N71" s="170" t="s">
        <v>117</v>
      </c>
      <c r="O71" s="120"/>
      <c r="P71" s="120"/>
      <c r="Q71" s="120"/>
      <c r="R71" s="120"/>
      <c r="S71" s="120"/>
      <c r="T71" s="120"/>
      <c r="U71" s="120"/>
      <c r="V71" s="120"/>
    </row>
    <row r="72" spans="1:22" hidden="1" x14ac:dyDescent="0.2">
      <c r="A72" s="3" t="s">
        <v>107</v>
      </c>
      <c r="B72" s="65" t="str">
        <f>""&amp;E66&amp;" "&amp;D66&amp;" "&amp;F66&amp;" y."</f>
        <v>21 yanvar 2028 y.</v>
      </c>
      <c r="E72" s="119"/>
      <c r="F72" s="119"/>
      <c r="G72" s="119"/>
      <c r="H72" s="119"/>
      <c r="I72" s="119"/>
      <c r="J72" s="120"/>
      <c r="K72" s="120"/>
      <c r="L72" s="120"/>
      <c r="M72" s="120"/>
      <c r="N72" s="120"/>
      <c r="O72" s="120"/>
      <c r="P72" s="120"/>
      <c r="Q72" s="120"/>
      <c r="R72" s="120"/>
      <c r="S72" s="120"/>
      <c r="T72" s="120"/>
      <c r="U72" s="120"/>
      <c r="V72" s="120"/>
    </row>
    <row r="73" spans="1:22" hidden="1" x14ac:dyDescent="0.2">
      <c r="A73" s="3"/>
      <c r="B73" s="65" t="str">
        <f>""&amp;E66&amp;" "&amp;H66&amp;" "&amp;F66&amp;" y."</f>
        <v>21 yanvar 2028 y.</v>
      </c>
      <c r="E73" s="119"/>
      <c r="F73" s="119"/>
      <c r="G73" s="119"/>
      <c r="H73" s="119"/>
      <c r="I73" s="119"/>
      <c r="J73" s="120"/>
      <c r="K73" s="120"/>
      <c r="L73" s="120"/>
      <c r="M73" s="120"/>
      <c r="N73" s="120"/>
      <c r="O73" s="120"/>
      <c r="P73" s="120"/>
      <c r="Q73" s="120"/>
      <c r="R73" s="120"/>
      <c r="S73" s="120"/>
      <c r="T73" s="120"/>
      <c r="U73" s="120"/>
      <c r="V73" s="120"/>
    </row>
    <row r="74" spans="1:22" ht="15.75" hidden="1" thickBot="1" x14ac:dyDescent="0.25">
      <c r="A74" s="3" t="s">
        <v>120</v>
      </c>
      <c r="B74" s="1" t="str">
        <f>""&amp;B68&amp;"dan "&amp;B66&amp;""</f>
        <v>21 yanvar 2025 y.dan №150-QR</v>
      </c>
      <c r="E74" s="66"/>
      <c r="F74" s="66"/>
      <c r="G74" s="66"/>
      <c r="H74" s="66"/>
      <c r="I74" s="66"/>
      <c r="J74" s="5"/>
      <c r="K74" s="5"/>
      <c r="L74" s="5"/>
      <c r="M74" s="5"/>
      <c r="N74" s="5"/>
      <c r="O74" s="5"/>
      <c r="P74" s="67"/>
      <c r="Q74" s="67"/>
      <c r="R74" s="67"/>
      <c r="S74" s="67"/>
      <c r="T74" s="67"/>
      <c r="U74" s="67"/>
      <c r="V74" s="67"/>
    </row>
    <row r="75" spans="1:22" x14ac:dyDescent="0.2">
      <c r="A75" s="3" t="str">
        <f>CONCATENATE(B65," miqdori (summasi)")</f>
        <v>mikrokredit miqdori (summasi)</v>
      </c>
      <c r="B75" s="77">
        <v>150000000</v>
      </c>
      <c r="C75" s="214" t="s">
        <v>126</v>
      </c>
      <c r="E75" s="66"/>
      <c r="F75" s="66"/>
      <c r="G75" s="66"/>
      <c r="H75" s="66"/>
      <c r="I75" s="66"/>
      <c r="J75" s="5"/>
      <c r="K75" s="5"/>
      <c r="L75" s="5"/>
      <c r="M75" s="5"/>
      <c r="N75" s="5"/>
      <c r="O75" s="5"/>
      <c r="P75" s="67"/>
      <c r="Q75" s="67"/>
      <c r="R75" s="67"/>
      <c r="S75" s="67"/>
      <c r="T75" s="67"/>
      <c r="U75" s="67"/>
      <c r="V75" s="67"/>
    </row>
    <row r="76" spans="1:22" x14ac:dyDescent="0.2">
      <c r="A76" s="171" t="s">
        <v>121</v>
      </c>
      <c r="B76"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ellik million so'm</v>
      </c>
      <c r="C76" s="21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ellik million so'm</v>
      </c>
      <c r="E76" s="66"/>
      <c r="F76" s="66"/>
      <c r="G76" s="66"/>
      <c r="H76" s="66"/>
      <c r="I76" s="66"/>
      <c r="J76" s="5"/>
      <c r="K76" s="5"/>
      <c r="L76" s="5"/>
      <c r="M76" s="5"/>
      <c r="N76" s="5"/>
      <c r="O76" s="5"/>
      <c r="P76" s="67"/>
      <c r="Q76" s="67"/>
      <c r="R76" s="67"/>
      <c r="S76" s="67"/>
      <c r="T76" s="67"/>
      <c r="U76" s="67"/>
      <c r="V76" s="67"/>
    </row>
    <row r="77" spans="1:22" x14ac:dyDescent="0.2">
      <c r="A77" s="3" t="s">
        <v>122</v>
      </c>
      <c r="B77" s="53" t="s">
        <v>128</v>
      </c>
      <c r="C77" s="211" t="s">
        <v>128</v>
      </c>
      <c r="D77" s="211" t="s">
        <v>127</v>
      </c>
      <c r="E77" s="119"/>
      <c r="F77" s="119"/>
      <c r="G77" s="119"/>
      <c r="H77" s="119"/>
      <c r="I77" s="119"/>
      <c r="J77" s="120"/>
      <c r="K77" s="120"/>
      <c r="L77" s="120"/>
      <c r="M77" s="120"/>
      <c r="N77" s="120"/>
      <c r="O77" s="120"/>
      <c r="P77" s="120"/>
      <c r="Q77" s="120"/>
      <c r="R77" s="120"/>
      <c r="S77" s="67"/>
      <c r="T77" s="67"/>
      <c r="U77" s="67"/>
      <c r="V77" s="67"/>
    </row>
    <row r="78" spans="1:22" x14ac:dyDescent="0.2">
      <c r="A78" s="3" t="str">
        <f>CONCATENATE(B65,"ni to'lash sanasi (14.10.2011)")</f>
        <v>mikrokreditni to'lash sanasi (14.10.2011)</v>
      </c>
      <c r="B78" s="53">
        <v>10</v>
      </c>
      <c r="C78" s="213">
        <f>DATE(YEAR(B67),MONTH(B67)+1,DAY(B78))</f>
        <v>45698</v>
      </c>
      <c r="D78" s="211" t="s">
        <v>29</v>
      </c>
      <c r="E78" s="119" t="s">
        <v>30</v>
      </c>
      <c r="F78" s="119" t="s">
        <v>31</v>
      </c>
      <c r="G78" s="119" t="s">
        <v>32</v>
      </c>
      <c r="H78" s="119" t="s">
        <v>33</v>
      </c>
      <c r="I78" s="119" t="s">
        <v>34</v>
      </c>
      <c r="J78" s="120" t="s">
        <v>35</v>
      </c>
      <c r="K78" s="120"/>
      <c r="L78" s="120"/>
      <c r="M78" s="120"/>
      <c r="N78" s="120"/>
      <c r="O78" s="120"/>
      <c r="P78" s="120"/>
      <c r="Q78" s="120"/>
      <c r="R78" s="120"/>
      <c r="S78" s="67"/>
      <c r="T78" s="67"/>
      <c r="U78" s="67"/>
      <c r="V78" s="67"/>
    </row>
    <row r="79" spans="1:22" ht="16.5" hidden="1" customHeight="1" x14ac:dyDescent="0.25">
      <c r="A79" s="3" t="str">
        <f>CONCATENATE(B65,"ni to'lash sanasi (14.10.2011 y.) QO’L BILAN KIRITILADI")</f>
        <v>mikrokreditni to'lash sanasi (14.10.2011 y.) QO’L BILAN KIRITILADI</v>
      </c>
      <c r="B79" s="93">
        <f>DATE(YEAR(B67),MONTH(B67)+1,DAY(B78+C80))</f>
        <v>45698</v>
      </c>
      <c r="C79" s="215" t="str">
        <f>TEXT(C78,"ддд")</f>
        <v>Пн</v>
      </c>
      <c r="D79" s="211" t="s">
        <v>29</v>
      </c>
      <c r="E79" s="119" t="s">
        <v>30</v>
      </c>
      <c r="F79" s="119" t="s">
        <v>31</v>
      </c>
      <c r="G79" s="119" t="s">
        <v>32</v>
      </c>
      <c r="H79" s="119" t="s">
        <v>33</v>
      </c>
      <c r="I79" s="119" t="s">
        <v>34</v>
      </c>
      <c r="J79" s="120" t="s">
        <v>35</v>
      </c>
      <c r="K79" s="120"/>
      <c r="L79" s="120"/>
      <c r="M79" s="120"/>
      <c r="N79" s="120"/>
      <c r="O79" s="120"/>
      <c r="P79" s="120"/>
      <c r="Q79" s="120"/>
      <c r="R79" s="120"/>
      <c r="S79" s="67"/>
      <c r="T79" s="67"/>
      <c r="U79" s="67"/>
      <c r="V79" s="67"/>
    </row>
    <row r="80" spans="1:22" ht="16.5" hidden="1" customHeight="1" x14ac:dyDescent="0.2">
      <c r="A80" s="3" t="s">
        <v>123</v>
      </c>
      <c r="B80" s="94">
        <f>B79</f>
        <v>45698</v>
      </c>
      <c r="C80" s="211">
        <f>IF(C79=I79,2,IF(C79=J79,1,0))</f>
        <v>0</v>
      </c>
      <c r="E80" s="120"/>
      <c r="F80" s="120"/>
      <c r="G80" s="120"/>
      <c r="H80" s="120"/>
      <c r="I80" s="120"/>
      <c r="J80" s="120"/>
      <c r="K80" s="120"/>
      <c r="L80" s="120"/>
      <c r="M80" s="120"/>
      <c r="N80" s="120"/>
      <c r="O80" s="120"/>
      <c r="P80" s="120"/>
      <c r="Q80" s="120"/>
      <c r="R80" s="120"/>
      <c r="S80" s="67"/>
      <c r="T80" s="67"/>
      <c r="U80" s="67"/>
      <c r="V80" s="67"/>
    </row>
    <row r="81" spans="1:63" ht="16.5" customHeight="1" x14ac:dyDescent="0.2">
      <c r="A81" s="3" t="str">
        <f>CONCATENATE(B65," muddati")</f>
        <v>mikrokredit muddati</v>
      </c>
      <c r="B81" s="53">
        <v>36</v>
      </c>
      <c r="C81" s="211">
        <v>6</v>
      </c>
      <c r="D81" s="211">
        <v>12</v>
      </c>
      <c r="E81" s="120">
        <v>18</v>
      </c>
      <c r="F81" s="120"/>
      <c r="G81" s="120"/>
      <c r="H81" s="120"/>
      <c r="I81" s="120"/>
      <c r="J81" s="120"/>
      <c r="K81" s="120"/>
      <c r="L81" s="120"/>
      <c r="M81" s="120"/>
      <c r="N81" s="120"/>
      <c r="O81" s="120"/>
      <c r="P81" s="120"/>
      <c r="Q81" s="120"/>
      <c r="R81" s="120"/>
      <c r="S81" s="67"/>
      <c r="T81" s="67"/>
      <c r="U81" s="67"/>
      <c r="V81" s="67"/>
    </row>
    <row r="82" spans="1:63" x14ac:dyDescent="0.2">
      <c r="A82" s="3" t="str">
        <f>CONCATENATE(B65," muddati QO’L BILAN KIRITILADI")</f>
        <v>mikrokredit muddati QO’L BILAN KIRITILADI</v>
      </c>
      <c r="B82" s="166" t="s">
        <v>400</v>
      </c>
      <c r="E82" s="120"/>
      <c r="F82" s="120"/>
      <c r="G82" s="120"/>
      <c r="H82" s="120"/>
      <c r="I82" s="120"/>
      <c r="J82" s="120"/>
      <c r="K82" s="120"/>
      <c r="L82" s="120"/>
      <c r="M82" s="120"/>
      <c r="N82" s="120"/>
      <c r="O82" s="120"/>
      <c r="P82" s="120"/>
      <c r="Q82" s="120"/>
      <c r="R82" s="120"/>
    </row>
    <row r="83" spans="1:63" ht="30" x14ac:dyDescent="0.2">
      <c r="A83" s="197" t="s">
        <v>349</v>
      </c>
      <c r="B83" s="166"/>
      <c r="E83" s="120"/>
      <c r="F83" s="120"/>
      <c r="G83" s="120"/>
      <c r="H83" s="120"/>
      <c r="I83" s="120"/>
      <c r="J83" s="120"/>
      <c r="K83" s="120"/>
      <c r="L83" s="120"/>
      <c r="M83" s="120"/>
      <c r="N83" s="120"/>
      <c r="O83" s="120"/>
      <c r="P83" s="120"/>
      <c r="Q83" s="120"/>
      <c r="R83" s="120"/>
      <c r="BJ83" s="5">
        <v>1</v>
      </c>
      <c r="BK83" s="5">
        <v>0</v>
      </c>
    </row>
    <row r="84" spans="1:63" x14ac:dyDescent="0.2">
      <c r="A84" s="3" t="str">
        <f>CONCATENATE(B65," stavkasi")</f>
        <v>mikrokredit stavkasi</v>
      </c>
      <c r="B84" s="96">
        <v>0.6</v>
      </c>
      <c r="E84" s="120"/>
      <c r="F84" s="120"/>
      <c r="G84" s="120"/>
      <c r="H84" s="120"/>
      <c r="I84" s="120"/>
      <c r="J84" s="120"/>
      <c r="K84" s="120"/>
      <c r="L84" s="120"/>
      <c r="M84" s="120"/>
      <c r="N84" s="120"/>
      <c r="O84" s="120"/>
      <c r="P84" s="120"/>
      <c r="Q84" s="120"/>
      <c r="R84" s="120"/>
    </row>
    <row r="85" spans="1:63" x14ac:dyDescent="0.2">
      <c r="A85" s="3" t="str">
        <f>CONCATENATE(B65," stavkasi")</f>
        <v>mikrokredit stavkasi</v>
      </c>
      <c r="B85" s="97" t="s">
        <v>390</v>
      </c>
      <c r="E85" s="120"/>
      <c r="F85" s="120"/>
      <c r="G85" s="120"/>
      <c r="H85" s="120"/>
      <c r="I85" s="120"/>
      <c r="J85" s="120"/>
      <c r="K85" s="120"/>
      <c r="L85" s="120"/>
      <c r="M85" s="120"/>
      <c r="N85" s="120"/>
      <c r="O85" s="120"/>
      <c r="P85" s="120"/>
      <c r="Q85" s="120"/>
      <c r="R85" s="120"/>
    </row>
    <row r="86" spans="1:63" x14ac:dyDescent="0.2">
      <c r="A86" s="3" t="str">
        <f>CONCATENATE(B65," stavkasi (so’z bilan)")</f>
        <v>mikrokredit stavkasi (so’z bilan)</v>
      </c>
      <c r="B86" s="95" t="s">
        <v>391</v>
      </c>
      <c r="C86" s="211" t="s">
        <v>391</v>
      </c>
      <c r="E86" s="120"/>
      <c r="F86" s="120"/>
      <c r="G86" s="120"/>
      <c r="H86" s="120"/>
      <c r="I86" s="120"/>
      <c r="J86" s="120"/>
      <c r="K86" s="120"/>
      <c r="L86" s="120"/>
      <c r="M86" s="120"/>
      <c r="N86" s="120"/>
      <c r="O86" s="120"/>
      <c r="P86" s="120"/>
      <c r="Q86" s="120"/>
      <c r="R86" s="120"/>
    </row>
    <row r="87" spans="1:63" x14ac:dyDescent="0.2">
      <c r="A87" s="3" t="str">
        <f>CONCATENATE("Muddati o'tgan ",B65," bo’yicha stavka")</f>
        <v>Muddati o'tgan mikrokredit bo’yicha stavka</v>
      </c>
      <c r="B87" s="96">
        <v>1</v>
      </c>
      <c r="E87" s="120"/>
      <c r="F87" s="120"/>
      <c r="G87" s="120"/>
      <c r="H87" s="120"/>
      <c r="I87" s="120"/>
      <c r="J87" s="120"/>
      <c r="K87" s="120"/>
      <c r="L87" s="120"/>
      <c r="M87" s="120"/>
      <c r="N87" s="120"/>
      <c r="O87" s="120"/>
      <c r="P87" s="120"/>
      <c r="Q87" s="120"/>
      <c r="R87" s="120"/>
    </row>
    <row r="88" spans="1:63" x14ac:dyDescent="0.2">
      <c r="A88" s="171" t="s">
        <v>121</v>
      </c>
      <c r="B88" s="97" t="s">
        <v>403</v>
      </c>
      <c r="E88" s="120"/>
      <c r="F88" s="120"/>
      <c r="G88" s="120"/>
      <c r="H88" s="120"/>
      <c r="I88" s="120"/>
      <c r="J88" s="120"/>
      <c r="K88" s="120"/>
      <c r="L88" s="120"/>
      <c r="M88" s="120"/>
      <c r="N88" s="120"/>
      <c r="O88" s="120"/>
      <c r="P88" s="120"/>
      <c r="Q88" s="120"/>
      <c r="R88" s="120"/>
    </row>
    <row r="89" spans="1:63" x14ac:dyDescent="0.2">
      <c r="A89" s="3" t="str">
        <f>CONCATENATE("Muddati o'tgan ",B65," bo’yicha stavka")</f>
        <v>Muddati o'tgan mikrokredit bo’yicha stavka</v>
      </c>
      <c r="B89" s="95" t="s">
        <v>404</v>
      </c>
      <c r="C89" s="211" t="s">
        <v>404</v>
      </c>
      <c r="E89" s="120"/>
      <c r="F89" s="120"/>
      <c r="G89" s="120"/>
      <c r="H89" s="120"/>
      <c r="I89" s="120"/>
      <c r="J89" s="120"/>
      <c r="K89" s="120"/>
      <c r="L89" s="120"/>
      <c r="M89" s="120"/>
      <c r="N89" s="120"/>
      <c r="O89" s="120"/>
      <c r="P89" s="120"/>
      <c r="Q89" s="120"/>
      <c r="R89" s="120"/>
    </row>
    <row r="90" spans="1:63" x14ac:dyDescent="0.2">
      <c r="A90" s="3" t="s">
        <v>124</v>
      </c>
      <c r="B90" s="98">
        <f>IF(B77=C77,LARGE(График!F9:F26,1),ROUND(PMT(B84/12,B81,-B75,0),-3))</f>
        <v>11399543.469999999</v>
      </c>
      <c r="E90" s="120"/>
      <c r="F90" s="120"/>
      <c r="G90" s="120"/>
      <c r="H90" s="120"/>
      <c r="I90" s="120"/>
      <c r="J90" s="120"/>
      <c r="K90" s="120"/>
      <c r="L90" s="120"/>
      <c r="M90" s="120"/>
      <c r="N90" s="120"/>
      <c r="O90" s="120"/>
      <c r="P90" s="120"/>
      <c r="Q90" s="120"/>
      <c r="R90" s="120"/>
    </row>
    <row r="91" spans="1:63" x14ac:dyDescent="0.2">
      <c r="A91" s="251" t="s">
        <v>125</v>
      </c>
      <c r="B91" s="251"/>
      <c r="E91" s="120"/>
      <c r="F91" s="120"/>
      <c r="G91" s="120"/>
      <c r="H91" s="120"/>
      <c r="I91" s="120"/>
      <c r="J91" s="120"/>
      <c r="K91" s="120"/>
      <c r="L91" s="120"/>
      <c r="M91" s="120"/>
      <c r="N91" s="120"/>
      <c r="O91" s="120"/>
      <c r="P91" s="120"/>
      <c r="Q91" s="120"/>
      <c r="R91" s="120"/>
    </row>
    <row r="92" spans="1:63" ht="18" x14ac:dyDescent="0.2">
      <c r="A92" s="101"/>
      <c r="B92" s="159" t="s">
        <v>130</v>
      </c>
      <c r="C92" s="216" t="s">
        <v>130</v>
      </c>
      <c r="D92" s="211" t="s">
        <v>131</v>
      </c>
      <c r="E92" s="120"/>
      <c r="F92" s="120"/>
      <c r="G92" s="120"/>
      <c r="H92" s="120"/>
      <c r="I92" s="120"/>
      <c r="J92" s="120"/>
      <c r="K92" s="120"/>
      <c r="L92" s="120"/>
      <c r="M92" s="120"/>
      <c r="N92" s="120"/>
      <c r="O92" s="120"/>
      <c r="P92" s="120"/>
      <c r="Q92" s="120"/>
      <c r="R92" s="120"/>
    </row>
    <row r="93" spans="1:63" ht="18" x14ac:dyDescent="0.2">
      <c r="A93" s="12" t="s">
        <v>136</v>
      </c>
      <c r="B93" s="159" t="s">
        <v>133</v>
      </c>
      <c r="C93" s="217" t="s">
        <v>132</v>
      </c>
      <c r="D93" s="211" t="s">
        <v>133</v>
      </c>
      <c r="E93" s="120"/>
      <c r="F93" s="120"/>
      <c r="G93" s="120"/>
      <c r="H93" s="120"/>
      <c r="I93" s="120"/>
      <c r="J93" s="120"/>
      <c r="K93" s="120"/>
      <c r="L93" s="120"/>
      <c r="M93" s="120"/>
      <c r="N93" s="120"/>
      <c r="O93" s="120"/>
      <c r="P93" s="120"/>
      <c r="Q93" s="120"/>
      <c r="R93" s="120"/>
    </row>
    <row r="94" spans="1:63" ht="36" x14ac:dyDescent="0.2">
      <c r="A94" s="12" t="s">
        <v>137</v>
      </c>
      <c r="B94" s="159" t="s">
        <v>134</v>
      </c>
      <c r="C94" s="211" t="s">
        <v>134</v>
      </c>
      <c r="D94" s="211" t="s">
        <v>135</v>
      </c>
      <c r="E94" s="120"/>
      <c r="F94" s="120"/>
      <c r="G94" s="120"/>
      <c r="H94" s="120"/>
      <c r="I94" s="120"/>
    </row>
    <row r="95" spans="1:63" ht="36" x14ac:dyDescent="0.2">
      <c r="A95" s="12" t="s">
        <v>138</v>
      </c>
      <c r="B95" s="159"/>
    </row>
    <row r="96" spans="1:63" ht="36" x14ac:dyDescent="0.2">
      <c r="A96" s="12" t="s">
        <v>139</v>
      </c>
      <c r="B96" s="159"/>
    </row>
    <row r="97" spans="1:4" x14ac:dyDescent="0.2">
      <c r="A97" s="251" t="s">
        <v>140</v>
      </c>
      <c r="B97" s="251"/>
    </row>
    <row r="98" spans="1:4" ht="36" x14ac:dyDescent="0.2">
      <c r="A98" s="12" t="s">
        <v>141</v>
      </c>
      <c r="B98" s="159"/>
    </row>
    <row r="99" spans="1:4" ht="36" x14ac:dyDescent="0.2">
      <c r="A99" s="12" t="s">
        <v>142</v>
      </c>
      <c r="B99" s="159"/>
    </row>
    <row r="100" spans="1:4" ht="18" x14ac:dyDescent="0.2">
      <c r="A100" s="12" t="s">
        <v>143</v>
      </c>
      <c r="B100" s="167"/>
    </row>
    <row r="101" spans="1:4" ht="18" x14ac:dyDescent="0.2">
      <c r="A101" s="12" t="s">
        <v>144</v>
      </c>
      <c r="B101" s="165"/>
    </row>
    <row r="102" spans="1:4" ht="18" hidden="1" x14ac:dyDescent="0.2">
      <c r="A102" s="12"/>
      <c r="B102" s="159" t="str">
        <f>TEXT(B101,"ДД.ММ.ГГГГ")</f>
        <v>00.01.1900</v>
      </c>
    </row>
    <row r="103" spans="1:4" ht="18" x14ac:dyDescent="0.2">
      <c r="A103" s="12"/>
      <c r="B103" s="13" t="s">
        <v>146</v>
      </c>
      <c r="C103" s="211" t="s">
        <v>145</v>
      </c>
      <c r="D103" s="211" t="s">
        <v>146</v>
      </c>
    </row>
    <row r="104" spans="1:4" ht="60" x14ac:dyDescent="0.2">
      <c r="A104" s="205" t="s">
        <v>351</v>
      </c>
      <c r="B104" s="204" t="s">
        <v>350</v>
      </c>
      <c r="C104" s="13" t="s">
        <v>146</v>
      </c>
    </row>
    <row r="105" spans="1:4" ht="30" x14ac:dyDescent="0.2">
      <c r="A105" s="196" t="s">
        <v>372</v>
      </c>
      <c r="B105" s="13"/>
      <c r="C105" s="13" t="s">
        <v>423</v>
      </c>
    </row>
    <row r="106" spans="1:4" ht="30" x14ac:dyDescent="0.2">
      <c r="A106" s="196" t="s">
        <v>373</v>
      </c>
      <c r="B106" s="13"/>
      <c r="C106" s="13" t="s">
        <v>424</v>
      </c>
    </row>
    <row r="107" spans="1:4" ht="60" x14ac:dyDescent="0.2">
      <c r="A107" s="196" t="str">
        <f>A113</f>
        <v>Tug’ilgan sanasi (01.10.2011 y.)</v>
      </c>
      <c r="B107" s="222"/>
      <c r="C107" s="222" t="s">
        <v>437</v>
      </c>
    </row>
    <row r="108" spans="1:4" ht="60" x14ac:dyDescent="0.2">
      <c r="A108" s="196" t="str">
        <f>A114</f>
        <v>Pasport seriyasi (СА №1234567)</v>
      </c>
      <c r="B108" s="13"/>
      <c r="C108" s="13" t="s">
        <v>425</v>
      </c>
    </row>
    <row r="109" spans="1:4" ht="150" x14ac:dyDescent="0.2">
      <c r="A109" s="196" t="str">
        <f>A115</f>
        <v xml:space="preserve">Kim va qachon berilgan
(Toshkent shahri Chilonzor IIB tomonidan 2011 yil __.____)
</v>
      </c>
      <c r="B109" s="13"/>
      <c r="C109" s="13" t="s">
        <v>426</v>
      </c>
    </row>
    <row r="110" spans="1:4" ht="150" x14ac:dyDescent="0.2">
      <c r="A110" s="196" t="str">
        <f>A116</f>
        <v xml:space="preserve">doimiy ro’yhatdan o’tgan joyi
(Toshkent sh., Mirobod tumani, Nukus ko’chasi, 1 uy, 1 honadon)
</v>
      </c>
      <c r="B110" s="13"/>
      <c r="C110" s="13" t="s">
        <v>427</v>
      </c>
    </row>
    <row r="111" spans="1:4" hidden="1" x14ac:dyDescent="0.2">
      <c r="A111" s="156" t="s">
        <v>156</v>
      </c>
      <c r="B111" s="146">
        <f>IF(B93="HA",B5,B105)</f>
        <v>0</v>
      </c>
      <c r="C111" s="173" t="str">
        <f>IF(B93="HA",B5,C105)</f>
        <v>QODIROVA IBODAT BAXTIYOR QIZI</v>
      </c>
    </row>
    <row r="112" spans="1:4" hidden="1" x14ac:dyDescent="0.2">
      <c r="A112" s="156"/>
      <c r="B112" s="146">
        <f>IF(B93="HA",B7,B106)</f>
        <v>0</v>
      </c>
      <c r="C112" s="173" t="str">
        <f>IF(B93="HA",B7,C106)</f>
        <v>QODIROVA I.B</v>
      </c>
    </row>
    <row r="113" spans="1:18" hidden="1" x14ac:dyDescent="0.2">
      <c r="A113" s="157" t="s">
        <v>157</v>
      </c>
      <c r="B113" s="195">
        <f>IF(B93="HA",B15,B107)</f>
        <v>0</v>
      </c>
      <c r="C113" s="173" t="str">
        <f>IF(B93="HA",B15,C107)</f>
        <v>16.08.1996y</v>
      </c>
    </row>
    <row r="114" spans="1:18" hidden="1" x14ac:dyDescent="0.2">
      <c r="A114" s="157" t="s">
        <v>64</v>
      </c>
      <c r="B114" s="195">
        <f>IF(B93="HA",B16,B108)</f>
        <v>0</v>
      </c>
      <c r="C114" s="173" t="str">
        <f>IF(B93="HA",B16,C108)</f>
        <v>AC2786500</v>
      </c>
    </row>
    <row r="115" spans="1:18" ht="30" hidden="1" customHeight="1" x14ac:dyDescent="0.2">
      <c r="A115" s="157" t="s">
        <v>67</v>
      </c>
      <c r="B115" s="146">
        <f>IF(B93="HA",B20,B109)</f>
        <v>0</v>
      </c>
      <c r="C115" s="173" t="str">
        <f>IF(B93="HA",B20,C109)</f>
        <v>BUXORO VILOYATI QORAKO'L TUMANI IIB tomonidan 16.03.2020 yilda</v>
      </c>
      <c r="D115" s="211">
        <v>493193762</v>
      </c>
    </row>
    <row r="116" spans="1:18" ht="53.25" hidden="1" customHeight="1" x14ac:dyDescent="0.2">
      <c r="A116" s="157" t="s">
        <v>69</v>
      </c>
      <c r="B116" s="146">
        <f>IF(B93="HA",B22,B110)</f>
        <v>0</v>
      </c>
      <c r="C116" s="146" t="str">
        <f>IF(B93="HA",#REF!,C110)</f>
        <v>QORAKO'L TUMANI DO'RMON MFY</v>
      </c>
    </row>
    <row r="117" spans="1:18" x14ac:dyDescent="0.2">
      <c r="A117" s="157" t="s">
        <v>158</v>
      </c>
      <c r="B117" s="227">
        <f>IF(B93="ha",B5,B111)</f>
        <v>0</v>
      </c>
      <c r="C117" s="99" t="str">
        <f>IF(B93="ha",B5,C111)</f>
        <v>QODIROVA IBODAT BAXTIYOR QIZI</v>
      </c>
    </row>
    <row r="118" spans="1:18" x14ac:dyDescent="0.2">
      <c r="A118" s="157"/>
      <c r="B118" s="227">
        <f>IF(B93="ha",B7,B112)</f>
        <v>0</v>
      </c>
      <c r="C118" s="99" t="str">
        <f>IF(B93="ha",B7,C112)</f>
        <v>QODIROVA I.B</v>
      </c>
    </row>
    <row r="119" spans="1:18" x14ac:dyDescent="0.2">
      <c r="A119" s="3" t="s">
        <v>157</v>
      </c>
      <c r="B119" s="227">
        <f>IF(B93="ha",B15,B113)</f>
        <v>0</v>
      </c>
      <c r="C119" s="99" t="str">
        <f>IF(B93="ha",B15,C113)</f>
        <v>16.08.1996y</v>
      </c>
    </row>
    <row r="120" spans="1:18" x14ac:dyDescent="0.2">
      <c r="A120" s="3" t="s">
        <v>64</v>
      </c>
      <c r="B120" s="227" t="s">
        <v>425</v>
      </c>
      <c r="C120" s="99" t="str">
        <f>IF(B93="ha",B16,C114)</f>
        <v>AC2786500</v>
      </c>
    </row>
    <row r="121" spans="1:18" ht="45" x14ac:dyDescent="0.2">
      <c r="A121" s="3" t="s">
        <v>67</v>
      </c>
      <c r="B121" s="227">
        <f>IF(B93="ha",B20,B115)</f>
        <v>0</v>
      </c>
      <c r="C121" s="99" t="str">
        <f>IF(B93="ha",B20,C115)</f>
        <v>BUXORO VILOYATI QORAKO'L TUMANI IIB tomonidan 16.03.2020 yilda</v>
      </c>
    </row>
    <row r="122" spans="1:18" ht="45" x14ac:dyDescent="0.2">
      <c r="A122" s="3" t="s">
        <v>69</v>
      </c>
      <c r="B122" s="228" t="str">
        <f>B22</f>
        <v>OLOT TUMAN CHOVDUR MFY</v>
      </c>
      <c r="C122" s="100" t="str">
        <f>IF(B93="ha",B22,C116)</f>
        <v>QORAKO'L TUMANI DO'RMON MFY</v>
      </c>
    </row>
    <row r="123" spans="1:18" ht="28.5" x14ac:dyDescent="0.2">
      <c r="A123" s="3" t="s">
        <v>159</v>
      </c>
      <c r="B123" s="53"/>
      <c r="C123" s="1" t="s">
        <v>440</v>
      </c>
      <c r="N123" s="4" t="str">
        <f>IF(B103=C103,B117,IF(B103=D103,C117,0))</f>
        <v>QODIROVA IBODAT BAXTIYOR QIZI</v>
      </c>
    </row>
    <row r="124" spans="1:18" ht="45" x14ac:dyDescent="0.2">
      <c r="A124" s="3" t="s">
        <v>160</v>
      </c>
      <c r="B124" s="53" t="s">
        <v>393</v>
      </c>
      <c r="C124" s="55" t="s">
        <v>428</v>
      </c>
      <c r="D124" s="56" t="s">
        <v>151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x14ac:dyDescent="0.2">
      <c r="A125" s="3" t="s">
        <v>161</v>
      </c>
      <c r="B125" s="53" t="s">
        <v>394</v>
      </c>
      <c r="C125" s="100" t="str">
        <f>""&amp;D126&amp;" "&amp;IF(C129=D129,"- xonali ko'p qavatli uydagi xonadon", IF(C129=E129,"-  xonali ko'p qavatli uydagi xonadon",0))&amp;""</f>
        <v>2 - xonali ko'p qavatli uydagi xonadon</v>
      </c>
      <c r="D125" s="88" t="s">
        <v>149</v>
      </c>
      <c r="E125" s="89" t="str">
        <f>IF($C$129=$D$129,I125,IF($C$129=$E$129,H125,0))</f>
        <v>2 - xonali yakka tartibdagi uy-joy</v>
      </c>
      <c r="F125" s="174" t="str">
        <f>IF($C$129=$D$129,I125,IF($C$129=$E$129,H125,0))</f>
        <v>2 - xonali yakka tartibdagi uy-joy</v>
      </c>
      <c r="G125" s="89"/>
      <c r="H125" s="89" t="str">
        <f>"Ko'p qavatli uydagi "&amp;D126&amp;" - xonali xonadon"</f>
        <v>Ko'p qavatli uydagi 2 - xonali xonadon</v>
      </c>
      <c r="I125" s="89" t="str">
        <f>""&amp;D126&amp;" - xonali yakka tartibdagi uy-joy"</f>
        <v>2 - xonali yakka tartibdagi uy-joy</v>
      </c>
      <c r="J125" s="89"/>
      <c r="K125" s="89"/>
      <c r="L125" s="89"/>
      <c r="M125" s="89"/>
      <c r="N125" s="4" t="str">
        <f>IF(B93=C93,Q126,IF(B93=D93,Q125,0))</f>
        <v>Микрофинансовой организацией, Заемщиком и 0</v>
      </c>
      <c r="Q125" s="4" t="str">
        <f>"Микрофинансовой организацией, Заемщиком и "&amp;IF(B94=D94,Q124,IF(B94=C94,B111,0))&amp;""</f>
        <v>Микрофинансовой организацией, Заемщиком и 0</v>
      </c>
      <c r="R125" s="4" t="str">
        <f>"Mikromoliya tashkiloti, Qarz oluvchi va "&amp;IF(B94=D94,R124,IF(B94=C94,B111))&amp;""</f>
        <v>Mikromoliya tashkiloti, Qarz oluvchi va 0</v>
      </c>
    </row>
    <row r="126" spans="1:18" x14ac:dyDescent="0.2">
      <c r="A126" s="3" t="s">
        <v>162</v>
      </c>
      <c r="B126" s="158" t="s">
        <v>395</v>
      </c>
      <c r="C126" s="100" t="str">
        <f>C125</f>
        <v>2 - xonali ko'p qavatli uydagi xonadon</v>
      </c>
      <c r="D126" s="87">
        <v>2</v>
      </c>
      <c r="E126" s="89" t="str">
        <f>IF($C$129=$D$129,I126,IF($C$129=$E$129,H126,0))</f>
        <v>yer uchastkasi maydoni - 0, umumiy maydoni - 42,00, yashash maydoni - 27,5</v>
      </c>
      <c r="F126" s="174" t="str">
        <f>IF($C$129=$D$129,I126,IF($C$129=$E$129,H126,0))</f>
        <v>yer uchastkasi maydoni - 0, umumiy maydoni - 42,00, yashash maydoni - 27,5</v>
      </c>
      <c r="G126" s="89"/>
      <c r="H126" s="89" t="str">
        <f>"umumiy maydoni - "&amp;C130&amp;", yashash maydoni - "&amp;C133&amp;""</f>
        <v>umumiy maydoni - 42,00, yashash maydoni - 27,5</v>
      </c>
      <c r="I126" s="89" t="str">
        <f>"yer uchastkasi maydoni - "&amp;C131&amp;", umumiy maydoni - "&amp;C130&amp;", yashash maydoni - "&amp;C133&amp;""</f>
        <v>yer uchastkasi maydoni - 0, umumiy maydoni - 42,00, yashash maydoni - 27,5</v>
      </c>
      <c r="J126" s="89"/>
      <c r="K126" s="89"/>
      <c r="L126" s="89"/>
      <c r="M126" s="89"/>
      <c r="N126" s="4" t="str">
        <f>IF(B93=C93,R126,IF(B93=D93,R125,0))</f>
        <v>Mikromoliya tashkiloti, Qarz oluvchi va 0</v>
      </c>
      <c r="Q126" s="4" t="s">
        <v>51</v>
      </c>
      <c r="R126" s="4" t="s">
        <v>150</v>
      </c>
    </row>
    <row r="127" spans="1:18" ht="27" customHeight="1" x14ac:dyDescent="0.2">
      <c r="A127" s="3" t="s">
        <v>163</v>
      </c>
      <c r="B127" s="86" t="str">
        <f>"kuzov turi - "&amp;B128&amp;", kuzov raqami "&amp;B129&amp;""</f>
        <v>kuzov turi - YENGIL SEDAN, kuzov raqami XWBSA695ERA084391</v>
      </c>
      <c r="C127" s="55" t="s">
        <v>429</v>
      </c>
      <c r="D127" s="56" t="s">
        <v>380</v>
      </c>
    </row>
    <row r="128" spans="1:18" x14ac:dyDescent="0.2">
      <c r="A128" s="78" t="s">
        <v>164</v>
      </c>
      <c r="B128" s="53" t="s">
        <v>392</v>
      </c>
      <c r="C128" s="148"/>
    </row>
    <row r="129" spans="1:6" x14ac:dyDescent="0.2">
      <c r="A129" s="78" t="s">
        <v>165</v>
      </c>
      <c r="B129" s="53" t="s">
        <v>396</v>
      </c>
      <c r="C129" s="54" t="s">
        <v>152</v>
      </c>
      <c r="D129" s="211" t="s">
        <v>152</v>
      </c>
      <c r="E129" s="5" t="s">
        <v>153</v>
      </c>
    </row>
    <row r="130" spans="1:6" ht="27" customHeight="1" x14ac:dyDescent="0.25">
      <c r="A130" s="3" t="s">
        <v>166</v>
      </c>
      <c r="B130" s="86" t="str">
        <f>"dvigatel raqami "&amp;B131&amp;", shassi raqami - "&amp;B132&amp;""</f>
        <v>dvigatel raqami L4H21240863MNBX0144, shassi raqami - -</v>
      </c>
      <c r="C130" s="208" t="s">
        <v>430</v>
      </c>
      <c r="D130" s="210" t="s">
        <v>401</v>
      </c>
      <c r="E130" s="4" t="str">
        <f>CONCATENATE(C130," ","kv.m")</f>
        <v>42,00 kv.m</v>
      </c>
      <c r="F130" s="181" t="s">
        <v>407</v>
      </c>
    </row>
    <row r="131" spans="1:6" x14ac:dyDescent="0.25">
      <c r="A131" s="78" t="s">
        <v>167</v>
      </c>
      <c r="B131" s="64" t="s">
        <v>397</v>
      </c>
      <c r="C131" s="54">
        <v>0</v>
      </c>
      <c r="D131" s="210" t="s">
        <v>402</v>
      </c>
    </row>
    <row r="132" spans="1:6" x14ac:dyDescent="0.2">
      <c r="A132" s="78" t="s">
        <v>168</v>
      </c>
      <c r="B132" s="53" t="s">
        <v>3</v>
      </c>
      <c r="C132" s="54"/>
    </row>
    <row r="133" spans="1:6" ht="25.5" customHeight="1" x14ac:dyDescent="0.25">
      <c r="A133" s="3" t="s">
        <v>169</v>
      </c>
      <c r="B133" s="86" t="str">
        <f>"rangi -  "&amp;B134&amp;", ishlab chiqarilgan yili - "&amp;B135&amp;""</f>
        <v>rangi -  QORA CHERNIY METALIK, ishlab chiqarilgan yili - 2024</v>
      </c>
      <c r="C133" s="208" t="s">
        <v>431</v>
      </c>
      <c r="D133" s="210" t="s">
        <v>251</v>
      </c>
      <c r="E133" s="4" t="str">
        <f>CONCATENATE(C133," ","kv.m")</f>
        <v>27,5 kv.m</v>
      </c>
    </row>
    <row r="134" spans="1:6" x14ac:dyDescent="0.2">
      <c r="A134" s="78" t="s">
        <v>170</v>
      </c>
      <c r="B134" s="53" t="s">
        <v>398</v>
      </c>
      <c r="C134" s="54"/>
    </row>
    <row r="135" spans="1:6" ht="30" x14ac:dyDescent="0.25">
      <c r="A135" s="78" t="s">
        <v>171</v>
      </c>
      <c r="B135" s="64" t="s">
        <v>399</v>
      </c>
      <c r="C135" s="148">
        <v>45677</v>
      </c>
      <c r="D135" s="219" t="s">
        <v>381</v>
      </c>
    </row>
    <row r="136" spans="1:6" hidden="1" x14ac:dyDescent="0.25">
      <c r="A136" s="3" t="s">
        <v>172</v>
      </c>
      <c r="B136" s="25">
        <f>B75*1.5</f>
        <v>225000000</v>
      </c>
      <c r="C136" s="25">
        <f>B136</f>
        <v>225000000</v>
      </c>
      <c r="D136" s="210" t="s">
        <v>172</v>
      </c>
    </row>
    <row r="137" spans="1:6" ht="27.75" hidden="1" customHeight="1" x14ac:dyDescent="0.2">
      <c r="A137" s="202"/>
      <c r="B137"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ikki yuz yigirma besh million so'm</v>
      </c>
      <c r="C137" s="168" t="str">
        <f>B137</f>
        <v>ikki yuz yigirma besh million so'm</v>
      </c>
      <c r="D137" s="4"/>
    </row>
    <row r="138" spans="1:6" ht="27.75" hidden="1" customHeight="1" x14ac:dyDescent="0.2">
      <c r="A138" s="3"/>
      <c r="B138" s="168" t="str">
        <f>B137</f>
        <v>ikki yuz yigirma besh million so'm</v>
      </c>
      <c r="C138" s="79"/>
      <c r="D138" s="4"/>
    </row>
    <row r="139" spans="1:6" ht="20.25" x14ac:dyDescent="0.2">
      <c r="A139" s="3" t="s">
        <v>345</v>
      </c>
      <c r="B139" s="59">
        <v>6470</v>
      </c>
    </row>
    <row r="140" spans="1:6" x14ac:dyDescent="0.2">
      <c r="A140" s="3" t="s">
        <v>374</v>
      </c>
      <c r="B140" s="53">
        <v>2</v>
      </c>
    </row>
    <row r="141" spans="1:6" x14ac:dyDescent="0.2">
      <c r="A141" s="3" t="s">
        <v>154</v>
      </c>
      <c r="B141" s="2" t="s">
        <v>147</v>
      </c>
      <c r="C141" s="211">
        <v>1</v>
      </c>
    </row>
    <row r="142" spans="1:6" hidden="1" x14ac:dyDescent="0.2">
      <c r="A142" s="3" t="s">
        <v>155</v>
      </c>
      <c r="B142" s="8" t="str">
        <f>B70</f>
        <v>21 yanvar 2025 y.</v>
      </c>
      <c r="C142" s="211" t="str">
        <f>B70</f>
        <v>21 yanvar 2025 y.</v>
      </c>
    </row>
    <row r="143" spans="1:6" hidden="1" x14ac:dyDescent="0.2">
      <c r="A143" s="3"/>
      <c r="B143" s="1">
        <f>YEAR(B67)</f>
        <v>2025</v>
      </c>
    </row>
    <row r="144" spans="1:6" hidden="1" x14ac:dyDescent="0.2">
      <c r="A144" s="3"/>
      <c r="B144" s="172" t="str">
        <f>D67</f>
        <v>yanvar</v>
      </c>
    </row>
    <row r="145" spans="1:3" hidden="1" x14ac:dyDescent="0.2">
      <c r="A145" s="3"/>
      <c r="B145" s="1">
        <f>DAY(B67)</f>
        <v>21</v>
      </c>
    </row>
    <row r="146" spans="1:3" x14ac:dyDescent="0.2">
      <c r="A146" s="251" t="s">
        <v>355</v>
      </c>
      <c r="B146" s="251"/>
    </row>
    <row r="147" spans="1:3" x14ac:dyDescent="0.2">
      <c r="A147" s="3" t="s">
        <v>173</v>
      </c>
      <c r="B147" s="1" t="s">
        <v>379</v>
      </c>
    </row>
    <row r="148" spans="1:3" x14ac:dyDescent="0.2">
      <c r="A148" s="3"/>
      <c r="B148" s="1" t="s">
        <v>379</v>
      </c>
    </row>
    <row r="149" spans="1:3" x14ac:dyDescent="0.2">
      <c r="A149" s="3"/>
      <c r="B149" s="1" t="s">
        <v>379</v>
      </c>
    </row>
    <row r="150" spans="1:3" x14ac:dyDescent="0.2">
      <c r="A150" s="3" t="s">
        <v>408</v>
      </c>
      <c r="B150" s="1" t="s">
        <v>409</v>
      </c>
      <c r="C150" s="211" t="s">
        <v>385</v>
      </c>
    </row>
    <row r="151" spans="1:3" x14ac:dyDescent="0.2">
      <c r="A151" s="3"/>
      <c r="B151" s="1" t="s">
        <v>410</v>
      </c>
    </row>
    <row r="152" spans="1:3" hidden="1" x14ac:dyDescent="0.2">
      <c r="A152" s="3" t="s">
        <v>177</v>
      </c>
      <c r="B152" s="1" t="s">
        <v>174</v>
      </c>
    </row>
    <row r="153" spans="1:3" ht="28.5" hidden="1" x14ac:dyDescent="0.2">
      <c r="A153" s="3" t="s">
        <v>178</v>
      </c>
      <c r="B153" s="1" t="s">
        <v>175</v>
      </c>
    </row>
    <row r="154" spans="1:3" hidden="1" x14ac:dyDescent="0.2">
      <c r="A154" s="3" t="s">
        <v>179</v>
      </c>
      <c r="B154" s="1" t="s">
        <v>25</v>
      </c>
    </row>
    <row r="155" spans="1:3" hidden="1" x14ac:dyDescent="0.2">
      <c r="A155" s="3" t="s">
        <v>180</v>
      </c>
      <c r="B155" s="1" t="s">
        <v>23</v>
      </c>
    </row>
    <row r="156" spans="1:3" hidden="1" x14ac:dyDescent="0.2">
      <c r="A156" s="3" t="s">
        <v>181</v>
      </c>
      <c r="B156" s="1" t="s">
        <v>176</v>
      </c>
    </row>
    <row r="157" spans="1:3" hidden="1" x14ac:dyDescent="0.2">
      <c r="A157" s="3" t="s">
        <v>182</v>
      </c>
      <c r="B157" s="2" t="s">
        <v>26</v>
      </c>
    </row>
    <row r="158" spans="1:3" hidden="1" x14ac:dyDescent="0.2">
      <c r="A158" s="3" t="s">
        <v>183</v>
      </c>
      <c r="B158" s="1" t="s">
        <v>333</v>
      </c>
    </row>
    <row r="159" spans="1:3" x14ac:dyDescent="0.2">
      <c r="A159" s="3" t="s">
        <v>411</v>
      </c>
      <c r="B159" s="1" t="s">
        <v>405</v>
      </c>
    </row>
    <row r="160" spans="1:3" x14ac:dyDescent="0.2">
      <c r="A160" s="3" t="s">
        <v>377</v>
      </c>
      <c r="B160" s="1" t="s">
        <v>406</v>
      </c>
    </row>
    <row r="161" spans="1:2" x14ac:dyDescent="0.2">
      <c r="A161" s="3" t="s">
        <v>408</v>
      </c>
      <c r="B161" s="1" t="s">
        <v>409</v>
      </c>
    </row>
    <row r="162" spans="1:2" x14ac:dyDescent="0.2">
      <c r="A162" s="3" t="s">
        <v>184</v>
      </c>
      <c r="B162" s="2" t="s">
        <v>346</v>
      </c>
    </row>
    <row r="163" spans="1:2" x14ac:dyDescent="0.2">
      <c r="A163" s="3" t="s">
        <v>185</v>
      </c>
      <c r="B163" s="2" t="s">
        <v>347</v>
      </c>
    </row>
    <row r="164" spans="1:2" x14ac:dyDescent="0.2">
      <c r="A164" s="3" t="s">
        <v>186</v>
      </c>
      <c r="B164" s="1" t="str">
        <f>B1</f>
        <v>№150-QR</v>
      </c>
    </row>
    <row r="165" spans="1:2" x14ac:dyDescent="0.2">
      <c r="A165" s="3" t="s">
        <v>187</v>
      </c>
      <c r="B165" s="8" t="str">
        <f>B70</f>
        <v>21 yanvar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 zoomScaleSheetLayoutView="100" workbookViewId="0">
      <selection activeCell="B2" sqref="B2"/>
    </sheetView>
  </sheetViews>
  <sheetFormatPr defaultColWidth="9.140625" defaultRowHeight="15" outlineLevelCol="1" x14ac:dyDescent="0.25"/>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x14ac:dyDescent="0.25">
      <c r="A1" s="41"/>
      <c r="B1" s="41"/>
      <c r="C1" s="41"/>
      <c r="D1" s="41"/>
      <c r="E1" s="262" t="s">
        <v>16</v>
      </c>
      <c r="F1" s="262"/>
    </row>
    <row r="2" spans="1:8" x14ac:dyDescent="0.25">
      <c r="A2" s="41"/>
      <c r="B2" s="41"/>
      <c r="C2" s="41"/>
      <c r="D2" s="41"/>
      <c r="E2" s="41"/>
      <c r="F2" s="42" t="str">
        <f>"к договору микрозайма "&amp;'Общие данные'!B74&amp;""</f>
        <v>к договору микрозайма 21 yanvar 2025 y.dan №150-QR</v>
      </c>
    </row>
    <row r="3" spans="1:8" ht="6.75" customHeight="1" x14ac:dyDescent="0.25">
      <c r="A3" s="41"/>
      <c r="B3" s="41"/>
      <c r="C3" s="41"/>
      <c r="D3" s="41"/>
      <c r="E3" s="41"/>
      <c r="F3" s="41"/>
    </row>
    <row r="4" spans="1:8" x14ac:dyDescent="0.25">
      <c r="A4" s="263" t="s">
        <v>17</v>
      </c>
      <c r="B4" s="263"/>
      <c r="C4" s="263"/>
      <c r="D4" s="263"/>
      <c r="E4" s="263"/>
      <c r="F4" s="263"/>
    </row>
    <row r="5" spans="1:8" ht="7.5" customHeight="1" x14ac:dyDescent="0.25"/>
    <row r="6" spans="1:8" x14ac:dyDescent="0.25">
      <c r="A6" s="264" t="s">
        <v>15</v>
      </c>
      <c r="B6" s="265" t="s">
        <v>9</v>
      </c>
      <c r="C6" s="265" t="s">
        <v>10</v>
      </c>
      <c r="D6" s="266" t="s">
        <v>11</v>
      </c>
      <c r="E6" s="266"/>
      <c r="F6" s="266"/>
    </row>
    <row r="7" spans="1:8" s="20" customFormat="1" ht="30" x14ac:dyDescent="0.25">
      <c r="A7" s="264"/>
      <c r="B7" s="265"/>
      <c r="C7" s="265"/>
      <c r="D7" s="21" t="s">
        <v>12</v>
      </c>
      <c r="E7" s="21" t="s">
        <v>13</v>
      </c>
      <c r="F7" s="21" t="s">
        <v>14</v>
      </c>
    </row>
    <row r="8" spans="1:8" x14ac:dyDescent="0.25">
      <c r="A8" s="22">
        <v>1</v>
      </c>
      <c r="B8" s="37">
        <f>'График дифференц'!B8</f>
        <v>45698</v>
      </c>
      <c r="C8" s="38">
        <f>'Общие данные'!B75</f>
        <v>150000000</v>
      </c>
      <c r="D8" s="38">
        <f>IF(A8&lt;'Общие данные'!$B$81,'График аннуитет.'!F8-'График аннуитет.'!E8,'График аннуитет.'!C8)</f>
        <v>6468036.669999999</v>
      </c>
      <c r="E8" s="38">
        <f>ROUND(C8*'Общие данные'!$B$84/H8,2)*'График аннуитет.'!G8</f>
        <v>4931506.8</v>
      </c>
      <c r="F8" s="38">
        <f>'Общие данные'!B90</f>
        <v>11399543.469999999</v>
      </c>
      <c r="G8" s="19">
        <f>B8-'Общие данные'!B67</f>
        <v>20</v>
      </c>
      <c r="H8" s="19">
        <f>DATE(YEAR(B8),12,31)-DATE(YEAR(B8),1,1)+1</f>
        <v>365</v>
      </c>
    </row>
    <row r="9" spans="1:8" x14ac:dyDescent="0.25">
      <c r="A9" s="22">
        <v>2</v>
      </c>
      <c r="B9" s="37">
        <f>'График дифференц'!B9</f>
        <v>45726</v>
      </c>
      <c r="C9" s="38">
        <f t="shared" ref="C9:C30" si="0">C8-D8</f>
        <v>143531963.33000001</v>
      </c>
      <c r="D9" s="38">
        <f>IF(A9&lt;'Общие данные'!$B$81,'График аннуитет.'!F9-'График аннуитет.'!E9,'График аннуитет.'!C9)</f>
        <v>4793140.8699999982</v>
      </c>
      <c r="E9" s="38">
        <f>ROUND(C9*'Общие данные'!$B$84/H9,2)*'График аннуитет.'!G9</f>
        <v>6606402.6000000006</v>
      </c>
      <c r="F9" s="38">
        <f>IF(A9&lt;'Общие данные'!$B$81,'График аннуитет.'!F8,'График аннуитет.'!D9+'График аннуитет.'!E9)</f>
        <v>11399543.469999999</v>
      </c>
      <c r="G9" s="19">
        <f>B9-B8</f>
        <v>28</v>
      </c>
      <c r="H9" s="19">
        <f t="shared" ref="H9:H31" si="1">DATE(YEAR(B9),12,31)-DATE(YEAR(B9),1,1)+1</f>
        <v>365</v>
      </c>
    </row>
    <row r="10" spans="1:8" x14ac:dyDescent="0.25">
      <c r="A10" s="22">
        <v>3</v>
      </c>
      <c r="B10" s="37">
        <f>'График дифференц'!B10</f>
        <v>45757</v>
      </c>
      <c r="C10" s="38">
        <f t="shared" si="0"/>
        <v>138738822.46000001</v>
      </c>
      <c r="D10" s="38">
        <f>IF(A10&lt;'Общие данные'!$B$81,'График аннуитет.'!F10-'График аннуитет.'!E10,'График аннуитет.'!C10)</f>
        <v>4329565.0499999989</v>
      </c>
      <c r="E10" s="38">
        <f>ROUND(C10*'Общие данные'!$B$84/H10,2)*'График аннуитет.'!G10</f>
        <v>7069978.4199999999</v>
      </c>
      <c r="F10" s="38">
        <f>IF(A10&lt;'Общие данные'!$B$81,'График аннуитет.'!F9,'График аннуитет.'!D10+'График аннуитет.'!E10)</f>
        <v>11399543.469999999</v>
      </c>
      <c r="G10" s="19">
        <f t="shared" ref="G10:G24" si="2">B10-B9</f>
        <v>31</v>
      </c>
      <c r="H10" s="19">
        <f t="shared" si="1"/>
        <v>365</v>
      </c>
    </row>
    <row r="11" spans="1:8" x14ac:dyDescent="0.25">
      <c r="A11" s="22">
        <v>4</v>
      </c>
      <c r="B11" s="37">
        <f>'График дифференц'!B11</f>
        <v>45789</v>
      </c>
      <c r="C11" s="38">
        <f t="shared" si="0"/>
        <v>134409257.41</v>
      </c>
      <c r="D11" s="38">
        <f>IF(A11&lt;'Общие данные'!$B$81,'График аннуитет.'!F11-'График аннуитет.'!E11,'График аннуитет.'!C11)</f>
        <v>4329248.4299999988</v>
      </c>
      <c r="E11" s="38">
        <f>ROUND(C11*'Общие данные'!$B$84/H11,2)*'График аннуитет.'!G11</f>
        <v>7070295.04</v>
      </c>
      <c r="F11" s="38">
        <f>IF(A11&lt;'Общие данные'!$B$81,'График аннуитет.'!F10,'График аннуитет.'!D11+'График аннуитет.'!E11)</f>
        <v>11399543.469999999</v>
      </c>
      <c r="G11" s="19">
        <f t="shared" si="2"/>
        <v>32</v>
      </c>
      <c r="H11" s="19">
        <f t="shared" si="1"/>
        <v>365</v>
      </c>
    </row>
    <row r="12" spans="1:8" x14ac:dyDescent="0.25">
      <c r="A12" s="22">
        <v>5</v>
      </c>
      <c r="B12" s="37">
        <f>'График дифференц'!B12</f>
        <v>45818</v>
      </c>
      <c r="C12" s="38">
        <f t="shared" si="0"/>
        <v>130080008.98</v>
      </c>
      <c r="D12" s="38">
        <f>IF(A12&lt;'Общие данные'!$B$81,'График аннуитет.'!F12-'График аннуитет.'!E12,'График аннуитет.'!C12)</f>
        <v>5198469.1199999992</v>
      </c>
      <c r="E12" s="38">
        <f>ROUND(C12*'Общие данные'!$B$84/H12,2)*'График аннуитет.'!G12</f>
        <v>6201074.3499999996</v>
      </c>
      <c r="F12" s="38">
        <f>IF(A12&lt;'Общие данные'!$B$81,'График аннуитет.'!F11,'График аннуитет.'!D12+'График аннуитет.'!E12)</f>
        <v>11399543.469999999</v>
      </c>
      <c r="G12" s="19">
        <f t="shared" si="2"/>
        <v>29</v>
      </c>
      <c r="H12" s="19">
        <f t="shared" si="1"/>
        <v>365</v>
      </c>
    </row>
    <row r="13" spans="1:8" x14ac:dyDescent="0.25">
      <c r="A13" s="22">
        <v>6</v>
      </c>
      <c r="B13" s="37">
        <f>'График дифференц'!B13</f>
        <v>45848</v>
      </c>
      <c r="C13" s="38">
        <f t="shared" si="0"/>
        <v>124881539.86</v>
      </c>
      <c r="D13" s="38">
        <f>IF(A13&lt;'Общие данные'!$B$81,'График аннуитет.'!F13-'График аннуитет.'!E13,'График аннуитет.'!C13)</f>
        <v>5241001.8699999992</v>
      </c>
      <c r="E13" s="38">
        <f>ROUND(C13*'Общие данные'!$B$84/H13,2)*'График аннуитет.'!G13</f>
        <v>6158541.5999999996</v>
      </c>
      <c r="F13" s="38">
        <f>IF(A13&lt;'Общие данные'!$B$81,'График аннуитет.'!F12,'График аннуитет.'!D13+'График аннуитет.'!E13)</f>
        <v>11399543.469999999</v>
      </c>
      <c r="G13" s="19">
        <f t="shared" si="2"/>
        <v>30</v>
      </c>
      <c r="H13" s="19">
        <f t="shared" si="1"/>
        <v>365</v>
      </c>
    </row>
    <row r="14" spans="1:8" x14ac:dyDescent="0.25">
      <c r="A14" s="22">
        <v>7</v>
      </c>
      <c r="B14" s="37">
        <f>'График дифференц'!B14</f>
        <v>45880</v>
      </c>
      <c r="C14" s="38">
        <f t="shared" si="0"/>
        <v>119640537.98999999</v>
      </c>
      <c r="D14" s="38">
        <f>IF(A14&lt;'Общие данные'!$B$81,'График аннуитет.'!F14-'График аннуитет.'!E14,'График аннуитет.'!C14)</f>
        <v>5106123.3099999987</v>
      </c>
      <c r="E14" s="38">
        <f>ROUND(C14*'Общие данные'!$B$84/H14,2)*'График аннуитет.'!G14</f>
        <v>6293420.1600000001</v>
      </c>
      <c r="F14" s="38">
        <f>IF(A14&lt;'Общие данные'!$B$81,'График аннуитет.'!F13,'График аннуитет.'!D14+'График аннуитет.'!E14)</f>
        <v>11399543.469999999</v>
      </c>
      <c r="G14" s="19">
        <f t="shared" si="2"/>
        <v>32</v>
      </c>
      <c r="H14" s="19">
        <f t="shared" si="1"/>
        <v>365</v>
      </c>
    </row>
    <row r="15" spans="1:8" x14ac:dyDescent="0.25">
      <c r="A15" s="22">
        <v>8</v>
      </c>
      <c r="B15" s="37">
        <f>'График дифференц'!B15</f>
        <v>45910</v>
      </c>
      <c r="C15" s="38">
        <f t="shared" si="0"/>
        <v>114534414.67999999</v>
      </c>
      <c r="D15" s="38">
        <f>IF(A15&lt;'Общие данные'!$B$81,'График аннуитет.'!F15-'График аннуитет.'!E15,'График аннуитет.'!C15)</f>
        <v>5751270.9699999988</v>
      </c>
      <c r="E15" s="38">
        <f>ROUND(C15*'Общие данные'!$B$84/H15,2)*'График аннуитет.'!G15</f>
        <v>5648272.5</v>
      </c>
      <c r="F15" s="38">
        <f>IF(A15&lt;'Общие данные'!$B$81,'График аннуитет.'!F14,'График аннуитет.'!D15+'График аннуитет.'!E15)</f>
        <v>11399543.469999999</v>
      </c>
      <c r="G15" s="19">
        <f t="shared" si="2"/>
        <v>30</v>
      </c>
      <c r="H15" s="19">
        <f t="shared" si="1"/>
        <v>365</v>
      </c>
    </row>
    <row r="16" spans="1:8" x14ac:dyDescent="0.25">
      <c r="A16" s="22">
        <v>9</v>
      </c>
      <c r="B16" s="37">
        <f>'График дифференц'!B16</f>
        <v>45940</v>
      </c>
      <c r="C16" s="38">
        <f t="shared" si="0"/>
        <v>108783143.70999999</v>
      </c>
      <c r="D16" s="38">
        <f>IF(A16&lt;'Общие данные'!$B$81,'График аннуитет.'!F16-'График аннуитет.'!E16,'График аннуитет.'!C16)</f>
        <v>6034895.169999999</v>
      </c>
      <c r="E16" s="38">
        <f>ROUND(C16*'Общие данные'!$B$84/H16,2)*'График аннуитет.'!G16</f>
        <v>5364648.3</v>
      </c>
      <c r="F16" s="38">
        <f>IF(A16&lt;'Общие данные'!$B$81,'График аннуитет.'!F15,'График аннуитет.'!D16+'График аннуитет.'!E16)</f>
        <v>11399543.469999999</v>
      </c>
      <c r="G16" s="19">
        <f t="shared" si="2"/>
        <v>30</v>
      </c>
      <c r="H16" s="19">
        <f t="shared" si="1"/>
        <v>365</v>
      </c>
    </row>
    <row r="17" spans="1:8" x14ac:dyDescent="0.25">
      <c r="A17" s="22">
        <v>10</v>
      </c>
      <c r="B17" s="37">
        <f>'График дифференц'!B17</f>
        <v>45971</v>
      </c>
      <c r="C17" s="38">
        <f t="shared" si="0"/>
        <v>102748248.53999999</v>
      </c>
      <c r="D17" s="38">
        <f>IF(A17&lt;'Общие данные'!$B$81,'График аннуитет.'!F17-'График аннуитет.'!E17,'График аннуитет.'!C17)</f>
        <v>6163605.3399999989</v>
      </c>
      <c r="E17" s="38">
        <f>ROUND(C17*'Общие данные'!$B$84/H17,2)*'График аннуитет.'!G17</f>
        <v>5235938.13</v>
      </c>
      <c r="F17" s="38">
        <f>IF(A17&lt;'Общие данные'!$B$81,'График аннуитет.'!F16,'График аннуитет.'!D17+'График аннуитет.'!E17)</f>
        <v>11399543.469999999</v>
      </c>
      <c r="G17" s="19">
        <f t="shared" si="2"/>
        <v>31</v>
      </c>
      <c r="H17" s="19">
        <f t="shared" si="1"/>
        <v>365</v>
      </c>
    </row>
    <row r="18" spans="1:8" x14ac:dyDescent="0.25">
      <c r="A18" s="22">
        <v>11</v>
      </c>
      <c r="B18" s="37">
        <f>'График дифференц'!B18</f>
        <v>46001</v>
      </c>
      <c r="C18" s="38">
        <f t="shared" si="0"/>
        <v>96584643.199999988</v>
      </c>
      <c r="D18" s="38">
        <f>IF(A18&lt;'Общие данные'!$B$81,'График аннуитет.'!F18-'График аннуитет.'!E18,'График аннуитет.'!C18)</f>
        <v>6636465.0699999984</v>
      </c>
      <c r="E18" s="38">
        <f>ROUND(C18*'Общие данные'!$B$84/H18,2)*'График аннуитет.'!G18</f>
        <v>4763078.4000000004</v>
      </c>
      <c r="F18" s="38">
        <f>IF(A18&lt;'Общие данные'!$B$81,'График аннуитет.'!F17,'График аннуитет.'!D18+'График аннуитет.'!E18)</f>
        <v>11399543.469999999</v>
      </c>
      <c r="G18" s="19">
        <f t="shared" si="2"/>
        <v>30</v>
      </c>
      <c r="H18" s="19">
        <f t="shared" si="1"/>
        <v>365</v>
      </c>
    </row>
    <row r="19" spans="1:8" x14ac:dyDescent="0.25">
      <c r="A19" s="22">
        <v>12</v>
      </c>
      <c r="B19" s="37">
        <f>'График дифференц'!B19</f>
        <v>46034</v>
      </c>
      <c r="C19" s="38">
        <f t="shared" si="0"/>
        <v>89948178.129999995</v>
      </c>
      <c r="D19" s="38">
        <f>IF(A19&lt;'Общие данные'!$B$81,'График аннуитет.'!F19-'График аннуитет.'!E19,'График аннуитет.'!C19)</f>
        <v>6520162.8099999996</v>
      </c>
      <c r="E19" s="38">
        <f>ROUND(C19*'Общие данные'!$B$84/H19,2)*'График аннуитет.'!G19</f>
        <v>4879380.6599999992</v>
      </c>
      <c r="F19" s="38">
        <f>IF(A19&lt;'Общие данные'!$B$81,'График аннуитет.'!F18,'График аннуитет.'!D19+'График аннуитет.'!E19)</f>
        <v>11399543.469999999</v>
      </c>
      <c r="G19" s="19">
        <f>B19-B18</f>
        <v>33</v>
      </c>
      <c r="H19" s="19">
        <f t="shared" si="1"/>
        <v>365</v>
      </c>
    </row>
    <row r="20" spans="1:8" x14ac:dyDescent="0.25">
      <c r="A20" s="22">
        <v>13</v>
      </c>
      <c r="B20" s="37">
        <f>'График дифференц'!B20</f>
        <v>46063</v>
      </c>
      <c r="C20" s="38">
        <f t="shared" si="0"/>
        <v>83428015.319999993</v>
      </c>
      <c r="D20" s="38">
        <f>IF(A20&lt;'Общие данные'!$B$81,'График аннуитет.'!F20-'График аннуитет.'!E20,'График аннуитет.'!C20)</f>
        <v>7422427.209999999</v>
      </c>
      <c r="E20" s="38">
        <f>ROUND(C20*'Общие данные'!$B$84/H20,2)*'График аннуитет.'!G20</f>
        <v>3977116.2600000002</v>
      </c>
      <c r="F20" s="38">
        <f>IF(A20&lt;'Общие данные'!$B$81,'График аннуитет.'!F19,'График аннуитет.'!D20+'График аннуитет.'!E20)</f>
        <v>11399543.469999999</v>
      </c>
      <c r="G20" s="19">
        <f t="shared" si="2"/>
        <v>29</v>
      </c>
      <c r="H20" s="19">
        <f t="shared" si="1"/>
        <v>365</v>
      </c>
    </row>
    <row r="21" spans="1:8" x14ac:dyDescent="0.25">
      <c r="A21" s="22">
        <v>14</v>
      </c>
      <c r="B21" s="37">
        <f>'График дифференц'!B21</f>
        <v>46091</v>
      </c>
      <c r="C21" s="38">
        <f t="shared" si="0"/>
        <v>76005588.109999999</v>
      </c>
      <c r="D21" s="38">
        <f>IF(A21&lt;'Общие данные'!$B$81,'График аннуитет.'!F21-'График аннуитет.'!E21,'График аннуитет.'!C21)</f>
        <v>7901204.1499999985</v>
      </c>
      <c r="E21" s="38">
        <f>ROUND(C21*'Общие данные'!$B$84/H21,2)*'График аннуитет.'!G21</f>
        <v>3498339.3200000003</v>
      </c>
      <c r="F21" s="38">
        <f>IF(A21&lt;'Общие данные'!$B$81,'График аннуитет.'!F20,'График аннуитет.'!D21+'График аннуитет.'!E21)</f>
        <v>11399543.469999999</v>
      </c>
      <c r="G21" s="19">
        <f t="shared" si="2"/>
        <v>28</v>
      </c>
      <c r="H21" s="19">
        <f t="shared" si="1"/>
        <v>365</v>
      </c>
    </row>
    <row r="22" spans="1:8" x14ac:dyDescent="0.25">
      <c r="A22" s="22">
        <v>15</v>
      </c>
      <c r="B22" s="37">
        <f>'График дифференц'!B22</f>
        <v>46122</v>
      </c>
      <c r="C22" s="38">
        <f t="shared" si="0"/>
        <v>68104383.960000008</v>
      </c>
      <c r="D22" s="38">
        <f>IF(A22&lt;'Общие данные'!$B$81,'График аннуитет.'!F22-'График аннуитет.'!E22,'График аннуитет.'!C22)</f>
        <v>7929018.7599999988</v>
      </c>
      <c r="E22" s="38">
        <f>ROUND(C22*'Общие данные'!$B$84/H22,2)*'График аннуитет.'!G22</f>
        <v>3470524.71</v>
      </c>
      <c r="F22" s="38">
        <f>IF(A22&lt;'Общие данные'!$B$81,'График аннуитет.'!F21,'График аннуитет.'!D22+'График аннуитет.'!E22)</f>
        <v>11399543.469999999</v>
      </c>
      <c r="G22" s="19">
        <f t="shared" si="2"/>
        <v>31</v>
      </c>
      <c r="H22" s="19">
        <f t="shared" si="1"/>
        <v>365</v>
      </c>
    </row>
    <row r="23" spans="1:8" x14ac:dyDescent="0.25">
      <c r="A23" s="22">
        <v>16</v>
      </c>
      <c r="B23" s="37">
        <f>'График дифференц'!B23</f>
        <v>46153</v>
      </c>
      <c r="C23" s="38">
        <f t="shared" si="0"/>
        <v>60175365.20000001</v>
      </c>
      <c r="D23" s="38">
        <f>IF(A23&lt;'Общие данные'!$B$81,'График аннуитет.'!F23-'График аннуитет.'!E23,'График аннуитет.'!C23)</f>
        <v>8333072.7599999988</v>
      </c>
      <c r="E23" s="38">
        <f>ROUND(C23*'Общие данные'!$B$84/H23,2)*'График аннуитет.'!G23</f>
        <v>3066470.71</v>
      </c>
      <c r="F23" s="38">
        <f>IF(A23&lt;'Общие данные'!$B$81,'График аннуитет.'!F22,'График аннуитет.'!D23+'График аннуитет.'!E23)</f>
        <v>11399543.469999999</v>
      </c>
      <c r="G23" s="19">
        <f t="shared" si="2"/>
        <v>31</v>
      </c>
      <c r="H23" s="19">
        <f t="shared" si="1"/>
        <v>365</v>
      </c>
    </row>
    <row r="24" spans="1:8" x14ac:dyDescent="0.25">
      <c r="A24" s="22">
        <v>17</v>
      </c>
      <c r="B24" s="37">
        <f>'График дифференц'!B24</f>
        <v>46183</v>
      </c>
      <c r="C24" s="38">
        <f t="shared" si="0"/>
        <v>51842292.440000013</v>
      </c>
      <c r="D24" s="38">
        <f>IF(A24&lt;'Общие данные'!$B$81,'График аннуитет.'!F24-'График аннуитет.'!E24,'График аннуитет.'!C24)</f>
        <v>8842937.1699999981</v>
      </c>
      <c r="E24" s="38">
        <f>ROUND(C24*'Общие данные'!$B$84/H24,2)*'График аннуитет.'!G24</f>
        <v>2556606.3000000003</v>
      </c>
      <c r="F24" s="38">
        <f>IF(A24&lt;'Общие данные'!$B$81,'График аннуитет.'!F23,'График аннуитет.'!D24+'График аннуитет.'!E24)</f>
        <v>11399543.469999999</v>
      </c>
      <c r="G24" s="19">
        <f t="shared" si="2"/>
        <v>30</v>
      </c>
      <c r="H24" s="19">
        <f t="shared" si="1"/>
        <v>365</v>
      </c>
    </row>
    <row r="25" spans="1:8" x14ac:dyDescent="0.25">
      <c r="A25" s="22">
        <v>18</v>
      </c>
      <c r="B25" s="37">
        <f>'График дифференц'!B25</f>
        <v>46213</v>
      </c>
      <c r="C25" s="38">
        <f t="shared" si="0"/>
        <v>42999355.270000011</v>
      </c>
      <c r="D25" s="38">
        <f>IF(A25&lt;'Общие данные'!$B$81,'График аннуитет.'!F25-'График аннуитет.'!E25,'График аннуитет.'!C25)</f>
        <v>9279027.3699999992</v>
      </c>
      <c r="E25" s="38">
        <f>ROUND(C25*'Общие данные'!$B$84/H25,2)*'График аннуитет.'!G25</f>
        <v>2120516.0999999996</v>
      </c>
      <c r="F25" s="38">
        <f>IF(A25&lt;'Общие данные'!$B$81,'График аннуитет.'!F24,'График аннуитет.'!D25+'График аннуитет.'!E25)</f>
        <v>11399543.469999999</v>
      </c>
      <c r="G25" s="19">
        <f>B25-B24</f>
        <v>30</v>
      </c>
      <c r="H25" s="19">
        <f t="shared" si="1"/>
        <v>365</v>
      </c>
    </row>
    <row r="26" spans="1:8" x14ac:dyDescent="0.25">
      <c r="A26" s="22">
        <v>19</v>
      </c>
      <c r="B26" s="37">
        <f>'График дифференц'!B26</f>
        <v>46244</v>
      </c>
      <c r="C26" s="38">
        <f t="shared" si="0"/>
        <v>33720327.900000013</v>
      </c>
      <c r="D26" s="38">
        <f>IF(A26&lt;'Общие данные'!$B$81,'График аннуитет.'!F26-'График аннуитет.'!E26,'График аннуитет.'!C26)</f>
        <v>9681192.3899999987</v>
      </c>
      <c r="E26" s="38">
        <f>ROUND(C26*'Общие данные'!$B$84/H26,2)*'График аннуитет.'!G26</f>
        <v>1718351.08</v>
      </c>
      <c r="F26" s="38">
        <f>IF(A26&lt;'Общие данные'!$B$81,'График аннуитет.'!F25,'График аннуитет.'!D26+'График аннуитет.'!E26)</f>
        <v>11399543.469999999</v>
      </c>
      <c r="G26" s="19">
        <f t="shared" ref="G26:G31" si="3">B26-B25</f>
        <v>31</v>
      </c>
      <c r="H26" s="19">
        <f t="shared" si="1"/>
        <v>365</v>
      </c>
    </row>
    <row r="27" spans="1:8" x14ac:dyDescent="0.25">
      <c r="A27" s="22">
        <v>20</v>
      </c>
      <c r="B27" s="37">
        <f>'График дифференц'!B27</f>
        <v>46275</v>
      </c>
      <c r="C27" s="38">
        <f t="shared" si="0"/>
        <v>24039135.510000013</v>
      </c>
      <c r="D27" s="38">
        <f>IF(A27&lt;'Общие данные'!$B$81,'График аннуитет.'!F27-'График аннуитет.'!E27,'График аннуитет.'!C27)</f>
        <v>10174535.379999999</v>
      </c>
      <c r="E27" s="38">
        <f>ROUND(C27*'Общие данные'!$B$84/H27,2)*'График аннуитет.'!G27</f>
        <v>1225008.0900000001</v>
      </c>
      <c r="F27" s="38">
        <f>IF(A27&lt;'Общие данные'!$B$81,'График аннуитет.'!F26,'График аннуитет.'!D27+'График аннуитет.'!E27)</f>
        <v>11399543.469999999</v>
      </c>
      <c r="G27" s="19">
        <f t="shared" si="3"/>
        <v>31</v>
      </c>
      <c r="H27" s="19">
        <f t="shared" si="1"/>
        <v>365</v>
      </c>
    </row>
    <row r="28" spans="1:8" x14ac:dyDescent="0.25">
      <c r="A28" s="22">
        <v>21</v>
      </c>
      <c r="B28" s="37">
        <f>'График дифференц'!B28</f>
        <v>46307</v>
      </c>
      <c r="C28" s="38">
        <f t="shared" si="0"/>
        <v>13864600.130000014</v>
      </c>
      <c r="D28" s="38">
        <f>IF(A28&lt;'Общие данные'!$B$81,'График аннуитет.'!F28-'График аннуитет.'!E28,'График аннуитет.'!C28)</f>
        <v>10670227.629999999</v>
      </c>
      <c r="E28" s="38">
        <f>ROUND(C28*'Общие данные'!$B$84/H28,2)*'График аннуитет.'!G28</f>
        <v>729315.83999999997</v>
      </c>
      <c r="F28" s="38">
        <f>IF(A28&lt;'Общие данные'!$B$81,'График аннуитет.'!F27,'График аннуитет.'!D28+'График аннуитет.'!E28)</f>
        <v>11399543.469999999</v>
      </c>
      <c r="G28" s="19">
        <f t="shared" si="3"/>
        <v>32</v>
      </c>
      <c r="H28" s="19">
        <f t="shared" si="1"/>
        <v>365</v>
      </c>
    </row>
    <row r="29" spans="1:8" x14ac:dyDescent="0.25">
      <c r="A29" s="22">
        <v>22</v>
      </c>
      <c r="B29" s="37">
        <f>'График дифференц'!B29</f>
        <v>46336</v>
      </c>
      <c r="C29" s="38">
        <f t="shared" si="0"/>
        <v>3194372.5000000149</v>
      </c>
      <c r="D29" s="38">
        <f>IF(A29&lt;'Общие данные'!$B$81,'График аннуитет.'!F29-'График аннуитет.'!E29,'График аннуитет.'!C29)</f>
        <v>11247263.889999999</v>
      </c>
      <c r="E29" s="38">
        <f>ROUND(C29*'Общие данные'!$B$84/H29,2)*'График аннуитет.'!G29</f>
        <v>152279.58000000002</v>
      </c>
      <c r="F29" s="38">
        <f>IF(A29&lt;'Общие данные'!$B$81,'График аннуитет.'!F28,'График аннуитет.'!D29+'График аннуитет.'!E29)</f>
        <v>11399543.469999999</v>
      </c>
      <c r="G29" s="19">
        <f t="shared" si="3"/>
        <v>29</v>
      </c>
      <c r="H29" s="19">
        <f t="shared" si="1"/>
        <v>365</v>
      </c>
    </row>
    <row r="30" spans="1:8" x14ac:dyDescent="0.25">
      <c r="A30" s="22">
        <v>23</v>
      </c>
      <c r="B30" s="37">
        <f>'График дифференц'!B30</f>
        <v>46366</v>
      </c>
      <c r="C30" s="38">
        <f t="shared" si="0"/>
        <v>-8052891.3899999838</v>
      </c>
      <c r="D30" s="38">
        <f>IF(A30&lt;'Общие данные'!$B$81,'График аннуитет.'!F30-'График аннуитет.'!E30,'График аннуитет.'!C30)</f>
        <v>11796672.369999999</v>
      </c>
      <c r="E30" s="38">
        <f>ROUND(C30*'Общие данные'!$B$84/H30,2)*'График аннуитет.'!G30</f>
        <v>-397128.89999999997</v>
      </c>
      <c r="F30" s="38">
        <f>IF(A30&lt;'Общие данные'!$B$81,'График аннуитет.'!F29,'График аннуитет.'!D30+'График аннуитет.'!E30)</f>
        <v>11399543.469999999</v>
      </c>
      <c r="G30" s="19">
        <f t="shared" si="3"/>
        <v>30</v>
      </c>
      <c r="H30" s="19">
        <f t="shared" si="1"/>
        <v>365</v>
      </c>
    </row>
    <row r="31" spans="1:8" x14ac:dyDescent="0.25">
      <c r="A31" s="22">
        <f>1+A30</f>
        <v>24</v>
      </c>
      <c r="B31" s="37">
        <f>'График дифференц'!B31</f>
        <v>46398</v>
      </c>
      <c r="C31" s="38">
        <f t="shared" ref="C31" si="4">C30-D30</f>
        <v>-19849563.759999983</v>
      </c>
      <c r="D31" s="38">
        <f>IF(A31&lt;'Общие данные'!$B$81,'График аннуитет.'!F31-'График аннуитет.'!E31,'График аннуитет.'!C31)</f>
        <v>12443684.909999998</v>
      </c>
      <c r="E31" s="38">
        <f>ROUND(C31*'Общие данные'!$B$84/H31,2)*'График аннуитет.'!G31</f>
        <v>-1044141.44</v>
      </c>
      <c r="F31" s="38">
        <f>IF(A31&lt;'Общие данные'!$B$81,'График аннуитет.'!F30,'График аннуитет.'!D31+'График аннуитет.'!E31)</f>
        <v>11399543.469999999</v>
      </c>
      <c r="G31" s="19">
        <f t="shared" si="3"/>
        <v>32</v>
      </c>
      <c r="H31" s="19">
        <f t="shared" si="1"/>
        <v>365</v>
      </c>
    </row>
    <row r="32" spans="1:8" x14ac:dyDescent="0.25">
      <c r="A32" s="22">
        <f t="shared" ref="A32:A43" si="5">1+A31</f>
        <v>25</v>
      </c>
      <c r="B32" s="37">
        <f>'График дифференц'!B32</f>
        <v>46428</v>
      </c>
      <c r="C32" s="38">
        <f t="shared" ref="C32:C43" si="6">C31-D31</f>
        <v>-32293248.669999979</v>
      </c>
      <c r="D32" s="38">
        <f>IF(A32&lt;'Общие данные'!$B$81,'График аннуитет.'!F32-'График аннуитет.'!E32,'График аннуитет.'!C32)</f>
        <v>12992087.169999998</v>
      </c>
      <c r="E32" s="38">
        <f>ROUND(C32*'Общие данные'!$B$84/H32,2)*'График аннуитет.'!G32</f>
        <v>-1592543.7</v>
      </c>
      <c r="F32" s="38">
        <f>IF(A32&lt;'Общие данные'!$B$81,'График аннуитет.'!F31,'График аннуитет.'!D32+'График аннуитет.'!E32)</f>
        <v>11399543.469999999</v>
      </c>
      <c r="G32" s="19">
        <f t="shared" ref="G32:G43" si="7">B32-B31</f>
        <v>30</v>
      </c>
      <c r="H32" s="19">
        <f t="shared" ref="H32:H43" si="8">DATE(YEAR(B32),12,31)-DATE(YEAR(B32),1,1)+1</f>
        <v>365</v>
      </c>
    </row>
    <row r="33" spans="1:8" x14ac:dyDescent="0.25">
      <c r="A33" s="22">
        <f t="shared" si="5"/>
        <v>26</v>
      </c>
      <c r="B33" s="37">
        <f>'График дифференц'!B33</f>
        <v>46456</v>
      </c>
      <c r="C33" s="38">
        <f t="shared" si="6"/>
        <v>-45285335.839999974</v>
      </c>
      <c r="D33" s="38">
        <f>IF(A33&lt;'Общие данные'!$B$81,'График аннуитет.'!F33-'График аннуитет.'!E33,'График аннуитет.'!C33)</f>
        <v>13483909.669999998</v>
      </c>
      <c r="E33" s="38">
        <f>ROUND(C33*'Общие данные'!$B$84/H33,2)*'График аннуитет.'!G33</f>
        <v>-2084366.1999999997</v>
      </c>
      <c r="F33" s="38">
        <f>IF(A33&lt;'Общие данные'!$B$81,'График аннуитет.'!F32,'График аннуитет.'!D33+'График аннуитет.'!E33)</f>
        <v>11399543.469999999</v>
      </c>
      <c r="G33" s="19">
        <f t="shared" si="7"/>
        <v>28</v>
      </c>
      <c r="H33" s="19">
        <f t="shared" si="8"/>
        <v>365</v>
      </c>
    </row>
    <row r="34" spans="1:8" x14ac:dyDescent="0.25">
      <c r="A34" s="22">
        <f t="shared" si="5"/>
        <v>27</v>
      </c>
      <c r="B34" s="37">
        <f>'График дифференц'!B34</f>
        <v>46489</v>
      </c>
      <c r="C34" s="38">
        <f t="shared" si="6"/>
        <v>-58769245.509999976</v>
      </c>
      <c r="D34" s="38">
        <f>IF(A34&lt;'Общие данные'!$B$81,'График аннуитет.'!F34-'График аннуитет.'!E34,'График аннуитет.'!C34)</f>
        <v>14587573.809999999</v>
      </c>
      <c r="E34" s="38">
        <f>ROUND(C34*'Общие данные'!$B$84/H34,2)*'График аннуитет.'!G34</f>
        <v>-3188030.34</v>
      </c>
      <c r="F34" s="38">
        <f>IF(A34&lt;'Общие данные'!$B$81,'График аннуитет.'!F33,'График аннуитет.'!D34+'График аннуитет.'!E34)</f>
        <v>11399543.469999999</v>
      </c>
      <c r="G34" s="19">
        <f t="shared" si="7"/>
        <v>33</v>
      </c>
      <c r="H34" s="19">
        <f t="shared" si="8"/>
        <v>365</v>
      </c>
    </row>
    <row r="35" spans="1:8" x14ac:dyDescent="0.25">
      <c r="A35" s="22">
        <f t="shared" si="5"/>
        <v>28</v>
      </c>
      <c r="B35" s="37">
        <f>'График дифференц'!B35</f>
        <v>46517</v>
      </c>
      <c r="C35" s="38">
        <f t="shared" si="6"/>
        <v>-73356819.319999978</v>
      </c>
      <c r="D35" s="38">
        <f>IF(A35&lt;'Общие данные'!$B$81,'График аннуитет.'!F35-'График аннуитет.'!E35,'График аннуитет.'!C35)</f>
        <v>14775966.869999999</v>
      </c>
      <c r="E35" s="38">
        <f>ROUND(C35*'Общие данные'!$B$84/H35,2)*'График аннуитет.'!G35</f>
        <v>-3376423.4</v>
      </c>
      <c r="F35" s="38">
        <f>IF(A35&lt;'Общие данные'!$B$81,'График аннуитет.'!F34,'График аннуитет.'!D35+'График аннуитет.'!E35)</f>
        <v>11399543.469999999</v>
      </c>
      <c r="G35" s="19">
        <f t="shared" si="7"/>
        <v>28</v>
      </c>
      <c r="H35" s="19">
        <f t="shared" si="8"/>
        <v>365</v>
      </c>
    </row>
    <row r="36" spans="1:8" x14ac:dyDescent="0.25">
      <c r="A36" s="22">
        <f t="shared" si="5"/>
        <v>29</v>
      </c>
      <c r="B36" s="37">
        <f>'График дифференц'!B36</f>
        <v>46548</v>
      </c>
      <c r="C36" s="38">
        <f t="shared" si="6"/>
        <v>-88132786.189999983</v>
      </c>
      <c r="D36" s="38">
        <f>IF(A36&lt;'Общие данные'!$B$81,'График аннуитет.'!F36-'График аннуитет.'!E36,'График аннуитет.'!C36)</f>
        <v>15890693.579999998</v>
      </c>
      <c r="E36" s="38">
        <f>ROUND(C36*'Общие данные'!$B$84/H36,2)*'График аннуитет.'!G36</f>
        <v>-4491150.1100000003</v>
      </c>
      <c r="F36" s="38">
        <f>IF(A36&lt;'Общие данные'!$B$81,'График аннуитет.'!F35,'График аннуитет.'!D36+'График аннуитет.'!E36)</f>
        <v>11399543.469999999</v>
      </c>
      <c r="G36" s="19">
        <f t="shared" si="7"/>
        <v>31</v>
      </c>
      <c r="H36" s="19">
        <f t="shared" si="8"/>
        <v>365</v>
      </c>
    </row>
    <row r="37" spans="1:8" x14ac:dyDescent="0.25">
      <c r="A37" s="22">
        <f t="shared" si="5"/>
        <v>30</v>
      </c>
      <c r="B37" s="37">
        <f>'График дифференц'!B37</f>
        <v>46580</v>
      </c>
      <c r="C37" s="38">
        <f t="shared" si="6"/>
        <v>-104023479.76999998</v>
      </c>
      <c r="D37" s="38">
        <f>IF(A37&lt;'Общие данные'!$B$81,'График аннуитет.'!F37-'График аннуитет.'!E37,'График аннуитет.'!C37)</f>
        <v>16871463.469999999</v>
      </c>
      <c r="E37" s="38">
        <f>ROUND(C37*'Общие данные'!$B$84/H37,2)*'График аннуитет.'!G37</f>
        <v>-5471920</v>
      </c>
      <c r="F37" s="38">
        <f>IF(A37&lt;'Общие данные'!$B$81,'График аннуитет.'!F36,'График аннуитет.'!D37+'График аннуитет.'!E37)</f>
        <v>11399543.469999999</v>
      </c>
      <c r="G37" s="19">
        <f t="shared" si="7"/>
        <v>32</v>
      </c>
      <c r="H37" s="19">
        <f t="shared" si="8"/>
        <v>365</v>
      </c>
    </row>
    <row r="38" spans="1:8" x14ac:dyDescent="0.25">
      <c r="A38" s="22">
        <f t="shared" si="5"/>
        <v>31</v>
      </c>
      <c r="B38" s="37">
        <f>'График дифференц'!B38</f>
        <v>46609</v>
      </c>
      <c r="C38" s="38">
        <f t="shared" si="6"/>
        <v>-120894943.23999998</v>
      </c>
      <c r="D38" s="38">
        <f>IF(A38&lt;'Общие данные'!$B$81,'График аннуитет.'!F38-'График аннуитет.'!E38,'График аннуитет.'!C38)</f>
        <v>17162754.359999999</v>
      </c>
      <c r="E38" s="38">
        <f>ROUND(C38*'Общие данные'!$B$84/H38,2)*'График аннуитет.'!G38</f>
        <v>-5763210.8899999997</v>
      </c>
      <c r="F38" s="38">
        <f>IF(A38&lt;'Общие данные'!$B$81,'График аннуитет.'!F37,'График аннуитет.'!D38+'График аннуитет.'!E38)</f>
        <v>11399543.469999999</v>
      </c>
      <c r="G38" s="19">
        <f t="shared" si="7"/>
        <v>29</v>
      </c>
      <c r="H38" s="19">
        <f t="shared" si="8"/>
        <v>365</v>
      </c>
    </row>
    <row r="39" spans="1:8" x14ac:dyDescent="0.25">
      <c r="A39" s="22">
        <f t="shared" si="5"/>
        <v>32</v>
      </c>
      <c r="B39" s="37">
        <f>'График дифференц'!B39</f>
        <v>46640</v>
      </c>
      <c r="C39" s="38">
        <f t="shared" si="6"/>
        <v>-138057697.59999996</v>
      </c>
      <c r="D39" s="38">
        <f>IF(A39&lt;'Общие данные'!$B$81,'График аннуитет.'!F39-'График аннуитет.'!E39,'График аннуитет.'!C39)</f>
        <v>18434812.43</v>
      </c>
      <c r="E39" s="38">
        <f>ROUND(C39*'Общие данные'!$B$84/H39,2)*'График аннуитет.'!G39</f>
        <v>-7035268.96</v>
      </c>
      <c r="F39" s="38">
        <f>IF(A39&lt;'Общие данные'!$B$81,'График аннуитет.'!F38,'График аннуитет.'!D39+'График аннуитет.'!E39)</f>
        <v>11399543.469999999</v>
      </c>
      <c r="G39" s="19">
        <f t="shared" si="7"/>
        <v>31</v>
      </c>
      <c r="H39" s="19">
        <f t="shared" si="8"/>
        <v>365</v>
      </c>
    </row>
    <row r="40" spans="1:8" x14ac:dyDescent="0.25">
      <c r="A40" s="22">
        <f t="shared" si="5"/>
        <v>33</v>
      </c>
      <c r="B40" s="37">
        <f>'График дифференц'!B40</f>
        <v>46671</v>
      </c>
      <c r="C40" s="38">
        <f t="shared" si="6"/>
        <v>-156492510.02999997</v>
      </c>
      <c r="D40" s="38">
        <f>IF(A40&lt;'Общие данные'!$B$81,'График аннуитет.'!F40-'График аннуитет.'!E40,'График аннуитет.'!C40)</f>
        <v>19374230.229999997</v>
      </c>
      <c r="E40" s="38">
        <f>ROUND(C40*'Общие данные'!$B$84/H40,2)*'График аннуитет.'!G40</f>
        <v>-7974686.7599999998</v>
      </c>
      <c r="F40" s="38">
        <f>IF(A40&lt;'Общие данные'!$B$81,'График аннуитет.'!F39,'График аннуитет.'!D40+'График аннуитет.'!E40)</f>
        <v>11399543.469999999</v>
      </c>
      <c r="G40" s="19">
        <f t="shared" si="7"/>
        <v>31</v>
      </c>
      <c r="H40" s="19">
        <f t="shared" si="8"/>
        <v>365</v>
      </c>
    </row>
    <row r="41" spans="1:8" x14ac:dyDescent="0.25">
      <c r="A41" s="22">
        <f t="shared" si="5"/>
        <v>34</v>
      </c>
      <c r="B41" s="37">
        <f>'График дифференц'!B41</f>
        <v>46701</v>
      </c>
      <c r="C41" s="38">
        <f t="shared" si="6"/>
        <v>-175866740.25999996</v>
      </c>
      <c r="D41" s="38">
        <f>IF(A41&lt;'Общие данные'!$B$81,'График аннуитет.'!F41-'График аннуитет.'!E41,'График аннуитет.'!C41)</f>
        <v>20072423.77</v>
      </c>
      <c r="E41" s="38">
        <f>ROUND(C41*'Общие данные'!$B$84/H41,2)*'График аннуитет.'!G41</f>
        <v>-8672880.3000000007</v>
      </c>
      <c r="F41" s="38">
        <f>IF(A41&lt;'Общие данные'!$B$81,'График аннуитет.'!F40,'График аннуитет.'!D41+'График аннуитет.'!E41)</f>
        <v>11399543.469999999</v>
      </c>
      <c r="G41" s="19">
        <f t="shared" si="7"/>
        <v>30</v>
      </c>
      <c r="H41" s="19">
        <f t="shared" si="8"/>
        <v>365</v>
      </c>
    </row>
    <row r="42" spans="1:8" x14ac:dyDescent="0.25">
      <c r="A42" s="22">
        <f t="shared" si="5"/>
        <v>35</v>
      </c>
      <c r="B42" s="37">
        <f>'График дифференц'!B42</f>
        <v>46731</v>
      </c>
      <c r="C42" s="38">
        <f t="shared" si="6"/>
        <v>-195939164.02999997</v>
      </c>
      <c r="D42" s="38">
        <f>IF(A42&lt;'Общие данные'!$B$81,'График аннуитет.'!F42-'График аннуитет.'!E42,'График аннуитет.'!C42)</f>
        <v>21062296.869999997</v>
      </c>
      <c r="E42" s="38">
        <f>ROUND(C42*'Общие данные'!$B$84/H42,2)*'График аннуитет.'!G42</f>
        <v>-9662753.4000000004</v>
      </c>
      <c r="F42" s="38">
        <f>IF(A42&lt;'Общие данные'!$B$81,'График аннуитет.'!F41,'График аннуитет.'!D42+'График аннуитет.'!E42)</f>
        <v>11399543.469999999</v>
      </c>
      <c r="G42" s="19">
        <f t="shared" si="7"/>
        <v>30</v>
      </c>
      <c r="H42" s="19">
        <f t="shared" si="8"/>
        <v>365</v>
      </c>
    </row>
    <row r="43" spans="1:8" x14ac:dyDescent="0.25">
      <c r="A43" s="22">
        <f t="shared" si="5"/>
        <v>36</v>
      </c>
      <c r="B43" s="37">
        <f>'График дифференц'!B43</f>
        <v>46773</v>
      </c>
      <c r="C43" s="38">
        <f t="shared" si="6"/>
        <v>-217001460.89999998</v>
      </c>
      <c r="D43" s="38">
        <f>IF(A43&lt;'Общие данные'!$B$81,'График аннуитет.'!F43-'График аннуитет.'!E43,'График аннуитет.'!C43)</f>
        <v>-217001460.89999998</v>
      </c>
      <c r="E43" s="38">
        <f>ROUND(C43*'Общие данные'!$B$84/H43,2)*'График аннуитет.'!G43</f>
        <v>-14941084.199999999</v>
      </c>
      <c r="F43" s="38">
        <f>IF(A43&lt;'Общие данные'!$B$81,'График аннуитет.'!F42,'График аннуитет.'!D43+'График аннуитет.'!E43)</f>
        <v>-231942545.09999996</v>
      </c>
      <c r="G43" s="19">
        <f t="shared" si="7"/>
        <v>42</v>
      </c>
      <c r="H43" s="19">
        <f t="shared" si="8"/>
        <v>366</v>
      </c>
    </row>
    <row r="44" spans="1:8" x14ac:dyDescent="0.25">
      <c r="A44" s="50"/>
      <c r="B44" s="51" t="s">
        <v>7</v>
      </c>
      <c r="C44" s="52"/>
      <c r="D44" s="52">
        <f>SUM(D8:D31)</f>
        <v>182293248.66999999</v>
      </c>
      <c r="E44" s="52">
        <f>SUM(E8:E31)</f>
        <v>91295794.60999997</v>
      </c>
      <c r="F44" s="52">
        <f>SUM(F8:F31)</f>
        <v>273589043.27999997</v>
      </c>
    </row>
    <row r="45" spans="1:8" ht="9" customHeight="1" x14ac:dyDescent="0.25">
      <c r="B45" s="39"/>
      <c r="C45" s="40"/>
      <c r="D45" s="40"/>
      <c r="E45" s="40"/>
      <c r="F45" s="40"/>
    </row>
    <row r="46" spans="1:8" ht="47.25" customHeight="1" x14ac:dyDescent="0.25">
      <c r="A46" s="232" t="s">
        <v>18</v>
      </c>
      <c r="B46" s="232"/>
      <c r="C46" s="232"/>
      <c r="D46" s="232"/>
      <c r="E46" s="232"/>
      <c r="F46" s="232"/>
    </row>
    <row r="47" spans="1:8" ht="7.5" customHeight="1" x14ac:dyDescent="0.25"/>
    <row r="48" spans="1:8" x14ac:dyDescent="0.25">
      <c r="A48" s="260" t="e">
        <f>#REF!</f>
        <v>#REF!</v>
      </c>
      <c r="B48" s="260"/>
      <c r="C48" s="260"/>
      <c r="D48" s="260" t="e">
        <f>#REF!</f>
        <v>#REF!</v>
      </c>
      <c r="E48" s="260"/>
      <c r="F48" s="260"/>
    </row>
    <row r="49" spans="1:6" ht="11.25" customHeight="1" x14ac:dyDescent="0.25">
      <c r="A49" s="261"/>
      <c r="B49" s="261"/>
      <c r="C49" s="261"/>
      <c r="D49" s="261"/>
      <c r="E49" s="261"/>
      <c r="F49" s="261"/>
    </row>
    <row r="50" spans="1:6" ht="30" customHeight="1" x14ac:dyDescent="0.25">
      <c r="A50" s="259" t="e">
        <f>#REF!</f>
        <v>#REF!</v>
      </c>
      <c r="B50" s="259"/>
      <c r="C50" s="259"/>
      <c r="D50" s="259" t="e">
        <f>#REF!</f>
        <v>#REF!</v>
      </c>
      <c r="E50" s="259"/>
      <c r="F50" s="259"/>
    </row>
    <row r="51" spans="1:6" ht="32.25" customHeight="1" x14ac:dyDescent="0.25">
      <c r="A51" s="255" t="e">
        <f>#REF!</f>
        <v>#REF!</v>
      </c>
      <c r="B51" s="255"/>
      <c r="C51" s="255"/>
      <c r="D51" s="255" t="e">
        <f>#REF!</f>
        <v>#REF!</v>
      </c>
      <c r="E51" s="255"/>
      <c r="F51" s="255"/>
    </row>
    <row r="52" spans="1:6" x14ac:dyDescent="0.25">
      <c r="A52" s="255" t="e">
        <f>#REF!</f>
        <v>#REF!</v>
      </c>
      <c r="B52" s="255"/>
      <c r="C52" s="255"/>
      <c r="D52" s="255" t="str">
        <f>"паспорт серии "&amp;'Общие данные'!B16&amp;", "&amp;'Общие данные'!B20&amp;""</f>
        <v>паспорт серии AD1337033, IIV6215 tomonidan 11.05.2022 yilda berilgan</v>
      </c>
      <c r="E52" s="255"/>
      <c r="F52" s="255"/>
    </row>
    <row r="53" spans="1:6" ht="32.25" customHeight="1" x14ac:dyDescent="0.25">
      <c r="A53" s="255" t="e">
        <f>#REF!</f>
        <v>#REF!</v>
      </c>
      <c r="B53" s="255"/>
      <c r="C53" s="255"/>
      <c r="D53" s="255"/>
      <c r="E53" s="255"/>
      <c r="F53" s="255"/>
    </row>
    <row r="54" spans="1:6" x14ac:dyDescent="0.25">
      <c r="A54" s="255" t="e">
        <f>#REF!</f>
        <v>#REF!</v>
      </c>
      <c r="B54" s="255"/>
      <c r="C54" s="255"/>
      <c r="D54" s="255" t="e">
        <f>#REF!</f>
        <v>#REF!</v>
      </c>
      <c r="E54" s="255"/>
      <c r="F54" s="255"/>
    </row>
    <row r="55" spans="1:6" x14ac:dyDescent="0.25">
      <c r="A55" s="255" t="e">
        <f>#REF!</f>
        <v>#REF!</v>
      </c>
      <c r="B55" s="255"/>
      <c r="C55" s="255"/>
      <c r="D55" s="255" t="e">
        <f>#REF!</f>
        <v>#REF!</v>
      </c>
      <c r="E55" s="255"/>
      <c r="F55" s="255"/>
    </row>
    <row r="56" spans="1:6" x14ac:dyDescent="0.25">
      <c r="A56" s="255" t="e">
        <f>#REF!</f>
        <v>#REF!</v>
      </c>
      <c r="B56" s="255"/>
      <c r="C56" s="255"/>
      <c r="D56" s="255" t="e">
        <f>#REF!</f>
        <v>#REF!</v>
      </c>
      <c r="E56" s="255"/>
      <c r="F56" s="255"/>
    </row>
    <row r="57" spans="1:6" ht="8.25" customHeight="1" x14ac:dyDescent="0.25">
      <c r="A57" s="255"/>
      <c r="B57" s="255"/>
      <c r="C57" s="255"/>
      <c r="D57" s="255"/>
      <c r="E57" s="255"/>
      <c r="F57" s="255"/>
    </row>
    <row r="58" spans="1:6" x14ac:dyDescent="0.25">
      <c r="A58" s="259" t="e">
        <f>#REF!</f>
        <v>#REF!</v>
      </c>
      <c r="B58" s="259"/>
      <c r="C58" s="259"/>
      <c r="D58" s="259" t="e">
        <f>#REF!</f>
        <v>#REF!</v>
      </c>
      <c r="E58" s="259"/>
      <c r="F58" s="259"/>
    </row>
    <row r="59" spans="1:6" ht="7.5" customHeight="1" x14ac:dyDescent="0.25">
      <c r="A59" s="259"/>
      <c r="B59" s="259"/>
      <c r="C59" s="259"/>
      <c r="D59" s="259"/>
      <c r="E59" s="259"/>
      <c r="F59" s="259"/>
    </row>
    <row r="60" spans="1:6" x14ac:dyDescent="0.25">
      <c r="A60" s="259" t="e">
        <f>#REF!</f>
        <v>#REF!</v>
      </c>
      <c r="B60" s="259"/>
      <c r="C60" s="259"/>
      <c r="D60" s="259" t="e">
        <f>#REF!</f>
        <v>#REF!</v>
      </c>
      <c r="E60" s="259"/>
      <c r="F60" s="259"/>
    </row>
    <row r="61" spans="1:6" ht="8.25" customHeight="1" x14ac:dyDescent="0.25">
      <c r="A61" s="255"/>
      <c r="B61" s="255"/>
      <c r="C61" s="255"/>
      <c r="D61" s="255"/>
      <c r="E61" s="255"/>
      <c r="F61" s="255"/>
    </row>
    <row r="62" spans="1:6" ht="30" customHeight="1" x14ac:dyDescent="0.25">
      <c r="A62" s="256"/>
      <c r="B62" s="256"/>
      <c r="C62" s="256"/>
      <c r="D62" s="257"/>
      <c r="E62" s="257"/>
      <c r="F62" s="257"/>
    </row>
    <row r="63" spans="1:6" x14ac:dyDescent="0.25">
      <c r="A63" s="258"/>
      <c r="B63" s="258"/>
      <c r="C63" s="258"/>
      <c r="D63" s="258"/>
      <c r="E63" s="258"/>
      <c r="F63" s="258"/>
    </row>
    <row r="64" spans="1:6" x14ac:dyDescent="0.25">
      <c r="A64" s="254"/>
      <c r="B64" s="254"/>
      <c r="C64" s="254"/>
      <c r="D64" s="254"/>
      <c r="E64" s="254"/>
      <c r="F64" s="254"/>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5"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2" zoomScaleSheetLayoutView="100" workbookViewId="0">
      <selection activeCell="F27" sqref="F27"/>
    </sheetView>
  </sheetViews>
  <sheetFormatPr defaultColWidth="9.140625" defaultRowHeight="12.75" x14ac:dyDescent="0.2"/>
  <cols>
    <col min="1" max="6" width="14.28515625" style="28" customWidth="1"/>
    <col min="7" max="16384" width="9.140625" style="28"/>
  </cols>
  <sheetData>
    <row r="1" spans="1:6" x14ac:dyDescent="0.2">
      <c r="A1" s="268" t="s">
        <v>216</v>
      </c>
      <c r="B1" s="268"/>
      <c r="C1" s="268"/>
      <c r="D1" s="268"/>
      <c r="E1" s="268"/>
      <c r="F1" s="268"/>
    </row>
    <row r="2" spans="1:6" ht="35.25" customHeight="1" x14ac:dyDescent="0.2">
      <c r="A2" s="269" t="s">
        <v>326</v>
      </c>
      <c r="B2" s="269"/>
      <c r="C2" s="269"/>
      <c r="D2" s="269"/>
      <c r="E2" s="269"/>
      <c r="F2" s="269"/>
    </row>
    <row r="3" spans="1:6" x14ac:dyDescent="0.2">
      <c r="A3" s="268" t="s">
        <v>217</v>
      </c>
      <c r="B3" s="268"/>
      <c r="C3" s="268"/>
      <c r="D3" s="268"/>
      <c r="E3" s="268"/>
      <c r="F3" s="268"/>
    </row>
    <row r="4" spans="1:6" x14ac:dyDescent="0.2">
      <c r="A4" s="267" t="str">
        <f>'Заключение КК'!A4:E4</f>
        <v>Mijozning to'liq ismi sharifi: OTASHEVA RUQIYA SHERALI QIZI</v>
      </c>
      <c r="B4" s="267"/>
      <c r="C4" s="267"/>
      <c r="D4" s="267"/>
      <c r="E4" s="267"/>
      <c r="F4" s="267"/>
    </row>
    <row r="5" spans="1:6" x14ac:dyDescent="0.2">
      <c r="A5" s="267" t="str">
        <f>'Заключение КК'!A5:E5</f>
        <v>Tug'ilgan sanasi: 13.12.2005y</v>
      </c>
      <c r="B5" s="267"/>
      <c r="C5" s="267"/>
      <c r="D5" s="267"/>
      <c r="E5" s="267"/>
      <c r="F5" s="267"/>
    </row>
    <row r="6" spans="1:6" ht="32.25" customHeight="1" x14ac:dyDescent="0.2">
      <c r="A6" s="267" t="str">
        <f>'Заключение КК'!A6:E6</f>
        <v>Pasport seriyasi AD1337033 IIV6215 tomonidan 11.05.2022 yilda berilgan, amal qilish muddati - 10.05.2032 y.</v>
      </c>
      <c r="B6" s="267"/>
      <c r="C6" s="267"/>
      <c r="D6" s="267"/>
      <c r="E6" s="267"/>
      <c r="F6" s="267"/>
    </row>
    <row r="7" spans="1:6" x14ac:dyDescent="0.2">
      <c r="A7" s="267" t="str">
        <f>"Fuqaroligi: "&amp;'Общие данные'!B32&amp;""</f>
        <v>Fuqaroligi: O’zbekiston Respublikasi</v>
      </c>
      <c r="B7" s="267"/>
      <c r="C7" s="267"/>
      <c r="D7" s="267"/>
      <c r="E7" s="267"/>
      <c r="F7" s="267"/>
    </row>
    <row r="8" spans="1:6" ht="26.25" customHeight="1" x14ac:dyDescent="0.2">
      <c r="A8" s="267" t="str">
        <f>'Заключение КК'!A7:E7</f>
        <v>Ro‘yxatdan o‘tgan manzili: OLOT TUMAN CHOVDUR MFY, mo'ljal: JUMABOZOR CHORRAXA</v>
      </c>
      <c r="B8" s="267"/>
      <c r="C8" s="267"/>
      <c r="D8" s="267"/>
      <c r="E8" s="267"/>
      <c r="F8" s="267"/>
    </row>
    <row r="9" spans="1:6" ht="28.5" customHeight="1" x14ac:dyDescent="0.2">
      <c r="A9" s="267" t="str">
        <f>IF('Общие данные'!B23="mos keladi"," ",'Анкета Клиента'!A10:F10)</f>
        <v>Haqiqatdan yashash joy manzili: OLOT TUMAN CHOVDUR MFY</v>
      </c>
      <c r="B9" s="267"/>
      <c r="C9" s="267"/>
      <c r="D9" s="267"/>
      <c r="E9" s="267"/>
      <c r="F9" s="267"/>
    </row>
    <row r="10" spans="1:6" ht="31.5" hidden="1" customHeight="1" x14ac:dyDescent="0.2">
      <c r="A10" s="267" t="str">
        <f>"Haqiqatdan yashash joy manzili: "&amp;'Общие данные'!B28&amp;""</f>
        <v>Haqiqatdan yashash joy manzili: OLOT TUMAN CHOVDUR MFY</v>
      </c>
      <c r="B10" s="267"/>
      <c r="C10" s="267"/>
      <c r="D10" s="267"/>
      <c r="E10" s="267"/>
      <c r="F10" s="267"/>
    </row>
    <row r="11" spans="1:6" ht="16.5" hidden="1" customHeight="1" x14ac:dyDescent="0.2">
      <c r="A11" s="267" t="str">
        <f>'Заключение КК'!A8:E8</f>
        <v>Ish joyi:  lavozimi Qishloq xo'jaligi ishlarida O'Z O'ZINI BAND QILGAN FUQARO</v>
      </c>
      <c r="B11" s="267"/>
      <c r="C11" s="267"/>
      <c r="D11" s="267"/>
      <c r="E11" s="267"/>
      <c r="F11" s="267"/>
    </row>
    <row r="12" spans="1:6" x14ac:dyDescent="0.2">
      <c r="A12" s="268" t="s">
        <v>218</v>
      </c>
      <c r="B12" s="268"/>
      <c r="C12" s="268"/>
      <c r="D12" s="268"/>
      <c r="E12" s="268"/>
      <c r="F12" s="268"/>
    </row>
    <row r="13" spans="1:6" x14ac:dyDescent="0.2">
      <c r="A13" s="267" t="str">
        <f>"Uy telefoni raqami: "&amp;'Общие данные'!B40&amp;""</f>
        <v>Uy telefoni raqami: 94-545-33-77 ONASI</v>
      </c>
      <c r="B13" s="267"/>
      <c r="C13" s="267"/>
      <c r="D13" s="267"/>
      <c r="E13" s="267"/>
      <c r="F13" s="267"/>
    </row>
    <row r="14" spans="1:6" x14ac:dyDescent="0.2">
      <c r="A14" s="267" t="str">
        <f>"Uyali telefon raqami: "&amp;'Общие данные'!B41&amp;""</f>
        <v>Uyali telefon raqami: 93 47233-77 ONASI</v>
      </c>
      <c r="B14" s="267"/>
      <c r="C14" s="267"/>
      <c r="D14" s="267"/>
      <c r="E14" s="267"/>
      <c r="F14" s="267"/>
    </row>
    <row r="15" spans="1:6" x14ac:dyDescent="0.2">
      <c r="A15" s="267" t="str">
        <f>"Uyali telefon raqami: "&amp;'Общие данные'!B42&amp;""</f>
        <v>Uyali telefon raqami: 94-016-90-45 KLIENT</v>
      </c>
      <c r="B15" s="267"/>
      <c r="C15" s="267"/>
      <c r="D15" s="267"/>
      <c r="E15" s="267"/>
      <c r="F15" s="267"/>
    </row>
    <row r="16" spans="1:6" hidden="1" x14ac:dyDescent="0.2">
      <c r="A16" s="267" t="str">
        <f>"Uyali telefon raqami: "&amp;'Общие данные'!B42&amp;""</f>
        <v>Uyali telefon raqami: 94-016-90-45 KLIENT</v>
      </c>
      <c r="B16" s="267"/>
      <c r="C16" s="267"/>
      <c r="D16" s="267"/>
      <c r="E16" s="267"/>
      <c r="F16" s="267"/>
    </row>
    <row r="17" spans="1:6" x14ac:dyDescent="0.2">
      <c r="A17" s="267" t="str">
        <f>"Ish telefoni raqami: "&amp;'Общие данные'!B43&amp;""</f>
        <v xml:space="preserve">Ish telefoni raqami: </v>
      </c>
      <c r="B17" s="267"/>
      <c r="C17" s="267"/>
      <c r="D17" s="267"/>
      <c r="E17" s="267"/>
      <c r="F17" s="267"/>
    </row>
    <row r="18" spans="1:6" x14ac:dyDescent="0.2">
      <c r="A18" s="268" t="s">
        <v>219</v>
      </c>
      <c r="B18" s="268"/>
      <c r="C18" s="268"/>
      <c r="D18" s="268"/>
      <c r="E18" s="268"/>
      <c r="F18" s="268"/>
    </row>
    <row r="19" spans="1:6" x14ac:dyDescent="0.2">
      <c r="A19" s="267" t="str">
        <f>"Muassasa nomlanishi:"&amp;'Общие данные'!B58&amp;""</f>
        <v xml:space="preserve">Muassasa nomlanishi:O'Z O'ZINI BAND QILGAN FUQARO </v>
      </c>
      <c r="B19" s="267"/>
      <c r="C19" s="267"/>
      <c r="D19" s="267"/>
      <c r="E19" s="267"/>
      <c r="F19" s="267"/>
    </row>
    <row r="20" spans="1:6" x14ac:dyDescent="0.2">
      <c r="A20" s="267" t="str">
        <f>"Ro‘yxatdan o‘tish manzili:"&amp;'Общие данные'!B50&amp;""</f>
        <v>Ro‘yxatdan o‘tish manzili:</v>
      </c>
      <c r="B20" s="267"/>
      <c r="C20" s="267"/>
      <c r="D20" s="267"/>
      <c r="E20" s="267"/>
      <c r="F20" s="267"/>
    </row>
    <row r="21" spans="1:6" x14ac:dyDescent="0.2">
      <c r="A21" s="267" t="str">
        <f>"Lavozimi: "&amp;'Общие данные'!B59&amp;""</f>
        <v>Lavozimi: Qishloq xo'jaligi ishlari</v>
      </c>
      <c r="B21" s="267"/>
      <c r="C21" s="267"/>
      <c r="D21" s="267"/>
      <c r="E21" s="267"/>
      <c r="F21" s="267"/>
    </row>
    <row r="22" spans="1:6" x14ac:dyDescent="0.2">
      <c r="A22" s="268" t="s">
        <v>220</v>
      </c>
      <c r="B22" s="270"/>
      <c r="C22" s="270"/>
      <c r="D22" s="270"/>
      <c r="E22" s="270"/>
      <c r="F22" s="270"/>
    </row>
    <row r="23" spans="1:6" s="30" customFormat="1" ht="25.5" x14ac:dyDescent="0.25">
      <c r="A23" s="29" t="s">
        <v>221</v>
      </c>
      <c r="B23" s="29" t="s">
        <v>222</v>
      </c>
      <c r="C23" s="29" t="s">
        <v>223</v>
      </c>
      <c r="D23" s="29" t="s">
        <v>224</v>
      </c>
      <c r="E23" s="29" t="s">
        <v>225</v>
      </c>
      <c r="F23" s="29" t="s">
        <v>226</v>
      </c>
    </row>
    <row r="24" spans="1:6" ht="51" x14ac:dyDescent="0.2">
      <c r="A24" s="31" t="s">
        <v>227</v>
      </c>
      <c r="B24" s="32">
        <f>'Общие данные'!B60</f>
        <v>29000000</v>
      </c>
      <c r="C24" s="32">
        <v>0</v>
      </c>
      <c r="D24" s="32">
        <v>0</v>
      </c>
      <c r="E24" s="31" t="s">
        <v>230</v>
      </c>
      <c r="F24" s="32">
        <v>800000</v>
      </c>
    </row>
    <row r="25" spans="1:6" ht="25.5" x14ac:dyDescent="0.2">
      <c r="A25" s="31" t="s">
        <v>228</v>
      </c>
      <c r="B25" s="32">
        <v>0</v>
      </c>
      <c r="C25" s="32">
        <v>0</v>
      </c>
      <c r="D25" s="32">
        <v>0</v>
      </c>
      <c r="E25" s="31" t="s">
        <v>231</v>
      </c>
      <c r="F25" s="32">
        <v>500000</v>
      </c>
    </row>
    <row r="26" spans="1:6" ht="28.5" customHeight="1" x14ac:dyDescent="0.2">
      <c r="A26" s="31" t="s">
        <v>229</v>
      </c>
      <c r="B26" s="32">
        <f>'Общие данные'!B61</f>
        <v>0</v>
      </c>
      <c r="C26" s="32">
        <v>0</v>
      </c>
      <c r="D26" s="32">
        <v>0</v>
      </c>
      <c r="E26" s="31" t="s">
        <v>232</v>
      </c>
      <c r="F26" s="32">
        <v>500000</v>
      </c>
    </row>
    <row r="27" spans="1:6" s="35" customFormat="1" x14ac:dyDescent="0.2">
      <c r="A27" s="33" t="s">
        <v>208</v>
      </c>
      <c r="B27" s="34">
        <f>B24+B25+B26</f>
        <v>29000000</v>
      </c>
      <c r="C27" s="34">
        <f t="shared" ref="C27:F27" si="0">SUM(C24:C26)</f>
        <v>0</v>
      </c>
      <c r="D27" s="34">
        <f t="shared" si="0"/>
        <v>0</v>
      </c>
      <c r="E27" s="33"/>
      <c r="F27" s="34">
        <f t="shared" si="0"/>
        <v>1800000</v>
      </c>
    </row>
    <row r="28" spans="1:6" ht="31.5" customHeight="1" x14ac:dyDescent="0.2">
      <c r="A28" s="267" t="str">
        <f>"Men, "&amp;'Общие данные'!B5&amp;", ushbu anketada ko‘rsatilgan barcha ma'lumotlar anketa to'ldirilgan sanada  to'g'ri va aniq ekanligini tasdiqlayman."</f>
        <v>Men, OTASHEVA RUQIYA SHERALI QIZI, ushbu anketada ko‘rsatilgan barcha ma'lumotlar anketa to'ldirilgan sanada  to'g'ri va aniq ekanligini tasdiqlayman.</v>
      </c>
      <c r="B28" s="267"/>
      <c r="C28" s="267"/>
      <c r="D28" s="267"/>
      <c r="E28" s="267"/>
      <c r="F28" s="267"/>
    </row>
    <row r="29" spans="1:6" x14ac:dyDescent="0.2">
      <c r="A29" s="267" t="str">
        <f>"Men,  "&amp;'Общие данные'!B5&amp;", quyidagilarni tan olaman va roziman::"</f>
        <v>Men,  OTASHEVA RUQIYA SHERALI QIZI, quyidagilarni tan olaman va roziman::</v>
      </c>
      <c r="B29" s="267"/>
      <c r="C29" s="267"/>
      <c r="D29" s="267"/>
      <c r="E29" s="267"/>
      <c r="F29" s="267"/>
    </row>
    <row r="30" spans="1:6" ht="45.75" customHeight="1" x14ac:dyDescent="0.2">
      <c r="A30" s="267"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7"/>
      <c r="C30" s="267"/>
      <c r="D30" s="267"/>
      <c r="E30" s="267"/>
      <c r="F30" s="267"/>
    </row>
    <row r="31" spans="1:6" ht="42.75" customHeight="1" x14ac:dyDescent="0.2">
      <c r="A31" s="267"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mikrokredit berish majburiyatini yuklamaydi.</v>
      </c>
      <c r="B31" s="267"/>
      <c r="C31" s="267"/>
      <c r="D31" s="267"/>
      <c r="E31" s="267"/>
      <c r="F31" s="267"/>
    </row>
    <row r="32" spans="1:6" ht="71.25" customHeight="1" x14ac:dyDescent="0.2">
      <c r="A32" s="267" t="s">
        <v>233</v>
      </c>
      <c r="B32" s="267"/>
      <c r="C32" s="267"/>
      <c r="D32" s="267"/>
      <c r="E32" s="267"/>
      <c r="F32" s="267"/>
    </row>
    <row r="33" spans="1:6" x14ac:dyDescent="0.2">
      <c r="A33" s="267"/>
      <c r="B33" s="267"/>
      <c r="C33" s="267"/>
      <c r="D33" s="267"/>
      <c r="E33" s="267"/>
      <c r="F33" s="267"/>
    </row>
    <row r="34" spans="1:6" ht="12.75" customHeight="1" x14ac:dyDescent="0.2">
      <c r="A34" s="270" t="s">
        <v>234</v>
      </c>
      <c r="B34" s="270"/>
      <c r="C34" s="270"/>
      <c r="D34" s="169" t="s">
        <v>155</v>
      </c>
      <c r="E34" s="270" t="s">
        <v>235</v>
      </c>
      <c r="F34" s="270"/>
    </row>
    <row r="35" spans="1:6" ht="25.5" customHeight="1" x14ac:dyDescent="0.2">
      <c r="A35" s="271"/>
      <c r="B35" s="271"/>
      <c r="C35" s="271"/>
      <c r="D35" s="272" t="str">
        <f>'Общие данные'!B2</f>
        <v>21.01.2025</v>
      </c>
      <c r="E35" s="271"/>
      <c r="F35" s="271"/>
    </row>
    <row r="36" spans="1:6" ht="25.5" customHeight="1" x14ac:dyDescent="0.2">
      <c r="A36" s="271"/>
      <c r="B36" s="271"/>
      <c r="C36" s="271"/>
      <c r="D36" s="272"/>
      <c r="E36" s="271"/>
      <c r="F36" s="271"/>
    </row>
    <row r="37" spans="1:6" x14ac:dyDescent="0.2">
      <c r="A37" s="267"/>
      <c r="B37" s="267"/>
      <c r="C37" s="267"/>
      <c r="D37" s="267"/>
      <c r="E37" s="267"/>
      <c r="F37" s="267"/>
    </row>
    <row r="38" spans="1:6" x14ac:dyDescent="0.2">
      <c r="A38" s="267"/>
      <c r="B38" s="267"/>
      <c r="C38" s="267"/>
      <c r="D38" s="267"/>
      <c r="E38" s="267"/>
      <c r="F38" s="267"/>
    </row>
    <row r="39" spans="1:6" x14ac:dyDescent="0.2">
      <c r="A39" s="267"/>
      <c r="B39" s="267"/>
      <c r="C39" s="267"/>
      <c r="D39" s="267"/>
      <c r="E39" s="267"/>
      <c r="F39" s="267"/>
    </row>
    <row r="40" spans="1:6" x14ac:dyDescent="0.2">
      <c r="A40" s="267"/>
      <c r="B40" s="267"/>
      <c r="C40" s="267"/>
      <c r="D40" s="267"/>
      <c r="E40" s="267"/>
      <c r="F40" s="267"/>
    </row>
    <row r="41" spans="1:6" x14ac:dyDescent="0.2">
      <c r="A41" s="267"/>
      <c r="B41" s="267"/>
      <c r="C41" s="267"/>
      <c r="D41" s="267"/>
      <c r="E41" s="267"/>
      <c r="F41" s="267"/>
    </row>
    <row r="42" spans="1:6" x14ac:dyDescent="0.2">
      <c r="A42" s="267"/>
      <c r="B42" s="267"/>
      <c r="C42" s="267"/>
      <c r="D42" s="267"/>
      <c r="E42" s="267"/>
      <c r="F42" s="267"/>
    </row>
    <row r="43" spans="1:6" x14ac:dyDescent="0.2">
      <c r="A43" s="267"/>
      <c r="B43" s="267"/>
      <c r="C43" s="267"/>
      <c r="D43" s="267"/>
      <c r="E43" s="267"/>
      <c r="F43" s="267"/>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D46" sqref="D46"/>
    </sheetView>
  </sheetViews>
  <sheetFormatPr defaultColWidth="9.140625" defaultRowHeight="15.75" x14ac:dyDescent="0.25"/>
  <cols>
    <col min="1" max="2" width="17.42578125" style="139" customWidth="1"/>
    <col min="3" max="3" width="29.85546875" style="139" customWidth="1"/>
    <col min="4" max="4" width="18.140625" style="139" customWidth="1"/>
    <col min="5" max="5" width="6.5703125" style="139" customWidth="1"/>
    <col min="6" max="16384" width="9.140625" style="139"/>
  </cols>
  <sheetData>
    <row r="2" spans="1:5" x14ac:dyDescent="0.25">
      <c r="A2" s="277" t="s">
        <v>236</v>
      </c>
      <c r="B2" s="277"/>
      <c r="C2" s="277"/>
      <c r="D2" s="277"/>
      <c r="E2" s="277"/>
    </row>
    <row r="3" spans="1:5" x14ac:dyDescent="0.25">
      <c r="E3" s="138" t="str">
        <f>'Общие данные'!B68</f>
        <v>21 yanvar 2025 y.</v>
      </c>
    </row>
    <row r="5" spans="1:5" s="140" customFormat="1" ht="27" customHeight="1" x14ac:dyDescent="0.25">
      <c r="A5" s="281" t="s">
        <v>237</v>
      </c>
      <c r="B5" s="282"/>
      <c r="C5" s="278" t="str">
        <f>'Общие данные'!B8</f>
        <v>OTASHEVA RUQIYA SHERALI QIZI</v>
      </c>
      <c r="D5" s="279"/>
      <c r="E5" s="280"/>
    </row>
    <row r="7" spans="1:5" ht="15.75" customHeight="1" x14ac:dyDescent="0.25">
      <c r="A7" s="283" t="s">
        <v>356</v>
      </c>
      <c r="B7" s="284"/>
      <c r="C7" s="285"/>
      <c r="D7" s="141" t="s">
        <v>132</v>
      </c>
      <c r="E7" s="141"/>
    </row>
    <row r="8" spans="1:5" x14ac:dyDescent="0.25">
      <c r="A8" s="286"/>
      <c r="B8" s="287"/>
      <c r="C8" s="288"/>
      <c r="D8" s="141" t="s">
        <v>241</v>
      </c>
      <c r="E8" s="141"/>
    </row>
    <row r="9" spans="1:5" ht="15.75" customHeight="1" x14ac:dyDescent="0.25">
      <c r="A9" s="274" t="s">
        <v>238</v>
      </c>
      <c r="B9" s="274"/>
      <c r="C9" s="274"/>
      <c r="D9" s="141" t="s">
        <v>132</v>
      </c>
      <c r="E9" s="141"/>
    </row>
    <row r="10" spans="1:5" x14ac:dyDescent="0.25">
      <c r="A10" s="274"/>
      <c r="B10" s="274"/>
      <c r="C10" s="274"/>
      <c r="D10" s="141" t="s">
        <v>241</v>
      </c>
      <c r="E10" s="141"/>
    </row>
    <row r="11" spans="1:5" ht="15.75" customHeight="1" x14ac:dyDescent="0.25">
      <c r="A11" s="274" t="s">
        <v>239</v>
      </c>
      <c r="B11" s="274"/>
      <c r="C11" s="274"/>
      <c r="D11" s="141" t="s">
        <v>132</v>
      </c>
      <c r="E11" s="141"/>
    </row>
    <row r="12" spans="1:5" x14ac:dyDescent="0.25">
      <c r="A12" s="274"/>
      <c r="B12" s="274"/>
      <c r="C12" s="274"/>
      <c r="D12" s="141" t="s">
        <v>241</v>
      </c>
      <c r="E12" s="141"/>
    </row>
    <row r="13" spans="1:5" ht="34.5" customHeight="1" x14ac:dyDescent="0.25">
      <c r="A13" s="275" t="s">
        <v>240</v>
      </c>
      <c r="B13" s="275"/>
      <c r="C13" s="275"/>
      <c r="D13" s="275"/>
      <c r="E13" s="275"/>
    </row>
    <row r="14" spans="1:5" ht="16.5" thickBot="1" x14ac:dyDescent="0.3">
      <c r="A14" s="276"/>
      <c r="B14" s="276"/>
      <c r="C14" s="276"/>
      <c r="D14" s="276"/>
      <c r="E14" s="276"/>
    </row>
    <row r="15" spans="1:5" ht="16.5" thickBot="1" x14ac:dyDescent="0.3">
      <c r="A15" s="276"/>
      <c r="B15" s="276"/>
      <c r="C15" s="276"/>
      <c r="D15" s="276"/>
      <c r="E15" s="276"/>
    </row>
    <row r="16" spans="1:5" ht="16.5" thickBot="1" x14ac:dyDescent="0.3">
      <c r="A16" s="276"/>
      <c r="B16" s="276"/>
      <c r="C16" s="276"/>
      <c r="D16" s="276"/>
      <c r="E16" s="276"/>
    </row>
    <row r="18" spans="1:8" ht="18.75" customHeight="1" x14ac:dyDescent="0.25">
      <c r="A18" s="274" t="s">
        <v>242</v>
      </c>
      <c r="B18" s="274"/>
      <c r="C18" s="274"/>
      <c r="D18" s="141" t="s">
        <v>132</v>
      </c>
      <c r="E18" s="141"/>
    </row>
    <row r="19" spans="1:8" ht="18.75" customHeight="1" x14ac:dyDescent="0.25">
      <c r="A19" s="274"/>
      <c r="B19" s="274"/>
      <c r="C19" s="274"/>
      <c r="D19" s="141" t="s">
        <v>241</v>
      </c>
      <c r="E19" s="141"/>
    </row>
    <row r="20" spans="1:8" ht="29.25" customHeight="1" x14ac:dyDescent="0.25">
      <c r="A20" s="274" t="s">
        <v>243</v>
      </c>
      <c r="B20" s="274"/>
      <c r="C20" s="274"/>
      <c r="D20" s="141" t="s">
        <v>132</v>
      </c>
      <c r="E20" s="141"/>
    </row>
    <row r="21" spans="1:8" ht="29.25" customHeight="1" x14ac:dyDescent="0.25">
      <c r="A21" s="274"/>
      <c r="B21" s="274"/>
      <c r="C21" s="274"/>
      <c r="D21" s="141" t="s">
        <v>241</v>
      </c>
      <c r="E21" s="141"/>
    </row>
    <row r="23" spans="1:8" ht="15.75" customHeight="1" x14ac:dyDescent="0.25">
      <c r="A23" s="275" t="s">
        <v>244</v>
      </c>
      <c r="B23" s="275"/>
      <c r="C23" s="275"/>
      <c r="D23" s="275"/>
      <c r="E23" s="275"/>
    </row>
    <row r="24" spans="1:8" ht="16.5" thickBot="1" x14ac:dyDescent="0.3">
      <c r="A24" s="276"/>
      <c r="B24" s="276"/>
      <c r="C24" s="276"/>
      <c r="D24" s="276"/>
      <c r="E24" s="276"/>
    </row>
    <row r="25" spans="1:8" ht="16.5" thickBot="1" x14ac:dyDescent="0.3">
      <c r="A25" s="276"/>
      <c r="B25" s="276"/>
      <c r="C25" s="276"/>
      <c r="D25" s="276"/>
      <c r="E25" s="276"/>
    </row>
    <row r="26" spans="1:8" ht="16.5" thickBot="1" x14ac:dyDescent="0.3">
      <c r="A26" s="276"/>
      <c r="B26" s="276"/>
      <c r="C26" s="276"/>
      <c r="D26" s="276"/>
      <c r="E26" s="276"/>
    </row>
    <row r="28" spans="1:8" ht="78.75" customHeight="1" x14ac:dyDescent="0.25">
      <c r="A28" s="273" t="s">
        <v>245</v>
      </c>
      <c r="B28" s="273"/>
      <c r="C28" s="273"/>
      <c r="D28" s="273"/>
      <c r="E28" s="273"/>
    </row>
    <row r="30" spans="1:8" ht="33" customHeight="1" x14ac:dyDescent="0.25">
      <c r="A30" s="273" t="s">
        <v>246</v>
      </c>
      <c r="B30" s="273"/>
      <c r="C30" s="273"/>
      <c r="D30" s="273"/>
      <c r="E30" s="273"/>
      <c r="F30" s="142"/>
      <c r="G30" s="142"/>
      <c r="H30" s="142"/>
    </row>
    <row r="33" spans="1:5" ht="16.5" thickBot="1" x14ac:dyDescent="0.3">
      <c r="A33" s="143" t="str">
        <f>C5</f>
        <v>OTASHEVA RUQIYA SHERALI QIZI</v>
      </c>
      <c r="D33" s="144"/>
      <c r="E33" s="145"/>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I77"/>
  <sheetViews>
    <sheetView view="pageBreakPreview" zoomScaleSheetLayoutView="100" workbookViewId="0">
      <selection activeCell="A20" sqref="A20:XFD20"/>
    </sheetView>
  </sheetViews>
  <sheetFormatPr defaultColWidth="9.140625" defaultRowHeight="15.75" x14ac:dyDescent="0.25"/>
  <cols>
    <col min="1" max="1" width="20.140625" style="10" customWidth="1"/>
    <col min="2" max="2" width="18.7109375" style="10" customWidth="1"/>
    <col min="3" max="3" width="19.7109375" style="10" customWidth="1"/>
    <col min="4" max="4" width="28.7109375" style="10" customWidth="1"/>
    <col min="5" max="16384" width="9.140625" style="10"/>
  </cols>
  <sheetData>
    <row r="1" spans="1:4" ht="47.25" customHeight="1" x14ac:dyDescent="0.25">
      <c r="C1" s="290" t="str">
        <f>""&amp;'Общие данные'!B147&amp;"ning
"&amp;'Общие данные'!A150&amp;"i"</f>
        <v>«CLEVER MIKROMOLIYA TASHKILOTI» MChJning
Qorako'l filiali boshlig'ii</v>
      </c>
      <c r="D1" s="290"/>
    </row>
    <row r="2" spans="1:4" x14ac:dyDescent="0.25">
      <c r="C2" s="17"/>
      <c r="D2" s="18" t="str">
        <f>""&amp;'Общие данные'!B150&amp;"ga"</f>
        <v>Egamberdiyeva D.I.ga</v>
      </c>
    </row>
    <row r="4" spans="1:4" x14ac:dyDescent="0.25">
      <c r="A4" s="289" t="str">
        <f>""&amp;'Общие данные'!C64&amp;" olish uchun Ariza"</f>
        <v>Mikrokredit olish uchun Ariza</v>
      </c>
      <c r="B4" s="289"/>
      <c r="C4" s="289"/>
      <c r="D4" s="289"/>
    </row>
    <row r="5" spans="1:4" ht="16.5" customHeight="1" x14ac:dyDescent="0.25">
      <c r="A5" s="289"/>
      <c r="B5" s="289"/>
      <c r="C5" s="289"/>
      <c r="D5" s="289"/>
    </row>
    <row r="6" spans="1:4" ht="57" customHeight="1" x14ac:dyDescent="0.25">
      <c r="A6" s="291" t="str">
        <f>""&amp;'Общие данные'!B28&amp;".-da yashovchi O‘zbekiston Respublikasi fuqarosi "&amp;'Общие данные'!B8&amp;"dan. "</f>
        <v xml:space="preserve">OLOT TUMAN CHOVDUR MFY.-da yashovchi O‘zbekiston Respublikasi fuqarosi OTASHEVA RUQIYA SHERALI QIZIdan. </v>
      </c>
      <c r="B6" s="291"/>
      <c r="C6" s="291"/>
      <c r="D6" s="291"/>
    </row>
    <row r="7" spans="1:4" ht="21" customHeight="1" x14ac:dyDescent="0.25">
      <c r="A7" s="291" t="str">
        <f>"Tug'ilgan kuni: "&amp;'Общие данные'!B15&amp;""</f>
        <v>Tug'ilgan kuni: 13.12.2005y</v>
      </c>
      <c r="B7" s="291"/>
      <c r="C7" s="291"/>
      <c r="D7" s="291"/>
    </row>
    <row r="8" spans="1:4" ht="33" customHeight="1" x14ac:dyDescent="0.25">
      <c r="A8" s="291" t="str">
        <f>"Pasport seriyasi: "&amp;'Общие данные'!B16&amp;" "&amp;'Общие данные'!B20&amp;""</f>
        <v>Pasport seriyasi: AD1337033 IIV6215 tomonidan 11.05.2022 yilda berilgan</v>
      </c>
      <c r="B8" s="291"/>
      <c r="C8" s="291"/>
      <c r="D8" s="291"/>
    </row>
    <row r="9" spans="1:4" ht="16.5" customHeight="1" x14ac:dyDescent="0.25">
      <c r="A9" s="291" t="str">
        <f>"Asosiy ish joyi : "&amp;'Общие данные'!B58&amp;""</f>
        <v xml:space="preserve">Asosiy ish joyi : O'Z O'ZINI BAND QILGAN FUQARO </v>
      </c>
      <c r="B9" s="291"/>
      <c r="C9" s="291"/>
      <c r="D9" s="291"/>
    </row>
    <row r="10" spans="1:4" ht="19.5" customHeight="1" x14ac:dyDescent="0.25">
      <c r="A10" s="291" t="str">
        <f>"Lavozimi: "&amp;'Общие данные'!B59&amp;""</f>
        <v>Lavozimi: Qishloq xo'jaligi ishlari</v>
      </c>
      <c r="B10" s="291"/>
      <c r="C10" s="291"/>
      <c r="D10" s="291"/>
    </row>
    <row r="11" spans="1:4" ht="22.5" customHeight="1" x14ac:dyDescent="0.25">
      <c r="A11" s="291" t="str">
        <f>"O’rtacha oylik daromadi: "&amp;FIXED('Общие данные'!B60,2)&amp;" so'm."</f>
        <v>O’rtacha oylik daromadi: 29 000 000,00 so'm.</v>
      </c>
      <c r="B11" s="291"/>
      <c r="C11" s="291"/>
      <c r="D11" s="291"/>
    </row>
    <row r="12" spans="1:4" x14ac:dyDescent="0.25">
      <c r="A12" s="291" t="str">
        <f>"Menga quyidagi shartlarda "&amp;'Общие данные'!B65&amp;" berishingizni so’rayman:"</f>
        <v>Menga quyidagi shartlarda mikrokredit berishingizni so’rayman:</v>
      </c>
      <c r="B12" s="291"/>
      <c r="C12" s="291"/>
      <c r="D12" s="291"/>
    </row>
    <row r="13" spans="1:4" x14ac:dyDescent="0.25">
      <c r="A13" s="291" t="str">
        <f>""&amp;'Общие данные'!C64&amp;" summasi: "&amp;FIXED('Общие данные'!B75,2)&amp;" ("&amp;'Общие данные'!B76&amp;") so'm."</f>
        <v>Mikrokredit summasi: 150 000 000,00 (yuz ellik million so'm) so'm.</v>
      </c>
      <c r="B13" s="291"/>
      <c r="C13" s="291"/>
      <c r="D13" s="291"/>
    </row>
    <row r="14" spans="1:4" x14ac:dyDescent="0.25">
      <c r="A14" s="291" t="str">
        <f>""&amp;'Общие данные'!C64&amp;" muddati: "&amp;'Общие данные'!B81&amp;" ("&amp;'Общие данные'!B82&amp;") oy."</f>
        <v>Mikrokredit muddati: 36 (O'ttiz olti) oy.</v>
      </c>
      <c r="B14" s="291"/>
      <c r="C14" s="291"/>
      <c r="D14" s="291"/>
    </row>
    <row r="15" spans="1:4" ht="17.25" customHeight="1" x14ac:dyDescent="0.25">
      <c r="A15" s="291" t="str">
        <f>""&amp;'Общие данные'!C64&amp;"dan foydalanganlik uchun foiz stavkasi: yillik  "&amp;'Общие данные'!B85&amp;"% ("&amp;'Общие данные'!B86&amp;") foiz"</f>
        <v>Mikrokreditdan foydalanganlik uchun foiz stavkasi: yillik  60% (Oltmish) foiz</v>
      </c>
      <c r="B15" s="291"/>
      <c r="C15" s="291"/>
      <c r="D15" s="291"/>
    </row>
    <row r="16" spans="1:4" x14ac:dyDescent="0.25">
      <c r="A16" s="291" t="str">
        <f>""&amp;'Общие данные'!C64&amp;" bo'yicha asosiy qarz va foizlarni to'lash:"</f>
        <v>Mikrokredit bo'yicha asosiy qarz va foizlarni to'lash:</v>
      </c>
      <c r="B16" s="291"/>
      <c r="C16" s="291"/>
      <c r="D16" s="291"/>
    </row>
    <row r="17" spans="1:5" ht="20.25" hidden="1" customHeight="1" x14ac:dyDescent="0.25">
      <c r="A17" s="292" t="str">
        <f>" - "&amp;'Общие данные'!B65&amp;" shartnomasi bo'yicha har oy differensial to'lovlari amalga oshiriladi"</f>
        <v xml:space="preserve"> - mikrokredit shartnomasi bo'yicha har oy differensial to'lovlari amalga oshiriladi</v>
      </c>
      <c r="B17" s="292"/>
      <c r="C17" s="292"/>
      <c r="D17" s="292"/>
    </row>
    <row r="18" spans="1:5" ht="33.75" hidden="1" customHeight="1" x14ac:dyDescent="0.25">
      <c r="A18" s="292" t="str">
        <f>" - "&amp;'Общие данные'!B65&amp;" shartnomasi bo'yicha har oy annuitet to'lovlari amalga oshiriladi"</f>
        <v xml:space="preserve"> - mikrokredit shartnomasi bo'yicha har oy annuitet to'lovlari amalga oshiriladi</v>
      </c>
      <c r="B18" s="292"/>
      <c r="C18" s="292"/>
      <c r="D18" s="292"/>
    </row>
    <row r="19" spans="1:5" ht="33.75" customHeight="1" x14ac:dyDescent="0.25">
      <c r="A19" s="292" t="str">
        <f>IF('Общие данные'!B77='Общие данные'!C77,'Кредитная заявка'!A17:D17,IF('Общие данные'!B77='Общие данные'!D77,'Кредитная заявка'!A18:D18))</f>
        <v xml:space="preserve"> - mikrokredit shartnomasi bo'yicha har oy differensial to'lovlari amalga oshiriladi</v>
      </c>
      <c r="B19" s="292"/>
      <c r="C19" s="292"/>
      <c r="D19" s="292"/>
    </row>
    <row r="20" spans="1:5" ht="33.75" hidden="1" customHeight="1" x14ac:dyDescent="0.25">
      <c r="A20" s="291" t="str">
        <f>IF(DAY('Общие данные'!E67)&lt;15,"   ","  Oxirgi yakuniy to'lov "&amp;'Общие данные'!B65&amp;" shartnomasi tuzilgan kundan boshlab oxirgi oyning oxirgi kunida amalga oshiriladi")</f>
        <v xml:space="preserve">  Oxirgi yakuniy to'lov mikrokredit shartnomasi tuzilgan kundan boshlab oxirgi oyning oxirgi kunida amalga oshiriladi</v>
      </c>
      <c r="B20" s="291"/>
      <c r="C20" s="291"/>
      <c r="D20" s="291"/>
    </row>
    <row r="21" spans="1:5" x14ac:dyDescent="0.25">
      <c r="A21" s="291" t="str">
        <f>""&amp;'Общие данные'!C64&amp;" ta’minoti::"</f>
        <v>Mikrokredit ta’minoti::</v>
      </c>
      <c r="B21" s="291"/>
      <c r="C21" s="291"/>
      <c r="D21" s="291"/>
    </row>
    <row r="22" spans="1:5" ht="60" customHeight="1" x14ac:dyDescent="0.25">
      <c r="A22" s="292" t="str">
        <f>IF('Общие данные'!B103="Avtotransport",A26,A23)</f>
        <v xml:space="preserve"> Egalik huquqi QODIROVA IBODAT BAXTIYOR QIZIga tegishli bo'lgan umumiy maydoni - 42,00  va yashash maydoni - 27,5 2 - xonali ko'p qavatli uydagi xonadon, BUXORO VILOYATI QORAKO'L TUMANI QARAKUL MSG O'TIK DO'RMAN KO'CHASI 61-UY 18-XONADON </v>
      </c>
      <c r="B22" s="292"/>
      <c r="C22" s="292"/>
      <c r="D22" s="292"/>
    </row>
    <row r="23" spans="1:5" ht="79.5" hidden="1" customHeight="1" x14ac:dyDescent="0.25">
      <c r="A23" s="292" t="str">
        <f>IF('Общие данные'!B92='Общие данные'!C92,A25,IF('Общие данные'!B92='Общие данные'!D92,A24,0))</f>
        <v xml:space="preserve"> Egalik huquqi QODIROVA IBODAT BAXTIYOR QIZIga tegishli bo'lgan umumiy maydoni - 42,00  va yashash maydoni - 27,5 2 - xonali ko'p qavatli uydagi xonadon, BUXORO VILOYATI QORAKO'L TUMANI QARAKUL MSG O'TIK DO'RMAN KO'CHASI 61-UY 18-XONADON </v>
      </c>
      <c r="B23" s="292"/>
      <c r="C23" s="292"/>
      <c r="D23" s="292"/>
    </row>
    <row r="24" spans="1:5" ht="96.75" hidden="1" customHeight="1" x14ac:dyDescent="0.25">
      <c r="A24" s="292"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QODIROVA IBODAT BAXTIYOR QIZIga 2 - xonali ko'p qavatli uydagi xonadon, umumiy maydoni - 42,00 va yashash maydoni - 27,5, manzili: BUXORO VILOYATI QORAKO'L TUMANI QARAKUL MSG O'TIK DO'RMAN KO'CHASI 61-UY 18-XONADON.</v>
      </c>
      <c r="B24" s="292"/>
      <c r="C24" s="292"/>
      <c r="D24" s="292"/>
      <c r="E24" s="178"/>
    </row>
    <row r="25" spans="1:5" ht="92.25" hidden="1" customHeight="1" x14ac:dyDescent="0.25">
      <c r="A25" s="292"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QODIROVA IBODAT BAXTIYOR QIZIga tegishli bo'lgan umumiy maydoni - 42,00  va yashash maydoni - 27,5 2 - xonali ko'p qavatli uydagi xonadon, BUXORO VILOYATI QORAKO'L TUMANI QARAKUL MSG O'TIK DO'RMAN KO'CHASI 61-UY 18-XONADON </v>
      </c>
      <c r="B25" s="292"/>
      <c r="C25" s="292"/>
      <c r="D25" s="292"/>
    </row>
    <row r="26" spans="1:5" ht="78" hidden="1" customHeight="1" x14ac:dyDescent="0.25">
      <c r="A26" s="292" t="str">
        <f>IF('Общие данные'!B92='Общие данные'!C92,'Кредитная заявка'!A28:D28,IF('Общие данные'!B92='Общие данные'!D92,'Кредитная заявка'!A27:D27,0))</f>
        <v xml:space="preserve">  Egalik huquqi 0ga tegishli bo'lgan garovga olingan avtomobil markasi   CHEVROLET ONIX, rangi -  QORA CHERNIY METALIK, ishlab chiqarilgan yili - 2024, davlat raqam belgisi 01L756QC, kuzov turi - YENGIL SEDAN, kuzov raqami XWBSA695ERA084391, dvigatel raqami L4H21240863MNBX0144, shassi raqami - -</v>
      </c>
      <c r="B26" s="292"/>
      <c r="C26" s="292"/>
      <c r="D26" s="292"/>
    </row>
    <row r="27" spans="1:5" ht="93" hidden="1" customHeight="1" x14ac:dyDescent="0.25">
      <c r="A27" s="292"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0ga tegishli bo'lgan CHEVROLET ONIX, rangi -  QORA CHERNIY METALIK, ishlab chiqarilgan yili - 2024, davlat raqam belgisi 01L756QC, kuzov turi - YENGIL SEDAN, kuzov raqami XWBSA695ERA084391, dvigatel raqami L4H21240863MNBX0144, shassi raqami - - avtotransport vositasi </v>
      </c>
      <c r="B27" s="292"/>
      <c r="C27" s="292"/>
      <c r="D27" s="292"/>
    </row>
    <row r="28" spans="1:5" ht="91.5" hidden="1" customHeight="1" x14ac:dyDescent="0.25">
      <c r="A28" s="292"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0ga tegishli bo'lgan garovga olingan avtomobil markasi   CHEVROLET ONIX, rangi -  QORA CHERNIY METALIK, ishlab chiqarilgan yili - 2024, davlat raqam belgisi 01L756QC, kuzov turi - YENGIL SEDAN, kuzov raqami XWBSA695ERA084391, dvigatel raqami L4H21240863MNBX0144, shassi raqami - -</v>
      </c>
      <c r="B28" s="292"/>
      <c r="C28" s="292"/>
      <c r="D28" s="292"/>
    </row>
    <row r="29" spans="1:5" ht="10.5" customHeight="1" x14ac:dyDescent="0.25">
      <c r="A29" s="291"/>
      <c r="B29" s="291"/>
      <c r="C29" s="291"/>
      <c r="D29" s="291"/>
    </row>
    <row r="30" spans="1:5" ht="53.25" customHeight="1" x14ac:dyDescent="0.25">
      <c r="A30" s="292"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mikrokredit boʻyicha barcha zarur maʼlumotlarni quyida ko’rsatilgan tashkilotlarga taqdim etish va olishga roziligimni bildirib, ushbu amaliyotlarni o’tkazish uchun huquq beraman:</v>
      </c>
      <c r="B30" s="292"/>
      <c r="C30" s="292"/>
      <c r="D30" s="292"/>
    </row>
    <row r="31" spans="1:5" ht="15.75" customHeight="1" x14ac:dyDescent="0.25">
      <c r="A31" s="292" t="s">
        <v>247</v>
      </c>
      <c r="B31" s="292"/>
      <c r="C31" s="292"/>
      <c r="D31" s="292"/>
    </row>
    <row r="32" spans="1:5" x14ac:dyDescent="0.25">
      <c r="A32" s="292" t="s">
        <v>248</v>
      </c>
      <c r="B32" s="292"/>
      <c r="C32" s="292"/>
      <c r="D32" s="292"/>
    </row>
    <row r="33" spans="1:9" x14ac:dyDescent="0.25">
      <c r="A33" s="292" t="s">
        <v>249</v>
      </c>
      <c r="B33" s="292"/>
      <c r="C33" s="292"/>
      <c r="D33" s="292"/>
    </row>
    <row r="34" spans="1:9" x14ac:dyDescent="0.25">
      <c r="A34" s="291" t="str">
        <f>"Ariza berilgan sana: "&amp;TEXT('Общие данные'!B2,"ДД.ММ.ГГГГ")&amp;"y."</f>
        <v>Ariza berilgan sana: 21.01.2025y.</v>
      </c>
      <c r="B34" s="291"/>
      <c r="C34" s="291"/>
      <c r="D34" s="291"/>
    </row>
    <row r="35" spans="1:9" x14ac:dyDescent="0.25">
      <c r="A35" s="291"/>
      <c r="B35" s="291"/>
      <c r="C35" s="291"/>
      <c r="D35" s="291"/>
    </row>
    <row r="36" spans="1:9" x14ac:dyDescent="0.25">
      <c r="A36" s="291" t="s">
        <v>250</v>
      </c>
      <c r="B36" s="291"/>
      <c r="C36" s="291"/>
      <c r="D36" s="291"/>
    </row>
    <row r="37" spans="1:9" x14ac:dyDescent="0.25">
      <c r="A37" s="291"/>
      <c r="B37" s="291"/>
      <c r="C37" s="291"/>
      <c r="D37" s="291"/>
    </row>
    <row r="38" spans="1:9" x14ac:dyDescent="0.25">
      <c r="A38" s="291"/>
      <c r="B38" s="291"/>
      <c r="C38" s="291"/>
      <c r="D38" s="291"/>
    </row>
    <row r="39" spans="1:9" ht="15.75" customHeight="1" x14ac:dyDescent="0.25">
      <c r="A39" s="293" t="str">
        <f>'Общие данные'!B5</f>
        <v>OTASHEVA RUQIYA SHERALI QIZI</v>
      </c>
      <c r="B39" s="293"/>
      <c r="C39" s="293"/>
      <c r="D39" s="15" t="s">
        <v>4</v>
      </c>
    </row>
    <row r="40" spans="1:9" x14ac:dyDescent="0.25">
      <c r="A40" s="14"/>
      <c r="B40" s="14"/>
      <c r="D40" s="16" t="s">
        <v>331</v>
      </c>
    </row>
    <row r="41" spans="1:9" x14ac:dyDescent="0.25">
      <c r="A41" s="291"/>
      <c r="B41" s="291"/>
      <c r="C41" s="291"/>
      <c r="D41" s="291"/>
      <c r="I41" s="10" t="s">
        <v>384</v>
      </c>
    </row>
    <row r="42" spans="1:9" x14ac:dyDescent="0.25">
      <c r="A42" s="291"/>
      <c r="B42" s="291"/>
      <c r="C42" s="291"/>
      <c r="D42" s="291"/>
    </row>
    <row r="43" spans="1:9" x14ac:dyDescent="0.25">
      <c r="A43" s="291"/>
      <c r="B43" s="291"/>
      <c r="C43" s="291"/>
      <c r="D43" s="291"/>
    </row>
    <row r="44" spans="1:9" x14ac:dyDescent="0.25">
      <c r="A44" s="291"/>
      <c r="B44" s="291"/>
      <c r="C44" s="291"/>
      <c r="D44" s="291"/>
    </row>
    <row r="45" spans="1:9" x14ac:dyDescent="0.25">
      <c r="A45" s="291" t="s">
        <v>382</v>
      </c>
      <c r="B45" s="291"/>
      <c r="C45" s="291"/>
      <c r="D45" s="291"/>
    </row>
    <row r="46" spans="1:9" x14ac:dyDescent="0.25">
      <c r="A46" s="291"/>
      <c r="B46" s="291"/>
      <c r="C46" s="291"/>
      <c r="D46" s="291"/>
    </row>
    <row r="47" spans="1:9" x14ac:dyDescent="0.25">
      <c r="A47" s="291"/>
      <c r="B47" s="291"/>
      <c r="C47" s="291"/>
      <c r="D47" s="291"/>
    </row>
    <row r="48" spans="1:9" x14ac:dyDescent="0.25">
      <c r="A48" s="291"/>
      <c r="B48" s="291"/>
      <c r="C48" s="291"/>
      <c r="D48" s="291"/>
    </row>
    <row r="49" spans="1:4" x14ac:dyDescent="0.25">
      <c r="A49" s="291"/>
      <c r="B49" s="291"/>
      <c r="C49" s="291"/>
      <c r="D49" s="291"/>
    </row>
    <row r="50" spans="1:4" x14ac:dyDescent="0.25">
      <c r="A50" s="291"/>
      <c r="B50" s="291"/>
      <c r="C50" s="291"/>
      <c r="D50" s="291"/>
    </row>
    <row r="51" spans="1:4" x14ac:dyDescent="0.25">
      <c r="A51" s="291"/>
      <c r="B51" s="291"/>
      <c r="C51" s="291"/>
      <c r="D51" s="291"/>
    </row>
    <row r="52" spans="1:4" x14ac:dyDescent="0.25">
      <c r="A52" s="291"/>
      <c r="B52" s="291"/>
      <c r="C52" s="291"/>
      <c r="D52" s="291"/>
    </row>
    <row r="53" spans="1:4" x14ac:dyDescent="0.25">
      <c r="A53" s="291"/>
      <c r="B53" s="291"/>
      <c r="C53" s="291"/>
      <c r="D53" s="291"/>
    </row>
    <row r="54" spans="1:4" x14ac:dyDescent="0.25">
      <c r="A54" s="291"/>
      <c r="B54" s="291"/>
      <c r="C54" s="291"/>
      <c r="D54" s="291"/>
    </row>
    <row r="55" spans="1:4" x14ac:dyDescent="0.25">
      <c r="A55" s="291"/>
      <c r="B55" s="291"/>
      <c r="C55" s="291"/>
      <c r="D55" s="291"/>
    </row>
    <row r="56" spans="1:4" x14ac:dyDescent="0.25">
      <c r="A56" s="291"/>
      <c r="B56" s="291"/>
      <c r="C56" s="291"/>
      <c r="D56" s="291"/>
    </row>
    <row r="57" spans="1:4" x14ac:dyDescent="0.25">
      <c r="A57" s="291"/>
      <c r="B57" s="291"/>
      <c r="C57" s="291"/>
      <c r="D57" s="291"/>
    </row>
    <row r="58" spans="1:4" x14ac:dyDescent="0.25">
      <c r="A58" s="291"/>
      <c r="B58" s="291"/>
      <c r="C58" s="291"/>
      <c r="D58" s="291"/>
    </row>
    <row r="59" spans="1:4" x14ac:dyDescent="0.25">
      <c r="A59" s="291"/>
      <c r="B59" s="291"/>
      <c r="C59" s="291"/>
      <c r="D59" s="291"/>
    </row>
    <row r="60" spans="1:4" x14ac:dyDescent="0.25">
      <c r="A60" s="291"/>
      <c r="B60" s="291"/>
      <c r="C60" s="291"/>
      <c r="D60" s="291"/>
    </row>
    <row r="61" spans="1:4" x14ac:dyDescent="0.25">
      <c r="A61" s="291"/>
      <c r="B61" s="291"/>
      <c r="C61" s="291"/>
      <c r="D61" s="291"/>
    </row>
    <row r="62" spans="1:4" x14ac:dyDescent="0.25">
      <c r="A62" s="291"/>
      <c r="B62" s="291"/>
      <c r="C62" s="291"/>
      <c r="D62" s="291"/>
    </row>
    <row r="63" spans="1:4" x14ac:dyDescent="0.25">
      <c r="A63" s="291"/>
      <c r="B63" s="291"/>
      <c r="C63" s="291"/>
      <c r="D63" s="291"/>
    </row>
    <row r="64" spans="1:4" x14ac:dyDescent="0.25">
      <c r="A64" s="291"/>
      <c r="B64" s="291"/>
      <c r="C64" s="291"/>
      <c r="D64" s="291"/>
    </row>
    <row r="65" spans="1:4" x14ac:dyDescent="0.25">
      <c r="A65" s="291"/>
      <c r="B65" s="291"/>
      <c r="C65" s="291"/>
      <c r="D65" s="291"/>
    </row>
    <row r="66" spans="1:4" x14ac:dyDescent="0.25">
      <c r="A66" s="291"/>
      <c r="B66" s="291"/>
      <c r="C66" s="291"/>
      <c r="D66" s="291"/>
    </row>
    <row r="67" spans="1:4" x14ac:dyDescent="0.25">
      <c r="A67" s="291"/>
      <c r="B67" s="291"/>
      <c r="C67" s="291"/>
      <c r="D67" s="291"/>
    </row>
    <row r="68" spans="1:4" x14ac:dyDescent="0.25">
      <c r="A68" s="291"/>
      <c r="B68" s="291"/>
      <c r="C68" s="291"/>
      <c r="D68" s="291"/>
    </row>
    <row r="69" spans="1:4" x14ac:dyDescent="0.25">
      <c r="A69" s="291"/>
      <c r="B69" s="291"/>
      <c r="C69" s="291"/>
      <c r="D69" s="291"/>
    </row>
    <row r="70" spans="1:4" x14ac:dyDescent="0.25">
      <c r="A70" s="291"/>
      <c r="B70" s="291"/>
      <c r="C70" s="291"/>
      <c r="D70" s="291"/>
    </row>
    <row r="71" spans="1:4" x14ac:dyDescent="0.25">
      <c r="A71" s="291"/>
      <c r="B71" s="291"/>
      <c r="C71" s="291"/>
      <c r="D71" s="291"/>
    </row>
    <row r="72" spans="1:4" x14ac:dyDescent="0.25">
      <c r="A72" s="291"/>
      <c r="B72" s="291"/>
      <c r="C72" s="291"/>
      <c r="D72" s="291"/>
    </row>
    <row r="73" spans="1:4" x14ac:dyDescent="0.25">
      <c r="A73" s="291"/>
      <c r="B73" s="291"/>
      <c r="C73" s="291"/>
      <c r="D73" s="291"/>
    </row>
    <row r="74" spans="1:4" x14ac:dyDescent="0.25">
      <c r="A74" s="291"/>
      <c r="B74" s="291"/>
      <c r="C74" s="291"/>
      <c r="D74" s="291"/>
    </row>
    <row r="75" spans="1:4" x14ac:dyDescent="0.25">
      <c r="A75" s="291"/>
      <c r="B75" s="291"/>
      <c r="C75" s="291"/>
      <c r="D75" s="291"/>
    </row>
    <row r="76" spans="1:4" x14ac:dyDescent="0.25">
      <c r="A76" s="291"/>
      <c r="B76" s="291"/>
      <c r="C76" s="291"/>
      <c r="D76" s="291"/>
    </row>
    <row r="77" spans="1:4" x14ac:dyDescent="0.25">
      <c r="A77" s="291"/>
      <c r="B77" s="291"/>
      <c r="C77" s="291"/>
      <c r="D77" s="291"/>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x14ac:dyDescent="0.25"/>
  <cols>
    <col min="1" max="1" width="54.42578125" style="19" customWidth="1"/>
    <col min="2" max="2" width="32.28515625" style="19" customWidth="1"/>
  </cols>
  <sheetData>
    <row r="3" spans="1:2" ht="35.25" customHeight="1" x14ac:dyDescent="0.25">
      <c r="A3" s="294" t="s">
        <v>213</v>
      </c>
      <c r="B3" s="294"/>
    </row>
    <row r="4" spans="1:2" ht="92.25" customHeight="1" x14ac:dyDescent="0.25">
      <c r="A4" s="232" t="str">
        <f>"     Men, fuqaro "&amp;'Общие данные'!B5&amp;" "&amp;'Общие данные'!B149&amp;" bilan "&amp;'Общие данные'!B69&amp;" sanasidagi "&amp;'Общие данные'!B66&amp;"-sonli shartnomaning garov ta'minoti sifatida taqdim etilayotgan mulk "&amp;'Общие данные'!C125&amp;" ko'chmas mulkni qonunga xilof ravishda o‘zlashtirmaslikka, yashirmaslikka, nobud qilmaslikka yoki unga shikast yetkazmaslik majburiyatini olaman."</f>
        <v xml:space="preserve">     Men, fuqaro OTASHEVA RUQIYA SHERALI QIZI «CLEVER MIKROMOLIYA TASHKILOTI» MChJ bilan 21 yanvar 2025 y. sanasidagi №150-QR-sonli shartnomaning garov ta'minoti sifatida taqdim etilayotgan mulk 2 - xonali ko'p qavatli uydagi xonadon ko'chmas mulkni qonunga xilof ravishda o‘zlashtirmaslikka, yashirmaslikka, nobud qilmaslikka yoki unga shikast yetkazmaslik majburiyatini olaman.</v>
      </c>
      <c r="B4" s="232"/>
    </row>
    <row r="5" spans="1:2" ht="56.25" customHeight="1" x14ac:dyDescent="0.25">
      <c r="A5" s="295" t="s">
        <v>214</v>
      </c>
      <c r="B5" s="295"/>
    </row>
    <row r="6" spans="1:2" ht="42.75" customHeight="1" x14ac:dyDescent="0.25"/>
    <row r="7" spans="1:2" x14ac:dyDescent="0.25">
      <c r="A7" s="19" t="str">
        <f>'Общие данные'!B5</f>
        <v>OTASHEVA RUQIYA SHERALI QIZI</v>
      </c>
      <c r="B7" s="155" t="s">
        <v>215</v>
      </c>
    </row>
    <row r="8" spans="1:2" ht="26.25" customHeight="1" x14ac:dyDescent="0.25"/>
    <row r="9" spans="1:2" ht="26.25" customHeight="1" x14ac:dyDescent="0.25"/>
    <row r="10" spans="1:2" ht="26.25" customHeight="1" x14ac:dyDescent="0.25"/>
    <row r="11" spans="1:2" x14ac:dyDescent="0.25">
      <c r="A11" s="19" t="str">
        <f>"sana:   "&amp;TEXT('Общие данные'!B2,"ДД.ММ.ГГГГ")&amp;" y."</f>
        <v>sana:   21.01.2025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topLeftCell="A5" zoomScaleSheetLayoutView="100" workbookViewId="0">
      <selection activeCell="M18" sqref="M18"/>
    </sheetView>
  </sheetViews>
  <sheetFormatPr defaultColWidth="9.140625" defaultRowHeight="15" outlineLevelRow="1" x14ac:dyDescent="0.25"/>
  <cols>
    <col min="1" max="1" width="23.7109375" style="19" customWidth="1"/>
    <col min="2" max="5" width="17" style="19" customWidth="1"/>
    <col min="6" max="16384" width="9.140625" style="19"/>
  </cols>
  <sheetData>
    <row r="1" spans="1:5" ht="36" customHeight="1" x14ac:dyDescent="0.25">
      <c r="A1" s="259" t="str">
        <f>""&amp;'Общие данные'!B147&amp;"
mikromoliya tashkilotining Xulosasi"</f>
        <v>«CLEVER MIKROMOLIYA TASHKILOTI» MChJ
mikromoliya tashkilotining Xulosasi</v>
      </c>
      <c r="B1" s="259"/>
      <c r="C1" s="259"/>
      <c r="D1" s="259"/>
      <c r="E1" s="259"/>
    </row>
    <row r="2" spans="1:5" x14ac:dyDescent="0.25">
      <c r="A2" s="232"/>
      <c r="B2" s="232"/>
      <c r="C2" s="232"/>
      <c r="D2" s="232"/>
      <c r="E2" s="232"/>
    </row>
    <row r="3" spans="1:5" x14ac:dyDescent="0.25">
      <c r="A3" s="259" t="s">
        <v>202</v>
      </c>
      <c r="B3" s="259"/>
      <c r="C3" s="259"/>
      <c r="D3" s="259"/>
      <c r="E3" s="259"/>
    </row>
    <row r="4" spans="1:5" x14ac:dyDescent="0.25">
      <c r="A4" s="232" t="str">
        <f>"Mijozning to'liq ismi sharifi: "&amp;'Общие данные'!B5&amp;""</f>
        <v>Mijozning to'liq ismi sharifi: OTASHEVA RUQIYA SHERALI QIZI</v>
      </c>
      <c r="B4" s="232"/>
      <c r="C4" s="232"/>
      <c r="D4" s="232"/>
      <c r="E4" s="232"/>
    </row>
    <row r="5" spans="1:5" x14ac:dyDescent="0.25">
      <c r="A5" s="232" t="str">
        <f>"Tug'ilgan sanasi: "&amp;'Общие данные'!B15&amp;""</f>
        <v>Tug'ilgan sanasi: 13.12.2005y</v>
      </c>
      <c r="B5" s="232"/>
      <c r="C5" s="232"/>
      <c r="D5" s="232"/>
      <c r="E5" s="232"/>
    </row>
    <row r="6" spans="1:5" ht="31.5" customHeight="1" x14ac:dyDescent="0.25">
      <c r="A6" s="232" t="str">
        <f>"Pasport seriyasi "&amp;'Общие данные'!B16&amp;" "&amp;'Общие данные'!B20&amp;", amal qilish muddati - "&amp;'Общие данные'!B21&amp;""</f>
        <v>Pasport seriyasi AD1337033 IIV6215 tomonidan 11.05.2022 yilda berilgan, amal qilish muddati - 10.05.2032 y.</v>
      </c>
      <c r="B6" s="232"/>
      <c r="C6" s="232"/>
      <c r="D6" s="232"/>
      <c r="E6" s="232"/>
    </row>
    <row r="7" spans="1:5" ht="48" customHeight="1" x14ac:dyDescent="0.25">
      <c r="A7" s="232" t="str">
        <f>"Ro‘yxatdan o‘tgan manzili: "&amp;'Общие данные'!B22&amp;", mo'ljal: "&amp;'Общие данные'!B26&amp;""</f>
        <v>Ro‘yxatdan o‘tgan manzili: OLOT TUMAN CHOVDUR MFY, mo'ljal: JUMABOZOR CHORRAXA</v>
      </c>
      <c r="B7" s="232"/>
      <c r="C7" s="232"/>
      <c r="D7" s="232"/>
      <c r="E7" s="232"/>
    </row>
    <row r="8" spans="1:5" ht="28.5" customHeight="1" x14ac:dyDescent="0.25">
      <c r="A8" s="232" t="str">
        <f>"Ish joyi: "&amp;'Общие данные'!B52&amp;" lavozimi "&amp;'Общие данные'!B49&amp;"da "&amp;'Общие данные'!B44&amp;""</f>
        <v>Ish joyi:  lavozimi Qishloq xo'jaligi ishlarida O'Z O'ZINI BAND QILGAN FUQARO</v>
      </c>
      <c r="B8" s="232"/>
      <c r="C8" s="232"/>
      <c r="D8" s="232"/>
      <c r="E8" s="232"/>
    </row>
    <row r="9" spans="1:5" x14ac:dyDescent="0.25">
      <c r="A9" s="232"/>
      <c r="B9" s="232"/>
      <c r="C9" s="232"/>
      <c r="D9" s="232"/>
      <c r="E9" s="232"/>
    </row>
    <row r="10" spans="1:5" x14ac:dyDescent="0.25">
      <c r="A10" s="259" t="str">
        <f>"Mijoz tomonidan so’ralgan "&amp;'Общие данные'!B65&amp;" shartlari:"</f>
        <v>Mijoz tomonidan so’ralgan mikrokredit shartlari:</v>
      </c>
      <c r="B10" s="259"/>
      <c r="C10" s="259"/>
      <c r="D10" s="259"/>
      <c r="E10" s="259"/>
    </row>
    <row r="11" spans="1:5" x14ac:dyDescent="0.25">
      <c r="A11" s="232" t="str">
        <f>'Кредитная заявка'!A13:D13</f>
        <v>Mikrokredit summasi: 150 000 000,00 (yuz ellik million so'm) so'm.</v>
      </c>
      <c r="B11" s="232"/>
      <c r="C11" s="232"/>
      <c r="D11" s="232"/>
      <c r="E11" s="232"/>
    </row>
    <row r="12" spans="1:5" x14ac:dyDescent="0.25">
      <c r="A12" s="232" t="str">
        <f>'Кредитная заявка'!A14:D14</f>
        <v>Mikrokredit muddati: 36 (O'ttiz olti) oy.</v>
      </c>
      <c r="B12" s="232"/>
      <c r="C12" s="232"/>
      <c r="D12" s="232"/>
      <c r="E12" s="232"/>
    </row>
    <row r="13" spans="1:5" x14ac:dyDescent="0.25">
      <c r="A13" s="232" t="str">
        <f>'Кредитная заявка'!A15:D15</f>
        <v>Mikrokreditdan foydalanganlik uchun foiz stavkasi: yillik  60% (Oltmish) foiz</v>
      </c>
      <c r="B13" s="232"/>
      <c r="C13" s="232"/>
      <c r="D13" s="232"/>
      <c r="E13" s="232"/>
    </row>
    <row r="14" spans="1:5" x14ac:dyDescent="0.25">
      <c r="A14" s="232" t="str">
        <f>'Кредитная заявка'!A16:D16</f>
        <v>Mikrokredit bo'yicha asosiy qarz va foizlarni to'lash:</v>
      </c>
      <c r="B14" s="232"/>
      <c r="C14" s="232"/>
      <c r="D14" s="232"/>
      <c r="E14" s="232"/>
    </row>
    <row r="15" spans="1:5" ht="18.75" customHeight="1" x14ac:dyDescent="0.25">
      <c r="A15" s="232" t="str">
        <f>'Кредитная заявка'!A19:D19</f>
        <v xml:space="preserve"> - mikrokredit shartnomasi bo'yicha har oy differensial to'lovlari amalga oshiriladi</v>
      </c>
      <c r="B15" s="232"/>
      <c r="C15" s="232"/>
      <c r="D15" s="232"/>
      <c r="E15" s="232"/>
    </row>
    <row r="16" spans="1:5" ht="14.25" customHeight="1" x14ac:dyDescent="0.25">
      <c r="A16" s="235" t="str">
        <f>'Кредитная заявка'!A20:D20</f>
        <v xml:space="preserve">  Oxirgi yakuniy to'lov mikrokredit shartnomasi tuzilgan kundan boshlab oxirgi oyning oxirgi kunida amalga oshiriladi</v>
      </c>
      <c r="B16" s="235"/>
      <c r="C16" s="235"/>
      <c r="D16" s="235"/>
      <c r="E16" s="235"/>
    </row>
    <row r="17" spans="1:5" x14ac:dyDescent="0.25">
      <c r="A17" s="232" t="str">
        <f>'Кредитная заявка'!A21:D21</f>
        <v>Mikrokredit ta’minoti::</v>
      </c>
      <c r="B17" s="232"/>
      <c r="C17" s="232"/>
      <c r="D17" s="232"/>
      <c r="E17" s="232"/>
    </row>
    <row r="18" spans="1:5" ht="67.5" customHeight="1" x14ac:dyDescent="0.25">
      <c r="A18" s="232" t="str">
        <f>'Кредитная заявка'!A22:D22</f>
        <v xml:space="preserve"> Egalik huquqi QODIROVA IBODAT BAXTIYOR QIZIga tegishli bo'lgan umumiy maydoni - 42,00  va yashash maydoni - 27,5 2 - xonali ko'p qavatli uydagi xonadon, BUXORO VILOYATI QORAKO'L TUMANI QARAKUL MSG O'TIK DO'RMAN KO'CHASI 61-UY 18-XONADON </v>
      </c>
      <c r="B18" s="232"/>
      <c r="C18" s="232"/>
      <c r="D18" s="232"/>
      <c r="E18" s="232"/>
    </row>
    <row r="19" spans="1:5" x14ac:dyDescent="0.25">
      <c r="A19" s="259" t="s">
        <v>203</v>
      </c>
      <c r="B19" s="259"/>
      <c r="C19" s="259"/>
      <c r="D19" s="259"/>
      <c r="E19" s="259"/>
    </row>
    <row r="20" spans="1:5" ht="21" customHeight="1" x14ac:dyDescent="0.25">
      <c r="A20" s="232" t="str">
        <f>"Anketaga muvofiq "&amp;'Общие данные'!B9&amp;"ning o‘rtacha oylik daromadi  "&amp;FIXED('Общие данные'!B60)&amp;" so‘mni tashkil etdi."</f>
        <v>Anketaga muvofiq OTASHEVA R.SH.ning o‘rtacha oylik daromadi  29 000 000,00 so‘mni tashkil etdi.</v>
      </c>
      <c r="B20" s="232"/>
      <c r="C20" s="232"/>
      <c r="D20" s="232"/>
      <c r="E20" s="232"/>
    </row>
    <row r="21" spans="1:5" ht="21" customHeight="1" x14ac:dyDescent="0.25">
      <c r="A21" s="232" t="str">
        <f>"Mijozning o'rtacha oylik xarajatlari "&amp;FIXED('Анкета Клиента'!F27)&amp;" so'mni tashkil etdi"</f>
        <v>Mijozning o'rtacha oylik xarajatlari 1 800 000,00 so'mni tashkil etdi</v>
      </c>
      <c r="B21" s="232"/>
      <c r="C21" s="232"/>
      <c r="D21" s="232"/>
      <c r="E21" s="232"/>
    </row>
    <row r="22" spans="1:5" ht="18.75" customHeight="1" x14ac:dyDescent="0.25">
      <c r="A22" s="232" t="str">
        <f>IF('Общие данные'!B77='Общие данные'!C77,'Заключение КК'!A23:E23,'Заключение КК'!A24:E24)</f>
        <v>Mikrokredit shartnomasi bo'yicha birinchi oy uchun to'lov 11 399 543,47 so'mni tashkil etadi.</v>
      </c>
      <c r="B22" s="232"/>
      <c r="C22" s="232"/>
      <c r="D22" s="232"/>
      <c r="E22" s="232"/>
    </row>
    <row r="23" spans="1:5" ht="2.25" customHeight="1" x14ac:dyDescent="0.25">
      <c r="A23" s="232" t="str">
        <f>""&amp;'Общие данные'!C64&amp;" shartnomasi bo'yicha birinchi oy uchun to'lov "&amp;FIXED('Общие данные'!B90)&amp;" so'mni tashkil etadi."</f>
        <v>Mikrokredit shartnomasi bo'yicha birinchi oy uchun to'lov 11 399 543,47 so'mni tashkil etadi.</v>
      </c>
      <c r="B23" s="232"/>
      <c r="C23" s="232"/>
      <c r="D23" s="232"/>
      <c r="E23" s="232"/>
    </row>
    <row r="24" spans="1:5" ht="2.25" customHeight="1" x14ac:dyDescent="0.25">
      <c r="A24" s="232" t="str">
        <f>""&amp;'Общие данные'!C64&amp;" bo‘yicha oylik "&amp;'Общие данные'!B77&amp;" to‘lovi miqdori "&amp;FIXED('Общие данные'!B90)&amp;" so‘mni tashkil etadi."</f>
        <v>Mikrokredit bo‘yicha oylik differensial to‘lovi miqdori 11 399 543,47 so‘mni tashkil etadi.</v>
      </c>
      <c r="B24" s="232"/>
      <c r="C24" s="232"/>
      <c r="D24" s="232"/>
      <c r="E24" s="232"/>
    </row>
    <row r="25" spans="1:5" ht="50.25" customHeight="1" x14ac:dyDescent="0.25">
      <c r="A25" s="235" t="s">
        <v>441</v>
      </c>
      <c r="B25" s="235"/>
      <c r="C25" s="235"/>
      <c r="D25" s="235"/>
      <c r="E25" s="235"/>
    </row>
    <row r="26" spans="1:5" x14ac:dyDescent="0.25">
      <c r="A26" s="259" t="str">
        <f>""&amp;'Общие данные'!C64&amp;" bo’yicha ta’minot:"</f>
        <v>Mikrokredit bo’yicha ta’minot:</v>
      </c>
      <c r="B26" s="259"/>
      <c r="C26" s="259"/>
      <c r="D26" s="259"/>
      <c r="E26" s="259"/>
    </row>
    <row r="27" spans="1:5" ht="31.5" hidden="1" customHeight="1" x14ac:dyDescent="0.25">
      <c r="A27" s="232" t="str">
        <f>" - "&amp;'Общие данные'!B117&amp;" ga mulk huquqi asosida tegishli avtotransport vositasi "&amp;'Общие данные'!B125&amp;" , quyidagi tafsilotlarga muvofiq:"</f>
        <v xml:space="preserve"> - 0 ga mulk huquqi asosida tegishli avtotransport vositasi CHEVROLET ONIX , quyidagi tafsilotlarga muvofiq:</v>
      </c>
      <c r="B27" s="232"/>
      <c r="C27" s="232"/>
      <c r="D27" s="232"/>
      <c r="E27" s="232"/>
    </row>
    <row r="28" spans="1:5" ht="67.5" hidden="1" customHeight="1" x14ac:dyDescent="0.25">
      <c r="A28" s="232" t="str">
        <f>" -   "&amp;'Общие данные'!C117&amp;" ga mulk huquqi asosida tegishli ko'chmas mulk shaklida "&amp;'Общие данные'!C126&amp;", manzili: "&amp;'Общие данные'!C123&amp;", quyidagi tafsilotlarga muvofiq:"</f>
        <v xml:space="preserve"> -   QODIROVA IBODAT BAXTIYOR QIZI ga mulk huquqi asosida tegishli ko'chmas mulk shaklida 2 - xonali ko'p qavatli uydagi xonadon, manzili: BUXORO VILOYATI QORAKO'L TUMANI QARAKUL MSG O'TIK DO'RMAN KO'CHASI 61-UY 18-XONADON, quyidagi tafsilotlarga muvofiq:</v>
      </c>
      <c r="B28" s="232"/>
      <c r="C28" s="232"/>
      <c r="D28" s="232"/>
      <c r="E28" s="232"/>
    </row>
    <row r="29" spans="1:5" ht="44.25" customHeight="1" x14ac:dyDescent="0.25">
      <c r="A29" s="232" t="str">
        <f>IF('Общие данные'!B103="Avtotransport",'Заключение КК'!A27:E27,'Заключение КК'!A28:E28)</f>
        <v xml:space="preserve"> -   QODIROVA IBODAT BAXTIYOR QIZI ga mulk huquqi asosida tegishli ko'chmas mulk shaklida 2 - xonali ko'p qavatli uydagi xonadon, manzili: BUXORO VILOYATI QORAKO'L TUMANI QARAKUL MSG O'TIK DO'RMAN KO'CHASI 61-UY 18-XONADON, quyidagi tafsilotlarga muvofiq:</v>
      </c>
      <c r="B29" s="232"/>
      <c r="C29" s="232"/>
      <c r="D29" s="232"/>
      <c r="E29" s="232"/>
    </row>
    <row r="30" spans="1:5" s="20" customFormat="1" ht="47.25" customHeight="1" outlineLevel="1" x14ac:dyDescent="0.25">
      <c r="A30" s="43" t="str">
        <f>'Акт согласования'!A29</f>
        <v>Nomi</v>
      </c>
      <c r="B30" s="43" t="str">
        <f>'Акт согласования'!B29</f>
        <v>kadastr</v>
      </c>
      <c r="C30" s="43" t="str">
        <f>'Акт согласования'!C29</f>
        <v>Yashash maydoni</v>
      </c>
      <c r="D30" s="43" t="str">
        <f>'Акт согласования'!D29</f>
        <v>Foydalanishga topshirilgan sanasi</v>
      </c>
      <c r="E30" s="43" t="str">
        <f>'Акт согласования'!E29</f>
        <v>Kelishilgan garov qiymati, so'm</v>
      </c>
    </row>
    <row r="31" spans="1:5" s="24" customFormat="1" ht="92.25" customHeight="1" outlineLevel="1" x14ac:dyDescent="0.25">
      <c r="A31" s="21" t="str">
        <f>'Акт согласования'!A30</f>
        <v>2 - xonali ko'p qavatli uydagi xonadon</v>
      </c>
      <c r="B31" s="21" t="str">
        <f>'Акт согласования'!B30</f>
        <v>20.01.2025 yildan №20:10:07:01:02:0754:0011:018 kv.m</v>
      </c>
      <c r="C31" s="21" t="str">
        <f>'Акт согласования'!C30</f>
        <v>27,5 kv.m</v>
      </c>
      <c r="D31" s="21" t="str">
        <f>'Акт согласования'!D30</f>
        <v>20.01.2025</v>
      </c>
      <c r="E31" s="21" t="str">
        <f>'Акт согласования'!E30</f>
        <v>225 000 000,00 
(ikki yuz yigirma besh million so'm)</v>
      </c>
    </row>
    <row r="32" spans="1:5" ht="15.75" customHeight="1" outlineLevel="1" x14ac:dyDescent="0.25">
      <c r="A32" s="232" t="str">
        <f>'Акт согласования'!A22</f>
        <v>-* ko'chmas mulk egasi: QODIROVA IBODAT BAXTIYOR QIZI</v>
      </c>
      <c r="B32" s="232"/>
      <c r="C32" s="232"/>
      <c r="D32" s="232"/>
      <c r="E32" s="232"/>
    </row>
    <row r="33" spans="1:5" ht="15" customHeight="1" outlineLevel="1" x14ac:dyDescent="0.25">
      <c r="A33" s="232" t="str">
        <f>'Акт согласования'!A23</f>
        <v>-* reest raqami: 20.01.2025y  1706230/R-A5590011</v>
      </c>
      <c r="B33" s="232"/>
      <c r="C33" s="232"/>
      <c r="D33" s="232"/>
      <c r="E33" s="232"/>
    </row>
    <row r="34" spans="1:5" ht="33" customHeight="1" outlineLevel="1" x14ac:dyDescent="0.25">
      <c r="A34" s="232" t="str">
        <f>'Акт согласования'!A24</f>
        <v>-*  kadastr raqami: 20.01.2025 yildan №20:10:07:01:02:0754:0011:018</v>
      </c>
      <c r="B34" s="232"/>
      <c r="C34" s="232"/>
      <c r="D34" s="232"/>
      <c r="E34" s="232"/>
    </row>
    <row r="35" spans="1:5" ht="15" customHeight="1" outlineLevel="1" x14ac:dyDescent="0.25">
      <c r="A35" s="232" t="str">
        <f>'Акт согласования'!A25</f>
        <v>-* manzili: BUXORO VILOYATI QORAKO'L TUMANI QARAKUL MSG O'TIK DO'RMAN KO'CHASI 61-UY 18-XONADON</v>
      </c>
      <c r="B35" s="232"/>
      <c r="C35" s="232"/>
      <c r="D35" s="232"/>
      <c r="E35" s="232"/>
    </row>
    <row r="36" spans="1:5" ht="9" customHeight="1" x14ac:dyDescent="0.25">
      <c r="A36" s="232"/>
      <c r="B36" s="232"/>
      <c r="C36" s="232"/>
      <c r="D36" s="232"/>
      <c r="E36" s="232"/>
    </row>
    <row r="37" spans="1:5" ht="39" customHeight="1" x14ac:dyDescent="0.25">
      <c r="A37" s="259" t="str">
        <f>""&amp;'Общие данные'!B147&amp;"
mikromoliya tashkilotining Xulosasi"</f>
        <v>«CLEVER MIKROMOLIYA TASHKILOTI» MChJ
mikromoliya tashkilotining Xulosasi</v>
      </c>
      <c r="B37" s="259"/>
      <c r="C37" s="259"/>
      <c r="D37" s="259"/>
      <c r="E37" s="259"/>
    </row>
    <row r="38" spans="1:5" ht="48" customHeight="1" x14ac:dyDescent="0.25">
      <c r="A38" s="232" t="str">
        <f>""&amp;'Общие данные'!B147&amp;" kredit qo‘mitasining xulosasiga quyidagi shartlarda "&amp;'Общие данные'!B10&amp;"ga "&amp;'Общие данные'!B65&amp;" berish masalasi kiritiladi:"</f>
        <v>«CLEVER MIKROMOLIYA TASHKILOTI» MChJ kredit qo‘mitasining xulosasiga quyidagi shartlarda OTASHEVA RUQIYA SHERALI QIZIga mikrokredit berish masalasi kiritiladi:</v>
      </c>
      <c r="B38" s="232"/>
      <c r="C38" s="232"/>
      <c r="D38" s="232"/>
      <c r="E38" s="232"/>
    </row>
    <row r="39" spans="1:5" x14ac:dyDescent="0.25">
      <c r="A39" s="232" t="str">
        <f>A11</f>
        <v>Mikrokredit summasi: 150 000 000,00 (yuz ellik million so'm) so'm.</v>
      </c>
      <c r="B39" s="232"/>
      <c r="C39" s="232"/>
      <c r="D39" s="232"/>
      <c r="E39" s="232"/>
    </row>
    <row r="40" spans="1:5" x14ac:dyDescent="0.25">
      <c r="A40" s="232" t="str">
        <f t="shared" ref="A40:A46" si="0">A12</f>
        <v>Mikrokredit muddati: 36 (O'ttiz olti) oy.</v>
      </c>
      <c r="B40" s="232"/>
      <c r="C40" s="232"/>
      <c r="D40" s="232"/>
      <c r="E40" s="232"/>
    </row>
    <row r="41" spans="1:5" x14ac:dyDescent="0.25">
      <c r="A41" s="232" t="str">
        <f t="shared" si="0"/>
        <v>Mikrokreditdan foydalanganlik uchun foiz stavkasi: yillik  60% (Oltmish) foiz</v>
      </c>
      <c r="B41" s="232"/>
      <c r="C41" s="232"/>
      <c r="D41" s="232"/>
      <c r="E41" s="232"/>
    </row>
    <row r="42" spans="1:5" x14ac:dyDescent="0.25">
      <c r="A42" s="232" t="str">
        <f t="shared" si="0"/>
        <v>Mikrokredit bo'yicha asosiy qarz va foizlarni to'lash:</v>
      </c>
      <c r="B42" s="232"/>
      <c r="C42" s="232"/>
      <c r="D42" s="232"/>
      <c r="E42" s="232"/>
    </row>
    <row r="43" spans="1:5" ht="20.25" customHeight="1" x14ac:dyDescent="0.25">
      <c r="A43" s="232" t="str">
        <f t="shared" si="0"/>
        <v xml:space="preserve"> - mikrokredit shartnomasi bo'yicha har oy differensial to'lovlari amalga oshiriladi</v>
      </c>
      <c r="B43" s="232"/>
      <c r="C43" s="232"/>
      <c r="D43" s="232"/>
      <c r="E43" s="232"/>
    </row>
    <row r="44" spans="1:5" ht="26.25" customHeight="1" x14ac:dyDescent="0.25">
      <c r="A44" s="232" t="str">
        <f t="shared" si="0"/>
        <v xml:space="preserve">  Oxirgi yakuniy to'lov mikrokredit shartnomasi tuzilgan kundan boshlab oxirgi oyning oxirgi kunida amalga oshiriladi</v>
      </c>
      <c r="B44" s="232"/>
      <c r="C44" s="232"/>
      <c r="D44" s="232"/>
      <c r="E44" s="232"/>
    </row>
    <row r="45" spans="1:5" ht="18.75" customHeight="1" x14ac:dyDescent="0.25">
      <c r="A45" s="232" t="str">
        <f t="shared" si="0"/>
        <v>Mikrokredit ta’minoti::</v>
      </c>
      <c r="B45" s="232"/>
      <c r="C45" s="232"/>
      <c r="D45" s="232"/>
      <c r="E45" s="232"/>
    </row>
    <row r="46" spans="1:5" ht="75" customHeight="1" x14ac:dyDescent="0.25">
      <c r="A46" s="232" t="str">
        <f t="shared" si="0"/>
        <v xml:space="preserve"> Egalik huquqi QODIROVA IBODAT BAXTIYOR QIZIga tegishli bo'lgan umumiy maydoni - 42,00  va yashash maydoni - 27,5 2 - xonali ko'p qavatli uydagi xonadon, BUXORO VILOYATI QORAKO'L TUMANI QARAKUL MSG O'TIK DO'RMAN KO'CHASI 61-UY 18-XONADON </v>
      </c>
      <c r="B46" s="232"/>
      <c r="C46" s="232"/>
      <c r="D46" s="232"/>
      <c r="E46" s="232"/>
    </row>
    <row r="47" spans="1:5" x14ac:dyDescent="0.25">
      <c r="A47" s="232"/>
      <c r="B47" s="232"/>
      <c r="C47" s="232"/>
      <c r="D47" s="232"/>
      <c r="E47" s="232"/>
    </row>
    <row r="48" spans="1:5" ht="36.75" customHeight="1" x14ac:dyDescent="0.25">
      <c r="A48" s="232" t="str">
        <f>""&amp;'Общие данные'!B147&amp;" mikromoliya tashkilotining xulosasi  "&amp;TEXT('Общие данные'!B2,"ДД.ММ.ГГГГ")&amp;" y. tayyorlangan"</f>
        <v>«CLEVER MIKROMOLIYA TASHKILOTI» MChJ mikromoliya tashkilotining xulosasi  21.01.2025 y. tayyorlangan</v>
      </c>
      <c r="B48" s="232"/>
      <c r="C48" s="232"/>
      <c r="D48" s="232"/>
      <c r="E48" s="232"/>
    </row>
    <row r="49" spans="1:5" x14ac:dyDescent="0.25">
      <c r="A49" s="232"/>
      <c r="B49" s="232"/>
      <c r="C49" s="232"/>
      <c r="D49" s="232"/>
      <c r="E49" s="232"/>
    </row>
    <row r="50" spans="1:5" ht="15.75" customHeight="1" x14ac:dyDescent="0.25">
      <c r="A50" s="235"/>
      <c r="B50" s="235"/>
      <c r="C50" s="235"/>
      <c r="D50" s="26"/>
      <c r="E50" s="27"/>
    </row>
    <row r="51" spans="1:5" ht="35.25" customHeight="1" x14ac:dyDescent="0.25">
      <c r="A51" s="235" t="str">
        <f>'Общие данные'!A161</f>
        <v>Qorako'l filiali boshlig'i</v>
      </c>
      <c r="B51" s="235"/>
      <c r="C51" s="235"/>
      <c r="D51" s="27"/>
      <c r="E51" s="27" t="str">
        <f>'Общие данные'!B161</f>
        <v>Egamberdiyeva D.I.</v>
      </c>
    </row>
    <row r="52" spans="1:5" x14ac:dyDescent="0.25">
      <c r="A52" s="232"/>
      <c r="B52" s="232"/>
      <c r="C52" s="232"/>
      <c r="D52" s="232"/>
      <c r="E52" s="232"/>
    </row>
    <row r="53" spans="1:5" ht="47.25" customHeight="1" x14ac:dyDescent="0.25">
      <c r="A53" s="232"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2"/>
      <c r="C53" s="232"/>
      <c r="D53" s="232"/>
      <c r="E53" s="232"/>
    </row>
    <row r="54" spans="1:5" x14ac:dyDescent="0.25">
      <c r="A54" s="23"/>
      <c r="B54" s="23"/>
      <c r="C54" s="23"/>
      <c r="D54" s="23"/>
      <c r="E54" s="23"/>
    </row>
    <row r="55" spans="1:5" x14ac:dyDescent="0.25">
      <c r="A55" s="235" t="s">
        <v>386</v>
      </c>
      <c r="B55" s="235"/>
      <c r="C55" s="23"/>
      <c r="D55" s="23"/>
      <c r="E55" s="23"/>
    </row>
    <row r="56" spans="1:5" x14ac:dyDescent="0.25">
      <c r="A56" s="23"/>
      <c r="B56" s="23"/>
      <c r="C56" s="23"/>
      <c r="D56" s="23"/>
      <c r="E56" s="23"/>
    </row>
    <row r="57" spans="1:5" x14ac:dyDescent="0.25">
      <c r="A57" s="235" t="str">
        <f>'Общие данные'!B160</f>
        <v>Jumanazarov B.T.</v>
      </c>
      <c r="B57" s="235"/>
      <c r="C57" s="26"/>
      <c r="D57" s="26"/>
      <c r="E57" s="26"/>
    </row>
    <row r="58" spans="1:5" x14ac:dyDescent="0.25">
      <c r="A58" s="60"/>
      <c r="B58" s="60"/>
      <c r="C58" s="26"/>
      <c r="D58" s="26"/>
      <c r="E58" s="26"/>
    </row>
    <row r="59" spans="1:5" ht="21" customHeight="1" x14ac:dyDescent="0.25">
      <c r="A59" s="232" t="str">
        <f>'Общие данные'!B159</f>
        <v>Mominov B.X.</v>
      </c>
      <c r="B59" s="232"/>
      <c r="C59" s="232"/>
      <c r="D59" s="232"/>
      <c r="E59" s="232"/>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17" zoomScale="70" zoomScaleNormal="55" zoomScaleSheetLayoutView="70" workbookViewId="0">
      <selection activeCell="A24" sqref="A24:B24"/>
    </sheetView>
  </sheetViews>
  <sheetFormatPr defaultColWidth="9.140625" defaultRowHeight="15.75" x14ac:dyDescent="0.2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x14ac:dyDescent="0.25">
      <c r="A1" s="296" t="str">
        <f>""&amp;'Общие данные'!C64&amp;" shartnoma "&amp;'Общие данные'!B66&amp;""</f>
        <v>Mikrokredit shartnoma №150-QR</v>
      </c>
      <c r="B1" s="296"/>
    </row>
    <row r="3" spans="1:3" x14ac:dyDescent="0.25">
      <c r="A3" s="296" t="str">
        <f>"Toshkent shahri                                                                               "&amp;'Общие данные'!B70&amp;""</f>
        <v>Toshkent shahri                                                                               21 yanvar 2025 y.</v>
      </c>
      <c r="B3" s="296"/>
    </row>
    <row r="4" spans="1:3" x14ac:dyDescent="0.25">
      <c r="A4" s="75"/>
    </row>
    <row r="5" spans="1:3" ht="132.75" customHeight="1" x14ac:dyDescent="0.25">
      <c r="A5" s="297"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Qorako'l filiali boshlig'i Egamberdiyeva D.I.  bir tomondan va o‘z manfaati yo‘lida hamda o‘z nomidan harakat qiluvchi O‘zbekiston Respublikasi fuqarosi OTASHEVA RUQIYA SHERALI QIZI  (pasport raqami AD1337033, OLOT TUMAN CHOVDUR MFY tomonidan 11.05.2022 yilda berilgan ), bundan buyon «Qarz oluvchi» deb nomlanuvchi, boshqa tomondan, birgalikda “Tomonlar” yoki alohida “Tomon” deb nomlanuvchilar, Qarz oluvchi tomonidan 21.01.2025 yil,mikrokredit olish uchun ariza berilganligini hisobga olib, ushbu Mikrokredit shartnomasini (bundan keyin – «Shartnoma») quyidagilar haqida tuzdilar:</v>
      </c>
      <c r="B5" s="297"/>
    </row>
    <row r="7" spans="1:3" x14ac:dyDescent="0.25">
      <c r="A7" s="296" t="s">
        <v>262</v>
      </c>
      <c r="B7" s="296"/>
    </row>
    <row r="8" spans="1:3" ht="51.75" customHeight="1" x14ac:dyDescent="0.25">
      <c r="A8" s="297"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150 000 000,00 (Yuz ellik million so'm) bo‘lgan mikrokreditni 21 yanvar 2025 y. dan 21 yanvar 2028 y. gacha bo'lgan muddatga naqd pul va/yoki o'tkazmasi shaklida ajratadi.</v>
      </c>
      <c r="B8" s="297"/>
    </row>
    <row r="9" spans="1:3" ht="36" customHeight="1" x14ac:dyDescent="0.25">
      <c r="A9" s="297" t="str">
        <f>"1.2. Qarz oluvchi to‘lovlilik, muddatlilik va ta’minlanganlik tamoyillariga amal qilgan holda "&amp;'Общие данные'!B65&amp;"dan foydalanish majburiyatini o‘z zimmasiga oladi."</f>
        <v>1.2. Qarz oluvchi to‘lovlilik, muddatlilik va ta’minlanganlik tamoyillariga amal qilgan holda mikrokreditdan foydalanish majburiyatini o‘z zimmasiga oladi.</v>
      </c>
      <c r="B9" s="297"/>
    </row>
    <row r="10" spans="1:3" x14ac:dyDescent="0.25">
      <c r="A10" s="36"/>
    </row>
    <row r="11" spans="1:3" x14ac:dyDescent="0.25">
      <c r="A11" s="300" t="str">
        <f>"2. "&amp;'Общие данные'!D64&amp;" BERISH VA QAYTARISH TARTIBI"</f>
        <v>2. MIKROKREDIT BERISH VA QAYTARISH TARTIBI</v>
      </c>
      <c r="B11" s="300"/>
      <c r="C11" s="73"/>
    </row>
    <row r="12" spans="1:3" ht="39" customHeight="1" x14ac:dyDescent="0.25">
      <c r="A12" s="297" t="str">
        <f>"2.1. Ushbu Shartnomaning 1.1.-bandida ko‘rsatilgan summa miqdoridagi "&amp;'Общие данные'!B65&amp;" Mikromoliya tashkiloti kassasidan naqd pul shaklida va/yoki plastik kartaga o‘tkazish yuli bilan beriladi."</f>
        <v>2.1. Ushbu Shartnomaning 1.1.-bandida ko‘rsatilgan summa miqdoridagi mikrokredit Mikromoliya tashkiloti kassasidan naqd pul shaklida va/yoki plastik kartaga o‘tkazish yuli bilan beriladi.</v>
      </c>
      <c r="B12" s="297"/>
    </row>
    <row r="13" spans="1:3" ht="35.25" customHeight="1" x14ac:dyDescent="0.25">
      <c r="A13" s="297" t="str">
        <f>"2.2. "&amp;'Общие данные'!C64&amp;" berish ushbu Shartnoma tuzilgan va Qarz oluvchi tomonidan ushbu shartnomaning 3-bo‘limiga muvofiq garov ta'minoti ta'minlangandan so‘ng 10 kalendar kundan kechiktirmay amalga oshiriladi."</f>
        <v>2.2. Mikrokredit berish ushbu Shartnoma tuzilgan va Qarz oluvchi tomonidan ushbu shartnomaning 3-bo‘limiga muvofiq garov ta'minoti ta'minlangandan so‘ng 10 kalendar kundan kechiktirmay amalga oshiriladi.</v>
      </c>
      <c r="B13" s="297"/>
    </row>
    <row r="14" spans="1:3" ht="37.5" customHeight="1" x14ac:dyDescent="0.25">
      <c r="A14" s="297" t="str">
        <f>"2.3. "&amp;'Общие данные'!C64&amp;" Qarz oluvchi tomonidan ushbu Shartnomaning ajralmas qismi hisoblanadigan 1-ilovasida ko‘rsatilgan to‘lov jadvalida (bundan keyin - To‘lov jadvali) belgilangan miqdor, tartib va muddatlarda qaytariladi."</f>
        <v>2.3. Mikrokredit Qarz oluvchi tomonidan ushbu Shartnomaning ajralmas qismi hisoblanadigan 1-ilovasida ko‘rsatilgan to‘lov jadvalida (bundan keyin - To‘lov jadvali) belgilangan miqdor, tartib va muddatlarda qaytariladi.</v>
      </c>
      <c r="B14" s="297"/>
    </row>
    <row r="15" spans="1:3" ht="74.25" customHeight="1" x14ac:dyDescent="0.25">
      <c r="A15" s="297"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mikrokredit berilgan vaqtdan boshlab, mikrokredit miqdorining qoldiq summasiga 60% (Oltmish) foiz yillik va yiliga 365/366 kunlik hisobidan foizlar hisoblaydi. To'lov jadvaliga muvofiq asosiy qarz bo'yicha navbatdagi to'lov buzilgan hollarda, foiz stavkasi oshiriladi va  Mikromoliya tashkiloti mikrokreditning muddati o'tgan asosiy qarz summasiga yillik 100 (bir yuz) foiz miqdorida foizlar hisoblaydi.</v>
      </c>
      <c r="B15" s="297"/>
    </row>
    <row r="16" spans="1:3" ht="180" customHeight="1" x14ac:dyDescent="0.25">
      <c r="A16" s="297" t="s">
        <v>330</v>
      </c>
      <c r="B16" s="297"/>
    </row>
    <row r="17" spans="1:11" ht="161.25" customHeight="1" x14ac:dyDescent="0.25">
      <c r="A17" s="29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mikrokreditni va undan foydalanganlik uchun foizlarni qaytarish bo‘yicha muddati o‘tgan qarzdorlik hosil bo‘lganda Qarz oluvchi tomonidan ko‘rsatilgan qarzdorlikni to‘lash hisobiga to‘lanadigan summalar quyidagi tartibda hisobga olinadi:</v>
      </c>
      <c r="B17" s="297"/>
      <c r="C17" s="178" t="s">
        <v>334</v>
      </c>
      <c r="H17" s="10" t="str">
        <f>'Общие данные'!B65</f>
        <v>mikrokredit</v>
      </c>
      <c r="I17" s="10" t="s">
        <v>335</v>
      </c>
    </row>
    <row r="18" spans="1:11" ht="100.5" customHeight="1" x14ac:dyDescent="0.25">
      <c r="A18" s="299" t="s">
        <v>375</v>
      </c>
      <c r="B18" s="299"/>
    </row>
    <row r="19" spans="1:11" ht="36" customHeight="1" x14ac:dyDescent="0.25">
      <c r="A19" s="297" t="str">
        <f>"2.7. Qarz oluvchi Mikromoliya tashkilotining "&amp;'Общие данные'!B65&amp;" bo‘yicha asosiy summasi, hisoblangan foizlarni, penya va boshqa moliyaviy talablarini ham naqd pul shaklida, ham naqdsiz shaklda qaytarib beradi."</f>
        <v>2.7. Qarz oluvchi Mikromoliya tashkilotining mikrokredit bo‘yicha asosiy summasi, hisoblangan foizlarni, penya va boshqa moliyaviy talablarini ham naqd pul shaklida, ham naqdsiz shaklda qaytarib beradi.</v>
      </c>
      <c r="B19" s="297"/>
    </row>
    <row r="20" spans="1:11" ht="48.75" customHeight="1" x14ac:dyDescent="0.25">
      <c r="A20" s="297" t="str">
        <f>"2.8. Qarz oluvchi "&amp;'Общие данные'!B65&amp;" miqdorini muddatidan oldin qaytarish, shuningdek, bu haqida Mikromoliya tashkilotini albatta ogohlantirgan holda ulardan aniq foydalangan muddat uchun hisoblangan foizlarni to‘lash huquqiga ega."</f>
        <v>2.8. Qarz oluvchi mikrokredit miqdorini muddatidan oldin qaytarish, shuningdek, bu haqida Mikromoliya tashkilotini albatta ogohlantirgan holda ulardan aniq foydalangan muddat uchun hisoblangan foizlarni to‘lash huquqiga ega.</v>
      </c>
      <c r="B20" s="297"/>
    </row>
    <row r="21" spans="1:11" ht="113.25" customHeight="1" x14ac:dyDescent="0.25">
      <c r="A21" s="301" t="str">
        <f>CONCATENATE(C21,H21,I21)</f>
        <v>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mikrokredit ajratishda uning summasi va qarz oluvchining amaldagi kredit (mikrokredit) shartnomalari bo‘yicha asosiy qarz qoldig‘i yig‘indisi bazaviy hisoblash miqdorining 50 baravaridan oshganda hisoblanadi.</v>
      </c>
      <c r="B21" s="301"/>
      <c r="C21" s="10"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mikrokredit ajratishda uning summasi va </v>
      </c>
      <c r="I21" s="10" t="str">
        <f>"qarz oluvchining amaldagi kredit ("&amp;'Общие данные'!B65&amp;") shartnomalari bo‘yicha asosiy qarz qoldig‘i yig‘indisi bazaviy hisoblash miqdorining 50 baravaridan oshganda hisoblanadi."</f>
        <v>qarz oluvchining amaldagi kredit (mikrokredit) shartnomalari bo‘yicha asosiy qarz qoldig‘i yig‘indisi bazaviy hisoblash miqdorining 50 baravaridan oshganda hisoblanadi.</v>
      </c>
    </row>
    <row r="22" spans="1:11" x14ac:dyDescent="0.25">
      <c r="A22" s="300" t="str">
        <f>"3. "&amp;'Общие данные'!D64&amp;" TA'MINOTI BO‘YICHA "</f>
        <v xml:space="preserve">3. MIKROKREDIT TA'MINOTI BO‘YICHA </v>
      </c>
      <c r="B22" s="300"/>
    </row>
    <row r="23" spans="1:11" ht="19.5" customHeight="1" x14ac:dyDescent="0.25">
      <c r="A23" s="297" t="str">
        <f>"3.1. Ushbu Shartnoma bo‘yicha taqdim etilgan "&amp;'Общие данные'!C64&amp;" quyidagi garov bilan ta'minlanadi:"</f>
        <v>3.1. Ushbu Shartnoma bo‘yicha taqdim etilgan Mikrokredit quyidagi garov bilan ta'minlanadi:</v>
      </c>
      <c r="B23" s="297"/>
    </row>
    <row r="24" spans="1:11" ht="130.5" customHeight="1" x14ac:dyDescent="0.25">
      <c r="A24" s="298" t="str">
        <f>IF('Общие данные'!B103='Общие данные'!C103,договор!A28,IF('Общие данные'!B103='Общие данные'!D103,договор!A25,0))</f>
        <v>3.1.1. Mikromoliya tashkiloti, Qarz oluvchi va 0 tomonidan 2025 yil 21 yanvarda imzolangan 1-sonli Garov predmeti qiymatini tasdiqlash dalolatnomasiga muvofiq BUXORO VILOYATI QORAKO'L TUMANI QARAKUL MSG O'TIK DO'RMAN KO'CHASI 61-UY 18-XONADON manzilida joylashgan, yer uchastkasi maydoni - 0, umumiy maydoni - 42,00, yashash maydoni - 27,5 bo'lgan, 2 - xonali yakka tartibdagi uy-joy ko'rinishidagi ko'chmas mulk (bundan keyin “Garov predmeti”), egalik huquqiga ko'ra  QODIROVA IBODAT BAXTIYOR QIZIga tegishli va kelishilgan garov qiymati 2025 yil 21 yanvarda imzolangan 1-sonli Garov predmeti qiymatini tasdiqlash dalolatnomasiga muvofiq 225 000 000,00 (ikki yuz yigirma besh million so'm) so'mni tashkil qiladi. Garovning aniq shartlari tegishli tarzda notarial tasdiqlangan garov shartnomasi bilan belgilangan.</v>
      </c>
      <c r="B24" s="298"/>
    </row>
    <row r="25" spans="1:11" ht="129" hidden="1" customHeight="1" x14ac:dyDescent="0.25">
      <c r="A25" s="297" t="str">
        <f>IF('Общие данные'!B92='Общие данные'!C92,договор!A27,IF('Общие данные'!B92='Общие данные'!D92,договор!A26,0))</f>
        <v>3.1.1. Mikromoliya tashkiloti, Qarz oluvchi va 0 tomonidan 2025 yil 21 yanvarda imzolangan 1-sonli Garov predmeti qiymatini tasdiqlash dalolatnomasiga muvofiq BUXORO VILOYATI QORAKO'L TUMANI QARAKUL MSG O'TIK DO'RMAN KO'CHASI 61-UY 18-XONADON manzilida joylashgan, yer uchastkasi maydoni - 0, umumiy maydoni - 42,00, yashash maydoni - 27,5 bo'lgan, 2 - xonali yakka tartibdagi uy-joy ko'rinishidagi ko'chmas mulk (bundan keyin “Garov predmeti”), egalik huquqiga ko'ra  QODIROVA IBODAT BAXTIYOR QIZIga tegishli va kelishilgan garov qiymati 2025 yil 21 yanvarda imzolangan 1-sonli Garov predmeti qiymatini tasdiqlash dalolatnomasiga muvofiq 225 000 000,00 (ikki yuz yigirma besh million so'm) so'mni tashkil qiladi. Garovning aniq shartlari tegishli tarzda notarial tasdiqlangan garov shartnomasi bilan belgilangan.</v>
      </c>
      <c r="B25" s="297"/>
    </row>
    <row r="26" spans="1:11" ht="129.75" hidden="1" customHeight="1" x14ac:dyDescent="0.25">
      <c r="A26" s="298"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0 tomonidan 2025 yil 21 yanvarda imzolangan 1-sonli navbatdagi garov predmeti qiymatini tasdiqlash dalolatnomasiga muvofiq BUXORO VILOYATI QORAKO'L TUMANI QARAKUL MSG O'TIK DO'RMAN KO'CHASI 61-UY 18-XONADON manzilida joylashgan, yer uchastkasi maydoni - 0, umumiy maydoni - 42,00, yashash maydoni - 27,5 bo'lgan, 2 - xonali yakka tartibdagi uy-joy ko'rinishidagi ko'chmas mulk (bundan keyin “navbatdagi garov predmeti”), egalik huquqiga ko'ra  QODIROVA IBODAT BAXTIYOR QIZIga tegishli va kelishilgan garov qiymati 2025 yil 21 yanvarda imzolangan 1-sonli Garov predmeti qiymatini tasdiqlash dalolatnomasiga muvofiq 225 000 000,00 (ikki yuz yigirma besh million so'm) so'mni tashkil qiladi. Garovning aniq shartlari tegishli tarzda notarial tasdiqlangan garov shartnomasi bilan belgilangan.</v>
      </c>
      <c r="B26" s="298"/>
    </row>
    <row r="27" spans="1:11" ht="131.25" hidden="1" customHeight="1" x14ac:dyDescent="0.25">
      <c r="A27" s="297"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0 tomonidan 2025 yil 21 yanvarda imzolangan 1-sonli Garov predmeti qiymatini tasdiqlash dalolatnomasiga muvofiq BUXORO VILOYATI QORAKO'L TUMANI QARAKUL MSG O'TIK DO'RMAN KO'CHASI 61-UY 18-XONADON manzilida joylashgan, yer uchastkasi maydoni - 0, umumiy maydoni - 42,00, yashash maydoni - 27,5 bo'lgan, 2 - xonali yakka tartibdagi uy-joy ko'rinishidagi ko'chmas mulk (bundan keyin “Garov predmeti”), egalik huquqiga ko'ra  QODIROVA IBODAT BAXTIYOR QIZIga tegishli va kelishilgan garov qiymati 2025 yil 21 yanvarda imzolangan 1-sonli Garov predmeti qiymatini tasdiqlash dalolatnomasiga muvofiq 225 000 000,00 (ikki yuz yigirma besh million so'm) so'mni tashkil qiladi. Garovning aniq shartlari tegishli tarzda notarial tasdiqlangan garov shartnomasi bilan belgilangan.</v>
      </c>
      <c r="B27" s="297"/>
    </row>
    <row r="28" spans="1:11" ht="114" hidden="1" customHeight="1" x14ac:dyDescent="0.25">
      <c r="A28" s="298" t="str">
        <f>IF('Общие данные'!B92='Общие данные'!C92,A29,IF('Общие данные'!B92='Общие данные'!D92,A30,0))</f>
        <v>3.1.1. Mikromoliya tashkiloti, Qarz oluvchi va 0 tomonidan 2025 yil 21 yanvarda imzolangan 1-sonli garov predmeti qiymatini tasdiqlash dalolatnomasiga muvofiq QORA CHERNIY METALIK rangli, ishlab chiqarilgan yili – 2024 yil,  dvigatel raqami L4H21240863MNBX0144, shassi - -,  kuzov turi - YENGIL SEDAN, kuzov raqami №XWBSA695ERA084391, davlat raqam belgisi 01L756QC bo'lgan CHEVROLET ONIX rusumli avtomashinasi (bundan keyin “Garov predmeti”), egalik huquqiga ega  0ga tegishli va kelishilgan garov qiymati 2025 yil 21 yanvarda imzolangan 1-sonli Garov predmeti qiymatini tasdiqlash dalolatnomasiga muvifiq 225 000 000,00 (ikki yuz yigirma besh million so'm) so'mni tashkil qiladi. Garov garovining aniq shartlari tegishli notarial rasmiylashtirilgan garov shartnomasi bilan belgilanadi.</v>
      </c>
      <c r="B28" s="298"/>
      <c r="K28" s="10" t="s">
        <v>327</v>
      </c>
    </row>
    <row r="29" spans="1:11" ht="114.75" hidden="1" customHeight="1" x14ac:dyDescent="0.25">
      <c r="A29" s="298"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0 tomonidan 2025 yil 21 yanvarda imzolangan 1-sonli garov predmeti qiymatini tasdiqlash dalolatnomasiga muvofiq QORA CHERNIY METALIK rangli, ishlab chiqarilgan yili – 2024 yil,  dvigatel raqami L4H21240863MNBX0144, shassi - -,  kuzov turi - YENGIL SEDAN, kuzov raqami №XWBSA695ERA084391, davlat raqam belgisi 01L756QC bo'lgan CHEVROLET ONIX rusumli avtomashinasi (bundan keyin “Garov predmeti”), egalik huquqiga ega  0ga tegishli va kelishilgan garov qiymati 2025 yil 21 yanvarda imzolangan 1-sonli Garov predmeti qiymatini tasdiqlash dalolatnomasiga muvifiq 225 000 000,00 (ikki yuz yigirma besh million so'm) so'mni tashkil qiladi. Garov garovining aniq shartlari tegishli notarial rasmiylashtirilgan garov shartnomasi bilan belgilanadi.</v>
      </c>
      <c r="B29" s="298"/>
    </row>
    <row r="30" spans="1:11" ht="115.5" hidden="1" customHeight="1" x14ac:dyDescent="0.25">
      <c r="A30" s="303"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0 tomonidan 2025 yil 21 yanvarda imzolangan 1-sonli navbatdagi garov predmeti qiymatini tasdiqlash dalolatnomasiga muvofiq QORA CHERNIY METALIK rangli, ishlab chiqarilgan yili – 2024 yil,  dvigatel raqami L4H21240863MNBX0144, shassi - -,  kuzov turi - YENGIL SEDAN, kuzov raqami №XWBSA695ERA084391, davlat raqam belgisi 01L756QC bo'lgan CHEVROLET ONIX rusumli avtomashinasi (bundan keyin “navbatdagi garov predmeti”), egalik huquqiga ega  0ga tegishli va kelishilgan garov qiymati 2025 yil 21 yanvarda imzolangan 1-sonli Garov predmeti qiymatini tasdiqlash dalolatnomasiga muvifiq 225 000 000,00 (ikki yuz yigirma besh million so'm) so'mni tashkil qiladi. Garov garovining aniq shartlari tegishli notarial rasmiylashtirilgan garov shartnomasi bilan belgilanadi.</v>
      </c>
      <c r="B30" s="303"/>
    </row>
    <row r="31" spans="1:11" ht="117" customHeight="1" x14ac:dyDescent="0.25">
      <c r="A31" s="30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c r="B31" s="302"/>
    </row>
    <row r="32" spans="1:11" ht="94.5" hidden="1" x14ac:dyDescent="0.25">
      <c r="A32" s="185" t="s">
        <v>357</v>
      </c>
      <c r="B32" s="36" t="str">
        <f>CONCATENATE(A33,B33)</f>
        <v xml:space="preserve">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85"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mikrokredit</v>
      </c>
      <c r="B33" s="36" t="s">
        <v>337</v>
      </c>
    </row>
    <row r="34" spans="1:8" ht="85.5" customHeight="1" x14ac:dyDescent="0.25">
      <c r="A34" s="302" t="s">
        <v>263</v>
      </c>
      <c r="B34" s="302"/>
    </row>
    <row r="35" spans="1:8" ht="84" customHeight="1" x14ac:dyDescent="0.25">
      <c r="A35" s="302" t="s">
        <v>315</v>
      </c>
      <c r="B35" s="302"/>
    </row>
    <row r="37" spans="1:8" x14ac:dyDescent="0.25">
      <c r="A37" s="305" t="s">
        <v>314</v>
      </c>
      <c r="B37" s="305"/>
      <c r="C37" s="85"/>
    </row>
    <row r="38" spans="1:8" x14ac:dyDescent="0.25">
      <c r="A38" s="304" t="s">
        <v>313</v>
      </c>
      <c r="B38" s="304"/>
    </row>
    <row r="39" spans="1:8" ht="122.25" customHeight="1" x14ac:dyDescent="0.25">
      <c r="A39" s="302" t="str">
        <f>CONCATENATE(C39,H39)</f>
        <v>4.1.1. Ushbu Shartnomada ko‘rsatilgan asoslar bo‘yicha Qarz oluvchiga Shartnomada ko‘zda tutilgan mikrokredit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2"/>
      <c r="C39" s="10" t="str">
        <f>"4.1.1. Ushbu Shartnomada ko‘rsatilgan asoslar bo‘yicha Qarz oluvchiga Shartnomada ko‘zda tutilgan "&amp;'Общие данные'!B65&amp;""</f>
        <v>4.1.1. Ushbu Shartnomada ko‘rsatilgan asoslar bo‘yicha Qarz oluvchiga Shartnomada ko‘zda tutilgan mikrokredit</v>
      </c>
      <c r="H39" s="178" t="s">
        <v>383</v>
      </c>
    </row>
    <row r="40" spans="1:8" ht="39" customHeight="1" x14ac:dyDescent="0.25">
      <c r="A40" s="302" t="str">
        <f>"4.1.2.1. "&amp;'Общие данные'!C64&amp;"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02"/>
    </row>
    <row r="41" spans="1:8" x14ac:dyDescent="0.25">
      <c r="A41" s="302" t="s">
        <v>316</v>
      </c>
      <c r="B41" s="302"/>
    </row>
    <row r="42" spans="1:8" ht="20.25" customHeight="1" x14ac:dyDescent="0.25">
      <c r="A42" s="302" t="str">
        <f>"b) "&amp;'Общие данные'!B65&amp;" summasiga hisoblanadigan asosiy qarz bo‘yicha muddati o‘tgan qarzdorlik va/yoki foizlarning yuzaga kelishi;"</f>
        <v>b) mikrokredit summasiga hisoblanadigan asosiy qarz bo‘yicha muddati o‘tgan qarzdorlik va/yoki foizlarning yuzaga kelishi;</v>
      </c>
      <c r="B42" s="302"/>
    </row>
    <row r="43" spans="1:8" ht="37.5" customHeight="1" x14ac:dyDescent="0.25">
      <c r="A43" s="302" t="s">
        <v>317</v>
      </c>
      <c r="B43" s="302"/>
    </row>
    <row r="44" spans="1:8" ht="52.5" customHeight="1" x14ac:dyDescent="0.25">
      <c r="A44" s="302" t="s">
        <v>318</v>
      </c>
      <c r="B44" s="302"/>
    </row>
    <row r="45" spans="1:8" ht="19.5" customHeight="1" x14ac:dyDescent="0.25">
      <c r="A45" s="302" t="s">
        <v>319</v>
      </c>
      <c r="B45" s="302"/>
    </row>
    <row r="46" spans="1:8" ht="51.75" customHeight="1" x14ac:dyDescent="0.25">
      <c r="A46" s="302"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mikrokredit summasini olish uchun Mikromoliya tashkilotiga mikrokredit taqdim etilishi to‘g‘risida ijobiy qaror qabul qilinishi uchun muhim hisoblangan masalalar bo‘yicha yolg‘on yoki to‘liq bo‘lmagan ma'lumotlarni taqdim etganligi aniqlanganda.</v>
      </c>
      <c r="B46" s="302"/>
    </row>
    <row r="47" spans="1:8" ht="33.75" customHeight="1" x14ac:dyDescent="0.25">
      <c r="A47" s="302" t="s">
        <v>312</v>
      </c>
      <c r="B47" s="302"/>
    </row>
    <row r="48" spans="1:8" ht="36.75" customHeight="1" x14ac:dyDescent="0.25">
      <c r="A48" s="302" t="s">
        <v>311</v>
      </c>
      <c r="B48" s="302"/>
      <c r="C48" s="185"/>
    </row>
    <row r="49" spans="1:8" ht="100.5" customHeight="1" x14ac:dyDescent="0.25">
      <c r="A49" s="297" t="s">
        <v>310</v>
      </c>
      <c r="B49" s="297"/>
      <c r="C49" s="185"/>
    </row>
    <row r="50" spans="1:8" ht="70.5" customHeight="1" x14ac:dyDescent="0.25">
      <c r="A50" s="297" t="s">
        <v>309</v>
      </c>
      <c r="B50" s="297"/>
      <c r="C50" s="185"/>
    </row>
    <row r="51" spans="1:8" ht="39.75" customHeight="1" x14ac:dyDescent="0.25">
      <c r="A51" s="297" t="str">
        <f>"4.1.7. Qarz oluvchini oldindan ogohlantirmasdan "&amp;'Общие данные'!B65&amp;"ni qaytarish uchun haqiqatdan ham garov ta'minoti mavjudligini tekshirishni amalga oshirish."</f>
        <v>4.1.7. Qarz oluvchini oldindan ogohlantirmasdan mikrokreditni qaytarish uchun haqiqatdan ham garov ta'minoti mavjudligini tekshirishni amalga oshirish.</v>
      </c>
      <c r="B51" s="297"/>
      <c r="C51" s="185"/>
    </row>
    <row r="52" spans="1:8" ht="33" customHeight="1" x14ac:dyDescent="0.25">
      <c r="A52" s="297" t="s">
        <v>320</v>
      </c>
      <c r="B52" s="297"/>
      <c r="C52" s="185"/>
    </row>
    <row r="53" spans="1:8" ht="39.75" customHeight="1" x14ac:dyDescent="0.25">
      <c r="A53" s="297" t="s">
        <v>308</v>
      </c>
      <c r="B53" s="297"/>
      <c r="C53" s="185"/>
    </row>
    <row r="54" spans="1:8" ht="50.25" customHeight="1" x14ac:dyDescent="0.25">
      <c r="A54" s="297" t="str">
        <f>CONCATENATE(C54,H54)</f>
        <v>4.1.10. Qarz oluvchi taqdim etilgan mikrokreditdan Shartnoma tuzilgan kundan boshlab 1 (bir) oy davomida foydalanmagan holatlarda, bu haqda Qarz oluvchini yozma ravishda xabardor qilib, Shartnoma bir tomonlama bekor qilish. Yozma xabarni jo‘natish sanasi uni taqdim etish yoki pochta orqali jo‘natish sanasi hisoblanadi.</v>
      </c>
      <c r="B54" s="297"/>
      <c r="C54" s="185" t="str">
        <f>"4.1.10. Qarz oluvchi taqdim etilgan "&amp;'Общие данные'!B65&amp;"dan Shartnoma tuzilgan kundan boshlab 1 (bir) oy davomida foydalanmagan"</f>
        <v>4.1.10. Qarz oluvchi taqdim etilgan mikrokreditdan Shartnoma tuzilgan kundan boshlab 1 (bir) oy davomida foydalanmagan</v>
      </c>
      <c r="H54" s="10" t="s">
        <v>338</v>
      </c>
    </row>
    <row r="55" spans="1:8" ht="19.5" customHeight="1" x14ac:dyDescent="0.25">
      <c r="A55" s="297" t="str">
        <f>"4.1.11. Oldingi "&amp;'Общие данные'!B65&amp;" to‘liq to‘lanmagunga qadar yangi "&amp;'Общие данные'!B65&amp;" berishni rad etish."</f>
        <v>4.1.11. Oldingi mikrokredit to‘liq to‘lanmagunga qadar yangi mikrokredit berishni rad etish.</v>
      </c>
      <c r="B55" s="297"/>
      <c r="C55" s="185"/>
    </row>
    <row r="57" spans="1:8" x14ac:dyDescent="0.25">
      <c r="A57" s="300" t="s">
        <v>307</v>
      </c>
      <c r="B57" s="300"/>
      <c r="C57" s="184"/>
    </row>
    <row r="58" spans="1:8" x14ac:dyDescent="0.25">
      <c r="A58" s="306" t="s">
        <v>306</v>
      </c>
      <c r="B58" s="306"/>
      <c r="C58" s="186"/>
    </row>
    <row r="59" spans="1:8" ht="36" customHeight="1" x14ac:dyDescent="0.25">
      <c r="A59" s="297" t="str">
        <f>"5.1.1. Ushbu shartnomada nazarda tutilgan shartlar bo‘yicha "&amp;'Общие данные'!B65&amp;" olish, shuningdek, Mikromoliya tashkiloti tomonidan ko‘rsatiladigan pullik xizmatlardan foydalanish."</f>
        <v>5.1.1. Ushbu shartnomada nazarda tutilgan shartlar bo‘yicha mikrokredit olish, shuningdek, Mikromoliya tashkiloti tomonidan ko‘rsatiladigan pullik xizmatlardan foydalanish.</v>
      </c>
      <c r="B59" s="297"/>
      <c r="C59" s="185"/>
    </row>
    <row r="60" spans="1:8" ht="36.75" customHeight="1" x14ac:dyDescent="0.25">
      <c r="A60" s="297"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mikrokreditning foydalanilmagan summasidan voz kechish.</v>
      </c>
      <c r="B60" s="297"/>
      <c r="C60" s="185"/>
    </row>
    <row r="61" spans="1:8" ht="17.25" customHeight="1" x14ac:dyDescent="0.25">
      <c r="A61" s="297" t="str">
        <f>"5.1.3. "&amp;'Общие данные'!C64&amp;" xizmatlari ko‘rsatish qoidalari bilan tanishish."</f>
        <v>5.1.3. Mikrokredit xizmatlari ko‘rsatish qoidalari bilan tanishish.</v>
      </c>
      <c r="B61" s="297"/>
      <c r="C61" s="185"/>
    </row>
    <row r="62" spans="1:8" ht="36" customHeight="1" x14ac:dyDescent="0.25">
      <c r="A62" s="297" t="str">
        <f>"5.1.4. O‘z huquq va majburiyatlari, shu jumladan "&amp;'Общие данные'!B65&amp;" xizmatlari ko‘rsatish bilan bog‘liq barcha xarajatlar haqida aniq va to‘liq ma'lumot olish."</f>
        <v>5.1.4. O‘z huquq va majburiyatlari, shu jumladan mikrokredit xizmatlari ko‘rsatish bilan bog‘liq barcha xarajatlar haqida aniq va to‘liq ma'lumot olish.</v>
      </c>
      <c r="B62" s="297"/>
      <c r="C62" s="185"/>
    </row>
    <row r="63" spans="1:8" ht="33.75" customHeight="1" x14ac:dyDescent="0.25">
      <c r="A63" s="297" t="s">
        <v>321</v>
      </c>
      <c r="B63" s="297"/>
      <c r="C63" s="185"/>
    </row>
    <row r="64" spans="1:8" x14ac:dyDescent="0.25">
      <c r="A64" s="306" t="s">
        <v>305</v>
      </c>
      <c r="B64" s="306"/>
      <c r="C64" s="186"/>
    </row>
    <row r="65" spans="1:8" ht="37.5" customHeight="1" x14ac:dyDescent="0.25">
      <c r="A65" s="297"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mikrokreditdan foydalanishning butun davri davomida uning moliyaviy holati va to‘lash qobiliyatiga tegishli bo‘lgan ma'lumotlarni taqdim etish.</v>
      </c>
      <c r="B65" s="297"/>
      <c r="C65" s="185"/>
    </row>
    <row r="66" spans="1:8" ht="39.75" customHeight="1" x14ac:dyDescent="0.25">
      <c r="A66" s="297" t="s">
        <v>322</v>
      </c>
      <c r="B66" s="297"/>
      <c r="C66" s="185"/>
    </row>
    <row r="67" spans="1:8" ht="27" customHeight="1" x14ac:dyDescent="0.25">
      <c r="A67" s="297" t="str">
        <f>"5.2.3. To‘lov jadvaliga muvofiq "&amp;'Общие данные'!B65&amp;", shuningdek hisoblangan foizlar to‘lovlarini amalga oshirish."</f>
        <v>5.2.3. To‘lov jadvaliga muvofiq mikrokredit, shuningdek hisoblangan foizlar to‘lovlarini amalga oshirish.</v>
      </c>
      <c r="B67" s="297"/>
      <c r="C67" s="185"/>
    </row>
    <row r="68" spans="1:8" ht="84" customHeight="1" x14ac:dyDescent="0.25">
      <c r="A68" s="297"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mikrokredit mablag‘lari hisobiga moliyalashtirilgan hujjatlarni ko‘zdan kechirish va Mikromoliya tashkiloti tomonidan ushbu huquqni amalga oshirishga to‘sqinlik qilmaslik majburiyatini oladi.</v>
      </c>
      <c r="B68" s="297"/>
      <c r="C68" s="185" t="s">
        <v>339</v>
      </c>
      <c r="H68" s="10" t="str">
        <f>" "&amp;'Общие данные'!B65&amp;" mablag‘lari hisobiga moliyalashtirilgan hujjatlarni ko‘zdan kechirish va Mikromoliya tashkiloti tomonidan ushbu huquqni amalga oshirishga to‘sqinlik qilmaslik majburiyatini oladi."</f>
        <v xml:space="preserve"> mikrokredit mablag‘lari hisobiga moliyalashtirilgan hujjatlarni ko‘zdan kechirish va Mikromoliya tashkiloti tomonidan ushbu huquqni amalga oshirishga to‘sqinlik qilmaslik majburiyatini oladi.</v>
      </c>
    </row>
    <row r="69" spans="1:8" ht="49.5" customHeight="1" x14ac:dyDescent="0.25">
      <c r="A69" s="297" t="s">
        <v>323</v>
      </c>
      <c r="B69" s="297"/>
      <c r="C69" s="185"/>
    </row>
    <row r="70" spans="1:8" ht="36" customHeight="1" x14ac:dyDescent="0.25">
      <c r="A70" s="297" t="str">
        <f>"5.2.6. Quyidagi holatlarda Mikromoliya tashkilotning birinchi talabi bilan "&amp;'Общие данные'!B65&amp;" qaytarilishi bo‘yicha qo‘shimcha garov ta'minotini taqdim etish: "</f>
        <v xml:space="preserve">5.2.6. Quyidagi holatlarda Mikromoliya tashkilotning birinchi talabi bilan mikrokredit qaytarilishi bo‘yicha qo‘shimcha garov ta'minotini taqdim etish: </v>
      </c>
      <c r="B70" s="297"/>
      <c r="C70" s="185"/>
    </row>
    <row r="71" spans="1:8" ht="51.75" customHeight="1" x14ac:dyDescent="0.25">
      <c r="A71" s="299" t="s">
        <v>340</v>
      </c>
      <c r="B71" s="299"/>
      <c r="C71" s="188"/>
    </row>
    <row r="72" spans="1:8" ht="71.25" customHeight="1" x14ac:dyDescent="0.25">
      <c r="A72" s="297"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mikrokreditning asosiy summa bo‘yicha qarzdorlikni mikrokreditdan aniq foydalanish muddati uchun foizlar bilan kechiktirmasdan to‘liq to‘lashi shart.</v>
      </c>
      <c r="B72" s="297"/>
      <c r="C72" s="185"/>
    </row>
    <row r="73" spans="1:8" ht="33.75" customHeight="1" x14ac:dyDescent="0.25">
      <c r="A73" s="297" t="str">
        <f>"5.2.8. Mikromoliya tashkilotining "&amp;'Общие данные'!B65&amp;" umumiy summasi va hisoblangan foizlarni muddatidan oldin qaytarish to‘g‘risidagi talabini kechiktirmasdan bajarish."</f>
        <v>5.2.8. Mikromoliya tashkilotining mikrokredit umumiy summasi va hisoblangan foizlarni muddatidan oldin qaytarish to‘g‘risidagi talabini kechiktirmasdan bajarish.</v>
      </c>
      <c r="B73" s="297"/>
      <c r="C73" s="185"/>
      <c r="H73" s="10" t="s">
        <v>336</v>
      </c>
    </row>
    <row r="74" spans="1:8" ht="68.25" customHeight="1" x14ac:dyDescent="0.25">
      <c r="A74" s="297" t="str">
        <f>CONCATENATE(C74,H74)</f>
        <v>5.2.9. Mikromoliya tashkilotining talabi bo‘yicha Mikromoliya tashkiloti ko‘rgan, shu jumladan mikrokredit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7"/>
      <c r="C74" s="185" t="str">
        <f>"5.2.9. Mikromoliya tashkilotining talabi bo‘yicha Mikromoliya tashkiloti ko‘rgan, shu jumladan "&amp;'Общие данные'!B65&amp;" bo‘yicha (asosiy qarz, foizlar va boshqalar)"</f>
        <v>5.2.9. Mikromoliya tashkilotining talabi bo‘yicha Mikromoliya tashkiloti ko‘rgan, shu jumladan mikrokredit bo‘yicha (asosiy qarz, foizlar va boshqalar)</v>
      </c>
      <c r="H74" s="10" t="s">
        <v>341</v>
      </c>
    </row>
    <row r="75" spans="1:8" x14ac:dyDescent="0.25">
      <c r="A75" s="81"/>
    </row>
    <row r="76" spans="1:8" x14ac:dyDescent="0.25">
      <c r="A76" s="305" t="s">
        <v>304</v>
      </c>
      <c r="B76" s="305"/>
      <c r="C76" s="187"/>
    </row>
    <row r="77" spans="1:8" ht="98.25" customHeight="1" x14ac:dyDescent="0.25">
      <c r="A77" s="297"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mikrokredit miqdori umumiy summasining 50% dan ko‘p bo‘lmagan miqdorda penya ko‘rinishidagi neustoyka to‘lash majburiyatini o‘z zimmasiga oladi.</v>
      </c>
      <c r="B77" s="297"/>
      <c r="C77" s="185" t="s">
        <v>342</v>
      </c>
      <c r="H77" s="10" t="str">
        <f>""&amp;'Общие данные'!B65&amp;" miqdori umumiy summasining 50% dan ko‘p bo‘lmagan miqdorda penya ko‘rinishidagi neustoyka to‘lash majburiyatini o‘z zimmasiga oladi."</f>
        <v>mikrokredit miqdori umumiy summasining 50% dan ko‘p bo‘lmagan miqdorda penya ko‘rinishidagi neustoyka to‘lash majburiyatini o‘z zimmasiga oladi.</v>
      </c>
    </row>
    <row r="78" spans="1:8" ht="37.5" customHeight="1" x14ac:dyDescent="0.25">
      <c r="A78" s="297" t="s">
        <v>303</v>
      </c>
      <c r="B78" s="297"/>
      <c r="C78" s="185"/>
    </row>
    <row r="79" spans="1:8" ht="35.25" customHeight="1" x14ac:dyDescent="0.25">
      <c r="A79" s="297" t="s">
        <v>302</v>
      </c>
      <c r="B79" s="297"/>
      <c r="C79" s="185"/>
    </row>
    <row r="80" spans="1:8" ht="33" customHeight="1" x14ac:dyDescent="0.25">
      <c r="A80" s="297" t="s">
        <v>301</v>
      </c>
      <c r="B80" s="297"/>
      <c r="C80" s="185"/>
    </row>
    <row r="82" spans="1:3" x14ac:dyDescent="0.25">
      <c r="A82" s="289" t="s">
        <v>300</v>
      </c>
      <c r="B82" s="289"/>
      <c r="C82" s="74"/>
    </row>
    <row r="83" spans="1:3" ht="162.75" customHeight="1" x14ac:dyDescent="0.25">
      <c r="A83" s="297" t="s">
        <v>299</v>
      </c>
      <c r="B83" s="297"/>
      <c r="C83" s="185"/>
    </row>
    <row r="84" spans="1:3" ht="33.75" customHeight="1" x14ac:dyDescent="0.25">
      <c r="A84" s="297" t="s">
        <v>343</v>
      </c>
      <c r="B84" s="297"/>
      <c r="C84" s="185"/>
    </row>
    <row r="85" spans="1:3" ht="51.75" customHeight="1" x14ac:dyDescent="0.25">
      <c r="A85" s="297" t="s">
        <v>298</v>
      </c>
      <c r="B85" s="297"/>
      <c r="C85" s="185"/>
    </row>
    <row r="86" spans="1:3" ht="36" customHeight="1" x14ac:dyDescent="0.25">
      <c r="A86" s="297" t="s">
        <v>297</v>
      </c>
      <c r="B86" s="297"/>
      <c r="C86" s="185"/>
    </row>
    <row r="88" spans="1:3" x14ac:dyDescent="0.25">
      <c r="A88" s="289" t="s">
        <v>296</v>
      </c>
      <c r="B88" s="289"/>
      <c r="C88" s="74"/>
    </row>
    <row r="89" spans="1:3" ht="114.75" customHeight="1" x14ac:dyDescent="0.25">
      <c r="A89" s="297" t="s">
        <v>358</v>
      </c>
      <c r="B89" s="297"/>
      <c r="C89" s="185"/>
    </row>
    <row r="90" spans="1:3" ht="36" customHeight="1" x14ac:dyDescent="0.25">
      <c r="A90" s="297" t="s">
        <v>324</v>
      </c>
      <c r="B90" s="297"/>
      <c r="C90" s="185"/>
    </row>
    <row r="91" spans="1:3" ht="64.5" customHeight="1" x14ac:dyDescent="0.25">
      <c r="A91" s="297"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mikrokredit bo‘yicha muddati o‘tgan qarzdorlikning to‘lanishi Mikromoliya tashkilotning mikrokredit bo‘yicha qarzdorlikni muddatidan avval undirish, shu jumladan undiruvni garovdagi mol-mulkka qaratish yo‘li bilan undirish huquqidan mahrum qilmaydi.</v>
      </c>
      <c r="B91" s="297"/>
      <c r="C91" s="185"/>
    </row>
    <row r="93" spans="1:3" x14ac:dyDescent="0.25">
      <c r="A93" s="307" t="s">
        <v>295</v>
      </c>
      <c r="B93" s="307"/>
      <c r="C93" s="83"/>
    </row>
    <row r="94" spans="1:3" ht="20.25" customHeight="1" x14ac:dyDescent="0.25">
      <c r="A94" s="297" t="s">
        <v>294</v>
      </c>
      <c r="B94" s="297"/>
      <c r="C94" s="185"/>
    </row>
    <row r="95" spans="1:3" ht="33.75" customHeight="1" x14ac:dyDescent="0.25">
      <c r="A95" s="297" t="str">
        <f>"9.2. Shartnomaning amal qilish muddati Qarz oluvchi "&amp;'Общие данные'!B65&amp;"ni to‘liq qaytargan, hisoblangan foizlar, penya va boshqa pul majburiyatlarini to‘lagan kunda yakunlanadi."</f>
        <v>9.2. Shartnomaning amal qilish muddati Qarz oluvchi mikrokreditni to‘liq qaytargan, hisoblangan foizlar, penya va boshqa pul majburiyatlarini to‘lagan kunda yakunlanadi.</v>
      </c>
      <c r="B95" s="297"/>
      <c r="C95" s="185"/>
    </row>
    <row r="96" spans="1:3" ht="51" customHeight="1" x14ac:dyDescent="0.25">
      <c r="A96" s="297" t="s">
        <v>293</v>
      </c>
      <c r="B96" s="297"/>
      <c r="C96" s="185"/>
    </row>
    <row r="98" spans="1:3" x14ac:dyDescent="0.25">
      <c r="A98" s="300" t="s">
        <v>292</v>
      </c>
      <c r="B98" s="300"/>
      <c r="C98" s="73"/>
    </row>
    <row r="99" spans="1:3" ht="82.5" customHeight="1" x14ac:dyDescent="0.25">
      <c r="A99" s="297" t="s">
        <v>291</v>
      </c>
      <c r="B99" s="297"/>
      <c r="C99" s="185"/>
    </row>
    <row r="100" spans="1:3" ht="66" customHeight="1" x14ac:dyDescent="0.25">
      <c r="A100" s="297" t="s">
        <v>290</v>
      </c>
      <c r="B100" s="297"/>
      <c r="C100" s="185"/>
    </row>
    <row r="101" spans="1:3" ht="48" customHeight="1" x14ac:dyDescent="0.25">
      <c r="A101" s="297" t="s">
        <v>289</v>
      </c>
      <c r="B101" s="297"/>
      <c r="C101" s="185"/>
    </row>
    <row r="103" spans="1:3" x14ac:dyDescent="0.25">
      <c r="A103" s="289" t="s">
        <v>288</v>
      </c>
      <c r="B103" s="289"/>
      <c r="C103" s="164"/>
    </row>
    <row r="104" spans="1:3" ht="37.5" customHeight="1" x14ac:dyDescent="0.25">
      <c r="A104" s="297" t="s">
        <v>287</v>
      </c>
      <c r="B104" s="297"/>
      <c r="C104" s="185"/>
    </row>
    <row r="105" spans="1:3" ht="34.5" customHeight="1" x14ac:dyDescent="0.25">
      <c r="A105" s="297" t="s">
        <v>286</v>
      </c>
      <c r="B105" s="297"/>
      <c r="C105" s="185"/>
    </row>
    <row r="106" spans="1:3" ht="66.75" customHeight="1" x14ac:dyDescent="0.25">
      <c r="A106" s="297" t="s">
        <v>285</v>
      </c>
      <c r="B106" s="297"/>
      <c r="C106" s="185"/>
    </row>
    <row r="107" spans="1:3" ht="51" customHeight="1" x14ac:dyDescent="0.25">
      <c r="A107" s="297" t="s">
        <v>284</v>
      </c>
      <c r="B107" s="297"/>
      <c r="C107" s="185"/>
    </row>
    <row r="108" spans="1:3" ht="37.5" customHeight="1" x14ac:dyDescent="0.25">
      <c r="A108" s="297" t="s">
        <v>283</v>
      </c>
      <c r="B108" s="297"/>
      <c r="C108" s="185"/>
    </row>
    <row r="109" spans="1:3" ht="38.25" customHeight="1" x14ac:dyDescent="0.25">
      <c r="A109" s="297" t="s">
        <v>282</v>
      </c>
      <c r="B109" s="297"/>
      <c r="C109" s="185"/>
    </row>
    <row r="110" spans="1:3" ht="21" customHeight="1" x14ac:dyDescent="0.25">
      <c r="A110" s="297" t="s">
        <v>281</v>
      </c>
      <c r="B110" s="297"/>
      <c r="C110" s="185"/>
    </row>
    <row r="111" spans="1:3" ht="32.25" customHeight="1" x14ac:dyDescent="0.25">
      <c r="A111" s="297"/>
      <c r="B111" s="297"/>
      <c r="C111" s="185"/>
    </row>
    <row r="113" spans="1:3" x14ac:dyDescent="0.25">
      <c r="A113" s="307" t="s">
        <v>325</v>
      </c>
      <c r="B113" s="307"/>
      <c r="C113" s="83"/>
    </row>
    <row r="115" spans="1:3" x14ac:dyDescent="0.25">
      <c r="A115" s="84" t="s">
        <v>280</v>
      </c>
      <c r="B115" s="84" t="s">
        <v>279</v>
      </c>
    </row>
    <row r="117" spans="1:3" ht="31.5" x14ac:dyDescent="0.25">
      <c r="A117" s="83" t="str">
        <f>'Общие данные'!B148</f>
        <v>«CLEVER MIKROMOLIYA TASHKILOTI» MChJ</v>
      </c>
      <c r="B117" s="76" t="str">
        <f>'Общие данные'!B5</f>
        <v>OTASHEVA RUQIYA SHERALI QIZI</v>
      </c>
    </row>
    <row r="119" spans="1:3" ht="52.5" customHeight="1" x14ac:dyDescent="0.25">
      <c r="A119" s="80" t="str">
        <f>"Manzil: "&amp;'Общие данные'!B153&amp;""</f>
        <v>Manzil: Toshkent shahri, Olmazor tumani, Sagbon ko'chasi, 30 boshi berk, 6-uy</v>
      </c>
      <c r="B119" s="80" t="str">
        <f>'Общие данные'!B22</f>
        <v>OLOT TUMAN CHOVDUR MFY</v>
      </c>
    </row>
    <row r="120" spans="1:3" ht="13.5" customHeight="1" x14ac:dyDescent="0.25">
      <c r="A120" s="82" t="str">
        <f>"h/r: "&amp;'Общие данные'!B154&amp;""</f>
        <v>h/r: №20216000705068380001</v>
      </c>
    </row>
    <row r="121" spans="1:3" ht="51" customHeight="1" x14ac:dyDescent="0.25">
      <c r="A121" s="80" t="str">
        <f>"MFO: "&amp;'Общие данные'!B155&amp;" в "&amp;'Общие данные'!B156&amp;""</f>
        <v>MFO: №01042 в ATB “Kapitalbank” Sergeli filiali</v>
      </c>
      <c r="B121" s="80" t="str">
        <f>"pasport seriyasi: "&amp;'Общие данные'!B16&amp;", "&amp;'Общие данные'!B20&amp;""</f>
        <v>pasport seriyasi: AD1337033, IIV6215 tomonidan 11.05.2022 yilda berilgan</v>
      </c>
    </row>
    <row r="122" spans="1:3" x14ac:dyDescent="0.25">
      <c r="A122" s="80" t="str">
        <f>"STIR: "&amp;'Общие данные'!B157&amp;""</f>
        <v>STIR: 306365847</v>
      </c>
      <c r="B122" s="75" t="str">
        <f>"Tel: "&amp;'Общие данные'!B40&amp;""</f>
        <v>Tel: 94-545-33-77 ONASI</v>
      </c>
    </row>
    <row r="123" spans="1:3" x14ac:dyDescent="0.25">
      <c r="A123" s="207" t="str">
        <f>"Tel: (78) 113 31 33"</f>
        <v>Tel: (78) 113 31 33</v>
      </c>
      <c r="B123" s="75" t="str">
        <f>'Общие данные'!B41</f>
        <v>93 47233-77 ONASI</v>
      </c>
    </row>
    <row r="124" spans="1:3" x14ac:dyDescent="0.25">
      <c r="A124" s="207" t="s">
        <v>8</v>
      </c>
      <c r="B124" s="75" t="str">
        <f>'Общие данные'!B42</f>
        <v>94-016-90-45 KLIENT</v>
      </c>
    </row>
    <row r="126" spans="1:3" x14ac:dyDescent="0.25">
      <c r="A126" s="183" t="s">
        <v>408</v>
      </c>
      <c r="B126" s="74" t="str">
        <f>""&amp;'Общие данные'!B7&amp;"     __________________"</f>
        <v>OTASHEVA R.SH.     __________________</v>
      </c>
    </row>
    <row r="128" spans="1:3" x14ac:dyDescent="0.25">
      <c r="A128" s="164" t="s">
        <v>412</v>
      </c>
      <c r="B128" s="198"/>
    </row>
    <row r="131" spans="1:1" hidden="1" x14ac:dyDescent="0.25">
      <c r="A131" s="10" t="str">
        <f>"менеджер :   "&amp;'Общие данные'!B161&amp;"______________"</f>
        <v>менеджер :   Egamberdiyeva D.I.______________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view="pageBreakPreview" zoomScale="85" zoomScaleNormal="100" zoomScaleSheetLayoutView="85" workbookViewId="0">
      <selection activeCell="E9" sqref="E9:E20"/>
    </sheetView>
  </sheetViews>
  <sheetFormatPr defaultColWidth="9.140625" defaultRowHeight="15" outlineLevelCol="1" x14ac:dyDescent="0.25"/>
  <cols>
    <col min="1" max="1" width="6.140625" style="19" customWidth="1"/>
    <col min="2" max="2" width="12.28515625" style="19" customWidth="1"/>
    <col min="3" max="3" width="16.42578125" style="19" customWidth="1"/>
    <col min="4" max="4" width="16.85546875" style="19" customWidth="1"/>
    <col min="5" max="5" width="17.140625" style="19" customWidth="1"/>
    <col min="6" max="6" width="19" style="19" customWidth="1"/>
    <col min="7" max="7" width="10.140625" style="19" customWidth="1" outlineLevel="1"/>
    <col min="8" max="8" width="19.7109375" style="19" customWidth="1"/>
    <col min="9" max="10" width="9.140625" style="19" customWidth="1"/>
    <col min="11" max="16384" width="9.140625" style="19"/>
  </cols>
  <sheetData>
    <row r="1" spans="1:16" ht="11.25" customHeight="1" x14ac:dyDescent="0.25"/>
    <row r="2" spans="1:16" ht="18.75" hidden="1" customHeight="1" x14ac:dyDescent="0.25">
      <c r="A2" s="41"/>
      <c r="B2" s="41"/>
      <c r="C2" s="41"/>
      <c r="D2" s="41"/>
      <c r="E2" s="262"/>
      <c r="F2" s="262"/>
      <c r="G2" s="24"/>
    </row>
    <row r="3" spans="1:16" ht="85.5" customHeight="1" x14ac:dyDescent="0.25">
      <c r="A3" s="41"/>
      <c r="B3" s="41"/>
      <c r="C3" s="41"/>
      <c r="D3" s="41"/>
      <c r="E3" s="41"/>
      <c r="F3" s="179" t="str">
        <f>""&amp;'Общие данные'!B74&amp;" "&amp;'Общие данные'!B65&amp;" shartnomasiga 
1 sonli ilova"</f>
        <v>21 yanvar 2025 y.dan №150-QR mikrokredit shartnomasiga 
1 sonli ilova</v>
      </c>
      <c r="G3" s="24"/>
    </row>
    <row r="4" spans="1:16" ht="6.75" customHeight="1" x14ac:dyDescent="0.25">
      <c r="A4" s="41"/>
      <c r="B4" s="41"/>
      <c r="C4" s="41"/>
      <c r="D4" s="41"/>
      <c r="E4" s="41"/>
      <c r="F4" s="41"/>
    </row>
    <row r="5" spans="1:16" x14ac:dyDescent="0.25">
      <c r="A5" s="263" t="s">
        <v>264</v>
      </c>
      <c r="B5" s="263"/>
      <c r="C5" s="263"/>
      <c r="D5" s="263"/>
      <c r="E5" s="263"/>
      <c r="F5" s="263"/>
    </row>
    <row r="6" spans="1:16" ht="7.5" customHeight="1" x14ac:dyDescent="0.25"/>
    <row r="7" spans="1:16" ht="15" customHeight="1" x14ac:dyDescent="0.25">
      <c r="A7" s="264" t="s">
        <v>15</v>
      </c>
      <c r="B7" s="265" t="s">
        <v>265</v>
      </c>
      <c r="C7" s="265" t="s">
        <v>266</v>
      </c>
      <c r="D7" s="266" t="s">
        <v>267</v>
      </c>
      <c r="E7" s="266"/>
      <c r="F7" s="266"/>
    </row>
    <row r="8" spans="1:16" s="20" customFormat="1" x14ac:dyDescent="0.25">
      <c r="A8" s="264"/>
      <c r="B8" s="265"/>
      <c r="C8" s="265"/>
      <c r="D8" s="21" t="s">
        <v>268</v>
      </c>
      <c r="E8" s="21" t="s">
        <v>269</v>
      </c>
      <c r="F8" s="21" t="s">
        <v>270</v>
      </c>
    </row>
    <row r="9" spans="1:16" ht="13.5" customHeight="1" x14ac:dyDescent="0.25">
      <c r="A9" s="22">
        <v>1</v>
      </c>
      <c r="B9" s="37">
        <f>'График дифференц'!B8</f>
        <v>45698</v>
      </c>
      <c r="C9" s="38">
        <f>IF('Общие данные'!$B$77='Общие данные'!$C$77,'График дифференц'!C8,IF('Общие данные'!$B$77='Общие данные'!$D$77,'График аннуитет.'!C8))</f>
        <v>150000000</v>
      </c>
      <c r="D9" s="38">
        <f>IF('Общие данные'!$B$77='Общие данные'!$C$77,'График дифференц'!D8,IF('Общие данные'!$B$77='Общие данные'!$D$77,'График аннуитет.'!D8))</f>
        <v>4166666.67</v>
      </c>
      <c r="E9" s="38">
        <f>IF('Общие данные'!$B$77='Общие данные'!$C$77,'График дифференц'!E8,IF('Общие данные'!$B$77='Общие данные'!$D$77,'График аннуитет.'!E8))</f>
        <v>4931506.8</v>
      </c>
      <c r="F9" s="38">
        <f>IF('Общие данные'!$B$77='Общие данные'!$C$77,'График дифференц'!F8,IF('Общие данные'!$B$77='Общие данные'!$D$77,'График аннуитет.'!F8))</f>
        <v>9098173.4699999988</v>
      </c>
    </row>
    <row r="10" spans="1:16" ht="13.5" customHeight="1" x14ac:dyDescent="0.25">
      <c r="A10" s="22">
        <v>2</v>
      </c>
      <c r="B10" s="37">
        <f>'График дифференц'!B9</f>
        <v>45726</v>
      </c>
      <c r="C10" s="38">
        <f>IF('Общие данные'!$B$77='Общие данные'!$C$77,'График дифференц'!C9,IF('Общие данные'!$B$77='Общие данные'!$D$77,'График аннуитет.'!C9))</f>
        <v>145833333.33000001</v>
      </c>
      <c r="D10" s="38">
        <f>IF('Общие данные'!$B$77='Общие данные'!$C$77,'График дифференц'!D9,IF('Общие данные'!$B$77='Общие данные'!$D$77,'График аннуитет.'!D9))</f>
        <v>4166666.67</v>
      </c>
      <c r="E10" s="38">
        <f>IF('Общие данные'!$B$77='Общие данные'!$C$77,'График дифференц'!E9,IF('Общие данные'!$B$77='Общие данные'!$D$77,'График аннуитет.'!E9))</f>
        <v>6712328.8399999999</v>
      </c>
      <c r="F10" s="38">
        <f>IF('Общие данные'!$B$77='Общие данные'!$C$77,'График дифференц'!F9,IF('Общие данные'!$B$77='Общие данные'!$D$77,'График аннуитет.'!F9))</f>
        <v>10878995.51</v>
      </c>
    </row>
    <row r="11" spans="1:16" ht="13.5" customHeight="1" x14ac:dyDescent="0.25">
      <c r="A11" s="22">
        <v>3</v>
      </c>
      <c r="B11" s="37">
        <f>'График дифференц'!B10</f>
        <v>45757</v>
      </c>
      <c r="C11" s="38">
        <f>IF('Общие данные'!$B$77='Общие данные'!$C$77,'График дифференц'!C10,IF('Общие данные'!$B$77='Общие данные'!$D$77,'График аннуитет.'!C10))</f>
        <v>141666666.66000003</v>
      </c>
      <c r="D11" s="38">
        <f>IF('Общие данные'!$B$77='Общие данные'!$C$77,'График дифференц'!D10,IF('Общие данные'!$B$77='Общие данные'!$D$77,'График аннуитет.'!D10))</f>
        <v>4166666.67</v>
      </c>
      <c r="E11" s="38">
        <f>IF('Общие данные'!$B$77='Общие данные'!$C$77,'График дифференц'!E10,IF('Общие данные'!$B$77='Общие данные'!$D$77,'График аннуитет.'!E10))</f>
        <v>7219178.0099999998</v>
      </c>
      <c r="F11" s="38">
        <f>IF('Общие данные'!$B$77='Общие данные'!$C$77,'График дифференц'!F10,IF('Общие данные'!$B$77='Общие данные'!$D$77,'График аннуитет.'!F10))</f>
        <v>11385844.68</v>
      </c>
    </row>
    <row r="12" spans="1:16" ht="13.5" customHeight="1" x14ac:dyDescent="0.25">
      <c r="A12" s="22">
        <v>4</v>
      </c>
      <c r="B12" s="37">
        <f>'График дифференц'!B11</f>
        <v>45789</v>
      </c>
      <c r="C12" s="38">
        <f>IF('Общие данные'!$B$77='Общие данные'!$C$77,'График дифференц'!C11,IF('Общие данные'!$B$77='Общие данные'!$D$77,'График аннуитет.'!C11))</f>
        <v>137499999.99000004</v>
      </c>
      <c r="D12" s="38">
        <f>IF('Общие данные'!$B$77='Общие данные'!$C$77,'График дифференц'!D11,IF('Общие данные'!$B$77='Общие данные'!$D$77,'График аннуитет.'!D11))</f>
        <v>4166666.67</v>
      </c>
      <c r="E12" s="38">
        <f>IF('Общие данные'!$B$77='Общие данные'!$C$77,'График дифференц'!E11,IF('Общие данные'!$B$77='Общие данные'!$D$77,'График аннуитет.'!E11))</f>
        <v>7232876.7999999998</v>
      </c>
      <c r="F12" s="38">
        <f>IF('Общие данные'!$B$77='Общие данные'!$C$77,'График дифференц'!F11,IF('Общие данные'!$B$77='Общие данные'!$D$77,'График аннуитет.'!F11))</f>
        <v>11399543.469999999</v>
      </c>
      <c r="H12" s="308" t="s">
        <v>376</v>
      </c>
      <c r="I12" s="308"/>
      <c r="J12" s="308"/>
      <c r="K12" s="308"/>
      <c r="L12" s="308"/>
      <c r="M12" s="308"/>
      <c r="N12" s="308"/>
      <c r="O12" s="308"/>
      <c r="P12" s="308"/>
    </row>
    <row r="13" spans="1:16" ht="13.5" customHeight="1" x14ac:dyDescent="0.25">
      <c r="A13" s="22">
        <v>5</v>
      </c>
      <c r="B13" s="37">
        <f>'График дифференц'!B12</f>
        <v>45818</v>
      </c>
      <c r="C13" s="38">
        <f>IF('Общие данные'!$B$77='Общие данные'!$C$77,'График дифференц'!C12,IF('Общие данные'!$B$77='Общие данные'!$D$77,'График аннуитет.'!C12))</f>
        <v>133333333.32000004</v>
      </c>
      <c r="D13" s="38">
        <f>IF('Общие данные'!$B$77='Общие данные'!$C$77,'График дифференц'!D12,IF('Общие данные'!$B$77='Общие данные'!$D$77,'График аннуитет.'!D12))</f>
        <v>4166666.67</v>
      </c>
      <c r="E13" s="38">
        <f>IF('Общие данные'!$B$77='Общие данные'!$C$77,'График дифференц'!E12,IF('Общие данные'!$B$77='Общие данные'!$D$77,'График аннуитет.'!E12))</f>
        <v>6356164.3199999994</v>
      </c>
      <c r="F13" s="38">
        <f>IF('Общие данные'!$B$77='Общие данные'!$C$77,'График дифференц'!F12,IF('Общие данные'!$B$77='Общие данные'!$D$77,'График аннуитет.'!F12))</f>
        <v>10522830.989999998</v>
      </c>
      <c r="H13" s="308"/>
      <c r="I13" s="308"/>
      <c r="J13" s="308"/>
      <c r="K13" s="308"/>
      <c r="L13" s="308"/>
      <c r="M13" s="308"/>
      <c r="N13" s="308"/>
      <c r="O13" s="308"/>
      <c r="P13" s="308"/>
    </row>
    <row r="14" spans="1:16" ht="13.5" customHeight="1" x14ac:dyDescent="0.25">
      <c r="A14" s="22">
        <v>6</v>
      </c>
      <c r="B14" s="37">
        <f>'График дифференц'!B13</f>
        <v>45848</v>
      </c>
      <c r="C14" s="38">
        <f>IF('Общие данные'!$B$77='Общие данные'!$C$77,'График дифференц'!C13,IF('Общие данные'!$B$77='Общие данные'!$D$77,'График аннуитет.'!C13))</f>
        <v>129166666.65000004</v>
      </c>
      <c r="D14" s="38">
        <f>IF('Общие данные'!$B$77='Общие данные'!$C$77,'График дифференц'!D13,IF('Общие данные'!$B$77='Общие данные'!$D$77,'График аннуитет.'!D13))</f>
        <v>4166666.67</v>
      </c>
      <c r="E14" s="38">
        <f>IF('Общие данные'!$B$77='Общие данные'!$C$77,'График дифференц'!E13,IF('Общие данные'!$B$77='Общие данные'!$D$77,'График аннуитет.'!E13))</f>
        <v>6369863.0999999996</v>
      </c>
      <c r="F14" s="38">
        <f>IF('Общие данные'!$B$77='Общие данные'!$C$77,'График дифференц'!F13,IF('Общие данные'!$B$77='Общие данные'!$D$77,'График аннуитет.'!F13))</f>
        <v>10536529.77</v>
      </c>
      <c r="H14" s="308"/>
      <c r="I14" s="308"/>
      <c r="J14" s="308"/>
      <c r="K14" s="308"/>
      <c r="L14" s="308"/>
      <c r="M14" s="308"/>
      <c r="N14" s="308"/>
      <c r="O14" s="308"/>
      <c r="P14" s="308"/>
    </row>
    <row r="15" spans="1:16" ht="13.5" customHeight="1" x14ac:dyDescent="0.25">
      <c r="A15" s="22">
        <v>7</v>
      </c>
      <c r="B15" s="37">
        <f>'График дифференц'!B14</f>
        <v>45880</v>
      </c>
      <c r="C15" s="38">
        <f>IF('Общие данные'!$B$77='Общие данные'!$C$77,'График дифференц'!C14,IF('Общие данные'!$B$77='Общие данные'!$D$77,'График аннуитет.'!C14))</f>
        <v>124999999.98000003</v>
      </c>
      <c r="D15" s="38">
        <f>IF('Общие данные'!$B$77='Общие данные'!$C$77,'График дифференц'!D14,IF('Общие данные'!$B$77='Общие данные'!$D$77,'График аннуитет.'!D14))</f>
        <v>4166666.67</v>
      </c>
      <c r="E15" s="38">
        <f>IF('Общие данные'!$B$77='Общие данные'!$C$77,'График дифференц'!E14,IF('Общие данные'!$B$77='Общие данные'!$D$77,'График аннуитет.'!E14))</f>
        <v>6575342.4000000004</v>
      </c>
      <c r="F15" s="38">
        <f>IF('Общие данные'!$B$77='Общие данные'!$C$77,'График дифференц'!F14,IF('Общие данные'!$B$77='Общие данные'!$D$77,'График аннуитет.'!F14))</f>
        <v>10742009.07</v>
      </c>
      <c r="H15" s="308"/>
      <c r="I15" s="308"/>
      <c r="J15" s="308"/>
      <c r="K15" s="308"/>
      <c r="L15" s="308"/>
      <c r="M15" s="308"/>
      <c r="N15" s="308"/>
      <c r="O15" s="308"/>
      <c r="P15" s="308"/>
    </row>
    <row r="16" spans="1:16" ht="13.5" customHeight="1" x14ac:dyDescent="0.25">
      <c r="A16" s="22">
        <v>8</v>
      </c>
      <c r="B16" s="37">
        <f>'График дифференц'!B15</f>
        <v>45910</v>
      </c>
      <c r="C16" s="38">
        <f>IF('Общие данные'!$B$77='Общие данные'!$C$77,'График дифференц'!C15,IF('Общие данные'!$B$77='Общие данные'!$D$77,'График аннуитет.'!C15))</f>
        <v>120833333.31000003</v>
      </c>
      <c r="D16" s="38">
        <f>IF('Общие данные'!$B$77='Общие данные'!$C$77,'График дифференц'!D15,IF('Общие данные'!$B$77='Общие данные'!$D$77,'График аннуитет.'!D15))</f>
        <v>4166666.67</v>
      </c>
      <c r="E16" s="38">
        <f>IF('Общие данные'!$B$77='Общие данные'!$C$77,'График дифференц'!E15,IF('Общие данные'!$B$77='Общие данные'!$D$77,'График аннуитет.'!E15))</f>
        <v>5958904.2000000002</v>
      </c>
      <c r="F16" s="38">
        <f>IF('Общие данные'!$B$77='Общие данные'!$C$77,'График дифференц'!F15,IF('Общие данные'!$B$77='Общие данные'!$D$77,'График аннуитет.'!F15))</f>
        <v>10125570.870000001</v>
      </c>
      <c r="H16" s="308"/>
      <c r="I16" s="308"/>
      <c r="J16" s="308"/>
      <c r="K16" s="308"/>
      <c r="L16" s="308"/>
      <c r="M16" s="308"/>
      <c r="N16" s="308"/>
      <c r="O16" s="308"/>
      <c r="P16" s="308"/>
    </row>
    <row r="17" spans="1:16" ht="13.5" customHeight="1" x14ac:dyDescent="0.25">
      <c r="A17" s="22">
        <v>9</v>
      </c>
      <c r="B17" s="37">
        <f>'График дифференц'!B16</f>
        <v>45940</v>
      </c>
      <c r="C17" s="38">
        <f>IF('Общие данные'!$B$77='Общие данные'!$C$77,'График дифференц'!C16,IF('Общие данные'!$B$77='Общие данные'!$D$77,'График аннуитет.'!C16))</f>
        <v>116666666.64000003</v>
      </c>
      <c r="D17" s="38">
        <f>IF('Общие данные'!$B$77='Общие данные'!$C$77,'График дифференц'!D16,IF('Общие данные'!$B$77='Общие данные'!$D$77,'График аннуитет.'!D16))</f>
        <v>4166666.67</v>
      </c>
      <c r="E17" s="38">
        <f>IF('Общие данные'!$B$77='Общие данные'!$C$77,'График дифференц'!E16,IF('Общие данные'!$B$77='Общие данные'!$D$77,'График аннуитет.'!E16))</f>
        <v>5753424.6000000006</v>
      </c>
      <c r="F17" s="38">
        <f>IF('Общие данные'!$B$77='Общие данные'!$C$77,'График дифференц'!F16,IF('Общие данные'!$B$77='Общие данные'!$D$77,'График аннуитет.'!F16))</f>
        <v>9920091.2699999996</v>
      </c>
      <c r="H17" s="308"/>
      <c r="I17" s="308"/>
      <c r="J17" s="308"/>
      <c r="K17" s="308"/>
      <c r="L17" s="308"/>
      <c r="M17" s="308"/>
      <c r="N17" s="308"/>
      <c r="O17" s="308"/>
      <c r="P17" s="308"/>
    </row>
    <row r="18" spans="1:16" ht="13.5" customHeight="1" x14ac:dyDescent="0.25">
      <c r="A18" s="22">
        <v>10</v>
      </c>
      <c r="B18" s="37">
        <f>'График дифференц'!B17</f>
        <v>45971</v>
      </c>
      <c r="C18" s="38">
        <f>IF('Общие данные'!$B$77='Общие данные'!$C$77,'График дифференц'!C17,IF('Общие данные'!$B$77='Общие данные'!$D$77,'График аннуитет.'!C17))</f>
        <v>112499999.97000003</v>
      </c>
      <c r="D18" s="38">
        <f>IF('Общие данные'!$B$77='Общие данные'!$C$77,'График дифференц'!D17,IF('Общие данные'!$B$77='Общие данные'!$D$77,'График аннуитет.'!D17))</f>
        <v>4166666.67</v>
      </c>
      <c r="E18" s="38">
        <f>IF('Общие данные'!$B$77='Общие данные'!$C$77,'График дифференц'!E17,IF('Общие данные'!$B$77='Общие данные'!$D$77,'График аннуитет.'!E17))</f>
        <v>5732876.8100000005</v>
      </c>
      <c r="F18" s="38">
        <f>IF('Общие данные'!$B$77='Общие данные'!$C$77,'График дифференц'!F17,IF('Общие данные'!$B$77='Общие данные'!$D$77,'График аннуитет.'!F17))</f>
        <v>9899543.4800000004</v>
      </c>
      <c r="H18" s="308"/>
      <c r="I18" s="308"/>
      <c r="J18" s="308"/>
      <c r="K18" s="308"/>
      <c r="L18" s="308"/>
      <c r="M18" s="308"/>
      <c r="N18" s="308"/>
      <c r="O18" s="308"/>
      <c r="P18" s="308"/>
    </row>
    <row r="19" spans="1:16" ht="13.5" customHeight="1" x14ac:dyDescent="0.25">
      <c r="A19" s="22">
        <v>11</v>
      </c>
      <c r="B19" s="37">
        <f>'График дифференц'!B18</f>
        <v>46001</v>
      </c>
      <c r="C19" s="38">
        <f>IF('Общие данные'!$B$77='Общие данные'!$C$77,'График дифференц'!C18,IF('Общие данные'!$B$77='Общие данные'!$D$77,'График аннуитет.'!C18))</f>
        <v>108333333.30000003</v>
      </c>
      <c r="D19" s="38">
        <f>IF('Общие данные'!$B$77='Общие данные'!$C$77,'График дифференц'!D18,IF('Общие данные'!$B$77='Общие данные'!$D$77,'График аннуитет.'!D18))</f>
        <v>4166666.67</v>
      </c>
      <c r="E19" s="38">
        <f>IF('Общие данные'!$B$77='Общие данные'!$C$77,'График дифференц'!E18,IF('Общие данные'!$B$77='Общие данные'!$D$77,'График аннуитет.'!E18))</f>
        <v>5342465.7</v>
      </c>
      <c r="F19" s="38">
        <f>IF('Общие данные'!$B$77='Общие данные'!$C$77,'График дифференц'!F18,IF('Общие данные'!$B$77='Общие данные'!$D$77,'График аннуитет.'!F18))</f>
        <v>9509132.370000001</v>
      </c>
      <c r="H19" s="308"/>
      <c r="I19" s="308"/>
      <c r="J19" s="308"/>
      <c r="K19" s="308"/>
      <c r="L19" s="308"/>
      <c r="M19" s="308"/>
      <c r="N19" s="308"/>
      <c r="O19" s="308"/>
      <c r="P19" s="308"/>
    </row>
    <row r="20" spans="1:16" ht="14.25" customHeight="1" x14ac:dyDescent="0.25">
      <c r="A20" s="22">
        <v>12</v>
      </c>
      <c r="B20" s="37">
        <f>'График дифференц'!B19</f>
        <v>46034</v>
      </c>
      <c r="C20" s="38">
        <f>IF('Общие данные'!$B$77='Общие данные'!$C$77,'График дифференц'!C19,IF('Общие данные'!$B$77='Общие данные'!$D$77,'График аннуитет.'!C19))</f>
        <v>104166666.63000003</v>
      </c>
      <c r="D20" s="38">
        <f>IF('Общие данные'!$B$77='Общие данные'!$C$77,'График дифференц'!D19,IF('Общие данные'!$B$77='Общие данные'!$D$77,'График аннуитет.'!D19))</f>
        <v>4166666.67</v>
      </c>
      <c r="E20" s="38">
        <f>IF('Общие данные'!$B$77='Общие данные'!$C$77,'График дифференц'!E19,IF('Общие данные'!$B$77='Общие данные'!$D$77,'График аннуитет.'!E19))</f>
        <v>5650685.04</v>
      </c>
      <c r="F20" s="38">
        <f>IF('Общие данные'!$B$77='Общие данные'!$C$77,'График дифференц'!F19,IF('Общие данные'!$B$77='Общие данные'!$D$77,'График аннуитет.'!F19))</f>
        <v>9817351.7100000009</v>
      </c>
      <c r="H20" s="308"/>
      <c r="I20" s="308"/>
      <c r="J20" s="308"/>
      <c r="K20" s="308"/>
      <c r="L20" s="308"/>
      <c r="M20" s="308"/>
      <c r="N20" s="308"/>
      <c r="O20" s="308"/>
      <c r="P20" s="308"/>
    </row>
    <row r="21" spans="1:16" x14ac:dyDescent="0.25">
      <c r="A21" s="22">
        <v>13</v>
      </c>
      <c r="B21" s="37">
        <f>'График дифференц'!B20</f>
        <v>46063</v>
      </c>
      <c r="C21" s="38">
        <f>IF('Общие данные'!$B$77='Общие данные'!$C$77,'График дифференц'!C20,IF('Общие данные'!$B$77='Общие данные'!$D$77,'График аннуитет.'!C20))</f>
        <v>99999999.960000023</v>
      </c>
      <c r="D21" s="38">
        <f>IF('Общие данные'!$B$77='Общие данные'!$C$77,'График дифференц'!D20,IF('Общие данные'!$B$77='Общие данные'!$D$77,'График аннуитет.'!D20))</f>
        <v>4166666.67</v>
      </c>
      <c r="E21" s="38">
        <f>IF('Общие данные'!$B$77='Общие данные'!$C$77,'График дифференц'!E20,IF('Общие данные'!$B$77='Общие данные'!$D$77,'График аннуитет.'!E20))</f>
        <v>4767123.24</v>
      </c>
      <c r="F21" s="38">
        <f>IF('Общие данные'!$B$77='Общие данные'!$C$77,'График дифференц'!F20,IF('Общие данные'!$B$77='Общие данные'!$D$77,'График аннуитет.'!F20))</f>
        <v>8933789.9100000001</v>
      </c>
      <c r="H21" s="308"/>
      <c r="I21" s="308"/>
      <c r="J21" s="308"/>
      <c r="K21" s="308"/>
      <c r="L21" s="308"/>
      <c r="M21" s="308"/>
      <c r="N21" s="308"/>
      <c r="O21" s="308"/>
      <c r="P21" s="308"/>
    </row>
    <row r="22" spans="1:16" x14ac:dyDescent="0.25">
      <c r="A22" s="22">
        <v>14</v>
      </c>
      <c r="B22" s="37">
        <f>'График дифференц'!B21</f>
        <v>46091</v>
      </c>
      <c r="C22" s="38">
        <f>IF('Общие данные'!$B$77='Общие данные'!$C$77,'График дифференц'!C21,IF('Общие данные'!$B$77='Общие данные'!$D$77,'График аннуитет.'!C21))</f>
        <v>95833333.290000021</v>
      </c>
      <c r="D22" s="38">
        <f>IF('Общие данные'!$B$77='Общие данные'!$C$77,'График дифференц'!D21,IF('Общие данные'!$B$77='Общие данные'!$D$77,'График аннуитет.'!D21))</f>
        <v>4166666.67</v>
      </c>
      <c r="E22" s="38">
        <f>IF('Общие данные'!$B$77='Общие данные'!$C$77,'График дифференц'!E21,IF('Общие данные'!$B$77='Общие данные'!$D$77,'График аннуитет.'!E21))</f>
        <v>4410959</v>
      </c>
      <c r="F22" s="38">
        <f>IF('Общие данные'!$B$77='Общие данные'!$C$77,'График дифференц'!F21,IF('Общие данные'!$B$77='Общие данные'!$D$77,'График аннуитет.'!F21))</f>
        <v>8577625.6699999999</v>
      </c>
      <c r="H22" s="308"/>
      <c r="I22" s="308"/>
      <c r="J22" s="308"/>
      <c r="K22" s="308"/>
      <c r="L22" s="308"/>
      <c r="M22" s="308"/>
      <c r="N22" s="308"/>
      <c r="O22" s="308"/>
      <c r="P22" s="308"/>
    </row>
    <row r="23" spans="1:16" x14ac:dyDescent="0.25">
      <c r="A23" s="22">
        <v>15</v>
      </c>
      <c r="B23" s="37">
        <f>'График дифференц'!B22</f>
        <v>46122</v>
      </c>
      <c r="C23" s="38">
        <f>IF('Общие данные'!$B$77='Общие данные'!$C$77,'График дифференц'!C22,IF('Общие данные'!$B$77='Общие данные'!$D$77,'График аннуитет.'!C22))</f>
        <v>91666666.62000002</v>
      </c>
      <c r="D23" s="38">
        <f>IF('Общие данные'!$B$77='Общие данные'!$C$77,'График дифференц'!D22,IF('Общие данные'!$B$77='Общие данные'!$D$77,'График аннуитет.'!D22))</f>
        <v>4166666.67</v>
      </c>
      <c r="E23" s="38">
        <f>IF('Общие данные'!$B$77='Общие данные'!$C$77,'График дифференц'!E22,IF('Общие данные'!$B$77='Общие данные'!$D$77,'График аннуитет.'!E22))</f>
        <v>4671232.83</v>
      </c>
      <c r="F23" s="38">
        <f>IF('Общие данные'!$B$77='Общие данные'!$C$77,'График дифференц'!F22,IF('Общие данные'!$B$77='Общие данные'!$D$77,'График аннуитет.'!F22))</f>
        <v>8837899.5</v>
      </c>
      <c r="H23" s="308"/>
      <c r="I23" s="308"/>
      <c r="J23" s="308"/>
      <c r="K23" s="308"/>
      <c r="L23" s="308"/>
      <c r="M23" s="308"/>
      <c r="N23" s="308"/>
      <c r="O23" s="308"/>
      <c r="P23" s="308"/>
    </row>
    <row r="24" spans="1:16" x14ac:dyDescent="0.25">
      <c r="A24" s="22">
        <v>16</v>
      </c>
      <c r="B24" s="37">
        <f>'График дифференц'!B23</f>
        <v>46153</v>
      </c>
      <c r="C24" s="38">
        <f>IF('Общие данные'!$B$77='Общие данные'!$C$77,'График дифференц'!C23,IF('Общие данные'!$B$77='Общие данные'!$D$77,'График аннуитет.'!C23))</f>
        <v>87499999.950000018</v>
      </c>
      <c r="D24" s="38">
        <f>IF('Общие данные'!$B$77='Общие данные'!$C$77,'График дифференц'!D23,IF('Общие данные'!$B$77='Общие данные'!$D$77,'График аннуитет.'!D23))</f>
        <v>4166666.67</v>
      </c>
      <c r="E24" s="38">
        <f>IF('Общие данные'!$B$77='Общие данные'!$C$77,'График дифференц'!E23,IF('Общие данные'!$B$77='Общие данные'!$D$77,'График аннуитет.'!E23))</f>
        <v>4458904.22</v>
      </c>
      <c r="F24" s="38">
        <f>IF('Общие данные'!$B$77='Общие данные'!$C$77,'График дифференц'!F23,IF('Общие данные'!$B$77='Общие данные'!$D$77,'График аннуитет.'!F23))</f>
        <v>8625570.8900000006</v>
      </c>
      <c r="H24" s="308"/>
      <c r="I24" s="308"/>
      <c r="J24" s="308"/>
      <c r="K24" s="308"/>
      <c r="L24" s="308"/>
      <c r="M24" s="308"/>
      <c r="N24" s="308"/>
      <c r="O24" s="308"/>
      <c r="P24" s="308"/>
    </row>
    <row r="25" spans="1:16" x14ac:dyDescent="0.25">
      <c r="A25" s="22">
        <v>17</v>
      </c>
      <c r="B25" s="37">
        <f>'График дифференц'!B24</f>
        <v>46183</v>
      </c>
      <c r="C25" s="38">
        <f>IF('Общие данные'!$B$77='Общие данные'!$C$77,'График дифференц'!C24,IF('Общие данные'!$B$77='Общие данные'!$D$77,'График аннуитет.'!C24))</f>
        <v>83333333.280000016</v>
      </c>
      <c r="D25" s="38">
        <f>IF('Общие данные'!$B$77='Общие данные'!$C$77,'График дифференц'!D24,IF('Общие данные'!$B$77='Общие данные'!$D$77,'График аннуитет.'!D24))</f>
        <v>4166666.67</v>
      </c>
      <c r="E25" s="38">
        <f>IF('Общие данные'!$B$77='Общие данные'!$C$77,'График дифференц'!E24,IF('Общие данные'!$B$77='Общие данные'!$D$77,'График аннуитет.'!E24))</f>
        <v>4109588.9999999995</v>
      </c>
      <c r="F25" s="38">
        <f>IF('Общие данные'!$B$77='Общие данные'!$C$77,'График дифференц'!F24,IF('Общие данные'!$B$77='Общие данные'!$D$77,'График аннуитет.'!F24))</f>
        <v>8276255.6699999999</v>
      </c>
    </row>
    <row r="26" spans="1:16" x14ac:dyDescent="0.25">
      <c r="A26" s="22">
        <v>18</v>
      </c>
      <c r="B26" s="37">
        <f>'График дифференц'!B25</f>
        <v>46213</v>
      </c>
      <c r="C26" s="38">
        <f>IF('Общие данные'!$B$77='Общие данные'!$C$77,'График дифференц'!C25,IF('Общие данные'!$B$77='Общие данные'!$D$77,'График аннуитет.'!C25))</f>
        <v>79166666.610000014</v>
      </c>
      <c r="D26" s="38">
        <f>IF('Общие данные'!$B$77='Общие данные'!$C$77,'График дифференц'!D25,IF('Общие данные'!$B$77='Общие данные'!$D$77,'График аннуитет.'!D25))</f>
        <v>4166666.67</v>
      </c>
      <c r="E26" s="38">
        <f>IF('Общие данные'!$B$77='Общие данные'!$C$77,'График дифференц'!E25,IF('Общие данные'!$B$77='Общие данные'!$D$77,'График аннуитет.'!E25))</f>
        <v>3904109.7</v>
      </c>
      <c r="F26" s="38">
        <f>IF('Общие данные'!$B$77='Общие данные'!$C$77,'График дифференц'!F25,IF('Общие данные'!$B$77='Общие данные'!$D$77,'График аннуитет.'!F25))</f>
        <v>8070776.3700000001</v>
      </c>
    </row>
    <row r="27" spans="1:16" x14ac:dyDescent="0.25">
      <c r="A27" s="22">
        <v>19</v>
      </c>
      <c r="B27" s="37">
        <f>'График дифференц'!B26</f>
        <v>46244</v>
      </c>
      <c r="C27" s="38">
        <f>IF('Общие данные'!$B$77='Общие данные'!$C$77,'График дифференц'!C26,IF('Общие данные'!$B$77='Общие данные'!$D$77,'График аннуитет.'!C26))</f>
        <v>74999999.940000013</v>
      </c>
      <c r="D27" s="38">
        <f>IF('Общие данные'!$B$77='Общие данные'!$C$77,'График дифференц'!D26,IF('Общие данные'!$B$77='Общие данные'!$D$77,'График аннуитет.'!D26))</f>
        <v>4166666.67</v>
      </c>
      <c r="E27" s="38">
        <f>IF('Общие данные'!$B$77='Общие данные'!$C$77,'График дифференц'!E26,IF('Общие данные'!$B$77='Общие данные'!$D$77,'График аннуитет.'!E26))</f>
        <v>3821917.77</v>
      </c>
      <c r="F27" s="38">
        <f>IF('Общие данные'!$B$77='Общие данные'!$C$77,'График дифференц'!F26,IF('Общие данные'!$B$77='Общие данные'!$D$77,'График аннуитет.'!F26))</f>
        <v>7988584.4399999995</v>
      </c>
    </row>
    <row r="28" spans="1:16" x14ac:dyDescent="0.25">
      <c r="A28" s="22">
        <v>20</v>
      </c>
      <c r="B28" s="37">
        <f>'График дифференц'!B27</f>
        <v>46275</v>
      </c>
      <c r="C28" s="38">
        <f>IF('Общие данные'!$B$77='Общие данные'!$C$77,'График дифференц'!C27,IF('Общие данные'!$B$77='Общие данные'!$D$77,'График аннуитет.'!C27))</f>
        <v>70833333.270000011</v>
      </c>
      <c r="D28" s="38">
        <f>IF('Общие данные'!$B$77='Общие данные'!$C$77,'График дифференц'!D27,IF('Общие данные'!$B$77='Общие данные'!$D$77,'График аннуитет.'!D27))</f>
        <v>4166666.67</v>
      </c>
      <c r="E28" s="38">
        <f>IF('Общие данные'!$B$77='Общие данные'!$C$77,'График дифференц'!E27,IF('Общие данные'!$B$77='Общие данные'!$D$77,'График аннуитет.'!E27))</f>
        <v>3609589.16</v>
      </c>
      <c r="F28" s="38">
        <f>IF('Общие данные'!$B$77='Общие данные'!$C$77,'График дифференц'!F27,IF('Общие данные'!$B$77='Общие данные'!$D$77,'График аннуитет.'!F27))</f>
        <v>7776255.8300000001</v>
      </c>
    </row>
    <row r="29" spans="1:16" x14ac:dyDescent="0.25">
      <c r="A29" s="22">
        <v>21</v>
      </c>
      <c r="B29" s="37">
        <f>'График дифференц'!B28</f>
        <v>46307</v>
      </c>
      <c r="C29" s="38">
        <f>IF('Общие данные'!$B$77='Общие данные'!$C$77,'График дифференц'!C28,IF('Общие данные'!$B$77='Общие данные'!$D$77,'График аннуитет.'!C28))</f>
        <v>66666666.600000009</v>
      </c>
      <c r="D29" s="38">
        <f>IF('Общие данные'!$B$77='Общие данные'!$C$77,'График дифференц'!D28,IF('Общие данные'!$B$77='Общие данные'!$D$77,'График аннуитет.'!D28))</f>
        <v>4166666.67</v>
      </c>
      <c r="E29" s="38">
        <f>IF('Общие данные'!$B$77='Общие данные'!$C$77,'График дифференц'!E28,IF('Общие данные'!$B$77='Общие данные'!$D$77,'График аннуитет.'!E28))</f>
        <v>3506849.28</v>
      </c>
      <c r="F29" s="38">
        <f>IF('Общие данные'!$B$77='Общие данные'!$C$77,'График дифференц'!F28,IF('Общие данные'!$B$77='Общие данные'!$D$77,'График аннуитет.'!F28))</f>
        <v>7673515.9499999993</v>
      </c>
    </row>
    <row r="30" spans="1:16" x14ac:dyDescent="0.25">
      <c r="A30" s="22">
        <v>22</v>
      </c>
      <c r="B30" s="37">
        <f>'График дифференц'!B29</f>
        <v>46336</v>
      </c>
      <c r="C30" s="38">
        <f>IF('Общие данные'!$B$77='Общие данные'!$C$77,'График дифференц'!C29,IF('Общие данные'!$B$77='Общие данные'!$D$77,'График аннуитет.'!C29))</f>
        <v>62499999.930000007</v>
      </c>
      <c r="D30" s="38">
        <f>IF('Общие данные'!$B$77='Общие данные'!$C$77,'График дифференц'!D29,IF('Общие данные'!$B$77='Общие данные'!$D$77,'График аннуитет.'!D29))</f>
        <v>4166666.67</v>
      </c>
      <c r="E30" s="38">
        <f>IF('Общие данные'!$B$77='Общие данные'!$C$77,'График дифференц'!E29,IF('Общие данные'!$B$77='Общие данные'!$D$77,'График аннуитет.'!E29))</f>
        <v>2979452.17</v>
      </c>
      <c r="F30" s="38">
        <f>IF('Общие данные'!$B$77='Общие данные'!$C$77,'График дифференц'!F29,IF('Общие данные'!$B$77='Общие данные'!$D$77,'График аннуитет.'!F29))</f>
        <v>7146118.8399999999</v>
      </c>
    </row>
    <row r="31" spans="1:16" x14ac:dyDescent="0.25">
      <c r="A31" s="22">
        <v>23</v>
      </c>
      <c r="B31" s="37">
        <f>'График дифференц'!B30</f>
        <v>46366</v>
      </c>
      <c r="C31" s="38">
        <f>IF('Общие данные'!$B$77='Общие данные'!$C$77,'График дифференц'!C30,IF('Общие данные'!$B$77='Общие данные'!$D$77,'График аннуитет.'!C30))</f>
        <v>58333333.260000005</v>
      </c>
      <c r="D31" s="38">
        <f>IF('Общие данные'!$B$77='Общие данные'!$C$77,'График дифференц'!D30,IF('Общие данные'!$B$77='Общие данные'!$D$77,'График аннуитет.'!D30))</f>
        <v>4166666.67</v>
      </c>
      <c r="E31" s="38">
        <f>IF('Общие данные'!$B$77='Общие данные'!$C$77,'График дифференц'!E30,IF('Общие данные'!$B$77='Общие данные'!$D$77,'График аннуитет.'!E30))</f>
        <v>2876712.3000000003</v>
      </c>
      <c r="F31" s="38">
        <f>IF('Общие данные'!$B$77='Общие данные'!$C$77,'График дифференц'!F30,IF('Общие данные'!$B$77='Общие данные'!$D$77,'График аннуитет.'!F30))</f>
        <v>7043378.9700000007</v>
      </c>
    </row>
    <row r="32" spans="1:16" x14ac:dyDescent="0.25">
      <c r="A32" s="22">
        <f>1+A31</f>
        <v>24</v>
      </c>
      <c r="B32" s="37">
        <f>'График дифференц'!B31</f>
        <v>46398</v>
      </c>
      <c r="C32" s="38">
        <f>IF('Общие данные'!$B$77='Общие данные'!$C$77,'График дифференц'!C31,IF('Общие данные'!$B$77='Общие данные'!$D$77,'График аннуитет.'!C31))</f>
        <v>54166666.590000004</v>
      </c>
      <c r="D32" s="38">
        <f>IF('Общие данные'!$B$77='Общие данные'!$C$77,'График дифференц'!D31,IF('Общие данные'!$B$77='Общие данные'!$D$77,'График аннуитет.'!D31))</f>
        <v>4166666.67</v>
      </c>
      <c r="E32" s="38">
        <f>IF('Общие данные'!$B$77='Общие данные'!$C$77,'График дифференц'!E31,IF('Общие данные'!$B$77='Общие данные'!$D$77,'График аннуитет.'!E31))</f>
        <v>2849315.2</v>
      </c>
      <c r="F32" s="38">
        <f>IF('Общие данные'!$B$77='Общие данные'!$C$77,'График дифференц'!F31,IF('Общие данные'!$B$77='Общие данные'!$D$77,'График аннуитет.'!F31))</f>
        <v>7015981.8700000001</v>
      </c>
    </row>
    <row r="33" spans="1:6" x14ac:dyDescent="0.25">
      <c r="A33" s="22">
        <f t="shared" ref="A33:A44" si="0">1+A32</f>
        <v>25</v>
      </c>
      <c r="B33" s="37">
        <f>'График дифференц'!B32</f>
        <v>46428</v>
      </c>
      <c r="C33" s="38">
        <f>IF('Общие данные'!$B$77='Общие данные'!$C$77,'График дифференц'!C32,IF('Общие данные'!$B$77='Общие данные'!$D$77,'График аннуитет.'!C32))</f>
        <v>49999999.920000002</v>
      </c>
      <c r="D33" s="38">
        <f>IF('Общие данные'!$B$77='Общие данные'!$C$77,'График дифференц'!D32,IF('Общие данные'!$B$77='Общие данные'!$D$77,'График аннуитет.'!D32))</f>
        <v>4166666.67</v>
      </c>
      <c r="E33" s="38">
        <f>IF('Общие данные'!$B$77='Общие данные'!$C$77,'График дифференц'!E32,IF('Общие данные'!$B$77='Общие данные'!$D$77,'График аннуитет.'!E32))</f>
        <v>2465753.4</v>
      </c>
      <c r="F33" s="38">
        <f>IF('Общие данные'!$B$77='Общие данные'!$C$77,'График дифференц'!F32,IF('Общие данные'!$B$77='Общие данные'!$D$77,'График аннуитет.'!F32))</f>
        <v>6632420.0700000003</v>
      </c>
    </row>
    <row r="34" spans="1:6" x14ac:dyDescent="0.25">
      <c r="A34" s="22">
        <f t="shared" si="0"/>
        <v>26</v>
      </c>
      <c r="B34" s="37">
        <f>'График дифференц'!B33</f>
        <v>46456</v>
      </c>
      <c r="C34" s="38">
        <f>IF('Общие данные'!$B$77='Общие данные'!$C$77,'График дифференц'!C33,IF('Общие данные'!$B$77='Общие данные'!$D$77,'График аннуитет.'!C33))</f>
        <v>45833333.25</v>
      </c>
      <c r="D34" s="38">
        <f>IF('Общие данные'!$B$77='Общие данные'!$C$77,'График дифференц'!D33,IF('Общие данные'!$B$77='Общие данные'!$D$77,'График аннуитет.'!D33))</f>
        <v>4166666.67</v>
      </c>
      <c r="E34" s="38">
        <f>IF('Общие данные'!$B$77='Общие данные'!$C$77,'График дифференц'!E33,IF('Общие данные'!$B$77='Общие данные'!$D$77,'График аннуитет.'!E33))</f>
        <v>2109589.16</v>
      </c>
      <c r="F34" s="38">
        <f>IF('Общие данные'!$B$77='Общие данные'!$C$77,'График дифференц'!F33,IF('Общие данные'!$B$77='Общие данные'!$D$77,'График аннуитет.'!F33))</f>
        <v>6276255.8300000001</v>
      </c>
    </row>
    <row r="35" spans="1:6" x14ac:dyDescent="0.25">
      <c r="A35" s="22">
        <f t="shared" si="0"/>
        <v>27</v>
      </c>
      <c r="B35" s="37">
        <f>'График дифференц'!B34</f>
        <v>46489</v>
      </c>
      <c r="C35" s="38">
        <f>IF('Общие данные'!$B$77='Общие данные'!$C$77,'График дифференц'!C34,IF('Общие данные'!$B$77='Общие данные'!$D$77,'График аннуитет.'!C34))</f>
        <v>41666666.579999998</v>
      </c>
      <c r="D35" s="38">
        <f>IF('Общие данные'!$B$77='Общие данные'!$C$77,'График дифференц'!D34,IF('Общие данные'!$B$77='Общие данные'!$D$77,'График аннуитет.'!D34))</f>
        <v>4166666.67</v>
      </c>
      <c r="E35" s="38">
        <f>IF('Общие данные'!$B$77='Общие данные'!$C$77,'График дифференц'!E34,IF('Общие данные'!$B$77='Общие данные'!$D$77,'График аннуитет.'!E34))</f>
        <v>2260273.9499999997</v>
      </c>
      <c r="F35" s="38">
        <f>IF('Общие данные'!$B$77='Общие данные'!$C$77,'График дифференц'!F34,IF('Общие данные'!$B$77='Общие данные'!$D$77,'График аннуитет.'!F34))</f>
        <v>6426940.6199999992</v>
      </c>
    </row>
    <row r="36" spans="1:6" x14ac:dyDescent="0.25">
      <c r="A36" s="22">
        <f t="shared" si="0"/>
        <v>28</v>
      </c>
      <c r="B36" s="37">
        <f>'График дифференц'!B35</f>
        <v>46517</v>
      </c>
      <c r="C36" s="38">
        <f>IF('Общие данные'!$B$77='Общие данные'!$C$77,'График дифференц'!C35,IF('Общие данные'!$B$77='Общие данные'!$D$77,'График аннуитет.'!C35))</f>
        <v>37499999.909999996</v>
      </c>
      <c r="D36" s="38">
        <f>IF('Общие данные'!$B$77='Общие данные'!$C$77,'График дифференц'!D35,IF('Общие данные'!$B$77='Общие данные'!$D$77,'График аннуитет.'!D35))</f>
        <v>4166666.67</v>
      </c>
      <c r="E36" s="38">
        <f>IF('Общие данные'!$B$77='Общие данные'!$C$77,'График дифференц'!E35,IF('Общие данные'!$B$77='Общие данные'!$D$77,'График аннуитет.'!E35))</f>
        <v>1726027.52</v>
      </c>
      <c r="F36" s="38">
        <f>IF('Общие данные'!$B$77='Общие данные'!$C$77,'График дифференц'!F35,IF('Общие данные'!$B$77='Общие данные'!$D$77,'График аннуитет.'!F35))</f>
        <v>5892694.1899999995</v>
      </c>
    </row>
    <row r="37" spans="1:6" x14ac:dyDescent="0.25">
      <c r="A37" s="22">
        <f t="shared" si="0"/>
        <v>29</v>
      </c>
      <c r="B37" s="37">
        <f>'График дифференц'!B36</f>
        <v>46548</v>
      </c>
      <c r="C37" s="38">
        <f>IF('Общие данные'!$B$77='Общие данные'!$C$77,'График дифференц'!C36,IF('Общие данные'!$B$77='Общие данные'!$D$77,'График аннуитет.'!C36))</f>
        <v>33333333.239999995</v>
      </c>
      <c r="D37" s="38">
        <f>IF('Общие данные'!$B$77='Общие данные'!$C$77,'График дифференц'!D36,IF('Общие данные'!$B$77='Общие данные'!$D$77,'График аннуитет.'!D36))</f>
        <v>4166666.67</v>
      </c>
      <c r="E37" s="38">
        <f>IF('Общие данные'!$B$77='Общие данные'!$C$77,'График дифференц'!E36,IF('Общие данные'!$B$77='Общие данные'!$D$77,'График аннуитет.'!E36))</f>
        <v>1698630.1199999999</v>
      </c>
      <c r="F37" s="38">
        <f>IF('Общие данные'!$B$77='Общие данные'!$C$77,'График дифференц'!F36,IF('Общие данные'!$B$77='Общие данные'!$D$77,'График аннуитет.'!F36))</f>
        <v>5865296.79</v>
      </c>
    </row>
    <row r="38" spans="1:6" x14ac:dyDescent="0.25">
      <c r="A38" s="22">
        <f t="shared" si="0"/>
        <v>30</v>
      </c>
      <c r="B38" s="37">
        <f>'График дифференц'!B37</f>
        <v>46580</v>
      </c>
      <c r="C38" s="38">
        <f>IF('Общие данные'!$B$77='Общие данные'!$C$77,'График дифференц'!C37,IF('Общие данные'!$B$77='Общие данные'!$D$77,'График аннуитет.'!C37))</f>
        <v>29166666.569999993</v>
      </c>
      <c r="D38" s="38">
        <f>IF('Общие данные'!$B$77='Общие данные'!$C$77,'График дифференц'!D37,IF('Общие данные'!$B$77='Общие данные'!$D$77,'График аннуитет.'!D37))</f>
        <v>4166666.67</v>
      </c>
      <c r="E38" s="38">
        <f>IF('Общие данные'!$B$77='Общие данные'!$C$77,'График дифференц'!E37,IF('Общие данные'!$B$77='Общие данные'!$D$77,'График аннуитет.'!E37))</f>
        <v>1534246.72</v>
      </c>
      <c r="F38" s="38">
        <f>IF('Общие данные'!$B$77='Общие данные'!$C$77,'График дифференц'!F37,IF('Общие данные'!$B$77='Общие данные'!$D$77,'График аннуитет.'!F37))</f>
        <v>5700913.3899999997</v>
      </c>
    </row>
    <row r="39" spans="1:6" x14ac:dyDescent="0.25">
      <c r="A39" s="22">
        <f t="shared" si="0"/>
        <v>31</v>
      </c>
      <c r="B39" s="37">
        <f>'График дифференц'!B38</f>
        <v>46609</v>
      </c>
      <c r="C39" s="38">
        <f>IF('Общие данные'!$B$77='Общие данные'!$C$77,'График дифференц'!C38,IF('Общие данные'!$B$77='Общие данные'!$D$77,'График аннуитет.'!C38))</f>
        <v>24999999.899999991</v>
      </c>
      <c r="D39" s="38">
        <f>IF('Общие данные'!$B$77='Общие данные'!$C$77,'График дифференц'!D38,IF('Общие данные'!$B$77='Общие данные'!$D$77,'График аннуитет.'!D38))</f>
        <v>4166666.67</v>
      </c>
      <c r="E39" s="38">
        <f>IF('Общие данные'!$B$77='Общие данные'!$C$77,'График дифференц'!E38,IF('Общие данные'!$B$77='Общие данные'!$D$77,'График аннуитет.'!E38))</f>
        <v>1191780.81</v>
      </c>
      <c r="F39" s="38">
        <f>IF('Общие данные'!$B$77='Общие данные'!$C$77,'График дифференц'!F38,IF('Общие данные'!$B$77='Общие данные'!$D$77,'График аннуитет.'!F38))</f>
        <v>5358447.4800000004</v>
      </c>
    </row>
    <row r="40" spans="1:6" x14ac:dyDescent="0.25">
      <c r="A40" s="22">
        <f t="shared" si="0"/>
        <v>32</v>
      </c>
      <c r="B40" s="37">
        <f>'График дифференц'!B39</f>
        <v>46640</v>
      </c>
      <c r="C40" s="38">
        <f>IF('Общие данные'!$B$77='Общие данные'!$C$77,'График дифференц'!C39,IF('Общие данные'!$B$77='Общие данные'!$D$77,'График аннуитет.'!C39))</f>
        <v>20833333.229999989</v>
      </c>
      <c r="D40" s="38">
        <f>IF('Общие данные'!$B$77='Общие данные'!$C$77,'График дифференц'!D39,IF('Общие данные'!$B$77='Общие данные'!$D$77,'График аннуитет.'!D39))</f>
        <v>4166666.67</v>
      </c>
      <c r="E40" s="38">
        <f>IF('Общие данные'!$B$77='Общие данные'!$C$77,'График дифференц'!E39,IF('Общие данные'!$B$77='Общие данные'!$D$77,'График аннуитет.'!E39))</f>
        <v>1061643.98</v>
      </c>
      <c r="F40" s="38">
        <f>IF('Общие данные'!$B$77='Общие данные'!$C$77,'График дифференц'!F39,IF('Общие данные'!$B$77='Общие данные'!$D$77,'График аннуитет.'!F39))</f>
        <v>5228310.6500000004</v>
      </c>
    </row>
    <row r="41" spans="1:6" x14ac:dyDescent="0.25">
      <c r="A41" s="22">
        <f t="shared" si="0"/>
        <v>33</v>
      </c>
      <c r="B41" s="37">
        <f>'График дифференц'!B40</f>
        <v>46671</v>
      </c>
      <c r="C41" s="38">
        <f>IF('Общие данные'!$B$77='Общие данные'!$C$77,'График дифференц'!C40,IF('Общие данные'!$B$77='Общие данные'!$D$77,'График аннуитет.'!C40))</f>
        <v>16666666.559999989</v>
      </c>
      <c r="D41" s="38">
        <f>IF('Общие данные'!$B$77='Общие данные'!$C$77,'График дифференц'!D40,IF('Общие данные'!$B$77='Общие данные'!$D$77,'График аннуитет.'!D40))</f>
        <v>4166666.67</v>
      </c>
      <c r="E41" s="38">
        <f>IF('Общие данные'!$B$77='Общие данные'!$C$77,'График дифференц'!E40,IF('Общие данные'!$B$77='Общие данные'!$D$77,'График аннуитет.'!E40))</f>
        <v>849315.05999999994</v>
      </c>
      <c r="F41" s="38">
        <f>IF('Общие данные'!$B$77='Общие данные'!$C$77,'График дифференц'!F40,IF('Общие данные'!$B$77='Общие данные'!$D$77,'График аннуитет.'!F40))</f>
        <v>5015981.7299999995</v>
      </c>
    </row>
    <row r="42" spans="1:6" x14ac:dyDescent="0.25">
      <c r="A42" s="22">
        <f t="shared" si="0"/>
        <v>34</v>
      </c>
      <c r="B42" s="37">
        <f>'График дифференц'!B41</f>
        <v>46701</v>
      </c>
      <c r="C42" s="38">
        <f>IF('Общие данные'!$B$77='Общие данные'!$C$77,'График дифференц'!C41,IF('Общие данные'!$B$77='Общие данные'!$D$77,'График аннуитет.'!C41))</f>
        <v>12499999.889999989</v>
      </c>
      <c r="D42" s="38">
        <f>IF('Общие данные'!$B$77='Общие данные'!$C$77,'График дифференц'!D41,IF('Общие данные'!$B$77='Общие данные'!$D$77,'График аннуитет.'!D41))</f>
        <v>4166666.67</v>
      </c>
      <c r="E42" s="38">
        <f>IF('Общие данные'!$B$77='Общие данные'!$C$77,'График дифференц'!E41,IF('Общие данные'!$B$77='Общие данные'!$D$77,'График аннуитет.'!E41))</f>
        <v>616438.5</v>
      </c>
      <c r="F42" s="38">
        <f>IF('Общие данные'!$B$77='Общие данные'!$C$77,'График дифференц'!F41,IF('Общие данные'!$B$77='Общие данные'!$D$77,'График аннуитет.'!F41))</f>
        <v>4783105.17</v>
      </c>
    </row>
    <row r="43" spans="1:6" x14ac:dyDescent="0.25">
      <c r="A43" s="22">
        <f t="shared" si="0"/>
        <v>35</v>
      </c>
      <c r="B43" s="37">
        <f>'График дифференц'!B42</f>
        <v>46731</v>
      </c>
      <c r="C43" s="38">
        <f>IF('Общие данные'!$B$77='Общие данные'!$C$77,'График дифференц'!C42,IF('Общие данные'!$B$77='Общие данные'!$D$77,'График аннуитет.'!C42))</f>
        <v>8333333.2199999895</v>
      </c>
      <c r="D43" s="38">
        <f>IF('Общие данные'!$B$77='Общие данные'!$C$77,'График дифференц'!D42,IF('Общие данные'!$B$77='Общие данные'!$D$77,'График аннуитет.'!D42))</f>
        <v>4166666.67</v>
      </c>
      <c r="E43" s="38">
        <f>IF('Общие данные'!$B$77='Общие данные'!$C$77,'График дифференц'!E42,IF('Общие данные'!$B$77='Общие данные'!$D$77,'График аннуитет.'!E42))</f>
        <v>410958.89999999997</v>
      </c>
      <c r="F43" s="38">
        <f>IF('Общие данные'!$B$77='Общие данные'!$C$77,'График дифференц'!F42,IF('Общие данные'!$B$77='Общие данные'!$D$77,'График аннуитет.'!F42))</f>
        <v>4577625.57</v>
      </c>
    </row>
    <row r="44" spans="1:6" x14ac:dyDescent="0.25">
      <c r="A44" s="22">
        <f t="shared" si="0"/>
        <v>36</v>
      </c>
      <c r="B44" s="37">
        <f>'График дифференц'!B43</f>
        <v>46773</v>
      </c>
      <c r="C44" s="38">
        <f>IF('Общие данные'!$B$77='Общие данные'!$C$77,'График дифференц'!C43,IF('Общие данные'!$B$77='Общие данные'!$D$77,'График аннуитет.'!C43))</f>
        <v>4166666.5499999896</v>
      </c>
      <c r="D44" s="38">
        <f>IF('Общие данные'!$B$77='Общие данные'!$C$77,'График дифференц'!D43,IF('Общие данные'!$B$77='Общие данные'!$D$77,'График аннуитет.'!D43))</f>
        <v>4166666.5499999821</v>
      </c>
      <c r="E44" s="38">
        <f>IF('Общие данные'!$B$77='Общие данные'!$C$77,'График дифференц'!E43,IF('Общие данные'!$B$77='Общие данные'!$D$77,'График аннуитет.'!E43))</f>
        <v>286885.2</v>
      </c>
      <c r="F44" s="38">
        <f>IF('Общие данные'!$B$77='Общие данные'!$C$77,'График дифференц'!F43,IF('Общие данные'!$B$77='Общие данные'!$D$77,'График аннуитет.'!F43))</f>
        <v>4453551.7499999823</v>
      </c>
    </row>
    <row r="45" spans="1:6" ht="15" customHeight="1" x14ac:dyDescent="0.25">
      <c r="A45" s="50"/>
      <c r="B45" s="51" t="s">
        <v>208</v>
      </c>
      <c r="C45" s="52"/>
      <c r="D45" s="52">
        <f>SUM(D9:D44)</f>
        <v>150000000</v>
      </c>
      <c r="E45" s="52">
        <f t="shared" ref="E45:F45" si="1">SUM(E9:E44)</f>
        <v>136012913.81</v>
      </c>
      <c r="F45" s="52">
        <f t="shared" si="1"/>
        <v>286012913.81</v>
      </c>
    </row>
    <row r="46" spans="1:6" ht="21" customHeight="1" x14ac:dyDescent="0.25">
      <c r="B46" s="39"/>
      <c r="C46" s="40"/>
      <c r="D46" s="40"/>
      <c r="E46" s="40"/>
      <c r="F46" s="40"/>
    </row>
    <row r="47" spans="1:6" ht="47.25" customHeight="1" x14ac:dyDescent="0.25">
      <c r="A47" s="232" t="str">
        <f>"*"&amp;'Общие данные'!C64&amp;" bo‘yicha to‘lovlar to‘lov jadvalida ko‘rsatilmagan sanalarda to‘langan taqdirda, to‘lov summasi mikroqarz shartnomasining 2.2.-bandiga muvofiq "&amp;'Общие данные'!B65&amp;" qoldig‘iga hisoblangan foizlar summasiga o‘zgartiriladi."</f>
        <v>*Mikrokredit bo‘yicha to‘lovlar to‘lov jadvalida ko‘rsatilmagan sanalarda to‘langan taqdirda, to‘lov summasi mikroqarz shartnomasining 2.2.-bandiga muvofiq mikrokredit qoldig‘iga hisoblangan foizlar summasiga o‘zgartiriladi.</v>
      </c>
      <c r="B47" s="232"/>
      <c r="C47" s="232"/>
      <c r="D47" s="232"/>
      <c r="E47" s="232"/>
      <c r="F47" s="232"/>
    </row>
    <row r="48" spans="1:6" ht="7.5" customHeight="1" x14ac:dyDescent="0.25"/>
    <row r="49" spans="1:6" ht="15" customHeight="1" x14ac:dyDescent="0.25">
      <c r="A49" s="260" t="s">
        <v>271</v>
      </c>
      <c r="B49" s="260"/>
      <c r="C49" s="260"/>
      <c r="D49" s="260" t="s">
        <v>279</v>
      </c>
      <c r="E49" s="260"/>
      <c r="F49" s="260"/>
    </row>
    <row r="50" spans="1:6" ht="11.25" customHeight="1" x14ac:dyDescent="0.25">
      <c r="A50" s="261"/>
      <c r="B50" s="261"/>
      <c r="C50" s="261"/>
      <c r="D50" s="261"/>
      <c r="E50" s="261"/>
      <c r="F50" s="261"/>
    </row>
    <row r="51" spans="1:6" ht="30" customHeight="1" x14ac:dyDescent="0.25">
      <c r="A51" s="259" t="str">
        <f>договор!A117</f>
        <v>«CLEVER MIKROMOLIYA TASHKILOTI» MChJ</v>
      </c>
      <c r="B51" s="259"/>
      <c r="C51" s="259"/>
      <c r="D51" s="259" t="str">
        <f>договор!B117</f>
        <v>OTASHEVA RUQIYA SHERALI QIZI</v>
      </c>
      <c r="E51" s="259"/>
      <c r="F51" s="259"/>
    </row>
    <row r="52" spans="1:6" ht="49.5" customHeight="1" x14ac:dyDescent="0.25">
      <c r="A52" s="255" t="str">
        <f>договор!A119</f>
        <v>Manzil: Toshkent shahri, Olmazor tumani, Sagbon ko'chasi, 30 boshi berk, 6-uy</v>
      </c>
      <c r="B52" s="255"/>
      <c r="C52" s="255"/>
      <c r="D52" s="255" t="str">
        <f>договор!B119</f>
        <v>OLOT TUMAN CHOVDUR MFY</v>
      </c>
      <c r="E52" s="255"/>
      <c r="F52" s="255"/>
    </row>
    <row r="53" spans="1:6" ht="19.5" customHeight="1" x14ac:dyDescent="0.25">
      <c r="A53" s="255" t="str">
        <f>договор!A120</f>
        <v>h/r: №20216000705068380001</v>
      </c>
      <c r="B53" s="255"/>
      <c r="C53" s="255"/>
      <c r="D53" s="255" t="str">
        <f>договор!B121</f>
        <v>pasport seriyasi: AD1337033, IIV6215 tomonidan 11.05.2022 yilda berilgan</v>
      </c>
      <c r="E53" s="255"/>
      <c r="F53" s="255"/>
    </row>
    <row r="54" spans="1:6" ht="39.75" customHeight="1" x14ac:dyDescent="0.25">
      <c r="A54" s="255" t="str">
        <f>договор!A121</f>
        <v>MFO: №01042 в ATB “Kapitalbank” Sergeli filiali</v>
      </c>
      <c r="B54" s="255"/>
      <c r="C54" s="255"/>
      <c r="D54" s="255"/>
      <c r="E54" s="255"/>
      <c r="F54" s="255"/>
    </row>
    <row r="55" spans="1:6" ht="15" customHeight="1" x14ac:dyDescent="0.25">
      <c r="A55" s="255" t="str">
        <f>договор!A122</f>
        <v>STIR: 306365847</v>
      </c>
      <c r="B55" s="255"/>
      <c r="C55" s="255"/>
      <c r="D55" s="255" t="str">
        <f>договор!B122</f>
        <v>Tel: 94-545-33-77 ONASI</v>
      </c>
      <c r="E55" s="255"/>
      <c r="F55" s="255"/>
    </row>
    <row r="56" spans="1:6" ht="15" customHeight="1" x14ac:dyDescent="0.25">
      <c r="A56" s="255" t="str">
        <f>договор!A123</f>
        <v>Tel: (78) 113 31 33</v>
      </c>
      <c r="B56" s="255"/>
      <c r="C56" s="255"/>
      <c r="D56" s="255" t="str">
        <f>договор!B123</f>
        <v>93 47233-77 ONASI</v>
      </c>
      <c r="E56" s="255"/>
      <c r="F56" s="255"/>
    </row>
    <row r="57" spans="1:6" ht="15" customHeight="1" x14ac:dyDescent="0.25">
      <c r="A57" s="255" t="str">
        <f>договор!A124</f>
        <v>(78) 113 31 34</v>
      </c>
      <c r="B57" s="255"/>
      <c r="C57" s="255"/>
      <c r="D57" s="255" t="str">
        <f>договор!B124</f>
        <v>94-016-90-45 KLIENT</v>
      </c>
      <c r="E57" s="255"/>
      <c r="F57" s="255"/>
    </row>
    <row r="58" spans="1:6" ht="23.25" customHeight="1" x14ac:dyDescent="0.25">
      <c r="A58" s="255"/>
      <c r="B58" s="255"/>
      <c r="C58" s="255"/>
      <c r="D58" s="255" t="str">
        <f>IF(договор!B125=0,"",договор!B125)</f>
        <v/>
      </c>
      <c r="E58" s="255"/>
      <c r="F58" s="255"/>
    </row>
    <row r="59" spans="1:6" ht="29.25" customHeight="1" x14ac:dyDescent="0.25">
      <c r="A59" s="309" t="s">
        <v>408</v>
      </c>
      <c r="B59" s="309"/>
      <c r="C59" s="309"/>
      <c r="D59" s="259" t="str">
        <f>договор!B126</f>
        <v>OTASHEVA R.SH.     __________________</v>
      </c>
      <c r="E59" s="259"/>
      <c r="F59" s="259"/>
    </row>
    <row r="60" spans="1:6" ht="15" customHeight="1" x14ac:dyDescent="0.25">
      <c r="A60" s="255"/>
      <c r="B60" s="255"/>
      <c r="C60" s="255"/>
      <c r="D60" s="259"/>
      <c r="E60" s="259"/>
      <c r="F60" s="259"/>
    </row>
    <row r="61" spans="1:6" x14ac:dyDescent="0.25">
      <c r="A61" s="309" t="s">
        <v>413</v>
      </c>
      <c r="B61" s="309"/>
      <c r="C61" s="309"/>
      <c r="D61" s="259"/>
      <c r="E61" s="259"/>
      <c r="F61" s="259"/>
    </row>
    <row r="62" spans="1:6" ht="8.25" customHeight="1" x14ac:dyDescent="0.25">
      <c r="A62" s="255"/>
      <c r="B62" s="255"/>
      <c r="C62" s="255"/>
      <c r="D62" s="255"/>
      <c r="E62" s="255"/>
      <c r="F62" s="255"/>
    </row>
    <row r="63" spans="1:6" ht="30" customHeight="1" x14ac:dyDescent="0.25">
      <c r="A63" s="256"/>
      <c r="B63" s="256"/>
      <c r="C63" s="256"/>
      <c r="D63" s="257"/>
      <c r="E63" s="257"/>
      <c r="F63" s="257"/>
    </row>
    <row r="64" spans="1:6" x14ac:dyDescent="0.25">
      <c r="A64" s="258"/>
      <c r="B64" s="258"/>
      <c r="C64" s="258"/>
      <c r="D64" s="258"/>
      <c r="E64" s="258"/>
      <c r="F64" s="258"/>
    </row>
    <row r="65" spans="1:6" x14ac:dyDescent="0.25">
      <c r="A65" s="254"/>
      <c r="B65" s="254"/>
      <c r="C65" s="254"/>
      <c r="D65" s="254"/>
      <c r="E65" s="254"/>
      <c r="F65" s="254"/>
    </row>
  </sheetData>
  <mergeCells count="41">
    <mergeCell ref="E2:F2"/>
    <mergeCell ref="A5:F5"/>
    <mergeCell ref="A7:A8"/>
    <mergeCell ref="B7:B8"/>
    <mergeCell ref="C7:C8"/>
    <mergeCell ref="D7:F7"/>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61" right="0.70866141732283461" top="0.19685039370078741" bottom="0.59055118110236215" header="0.31496062992125984" footer="0.19685039370078741"/>
  <pageSetup paperSize="9" scale="75" fitToWidth="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C29"/>
  <sheetViews>
    <sheetView view="pageBreakPreview" topLeftCell="A5" zoomScale="115" zoomScaleNormal="100" zoomScaleSheetLayoutView="115" workbookViewId="0">
      <selection activeCell="B12" sqref="B12"/>
    </sheetView>
  </sheetViews>
  <sheetFormatPr defaultColWidth="0" defaultRowHeight="15.75" zeroHeight="1" x14ac:dyDescent="0.25"/>
  <cols>
    <col min="1" max="1" width="33" style="10" customWidth="1"/>
    <col min="2" max="2" width="53" style="10" customWidth="1"/>
    <col min="3" max="16383" width="9.140625" style="10" hidden="1"/>
    <col min="16384" max="16384" width="4" style="10" customWidth="1"/>
  </cols>
  <sheetData>
    <row r="5" spans="1:2" x14ac:dyDescent="0.25"/>
    <row r="6" spans="1:2" x14ac:dyDescent="0.25">
      <c r="B6" s="18" t="str">
        <f>'Общие данные'!B148</f>
        <v>«CLEVER MIKROMOLIYA TASHKILOTI» MChJ</v>
      </c>
    </row>
    <row r="7" spans="1:2" ht="20.25" customHeight="1" x14ac:dyDescent="0.25">
      <c r="A7" s="203"/>
      <c r="B7" s="194" t="str">
        <f>""&amp;'Общие данные'!A150&amp;"i "&amp;'Общие данные'!B150&amp;"ga"</f>
        <v>Qorako'l filiali boshlig'ii Egamberdiyeva D.I.ga</v>
      </c>
    </row>
    <row r="8" spans="1:2" x14ac:dyDescent="0.25">
      <c r="A8" s="180"/>
      <c r="B8" s="194" t="str">
        <f>""&amp;'Общие данные'!C112&amp;"dan"</f>
        <v>QODIROVA I.Bdan</v>
      </c>
    </row>
    <row r="9" spans="1:2" ht="15.75" hidden="1" customHeight="1" x14ac:dyDescent="0.25">
      <c r="B9" s="11">
        <f>'Общие данные'!B111</f>
        <v>0</v>
      </c>
    </row>
    <row r="10" spans="1:2" ht="15.75" hidden="1" customHeight="1" x14ac:dyDescent="0.25">
      <c r="B10" s="11" t="str">
        <f>'Общие данные'!C111</f>
        <v>QODIROVA IBODAT BAXTIYOR QIZI</v>
      </c>
    </row>
    <row r="11" spans="1:2" ht="15.75" hidden="1" customHeight="1" x14ac:dyDescent="0.25">
      <c r="B11" s="180" t="s">
        <v>273</v>
      </c>
    </row>
    <row r="12" spans="1:2" x14ac:dyDescent="0.25"/>
    <row r="13" spans="1:2" ht="115.5" customHeight="1" x14ac:dyDescent="0.25">
      <c r="A13" s="292" t="str">
        <f>IF('Общие данные'!B103="Avtotransport",A14,A15)</f>
        <v>OTASHEVA RUQIYA SHERALI QIZI tomonidan so’ralayotgan 36 (O'ttiz olti) oy muddatga, 150 000 000 (yuz ellik million so'm) miqdoridagi mikrokreditning ta’minoti sifatida menga mulk huquqi asosida tegishli bo’lgan  2 - xonali ko'p qavatli uydagi xonadon, umumiy maydoni 42,00 va yashash maydoni 27,5  BUXORO VILOYATI QORAKO'L TUMANI QARAKUL MSG O'TIK DO'RMAN KO'CHASI 61-UY 18-XONADON manzilda joylashgan ko'chmas mulkni qabul qilishingizni so’rayman:</v>
      </c>
      <c r="B13" s="292"/>
    </row>
    <row r="14" spans="1:2" ht="124.5" hidden="1" customHeight="1" x14ac:dyDescent="0.25">
      <c r="A14"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OTASHEVA RUQIYA SHERALI QIZI tomonidan so’ralayotgan 36 (O'ttiz olti) oy muddatga, 150 000 000 (yuz ellik million so'm) miqdoridagi mikrokreditning ta’minoti sifatida menga mulk huquqi asosida tegishli bo’lgan  CHEVROLET ONIX, kuzov turi - YENGIL SEDAN, kuzov raqami XWBSA695ERA084391, dvigatel raqami L4H21240863MNBX0144, shassi raqami - -, rangi -  QORA CHERNIY METALIK, ishlab chiqarilgan yili - 2024, avtotransport vositasini qabul qilishingizni so’rayman:</v>
      </c>
      <c r="B14" s="292"/>
    </row>
    <row r="15" spans="1:2" ht="116.25" hidden="1" customHeight="1" x14ac:dyDescent="0.25">
      <c r="A15" s="292"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OTASHEVA RUQIYA SHERALI QIZI tomonidan so’ralayotgan 36 (O'ttiz olti) oy muddatga, 150 000 000 (yuz ellik million so'm) miqdoridagi mikrokreditning ta’minoti sifatida menga mulk huquqi asosida tegishli bo’lgan  2 - xonali ko'p qavatli uydagi xonadon, umumiy maydoni 42,00 va yashash maydoni 27,5  BUXORO VILOYATI QORAKO'L TUMANI QARAKUL MSG O'TIK DO'RMAN KO'CHASI 61-UY 18-XONADON manzilda joylashgan ko'chmas mulkni qabul qilishingizni so’rayman:</v>
      </c>
      <c r="B15" s="292"/>
    </row>
    <row r="16" spans="1:2" x14ac:dyDescent="0.25"/>
    <row r="17" spans="1:2" x14ac:dyDescent="0.25"/>
    <row r="18" spans="1:2" x14ac:dyDescent="0.25">
      <c r="B18" s="11" t="s">
        <v>272</v>
      </c>
    </row>
    <row r="19" spans="1:2" ht="18.75" customHeight="1" x14ac:dyDescent="0.25">
      <c r="A19" s="10" t="str">
        <f>IF('Общие данные'!B94='Общие данные'!C94,'Общие данные'!C106,'Общие данные'!C106)</f>
        <v>QODIROVA I.B</v>
      </c>
      <c r="B19" s="63" t="str">
        <f>'Общие данные'!B2</f>
        <v>21.01.2025</v>
      </c>
    </row>
    <row r="20" spans="1:2" ht="57" hidden="1" customHeight="1" x14ac:dyDescent="0.25">
      <c r="A20" s="310" t="str">
        <f>IF('Общие данные'!B94='Общие данные'!D94,CONCATENATE(A24," ",A28,A22),"")</f>
        <v/>
      </c>
      <c r="B20" s="310"/>
    </row>
    <row r="21" spans="1:2" x14ac:dyDescent="0.25">
      <c r="A21" s="10" t="s">
        <v>27</v>
      </c>
    </row>
    <row r="22" spans="1:2" x14ac:dyDescent="0.25">
      <c r="A22" s="10" t="str">
        <f>" xususiy faoliyat ko'rsatuvchi notarius tomonidan "&amp;'Общие данные'!B98&amp;" "&amp;'Общие данные'!B99&amp;" berilgan ishonchnomaga asosan "</f>
        <v xml:space="preserve"> xususiy faoliyat ko'rsatuvchi notarius tomonidan   berilgan ishonchnomaga asosan </v>
      </c>
    </row>
    <row r="23" spans="1:2" x14ac:dyDescent="0.25"/>
    <row r="24" spans="1:2" x14ac:dyDescent="0.25">
      <c r="A24" s="10" t="str">
        <f>"№"&amp;'Общие данные'!B100&amp; ""</f>
        <v>№</v>
      </c>
    </row>
    <row r="25" spans="1:2" x14ac:dyDescent="0.25">
      <c r="A25" s="10" t="str">
        <f>'Общие данные'!B102</f>
        <v>00.01.1900</v>
      </c>
    </row>
    <row r="26" spans="1:2" x14ac:dyDescent="0.25">
      <c r="A26" s="10" t="str">
        <f>TEXT(A25,"ДД.ММ.ГГГГ")</f>
        <v>00.01.1900</v>
      </c>
    </row>
    <row r="27" spans="1:2" x14ac:dyDescent="0.25">
      <c r="A27" s="10" t="s">
        <v>348</v>
      </c>
    </row>
    <row r="28" spans="1:2" x14ac:dyDescent="0.25">
      <c r="A28" s="10" t="str">
        <f>CONCATENATE(A26,A27)</f>
        <v>00.01.1900. sanasidan</v>
      </c>
    </row>
    <row r="29" spans="1:2" x14ac:dyDescent="0.25"/>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7"/>
  <sheetViews>
    <sheetView view="pageBreakPreview" zoomScaleNormal="100" zoomScaleSheetLayoutView="100" workbookViewId="0">
      <selection activeCell="A23" sqref="A23:E23"/>
    </sheetView>
  </sheetViews>
  <sheetFormatPr defaultColWidth="9.140625" defaultRowHeight="15" outlineLevelRow="1" x14ac:dyDescent="0.25"/>
  <cols>
    <col min="1" max="1" width="28.42578125" style="19" customWidth="1"/>
    <col min="2" max="2" width="22.85546875" style="19" customWidth="1"/>
    <col min="3" max="3" width="22.42578125" style="19" customWidth="1"/>
    <col min="4" max="4" width="21.42578125" style="19" customWidth="1"/>
    <col min="5" max="5" width="24.140625" style="19" customWidth="1"/>
    <col min="6" max="16384" width="9.140625" style="19"/>
  </cols>
  <sheetData>
    <row r="1" spans="1:5" ht="106.5" customHeight="1" x14ac:dyDescent="0.25"/>
    <row r="2" spans="1:5" x14ac:dyDescent="0.25">
      <c r="A2" s="263" t="str">
        <f>"GAROV PREDMETI QIYMATINI KELISHISH 
№"&amp;'Общие данные'!B141&amp;" SONLI DALOLATNOMASI
 "</f>
        <v xml:space="preserve">GAROV PREDMETI QIYMATINI KELISHISH 
№1 SONLI DALOLATNOMASI
 </v>
      </c>
      <c r="B2" s="263"/>
      <c r="C2" s="263"/>
      <c r="D2" s="263"/>
      <c r="E2" s="263"/>
    </row>
    <row r="3" spans="1:5" x14ac:dyDescent="0.25">
      <c r="A3" s="44"/>
      <c r="B3" s="44"/>
      <c r="C3" s="44"/>
      <c r="D3" s="44"/>
      <c r="E3" s="44"/>
    </row>
    <row r="4" spans="1:5" x14ac:dyDescent="0.25">
      <c r="A4" s="41" t="s">
        <v>206</v>
      </c>
      <c r="B4" s="41"/>
      <c r="C4" s="41"/>
      <c r="D4" s="41"/>
      <c r="E4" s="41" t="str">
        <f>'Общие данные'!B142</f>
        <v>21 yanvar 2025 y.</v>
      </c>
    </row>
    <row r="5" spans="1:5" ht="9" customHeight="1" x14ac:dyDescent="0.25">
      <c r="A5" s="232"/>
      <c r="B5" s="232"/>
      <c r="C5" s="232"/>
      <c r="D5" s="232"/>
      <c r="E5" s="232"/>
    </row>
    <row r="6" spans="1:5" ht="83.25" customHeight="1" x14ac:dyDescent="0.25">
      <c r="A6" s="232" t="str">
        <f>IF('Общие данные'!B103="avtotransport",'Акт согласования'!A10:E10,'Акт согласования'!A7:E7)</f>
        <v xml:space="preserve">«CLEVER MIKROMOLIYA TASHKILOTI» MChJning (1-tomon) vakili bo‘lgan  Qorako'l filiali boshlig'i Egamberdiyeva D.I., va O‘zbekiston Respublikasi fuqarosi  OTASHEVA RUQIYA SHERALI QIZI (2-tomon) va garov egasi QODIROVA IBODAT BAXTIYOR QIZI (3-tomon) 21 yanvar 2025 y.dan №150-QR Mikrokredit shartnomasiga muvofiq 1-tomon 2-tomonga berilgan mikrokredit bo‘yicha ta’minot sifatida taqdim etilgan, 2-tomonga mulk huquqi asosida tegishli bo‘lgan mulkning garov qiymatini kelishish muzokaralari o’tkazildi. </v>
      </c>
      <c r="B6" s="232"/>
      <c r="C6" s="232"/>
      <c r="D6" s="232"/>
      <c r="E6" s="232"/>
    </row>
    <row r="7" spans="1:5" ht="88.5" hidden="1" customHeight="1" x14ac:dyDescent="0.25">
      <c r="A7" s="232" t="str">
        <f>IF('Общие данные'!B93="ha",'Акт согласования'!A9:E9,'Акт согласования'!A8:E8)</f>
        <v xml:space="preserve">«CLEVER MIKROMOLIYA TASHKILOTI» MChJning (1-tomon) vakili bo‘lgan  Qorako'l filiali boshlig'i Egamberdiyeva D.I., va O‘zbekiston Respublikasi fuqarosi  OTASHEVA RUQIYA SHERALI QIZI (2-tomon) va garov egasi QODIROVA IBODAT BAXTIYOR QIZI (3-tomon) 21 yanvar 2025 y.dan №150-QR Mikrokredit shartnomasiga muvofiq 1-tomon 2-tomonga berilgan mikrokredit bo‘yicha ta’minot sifatida taqdim etilgan, 2-tomonga mulk huquqi asosida tegishli bo‘lgan mulkning garov qiymatini kelishish muzokaralari o’tkazildi. </v>
      </c>
      <c r="B7" s="232"/>
      <c r="C7" s="232"/>
      <c r="D7" s="232"/>
      <c r="E7" s="232"/>
    </row>
    <row r="8" spans="1:5" ht="88.5" hidden="1" customHeight="1" x14ac:dyDescent="0.25">
      <c r="A8"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OTASHEVA RUQIYA SHERALI QIZI (2-tomon) va garov egasi QODIROVA IBODAT BAXTIYOR QIZI (3-tomon) 21 yanvar 2025 y.dan №150-QR Mikrokredit shartnomasiga muvofiq 1-tomon 2-tomonga berilgan mikrokredit bo‘yicha ta’minot sifatida taqdim etilgan, 2-tomonga mulk huquqi asosida tegishli bo‘lgan mulkning garov qiymatini kelishish muzokaralari o’tkazildi. </v>
      </c>
      <c r="B8" s="232"/>
      <c r="C8" s="232"/>
      <c r="D8" s="232"/>
      <c r="E8" s="232"/>
    </row>
    <row r="9" spans="1:5" ht="88.5" hidden="1" customHeight="1" x14ac:dyDescent="0.25">
      <c r="A9"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OTASHEVA RUQIYA SHERALI QIZI (2-tomon) va garov egasi QODIROVA IBODAT BAXTIYOR QIZI (3-tomon) 21 yanvar 2025 y.dan №150-QR Mikrokredit shartnomasiga muvofiq 1-tomon 2-tomonga berilgan mikrokredit bo‘yicha ta’minot sifatida taqdim etilgan, 2-tomonga mulk huquqi asosida tegishli bo‘lgan mulkning garov qiymatini kelishish muzokaralari o’tkazildi. </v>
      </c>
      <c r="B9" s="232"/>
      <c r="C9" s="232"/>
      <c r="D9" s="232"/>
      <c r="E9" s="232"/>
    </row>
    <row r="10" spans="1:5" ht="88.5" hidden="1" customHeight="1" x14ac:dyDescent="0.25">
      <c r="A10" s="232" t="str">
        <f>IF('Общие данные'!B93="ha",'Акт согласования'!A12:E12,'Акт согласования'!A11:E11)</f>
        <v>«CLEVER MIKROMOLIYA TASHKILOTI» MChJning (1-tomon) vakili bo‘lgan  Qorako'l filiali boshlig'i Egamberdiyeva D.I., O‘zbekiston Respublikasi fuqarosi OTASHEVA RUQIYA SHERALI QIZI (2-tomon) va garovga beruvchi O‘zbekiston Respublikasi fuqarosi 0 (3-tomon) o’rtalarida, 21 yanvar 2025 y.dan №150-QR-sonli Mikrokredit shartnomasiga muvofiq 1-tomon 2-tomonga berilgan mikrokredit bo‘yicha ta’minot sifatida taqdim etilgan, 3-tomonga mulk huquqi asosida tegishli bo‘lgan mulkning garov qiymatini kelishish muzokaralari o’tkazildi.</v>
      </c>
      <c r="B10" s="232"/>
      <c r="C10" s="232"/>
      <c r="D10" s="232"/>
      <c r="E10" s="232"/>
    </row>
    <row r="11" spans="1:5" ht="88.5" hidden="1" customHeight="1" x14ac:dyDescent="0.25">
      <c r="A11" s="232"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Qorako'l filiali boshlig'i Egamberdiyeva D.I., O‘zbekiston Respublikasi fuqarosi OTASHEVA RUQIYA SHERALI QIZI (2-tomon) va garovga beruvchi O‘zbekiston Respublikasi fuqarosi 0 (3-tomon) o’rtalarida, 21 yanvar 2025 y.dan №150-QR-sonli Mikrokredit shartnomasiga muvofiq 1-tomon 2-tomonga berilgan mikrokredit bo‘yicha ta’minot sifatida taqdim etilgan, 3-tomonga mulk huquqi asosida tegishli bo‘lgan mulkning garov qiymatini kelishish muzokaralari o’tkazildi.</v>
      </c>
      <c r="B11" s="232"/>
      <c r="C11" s="232"/>
      <c r="D11" s="232"/>
      <c r="E11" s="232"/>
    </row>
    <row r="12" spans="1:5" ht="88.5" hidden="1" customHeight="1" x14ac:dyDescent="0.25">
      <c r="A12" s="232"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Qorako'l filiali boshlig'i Egamberdiyeva D.I., O‘zbekiston Respublikasi fuqarosi va garovga beruvchi OTASHEVA RUQIYA SHERALI QIZI (2-tomon) o’rtalarida, 21 yanvar 2025 y.dan №150-QR-sonli Mikrokredit shartnomasiga muvofiq 1-tomon 2-tomonga berilgan mikrokredit bo‘yicha ta’minot sifatida taqdim etilgan, 2-tomonga mulk huquqi asosida tegishli bo‘lgan mulkning garov qiymatini kelishish muzokaralari o’tkazildi.</v>
      </c>
      <c r="B12" s="232"/>
      <c r="C12" s="232"/>
      <c r="D12" s="232"/>
      <c r="E12" s="232"/>
    </row>
    <row r="13" spans="1:5" ht="88.5" hidden="1" customHeight="1" x14ac:dyDescent="0.25">
      <c r="A13" s="232" t="str">
        <f>"Garov predmeti sifatida "&amp;'Общие данные'!B125&amp;", 3-tomonga egalik huquqi tegishli bo'lgan, quyidagi tafsilotlarga ega avtotransport vositasi taqdim etiladi:"</f>
        <v>Garov predmeti sifatida CHEVROLET ONIX, 3-tomonga egalik huquqi tegishli bo'lgan, quyidagi tafsilotlarga ega avtotransport vositasi taqdim etiladi:</v>
      </c>
      <c r="B13" s="232"/>
      <c r="C13" s="232"/>
      <c r="D13" s="232"/>
      <c r="E13" s="232"/>
    </row>
    <row r="14" spans="1:5" ht="88.5" hidden="1" customHeight="1" x14ac:dyDescent="0.25">
      <c r="A14" s="232" t="str">
        <f>"Garov predmeti sifatida "&amp;'Общие данные'!B125&amp;", 2-tomonga egalik huquqi tegishli bo'lgan, quyidagi tafsilotlarga ega avtotransport vositasi taqdim etiladi:"</f>
        <v>Garov predmeti sifatida CHEVROLET ONIX, 2-tomonga egalik huquqi tegishli bo'lgan, quyidagi tafsilotlarga ega avtotransport vositasi taqdim etiladi:</v>
      </c>
      <c r="B14" s="232"/>
      <c r="C14" s="232"/>
      <c r="D14" s="232"/>
      <c r="E14" s="232"/>
    </row>
    <row r="15" spans="1:5" ht="88.5" hidden="1" customHeight="1" x14ac:dyDescent="0.25">
      <c r="A15" s="232" t="str">
        <f>IF('Общие данные'!B93="ha",'Акт согласования'!A14:E14,'Акт согласования'!A13:E13)</f>
        <v>Garov predmeti sifatida CHEVROLET ONIX, 3-tomonga egalik huquqi tegishli bo'lgan, quyidagi tafsilotlarga ega avtotransport vositasi taqdim etiladi:</v>
      </c>
      <c r="B15" s="232"/>
      <c r="C15" s="232"/>
      <c r="D15" s="232"/>
      <c r="E15" s="232"/>
    </row>
    <row r="16" spans="1:5" ht="88.5" hidden="1" customHeight="1" x14ac:dyDescent="0.25">
      <c r="A16" s="232" t="str">
        <f>"Garov predmeti sifatida "&amp;'Общие данные'!C126&amp;", 2-tomonga egalik huquqi tegishli bo'lgan, quyidagi tafsilotlarga ega ko'chmas mulk taqdim etiladi:"</f>
        <v>Garov predmeti sifatida 2 - xonali ko'p qavatli uydagi xonadon, 2-tomonga egalik huquqi tegishli bo'lgan, quyidagi tafsilotlarga ega ko'chmas mulk taqdim etiladi:</v>
      </c>
      <c r="B16" s="232"/>
      <c r="C16" s="232"/>
      <c r="D16" s="232"/>
      <c r="E16" s="232"/>
    </row>
    <row r="17" spans="1:5" ht="13.5" hidden="1" customHeight="1" x14ac:dyDescent="0.25">
      <c r="A17" s="232" t="str">
        <f>"Garov predmeti sifatida "&amp;'Общие данные'!C126&amp;", 3-tomonga egalik huquqi tegishli bo'lgan, quyidagi tafsilotlarga ega ko'chmas mulk taqdim etiladi:"</f>
        <v>Garov predmeti sifatida 2 - xonali ko'p qavatli uydagi xonadon, 3-tomonga egalik huquqi tegishli bo'lgan, quyidagi tafsilotlarga ega ko'chmas mulk taqdim etiladi:</v>
      </c>
      <c r="B17" s="232"/>
      <c r="C17" s="232"/>
      <c r="D17" s="232"/>
      <c r="E17" s="232"/>
    </row>
    <row r="18" spans="1:5" ht="11.25" hidden="1" customHeight="1" x14ac:dyDescent="0.25">
      <c r="A18" s="232" t="str">
        <f>IF('Общие данные'!B93="ha",'Акт согласования'!A16:E16,'Акт согласования'!A17:E17)</f>
        <v>Garov predmeti sifatida 2 - xonali ko'p qavatli uydagi xonadon, 3-tomonga egalik huquqi tegishli bo'lgan, quyidagi tafsilotlarga ega ko'chmas mulk taqdim etiladi:</v>
      </c>
      <c r="B18" s="232"/>
      <c r="C18" s="232"/>
      <c r="D18" s="232"/>
      <c r="E18" s="232"/>
    </row>
    <row r="19" spans="1:5" ht="39.75" customHeight="1" x14ac:dyDescent="0.25">
      <c r="A19" s="232" t="str">
        <f>IF('Общие данные'!B103="Avtotransport",'Акт согласования'!A15:E15,'Акт согласования'!A18:E18)</f>
        <v>Garov predmeti sifatida 2 - xonali ko'p qavatli uydagi xonadon, 3-tomonga egalik huquqi tegishli bo'lgan, quyidagi tafsilotlarga ega ko'chmas mulk taqdim etiladi:</v>
      </c>
      <c r="B19" s="232"/>
      <c r="C19" s="232"/>
      <c r="D19" s="232"/>
      <c r="E19" s="232"/>
    </row>
    <row r="20" spans="1:5" ht="48" customHeight="1" outlineLevel="1" x14ac:dyDescent="0.25">
      <c r="A20" s="43" t="s">
        <v>204</v>
      </c>
      <c r="B20" s="312" t="str">
        <f>IF('Общие данные'!B103='Общие данные'!C103,"Kuzov turi  va kuzov raqami*","kadastr")</f>
        <v>kadastr</v>
      </c>
      <c r="C20" s="313"/>
      <c r="D20" s="43" t="str">
        <f>IF('Общие данные'!B103='Общие данные'!C103,"Dvigatel va shassi raqami*","Yashash maydoni")</f>
        <v>Yashash maydoni</v>
      </c>
      <c r="E20" s="43" t="str">
        <f>IF('Общие данные'!B103='Общие данные'!C103,"Ishlab chiqarilgan yili va rangi**","Umumiy foydalanish maydoni")</f>
        <v>Umumiy foydalanish maydoni</v>
      </c>
    </row>
    <row r="21" spans="1:5" ht="65.25" customHeight="1" outlineLevel="1" x14ac:dyDescent="0.25">
      <c r="A21" s="21" t="str">
        <f>IF('Общие данные'!B103='Общие данные'!C103,'Общие данные'!B125,'Общие данные'!C125)</f>
        <v>2 - xonali ko'p qavatli uydagi xonadon</v>
      </c>
      <c r="B21" s="265" t="str">
        <f>IF('Общие данные'!B103='Общие данные'!C103,'Общие данные'!B127,CONCATENATE('Общие данные'!C127," ","kv.m"))</f>
        <v>20.01.2025 yildan №20:10:07:01:02:0754:0011:018 kv.m</v>
      </c>
      <c r="C21" s="265"/>
      <c r="D21" s="21" t="str">
        <f>IF('Общие данные'!B103='Общие данные'!C103,'Общие данные'!B130,'Общие данные'!E133)</f>
        <v>27,5 kv.m</v>
      </c>
      <c r="E21" s="21" t="str">
        <f>IF('Общие данные'!B103='Общие данные'!C103,'Общие данные'!B133,'Общие данные'!E130)</f>
        <v>42,00 kv.m</v>
      </c>
    </row>
    <row r="22" spans="1:5" ht="17.25" customHeight="1" outlineLevel="1" x14ac:dyDescent="0.25">
      <c r="A22" s="232" t="str">
        <f>"-* "&amp;IF('Общие данные'!B103='Общие данные'!C103,"avtotransport "&amp;"egasi: "&amp;'Общие данные'!B117&amp;"","ko'chmas mulk"&amp;" egasi: "&amp;'Общие данные'!C111&amp;"")</f>
        <v>-* ko'chmas mulk egasi: QODIROVA IBODAT BAXTIYOR QIZI</v>
      </c>
      <c r="B22" s="232"/>
      <c r="C22" s="232"/>
      <c r="D22" s="232"/>
      <c r="E22" s="232"/>
    </row>
    <row r="23" spans="1:5" outlineLevel="1" x14ac:dyDescent="0.25">
      <c r="A23" s="232" t="str">
        <f>IF('Общие данные'!B103='Общие данные'!C103,"-* texnik pasport: "&amp;'Общие данные'!B124&amp;"","-* reest raqami: "&amp;'Общие данные'!C124&amp;"")</f>
        <v>-* reest raqami: 20.01.2025y  1706230/R-A5590011</v>
      </c>
      <c r="B23" s="232"/>
      <c r="C23" s="232"/>
      <c r="D23" s="232"/>
      <c r="E23" s="232"/>
    </row>
    <row r="24" spans="1:5" s="209" customFormat="1" outlineLevel="1" x14ac:dyDescent="0.25">
      <c r="A24" s="232" t="str">
        <f>IF('Общие данные'!B103='Общие данные'!C103,"-* roʻyxatdan oʻtgan manzili/garaj manzili: "&amp;'Общие данные'!B122&amp;"","-*  kadastr raqami: "&amp;'Общие данные'!C127&amp;"")</f>
        <v>-*  kadastr raqami: 20.01.2025 yildan №20:10:07:01:02:0754:0011:018</v>
      </c>
      <c r="B24" s="232"/>
      <c r="C24" s="232"/>
      <c r="D24" s="232"/>
      <c r="E24" s="232"/>
    </row>
    <row r="25" spans="1:5" ht="33" customHeight="1" outlineLevel="1" x14ac:dyDescent="0.25">
      <c r="A25" s="232" t="str">
        <f>IF('Общие данные'!B103='Общие данные'!C103,"-* davlat raqami: "&amp;'Общие данные'!B126&amp;"","-* manzili: "&amp;'Общие данные'!C123&amp;"")</f>
        <v>-* manzili: BUXORO VILOYATI QORAKO'L TUMANI QARAKUL MSG O'TIK DO'RMAN KO'CHASI 61-UY 18-XONADON</v>
      </c>
      <c r="B25" s="232"/>
      <c r="C25" s="232"/>
      <c r="D25" s="232"/>
      <c r="E25" s="232"/>
    </row>
    <row r="26" spans="1:5" ht="65.25" customHeight="1" x14ac:dyDescent="0.25">
      <c r="A26" s="232"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21 yanvar 2025 y.dan №150-QR mikrokredit shartnomasi bo‘yicha berilgan mikrokredit bo‘yicha  
225 000 000,00 (ikki yuz yigirma besh million so'm) so’m bo‘lgan kelishilgan garov qiymatida qabul qiladi::</v>
      </c>
      <c r="B26" s="232"/>
      <c r="C26" s="232"/>
      <c r="D26" s="232"/>
      <c r="E26" s="232"/>
    </row>
    <row r="27" spans="1:5" ht="66" hidden="1" customHeight="1" x14ac:dyDescent="0.25">
      <c r="A27" s="232"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21 yanvar 2025 y.dan №150-QR mikrokredit shartnomasi bo‘yicha berilgan mikrokredit bo‘yicha  
225 000 000,00 (ikki yuz yigirma besh million so'm) so’m bo‘lgan kelishilgan garov qiymatida qabul qiladi::</v>
      </c>
      <c r="B27" s="232"/>
      <c r="C27" s="232"/>
      <c r="D27" s="232"/>
      <c r="E27" s="232"/>
    </row>
    <row r="28" spans="1:5" ht="58.5" hidden="1" customHeight="1" x14ac:dyDescent="0.25">
      <c r="A28" s="232"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21 yanvar 2025 y.dan №150-QR Mikrokredit shartnomasi bo‘yicha berilgan mikrokredit bo‘yicha  
225 000 000,00 (ikki yuz yigirma besh million so'm) so’m bo‘lgan kelishilgan garov qiymatida qabul qiladi::</v>
      </c>
      <c r="B28" s="232"/>
      <c r="C28" s="232"/>
      <c r="D28" s="232"/>
      <c r="E28" s="232"/>
    </row>
    <row r="29" spans="1:5" ht="51.75" customHeight="1" outlineLevel="1" x14ac:dyDescent="0.25">
      <c r="A29" s="43" t="s">
        <v>204</v>
      </c>
      <c r="B29" s="43" t="str">
        <f>B20</f>
        <v>kadastr</v>
      </c>
      <c r="C29" s="43" t="str">
        <f>D20</f>
        <v>Yashash maydoni</v>
      </c>
      <c r="D29" s="43" t="str">
        <f>IF('Общие данные'!B103='Общие данные'!C103,"Ishlab chiqarilgan yili va rangi*","Foydalanishga topshirilgan sanasi")</f>
        <v>Foydalanishga topshirilgan sanasi</v>
      </c>
      <c r="E29" s="43" t="s">
        <v>205</v>
      </c>
    </row>
    <row r="30" spans="1:5" ht="76.5" customHeight="1" outlineLevel="1" x14ac:dyDescent="0.25">
      <c r="A30" s="21" t="str">
        <f>A21</f>
        <v>2 - xonali ko'p qavatli uydagi xonadon</v>
      </c>
      <c r="B30" s="21" t="str">
        <f>B21</f>
        <v>20.01.2025 yildan №20:10:07:01:02:0754:0011:018 kv.m</v>
      </c>
      <c r="C30" s="21" t="str">
        <f>D21</f>
        <v>27,5 kv.m</v>
      </c>
      <c r="D30" s="21" t="str">
        <f>IF('Общие данные'!B103='Общие данные'!C103,E21,TEXT('Общие данные'!C135,"ДД.ММ.ГГГГ"))</f>
        <v>20.01.2025</v>
      </c>
      <c r="E30" s="21" t="str">
        <f>""&amp;FIXED('Общие данные'!B136,2)&amp;" 
("&amp;'Общие данные'!B137&amp;")"</f>
        <v>225 000 000,00 
(ikki yuz yigirma besh million so'm)</v>
      </c>
    </row>
    <row r="31" spans="1:5" ht="16.5" customHeight="1" x14ac:dyDescent="0.25">
      <c r="A31" s="20"/>
      <c r="B31" s="20"/>
      <c r="C31" s="20"/>
      <c r="D31" s="20"/>
      <c r="E31" s="20"/>
    </row>
    <row r="32" spans="1:5" ht="56.25" hidden="1" customHeight="1" outlineLevel="1" x14ac:dyDescent="0.25">
      <c r="A32" s="43" t="s">
        <v>5</v>
      </c>
      <c r="B32" s="43" t="s">
        <v>19</v>
      </c>
      <c r="C32" s="43" t="s">
        <v>20</v>
      </c>
      <c r="D32" s="43" t="s">
        <v>21</v>
      </c>
      <c r="E32" s="43" t="s">
        <v>6</v>
      </c>
    </row>
    <row r="33" spans="1:5" ht="15.75" hidden="1" customHeight="1" outlineLevel="1" x14ac:dyDescent="0.25">
      <c r="A33" s="21" t="e">
        <f>#REF!</f>
        <v>#REF!</v>
      </c>
      <c r="B33" s="128" t="e">
        <f>#REF!</f>
        <v>#REF!</v>
      </c>
      <c r="C33" s="128" t="e">
        <f>#REF!</f>
        <v>#REF!</v>
      </c>
      <c r="D33" s="128" t="e">
        <f>#REF!</f>
        <v>#REF!</v>
      </c>
      <c r="E33" s="315" t="str">
        <f>""&amp;FIXED('Общие данные'!C136,2)&amp;" ("&amp;'Общие данные'!B137&amp;")"</f>
        <v>225 000 000,00 (ikki yuz yigirma besh million so'm)</v>
      </c>
    </row>
    <row r="34" spans="1:5" ht="15.75" hidden="1" customHeight="1" outlineLevel="1" x14ac:dyDescent="0.25">
      <c r="A34" s="21"/>
      <c r="B34" s="128"/>
      <c r="C34" s="128"/>
      <c r="D34" s="128"/>
      <c r="E34" s="316"/>
    </row>
    <row r="35" spans="1:5" ht="15.75" hidden="1" customHeight="1" outlineLevel="1" x14ac:dyDescent="0.25">
      <c r="A35" s="21" t="e">
        <f>#REF!</f>
        <v>#REF!</v>
      </c>
      <c r="B35" s="128" t="e">
        <f>#REF!</f>
        <v>#REF!</v>
      </c>
      <c r="C35" s="128" t="e">
        <f>#REF!</f>
        <v>#REF!</v>
      </c>
      <c r="D35" s="128" t="e">
        <f>#REF!</f>
        <v>#REF!</v>
      </c>
      <c r="E35" s="316"/>
    </row>
    <row r="36" spans="1:5" ht="15.75" hidden="1" customHeight="1" outlineLevel="1" x14ac:dyDescent="0.25">
      <c r="A36" s="21" t="e">
        <f>#REF!</f>
        <v>#REF!</v>
      </c>
      <c r="B36" s="128" t="e">
        <f>#REF!</f>
        <v>#REF!</v>
      </c>
      <c r="C36" s="128" t="e">
        <f>#REF!</f>
        <v>#REF!</v>
      </c>
      <c r="D36" s="128" t="e">
        <f>#REF!</f>
        <v>#REF!</v>
      </c>
      <c r="E36" s="316"/>
    </row>
    <row r="37" spans="1:5" ht="15.75" hidden="1" customHeight="1" outlineLevel="1" x14ac:dyDescent="0.25">
      <c r="A37" s="21" t="e">
        <f>#REF!</f>
        <v>#REF!</v>
      </c>
      <c r="B37" s="128" t="e">
        <f>#REF!</f>
        <v>#REF!</v>
      </c>
      <c r="C37" s="128" t="e">
        <f>#REF!</f>
        <v>#REF!</v>
      </c>
      <c r="D37" s="128" t="e">
        <f>#REF!</f>
        <v>#REF!</v>
      </c>
      <c r="E37" s="316"/>
    </row>
    <row r="38" spans="1:5" ht="15.75" hidden="1" customHeight="1" outlineLevel="1" x14ac:dyDescent="0.25">
      <c r="A38" s="21" t="e">
        <f>#REF!</f>
        <v>#REF!</v>
      </c>
      <c r="B38" s="128" t="e">
        <f>#REF!</f>
        <v>#REF!</v>
      </c>
      <c r="C38" s="128" t="e">
        <f>#REF!</f>
        <v>#REF!</v>
      </c>
      <c r="D38" s="128" t="e">
        <f>#REF!</f>
        <v>#REF!</v>
      </c>
      <c r="E38" s="316"/>
    </row>
    <row r="39" spans="1:5" ht="15.75" hidden="1" customHeight="1" outlineLevel="1" x14ac:dyDescent="0.25">
      <c r="A39" s="21" t="e">
        <f>#REF!</f>
        <v>#REF!</v>
      </c>
      <c r="B39" s="128" t="e">
        <f>#REF!</f>
        <v>#REF!</v>
      </c>
      <c r="C39" s="128" t="e">
        <f>#REF!</f>
        <v>#REF!</v>
      </c>
      <c r="D39" s="128" t="e">
        <f>#REF!</f>
        <v>#REF!</v>
      </c>
      <c r="E39" s="316"/>
    </row>
    <row r="40" spans="1:5" ht="15.75" hidden="1" customHeight="1" outlineLevel="1" x14ac:dyDescent="0.25">
      <c r="A40" s="21" t="e">
        <f>#REF!</f>
        <v>#REF!</v>
      </c>
      <c r="B40" s="128" t="e">
        <f>#REF!</f>
        <v>#REF!</v>
      </c>
      <c r="C40" s="128" t="e">
        <f>#REF!</f>
        <v>#REF!</v>
      </c>
      <c r="D40" s="128" t="e">
        <f>#REF!</f>
        <v>#REF!</v>
      </c>
      <c r="E40" s="316"/>
    </row>
    <row r="41" spans="1:5" ht="15.75" hidden="1" customHeight="1" outlineLevel="1" x14ac:dyDescent="0.25">
      <c r="A41" s="21" t="e">
        <f>#REF!</f>
        <v>#REF!</v>
      </c>
      <c r="B41" s="128" t="e">
        <f>#REF!</f>
        <v>#REF!</v>
      </c>
      <c r="C41" s="128" t="e">
        <f>#REF!</f>
        <v>#REF!</v>
      </c>
      <c r="D41" s="128" t="e">
        <f>#REF!</f>
        <v>#REF!</v>
      </c>
      <c r="E41" s="316"/>
    </row>
    <row r="42" spans="1:5" ht="15.75" hidden="1" customHeight="1" outlineLevel="1" x14ac:dyDescent="0.25">
      <c r="A42" s="21" t="e">
        <f>#REF!</f>
        <v>#REF!</v>
      </c>
      <c r="B42" s="128" t="e">
        <f>#REF!</f>
        <v>#REF!</v>
      </c>
      <c r="C42" s="128" t="e">
        <f>#REF!</f>
        <v>#REF!</v>
      </c>
      <c r="D42" s="128" t="e">
        <f>#REF!</f>
        <v>#REF!</v>
      </c>
      <c r="E42" s="316"/>
    </row>
    <row r="43" spans="1:5" ht="15.75" hidden="1" customHeight="1" outlineLevel="1" x14ac:dyDescent="0.25">
      <c r="A43" s="21" t="e">
        <f>#REF!</f>
        <v>#REF!</v>
      </c>
      <c r="B43" s="21" t="e">
        <f>#REF!</f>
        <v>#REF!</v>
      </c>
      <c r="C43" s="21" t="e">
        <f>#REF!</f>
        <v>#REF!</v>
      </c>
      <c r="D43" s="21" t="e">
        <f>#REF!</f>
        <v>#REF!</v>
      </c>
      <c r="E43" s="317"/>
    </row>
    <row r="44" spans="1:5" s="41" customFormat="1" ht="15.75" hidden="1" customHeight="1" outlineLevel="1" x14ac:dyDescent="0.2">
      <c r="A44" s="43" t="e">
        <f>#REF!</f>
        <v>#REF!</v>
      </c>
      <c r="B44" s="43" t="e">
        <f>#REF!</f>
        <v>#REF!</v>
      </c>
      <c r="C44" s="43" t="e">
        <f>#REF!</f>
        <v>#REF!</v>
      </c>
      <c r="D44" s="43" t="e">
        <f>#REF!</f>
        <v>#REF!</v>
      </c>
      <c r="E44" s="43" t="str">
        <f>FIXED('Общие данные'!C136,2)</f>
        <v>225 000 000,00</v>
      </c>
    </row>
    <row r="45" spans="1:5" ht="12.75" customHeight="1" collapsed="1" x14ac:dyDescent="0.25">
      <c r="A45" s="20"/>
      <c r="B45" s="20"/>
      <c r="C45" s="20"/>
      <c r="D45" s="20"/>
      <c r="E45" s="20"/>
    </row>
    <row r="46" spans="1:5" ht="93.75" hidden="1" customHeight="1" x14ac:dyDescent="0.25">
      <c r="A46" s="232"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2"/>
      <c r="C46" s="232"/>
      <c r="D46" s="232"/>
      <c r="E46" s="232"/>
    </row>
    <row r="47" spans="1:5" ht="42" customHeight="1" x14ac:dyDescent="0.25">
      <c r="A47" s="232" t="s">
        <v>209</v>
      </c>
      <c r="B47" s="232"/>
      <c r="C47" s="232"/>
      <c r="D47" s="232"/>
      <c r="E47" s="232"/>
    </row>
    <row r="48" spans="1:5" ht="35.25" customHeight="1" x14ac:dyDescent="0.25">
      <c r="A48" s="232" t="str">
        <f>"Shunday qilib, garov predmetining kelishilgan garov qiymati  "&amp;FIXED('Общие данные'!B136)&amp;" ("&amp;'Общие данные'!B137&amp;") so‘mni tashkil etadi."</f>
        <v>Shunday qilib, garov predmetining kelishilgan garov qiymati  225 000 000,00 (ikki yuz yigirma besh million so'm) so‘mni tashkil etadi.</v>
      </c>
      <c r="B48" s="232"/>
      <c r="C48" s="232"/>
      <c r="D48" s="232"/>
      <c r="E48" s="232"/>
    </row>
    <row r="49" spans="1:6" ht="35.25" hidden="1" customHeight="1" x14ac:dyDescent="0.25">
      <c r="A49" s="23"/>
      <c r="B49" s="23"/>
      <c r="C49" s="23"/>
      <c r="D49" s="23">
        <f>IF('Общие данные'!B92='Общие данные'!C92,'Общие данные'!C136,IF('Общие данные'!B92='Общие данные'!D92,'Данные для послед. Залога'!M22,0))</f>
        <v>225000000</v>
      </c>
      <c r="E49" s="23" t="str">
        <f>IF('Общие данные'!B92='Общие данные'!C92,'Общие данные'!B137,IF('Общие данные'!B92='Общие данные'!D92,'Данные для послед. Залога'!Q22,0))</f>
        <v>ikki yuz yigirma besh million so'm</v>
      </c>
    </row>
    <row r="50" spans="1:6" x14ac:dyDescent="0.25">
      <c r="A50" s="309" t="s">
        <v>210</v>
      </c>
      <c r="B50" s="309"/>
      <c r="C50" s="309"/>
      <c r="D50" s="26"/>
      <c r="E50" s="26"/>
    </row>
    <row r="51" spans="1:6" x14ac:dyDescent="0.25">
      <c r="A51" s="235" t="str">
        <f>'Общие данные'!B148</f>
        <v>«CLEVER MIKROMOLIYA TASHKILOTI» MChJ</v>
      </c>
      <c r="B51" s="235"/>
      <c r="C51" s="235"/>
      <c r="D51" s="193"/>
      <c r="E51" s="193"/>
    </row>
    <row r="52" spans="1:6" ht="15" customHeight="1" x14ac:dyDescent="0.25">
      <c r="A52" s="235" t="str">
        <f>""&amp;'Общие данные'!A150&amp;"i"</f>
        <v>Qorako'l filiali boshlig'ii</v>
      </c>
      <c r="B52" s="235"/>
      <c r="C52" s="235"/>
      <c r="D52" s="309" t="str">
        <f>"_______________   "&amp;'Общие данные'!B150&amp;""</f>
        <v>_______________   Egamberdiyeva D.I.</v>
      </c>
      <c r="E52" s="309"/>
    </row>
    <row r="53" spans="1:6" x14ac:dyDescent="0.25">
      <c r="A53" s="60"/>
      <c r="B53" s="60"/>
      <c r="C53" s="60"/>
      <c r="D53" s="60"/>
      <c r="E53" s="60"/>
    </row>
    <row r="54" spans="1:6" x14ac:dyDescent="0.25">
      <c r="A54" s="309"/>
      <c r="B54" s="309"/>
      <c r="C54" s="309"/>
      <c r="D54" s="60"/>
      <c r="E54" s="60"/>
    </row>
    <row r="55" spans="1:6" hidden="1" x14ac:dyDescent="0.25">
      <c r="A55" s="235" t="s">
        <v>47</v>
      </c>
      <c r="B55" s="235"/>
      <c r="C55" s="235"/>
      <c r="D55" s="60"/>
      <c r="E55" s="60"/>
    </row>
    <row r="56" spans="1:6" hidden="1" x14ac:dyDescent="0.25">
      <c r="A56" s="235" t="str">
        <f>'Общие данные'!B148</f>
        <v>«CLEVER MIKROMOLIYA TASHKILOTI» MChJ</v>
      </c>
      <c r="B56" s="235"/>
      <c r="C56" s="235"/>
      <c r="D56" s="235" t="str">
        <f>"_______________   "&amp;'Общие данные'!B159&amp;""</f>
        <v>_______________   Mominov B.X.</v>
      </c>
      <c r="E56" s="235"/>
    </row>
    <row r="57" spans="1:6" ht="12.75" customHeight="1" x14ac:dyDescent="0.25">
      <c r="A57" s="235"/>
      <c r="B57" s="235"/>
      <c r="C57" s="235"/>
      <c r="D57" s="235"/>
      <c r="E57" s="235"/>
    </row>
    <row r="58" spans="1:6" x14ac:dyDescent="0.25">
      <c r="A58" s="309" t="s">
        <v>211</v>
      </c>
      <c r="B58" s="309"/>
      <c r="C58" s="309"/>
      <c r="D58" s="235"/>
      <c r="E58" s="235"/>
    </row>
    <row r="59" spans="1:6" ht="31.5" customHeight="1" x14ac:dyDescent="0.25">
      <c r="A59" s="235" t="s">
        <v>212</v>
      </c>
      <c r="B59" s="235"/>
      <c r="C59" s="235"/>
      <c r="D59" s="309" t="str">
        <f>"_______________  "&amp;'Общие данные'!B7&amp;""</f>
        <v>_______________  OTASHEVA R.SH.</v>
      </c>
      <c r="E59" s="309"/>
    </row>
    <row r="60" spans="1:6" ht="12.75" customHeight="1" x14ac:dyDescent="0.25">
      <c r="A60" s="235"/>
      <c r="B60" s="235"/>
      <c r="C60" s="235"/>
      <c r="D60" s="314">
        <f>IF('Общие данные'!B93="да","",'Общие данные'!B118)</f>
        <v>0</v>
      </c>
      <c r="E60" s="314"/>
    </row>
    <row r="61" spans="1:6" ht="17.25" customHeight="1" x14ac:dyDescent="0.25">
      <c r="A61" s="309" t="str">
        <f>+IF('Общие данные'!B93="ha"," ","3-tomondan:")</f>
        <v>3-tomondan:</v>
      </c>
      <c r="B61" s="309"/>
      <c r="C61" s="309"/>
      <c r="D61" s="311"/>
      <c r="E61" s="311"/>
      <c r="F61" s="19" t="str">
        <f>IF('Общие данные'!B94='Общие данные'!D94,B7,"")</f>
        <v/>
      </c>
    </row>
    <row r="62" spans="1:6" ht="29.25" customHeight="1" x14ac:dyDescent="0.25">
      <c r="A62" s="235" t="str">
        <f>+IF('Общие данные'!B93="ha"," ","O'zbekiston Respublikasi fuqarosi")</f>
        <v>O'zbekiston Respublikasi fuqarosi</v>
      </c>
      <c r="B62" s="235"/>
      <c r="C62" s="235"/>
      <c r="D62" s="309" t="str">
        <f>"_______________  "&amp;'Общие данные'!C112&amp;""</f>
        <v>_______________  QODIROVA I.B</v>
      </c>
      <c r="E62" s="309"/>
    </row>
    <row r="63" spans="1:6" ht="3" customHeight="1" x14ac:dyDescent="0.25">
      <c r="A63" s="218" t="str">
        <f>IF('Общие данные'!B94='Общие данные'!C94,"_______________  "&amp;'Общие данные'!B112&amp;"","_______________  "&amp;'Общие данные'!B7&amp;"")</f>
        <v>_______________  0</v>
      </c>
      <c r="B63" s="60"/>
      <c r="C63" s="235" t="str">
        <f>'заявление залогодателя'!A20</f>
        <v/>
      </c>
      <c r="D63" s="235"/>
      <c r="E63" s="235"/>
    </row>
    <row r="64" spans="1:6" hidden="1" x14ac:dyDescent="0.25">
      <c r="D64" s="256"/>
      <c r="E64" s="256"/>
    </row>
    <row r="65" spans="1:5" ht="6" hidden="1" customHeight="1" x14ac:dyDescent="0.25">
      <c r="A65" s="258" t="str">
        <f>'заявление залогодателя'!A20:B20</f>
        <v/>
      </c>
      <c r="B65" s="258"/>
      <c r="C65" s="258"/>
      <c r="D65" s="258"/>
      <c r="E65" s="258"/>
    </row>
    <row r="66" spans="1:5" hidden="1" x14ac:dyDescent="0.25">
      <c r="A66" s="258"/>
      <c r="B66" s="258"/>
      <c r="C66" s="258"/>
      <c r="D66" s="258"/>
      <c r="E66" s="258"/>
    </row>
    <row r="67" spans="1:5" ht="13.5" customHeight="1" x14ac:dyDescent="0.25">
      <c r="A67" s="258"/>
      <c r="B67" s="258"/>
      <c r="C67" s="258"/>
      <c r="D67" s="258"/>
      <c r="E67" s="258"/>
    </row>
  </sheetData>
  <mergeCells count="52">
    <mergeCell ref="A65:E67"/>
    <mergeCell ref="A56:C56"/>
    <mergeCell ref="D56:E56"/>
    <mergeCell ref="A27:E27"/>
    <mergeCell ref="A50:C50"/>
    <mergeCell ref="A51:C51"/>
    <mergeCell ref="A52:C52"/>
    <mergeCell ref="D52:E52"/>
    <mergeCell ref="A46:E46"/>
    <mergeCell ref="A47:E47"/>
    <mergeCell ref="E33:E43"/>
    <mergeCell ref="A28:E28"/>
    <mergeCell ref="A48:E48"/>
    <mergeCell ref="D64:E64"/>
    <mergeCell ref="C63:E63"/>
    <mergeCell ref="A58:C58"/>
    <mergeCell ref="A2:E2"/>
    <mergeCell ref="A11:E11"/>
    <mergeCell ref="A12:E12"/>
    <mergeCell ref="A13:E13"/>
    <mergeCell ref="A10:E10"/>
    <mergeCell ref="A5:E5"/>
    <mergeCell ref="A6:E6"/>
    <mergeCell ref="A7:E7"/>
    <mergeCell ref="A8:E8"/>
    <mergeCell ref="A9:E9"/>
    <mergeCell ref="A25:E25"/>
    <mergeCell ref="A54:C54"/>
    <mergeCell ref="A55:C55"/>
    <mergeCell ref="A57:C57"/>
    <mergeCell ref="D57:E57"/>
    <mergeCell ref="A59:C59"/>
    <mergeCell ref="D59:E59"/>
    <mergeCell ref="A60:C60"/>
    <mergeCell ref="D60:E60"/>
    <mergeCell ref="A26:E26"/>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D58:E5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I54" sqref="I54"/>
    </sheetView>
  </sheetViews>
  <sheetFormatPr defaultColWidth="9.140625" defaultRowHeight="15" outlineLevelRow="1" x14ac:dyDescent="0.25"/>
  <cols>
    <col min="1" max="1" width="23.85546875" style="19" customWidth="1"/>
    <col min="2" max="2" width="23.28515625" style="19" customWidth="1"/>
    <col min="3" max="3" width="17" style="19" customWidth="1"/>
    <col min="4" max="4" width="17.5703125" style="19" customWidth="1"/>
    <col min="5" max="5" width="19.7109375" style="19" customWidth="1"/>
    <col min="6" max="16384" width="9.140625" style="19"/>
  </cols>
  <sheetData>
    <row r="3" spans="1:5" ht="16.5" customHeight="1" x14ac:dyDescent="0.25"/>
    <row r="4" spans="1:5" ht="17.25" customHeight="1" x14ac:dyDescent="0.25">
      <c r="A4" s="259" t="str">
        <f>""&amp;'Общие данные'!B147&amp;" ijrochi direktorining
"&amp;'Общие данные'!B165&amp;"dagi "&amp;'Общие данные'!B164&amp;"-sonli buyrug‘i"</f>
        <v>«CLEVER MIKROMOLIYA TASHKILOTI» MChJ ijrochi direktorining
21 yanvar 2025 y.dagi №150-QR-sonli buyrug‘i</v>
      </c>
      <c r="B4" s="259"/>
      <c r="C4" s="259"/>
      <c r="D4" s="259"/>
      <c r="E4" s="259"/>
    </row>
    <row r="5" spans="1:5" x14ac:dyDescent="0.25">
      <c r="A5" s="259"/>
      <c r="B5" s="259"/>
      <c r="C5" s="259"/>
      <c r="D5" s="259"/>
      <c r="E5" s="259"/>
    </row>
    <row r="6" spans="1:5" x14ac:dyDescent="0.25">
      <c r="A6" s="259"/>
      <c r="B6" s="259"/>
      <c r="C6" s="259"/>
      <c r="D6" s="259"/>
      <c r="E6" s="259"/>
    </row>
    <row r="7" spans="1:5" x14ac:dyDescent="0.25">
      <c r="A7" s="232"/>
      <c r="B7" s="232"/>
      <c r="C7" s="232"/>
      <c r="D7" s="232"/>
      <c r="E7" s="232"/>
    </row>
    <row r="8" spans="1:5" ht="53.25" customHeight="1" x14ac:dyDescent="0.25">
      <c r="A8" s="232" t="str">
        <f>"Men, "&amp;'Общие данные'!B151&amp;", "&amp;'Общие данные'!B147&amp;" ijrochi direktori, jismoniy shaxs "&amp;'Общие данные'!B10&amp;"ga quyidagi shartlarda "&amp;'Общие данные'!B65&amp;" berishni buyuraman:"</f>
        <v>Men, Egamberdiyeva Dilnora Inayatovna, «CLEVER MIKROMOLIYA TASHKILOTI» MChJ ijrochi direktori, jismoniy shaxs OTASHEVA RUQIYA SHERALI QIZIga quyidagi shartlarda mikrokredit berishni buyuraman:</v>
      </c>
      <c r="B8" s="232"/>
      <c r="C8" s="232"/>
      <c r="D8" s="232"/>
      <c r="E8" s="232"/>
    </row>
    <row r="9" spans="1:5" ht="26.25" customHeight="1" x14ac:dyDescent="0.25">
      <c r="A9" s="232" t="str">
        <f>'Кредитная заявка'!A13:D13</f>
        <v>Mikrokredit summasi: 150 000 000,00 (yuz ellik million so'm) so'm.</v>
      </c>
      <c r="B9" s="232"/>
      <c r="C9" s="232"/>
      <c r="D9" s="232"/>
      <c r="E9" s="232"/>
    </row>
    <row r="10" spans="1:5" ht="21" customHeight="1" x14ac:dyDescent="0.25">
      <c r="A10" s="232" t="str">
        <f>'Кредитная заявка'!A14:D14</f>
        <v>Mikrokredit muddati: 36 (O'ttiz olti) oy.</v>
      </c>
      <c r="B10" s="232"/>
      <c r="C10" s="232"/>
      <c r="D10" s="232"/>
      <c r="E10" s="232"/>
    </row>
    <row r="11" spans="1:5" ht="27" customHeight="1" x14ac:dyDescent="0.25">
      <c r="A11" s="232" t="str">
        <f>'Кредитная заявка'!A15:D15</f>
        <v>Mikrokreditdan foydalanganlik uchun foiz stavkasi: yillik  60% (Oltmish) foiz</v>
      </c>
      <c r="B11" s="232"/>
      <c r="C11" s="232"/>
      <c r="D11" s="232"/>
      <c r="E11" s="232"/>
    </row>
    <row r="12" spans="1:5" ht="26.25" customHeight="1" x14ac:dyDescent="0.25">
      <c r="A12" s="232" t="str">
        <f>'Кредитная заявка'!A16:D16</f>
        <v>Mikrokredit bo'yicha asosiy qarz va foizlarni to'lash:</v>
      </c>
      <c r="B12" s="232"/>
      <c r="C12" s="232"/>
      <c r="D12" s="232"/>
      <c r="E12" s="232"/>
    </row>
    <row r="13" spans="1:5" ht="21.75" hidden="1" customHeight="1" x14ac:dyDescent="0.25">
      <c r="A13" s="232" t="str">
        <f>'Кредитная заявка'!A17:D17</f>
        <v xml:space="preserve"> - mikrokredit shartnomasi bo'yicha har oy differensial to'lovlari amalga oshiriladi</v>
      </c>
      <c r="B13" s="232"/>
      <c r="C13" s="232"/>
      <c r="D13" s="232"/>
      <c r="E13" s="232"/>
    </row>
    <row r="14" spans="1:5" hidden="1" x14ac:dyDescent="0.25">
      <c r="A14" s="232" t="str">
        <f>'Кредитная заявка'!A19:D19</f>
        <v xml:space="preserve"> - mikrokredit shartnomasi bo'yicha har oy differensial to'lovlari amalga oshiriladi</v>
      </c>
      <c r="B14" s="232"/>
      <c r="C14" s="232"/>
      <c r="D14" s="232"/>
      <c r="E14" s="232"/>
    </row>
    <row r="15" spans="1:5" ht="23.25" customHeight="1" x14ac:dyDescent="0.25">
      <c r="A15" s="232" t="str">
        <f>IF('Общие данные'!B103="Avtotransport",'Приказ на сделку'!A14:E14,'Приказ на сделку'!A13:E13)</f>
        <v xml:space="preserve"> - mikrokredit shartnomasi bo'yicha har oy differensial to'lovlari amalga oshiriladi</v>
      </c>
      <c r="B15" s="232"/>
      <c r="C15" s="232"/>
      <c r="D15" s="232"/>
      <c r="E15" s="232"/>
    </row>
    <row r="16" spans="1:5" ht="45.75" customHeight="1" x14ac:dyDescent="0.25">
      <c r="A16" s="235"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QODIROVA IBODAT BAXTIYOR QIZIga tegishli 2 - xonali ko'p qavatli uydagi xonadon ko'rinishidagi ko'chmas mulkni quyidagi ma'lumotlarga muvofiq  garovga qabul qilinsin:</v>
      </c>
      <c r="B16" s="235"/>
      <c r="C16" s="235"/>
      <c r="D16" s="235"/>
      <c r="E16" s="235"/>
    </row>
    <row r="17" spans="1:5" ht="50.25" hidden="1" customHeight="1" x14ac:dyDescent="0.25">
      <c r="A17" s="232" t="str">
        <f>""&amp;'Общие данные'!C117&amp;"ga tegishli "&amp;'Общие данные'!C126&amp;" ko'rinishidagi ko'chmas mulkni quyidagi ma'lumotlarga muvofiq  garovga qabul qilinsin:"</f>
        <v>QODIROVA IBODAT BAXTIYOR QIZIga tegishli 2 - xonali ko'p qavatli uydagi xonadon ko'rinishidagi ko'chmas mulkni quyidagi ma'lumotlarga muvofiq  garovga qabul qilinsin:</v>
      </c>
      <c r="B17" s="232"/>
      <c r="C17" s="232"/>
      <c r="D17" s="232"/>
      <c r="E17" s="232"/>
    </row>
    <row r="18" spans="1:5" ht="47.25" hidden="1" customHeight="1" x14ac:dyDescent="0.25">
      <c r="A18" s="232" t="str">
        <f>""&amp;'Общие данные'!B117&amp;"ga tegishli "&amp;'Общие данные'!B125&amp;" ko'rinishidagi transport vositasini quyidagi ma'lumotlarga muvofiq garovga qabul qilinsin:"</f>
        <v>0ga tegishli CHEVROLET ONIX ko'rinishidagi transport vositasini quyidagi ma'lumotlarga muvofiq garovga qabul qilinsin:</v>
      </c>
      <c r="B18" s="232"/>
      <c r="C18" s="232"/>
      <c r="D18" s="232"/>
      <c r="E18" s="232"/>
    </row>
    <row r="19" spans="1:5" s="41" customFormat="1" ht="60" customHeight="1" outlineLevel="1" x14ac:dyDescent="0.2">
      <c r="A19" s="43" t="str">
        <f>'Акт согласования'!A29</f>
        <v>Nomi</v>
      </c>
      <c r="B19" s="43" t="str">
        <f>'Акт согласования'!B29</f>
        <v>kadastr</v>
      </c>
      <c r="C19" s="43" t="str">
        <f>'Акт согласования'!C29</f>
        <v>Yashash maydoni</v>
      </c>
      <c r="D19" s="43" t="str">
        <f>'Акт согласования'!D29</f>
        <v>Foydalanishga topshirilgan sanasi</v>
      </c>
      <c r="E19" s="43" t="str">
        <f>'Акт согласования'!E29</f>
        <v>Kelishilgan garov qiymati, so'm</v>
      </c>
    </row>
    <row r="20" spans="1:5" ht="91.5" customHeight="1" outlineLevel="1" x14ac:dyDescent="0.25">
      <c r="A20" s="21" t="str">
        <f>'Акт согласования'!A30</f>
        <v>2 - xonali ko'p qavatli uydagi xonadon</v>
      </c>
      <c r="B20" s="21" t="str">
        <f>'Акт согласования'!B30</f>
        <v>20.01.2025 yildan №20:10:07:01:02:0754:0011:018 kv.m</v>
      </c>
      <c r="C20" s="21" t="str">
        <f>'Акт согласования'!C30</f>
        <v>27,5 kv.m</v>
      </c>
      <c r="D20" s="21" t="str">
        <f>'Акт согласования'!D30</f>
        <v>20.01.2025</v>
      </c>
      <c r="E20" s="21" t="str">
        <f>'Акт согласования'!E30</f>
        <v>225 000 000,00 
(ikki yuz yigirma besh million so'm)</v>
      </c>
    </row>
    <row r="21" spans="1:5" ht="20.25" customHeight="1" outlineLevel="1" x14ac:dyDescent="0.25">
      <c r="A21" s="232" t="str">
        <f>'Акт согласования'!A22:E22</f>
        <v>-* ko'chmas mulk egasi: QODIROVA IBODAT BAXTIYOR QIZI</v>
      </c>
      <c r="B21" s="232"/>
      <c r="C21" s="232"/>
      <c r="D21" s="232"/>
      <c r="E21" s="232"/>
    </row>
    <row r="22" spans="1:5" ht="21" customHeight="1" outlineLevel="1" x14ac:dyDescent="0.25">
      <c r="A22" s="232" t="str">
        <f>'Акт согласования'!A23:E23</f>
        <v>-* reest raqami: 20.01.2025y  1706230/R-A5590011</v>
      </c>
      <c r="B22" s="232"/>
      <c r="C22" s="232"/>
      <c r="D22" s="232"/>
      <c r="E22" s="232"/>
    </row>
    <row r="23" spans="1:5" ht="39" customHeight="1" outlineLevel="1" x14ac:dyDescent="0.25">
      <c r="A23" s="232" t="str">
        <f>'Акт согласования'!A24:E24</f>
        <v>-*  kadastr raqami: 20.01.2025 yildan №20:10:07:01:02:0754:0011:018</v>
      </c>
      <c r="B23" s="232"/>
      <c r="C23" s="232"/>
      <c r="D23" s="232"/>
      <c r="E23" s="232"/>
    </row>
    <row r="24" spans="1:5" ht="35.25" customHeight="1" outlineLevel="1" x14ac:dyDescent="0.25">
      <c r="A24" s="232" t="str">
        <f>'Акт согласования'!A25:E25</f>
        <v>-* manzili: BUXORO VILOYATI QORAKO'L TUMANI QARAKUL MSG O'TIK DO'RMAN KO'CHASI 61-UY 18-XONADON</v>
      </c>
      <c r="B24" s="232"/>
      <c r="C24" s="232"/>
      <c r="D24" s="232"/>
      <c r="E24" s="232"/>
    </row>
    <row r="25" spans="1:5" x14ac:dyDescent="0.25">
      <c r="A25" s="232"/>
      <c r="B25" s="232"/>
      <c r="C25" s="232"/>
      <c r="D25" s="232"/>
      <c r="E25" s="232"/>
    </row>
    <row r="26" spans="1:5" s="41" customFormat="1" ht="41.25" hidden="1" customHeight="1" outlineLevel="1" x14ac:dyDescent="0.2">
      <c r="A26" s="43" t="s">
        <v>204</v>
      </c>
      <c r="B26" s="43" t="s">
        <v>261</v>
      </c>
      <c r="C26" s="43" t="s">
        <v>278</v>
      </c>
      <c r="D26" s="43" t="s">
        <v>207</v>
      </c>
      <c r="E26" s="43" t="str">
        <f>'Акт согласования'!E29</f>
        <v>Kelishilgan garov qiymati, so'm</v>
      </c>
    </row>
    <row r="27" spans="1:5" hidden="1" outlineLevel="1" x14ac:dyDescent="0.25">
      <c r="A27" s="21" t="e">
        <f>'Акт согласования'!A33</f>
        <v>#REF!</v>
      </c>
      <c r="B27" s="128" t="e">
        <f>'Акт согласования'!B33</f>
        <v>#REF!</v>
      </c>
      <c r="C27" s="128" t="e">
        <f>'Акт согласования'!C33</f>
        <v>#REF!</v>
      </c>
      <c r="D27" s="128" t="e">
        <f>'Акт согласования'!D33</f>
        <v>#REF!</v>
      </c>
      <c r="E27" s="265" t="str">
        <f>'Акт согласования'!E33</f>
        <v>225 000 000,00 (ikki yuz yigirma besh million so'm)</v>
      </c>
    </row>
    <row r="28" spans="1:5" hidden="1" outlineLevel="1" x14ac:dyDescent="0.25">
      <c r="A28" s="21">
        <f>'Акт согласования'!A34</f>
        <v>0</v>
      </c>
      <c r="B28" s="128">
        <f>'Акт согласования'!B34</f>
        <v>0</v>
      </c>
      <c r="C28" s="128">
        <f>'Акт согласования'!C34</f>
        <v>0</v>
      </c>
      <c r="D28" s="128">
        <f>'Акт согласования'!D34</f>
        <v>0</v>
      </c>
      <c r="E28" s="265"/>
    </row>
    <row r="29" spans="1:5" hidden="1" outlineLevel="1" x14ac:dyDescent="0.25">
      <c r="A29" s="21" t="e">
        <f>'Акт согласования'!A35</f>
        <v>#REF!</v>
      </c>
      <c r="B29" s="128" t="e">
        <f>'Акт согласования'!B35</f>
        <v>#REF!</v>
      </c>
      <c r="C29" s="128" t="e">
        <f>'Акт согласования'!C35</f>
        <v>#REF!</v>
      </c>
      <c r="D29" s="128" t="e">
        <f>'Акт согласования'!D35</f>
        <v>#REF!</v>
      </c>
      <c r="E29" s="265"/>
    </row>
    <row r="30" spans="1:5" hidden="1" outlineLevel="1" x14ac:dyDescent="0.25">
      <c r="A30" s="21" t="e">
        <f>'Акт согласования'!A36</f>
        <v>#REF!</v>
      </c>
      <c r="B30" s="128" t="e">
        <f>'Акт согласования'!B36</f>
        <v>#REF!</v>
      </c>
      <c r="C30" s="128" t="e">
        <f>'Акт согласования'!C36</f>
        <v>#REF!</v>
      </c>
      <c r="D30" s="128" t="e">
        <f>'Акт согласования'!D36</f>
        <v>#REF!</v>
      </c>
      <c r="E30" s="265"/>
    </row>
    <row r="31" spans="1:5" hidden="1" outlineLevel="1" x14ac:dyDescent="0.25">
      <c r="A31" s="21" t="e">
        <f>'Акт согласования'!A37</f>
        <v>#REF!</v>
      </c>
      <c r="B31" s="128" t="e">
        <f>'Акт согласования'!B37</f>
        <v>#REF!</v>
      </c>
      <c r="C31" s="128" t="e">
        <f>'Акт согласования'!C37</f>
        <v>#REF!</v>
      </c>
      <c r="D31" s="128" t="e">
        <f>'Акт согласования'!D37</f>
        <v>#REF!</v>
      </c>
      <c r="E31" s="265"/>
    </row>
    <row r="32" spans="1:5" hidden="1" outlineLevel="1" x14ac:dyDescent="0.25">
      <c r="A32" s="21" t="e">
        <f>'Акт согласования'!A38</f>
        <v>#REF!</v>
      </c>
      <c r="B32" s="128" t="e">
        <f>'Акт согласования'!B38</f>
        <v>#REF!</v>
      </c>
      <c r="C32" s="128" t="e">
        <f>'Акт согласования'!C38</f>
        <v>#REF!</v>
      </c>
      <c r="D32" s="128" t="e">
        <f>'Акт согласования'!D38</f>
        <v>#REF!</v>
      </c>
      <c r="E32" s="265"/>
    </row>
    <row r="33" spans="1:5" hidden="1" outlineLevel="1" x14ac:dyDescent="0.25">
      <c r="A33" s="21" t="e">
        <f>'Акт согласования'!A39</f>
        <v>#REF!</v>
      </c>
      <c r="B33" s="128" t="e">
        <f>'Акт согласования'!B39</f>
        <v>#REF!</v>
      </c>
      <c r="C33" s="128" t="e">
        <f>'Акт согласования'!C39</f>
        <v>#REF!</v>
      </c>
      <c r="D33" s="128" t="e">
        <f>'Акт согласования'!D39</f>
        <v>#REF!</v>
      </c>
      <c r="E33" s="265"/>
    </row>
    <row r="34" spans="1:5" hidden="1" outlineLevel="1" x14ac:dyDescent="0.25">
      <c r="A34" s="21" t="e">
        <f>'Акт согласования'!A40</f>
        <v>#REF!</v>
      </c>
      <c r="B34" s="128" t="e">
        <f>'Акт согласования'!B40</f>
        <v>#REF!</v>
      </c>
      <c r="C34" s="128" t="e">
        <f>'Акт согласования'!C40</f>
        <v>#REF!</v>
      </c>
      <c r="D34" s="128" t="e">
        <f>'Акт согласования'!D40</f>
        <v>#REF!</v>
      </c>
      <c r="E34" s="265"/>
    </row>
    <row r="35" spans="1:5" hidden="1" outlineLevel="1" x14ac:dyDescent="0.25">
      <c r="A35" s="21" t="e">
        <f>'Акт согласования'!A41</f>
        <v>#REF!</v>
      </c>
      <c r="B35" s="128" t="e">
        <f>'Акт согласования'!B41</f>
        <v>#REF!</v>
      </c>
      <c r="C35" s="128" t="e">
        <f>'Акт согласования'!C41</f>
        <v>#REF!</v>
      </c>
      <c r="D35" s="128" t="e">
        <f>'Акт согласования'!D41</f>
        <v>#REF!</v>
      </c>
      <c r="E35" s="265"/>
    </row>
    <row r="36" spans="1:5" hidden="1" outlineLevel="1" x14ac:dyDescent="0.25">
      <c r="A36" s="21" t="e">
        <f>'Акт согласования'!A42</f>
        <v>#REF!</v>
      </c>
      <c r="B36" s="128" t="e">
        <f>'Акт согласования'!B42</f>
        <v>#REF!</v>
      </c>
      <c r="C36" s="128" t="e">
        <f>'Акт согласования'!C42</f>
        <v>#REF!</v>
      </c>
      <c r="D36" s="128" t="e">
        <f>'Акт согласования'!D42</f>
        <v>#REF!</v>
      </c>
      <c r="E36" s="265"/>
    </row>
    <row r="37" spans="1:5" hidden="1" outlineLevel="1" x14ac:dyDescent="0.25">
      <c r="A37" s="21" t="e">
        <f>'Акт согласования'!A43</f>
        <v>#REF!</v>
      </c>
      <c r="B37" s="21" t="e">
        <f>'Акт согласования'!B43</f>
        <v>#REF!</v>
      </c>
      <c r="C37" s="21" t="e">
        <f>'Акт согласования'!C43</f>
        <v>#REF!</v>
      </c>
      <c r="D37" s="21" t="e">
        <f>'Акт согласования'!D43</f>
        <v>#REF!</v>
      </c>
      <c r="E37" s="265"/>
    </row>
    <row r="38" spans="1:5" s="41" customFormat="1" ht="14.25" hidden="1" outlineLevel="1" x14ac:dyDescent="0.2">
      <c r="A38" s="43" t="e">
        <f>'Акт согласования'!A44</f>
        <v>#REF!</v>
      </c>
      <c r="B38" s="43" t="e">
        <f>'Акт согласования'!B44</f>
        <v>#REF!</v>
      </c>
      <c r="C38" s="43" t="e">
        <f>'Акт согласования'!C44</f>
        <v>#REF!</v>
      </c>
      <c r="D38" s="43" t="e">
        <f>'Акт согласования'!D44</f>
        <v>#REF!</v>
      </c>
      <c r="E38" s="43" t="str">
        <f>'Акт согласования'!E44</f>
        <v>225 000 000,00</v>
      </c>
    </row>
    <row r="39" spans="1:5" s="41" customFormat="1" ht="15" hidden="1" customHeight="1" outlineLevel="1" x14ac:dyDescent="0.2">
      <c r="A39" s="232" t="e">
        <f>_xlfn.SINGLE('Акт согласования'!#REF!)</f>
        <v>#REF!</v>
      </c>
      <c r="B39" s="232"/>
      <c r="C39" s="232"/>
      <c r="D39" s="232"/>
      <c r="E39" s="232"/>
    </row>
    <row r="40" spans="1:5" s="41" customFormat="1" hidden="1" outlineLevel="1" x14ac:dyDescent="0.2">
      <c r="A40" s="232" t="e">
        <f>_xlfn.SINGLE('Акт согласования'!#REF!)</f>
        <v>#REF!</v>
      </c>
      <c r="B40" s="232"/>
      <c r="C40" s="232"/>
      <c r="D40" s="232"/>
      <c r="E40" s="232"/>
    </row>
    <row r="41" spans="1:5" s="41" customFormat="1" hidden="1" outlineLevel="1" x14ac:dyDescent="0.2">
      <c r="A41" s="232" t="e">
        <f>_xlfn.SINGLE('Акт согласования'!#REF!)</f>
        <v>#REF!</v>
      </c>
      <c r="B41" s="232"/>
      <c r="C41" s="232"/>
      <c r="D41" s="232"/>
      <c r="E41" s="232"/>
    </row>
    <row r="42" spans="1:5" s="41" customFormat="1" hidden="1" outlineLevel="1" x14ac:dyDescent="0.2">
      <c r="A42" s="232" t="e">
        <f>_xlfn.SINGLE('Акт согласования'!#REF!)</f>
        <v>#REF!</v>
      </c>
      <c r="B42" s="232"/>
      <c r="C42" s="232"/>
      <c r="D42" s="232"/>
      <c r="E42" s="232"/>
    </row>
    <row r="43" spans="1:5" s="41" customFormat="1" collapsed="1" x14ac:dyDescent="0.2">
      <c r="A43" s="232"/>
      <c r="B43" s="232"/>
      <c r="C43" s="232"/>
      <c r="D43" s="232"/>
      <c r="E43" s="232"/>
    </row>
    <row r="44" spans="1:5" s="41" customFormat="1" x14ac:dyDescent="0.2">
      <c r="A44" s="232"/>
      <c r="B44" s="232"/>
      <c r="C44" s="232"/>
      <c r="D44" s="232"/>
      <c r="E44" s="232"/>
    </row>
    <row r="45" spans="1:5" s="41" customFormat="1" hidden="1" x14ac:dyDescent="0.2">
      <c r="A45" s="232"/>
      <c r="B45" s="232"/>
      <c r="C45" s="232"/>
      <c r="D45" s="232"/>
      <c r="E45" s="232"/>
    </row>
    <row r="46" spans="1:5" s="41" customFormat="1" ht="14.25" hidden="1" x14ac:dyDescent="0.2">
      <c r="A46" s="57"/>
      <c r="B46" s="57"/>
      <c r="C46" s="57"/>
      <c r="D46" s="57"/>
      <c r="E46" s="57"/>
    </row>
    <row r="47" spans="1:5" hidden="1" x14ac:dyDescent="0.25">
      <c r="A47" s="232"/>
      <c r="B47" s="232"/>
      <c r="C47" s="232"/>
      <c r="D47" s="232"/>
      <c r="E47" s="232"/>
    </row>
    <row r="48" spans="1:5" ht="15" customHeight="1" x14ac:dyDescent="0.25">
      <c r="A48" s="309" t="s">
        <v>379</v>
      </c>
      <c r="B48" s="309"/>
      <c r="C48" s="309"/>
      <c r="D48" s="318"/>
      <c r="E48" s="318"/>
    </row>
    <row r="49" spans="1:5" ht="15" customHeight="1" x14ac:dyDescent="0.25">
      <c r="A49" s="309" t="s">
        <v>387</v>
      </c>
      <c r="B49" s="309"/>
      <c r="C49" s="309"/>
      <c r="D49" s="318" t="s">
        <v>388</v>
      </c>
      <c r="E49" s="318"/>
    </row>
    <row r="50" spans="1:5" x14ac:dyDescent="0.25">
      <c r="A50" s="232"/>
      <c r="B50" s="232"/>
      <c r="C50" s="232"/>
      <c r="D50" s="232"/>
      <c r="E50" s="232"/>
    </row>
    <row r="51" spans="1:5" x14ac:dyDescent="0.25">
      <c r="A51" s="232"/>
      <c r="B51" s="232"/>
      <c r="C51" s="232"/>
      <c r="D51" s="232"/>
      <c r="E51" s="232"/>
    </row>
    <row r="52" spans="1:5" x14ac:dyDescent="0.25">
      <c r="A52" s="232"/>
      <c r="B52" s="232"/>
      <c r="C52" s="232"/>
      <c r="D52" s="232"/>
      <c r="E52" s="232"/>
    </row>
    <row r="53" spans="1:5" x14ac:dyDescent="0.25">
      <c r="A53" s="232"/>
      <c r="B53" s="232"/>
      <c r="C53" s="232"/>
      <c r="D53" s="232"/>
      <c r="E53" s="232"/>
    </row>
    <row r="54" spans="1:5" x14ac:dyDescent="0.25">
      <c r="A54" s="232"/>
      <c r="B54" s="232"/>
      <c r="C54" s="232"/>
      <c r="D54" s="232"/>
      <c r="E54" s="232"/>
    </row>
    <row r="55" spans="1:5" x14ac:dyDescent="0.25">
      <c r="A55" s="232"/>
      <c r="B55" s="232"/>
      <c r="C55" s="232"/>
      <c r="D55" s="232"/>
      <c r="E55" s="232"/>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9" zoomScaleSheetLayoutView="100" workbookViewId="0">
      <selection activeCell="B31" sqref="B31"/>
    </sheetView>
  </sheetViews>
  <sheetFormatPr defaultColWidth="9.140625" defaultRowHeight="15" x14ac:dyDescent="0.2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x14ac:dyDescent="0.3"/>
    <row r="2" spans="2:7" ht="62.25" customHeight="1" x14ac:dyDescent="0.35">
      <c r="B2" s="329" t="str">
        <f>'Общие данные'!B148</f>
        <v>«CLEVER MIKROMOLIYA TASHKILOTI» MChJ</v>
      </c>
      <c r="C2" s="330"/>
      <c r="D2" s="330"/>
      <c r="E2" s="330"/>
      <c r="F2" s="331"/>
      <c r="G2" s="45"/>
    </row>
    <row r="3" spans="2:7" x14ac:dyDescent="0.25">
      <c r="B3" s="322"/>
      <c r="C3" s="258"/>
      <c r="D3" s="258"/>
      <c r="E3" s="258"/>
      <c r="F3" s="323"/>
      <c r="G3" s="46"/>
    </row>
    <row r="4" spans="2:7" ht="8.25" customHeight="1" x14ac:dyDescent="0.25">
      <c r="B4" s="61"/>
      <c r="F4" s="62"/>
      <c r="G4" s="46"/>
    </row>
    <row r="5" spans="2:7" ht="12" customHeight="1" x14ac:dyDescent="0.25">
      <c r="B5" s="48"/>
      <c r="C5" s="46"/>
      <c r="D5" s="46"/>
      <c r="E5" s="46"/>
      <c r="F5" s="49"/>
      <c r="G5" s="46"/>
    </row>
    <row r="6" spans="2:7" ht="6.75" customHeight="1" x14ac:dyDescent="0.25">
      <c r="B6" s="48"/>
      <c r="C6" s="46"/>
      <c r="D6" s="46"/>
      <c r="E6" s="46"/>
      <c r="F6" s="49"/>
      <c r="G6" s="46"/>
    </row>
    <row r="7" spans="2:7" ht="6.75" customHeight="1" x14ac:dyDescent="0.25">
      <c r="B7" s="48"/>
      <c r="C7" s="46"/>
      <c r="D7" s="46"/>
      <c r="E7" s="46"/>
      <c r="F7" s="49"/>
      <c r="G7" s="46"/>
    </row>
    <row r="8" spans="2:7" x14ac:dyDescent="0.25">
      <c r="B8" s="48"/>
      <c r="C8" s="46"/>
      <c r="D8" s="46"/>
      <c r="E8" s="46"/>
      <c r="F8" s="49"/>
      <c r="G8" s="46"/>
    </row>
    <row r="9" spans="2:7" x14ac:dyDescent="0.25">
      <c r="B9" s="48"/>
      <c r="C9" s="46"/>
      <c r="D9" s="46"/>
      <c r="E9" s="46"/>
      <c r="F9" s="49"/>
      <c r="G9" s="46"/>
    </row>
    <row r="10" spans="2:7" x14ac:dyDescent="0.25">
      <c r="B10" s="322" t="s">
        <v>27</v>
      </c>
      <c r="C10" s="258"/>
      <c r="D10" s="258"/>
      <c r="E10" s="258"/>
      <c r="F10" s="323"/>
      <c r="G10" s="46"/>
    </row>
    <row r="11" spans="2:7" x14ac:dyDescent="0.25">
      <c r="B11" s="322" t="s">
        <v>27</v>
      </c>
      <c r="C11" s="258"/>
      <c r="D11" s="258"/>
      <c r="E11" s="258"/>
      <c r="F11" s="323"/>
      <c r="G11" s="46"/>
    </row>
    <row r="12" spans="2:7" ht="135" customHeight="1" x14ac:dyDescent="0.8">
      <c r="B12" s="332" t="str">
        <f>'Общие данные'!B5</f>
        <v>OTASHEVA RUQIYA SHERALI QIZI</v>
      </c>
      <c r="C12" s="333"/>
      <c r="D12" s="333"/>
      <c r="E12" s="333"/>
      <c r="F12" s="334"/>
      <c r="G12" s="47"/>
    </row>
    <row r="13" spans="2:7" x14ac:dyDescent="0.25">
      <c r="B13" s="322"/>
      <c r="C13" s="258"/>
      <c r="D13" s="258"/>
      <c r="E13" s="258"/>
      <c r="F13" s="323"/>
      <c r="G13" s="46"/>
    </row>
    <row r="14" spans="2:7" x14ac:dyDescent="0.25">
      <c r="B14" s="48"/>
      <c r="C14" s="46"/>
      <c r="D14" s="46"/>
      <c r="E14" s="46"/>
      <c r="F14" s="49"/>
      <c r="G14" s="46"/>
    </row>
    <row r="15" spans="2:7" x14ac:dyDescent="0.25">
      <c r="B15" s="48"/>
      <c r="C15" s="46"/>
      <c r="D15" s="46"/>
      <c r="E15" s="46"/>
      <c r="F15" s="49"/>
      <c r="G15" s="46"/>
    </row>
    <row r="16" spans="2:7" x14ac:dyDescent="0.25">
      <c r="B16" s="48"/>
      <c r="C16" s="46"/>
      <c r="D16" s="46"/>
      <c r="E16" s="46"/>
      <c r="F16" s="49"/>
      <c r="G16" s="46"/>
    </row>
    <row r="17" spans="2:7" x14ac:dyDescent="0.25">
      <c r="B17" s="48"/>
      <c r="C17" s="46"/>
      <c r="D17" s="46"/>
      <c r="E17" s="46"/>
      <c r="F17" s="49"/>
      <c r="G17" s="46"/>
    </row>
    <row r="18" spans="2:7" x14ac:dyDescent="0.25">
      <c r="B18" s="322"/>
      <c r="C18" s="258"/>
      <c r="D18" s="258"/>
      <c r="E18" s="258"/>
      <c r="F18" s="323"/>
      <c r="G18" s="46"/>
    </row>
    <row r="19" spans="2:7" ht="20.25" x14ac:dyDescent="0.3">
      <c r="B19" s="326" t="str">
        <f>""&amp;'Общие данные'!C64&amp;" shartnoma "&amp;'Общие данные'!B74&amp;""</f>
        <v>Mikrokredit shartnoma 21 yanvar 2025 y.dan №150-QR</v>
      </c>
      <c r="C19" s="327"/>
      <c r="D19" s="327"/>
      <c r="E19" s="327"/>
      <c r="F19" s="328"/>
      <c r="G19" s="46"/>
    </row>
    <row r="20" spans="2:7" x14ac:dyDescent="0.25">
      <c r="B20" s="322"/>
      <c r="C20" s="258"/>
      <c r="D20" s="258"/>
      <c r="E20" s="258"/>
      <c r="F20" s="323"/>
      <c r="G20" s="46"/>
    </row>
    <row r="21" spans="2:7" x14ac:dyDescent="0.25">
      <c r="B21" s="322"/>
      <c r="C21" s="258"/>
      <c r="D21" s="258"/>
      <c r="E21" s="258"/>
      <c r="F21" s="323"/>
      <c r="G21" s="46"/>
    </row>
    <row r="22" spans="2:7" x14ac:dyDescent="0.25">
      <c r="B22" s="322"/>
      <c r="C22" s="258"/>
      <c r="D22" s="258"/>
      <c r="E22" s="258"/>
      <c r="F22" s="323"/>
      <c r="G22" s="46"/>
    </row>
    <row r="23" spans="2:7" x14ac:dyDescent="0.25">
      <c r="B23" s="322"/>
      <c r="C23" s="258"/>
      <c r="D23" s="258"/>
      <c r="E23" s="258"/>
      <c r="F23" s="323"/>
      <c r="G23" s="46"/>
    </row>
    <row r="24" spans="2:7" x14ac:dyDescent="0.25">
      <c r="B24" s="324" t="str">
        <f>" Foiz stavkasi: "&amp;'Общие данные'!B85&amp;"%"</f>
        <v xml:space="preserve"> Foiz stavkasi: 60%</v>
      </c>
      <c r="C24" s="231"/>
      <c r="D24" s="231"/>
      <c r="E24" s="231"/>
      <c r="F24" s="325"/>
      <c r="G24" s="46"/>
    </row>
    <row r="25" spans="2:7" ht="15" customHeight="1" x14ac:dyDescent="0.25">
      <c r="B25" s="324" t="str">
        <f>" "&amp;'Общие данные'!C64&amp;" muddati: "&amp;'Общие данные'!B81&amp;" oy"</f>
        <v xml:space="preserve"> Mikrokredit muddati: 36 oy</v>
      </c>
      <c r="C25" s="231"/>
      <c r="D25" s="231"/>
      <c r="E25" s="231"/>
      <c r="F25" s="325"/>
      <c r="G25" s="46"/>
    </row>
    <row r="26" spans="2:7" x14ac:dyDescent="0.25">
      <c r="B26" s="324" t="str">
        <f>" "&amp;'Общие данные'!C64&amp;" miqdori: "&amp;FIXED('Общие данные'!B75,2)&amp;" so'm"</f>
        <v xml:space="preserve"> Mikrokredit miqdori: 150 000 000,00 so'm</v>
      </c>
      <c r="C26" s="231"/>
      <c r="D26" s="231"/>
      <c r="E26" s="231"/>
      <c r="F26" s="325"/>
      <c r="G26" s="46"/>
    </row>
    <row r="27" spans="2:7" x14ac:dyDescent="0.25">
      <c r="B27" s="322"/>
      <c r="C27" s="258"/>
      <c r="D27" s="258"/>
      <c r="E27" s="258"/>
      <c r="F27" s="323"/>
      <c r="G27" s="46"/>
    </row>
    <row r="28" spans="2:7" hidden="1" x14ac:dyDescent="0.25">
      <c r="G28" s="46"/>
    </row>
    <row r="29" spans="2:7" x14ac:dyDescent="0.25">
      <c r="B29" s="322"/>
      <c r="C29" s="258"/>
      <c r="D29" s="258"/>
      <c r="E29" s="258"/>
      <c r="F29" s="323"/>
      <c r="G29" s="46"/>
    </row>
    <row r="30" spans="2:7" ht="12.75" customHeight="1" x14ac:dyDescent="0.25">
      <c r="B30" s="48"/>
      <c r="C30" s="46"/>
      <c r="D30" s="46"/>
      <c r="E30" s="46"/>
      <c r="F30" s="49"/>
      <c r="G30" s="46"/>
    </row>
    <row r="31" spans="2:7" x14ac:dyDescent="0.25">
      <c r="B31" s="48"/>
      <c r="C31" s="46"/>
      <c r="D31" s="46"/>
      <c r="E31" s="46"/>
      <c r="F31" s="49"/>
      <c r="G31" s="46"/>
    </row>
    <row r="32" spans="2:7" ht="2.25" customHeight="1" x14ac:dyDescent="0.25">
      <c r="B32" s="48"/>
      <c r="C32" s="46"/>
      <c r="D32" s="46"/>
      <c r="E32" s="46"/>
      <c r="F32" s="49"/>
      <c r="G32" s="46"/>
    </row>
    <row r="33" spans="2:7" x14ac:dyDescent="0.25">
      <c r="B33" s="48"/>
      <c r="C33" s="46"/>
      <c r="D33" s="46"/>
      <c r="E33" s="46"/>
      <c r="F33" s="49"/>
      <c r="G33" s="46"/>
    </row>
    <row r="34" spans="2:7" x14ac:dyDescent="0.25">
      <c r="B34" s="48"/>
      <c r="C34" s="46"/>
      <c r="D34" s="46"/>
      <c r="E34" s="46"/>
      <c r="F34" s="49"/>
      <c r="G34" s="46"/>
    </row>
    <row r="35" spans="2:7" x14ac:dyDescent="0.25">
      <c r="B35" s="48"/>
      <c r="C35" s="46"/>
      <c r="D35" s="46"/>
      <c r="E35" s="46"/>
      <c r="F35" s="49"/>
      <c r="G35" s="46"/>
    </row>
    <row r="36" spans="2:7" x14ac:dyDescent="0.25">
      <c r="B36" s="48"/>
      <c r="C36" s="46"/>
      <c r="D36" s="46"/>
      <c r="E36" s="46"/>
      <c r="F36" s="49"/>
      <c r="G36" s="46"/>
    </row>
    <row r="37" spans="2:7" x14ac:dyDescent="0.25">
      <c r="B37" s="48"/>
      <c r="C37" s="46"/>
      <c r="D37" s="46"/>
      <c r="E37" s="46"/>
      <c r="F37" s="49"/>
      <c r="G37" s="46"/>
    </row>
    <row r="38" spans="2:7" x14ac:dyDescent="0.25">
      <c r="B38" s="48"/>
      <c r="C38" s="46"/>
      <c r="D38" s="46"/>
      <c r="E38" s="46"/>
      <c r="F38" s="49"/>
      <c r="G38" s="46"/>
    </row>
    <row r="39" spans="2:7" x14ac:dyDescent="0.25">
      <c r="B39" s="48"/>
      <c r="C39" s="46"/>
      <c r="D39" s="46"/>
      <c r="E39" s="46"/>
      <c r="F39" s="49"/>
      <c r="G39" s="46"/>
    </row>
    <row r="40" spans="2:7" ht="15.75" thickBot="1" x14ac:dyDescent="0.3">
      <c r="B40" s="319" t="str">
        <f>"Toshkent sh., "&amp;'Общие данные'!B70&amp;""</f>
        <v>Toshkent sh., 21 yanvar 2025 y.</v>
      </c>
      <c r="C40" s="320"/>
      <c r="D40" s="320"/>
      <c r="E40" s="320"/>
      <c r="F40" s="321"/>
      <c r="G40" s="46"/>
    </row>
    <row r="41" spans="2:7" x14ac:dyDescent="0.25">
      <c r="B41" s="258"/>
      <c r="C41" s="258"/>
      <c r="D41" s="258"/>
      <c r="E41" s="258"/>
      <c r="F41" s="258"/>
      <c r="G41" s="46"/>
    </row>
    <row r="42" spans="2:7" x14ac:dyDescent="0.25">
      <c r="B42" s="258"/>
      <c r="C42" s="258"/>
      <c r="D42" s="258"/>
      <c r="E42" s="258"/>
      <c r="F42" s="258"/>
      <c r="G42" s="4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9" customWidth="1"/>
    <col min="2" max="2" width="21.28515625" style="19" customWidth="1"/>
    <col min="3" max="3" width="19.140625" style="19" customWidth="1"/>
    <col min="4" max="5" width="21.28515625" style="19" customWidth="1"/>
    <col min="6" max="16384" width="9.140625" style="19"/>
  </cols>
  <sheetData>
    <row r="2" spans="1:5" x14ac:dyDescent="0.25">
      <c r="A2" s="125" t="s">
        <v>48</v>
      </c>
    </row>
    <row r="3" spans="1:5" x14ac:dyDescent="0.25">
      <c r="A3" s="125" t="s">
        <v>49</v>
      </c>
    </row>
    <row r="6" spans="1:5" ht="20.25" customHeight="1" x14ac:dyDescent="0.25">
      <c r="E6" s="126" t="s">
        <v>36</v>
      </c>
    </row>
    <row r="7" spans="1:5" x14ac:dyDescent="0.25">
      <c r="E7" s="126" t="s">
        <v>50</v>
      </c>
    </row>
    <row r="9" spans="1:5" ht="107.25" customHeight="1" x14ac:dyDescent="0.25">
      <c r="A9" s="336"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OTASHEVA RUQIYA SHERALI QIZI  (паспорт: AD1337033 IIV6215 tomonidan 11.05.2022 yilda berilgan) заключен договор микрозайма 21 yanvar 2025 y.dan №150-QR, на сумму 150 000 000,00 (yuz ellik million so'm) сум, сроком на 36 (O'ttiz olti) месяцев. В качестве своевременного исполнения обязательств по договору Микрозайма 21 yanvar 2025 y.dan №150-QR планирует предоставить нижеследующее недвижимого имущества в виде 2 - xonali ko'p qavatli uydagi xonadon, общей площадью - 42,00 и жилой площадью - 27,5, расположенного по адресу: BUXORO VILOYATI QORAKO'L TUMANI QARAKUL MSG O'TIK DO'RMAN KO'CHASI 61-UY 18-XONADON, принадлежащее на правах собственности QODIROVA IBODAT BAXTIYOR QIZI.</v>
      </c>
      <c r="B9" s="336"/>
      <c r="C9" s="336"/>
      <c r="D9" s="336"/>
      <c r="E9" s="336"/>
    </row>
    <row r="11" spans="1:5" ht="28.5" x14ac:dyDescent="0.25">
      <c r="A11" s="43" t="str">
        <f>'Приказ на сделку'!A19</f>
        <v>Nomi</v>
      </c>
      <c r="B11" s="43" t="str">
        <f>'Приказ на сделку'!B19</f>
        <v>kadastr</v>
      </c>
      <c r="C11" s="43" t="str">
        <f>'Приказ на сделку'!C19</f>
        <v>Yashash maydoni</v>
      </c>
      <c r="D11" s="43" t="str">
        <f>'Приказ на сделку'!D19</f>
        <v>Foydalanishga topshirilgan sanasi</v>
      </c>
      <c r="E11" s="43" t="str">
        <f>'Приказ на сделку'!E19</f>
        <v>Kelishilgan garov qiymati, so'm</v>
      </c>
    </row>
    <row r="12" spans="1:5" ht="73.5" customHeight="1" x14ac:dyDescent="0.25">
      <c r="A12" s="43" t="str">
        <f>'Приказ на сделку'!A20</f>
        <v>2 - xonali ko'p qavatli uydagi xonadon</v>
      </c>
      <c r="B12" s="43" t="str">
        <f>'Приказ на сделку'!B20</f>
        <v>20.01.2025 yildan №20:10:07:01:02:0754:0011:018 kv.m</v>
      </c>
      <c r="C12" s="43" t="str">
        <f>'Приказ на сделку'!C20</f>
        <v>27,5 kv.m</v>
      </c>
      <c r="D12" s="43" t="str">
        <f>'Приказ на сделку'!D20</f>
        <v>20.01.2025</v>
      </c>
      <c r="E12" s="43" t="str">
        <f>'Приказ на сделку'!E20</f>
        <v>225 000 000,00 
(ikki yuz yigirma besh million so'm)</v>
      </c>
    </row>
    <row r="13" spans="1:5" x14ac:dyDescent="0.25">
      <c r="A13" s="340" t="str">
        <f>'Приказ на сделку'!A21:E21</f>
        <v>-* ko'chmas mulk egasi: QODIROVA IBODAT BAXTIYOR QIZI</v>
      </c>
      <c r="B13" s="340"/>
      <c r="C13" s="340"/>
      <c r="D13" s="340"/>
      <c r="E13" s="340"/>
    </row>
    <row r="14" spans="1:5" x14ac:dyDescent="0.25">
      <c r="A14" s="340" t="str">
        <f>'Приказ на сделку'!A22:E22</f>
        <v>-* reest raqami: 20.01.2025y  1706230/R-A5590011</v>
      </c>
      <c r="B14" s="340"/>
      <c r="C14" s="340"/>
      <c r="D14" s="340"/>
      <c r="E14" s="340"/>
    </row>
    <row r="15" spans="1:5" x14ac:dyDescent="0.25">
      <c r="A15" s="340" t="str">
        <f>'Приказ на сделку'!A23:E23</f>
        <v>-*  kadastr raqami: 20.01.2025 yildan №20:10:07:01:02:0754:0011:018</v>
      </c>
      <c r="B15" s="340"/>
      <c r="C15" s="340"/>
      <c r="D15" s="340"/>
      <c r="E15" s="340"/>
    </row>
    <row r="16" spans="1:5" x14ac:dyDescent="0.25">
      <c r="A16" s="340" t="str">
        <f>'Приказ на сделку'!A24:E24</f>
        <v>-* manzili: BUXORO VILOYATI QORAKO'L TUMANI QARAKUL MSG O'TIK DO'RMAN KO'CHASI 61-UY 18-XONADON</v>
      </c>
      <c r="B16" s="340"/>
      <c r="C16" s="340"/>
      <c r="D16" s="340"/>
      <c r="E16" s="340"/>
    </row>
    <row r="17" spans="1:5" ht="3" customHeight="1" x14ac:dyDescent="0.25"/>
    <row r="19" spans="1:5" ht="59.25" hidden="1" customHeight="1" x14ac:dyDescent="0.25">
      <c r="A19" s="43" t="str">
        <f>'Акт согласования'!A32</f>
        <v>Наименование</v>
      </c>
      <c r="B19" s="43" t="str">
        <f>'Акт согласования'!B32</f>
        <v>Полезная площадь</v>
      </c>
      <c r="C19" s="43" t="str">
        <f>'Акт согласования'!C32</f>
        <v>Жилая площадь</v>
      </c>
      <c r="D19" s="43" t="str">
        <f>'Акт согласования'!D32</f>
        <v>Общая площадь</v>
      </c>
      <c r="E19" s="43" t="str">
        <f>'Акт согласования'!E32</f>
        <v>Согласованная залоговая стоимость, сум</v>
      </c>
    </row>
    <row r="20" spans="1:5" ht="17.25" hidden="1" customHeight="1" x14ac:dyDescent="0.25">
      <c r="A20" s="21" t="e">
        <f>'Акт согласования'!A33</f>
        <v>#REF!</v>
      </c>
      <c r="B20" s="21" t="e">
        <f>'Акт согласования'!B33</f>
        <v>#REF!</v>
      </c>
      <c r="C20" s="21" t="e">
        <f>'Акт согласования'!C33</f>
        <v>#REF!</v>
      </c>
      <c r="D20" s="21" t="e">
        <f>'Акт согласования'!D33</f>
        <v>#REF!</v>
      </c>
      <c r="E20" s="315" t="str">
        <f>""&amp;FIXED('Общие данные'!C136,2)&amp;" ("&amp;'Общие данные'!C137&amp;")"</f>
        <v>225 000 000,00 (ikki yuz yigirma besh million so'm)</v>
      </c>
    </row>
    <row r="21" spans="1:5" ht="17.25" hidden="1" customHeight="1" x14ac:dyDescent="0.25">
      <c r="A21" s="21">
        <f>'Акт согласования'!A34</f>
        <v>0</v>
      </c>
      <c r="B21" s="21">
        <f>'Акт согласования'!B34</f>
        <v>0</v>
      </c>
      <c r="C21" s="21">
        <f>'Акт согласования'!C34</f>
        <v>0</v>
      </c>
      <c r="D21" s="21">
        <f>'Акт согласования'!D34</f>
        <v>0</v>
      </c>
      <c r="E21" s="316"/>
    </row>
    <row r="22" spans="1:5" ht="17.25" hidden="1" customHeight="1" x14ac:dyDescent="0.25">
      <c r="A22" s="21" t="e">
        <f>'Акт согласования'!A35</f>
        <v>#REF!</v>
      </c>
      <c r="B22" s="21" t="e">
        <f>'Акт согласования'!B35</f>
        <v>#REF!</v>
      </c>
      <c r="C22" s="21" t="e">
        <f>'Акт согласования'!C35</f>
        <v>#REF!</v>
      </c>
      <c r="D22" s="21" t="e">
        <f>'Акт согласования'!D35</f>
        <v>#REF!</v>
      </c>
      <c r="E22" s="316"/>
    </row>
    <row r="23" spans="1:5" ht="17.25" hidden="1" customHeight="1" x14ac:dyDescent="0.25">
      <c r="A23" s="21" t="e">
        <f>'Акт согласования'!A36</f>
        <v>#REF!</v>
      </c>
      <c r="B23" s="21" t="e">
        <f>'Акт согласования'!B36</f>
        <v>#REF!</v>
      </c>
      <c r="C23" s="21" t="e">
        <f>'Акт согласования'!C36</f>
        <v>#REF!</v>
      </c>
      <c r="D23" s="21" t="e">
        <f>'Акт согласования'!D36</f>
        <v>#REF!</v>
      </c>
      <c r="E23" s="316"/>
    </row>
    <row r="24" spans="1:5" ht="17.25" hidden="1" customHeight="1" x14ac:dyDescent="0.25">
      <c r="A24" s="21" t="e">
        <f>'Акт согласования'!A37</f>
        <v>#REF!</v>
      </c>
      <c r="B24" s="21" t="e">
        <f>'Акт согласования'!B37</f>
        <v>#REF!</v>
      </c>
      <c r="C24" s="21" t="e">
        <f>'Акт согласования'!C37</f>
        <v>#REF!</v>
      </c>
      <c r="D24" s="21" t="e">
        <f>'Акт согласования'!D37</f>
        <v>#REF!</v>
      </c>
      <c r="E24" s="316"/>
    </row>
    <row r="25" spans="1:5" ht="15.75" hidden="1" customHeight="1" x14ac:dyDescent="0.25">
      <c r="A25" s="21" t="e">
        <f>'Акт согласования'!A38</f>
        <v>#REF!</v>
      </c>
      <c r="B25" s="21" t="e">
        <f>'Акт согласования'!B38</f>
        <v>#REF!</v>
      </c>
      <c r="C25" s="21" t="e">
        <f>'Акт согласования'!C38</f>
        <v>#REF!</v>
      </c>
      <c r="D25" s="21" t="e">
        <f>'Акт согласования'!D38</f>
        <v>#REF!</v>
      </c>
      <c r="E25" s="316"/>
    </row>
    <row r="26" spans="1:5" ht="17.25" hidden="1" customHeight="1" x14ac:dyDescent="0.25">
      <c r="A26" s="21" t="e">
        <f>'Акт согласования'!A39</f>
        <v>#REF!</v>
      </c>
      <c r="B26" s="21" t="e">
        <f>'Акт согласования'!B39</f>
        <v>#REF!</v>
      </c>
      <c r="C26" s="21" t="e">
        <f>'Акт согласования'!C39</f>
        <v>#REF!</v>
      </c>
      <c r="D26" s="21" t="e">
        <f>'Акт согласования'!D39</f>
        <v>#REF!</v>
      </c>
      <c r="E26" s="316"/>
    </row>
    <row r="27" spans="1:5" ht="17.25" hidden="1" customHeight="1" x14ac:dyDescent="0.25">
      <c r="A27" s="21" t="e">
        <f>'Акт согласования'!A40</f>
        <v>#REF!</v>
      </c>
      <c r="B27" s="21" t="e">
        <f>'Акт согласования'!B40</f>
        <v>#REF!</v>
      </c>
      <c r="C27" s="21" t="e">
        <f>'Акт согласования'!C40</f>
        <v>#REF!</v>
      </c>
      <c r="D27" s="21" t="e">
        <f>'Акт согласования'!D40</f>
        <v>#REF!</v>
      </c>
      <c r="E27" s="316"/>
    </row>
    <row r="28" spans="1:5" ht="17.25" hidden="1" customHeight="1" x14ac:dyDescent="0.25">
      <c r="A28" s="21" t="e">
        <f>'Акт согласования'!A41</f>
        <v>#REF!</v>
      </c>
      <c r="B28" s="21" t="e">
        <f>'Акт согласования'!B41</f>
        <v>#REF!</v>
      </c>
      <c r="C28" s="21" t="e">
        <f>'Акт согласования'!C41</f>
        <v>#REF!</v>
      </c>
      <c r="D28" s="21" t="e">
        <f>'Акт согласования'!D41</f>
        <v>#REF!</v>
      </c>
      <c r="E28" s="316"/>
    </row>
    <row r="29" spans="1:5" ht="17.25" hidden="1" customHeight="1" x14ac:dyDescent="0.25">
      <c r="A29" s="21" t="e">
        <f>'Акт согласования'!A42</f>
        <v>#REF!</v>
      </c>
      <c r="B29" s="21" t="e">
        <f>'Акт согласования'!B42</f>
        <v>#REF!</v>
      </c>
      <c r="C29" s="21" t="e">
        <f>'Акт согласования'!C42</f>
        <v>#REF!</v>
      </c>
      <c r="D29" s="21" t="e">
        <f>'Акт согласования'!D42</f>
        <v>#REF!</v>
      </c>
      <c r="E29" s="316"/>
    </row>
    <row r="30" spans="1:5" ht="17.25" hidden="1" customHeight="1" x14ac:dyDescent="0.25">
      <c r="A30" s="21" t="e">
        <f>'Акт согласования'!A43</f>
        <v>#REF!</v>
      </c>
      <c r="B30" s="21" t="e">
        <f>'Акт согласования'!B43</f>
        <v>#REF!</v>
      </c>
      <c r="C30" s="21" t="e">
        <f>'Акт согласования'!C43</f>
        <v>#REF!</v>
      </c>
      <c r="D30" s="21" t="e">
        <f>'Акт согласования'!D43</f>
        <v>#REF!</v>
      </c>
      <c r="E30" s="317"/>
    </row>
    <row r="31" spans="1:5" ht="17.25" hidden="1" customHeight="1" x14ac:dyDescent="0.25">
      <c r="A31" s="21" t="e">
        <f>'Акт согласования'!A44</f>
        <v>#REF!</v>
      </c>
      <c r="B31" s="21" t="e">
        <f>'Акт согласования'!B44</f>
        <v>#REF!</v>
      </c>
      <c r="C31" s="21" t="e">
        <f>'Акт согласования'!C44</f>
        <v>#REF!</v>
      </c>
      <c r="D31" s="21" t="e">
        <f>'Акт согласования'!D44</f>
        <v>#REF!</v>
      </c>
      <c r="E31" s="21" t="str">
        <f>'Акт согласования'!E44</f>
        <v>225 000 000,00</v>
      </c>
    </row>
    <row r="32" spans="1:5" ht="18.75" hidden="1" customHeight="1" x14ac:dyDescent="0.25">
      <c r="A32" s="336" t="e">
        <f>_xlfn.SINGLE('Акт согласования'!#REF!)</f>
        <v>#REF!</v>
      </c>
      <c r="B32" s="336"/>
      <c r="C32" s="336"/>
      <c r="D32" s="336"/>
      <c r="E32" s="336"/>
    </row>
    <row r="33" spans="1:5" ht="24.75" hidden="1" customHeight="1" x14ac:dyDescent="0.25">
      <c r="A33" s="336" t="e">
        <f>_xlfn.SINGLE('Акт согласования'!#REF!)</f>
        <v>#REF!</v>
      </c>
      <c r="B33" s="336"/>
      <c r="C33" s="336"/>
      <c r="D33" s="336"/>
      <c r="E33" s="336"/>
    </row>
    <row r="34" spans="1:5" ht="30.75" hidden="1" customHeight="1" x14ac:dyDescent="0.25">
      <c r="A34" s="336" t="e">
        <f>_xlfn.SINGLE('Акт согласования'!#REF!)</f>
        <v>#REF!</v>
      </c>
      <c r="B34" s="336"/>
      <c r="C34" s="336"/>
      <c r="D34" s="336"/>
      <c r="E34" s="336"/>
    </row>
    <row r="35" spans="1:5" ht="15" hidden="1" customHeight="1" x14ac:dyDescent="0.25">
      <c r="A35" s="336" t="e">
        <f>_xlfn.SINGLE('Акт согласования'!#REF!)</f>
        <v>#REF!</v>
      </c>
      <c r="B35" s="336"/>
      <c r="C35" s="336"/>
      <c r="D35" s="336"/>
      <c r="E35" s="336"/>
    </row>
    <row r="36" spans="1:5" x14ac:dyDescent="0.25">
      <c r="A36" s="26"/>
      <c r="B36" s="26"/>
      <c r="C36" s="26"/>
      <c r="D36" s="26"/>
      <c r="E36" s="26"/>
    </row>
    <row r="37" spans="1:5" s="147" customFormat="1" ht="51" customHeight="1" x14ac:dyDescent="0.25">
      <c r="A37" s="339"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9"/>
      <c r="C37" s="339"/>
      <c r="D37" s="339"/>
      <c r="E37" s="339"/>
    </row>
    <row r="38" spans="1:5" ht="40.5" customHeight="1" x14ac:dyDescent="0.25">
      <c r="A38" s="336" t="str">
        <f>'Акт согласования'!A47:E47</f>
        <v>Shu bilan birga, garov predmetining kelishilgan garov qiymati deganda ushbu mulk garov sifatida taqdim etilgan/qabul qilingan qiymati tushuniladi.</v>
      </c>
      <c r="B38" s="336"/>
      <c r="C38" s="336"/>
      <c r="D38" s="336"/>
      <c r="E38" s="336"/>
    </row>
    <row r="39" spans="1:5" ht="39" customHeight="1" x14ac:dyDescent="0.25">
      <c r="A39" s="33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21 yanvar 2025 y.dan №150-QR, при сохранении запрета.</v>
      </c>
      <c r="B39" s="336"/>
      <c r="C39" s="336"/>
      <c r="D39" s="336"/>
      <c r="E39" s="336"/>
    </row>
    <row r="40" spans="1:5" x14ac:dyDescent="0.25">
      <c r="A40" s="337"/>
      <c r="B40" s="337"/>
      <c r="C40" s="337"/>
      <c r="D40" s="337"/>
      <c r="E40" s="337"/>
    </row>
    <row r="41" spans="1:5" x14ac:dyDescent="0.25">
      <c r="A41" s="338" t="s">
        <v>37</v>
      </c>
      <c r="B41" s="338"/>
      <c r="C41" s="338"/>
      <c r="D41" s="338"/>
      <c r="E41" s="338"/>
    </row>
    <row r="42" spans="1:5" x14ac:dyDescent="0.25">
      <c r="A42" s="337"/>
      <c r="B42" s="337"/>
      <c r="C42" s="337"/>
      <c r="D42" s="337"/>
      <c r="E42" s="337"/>
    </row>
    <row r="43" spans="1:5" x14ac:dyDescent="0.25">
      <c r="A43" s="338" t="s">
        <v>38</v>
      </c>
      <c r="B43" s="338"/>
      <c r="C43" s="338"/>
      <c r="D43" s="338"/>
      <c r="E43" s="338"/>
    </row>
    <row r="44" spans="1:5" ht="28.5" customHeight="1" x14ac:dyDescent="0.25">
      <c r="A44" s="335" t="s">
        <v>39</v>
      </c>
      <c r="B44" s="335"/>
      <c r="C44" s="335"/>
      <c r="D44" s="335"/>
      <c r="E44" s="127"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8">
    <tabColor rgb="FF00B050"/>
  </sheetPr>
  <dimension ref="A1:I29"/>
  <sheetViews>
    <sheetView view="pageBreakPreview" topLeftCell="A7" zoomScaleNormal="100" zoomScaleSheetLayoutView="100" workbookViewId="0">
      <selection activeCell="F23" sqref="F23"/>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3" t="str">
        <f>""&amp;" "&amp;'Общие данные'!B74&amp;"-sonli "&amp;" "&amp;'Общие данные'!C64&amp;" shartnomasi bo‘yicha
 garovga qo‘yilgan mol-mulkni tekshirish bo’yicha "&amp;'Общие данные'!B5&amp;" bilan tuzilgan dalolatnomasi"</f>
        <v xml:space="preserve"> 21 yanvar 2025 y.dan №150-QR-sonli  Mikrokredit shartnomasi bo‘yicha
 garovga qo‘yilgan mol-mulkni tekshirish bo’yicha OTASHEVA RUQIYA SHERALI QIZI bilan tuzilgan dalolatnomasi</v>
      </c>
      <c r="B2" s="343"/>
      <c r="C2" s="343"/>
      <c r="D2" s="343"/>
      <c r="E2" s="343"/>
      <c r="F2" s="343"/>
      <c r="G2" s="343"/>
      <c r="H2" s="343"/>
      <c r="I2" s="35"/>
    </row>
    <row r="3" spans="1:9" x14ac:dyDescent="0.2">
      <c r="A3" s="343"/>
      <c r="B3" s="343"/>
      <c r="C3" s="343"/>
      <c r="D3" s="343"/>
      <c r="E3" s="343"/>
      <c r="F3" s="343"/>
      <c r="G3" s="343"/>
      <c r="H3" s="343"/>
      <c r="I3" s="35"/>
    </row>
    <row r="5" spans="1:9" x14ac:dyDescent="0.2">
      <c r="A5" s="28" t="s">
        <v>201</v>
      </c>
      <c r="H5" s="161" t="str">
        <f>TEXT(+'Общие данные'!B2+720,"ДД.ММ.ГГГГ")</f>
        <v>11.01.2027</v>
      </c>
    </row>
    <row r="7" spans="1:9" ht="45" customHeight="1" x14ac:dyDescent="0.2">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OTASHEVA RUQIYA SHERALI QIZI  21 yanvar 2025 y.dan №150-QR-sonli Mikrokredit shartnomasi bo‘yicha garovga qo‘yilgan mol-mulkni ko‘zdan kechirdim</v>
      </c>
      <c r="B7" s="346"/>
      <c r="C7" s="346"/>
      <c r="D7" s="346"/>
      <c r="E7" s="346"/>
      <c r="F7" s="346"/>
      <c r="G7" s="346"/>
      <c r="H7" s="346"/>
    </row>
    <row r="8" spans="1:9" ht="19.5" customHeight="1" x14ac:dyDescent="0.2">
      <c r="A8" s="347" t="s">
        <v>274</v>
      </c>
      <c r="B8" s="347"/>
      <c r="C8" s="347"/>
      <c r="D8" s="347"/>
      <c r="E8" s="347"/>
      <c r="F8" s="347"/>
      <c r="G8" s="347"/>
      <c r="H8" s="347"/>
    </row>
    <row r="9" spans="1:9" s="162" customFormat="1" ht="32.25" customHeight="1" x14ac:dyDescent="0.25">
      <c r="A9" s="341" t="str">
        <f>' Акт мониторинга 1'!A9</f>
        <v>Nomi</v>
      </c>
      <c r="B9" s="342"/>
      <c r="C9" s="341" t="str">
        <f>' Акт мониторинга 1'!C9</f>
        <v>kadastr</v>
      </c>
      <c r="D9" s="342"/>
      <c r="E9" s="341" t="str">
        <f>' Акт мониторинга 1'!E9</f>
        <v>Yashash maydoni</v>
      </c>
      <c r="F9" s="342"/>
      <c r="G9" s="341" t="str">
        <f>' Акт мониторинга 1'!G9</f>
        <v>Umumiy foydalanish maydoni</v>
      </c>
      <c r="H9" s="342"/>
    </row>
    <row r="10" spans="1:9" s="160" customFormat="1" ht="58.5" customHeight="1" x14ac:dyDescent="0.2">
      <c r="A10" s="349" t="str">
        <f>' Акт мониторинга 1'!A10</f>
        <v>2 - xonali ko'p qavatli uydagi xonadon</v>
      </c>
      <c r="B10" s="349"/>
      <c r="C10" s="349" t="str">
        <f>' Акт мониторинга 1'!C10</f>
        <v>20.01.2025 yildan №20:10:07:01:02:0754:0011:018 kv.m</v>
      </c>
      <c r="D10" s="349"/>
      <c r="E10" s="349" t="str">
        <f>' Акт мониторинга 1'!E10</f>
        <v>27,5 kv.m</v>
      </c>
      <c r="F10" s="349"/>
      <c r="G10" s="349" t="str">
        <f>' Акт мониторинга 1'!G10</f>
        <v>42,00 kv.m</v>
      </c>
      <c r="H10" s="349"/>
    </row>
    <row r="11" spans="1:9" ht="19.5" customHeight="1" x14ac:dyDescent="0.2">
      <c r="A11" s="344" t="str">
        <f>'Акт согласования'!A22:E22</f>
        <v>-* ko'chmas mulk egasi: QODIROVA IBODAT BAXTIYOR QIZI</v>
      </c>
      <c r="B11" s="344"/>
      <c r="C11" s="344"/>
      <c r="D11" s="344"/>
      <c r="E11" s="344"/>
      <c r="F11" s="344"/>
      <c r="G11" s="344"/>
      <c r="H11" s="344"/>
    </row>
    <row r="12" spans="1:9" ht="19.5" customHeight="1" x14ac:dyDescent="0.2">
      <c r="A12" s="344" t="str">
        <f>'Акт согласования'!A23:E23</f>
        <v>-* reest raqami: 20.01.2025y  1706230/R-A5590011</v>
      </c>
      <c r="B12" s="344"/>
      <c r="C12" s="344"/>
      <c r="D12" s="344"/>
      <c r="E12" s="344"/>
      <c r="F12" s="344"/>
      <c r="G12" s="344"/>
      <c r="H12" s="344"/>
    </row>
    <row r="13" spans="1:9" ht="19.5" customHeight="1" x14ac:dyDescent="0.2">
      <c r="A13" s="344" t="str">
        <f>'Акт согласования'!A24:E24</f>
        <v>-*  kadastr raqami: 20.01.2025 yildan №20:10:07:01:02:0754:0011:018</v>
      </c>
      <c r="B13" s="344"/>
      <c r="C13" s="344"/>
      <c r="D13" s="344"/>
      <c r="E13" s="344"/>
      <c r="F13" s="344"/>
      <c r="G13" s="344"/>
      <c r="H13" s="344"/>
    </row>
    <row r="14" spans="1:9" ht="19.5" customHeight="1" x14ac:dyDescent="0.2">
      <c r="A14" s="344" t="str">
        <f>'Акт согласования'!A25:E25</f>
        <v>-* manzili: BUXORO VILOYATI QORAKO'L TUMANI QARAKUL MSG O'TIK DO'RMAN KO'CHASI 61-UY 18-XONADON</v>
      </c>
      <c r="B14" s="344"/>
      <c r="C14" s="344"/>
      <c r="D14" s="344"/>
      <c r="E14" s="344"/>
      <c r="F14" s="344"/>
      <c r="G14" s="344"/>
      <c r="H14" s="344"/>
    </row>
    <row r="15" spans="1:9" ht="33.75" customHeight="1" x14ac:dyDescent="0.2">
      <c r="A15" s="345" t="str">
        <f>+"Shu bilan birga, yuqoridagi mulkning kelishilgan garov qiymati "&amp;'Акт согласования'!E30</f>
        <v>Shu bilan birga, yuqoridagi mulkning kelishilgan garov qiymati 225 000 000,00 
(ikki yuz yigirma besh million so'm)</v>
      </c>
      <c r="B15" s="345"/>
      <c r="C15" s="345"/>
      <c r="D15" s="345"/>
      <c r="E15" s="345"/>
      <c r="F15" s="345"/>
      <c r="G15" s="345"/>
      <c r="H15" s="345"/>
    </row>
    <row r="17" spans="1:8" ht="28.5" customHeight="1" x14ac:dyDescent="0.2">
      <c r="A17" s="348" t="s">
        <v>275</v>
      </c>
      <c r="B17" s="348"/>
      <c r="C17" s="348"/>
      <c r="D17" s="348"/>
      <c r="E17" s="348"/>
      <c r="F17" s="348"/>
      <c r="G17" s="348"/>
      <c r="H17" s="348"/>
    </row>
    <row r="21" spans="1:8" s="35" customFormat="1" x14ac:dyDescent="0.2"/>
    <row r="22" spans="1:8" s="35" customFormat="1" x14ac:dyDescent="0.2">
      <c r="A22" s="35" t="str">
        <f>'Общие данные'!A150</f>
        <v>Qorako'l filiali boshlig'i</v>
      </c>
      <c r="H22" s="163" t="str">
        <f>'Общие данные'!B150</f>
        <v>Egamberdiyeva D.I.</v>
      </c>
    </row>
    <row r="23" spans="1:8" s="35" customFormat="1" ht="32.25" customHeight="1" x14ac:dyDescent="0.2">
      <c r="H23" s="163"/>
    </row>
    <row r="24" spans="1:8" s="35" customFormat="1" ht="16.5" customHeight="1" x14ac:dyDescent="0.2">
      <c r="A24" s="35" t="s">
        <v>276</v>
      </c>
      <c r="H24" s="35" t="str">
        <f>'Общие данные'!B160</f>
        <v>Jumanazarov B.T.</v>
      </c>
    </row>
    <row r="25" spans="1:8" s="35" customFormat="1" ht="60" customHeight="1" x14ac:dyDescent="0.2"/>
    <row r="26" spans="1:8" s="35" customFormat="1" x14ac:dyDescent="0.2">
      <c r="A26" s="35" t="s">
        <v>277</v>
      </c>
      <c r="H26" s="163" t="str">
        <f>'Общие данные'!B7</f>
        <v>OTASHEVA R.SH.</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view="pageBreakPreview" topLeftCell="A10" zoomScaleNormal="100" zoomScaleSheetLayoutView="100" workbookViewId="0">
      <selection activeCell="E19" sqref="E19"/>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9.140625" style="28" hidden="1" customWidth="1"/>
    <col min="10" max="10" width="9.140625" style="28" customWidth="1"/>
    <col min="11" max="11" width="0.5703125" style="28" customWidth="1"/>
    <col min="12" max="16384" width="9.140625" style="28"/>
  </cols>
  <sheetData>
    <row r="1" spans="1:9" x14ac:dyDescent="0.2">
      <c r="A1" s="35"/>
      <c r="B1" s="35"/>
      <c r="C1" s="35"/>
      <c r="D1" s="35"/>
      <c r="E1" s="35"/>
      <c r="F1" s="35"/>
      <c r="G1" s="35"/>
      <c r="H1" s="35"/>
      <c r="I1" s="35"/>
    </row>
    <row r="2" spans="1:9" x14ac:dyDescent="0.2">
      <c r="A2" s="343" t="str">
        <f>""&amp;" "&amp;'Общие данные'!B74&amp;"-sonli "&amp;" "&amp;'Общие данные'!C64&amp;" shartnomasi bo‘yicha
 garovga qo‘yilgan mol-mulkni tekshirish bo’yicha "&amp;'Общие данные'!B5&amp;" bilan tuzilgan dalolatnomasi"</f>
        <v xml:space="preserve"> 21 yanvar 2025 y.dan №150-QR-sonli  Mikrokredit shartnomasi bo‘yicha
 garovga qo‘yilgan mol-mulkni tekshirish bo’yicha OTASHEVA RUQIYA SHERALI QIZI bilan tuzilgan dalolatnomasi</v>
      </c>
      <c r="B2" s="343"/>
      <c r="C2" s="343"/>
      <c r="D2" s="343"/>
      <c r="E2" s="343"/>
      <c r="F2" s="343"/>
      <c r="G2" s="343"/>
      <c r="H2" s="343"/>
      <c r="I2" s="35"/>
    </row>
    <row r="3" spans="1:9" x14ac:dyDescent="0.2">
      <c r="A3" s="343"/>
      <c r="B3" s="343"/>
      <c r="C3" s="343"/>
      <c r="D3" s="343"/>
      <c r="E3" s="343"/>
      <c r="F3" s="343"/>
      <c r="G3" s="343"/>
      <c r="H3" s="343"/>
      <c r="I3" s="35"/>
    </row>
    <row r="5" spans="1:9" x14ac:dyDescent="0.2">
      <c r="A5" s="28" t="s">
        <v>201</v>
      </c>
      <c r="F5" s="182"/>
      <c r="H5" s="161" t="str">
        <f>TEXT('Общие данные'!D2,"ДД.ММ.ГГГГ")</f>
        <v>20.07.2025</v>
      </c>
    </row>
    <row r="7" spans="1:9" ht="45" customHeight="1" x14ac:dyDescent="0.2">
      <c r="A7" s="346"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Qorako'l filiali boshlig'ii Egamberdiyeva D.I., jismoniy shaxs  OTASHEVA RUQIYA SHERALI QIZI  21 yanvar 2025 y.dan №150-QR-sonli mikrokredit shartnomasi bo‘yicha garovga qo‘yilgan mol-mulkni ko‘zdan kechirdim</v>
      </c>
      <c r="B7" s="346"/>
      <c r="C7" s="346"/>
      <c r="D7" s="346"/>
      <c r="E7" s="346"/>
      <c r="F7" s="346"/>
      <c r="G7" s="346"/>
      <c r="H7" s="346"/>
    </row>
    <row r="8" spans="1:9" ht="19.5" customHeight="1" x14ac:dyDescent="0.2">
      <c r="A8" s="347" t="s">
        <v>274</v>
      </c>
      <c r="B8" s="347"/>
      <c r="C8" s="347"/>
      <c r="D8" s="347"/>
      <c r="E8" s="347"/>
      <c r="F8" s="347"/>
      <c r="G8" s="347"/>
      <c r="H8" s="347"/>
    </row>
    <row r="9" spans="1:9" s="162" customFormat="1" ht="32.25" customHeight="1" x14ac:dyDescent="0.25">
      <c r="A9" s="341" t="str">
        <f>'Акт согласования'!A20</f>
        <v>Nomi</v>
      </c>
      <c r="B9" s="342"/>
      <c r="C9" s="341" t="str">
        <f>'Акт согласования'!B20</f>
        <v>kadastr</v>
      </c>
      <c r="D9" s="342"/>
      <c r="E9" s="341" t="str">
        <f>'Акт согласования'!D20</f>
        <v>Yashash maydoni</v>
      </c>
      <c r="F9" s="342"/>
      <c r="G9" s="341" t="str">
        <f>'Акт согласования'!E20</f>
        <v>Umumiy foydalanish maydoni</v>
      </c>
      <c r="H9" s="342"/>
    </row>
    <row r="10" spans="1:9" s="160" customFormat="1" ht="58.5" customHeight="1" x14ac:dyDescent="0.2">
      <c r="A10" s="349" t="str">
        <f>'Акт согласования'!A21</f>
        <v>2 - xonali ko'p qavatli uydagi xonadon</v>
      </c>
      <c r="B10" s="349"/>
      <c r="C10" s="349" t="str">
        <f>'Акт согласования'!B21</f>
        <v>20.01.2025 yildan №20:10:07:01:02:0754:0011:018 kv.m</v>
      </c>
      <c r="D10" s="349"/>
      <c r="E10" s="349" t="str">
        <f>'Акт согласования'!D21</f>
        <v>27,5 kv.m</v>
      </c>
      <c r="F10" s="349"/>
      <c r="G10" s="349" t="str">
        <f>'Акт согласования'!E21</f>
        <v>42,00 kv.m</v>
      </c>
      <c r="H10" s="349"/>
    </row>
    <row r="11" spans="1:9" ht="19.5" customHeight="1" x14ac:dyDescent="0.2">
      <c r="A11" s="344" t="str">
        <f>'Акт согласования'!A22:E22</f>
        <v>-* ko'chmas mulk egasi: QODIROVA IBODAT BAXTIYOR QIZI</v>
      </c>
      <c r="B11" s="344"/>
      <c r="C11" s="344"/>
      <c r="D11" s="344"/>
      <c r="E11" s="344"/>
      <c r="F11" s="344"/>
      <c r="G11" s="344"/>
      <c r="H11" s="344"/>
    </row>
    <row r="12" spans="1:9" ht="19.5" customHeight="1" x14ac:dyDescent="0.2">
      <c r="A12" s="344" t="str">
        <f>'Акт согласования'!A23:E23</f>
        <v>-* reest raqami: 20.01.2025y  1706230/R-A5590011</v>
      </c>
      <c r="B12" s="344"/>
      <c r="C12" s="344"/>
      <c r="D12" s="344"/>
      <c r="E12" s="344"/>
      <c r="F12" s="344"/>
      <c r="G12" s="344"/>
      <c r="H12" s="344"/>
    </row>
    <row r="13" spans="1:9" ht="19.5" customHeight="1" x14ac:dyDescent="0.2">
      <c r="A13" s="344" t="str">
        <f>'Акт согласования'!A24:E24</f>
        <v>-*  kadastr raqami: 20.01.2025 yildan №20:10:07:01:02:0754:0011:018</v>
      </c>
      <c r="B13" s="344"/>
      <c r="C13" s="344"/>
      <c r="D13" s="344"/>
      <c r="E13" s="344"/>
      <c r="F13" s="344"/>
      <c r="G13" s="344"/>
      <c r="H13" s="344"/>
    </row>
    <row r="14" spans="1:9" ht="19.5" customHeight="1" x14ac:dyDescent="0.2">
      <c r="A14" s="344" t="str">
        <f>'Акт согласования'!A25:E25</f>
        <v>-* manzili: BUXORO VILOYATI QORAKO'L TUMANI QARAKUL MSG O'TIK DO'RMAN KO'CHASI 61-UY 18-XONADON</v>
      </c>
      <c r="B14" s="344"/>
      <c r="C14" s="344"/>
      <c r="D14" s="344"/>
      <c r="E14" s="344"/>
      <c r="F14" s="344"/>
      <c r="G14" s="344"/>
      <c r="H14" s="344"/>
    </row>
    <row r="15" spans="1:9" ht="33.75" customHeight="1" x14ac:dyDescent="0.2">
      <c r="A15" s="345" t="str">
        <f>+"Shu bilan birga, yuqoridagi mulkning kelishilgan garov qiymati "&amp;'Акт согласования'!E30</f>
        <v>Shu bilan birga, yuqoridagi mulkning kelishilgan garov qiymati 225 000 000,00 
(ikki yuz yigirma besh million so'm)</v>
      </c>
      <c r="B15" s="345"/>
      <c r="C15" s="345"/>
      <c r="D15" s="345"/>
      <c r="E15" s="345"/>
      <c r="F15" s="345"/>
      <c r="G15" s="345"/>
      <c r="H15" s="345"/>
    </row>
    <row r="17" spans="1:8" ht="27" customHeight="1" x14ac:dyDescent="0.2">
      <c r="A17" s="348" t="s">
        <v>275</v>
      </c>
      <c r="B17" s="348"/>
      <c r="C17" s="348"/>
      <c r="D17" s="348"/>
      <c r="E17" s="348"/>
      <c r="F17" s="348"/>
      <c r="G17" s="348"/>
      <c r="H17" s="348"/>
    </row>
    <row r="21" spans="1:8" s="35" customFormat="1" x14ac:dyDescent="0.2"/>
    <row r="22" spans="1:8" s="35" customFormat="1" x14ac:dyDescent="0.2">
      <c r="A22" s="35" t="str">
        <f>'Общие данные'!A150</f>
        <v>Qorako'l filiali boshlig'i</v>
      </c>
      <c r="H22" s="163" t="str">
        <f>'Общие данные'!B150</f>
        <v>Egamberdiyeva D.I.</v>
      </c>
    </row>
    <row r="23" spans="1:8" s="35" customFormat="1" ht="32.25" customHeight="1" x14ac:dyDescent="0.2">
      <c r="H23" s="163"/>
    </row>
    <row r="24" spans="1:8" s="35" customFormat="1" ht="16.5" customHeight="1" x14ac:dyDescent="0.2">
      <c r="A24" s="35" t="s">
        <v>276</v>
      </c>
      <c r="H24" s="35" t="str">
        <f>'Общие данные'!B160</f>
        <v>Jumanazarov B.T.</v>
      </c>
    </row>
    <row r="25" spans="1:8" s="35" customFormat="1" ht="60" customHeight="1" x14ac:dyDescent="0.2"/>
    <row r="26" spans="1:8" s="35" customFormat="1" x14ac:dyDescent="0.2">
      <c r="A26" s="35" t="s">
        <v>277</v>
      </c>
      <c r="H26" s="163" t="str">
        <f>'Общие данные'!B7</f>
        <v>OTASHEVA R.SH.</v>
      </c>
    </row>
    <row r="27" spans="1:8" s="35" customFormat="1" x14ac:dyDescent="0.2"/>
    <row r="28" spans="1:8" s="35" customFormat="1" x14ac:dyDescent="0.2"/>
    <row r="29" spans="1:8" s="35" customFormat="1" x14ac:dyDescent="0.2"/>
    <row r="30" spans="1:8" s="35"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tabColor rgb="FF00B050"/>
  </sheetPr>
  <dimension ref="A1:I29"/>
  <sheetViews>
    <sheetView view="pageBreakPreview" zoomScaleNormal="100" zoomScaleSheetLayoutView="100" workbookViewId="0">
      <selection activeCell="U14" sqref="U14"/>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10.7109375" style="28" customWidth="1"/>
    <col min="10" max="16384" width="9.140625" style="28"/>
  </cols>
  <sheetData>
    <row r="1" spans="1:9" x14ac:dyDescent="0.2">
      <c r="A1" s="35"/>
      <c r="B1" s="35"/>
      <c r="C1" s="35"/>
      <c r="D1" s="35"/>
      <c r="E1" s="35"/>
      <c r="F1" s="35"/>
      <c r="G1" s="35"/>
      <c r="H1" s="35"/>
      <c r="I1" s="35"/>
    </row>
    <row r="2" spans="1:9" x14ac:dyDescent="0.2">
      <c r="A2" s="343" t="str">
        <f>""&amp;" "&amp;'Общие данные'!B74&amp;"-sonli "&amp;" "&amp;'Общие данные'!C64&amp;" shartnomasi bo‘yicha
 garovga qo‘yilgan mol-mulkni tekshirish bo’yicha "&amp;'Общие данные'!B5&amp;" bilan tuzilgan dalolatnomasi"</f>
        <v xml:space="preserve"> 21 yanvar 2025 y.dan №150-QR-sonli  Mikrokredit shartnomasi bo‘yicha
 garovga qo‘yilgan mol-mulkni tekshirish bo’yicha OTASHEVA RUQIYA SHERALI QIZI bilan tuzilgan dalolatnomasi</v>
      </c>
      <c r="B2" s="343"/>
      <c r="C2" s="343"/>
      <c r="D2" s="343"/>
      <c r="E2" s="343"/>
      <c r="F2" s="343"/>
      <c r="G2" s="343"/>
      <c r="H2" s="343"/>
      <c r="I2" s="35"/>
    </row>
    <row r="3" spans="1:9" x14ac:dyDescent="0.2">
      <c r="A3" s="343"/>
      <c r="B3" s="343"/>
      <c r="C3" s="343"/>
      <c r="D3" s="343"/>
      <c r="E3" s="343"/>
      <c r="F3" s="343"/>
      <c r="G3" s="343"/>
      <c r="H3" s="343"/>
      <c r="I3" s="35"/>
    </row>
    <row r="5" spans="1:9" x14ac:dyDescent="0.2">
      <c r="A5" s="28" t="s">
        <v>201</v>
      </c>
      <c r="H5" s="161" t="str">
        <f>TEXT(+'Общие данные'!B2+360,"ДД.ММ.ГГГГ")</f>
        <v>16.01.2026</v>
      </c>
    </row>
    <row r="7" spans="1:9" ht="45" customHeight="1" x14ac:dyDescent="0.2">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OTASHEVA RUQIYA SHERALI QIZI  21 yanvar 2025 y.dan №150-QR-sonli Mikrokredit shartnomasi bo‘yicha garovga qo‘yilgan mol-mulkni ko‘zdan kechirdim</v>
      </c>
      <c r="B7" s="346"/>
      <c r="C7" s="346"/>
      <c r="D7" s="346"/>
      <c r="E7" s="346"/>
      <c r="F7" s="346"/>
      <c r="G7" s="346"/>
      <c r="H7" s="346"/>
    </row>
    <row r="8" spans="1:9" ht="19.5" customHeight="1" x14ac:dyDescent="0.2">
      <c r="A8" s="347" t="s">
        <v>274</v>
      </c>
      <c r="B8" s="347"/>
      <c r="C8" s="347"/>
      <c r="D8" s="347"/>
      <c r="E8" s="347"/>
      <c r="F8" s="347"/>
      <c r="G8" s="347"/>
      <c r="H8" s="347"/>
    </row>
    <row r="9" spans="1:9" s="162" customFormat="1" ht="32.25" customHeight="1" x14ac:dyDescent="0.25">
      <c r="A9" s="341" t="str">
        <f>' Акт мониторинга 1'!A9</f>
        <v>Nomi</v>
      </c>
      <c r="B9" s="342"/>
      <c r="C9" s="341" t="str">
        <f>' Акт мониторинга 1'!C9</f>
        <v>kadastr</v>
      </c>
      <c r="D9" s="342"/>
      <c r="E9" s="341" t="str">
        <f>' Акт мониторинга 1'!E9</f>
        <v>Yashash maydoni</v>
      </c>
      <c r="F9" s="342"/>
      <c r="G9" s="341" t="str">
        <f>' Акт мониторинга 1'!G9</f>
        <v>Umumiy foydalanish maydoni</v>
      </c>
      <c r="H9" s="342"/>
    </row>
    <row r="10" spans="1:9" s="160" customFormat="1" ht="58.5" customHeight="1" x14ac:dyDescent="0.2">
      <c r="A10" s="349" t="str">
        <f>' Акт мониторинга 1'!A10</f>
        <v>2 - xonali ko'p qavatli uydagi xonadon</v>
      </c>
      <c r="B10" s="349"/>
      <c r="C10" s="349" t="str">
        <f>' Акт мониторинга 1'!C10</f>
        <v>20.01.2025 yildan №20:10:07:01:02:0754:0011:018 kv.m</v>
      </c>
      <c r="D10" s="349"/>
      <c r="E10" s="349" t="str">
        <f>' Акт мониторинга 1'!E10</f>
        <v>27,5 kv.m</v>
      </c>
      <c r="F10" s="349"/>
      <c r="G10" s="349" t="str">
        <f>' Акт мониторинга 1'!G10</f>
        <v>42,00 kv.m</v>
      </c>
      <c r="H10" s="349"/>
    </row>
    <row r="11" spans="1:9" ht="19.5" customHeight="1" x14ac:dyDescent="0.2">
      <c r="A11" s="344" t="str">
        <f>'Акт согласования'!A22:E22</f>
        <v>-* ko'chmas mulk egasi: QODIROVA IBODAT BAXTIYOR QIZI</v>
      </c>
      <c r="B11" s="344"/>
      <c r="C11" s="344"/>
      <c r="D11" s="344"/>
      <c r="E11" s="344"/>
      <c r="F11" s="344"/>
      <c r="G11" s="344"/>
      <c r="H11" s="344"/>
    </row>
    <row r="12" spans="1:9" ht="19.5" customHeight="1" x14ac:dyDescent="0.2">
      <c r="A12" s="344" t="str">
        <f>'Акт согласования'!A23:E23</f>
        <v>-* reest raqami: 20.01.2025y  1706230/R-A5590011</v>
      </c>
      <c r="B12" s="344"/>
      <c r="C12" s="344"/>
      <c r="D12" s="344"/>
      <c r="E12" s="344"/>
      <c r="F12" s="344"/>
      <c r="G12" s="344"/>
      <c r="H12" s="344"/>
    </row>
    <row r="13" spans="1:9" ht="19.5" customHeight="1" x14ac:dyDescent="0.2">
      <c r="A13" s="344" t="str">
        <f>'Акт согласования'!A24:E24</f>
        <v>-*  kadastr raqami: 20.01.2025 yildan №20:10:07:01:02:0754:0011:018</v>
      </c>
      <c r="B13" s="344"/>
      <c r="C13" s="344"/>
      <c r="D13" s="344"/>
      <c r="E13" s="344"/>
      <c r="F13" s="344"/>
      <c r="G13" s="344"/>
      <c r="H13" s="344"/>
    </row>
    <row r="14" spans="1:9" ht="19.5" customHeight="1" x14ac:dyDescent="0.2">
      <c r="A14" s="344" t="str">
        <f>'Акт согласования'!A25:E25</f>
        <v>-* manzili: BUXORO VILOYATI QORAKO'L TUMANI QARAKUL MSG O'TIK DO'RMAN KO'CHASI 61-UY 18-XONADON</v>
      </c>
      <c r="B14" s="344"/>
      <c r="C14" s="344"/>
      <c r="D14" s="344"/>
      <c r="E14" s="344"/>
      <c r="F14" s="344"/>
      <c r="G14" s="344"/>
      <c r="H14" s="344"/>
    </row>
    <row r="15" spans="1:9" ht="33.75" customHeight="1" x14ac:dyDescent="0.2">
      <c r="A15" s="345" t="str">
        <f>+"Shu bilan birga, yuqoridagi mulkning kelishilgan garov qiymati "&amp;'Акт согласования'!E30</f>
        <v>Shu bilan birga, yuqoridagi mulkning kelishilgan garov qiymati 225 000 000,00 
(ikki yuz yigirma besh million so'm)</v>
      </c>
      <c r="B15" s="345"/>
      <c r="C15" s="345"/>
      <c r="D15" s="345"/>
      <c r="E15" s="345"/>
      <c r="F15" s="345"/>
      <c r="G15" s="345"/>
      <c r="H15" s="345"/>
    </row>
    <row r="17" spans="1:8" ht="35.25" customHeight="1" x14ac:dyDescent="0.2">
      <c r="A17" s="348" t="s">
        <v>275</v>
      </c>
      <c r="B17" s="348"/>
      <c r="C17" s="348"/>
      <c r="D17" s="348"/>
      <c r="E17" s="348"/>
      <c r="F17" s="348"/>
      <c r="G17" s="348"/>
      <c r="H17" s="348"/>
    </row>
    <row r="21" spans="1:8" s="35" customFormat="1" x14ac:dyDescent="0.2"/>
    <row r="22" spans="1:8" s="35" customFormat="1" x14ac:dyDescent="0.2">
      <c r="A22" s="35" t="str">
        <f>'Общие данные'!A150</f>
        <v>Qorako'l filiali boshlig'i</v>
      </c>
      <c r="H22" s="163" t="str">
        <f>'Общие данные'!B150</f>
        <v>Egamberdiyeva D.I.</v>
      </c>
    </row>
    <row r="23" spans="1:8" s="35" customFormat="1" ht="32.25" customHeight="1" x14ac:dyDescent="0.2">
      <c r="H23" s="163"/>
    </row>
    <row r="24" spans="1:8" s="35" customFormat="1" ht="16.5" customHeight="1" x14ac:dyDescent="0.2">
      <c r="A24" s="35" t="s">
        <v>276</v>
      </c>
      <c r="H24" s="35" t="str">
        <f>'Общие данные'!B160</f>
        <v>Jumanazarov B.T.</v>
      </c>
    </row>
    <row r="25" spans="1:8" s="35" customFormat="1" ht="60" customHeight="1" x14ac:dyDescent="0.2"/>
    <row r="26" spans="1:8" s="35" customFormat="1" x14ac:dyDescent="0.2">
      <c r="A26" s="35" t="s">
        <v>277</v>
      </c>
      <c r="H26" s="163" t="str">
        <f>'Общие данные'!B7</f>
        <v>OTASHEVA R.SH.</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7">
    <tabColor rgb="FF00B050"/>
  </sheetPr>
  <dimension ref="A1:I29"/>
  <sheetViews>
    <sheetView view="pageBreakPreview" zoomScaleNormal="100" zoomScaleSheetLayoutView="100" workbookViewId="0">
      <selection activeCell="E25" sqref="E25"/>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3" t="str">
        <f>""&amp;" "&amp;'Общие данные'!B74&amp;"-sonli "&amp;" "&amp;'Общие данные'!C64&amp;" shartnomasi bo‘yicha
 garovga qo‘yilgan mol-mulkni tekshirish bo’yicha "&amp;'Общие данные'!B5&amp;" bilan tuzilgan dalolatnomasi"</f>
        <v xml:space="preserve"> 21 yanvar 2025 y.dan №150-QR-sonli  Mikrokredit shartnomasi bo‘yicha
 garovga qo‘yilgan mol-mulkni tekshirish bo’yicha OTASHEVA RUQIYA SHERALI QIZI bilan tuzilgan dalolatnomasi</v>
      </c>
      <c r="B2" s="343"/>
      <c r="C2" s="343"/>
      <c r="D2" s="343"/>
      <c r="E2" s="343"/>
      <c r="F2" s="343"/>
      <c r="G2" s="343"/>
      <c r="H2" s="343"/>
      <c r="I2" s="35"/>
    </row>
    <row r="3" spans="1:9" x14ac:dyDescent="0.2">
      <c r="A3" s="343"/>
      <c r="B3" s="343"/>
      <c r="C3" s="343"/>
      <c r="D3" s="343"/>
      <c r="E3" s="343"/>
      <c r="F3" s="343"/>
      <c r="G3" s="343"/>
      <c r="H3" s="343"/>
      <c r="I3" s="35"/>
    </row>
    <row r="5" spans="1:9" x14ac:dyDescent="0.2">
      <c r="A5" s="28" t="s">
        <v>201</v>
      </c>
      <c r="H5" s="161" t="str">
        <f>TEXT(+'Общие данные'!B2+540,"ДД.ММ.ГГГГ")</f>
        <v>15.07.2026</v>
      </c>
    </row>
    <row r="7" spans="1:9" ht="45" customHeight="1" x14ac:dyDescent="0.2">
      <c r="A7" s="346"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OTASHEVA RUQIYA SHERALI QIZI  21 yanvar 2025 y.dan №150-QR-sonli Mikrokredit shartnomasi bo‘yicha garovga qo‘yilgan mol-mulkni ko‘zdan kechirdim</v>
      </c>
      <c r="B7" s="346"/>
      <c r="C7" s="346"/>
      <c r="D7" s="346"/>
      <c r="E7" s="346"/>
      <c r="F7" s="346"/>
      <c r="G7" s="346"/>
      <c r="H7" s="346"/>
    </row>
    <row r="8" spans="1:9" ht="19.5" customHeight="1" x14ac:dyDescent="0.2">
      <c r="A8" s="347" t="s">
        <v>274</v>
      </c>
      <c r="B8" s="347"/>
      <c r="C8" s="347"/>
      <c r="D8" s="347"/>
      <c r="E8" s="347"/>
      <c r="F8" s="347"/>
      <c r="G8" s="347"/>
      <c r="H8" s="347"/>
    </row>
    <row r="9" spans="1:9" s="162" customFormat="1" ht="32.25" customHeight="1" x14ac:dyDescent="0.25">
      <c r="A9" s="341" t="str">
        <f>' Акт мониторинга 1'!A9</f>
        <v>Nomi</v>
      </c>
      <c r="B9" s="342"/>
      <c r="C9" s="341" t="str">
        <f>' Акт мониторинга 1'!C9</f>
        <v>kadastr</v>
      </c>
      <c r="D9" s="342"/>
      <c r="E9" s="341" t="str">
        <f>' Акт мониторинга 1'!E9</f>
        <v>Yashash maydoni</v>
      </c>
      <c r="F9" s="342"/>
      <c r="G9" s="341" t="str">
        <f>' Акт мониторинга 1'!G9</f>
        <v>Umumiy foydalanish maydoni</v>
      </c>
      <c r="H9" s="342"/>
    </row>
    <row r="10" spans="1:9" s="160" customFormat="1" ht="58.5" customHeight="1" x14ac:dyDescent="0.2">
      <c r="A10" s="350" t="str">
        <f>' Акт мониторинга 1'!A10</f>
        <v>2 - xonali ko'p qavatli uydagi xonadon</v>
      </c>
      <c r="B10" s="351"/>
      <c r="C10" s="350" t="str">
        <f>' Акт мониторинга 1'!C10</f>
        <v>20.01.2025 yildan №20:10:07:01:02:0754:0011:018 kv.m</v>
      </c>
      <c r="D10" s="351"/>
      <c r="E10" s="350" t="str">
        <f>' Акт мониторинга 1'!E10</f>
        <v>27,5 kv.m</v>
      </c>
      <c r="F10" s="351"/>
      <c r="G10" s="350" t="str">
        <f>' Акт мониторинга 1'!G10</f>
        <v>42,00 kv.m</v>
      </c>
      <c r="H10" s="351"/>
    </row>
    <row r="11" spans="1:9" ht="19.5" customHeight="1" x14ac:dyDescent="0.2">
      <c r="A11" s="344" t="str">
        <f>'Акт согласования'!A22:E22</f>
        <v>-* ko'chmas mulk egasi: QODIROVA IBODAT BAXTIYOR QIZI</v>
      </c>
      <c r="B11" s="344"/>
      <c r="C11" s="344"/>
      <c r="D11" s="344"/>
      <c r="E11" s="344"/>
      <c r="F11" s="344"/>
      <c r="G11" s="344"/>
      <c r="H11" s="344"/>
    </row>
    <row r="12" spans="1:9" ht="19.5" customHeight="1" x14ac:dyDescent="0.2">
      <c r="A12" s="344" t="str">
        <f>'Акт согласования'!A23:E23</f>
        <v>-* reest raqami: 20.01.2025y  1706230/R-A5590011</v>
      </c>
      <c r="B12" s="344"/>
      <c r="C12" s="344"/>
      <c r="D12" s="344"/>
      <c r="E12" s="344"/>
      <c r="F12" s="344"/>
      <c r="G12" s="344"/>
      <c r="H12" s="344"/>
    </row>
    <row r="13" spans="1:9" ht="19.5" customHeight="1" x14ac:dyDescent="0.2">
      <c r="A13" s="344" t="str">
        <f>'Акт согласования'!A24:E24</f>
        <v>-*  kadastr raqami: 20.01.2025 yildan №20:10:07:01:02:0754:0011:018</v>
      </c>
      <c r="B13" s="344"/>
      <c r="C13" s="344"/>
      <c r="D13" s="344"/>
      <c r="E13" s="344"/>
      <c r="F13" s="344"/>
      <c r="G13" s="344"/>
      <c r="H13" s="344"/>
    </row>
    <row r="14" spans="1:9" ht="19.5" customHeight="1" x14ac:dyDescent="0.2">
      <c r="A14" s="344" t="str">
        <f>'Акт согласования'!A25:E25</f>
        <v>-* manzili: BUXORO VILOYATI QORAKO'L TUMANI QARAKUL MSG O'TIK DO'RMAN KO'CHASI 61-UY 18-XONADON</v>
      </c>
      <c r="B14" s="344"/>
      <c r="C14" s="344"/>
      <c r="D14" s="344"/>
      <c r="E14" s="344"/>
      <c r="F14" s="344"/>
      <c r="G14" s="344"/>
      <c r="H14" s="344"/>
    </row>
    <row r="15" spans="1:9" ht="33.75" customHeight="1" x14ac:dyDescent="0.2">
      <c r="A15" s="345" t="str">
        <f>+"Shu bilan birga, yuqoridagi mulkning kelishilgan garov qiymati "&amp;'Акт согласования'!E30</f>
        <v>Shu bilan birga, yuqoridagi mulkning kelishilgan garov qiymati 225 000 000,00 
(ikki yuz yigirma besh million so'm)</v>
      </c>
      <c r="B15" s="345"/>
      <c r="C15" s="345"/>
      <c r="D15" s="345"/>
      <c r="E15" s="345"/>
      <c r="F15" s="345"/>
      <c r="G15" s="345"/>
      <c r="H15" s="345"/>
    </row>
    <row r="17" spans="1:8" s="160" customFormat="1" ht="32.25" customHeight="1" x14ac:dyDescent="0.2">
      <c r="A17" s="348" t="s">
        <v>275</v>
      </c>
      <c r="B17" s="348"/>
      <c r="C17" s="348"/>
      <c r="D17" s="348"/>
      <c r="E17" s="348"/>
      <c r="F17" s="348"/>
      <c r="G17" s="348"/>
      <c r="H17" s="348"/>
    </row>
    <row r="21" spans="1:8" s="35" customFormat="1" x14ac:dyDescent="0.2"/>
    <row r="22" spans="1:8" s="35" customFormat="1" x14ac:dyDescent="0.2">
      <c r="A22" s="35" t="str">
        <f>'Общие данные'!A150</f>
        <v>Qorako'l filiali boshlig'i</v>
      </c>
      <c r="H22" s="163" t="str">
        <f>'Общие данные'!B150</f>
        <v>Egamberdiyeva D.I.</v>
      </c>
    </row>
    <row r="23" spans="1:8" s="35" customFormat="1" ht="32.25" customHeight="1" x14ac:dyDescent="0.2">
      <c r="H23" s="163"/>
    </row>
    <row r="24" spans="1:8" s="35" customFormat="1" ht="16.5" customHeight="1" x14ac:dyDescent="0.2">
      <c r="A24" s="35" t="s">
        <v>276</v>
      </c>
      <c r="H24" s="35" t="str">
        <f>'Общие данные'!B160</f>
        <v>Jumanazarov B.T.</v>
      </c>
    </row>
    <row r="25" spans="1:8" s="35" customFormat="1" ht="60" customHeight="1" x14ac:dyDescent="0.2"/>
    <row r="26" spans="1:8" s="35" customFormat="1" x14ac:dyDescent="0.2">
      <c r="A26" s="35" t="s">
        <v>277</v>
      </c>
      <c r="H26" s="163" t="str">
        <f>'Общие данные'!B7</f>
        <v>OTASHEVA R.SH.</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4</vt:lpstr>
      <vt:lpstr> Акт мониторинга 1</vt:lpstr>
      <vt:lpstr> Акт мониторинга 2</vt:lpstr>
      <vt:lpstr> Акт мониторинга 3</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2024-10-29T06:29:43Z</cp:lastPrinted>
  <dcterms:created xsi:type="dcterms:W3CDTF">2015-06-05T18:19:34Z</dcterms:created>
  <dcterms:modified xsi:type="dcterms:W3CDTF">2025-02-06T16:58:02Z</dcterms:modified>
</cp:coreProperties>
</file>