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media\"/>
    </mc:Choice>
  </mc:AlternateContent>
  <xr:revisionPtr revIDLastSave="0" documentId="13_ncr:1_{BB34401B-9657-4234-8709-9EB5F1B331BA}" xr6:coauthVersionLast="47" xr6:coauthVersionMax="47" xr10:uidLastSave="{00000000-0000-0000-0000-000000000000}"/>
  <bookViews>
    <workbookView xWindow="-120" yWindow="-120" windowWidth="29040" windowHeight="15840" tabRatio="915" activeTab="3" xr2:uid="{00000000-000D-0000-FFFF-FFFF00000000}"/>
  </bookViews>
  <sheets>
    <sheet name="malumot" sheetId="1" r:id="rId1"/>
    <sheet name="shartnoma" sheetId="19" r:id="rId2"/>
    <sheet name="buyruq" sheetId="8" r:id="rId3"/>
    <sheet name="bayonnoma" sheetId="23" r:id="rId4"/>
    <sheet name="График дифференц" sheetId="15" state="hidden" r:id="rId5"/>
    <sheet name="Данные для послед. Залога" sheetId="21" state="hidden" r:id="rId6"/>
    <sheet name="График аннуитет." sheetId="12" state="hidden" r:id="rId7"/>
    <sheet name="xulosa" sheetId="3" r:id="rId8"/>
    <sheet name="dalolatnoma" sheetId="7" r:id="rId9"/>
    <sheet name="grafik" sheetId="16" r:id="rId10"/>
    <sheet name="garov_ariza" sheetId="31" r:id="rId11"/>
    <sheet name="ariza" sheetId="32" r:id="rId12"/>
    <sheet name="muqova" sheetId="9" r:id="rId13"/>
    <sheet name="mijoz_anketasi" sheetId="4" r:id="rId14"/>
    <sheet name="majburiyatnoma" sheetId="24" r:id="rId15"/>
    <sheet name="kredit_ariza" sheetId="2" r:id="rId16"/>
    <sheet name="Письмо" sheetId="20" state="hidden" r:id="rId17"/>
    <sheet name="akt_monitoring_1" sheetId="27" r:id="rId18"/>
    <sheet name="akt_monitoring_2" sheetId="26" r:id="rId19"/>
    <sheet name="akt_monitoring_3" sheetId="28" r:id="rId20"/>
    <sheet name="akt_monitoring_4" sheetId="29" r:id="rId21"/>
    <sheet name="notarius" sheetId="33" r:id="rId22"/>
    <sheet name="Анкета 2" sheetId="22" r:id="rId23"/>
  </sheets>
  <externalReferences>
    <externalReference r:id="rId24"/>
    <externalReference r:id="rId25"/>
  </externalReferences>
  <definedNames>
    <definedName name="mos">'[1]Общие данные'!$C$23:$D$23</definedName>
    <definedName name="mulk">'[1]Общие данные'!$C$24:$W$24</definedName>
    <definedName name="_xlnm.Print_Area" localSheetId="17">akt_monitoring_1!$A$1:$H$34</definedName>
    <definedName name="_xlnm.Print_Area" localSheetId="18">akt_monitoring_2!$A$1:$H$33</definedName>
    <definedName name="_xlnm.Print_Area" localSheetId="19">akt_monitoring_3!$A$1:$H$33</definedName>
    <definedName name="_xlnm.Print_Area" localSheetId="20">akt_monitoring_4!$A$1:$H$33</definedName>
    <definedName name="_xlnm.Print_Area" localSheetId="11">ariza!$A$1:$D$24</definedName>
    <definedName name="_xlnm.Print_Area" localSheetId="3">bayonnoma!$A$1:$E$51</definedName>
    <definedName name="_xlnm.Print_Area" localSheetId="2">buyruq!$A$1:$E$29</definedName>
    <definedName name="_xlnm.Print_Area" localSheetId="8">dalolatnoma!$A$2:$E$64</definedName>
    <definedName name="_xlnm.Print_Area" localSheetId="10">garov_ariza!$A$5:$C$26</definedName>
    <definedName name="_xlnm.Print_Area" localSheetId="9">grafik!$A$1:$F$74</definedName>
    <definedName name="_xlnm.Print_Area" localSheetId="15">kredit_ariza!$A$1:$D$46</definedName>
    <definedName name="_xlnm.Print_Area" localSheetId="13">mijoz_anketasi!$A$1:$F$36</definedName>
    <definedName name="_xlnm.Print_Area" localSheetId="12">muqova!$A$1:$G$41</definedName>
    <definedName name="_xlnm.Print_Area" localSheetId="21">notarius!$A$1:$D$31</definedName>
    <definedName name="_xlnm.Print_Area" localSheetId="1">shartnoma!$A$1:$B$133</definedName>
    <definedName name="_xlnm.Print_Area" localSheetId="7">xulosa!$A$1:$E$70</definedName>
    <definedName name="_xlnm.Print_Area" localSheetId="6">'График аннуитет.'!$A$1:$F$75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6" i="33" l="1"/>
  <c r="A15" i="33"/>
  <c r="A14" i="33"/>
  <c r="A13" i="33"/>
  <c r="D12" i="33"/>
  <c r="C12" i="33"/>
  <c r="B12" i="33"/>
  <c r="A12" i="33"/>
  <c r="D11" i="33"/>
  <c r="C11" i="33"/>
  <c r="B11" i="33"/>
  <c r="A9" i="33"/>
  <c r="A7" i="33"/>
  <c r="A6" i="33"/>
  <c r="D61" i="7" l="1"/>
  <c r="C19" i="31" l="1"/>
  <c r="C8" i="31" l="1"/>
  <c r="C7" i="31"/>
  <c r="C6" i="31"/>
  <c r="C23" i="31"/>
  <c r="A23" i="31"/>
  <c r="A30" i="31"/>
  <c r="A31" i="31" s="1"/>
  <c r="A33" i="31" s="1"/>
  <c r="A29" i="31"/>
  <c r="A27" i="31"/>
  <c r="A15" i="31"/>
  <c r="C10" i="31"/>
  <c r="C9" i="31"/>
  <c r="C87" i="1" l="1"/>
  <c r="B87" i="1"/>
  <c r="B83" i="1"/>
  <c r="H31" i="26" l="1"/>
  <c r="H31" i="27"/>
  <c r="H27" i="27"/>
  <c r="A27" i="27"/>
  <c r="D43" i="2"/>
  <c r="A43" i="2"/>
  <c r="E52" i="7"/>
  <c r="D55" i="3"/>
  <c r="D59" i="3"/>
  <c r="D63" i="3"/>
  <c r="A63" i="3"/>
  <c r="A59" i="3"/>
  <c r="A55" i="3"/>
  <c r="D49" i="23"/>
  <c r="D45" i="23"/>
  <c r="A45" i="23"/>
  <c r="A49" i="23"/>
  <c r="A41" i="23"/>
  <c r="B143" i="1" l="1"/>
  <c r="B144" i="1" s="1"/>
  <c r="B145" i="1" s="1"/>
  <c r="B34" i="1"/>
  <c r="B27" i="1"/>
  <c r="B9" i="1"/>
  <c r="B11" i="1" s="1"/>
  <c r="B13" i="1" s="1"/>
  <c r="B8" i="1"/>
  <c r="B10" i="1" s="1"/>
  <c r="B12" i="1" s="1"/>
  <c r="A72" i="16" l="1"/>
  <c r="D62" i="7"/>
  <c r="H9" i="23"/>
  <c r="A122" i="19"/>
  <c r="A123" i="19"/>
  <c r="A128" i="19"/>
  <c r="A20" i="32"/>
  <c r="A16" i="32"/>
  <c r="B11" i="32"/>
  <c r="B12" i="32"/>
  <c r="B13" i="32"/>
  <c r="B14" i="32"/>
  <c r="B10" i="32"/>
  <c r="A11" i="32"/>
  <c r="A12" i="32"/>
  <c r="A13" i="32"/>
  <c r="A14" i="32"/>
  <c r="A10" i="32"/>
  <c r="C5" i="32"/>
  <c r="C4" i="32"/>
  <c r="C1" i="32"/>
  <c r="B134" i="1" l="1"/>
  <c r="B76" i="1" l="1"/>
  <c r="B155" i="1"/>
  <c r="B77" i="1" l="1"/>
  <c r="A23" i="8"/>
  <c r="A14" i="23"/>
  <c r="A33" i="23"/>
  <c r="A29" i="2"/>
  <c r="A9" i="32" l="1"/>
  <c r="B65" i="1"/>
  <c r="A14" i="31" s="1"/>
  <c r="A71" i="16"/>
  <c r="A126" i="19"/>
  <c r="B126" i="19"/>
  <c r="A52" i="7"/>
  <c r="C1" i="2"/>
  <c r="A27" i="16"/>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32" i="15"/>
  <c r="A33" i="15" s="1"/>
  <c r="A34" i="15" s="1"/>
  <c r="A35" i="15" s="1"/>
  <c r="A36" i="15" s="1"/>
  <c r="A37" i="15" s="1"/>
  <c r="A38" i="15" s="1"/>
  <c r="A39" i="15" s="1"/>
  <c r="A40" i="15" s="1"/>
  <c r="A41" i="15" s="1"/>
  <c r="A42" i="15" s="1"/>
  <c r="A43" i="15" s="1"/>
  <c r="A44" i="15" s="1"/>
  <c r="A32" i="12"/>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C123" i="1"/>
  <c r="C129" i="1" s="1"/>
  <c r="C121" i="1"/>
  <c r="C127" i="1" s="1"/>
  <c r="C120" i="1"/>
  <c r="C126" i="1" s="1"/>
  <c r="C119" i="1"/>
  <c r="C125" i="1" s="1"/>
  <c r="C118" i="1"/>
  <c r="C124" i="1" s="1"/>
  <c r="D59" i="7"/>
  <c r="A62" i="7"/>
  <c r="A61" i="7"/>
  <c r="F61" i="7"/>
  <c r="A25" i="7"/>
  <c r="A23" i="7"/>
  <c r="A45" i="15" l="1"/>
  <c r="A54" i="12"/>
  <c r="A75" i="1"/>
  <c r="A34" i="23"/>
  <c r="A9" i="26"/>
  <c r="A9" i="29" s="1"/>
  <c r="A46" i="15" l="1"/>
  <c r="A55" i="12"/>
  <c r="A9" i="27"/>
  <c r="A9" i="28"/>
  <c r="I133" i="1"/>
  <c r="A47" i="3"/>
  <c r="A35" i="3"/>
  <c r="E30" i="3"/>
  <c r="A30" i="3"/>
  <c r="A33" i="3"/>
  <c r="A47" i="15" l="1"/>
  <c r="D29" i="7"/>
  <c r="D30" i="3" s="1"/>
  <c r="F137" i="1"/>
  <c r="E140" i="1"/>
  <c r="E137" i="1"/>
  <c r="D20" i="7"/>
  <c r="E20" i="7"/>
  <c r="G9" i="26" s="1"/>
  <c r="B20" i="7"/>
  <c r="A48" i="15" l="1"/>
  <c r="G9" i="28"/>
  <c r="G9" i="27"/>
  <c r="G9" i="29"/>
  <c r="B29" i="7"/>
  <c r="B30" i="3" s="1"/>
  <c r="C9" i="26"/>
  <c r="C29" i="7"/>
  <c r="C30" i="3" s="1"/>
  <c r="E9" i="26"/>
  <c r="A49" i="15" l="1"/>
  <c r="E9" i="29"/>
  <c r="E9" i="28"/>
  <c r="E9" i="27"/>
  <c r="C9" i="29"/>
  <c r="C9" i="28"/>
  <c r="C9" i="27"/>
  <c r="A50" i="15" l="1"/>
  <c r="H27" i="29"/>
  <c r="H27" i="28"/>
  <c r="A22" i="26"/>
  <c r="H27" i="26"/>
  <c r="A52" i="3"/>
  <c r="A36" i="3"/>
  <c r="A1" i="3"/>
  <c r="D15" i="23"/>
  <c r="E15" i="23" s="1"/>
  <c r="A1" i="23"/>
  <c r="D70" i="16"/>
  <c r="A51" i="15" l="1"/>
  <c r="A117" i="1"/>
  <c r="A116" i="1"/>
  <c r="A115" i="1"/>
  <c r="A114" i="1"/>
  <c r="C22" i="1"/>
  <c r="A16" i="23"/>
  <c r="A69" i="16"/>
  <c r="A52" i="15" l="1"/>
  <c r="B49" i="1"/>
  <c r="B59" i="1" s="1"/>
  <c r="A53" i="15" l="1"/>
  <c r="A16" i="4"/>
  <c r="A17" i="4"/>
  <c r="A7" i="24"/>
  <c r="B47" i="1"/>
  <c r="B119" i="19"/>
  <c r="B123" i="1"/>
  <c r="B129" i="1" s="1"/>
  <c r="A24" i="7" s="1"/>
  <c r="A34" i="3" s="1"/>
  <c r="B121" i="1"/>
  <c r="B120" i="1"/>
  <c r="B119" i="1"/>
  <c r="B118" i="1"/>
  <c r="A54" i="15" l="1"/>
  <c r="B45" i="1"/>
  <c r="B58" i="1"/>
  <c r="A51" i="7"/>
  <c r="D2" i="2"/>
  <c r="C77" i="1"/>
  <c r="A7" i="23"/>
  <c r="A55" i="15" l="1"/>
  <c r="A31" i="2"/>
  <c r="A31" i="4"/>
  <c r="H79" i="19"/>
  <c r="A79" i="19" s="1"/>
  <c r="H21" i="19"/>
  <c r="A74" i="19"/>
  <c r="H70" i="19"/>
  <c r="A70" i="19" s="1"/>
  <c r="A57" i="19"/>
  <c r="A5" i="23"/>
  <c r="A15" i="19"/>
  <c r="A12" i="19"/>
  <c r="A34" i="19"/>
  <c r="B33" i="19" s="1"/>
  <c r="A32" i="19" s="1"/>
  <c r="A88" i="1"/>
  <c r="A10" i="3"/>
  <c r="A17" i="2"/>
  <c r="A18" i="2"/>
  <c r="A9" i="19"/>
  <c r="A19" i="19"/>
  <c r="A48" i="19"/>
  <c r="A72" i="19"/>
  <c r="A97" i="19"/>
  <c r="C64" i="1"/>
  <c r="C31" i="19" s="1"/>
  <c r="C21" i="19"/>
  <c r="A53" i="19"/>
  <c r="A64" i="19"/>
  <c r="A75" i="19"/>
  <c r="C41" i="19"/>
  <c r="A41" i="19" s="1"/>
  <c r="A67" i="19"/>
  <c r="C76" i="19"/>
  <c r="A76" i="19" s="1"/>
  <c r="H17" i="19"/>
  <c r="A17" i="19" s="1"/>
  <c r="I21" i="19"/>
  <c r="A44" i="19"/>
  <c r="A61" i="19"/>
  <c r="A93" i="19"/>
  <c r="A20" i="19"/>
  <c r="C56" i="19"/>
  <c r="A56" i="19" s="1"/>
  <c r="A62" i="19"/>
  <c r="A69" i="19"/>
  <c r="A18" i="23"/>
  <c r="D64" i="1"/>
  <c r="A22" i="19" s="1"/>
  <c r="A1" i="1"/>
  <c r="A80" i="1"/>
  <c r="A86" i="1"/>
  <c r="A2" i="1"/>
  <c r="A82" i="1"/>
  <c r="A87" i="1"/>
  <c r="A76" i="1"/>
  <c r="A83" i="1"/>
  <c r="A90" i="1"/>
  <c r="A79" i="1"/>
  <c r="A85" i="1"/>
  <c r="A23" i="19" l="1"/>
  <c r="E31" i="19"/>
  <c r="D31" i="19" s="1"/>
  <c r="A59" i="16"/>
  <c r="A13" i="2"/>
  <c r="A16" i="2"/>
  <c r="A21" i="2"/>
  <c r="A11" i="23"/>
  <c r="A4" i="2"/>
  <c r="B26" i="9"/>
  <c r="A20" i="23"/>
  <c r="A14" i="19"/>
  <c r="A15" i="2"/>
  <c r="A22" i="23"/>
  <c r="A19" i="23"/>
  <c r="A42" i="19"/>
  <c r="A21" i="23"/>
  <c r="B25" i="9"/>
  <c r="A21" i="19"/>
  <c r="A13" i="19"/>
  <c r="A14" i="2"/>
  <c r="A26" i="3"/>
  <c r="A63" i="19"/>
  <c r="A11" i="19"/>
  <c r="B124" i="1"/>
  <c r="A22" i="7" s="1"/>
  <c r="B125" i="1"/>
  <c r="A31" i="19" l="1"/>
  <c r="A16" i="8"/>
  <c r="A32" i="3"/>
  <c r="H7" i="23"/>
  <c r="A2" i="23" s="1"/>
  <c r="B127" i="1" l="1"/>
  <c r="B126" i="1"/>
  <c r="A120" i="19" l="1"/>
  <c r="A65" i="16" s="1"/>
  <c r="A30" i="4"/>
  <c r="B122" i="19"/>
  <c r="D67" i="16" s="1"/>
  <c r="A15" i="4"/>
  <c r="A14" i="4"/>
  <c r="A13" i="4"/>
  <c r="A7" i="3"/>
  <c r="C8" i="15"/>
  <c r="J12" i="15"/>
  <c r="A10" i="4" l="1"/>
  <c r="A9" i="4" s="1"/>
  <c r="D71" i="16"/>
  <c r="B124" i="19"/>
  <c r="D69" i="16" s="1"/>
  <c r="B123" i="19"/>
  <c r="D68" i="16" s="1"/>
  <c r="D64" i="16"/>
  <c r="B117" i="19"/>
  <c r="D63" i="16" s="1"/>
  <c r="A68" i="16" l="1"/>
  <c r="A67" i="16"/>
  <c r="A121" i="19"/>
  <c r="A66" i="16" s="1"/>
  <c r="A119" i="19"/>
  <c r="A64" i="16" s="1"/>
  <c r="B24" i="9" l="1"/>
  <c r="B2" i="9"/>
  <c r="A22" i="29"/>
  <c r="A22" i="28"/>
  <c r="H5" i="29"/>
  <c r="H5" i="28"/>
  <c r="H5" i="27"/>
  <c r="A22" i="27"/>
  <c r="H22" i="26"/>
  <c r="D2" i="1"/>
  <c r="H5" i="26" s="1"/>
  <c r="A35" i="2"/>
  <c r="A29" i="4"/>
  <c r="A28" i="4"/>
  <c r="A20" i="4"/>
  <c r="A7" i="4"/>
  <c r="A11" i="24"/>
  <c r="A14" i="7"/>
  <c r="A13" i="7"/>
  <c r="A2" i="7"/>
  <c r="A8" i="3"/>
  <c r="A5" i="3"/>
  <c r="A4" i="3"/>
  <c r="A9" i="8"/>
  <c r="A8" i="8"/>
  <c r="A7" i="8"/>
  <c r="A12" i="2"/>
  <c r="A11" i="2"/>
  <c r="A7" i="2"/>
  <c r="B174" i="1"/>
  <c r="H133" i="1"/>
  <c r="I132" i="1"/>
  <c r="F132" i="1" s="1"/>
  <c r="H132" i="1"/>
  <c r="C132" i="1"/>
  <c r="B140" i="1"/>
  <c r="E21" i="7" s="1"/>
  <c r="B137" i="1"/>
  <c r="D21" i="7" s="1"/>
  <c r="E10" i="26" s="1"/>
  <c r="B21" i="7"/>
  <c r="C10" i="26" s="1"/>
  <c r="G10" i="26" l="1"/>
  <c r="D30" i="7"/>
  <c r="D31" i="3" s="1"/>
  <c r="E10" i="28"/>
  <c r="E10" i="27"/>
  <c r="E10" i="29"/>
  <c r="C10" i="28"/>
  <c r="C10" i="27"/>
  <c r="C10" i="29"/>
  <c r="C133" i="1"/>
  <c r="A17" i="7" s="1"/>
  <c r="A21" i="7"/>
  <c r="A10" i="26" s="1"/>
  <c r="C144" i="1"/>
  <c r="A6" i="2"/>
  <c r="E30" i="7"/>
  <c r="E31" i="3" s="1"/>
  <c r="A48" i="7"/>
  <c r="A15" i="7"/>
  <c r="E132" i="1"/>
  <c r="A27" i="3"/>
  <c r="A20" i="3"/>
  <c r="A27" i="2"/>
  <c r="A28" i="2"/>
  <c r="F133" i="1"/>
  <c r="E133" i="1"/>
  <c r="A6" i="8"/>
  <c r="A24" i="2" l="1"/>
  <c r="A28" i="3"/>
  <c r="A15" i="8"/>
  <c r="G10" i="28"/>
  <c r="G10" i="29"/>
  <c r="G10" i="27"/>
  <c r="A14" i="8"/>
  <c r="A25" i="2"/>
  <c r="A16" i="7"/>
  <c r="A18" i="7" s="1"/>
  <c r="A19" i="7" s="1"/>
  <c r="A29" i="3"/>
  <c r="A25" i="23" s="1"/>
  <c r="A37" i="3"/>
  <c r="A21" i="4" l="1"/>
  <c r="A10" i="2"/>
  <c r="A9" i="2"/>
  <c r="A19" i="4"/>
  <c r="B66" i="1" l="1"/>
  <c r="A1" i="19" s="1"/>
  <c r="H31" i="29"/>
  <c r="H31" i="28"/>
  <c r="H22" i="29"/>
  <c r="H22" i="28"/>
  <c r="H22" i="27"/>
  <c r="D56" i="7" l="1"/>
  <c r="A56" i="7"/>
  <c r="A132" i="19"/>
  <c r="B109" i="1"/>
  <c r="R131" i="1" l="1"/>
  <c r="R132" i="1" s="1"/>
  <c r="N133" i="1" s="1"/>
  <c r="Q131" i="1"/>
  <c r="Q132" i="1" s="1"/>
  <c r="N132" i="1" s="1"/>
  <c r="B24" i="4" l="1"/>
  <c r="B67" i="1" l="1"/>
  <c r="C79" i="1" s="1"/>
  <c r="C80" i="1" s="1"/>
  <c r="C81" i="1" s="1"/>
  <c r="B80" i="1" s="1"/>
  <c r="B81" i="1" s="1"/>
  <c r="A13" i="31" s="1"/>
  <c r="B152" i="1" l="1"/>
  <c r="B150" i="1"/>
  <c r="C18" i="1" l="1"/>
  <c r="B20" i="1" l="1"/>
  <c r="B121" i="19" s="1"/>
  <c r="C20" i="1"/>
  <c r="A5" i="19" s="1"/>
  <c r="C122" i="1" l="1"/>
  <c r="C6" i="32"/>
  <c r="B122" i="1"/>
  <c r="B128" i="1" s="1"/>
  <c r="C128" i="1"/>
  <c r="D65" i="16"/>
  <c r="A8" i="2"/>
  <c r="B26" i="23"/>
  <c r="C26" i="23"/>
  <c r="D26" i="23"/>
  <c r="E26" i="23"/>
  <c r="A26"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F27" i="4" l="1"/>
  <c r="A21" i="3" s="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3" i="1"/>
  <c r="D49" i="7" l="1"/>
  <c r="E33" i="7"/>
  <c r="A38" i="20"/>
  <c r="A37" i="20"/>
  <c r="B19" i="20"/>
  <c r="C19" i="20"/>
  <c r="D19" i="20"/>
  <c r="E19" i="20"/>
  <c r="A19" i="20"/>
  <c r="L5" i="15" l="1"/>
  <c r="I8" i="15" l="1"/>
  <c r="E20" i="20"/>
  <c r="B26" i="4"/>
  <c r="B27" i="4" s="1"/>
  <c r="C19" i="1" l="1"/>
  <c r="A33" i="20"/>
  <c r="B21" i="1" l="1"/>
  <c r="A6" i="3" s="1"/>
  <c r="C21" i="1"/>
  <c r="B8" i="15"/>
  <c r="C5" i="22"/>
  <c r="A33" i="22" s="1"/>
  <c r="R43" i="15" l="1"/>
  <c r="R44" i="15"/>
  <c r="R45" i="15"/>
  <c r="R46" i="15"/>
  <c r="R47" i="15"/>
  <c r="O47" i="15" s="1"/>
  <c r="P47" i="15" s="1"/>
  <c r="Q47" i="15" s="1"/>
  <c r="B47" i="15" s="1"/>
  <c r="R48" i="15"/>
  <c r="O48" i="15" s="1"/>
  <c r="P48" i="15" s="1"/>
  <c r="Q48" i="15" s="1"/>
  <c r="B48" i="15" s="1"/>
  <c r="R49" i="15"/>
  <c r="R50" i="15"/>
  <c r="R51" i="15"/>
  <c r="R52" i="15"/>
  <c r="R53" i="15"/>
  <c r="R54" i="15"/>
  <c r="R55" i="15"/>
  <c r="O43" i="15"/>
  <c r="P43" i="15" s="1"/>
  <c r="Q43" i="15" s="1"/>
  <c r="B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O55" i="15" l="1"/>
  <c r="P55" i="15" s="1"/>
  <c r="Q55" i="15" s="1"/>
  <c r="B55" i="15"/>
  <c r="O54" i="15"/>
  <c r="P54" i="15" s="1"/>
  <c r="Q54" i="15" s="1"/>
  <c r="B54" i="15" s="1"/>
  <c r="O53" i="15"/>
  <c r="P53" i="15" s="1"/>
  <c r="Q53" i="15" s="1"/>
  <c r="B53" i="15" s="1"/>
  <c r="O52" i="15"/>
  <c r="P52" i="15" s="1"/>
  <c r="Q52" i="15" s="1"/>
  <c r="B52" i="15" s="1"/>
  <c r="O51" i="15"/>
  <c r="P51" i="15" s="1"/>
  <c r="Q51" i="15" s="1"/>
  <c r="B51" i="15" s="1"/>
  <c r="O50" i="15"/>
  <c r="P50" i="15" s="1"/>
  <c r="Q50" i="15" s="1"/>
  <c r="B50" i="15" s="1"/>
  <c r="O49" i="15"/>
  <c r="P49" i="15" s="1"/>
  <c r="Q49" i="15" s="1"/>
  <c r="B49" i="15" s="1"/>
  <c r="B48" i="12"/>
  <c r="G48" i="15"/>
  <c r="H48" i="15"/>
  <c r="B47" i="12"/>
  <c r="H47" i="15"/>
  <c r="O46" i="15"/>
  <c r="P46" i="15" s="1"/>
  <c r="Q46" i="15" s="1"/>
  <c r="B46" i="15" s="1"/>
  <c r="O45" i="15"/>
  <c r="P45" i="15" s="1"/>
  <c r="Q45" i="15" s="1"/>
  <c r="B45" i="15" s="1"/>
  <c r="O44" i="15"/>
  <c r="P44" i="15" s="1"/>
  <c r="Q44" i="15" s="1"/>
  <c r="B44" i="15" s="1"/>
  <c r="H42" i="12"/>
  <c r="H37" i="12"/>
  <c r="H38" i="12"/>
  <c r="G38" i="12"/>
  <c r="H32" i="15"/>
  <c r="B32" i="12"/>
  <c r="B33" i="16" s="1"/>
  <c r="G39" i="12"/>
  <c r="H39" i="12"/>
  <c r="H40" i="12"/>
  <c r="G40" i="12"/>
  <c r="H43" i="15"/>
  <c r="B43" i="12"/>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B49" i="12" l="1"/>
  <c r="H49" i="15"/>
  <c r="G49" i="15"/>
  <c r="B50" i="12"/>
  <c r="H50" i="15"/>
  <c r="G50" i="15"/>
  <c r="B45" i="12"/>
  <c r="H45" i="15"/>
  <c r="G45" i="15"/>
  <c r="B53" i="12"/>
  <c r="G53" i="15"/>
  <c r="H53" i="15"/>
  <c r="B46" i="12"/>
  <c r="H46" i="15"/>
  <c r="G46" i="15"/>
  <c r="G47" i="15"/>
  <c r="B52" i="12"/>
  <c r="H52" i="15"/>
  <c r="G52" i="15"/>
  <c r="B44" i="12"/>
  <c r="G44" i="12" s="1"/>
  <c r="H44" i="15"/>
  <c r="G44" i="15"/>
  <c r="B49" i="16"/>
  <c r="G48" i="12"/>
  <c r="H48" i="12"/>
  <c r="B51" i="12"/>
  <c r="H51" i="15"/>
  <c r="G51" i="15"/>
  <c r="B54" i="12"/>
  <c r="G54" i="15"/>
  <c r="H54" i="15"/>
  <c r="H47" i="12"/>
  <c r="B48" i="16"/>
  <c r="B55" i="12"/>
  <c r="H55" i="15"/>
  <c r="G55" i="15"/>
  <c r="B44" i="16"/>
  <c r="H32" i="12"/>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H31" i="15"/>
  <c r="H25" i="15"/>
  <c r="H16" i="15"/>
  <c r="G16" i="15"/>
  <c r="G17" i="15"/>
  <c r="H17" i="15"/>
  <c r="H15" i="15"/>
  <c r="H18" i="15"/>
  <c r="G18" i="15"/>
  <c r="H13" i="15"/>
  <c r="H20" i="15"/>
  <c r="H21" i="15"/>
  <c r="G21" i="15"/>
  <c r="G23" i="15"/>
  <c r="H23" i="15"/>
  <c r="H22" i="15"/>
  <c r="G22" i="15"/>
  <c r="G14" i="15"/>
  <c r="H14" i="15"/>
  <c r="G15" i="15"/>
  <c r="G9" i="15"/>
  <c r="H19" i="15"/>
  <c r="G20" i="15"/>
  <c r="G19" i="15"/>
  <c r="D17" i="1"/>
  <c r="B55" i="16" l="1"/>
  <c r="H54" i="12"/>
  <c r="G54" i="12"/>
  <c r="H46" i="12"/>
  <c r="G46" i="12"/>
  <c r="B47" i="16"/>
  <c r="B52" i="16"/>
  <c r="G51" i="12"/>
  <c r="H51" i="12"/>
  <c r="H53" i="12"/>
  <c r="G53" i="12"/>
  <c r="B54" i="16"/>
  <c r="B45" i="16"/>
  <c r="H44" i="12"/>
  <c r="H50" i="12"/>
  <c r="B51" i="16"/>
  <c r="G50" i="12"/>
  <c r="B46" i="16"/>
  <c r="G45" i="12"/>
  <c r="H45" i="12"/>
  <c r="G55" i="12"/>
  <c r="B56" i="16"/>
  <c r="H55" i="12"/>
  <c r="G47" i="12"/>
  <c r="G52" i="12"/>
  <c r="B53" i="16"/>
  <c r="H52" i="12"/>
  <c r="B50" i="16"/>
  <c r="H49" i="12"/>
  <c r="G49" i="12"/>
  <c r="G32" i="12"/>
  <c r="B32" i="16"/>
  <c r="H41" i="12"/>
  <c r="G41" i="12"/>
  <c r="G42" i="12"/>
  <c r="G10" i="15"/>
  <c r="H10" i="15"/>
  <c r="H9" i="15"/>
  <c r="G13" i="15"/>
  <c r="G12" i="15"/>
  <c r="H12" i="15"/>
  <c r="H11" i="15"/>
  <c r="G11" i="15"/>
  <c r="I67" i="1"/>
  <c r="G67" i="1"/>
  <c r="A117" i="19" l="1"/>
  <c r="A63" i="16" s="1"/>
  <c r="F67" i="1" l="1"/>
  <c r="E67" i="1"/>
  <c r="A20" i="2" s="1"/>
  <c r="C67" i="1"/>
  <c r="C65" i="1"/>
  <c r="C66" i="1" l="1"/>
  <c r="I66" i="1"/>
  <c r="G66" i="1"/>
  <c r="D67" i="1"/>
  <c r="B151"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75" i="1"/>
  <c r="A2" i="8" s="1"/>
  <c r="B149" i="1"/>
  <c r="E4" i="7" s="1"/>
  <c r="A39" i="20"/>
  <c r="B40" i="9"/>
  <c r="A19" i="2"/>
  <c r="D72" i="15"/>
  <c r="A70" i="15"/>
  <c r="A68" i="15"/>
  <c r="D64" i="15"/>
  <c r="D60" i="15"/>
  <c r="A60" i="15"/>
  <c r="A23" i="23" l="1"/>
  <c r="A12" i="8"/>
  <c r="A7" i="7"/>
  <c r="A10" i="7"/>
  <c r="A26" i="7"/>
  <c r="A15" i="3"/>
  <c r="H27" i="15"/>
  <c r="G27" i="15"/>
  <c r="G28" i="15"/>
  <c r="H28" i="15"/>
  <c r="G30" i="15"/>
  <c r="G31" i="15"/>
  <c r="H30" i="15"/>
  <c r="G29" i="15"/>
  <c r="H29" i="15"/>
  <c r="G26" i="15"/>
  <c r="H26" i="15"/>
  <c r="H24" i="15"/>
  <c r="G24" i="15"/>
  <c r="G25" i="15"/>
  <c r="A6" i="7" l="1"/>
  <c r="F2" i="15"/>
  <c r="B62" i="1" l="1"/>
  <c r="D67" i="15" l="1"/>
  <c r="D68" i="15" l="1"/>
  <c r="D66"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C149" i="1"/>
  <c r="A35" i="20"/>
  <c r="A34" i="20"/>
  <c r="A9" i="20" l="1"/>
  <c r="N130" i="1"/>
  <c r="E44" i="7"/>
  <c r="E31" i="20" s="1"/>
  <c r="A23" i="2" l="1"/>
  <c r="D72" i="12"/>
  <c r="A70" i="12"/>
  <c r="A68" i="12"/>
  <c r="D64" i="12"/>
  <c r="D60" i="12"/>
  <c r="A60" i="12"/>
  <c r="C8" i="12"/>
  <c r="C9" i="16" s="1"/>
  <c r="A32" i="20"/>
  <c r="A25" i="19" l="1"/>
  <c r="A24" i="19" l="1"/>
  <c r="B12" i="9"/>
  <c r="A10" i="8"/>
  <c r="E17" i="8"/>
  <c r="E11" i="20" s="1"/>
  <c r="D17" i="8"/>
  <c r="D11" i="20" s="1"/>
  <c r="C17" i="8"/>
  <c r="C11" i="20" s="1"/>
  <c r="B17" i="8"/>
  <c r="B11" i="20" s="1"/>
  <c r="A17" i="8"/>
  <c r="A11" i="20" s="1"/>
  <c r="D60" i="7"/>
  <c r="D27" i="23"/>
  <c r="C30" i="7"/>
  <c r="B30" i="7"/>
  <c r="A30" i="7"/>
  <c r="C27" i="23" l="1"/>
  <c r="C31" i="3"/>
  <c r="A27" i="23"/>
  <c r="A31" i="3"/>
  <c r="B27" i="23"/>
  <c r="B31" i="3"/>
  <c r="A31" i="23"/>
  <c r="A14" i="26"/>
  <c r="A14" i="29"/>
  <c r="A14" i="28"/>
  <c r="A14" i="27"/>
  <c r="A29" i="23"/>
  <c r="A12" i="27"/>
  <c r="A12" i="29"/>
  <c r="A12" i="28"/>
  <c r="A12" i="26"/>
  <c r="D18" i="8"/>
  <c r="D12" i="20" s="1"/>
  <c r="C18" i="8"/>
  <c r="C12" i="20" s="1"/>
  <c r="B18" i="8"/>
  <c r="B12" i="20" s="1"/>
  <c r="A22" i="8"/>
  <c r="A16" i="20" s="1"/>
  <c r="A18" i="8"/>
  <c r="A12" i="20" s="1"/>
  <c r="A20" i="8"/>
  <c r="A14" i="20" s="1"/>
  <c r="D35" i="4"/>
  <c r="D27" i="4"/>
  <c r="C27" i="4"/>
  <c r="A14" i="3"/>
  <c r="A41" i="3" s="1"/>
  <c r="A11" i="4"/>
  <c r="A8" i="4"/>
  <c r="A6" i="4"/>
  <c r="A5" i="4"/>
  <c r="A4" i="4"/>
  <c r="A40" i="2"/>
  <c r="A17" i="3"/>
  <c r="A44" i="3" s="1"/>
  <c r="A12" i="3"/>
  <c r="A63" i="15" l="1"/>
  <c r="A67" i="15"/>
  <c r="A72" i="15"/>
  <c r="D74" i="15"/>
  <c r="A62" i="15"/>
  <c r="A66" i="15"/>
  <c r="A65" i="15"/>
  <c r="A64" i="15"/>
  <c r="D63" i="15"/>
  <c r="D70" i="15"/>
  <c r="D62" i="15"/>
  <c r="A72" i="12"/>
  <c r="A66" i="12"/>
  <c r="A63" i="12"/>
  <c r="A67" i="12"/>
  <c r="A64" i="12"/>
  <c r="A13" i="3"/>
  <c r="A40" i="3" s="1"/>
  <c r="A65" i="12"/>
  <c r="D68" i="12"/>
  <c r="D66" i="12"/>
  <c r="D67" i="12"/>
  <c r="D63" i="12"/>
  <c r="D70" i="12"/>
  <c r="D62" i="12"/>
  <c r="A62" i="12"/>
  <c r="A39" i="3"/>
  <c r="A42" i="3"/>
  <c r="A11" i="8"/>
  <c r="A16" i="3"/>
  <c r="A43" i="3" s="1"/>
  <c r="A13" i="8"/>
  <c r="A11" i="3"/>
  <c r="A38" i="3" s="1"/>
  <c r="A26" i="2"/>
  <c r="A22" i="2" s="1"/>
  <c r="A15" i="27" l="1"/>
  <c r="A15" i="26"/>
  <c r="A15" i="29"/>
  <c r="A15" i="28"/>
  <c r="A30" i="23"/>
  <c r="A13" i="27"/>
  <c r="A13" i="28"/>
  <c r="A13" i="29"/>
  <c r="A13" i="26"/>
  <c r="A28" i="23"/>
  <c r="A11" i="29"/>
  <c r="A11" i="28"/>
  <c r="A11" i="27"/>
  <c r="A11" i="26"/>
  <c r="E27" i="23"/>
  <c r="A21" i="8"/>
  <c r="A15" i="20" s="1"/>
  <c r="A19" i="8"/>
  <c r="A13" i="20" s="1"/>
  <c r="E18" i="8"/>
  <c r="E12" i="20" s="1"/>
  <c r="A18" i="3"/>
  <c r="A13" i="23" s="1"/>
  <c r="F2" i="12"/>
  <c r="A45"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D9" i="15" s="1"/>
  <c r="C10" i="15" s="1"/>
  <c r="M8" i="15"/>
  <c r="F8" i="15" s="1"/>
  <c r="I10" i="15"/>
  <c r="I11" i="15" s="1"/>
  <c r="I12" i="15" s="1"/>
  <c r="I13" i="15" s="1"/>
  <c r="I14" i="15" s="1"/>
  <c r="I15" i="15" s="1"/>
  <c r="I16" i="15" s="1"/>
  <c r="I17" i="15" s="1"/>
  <c r="I18" i="15" s="1"/>
  <c r="L9" i="15" l="1"/>
  <c r="E9" i="15" s="1"/>
  <c r="D10" i="15"/>
  <c r="J14" i="15"/>
  <c r="K14" i="15" s="1"/>
  <c r="J13" i="15"/>
  <c r="K13" i="15" s="1"/>
  <c r="J17" i="15"/>
  <c r="K17" i="15" s="1"/>
  <c r="J16" i="15"/>
  <c r="K16" i="15" s="1"/>
  <c r="L10" i="15"/>
  <c r="E10" i="15" s="1"/>
  <c r="J15" i="15"/>
  <c r="K15" i="15" s="1"/>
  <c r="J18" i="15"/>
  <c r="K18" i="15" s="1"/>
  <c r="J19" i="15"/>
  <c r="K19" i="15" s="1"/>
  <c r="I19" i="15" s="1"/>
  <c r="M9" i="15" l="1"/>
  <c r="F9" i="15" s="1"/>
  <c r="C11" i="15"/>
  <c r="D11" i="15" s="1"/>
  <c r="I20" i="15"/>
  <c r="I21" i="15" s="1"/>
  <c r="J20" i="15"/>
  <c r="K20" i="15" s="1"/>
  <c r="M10" i="15"/>
  <c r="F10" i="15" s="1"/>
  <c r="C12" i="15" l="1"/>
  <c r="D12" i="15" s="1"/>
  <c r="C13" i="15" s="1"/>
  <c r="D13" i="15" s="1"/>
  <c r="C14" i="15" s="1"/>
  <c r="L11" i="15"/>
  <c r="E11" i="15" s="1"/>
  <c r="J21" i="15"/>
  <c r="K21" i="15" s="1"/>
  <c r="J22" i="15"/>
  <c r="K22" i="15" s="1"/>
  <c r="I22" i="15" s="1"/>
  <c r="I23" i="15" l="1"/>
  <c r="I24" i="15" s="1"/>
  <c r="J25" i="15" s="1"/>
  <c r="K25" i="15" s="1"/>
  <c r="I25" i="15" s="1"/>
  <c r="I26" i="15" s="1"/>
  <c r="J23" i="15"/>
  <c r="K23" i="15" s="1"/>
  <c r="L12" i="15"/>
  <c r="E12" i="15" s="1"/>
  <c r="M11" i="15"/>
  <c r="F11" i="15" s="1"/>
  <c r="J24" i="15" l="1"/>
  <c r="K24" i="15" s="1"/>
  <c r="J26" i="15"/>
  <c r="K26" i="15" s="1"/>
  <c r="J27" i="15"/>
  <c r="K27" i="15" s="1"/>
  <c r="I27" i="15" s="1"/>
  <c r="M12" i="15"/>
  <c r="F12" i="15" s="1"/>
  <c r="L13" i="15"/>
  <c r="E13" i="15" s="1"/>
  <c r="I28" i="15" l="1"/>
  <c r="J29" i="15" s="1"/>
  <c r="K29" i="15" s="1"/>
  <c r="I29" i="15" s="1"/>
  <c r="J30" i="15" s="1"/>
  <c r="K30" i="15" s="1"/>
  <c r="I30" i="15" s="1"/>
  <c r="J31" i="15" s="1"/>
  <c r="K31" i="15" s="1"/>
  <c r="I31" i="15" s="1"/>
  <c r="J32" i="15" s="1"/>
  <c r="K32" i="15" s="1"/>
  <c r="J28" i="15"/>
  <c r="K28" i="15" s="1"/>
  <c r="L14" i="15"/>
  <c r="I32" i="15" l="1"/>
  <c r="I33" i="15" s="1"/>
  <c r="I34" i="15" s="1"/>
  <c r="E14" i="15"/>
  <c r="D14" i="15"/>
  <c r="C15" i="15" s="1"/>
  <c r="L15" i="15" s="1"/>
  <c r="E15" i="15" s="1"/>
  <c r="M13" i="15"/>
  <c r="F13" i="15" s="1"/>
  <c r="J34" i="15" l="1"/>
  <c r="K34" i="15" s="1"/>
  <c r="J33" i="15"/>
  <c r="K33" i="15" s="1"/>
  <c r="M14" i="15"/>
  <c r="F14" i="15" s="1"/>
  <c r="D15" i="15"/>
  <c r="C16" i="15" s="1"/>
  <c r="L16" i="15" s="1"/>
  <c r="E16" i="15" s="1"/>
  <c r="I35" i="15"/>
  <c r="J35" i="15"/>
  <c r="K35" i="15" s="1"/>
  <c r="M15" i="15" l="1"/>
  <c r="F15" i="15" s="1"/>
  <c r="D16" i="15"/>
  <c r="C17" i="15" s="1"/>
  <c r="L17" i="15" s="1"/>
  <c r="E17" i="15" s="1"/>
  <c r="I36" i="15"/>
  <c r="J36" i="15"/>
  <c r="K36" i="15" s="1"/>
  <c r="M16" i="15" l="1"/>
  <c r="F16" i="15" s="1"/>
  <c r="D17" i="15"/>
  <c r="C18" i="15" s="1"/>
  <c r="L18" i="15" s="1"/>
  <c r="E18" i="15" s="1"/>
  <c r="J37" i="15"/>
  <c r="K37" i="15" s="1"/>
  <c r="I37" i="15" s="1"/>
  <c r="M17" i="15" l="1"/>
  <c r="F17" i="15" s="1"/>
  <c r="D18" i="15"/>
  <c r="C19" i="15" s="1"/>
  <c r="L19" i="15" s="1"/>
  <c r="E19" i="15" s="1"/>
  <c r="I38" i="15"/>
  <c r="J38" i="15"/>
  <c r="K38" i="15" s="1"/>
  <c r="M18" i="15" l="1"/>
  <c r="F18" i="15" s="1"/>
  <c r="D19" i="15"/>
  <c r="C20" i="15" s="1"/>
  <c r="L20" i="15" s="1"/>
  <c r="I39" i="15"/>
  <c r="J39" i="15"/>
  <c r="K39" i="15" s="1"/>
  <c r="M19" i="15" l="1"/>
  <c r="F19" i="15" s="1"/>
  <c r="I40" i="15"/>
  <c r="J40" i="15"/>
  <c r="K40" i="15" s="1"/>
  <c r="E20" i="15"/>
  <c r="D20" i="15"/>
  <c r="C21" i="15" l="1"/>
  <c r="L21" i="15" s="1"/>
  <c r="E21" i="15" s="1"/>
  <c r="I41" i="15"/>
  <c r="J41" i="15"/>
  <c r="K41" i="15" s="1"/>
  <c r="M20" i="15"/>
  <c r="F20" i="15" s="1"/>
  <c r="D21" i="15" l="1"/>
  <c r="C22" i="15" s="1"/>
  <c r="L22" i="15" s="1"/>
  <c r="E22" i="15" s="1"/>
  <c r="I42" i="15"/>
  <c r="J43" i="15" s="1"/>
  <c r="K43" i="15" s="1"/>
  <c r="I43" i="15" s="1"/>
  <c r="J42" i="15"/>
  <c r="K42" i="15" s="1"/>
  <c r="I44" i="15" l="1"/>
  <c r="J44" i="15"/>
  <c r="K44" i="15" s="1"/>
  <c r="D22" i="15"/>
  <c r="C23" i="15" s="1"/>
  <c r="L23" i="15" s="1"/>
  <c r="E23" i="15" s="1"/>
  <c r="M21" i="15"/>
  <c r="F21" i="15" s="1"/>
  <c r="I45" i="15" l="1"/>
  <c r="J45" i="15"/>
  <c r="K45" i="15" s="1"/>
  <c r="M22" i="15"/>
  <c r="F22" i="15" s="1"/>
  <c r="D23" i="15"/>
  <c r="C24" i="15" s="1"/>
  <c r="L24" i="15" s="1"/>
  <c r="E24" i="15" s="1"/>
  <c r="I46" i="15" l="1"/>
  <c r="J46" i="15"/>
  <c r="K46" i="15" s="1"/>
  <c r="M23" i="15"/>
  <c r="F23" i="15" s="1"/>
  <c r="D24" i="15"/>
  <c r="I47" i="15" l="1"/>
  <c r="J47" i="15"/>
  <c r="K47" i="15" s="1"/>
  <c r="C25" i="15"/>
  <c r="M24" i="15"/>
  <c r="F24" i="15" s="1"/>
  <c r="I48" i="15" l="1"/>
  <c r="J48" i="15"/>
  <c r="K48" i="15" s="1"/>
  <c r="L25" i="15"/>
  <c r="E25" i="15" s="1"/>
  <c r="I49" i="15" l="1"/>
  <c r="J49" i="15"/>
  <c r="K49" i="15" s="1"/>
  <c r="D25" i="15"/>
  <c r="I50" i="15" l="1"/>
  <c r="J50" i="15"/>
  <c r="K50" i="15" s="1"/>
  <c r="C26" i="15"/>
  <c r="M25" i="15"/>
  <c r="F25" i="15" s="1"/>
  <c r="I51" i="15" l="1"/>
  <c r="J51" i="15"/>
  <c r="K51" i="15" s="1"/>
  <c r="L26" i="15"/>
  <c r="D26" i="15" s="1"/>
  <c r="I52" i="15" l="1"/>
  <c r="J52" i="15"/>
  <c r="K52" i="15" s="1"/>
  <c r="E26" i="15"/>
  <c r="M26" i="15" s="1"/>
  <c r="F26" i="15" s="1"/>
  <c r="C27" i="15"/>
  <c r="I53" i="15" l="1"/>
  <c r="J53" i="15"/>
  <c r="K53" i="15" s="1"/>
  <c r="L27" i="15"/>
  <c r="D27" i="15" s="1"/>
  <c r="J54" i="15" l="1"/>
  <c r="K54" i="15" s="1"/>
  <c r="I54" i="15"/>
  <c r="J55" i="15" s="1"/>
  <c r="K55" i="15" s="1"/>
  <c r="I55" i="15" s="1"/>
  <c r="E27" i="15"/>
  <c r="M27" i="15" s="1"/>
  <c r="F27" i="15" s="1"/>
  <c r="C28" i="15"/>
  <c r="L28" i="15" l="1"/>
  <c r="D28" i="15" s="1"/>
  <c r="E28" i="15" l="1"/>
  <c r="M28" i="15" s="1"/>
  <c r="F28" i="15" s="1"/>
  <c r="C29" i="15"/>
  <c r="L29" i="15" l="1"/>
  <c r="D29" i="15" s="1"/>
  <c r="E29" i="15" l="1"/>
  <c r="M29" i="15" s="1"/>
  <c r="F29" i="15" s="1"/>
  <c r="C30" i="15"/>
  <c r="L30" i="15" l="1"/>
  <c r="D30" i="15" s="1"/>
  <c r="E30" i="15" l="1"/>
  <c r="M30" i="15" s="1"/>
  <c r="F30" i="15" s="1"/>
  <c r="C31" i="15"/>
  <c r="L31" i="15" l="1"/>
  <c r="D31" i="15" s="1"/>
  <c r="C32" i="15" s="1"/>
  <c r="E31" i="15" l="1"/>
  <c r="M31" i="15" s="1"/>
  <c r="F31" i="15" s="1"/>
  <c r="L32" i="15"/>
  <c r="E32" i="15" s="1"/>
  <c r="D32" i="15" l="1"/>
  <c r="C33" i="15" s="1"/>
  <c r="L33" i="15" s="1"/>
  <c r="E33" i="15" s="1"/>
  <c r="M32" i="15" l="1"/>
  <c r="F32" i="15" s="1"/>
  <c r="D33" i="15"/>
  <c r="C34" i="15" s="1"/>
  <c r="L34" i="15" s="1"/>
  <c r="E34" i="15" s="1"/>
  <c r="M33" i="15" l="1"/>
  <c r="F33" i="15" s="1"/>
  <c r="D34" i="15"/>
  <c r="C35" i="15" s="1"/>
  <c r="L35" i="15" s="1"/>
  <c r="E35" i="15" s="1"/>
  <c r="M34" i="15" l="1"/>
  <c r="F34" i="15" s="1"/>
  <c r="D35" i="15"/>
  <c r="C36" i="15" s="1"/>
  <c r="L36" i="15" s="1"/>
  <c r="E36" i="15" s="1"/>
  <c r="M35" i="15" l="1"/>
  <c r="F35" i="15" s="1"/>
  <c r="D36" i="15"/>
  <c r="C37" i="15" s="1"/>
  <c r="L37" i="15" s="1"/>
  <c r="E37" i="15" s="1"/>
  <c r="M36" i="15" l="1"/>
  <c r="F36" i="15" s="1"/>
  <c r="D37" i="15"/>
  <c r="M37" i="15" s="1"/>
  <c r="F37" i="15" s="1"/>
  <c r="C38" i="15" l="1"/>
  <c r="L38" i="15" l="1"/>
  <c r="E38" i="15" s="1"/>
  <c r="D38" i="15" l="1"/>
  <c r="C39" i="15" s="1"/>
  <c r="L39" i="15" l="1"/>
  <c r="E39" i="15" s="1"/>
  <c r="M38" i="15"/>
  <c r="F38" i="15" s="1"/>
  <c r="D39" i="15" l="1"/>
  <c r="C40" i="15" l="1"/>
  <c r="M39" i="15"/>
  <c r="F39" i="15" s="1"/>
  <c r="L40" i="15" l="1"/>
  <c r="E40" i="15" s="1"/>
  <c r="D40" i="15" l="1"/>
  <c r="M40" i="15" s="1"/>
  <c r="F40" i="15" s="1"/>
  <c r="C41" i="15" l="1"/>
  <c r="L41" i="15" s="1"/>
  <c r="E41" i="15" s="1"/>
  <c r="D41" i="15" l="1"/>
  <c r="M41" i="15" s="1"/>
  <c r="F41" i="15" s="1"/>
  <c r="C42" i="15" l="1"/>
  <c r="L42" i="15" s="1"/>
  <c r="E42" i="15" s="1"/>
  <c r="D42" i="15" l="1"/>
  <c r="C43" i="15" s="1"/>
  <c r="L43" i="15" l="1"/>
  <c r="E43" i="15" s="1"/>
  <c r="M42" i="15"/>
  <c r="F42" i="15" s="1"/>
  <c r="D43" i="15"/>
  <c r="M43" i="15" l="1"/>
  <c r="F43" i="15" s="1"/>
  <c r="C44" i="15"/>
  <c r="L44" i="15" l="1"/>
  <c r="D44" i="15" s="1"/>
  <c r="C45" i="15" l="1"/>
  <c r="E44" i="15"/>
  <c r="L45" i="15" l="1"/>
  <c r="D45" i="15" s="1"/>
  <c r="M44" i="15"/>
  <c r="F44" i="15" s="1"/>
  <c r="C46" i="15" l="1"/>
  <c r="E45" i="15"/>
  <c r="L46" i="15" l="1"/>
  <c r="D46" i="15" s="1"/>
  <c r="C47" i="15" s="1"/>
  <c r="M45" i="15"/>
  <c r="F45" i="15" s="1"/>
  <c r="L47" i="15" l="1"/>
  <c r="D47" i="15" s="1"/>
  <c r="C48" i="15" s="1"/>
  <c r="E46" i="15"/>
  <c r="M46" i="15" l="1"/>
  <c r="F46" i="15" s="1"/>
  <c r="L48" i="15"/>
  <c r="D48" i="15" s="1"/>
  <c r="C49" i="15" s="1"/>
  <c r="E47" i="15"/>
  <c r="M47" i="15" l="1"/>
  <c r="F47" i="15" s="1"/>
  <c r="E48" i="15"/>
  <c r="L49" i="15"/>
  <c r="D49" i="15" s="1"/>
  <c r="C50" i="15" s="1"/>
  <c r="M48" i="15"/>
  <c r="F48" i="15" s="1"/>
  <c r="L50" i="15" l="1"/>
  <c r="D50" i="15" s="1"/>
  <c r="C51" i="15" s="1"/>
  <c r="E49" i="15"/>
  <c r="E50" i="15" l="1"/>
  <c r="M49" i="15"/>
  <c r="F49" i="15" s="1"/>
  <c r="L51" i="15"/>
  <c r="E51" i="15" s="1"/>
  <c r="D51" i="15"/>
  <c r="C52" i="15" s="1"/>
  <c r="M50" i="15"/>
  <c r="F50" i="15" s="1"/>
  <c r="L52" i="15" l="1"/>
  <c r="D52" i="15" s="1"/>
  <c r="C53" i="15" s="1"/>
  <c r="M51" i="15"/>
  <c r="F51" i="15" s="1"/>
  <c r="E52" i="15" l="1"/>
  <c r="M52" i="15" s="1"/>
  <c r="F52" i="15" s="1"/>
  <c r="L53" i="15"/>
  <c r="E53" i="15" s="1"/>
  <c r="D53" i="15"/>
  <c r="M53" i="15" l="1"/>
  <c r="F53" i="15" s="1"/>
  <c r="C54" i="15"/>
  <c r="L54" i="15" l="1"/>
  <c r="D54" i="15" s="1"/>
  <c r="C55" i="15" s="1"/>
  <c r="L55" i="15" l="1"/>
  <c r="E55" i="15" s="1"/>
  <c r="D55" i="15"/>
  <c r="E54" i="15"/>
  <c r="E56" i="15" l="1"/>
  <c r="M54" i="15"/>
  <c r="F54" i="15" s="1"/>
  <c r="M55" i="15"/>
  <c r="F55" i="15" s="1"/>
  <c r="D56" i="15"/>
  <c r="F56" i="15" l="1"/>
  <c r="A10" i="27" l="1"/>
  <c r="A10" i="28"/>
  <c r="A10" i="29"/>
  <c r="B91" i="1" l="1"/>
  <c r="F8" i="12" s="1"/>
  <c r="A23" i="3" l="1"/>
  <c r="A24" i="3"/>
  <c r="A22" i="3" s="1"/>
  <c r="F9" i="12"/>
  <c r="F9" i="16"/>
  <c r="D8" i="12"/>
  <c r="D9" i="16" l="1"/>
  <c r="C9" i="12"/>
  <c r="F10" i="16"/>
  <c r="F10" i="12"/>
  <c r="F11" i="12" l="1"/>
  <c r="F11" i="16"/>
  <c r="C10" i="16"/>
  <c r="E9" i="12"/>
  <c r="E10" i="16" l="1"/>
  <c r="D9" i="12"/>
  <c r="F12" i="16"/>
  <c r="F12" i="12"/>
  <c r="F13" i="12" l="1"/>
  <c r="F13" i="16"/>
  <c r="D10" i="16"/>
  <c r="C10" i="12"/>
  <c r="E10" i="12" l="1"/>
  <c r="C11" i="16"/>
  <c r="F14" i="12"/>
  <c r="F14" i="16"/>
  <c r="F15" i="12" l="1"/>
  <c r="F15" i="16"/>
  <c r="E11" i="16"/>
  <c r="D10" i="12"/>
  <c r="D11" i="16" l="1"/>
  <c r="C11" i="12"/>
  <c r="F16" i="12"/>
  <c r="F16" i="16"/>
  <c r="E11" i="12" l="1"/>
  <c r="C12" i="16"/>
  <c r="F17" i="12"/>
  <c r="F17" i="16"/>
  <c r="F18" i="16" l="1"/>
  <c r="F18" i="12"/>
  <c r="E12" i="16"/>
  <c r="D11" i="12"/>
  <c r="D12" i="16" l="1"/>
  <c r="C12" i="12"/>
  <c r="F19" i="12"/>
  <c r="F19" i="16"/>
  <c r="F20" i="16" l="1"/>
  <c r="F20" i="12"/>
  <c r="C13" i="16"/>
  <c r="E12" i="12"/>
  <c r="E13" i="16" l="1"/>
  <c r="D12" i="12"/>
  <c r="F21" i="12"/>
  <c r="F21" i="16"/>
  <c r="D13" i="16" l="1"/>
  <c r="C13" i="12"/>
  <c r="F22" i="12"/>
  <c r="F22" i="16"/>
  <c r="E13" i="12" l="1"/>
  <c r="C14" i="16"/>
  <c r="F23" i="12"/>
  <c r="F23" i="16"/>
  <c r="F24" i="12" l="1"/>
  <c r="F24" i="16"/>
  <c r="E14" i="16"/>
  <c r="D13" i="12"/>
  <c r="D14" i="16" l="1"/>
  <c r="C14" i="12"/>
  <c r="F25" i="12"/>
  <c r="F25" i="16"/>
  <c r="C15" i="16" l="1"/>
  <c r="E14" i="12"/>
  <c r="F26" i="16"/>
  <c r="F26" i="12"/>
  <c r="F27" i="12" l="1"/>
  <c r="F27" i="16"/>
  <c r="E15" i="16"/>
  <c r="D14" i="12"/>
  <c r="D15" i="16" l="1"/>
  <c r="C15" i="12"/>
  <c r="F28" i="16"/>
  <c r="F28" i="12"/>
  <c r="F29" i="12" l="1"/>
  <c r="F29" i="16"/>
  <c r="E15" i="12"/>
  <c r="C16" i="16"/>
  <c r="E16" i="16" l="1"/>
  <c r="D15" i="12"/>
  <c r="F30" i="12"/>
  <c r="F30" i="16"/>
  <c r="F31" i="12" l="1"/>
  <c r="F31" i="16"/>
  <c r="D16" i="16"/>
  <c r="C16" i="12"/>
  <c r="E16" i="12" l="1"/>
  <c r="C17" i="16"/>
  <c r="F32" i="12"/>
  <c r="F32" i="16"/>
  <c r="F33" i="12" l="1"/>
  <c r="F33" i="16"/>
  <c r="E17" i="16"/>
  <c r="D16" i="12"/>
  <c r="D17" i="16" l="1"/>
  <c r="C17" i="12"/>
  <c r="F34" i="16"/>
  <c r="F34" i="12"/>
  <c r="F35" i="12" l="1"/>
  <c r="F35" i="16"/>
  <c r="C18" i="16"/>
  <c r="E17" i="12"/>
  <c r="E18" i="16" l="1"/>
  <c r="D17" i="12"/>
  <c r="F36" i="16"/>
  <c r="F36" i="12"/>
  <c r="F37" i="12" l="1"/>
  <c r="F37" i="16"/>
  <c r="D18" i="16"/>
  <c r="C18" i="12"/>
  <c r="C19" i="16" l="1"/>
  <c r="E18" i="12"/>
  <c r="F38" i="12"/>
  <c r="F38" i="16"/>
  <c r="F39" i="12" l="1"/>
  <c r="F39" i="16"/>
  <c r="E19" i="16"/>
  <c r="D18" i="12"/>
  <c r="D19" i="16" l="1"/>
  <c r="C19" i="12"/>
  <c r="F40" i="12"/>
  <c r="F40" i="16"/>
  <c r="F41" i="12" l="1"/>
  <c r="F41" i="16"/>
  <c r="E19" i="12"/>
  <c r="C20" i="16"/>
  <c r="E20" i="16" l="1"/>
  <c r="C63" i="1" s="1"/>
  <c r="C60" i="1" s="1"/>
  <c r="D19" i="12"/>
  <c r="F42" i="16"/>
  <c r="F42" i="12"/>
  <c r="D20" i="16" l="1"/>
  <c r="C20" i="12"/>
  <c r="F43" i="16"/>
  <c r="C21" i="16" l="1"/>
  <c r="E20" i="12"/>
  <c r="E21" i="16" l="1"/>
  <c r="D20" i="12"/>
  <c r="D21" i="16" l="1"/>
  <c r="C21" i="12"/>
  <c r="E21" i="12" l="1"/>
  <c r="C22" i="16"/>
  <c r="E22" i="16" l="1"/>
  <c r="D21" i="12"/>
  <c r="D22" i="16" l="1"/>
  <c r="C22" i="12"/>
  <c r="C23" i="16" l="1"/>
  <c r="E22" i="12"/>
  <c r="E23" i="16" l="1"/>
  <c r="D22" i="12"/>
  <c r="D23" i="16" l="1"/>
  <c r="C23" i="12"/>
  <c r="C24" i="16" l="1"/>
  <c r="E23" i="12"/>
  <c r="E24" i="16" l="1"/>
  <c r="D23" i="12"/>
  <c r="D24" i="16" l="1"/>
  <c r="C24" i="12"/>
  <c r="E24" i="12" l="1"/>
  <c r="C25" i="16"/>
  <c r="E25" i="16" l="1"/>
  <c r="D24" i="12"/>
  <c r="D25" i="16" l="1"/>
  <c r="C25" i="12"/>
  <c r="E25" i="12" l="1"/>
  <c r="C26" i="16"/>
  <c r="E26" i="16" l="1"/>
  <c r="D25" i="12"/>
  <c r="D26" i="16" l="1"/>
  <c r="C26" i="12"/>
  <c r="E26" i="12" l="1"/>
  <c r="C27" i="16"/>
  <c r="E27" i="16" l="1"/>
  <c r="D26" i="12"/>
  <c r="D27" i="16" l="1"/>
  <c r="C27" i="12"/>
  <c r="E27" i="12" l="1"/>
  <c r="C28" i="16"/>
  <c r="E28" i="16" l="1"/>
  <c r="D27" i="12"/>
  <c r="D28" i="16" l="1"/>
  <c r="C28" i="12"/>
  <c r="C29" i="16" l="1"/>
  <c r="E28" i="12"/>
  <c r="E29" i="16" l="1"/>
  <c r="D28" i="12"/>
  <c r="D29" i="16" l="1"/>
  <c r="C29" i="12"/>
  <c r="C30" i="16" l="1"/>
  <c r="E29" i="12"/>
  <c r="E30" i="16" l="1"/>
  <c r="D29" i="12"/>
  <c r="D30" i="16" l="1"/>
  <c r="C30" i="12"/>
  <c r="C31" i="16" l="1"/>
  <c r="E30" i="12"/>
  <c r="E31" i="16" l="1"/>
  <c r="D30" i="12"/>
  <c r="D31" i="16" l="1"/>
  <c r="C31" i="12"/>
  <c r="E31" i="12" l="1"/>
  <c r="C32" i="16"/>
  <c r="E32" i="16" l="1"/>
  <c r="D31" i="12"/>
  <c r="D32" i="16" l="1"/>
  <c r="C32" i="12"/>
  <c r="E32" i="12" l="1"/>
  <c r="C33" i="16"/>
  <c r="E33" i="16" l="1"/>
  <c r="D32" i="12"/>
  <c r="D33" i="16" l="1"/>
  <c r="C33" i="12"/>
  <c r="C34" i="16" l="1"/>
  <c r="E33" i="12"/>
  <c r="E34" i="16" l="1"/>
  <c r="D33" i="12"/>
  <c r="D34" i="16" l="1"/>
  <c r="C34" i="12"/>
  <c r="E34" i="12" l="1"/>
  <c r="C35" i="16"/>
  <c r="E35" i="16" l="1"/>
  <c r="D34" i="12"/>
  <c r="D35" i="16" l="1"/>
  <c r="C35" i="12"/>
  <c r="E35" i="12" l="1"/>
  <c r="C36" i="16"/>
  <c r="E36" i="16" l="1"/>
  <c r="D35" i="12"/>
  <c r="D36" i="16" l="1"/>
  <c r="C36" i="12"/>
  <c r="C37" i="16" l="1"/>
  <c r="E36" i="12"/>
  <c r="E37" i="16" l="1"/>
  <c r="D36" i="12"/>
  <c r="D37" i="16" l="1"/>
  <c r="C37" i="12"/>
  <c r="C38" i="16" l="1"/>
  <c r="E37" i="12"/>
  <c r="E38" i="16" l="1"/>
  <c r="D37" i="12"/>
  <c r="D38" i="16" l="1"/>
  <c r="C38" i="12"/>
  <c r="C39" i="16" l="1"/>
  <c r="E38" i="12"/>
  <c r="E39" i="16" l="1"/>
  <c r="D38" i="12"/>
  <c r="D39" i="16" l="1"/>
  <c r="C39" i="12"/>
  <c r="E39" i="12" l="1"/>
  <c r="C40" i="16"/>
  <c r="E40" i="16" l="1"/>
  <c r="D39" i="12"/>
  <c r="D40" i="16" l="1"/>
  <c r="C40" i="12"/>
  <c r="E40" i="12" l="1"/>
  <c r="C41" i="16"/>
  <c r="E41" i="16" l="1"/>
  <c r="D40" i="12"/>
  <c r="D41" i="16" l="1"/>
  <c r="C41" i="12"/>
  <c r="C42" i="16" l="1"/>
  <c r="E41" i="12"/>
  <c r="E42" i="16" l="1"/>
  <c r="D41" i="12"/>
  <c r="D42" i="16" l="1"/>
  <c r="C42" i="12"/>
  <c r="E42" i="12" l="1"/>
  <c r="C43" i="16"/>
  <c r="E43" i="16" l="1"/>
  <c r="D42" i="12"/>
  <c r="D43" i="16" l="1"/>
  <c r="C43" i="12"/>
  <c r="E43" i="12" l="1"/>
  <c r="E44" i="16" s="1"/>
  <c r="D43" i="12"/>
  <c r="C44" i="16"/>
  <c r="C44" i="12"/>
  <c r="D44" i="12" l="1"/>
  <c r="C45" i="12" s="1"/>
  <c r="E44" i="12"/>
  <c r="E45" i="16" s="1"/>
  <c r="C45" i="16"/>
  <c r="F43" i="12"/>
  <c r="F44" i="16" s="1"/>
  <c r="D44" i="16"/>
  <c r="E45" i="12" l="1"/>
  <c r="E46" i="16" s="1"/>
  <c r="D45" i="12"/>
  <c r="C46" i="16"/>
  <c r="C46" i="12"/>
  <c r="D45" i="16"/>
  <c r="F44" i="12"/>
  <c r="F45" i="16" s="1"/>
  <c r="F45" i="12" l="1"/>
  <c r="F46" i="16" s="1"/>
  <c r="D46" i="16"/>
  <c r="D46" i="12"/>
  <c r="C47" i="12" s="1"/>
  <c r="C47" i="16"/>
  <c r="E46" i="12"/>
  <c r="E47" i="16" s="1"/>
  <c r="D47" i="16" l="1"/>
  <c r="F46" i="12"/>
  <c r="F47" i="16" s="1"/>
  <c r="C48" i="16"/>
  <c r="E47" i="12"/>
  <c r="E48" i="16" s="1"/>
  <c r="D47" i="12"/>
  <c r="D48" i="16" l="1"/>
  <c r="F47" i="12"/>
  <c r="F48" i="16" s="1"/>
  <c r="C48" i="12"/>
  <c r="E48" i="12" l="1"/>
  <c r="E49" i="16" s="1"/>
  <c r="C49" i="16"/>
  <c r="D48" i="12"/>
  <c r="C49" i="12" s="1"/>
  <c r="C50" i="16" l="1"/>
  <c r="D49" i="12"/>
  <c r="C50" i="12" s="1"/>
  <c r="E49" i="12"/>
  <c r="E50" i="16" s="1"/>
  <c r="D49" i="16"/>
  <c r="F48" i="12"/>
  <c r="F49" i="16" s="1"/>
  <c r="E50" i="12" l="1"/>
  <c r="E51" i="16" s="1"/>
  <c r="D50" i="12"/>
  <c r="C51" i="12" s="1"/>
  <c r="C51" i="16"/>
  <c r="F49" i="12"/>
  <c r="F50" i="16" s="1"/>
  <c r="D50" i="16"/>
  <c r="E51" i="12" l="1"/>
  <c r="E52" i="16" s="1"/>
  <c r="D51" i="12"/>
  <c r="C52" i="12" s="1"/>
  <c r="C52" i="16"/>
  <c r="D51" i="16"/>
  <c r="F50" i="12"/>
  <c r="F51" i="16" s="1"/>
  <c r="D52" i="12" l="1"/>
  <c r="C53" i="12" s="1"/>
  <c r="C53" i="16"/>
  <c r="E52" i="12"/>
  <c r="E53" i="16" s="1"/>
  <c r="F51" i="12"/>
  <c r="F52" i="16" s="1"/>
  <c r="D52" i="16"/>
  <c r="E53" i="12" l="1"/>
  <c r="E54" i="16" s="1"/>
  <c r="C54" i="16"/>
  <c r="D53" i="12"/>
  <c r="D53" i="16"/>
  <c r="F52" i="12"/>
  <c r="F53" i="16" s="1"/>
  <c r="F53" i="12" l="1"/>
  <c r="F54" i="16" s="1"/>
  <c r="D54" i="16"/>
  <c r="C54" i="12"/>
  <c r="D54" i="12" l="1"/>
  <c r="C55" i="12" s="1"/>
  <c r="C55" i="16"/>
  <c r="E54" i="12"/>
  <c r="E55" i="16" s="1"/>
  <c r="C56" i="16" l="1"/>
  <c r="E55" i="12"/>
  <c r="D55" i="12"/>
  <c r="D55" i="16"/>
  <c r="F54" i="12"/>
  <c r="F55" i="16" s="1"/>
  <c r="D56" i="16" l="1"/>
  <c r="D57" i="16" s="1"/>
  <c r="F55" i="12"/>
  <c r="D56" i="12"/>
  <c r="E56" i="16"/>
  <c r="E57" i="16" s="1"/>
  <c r="E56" i="12"/>
  <c r="F56" i="16" l="1"/>
  <c r="F57" i="16" s="1"/>
  <c r="F56" i="12"/>
</calcChain>
</file>

<file path=xl/sharedStrings.xml><?xml version="1.0" encoding="utf-8"?>
<sst xmlns="http://schemas.openxmlformats.org/spreadsheetml/2006/main" count="621" uniqueCount="459">
  <si>
    <t>служебная</t>
  </si>
  <si>
    <t>другое</t>
  </si>
  <si>
    <t>Г.В. Тян</t>
  </si>
  <si>
    <t>-</t>
  </si>
  <si>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</si>
  <si>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</si>
  <si>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</si>
  <si>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</si>
  <si>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</si>
  <si>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</si>
  <si>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</si>
  <si>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</si>
  <si>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</si>
  <si>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</si>
  <si>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</si>
  <si>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</si>
  <si>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</si>
  <si>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</si>
  <si>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</si>
  <si>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</si>
  <si>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</si>
  <si>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</si>
  <si>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</si>
  <si>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</si>
  <si>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</si>
  <si>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</si>
  <si>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</si>
  <si>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</si>
  <si>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</si>
  <si>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</si>
  <si>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</si>
  <si>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</si>
  <si>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</si>
  <si>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</si>
  <si>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</si>
  <si>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</si>
  <si>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</si>
  <si>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</si>
  <si>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</si>
  <si>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</si>
  <si>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</si>
  <si>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</si>
  <si>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</si>
  <si>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</si>
  <si>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</si>
  <si>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</si>
  <si>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</si>
  <si>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</si>
  <si>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</si>
  <si>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</si>
  <si>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</si>
  <si>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</si>
  <si>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</si>
  <si>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</si>
  <si>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</si>
  <si>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</si>
  <si>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</si>
  <si>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</si>
  <si>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</si>
  <si>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</si>
  <si>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</si>
  <si>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</si>
  <si>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</si>
  <si>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</si>
  <si>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</si>
  <si>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</si>
  <si>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</si>
  <si>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</si>
  <si>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</si>
  <si>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</si>
  <si>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</si>
  <si>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</si>
  <si>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</si>
  <si>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</si>
  <si>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</si>
  <si>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</si>
  <si>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</si>
  <si>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</si>
  <si>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</si>
  <si>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</si>
  <si>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</si>
  <si>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</si>
  <si>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</si>
  <si>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</si>
  <si>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</si>
  <si>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</si>
  <si>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</si>
  <si>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</si>
  <si>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</si>
  <si>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</si>
  <si>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</si>
  <si>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</si>
  <si>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</si>
  <si>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</si>
  <si>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</si>
  <si>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</si>
  <si>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</si>
  <si>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</si>
  <si>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</si>
  <si>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</si>
  <si>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</si>
  <si>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</si>
  <si>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</si>
  <si>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</si>
  <si>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</si>
  <si>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</si>
  <si>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</si>
  <si>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</si>
  <si>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</si>
  <si>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</si>
  <si>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</si>
  <si>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</si>
  <si>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</si>
  <si>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</si>
  <si>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</si>
  <si>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</si>
  <si>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</si>
  <si>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</si>
  <si>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</si>
  <si>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</si>
  <si>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</si>
  <si>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</si>
  <si>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</si>
  <si>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</si>
  <si>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</si>
  <si>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</si>
  <si>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</si>
  <si>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</si>
  <si>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</si>
  <si>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</si>
  <si>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</si>
  <si>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</si>
  <si>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</si>
  <si>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</si>
  <si>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</si>
  <si>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</si>
  <si>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</si>
  <si>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</si>
  <si>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</si>
  <si>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</si>
  <si>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</si>
  <si>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</si>
  <si>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</si>
  <si>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</si>
  <si>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</si>
  <si>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</si>
  <si>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</si>
  <si>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</si>
  <si>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</si>
  <si>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</si>
  <si>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</si>
  <si>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</si>
  <si>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</si>
  <si>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</si>
  <si>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</si>
  <si>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</si>
  <si>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</si>
  <si>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</si>
  <si>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</si>
  <si>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</si>
  <si>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</si>
  <si>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</si>
  <si>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</si>
  <si>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</si>
  <si>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</si>
  <si>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</si>
  <si>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</si>
  <si>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</si>
  <si>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</si>
  <si>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</si>
  <si>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</si>
  <si>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</si>
  <si>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</si>
  <si>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</si>
  <si>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</si>
  <si>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</si>
  <si>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</si>
  <si>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</si>
  <si>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</si>
  <si>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</si>
  <si>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</si>
  <si>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</si>
  <si>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</si>
  <si>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</si>
  <si>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</si>
  <si>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</si>
  <si>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</si>
  <si>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</si>
  <si>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</si>
  <si>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</si>
  <si>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</si>
  <si>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</si>
  <si>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</si>
  <si>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</si>
  <si>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</si>
  <si>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</si>
  <si>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</si>
  <si>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</si>
  <si>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</si>
  <si>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</si>
  <si>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</si>
  <si>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</si>
  <si>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</si>
  <si>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</si>
  <si>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</si>
  <si>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</si>
  <si>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</si>
  <si>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</si>
  <si>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</si>
  <si>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</si>
  <si>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</si>
  <si>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</si>
  <si>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</si>
  <si>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</si>
  <si>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</si>
  <si>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</si>
  <si>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</si>
  <si>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</si>
  <si>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</si>
  <si>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</si>
  <si>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</si>
  <si>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</si>
  <si>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</si>
  <si>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</si>
  <si>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</si>
  <si>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</si>
  <si>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</si>
  <si>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</si>
  <si>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</si>
  <si>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</si>
  <si>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</si>
  <si>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</si>
  <si>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</si>
  <si>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</si>
  <si>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</si>
  <si>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</si>
  <si>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</si>
  <si>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</si>
  <si>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</si>
  <si>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</si>
  <si>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</si>
  <si>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</si>
  <si>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</si>
  <si>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</si>
  <si>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</si>
  <si>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</si>
  <si>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</si>
  <si>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</si>
  <si>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</si>
  <si>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</si>
  <si>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</si>
  <si>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</si>
  <si>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</si>
  <si>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</si>
  <si>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</si>
  <si>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</si>
  <si>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</si>
  <si>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</si>
  <si>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</si>
  <si>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</si>
  <si>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</si>
  <si>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</si>
  <si>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</si>
  <si>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</si>
  <si>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</si>
  <si>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</si>
  <si>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</si>
  <si>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</si>
  <si>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</si>
  <si>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</si>
  <si>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</si>
  <si>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</si>
  <si>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</si>
  <si>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</si>
  <si>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</si>
  <si>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</si>
  <si>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</si>
  <si>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</si>
  <si>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</si>
  <si>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</si>
  <si>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</si>
  <si>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</si>
  <si>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</si>
  <si>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</si>
  <si>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</si>
  <si>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</si>
  <si>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</si>
  <si>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</si>
  <si>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</si>
  <si>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</si>
  <si>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</si>
  <si>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</si>
  <si>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</si>
  <si>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</si>
  <si>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</si>
  <si>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</si>
  <si>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</si>
  <si>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</si>
  <si>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</si>
  <si>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</si>
  <si>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</si>
  <si>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</si>
  <si>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</si>
  <si>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</si>
  <si>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</si>
  <si>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</si>
  <si>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</si>
  <si>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</si>
  <si>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</si>
  <si>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</si>
  <si>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</si>
  <si>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</si>
  <si>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</si>
  <si>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</si>
  <si>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</si>
  <si>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</si>
  <si>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</si>
  <si>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</si>
  <si>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</si>
  <si>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</si>
  <si>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</si>
  <si>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</si>
  <si>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</si>
  <si>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</si>
  <si>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</si>
  <si>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</si>
  <si>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</si>
  <si>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</si>
  <si>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</si>
  <si>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</si>
  <si>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</si>
  <si>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</si>
  <si>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</si>
  <si>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</si>
  <si>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</si>
  <si>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</si>
  <si>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</si>
  <si>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</si>
  <si>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</si>
  <si>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</si>
  <si>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</si>
  <si>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</si>
  <si>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</si>
  <si>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</si>
  <si>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</si>
  <si>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</si>
  <si>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</si>
  <si>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</si>
  <si>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</si>
  <si>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</si>
  <si>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</si>
  <si>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</si>
  <si>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</si>
  <si>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</si>
  <si>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</si>
  <si>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</si>
  <si>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</si>
  <si>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</si>
  <si>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</si>
  <si>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</si>
  <si>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</si>
  <si>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</si>
  <si>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</si>
  <si>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</si>
  <si>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</si>
  <si>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</si>
  <si>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</si>
  <si>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</si>
  <si>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</si>
  <si>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</si>
  <si>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</si>
  <si>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</si>
  <si>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</si>
  <si>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</si>
  <si>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 kadastr raqami</t>
  </si>
  <si>
    <t>Foydalanishga topshirilgan yili</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</si>
  <si>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</si>
  <si>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Процент годовой</t>
  </si>
  <si>
    <t>bir yuz</t>
  </si>
  <si>
    <t>Sug'urta kompaniyasi nomi</t>
  </si>
  <si>
    <t>Summa</t>
  </si>
  <si>
    <t>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t>
  </si>
  <si>
    <t>3.5. Undiruvni Garov narsasiga (predmetlariga) va/yoki uning (ularning) bir qismiga (qismlariga) qaratishda va/yoki Qarz oluvchining Kafildan qarzini undirishda Mikromoliya tashkiloti undiruvning birinchi navbatdagi obyektini o‘z xohishiga ko‘ra bir tomonlama tanlash yoki bir vaqtning o‘zida undiruvni Garov narsasiga (predmetlariga) qaratish va Kafilga talab qo‘yish huquqini o‘zida saqlab qoladi. Undiruvni garov narsasining bir obyektiga va/yoki uning (ularning) bir qismiga qaratish va/yoki Mikroqarzni Kafildan undirish Mikromoliya tashkilotini undiruvni garov narsasining boshqa obyektiga (obyektlariga) va/yoki uning (ularning) bir qismiga qaratish va/yoki Mikroqarzni Kafildan undirishda cheklamaydi. Qarz oluvchining Mikroqarzni Sug‘urtalovchidan undirish tartibi tegishli sug‘urta shartnomasida belgilanadi.</t>
  </si>
  <si>
    <t>5. Mikroqarz bo‘yicha ta'minot:</t>
  </si>
  <si>
    <t>Kreditlash bo’limi boshlig’i</t>
  </si>
  <si>
    <t>N.Abduraximovga</t>
  </si>
  <si>
    <t>ARIZA</t>
  </si>
  <si>
    <t>Mijoz plastik kartasi parametrlari</t>
  </si>
  <si>
    <t>Bank nomi:</t>
  </si>
  <si>
    <t>H/r:</t>
  </si>
  <si>
    <t>MFO:</t>
  </si>
  <si>
    <t>STIR:</t>
  </si>
  <si>
    <t>Karta raqami:</t>
  </si>
  <si>
    <t>________________</t>
  </si>
  <si>
    <t>N. Abduraximov</t>
  </si>
  <si>
    <t>sana</t>
  </si>
  <si>
    <t>_______________</t>
  </si>
  <si>
    <t>B. Mominov</t>
  </si>
  <si>
    <t>B. Jumanazarov</t>
  </si>
  <si>
    <t>Imzolaganlar ro'yxati:</t>
  </si>
  <si>
    <t>АО "APEX INSURANCE"</t>
  </si>
  <si>
    <t>Mijoz quyidagi majburiyatlarga ega: AT Xalq banki bosh amaliyotlar boshqarmasi 806 751 so'm. Alif Moliya 920 000 so'm. Ayni paytda muddati o'tgan qarzdorligi mavjud emas. O‘rtacha oylik to‘lov 1 125 884.02 so‘mni tashkil qiladi</t>
  </si>
  <si>
    <t>Rakamsiz</t>
  </si>
  <si>
    <t>«CLEVER MIKROMOLIYA TASHKILOTI» MChJ ijrochi direktori</t>
  </si>
  <si>
    <t>Ijrochi direktor</t>
  </si>
  <si>
    <t>55</t>
  </si>
  <si>
    <t>№717-XMS</t>
  </si>
  <si>
    <t>07.04.2025</t>
  </si>
  <si>
    <t>MATCHANOVA AZIZA BEKTURDIYEVNA</t>
  </si>
  <si>
    <t>MATCHANOVA A.B.</t>
  </si>
  <si>
    <t>09.04.1990 y</t>
  </si>
  <si>
    <t>AC 2074678</t>
  </si>
  <si>
    <t>XORAZM VILOYATI SHOVOT TUMANI IIB</t>
  </si>
  <si>
    <t>XORAZM VILOYATI SHOVOT TUMANI BOYRACHI QFY BOBORAXIM KO'CHASI 4-UY</t>
  </si>
  <si>
    <t>91 860-86-87 O'ZI</t>
  </si>
  <si>
    <t>SHOVOT TUMANI BOYRACH QFY MADANIYAT MARKAZI</t>
  </si>
  <si>
    <t>SHOVOT TUMANI</t>
  </si>
  <si>
    <t>33 381-86-87 Ayoli</t>
  </si>
  <si>
    <t>99-187-10-62 Otasi</t>
  </si>
  <si>
    <t>MALUMOTNOMA № 0009500363</t>
  </si>
  <si>
    <t>TIKISH-BICHISH</t>
  </si>
  <si>
    <t>«HAMKOR BANK» AJ</t>
  </si>
  <si>
    <t xml:space="preserve">2312 0000 6000 1143 7200 </t>
  </si>
  <si>
    <t>00083</t>
  </si>
  <si>
    <t>200242936</t>
  </si>
  <si>
    <t>9860 1678 4680 5015</t>
  </si>
  <si>
    <t>105</t>
  </si>
  <si>
    <t>BEKOV OTABEK BAXODIROVICH</t>
  </si>
  <si>
    <t>BEKOV O.B.</t>
  </si>
  <si>
    <t>AC1695954</t>
  </si>
  <si>
    <t xml:space="preserve">XORAZM VILOYATI URGANCH TUMANI IIB tomonidan 25.02.2019 yilda berilgan </t>
  </si>
  <si>
    <t>XORAZM VILOYATI URGANCH TUMANI GOYBU QFY OQ MAKTAB MFY</t>
  </si>
  <si>
    <t>XORAZM VILOYATI RO' VA IOB</t>
  </si>
  <si>
    <t>AAG 5923045 28.03.2025y.</t>
  </si>
  <si>
    <t>JAC M3</t>
  </si>
  <si>
    <t>90C477ZA</t>
  </si>
  <si>
    <t>YENGIL MINIVEN</t>
  </si>
  <si>
    <t>P08461541</t>
  </si>
  <si>
    <t>LJ166A33XP2208188</t>
  </si>
  <si>
    <t>QORA CHERNIY</t>
  </si>
  <si>
    <t>2023</t>
  </si>
  <si>
    <t>dan</t>
  </si>
  <si>
    <t>Sana:</t>
  </si>
  <si>
    <t xml:space="preserve"> sanasidan</t>
  </si>
  <si>
    <t>“CLEVER MIKROMOLIYA TASHKILOTI” MChJ</t>
  </si>
  <si>
    <t>Toshkent sh, Olmazor tumani, Sag’bon ko’chasi 30-tup., 6-uy</t>
  </si>
  <si>
    <t>h/r: 2021 6000 7050 6838 0001, STIR: 306 365 847, MFO: 01042,</t>
  </si>
  <si>
    <t>“Kapitalbank” AKB Sergeli filiali</t>
  </si>
  <si>
    <t>O‘zbekiston Respublikasi</t>
  </si>
  <si>
    <t>Notarial idoralariga</t>
  </si>
  <si>
    <r>
      <t xml:space="preserve">“CLEVER mikromoliya tashkiloti” MChJ </t>
    </r>
    <r>
      <rPr>
        <sz val="11"/>
        <color rgb="FF8C0101"/>
        <rFont val="Times New Roman"/>
        <family val="1"/>
        <charset val="204"/>
      </rPr>
      <t xml:space="preserve">20.03.2025 </t>
    </r>
    <r>
      <rPr>
        <sz val="11"/>
        <color theme="1"/>
        <rFont val="Times New Roman"/>
        <family val="1"/>
        <charset val="204"/>
      </rPr>
      <t xml:space="preserve">yildagi № </t>
    </r>
    <r>
      <rPr>
        <sz val="11"/>
        <color rgb="FF8C0101"/>
        <rFont val="Times New Roman"/>
        <family val="1"/>
        <charset val="204"/>
      </rPr>
      <t>647</t>
    </r>
    <r>
      <rPr>
        <sz val="11"/>
        <color theme="1"/>
        <rFont val="Times New Roman"/>
        <family val="1"/>
        <charset val="204"/>
      </rPr>
      <t>-son mikrokredit shartnomasi bo‘yicha Qarz oluvchi tomonidan majburiyatlarini to‘liq to‘laganligini hisobga olib, yuqorida ko‘rsatilgan mol-mulkni garov ta’minotidan ozod qilishga roziligini beradi.</t>
    </r>
  </si>
  <si>
    <t xml:space="preserve">          «CLEVER MIKROMOLIYA</t>
  </si>
  <si>
    <t xml:space="preserve">          TASHKILOTI» MChJ rahbari</t>
  </si>
  <si>
    <t xml:space="preserve">     Ijrochi: B.T.Jumanazarov </t>
  </si>
  <si>
    <t xml:space="preserve">     Tel: (78) 113 31 33</t>
  </si>
  <si>
    <t xml:space="preserve">     Hujjat elektron raqamli imzo bilan tasdiqlangan. "Elektron raqamli imzo to‘g‘risida"gi Qonunning 7-moddasiga asosan elektron raqamli imzo va qo‘lda qo‘yilgan imzo bir xil ahamiyatga ega. Hujjatning haqqoniyligini tekshirish uchun QR-kodni skanerlang.</t>
  </si>
  <si>
    <t>Xorazm filiali boshlig'i</t>
  </si>
  <si>
    <t>M.Sharipov</t>
  </si>
  <si>
    <t>Sharipov Maxmud Ravshanbekovich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</si>
</sst>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 _₽_-;\-* #\ ##0.00\ _₽_-;_-* &quot;-&quot;??\ _₽_-;_-@_-"/>
  </numFmts>
  <fonts count="6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b/>
      <u/>
      <sz val="12"/>
      <name val="Times New Roman"/>
      <family val="1"/>
      <charset val="204"/>
    </font>
    <font>
      <b/>
      <sz val="12"/>
      <name val="Times New Roman"/>
      <family val="1"/>
      <charset val="204"/>
    </font>
    <font>
      <sz val="11"/>
      <color rgb="FF333333"/>
      <name val="Arial"/>
      <charset val="204"/>
    </font>
    <font>
      <sz val="11"/>
      <color theme="1"/>
      <name val="Arial"/>
      <charset val="204"/>
    </font>
    <font>
      <sz val="22"/>
      <color rgb="FFFF0000"/>
      <name val="Arial"/>
      <charset val="204"/>
    </font>
    <font>
      <sz val="12"/>
      <color theme="0"/>
      <name val="Times New Roman"/>
      <family val="1"/>
      <charset val="204"/>
    </font>
    <font>
      <sz val="9"/>
      <color theme="1"/>
      <name val="Times New Roman"/>
      <family val="1"/>
      <charset val="204"/>
    </font>
    <font>
      <sz val="11"/>
      <color rgb="FF8C0101"/>
      <name val="Times New Roman"/>
      <family val="1"/>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rgb="FF00B05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4">
    <xf numFmtId="0" fontId="0"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0" fillId="0" borderId="0">
      <alignment vertical="center"/>
    </xf>
    <xf numFmtId="0" fontId="50" fillId="0" borderId="0">
      <alignment vertical="center"/>
    </xf>
    <xf numFmtId="43"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cellStyleXfs>
  <cellXfs count="405">
    <xf numFmtId="0" fontId="0" fillId="0" borderId="0" xfId="0"/>
    <xf numFmtId="0" fontId="6" fillId="0" borderId="1" xfId="0" applyFont="1" applyBorder="1" applyAlignment="1">
      <alignment vertical="center" wrapText="1"/>
    </xf>
    <xf numFmtId="49" fontId="6" fillId="0" borderId="1" xfId="0" applyNumberFormat="1" applyFont="1" applyBorder="1" applyAlignment="1">
      <alignment vertical="center" wrapText="1"/>
    </xf>
    <xf numFmtId="0" fontId="7" fillId="2" borderId="1" xfId="0" applyFont="1" applyFill="1" applyBorder="1" applyAlignment="1">
      <alignment vertical="center" wrapText="1"/>
    </xf>
    <xf numFmtId="165" fontId="6" fillId="0" borderId="1" xfId="0" applyNumberFormat="1" applyFont="1" applyBorder="1" applyAlignment="1">
      <alignment vertical="center" wrapText="1"/>
    </xf>
    <xf numFmtId="43" fontId="6" fillId="0" borderId="1" xfId="1" applyFont="1" applyBorder="1" applyAlignment="1">
      <alignment vertical="center" wrapText="1"/>
    </xf>
    <xf numFmtId="0" fontId="8" fillId="0" borderId="0" xfId="0" applyFont="1"/>
    <xf numFmtId="0" fontId="10"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12"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9" fillId="0" borderId="0" xfId="0" applyFont="1"/>
    <xf numFmtId="0" fontId="9" fillId="0" borderId="0" xfId="0" applyFont="1" applyAlignment="1">
      <alignment horizontal="right"/>
    </xf>
    <xf numFmtId="0" fontId="13" fillId="0" borderId="0" xfId="0" applyFont="1"/>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xf numFmtId="0" fontId="13" fillId="0" borderId="0" xfId="0" applyFont="1" applyAlignment="1">
      <alignment horizontal="justify" vertical="top" wrapText="1"/>
    </xf>
    <xf numFmtId="0" fontId="13" fillId="0" borderId="0" xfId="0" applyFont="1" applyAlignment="1">
      <alignment wrapText="1"/>
    </xf>
    <xf numFmtId="0" fontId="13" fillId="0" borderId="0" xfId="0" applyFont="1" applyAlignment="1">
      <alignment vertical="top" wrapText="1"/>
    </xf>
    <xf numFmtId="0" fontId="13" fillId="0" borderId="0" xfId="0" applyFont="1" applyAlignment="1">
      <alignment vertical="center" wrapText="1"/>
    </xf>
    <xf numFmtId="0" fontId="16" fillId="0" borderId="0" xfId="0" applyFont="1"/>
    <xf numFmtId="0" fontId="15" fillId="0" borderId="1" xfId="0" applyFont="1" applyBorder="1" applyAlignment="1">
      <alignment horizontal="center" vertical="center" wrapText="1"/>
    </xf>
    <xf numFmtId="0" fontId="15" fillId="0" borderId="0" xfId="0" applyFont="1" applyAlignment="1">
      <alignment horizontal="center" vertical="center" wrapText="1"/>
    </xf>
    <xf numFmtId="0" fontId="16" fillId="0" borderId="1" xfId="0" applyFont="1" applyBorder="1" applyAlignment="1">
      <alignment horizontal="center" vertical="top" wrapText="1"/>
    </xf>
    <xf numFmtId="43" fontId="16" fillId="0" borderId="1" xfId="1" applyFont="1" applyBorder="1" applyAlignment="1">
      <alignment horizontal="center" vertical="top" wrapText="1"/>
    </xf>
    <xf numFmtId="0" fontId="15" fillId="0" borderId="1" xfId="0" applyFont="1" applyBorder="1" applyAlignment="1">
      <alignment horizontal="center" vertical="top" wrapText="1"/>
    </xf>
    <xf numFmtId="43" fontId="15" fillId="0" borderId="1" xfId="0" applyNumberFormat="1" applyFont="1" applyBorder="1" applyAlignment="1">
      <alignment horizontal="center" vertical="top" wrapText="1"/>
    </xf>
    <xf numFmtId="0" fontId="15" fillId="0" borderId="0" xfId="0" applyFont="1"/>
    <xf numFmtId="0" fontId="8" fillId="0" borderId="0" xfId="0" applyFont="1" applyAlignment="1">
      <alignment horizontal="left"/>
    </xf>
    <xf numFmtId="14" fontId="13" fillId="0" borderId="1" xfId="0" applyNumberFormat="1" applyFont="1" applyBorder="1"/>
    <xf numFmtId="43" fontId="13" fillId="0" borderId="1" xfId="1" applyFont="1" applyBorder="1"/>
    <xf numFmtId="14" fontId="13" fillId="0" borderId="0" xfId="0" applyNumberFormat="1" applyFont="1"/>
    <xf numFmtId="43" fontId="13" fillId="0" borderId="0" xfId="1" applyFont="1" applyBorder="1"/>
    <xf numFmtId="0" fontId="14" fillId="0" borderId="0" xfId="0" applyFont="1"/>
    <xf numFmtId="0" fontId="14" fillId="0" borderId="0" xfId="0" applyFont="1" applyAlignment="1">
      <alignment horizontal="right"/>
    </xf>
    <xf numFmtId="0" fontId="14" fillId="0" borderId="1" xfId="0" applyFont="1" applyBorder="1" applyAlignment="1">
      <alignment horizontal="center" vertical="center" wrapText="1"/>
    </xf>
    <xf numFmtId="0" fontId="14" fillId="0" borderId="0" xfId="0" applyFont="1" applyAlignment="1">
      <alignment horizontal="center"/>
    </xf>
    <xf numFmtId="0" fontId="21" fillId="0" borderId="0" xfId="0" applyFont="1" applyAlignment="1">
      <alignment horizontal="center" wrapText="1"/>
    </xf>
    <xf numFmtId="0" fontId="13" fillId="0" borderId="0" xfId="0" applyFont="1" applyAlignment="1">
      <alignment horizontal="center" wrapText="1"/>
    </xf>
    <xf numFmtId="0" fontId="20" fillId="0" borderId="0" xfId="0" applyFont="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1" xfId="0" applyFont="1" applyBorder="1"/>
    <xf numFmtId="14" fontId="14" fillId="0" borderId="1" xfId="0" applyNumberFormat="1" applyFont="1" applyBorder="1"/>
    <xf numFmtId="43" fontId="14" fillId="0" borderId="1" xfId="1" applyFont="1" applyBorder="1"/>
    <xf numFmtId="0" fontId="6" fillId="4" borderId="1" xfId="0" applyFont="1" applyFill="1" applyBorder="1" applyAlignment="1">
      <alignment vertical="center" wrapText="1"/>
    </xf>
    <xf numFmtId="0" fontId="14" fillId="0" borderId="0" xfId="0" applyFont="1" applyAlignment="1">
      <alignment horizontal="center" vertical="center" wrapText="1"/>
    </xf>
    <xf numFmtId="43" fontId="26" fillId="0" borderId="1" xfId="1" applyFont="1" applyBorder="1"/>
    <xf numFmtId="43" fontId="6" fillId="4" borderId="1" xfId="1" applyFont="1" applyFill="1" applyBorder="1" applyAlignment="1">
      <alignment vertical="center" wrapText="1"/>
    </xf>
    <xf numFmtId="0" fontId="13" fillId="0" borderId="0" xfId="0" applyFont="1" applyAlignment="1">
      <alignment horizontal="left" vertical="top" wrapText="1"/>
    </xf>
    <xf numFmtId="0" fontId="13" fillId="0" borderId="8" xfId="0" applyFont="1" applyBorder="1" applyAlignment="1">
      <alignment wrapText="1"/>
    </xf>
    <xf numFmtId="0" fontId="13" fillId="0" borderId="9" xfId="0" applyFont="1" applyBorder="1" applyAlignment="1">
      <alignment wrapText="1"/>
    </xf>
    <xf numFmtId="49" fontId="6" fillId="4" borderId="1" xfId="0" applyNumberFormat="1" applyFont="1" applyFill="1" applyBorder="1" applyAlignment="1">
      <alignment vertical="center" wrapText="1"/>
    </xf>
    <xf numFmtId="165" fontId="25" fillId="2" borderId="1" xfId="0" applyNumberFormat="1" applyFont="1" applyFill="1" applyBorder="1" applyAlignment="1">
      <alignment vertical="center" wrapText="1"/>
    </xf>
    <xf numFmtId="165" fontId="6" fillId="2" borderId="1" xfId="0" applyNumberFormat="1" applyFont="1" applyFill="1" applyBorder="1" applyAlignment="1">
      <alignment vertical="center" wrapText="1"/>
    </xf>
    <xf numFmtId="0" fontId="6"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29" fillId="4" borderId="1" xfId="0" applyFont="1" applyFill="1" applyBorder="1"/>
    <xf numFmtId="0" fontId="9" fillId="0" borderId="0" xfId="0" applyFont="1" applyAlignment="1">
      <alignment horizontal="center" vertical="center" wrapText="1"/>
    </xf>
    <xf numFmtId="0" fontId="9" fillId="0" borderId="0" xfId="0" applyFont="1" applyAlignment="1">
      <alignment horizontal="center"/>
    </xf>
    <xf numFmtId="0" fontId="8" fillId="0" borderId="0" xfId="0" applyFont="1" applyAlignment="1">
      <alignment horizontal="center" vertical="center"/>
    </xf>
    <xf numFmtId="43" fontId="6" fillId="4" borderId="3" xfId="1" applyFont="1" applyFill="1" applyBorder="1" applyAlignment="1">
      <alignment vertical="center" wrapText="1"/>
    </xf>
    <xf numFmtId="0" fontId="7" fillId="2" borderId="1" xfId="0" applyFont="1" applyFill="1" applyBorder="1" applyAlignment="1">
      <alignment horizontal="right" vertical="center" wrapText="1"/>
    </xf>
    <xf numFmtId="0" fontId="8" fillId="0" borderId="0" xfId="0" applyFont="1" applyAlignment="1">
      <alignment vertical="top" wrapText="1"/>
    </xf>
    <xf numFmtId="0" fontId="9" fillId="0" borderId="0" xfId="0" applyFont="1" applyAlignment="1">
      <alignment horizontal="center" wrapText="1"/>
    </xf>
    <xf numFmtId="0" fontId="8" fillId="0" borderId="0" xfId="0" applyFont="1" applyAlignment="1">
      <alignment vertical="top"/>
    </xf>
    <xf numFmtId="0" fontId="6" fillId="6" borderId="1" xfId="0" applyFont="1" applyFill="1" applyBorder="1" applyAlignment="1">
      <alignment vertical="center" wrapText="1"/>
    </xf>
    <xf numFmtId="165" fontId="6" fillId="2" borderId="1" xfId="0" applyNumberFormat="1" applyFont="1" applyFill="1" applyBorder="1" applyAlignment="1">
      <alignment horizontal="left" vertical="center" wrapText="1"/>
    </xf>
    <xf numFmtId="14" fontId="6" fillId="6" borderId="1" xfId="0" applyNumberFormat="1" applyFont="1" applyFill="1" applyBorder="1" applyAlignment="1">
      <alignment vertical="center" wrapText="1"/>
    </xf>
    <xf numFmtId="165" fontId="6" fillId="6" borderId="1" xfId="0" applyNumberFormat="1" applyFont="1" applyFill="1" applyBorder="1" applyAlignment="1">
      <alignment vertical="center" wrapText="1"/>
    </xf>
    <xf numFmtId="0" fontId="6" fillId="7" borderId="1" xfId="0" applyFont="1" applyFill="1" applyBorder="1" applyAlignment="1">
      <alignment vertical="center" wrapText="1"/>
    </xf>
    <xf numFmtId="9" fontId="6" fillId="7" borderId="1" xfId="0" applyNumberFormat="1" applyFont="1" applyFill="1" applyBorder="1" applyAlignment="1">
      <alignment vertical="center" wrapText="1"/>
    </xf>
    <xf numFmtId="49" fontId="6" fillId="7" borderId="1" xfId="1" applyNumberFormat="1" applyFont="1" applyFill="1" applyBorder="1" applyAlignment="1">
      <alignment vertical="center" wrapText="1"/>
    </xf>
    <xf numFmtId="40" fontId="6" fillId="7" borderId="1" xfId="1" applyNumberFormat="1" applyFont="1" applyFill="1" applyBorder="1" applyAlignment="1">
      <alignment vertical="center" wrapText="1"/>
    </xf>
    <xf numFmtId="0" fontId="7" fillId="2" borderId="1" xfId="0" applyFont="1" applyFill="1" applyBorder="1" applyAlignment="1">
      <alignment horizontal="center" vertical="center" wrapText="1"/>
    </xf>
    <xf numFmtId="49" fontId="6" fillId="4" borderId="1" xfId="0" applyNumberFormat="1" applyFont="1" applyFill="1" applyBorder="1" applyAlignment="1">
      <alignment horizontal="left" vertical="center" wrapText="1"/>
    </xf>
    <xf numFmtId="0" fontId="32" fillId="0" borderId="0" xfId="0" applyFont="1"/>
    <xf numFmtId="0" fontId="26" fillId="0" borderId="0" xfId="0" applyFont="1"/>
    <xf numFmtId="0" fontId="32" fillId="0" borderId="0" xfId="0" applyFont="1" applyAlignment="1">
      <alignment horizontal="right"/>
    </xf>
    <xf numFmtId="164" fontId="26" fillId="0" borderId="0" xfId="0" applyNumberFormat="1" applyFont="1"/>
    <xf numFmtId="166" fontId="26" fillId="0" borderId="0" xfId="0" applyNumberFormat="1" applyFont="1"/>
    <xf numFmtId="0" fontId="26" fillId="0" borderId="1" xfId="0" applyFont="1" applyBorder="1" applyAlignment="1">
      <alignment horizontal="center" vertical="center" wrapText="1"/>
    </xf>
    <xf numFmtId="0" fontId="26" fillId="0" borderId="0" xfId="0" applyFont="1" applyAlignment="1">
      <alignment horizontal="center" vertical="center" wrapText="1"/>
    </xf>
    <xf numFmtId="0" fontId="26" fillId="0" borderId="1" xfId="0" applyFont="1" applyBorder="1"/>
    <xf numFmtId="14" fontId="26" fillId="0" borderId="1" xfId="0" applyNumberFormat="1" applyFont="1" applyBorder="1"/>
    <xf numFmtId="167" fontId="26" fillId="0" borderId="0" xfId="0" applyNumberFormat="1" applyFont="1"/>
    <xf numFmtId="0" fontId="32" fillId="0" borderId="1" xfId="0" applyFont="1" applyBorder="1"/>
    <xf numFmtId="14" fontId="32" fillId="0" borderId="1" xfId="0" applyNumberFormat="1" applyFont="1" applyBorder="1"/>
    <xf numFmtId="43" fontId="32" fillId="0" borderId="1" xfId="1" applyFont="1" applyBorder="1"/>
    <xf numFmtId="14" fontId="26" fillId="0" borderId="0" xfId="0" applyNumberFormat="1" applyFont="1"/>
    <xf numFmtId="43" fontId="26" fillId="0" borderId="0" xfId="1" applyFont="1" applyBorder="1"/>
    <xf numFmtId="14" fontId="25" fillId="5" borderId="0" xfId="0" applyNumberFormat="1" applyFont="1" applyFill="1"/>
    <xf numFmtId="0" fontId="25" fillId="5" borderId="0" xfId="0" applyFont="1" applyFill="1"/>
    <xf numFmtId="0" fontId="25" fillId="0" borderId="0" xfId="0" applyFont="1"/>
    <xf numFmtId="168" fontId="35" fillId="5" borderId="0" xfId="0" applyNumberFormat="1" applyFont="1" applyFill="1"/>
    <xf numFmtId="0" fontId="25" fillId="4" borderId="0" xfId="0" applyFont="1" applyFill="1"/>
    <xf numFmtId="1" fontId="25" fillId="5" borderId="0" xfId="0" applyNumberFormat="1" applyFont="1" applyFill="1"/>
    <xf numFmtId="49" fontId="26" fillId="0" borderId="0" xfId="0" applyNumberFormat="1" applyFont="1" applyAlignment="1">
      <alignment horizontal="right"/>
    </xf>
    <xf numFmtId="0" fontId="36" fillId="0" borderId="0" xfId="0" applyFont="1" applyAlignment="1">
      <alignment vertical="center"/>
    </xf>
    <xf numFmtId="0" fontId="37" fillId="0" borderId="0" xfId="0" applyFont="1" applyAlignment="1">
      <alignment horizontal="right" vertical="center"/>
    </xf>
    <xf numFmtId="0" fontId="37" fillId="0" borderId="0" xfId="0" applyFont="1" applyAlignment="1">
      <alignment horizontal="right" vertical="center" wrapText="1"/>
    </xf>
    <xf numFmtId="43" fontId="13" fillId="0" borderId="1" xfId="1" applyFont="1" applyBorder="1" applyAlignment="1">
      <alignment horizontal="center" vertical="top" wrapText="1"/>
    </xf>
    <xf numFmtId="0" fontId="38" fillId="7" borderId="1" xfId="0" applyFont="1" applyFill="1" applyBorder="1"/>
    <xf numFmtId="0" fontId="38"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5" fillId="4" borderId="1" xfId="0" applyFont="1" applyFill="1" applyBorder="1"/>
    <xf numFmtId="0" fontId="38"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7" fillId="0" borderId="0" xfId="0" applyFont="1" applyAlignment="1">
      <alignment horizontal="right"/>
    </xf>
    <xf numFmtId="0" fontId="27" fillId="0" borderId="0" xfId="0" applyFont="1" applyAlignment="1">
      <alignment horizontal="justify"/>
    </xf>
    <xf numFmtId="0" fontId="27" fillId="0" borderId="0" xfId="0" applyFont="1" applyAlignment="1">
      <alignment horizontal="justify" vertical="center"/>
    </xf>
    <xf numFmtId="0" fontId="27" fillId="0" borderId="1" xfId="0" applyFont="1" applyBorder="1" applyAlignment="1">
      <alignment horizontal="justify"/>
    </xf>
    <xf numFmtId="0" fontId="27" fillId="0" borderId="0" xfId="0" applyFont="1" applyAlignment="1">
      <alignment horizontal="justify" vertical="center" wrapText="1"/>
    </xf>
    <xf numFmtId="0" fontId="27" fillId="0" borderId="0" xfId="0" applyFont="1" applyAlignment="1">
      <alignment horizontal="left"/>
    </xf>
    <xf numFmtId="0" fontId="27" fillId="0" borderId="11" xfId="0" applyFont="1" applyBorder="1" applyAlignment="1">
      <alignment horizontal="center"/>
    </xf>
    <xf numFmtId="0" fontId="27" fillId="0" borderId="0" xfId="0" applyFont="1" applyAlignment="1">
      <alignment horizontal="center"/>
    </xf>
    <xf numFmtId="0" fontId="6" fillId="3" borderId="1" xfId="0" applyFont="1" applyFill="1" applyBorder="1" applyAlignment="1">
      <alignment horizontal="center" vertical="center" wrapText="1"/>
    </xf>
    <xf numFmtId="0" fontId="13" fillId="0" borderId="0" xfId="0" applyFont="1" applyAlignment="1">
      <alignment vertical="top"/>
    </xf>
    <xf numFmtId="0" fontId="14" fillId="0" borderId="0" xfId="0" applyFont="1" applyAlignment="1">
      <alignment horizontal="left" vertical="center" wrapText="1"/>
    </xf>
    <xf numFmtId="0" fontId="14" fillId="0" borderId="0" xfId="0" applyFont="1" applyAlignment="1">
      <alignment horizontal="right" vertical="center" wrapText="1"/>
    </xf>
    <xf numFmtId="0" fontId="0" fillId="0" borderId="0" xfId="0" applyAlignment="1">
      <alignment horizontal="left" vertical="center"/>
    </xf>
    <xf numFmtId="0" fontId="13" fillId="0" borderId="0" xfId="0" applyFont="1" applyAlignment="1">
      <alignment horizontal="left" vertical="center" wrapText="1"/>
    </xf>
    <xf numFmtId="0" fontId="13" fillId="0" borderId="0" xfId="0" applyFont="1" applyAlignment="1">
      <alignment horizontal="right"/>
    </xf>
    <xf numFmtId="0" fontId="7" fillId="6" borderId="1" xfId="0" applyFont="1" applyFill="1" applyBorder="1" applyAlignment="1">
      <alignment horizontal="left" vertical="center" wrapText="1"/>
    </xf>
    <xf numFmtId="0" fontId="7" fillId="6" borderId="1" xfId="0" applyFont="1" applyFill="1" applyBorder="1" applyAlignment="1">
      <alignment vertical="center" wrapText="1"/>
    </xf>
    <xf numFmtId="0" fontId="10" fillId="4" borderId="1" xfId="0" applyFont="1" applyFill="1" applyBorder="1" applyAlignment="1">
      <alignment horizontal="center" vertical="center" wrapText="1"/>
    </xf>
    <xf numFmtId="0" fontId="16" fillId="0" borderId="0" xfId="0" applyFont="1" applyAlignment="1">
      <alignment wrapText="1"/>
    </xf>
    <xf numFmtId="165" fontId="16" fillId="0" borderId="0" xfId="0" applyNumberFormat="1" applyFont="1"/>
    <xf numFmtId="0" fontId="15" fillId="0" borderId="0" xfId="0" applyFont="1" applyAlignment="1">
      <alignment vertical="center" wrapText="1"/>
    </xf>
    <xf numFmtId="0" fontId="15" fillId="0" borderId="0" xfId="0" applyFont="1" applyAlignment="1">
      <alignment horizontal="left"/>
    </xf>
    <xf numFmtId="0" fontId="9" fillId="0" borderId="0" xfId="0" applyFont="1" applyAlignment="1">
      <alignment horizontal="left"/>
    </xf>
    <xf numFmtId="14" fontId="10" fillId="4" borderId="1" xfId="0" applyNumberFormat="1" applyFont="1" applyFill="1" applyBorder="1" applyAlignment="1">
      <alignment horizontal="center" vertical="center" wrapText="1"/>
    </xf>
    <xf numFmtId="0" fontId="6" fillId="4" borderId="3" xfId="0" applyFont="1" applyFill="1" applyBorder="1" applyAlignment="1">
      <alignment vertical="center" wrapText="1"/>
    </xf>
    <xf numFmtId="49" fontId="10" fillId="4" borderId="1" xfId="0" applyNumberFormat="1" applyFont="1" applyFill="1" applyBorder="1" applyAlignment="1">
      <alignment horizontal="center" vertical="center" wrapText="1"/>
    </xf>
    <xf numFmtId="0" fontId="16" fillId="0" borderId="0" xfId="0" applyFont="1" applyAlignment="1">
      <alignment horizontal="center" vertical="top" wrapText="1"/>
    </xf>
    <xf numFmtId="0" fontId="40" fillId="2" borderId="1" xfId="0" applyFont="1" applyFill="1" applyBorder="1" applyAlignment="1">
      <alignment vertical="center" wrapText="1"/>
    </xf>
    <xf numFmtId="0" fontId="6" fillId="9" borderId="1" xfId="0" applyFont="1" applyFill="1" applyBorder="1" applyAlignment="1">
      <alignment vertical="center" wrapText="1"/>
    </xf>
    <xf numFmtId="0" fontId="4" fillId="0" borderId="0" xfId="0" applyFont="1"/>
    <xf numFmtId="0" fontId="41" fillId="0" borderId="0" xfId="0" applyFont="1" applyAlignment="1">
      <alignment vertical="center"/>
    </xf>
    <xf numFmtId="0" fontId="42" fillId="0" borderId="0" xfId="0" applyFont="1" applyAlignment="1">
      <alignment wrapText="1"/>
    </xf>
    <xf numFmtId="0" fontId="8" fillId="0" borderId="0" xfId="0" applyFont="1" applyAlignment="1">
      <alignment wrapText="1"/>
    </xf>
    <xf numFmtId="0" fontId="44" fillId="0" borderId="0" xfId="0" applyFont="1"/>
    <xf numFmtId="0" fontId="9" fillId="0" borderId="0" xfId="0" applyFont="1" applyAlignment="1">
      <alignment horizontal="left" vertical="center" wrapText="1"/>
    </xf>
    <xf numFmtId="0" fontId="8" fillId="0" borderId="0" xfId="0" applyFont="1" applyAlignment="1">
      <alignment horizontal="left" vertical="top" wrapText="1"/>
    </xf>
    <xf numFmtId="0" fontId="30" fillId="0" borderId="0" xfId="0" applyFont="1" applyAlignment="1">
      <alignment horizontal="left"/>
    </xf>
    <xf numFmtId="0" fontId="9" fillId="0" borderId="0" xfId="0" applyFont="1" applyAlignment="1">
      <alignment horizontal="left" vertical="top" wrapText="1"/>
    </xf>
    <xf numFmtId="49" fontId="8" fillId="0" borderId="0" xfId="0" applyNumberFormat="1" applyFont="1" applyAlignment="1">
      <alignment horizontal="left" vertical="top" wrapText="1"/>
    </xf>
    <xf numFmtId="0" fontId="6" fillId="5" borderId="1" xfId="0" applyFont="1" applyFill="1" applyBorder="1" applyAlignment="1">
      <alignment vertical="center" wrapText="1"/>
    </xf>
    <xf numFmtId="0" fontId="13" fillId="0" borderId="0" xfId="0" applyFont="1" applyAlignment="1">
      <alignment horizontal="left"/>
    </xf>
    <xf numFmtId="14" fontId="6" fillId="3" borderId="1" xfId="0" applyNumberFormat="1" applyFont="1" applyFill="1" applyBorder="1" applyAlignment="1">
      <alignment horizontal="center" vertical="center" wrapText="1"/>
    </xf>
    <xf numFmtId="0" fontId="46" fillId="2" borderId="1" xfId="0" applyFont="1" applyFill="1" applyBorder="1" applyAlignment="1">
      <alignment horizontal="left" vertical="center" wrapText="1"/>
    </xf>
    <xf numFmtId="0" fontId="46" fillId="2" borderId="1" xfId="0" applyFont="1" applyFill="1" applyBorder="1" applyAlignment="1">
      <alignment vertical="center" wrapText="1"/>
    </xf>
    <xf numFmtId="0" fontId="28" fillId="4" borderId="1" xfId="0" applyFont="1" applyFill="1" applyBorder="1" applyAlignment="1">
      <alignment vertical="center" wrapText="1"/>
    </xf>
    <xf numFmtId="0" fontId="48" fillId="4" borderId="1" xfId="0" applyFont="1" applyFill="1" applyBorder="1" applyAlignment="1">
      <alignment vertical="center" wrapText="1"/>
    </xf>
    <xf numFmtId="0" fontId="47" fillId="2" borderId="1" xfId="0" applyFont="1" applyFill="1" applyBorder="1" applyAlignment="1">
      <alignment vertical="center" wrapText="1"/>
    </xf>
    <xf numFmtId="0" fontId="46" fillId="10" borderId="2" xfId="0" applyFont="1" applyFill="1" applyBorder="1" applyAlignment="1">
      <alignment horizontal="left" vertical="center" wrapText="1"/>
    </xf>
    <xf numFmtId="0" fontId="46" fillId="10" borderId="24" xfId="0" applyFont="1" applyFill="1" applyBorder="1" applyAlignment="1">
      <alignment horizontal="left" vertical="center" wrapText="1"/>
    </xf>
    <xf numFmtId="43" fontId="48" fillId="4" borderId="1" xfId="1" applyFont="1" applyFill="1" applyBorder="1" applyAlignment="1">
      <alignment vertical="center" wrapText="1"/>
    </xf>
    <xf numFmtId="0" fontId="13" fillId="11" borderId="0" xfId="0" applyFont="1" applyFill="1"/>
    <xf numFmtId="0" fontId="6" fillId="10" borderId="0" xfId="0" applyFont="1" applyFill="1"/>
    <xf numFmtId="0" fontId="7" fillId="10" borderId="0" xfId="0" applyFont="1" applyFill="1" applyAlignment="1">
      <alignment vertical="center" wrapText="1"/>
    </xf>
    <xf numFmtId="49" fontId="6" fillId="10" borderId="0" xfId="0" applyNumberFormat="1" applyFont="1" applyFill="1"/>
    <xf numFmtId="0" fontId="6" fillId="10" borderId="0" xfId="0" applyFont="1" applyFill="1" applyAlignment="1">
      <alignment vertical="center" wrapText="1"/>
    </xf>
    <xf numFmtId="49" fontId="28" fillId="4" borderId="1" xfId="0" applyNumberFormat="1" applyFont="1" applyFill="1" applyBorder="1" applyAlignment="1">
      <alignment vertical="center" wrapText="1"/>
    </xf>
    <xf numFmtId="0" fontId="6" fillId="4" borderId="1" xfId="0" applyFont="1" applyFill="1" applyBorder="1" applyAlignment="1">
      <alignment horizontal="left" vertical="center" wrapText="1"/>
    </xf>
    <xf numFmtId="14" fontId="10" fillId="2" borderId="1" xfId="0" applyNumberFormat="1" applyFont="1" applyFill="1" applyBorder="1" applyAlignment="1">
      <alignment horizontal="center" vertical="center" wrapText="1"/>
    </xf>
    <xf numFmtId="0" fontId="7" fillId="2" borderId="13" xfId="0" applyFont="1" applyFill="1" applyBorder="1" applyAlignment="1">
      <alignment vertical="center" wrapText="1"/>
    </xf>
    <xf numFmtId="0" fontId="6" fillId="0" borderId="13" xfId="0" applyFont="1" applyBorder="1" applyAlignment="1">
      <alignment vertical="center" wrapText="1"/>
    </xf>
    <xf numFmtId="0" fontId="45" fillId="12" borderId="25" xfId="0" applyFont="1" applyFill="1" applyBorder="1" applyAlignment="1">
      <alignment vertical="center" wrapText="1"/>
    </xf>
    <xf numFmtId="0" fontId="6" fillId="12" borderId="26" xfId="0" applyFont="1" applyFill="1" applyBorder="1" applyAlignment="1">
      <alignment vertical="center" wrapText="1"/>
    </xf>
    <xf numFmtId="0" fontId="45" fillId="12" borderId="27" xfId="0" applyFont="1" applyFill="1" applyBorder="1" applyAlignment="1">
      <alignment vertical="center" wrapText="1"/>
    </xf>
    <xf numFmtId="43" fontId="6" fillId="12" borderId="28" xfId="1" applyFont="1" applyFill="1" applyBorder="1" applyAlignment="1">
      <alignment vertical="center" wrapText="1"/>
    </xf>
    <xf numFmtId="0" fontId="7" fillId="12" borderId="29" xfId="0" applyFont="1" applyFill="1" applyBorder="1" applyAlignment="1">
      <alignment vertical="center" wrapText="1"/>
    </xf>
    <xf numFmtId="43" fontId="6" fillId="12" borderId="30" xfId="1" applyFont="1" applyFill="1" applyBorder="1" applyAlignment="1">
      <alignment vertical="center" wrapText="1"/>
    </xf>
    <xf numFmtId="0" fontId="6" fillId="0" borderId="1" xfId="0" applyFont="1" applyBorder="1" applyAlignment="1">
      <alignment vertical="center" wrapText="1"/>
    </xf>
    <xf numFmtId="0" fontId="7" fillId="2" borderId="1" xfId="0" applyFont="1" applyFill="1" applyBorder="1" applyAlignment="1">
      <alignment vertical="center" wrapText="1"/>
    </xf>
    <xf numFmtId="0" fontId="6" fillId="0" borderId="1" xfId="0" applyFont="1" applyBorder="1" applyAlignment="1">
      <alignment vertical="center" wrapText="1"/>
    </xf>
    <xf numFmtId="0" fontId="7" fillId="2" borderId="1" xfId="0" applyFont="1" applyFill="1" applyBorder="1" applyAlignment="1">
      <alignment vertical="center" wrapText="1"/>
    </xf>
    <xf numFmtId="0" fontId="14" fillId="0" borderId="0" xfId="0" applyFont="1" applyAlignment="1">
      <alignment horizontal="left" wrapText="1"/>
    </xf>
    <xf numFmtId="0" fontId="9" fillId="0" borderId="0" xfId="0" applyFont="1" applyAlignment="1">
      <alignment horizontal="center"/>
    </xf>
    <xf numFmtId="0" fontId="13" fillId="0" borderId="1" xfId="0" applyFont="1" applyBorder="1" applyAlignment="1">
      <alignment horizontal="center" vertical="center" wrapText="1"/>
    </xf>
    <xf numFmtId="0" fontId="8" fillId="0" borderId="0" xfId="0" applyFont="1" applyAlignment="1">
      <alignment vertical="center" wrapText="1"/>
    </xf>
    <xf numFmtId="0" fontId="7" fillId="2" borderId="1" xfId="0" applyFont="1" applyFill="1" applyBorder="1" applyAlignment="1">
      <alignment horizontal="left" vertical="center" wrapText="1"/>
    </xf>
    <xf numFmtId="0" fontId="52" fillId="0" borderId="0" xfId="0" applyFont="1" applyAlignment="1" applyProtection="1">
      <alignment horizontal="center" vertical="center"/>
      <protection hidden="1"/>
    </xf>
    <xf numFmtId="0" fontId="53" fillId="0" borderId="0" xfId="0" applyFont="1" applyAlignment="1" applyProtection="1">
      <alignment horizontal="center" vertical="center"/>
      <protection hidden="1"/>
    </xf>
    <xf numFmtId="0" fontId="8" fillId="0" borderId="0" xfId="0" applyFont="1" applyBorder="1"/>
    <xf numFmtId="0" fontId="17" fillId="0" borderId="0" xfId="0" applyFont="1" applyBorder="1" applyAlignment="1">
      <alignment horizontal="center"/>
    </xf>
    <xf numFmtId="0" fontId="8" fillId="0" borderId="0" xfId="0" applyFont="1" applyBorder="1" applyAlignment="1">
      <alignment horizontal="left" vertical="center" wrapText="1"/>
    </xf>
    <xf numFmtId="0" fontId="8" fillId="0" borderId="0" xfId="0" applyFont="1" applyBorder="1" applyAlignment="1">
      <alignment horizontal="center" vertical="center"/>
    </xf>
    <xf numFmtId="0" fontId="8" fillId="0" borderId="0" xfId="0" applyFont="1" applyBorder="1" applyAlignment="1">
      <alignment horizontal="center"/>
    </xf>
    <xf numFmtId="0" fontId="54" fillId="4" borderId="0" xfId="0" applyFont="1" applyFill="1" applyAlignment="1">
      <alignment horizontal="left" vertical="center" wrapText="1" indent="1"/>
    </xf>
    <xf numFmtId="0" fontId="55" fillId="4" borderId="1" xfId="0" applyFont="1" applyFill="1" applyBorder="1" applyAlignment="1">
      <alignment vertical="center" wrapText="1"/>
    </xf>
    <xf numFmtId="0" fontId="55" fillId="6" borderId="1" xfId="0" applyFont="1" applyFill="1" applyBorder="1" applyAlignment="1">
      <alignment vertical="center" wrapText="1"/>
    </xf>
    <xf numFmtId="169" fontId="55" fillId="4" borderId="1" xfId="0" applyNumberFormat="1" applyFont="1" applyFill="1" applyBorder="1" applyAlignment="1">
      <alignment vertical="center" wrapText="1"/>
    </xf>
    <xf numFmtId="0" fontId="56" fillId="4" borderId="1" xfId="0" applyFont="1" applyFill="1" applyBorder="1" applyAlignment="1">
      <alignment vertical="center" wrapText="1"/>
    </xf>
    <xf numFmtId="0" fontId="55" fillId="0" borderId="1" xfId="0" applyFont="1" applyBorder="1" applyAlignment="1">
      <alignment vertical="center" wrapText="1"/>
    </xf>
    <xf numFmtId="0" fontId="55" fillId="4" borderId="1" xfId="0" applyFont="1" applyFill="1" applyBorder="1" applyAlignment="1">
      <alignment horizontal="left" vertical="center" wrapText="1"/>
    </xf>
    <xf numFmtId="49" fontId="55" fillId="4" borderId="1" xfId="0" applyNumberFormat="1" applyFont="1" applyFill="1" applyBorder="1" applyAlignment="1">
      <alignment vertical="center" wrapText="1"/>
    </xf>
    <xf numFmtId="170" fontId="55" fillId="0" borderId="1" xfId="0" applyNumberFormat="1" applyFont="1" applyBorder="1" applyAlignment="1">
      <alignment vertical="center" wrapText="1"/>
    </xf>
    <xf numFmtId="43" fontId="55" fillId="4" borderId="1" xfId="1" applyFont="1" applyFill="1" applyBorder="1" applyAlignment="1">
      <alignment vertical="center" wrapText="1"/>
    </xf>
    <xf numFmtId="170" fontId="55" fillId="4" borderId="1" xfId="0" applyNumberFormat="1" applyFont="1" applyFill="1" applyBorder="1" applyAlignment="1">
      <alignment vertical="center" wrapText="1"/>
    </xf>
    <xf numFmtId="0" fontId="8" fillId="5" borderId="0" xfId="0" applyFont="1" applyFill="1"/>
    <xf numFmtId="0" fontId="13" fillId="0" borderId="0" xfId="0" applyFont="1" applyAlignment="1">
      <alignment horizontal="justify" vertical="top"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wrapText="1"/>
    </xf>
    <xf numFmtId="0" fontId="14" fillId="0" borderId="0" xfId="0" applyFont="1" applyAlignment="1">
      <alignment vertical="top" wrapText="1"/>
    </xf>
    <xf numFmtId="0" fontId="9" fillId="0" borderId="0" xfId="0" applyFont="1" applyAlignment="1"/>
    <xf numFmtId="0" fontId="9" fillId="0" borderId="0" xfId="0" applyFont="1" applyAlignment="1">
      <alignment wrapText="1"/>
    </xf>
    <xf numFmtId="0" fontId="15" fillId="0" borderId="0" xfId="0" applyFont="1" applyAlignment="1">
      <alignment vertical="center"/>
    </xf>
    <xf numFmtId="0" fontId="11" fillId="0" borderId="0" xfId="0" applyFont="1" applyAlignment="1" applyProtection="1">
      <alignment horizontal="center" vertical="center"/>
      <protection hidden="1"/>
    </xf>
    <xf numFmtId="0" fontId="9" fillId="0" borderId="0" xfId="0" applyFont="1" applyBorder="1" applyAlignment="1">
      <alignment horizontal="center" vertical="center"/>
    </xf>
    <xf numFmtId="0" fontId="8" fillId="0" borderId="0" xfId="0" applyFont="1" applyAlignment="1">
      <alignment horizontal="left" vertical="center" wrapText="1"/>
    </xf>
    <xf numFmtId="0" fontId="9" fillId="0" borderId="0" xfId="0" applyFont="1" applyAlignment="1">
      <alignment horizontal="left" vertical="center" wrapText="1"/>
    </xf>
    <xf numFmtId="0" fontId="9" fillId="0" borderId="0" xfId="0" applyFont="1" applyAlignment="1">
      <alignment horizontal="right" wrapText="1"/>
    </xf>
    <xf numFmtId="0" fontId="57" fillId="0" borderId="0" xfId="0" applyFont="1"/>
    <xf numFmtId="0" fontId="8" fillId="0" borderId="0" xfId="0" applyFont="1" applyAlignment="1">
      <alignment horizontal="right"/>
    </xf>
    <xf numFmtId="49" fontId="8" fillId="0" borderId="0" xfId="0" applyNumberFormat="1" applyFont="1" applyAlignment="1">
      <alignment horizontal="right"/>
    </xf>
    <xf numFmtId="0" fontId="9" fillId="0" borderId="0" xfId="0" applyFont="1" applyBorder="1" applyAlignment="1">
      <alignment horizontal="center" wrapText="1"/>
    </xf>
    <xf numFmtId="0" fontId="8" fillId="0" borderId="0" xfId="0" applyFont="1" applyBorder="1" applyAlignment="1">
      <alignment horizontal="left" wrapText="1"/>
    </xf>
    <xf numFmtId="0" fontId="8" fillId="5" borderId="0" xfId="0" applyFont="1" applyFill="1" applyBorder="1" applyAlignment="1">
      <alignment horizontal="left" wrapText="1"/>
    </xf>
    <xf numFmtId="0" fontId="8" fillId="0" borderId="0" xfId="0" applyFont="1" applyBorder="1" applyAlignment="1">
      <alignment horizontal="left"/>
    </xf>
    <xf numFmtId="0" fontId="8" fillId="0" borderId="0" xfId="0" applyFont="1" applyBorder="1" applyAlignment="1">
      <alignment horizontal="right"/>
    </xf>
    <xf numFmtId="0" fontId="9" fillId="0" borderId="0" xfId="0" applyFont="1" applyBorder="1" applyAlignment="1">
      <alignment horizontal="left"/>
    </xf>
    <xf numFmtId="0" fontId="8" fillId="5" borderId="0" xfId="0" applyFont="1" applyFill="1" applyBorder="1" applyAlignment="1">
      <alignment horizontal="left" vertical="center" wrapText="1"/>
    </xf>
    <xf numFmtId="0" fontId="9" fillId="0" borderId="0" xfId="0" applyFont="1" applyAlignment="1">
      <alignment horizontal="left" wrapText="1"/>
    </xf>
    <xf numFmtId="0" fontId="13" fillId="0" borderId="0" xfId="0" applyFont="1" applyAlignment="1">
      <alignment horizontal="center" wrapText="1"/>
    </xf>
    <xf numFmtId="0" fontId="14" fillId="0" borderId="0" xfId="0" applyFont="1" applyAlignment="1">
      <alignment horizontal="center"/>
    </xf>
    <xf numFmtId="0" fontId="13" fillId="0" borderId="1" xfId="0" applyFont="1" applyBorder="1" applyAlignment="1">
      <alignment horizontal="center" vertical="center" wrapText="1"/>
    </xf>
    <xf numFmtId="0" fontId="13" fillId="0" borderId="0" xfId="0" applyFont="1" applyAlignment="1">
      <alignment horizontal="left"/>
    </xf>
    <xf numFmtId="0" fontId="6" fillId="10" borderId="1" xfId="0" applyFont="1" applyFill="1" applyBorder="1"/>
    <xf numFmtId="0" fontId="6" fillId="10" borderId="1" xfId="0" applyFont="1" applyFill="1" applyBorder="1" applyAlignment="1">
      <alignment wrapText="1"/>
    </xf>
    <xf numFmtId="10" fontId="28" fillId="10" borderId="0" xfId="287" applyNumberFormat="1" applyFont="1" applyFill="1" applyAlignment="1">
      <alignment horizontal="center"/>
    </xf>
    <xf numFmtId="0" fontId="28" fillId="10" borderId="0" xfId="0" applyFont="1" applyFill="1" applyAlignment="1">
      <alignment horizontal="center"/>
    </xf>
    <xf numFmtId="0" fontId="28" fillId="10" borderId="0" xfId="0" applyFont="1" applyFill="1"/>
    <xf numFmtId="43" fontId="6" fillId="10" borderId="0" xfId="0" applyNumberFormat="1" applyFont="1" applyFill="1"/>
    <xf numFmtId="14" fontId="6" fillId="10" borderId="0" xfId="0" applyNumberFormat="1" applyFont="1" applyFill="1"/>
    <xf numFmtId="0" fontId="51" fillId="10" borderId="16" xfId="0" applyFont="1" applyFill="1" applyBorder="1"/>
    <xf numFmtId="164" fontId="6" fillId="10" borderId="3" xfId="0" applyNumberFormat="1" applyFont="1" applyFill="1" applyBorder="1" applyAlignment="1">
      <alignment horizontal="left" vertical="top" wrapText="1"/>
    </xf>
    <xf numFmtId="168" fontId="7" fillId="10" borderId="0" xfId="0" applyNumberFormat="1" applyFont="1" applyFill="1"/>
    <xf numFmtId="0" fontId="6" fillId="10" borderId="19" xfId="0" applyFont="1" applyFill="1" applyBorder="1"/>
    <xf numFmtId="0" fontId="6" fillId="10" borderId="20" xfId="0" applyFont="1" applyFill="1" applyBorder="1"/>
    <xf numFmtId="0" fontId="10" fillId="10" borderId="1" xfId="0" applyFont="1" applyFill="1" applyBorder="1" applyAlignment="1">
      <alignment horizontal="center" vertical="center" wrapText="1"/>
    </xf>
    <xf numFmtId="0" fontId="6" fillId="10" borderId="1" xfId="0" applyFont="1" applyFill="1" applyBorder="1" applyAlignment="1">
      <alignment horizontal="center" vertical="center"/>
    </xf>
    <xf numFmtId="0" fontId="6" fillId="10" borderId="1" xfId="0" applyFont="1" applyFill="1" applyBorder="1" applyAlignment="1">
      <alignment horizontal="center" vertical="center" wrapText="1"/>
    </xf>
    <xf numFmtId="0" fontId="6" fillId="10" borderId="1" xfId="0" applyFont="1" applyFill="1" applyBorder="1" applyAlignment="1">
      <alignment horizontal="left" vertical="center"/>
    </xf>
    <xf numFmtId="0" fontId="6" fillId="10" borderId="1" xfId="0" applyFont="1" applyFill="1" applyBorder="1" applyAlignment="1">
      <alignment horizontal="left" vertical="center" wrapText="1"/>
    </xf>
    <xf numFmtId="0" fontId="6" fillId="10" borderId="1" xfId="0" applyFont="1" applyFill="1" applyBorder="1" applyAlignment="1">
      <alignment vertical="center" wrapText="1"/>
    </xf>
    <xf numFmtId="0" fontId="7" fillId="10" borderId="0" xfId="0" applyFont="1" applyFill="1" applyAlignment="1">
      <alignment vertical="center"/>
    </xf>
    <xf numFmtId="0" fontId="6" fillId="10" borderId="13" xfId="0" applyFont="1" applyFill="1" applyBorder="1" applyAlignment="1">
      <alignment vertical="center"/>
    </xf>
    <xf numFmtId="0" fontId="6" fillId="10" borderId="15" xfId="0" applyFont="1" applyFill="1" applyBorder="1" applyAlignment="1">
      <alignment vertical="center"/>
    </xf>
    <xf numFmtId="14" fontId="6" fillId="10" borderId="1" xfId="0" applyNumberFormat="1" applyFont="1" applyFill="1" applyBorder="1"/>
    <xf numFmtId="0" fontId="7" fillId="10" borderId="0" xfId="0" applyFont="1" applyFill="1"/>
    <xf numFmtId="49" fontId="6" fillId="10" borderId="1" xfId="0" applyNumberFormat="1" applyFont="1" applyFill="1" applyBorder="1"/>
    <xf numFmtId="0" fontId="7" fillId="10" borderId="0" xfId="0" applyFont="1" applyFill="1" applyAlignment="1">
      <alignment wrapText="1"/>
    </xf>
    <xf numFmtId="164" fontId="6" fillId="10" borderId="1" xfId="0" applyNumberFormat="1" applyFont="1" applyFill="1" applyBorder="1" applyAlignment="1">
      <alignment vertical="center" wrapText="1"/>
    </xf>
    <xf numFmtId="164" fontId="6" fillId="10" borderId="0" xfId="0" applyNumberFormat="1" applyFont="1" applyFill="1" applyAlignment="1">
      <alignment vertical="center" wrapText="1"/>
    </xf>
    <xf numFmtId="0" fontId="9" fillId="0" borderId="0" xfId="0" applyFont="1" applyAlignment="1">
      <alignment horizontal="left" vertical="center" wrapText="1"/>
    </xf>
    <xf numFmtId="0" fontId="13" fillId="0" borderId="0" xfId="0" applyFont="1" applyAlignment="1">
      <alignment vertical="center"/>
    </xf>
    <xf numFmtId="0" fontId="13" fillId="0" borderId="0" xfId="0" applyFont="1" applyAlignment="1">
      <alignment horizontal="right" vertical="center"/>
    </xf>
    <xf numFmtId="0" fontId="14" fillId="0" borderId="0" xfId="0" applyFont="1" applyAlignment="1">
      <alignment vertical="center"/>
    </xf>
    <xf numFmtId="0" fontId="58" fillId="4" borderId="0" xfId="0" applyFont="1" applyFill="1"/>
    <xf numFmtId="0" fontId="58" fillId="4" borderId="0" xfId="0" applyFont="1" applyFill="1" applyAlignment="1">
      <alignment vertical="center"/>
    </xf>
    <xf numFmtId="0" fontId="7" fillId="2" borderId="1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8" fillId="0" borderId="0" xfId="0" applyFont="1" applyAlignment="1">
      <alignment horizontal="left" vertical="top" wrapText="1"/>
    </xf>
    <xf numFmtId="0" fontId="9" fillId="0" borderId="0" xfId="0" applyFont="1" applyBorder="1" applyAlignment="1">
      <alignment horizontal="right" vertical="center" wrapText="1"/>
    </xf>
    <xf numFmtId="0" fontId="9" fillId="0" borderId="0" xfId="0" applyFont="1" applyAlignment="1">
      <alignment horizontal="center" vertical="center" wrapText="1"/>
    </xf>
    <xf numFmtId="0" fontId="9" fillId="0" borderId="0" xfId="0" applyFont="1" applyAlignment="1">
      <alignment horizontal="center"/>
    </xf>
    <xf numFmtId="0" fontId="9" fillId="0" borderId="0" xfId="0" applyFont="1" applyBorder="1" applyAlignment="1">
      <alignment horizontal="center" vertical="center"/>
    </xf>
    <xf numFmtId="0" fontId="9" fillId="0" borderId="0" xfId="0" applyFont="1" applyAlignment="1">
      <alignment horizontal="center" wrapText="1"/>
    </xf>
    <xf numFmtId="49" fontId="8" fillId="0" borderId="0" xfId="0" applyNumberFormat="1" applyFont="1" applyAlignment="1">
      <alignment horizontal="left" vertical="top" wrapText="1"/>
    </xf>
    <xf numFmtId="0" fontId="30" fillId="0" borderId="0" xfId="0" applyFont="1" applyAlignment="1">
      <alignment horizontal="left"/>
    </xf>
    <xf numFmtId="0" fontId="9" fillId="0" borderId="0" xfId="0" applyFont="1" applyAlignment="1">
      <alignment horizontal="center" vertical="top" wrapText="1"/>
    </xf>
    <xf numFmtId="0" fontId="8" fillId="0" borderId="0" xfId="0" applyFont="1" applyAlignment="1">
      <alignment vertical="top" wrapText="1"/>
    </xf>
    <xf numFmtId="0" fontId="27" fillId="5" borderId="0" xfId="0" applyFont="1" applyFill="1" applyAlignment="1">
      <alignment horizontal="left" vertical="top" wrapText="1"/>
    </xf>
    <xf numFmtId="0" fontId="30" fillId="0" borderId="0" xfId="0" applyFont="1" applyAlignment="1">
      <alignment horizontal="center" vertical="top" wrapText="1"/>
    </xf>
    <xf numFmtId="0" fontId="9" fillId="0" borderId="0" xfId="0" applyFont="1" applyAlignment="1">
      <alignment horizontal="center" vertical="center"/>
    </xf>
    <xf numFmtId="0" fontId="8" fillId="5" borderId="0" xfId="0" applyFont="1" applyFill="1" applyAlignment="1">
      <alignment horizontal="left" vertical="top" wrapText="1"/>
    </xf>
    <xf numFmtId="0" fontId="13" fillId="0" borderId="0" xfId="0" applyFont="1" applyAlignment="1">
      <alignment horizontal="justify" vertical="top" wrapText="1"/>
    </xf>
    <xf numFmtId="0" fontId="13" fillId="0" borderId="0" xfId="0" applyFont="1" applyAlignment="1">
      <alignment horizontal="left" vertical="top" wrapText="1"/>
    </xf>
    <xf numFmtId="0" fontId="14" fillId="0" borderId="0" xfId="0" applyFont="1" applyAlignment="1">
      <alignment horizontal="center" vertical="top" wrapText="1"/>
    </xf>
    <xf numFmtId="0" fontId="14" fillId="0" borderId="0" xfId="0" applyFont="1" applyAlignment="1">
      <alignment horizontal="left" vertical="center" wrapText="1"/>
    </xf>
    <xf numFmtId="0" fontId="13" fillId="0" borderId="0" xfId="0" applyFont="1" applyAlignment="1">
      <alignment horizontal="left" vertical="center" wrapText="1"/>
    </xf>
    <xf numFmtId="0" fontId="14" fillId="0" borderId="0" xfId="0" applyFont="1" applyAlignment="1">
      <alignment horizontal="center" vertical="center" wrapText="1"/>
    </xf>
    <xf numFmtId="0" fontId="32" fillId="0" borderId="0" xfId="0" applyFont="1" applyAlignment="1">
      <alignment horizontal="center" vertical="center" wrapText="1"/>
    </xf>
    <xf numFmtId="0" fontId="43" fillId="0" borderId="0" xfId="0" applyFont="1" applyAlignment="1">
      <alignment horizontal="justify" vertical="top" wrapText="1"/>
    </xf>
    <xf numFmtId="0" fontId="32" fillId="0" borderId="0" xfId="0" applyFont="1" applyAlignment="1">
      <alignment horizontal="right"/>
    </xf>
    <xf numFmtId="0" fontId="32" fillId="0" borderId="0" xfId="0" applyFont="1" applyAlignment="1">
      <alignment horizontal="center"/>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horizontal="center"/>
    </xf>
    <xf numFmtId="0" fontId="26" fillId="0" borderId="0" xfId="0" applyFont="1" applyAlignment="1">
      <alignment horizontal="center" vertical="top" wrapText="1"/>
    </xf>
    <xf numFmtId="0" fontId="26" fillId="0" borderId="0" xfId="0" applyFont="1" applyAlignment="1">
      <alignment horizontal="justify" vertical="top" wrapText="1"/>
    </xf>
    <xf numFmtId="0" fontId="33" fillId="0" borderId="0" xfId="0" applyFont="1" applyAlignment="1">
      <alignment horizontal="center" vertical="center" wrapText="1"/>
    </xf>
    <xf numFmtId="0" fontId="32" fillId="0" borderId="0" xfId="0" applyFont="1" applyAlignment="1">
      <alignment horizontal="center" wrapText="1"/>
    </xf>
    <xf numFmtId="0" fontId="32" fillId="0" borderId="0" xfId="0" applyFont="1" applyAlignment="1">
      <alignment horizontal="center" vertical="top" wrapText="1"/>
    </xf>
    <xf numFmtId="0" fontId="26" fillId="0" borderId="0" xfId="0" applyFont="1" applyAlignment="1">
      <alignment horizontal="center"/>
    </xf>
    <xf numFmtId="0" fontId="26" fillId="0" borderId="0" xfId="0" applyFont="1" applyAlignment="1">
      <alignment horizontal="left" wrapText="1"/>
    </xf>
    <xf numFmtId="0" fontId="34" fillId="0" borderId="0" xfId="0" applyFont="1" applyAlignment="1">
      <alignment horizontal="center" vertical="top" wrapText="1"/>
    </xf>
    <xf numFmtId="0" fontId="26" fillId="0" borderId="0" xfId="0" applyFont="1" applyAlignment="1">
      <alignment horizontal="center" wrapText="1"/>
    </xf>
    <xf numFmtId="0" fontId="14" fillId="0" borderId="0" xfId="0" applyFont="1" applyAlignment="1">
      <alignment horizontal="right"/>
    </xf>
    <xf numFmtId="0" fontId="14" fillId="0" borderId="0" xfId="0" applyFont="1" applyAlignment="1">
      <alignment horizont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xf>
    <xf numFmtId="0" fontId="13" fillId="0" borderId="0" xfId="0" applyFont="1" applyAlignment="1">
      <alignment horizontal="center" vertical="top" wrapText="1"/>
    </xf>
    <xf numFmtId="0" fontId="19" fillId="0" borderId="0" xfId="0" applyFont="1" applyAlignment="1">
      <alignment horizontal="center" vertical="center" wrapText="1"/>
    </xf>
    <xf numFmtId="0" fontId="14" fillId="0" borderId="0" xfId="0" applyFont="1" applyAlignment="1">
      <alignment horizontal="center" wrapText="1"/>
    </xf>
    <xf numFmtId="0" fontId="13" fillId="0" borderId="0" xfId="0" applyFont="1" applyAlignment="1">
      <alignment horizontal="center"/>
    </xf>
    <xf numFmtId="0" fontId="13" fillId="0" borderId="0" xfId="0" applyFont="1" applyAlignment="1">
      <alignment horizontal="left" wrapText="1"/>
    </xf>
    <xf numFmtId="0" fontId="18" fillId="0" borderId="0" xfId="0" applyFont="1" applyAlignment="1">
      <alignment horizontal="center" vertical="top" wrapText="1"/>
    </xf>
    <xf numFmtId="0" fontId="13" fillId="0" borderId="0" xfId="0" applyFont="1" applyAlignment="1">
      <alignment horizontal="center" wrapText="1"/>
    </xf>
    <xf numFmtId="0" fontId="14" fillId="0" borderId="0" xfId="0" applyFont="1" applyAlignment="1">
      <alignment horizontal="left" vertical="top"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24" fillId="0" borderId="0" xfId="0" applyFont="1" applyAlignment="1">
      <alignment horizontal="right" vertical="top" wrapText="1"/>
    </xf>
    <xf numFmtId="0" fontId="32" fillId="0" borderId="0" xfId="0" applyFont="1" applyAlignment="1">
      <alignment horizontal="left" vertical="center"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0" xfId="0" applyFont="1" applyAlignment="1">
      <alignment horizontal="right" vertical="center" wrapText="1"/>
    </xf>
    <xf numFmtId="0" fontId="14" fillId="0" borderId="0" xfId="0" applyFont="1" applyBorder="1" applyAlignment="1">
      <alignment horizontal="left" vertical="top" wrapText="1"/>
    </xf>
    <xf numFmtId="0" fontId="14" fillId="0" borderId="0" xfId="0" applyFont="1" applyBorder="1" applyAlignment="1">
      <alignment horizontal="center" vertical="top" wrapText="1"/>
    </xf>
    <xf numFmtId="0" fontId="13" fillId="0" borderId="0" xfId="0" applyFont="1" applyBorder="1" applyAlignment="1">
      <alignment horizontal="left" vertical="top" wrapText="1"/>
    </xf>
    <xf numFmtId="0" fontId="19" fillId="0" borderId="0" xfId="0" applyFont="1" applyBorder="1" applyAlignment="1">
      <alignment horizontal="center" vertical="center" wrapText="1"/>
    </xf>
    <xf numFmtId="0" fontId="14" fillId="0" borderId="0" xfId="0" applyFont="1" applyBorder="1" applyAlignment="1">
      <alignment horizontal="center" wrapText="1"/>
    </xf>
    <xf numFmtId="0" fontId="13" fillId="0" borderId="0" xfId="0" applyFont="1" applyBorder="1" applyAlignment="1">
      <alignment horizontal="center" vertical="top" wrapText="1"/>
    </xf>
    <xf numFmtId="0" fontId="49" fillId="0" borderId="0" xfId="0" applyFont="1" applyAlignment="1">
      <alignment horizontal="center" wrapText="1"/>
    </xf>
    <xf numFmtId="0" fontId="14" fillId="0" borderId="0" xfId="0" applyFont="1" applyBorder="1" applyAlignment="1">
      <alignment horizontal="right" vertical="top" wrapText="1"/>
    </xf>
    <xf numFmtId="0" fontId="8" fillId="0" borderId="0" xfId="0" applyFont="1" applyAlignment="1">
      <alignment horizontal="justify" vertical="top" wrapText="1"/>
    </xf>
    <xf numFmtId="0" fontId="8" fillId="8" borderId="0" xfId="0" applyFont="1" applyFill="1" applyAlignment="1">
      <alignment horizontal="justify" vertical="top" wrapText="1"/>
    </xf>
    <xf numFmtId="0" fontId="8" fillId="0" borderId="0" xfId="0" applyFont="1" applyAlignment="1">
      <alignment horizontal="left" vertical="center" wrapText="1"/>
    </xf>
    <xf numFmtId="0" fontId="9" fillId="0" borderId="0" xfId="0" applyFont="1" applyAlignment="1">
      <alignment horizontal="left" vertical="center" wrapText="1"/>
    </xf>
    <xf numFmtId="0" fontId="9" fillId="0" borderId="0" xfId="0" applyFont="1" applyAlignment="1">
      <alignment horizontal="left" vertical="top" wrapText="1"/>
    </xf>
    <xf numFmtId="0" fontId="9" fillId="0" borderId="0" xfId="0" applyFont="1" applyAlignment="1">
      <alignment horizontal="right" vertical="center"/>
    </xf>
    <xf numFmtId="0" fontId="13" fillId="0" borderId="8" xfId="0" applyFont="1" applyBorder="1" applyAlignment="1">
      <alignment horizontal="center" wrapText="1"/>
    </xf>
    <xf numFmtId="0" fontId="13" fillId="0" borderId="9" xfId="0" applyFont="1" applyBorder="1" applyAlignment="1">
      <alignment horizontal="center" wrapText="1"/>
    </xf>
    <xf numFmtId="0" fontId="22" fillId="0" borderId="8" xfId="0" applyFont="1" applyBorder="1" applyAlignment="1">
      <alignment horizontal="center" wrapText="1"/>
    </xf>
    <xf numFmtId="0" fontId="22" fillId="0" borderId="0" xfId="0" applyFont="1" applyAlignment="1">
      <alignment horizontal="center" wrapText="1"/>
    </xf>
    <xf numFmtId="0" fontId="22" fillId="0" borderId="9" xfId="0" applyFont="1" applyBorder="1" applyAlignment="1">
      <alignment horizontal="center" wrapText="1"/>
    </xf>
    <xf numFmtId="0" fontId="23" fillId="0" borderId="5" xfId="0" applyFont="1" applyBorder="1" applyAlignment="1">
      <alignment horizontal="center" wrapText="1"/>
    </xf>
    <xf numFmtId="0" fontId="23" fillId="0" borderId="6" xfId="0" applyFont="1" applyBorder="1" applyAlignment="1">
      <alignment horizontal="center" wrapText="1"/>
    </xf>
    <xf numFmtId="0" fontId="23" fillId="0" borderId="7" xfId="0" applyFont="1" applyBorder="1" applyAlignment="1">
      <alignment horizontal="center" wrapText="1"/>
    </xf>
    <xf numFmtId="0" fontId="31" fillId="0" borderId="8" xfId="0" applyFont="1" applyBorder="1" applyAlignment="1">
      <alignment horizontal="center" wrapText="1"/>
    </xf>
    <xf numFmtId="0" fontId="31" fillId="0" borderId="0" xfId="0" applyFont="1" applyAlignment="1">
      <alignment horizontal="center" wrapText="1"/>
    </xf>
    <xf numFmtId="0" fontId="31" fillId="0" borderId="9" xfId="0" applyFont="1" applyBorder="1" applyAlignment="1">
      <alignment horizontal="center" wrapText="1"/>
    </xf>
    <xf numFmtId="0" fontId="14" fillId="0" borderId="10" xfId="0" applyFont="1" applyBorder="1" applyAlignment="1">
      <alignment horizontal="center" wrapText="1"/>
    </xf>
    <xf numFmtId="0" fontId="14" fillId="0" borderId="11" xfId="0" applyFont="1" applyBorder="1" applyAlignment="1">
      <alignment horizontal="center" wrapText="1"/>
    </xf>
    <xf numFmtId="0" fontId="14" fillId="0" borderId="12" xfId="0" applyFont="1" applyBorder="1" applyAlignment="1">
      <alignment horizontal="center" wrapText="1"/>
    </xf>
    <xf numFmtId="0" fontId="14" fillId="0" borderId="8" xfId="0" applyFont="1" applyBorder="1" applyAlignment="1">
      <alignment horizontal="left" wrapText="1"/>
    </xf>
    <xf numFmtId="0" fontId="14" fillId="0" borderId="0" xfId="0" applyFont="1" applyAlignment="1">
      <alignment horizontal="left" wrapText="1"/>
    </xf>
    <xf numFmtId="0" fontId="14" fillId="0" borderId="9" xfId="0" applyFont="1" applyBorder="1" applyAlignment="1">
      <alignment horizontal="left" wrapText="1"/>
    </xf>
    <xf numFmtId="0" fontId="16" fillId="0" borderId="0" xfId="0" applyFont="1" applyAlignment="1">
      <alignment horizontal="justify" vertical="top" wrapText="1"/>
    </xf>
    <xf numFmtId="0" fontId="16" fillId="0" borderId="0" xfId="0" applyFont="1" applyAlignment="1">
      <alignment horizontal="center" vertical="top" wrapText="1"/>
    </xf>
    <xf numFmtId="0" fontId="16" fillId="0" borderId="4" xfId="0" applyFont="1" applyBorder="1" applyAlignment="1">
      <alignment horizontal="center" vertical="top" wrapText="1"/>
    </xf>
    <xf numFmtId="49" fontId="16" fillId="0" borderId="0" xfId="0" applyNumberFormat="1" applyFont="1" applyAlignment="1">
      <alignment horizontal="center" vertical="center" wrapText="1"/>
    </xf>
    <xf numFmtId="0" fontId="15" fillId="0" borderId="0" xfId="0" applyFont="1" applyAlignment="1">
      <alignment horizontal="center" vertical="top" wrapText="1"/>
    </xf>
    <xf numFmtId="0" fontId="16" fillId="0" borderId="0" xfId="0" applyFont="1" applyAlignment="1">
      <alignment horizontal="left" vertical="top" wrapText="1"/>
    </xf>
    <xf numFmtId="0" fontId="13" fillId="0" borderId="0" xfId="0" applyFont="1" applyAlignment="1">
      <alignment horizontal="center" vertical="center"/>
    </xf>
    <xf numFmtId="49" fontId="13" fillId="0" borderId="0" xfId="0" applyNumberFormat="1" applyFont="1" applyAlignment="1">
      <alignment horizontal="justify" vertical="top" wrapText="1"/>
    </xf>
    <xf numFmtId="0" fontId="8" fillId="0" borderId="0" xfId="0" applyFont="1" applyAlignment="1">
      <alignment horizontal="justify" wrapText="1"/>
    </xf>
    <xf numFmtId="0" fontId="9" fillId="0" borderId="0" xfId="0" applyFont="1" applyAlignment="1">
      <alignment horizontal="right" vertical="top" wrapText="1"/>
    </xf>
    <xf numFmtId="0" fontId="36" fillId="0" borderId="0" xfId="0" applyFont="1" applyAlignment="1">
      <alignment horizontal="justify" vertical="top" wrapText="1"/>
    </xf>
    <xf numFmtId="0" fontId="36" fillId="0" borderId="0" xfId="0" applyFont="1" applyAlignment="1">
      <alignment horizontal="justify" vertical="center" wrapText="1"/>
    </xf>
    <xf numFmtId="0" fontId="13" fillId="0" borderId="0" xfId="0" applyFont="1" applyAlignment="1">
      <alignment horizontal="left"/>
    </xf>
    <xf numFmtId="0" fontId="37" fillId="0" borderId="0" xfId="0" applyFont="1" applyAlignment="1">
      <alignment vertical="center" wrapText="1"/>
    </xf>
    <xf numFmtId="0" fontId="13" fillId="0" borderId="0" xfId="0" applyFont="1" applyAlignment="1">
      <alignment vertical="top" wrapText="1"/>
    </xf>
    <xf numFmtId="0" fontId="37" fillId="0" borderId="0" xfId="0" applyFont="1" applyAlignment="1">
      <alignment horizontal="justify" vertical="center" wrapText="1"/>
    </xf>
    <xf numFmtId="0" fontId="16" fillId="0" borderId="0" xfId="0" applyFont="1" applyAlignment="1">
      <alignment horizontal="left" wrapText="1"/>
    </xf>
    <xf numFmtId="0" fontId="16" fillId="0" borderId="1" xfId="0" applyFont="1" applyBorder="1" applyAlignment="1">
      <alignment horizontal="center" vertical="center" wrapText="1"/>
    </xf>
    <xf numFmtId="0" fontId="16" fillId="0" borderId="0" xfId="0" applyFont="1" applyAlignment="1">
      <alignment horizontal="left"/>
    </xf>
    <xf numFmtId="0" fontId="15" fillId="8" borderId="3"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5" fillId="0" borderId="0" xfId="0" applyFont="1" applyAlignment="1">
      <alignment horizontal="center" wrapText="1"/>
    </xf>
    <xf numFmtId="0" fontId="39" fillId="0" borderId="0" xfId="0" applyFont="1" applyAlignment="1">
      <alignment horizontal="left" vertical="center" wrapText="1" readingOrder="1"/>
    </xf>
    <xf numFmtId="0" fontId="16" fillId="0" borderId="0" xfId="0" applyFont="1" applyAlignment="1">
      <alignment horizontal="justify" vertical="top" wrapText="1" readingOrder="1"/>
    </xf>
    <xf numFmtId="0" fontId="15" fillId="0" borderId="4" xfId="0" applyFont="1" applyBorder="1" applyAlignment="1">
      <alignment horizontal="left" vertical="top"/>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13" fillId="0" borderId="17" xfId="0" applyFont="1" applyBorder="1" applyAlignment="1">
      <alignment horizontal="left" vertical="center"/>
    </xf>
    <xf numFmtId="0" fontId="13" fillId="0" borderId="0" xfId="0" applyFont="1" applyAlignment="1">
      <alignment horizontal="left" vertical="center"/>
    </xf>
    <xf numFmtId="0" fontId="27" fillId="0" borderId="0" xfId="0" applyFont="1" applyAlignment="1">
      <alignment horizontal="center"/>
    </xf>
    <xf numFmtId="0" fontId="27" fillId="0" borderId="3" xfId="0" applyFont="1" applyBorder="1" applyAlignment="1">
      <alignment horizontal="justify" vertical="center" wrapText="1"/>
    </xf>
    <xf numFmtId="0" fontId="27" fillId="0" borderId="18" xfId="0" applyFont="1" applyBorder="1" applyAlignment="1">
      <alignment horizontal="justify" vertical="center" wrapText="1"/>
    </xf>
    <xf numFmtId="0" fontId="27" fillId="0" borderId="2" xfId="0" applyFont="1" applyBorder="1" applyAlignment="1">
      <alignment horizontal="justify" vertical="center" wrapText="1"/>
    </xf>
    <xf numFmtId="0" fontId="27" fillId="0" borderId="3" xfId="0" applyFont="1" applyBorder="1" applyAlignment="1">
      <alignment horizontal="justify" vertical="center"/>
    </xf>
    <xf numFmtId="0" fontId="27" fillId="0" borderId="2" xfId="0" applyFont="1" applyBorder="1" applyAlignment="1">
      <alignment horizontal="justify" vertical="center"/>
    </xf>
    <xf numFmtId="0" fontId="27" fillId="0" borderId="21" xfId="0" applyFont="1" applyBorder="1" applyAlignment="1">
      <alignment horizontal="justify" vertical="center"/>
    </xf>
    <xf numFmtId="0" fontId="27" fillId="0" borderId="17" xfId="0" applyFont="1" applyBorder="1" applyAlignment="1">
      <alignment horizontal="justify" vertical="center"/>
    </xf>
    <xf numFmtId="0" fontId="27" fillId="0" borderId="22" xfId="0" applyFont="1" applyBorder="1" applyAlignment="1">
      <alignment horizontal="justify" vertical="center"/>
    </xf>
    <xf numFmtId="0" fontId="27" fillId="0" borderId="20" xfId="0" applyFont="1" applyBorder="1" applyAlignment="1">
      <alignment horizontal="justify" vertical="center"/>
    </xf>
    <xf numFmtId="0" fontId="27" fillId="0" borderId="4" xfId="0" applyFont="1" applyBorder="1" applyAlignment="1">
      <alignment horizontal="justify" vertical="center"/>
    </xf>
    <xf numFmtId="0" fontId="27" fillId="0" borderId="23" xfId="0" applyFont="1" applyBorder="1" applyAlignment="1">
      <alignment horizontal="justify" vertical="center"/>
    </xf>
    <xf numFmtId="0" fontId="27" fillId="0" borderId="1" xfId="0" applyFont="1" applyBorder="1" applyAlignment="1">
      <alignment horizontal="justify" vertical="center" wrapText="1"/>
    </xf>
    <xf numFmtId="0" fontId="27" fillId="0" borderId="17" xfId="0" applyFont="1" applyBorder="1" applyAlignment="1">
      <alignment horizontal="justify" vertical="center" wrapText="1"/>
    </xf>
    <xf numFmtId="0" fontId="27" fillId="0" borderId="11" xfId="0" applyFont="1" applyBorder="1" applyAlignment="1">
      <alignment horizontal="justify"/>
    </xf>
    <xf numFmtId="0" fontId="27" fillId="0" borderId="0" xfId="0" applyFont="1" applyAlignment="1">
      <alignment horizontal="justify" vertical="center" wrapText="1"/>
    </xf>
  </cellXfs>
  <cellStyles count="424">
    <cellStyle name="Обычный" xfId="0" builtinId="0"/>
    <cellStyle name="Обычный 10" xfId="72" xr:uid="{00000000-0005-0000-0000-000001000000}"/>
    <cellStyle name="Обычный 10 2" xfId="208" xr:uid="{00000000-0005-0000-0000-000002000000}"/>
    <cellStyle name="Обычный 10 3" xfId="357" xr:uid="{00000000-0005-0000-0000-000003000000}"/>
    <cellStyle name="Обычный 11" xfId="73" xr:uid="{00000000-0005-0000-0000-000004000000}"/>
    <cellStyle name="Обычный 11 2" xfId="209" xr:uid="{00000000-0005-0000-0000-000005000000}"/>
    <cellStyle name="Обычный 11 3" xfId="358" xr:uid="{00000000-0005-0000-0000-000006000000}"/>
    <cellStyle name="Обычный 2" xfId="63" xr:uid="{00000000-0005-0000-0000-000007000000}"/>
    <cellStyle name="Обычный 3" xfId="64" xr:uid="{00000000-0005-0000-0000-000008000000}"/>
    <cellStyle name="Обычный 4" xfId="66" xr:uid="{00000000-0005-0000-0000-000009000000}"/>
    <cellStyle name="Обычный 4 2" xfId="202" xr:uid="{00000000-0005-0000-0000-00000A000000}"/>
    <cellStyle name="Обычный 4 3" xfId="351" xr:uid="{00000000-0005-0000-0000-00000B000000}"/>
    <cellStyle name="Обычный 5" xfId="67" xr:uid="{00000000-0005-0000-0000-00000C000000}"/>
    <cellStyle name="Обычный 5 2" xfId="203" xr:uid="{00000000-0005-0000-0000-00000D000000}"/>
    <cellStyle name="Обычный 5 3" xfId="352" xr:uid="{00000000-0005-0000-0000-00000E000000}"/>
    <cellStyle name="Обычный 6" xfId="68" xr:uid="{00000000-0005-0000-0000-00000F000000}"/>
    <cellStyle name="Обычный 6 2" xfId="204" xr:uid="{00000000-0005-0000-0000-000010000000}"/>
    <cellStyle name="Обычный 6 3" xfId="353" xr:uid="{00000000-0005-0000-0000-000011000000}"/>
    <cellStyle name="Обычный 7" xfId="69" xr:uid="{00000000-0005-0000-0000-000012000000}"/>
    <cellStyle name="Обычный 7 2" xfId="205" xr:uid="{00000000-0005-0000-0000-000013000000}"/>
    <cellStyle name="Обычный 7 3" xfId="354" xr:uid="{00000000-0005-0000-0000-000014000000}"/>
    <cellStyle name="Обычный 8" xfId="70" xr:uid="{00000000-0005-0000-0000-000015000000}"/>
    <cellStyle name="Обычный 8 2" xfId="206" xr:uid="{00000000-0005-0000-0000-000016000000}"/>
    <cellStyle name="Обычный 8 3" xfId="355" xr:uid="{00000000-0005-0000-0000-000017000000}"/>
    <cellStyle name="Обычный 9" xfId="71" xr:uid="{00000000-0005-0000-0000-000018000000}"/>
    <cellStyle name="Обычный 9 2" xfId="207" xr:uid="{00000000-0005-0000-0000-000019000000}"/>
    <cellStyle name="Обычный 9 3" xfId="356" xr:uid="{00000000-0005-0000-0000-00001A000000}"/>
    <cellStyle name="Процентный" xfId="287" builtinId="5"/>
    <cellStyle name="Финансовый" xfId="1" builtinId="3"/>
    <cellStyle name="Финансовый 10" xfId="125" xr:uid="{00000000-0005-0000-0000-00001D000000}"/>
    <cellStyle name="Финансовый 10 2" xfId="261" xr:uid="{00000000-0005-0000-0000-00001E000000}"/>
    <cellStyle name="Финансовый 10 3" xfId="410" xr:uid="{00000000-0005-0000-0000-00001F000000}"/>
    <cellStyle name="Финансовый 11" xfId="61" xr:uid="{00000000-0005-0000-0000-000020000000}"/>
    <cellStyle name="Финансовый 11 2" xfId="199" xr:uid="{00000000-0005-0000-0000-000021000000}"/>
    <cellStyle name="Финансовый 11 3" xfId="348" xr:uid="{00000000-0005-0000-0000-000022000000}"/>
    <cellStyle name="Финансовый 12" xfId="49" xr:uid="{00000000-0005-0000-0000-000023000000}"/>
    <cellStyle name="Финансовый 12 2" xfId="187" xr:uid="{00000000-0005-0000-0000-000024000000}"/>
    <cellStyle name="Финансовый 12 3" xfId="336" xr:uid="{00000000-0005-0000-0000-000025000000}"/>
    <cellStyle name="Финансовый 13" xfId="127" xr:uid="{00000000-0005-0000-0000-000026000000}"/>
    <cellStyle name="Финансовый 13 2" xfId="263" xr:uid="{00000000-0005-0000-0000-000027000000}"/>
    <cellStyle name="Финансовый 13 3" xfId="412" xr:uid="{00000000-0005-0000-0000-000028000000}"/>
    <cellStyle name="Финансовый 14" xfId="25" xr:uid="{00000000-0005-0000-0000-000029000000}"/>
    <cellStyle name="Финансовый 14 2" xfId="163" xr:uid="{00000000-0005-0000-0000-00002A000000}"/>
    <cellStyle name="Финансовый 14 3" xfId="312" xr:uid="{00000000-0005-0000-0000-00002B000000}"/>
    <cellStyle name="Финансовый 15" xfId="13" xr:uid="{00000000-0005-0000-0000-00002C000000}"/>
    <cellStyle name="Финансовый 15 2" xfId="151" xr:uid="{00000000-0005-0000-0000-00002D000000}"/>
    <cellStyle name="Финансовый 15 3" xfId="300" xr:uid="{00000000-0005-0000-0000-00002E000000}"/>
    <cellStyle name="Финансовый 16" xfId="139" xr:uid="{00000000-0005-0000-0000-00002F000000}"/>
    <cellStyle name="Финансовый 17" xfId="275" xr:uid="{00000000-0005-0000-0000-000030000000}"/>
    <cellStyle name="Финансовый 18" xfId="288" xr:uid="{00000000-0005-0000-0000-000031000000}"/>
    <cellStyle name="Финансовый 2" xfId="2" xr:uid="{00000000-0005-0000-0000-000032000000}"/>
    <cellStyle name="Финансовый 2 10" xfId="62" xr:uid="{00000000-0005-0000-0000-000033000000}"/>
    <cellStyle name="Финансовый 2 10 2" xfId="200" xr:uid="{00000000-0005-0000-0000-000034000000}"/>
    <cellStyle name="Финансовый 2 10 3" xfId="349" xr:uid="{00000000-0005-0000-0000-000035000000}"/>
    <cellStyle name="Финансовый 2 11" xfId="50" xr:uid="{00000000-0005-0000-0000-000036000000}"/>
    <cellStyle name="Финансовый 2 11 2" xfId="188" xr:uid="{00000000-0005-0000-0000-000037000000}"/>
    <cellStyle name="Финансовый 2 11 3" xfId="337" xr:uid="{00000000-0005-0000-0000-000038000000}"/>
    <cellStyle name="Финансовый 2 12" xfId="128" xr:uid="{00000000-0005-0000-0000-000039000000}"/>
    <cellStyle name="Финансовый 2 12 2" xfId="264" xr:uid="{00000000-0005-0000-0000-00003A000000}"/>
    <cellStyle name="Финансовый 2 12 3" xfId="413" xr:uid="{00000000-0005-0000-0000-00003B000000}"/>
    <cellStyle name="Финансовый 2 13" xfId="26" xr:uid="{00000000-0005-0000-0000-00003C000000}"/>
    <cellStyle name="Финансовый 2 13 2" xfId="164" xr:uid="{00000000-0005-0000-0000-00003D000000}"/>
    <cellStyle name="Финансовый 2 13 3" xfId="313" xr:uid="{00000000-0005-0000-0000-00003E000000}"/>
    <cellStyle name="Финансовый 2 14" xfId="14" xr:uid="{00000000-0005-0000-0000-00003F000000}"/>
    <cellStyle name="Финансовый 2 14 2" xfId="152" xr:uid="{00000000-0005-0000-0000-000040000000}"/>
    <cellStyle name="Финансовый 2 14 3" xfId="301" xr:uid="{00000000-0005-0000-0000-000041000000}"/>
    <cellStyle name="Финансовый 2 15" xfId="140" xr:uid="{00000000-0005-0000-0000-000042000000}"/>
    <cellStyle name="Финансовый 2 16" xfId="276" xr:uid="{00000000-0005-0000-0000-000043000000}"/>
    <cellStyle name="Финансовый 2 17" xfId="289" xr:uid="{00000000-0005-0000-0000-000044000000}"/>
    <cellStyle name="Финансовый 2 2" xfId="4" xr:uid="{00000000-0005-0000-0000-000045000000}"/>
    <cellStyle name="Финансовый 2 2 10" xfId="28" xr:uid="{00000000-0005-0000-0000-000046000000}"/>
    <cellStyle name="Финансовый 2 2 10 2" xfId="166" xr:uid="{00000000-0005-0000-0000-000047000000}"/>
    <cellStyle name="Финансовый 2 2 10 3" xfId="315" xr:uid="{00000000-0005-0000-0000-000048000000}"/>
    <cellStyle name="Финансовый 2 2 11" xfId="16" xr:uid="{00000000-0005-0000-0000-000049000000}"/>
    <cellStyle name="Финансовый 2 2 11 2" xfId="154" xr:uid="{00000000-0005-0000-0000-00004A000000}"/>
    <cellStyle name="Финансовый 2 2 11 3" xfId="303" xr:uid="{00000000-0005-0000-0000-00004B000000}"/>
    <cellStyle name="Финансовый 2 2 12" xfId="142" xr:uid="{00000000-0005-0000-0000-00004C000000}"/>
    <cellStyle name="Финансовый 2 2 13" xfId="278" xr:uid="{00000000-0005-0000-0000-00004D000000}"/>
    <cellStyle name="Финансовый 2 2 14" xfId="291" xr:uid="{00000000-0005-0000-0000-00004E000000}"/>
    <cellStyle name="Финансовый 2 2 2" xfId="10" xr:uid="{00000000-0005-0000-0000-00004F000000}"/>
    <cellStyle name="Финансовый 2 2 2 10" xfId="284" xr:uid="{00000000-0005-0000-0000-000050000000}"/>
    <cellStyle name="Финансовый 2 2 2 11" xfId="297" xr:uid="{00000000-0005-0000-0000-000051000000}"/>
    <cellStyle name="Финансовый 2 2 2 2" xfId="46" xr:uid="{00000000-0005-0000-0000-000052000000}"/>
    <cellStyle name="Финансовый 2 2 2 2 2" xfId="104" xr:uid="{00000000-0005-0000-0000-000053000000}"/>
    <cellStyle name="Финансовый 2 2 2 2 2 2" xfId="240" xr:uid="{00000000-0005-0000-0000-000054000000}"/>
    <cellStyle name="Финансовый 2 2 2 2 2 3" xfId="389" xr:uid="{00000000-0005-0000-0000-000055000000}"/>
    <cellStyle name="Финансовый 2 2 2 2 3" xfId="184" xr:uid="{00000000-0005-0000-0000-000056000000}"/>
    <cellStyle name="Финансовый 2 2 2 2 4" xfId="333" xr:uid="{00000000-0005-0000-0000-000057000000}"/>
    <cellStyle name="Финансовый 2 2 2 3" xfId="116" xr:uid="{00000000-0005-0000-0000-000058000000}"/>
    <cellStyle name="Финансовый 2 2 2 3 2" xfId="252" xr:uid="{00000000-0005-0000-0000-000059000000}"/>
    <cellStyle name="Финансовый 2 2 2 3 3" xfId="401" xr:uid="{00000000-0005-0000-0000-00005A000000}"/>
    <cellStyle name="Финансовый 2 2 2 4" xfId="80" xr:uid="{00000000-0005-0000-0000-00005B000000}"/>
    <cellStyle name="Финансовый 2 2 2 4 2" xfId="216" xr:uid="{00000000-0005-0000-0000-00005C000000}"/>
    <cellStyle name="Финансовый 2 2 2 4 3" xfId="365" xr:uid="{00000000-0005-0000-0000-00005D000000}"/>
    <cellStyle name="Финансовый 2 2 2 5" xfId="58" xr:uid="{00000000-0005-0000-0000-00005E000000}"/>
    <cellStyle name="Финансовый 2 2 2 5 2" xfId="196" xr:uid="{00000000-0005-0000-0000-00005F000000}"/>
    <cellStyle name="Финансовый 2 2 2 5 3" xfId="345" xr:uid="{00000000-0005-0000-0000-000060000000}"/>
    <cellStyle name="Финансовый 2 2 2 6" xfId="136" xr:uid="{00000000-0005-0000-0000-000061000000}"/>
    <cellStyle name="Финансовый 2 2 2 6 2" xfId="272" xr:uid="{00000000-0005-0000-0000-000062000000}"/>
    <cellStyle name="Финансовый 2 2 2 6 3" xfId="421" xr:uid="{00000000-0005-0000-0000-000063000000}"/>
    <cellStyle name="Финансовый 2 2 2 7" xfId="34" xr:uid="{00000000-0005-0000-0000-000064000000}"/>
    <cellStyle name="Финансовый 2 2 2 7 2" xfId="172" xr:uid="{00000000-0005-0000-0000-000065000000}"/>
    <cellStyle name="Финансовый 2 2 2 7 3" xfId="321" xr:uid="{00000000-0005-0000-0000-000066000000}"/>
    <cellStyle name="Финансовый 2 2 2 8" xfId="22" xr:uid="{00000000-0005-0000-0000-000067000000}"/>
    <cellStyle name="Финансовый 2 2 2 8 2" xfId="160" xr:uid="{00000000-0005-0000-0000-000068000000}"/>
    <cellStyle name="Финансовый 2 2 2 8 3" xfId="309" xr:uid="{00000000-0005-0000-0000-000069000000}"/>
    <cellStyle name="Финансовый 2 2 2 9" xfId="148" xr:uid="{00000000-0005-0000-0000-00006A000000}"/>
    <cellStyle name="Финансовый 2 2 3" xfId="40" xr:uid="{00000000-0005-0000-0000-00006B000000}"/>
    <cellStyle name="Финансовый 2 2 3 2" xfId="122" xr:uid="{00000000-0005-0000-0000-00006C000000}"/>
    <cellStyle name="Финансовый 2 2 3 2 2" xfId="258" xr:uid="{00000000-0005-0000-0000-00006D000000}"/>
    <cellStyle name="Финансовый 2 2 3 2 3" xfId="407" xr:uid="{00000000-0005-0000-0000-00006E000000}"/>
    <cellStyle name="Финансовый 2 2 3 3" xfId="86" xr:uid="{00000000-0005-0000-0000-00006F000000}"/>
    <cellStyle name="Финансовый 2 2 3 3 2" xfId="222" xr:uid="{00000000-0005-0000-0000-000070000000}"/>
    <cellStyle name="Финансовый 2 2 3 3 3" xfId="371" xr:uid="{00000000-0005-0000-0000-000071000000}"/>
    <cellStyle name="Финансовый 2 2 3 4" xfId="178" xr:uid="{00000000-0005-0000-0000-000072000000}"/>
    <cellStyle name="Финансовый 2 2 3 5" xfId="327" xr:uid="{00000000-0005-0000-0000-000073000000}"/>
    <cellStyle name="Финансовый 2 2 4" xfId="92" xr:uid="{00000000-0005-0000-0000-000074000000}"/>
    <cellStyle name="Финансовый 2 2 4 2" xfId="228" xr:uid="{00000000-0005-0000-0000-000075000000}"/>
    <cellStyle name="Финансовый 2 2 4 3" xfId="377" xr:uid="{00000000-0005-0000-0000-000076000000}"/>
    <cellStyle name="Финансовый 2 2 5" xfId="98" xr:uid="{00000000-0005-0000-0000-000077000000}"/>
    <cellStyle name="Финансовый 2 2 5 2" xfId="234" xr:uid="{00000000-0005-0000-0000-000078000000}"/>
    <cellStyle name="Финансовый 2 2 5 3" xfId="383" xr:uid="{00000000-0005-0000-0000-000079000000}"/>
    <cellStyle name="Финансовый 2 2 6" xfId="110" xr:uid="{00000000-0005-0000-0000-00007A000000}"/>
    <cellStyle name="Финансовый 2 2 6 2" xfId="246" xr:uid="{00000000-0005-0000-0000-00007B000000}"/>
    <cellStyle name="Финансовый 2 2 6 3" xfId="395" xr:uid="{00000000-0005-0000-0000-00007C000000}"/>
    <cellStyle name="Финансовый 2 2 7" xfId="65" xr:uid="{00000000-0005-0000-0000-00007D000000}"/>
    <cellStyle name="Финансовый 2 2 7 2" xfId="201" xr:uid="{00000000-0005-0000-0000-00007E000000}"/>
    <cellStyle name="Финансовый 2 2 7 3" xfId="350" xr:uid="{00000000-0005-0000-0000-00007F000000}"/>
    <cellStyle name="Финансовый 2 2 8" xfId="52" xr:uid="{00000000-0005-0000-0000-000080000000}"/>
    <cellStyle name="Финансовый 2 2 8 2" xfId="190" xr:uid="{00000000-0005-0000-0000-000081000000}"/>
    <cellStyle name="Финансовый 2 2 8 3" xfId="339" xr:uid="{00000000-0005-0000-0000-000082000000}"/>
    <cellStyle name="Финансовый 2 2 9" xfId="130" xr:uid="{00000000-0005-0000-0000-000083000000}"/>
    <cellStyle name="Финансовый 2 2 9 2" xfId="266" xr:uid="{00000000-0005-0000-0000-000084000000}"/>
    <cellStyle name="Финансовый 2 2 9 3" xfId="415" xr:uid="{00000000-0005-0000-0000-000085000000}"/>
    <cellStyle name="Финансовый 2 3" xfId="6" xr:uid="{00000000-0005-0000-0000-000086000000}"/>
    <cellStyle name="Финансовый 2 3 10" xfId="30" xr:uid="{00000000-0005-0000-0000-000087000000}"/>
    <cellStyle name="Финансовый 2 3 10 2" xfId="168" xr:uid="{00000000-0005-0000-0000-000088000000}"/>
    <cellStyle name="Финансовый 2 3 10 3" xfId="317" xr:uid="{00000000-0005-0000-0000-000089000000}"/>
    <cellStyle name="Финансовый 2 3 11" xfId="18" xr:uid="{00000000-0005-0000-0000-00008A000000}"/>
    <cellStyle name="Финансовый 2 3 11 2" xfId="156" xr:uid="{00000000-0005-0000-0000-00008B000000}"/>
    <cellStyle name="Финансовый 2 3 11 3" xfId="305" xr:uid="{00000000-0005-0000-0000-00008C000000}"/>
    <cellStyle name="Финансовый 2 3 12" xfId="144" xr:uid="{00000000-0005-0000-0000-00008D000000}"/>
    <cellStyle name="Финансовый 2 3 13" xfId="280" xr:uid="{00000000-0005-0000-0000-00008E000000}"/>
    <cellStyle name="Финансовый 2 3 14" xfId="293" xr:uid="{00000000-0005-0000-0000-00008F000000}"/>
    <cellStyle name="Финансовый 2 3 2" xfId="12" xr:uid="{00000000-0005-0000-0000-000090000000}"/>
    <cellStyle name="Финансовый 2 3 2 10" xfId="286" xr:uid="{00000000-0005-0000-0000-000091000000}"/>
    <cellStyle name="Финансовый 2 3 2 11" xfId="299" xr:uid="{00000000-0005-0000-0000-000092000000}"/>
    <cellStyle name="Финансовый 2 3 2 2" xfId="48" xr:uid="{00000000-0005-0000-0000-000093000000}"/>
    <cellStyle name="Финансовый 2 3 2 2 2" xfId="106" xr:uid="{00000000-0005-0000-0000-000094000000}"/>
    <cellStyle name="Финансовый 2 3 2 2 2 2" xfId="242" xr:uid="{00000000-0005-0000-0000-000095000000}"/>
    <cellStyle name="Финансовый 2 3 2 2 2 3" xfId="391" xr:uid="{00000000-0005-0000-0000-000096000000}"/>
    <cellStyle name="Финансовый 2 3 2 2 3" xfId="186" xr:uid="{00000000-0005-0000-0000-000097000000}"/>
    <cellStyle name="Финансовый 2 3 2 2 4" xfId="335" xr:uid="{00000000-0005-0000-0000-000098000000}"/>
    <cellStyle name="Финансовый 2 3 2 3" xfId="118" xr:uid="{00000000-0005-0000-0000-000099000000}"/>
    <cellStyle name="Финансовый 2 3 2 3 2" xfId="254" xr:uid="{00000000-0005-0000-0000-00009A000000}"/>
    <cellStyle name="Финансовый 2 3 2 3 3" xfId="403" xr:uid="{00000000-0005-0000-0000-00009B000000}"/>
    <cellStyle name="Финансовый 2 3 2 4" xfId="82" xr:uid="{00000000-0005-0000-0000-00009C000000}"/>
    <cellStyle name="Финансовый 2 3 2 4 2" xfId="218" xr:uid="{00000000-0005-0000-0000-00009D000000}"/>
    <cellStyle name="Финансовый 2 3 2 4 3" xfId="367" xr:uid="{00000000-0005-0000-0000-00009E000000}"/>
    <cellStyle name="Финансовый 2 3 2 5" xfId="60" xr:uid="{00000000-0005-0000-0000-00009F000000}"/>
    <cellStyle name="Финансовый 2 3 2 5 2" xfId="198" xr:uid="{00000000-0005-0000-0000-0000A0000000}"/>
    <cellStyle name="Финансовый 2 3 2 5 3" xfId="347" xr:uid="{00000000-0005-0000-0000-0000A1000000}"/>
    <cellStyle name="Финансовый 2 3 2 6" xfId="138" xr:uid="{00000000-0005-0000-0000-0000A2000000}"/>
    <cellStyle name="Финансовый 2 3 2 6 2" xfId="274" xr:uid="{00000000-0005-0000-0000-0000A3000000}"/>
    <cellStyle name="Финансовый 2 3 2 6 3" xfId="423" xr:uid="{00000000-0005-0000-0000-0000A4000000}"/>
    <cellStyle name="Финансовый 2 3 2 7" xfId="36" xr:uid="{00000000-0005-0000-0000-0000A5000000}"/>
    <cellStyle name="Финансовый 2 3 2 7 2" xfId="174" xr:uid="{00000000-0005-0000-0000-0000A6000000}"/>
    <cellStyle name="Финансовый 2 3 2 7 3" xfId="323" xr:uid="{00000000-0005-0000-0000-0000A7000000}"/>
    <cellStyle name="Финансовый 2 3 2 8" xfId="24" xr:uid="{00000000-0005-0000-0000-0000A8000000}"/>
    <cellStyle name="Финансовый 2 3 2 8 2" xfId="162" xr:uid="{00000000-0005-0000-0000-0000A9000000}"/>
    <cellStyle name="Финансовый 2 3 2 8 3" xfId="311" xr:uid="{00000000-0005-0000-0000-0000AA000000}"/>
    <cellStyle name="Финансовый 2 3 2 9" xfId="150" xr:uid="{00000000-0005-0000-0000-0000AB000000}"/>
    <cellStyle name="Финансовый 2 3 3" xfId="42" xr:uid="{00000000-0005-0000-0000-0000AC000000}"/>
    <cellStyle name="Финансовый 2 3 3 2" xfId="124" xr:uid="{00000000-0005-0000-0000-0000AD000000}"/>
    <cellStyle name="Финансовый 2 3 3 2 2" xfId="260" xr:uid="{00000000-0005-0000-0000-0000AE000000}"/>
    <cellStyle name="Финансовый 2 3 3 2 3" xfId="409" xr:uid="{00000000-0005-0000-0000-0000AF000000}"/>
    <cellStyle name="Финансовый 2 3 3 3" xfId="88" xr:uid="{00000000-0005-0000-0000-0000B0000000}"/>
    <cellStyle name="Финансовый 2 3 3 3 2" xfId="224" xr:uid="{00000000-0005-0000-0000-0000B1000000}"/>
    <cellStyle name="Финансовый 2 3 3 3 3" xfId="373" xr:uid="{00000000-0005-0000-0000-0000B2000000}"/>
    <cellStyle name="Финансовый 2 3 3 4" xfId="180" xr:uid="{00000000-0005-0000-0000-0000B3000000}"/>
    <cellStyle name="Финансовый 2 3 3 5" xfId="329" xr:uid="{00000000-0005-0000-0000-0000B4000000}"/>
    <cellStyle name="Финансовый 2 3 4" xfId="94" xr:uid="{00000000-0005-0000-0000-0000B5000000}"/>
    <cellStyle name="Финансовый 2 3 4 2" xfId="230" xr:uid="{00000000-0005-0000-0000-0000B6000000}"/>
    <cellStyle name="Финансовый 2 3 4 3" xfId="379" xr:uid="{00000000-0005-0000-0000-0000B7000000}"/>
    <cellStyle name="Финансовый 2 3 5" xfId="100" xr:uid="{00000000-0005-0000-0000-0000B8000000}"/>
    <cellStyle name="Финансовый 2 3 5 2" xfId="236" xr:uid="{00000000-0005-0000-0000-0000B9000000}"/>
    <cellStyle name="Финансовый 2 3 5 3" xfId="385" xr:uid="{00000000-0005-0000-0000-0000BA000000}"/>
    <cellStyle name="Финансовый 2 3 6" xfId="112" xr:uid="{00000000-0005-0000-0000-0000BB000000}"/>
    <cellStyle name="Финансовый 2 3 6 2" xfId="248" xr:uid="{00000000-0005-0000-0000-0000BC000000}"/>
    <cellStyle name="Финансовый 2 3 6 3" xfId="397" xr:uid="{00000000-0005-0000-0000-0000BD000000}"/>
    <cellStyle name="Финансовый 2 3 7" xfId="76" xr:uid="{00000000-0005-0000-0000-0000BE000000}"/>
    <cellStyle name="Финансовый 2 3 7 2" xfId="212" xr:uid="{00000000-0005-0000-0000-0000BF000000}"/>
    <cellStyle name="Финансовый 2 3 7 3" xfId="361" xr:uid="{00000000-0005-0000-0000-0000C0000000}"/>
    <cellStyle name="Финансовый 2 3 8" xfId="54" xr:uid="{00000000-0005-0000-0000-0000C1000000}"/>
    <cellStyle name="Финансовый 2 3 8 2" xfId="192" xr:uid="{00000000-0005-0000-0000-0000C2000000}"/>
    <cellStyle name="Финансовый 2 3 8 3" xfId="341" xr:uid="{00000000-0005-0000-0000-0000C3000000}"/>
    <cellStyle name="Финансовый 2 3 9" xfId="132" xr:uid="{00000000-0005-0000-0000-0000C4000000}"/>
    <cellStyle name="Финансовый 2 3 9 2" xfId="268" xr:uid="{00000000-0005-0000-0000-0000C5000000}"/>
    <cellStyle name="Финансовый 2 3 9 3" xfId="417" xr:uid="{00000000-0005-0000-0000-0000C6000000}"/>
    <cellStyle name="Финансовый 2 4" xfId="8" xr:uid="{00000000-0005-0000-0000-0000C7000000}"/>
    <cellStyle name="Финансовый 2 4 10" xfId="282" xr:uid="{00000000-0005-0000-0000-0000C8000000}"/>
    <cellStyle name="Финансовый 2 4 11" xfId="295" xr:uid="{00000000-0005-0000-0000-0000C9000000}"/>
    <cellStyle name="Финансовый 2 4 2" xfId="44" xr:uid="{00000000-0005-0000-0000-0000CA000000}"/>
    <cellStyle name="Финансовый 2 4 2 2" xfId="102" xr:uid="{00000000-0005-0000-0000-0000CB000000}"/>
    <cellStyle name="Финансовый 2 4 2 2 2" xfId="238" xr:uid="{00000000-0005-0000-0000-0000CC000000}"/>
    <cellStyle name="Финансовый 2 4 2 2 3" xfId="387" xr:uid="{00000000-0005-0000-0000-0000CD000000}"/>
    <cellStyle name="Финансовый 2 4 2 3" xfId="182" xr:uid="{00000000-0005-0000-0000-0000CE000000}"/>
    <cellStyle name="Финансовый 2 4 2 4" xfId="331" xr:uid="{00000000-0005-0000-0000-0000CF000000}"/>
    <cellStyle name="Финансовый 2 4 3" xfId="114" xr:uid="{00000000-0005-0000-0000-0000D0000000}"/>
    <cellStyle name="Финансовый 2 4 3 2" xfId="250" xr:uid="{00000000-0005-0000-0000-0000D1000000}"/>
    <cellStyle name="Финансовый 2 4 3 3" xfId="399" xr:uid="{00000000-0005-0000-0000-0000D2000000}"/>
    <cellStyle name="Финансовый 2 4 4" xfId="78" xr:uid="{00000000-0005-0000-0000-0000D3000000}"/>
    <cellStyle name="Финансовый 2 4 4 2" xfId="214" xr:uid="{00000000-0005-0000-0000-0000D4000000}"/>
    <cellStyle name="Финансовый 2 4 4 3" xfId="363" xr:uid="{00000000-0005-0000-0000-0000D5000000}"/>
    <cellStyle name="Финансовый 2 4 5" xfId="56" xr:uid="{00000000-0005-0000-0000-0000D6000000}"/>
    <cellStyle name="Финансовый 2 4 5 2" xfId="194" xr:uid="{00000000-0005-0000-0000-0000D7000000}"/>
    <cellStyle name="Финансовый 2 4 5 3" xfId="343" xr:uid="{00000000-0005-0000-0000-0000D8000000}"/>
    <cellStyle name="Финансовый 2 4 6" xfId="134" xr:uid="{00000000-0005-0000-0000-0000D9000000}"/>
    <cellStyle name="Финансовый 2 4 6 2" xfId="270" xr:uid="{00000000-0005-0000-0000-0000DA000000}"/>
    <cellStyle name="Финансовый 2 4 6 3" xfId="419" xr:uid="{00000000-0005-0000-0000-0000DB000000}"/>
    <cellStyle name="Финансовый 2 4 7" xfId="32" xr:uid="{00000000-0005-0000-0000-0000DC000000}"/>
    <cellStyle name="Финансовый 2 4 7 2" xfId="170" xr:uid="{00000000-0005-0000-0000-0000DD000000}"/>
    <cellStyle name="Финансовый 2 4 7 3" xfId="319" xr:uid="{00000000-0005-0000-0000-0000DE000000}"/>
    <cellStyle name="Финансовый 2 4 8" xfId="20" xr:uid="{00000000-0005-0000-0000-0000DF000000}"/>
    <cellStyle name="Финансовый 2 4 8 2" xfId="158" xr:uid="{00000000-0005-0000-0000-0000E0000000}"/>
    <cellStyle name="Финансовый 2 4 8 3" xfId="307" xr:uid="{00000000-0005-0000-0000-0000E1000000}"/>
    <cellStyle name="Финансовый 2 4 9" xfId="146" xr:uid="{00000000-0005-0000-0000-0000E2000000}"/>
    <cellStyle name="Финансовый 2 5" xfId="38" xr:uid="{00000000-0005-0000-0000-0000E3000000}"/>
    <cellStyle name="Финансовый 2 5 2" xfId="120" xr:uid="{00000000-0005-0000-0000-0000E4000000}"/>
    <cellStyle name="Финансовый 2 5 2 2" xfId="256" xr:uid="{00000000-0005-0000-0000-0000E5000000}"/>
    <cellStyle name="Финансовый 2 5 2 3" xfId="405" xr:uid="{00000000-0005-0000-0000-0000E6000000}"/>
    <cellStyle name="Финансовый 2 5 3" xfId="84" xr:uid="{00000000-0005-0000-0000-0000E7000000}"/>
    <cellStyle name="Финансовый 2 5 3 2" xfId="220" xr:uid="{00000000-0005-0000-0000-0000E8000000}"/>
    <cellStyle name="Финансовый 2 5 3 3" xfId="369" xr:uid="{00000000-0005-0000-0000-0000E9000000}"/>
    <cellStyle name="Финансовый 2 5 4" xfId="176" xr:uid="{00000000-0005-0000-0000-0000EA000000}"/>
    <cellStyle name="Финансовый 2 5 5" xfId="325" xr:uid="{00000000-0005-0000-0000-0000EB000000}"/>
    <cellStyle name="Финансовый 2 6" xfId="90" xr:uid="{00000000-0005-0000-0000-0000EC000000}"/>
    <cellStyle name="Финансовый 2 6 2" xfId="226" xr:uid="{00000000-0005-0000-0000-0000ED000000}"/>
    <cellStyle name="Финансовый 2 6 3" xfId="375" xr:uid="{00000000-0005-0000-0000-0000EE000000}"/>
    <cellStyle name="Финансовый 2 7" xfId="96" xr:uid="{00000000-0005-0000-0000-0000EF000000}"/>
    <cellStyle name="Финансовый 2 7 2" xfId="232" xr:uid="{00000000-0005-0000-0000-0000F0000000}"/>
    <cellStyle name="Финансовый 2 7 3" xfId="381" xr:uid="{00000000-0005-0000-0000-0000F1000000}"/>
    <cellStyle name="Финансовый 2 8" xfId="108" xr:uid="{00000000-0005-0000-0000-0000F2000000}"/>
    <cellStyle name="Финансовый 2 8 2" xfId="244" xr:uid="{00000000-0005-0000-0000-0000F3000000}"/>
    <cellStyle name="Финансовый 2 8 3" xfId="393" xr:uid="{00000000-0005-0000-0000-0000F4000000}"/>
    <cellStyle name="Финансовый 2 9" xfId="126" xr:uid="{00000000-0005-0000-0000-0000F5000000}"/>
    <cellStyle name="Финансовый 2 9 2" xfId="262" xr:uid="{00000000-0005-0000-0000-0000F6000000}"/>
    <cellStyle name="Финансовый 2 9 3" xfId="411" xr:uid="{00000000-0005-0000-0000-0000F7000000}"/>
    <cellStyle name="Финансовый 3" xfId="3" xr:uid="{00000000-0005-0000-0000-0000F8000000}"/>
    <cellStyle name="Финансовый 3 10" xfId="27" xr:uid="{00000000-0005-0000-0000-0000F9000000}"/>
    <cellStyle name="Финансовый 3 10 2" xfId="165" xr:uid="{00000000-0005-0000-0000-0000FA000000}"/>
    <cellStyle name="Финансовый 3 10 3" xfId="314" xr:uid="{00000000-0005-0000-0000-0000FB000000}"/>
    <cellStyle name="Финансовый 3 11" xfId="15" xr:uid="{00000000-0005-0000-0000-0000FC000000}"/>
    <cellStyle name="Финансовый 3 11 2" xfId="153" xr:uid="{00000000-0005-0000-0000-0000FD000000}"/>
    <cellStyle name="Финансовый 3 11 3" xfId="302" xr:uid="{00000000-0005-0000-0000-0000FE000000}"/>
    <cellStyle name="Финансовый 3 12" xfId="141" xr:uid="{00000000-0005-0000-0000-0000FF000000}"/>
    <cellStyle name="Финансовый 3 13" xfId="277" xr:uid="{00000000-0005-0000-0000-000000010000}"/>
    <cellStyle name="Финансовый 3 14" xfId="290" xr:uid="{00000000-0005-0000-0000-000001010000}"/>
    <cellStyle name="Финансовый 3 2" xfId="9" xr:uid="{00000000-0005-0000-0000-000002010000}"/>
    <cellStyle name="Финансовый 3 2 10" xfId="283" xr:uid="{00000000-0005-0000-0000-000003010000}"/>
    <cellStyle name="Финансовый 3 2 11" xfId="296" xr:uid="{00000000-0005-0000-0000-000004010000}"/>
    <cellStyle name="Финансовый 3 2 2" xfId="45" xr:uid="{00000000-0005-0000-0000-000005010000}"/>
    <cellStyle name="Финансовый 3 2 2 2" xfId="103" xr:uid="{00000000-0005-0000-0000-000006010000}"/>
    <cellStyle name="Финансовый 3 2 2 2 2" xfId="239" xr:uid="{00000000-0005-0000-0000-000007010000}"/>
    <cellStyle name="Финансовый 3 2 2 2 3" xfId="388" xr:uid="{00000000-0005-0000-0000-000008010000}"/>
    <cellStyle name="Финансовый 3 2 2 3" xfId="183" xr:uid="{00000000-0005-0000-0000-000009010000}"/>
    <cellStyle name="Финансовый 3 2 2 4" xfId="332" xr:uid="{00000000-0005-0000-0000-00000A010000}"/>
    <cellStyle name="Финансовый 3 2 3" xfId="115" xr:uid="{00000000-0005-0000-0000-00000B010000}"/>
    <cellStyle name="Финансовый 3 2 3 2" xfId="251" xr:uid="{00000000-0005-0000-0000-00000C010000}"/>
    <cellStyle name="Финансовый 3 2 3 3" xfId="400" xr:uid="{00000000-0005-0000-0000-00000D010000}"/>
    <cellStyle name="Финансовый 3 2 4" xfId="79" xr:uid="{00000000-0005-0000-0000-00000E010000}"/>
    <cellStyle name="Финансовый 3 2 4 2" xfId="215" xr:uid="{00000000-0005-0000-0000-00000F010000}"/>
    <cellStyle name="Финансовый 3 2 4 3" xfId="364" xr:uid="{00000000-0005-0000-0000-000010010000}"/>
    <cellStyle name="Финансовый 3 2 5" xfId="57" xr:uid="{00000000-0005-0000-0000-000011010000}"/>
    <cellStyle name="Финансовый 3 2 5 2" xfId="195" xr:uid="{00000000-0005-0000-0000-000012010000}"/>
    <cellStyle name="Финансовый 3 2 5 3" xfId="344" xr:uid="{00000000-0005-0000-0000-000013010000}"/>
    <cellStyle name="Финансовый 3 2 6" xfId="135" xr:uid="{00000000-0005-0000-0000-000014010000}"/>
    <cellStyle name="Финансовый 3 2 6 2" xfId="271" xr:uid="{00000000-0005-0000-0000-000015010000}"/>
    <cellStyle name="Финансовый 3 2 6 3" xfId="420" xr:uid="{00000000-0005-0000-0000-000016010000}"/>
    <cellStyle name="Финансовый 3 2 7" xfId="33" xr:uid="{00000000-0005-0000-0000-000017010000}"/>
    <cellStyle name="Финансовый 3 2 7 2" xfId="171" xr:uid="{00000000-0005-0000-0000-000018010000}"/>
    <cellStyle name="Финансовый 3 2 7 3" xfId="320" xr:uid="{00000000-0005-0000-0000-000019010000}"/>
    <cellStyle name="Финансовый 3 2 8" xfId="21" xr:uid="{00000000-0005-0000-0000-00001A010000}"/>
    <cellStyle name="Финансовый 3 2 8 2" xfId="159" xr:uid="{00000000-0005-0000-0000-00001B010000}"/>
    <cellStyle name="Финансовый 3 2 8 3" xfId="308" xr:uid="{00000000-0005-0000-0000-00001C010000}"/>
    <cellStyle name="Финансовый 3 2 9" xfId="147" xr:uid="{00000000-0005-0000-0000-00001D010000}"/>
    <cellStyle name="Финансовый 3 3" xfId="39" xr:uid="{00000000-0005-0000-0000-00001E010000}"/>
    <cellStyle name="Финансовый 3 3 2" xfId="121" xr:uid="{00000000-0005-0000-0000-00001F010000}"/>
    <cellStyle name="Финансовый 3 3 2 2" xfId="257" xr:uid="{00000000-0005-0000-0000-000020010000}"/>
    <cellStyle name="Финансовый 3 3 2 3" xfId="406" xr:uid="{00000000-0005-0000-0000-000021010000}"/>
    <cellStyle name="Финансовый 3 3 3" xfId="85" xr:uid="{00000000-0005-0000-0000-000022010000}"/>
    <cellStyle name="Финансовый 3 3 3 2" xfId="221" xr:uid="{00000000-0005-0000-0000-000023010000}"/>
    <cellStyle name="Финансовый 3 3 3 3" xfId="370" xr:uid="{00000000-0005-0000-0000-000024010000}"/>
    <cellStyle name="Финансовый 3 3 4" xfId="177" xr:uid="{00000000-0005-0000-0000-000025010000}"/>
    <cellStyle name="Финансовый 3 3 5" xfId="326" xr:uid="{00000000-0005-0000-0000-000026010000}"/>
    <cellStyle name="Финансовый 3 4" xfId="91" xr:uid="{00000000-0005-0000-0000-000027010000}"/>
    <cellStyle name="Финансовый 3 4 2" xfId="227" xr:uid="{00000000-0005-0000-0000-000028010000}"/>
    <cellStyle name="Финансовый 3 4 3" xfId="376" xr:uid="{00000000-0005-0000-0000-000029010000}"/>
    <cellStyle name="Финансовый 3 5" xfId="97" xr:uid="{00000000-0005-0000-0000-00002A010000}"/>
    <cellStyle name="Финансовый 3 5 2" xfId="233" xr:uid="{00000000-0005-0000-0000-00002B010000}"/>
    <cellStyle name="Финансовый 3 5 3" xfId="382" xr:uid="{00000000-0005-0000-0000-00002C010000}"/>
    <cellStyle name="Финансовый 3 6" xfId="109" xr:uid="{00000000-0005-0000-0000-00002D010000}"/>
    <cellStyle name="Финансовый 3 6 2" xfId="245" xr:uid="{00000000-0005-0000-0000-00002E010000}"/>
    <cellStyle name="Финансовый 3 6 3" xfId="394" xr:uid="{00000000-0005-0000-0000-00002F010000}"/>
    <cellStyle name="Финансовый 3 7" xfId="74" xr:uid="{00000000-0005-0000-0000-000030010000}"/>
    <cellStyle name="Финансовый 3 7 2" xfId="210" xr:uid="{00000000-0005-0000-0000-000031010000}"/>
    <cellStyle name="Финансовый 3 7 3" xfId="359" xr:uid="{00000000-0005-0000-0000-000032010000}"/>
    <cellStyle name="Финансовый 3 8" xfId="51" xr:uid="{00000000-0005-0000-0000-000033010000}"/>
    <cellStyle name="Финансовый 3 8 2" xfId="189" xr:uid="{00000000-0005-0000-0000-000034010000}"/>
    <cellStyle name="Финансовый 3 8 3" xfId="338" xr:uid="{00000000-0005-0000-0000-000035010000}"/>
    <cellStyle name="Финансовый 3 9" xfId="129" xr:uid="{00000000-0005-0000-0000-000036010000}"/>
    <cellStyle name="Финансовый 3 9 2" xfId="265" xr:uid="{00000000-0005-0000-0000-000037010000}"/>
    <cellStyle name="Финансовый 3 9 3" xfId="414" xr:uid="{00000000-0005-0000-0000-000038010000}"/>
    <cellStyle name="Финансовый 4" xfId="5" xr:uid="{00000000-0005-0000-0000-000039010000}"/>
    <cellStyle name="Финансовый 4 10" xfId="29" xr:uid="{00000000-0005-0000-0000-00003A010000}"/>
    <cellStyle name="Финансовый 4 10 2" xfId="167" xr:uid="{00000000-0005-0000-0000-00003B010000}"/>
    <cellStyle name="Финансовый 4 10 3" xfId="316" xr:uid="{00000000-0005-0000-0000-00003C010000}"/>
    <cellStyle name="Финансовый 4 11" xfId="17" xr:uid="{00000000-0005-0000-0000-00003D010000}"/>
    <cellStyle name="Финансовый 4 11 2" xfId="155" xr:uid="{00000000-0005-0000-0000-00003E010000}"/>
    <cellStyle name="Финансовый 4 11 3" xfId="304" xr:uid="{00000000-0005-0000-0000-00003F010000}"/>
    <cellStyle name="Финансовый 4 12" xfId="143" xr:uid="{00000000-0005-0000-0000-000040010000}"/>
    <cellStyle name="Финансовый 4 13" xfId="279" xr:uid="{00000000-0005-0000-0000-000041010000}"/>
    <cellStyle name="Финансовый 4 14" xfId="292" xr:uid="{00000000-0005-0000-0000-000042010000}"/>
    <cellStyle name="Финансовый 4 2" xfId="11" xr:uid="{00000000-0005-0000-0000-000043010000}"/>
    <cellStyle name="Финансовый 4 2 10" xfId="285" xr:uid="{00000000-0005-0000-0000-000044010000}"/>
    <cellStyle name="Финансовый 4 2 11" xfId="298" xr:uid="{00000000-0005-0000-0000-000045010000}"/>
    <cellStyle name="Финансовый 4 2 2" xfId="47" xr:uid="{00000000-0005-0000-0000-000046010000}"/>
    <cellStyle name="Финансовый 4 2 2 2" xfId="105" xr:uid="{00000000-0005-0000-0000-000047010000}"/>
    <cellStyle name="Финансовый 4 2 2 2 2" xfId="241" xr:uid="{00000000-0005-0000-0000-000048010000}"/>
    <cellStyle name="Финансовый 4 2 2 2 3" xfId="390" xr:uid="{00000000-0005-0000-0000-000049010000}"/>
    <cellStyle name="Финансовый 4 2 2 3" xfId="185" xr:uid="{00000000-0005-0000-0000-00004A010000}"/>
    <cellStyle name="Финансовый 4 2 2 4" xfId="334" xr:uid="{00000000-0005-0000-0000-00004B010000}"/>
    <cellStyle name="Финансовый 4 2 3" xfId="117" xr:uid="{00000000-0005-0000-0000-00004C010000}"/>
    <cellStyle name="Финансовый 4 2 3 2" xfId="253" xr:uid="{00000000-0005-0000-0000-00004D010000}"/>
    <cellStyle name="Финансовый 4 2 3 3" xfId="402" xr:uid="{00000000-0005-0000-0000-00004E010000}"/>
    <cellStyle name="Финансовый 4 2 4" xfId="81" xr:uid="{00000000-0005-0000-0000-00004F010000}"/>
    <cellStyle name="Финансовый 4 2 4 2" xfId="217" xr:uid="{00000000-0005-0000-0000-000050010000}"/>
    <cellStyle name="Финансовый 4 2 4 3" xfId="366" xr:uid="{00000000-0005-0000-0000-000051010000}"/>
    <cellStyle name="Финансовый 4 2 5" xfId="59" xr:uid="{00000000-0005-0000-0000-000052010000}"/>
    <cellStyle name="Финансовый 4 2 5 2" xfId="197" xr:uid="{00000000-0005-0000-0000-000053010000}"/>
    <cellStyle name="Финансовый 4 2 5 3" xfId="346" xr:uid="{00000000-0005-0000-0000-000054010000}"/>
    <cellStyle name="Финансовый 4 2 6" xfId="137" xr:uid="{00000000-0005-0000-0000-000055010000}"/>
    <cellStyle name="Финансовый 4 2 6 2" xfId="273" xr:uid="{00000000-0005-0000-0000-000056010000}"/>
    <cellStyle name="Финансовый 4 2 6 3" xfId="422" xr:uid="{00000000-0005-0000-0000-000057010000}"/>
    <cellStyle name="Финансовый 4 2 7" xfId="35" xr:uid="{00000000-0005-0000-0000-000058010000}"/>
    <cellStyle name="Финансовый 4 2 7 2" xfId="173" xr:uid="{00000000-0005-0000-0000-000059010000}"/>
    <cellStyle name="Финансовый 4 2 7 3" xfId="322" xr:uid="{00000000-0005-0000-0000-00005A010000}"/>
    <cellStyle name="Финансовый 4 2 8" xfId="23" xr:uid="{00000000-0005-0000-0000-00005B010000}"/>
    <cellStyle name="Финансовый 4 2 8 2" xfId="161" xr:uid="{00000000-0005-0000-0000-00005C010000}"/>
    <cellStyle name="Финансовый 4 2 8 3" xfId="310" xr:uid="{00000000-0005-0000-0000-00005D010000}"/>
    <cellStyle name="Финансовый 4 2 9" xfId="149" xr:uid="{00000000-0005-0000-0000-00005E010000}"/>
    <cellStyle name="Финансовый 4 3" xfId="41" xr:uid="{00000000-0005-0000-0000-00005F010000}"/>
    <cellStyle name="Финансовый 4 3 2" xfId="123" xr:uid="{00000000-0005-0000-0000-000060010000}"/>
    <cellStyle name="Финансовый 4 3 2 2" xfId="259" xr:uid="{00000000-0005-0000-0000-000061010000}"/>
    <cellStyle name="Финансовый 4 3 2 3" xfId="408" xr:uid="{00000000-0005-0000-0000-000062010000}"/>
    <cellStyle name="Финансовый 4 3 3" xfId="87" xr:uid="{00000000-0005-0000-0000-000063010000}"/>
    <cellStyle name="Финансовый 4 3 3 2" xfId="223" xr:uid="{00000000-0005-0000-0000-000064010000}"/>
    <cellStyle name="Финансовый 4 3 3 3" xfId="372" xr:uid="{00000000-0005-0000-0000-000065010000}"/>
    <cellStyle name="Финансовый 4 3 4" xfId="179" xr:uid="{00000000-0005-0000-0000-000066010000}"/>
    <cellStyle name="Финансовый 4 3 5" xfId="328" xr:uid="{00000000-0005-0000-0000-000067010000}"/>
    <cellStyle name="Финансовый 4 4" xfId="93" xr:uid="{00000000-0005-0000-0000-000068010000}"/>
    <cellStyle name="Финансовый 4 4 2" xfId="229" xr:uid="{00000000-0005-0000-0000-000069010000}"/>
    <cellStyle name="Финансовый 4 4 3" xfId="378" xr:uid="{00000000-0005-0000-0000-00006A010000}"/>
    <cellStyle name="Финансовый 4 5" xfId="99" xr:uid="{00000000-0005-0000-0000-00006B010000}"/>
    <cellStyle name="Финансовый 4 5 2" xfId="235" xr:uid="{00000000-0005-0000-0000-00006C010000}"/>
    <cellStyle name="Финансовый 4 5 3" xfId="384" xr:uid="{00000000-0005-0000-0000-00006D010000}"/>
    <cellStyle name="Финансовый 4 6" xfId="111" xr:uid="{00000000-0005-0000-0000-00006E010000}"/>
    <cellStyle name="Финансовый 4 6 2" xfId="247" xr:uid="{00000000-0005-0000-0000-00006F010000}"/>
    <cellStyle name="Финансовый 4 6 3" xfId="396" xr:uid="{00000000-0005-0000-0000-000070010000}"/>
    <cellStyle name="Финансовый 4 7" xfId="75" xr:uid="{00000000-0005-0000-0000-000071010000}"/>
    <cellStyle name="Финансовый 4 7 2" xfId="211" xr:uid="{00000000-0005-0000-0000-000072010000}"/>
    <cellStyle name="Финансовый 4 7 3" xfId="360" xr:uid="{00000000-0005-0000-0000-000073010000}"/>
    <cellStyle name="Финансовый 4 8" xfId="53" xr:uid="{00000000-0005-0000-0000-000074010000}"/>
    <cellStyle name="Финансовый 4 8 2" xfId="191" xr:uid="{00000000-0005-0000-0000-000075010000}"/>
    <cellStyle name="Финансовый 4 8 3" xfId="340" xr:uid="{00000000-0005-0000-0000-000076010000}"/>
    <cellStyle name="Финансовый 4 9" xfId="131" xr:uid="{00000000-0005-0000-0000-000077010000}"/>
    <cellStyle name="Финансовый 4 9 2" xfId="267" xr:uid="{00000000-0005-0000-0000-000078010000}"/>
    <cellStyle name="Финансовый 4 9 3" xfId="416" xr:uid="{00000000-0005-0000-0000-000079010000}"/>
    <cellStyle name="Финансовый 5" xfId="7" xr:uid="{00000000-0005-0000-0000-00007A010000}"/>
    <cellStyle name="Финансовый 5 10" xfId="281" xr:uid="{00000000-0005-0000-0000-00007B010000}"/>
    <cellStyle name="Финансовый 5 11" xfId="294" xr:uid="{00000000-0005-0000-0000-00007C010000}"/>
    <cellStyle name="Финансовый 5 2" xfId="43" xr:uid="{00000000-0005-0000-0000-00007D010000}"/>
    <cellStyle name="Финансовый 5 2 2" xfId="101" xr:uid="{00000000-0005-0000-0000-00007E010000}"/>
    <cellStyle name="Финансовый 5 2 2 2" xfId="237" xr:uid="{00000000-0005-0000-0000-00007F010000}"/>
    <cellStyle name="Финансовый 5 2 2 3" xfId="386" xr:uid="{00000000-0005-0000-0000-000080010000}"/>
    <cellStyle name="Финансовый 5 2 3" xfId="181" xr:uid="{00000000-0005-0000-0000-000081010000}"/>
    <cellStyle name="Финансовый 5 2 4" xfId="330" xr:uid="{00000000-0005-0000-0000-000082010000}"/>
    <cellStyle name="Финансовый 5 3" xfId="113" xr:uid="{00000000-0005-0000-0000-000083010000}"/>
    <cellStyle name="Финансовый 5 3 2" xfId="249" xr:uid="{00000000-0005-0000-0000-000084010000}"/>
    <cellStyle name="Финансовый 5 3 3" xfId="398" xr:uid="{00000000-0005-0000-0000-000085010000}"/>
    <cellStyle name="Финансовый 5 4" xfId="77" xr:uid="{00000000-0005-0000-0000-000086010000}"/>
    <cellStyle name="Финансовый 5 4 2" xfId="213" xr:uid="{00000000-0005-0000-0000-000087010000}"/>
    <cellStyle name="Финансовый 5 4 3" xfId="362" xr:uid="{00000000-0005-0000-0000-000088010000}"/>
    <cellStyle name="Финансовый 5 5" xfId="55" xr:uid="{00000000-0005-0000-0000-000089010000}"/>
    <cellStyle name="Финансовый 5 5 2" xfId="193" xr:uid="{00000000-0005-0000-0000-00008A010000}"/>
    <cellStyle name="Финансовый 5 5 3" xfId="342" xr:uid="{00000000-0005-0000-0000-00008B010000}"/>
    <cellStyle name="Финансовый 5 6" xfId="133" xr:uid="{00000000-0005-0000-0000-00008C010000}"/>
    <cellStyle name="Финансовый 5 6 2" xfId="269" xr:uid="{00000000-0005-0000-0000-00008D010000}"/>
    <cellStyle name="Финансовый 5 6 3" xfId="418" xr:uid="{00000000-0005-0000-0000-00008E010000}"/>
    <cellStyle name="Финансовый 5 7" xfId="31" xr:uid="{00000000-0005-0000-0000-00008F010000}"/>
    <cellStyle name="Финансовый 5 7 2" xfId="169" xr:uid="{00000000-0005-0000-0000-000090010000}"/>
    <cellStyle name="Финансовый 5 7 3" xfId="318" xr:uid="{00000000-0005-0000-0000-000091010000}"/>
    <cellStyle name="Финансовый 5 8" xfId="19" xr:uid="{00000000-0005-0000-0000-000092010000}"/>
    <cellStyle name="Финансовый 5 8 2" xfId="157" xr:uid="{00000000-0005-0000-0000-000093010000}"/>
    <cellStyle name="Финансовый 5 8 3" xfId="306" xr:uid="{00000000-0005-0000-0000-000094010000}"/>
    <cellStyle name="Финансовый 5 9" xfId="145" xr:uid="{00000000-0005-0000-0000-000095010000}"/>
    <cellStyle name="Финансовый 6" xfId="37" xr:uid="{00000000-0005-0000-0000-000096010000}"/>
    <cellStyle name="Финансовый 6 2" xfId="119" xr:uid="{00000000-0005-0000-0000-000097010000}"/>
    <cellStyle name="Финансовый 6 2 2" xfId="255" xr:uid="{00000000-0005-0000-0000-000098010000}"/>
    <cellStyle name="Финансовый 6 2 3" xfId="404" xr:uid="{00000000-0005-0000-0000-000099010000}"/>
    <cellStyle name="Финансовый 6 3" xfId="83" xr:uid="{00000000-0005-0000-0000-00009A010000}"/>
    <cellStyle name="Финансовый 6 3 2" xfId="219" xr:uid="{00000000-0005-0000-0000-00009B010000}"/>
    <cellStyle name="Финансовый 6 3 3" xfId="368" xr:uid="{00000000-0005-0000-0000-00009C010000}"/>
    <cellStyle name="Финансовый 6 4" xfId="175" xr:uid="{00000000-0005-0000-0000-00009D010000}"/>
    <cellStyle name="Финансовый 6 5" xfId="324" xr:uid="{00000000-0005-0000-0000-00009E010000}"/>
    <cellStyle name="Финансовый 7" xfId="89" xr:uid="{00000000-0005-0000-0000-00009F010000}"/>
    <cellStyle name="Финансовый 7 2" xfId="225" xr:uid="{00000000-0005-0000-0000-0000A0010000}"/>
    <cellStyle name="Финансовый 7 3" xfId="374" xr:uid="{00000000-0005-0000-0000-0000A1010000}"/>
    <cellStyle name="Финансовый 8" xfId="95" xr:uid="{00000000-0005-0000-0000-0000A2010000}"/>
    <cellStyle name="Финансовый 8 2" xfId="231" xr:uid="{00000000-0005-0000-0000-0000A3010000}"/>
    <cellStyle name="Финансовый 8 3" xfId="380" xr:uid="{00000000-0005-0000-0000-0000A4010000}"/>
    <cellStyle name="Финансовый 9" xfId="107" xr:uid="{00000000-0005-0000-0000-0000A5010000}"/>
    <cellStyle name="Финансовый 9 2" xfId="243" xr:uid="{00000000-0005-0000-0000-0000A6010000}"/>
    <cellStyle name="Финансовый 9 3" xfId="392" xr:uid="{00000000-0005-0000-0000-0000A7010000}"/>
  </cellStyles>
  <dxfs count="16">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45326</xdr:colOff>
      <xdr:row>0</xdr:row>
      <xdr:rowOff>28575</xdr:rowOff>
    </xdr:from>
    <xdr:to>
      <xdr:col>0</xdr:col>
      <xdr:colOff>799636</xdr:colOff>
      <xdr:row>4</xdr:row>
      <xdr:rowOff>22117</xdr:rowOff>
    </xdr:to>
    <xdr:pic>
      <xdr:nvPicPr>
        <xdr:cNvPr id="4" name="Image 1">
          <a:extLst>
            <a:ext uri="{FF2B5EF4-FFF2-40B4-BE49-F238E27FC236}">
              <a16:creationId xmlns:a16="http://schemas.microsoft.com/office/drawing/2014/main" id="{58E72672-7C31-4830-A884-42011E612024}"/>
            </a:ext>
          </a:extLst>
        </xdr:cNvPr>
        <xdr:cNvPicPr/>
      </xdr:nvPicPr>
      <xdr:blipFill>
        <a:blip xmlns:r="http://schemas.openxmlformats.org/officeDocument/2006/relationships" r:embed="rId1" cstate="print"/>
        <a:stretch>
          <a:fillRect/>
        </a:stretch>
      </xdr:blipFill>
      <xdr:spPr>
        <a:xfrm>
          <a:off x="45326" y="28575"/>
          <a:ext cx="754310" cy="755542"/>
        </a:xfrm>
        <a:prstGeom prst="rect">
          <a:avLst/>
        </a:prstGeom>
      </xdr:spPr>
    </xdr:pic>
    <xdr:clientData/>
  </xdr:twoCellAnchor>
  <xdr:twoCellAnchor editAs="oneCell">
    <xdr:from>
      <xdr:col>3</xdr:col>
      <xdr:colOff>638175</xdr:colOff>
      <xdr:row>0</xdr:row>
      <xdr:rowOff>19050</xdr:rowOff>
    </xdr:from>
    <xdr:to>
      <xdr:col>3</xdr:col>
      <xdr:colOff>1717501</xdr:colOff>
      <xdr:row>4</xdr:row>
      <xdr:rowOff>7525</xdr:rowOff>
    </xdr:to>
    <xdr:pic>
      <xdr:nvPicPr>
        <xdr:cNvPr id="5" name="Image 2">
          <a:extLst>
            <a:ext uri="{FF2B5EF4-FFF2-40B4-BE49-F238E27FC236}">
              <a16:creationId xmlns:a16="http://schemas.microsoft.com/office/drawing/2014/main" id="{A43254B9-9A06-470C-8D39-65F9AAB9C3C8}"/>
            </a:ext>
          </a:extLst>
        </xdr:cNvPr>
        <xdr:cNvPicPr/>
      </xdr:nvPicPr>
      <xdr:blipFill>
        <a:blip xmlns:r="http://schemas.openxmlformats.org/officeDocument/2006/relationships" r:embed="rId2" cstate="print"/>
        <a:stretch>
          <a:fillRect/>
        </a:stretch>
      </xdr:blipFill>
      <xdr:spPr>
        <a:xfrm>
          <a:off x="4705350" y="19050"/>
          <a:ext cx="1079326" cy="750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e-server\mko\&#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kroqarz_template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lumot"/>
      <sheetName val="shartnoma"/>
      <sheetName val="buyruq"/>
      <sheetName val="bayonnoma"/>
      <sheetName val="График дифференц"/>
      <sheetName val="Данные для послед. Залога"/>
      <sheetName val="График аннуитет."/>
      <sheetName val="xulosa"/>
      <sheetName val="grafik"/>
      <sheetName val="dalolatnoma"/>
      <sheetName val="ariza"/>
      <sheetName val="muqova"/>
      <sheetName val="mijoz_anketasi"/>
      <sheetName val="majburiyatnoma"/>
      <sheetName val="kredit_ariza"/>
      <sheetName val="garov_ariza"/>
      <sheetName val="Письмо"/>
      <sheetName val="akt_monitoring_1"/>
      <sheetName val="akt_monitoring_2"/>
      <sheetName val="akt_monitoring_3"/>
      <sheetName val="akt_monitoring_4"/>
      <sheetName val="notarius"/>
      <sheetName val="Анкета 2"/>
    </sheetNames>
    <sheetDataSet>
      <sheetData sheetId="0">
        <row r="1">
          <cell r="B1" t="str">
            <v>№ 687-BR</v>
          </cell>
        </row>
        <row r="2">
          <cell r="B2" t="str">
            <v>01.04.2025</v>
          </cell>
        </row>
        <row r="5">
          <cell r="B5" t="str">
            <v>XAYATOV OTABEK KURBANOVICH</v>
          </cell>
        </row>
        <row r="12">
          <cell r="B12" t="str">
            <v>XAYATOV OTABEK KURBANOVICH</v>
          </cell>
        </row>
        <row r="16">
          <cell r="B16" t="str">
            <v>AB 7858443</v>
          </cell>
        </row>
        <row r="20">
          <cell r="B20" t="str">
            <v>BUXORO VILOYATI KOGON TUMAN IIB tomonidan 06.10.2017 yilda berilgan</v>
          </cell>
        </row>
        <row r="65">
          <cell r="B65" t="str">
            <v>mikroqarz</v>
          </cell>
        </row>
        <row r="75">
          <cell r="B75">
            <v>26000000</v>
          </cell>
        </row>
        <row r="76">
          <cell r="B76" t="str">
            <v>yigirma olti million so'm</v>
          </cell>
        </row>
        <row r="81">
          <cell r="B81">
            <v>48</v>
          </cell>
        </row>
        <row r="82">
          <cell r="B82" t="str">
            <v xml:space="preserve">Qirq sakkiz  </v>
          </cell>
        </row>
        <row r="104">
          <cell r="B104" t="str">
            <v>BUXORO VILOYATI BUXORO SHAHRI ASHXOBOD KO'CHASI 1/3-UY</v>
          </cell>
        </row>
        <row r="105">
          <cell r="B105" t="str">
            <v>SHARIPOV ZAFAR JO'RABOYEVICH</v>
          </cell>
        </row>
        <row r="106">
          <cell r="B106" t="str">
            <v>202502386001856</v>
          </cell>
        </row>
        <row r="107">
          <cell r="B107" t="str">
            <v>01.04.2025</v>
          </cell>
        </row>
        <row r="108">
          <cell r="B108" t="str">
            <v>01.04.2025</v>
          </cell>
        </row>
        <row r="109">
          <cell r="B109" t="str">
            <v>05.04.2025 yildagi</v>
          </cell>
        </row>
        <row r="110">
          <cell r="B110" t="str">
            <v>№ 02/04-001</v>
          </cell>
        </row>
        <row r="111">
          <cell r="B111" t="str">
            <v>Avtotransport</v>
          </cell>
          <cell r="C111" t="str">
            <v>Avtotransport</v>
          </cell>
        </row>
        <row r="119">
          <cell r="B119" t="str">
            <v>FAYZIYEV JAMSHID KURBONOVICH</v>
          </cell>
          <cell r="C119">
            <v>0</v>
          </cell>
        </row>
        <row r="125">
          <cell r="B125" t="str">
            <v>FAYZIYEV JAMSHID KURBONOVICH</v>
          </cell>
        </row>
        <row r="131">
          <cell r="C131" t="str">
            <v>SAMARQAND VILOYATI TAYLOQ TUMANI CHAROG'BON MFY YANGI TAYLOQ QISHLOG'I 6 TURAR JOY 12 QAVAT 58 XONADON</v>
          </cell>
        </row>
        <row r="132">
          <cell r="B132" t="str">
            <v>AAG   4517617  20.08.2024y</v>
          </cell>
          <cell r="C132" t="str">
            <v>13.12.2020 yildan 1718238/R-A1419303</v>
          </cell>
        </row>
        <row r="133">
          <cell r="B133" t="str">
            <v>SPARK</v>
          </cell>
          <cell r="C133" t="str">
            <v>3 - xonali yakka tartibdagi uy-joy</v>
          </cell>
        </row>
        <row r="134">
          <cell r="B134" t="str">
            <v>80Y320AB</v>
          </cell>
          <cell r="C134" t="str">
            <v>3 - xonali yakka tartibdagi uy-joy</v>
          </cell>
        </row>
        <row r="135">
          <cell r="B135" t="str">
            <v>kuzov turi - YENGIL SEDAN, kuzov raqami XWBMF481EBA580791</v>
          </cell>
        </row>
        <row r="138">
          <cell r="B138" t="str">
            <v>dvigatel raqami B10D1606437KC3, shassi raqami - RAKAMSIZ</v>
          </cell>
          <cell r="C138">
            <v>72.13</v>
          </cell>
          <cell r="E138" t="str">
            <v>72,13 kv.m</v>
          </cell>
          <cell r="F138">
            <v>34.739999999999995</v>
          </cell>
        </row>
        <row r="141">
          <cell r="B141" t="str">
            <v>rangi -  OQ BELAYA "KASABLANKA", ishlab chiqarilgan yili - 2011</v>
          </cell>
          <cell r="C141" t="str">
            <v>37,39</v>
          </cell>
          <cell r="E141" t="str">
            <v>37,39 kv.m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2">
    <tabColor rgb="FF00B050"/>
  </sheetPr>
  <dimension ref="A1:BK177"/>
  <sheetViews>
    <sheetView topLeftCell="A148" zoomScale="160" zoomScaleNormal="160" workbookViewId="0">
      <selection activeCell="B171" sqref="B171"/>
    </sheetView>
  </sheetViews>
  <sheetFormatPr defaultColWidth="0" defaultRowHeight="15" zeroHeight="1" x14ac:dyDescent="0.2"/>
  <cols>
    <col min="1" max="1" width="44.42578125" style="165" customWidth="1"/>
    <col min="2" max="2" width="61.85546875" style="167" customWidth="1"/>
    <col min="3" max="3" width="20" style="164" customWidth="1"/>
    <col min="4" max="4" width="29.7109375" style="164" customWidth="1"/>
    <col min="5" max="7" width="9.140625" style="164" hidden="1" customWidth="1"/>
    <col min="8" max="8" width="62.5703125" style="164" hidden="1" customWidth="1"/>
    <col min="9" max="13" width="9.140625" style="164" hidden="1" customWidth="1"/>
    <col min="14" max="14" width="70.7109375" style="164" hidden="1" customWidth="1"/>
    <col min="15" max="16" width="9.140625" style="164" hidden="1" customWidth="1"/>
    <col min="17" max="17" width="59.7109375" style="164" hidden="1" customWidth="1"/>
    <col min="18" max="18" width="49.85546875" style="164" hidden="1" customWidth="1"/>
    <col min="19" max="16384" width="9.140625" style="164" hidden="1"/>
  </cols>
  <sheetData>
    <row r="1" spans="1:4" x14ac:dyDescent="0.2">
      <c r="A1" s="3" t="str">
        <f>CONCATENATE(B65," olish uchun ariza")</f>
        <v>mikrokredit olish uchun ariza</v>
      </c>
      <c r="B1" s="46" t="s">
        <v>406</v>
      </c>
    </row>
    <row r="2" spans="1:4" ht="30" x14ac:dyDescent="0.2">
      <c r="A2" s="3" t="str">
        <f>CONCATENATE(B65," olish uchun ariza sanasi QO’L BILAN KIRITILADI")</f>
        <v>mikrokredit olish uchun ariza sanasi QO’L BILAN KIRITILADI</v>
      </c>
      <c r="B2" s="53" t="s">
        <v>407</v>
      </c>
      <c r="D2" s="164">
        <f>180+B2</f>
        <v>45934</v>
      </c>
    </row>
    <row r="3" spans="1:4" hidden="1" x14ac:dyDescent="0.2">
      <c r="A3" s="3"/>
      <c r="B3" s="1"/>
    </row>
    <row r="4" spans="1:4" x14ac:dyDescent="0.2">
      <c r="A4" s="269" t="s">
        <v>51</v>
      </c>
      <c r="B4" s="269"/>
    </row>
    <row r="5" spans="1:4" ht="30" x14ac:dyDescent="0.2">
      <c r="A5" s="3" t="s">
        <v>52</v>
      </c>
      <c r="B5" s="195" t="s">
        <v>408</v>
      </c>
    </row>
    <row r="6" spans="1:4" ht="28.5" customHeight="1" x14ac:dyDescent="0.2">
      <c r="A6" s="3" t="s">
        <v>53</v>
      </c>
      <c r="B6" s="196" t="s">
        <v>65</v>
      </c>
      <c r="C6" s="164" t="s">
        <v>254</v>
      </c>
      <c r="D6" s="164" t="s">
        <v>132</v>
      </c>
    </row>
    <row r="7" spans="1:4" ht="30" x14ac:dyDescent="0.2">
      <c r="A7" s="3" t="s">
        <v>54</v>
      </c>
      <c r="B7" s="195" t="s">
        <v>409</v>
      </c>
    </row>
    <row r="8" spans="1:4" ht="30" x14ac:dyDescent="0.2">
      <c r="A8" s="3" t="s">
        <v>55</v>
      </c>
      <c r="B8" s="197" t="str">
        <f>B5</f>
        <v>MATCHANOVA AZIZA BEKTURDIYEVNA</v>
      </c>
    </row>
    <row r="9" spans="1:4" x14ac:dyDescent="0.2">
      <c r="A9" s="3" t="s">
        <v>56</v>
      </c>
      <c r="B9" s="197" t="str">
        <f>B7</f>
        <v>MATCHANOVA A.B.</v>
      </c>
    </row>
    <row r="10" spans="1:4" ht="30" x14ac:dyDescent="0.2">
      <c r="A10" s="3" t="s">
        <v>57</v>
      </c>
      <c r="B10" s="197" t="str">
        <f>B8</f>
        <v>MATCHANOVA AZIZA BEKTURDIYEVNA</v>
      </c>
    </row>
    <row r="11" spans="1:4" x14ac:dyDescent="0.2">
      <c r="A11" s="3" t="s">
        <v>58</v>
      </c>
      <c r="B11" s="197" t="str">
        <f>B9</f>
        <v>MATCHANOVA A.B.</v>
      </c>
    </row>
    <row r="12" spans="1:4" ht="30" x14ac:dyDescent="0.2">
      <c r="A12" s="3" t="s">
        <v>59</v>
      </c>
      <c r="B12" s="197" t="str">
        <f>B10</f>
        <v>MATCHANOVA AZIZA BEKTURDIYEVNA</v>
      </c>
    </row>
    <row r="13" spans="1:4" x14ac:dyDescent="0.2">
      <c r="A13" s="3" t="s">
        <v>60</v>
      </c>
      <c r="B13" s="197" t="str">
        <f>B11</f>
        <v>MATCHANOVA A.B.</v>
      </c>
    </row>
    <row r="14" spans="1:4" x14ac:dyDescent="0.2">
      <c r="A14" s="3" t="s">
        <v>61</v>
      </c>
      <c r="B14" s="197" t="s">
        <v>64</v>
      </c>
    </row>
    <row r="15" spans="1:4" x14ac:dyDescent="0.2">
      <c r="A15" s="3" t="s">
        <v>62</v>
      </c>
      <c r="B15" s="198" t="s">
        <v>410</v>
      </c>
    </row>
    <row r="16" spans="1:4" x14ac:dyDescent="0.2">
      <c r="A16" s="3" t="s">
        <v>63</v>
      </c>
      <c r="B16" s="196" t="s">
        <v>411</v>
      </c>
    </row>
    <row r="17" spans="1:7" x14ac:dyDescent="0.2">
      <c r="A17" s="3"/>
      <c r="B17" s="196" t="s">
        <v>412</v>
      </c>
      <c r="D17" s="164" t="str">
        <f>TEXT(C17,"ДД.ММ.ГГГГ")</f>
        <v>00.01.1900</v>
      </c>
    </row>
    <row r="18" spans="1:7" x14ac:dyDescent="0.2">
      <c r="A18" s="3"/>
      <c r="B18" s="198">
        <v>43663</v>
      </c>
      <c r="C18" s="235" t="str">
        <f>TEXT(B18,"ДД.ММ.ГГГГ")</f>
        <v>17.07.2019</v>
      </c>
    </row>
    <row r="19" spans="1:7" x14ac:dyDescent="0.2">
      <c r="A19" s="3"/>
      <c r="B19" s="198">
        <v>47315</v>
      </c>
      <c r="C19" s="235" t="str">
        <f>TEXT(B19,"ДД.ММ.ГГГГ")</f>
        <v>16.07.2029</v>
      </c>
    </row>
    <row r="20" spans="1:7" ht="71.25" x14ac:dyDescent="0.2">
      <c r="A20" s="3" t="s">
        <v>66</v>
      </c>
      <c r="B20" s="56" t="str">
        <f>""&amp;B17&amp;" tomonidan "&amp;C18&amp;" yilda berilgan"</f>
        <v>XORAZM VILOYATI SHOVOT TUMANI IIB tomonidan 17.07.2019 yilda berilgan</v>
      </c>
      <c r="C20" s="236" t="str">
        <f>""&amp;B17&amp;" tomonidan "&amp;C18&amp;" yilda berilgan"</f>
        <v>XORAZM VILOYATI SHOVOT TUMANI IIB tomonidan 17.07.2019 yilda berilgan</v>
      </c>
    </row>
    <row r="21" spans="1:7" ht="45" x14ac:dyDescent="0.2">
      <c r="A21" s="3" t="s">
        <v>67</v>
      </c>
      <c r="B21" s="56" t="str">
        <f>""&amp;C19&amp;" y."</f>
        <v>16.07.2029 y.</v>
      </c>
      <c r="C21" s="235" t="str">
        <f>""&amp;C19&amp;" yilgacha"</f>
        <v>16.07.2029 yilgacha</v>
      </c>
    </row>
    <row r="22" spans="1:7" ht="64.5" customHeight="1" x14ac:dyDescent="0.2">
      <c r="A22" s="3" t="s">
        <v>68</v>
      </c>
      <c r="B22" s="196" t="s">
        <v>413</v>
      </c>
      <c r="C22" s="235" t="str">
        <f>TEXT(B19,"ДД.ММ.ГГГГ")</f>
        <v>16.07.2029</v>
      </c>
    </row>
    <row r="23" spans="1:7" ht="30" x14ac:dyDescent="0.2">
      <c r="A23" s="3" t="s">
        <v>69</v>
      </c>
      <c r="B23" s="196" t="s">
        <v>93</v>
      </c>
      <c r="C23" s="164" t="s">
        <v>93</v>
      </c>
      <c r="D23" s="164" t="s">
        <v>94</v>
      </c>
    </row>
    <row r="24" spans="1:7" ht="30" hidden="1" x14ac:dyDescent="0.2">
      <c r="A24" s="3" t="s">
        <v>70</v>
      </c>
      <c r="B24" s="197" t="s">
        <v>91</v>
      </c>
      <c r="C24" s="164" t="s">
        <v>91</v>
      </c>
      <c r="D24" s="164" t="s">
        <v>92</v>
      </c>
      <c r="E24" s="164" t="s">
        <v>0</v>
      </c>
      <c r="F24" s="164" t="s">
        <v>1</v>
      </c>
      <c r="G24" s="164" t="s">
        <v>3</v>
      </c>
    </row>
    <row r="25" spans="1:7" ht="30" x14ac:dyDescent="0.2">
      <c r="A25" s="3" t="s">
        <v>71</v>
      </c>
      <c r="B25" s="196" t="s">
        <v>414</v>
      </c>
    </row>
    <row r="26" spans="1:7" ht="44.25" customHeight="1" x14ac:dyDescent="0.2">
      <c r="A26" s="3" t="s">
        <v>72</v>
      </c>
      <c r="B26" s="196" t="s">
        <v>415</v>
      </c>
      <c r="C26" s="164" t="s">
        <v>26</v>
      </c>
    </row>
    <row r="27" spans="1:7" ht="44.25" hidden="1" customHeight="1" x14ac:dyDescent="0.2">
      <c r="A27" s="3"/>
      <c r="B27" s="196" t="str">
        <f>IF(B23="mos keladi",B22,B28)</f>
        <v>XORAZM VILOYATI SHOVOT TUMANI BOYRACHI QFY BOBORAXIM KO'CHASI 4-UY</v>
      </c>
    </row>
    <row r="28" spans="1:7" ht="45" x14ac:dyDescent="0.2">
      <c r="A28" s="3" t="s">
        <v>73</v>
      </c>
      <c r="B28" s="196" t="s">
        <v>413</v>
      </c>
    </row>
    <row r="29" spans="1:7" x14ac:dyDescent="0.2">
      <c r="A29" s="3" t="s">
        <v>74</v>
      </c>
      <c r="B29" s="196" t="s">
        <v>91</v>
      </c>
      <c r="C29" s="164" t="s">
        <v>91</v>
      </c>
      <c r="D29" s="164" t="s">
        <v>92</v>
      </c>
      <c r="E29" s="164" t="s">
        <v>323</v>
      </c>
      <c r="F29" s="164" t="s">
        <v>324</v>
      </c>
      <c r="G29" s="164" t="s">
        <v>3</v>
      </c>
    </row>
    <row r="30" spans="1:7" ht="27" x14ac:dyDescent="0.2">
      <c r="A30" s="3" t="s">
        <v>75</v>
      </c>
      <c r="B30" s="199" t="s">
        <v>327</v>
      </c>
      <c r="C30" s="164" t="s">
        <v>147</v>
      </c>
      <c r="D30" s="164" t="s">
        <v>327</v>
      </c>
    </row>
    <row r="31" spans="1:7" x14ac:dyDescent="0.2">
      <c r="A31" s="3" t="s">
        <v>76</v>
      </c>
      <c r="B31" s="196" t="s">
        <v>416</v>
      </c>
    </row>
    <row r="32" spans="1:7" x14ac:dyDescent="0.2">
      <c r="A32" s="3" t="s">
        <v>61</v>
      </c>
      <c r="B32" s="200" t="s">
        <v>64</v>
      </c>
    </row>
    <row r="33" spans="1:4" ht="30" x14ac:dyDescent="0.2">
      <c r="A33" s="3" t="s">
        <v>71</v>
      </c>
      <c r="B33" s="196" t="s">
        <v>417</v>
      </c>
    </row>
    <row r="34" spans="1:4" hidden="1" x14ac:dyDescent="0.2">
      <c r="A34" s="3"/>
      <c r="B34" s="196" t="str">
        <f>IF(B23="mos keladi",B26,B35)</f>
        <v>SHOVOT TUMANI BOYRACH QFY MADANIYAT MARKAZI</v>
      </c>
    </row>
    <row r="35" spans="1:4" x14ac:dyDescent="0.2">
      <c r="A35" s="3" t="s">
        <v>72</v>
      </c>
      <c r="B35" s="196"/>
    </row>
    <row r="36" spans="1:4" x14ac:dyDescent="0.2">
      <c r="A36" s="3" t="s">
        <v>77</v>
      </c>
      <c r="B36" s="196"/>
    </row>
    <row r="37" spans="1:4" x14ac:dyDescent="0.2">
      <c r="A37" s="3" t="s">
        <v>78</v>
      </c>
      <c r="B37" s="196"/>
    </row>
    <row r="38" spans="1:4" x14ac:dyDescent="0.2">
      <c r="A38" s="3" t="s">
        <v>79</v>
      </c>
      <c r="B38" s="196"/>
    </row>
    <row r="39" spans="1:4" x14ac:dyDescent="0.2">
      <c r="A39" s="3" t="s">
        <v>80</v>
      </c>
      <c r="B39" s="196"/>
    </row>
    <row r="40" spans="1:4" ht="24.75" customHeight="1" x14ac:dyDescent="0.2">
      <c r="A40" s="3" t="s">
        <v>81</v>
      </c>
      <c r="B40" s="196" t="s">
        <v>414</v>
      </c>
    </row>
    <row r="41" spans="1:4" ht="24.75" customHeight="1" x14ac:dyDescent="0.2">
      <c r="A41" s="3" t="s">
        <v>82</v>
      </c>
      <c r="B41" s="196" t="s">
        <v>417</v>
      </c>
    </row>
    <row r="42" spans="1:4" ht="24.75" customHeight="1" x14ac:dyDescent="0.2">
      <c r="A42" s="3" t="s">
        <v>81</v>
      </c>
      <c r="B42" s="196" t="s">
        <v>418</v>
      </c>
    </row>
    <row r="43" spans="1:4" ht="30" x14ac:dyDescent="0.2">
      <c r="A43" s="3" t="s">
        <v>82</v>
      </c>
      <c r="B43" s="46"/>
    </row>
    <row r="44" spans="1:4" ht="23.25" x14ac:dyDescent="0.2">
      <c r="A44" s="159" t="s">
        <v>83</v>
      </c>
      <c r="B44" s="158" t="s">
        <v>346</v>
      </c>
      <c r="C44" s="164" t="s">
        <v>339</v>
      </c>
      <c r="D44" s="164" t="s">
        <v>346</v>
      </c>
    </row>
    <row r="45" spans="1:4" ht="28.5" hidden="1" x14ac:dyDescent="0.2">
      <c r="A45" s="3"/>
      <c r="B45" s="157" t="str">
        <f>IF(B44=D44,CONCATENATE("MA'LUMOTNOMA ",B47,B46),C44)</f>
        <v>MA'LUMOTNOMA № MALUMOTNOMA № 0009500363MALUMOTNOMA № 0009500363</v>
      </c>
    </row>
    <row r="46" spans="1:4" ht="93" x14ac:dyDescent="0.2">
      <c r="A46" s="159" t="s">
        <v>347</v>
      </c>
      <c r="B46" s="168" t="s">
        <v>419</v>
      </c>
    </row>
    <row r="47" spans="1:4" ht="23.25" hidden="1" x14ac:dyDescent="0.2">
      <c r="A47" s="159"/>
      <c r="B47" s="157" t="str">
        <f>CONCATENATE(C47," ",B46)</f>
        <v>№ MALUMOTNOMA № 0009500363</v>
      </c>
      <c r="C47" s="164" t="s">
        <v>14</v>
      </c>
    </row>
    <row r="48" spans="1:4" ht="93" x14ac:dyDescent="0.2">
      <c r="A48" s="159" t="s">
        <v>348</v>
      </c>
      <c r="B48" s="157" t="s">
        <v>420</v>
      </c>
    </row>
    <row r="49" spans="1:4" hidden="1" x14ac:dyDescent="0.2">
      <c r="A49" s="3" t="s">
        <v>84</v>
      </c>
      <c r="B49" s="46" t="str">
        <f>IF(B44=C44,C44,B48)</f>
        <v>TIKISH-BICHISH</v>
      </c>
    </row>
    <row r="50" spans="1:4" ht="45" x14ac:dyDescent="0.2">
      <c r="A50" s="3" t="s">
        <v>85</v>
      </c>
      <c r="B50" s="46"/>
    </row>
    <row r="51" spans="1:4" x14ac:dyDescent="0.2">
      <c r="A51" s="3" t="s">
        <v>72</v>
      </c>
      <c r="B51" s="46"/>
    </row>
    <row r="52" spans="1:4" x14ac:dyDescent="0.2">
      <c r="A52" s="3" t="s">
        <v>86</v>
      </c>
      <c r="B52" s="46"/>
    </row>
    <row r="53" spans="1:4" x14ac:dyDescent="0.2">
      <c r="A53" s="3" t="s">
        <v>87</v>
      </c>
      <c r="B53" s="46"/>
    </row>
    <row r="54" spans="1:4" x14ac:dyDescent="0.2">
      <c r="A54" s="3" t="s">
        <v>88</v>
      </c>
      <c r="B54" s="46"/>
    </row>
    <row r="55" spans="1:4" x14ac:dyDescent="0.2">
      <c r="A55" s="3" t="s">
        <v>89</v>
      </c>
      <c r="B55" s="2"/>
    </row>
    <row r="56" spans="1:4" x14ac:dyDescent="0.2">
      <c r="A56" s="3" t="s">
        <v>90</v>
      </c>
      <c r="B56" s="2" t="s">
        <v>21</v>
      </c>
    </row>
    <row r="57" spans="1:4" ht="30" customHeight="1" x14ac:dyDescent="0.2">
      <c r="A57" s="270" t="s">
        <v>95</v>
      </c>
      <c r="B57" s="271"/>
    </row>
    <row r="58" spans="1:4" ht="20.25" hidden="1" customHeight="1" x14ac:dyDescent="0.2">
      <c r="A58" s="3" t="s">
        <v>96</v>
      </c>
      <c r="B58" s="46" t="str">
        <f>IF(B44=C44,C44,CONCATENATE(B44," ",B47))</f>
        <v>O'Z O'ZINI BAND QILGAN FUQARO № MALUMOTNOMA № 0009500363</v>
      </c>
    </row>
    <row r="59" spans="1:4" ht="31.5" hidden="1" customHeight="1" x14ac:dyDescent="0.2">
      <c r="A59" s="3" t="s">
        <v>84</v>
      </c>
      <c r="B59" s="46" t="str">
        <f>B49</f>
        <v>TIKISH-BICHISH</v>
      </c>
    </row>
    <row r="60" spans="1:4" ht="23.25" x14ac:dyDescent="0.2">
      <c r="A60" s="159" t="s">
        <v>97</v>
      </c>
      <c r="B60" s="162">
        <v>12000000</v>
      </c>
      <c r="C60" s="237">
        <f>C63/B76</f>
        <v>0.49584639368000005</v>
      </c>
    </row>
    <row r="61" spans="1:4" x14ac:dyDescent="0.2">
      <c r="A61" s="3" t="s">
        <v>98</v>
      </c>
      <c r="B61" s="5">
        <v>0</v>
      </c>
      <c r="C61" s="238" t="s">
        <v>377</v>
      </c>
    </row>
    <row r="62" spans="1:4" hidden="1" x14ac:dyDescent="0.2">
      <c r="A62" s="3" t="s">
        <v>99</v>
      </c>
      <c r="B62" s="46">
        <f>B53</f>
        <v>0</v>
      </c>
      <c r="C62" s="239"/>
    </row>
    <row r="63" spans="1:4" ht="30" x14ac:dyDescent="0.2">
      <c r="A63" s="3" t="s">
        <v>100</v>
      </c>
      <c r="B63" s="46"/>
      <c r="C63" s="240">
        <f>SUM(grafik!E9:E20)</f>
        <v>61980799.210000008</v>
      </c>
    </row>
    <row r="64" spans="1:4" x14ac:dyDescent="0.2">
      <c r="A64" s="269" t="s">
        <v>101</v>
      </c>
      <c r="B64" s="269"/>
      <c r="C64" s="164" t="str">
        <f>PROPER(B65)</f>
        <v>Mikrokredit</v>
      </c>
      <c r="D64" s="164" t="str">
        <f>UPPER(B65)</f>
        <v>MIKROKREDIT</v>
      </c>
    </row>
    <row r="65" spans="1:14" x14ac:dyDescent="0.2">
      <c r="A65" s="3" t="s">
        <v>102</v>
      </c>
      <c r="B65" s="1" t="str">
        <f>IF(B76&gt;100000001,"mikrokredit",IF(B76&lt;100000001,"mikroqarz",0))</f>
        <v>mikrokredit</v>
      </c>
      <c r="C65" s="241">
        <f>DATE(YEAR(B67),MONTH(B67)+B82,DAY(B67))</f>
        <v>46850</v>
      </c>
    </row>
    <row r="66" spans="1:14" hidden="1" x14ac:dyDescent="0.2">
      <c r="A66" s="3" t="s">
        <v>103</v>
      </c>
      <c r="B66" s="46" t="str">
        <f>B1</f>
        <v>№717-XMS</v>
      </c>
      <c r="C66" s="164">
        <f>MONTH(C65)</f>
        <v>4</v>
      </c>
      <c r="D66" s="164" t="str">
        <f>IF(C66=C68,C70,IF(C66=D68,D70,IF(C66=E68,E70,IF(C66=F68,F70,IF(C66=G68,G70,IF(C66=H68,H70,IF(C66=I68,I70,IF(C66=J68,J70,IF(C66=K68,K70,IF(C66=L68,L70,IF(C66=M68,M70,IF(C66=N68,N70,))))))))))))</f>
        <v>aprel</v>
      </c>
      <c r="E66" s="164">
        <f>DAY(C65)</f>
        <v>7</v>
      </c>
      <c r="F66" s="164">
        <f>YEAR(C65)</f>
        <v>2028</v>
      </c>
      <c r="G66" s="164">
        <f>MONTH(C65)</f>
        <v>4</v>
      </c>
      <c r="H66" s="164" t="str">
        <f>IF(C66=C68,C71,IF(C66=D68,D71,IF(C66=E68,E71,IF(C66=F68,F71,IF(C66=G68,G71,IF(C66=H68,H71,IF(C66=I68,I71,IF(C66=J68,J71,IF(C66=K68,K71,IF(C66=L68,L71,IF(C66=M68,M71,IF(C66=N68,N71,))))))))))))</f>
        <v>aprel</v>
      </c>
      <c r="I66" s="164">
        <f>YEAR(C65)</f>
        <v>2028</v>
      </c>
    </row>
    <row r="67" spans="1:14" hidden="1" x14ac:dyDescent="0.2">
      <c r="A67" s="3" t="s">
        <v>104</v>
      </c>
      <c r="B67" s="77" t="str">
        <f>B2</f>
        <v>07.04.2025</v>
      </c>
      <c r="C67" s="164">
        <f>MONTH(B67)</f>
        <v>4</v>
      </c>
      <c r="D67" s="164" t="str">
        <f>IF(C67=C68,C70,IF(C67=D68,D70,IF(C67=E68,E70,IF(C67=F68,F70,IF(C67=G68,G70,IF(C67=H68,H70,IF(C67=I68,I70,IF(C67=J68,J70,IF(C67=K68,K70,IF(C67=L68,L70,IF(C67=M68,M70,IF(C67=N68,N70,))))))))))))</f>
        <v>aprel</v>
      </c>
      <c r="E67" s="164">
        <f>DAY(B67)</f>
        <v>7</v>
      </c>
      <c r="F67" s="164">
        <f>YEAR(B67)</f>
        <v>2025</v>
      </c>
      <c r="G67" s="164">
        <f>MONTH(B67)</f>
        <v>4</v>
      </c>
      <c r="H67" s="164" t="str">
        <f>IF(C67=C68,C71,IF(C67=D68,D71,IF(C67=E68,E71,IF(C67=F68,F71,IF(C67=G68,G71,IF(C67=H68,H71,IF(C67=I68,I71,IF(C67=J68,J71,IF(C67=K68,K71,IF(C67=L68,L71,IF(C67=M68,M71,IF(C67=N68,N71,))))))))))))</f>
        <v>aprel</v>
      </c>
      <c r="I67" s="164">
        <f>YEAR(B67)</f>
        <v>2025</v>
      </c>
    </row>
    <row r="68" spans="1:14" hidden="1" x14ac:dyDescent="0.2">
      <c r="A68" s="3" t="s">
        <v>105</v>
      </c>
      <c r="B68" s="69" t="str">
        <f>""&amp;E67&amp;" "&amp;D67&amp;" "&amp;F67&amp;" y."</f>
        <v>7 aprel 2025 y.</v>
      </c>
      <c r="C68" s="164">
        <v>1</v>
      </c>
      <c r="D68" s="164">
        <v>2</v>
      </c>
      <c r="E68" s="164">
        <v>3</v>
      </c>
      <c r="F68" s="164">
        <v>4</v>
      </c>
      <c r="G68" s="164">
        <v>5</v>
      </c>
      <c r="H68" s="164">
        <v>6</v>
      </c>
      <c r="I68" s="164">
        <v>7</v>
      </c>
      <c r="J68" s="164">
        <v>8</v>
      </c>
      <c r="K68" s="164">
        <v>9</v>
      </c>
      <c r="L68" s="164">
        <v>10</v>
      </c>
      <c r="M68" s="164">
        <v>11</v>
      </c>
      <c r="N68" s="164">
        <v>12</v>
      </c>
    </row>
    <row r="69" spans="1:14" hidden="1" x14ac:dyDescent="0.2">
      <c r="A69" s="3"/>
      <c r="B69" s="69" t="str">
        <f>""&amp;E67&amp;" "&amp;H67&amp;" "&amp;F67&amp;" y."</f>
        <v>7 aprel 2025 y.</v>
      </c>
    </row>
    <row r="70" spans="1:14" hidden="1" x14ac:dyDescent="0.2">
      <c r="A70" s="3"/>
      <c r="B70" s="55" t="str">
        <f>B68</f>
        <v>7 aprel 2025 y.</v>
      </c>
      <c r="C70" s="164" t="s">
        <v>117</v>
      </c>
      <c r="D70" s="164" t="s">
        <v>118</v>
      </c>
      <c r="E70" s="164" t="s">
        <v>107</v>
      </c>
      <c r="F70" s="164" t="s">
        <v>108</v>
      </c>
      <c r="G70" s="164" t="s">
        <v>109</v>
      </c>
      <c r="H70" s="164" t="s">
        <v>110</v>
      </c>
      <c r="I70" s="164" t="s">
        <v>111</v>
      </c>
      <c r="J70" s="164" t="s">
        <v>112</v>
      </c>
      <c r="K70" s="164" t="s">
        <v>113</v>
      </c>
      <c r="L70" s="164" t="s">
        <v>114</v>
      </c>
      <c r="M70" s="164" t="s">
        <v>115</v>
      </c>
      <c r="N70" s="164" t="s">
        <v>116</v>
      </c>
    </row>
    <row r="71" spans="1:14" hidden="1" x14ac:dyDescent="0.2">
      <c r="A71" s="3"/>
      <c r="B71" s="55" t="str">
        <f>B69</f>
        <v>7 aprel 2025 y.</v>
      </c>
      <c r="C71" s="164" t="s">
        <v>117</v>
      </c>
      <c r="D71" s="164" t="s">
        <v>118</v>
      </c>
      <c r="E71" s="164" t="s">
        <v>107</v>
      </c>
      <c r="F71" s="164" t="s">
        <v>108</v>
      </c>
      <c r="G71" s="164" t="s">
        <v>109</v>
      </c>
      <c r="H71" s="164" t="s">
        <v>110</v>
      </c>
      <c r="I71" s="164" t="s">
        <v>111</v>
      </c>
      <c r="J71" s="164" t="s">
        <v>112</v>
      </c>
      <c r="K71" s="164" t="s">
        <v>113</v>
      </c>
      <c r="L71" s="164" t="s">
        <v>114</v>
      </c>
      <c r="M71" s="164" t="s">
        <v>115</v>
      </c>
      <c r="N71" s="164" t="s">
        <v>116</v>
      </c>
    </row>
    <row r="72" spans="1:14" hidden="1" x14ac:dyDescent="0.2">
      <c r="A72" s="3" t="s">
        <v>106</v>
      </c>
      <c r="B72" s="54" t="str">
        <f>""&amp;E66&amp;" "&amp;D66&amp;" "&amp;F66&amp;" y."</f>
        <v>7 aprel 2028 y.</v>
      </c>
    </row>
    <row r="73" spans="1:14" hidden="1" x14ac:dyDescent="0.2">
      <c r="A73" s="3"/>
      <c r="B73" s="54" t="str">
        <f>""&amp;E66&amp;" "&amp;H66&amp;" "&amp;F66&amp;" y."</f>
        <v>7 aprel 2028 y.</v>
      </c>
    </row>
    <row r="74" spans="1:14" ht="15.75" hidden="1" thickBot="1" x14ac:dyDescent="0.25">
      <c r="A74" s="3" t="s">
        <v>119</v>
      </c>
      <c r="B74" s="1" t="str">
        <f>""&amp;B68&amp;"dan "&amp;B66&amp;""</f>
        <v>7 aprel 2025 y.dan №717-XMS</v>
      </c>
    </row>
    <row r="75" spans="1:14" x14ac:dyDescent="0.2">
      <c r="A75" s="3" t="str">
        <f>CONCATENATE(B65," miqdori (summasi)")</f>
        <v>mikrokredit miqdori (summasi)</v>
      </c>
      <c r="B75" s="63">
        <v>110000000</v>
      </c>
    </row>
    <row r="76" spans="1:14" hidden="1" x14ac:dyDescent="0.2">
      <c r="A76" s="3" t="str">
        <f>CONCATENATE(B65," miqdori (summasi)")</f>
        <v>mikrokredit miqdori (summasi)</v>
      </c>
      <c r="B76" s="63">
        <f>B75+B154</f>
        <v>125000000</v>
      </c>
      <c r="C76" s="242" t="s">
        <v>125</v>
      </c>
    </row>
    <row r="77" spans="1:14" ht="28.5" x14ac:dyDescent="0.2">
      <c r="A77" s="140" t="s">
        <v>120</v>
      </c>
      <c r="B77" s="49"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76))&gt;6,ROMAN(MID(INT(B76),1,LEN(INT(B76))-6)+0)&amp;" million "&amp;ROMAN(MID(INT(B76),LEN(INT(B76))-5,3)+0)&amp;" ming "&amp;ROMAN(MID(INT(B76),LEN(INT(B76))-2,3)+0),IF(LEN(INT(B76))&gt;3,ROMAN(MID(INT(B76),1,LEN(INT(B76))-3)+0)&amp;" ming "&amp;ROMAN(MID(INT(B76),LEN(INT(B76))-2,3)+0),ROMAN(INT(B76)))),"DCCC","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yuz yigirma besh million so'm</v>
      </c>
      <c r="C77" s="243"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ming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Yuz yigirma besh million so'm</v>
      </c>
    </row>
    <row r="78" spans="1:14" x14ac:dyDescent="0.2">
      <c r="A78" s="3" t="s">
        <v>121</v>
      </c>
      <c r="B78" s="46" t="s">
        <v>126</v>
      </c>
      <c r="C78" s="164" t="s">
        <v>127</v>
      </c>
      <c r="D78" s="164" t="s">
        <v>126</v>
      </c>
    </row>
    <row r="79" spans="1:14" x14ac:dyDescent="0.2">
      <c r="A79" s="3" t="str">
        <f>CONCATENATE(B65,"ni to'lash sanasi (14.10.2011)")</f>
        <v>mikrokreditni to'lash sanasi (14.10.2011)</v>
      </c>
      <c r="B79" s="46">
        <v>1</v>
      </c>
      <c r="C79" s="241">
        <f>DATE(YEAR(B67),MONTH(B67)+1,DAY(B79))</f>
        <v>45778</v>
      </c>
      <c r="D79" s="164" t="s">
        <v>28</v>
      </c>
      <c r="E79" s="164" t="s">
        <v>29</v>
      </c>
      <c r="F79" s="164" t="s">
        <v>30</v>
      </c>
      <c r="G79" s="164" t="s">
        <v>31</v>
      </c>
      <c r="H79" s="164" t="s">
        <v>32</v>
      </c>
      <c r="I79" s="164" t="s">
        <v>33</v>
      </c>
      <c r="J79" s="164" t="s">
        <v>34</v>
      </c>
    </row>
    <row r="80" spans="1:14" ht="30" hidden="1" x14ac:dyDescent="0.25">
      <c r="A80" s="3" t="str">
        <f>CONCATENATE(B65,"ni to'lash sanasi (14.10.2011 y.) QO’L BILAN KIRITILADI")</f>
        <v>mikrokreditni to'lash sanasi (14.10.2011 y.) QO’L BILAN KIRITILADI</v>
      </c>
      <c r="B80" s="70">
        <f>DATE(YEAR(B67),MONTH(B67)+1,DAY(B79+C81))</f>
        <v>45778</v>
      </c>
      <c r="C80" s="244" t="str">
        <f>TEXT(C79,"ддд")</f>
        <v>Чт</v>
      </c>
      <c r="D80" s="164" t="s">
        <v>28</v>
      </c>
      <c r="E80" s="164" t="s">
        <v>29</v>
      </c>
      <c r="F80" s="164" t="s">
        <v>30</v>
      </c>
      <c r="G80" s="164" t="s">
        <v>31</v>
      </c>
      <c r="H80" s="164" t="s">
        <v>32</v>
      </c>
      <c r="I80" s="164" t="s">
        <v>33</v>
      </c>
      <c r="J80" s="164" t="s">
        <v>34</v>
      </c>
    </row>
    <row r="81" spans="1:63" ht="30" hidden="1" x14ac:dyDescent="0.2">
      <c r="A81" s="3" t="s">
        <v>122</v>
      </c>
      <c r="B81" s="71">
        <f>B80</f>
        <v>45778</v>
      </c>
      <c r="C81" s="164">
        <f>IF(C80=I80,2,IF(C80=J80,1,0))</f>
        <v>0</v>
      </c>
    </row>
    <row r="82" spans="1:63" x14ac:dyDescent="0.2">
      <c r="A82" s="3" t="str">
        <f>CONCATENATE(B65," muddati")</f>
        <v>mikrokredit muddati</v>
      </c>
      <c r="B82" s="46">
        <v>36</v>
      </c>
      <c r="C82" s="164">
        <v>6</v>
      </c>
      <c r="D82" s="164">
        <v>12</v>
      </c>
      <c r="E82" s="164">
        <v>18</v>
      </c>
      <c r="F82" s="164">
        <v>24</v>
      </c>
      <c r="G82" s="164">
        <v>36</v>
      </c>
    </row>
    <row r="83" spans="1:63" ht="30" x14ac:dyDescent="0.2">
      <c r="A83" s="3" t="str">
        <f>CONCATENATE(B65," muddati QO’L BILAN KIRITILADI")</f>
        <v>mikrokredit muddati QO’L BILAN KIRITILADI</v>
      </c>
      <c r="B83" s="46"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82,0))&gt;6,ROMAN(MID(ROUNDDOWN(B82,0),1,LEN(ROUNDDOWN(B82,0))-6)+0)&amp;" million "&amp;ROMAN(MID(ROUNDDOWN(B82,0),LEN(ROUNDDOWN(B82,0))-5,3)+0)&amp;" ming "&amp;ROMAN(MID(ROUNDDOWN(B82,0),LEN(ROUNDDOWN(B82,0))-2,3)+0)&amp;"",IF(LEN(ROUNDDOWN(B82,0))&gt;3,ROMAN(MID(ROUNDDOWN(B82,0),1,LEN(ROUNDDOWN(B82,0))-3)+0)&amp;" ming "&amp;ROMAN(MID(ROUNDDOWN(B82,0),LEN(ROUNDDOWN(B82,0))-2,3)+0)&amp;"",ROMAN(ROUNDDOWN(B82,0))&amp;"")),"DCCC","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82,0))&gt;6,ROMAN(MID(ROUNDDOWN(B82,0),1,LEN(ROUNDDOWN(B82,0))-6)+0)&amp;" million "&amp;ROMAN(MID(ROUNDDOWN(B82,0),LEN(ROUNDDOWN(B82,0))-5,3)+0)&amp;" "&amp;ROMAN(MID(ROUNDDOWN(B82,0),LEN(ROUNDDOWN(B82,0))-2,3)+0)&amp;"",IF(LEN(ROUNDDOWN(B82,0))&gt;3,ROMAN(MID(ROUNDDOWN(B82,0),1,LEN(ROUNDDOWN(B82,0))-3)+0)&amp;" ming "&amp;ROMAN(MID(ROUNDDOWN(B82,0),LEN(ROUNDDOWN(B82,0))-2,3)+0)&amp;"",ROMAN(ROUNDDOWN(B82,0))&amp;"")),"DCCC","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"&amp;SUBSTITUTE(SUBSTITUTE(SUBSTITUTE(SUBSTITUTE(SUBSTITUTE(SUBSTITUTE(SUBSTITUTE(SUBSTITUTE(RIGHT(TEXT(B82," "),2)&amp;"","1","1"),"2","2"),"3","3"),"4","4"),"11","11"),"12","12"),"13","13"),"14","14")</f>
        <v xml:space="preserve">O'ttiz olti  </v>
      </c>
    </row>
    <row r="84" spans="1:63" ht="30" x14ac:dyDescent="0.2">
      <c r="A84" s="156" t="s">
        <v>343</v>
      </c>
      <c r="B84" s="137">
        <v>0</v>
      </c>
      <c r="BJ84" s="164">
        <v>1</v>
      </c>
      <c r="BK84" s="164">
        <v>0</v>
      </c>
    </row>
    <row r="85" spans="1:63" x14ac:dyDescent="0.2">
      <c r="A85" s="3" t="str">
        <f>CONCATENATE(B65," stavkasi")</f>
        <v>mikrokredit stavkasi</v>
      </c>
      <c r="B85" s="73">
        <v>0.55000000000000004</v>
      </c>
    </row>
    <row r="86" spans="1:63" x14ac:dyDescent="0.2">
      <c r="A86" s="3" t="str">
        <f>CONCATENATE(B65," stavkasi")</f>
        <v>mikrokredit stavkasi</v>
      </c>
      <c r="B86" s="74" t="s">
        <v>405</v>
      </c>
    </row>
    <row r="87" spans="1:63" x14ac:dyDescent="0.2">
      <c r="A87" s="3" t="str">
        <f>CONCATENATE(B65," stavkasi (so’z bilan)")</f>
        <v>mikrokredit stavkasi (so’z bilan)</v>
      </c>
      <c r="B87" s="7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ming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"&amp;SUBSTITUTE(SUBSTITUTE(SUBSTITUTE(SUBSTITUTE(SUBSTITUTE(SUBSTITUTE(SUBSTITUTE(SUBSTITUTE(RIGHT(TEXT(B86," "),2)&amp;"","1","1"),"2","2"),"3","3"),"4","4"),"11","11"),"12","12"),"13","13"),"14","14")</f>
        <v xml:space="preserve">Ellik besh  </v>
      </c>
      <c r="C87" s="16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ming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"&amp;SUBSTITUTE(SUBSTITUTE(SUBSTITUTE(SUBSTITUTE(SUBSTITUTE(SUBSTITUTE(SUBSTITUTE(SUBSTITUTE(RIGHT(TEXT(B86," "),2)&amp;"","1","1"),"2","2"),"3","3"),"4","4"),"11","11"),"12","12"),"13","13"),"14","14")</f>
        <v xml:space="preserve">Ellik besh  </v>
      </c>
    </row>
    <row r="88" spans="1:63" ht="30" x14ac:dyDescent="0.2">
      <c r="A88" s="3" t="str">
        <f>CONCATENATE("Muddati o'tgan ",B65," bo’yicha stavka")</f>
        <v>Muddati o'tgan mikrokredit bo’yicha stavka</v>
      </c>
      <c r="B88" s="73">
        <v>1.05</v>
      </c>
    </row>
    <row r="89" spans="1:63" x14ac:dyDescent="0.2">
      <c r="A89" s="140" t="s">
        <v>120</v>
      </c>
      <c r="B89" s="74" t="s">
        <v>426</v>
      </c>
    </row>
    <row r="90" spans="1:63" ht="30" x14ac:dyDescent="0.2">
      <c r="A90" s="3" t="str">
        <f>CONCATENATE("Muddati o'tgan ",B65," bo’yicha stavka")</f>
        <v>Muddati o'tgan mikrokredit bo’yicha stavka</v>
      </c>
      <c r="B90" s="72" t="s">
        <v>378</v>
      </c>
      <c r="C90" s="164" t="s">
        <v>378</v>
      </c>
    </row>
    <row r="91" spans="1:63" x14ac:dyDescent="0.2">
      <c r="A91" s="3" t="s">
        <v>123</v>
      </c>
      <c r="B91" s="75">
        <f>IF(B78=C78,LARGE(grafik!F9:F26,1),ROUND(PMT(B85/12,B82,-B76,0),-3))</f>
        <v>7155000</v>
      </c>
    </row>
    <row r="92" spans="1:63" x14ac:dyDescent="0.2">
      <c r="A92" s="270" t="s">
        <v>387</v>
      </c>
      <c r="B92" s="271"/>
    </row>
    <row r="93" spans="1:63" x14ac:dyDescent="0.2">
      <c r="A93" s="187" t="s">
        <v>388</v>
      </c>
      <c r="B93" s="169" t="s">
        <v>421</v>
      </c>
    </row>
    <row r="94" spans="1:63" x14ac:dyDescent="0.2">
      <c r="A94" s="187" t="s">
        <v>389</v>
      </c>
      <c r="B94" s="53" t="s">
        <v>422</v>
      </c>
    </row>
    <row r="95" spans="1:63" x14ac:dyDescent="0.2">
      <c r="A95" s="187" t="s">
        <v>390</v>
      </c>
      <c r="B95" s="77" t="s">
        <v>423</v>
      </c>
    </row>
    <row r="96" spans="1:63" x14ac:dyDescent="0.2">
      <c r="A96" s="187" t="s">
        <v>391</v>
      </c>
      <c r="B96" s="77" t="s">
        <v>424</v>
      </c>
    </row>
    <row r="97" spans="1:4" x14ac:dyDescent="0.2">
      <c r="A97" s="187" t="s">
        <v>392</v>
      </c>
      <c r="B97" s="77" t="s">
        <v>425</v>
      </c>
    </row>
    <row r="98" spans="1:4" x14ac:dyDescent="0.2">
      <c r="A98" s="269" t="s">
        <v>124</v>
      </c>
      <c r="B98" s="269"/>
    </row>
    <row r="99" spans="1:4" ht="18" x14ac:dyDescent="0.2">
      <c r="A99" s="76"/>
      <c r="B99" s="130" t="s">
        <v>129</v>
      </c>
      <c r="C99" s="245" t="s">
        <v>129</v>
      </c>
      <c r="D99" s="164" t="s">
        <v>130</v>
      </c>
    </row>
    <row r="100" spans="1:4" ht="18" x14ac:dyDescent="0.2">
      <c r="A100" s="7" t="s">
        <v>135</v>
      </c>
      <c r="B100" s="130" t="s">
        <v>132</v>
      </c>
      <c r="C100" s="246" t="s">
        <v>131</v>
      </c>
      <c r="D100" s="164" t="s">
        <v>132</v>
      </c>
    </row>
    <row r="101" spans="1:4" ht="54" x14ac:dyDescent="0.2">
      <c r="A101" s="7" t="s">
        <v>136</v>
      </c>
      <c r="B101" s="130" t="s">
        <v>133</v>
      </c>
      <c r="C101" s="164" t="s">
        <v>133</v>
      </c>
      <c r="D101" s="164" t="s">
        <v>134</v>
      </c>
    </row>
    <row r="102" spans="1:4" ht="36" x14ac:dyDescent="0.2">
      <c r="A102" s="7" t="s">
        <v>137</v>
      </c>
      <c r="B102" s="130"/>
    </row>
    <row r="103" spans="1:4" ht="54" x14ac:dyDescent="0.2">
      <c r="A103" s="7" t="s">
        <v>138</v>
      </c>
      <c r="B103" s="130"/>
    </row>
    <row r="104" spans="1:4" x14ac:dyDescent="0.2">
      <c r="A104" s="269" t="s">
        <v>139</v>
      </c>
      <c r="B104" s="269"/>
    </row>
    <row r="105" spans="1:4" ht="36" x14ac:dyDescent="0.2">
      <c r="A105" s="7" t="s">
        <v>140</v>
      </c>
      <c r="B105" s="130"/>
    </row>
    <row r="106" spans="1:4" ht="54" x14ac:dyDescent="0.2">
      <c r="A106" s="7" t="s">
        <v>141</v>
      </c>
      <c r="B106" s="130"/>
    </row>
    <row r="107" spans="1:4" ht="18" x14ac:dyDescent="0.2">
      <c r="A107" s="7" t="s">
        <v>142</v>
      </c>
      <c r="B107" s="138"/>
    </row>
    <row r="108" spans="1:4" ht="18" x14ac:dyDescent="0.2">
      <c r="A108" s="7" t="s">
        <v>143</v>
      </c>
      <c r="B108" s="136"/>
    </row>
    <row r="109" spans="1:4" ht="18" hidden="1" x14ac:dyDescent="0.2">
      <c r="A109" s="7"/>
      <c r="B109" s="130" t="str">
        <f>TEXT(B108,"ДД.ММ.ГГГГ")</f>
        <v>00.01.1900</v>
      </c>
    </row>
    <row r="110" spans="1:4" ht="18" x14ac:dyDescent="0.2">
      <c r="A110" s="7"/>
      <c r="B110" s="8" t="s">
        <v>144</v>
      </c>
      <c r="C110" s="164" t="s">
        <v>144</v>
      </c>
      <c r="D110" s="164" t="s">
        <v>145</v>
      </c>
    </row>
    <row r="111" spans="1:4" ht="90" x14ac:dyDescent="0.2">
      <c r="A111" s="161" t="s">
        <v>345</v>
      </c>
      <c r="B111" s="160" t="s">
        <v>344</v>
      </c>
      <c r="C111" s="247" t="s">
        <v>145</v>
      </c>
    </row>
    <row r="112" spans="1:4" ht="30" x14ac:dyDescent="0.2">
      <c r="A112" s="155" t="s">
        <v>366</v>
      </c>
      <c r="B112" s="8" t="s">
        <v>427</v>
      </c>
      <c r="C112" s="247"/>
    </row>
    <row r="113" spans="1:4" ht="30" x14ac:dyDescent="0.2">
      <c r="A113" s="155" t="s">
        <v>367</v>
      </c>
      <c r="B113" s="8" t="s">
        <v>428</v>
      </c>
      <c r="C113" s="247"/>
    </row>
    <row r="114" spans="1:4" ht="60" x14ac:dyDescent="0.2">
      <c r="A114" s="155" t="str">
        <f>A120</f>
        <v>Tug’ilgan sanasi (01.10.2011 y.)</v>
      </c>
      <c r="B114" s="170">
        <v>31253</v>
      </c>
      <c r="C114" s="247"/>
    </row>
    <row r="115" spans="1:4" ht="60" x14ac:dyDescent="0.2">
      <c r="A115" s="155" t="str">
        <f>A121</f>
        <v>Pasport seriyasi (СА №1234567)</v>
      </c>
      <c r="B115" s="8" t="s">
        <v>429</v>
      </c>
      <c r="C115" s="247"/>
    </row>
    <row r="116" spans="1:4" ht="108.75" customHeight="1" x14ac:dyDescent="0.2">
      <c r="A116" s="155" t="str">
        <f>A122</f>
        <v xml:space="preserve">Kim va qachon berilgan
(Toshkent shahri Chilonzor IIB tomonidan 2011 yil __.____)
</v>
      </c>
      <c r="B116" s="8" t="s">
        <v>430</v>
      </c>
      <c r="C116" s="247"/>
    </row>
    <row r="117" spans="1:4" ht="150.75" customHeight="1" x14ac:dyDescent="0.2">
      <c r="A117" s="155" t="str">
        <f>A123</f>
        <v xml:space="preserve">doimiy ro’yhatdan o’tgan joyi
(Toshkent sh., Mirobod tumani, Nukus ko’chasi, 1 uy, 1 honadon)
</v>
      </c>
      <c r="B117" s="8" t="s">
        <v>431</v>
      </c>
      <c r="C117" s="247"/>
    </row>
    <row r="118" spans="1:4" hidden="1" x14ac:dyDescent="0.2">
      <c r="A118" s="128" t="s">
        <v>157</v>
      </c>
      <c r="B118" s="121" t="str">
        <f>IF(B100="HA",B5,B112)</f>
        <v>BEKOV OTABEK BAXODIROVICH</v>
      </c>
      <c r="C118" s="248">
        <f>IF(B100="HA",B5,C112)</f>
        <v>0</v>
      </c>
    </row>
    <row r="119" spans="1:4" hidden="1" x14ac:dyDescent="0.2">
      <c r="A119" s="128"/>
      <c r="B119" s="121" t="str">
        <f>IF(B100="HA",B7,B113)</f>
        <v>BEKOV O.B.</v>
      </c>
      <c r="C119" s="248">
        <f>IF(B100="HA",B7,C113)</f>
        <v>0</v>
      </c>
    </row>
    <row r="120" spans="1:4" hidden="1" x14ac:dyDescent="0.2">
      <c r="A120" s="129" t="s">
        <v>158</v>
      </c>
      <c r="B120" s="154">
        <f>IF(B100="HA",B15,B114)</f>
        <v>31253</v>
      </c>
      <c r="C120" s="248">
        <f>IF(B100="HA",B15,C114)</f>
        <v>0</v>
      </c>
    </row>
    <row r="121" spans="1:4" hidden="1" x14ac:dyDescent="0.2">
      <c r="A121" s="129" t="s">
        <v>63</v>
      </c>
      <c r="B121" s="154" t="str">
        <f>IF(B100="HA",B16,B115)</f>
        <v>AC1695954</v>
      </c>
      <c r="C121" s="248">
        <f>IF(B100="HA",B16,C115)</f>
        <v>0</v>
      </c>
    </row>
    <row r="122" spans="1:4" ht="30" hidden="1" customHeight="1" x14ac:dyDescent="0.2">
      <c r="A122" s="129" t="s">
        <v>66</v>
      </c>
      <c r="B122" s="121" t="str">
        <f>IF(B100="HA",B20,B116)</f>
        <v xml:space="preserve">XORAZM VILOYATI URGANCH TUMANI IIB tomonidan 25.02.2019 yilda berilgan </v>
      </c>
      <c r="C122" s="248">
        <f>IF(B100="HA",B20,C116)</f>
        <v>0</v>
      </c>
      <c r="D122" s="164">
        <v>493193762</v>
      </c>
    </row>
    <row r="123" spans="1:4" ht="53.25" hidden="1" customHeight="1" x14ac:dyDescent="0.2">
      <c r="A123" s="129" t="s">
        <v>68</v>
      </c>
      <c r="B123" s="121" t="str">
        <f>IF(B100="HA",B22,B117)</f>
        <v>XORAZM VILOYATI URGANCH TUMANI GOYBU QFY OQ MAKTAB MFY</v>
      </c>
      <c r="C123" s="249">
        <f>IF(B100="HA",B22,C117)</f>
        <v>0</v>
      </c>
    </row>
    <row r="124" spans="1:4" hidden="1" x14ac:dyDescent="0.2">
      <c r="A124" s="129" t="s">
        <v>159</v>
      </c>
      <c r="B124" s="1" t="str">
        <f>IF(B100="ha",B5,B118)</f>
        <v>BEKOV OTABEK BAXODIROVICH</v>
      </c>
      <c r="C124" s="250">
        <f>IF(B100="ha",B5,C118)</f>
        <v>0</v>
      </c>
    </row>
    <row r="125" spans="1:4" hidden="1" x14ac:dyDescent="0.2">
      <c r="A125" s="129"/>
      <c r="B125" s="1" t="str">
        <f>IF(B100="ha",B7,B119)</f>
        <v>BEKOV O.B.</v>
      </c>
      <c r="C125" s="250">
        <f>IF(B100="ha",B7,C119)</f>
        <v>0</v>
      </c>
    </row>
    <row r="126" spans="1:4" hidden="1" x14ac:dyDescent="0.2">
      <c r="A126" s="3" t="s">
        <v>158</v>
      </c>
      <c r="B126" s="1">
        <f>IF(B100="ha",B15,B120)</f>
        <v>31253</v>
      </c>
      <c r="C126" s="250">
        <f>IF(B100="ha",B15,C120)</f>
        <v>0</v>
      </c>
    </row>
    <row r="127" spans="1:4" hidden="1" x14ac:dyDescent="0.2">
      <c r="A127" s="3" t="s">
        <v>63</v>
      </c>
      <c r="B127" s="1" t="str">
        <f>IF(B100="ha",B16,B121)</f>
        <v>AC1695954</v>
      </c>
      <c r="C127" s="250">
        <f>IF(B100="ha",B16,C121)</f>
        <v>0</v>
      </c>
    </row>
    <row r="128" spans="1:4" ht="60" hidden="1" x14ac:dyDescent="0.2">
      <c r="A128" s="3" t="s">
        <v>66</v>
      </c>
      <c r="B128" s="1" t="str">
        <f>IF(B100="ha",B20,B122)</f>
        <v xml:space="preserve">XORAZM VILOYATI URGANCH TUMANI IIB tomonidan 25.02.2019 yilda berilgan </v>
      </c>
      <c r="C128" s="250">
        <f>IF(B100="ha",B20,C122)</f>
        <v>0</v>
      </c>
    </row>
    <row r="129" spans="1:18" ht="60" hidden="1" x14ac:dyDescent="0.2">
      <c r="A129" s="3" t="s">
        <v>68</v>
      </c>
      <c r="B129" s="152" t="str">
        <f>IF(B100="ha",B22,B123)</f>
        <v>XORAZM VILOYATI URGANCH TUMANI GOYBU QFY OQ MAKTAB MFY</v>
      </c>
      <c r="C129" s="251">
        <f>IF(B100="ha",B22,C123)</f>
        <v>0</v>
      </c>
    </row>
    <row r="130" spans="1:18" ht="98.25" customHeight="1" x14ac:dyDescent="0.2">
      <c r="A130" s="3" t="s">
        <v>160</v>
      </c>
      <c r="B130" s="196" t="s">
        <v>432</v>
      </c>
      <c r="C130" s="252"/>
      <c r="N130" s="164" t="str">
        <f>IF(B110=C110,B124,IF(B110=D110,C124,0))</f>
        <v>BEKOV OTABEK BAXODIROVICH</v>
      </c>
    </row>
    <row r="131" spans="1:18" ht="60" x14ac:dyDescent="0.2">
      <c r="A131" s="3" t="s">
        <v>161</v>
      </c>
      <c r="B131" s="196" t="s">
        <v>433</v>
      </c>
      <c r="C131" s="250"/>
      <c r="D131" s="253" t="s">
        <v>150</v>
      </c>
      <c r="Q131" s="164" t="str">
        <f>""&amp;B102&amp;" (по генеральному доверенестью №"&amp;B107&amp;" от "&amp;B109&amp;")"</f>
        <v xml:space="preserve"> (по генеральному доверенестью № от 00.01.1900)</v>
      </c>
      <c r="R131" s="164" t="str">
        <f>""&amp;B102&amp;" ("&amp;B109&amp;"y. sanasidagi reestr raqami №"&amp;B107&amp;" bo'lgan Ishonchnomaga asosan)"</f>
        <v xml:space="preserve"> (00.01.1900y. sanasidagi reestr raqami № bo'lgan Ishonchnomaga asosan)</v>
      </c>
    </row>
    <row r="132" spans="1:18" x14ac:dyDescent="0.2">
      <c r="A132" s="3" t="s">
        <v>26</v>
      </c>
      <c r="B132" s="196" t="s">
        <v>434</v>
      </c>
      <c r="C132" s="251" t="str">
        <f>""&amp;D133&amp;" "&amp;IF(C136=D136,"- xonali yakka tartibdagi uy-joy", IF(C136=E136,"-  xonali ko'p qavatli uydagi xonadon",0))&amp;""</f>
        <v xml:space="preserve"> 0</v>
      </c>
      <c r="D132" s="254" t="s">
        <v>148</v>
      </c>
      <c r="E132" s="164">
        <f>IF($C$136=$D$136,I132,IF($C$136=$E$136,H132,0))</f>
        <v>0</v>
      </c>
      <c r="F132" s="164">
        <f>IF($C$136=$D$136,I132,IF($C$136=$E$136,H132,0))</f>
        <v>0</v>
      </c>
      <c r="H132" s="164" t="str">
        <f>"Ko'p qavatli uydagi "&amp;D133&amp;" - xonali xonadon"</f>
        <v>Ko'p qavatli uydagi  - xonali xonadon</v>
      </c>
      <c r="I132" s="164" t="str">
        <f>""&amp;D133&amp;" - xonali yakka tartibdagi uy-joy"</f>
        <v xml:space="preserve"> - xonali yakka tartibdagi uy-joy</v>
      </c>
      <c r="N132" s="164" t="str">
        <f>IF(B100=C100,Q133,IF(B100=D100,Q132,0))</f>
        <v>Микрофинансовой организацией, Заемщиком и BEKOV OTABEK BAXODIROVICH</v>
      </c>
      <c r="Q132" s="164" t="str">
        <f>"Микрофинансовой организацией, Заемщиком и "&amp;IF(B101=D101,Q131,IF(B101=C101,B118,0))&amp;""</f>
        <v>Микрофинансовой организацией, Заемщиком и BEKOV OTABEK BAXODIROVICH</v>
      </c>
      <c r="R132" s="164" t="str">
        <f>"Mikromoliya tashkiloti, Qarz oluvchi va "&amp;IF(B101=D101,R131,IF(B101=C101,B118))&amp;""</f>
        <v>Mikromoliya tashkiloti, Qarz oluvchi va BEKOV OTABEK BAXODIROVICH</v>
      </c>
    </row>
    <row r="133" spans="1:18" ht="30" x14ac:dyDescent="0.2">
      <c r="A133" s="3" t="s">
        <v>162</v>
      </c>
      <c r="B133" s="196" t="s">
        <v>435</v>
      </c>
      <c r="C133" s="251" t="str">
        <f>C132</f>
        <v xml:space="preserve"> 0</v>
      </c>
      <c r="D133" s="255"/>
      <c r="E133" s="164">
        <f>IF($C$136=$D$136,I133,IF($C$136=$E$136,H133,0))</f>
        <v>0</v>
      </c>
      <c r="F133" s="164">
        <f>IF($C$136=$D$136,I133,IF($C$136=$E$136,H133,0))</f>
        <v>0</v>
      </c>
      <c r="H133" s="164" t="str">
        <f>"umumiy maydoni - "&amp;C137&amp;", yashash maydoni - "&amp;C140&amp;""</f>
        <v xml:space="preserve">umumiy maydoni - , yashash maydoni - </v>
      </c>
      <c r="I133" s="164" t="str">
        <f>"yer uchastkasi maydoni - "&amp;C138&amp;", umumiy maydoni - "&amp;C137&amp;", yashash maydoni - "&amp;C140&amp;""</f>
        <v xml:space="preserve">yer uchastkasi maydoni - , umumiy maydoni - , yashash maydoni - </v>
      </c>
      <c r="N133" s="164" t="str">
        <f>IF(B100=C100,R133,IF(B100=D100,R132,0))</f>
        <v>Mikromoliya tashkiloti, Qarz oluvchi va BEKOV OTABEK BAXODIROVICH</v>
      </c>
      <c r="Q133" s="164" t="s">
        <v>50</v>
      </c>
      <c r="R133" s="164" t="s">
        <v>149</v>
      </c>
    </row>
    <row r="134" spans="1:18" ht="27" customHeight="1" x14ac:dyDescent="0.2">
      <c r="A134" s="3" t="s">
        <v>163</v>
      </c>
      <c r="B134" s="68" t="str">
        <f>"kuzov turi - "&amp;B135&amp;", kuzov raqami "&amp;B136&amp;""</f>
        <v>kuzov turi - YENGIL MINIVEN, kuzov raqami P08461541</v>
      </c>
      <c r="C134" s="250"/>
      <c r="D134" s="253" t="s">
        <v>374</v>
      </c>
    </row>
    <row r="135" spans="1:18" x14ac:dyDescent="0.2">
      <c r="A135" s="64" t="s">
        <v>164</v>
      </c>
      <c r="B135" s="196" t="s">
        <v>436</v>
      </c>
      <c r="C135" s="256"/>
    </row>
    <row r="136" spans="1:18" x14ac:dyDescent="0.2">
      <c r="A136" s="64" t="s">
        <v>165</v>
      </c>
      <c r="B136" s="196" t="s">
        <v>437</v>
      </c>
      <c r="C136" s="235"/>
      <c r="D136" s="164" t="s">
        <v>151</v>
      </c>
      <c r="E136" s="164" t="s">
        <v>152</v>
      </c>
    </row>
    <row r="137" spans="1:18" ht="27" customHeight="1" x14ac:dyDescent="0.25">
      <c r="A137" s="3" t="s">
        <v>166</v>
      </c>
      <c r="B137" s="68" t="str">
        <f>"dvigatel raqami "&amp;B138&amp;", shassi raqami - "&amp;B139&amp;""</f>
        <v>dvigatel raqami LJ166A33XP2208188, shassi raqami - Rakamsiz</v>
      </c>
      <c r="C137" s="235"/>
      <c r="D137" s="257" t="s">
        <v>153</v>
      </c>
      <c r="E137" s="164" t="str">
        <f>CONCATENATE(C137," ","kv.m")</f>
        <v xml:space="preserve"> kv.m</v>
      </c>
      <c r="F137" s="166">
        <f>C137-C140</f>
        <v>0</v>
      </c>
    </row>
    <row r="138" spans="1:18" x14ac:dyDescent="0.25">
      <c r="A138" s="64" t="s">
        <v>167</v>
      </c>
      <c r="B138" s="201" t="s">
        <v>438</v>
      </c>
      <c r="C138" s="235"/>
      <c r="D138" s="257" t="s">
        <v>154</v>
      </c>
    </row>
    <row r="139" spans="1:18" x14ac:dyDescent="0.2">
      <c r="A139" s="64" t="s">
        <v>168</v>
      </c>
      <c r="B139" s="46" t="s">
        <v>402</v>
      </c>
      <c r="C139" s="235"/>
    </row>
    <row r="140" spans="1:18" ht="25.5" customHeight="1" x14ac:dyDescent="0.25">
      <c r="A140" s="3" t="s">
        <v>169</v>
      </c>
      <c r="B140" s="68" t="str">
        <f>"rangi -  "&amp;B141&amp;", ishlab chiqarilgan yili - "&amp;B142&amp;""</f>
        <v>rangi -  QORA CHERNIY, ishlab chiqarilgan yili - 2023</v>
      </c>
      <c r="C140" s="258"/>
      <c r="D140" s="257" t="s">
        <v>250</v>
      </c>
      <c r="E140" s="164" t="str">
        <f>CONCATENATE(C140," ","kv.m")</f>
        <v xml:space="preserve"> kv.m</v>
      </c>
    </row>
    <row r="141" spans="1:18" x14ac:dyDescent="0.2">
      <c r="A141" s="64" t="s">
        <v>170</v>
      </c>
      <c r="B141" s="196" t="s">
        <v>439</v>
      </c>
      <c r="C141" s="235"/>
    </row>
    <row r="142" spans="1:18" ht="30" x14ac:dyDescent="0.25">
      <c r="A142" s="64" t="s">
        <v>171</v>
      </c>
      <c r="B142" s="202" t="s">
        <v>440</v>
      </c>
      <c r="C142" s="256"/>
      <c r="D142" s="259" t="s">
        <v>375</v>
      </c>
    </row>
    <row r="143" spans="1:18" hidden="1" x14ac:dyDescent="0.25">
      <c r="A143" s="3" t="s">
        <v>172</v>
      </c>
      <c r="B143" s="203">
        <f>B75*1.5</f>
        <v>165000000</v>
      </c>
      <c r="C143" s="260">
        <f>B143</f>
        <v>165000000</v>
      </c>
      <c r="D143" s="257" t="s">
        <v>172</v>
      </c>
    </row>
    <row r="144" spans="1:18" ht="27.75" hidden="1" customHeight="1" x14ac:dyDescent="0.2">
      <c r="A144" s="159"/>
      <c r="B144" s="204"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143))&gt;6,ROMAN(MID(INT(B143),1,LEN(INT(B143))-6)+0)&amp;" million "&amp;ROMAN(MID(INT(B143),LEN(INT(B143))-5,3)+0)&amp;" ming "&amp;ROMAN(MID(INT(B143),LEN(INT(B143))-2,3)+0),IF(LEN(INT(B143))&gt;3,ROMAN(MID(INT(B143),1,LEN(INT(B143))-3)+0)&amp;" ming "&amp;ROMAN(MID(INT(B143),LEN(INT(B143))-2,3)+0),ROMAN(INT(B143)))),"DCCC","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yuz oltmish besh million so'm</v>
      </c>
      <c r="C144" s="260" t="str">
        <f>B144</f>
        <v>yuz oltmish besh million so'm</v>
      </c>
    </row>
    <row r="145" spans="1:3" ht="27.75" hidden="1" customHeight="1" x14ac:dyDescent="0.2">
      <c r="A145" s="3"/>
      <c r="B145" s="205" t="str">
        <f>B144</f>
        <v>yuz oltmish besh million so'm</v>
      </c>
      <c r="C145" s="261"/>
    </row>
    <row r="146" spans="1:3" ht="20.25" x14ac:dyDescent="0.2">
      <c r="A146" s="3" t="s">
        <v>340</v>
      </c>
      <c r="B146" s="204">
        <v>1660</v>
      </c>
    </row>
    <row r="147" spans="1:3" x14ac:dyDescent="0.2">
      <c r="A147" s="3" t="s">
        <v>368</v>
      </c>
      <c r="B147" s="46"/>
    </row>
    <row r="148" spans="1:3" ht="15.75" thickBot="1" x14ac:dyDescent="0.25">
      <c r="A148" s="3" t="s">
        <v>155</v>
      </c>
      <c r="B148" s="2" t="s">
        <v>146</v>
      </c>
      <c r="C148" s="164">
        <v>1</v>
      </c>
    </row>
    <row r="149" spans="1:3" hidden="1" x14ac:dyDescent="0.2">
      <c r="A149" s="3" t="s">
        <v>156</v>
      </c>
      <c r="B149" s="4" t="str">
        <f>B70</f>
        <v>7 aprel 2025 y.</v>
      </c>
      <c r="C149" s="164" t="str">
        <f>B70</f>
        <v>7 aprel 2025 y.</v>
      </c>
    </row>
    <row r="150" spans="1:3" hidden="1" x14ac:dyDescent="0.2">
      <c r="A150" s="3"/>
      <c r="B150" s="1">
        <f>YEAR(B67)</f>
        <v>2025</v>
      </c>
    </row>
    <row r="151" spans="1:3" hidden="1" x14ac:dyDescent="0.2">
      <c r="A151" s="3"/>
      <c r="B151" s="141" t="str">
        <f>D67</f>
        <v>aprel</v>
      </c>
    </row>
    <row r="152" spans="1:3" hidden="1" x14ac:dyDescent="0.2">
      <c r="A152" s="171"/>
      <c r="B152" s="172">
        <f>DAY(B67)</f>
        <v>7</v>
      </c>
    </row>
    <row r="153" spans="1:3" ht="20.25" x14ac:dyDescent="0.2">
      <c r="A153" s="173" t="s">
        <v>379</v>
      </c>
      <c r="B153" s="174" t="s">
        <v>400</v>
      </c>
    </row>
    <row r="154" spans="1:3" ht="20.25" x14ac:dyDescent="0.2">
      <c r="A154" s="175" t="s">
        <v>380</v>
      </c>
      <c r="B154" s="176">
        <v>15000000</v>
      </c>
    </row>
    <row r="155" spans="1:3" ht="15.75" thickBot="1" x14ac:dyDescent="0.25">
      <c r="A155" s="177"/>
      <c r="B155" s="178"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154))&gt;6,ROMAN(MID(INT(B154),1,LEN(INT(B154))-6)+0)&amp;" million "&amp;ROMAN(MID(INT(B154),LEN(INT(B154))-5,3)+0)&amp;" ming "&amp;ROMAN(MID(INT(B154),LEN(INT(B154))-2,3)+0),IF(LEN(INT(B154))&gt;3,ROMAN(MID(INT(B154),1,LEN(INT(B154))-3)+0)&amp;" ming "&amp;ROMAN(MID(INT(B154),LEN(INT(B154))-2,3)+0),ROMAN(INT(B154)))),"DCCC","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o'n besh million so'm</v>
      </c>
    </row>
    <row r="156" spans="1:3" x14ac:dyDescent="0.2">
      <c r="A156" s="268" t="s">
        <v>349</v>
      </c>
      <c r="B156" s="268"/>
    </row>
    <row r="157" spans="1:3" x14ac:dyDescent="0.2">
      <c r="A157" s="3" t="s">
        <v>173</v>
      </c>
      <c r="B157" s="1" t="s">
        <v>373</v>
      </c>
    </row>
    <row r="158" spans="1:3" x14ac:dyDescent="0.2">
      <c r="A158" s="3"/>
      <c r="B158" s="1" t="s">
        <v>373</v>
      </c>
    </row>
    <row r="159" spans="1:3" x14ac:dyDescent="0.2">
      <c r="A159" s="3"/>
      <c r="B159" s="1" t="s">
        <v>373</v>
      </c>
    </row>
    <row r="160" spans="1:3" x14ac:dyDescent="0.2">
      <c r="A160" s="182" t="s">
        <v>456</v>
      </c>
      <c r="B160" s="181" t="s">
        <v>457</v>
      </c>
    </row>
    <row r="161" spans="1:2" x14ac:dyDescent="0.2">
      <c r="A161" s="180"/>
      <c r="B161" s="179" t="s">
        <v>458</v>
      </c>
    </row>
    <row r="162" spans="1:2" hidden="1" x14ac:dyDescent="0.2">
      <c r="A162" s="3" t="s">
        <v>177</v>
      </c>
      <c r="B162" s="1" t="s">
        <v>174</v>
      </c>
    </row>
    <row r="163" spans="1:2" ht="28.5" hidden="1" x14ac:dyDescent="0.2">
      <c r="A163" s="3" t="s">
        <v>178</v>
      </c>
      <c r="B163" s="1" t="s">
        <v>175</v>
      </c>
    </row>
    <row r="164" spans="1:2" hidden="1" x14ac:dyDescent="0.2">
      <c r="A164" s="3" t="s">
        <v>179</v>
      </c>
      <c r="B164" s="1" t="s">
        <v>24</v>
      </c>
    </row>
    <row r="165" spans="1:2" hidden="1" x14ac:dyDescent="0.2">
      <c r="A165" s="3" t="s">
        <v>180</v>
      </c>
      <c r="B165" s="1" t="s">
        <v>22</v>
      </c>
    </row>
    <row r="166" spans="1:2" hidden="1" x14ac:dyDescent="0.2">
      <c r="A166" s="3" t="s">
        <v>181</v>
      </c>
      <c r="B166" s="1" t="s">
        <v>176</v>
      </c>
    </row>
    <row r="167" spans="1:2" hidden="1" x14ac:dyDescent="0.2">
      <c r="A167" s="3" t="s">
        <v>182</v>
      </c>
      <c r="B167" s="2" t="s">
        <v>25</v>
      </c>
    </row>
    <row r="168" spans="1:2" hidden="1" x14ac:dyDescent="0.2">
      <c r="A168" s="3" t="s">
        <v>183</v>
      </c>
      <c r="B168" s="1" t="s">
        <v>328</v>
      </c>
    </row>
    <row r="169" spans="1:2" x14ac:dyDescent="0.2">
      <c r="A169" s="3" t="s">
        <v>384</v>
      </c>
      <c r="B169" s="1" t="s">
        <v>397</v>
      </c>
    </row>
    <row r="170" spans="1:2" x14ac:dyDescent="0.2">
      <c r="A170" s="3" t="s">
        <v>371</v>
      </c>
      <c r="B170" s="1" t="s">
        <v>398</v>
      </c>
    </row>
    <row r="171" spans="1:2" x14ac:dyDescent="0.2">
      <c r="A171" s="182" t="s">
        <v>456</v>
      </c>
      <c r="B171" s="181" t="s">
        <v>457</v>
      </c>
    </row>
    <row r="172" spans="1:2" x14ac:dyDescent="0.2">
      <c r="A172" s="3" t="s">
        <v>184</v>
      </c>
      <c r="B172" s="2" t="s">
        <v>341</v>
      </c>
    </row>
    <row r="173" spans="1:2" x14ac:dyDescent="0.2">
      <c r="A173" s="3" t="s">
        <v>185</v>
      </c>
      <c r="B173" s="2" t="s">
        <v>342</v>
      </c>
    </row>
    <row r="174" spans="1:2" x14ac:dyDescent="0.2">
      <c r="A174" s="3" t="s">
        <v>186</v>
      </c>
      <c r="B174" s="1" t="str">
        <f>B1</f>
        <v>№717-XMS</v>
      </c>
    </row>
    <row r="175" spans="1:2" x14ac:dyDescent="0.2">
      <c r="A175" s="3" t="s">
        <v>187</v>
      </c>
      <c r="B175" s="4" t="str">
        <f>B70</f>
        <v>7 aprel 2025 y.</v>
      </c>
    </row>
    <row r="176" spans="1:2" x14ac:dyDescent="0.2"/>
    <row r="177" x14ac:dyDescent="0.2"/>
  </sheetData>
  <mergeCells count="7">
    <mergeCell ref="A156:B156"/>
    <mergeCell ref="A104:B104"/>
    <mergeCell ref="A4:B4"/>
    <mergeCell ref="A57:B57"/>
    <mergeCell ref="A64:B64"/>
    <mergeCell ref="A98:B98"/>
    <mergeCell ref="A92:B92"/>
  </mergeCells>
  <dataValidations disablePrompts="1" count="12">
    <dataValidation type="list" allowBlank="1" showInputMessage="1" showErrorMessage="1" sqref="B30" xr:uid="{00000000-0002-0000-0000-000000000000}">
      <formula1>$C$30:$D$30</formula1>
    </dataValidation>
    <dataValidation type="list" allowBlank="1" showInputMessage="1" showErrorMessage="1" sqref="B100" xr:uid="{00000000-0002-0000-0000-000001000000}">
      <formula1>$C$100:$D$100</formula1>
    </dataValidation>
    <dataValidation type="list" allowBlank="1" showInputMessage="1" showErrorMessage="1" sqref="B110" xr:uid="{00000000-0002-0000-0000-000002000000}">
      <formula1>$C$110:$D$110</formula1>
    </dataValidation>
    <dataValidation type="list" allowBlank="1" showInputMessage="1" showErrorMessage="1" sqref="B78" xr:uid="{00000000-0002-0000-0000-000003000000}">
      <formula1>$C$78:$D$78</formula1>
    </dataValidation>
    <dataValidation type="list" allowBlank="1" showInputMessage="1" showErrorMessage="1" sqref="C136" xr:uid="{00000000-0002-0000-0000-000004000000}">
      <formula1>$D$136:$E$136</formula1>
    </dataValidation>
    <dataValidation type="list" allowBlank="1" showInputMessage="1" showErrorMessage="1" sqref="B99" xr:uid="{00000000-0002-0000-0000-000005000000}">
      <formula1>$C$99:$D$99</formula1>
    </dataValidation>
    <dataValidation type="list" allowBlank="1" showInputMessage="1" showErrorMessage="1" sqref="B101" xr:uid="{00000000-0002-0000-0000-000006000000}">
      <formula1>$C$101:$D$101</formula1>
    </dataValidation>
    <dataValidation type="list" allowBlank="1" showInputMessage="1" showErrorMessage="1" sqref="B23" xr:uid="{00000000-0002-0000-0000-000007000000}">
      <formula1>$C$23:$D$23</formula1>
    </dataValidation>
    <dataValidation type="list" allowBlank="1" showInputMessage="1" showErrorMessage="1" sqref="B29" xr:uid="{00000000-0002-0000-0000-000008000000}">
      <formula1>$C$29:$F$29</formula1>
    </dataValidation>
    <dataValidation type="list" allowBlank="1" showInputMessage="1" showErrorMessage="1" sqref="B24" xr:uid="{00000000-0002-0000-0000-000009000000}">
      <formula1>$C$24:$D$24</formula1>
    </dataValidation>
    <dataValidation type="list" allowBlank="1" showInputMessage="1" showErrorMessage="1" sqref="B84" xr:uid="{00000000-0002-0000-0000-00000A000000}">
      <formula1>$BJ$84:$BK$84</formula1>
    </dataValidation>
    <dataValidation type="list" allowBlank="1" showInputMessage="1" showErrorMessage="1" sqref="B44" xr:uid="{00000000-0002-0000-0000-00000B000000}">
      <formula1>$C$44:$D$44</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3">
    <tabColor rgb="FF00B050"/>
  </sheetPr>
  <dimension ref="A1:K132"/>
  <sheetViews>
    <sheetView view="pageBreakPreview" topLeftCell="A112" zoomScaleNormal="55" zoomScaleSheetLayoutView="100" workbookViewId="0">
      <selection activeCell="A126" sqref="A126:A127"/>
    </sheetView>
  </sheetViews>
  <sheetFormatPr defaultColWidth="9.140625" defaultRowHeight="15.75" x14ac:dyDescent="0.2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x14ac:dyDescent="0.25">
      <c r="A1" s="284" t="str">
        <f>""&amp;malumot!C64&amp;" shartnoma "&amp;malumot!B66&amp;""</f>
        <v>Mikrokredit shartnoma №717-XMS</v>
      </c>
      <c r="B1" s="284"/>
    </row>
    <row r="3" spans="1:3" x14ac:dyDescent="0.25">
      <c r="A3" s="284" t="str">
        <f>"Toshkent shahri                                                                               "&amp;malumot!B70&amp;""</f>
        <v>Toshkent shahri                                                                               7 aprel 2025 y.</v>
      </c>
      <c r="B3" s="284"/>
    </row>
    <row r="4" spans="1:3" x14ac:dyDescent="0.25">
      <c r="A4" s="62"/>
    </row>
    <row r="5" spans="1:3" ht="118.5" customHeight="1" x14ac:dyDescent="0.25">
      <c r="A5" s="272" t="str">
        <f>""&amp;malumot!B157&amp;", bundan buyon «Mikromoliya tashkiloti» deb nomlanuvchi, ishonchnoma asosida xarakat qiluvchi "&amp;malumot!A160&amp;" "&amp;malumot!B160&amp;"  bir tomondan va o‘z manfaati yo‘lida hamda o‘z nomidan harakat qiluvchi O‘zbekiston Respublikasi fuqarosi "&amp;malumot!B5&amp;"  (pasport raqami "&amp;malumot!B16&amp;", "&amp;malumot!C20&amp;" ), bundan buyon «Qarz oluvchi» deb nomlanuvchi, boshqa tomondan, birgalikda “Tomonlar” yoki alohida “Tomon” deb nomlanuvchilar, Qarz oluvchi tomonidan "&amp;TEXT(malumot!B2,"ДД.ММ.ГГГГ")&amp;" yil,"&amp;malumot!B65&amp;" olish uchun ariza berilganligini hisobga olib, ushbu "&amp;malumot!C64&amp;" shartnomasini (bundan keyin – «Shartnoma») quyidagilar haqida tuzdilar:"</f>
        <v>«CLEVER MIKROMOLIYA TASHKILOTI» MChJ, bundan buyon «Mikromoliya tashkiloti» deb nomlanuvchi, ishonchnoma asosida xarakat qiluvchi Xorazm filiali boshlig'i M.Sharipov  bir tomondan va o‘z manfaati yo‘lida hamda o‘z nomidan harakat qiluvchi O‘zbekiston Respublikasi fuqarosi MATCHANOVA AZIZA BEKTURDIYEVNA  (pasport raqami AC 2074678, XORAZM VILOYATI SHOVOT TUMANI IIB tomonidan 17.07.2019 yilda berilgan ), bundan buyon «Qarz oluvchi» deb nomlanuvchi, boshqa tomondan, birgalikda “Tomonlar” yoki alohida “Tomon” deb nomlanuvchilar, Qarz oluvchi tomonidan 07.04.2025 yil,mikrokredit olish uchun ariza berilganligini hisobga olib, ushbu Mikrokredit shartnomasini (bundan keyin – «Shartnoma») quyidagilar haqida tuzdilar:</v>
      </c>
      <c r="B5" s="272"/>
    </row>
    <row r="6" spans="1:3" hidden="1" x14ac:dyDescent="0.25"/>
    <row r="7" spans="1:3" x14ac:dyDescent="0.25">
      <c r="A7" s="284" t="s">
        <v>260</v>
      </c>
      <c r="B7" s="284"/>
    </row>
    <row r="8" spans="1:3" ht="36" customHeight="1" x14ac:dyDescent="0.25">
      <c r="A8" s="272" t="str">
        <f>"1.1. Mikromoliya tashkiloti Qarz oluvchiga umumiy miqdori "&amp;FIXED(malumot!B76,2)&amp;" ("&amp;malumot!C77&amp;") bo‘lgan "&amp;malumot!B65&amp;"ni "&amp;malumot!B71&amp;" dan "&amp;malumot!B73&amp;" gacha bo'lgan muddatga naqd pul va/yoki o'tkazmasi shaklida ajratadi."</f>
        <v>1.1. Mikromoliya tashkiloti Qarz oluvchiga umumiy miqdori 125 000 000,00 (Yuz yigirma besh million so'm) bo‘lgan mikrokreditni 7 aprel 2025 y. dan 7 aprel 2028 y. gacha bo'lgan muddatga naqd pul va/yoki o'tkazmasi shaklida ajratadi.</v>
      </c>
      <c r="B8" s="272"/>
    </row>
    <row r="9" spans="1:3" ht="36" customHeight="1" x14ac:dyDescent="0.25">
      <c r="A9" s="272" t="str">
        <f>"1.2. Qarz oluvchi to‘lovlilik, muddatlilik va ta’minlanganlik tamoyillariga amal qilgan holda "&amp;malumot!B65&amp;"dan foydalanish majburiyatini o‘z zimmasiga oladi."</f>
        <v>1.2. Qarz oluvchi to‘lovlilik, muddatlilik va ta’minlanganlik tamoyillariga amal qilgan holda mikrokreditdan foydalanish majburiyatini o‘z zimmasiga oladi.</v>
      </c>
      <c r="B9" s="272"/>
    </row>
    <row r="10" spans="1:3" hidden="1" x14ac:dyDescent="0.25">
      <c r="A10" s="29"/>
    </row>
    <row r="11" spans="1:3" x14ac:dyDescent="0.25">
      <c r="A11" s="274" t="str">
        <f>"2. "&amp;malumot!D64&amp;" BERISH VA QAYTARISH TARTIBI"</f>
        <v>2. MIKROKREDIT BERISH VA QAYTARISH TARTIBI</v>
      </c>
      <c r="B11" s="274"/>
      <c r="C11" s="60"/>
    </row>
    <row r="12" spans="1:3" ht="36" customHeight="1" x14ac:dyDescent="0.25">
      <c r="A12" s="272" t="str">
        <f>"2.1. Ushbu Shartnomaning 1.1.-bandida ko‘rsatilgan summa miqdoridagi "&amp;malumot!B65&amp;" Mikromoliya tashkiloti kassasidan naqd pul shaklida va/yoki plastik kartaga o‘tkazish yuli bilan beriladi."</f>
        <v>2.1. Ushbu Shartnomaning 1.1.-bandida ko‘rsatilgan summa miqdoridagi mikrokredit Mikromoliya tashkiloti kassasidan naqd pul shaklida va/yoki plastik kartaga o‘tkazish yuli bilan beriladi.</v>
      </c>
      <c r="B12" s="272"/>
    </row>
    <row r="13" spans="1:3" ht="35.25" customHeight="1" x14ac:dyDescent="0.25">
      <c r="A13" s="272" t="str">
        <f>"2.2. "&amp;malumot!C64&amp;" berish ushbu Shartnoma tuzilgan va Qarz oluvchi tomonidan ushbu shartnomaning 3-bo‘limiga muvofiq garov ta'minoti ta'minlangandan so‘ng 10 kalendar kundan kechiktirmay amalga oshiriladi."</f>
        <v>2.2. Mikrokredit berish ushbu Shartnoma tuzilgan va Qarz oluvchi tomonidan ushbu shartnomaning 3-bo‘limiga muvofiq garov ta'minoti ta'minlangandan so‘ng 10 kalendar kundan kechiktirmay amalga oshiriladi.</v>
      </c>
      <c r="B13" s="272"/>
    </row>
    <row r="14" spans="1:3" ht="35.25" customHeight="1" x14ac:dyDescent="0.25">
      <c r="A14" s="272" t="str">
        <f>"2.3. "&amp;malumot!C64&amp;" Qarz oluvchi tomonidan ushbu Shartnomaning ajralmas qismi hisoblanadigan 1-ilovasida ko‘rsatilgan to‘lov jadvalida (bundan keyin - To‘lov jadvali) belgilangan miqdor, tartib va muddatlarda qaytariladi."</f>
        <v>2.3. Mikrokredit Qarz oluvchi tomonidan ushbu Shartnomaning ajralmas qismi hisoblanadigan 1-ilovasida ko‘rsatilgan to‘lov jadvalida (bundan keyin - To‘lov jadvali) belgilangan miqdor, tartib va muddatlarda qaytariladi.</v>
      </c>
      <c r="B14" s="272"/>
    </row>
    <row r="15" spans="1:3" ht="66" customHeight="1" x14ac:dyDescent="0.25">
      <c r="A15" s="272" t="str">
        <f>"2.4. Mikromoliya tashkiloti, "&amp;malumot!B65&amp;" berilgan vaqtdan boshlab, "&amp;malumot!B65&amp;" miqdorining qoldiq summasiga "&amp;malumot!B86&amp;"% ("&amp;malumot!C87&amp;") foiz yillik va yiliga 365/366 kunlik hisobidan foizlar hisoblaydi. To'lov jadvaliga muvofiq asosiy qarz bo'yicha navbatdagi to'lov buzilgan hollarda, "&amp;"foiz stavkasi oshiriladi va  Mikromoliya tashkiloti "&amp;malumot!B65&amp;"ning muddati o'tgan asosiy qarz summasiga yillik "&amp;malumot!B89&amp;" ("&amp;malumot!B90&amp;") foiz miqdorida foizlar hisoblaydi."</f>
        <v>2.4. Mikromoliya tashkiloti, mikrokredit berilgan vaqtdan boshlab, mikrokredit miqdorining qoldiq summasiga 55% (Ellik besh  ) foiz yillik va yiliga 365/366 kunlik hisobidan foizlar hisoblaydi. To'lov jadvaliga muvofiq asosiy qarz bo'yicha navbatdagi to'lov buzilgan hollarda, foiz stavkasi oshiriladi va  Mikromoliya tashkiloti mikrokreditning muddati o'tgan asosiy qarz summasiga yillik 105 (bir yuz) foiz miqdorida foizlar hisoblaydi.</v>
      </c>
      <c r="B15" s="272"/>
    </row>
    <row r="16" spans="1:3" ht="170.25" customHeight="1" x14ac:dyDescent="0.25">
      <c r="A16" s="272" t="s">
        <v>325</v>
      </c>
      <c r="B16" s="272"/>
    </row>
    <row r="17" spans="1:11" ht="148.5" customHeight="1" x14ac:dyDescent="0.25">
      <c r="A17" s="272"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mikrokreditni va undan foydalanganlik uchun foizlarni qaytarish bo‘yicha muddati o‘tgan qarzdorlik hosil bo‘lganda Qarz oluvchi tomonidan ko‘rsatilgan qarzdorlikni to‘lash hisobiga to‘lanadigan summalar quyidagi tartibda hisobga olinadi:</v>
      </c>
      <c r="B17" s="272"/>
      <c r="C17" s="145" t="s">
        <v>329</v>
      </c>
      <c r="H17" s="6" t="str">
        <f>malumot!B65</f>
        <v>mikrokredit</v>
      </c>
      <c r="I17" s="6" t="s">
        <v>330</v>
      </c>
    </row>
    <row r="18" spans="1:11" ht="100.5" customHeight="1" x14ac:dyDescent="0.25">
      <c r="A18" s="278" t="s">
        <v>369</v>
      </c>
      <c r="B18" s="278"/>
    </row>
    <row r="19" spans="1:11" ht="36" customHeight="1" x14ac:dyDescent="0.25">
      <c r="A19" s="272" t="str">
        <f>"2.7. Qarz oluvchi Mikromoliya tashkilotining "&amp;malumot!B65&amp;" bo‘yicha asosiy summasi, hisoblangan foizlarni, penya va boshqa moliyaviy talablarini ham naqd pul shaklida, ham naqdsiz shaklda qaytarib beradi."</f>
        <v>2.7. Qarz oluvchi Mikromoliya tashkilotining mikrokredit bo‘yicha asosiy summasi, hisoblangan foizlarni, penya va boshqa moliyaviy talablarini ham naqd pul shaklida, ham naqdsiz shaklda qaytarib beradi.</v>
      </c>
      <c r="B19" s="272"/>
    </row>
    <row r="20" spans="1:11" ht="39.75" customHeight="1" x14ac:dyDescent="0.25">
      <c r="A20" s="272" t="str">
        <f>"2.8. Qarz oluvchi "&amp;malumot!B65&amp;" miqdorini muddatidan oldin qaytarish, shuningdek, bu haqida Mikromoliya tashkilotini albatta ogohlantirgan holda ulardan aniq foydalangan muddat uchun hisoblangan foizlarni to‘lash huquqiga ega."</f>
        <v>2.8. Qarz oluvchi mikrokredit miqdorini muddatidan oldin qaytarish, shuningdek, bu haqida Mikromoliya tashkilotini albatta ogohlantirgan holda ulardan aniq foydalangan muddat uchun hisoblangan foizlarni to‘lash huquqiga ega.</v>
      </c>
      <c r="B20" s="272"/>
    </row>
    <row r="21" spans="1:11" ht="95.25" customHeight="1" x14ac:dyDescent="0.25">
      <c r="A21" s="272" t="str">
        <f>CONCATENATE(C21,H21,I21)</f>
        <v>2.9. Qarz oluvchi jismoniy shaxslarning kreditlar (mikrokreditlar)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mikrokredit ajratishda uning summasi va qarz oluvchining amaldagi kredit (mikrokredit) shartnomalari bo‘yicha asosiy qarz qoldig‘i yig‘indisi bazaviy hisoblash miqdorining 50 baravaridan oshganda hisoblanadi.</v>
      </c>
      <c r="B21" s="272"/>
      <c r="C21" s="6" t="str">
        <f>"2.9. Qarz oluvchi jismoniy shaxslarning kreditlar ("&amp;malumot!B65&amp;"lar)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(mikrokreditlar)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"&amp;malumot!B65&amp;" ajratishda uning summasi va "</f>
        <v xml:space="preserve">olingan Markaziy bank Boshqaruvining 28.09.2019 y. 24/5-son qarori bilan tasdiqlangan), qarz yuki ko‘rsatkichi har bir qarz oluvchiga qarz beruvchi tomonidan mikrokredit ajratishda uning summasi va </v>
      </c>
      <c r="I21" s="6" t="str">
        <f>"qarz oluvchining amaldagi kredit ("&amp;malumot!B65&amp;") shartnomalari bo‘yicha asosiy qarz qoldig‘i yig‘indisi bazaviy hisoblash miqdorining 50 baravaridan oshganda hisoblanadi."</f>
        <v>qarz oluvchining amaldagi kredit (mikrokredit) shartnomalari bo‘yicha asosiy qarz qoldig‘i yig‘indisi bazaviy hisoblash miqdorining 50 baravaridan oshganda hisoblanadi.</v>
      </c>
    </row>
    <row r="22" spans="1:11" x14ac:dyDescent="0.25">
      <c r="A22" s="274" t="str">
        <f>"3. "&amp;malumot!D64&amp;" TA'MINOTI BO‘YICHA "</f>
        <v xml:space="preserve">3. MIKROKREDIT TA'MINOTI BO‘YICHA </v>
      </c>
      <c r="B22" s="274"/>
    </row>
    <row r="23" spans="1:11" ht="39.75" customHeight="1" x14ac:dyDescent="0.25">
      <c r="A23" s="272" t="str">
        <f>"3.1. Ushbu Shartnoma bo‘yicha taqdim etilgan "&amp;malumot!C64&amp;" quyidagi Mikroqarz summasiga nisbatan 150% dan kam bo'lmagan garov va Mikroqarz to'lamaslik xavfini sug'urta polisi  bilan ta'minlanadi:"</f>
        <v>3.1. Ushbu Shartnoma bo‘yicha taqdim etilgan Mikrokredit quyidagi Mikroqarz summasiga nisbatan 150% dan kam bo'lmagan garov va Mikroqarz to'lamaslik xavfini sug'urta polisi  bilan ta'minlanadi:</v>
      </c>
      <c r="B23" s="272"/>
    </row>
    <row r="24" spans="1:11" s="206" customFormat="1" ht="123" customHeight="1" x14ac:dyDescent="0.25">
      <c r="A24" s="282" t="str">
        <f>IF(malumot!B110=malumot!C110,shartnoma!A28,IF(malumot!B110=malumot!D110,shartnoma!A25,0))</f>
        <v>3.1.1. Mikromoliya tashkiloti, Qarz oluvchi va BEKOV OTABEK BAXODIROVICH tomonidan 2025 yil 7 aprelda imzolangan 1-sonli garov predmeti qiymatini tasdiqlash dalolatnomasiga muvofiq QORA CHERNIY rangli, ishlab chiqarilgan yili – 2023 yil,  dvigatel raqami LJ166A33XP2208188, shassi - Rakamsiz,  kuzov turi - YENGIL MINIVEN, kuzov raqami №P08461541, davlat raqam belgisi 90C477ZA bo'lgan JAC M3 rusumli avtomashinasi (bundan keyin “Garov predmeti”), egalik huquqiga ega  BEKOV OTABEK BAXODIROVICHga tegishli va kelishilgan garov qiymati 2025 yil 7 aprelda imzolangan 1-sonli Garov predmeti qiymatini tasdiqlash dalolatnomasiga muvifiq 165 000 000,00 (yuz oltmish besh million so'm) so'mni tashkil qiladi. Garov garovining aniq shartlari tegishli notarial rasmiylashtirilgan garov shartnomasi bilan belgilanadi.</v>
      </c>
      <c r="B24" s="282"/>
    </row>
    <row r="25" spans="1:11" s="206" customFormat="1" ht="114" hidden="1" customHeight="1" x14ac:dyDescent="0.25">
      <c r="A25" s="285" t="str">
        <f>IF(malumot!B99=malumot!C99,shartnoma!A27,IF(malumot!B99=malumot!D99,shartnoma!A26,0))</f>
        <v>3.1.1. Mikromoliya tashkiloti, Qarz oluvchi va BEKOV OTABEK BAXODIROVICH tomonidan 2025 yil 7 aprelda imzolangan 1-sonli Garov predmeti qiymatini tasdiqlash dalolatnomasiga muvofiq  manzilida joylashgan, 0 bo'lgan, 0 ko'rinishidagi ko'chmas mulk (bundan keyin “Garov predmeti”), egalik huquqiga ko'ra  0ga tegishli va kelishilgan garov qiymati 2025 yil 7 aprelda imzolangan 1-sonli Garov predmeti qiymatini tasdiqlash dalolatnomasiga muvofiq 165 000 000,00 (yuz oltmish besh million so'm) so'mni tashkil qiladi. Garovning aniq shartlari tegishli tarzda notarial tasdiqlangan garov shartnomasi bilan belgilangan.</v>
      </c>
      <c r="B25" s="285"/>
    </row>
    <row r="26" spans="1:11" s="206" customFormat="1" ht="114" hidden="1" customHeight="1" x14ac:dyDescent="0.25">
      <c r="A26" s="282" t="str">
        <f>"3.1.1. "&amp;malumot!N133&amp;" tomonidan "&amp;malumot!B150&amp;" yil "&amp;malumot!B152&amp;" "&amp;malumot!B151&amp;"da imzolangan 1-sonli navbatdagi garov predmeti qiymatini tasdiqlash dalolatnomasiga muvofiq "&amp;malumot!C130&amp;" manzilida joylashgan, "&amp;malumot!E133&amp;" bo'lgan, "&amp;malumot!E132&amp;" ko'rinishidagi ko'chmas mulk (bundan keyin “navbatdagi garov predmeti”), egalik huquqiga ko'ra  "&amp;malumot!C124&amp;"ga tegishli va kelishilgan garov qiymati "&amp;malumot!B150&amp;" yil "&amp;malumot!B152&amp;" "&amp;malumot!B151&amp;"da imzolangan 1-sonli Garov predmeti qiymatini tasdiqlash dalolatnomasiga muvofiq "&amp;FIXED(malumot!B143,2)&amp;" ("&amp;malumot!B145&amp;") so'mni tashkil qiladi. Garovning aniq shartlari tegishli tarzda notarial tasdiqlangan garov shartnomasi bilan belgilangan."</f>
        <v>3.1.1. Mikromoliya tashkiloti, Qarz oluvchi va BEKOV OTABEK BAXODIROVICH tomonidan 2025 yil 7 aprelda imzolangan 1-sonli navbatdagi garov predmeti qiymatini tasdiqlash dalolatnomasiga muvofiq  manzilida joylashgan, 0 bo'lgan, 0 ko'rinishidagi ko'chmas mulk (bundan keyin “navbatdagi garov predmeti”), egalik huquqiga ko'ra  0ga tegishli va kelishilgan garov qiymati 2025 yil 7 aprelda imzolangan 1-sonli Garov predmeti qiymatini tasdiqlash dalolatnomasiga muvofiq 165 000 000,00 (yuz oltmish besh million so'm) so'mni tashkil qiladi. Garovning aniq shartlari tegishli tarzda notarial tasdiqlangan garov shartnomasi bilan belgilangan.</v>
      </c>
      <c r="B26" s="282"/>
    </row>
    <row r="27" spans="1:11" s="206" customFormat="1" ht="114" hidden="1" customHeight="1" x14ac:dyDescent="0.25">
      <c r="A27" s="285" t="str">
        <f>"3.1.1. "&amp;malumot!N133&amp;" tomonidan "&amp;malumot!B150&amp;" yil "&amp;malumot!B152&amp;" "&amp;malumot!B151&amp;"da imzolangan 1-sonli Garov predmeti qiymatini tasdiqlash dalolatnomasiga muvofiq "&amp;malumot!C130&amp;" manzilida joylashgan, "&amp;malumot!E133&amp;" bo'lgan, "&amp;malumot!E132&amp;" ko'rinishidagi ko'chmas mulk (bundan keyin “Garov predmeti”), egalik huquqiga ko'ra  "&amp;malumot!C124&amp;"ga tegishli va kelishilgan garov qiymati "&amp;malumot!B150&amp;" yil "&amp;malumot!B152&amp;" "&amp;malumot!B151&amp;"da imzolangan 1-sonli Garov predmeti qiymatini tasdiqlash dalolatnomasiga muvofiq "&amp;FIXED(malumot!B143,2)&amp;" ("&amp;malumot!B145&amp;") so'mni tashkil qiladi. Garovning aniq shartlari tegishli tarzda notarial tasdiqlangan garov shartnomasi bilan belgilangan."</f>
        <v>3.1.1. Mikromoliya tashkiloti, Qarz oluvchi va BEKOV OTABEK BAXODIROVICH tomonidan 2025 yil 7 aprelda imzolangan 1-sonli Garov predmeti qiymatini tasdiqlash dalolatnomasiga muvofiq  manzilida joylashgan, 0 bo'lgan, 0 ko'rinishidagi ko'chmas mulk (bundan keyin “Garov predmeti”), egalik huquqiga ko'ra  0ga tegishli va kelishilgan garov qiymati 2025 yil 7 aprelda imzolangan 1-sonli Garov predmeti qiymatini tasdiqlash dalolatnomasiga muvofiq 165 000 000,00 (yuz oltmish besh million so'm) so'mni tashkil qiladi. Garovning aniq shartlari tegishli tarzda notarial tasdiqlangan garov shartnomasi bilan belgilangan.</v>
      </c>
      <c r="B27" s="285"/>
    </row>
    <row r="28" spans="1:11" s="206" customFormat="1" ht="114" hidden="1" customHeight="1" x14ac:dyDescent="0.25">
      <c r="A28" s="282" t="str">
        <f>IF(malumot!B99=malumot!C99,A29,IF(malumot!B99=malumot!D99,A30,0))</f>
        <v>3.1.1. Mikromoliya tashkiloti, Qarz oluvchi va BEKOV OTABEK BAXODIROVICH tomonidan 2025 yil 7 aprelda imzolangan 1-sonli garov predmeti qiymatini tasdiqlash dalolatnomasiga muvofiq QORA CHERNIY rangli, ishlab chiqarilgan yili – 2023 yil,  dvigatel raqami LJ166A33XP2208188, shassi - Rakamsiz,  kuzov turi - YENGIL MINIVEN, kuzov raqami №P08461541, davlat raqam belgisi 90C477ZA bo'lgan JAC M3 rusumli avtomashinasi (bundan keyin “Garov predmeti”), egalik huquqiga ega  BEKOV OTABEK BAXODIROVICHga tegishli va kelishilgan garov qiymati 2025 yil 7 aprelda imzolangan 1-sonli Garov predmeti qiymatini tasdiqlash dalolatnomasiga muvifiq 165 000 000,00 (yuz oltmish besh million so'm) so'mni tashkil qiladi. Garov garovining aniq shartlari tegishli notarial rasmiylashtirilgan garov shartnomasi bilan belgilanadi.</v>
      </c>
      <c r="B28" s="282"/>
      <c r="K28" s="206" t="s">
        <v>322</v>
      </c>
    </row>
    <row r="29" spans="1:11" s="206" customFormat="1" ht="114" hidden="1" customHeight="1" x14ac:dyDescent="0.25">
      <c r="A29" s="282" t="str">
        <f>"3.1.1. "&amp;malumot!N133&amp;" tomonidan "&amp;malumot!B150&amp;" yil "&amp;malumot!B152&amp;" "&amp;malumot!B151&amp;"da imzolangan 1-sonli garov predmeti qiymatini tasdiqlash dalolatnomasiga muvofiq "&amp;malumot!B141&amp;" rangli, ishlab chiqarilgan yili – "&amp;malumot!B142&amp;" yil,  dvigatel raqami "&amp;malumot!B138&amp;", shassi - "&amp;malumot!B139&amp;",  kuzov turi - "&amp;malumot!B135&amp;", kuzov raqami №"&amp;malumot!B136&amp;", davlat raqam belgisi "&amp;malumot!B133&amp;" bo'lgan "&amp;malumot!B132&amp;" rusumli avtomashinasi (bundan keyin “Garov predmeti”), egalik huquqiga ega  "&amp;malumot!B124&amp;"ga tegishli va kelishilgan garov qiymati "&amp;malumot!B150&amp;" yil "&amp;malumot!B152&amp;" "&amp;malumot!B151&amp;"da imzolangan 1-sonli Garov predmeti qiymatini tasdiqlash dalolatnomasiga muvifiq "&amp;FIXED(malumot!B143,2)&amp;" ("&amp;malumot!B145&amp;") so'mni tashkil qiladi. Garov garovining aniq shartlari tegishli notarial rasmiylashtirilgan garov shartnomasi bilan belgilanadi."</f>
        <v>3.1.1. Mikromoliya tashkiloti, Qarz oluvchi va BEKOV OTABEK BAXODIROVICH tomonidan 2025 yil 7 aprelda imzolangan 1-sonli garov predmeti qiymatini tasdiqlash dalolatnomasiga muvofiq QORA CHERNIY rangli, ishlab chiqarilgan yili – 2023 yil,  dvigatel raqami LJ166A33XP2208188, shassi - Rakamsiz,  kuzov turi - YENGIL MINIVEN, kuzov raqami №P08461541, davlat raqam belgisi 90C477ZA bo'lgan JAC M3 rusumli avtomashinasi (bundan keyin “Garov predmeti”), egalik huquqiga ega  BEKOV OTABEK BAXODIROVICHga tegishli va kelishilgan garov qiymati 2025 yil 7 aprelda imzolangan 1-sonli Garov predmeti qiymatini tasdiqlash dalolatnomasiga muvifiq 165 000 000,00 (yuz oltmish besh million so'm) so'mni tashkil qiladi. Garov garovining aniq shartlari tegishli notarial rasmiylashtirilgan garov shartnomasi bilan belgilanadi.</v>
      </c>
      <c r="B29" s="282"/>
    </row>
    <row r="30" spans="1:11" s="206" customFormat="1" ht="114" hidden="1" customHeight="1" x14ac:dyDescent="0.25">
      <c r="A30" s="282" t="str">
        <f>"3.1.1. "&amp;malumot!N133&amp;" tomonidan "&amp;malumot!B150&amp;" yil "&amp;malumot!B152&amp;" "&amp;malumot!B151&amp;"da imzolangan 1-sonli navbatdagi garov predmeti qiymatini tasdiqlash dalolatnomasiga muvofiq "&amp;malumot!B141&amp;" rangli, ishlab chiqarilgan yili – "&amp;malumot!B142&amp;" yil,  dvigatel raqami "&amp;malumot!B138&amp;", shassi - "&amp;malumot!B139&amp;",  kuzov turi - "&amp;malumot!B135&amp;", kuzov raqami №"&amp;malumot!B136&amp;", davlat raqam belgisi "&amp;malumot!B133&amp;" bo'lgan "&amp;malumot!B132&amp;" rusumli avtomashinasi (bundan keyin “navbatdagi garov predmeti”), egalik huquqiga ega  "&amp;malumot!B124&amp;"ga tegishli va kelishilgan garov qiymati "&amp;malumot!B150&amp;" yil "&amp;malumot!B152&amp;" "&amp;malumot!B151&amp;"da imzolangan 1-sonli Garov predmeti qiymatini tasdiqlash dalolatnomasiga muvifiq "&amp;FIXED(malumot!B143,2)&amp;" ("&amp;malumot!B145&amp;") so'mni tashkil qiladi. Garov garovining aniq shartlari tegishli notarial rasmiylashtirilgan garov shartnomasi bilan belgilanadi."</f>
        <v>3.1.1. Mikromoliya tashkiloti, Qarz oluvchi va BEKOV OTABEK BAXODIROVICH tomonidan 2025 yil 7 aprelda imzolangan 1-sonli navbatdagi garov predmeti qiymatini tasdiqlash dalolatnomasiga muvofiq QORA CHERNIY rangli, ishlab chiqarilgan yili – 2023 yil,  dvigatel raqami LJ166A33XP2208188, shassi - Rakamsiz,  kuzov turi - YENGIL MINIVEN, kuzov raqami №P08461541, davlat raqam belgisi 90C477ZA bo'lgan JAC M3 rusumli avtomashinasi (bundan keyin “navbatdagi garov predmeti”), egalik huquqiga ega  BEKOV OTABEK BAXODIROVICHga tegishli va kelishilgan garov qiymati 2025 yil 7 aprelda imzolangan 1-sonli Garov predmeti qiymatini tasdiqlash dalolatnomasiga muvifiq 165 000 000,00 (yuz oltmish besh million so'm) so'mni tashkil qiladi. Garov garovining aniq shartlari tegishli notarial rasmiylashtirilgan garov shartnomasi bilan belgilanadi.</v>
      </c>
      <c r="B30" s="282"/>
    </row>
    <row r="31" spans="1:11" s="206" customFormat="1" ht="100.15" customHeight="1" x14ac:dyDescent="0.25">
      <c r="A31" s="282" t="str">
        <f>CONCATENATE(C31,D31)</f>
        <v>3.1.2. «АО "APEX INSURANCE"» АJ sug‘urta kompaniyasi (keyingi o'rinlarda-Sug‘urtalovchi) tomonidan Mikrokredit to'lamaslik xavfini Mikroqarz summasiga nisbatan 140% dan hisoblab 15 000 000,00(o'n besh million so'm) so ' m miqdoriga sug’urta qilish. Ushbu shartnoma bo‘yicha Mikrokredit berilgunga qadar Mikromoliya tashkiloti Sug‘urtalovchi 15 000 000,00(o'n besh million so'm) so ' m miqdoridagi Mikrokreditni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B31" s="282"/>
      <c r="C31" s="206" t="str">
        <f>"3.1.2. «"&amp;malumot!B153&amp;"» АJ sug‘urta kompaniyasi (keyingi o'rinlarda-Sug‘urtalovchi) tomonidan "&amp;malumot!C64&amp;" to'lamaslik xavfini Mikroqarz summasiga nisbatan 140% dan hisoblab "&amp;FIXED(malumot!B154,2)&amp;"("&amp;malumot!B155&amp;") so ' m miqdoriga sug’urta qilish."</f>
        <v>3.1.2. «АО "APEX INSURANCE"» АJ sug‘urta kompaniyasi (keyingi o'rinlarda-Sug‘urtalovchi) tomonidan Mikrokredit to'lamaslik xavfini Mikroqarz summasiga nisbatan 140% dan hisoblab 15 000 000,00(o'n besh million so'm) so ' m miqdoriga sug’urta qilish.</v>
      </c>
      <c r="D31" s="206" t="str">
        <f>CONCATENATE(E31,F31)</f>
        <v xml:space="preserve"> Ushbu shartnoma bo‘yicha Mikrokredit berilgunga qadar Mikromoliya tashkiloti Sug‘urtalovchi 15 000 000,00(o'n besh million so'm) so ' m miqdoridagi Mikrokreditni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E31" s="206" t="str">
        <f>" Ushbu shartnoma bo‘yicha "&amp;malumot!C64&amp;" berilgunga qadar Mikromoliya tashkiloti Sug‘urtalovchi "&amp;FIXED(malumot!B154,2)&amp;"("&amp;malumot!B155&amp;") so ' m miqdoridagi "&amp;malumot!C64&amp;""</f>
        <v xml:space="preserve"> Ushbu shartnoma bo‘yicha Mikrokredit berilgunga qadar Mikromoliya tashkiloti Sug‘urtalovchi 15 000 000,00(o'n besh million so'm) so ' m miqdoridagi Mikrokredit</v>
      </c>
      <c r="F31" s="206" t="s">
        <v>381</v>
      </c>
    </row>
    <row r="32" spans="1:11" ht="117" customHeight="1" x14ac:dyDescent="0.25">
      <c r="A32" s="281" t="str">
        <f>CONCATENATE(A33,B33)</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mikrokredit berishni rad etish va / yoki ushbu shartnomani bir tomonlama bekor qilish huquqiga egadir. Bunda ushbu shartnoma Qarz oluvchi tomonidan talabnoma olingan vaqtda yoki talabnoma pochta  xizmati orqali yuborilgandan keyin uchinchi kuni bekor qilingan hisoblanadi.</v>
      </c>
      <c r="B32" s="281"/>
    </row>
    <row r="33" spans="1:8" ht="94.5" hidden="1" x14ac:dyDescent="0.25">
      <c r="A33" s="148" t="s">
        <v>351</v>
      </c>
      <c r="B33" s="29" t="str">
        <f>CONCATENATE(A34,B34)</f>
        <v xml:space="preserve"> Mikromoliya tashkilotiga taqdim etilishi lozim. Garov shartnomasi belgilangan muddatda taqdim etilmagan hollarda, Mikromoliya tashkiloti Qarz oluvchining manziliga yozma bildirishnoma yuborish orqali mikrokredit berishni rad etish va / yoki ushbu shartnomani bir tomonlama bekor qilish huquqiga egadir. Bunda ushbu shartnoma Qarz oluvchi tomonidan talabnoma olingan vaqtda yoki talabnoma pochta  xizmati orqali yuborilgandan keyin uchinchi kuni bekor qilingan hisoblanadi.</v>
      </c>
    </row>
    <row r="34" spans="1:8" ht="78.75" hidden="1" x14ac:dyDescent="0.25">
      <c r="A34" s="148" t="str">
        <f>" Mikromoliya tashkilotiga taqdim etilishi lozim. Garov shartnomasi belgilangan muddatda taqdim etilmagan hollarda, Mikromoliya tashkiloti Qarz oluvchining manziliga yozma bildirishnoma yuborish orqali "&amp;malumot!B65&amp;""</f>
        <v xml:space="preserve"> Mikromoliya tashkilotiga taqdim etilishi lozim. Garov shartnomasi belgilangan muddatda taqdim etilmagan hollarda, Mikromoliya tashkiloti Qarz oluvchining manziliga yozma bildirishnoma yuborish orqali mikrokredit</v>
      </c>
      <c r="B34" s="29" t="s">
        <v>332</v>
      </c>
    </row>
    <row r="35" spans="1:8" ht="71.25" customHeight="1" x14ac:dyDescent="0.25">
      <c r="A35" s="281" t="s">
        <v>261</v>
      </c>
      <c r="B35" s="281"/>
    </row>
    <row r="36" spans="1:8" ht="84" customHeight="1" x14ac:dyDescent="0.25">
      <c r="A36" s="281" t="s">
        <v>310</v>
      </c>
      <c r="B36" s="281"/>
    </row>
    <row r="37" spans="1:8" ht="114.6" customHeight="1" x14ac:dyDescent="0.25">
      <c r="A37" s="272" t="s">
        <v>382</v>
      </c>
      <c r="B37" s="272"/>
    </row>
    <row r="38" spans="1:8" hidden="1" x14ac:dyDescent="0.25"/>
    <row r="39" spans="1:8" x14ac:dyDescent="0.25">
      <c r="A39" s="280" t="s">
        <v>309</v>
      </c>
      <c r="B39" s="280"/>
      <c r="C39" s="67"/>
    </row>
    <row r="40" spans="1:8" x14ac:dyDescent="0.25">
      <c r="A40" s="283" t="s">
        <v>308</v>
      </c>
      <c r="B40" s="283"/>
    </row>
    <row r="41" spans="1:8" ht="116.25" customHeight="1" x14ac:dyDescent="0.25">
      <c r="A41" s="281" t="str">
        <f>CONCATENATE(C41,H41)</f>
        <v>4.1.1. Ushbu Shartnomada ko‘rsatilgan asoslar bo‘yicha Qarz oluvchiga Shartnomada ko‘zda tutilgan mikrokredit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41" s="281"/>
      <c r="C41" s="6" t="str">
        <f>"4.1.1. Ushbu Shartnomada ko‘rsatilgan asoslar bo‘yicha Qarz oluvchiga Shartnomada ko‘zda tutilgan "&amp;malumot!B65&amp;""</f>
        <v>4.1.1. Ushbu Shartnomada ko‘rsatilgan asoslar bo‘yicha Qarz oluvchiga Shartnomada ko‘zda tutilgan mikrokredit</v>
      </c>
      <c r="H41" s="145" t="s">
        <v>376</v>
      </c>
    </row>
    <row r="42" spans="1:8" ht="39" customHeight="1" x14ac:dyDescent="0.25">
      <c r="A42" s="281" t="str">
        <f>"4.1.2.1. "&amp;malumot!C64&amp;" bo‘yicha qolgan barcha qarzdorlik, foiz to‘lovlarining muddatidan oldin qaytarilishini talab qilish, shuningdek, quyidagi holatlardan biri yuzaga kelganda undirishni garov ta'minotiga qaratish:"</f>
        <v>4.1.2.1. Mikrokredit bo‘yicha qolgan barcha qarzdorlik, foiz to‘lovlarining muddatidan oldin qaytarilishini talab qilish, shuningdek, quyidagi holatlardan biri yuzaga kelganda undirishni garov ta'minotiga qaratish:</v>
      </c>
      <c r="B42" s="281"/>
    </row>
    <row r="43" spans="1:8" x14ac:dyDescent="0.25">
      <c r="A43" s="281" t="s">
        <v>311</v>
      </c>
      <c r="B43" s="281"/>
    </row>
    <row r="44" spans="1:8" ht="30" customHeight="1" x14ac:dyDescent="0.25">
      <c r="A44" s="281" t="str">
        <f>"b) "&amp;malumot!B65&amp;" summasiga hisoblanadigan asosiy qarz bo‘yicha muddati o‘tgan qarzdorlik va/yoki foizlarning yuzaga kelishi;"</f>
        <v>b) mikrokredit summasiga hisoblanadigan asosiy qarz bo‘yicha muddati o‘tgan qarzdorlik va/yoki foizlarning yuzaga kelishi;</v>
      </c>
      <c r="B44" s="281"/>
    </row>
    <row r="45" spans="1:8" ht="37.5" customHeight="1" x14ac:dyDescent="0.25">
      <c r="A45" s="281" t="s">
        <v>312</v>
      </c>
      <c r="B45" s="281"/>
    </row>
    <row r="46" spans="1:8" ht="52.5" customHeight="1" x14ac:dyDescent="0.25">
      <c r="A46" s="281" t="s">
        <v>313</v>
      </c>
      <c r="B46" s="281"/>
    </row>
    <row r="47" spans="1:8" ht="19.5" customHeight="1" x14ac:dyDescent="0.25">
      <c r="A47" s="281" t="s">
        <v>314</v>
      </c>
      <c r="B47" s="281"/>
    </row>
    <row r="48" spans="1:8" ht="51.75" customHeight="1" x14ac:dyDescent="0.25">
      <c r="A48" s="281" t="str">
        <f>"f) Qarz oluvchi "&amp;malumot!B65&amp;" summasini olish uchun Mikromoliya tashkilotiga "&amp;malumot!B65&amp;" taqdim etilishi to‘g‘risida ijobiy qaror qabul qilinishi uchun muhim hisoblangan masalalar bo‘yicha yolg‘on yoki to‘liq bo‘lmagan ma'lumotlarni taqdim etganligi aniqlanganda."</f>
        <v>f) Qarz oluvchi mikrokredit summasini olish uchun Mikromoliya tashkilotiga mikrokredit taqdim etilishi to‘g‘risida ijobiy qaror qabul qilinishi uchun muhim hisoblangan masalalar bo‘yicha yolg‘on yoki to‘liq bo‘lmagan ma'lumotlarni taqdim etganligi aniqlanganda.</v>
      </c>
      <c r="B48" s="281"/>
    </row>
    <row r="49" spans="1:8" ht="33.75" customHeight="1" x14ac:dyDescent="0.25">
      <c r="A49" s="281" t="s">
        <v>307</v>
      </c>
      <c r="B49" s="281"/>
    </row>
    <row r="50" spans="1:8" ht="36.75" customHeight="1" x14ac:dyDescent="0.25">
      <c r="A50" s="281" t="s">
        <v>306</v>
      </c>
      <c r="B50" s="281"/>
      <c r="C50" s="148"/>
    </row>
    <row r="51" spans="1:8" ht="90" customHeight="1" x14ac:dyDescent="0.25">
      <c r="A51" s="272" t="s">
        <v>305</v>
      </c>
      <c r="B51" s="272"/>
      <c r="C51" s="148"/>
    </row>
    <row r="52" spans="1:8" ht="70.5" customHeight="1" x14ac:dyDescent="0.25">
      <c r="A52" s="272" t="s">
        <v>304</v>
      </c>
      <c r="B52" s="272"/>
      <c r="C52" s="148"/>
    </row>
    <row r="53" spans="1:8" ht="39.75" customHeight="1" x14ac:dyDescent="0.25">
      <c r="A53" s="272" t="str">
        <f>"4.1.7. Qarz oluvchini oldindan ogohlantirmasdan "&amp;malumot!B65&amp;"ni qaytarish uchun haqiqatdan ham garov ta'minoti mavjudligini tekshirishni amalga oshirish."</f>
        <v>4.1.7. Qarz oluvchini oldindan ogohlantirmasdan mikrokreditni qaytarish uchun haqiqatdan ham garov ta'minoti mavjudligini tekshirishni amalga oshirish.</v>
      </c>
      <c r="B53" s="272"/>
      <c r="C53" s="148"/>
    </row>
    <row r="54" spans="1:8" ht="33" customHeight="1" x14ac:dyDescent="0.25">
      <c r="A54" s="272" t="s">
        <v>315</v>
      </c>
      <c r="B54" s="272"/>
      <c r="C54" s="148"/>
    </row>
    <row r="55" spans="1:8" ht="39.75" customHeight="1" x14ac:dyDescent="0.25">
      <c r="A55" s="272" t="s">
        <v>303</v>
      </c>
      <c r="B55" s="272"/>
      <c r="C55" s="148"/>
    </row>
    <row r="56" spans="1:8" ht="50.25" customHeight="1" x14ac:dyDescent="0.25">
      <c r="A56" s="272" t="str">
        <f>CONCATENATE(C56,H56)</f>
        <v>4.1.10. Qarz oluvchi taqdim etilgan mikrokreditdan Shartnoma tuzilgan kundan boshlab 1 (bir) oy davomida foydalanmagan holatlarda, bu haqda Qarz oluvchini yozma ravishda xabardor qilib, Shartnoma bir tomonlama bekor qilish. Yozma xabarni jo‘natish sanasi uni taqdim etish yoki pochta orqali jo‘natish sanasi hisoblanadi.</v>
      </c>
      <c r="B56" s="272"/>
      <c r="C56" s="148" t="str">
        <f>"4.1.10. Qarz oluvchi taqdim etilgan "&amp;malumot!B65&amp;"dan Shartnoma tuzilgan kundan boshlab 1 (bir) oy davomida foydalanmagan"</f>
        <v>4.1.10. Qarz oluvchi taqdim etilgan mikrokreditdan Shartnoma tuzilgan kundan boshlab 1 (bir) oy davomida foydalanmagan</v>
      </c>
      <c r="H56" s="6" t="s">
        <v>333</v>
      </c>
    </row>
    <row r="57" spans="1:8" ht="19.5" customHeight="1" x14ac:dyDescent="0.25">
      <c r="A57" s="272" t="str">
        <f>"4.1.11. Oldingi "&amp;malumot!B65&amp;" to‘liq to‘lanmagunga qadar yangi "&amp;malumot!B65&amp;" berishni rad etish."</f>
        <v>4.1.11. Oldingi mikrokredit to‘liq to‘lanmagunga qadar yangi mikrokredit berishni rad etish.</v>
      </c>
      <c r="B57" s="272"/>
      <c r="C57" s="148"/>
    </row>
    <row r="58" spans="1:8" hidden="1" x14ac:dyDescent="0.25"/>
    <row r="59" spans="1:8" x14ac:dyDescent="0.25">
      <c r="A59" s="274" t="s">
        <v>302</v>
      </c>
      <c r="B59" s="274"/>
      <c r="C59" s="147"/>
    </row>
    <row r="60" spans="1:8" x14ac:dyDescent="0.25">
      <c r="A60" s="279" t="s">
        <v>301</v>
      </c>
      <c r="B60" s="279"/>
      <c r="C60" s="149"/>
    </row>
    <row r="61" spans="1:8" ht="36" customHeight="1" x14ac:dyDescent="0.25">
      <c r="A61" s="272" t="str">
        <f>"5.1.1. Ushbu shartnomada nazarda tutilgan shartlar bo‘yicha "&amp;malumot!B65&amp;" olish, shuningdek, Mikromoliya tashkiloti tomonidan ko‘rsatiladigan pullik xizmatlardan foydalanish."</f>
        <v>5.1.1. Ushbu shartnomada nazarda tutilgan shartlar bo‘yicha mikrokredit olish, shuningdek, Mikromoliya tashkiloti tomonidan ko‘rsatiladigan pullik xizmatlardan foydalanish.</v>
      </c>
      <c r="B61" s="272"/>
      <c r="C61" s="148"/>
    </row>
    <row r="62" spans="1:8" ht="36.75" customHeight="1" x14ac:dyDescent="0.25">
      <c r="A62" s="272" t="str">
        <f>"5.1.2. Shartnoma tuzilgan kundan boshlab 2 (ikki) hafta mobaynida Mikromoliya tashkilotiga bu haqda yozma xabarnoma yo‘llash orqali "&amp;malumot!B65&amp;"ning foydalanilmagan summasidan voz kechish."</f>
        <v>5.1.2. Shartnoma tuzilgan kundan boshlab 2 (ikki) hafta mobaynida Mikromoliya tashkilotiga bu haqda yozma xabarnoma yo‘llash orqali mikrokreditning foydalanilmagan summasidan voz kechish.</v>
      </c>
      <c r="B62" s="272"/>
      <c r="C62" s="148"/>
    </row>
    <row r="63" spans="1:8" ht="17.25" customHeight="1" x14ac:dyDescent="0.25">
      <c r="A63" s="272" t="str">
        <f>"5.1.3. "&amp;malumot!C64&amp;" xizmatlari ko‘rsatish qoidalari bilan tanishish."</f>
        <v>5.1.3. Mikrokredit xizmatlari ko‘rsatish qoidalari bilan tanishish.</v>
      </c>
      <c r="B63" s="272"/>
      <c r="C63" s="148"/>
    </row>
    <row r="64" spans="1:8" ht="36" customHeight="1" x14ac:dyDescent="0.25">
      <c r="A64" s="272" t="str">
        <f>"5.1.4. O‘z huquq va majburiyatlari, shu jumladan "&amp;malumot!B65&amp;" xizmatlari ko‘rsatish bilan bog‘liq barcha xarajatlar haqida aniq va to‘liq ma'lumot olish."</f>
        <v>5.1.4. O‘z huquq va majburiyatlari, shu jumladan mikrokredit xizmatlari ko‘rsatish bilan bog‘liq barcha xarajatlar haqida aniq va to‘liq ma'lumot olish.</v>
      </c>
      <c r="B64" s="272"/>
      <c r="C64" s="148"/>
    </row>
    <row r="65" spans="1:8" ht="33.75" customHeight="1" x14ac:dyDescent="0.25">
      <c r="A65" s="272" t="s">
        <v>316</v>
      </c>
      <c r="B65" s="272"/>
      <c r="C65" s="148"/>
    </row>
    <row r="66" spans="1:8" x14ac:dyDescent="0.25">
      <c r="A66" s="279" t="s">
        <v>300</v>
      </c>
      <c r="B66" s="279"/>
      <c r="C66" s="149"/>
    </row>
    <row r="67" spans="1:8" ht="37.5" customHeight="1" x14ac:dyDescent="0.25">
      <c r="A67" s="272" t="str">
        <f>"5.2.1. Mikromoliya tashkilotining birinchi talabi bilan zarur hujjatlar, shuningdek "&amp;malumot!B65&amp;"dan foydalanishning butun davri davomida uning moliyaviy holati va to‘lash qobiliyatiga tegishli bo‘lgan ma'lumotlarni taqdim etish."</f>
        <v>5.2.1. Mikromoliya tashkilotining birinchi talabi bilan zarur hujjatlar, shuningdek mikrokreditdan foydalanishning butun davri davomida uning moliyaviy holati va to‘lash qobiliyatiga tegishli bo‘lgan ma'lumotlarni taqdim etish.</v>
      </c>
      <c r="B67" s="272"/>
      <c r="C67" s="148"/>
    </row>
    <row r="68" spans="1:8" ht="39.75" customHeight="1" x14ac:dyDescent="0.25">
      <c r="A68" s="272" t="s">
        <v>317</v>
      </c>
      <c r="B68" s="272"/>
      <c r="C68" s="148"/>
    </row>
    <row r="69" spans="1:8" ht="27" customHeight="1" x14ac:dyDescent="0.25">
      <c r="A69" s="272" t="str">
        <f>"5.2.3. To‘lov jadvaliga muvofiq "&amp;malumot!B65&amp;", shuningdek hisoblangan foizlar to‘lovlarini amalga oshirish."</f>
        <v>5.2.3. To‘lov jadvaliga muvofiq mikrokredit, shuningdek hisoblangan foizlar to‘lovlarini amalga oshirish.</v>
      </c>
      <c r="B69" s="272"/>
      <c r="C69" s="148"/>
    </row>
    <row r="70" spans="1:8" ht="84" customHeight="1" x14ac:dyDescent="0.25">
      <c r="A70" s="272" t="str">
        <f>CONCATENATE(C70,H70)</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mikrokredit mablag‘lari hisobiga moliyalashtirilgan hujjatlarni ko‘zdan kechirish va Mikromoliya tashkiloti tomonidan ushbu huquqni amalga oshirishga to‘sqinlik qilmaslik majburiyatini oladi.</v>
      </c>
      <c r="B70" s="272"/>
      <c r="C70" s="148" t="s">
        <v>334</v>
      </c>
      <c r="H70" s="6" t="str">
        <f>" "&amp;malumot!B65&amp;" mablag‘lari hisobiga moliyalashtirilgan hujjatlarni ko‘zdan kechirish va Mikromoliya tashkiloti tomonidan ushbu huquqni amalga oshirishga to‘sqinlik qilmaslik majburiyatini oladi."</f>
        <v xml:space="preserve"> mikrokredit mablag‘lari hisobiga moliyalashtirilgan hujjatlarni ko‘zdan kechirish va Mikromoliya tashkiloti tomonidan ushbu huquqni amalga oshirishga to‘sqinlik qilmaslik majburiyatini oladi.</v>
      </c>
    </row>
    <row r="71" spans="1:8" ht="49.5" customHeight="1" x14ac:dyDescent="0.25">
      <c r="A71" s="272" t="s">
        <v>318</v>
      </c>
      <c r="B71" s="272"/>
      <c r="C71" s="148"/>
    </row>
    <row r="72" spans="1:8" ht="36" customHeight="1" x14ac:dyDescent="0.25">
      <c r="A72" s="272" t="str">
        <f>"5.2.6. Quyidagi holatlarda Mikromoliya tashkilotning birinchi talabi bilan "&amp;malumot!B65&amp;" qaytarilishi bo‘yicha qo‘shimcha garov ta'minotini taqdim etish: "</f>
        <v xml:space="preserve">5.2.6. Quyidagi holatlarda Mikromoliya tashkilotning birinchi talabi bilan mikrokredit qaytarilishi bo‘yicha qo‘shimcha garov ta'minotini taqdim etish: </v>
      </c>
      <c r="B72" s="272"/>
      <c r="C72" s="148"/>
    </row>
    <row r="73" spans="1:8" ht="51.75" customHeight="1" x14ac:dyDescent="0.25">
      <c r="A73" s="278" t="s">
        <v>335</v>
      </c>
      <c r="B73" s="278"/>
      <c r="C73" s="151"/>
    </row>
    <row r="74" spans="1:8" ht="57" customHeight="1" x14ac:dyDescent="0.25">
      <c r="A74" s="272" t="str">
        <f>"5.2.7. Sud qarori asosida Qarz oluvchi – jismoniy shaxsning muomalaga layoqatsizligi yoki muomalaga layoqati cheklangan yoxud to‘lash qobiliyatiga ega emasligi (bankrotligi) tan olinganda, uning vasiysi yoki homiysi "&amp;malumot!B65&amp;"ning asosiy summa bo‘yicha qarzdorlikni "&amp;malumot!B65&amp;"dan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mikrokreditning asosiy summa bo‘yicha qarzdorlikni mikrokreditdan aniq foydalanish muddati uchun foizlar bilan kechiktirmasdan to‘liq to‘lashi shart.</v>
      </c>
      <c r="B74" s="272"/>
      <c r="C74" s="148"/>
    </row>
    <row r="75" spans="1:8" ht="33.75" customHeight="1" x14ac:dyDescent="0.25">
      <c r="A75" s="272" t="str">
        <f>"5.2.8. Mikromoliya tashkilotining "&amp;malumot!B65&amp;" umumiy summasi va hisoblangan foizlarni muddatidan oldin qaytarish to‘g‘risidagi talabini kechiktirmasdan bajarish."</f>
        <v>5.2.8. Mikromoliya tashkilotining mikrokredit umumiy summasi va hisoblangan foizlarni muddatidan oldin qaytarish to‘g‘risidagi talabini kechiktirmasdan bajarish.</v>
      </c>
      <c r="B75" s="272"/>
      <c r="C75" s="148"/>
      <c r="H75" s="6" t="s">
        <v>331</v>
      </c>
    </row>
    <row r="76" spans="1:8" ht="68.25" customHeight="1" x14ac:dyDescent="0.25">
      <c r="A76" s="272" t="str">
        <f>CONCATENATE(C76,H76)</f>
        <v>5.2.9. Mikromoliya tashkilotining talabi bo‘yicha Mikromoliya tashkiloti ko‘rgan, shu jumladan mikrokredit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6" s="272"/>
      <c r="C76" s="148" t="str">
        <f>"5.2.9. Mikromoliya tashkilotining talabi bo‘yicha Mikromoliya tashkiloti ko‘rgan, shu jumladan "&amp;malumot!B65&amp;" bo‘yicha (asosiy qarz, foizlar va boshqalar)"</f>
        <v>5.2.9. Mikromoliya tashkilotining talabi bo‘yicha Mikromoliya tashkiloti ko‘rgan, shu jumladan mikrokredit bo‘yicha (asosiy qarz, foizlar va boshqalar)</v>
      </c>
      <c r="H76" s="6" t="s">
        <v>336</v>
      </c>
    </row>
    <row r="77" spans="1:8" hidden="1" x14ac:dyDescent="0.25">
      <c r="A77" s="65"/>
    </row>
    <row r="78" spans="1:8" x14ac:dyDescent="0.25">
      <c r="A78" s="280" t="s">
        <v>299</v>
      </c>
      <c r="B78" s="280"/>
      <c r="C78" s="150"/>
    </row>
    <row r="79" spans="1:8" ht="84" customHeight="1" x14ac:dyDescent="0.25">
      <c r="A79" s="272" t="str">
        <f>CONCATENATE(C79,H79)</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mikrokredit miqdori umumiy summasining 50% dan ko‘p bo‘lmagan miqdorda penya ko‘rinishidagi neustoyka to‘lash majburiyatini o‘z zimmasiga oladi.</v>
      </c>
      <c r="B79" s="272"/>
      <c r="C79" s="148" t="s">
        <v>337</v>
      </c>
      <c r="H79" s="6" t="str">
        <f>""&amp;malumot!B65&amp;" miqdori umumiy summasining 50% dan ko‘p bo‘lmagan miqdorda penya ko‘rinishidagi neustoyka to‘lash majburiyatini o‘z zimmasiga oladi."</f>
        <v>mikrokredit miqdori umumiy summasining 50% dan ko‘p bo‘lmagan miqdorda penya ko‘rinishidagi neustoyka to‘lash majburiyatini o‘z zimmasiga oladi.</v>
      </c>
    </row>
    <row r="80" spans="1:8" ht="37.5" customHeight="1" x14ac:dyDescent="0.25">
      <c r="A80" s="272" t="s">
        <v>298</v>
      </c>
      <c r="B80" s="272"/>
      <c r="C80" s="148"/>
    </row>
    <row r="81" spans="1:3" ht="35.25" customHeight="1" x14ac:dyDescent="0.25">
      <c r="A81" s="272" t="s">
        <v>297</v>
      </c>
      <c r="B81" s="272"/>
      <c r="C81" s="148"/>
    </row>
    <row r="82" spans="1:3" ht="33" customHeight="1" x14ac:dyDescent="0.25">
      <c r="A82" s="272" t="s">
        <v>296</v>
      </c>
      <c r="B82" s="272"/>
      <c r="C82" s="148"/>
    </row>
    <row r="83" spans="1:3" hidden="1" x14ac:dyDescent="0.25"/>
    <row r="84" spans="1:3" x14ac:dyDescent="0.25">
      <c r="A84" s="275" t="s">
        <v>295</v>
      </c>
      <c r="B84" s="275"/>
      <c r="C84" s="61"/>
    </row>
    <row r="85" spans="1:3" ht="147.75" customHeight="1" x14ac:dyDescent="0.25">
      <c r="A85" s="272" t="s">
        <v>294</v>
      </c>
      <c r="B85" s="272"/>
      <c r="C85" s="148"/>
    </row>
    <row r="86" spans="1:3" ht="33.75" customHeight="1" x14ac:dyDescent="0.25">
      <c r="A86" s="272" t="s">
        <v>338</v>
      </c>
      <c r="B86" s="272"/>
      <c r="C86" s="148"/>
    </row>
    <row r="87" spans="1:3" ht="41.25" customHeight="1" x14ac:dyDescent="0.25">
      <c r="A87" s="272" t="s">
        <v>293</v>
      </c>
      <c r="B87" s="272"/>
      <c r="C87" s="148"/>
    </row>
    <row r="88" spans="1:3" ht="36" customHeight="1" x14ac:dyDescent="0.25">
      <c r="A88" s="272" t="s">
        <v>292</v>
      </c>
      <c r="B88" s="272"/>
      <c r="C88" s="148"/>
    </row>
    <row r="89" spans="1:3" hidden="1" x14ac:dyDescent="0.25"/>
    <row r="90" spans="1:3" x14ac:dyDescent="0.25">
      <c r="A90" s="275" t="s">
        <v>291</v>
      </c>
      <c r="B90" s="275"/>
      <c r="C90" s="61"/>
    </row>
    <row r="91" spans="1:3" ht="101.25" customHeight="1" x14ac:dyDescent="0.25">
      <c r="A91" s="272" t="s">
        <v>352</v>
      </c>
      <c r="B91" s="272"/>
      <c r="C91" s="148"/>
    </row>
    <row r="92" spans="1:3" ht="36" customHeight="1" x14ac:dyDescent="0.25">
      <c r="A92" s="272" t="s">
        <v>319</v>
      </c>
      <c r="B92" s="272"/>
      <c r="C92" s="148"/>
    </row>
    <row r="93" spans="1:3" ht="54" customHeight="1" x14ac:dyDescent="0.25">
      <c r="A93" s="272" t="str">
        <f>"8.2. Mikromoliya tashkiloti sud organlariga murojaat qilganidan keyin Qarz oluvchi tomonidan "&amp;malumot!B65&amp;" bo‘yicha muddati o‘tgan qarzdorlikning to‘lanishi Mikromoliya tashkilotning "&amp;malumot!B65&amp;" bo‘yicha qarzdorlikni muddatidan avval undirish, shu jumladan undiruvni garovdagi mol-mulkka qaratish yo‘li bilan undirish huquqidan mahrum qilmaydi."</f>
        <v>8.2. Mikromoliya tashkiloti sud organlariga murojaat qilganidan keyin Qarz oluvchi tomonidan mikrokredit bo‘yicha muddati o‘tgan qarzdorlikning to‘lanishi Mikromoliya tashkilotning mikrokredit bo‘yicha qarzdorlikni muddatidan avval undirish, shu jumladan undiruvni garovdagi mol-mulkka qaratish yo‘li bilan undirish huquqidan mahrum qilmaydi.</v>
      </c>
      <c r="B93" s="272"/>
      <c r="C93" s="148"/>
    </row>
    <row r="94" spans="1:3" hidden="1" x14ac:dyDescent="0.25"/>
    <row r="95" spans="1:3" x14ac:dyDescent="0.25">
      <c r="A95" s="277" t="s">
        <v>290</v>
      </c>
      <c r="B95" s="277"/>
      <c r="C95" s="66"/>
    </row>
    <row r="96" spans="1:3" ht="20.25" customHeight="1" x14ac:dyDescent="0.25">
      <c r="A96" s="272" t="s">
        <v>289</v>
      </c>
      <c r="B96" s="272"/>
      <c r="C96" s="148"/>
    </row>
    <row r="97" spans="1:3" ht="33.75" customHeight="1" x14ac:dyDescent="0.25">
      <c r="A97" s="272" t="str">
        <f>"9.2. Shartnomaning amal qilish muddati Qarz oluvchi "&amp;malumot!B65&amp;"ni to‘liq qaytargan, hisoblangan foizlar, penya va boshqa pul majburiyatlarini to‘lagan kunda yakunlanadi."</f>
        <v>9.2. Shartnomaning amal qilish muddati Qarz oluvchi mikrokreditni to‘liq qaytargan, hisoblangan foizlar, penya va boshqa pul majburiyatlarini to‘lagan kunda yakunlanadi.</v>
      </c>
      <c r="B97" s="272"/>
      <c r="C97" s="148"/>
    </row>
    <row r="98" spans="1:3" ht="40.5" customHeight="1" x14ac:dyDescent="0.25">
      <c r="A98" s="272" t="s">
        <v>288</v>
      </c>
      <c r="B98" s="272"/>
      <c r="C98" s="148"/>
    </row>
    <row r="99" spans="1:3" hidden="1" x14ac:dyDescent="0.25"/>
    <row r="100" spans="1:3" x14ac:dyDescent="0.25">
      <c r="A100" s="274" t="s">
        <v>287</v>
      </c>
      <c r="B100" s="274"/>
      <c r="C100" s="60"/>
    </row>
    <row r="101" spans="1:3" ht="66.75" customHeight="1" x14ac:dyDescent="0.25">
      <c r="A101" s="272" t="s">
        <v>286</v>
      </c>
      <c r="B101" s="272"/>
      <c r="C101" s="148"/>
    </row>
    <row r="102" spans="1:3" ht="66" customHeight="1" x14ac:dyDescent="0.25">
      <c r="A102" s="272" t="s">
        <v>285</v>
      </c>
      <c r="B102" s="272"/>
      <c r="C102" s="148"/>
    </row>
    <row r="103" spans="1:3" ht="48" customHeight="1" x14ac:dyDescent="0.25">
      <c r="A103" s="272" t="s">
        <v>284</v>
      </c>
      <c r="B103" s="272"/>
      <c r="C103" s="148"/>
    </row>
    <row r="105" spans="1:3" x14ac:dyDescent="0.25">
      <c r="A105" s="275" t="s">
        <v>283</v>
      </c>
      <c r="B105" s="275"/>
      <c r="C105" s="135"/>
    </row>
    <row r="106" spans="1:3" ht="37.5" customHeight="1" x14ac:dyDescent="0.25">
      <c r="A106" s="272" t="s">
        <v>282</v>
      </c>
      <c r="B106" s="272"/>
      <c r="C106" s="148"/>
    </row>
    <row r="107" spans="1:3" ht="34.5" customHeight="1" x14ac:dyDescent="0.25">
      <c r="A107" s="272" t="s">
        <v>281</v>
      </c>
      <c r="B107" s="272"/>
      <c r="C107" s="148"/>
    </row>
    <row r="108" spans="1:3" ht="66.75" customHeight="1" x14ac:dyDescent="0.25">
      <c r="A108" s="272" t="s">
        <v>280</v>
      </c>
      <c r="B108" s="272"/>
      <c r="C108" s="148"/>
    </row>
    <row r="109" spans="1:3" ht="51" customHeight="1" x14ac:dyDescent="0.25">
      <c r="A109" s="272" t="s">
        <v>279</v>
      </c>
      <c r="B109" s="272"/>
      <c r="C109" s="148"/>
    </row>
    <row r="110" spans="1:3" ht="37.5" customHeight="1" x14ac:dyDescent="0.25">
      <c r="A110" s="272" t="s">
        <v>278</v>
      </c>
      <c r="B110" s="272"/>
      <c r="C110" s="148"/>
    </row>
    <row r="111" spans="1:3" ht="38.25" customHeight="1" x14ac:dyDescent="0.25">
      <c r="A111" s="272" t="s">
        <v>277</v>
      </c>
      <c r="B111" s="272"/>
      <c r="C111" s="148"/>
    </row>
    <row r="112" spans="1:3" ht="21" customHeight="1" x14ac:dyDescent="0.25">
      <c r="A112" s="272" t="s">
        <v>276</v>
      </c>
      <c r="B112" s="272"/>
      <c r="C112" s="148"/>
    </row>
    <row r="113" spans="1:3" ht="26.25" customHeight="1" x14ac:dyDescent="0.25">
      <c r="A113" s="274" t="s">
        <v>320</v>
      </c>
      <c r="B113" s="274"/>
      <c r="C113" s="66"/>
    </row>
    <row r="114" spans="1:3" hidden="1" x14ac:dyDescent="0.25">
      <c r="A114" s="190"/>
      <c r="B114" s="190"/>
    </row>
    <row r="115" spans="1:3" x14ac:dyDescent="0.25">
      <c r="A115" s="191" t="s">
        <v>275</v>
      </c>
      <c r="B115" s="191" t="s">
        <v>274</v>
      </c>
    </row>
    <row r="116" spans="1:3" x14ac:dyDescent="0.25">
      <c r="A116" s="190"/>
      <c r="B116" s="190"/>
    </row>
    <row r="117" spans="1:3" ht="31.5" x14ac:dyDescent="0.25">
      <c r="A117" s="223" t="str">
        <f>malumot!B158</f>
        <v>«CLEVER MIKROMOLIYA TASHKILOTI» MChJ</v>
      </c>
      <c r="B117" s="216" t="str">
        <f>malumot!B5</f>
        <v>MATCHANOVA AZIZA BEKTURDIYEVNA</v>
      </c>
    </row>
    <row r="118" spans="1:3" x14ac:dyDescent="0.25">
      <c r="A118" s="190"/>
      <c r="B118" s="190"/>
    </row>
    <row r="119" spans="1:3" ht="40.5" customHeight="1" x14ac:dyDescent="0.25">
      <c r="A119" s="192" t="str">
        <f>"Manzil: "&amp;malumot!B163&amp;""</f>
        <v>Manzil: Toshkent shahri, Olmazor tumani, Sagbon ko'chasi, 30 boshi berk, 6-uy</v>
      </c>
      <c r="B119" s="192" t="str">
        <f>"Manzil: "&amp;malumot!B27&amp;""</f>
        <v>Manzil: XORAZM VILOYATI SHOVOT TUMANI BOYRACHI QFY BOBORAXIM KO'CHASI 4-UY</v>
      </c>
    </row>
    <row r="120" spans="1:3" ht="17.25" customHeight="1" x14ac:dyDescent="0.25">
      <c r="A120" s="224" t="str">
        <f>"h/r: "&amp;malumot!B164&amp;""</f>
        <v>h/r: №20216000705068380001</v>
      </c>
      <c r="B120" s="190"/>
    </row>
    <row r="121" spans="1:3" ht="31.5" x14ac:dyDescent="0.25">
      <c r="A121" s="192" t="str">
        <f>"MFO: "&amp;malumot!B165&amp;" в "&amp;malumot!B166&amp;""</f>
        <v>MFO: №01042 в ATB “Kapitalbank” Sergeli filiali</v>
      </c>
      <c r="B121" s="192" t="str">
        <f>"Pasport: "&amp;malumot!B16&amp;", "&amp;malumot!B20&amp;""</f>
        <v>Pasport: AC 2074678, XORAZM VILOYATI SHOVOT TUMANI IIB tomonidan 17.07.2019 yilda berilgan</v>
      </c>
    </row>
    <row r="122" spans="1:3" x14ac:dyDescent="0.25">
      <c r="A122" s="192" t="str">
        <f>"STIR: "&amp;malumot!B167&amp;""</f>
        <v>STIR: 306365847</v>
      </c>
      <c r="B122" s="193" t="str">
        <f>"Tel: "&amp;malumot!B40&amp;""</f>
        <v>Tel: 91 860-86-87 O'ZI</v>
      </c>
    </row>
    <row r="123" spans="1:3" x14ac:dyDescent="0.25">
      <c r="A123" s="229" t="str">
        <f>"Tel: (78) 113 31 33"</f>
        <v>Tel: (78) 113 31 33</v>
      </c>
      <c r="B123" s="193" t="str">
        <f>malumot!B41</f>
        <v>33 381-86-87 Ayoli</v>
      </c>
    </row>
    <row r="124" spans="1:3" x14ac:dyDescent="0.25">
      <c r="A124" s="225" t="s">
        <v>7</v>
      </c>
      <c r="B124" s="193" t="str">
        <f>malumot!B42</f>
        <v>99-187-10-62 Otasi</v>
      </c>
    </row>
    <row r="125" spans="1:3" x14ac:dyDescent="0.25">
      <c r="A125" s="226"/>
      <c r="B125" s="190"/>
    </row>
    <row r="126" spans="1:3" x14ac:dyDescent="0.25">
      <c r="A126" s="273" t="str">
        <f>malumot!A171</f>
        <v>Xorazm filiali boshlig'i</v>
      </c>
      <c r="B126" s="276" t="str">
        <f>""&amp;malumot!B7&amp;"     __________________"</f>
        <v>MATCHANOVA A.B.     __________________</v>
      </c>
    </row>
    <row r="127" spans="1:3" x14ac:dyDescent="0.25">
      <c r="A127" s="273"/>
      <c r="B127" s="276"/>
    </row>
    <row r="128" spans="1:3" x14ac:dyDescent="0.25">
      <c r="A128" s="227" t="str">
        <f>malumot!B171</f>
        <v>M.Sharipov</v>
      </c>
      <c r="B128" s="190"/>
    </row>
    <row r="129" spans="1:2" x14ac:dyDescent="0.25">
      <c r="A129" s="228"/>
      <c r="B129" s="194"/>
    </row>
    <row r="132" spans="1:2" hidden="1" x14ac:dyDescent="0.25">
      <c r="A132" s="6" t="str">
        <f>"менеджер :   "&amp;malumot!B171&amp;"______________"</f>
        <v>менеджер :   M.Sharipov______________</v>
      </c>
    </row>
  </sheetData>
  <mergeCells count="101">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2:B32"/>
    <mergeCell ref="A24:B24"/>
    <mergeCell ref="A28:B28"/>
    <mergeCell ref="A29:B29"/>
    <mergeCell ref="A30:B30"/>
    <mergeCell ref="A31:B31"/>
    <mergeCell ref="A11:B11"/>
    <mergeCell ref="A50:B50"/>
    <mergeCell ref="A51:B51"/>
    <mergeCell ref="A42:B42"/>
    <mergeCell ref="A41:B41"/>
    <mergeCell ref="A40:B40"/>
    <mergeCell ref="A39:B39"/>
    <mergeCell ref="A37:B37"/>
    <mergeCell ref="A36:B36"/>
    <mergeCell ref="A35:B35"/>
    <mergeCell ref="A52:B52"/>
    <mergeCell ref="A53:B53"/>
    <mergeCell ref="A49:B49"/>
    <mergeCell ref="A48:B48"/>
    <mergeCell ref="A47:B47"/>
    <mergeCell ref="A46:B46"/>
    <mergeCell ref="A45:B45"/>
    <mergeCell ref="A44:B44"/>
    <mergeCell ref="A43:B43"/>
    <mergeCell ref="A54:B54"/>
    <mergeCell ref="A55:B55"/>
    <mergeCell ref="A56:B56"/>
    <mergeCell ref="A57:B57"/>
    <mergeCell ref="A59:B59"/>
    <mergeCell ref="A60:B60"/>
    <mergeCell ref="A61:B61"/>
    <mergeCell ref="A62:B62"/>
    <mergeCell ref="A63:B63"/>
    <mergeCell ref="A64:B64"/>
    <mergeCell ref="A65:B65"/>
    <mergeCell ref="A66:B66"/>
    <mergeCell ref="A67:B67"/>
    <mergeCell ref="A68:B68"/>
    <mergeCell ref="A69:B69"/>
    <mergeCell ref="A75:B75"/>
    <mergeCell ref="A76:B76"/>
    <mergeCell ref="A78:B78"/>
    <mergeCell ref="A79:B79"/>
    <mergeCell ref="A70:B70"/>
    <mergeCell ref="A71:B71"/>
    <mergeCell ref="A72:B72"/>
    <mergeCell ref="A73:B73"/>
    <mergeCell ref="A74:B74"/>
    <mergeCell ref="A80:B80"/>
    <mergeCell ref="A81:B81"/>
    <mergeCell ref="A82:B82"/>
    <mergeCell ref="A84:B84"/>
    <mergeCell ref="A85:B85"/>
    <mergeCell ref="A92:B92"/>
    <mergeCell ref="A93:B93"/>
    <mergeCell ref="A95:B95"/>
    <mergeCell ref="A96:B96"/>
    <mergeCell ref="A86:B86"/>
    <mergeCell ref="A87:B87"/>
    <mergeCell ref="A88:B88"/>
    <mergeCell ref="A90:B90"/>
    <mergeCell ref="A91:B91"/>
    <mergeCell ref="A108:B108"/>
    <mergeCell ref="A126:A127"/>
    <mergeCell ref="A113:B113"/>
    <mergeCell ref="A109:B109"/>
    <mergeCell ref="A110:B110"/>
    <mergeCell ref="A111:B111"/>
    <mergeCell ref="A112:B112"/>
    <mergeCell ref="A97:B97"/>
    <mergeCell ref="A98:B98"/>
    <mergeCell ref="A100:B100"/>
    <mergeCell ref="A101:B101"/>
    <mergeCell ref="A102:B102"/>
    <mergeCell ref="A103:B103"/>
    <mergeCell ref="A105:B105"/>
    <mergeCell ref="A106:B106"/>
    <mergeCell ref="A107:B107"/>
    <mergeCell ref="B126:B127"/>
  </mergeCells>
  <printOptions horizontalCentered="1"/>
  <pageMargins left="0.70866141732283472" right="0.70866141732283472" top="0.51181102362204722" bottom="0.43307086614173229" header="0.31496062992125984" footer="0.31496062992125984"/>
  <pageSetup paperSize="9" scale="20" orientation="portrait" r:id="rId1"/>
  <rowBreaks count="1" manualBreakCount="1">
    <brk id="2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14">
    <tabColor rgb="FF00B050"/>
  </sheetPr>
  <dimension ref="A1:E27"/>
  <sheetViews>
    <sheetView view="pageBreakPreview" topLeftCell="A10" zoomScaleSheetLayoutView="100" workbookViewId="0">
      <selection activeCell="D27" sqref="D27"/>
    </sheetView>
  </sheetViews>
  <sheetFormatPr defaultColWidth="9.140625" defaultRowHeight="15" outlineLevelRow="1" x14ac:dyDescent="0.25"/>
  <cols>
    <col min="1" max="1" width="23.85546875" style="13" customWidth="1"/>
    <col min="2" max="2" width="23.28515625" style="13" customWidth="1"/>
    <col min="3" max="3" width="17" style="13" customWidth="1"/>
    <col min="4" max="4" width="17.5703125" style="13" customWidth="1"/>
    <col min="5" max="5" width="19.7109375" style="13" customWidth="1"/>
    <col min="6" max="16384" width="9.140625" style="13"/>
  </cols>
  <sheetData>
    <row r="1" spans="1:5" ht="16.5" customHeight="1" x14ac:dyDescent="0.25"/>
    <row r="2" spans="1:5" ht="17.25" customHeight="1" x14ac:dyDescent="0.25">
      <c r="A2" s="288" t="str">
        <f>""&amp;malumot!B157&amp;" ijrochi direktorining
"&amp;malumot!B175&amp;"dagi "&amp;malumot!B174&amp;"-sonli buyrug‘i"</f>
        <v>«CLEVER MIKROMOLIYA TASHKILOTI» MChJ ijrochi direktorining
7 aprel 2025 y.dagi №717-XMS-sonli buyrug‘i</v>
      </c>
      <c r="B2" s="288"/>
      <c r="C2" s="288"/>
      <c r="D2" s="288"/>
      <c r="E2" s="288"/>
    </row>
    <row r="3" spans="1:5" x14ac:dyDescent="0.25">
      <c r="A3" s="288"/>
      <c r="B3" s="288"/>
      <c r="C3" s="288"/>
      <c r="D3" s="288"/>
      <c r="E3" s="288"/>
    </row>
    <row r="4" spans="1:5" x14ac:dyDescent="0.25">
      <c r="A4" s="288"/>
      <c r="B4" s="288"/>
      <c r="C4" s="288"/>
      <c r="D4" s="288"/>
      <c r="E4" s="288"/>
    </row>
    <row r="5" spans="1:5" x14ac:dyDescent="0.25">
      <c r="A5" s="286"/>
      <c r="B5" s="286"/>
      <c r="C5" s="286"/>
      <c r="D5" s="286"/>
      <c r="E5" s="286"/>
    </row>
    <row r="6" spans="1:5" ht="53.25" customHeight="1" x14ac:dyDescent="0.25">
      <c r="A6" s="286" t="str">
        <f>"Men, Abduraximov Nadirbek Kamilevich "&amp;malumot!B157&amp;" ijrochi direktori, jismoniy shaxs "&amp;malumot!B10&amp;"ga quyidagi shartlarda "&amp;malumot!B65&amp;" berishni buyuraman:"</f>
        <v>Men, Abduraximov Nadirbek Kamilevich «CLEVER MIKROMOLIYA TASHKILOTI» MChJ ijrochi direktori, jismoniy shaxs MATCHANOVA AZIZA BEKTURDIYEVNAga quyidagi shartlarda mikrokredit berishni buyuraman:</v>
      </c>
      <c r="B6" s="286"/>
      <c r="C6" s="286"/>
      <c r="D6" s="286"/>
      <c r="E6" s="286"/>
    </row>
    <row r="7" spans="1:5" ht="26.25" customHeight="1" x14ac:dyDescent="0.25">
      <c r="A7" s="286" t="str">
        <f>kredit_ariza!A13:D13</f>
        <v>Mikrokredit summasi: 125 000 000,00 (yuz yigirma besh million so'm) so'm.</v>
      </c>
      <c r="B7" s="286"/>
      <c r="C7" s="286"/>
      <c r="D7" s="286"/>
      <c r="E7" s="286"/>
    </row>
    <row r="8" spans="1:5" ht="21" customHeight="1" x14ac:dyDescent="0.25">
      <c r="A8" s="286" t="str">
        <f>kredit_ariza!A14:D14</f>
        <v>Mikrokredit muddati: 36 (O'ttiz olti  ) oy.</v>
      </c>
      <c r="B8" s="286"/>
      <c r="C8" s="286"/>
      <c r="D8" s="286"/>
      <c r="E8" s="286"/>
    </row>
    <row r="9" spans="1:5" ht="27" customHeight="1" x14ac:dyDescent="0.25">
      <c r="A9" s="286" t="str">
        <f>kredit_ariza!A15:D15</f>
        <v>Mikrokreditdan foydalanganlik uchun foiz stavkasi: yillik  55% (Ellik besh  ) foiz</v>
      </c>
      <c r="B9" s="286"/>
      <c r="C9" s="286"/>
      <c r="D9" s="286"/>
      <c r="E9" s="286"/>
    </row>
    <row r="10" spans="1:5" ht="26.25" customHeight="1" x14ac:dyDescent="0.25">
      <c r="A10" s="286" t="str">
        <f>kredit_ariza!A16:D16</f>
        <v>Mikrokredit bo'yicha asosiy qarz va foizlarni to'lash:</v>
      </c>
      <c r="B10" s="286"/>
      <c r="C10" s="286"/>
      <c r="D10" s="286"/>
      <c r="E10" s="286"/>
    </row>
    <row r="11" spans="1:5" ht="21.75" hidden="1" customHeight="1" x14ac:dyDescent="0.25">
      <c r="A11" s="286" t="str">
        <f>kredit_ariza!A17:D17</f>
        <v xml:space="preserve"> - mikrokredit shartnomasi bo'yicha har oy differensial to'lovlari amalga oshiriladi</v>
      </c>
      <c r="B11" s="286"/>
      <c r="C11" s="286"/>
      <c r="D11" s="286"/>
      <c r="E11" s="286"/>
    </row>
    <row r="12" spans="1:5" hidden="1" x14ac:dyDescent="0.25">
      <c r="A12" s="286" t="str">
        <f>kredit_ariza!A19:D19</f>
        <v xml:space="preserve"> - mikrokredit shartnomasi bo'yicha har oy annuitet to'lovlari amalga oshiriladi</v>
      </c>
      <c r="B12" s="286"/>
      <c r="C12" s="286"/>
      <c r="D12" s="286"/>
      <c r="E12" s="286"/>
    </row>
    <row r="13" spans="1:5" ht="23.25" customHeight="1" x14ac:dyDescent="0.25">
      <c r="A13" s="286" t="str">
        <f>IF(malumot!B110="Avtotransport",buyruq!A12:E12,buyruq!A11:E11)</f>
        <v xml:space="preserve"> - mikrokredit shartnomasi bo'yicha har oy annuitet to'lovlari amalga oshiriladi</v>
      </c>
      <c r="B13" s="286"/>
      <c r="C13" s="286"/>
      <c r="D13" s="286"/>
      <c r="E13" s="286"/>
    </row>
    <row r="14" spans="1:5" ht="45.75" customHeight="1" x14ac:dyDescent="0.25">
      <c r="A14" s="287" t="str">
        <f>IF(malumot!B110=malumot!D110,""&amp;malumot!C124&amp;"ga tegishli "&amp;malumot!C133&amp;" ko'rinishidagi ko'chmas mulkni quyidagi ma'lumotlarga muvofiq  garovga qabul qilinsin:",""&amp;malumot!B124&amp;"ga tegishli "&amp;malumot!B132&amp;" ko'rinishidagi transport vositasini quyidagi ma'lumotlarga muvofiq garovga qabul qilinsin:")</f>
        <v>BEKOV OTABEK BAXODIROVICHga tegishli JAC M3 ko'rinishidagi transport vositasini quyidagi ma'lumotlarga muvofiq garovga qabul qilinsin:</v>
      </c>
      <c r="B14" s="287"/>
      <c r="C14" s="287"/>
      <c r="D14" s="287"/>
      <c r="E14" s="287"/>
    </row>
    <row r="15" spans="1:5" ht="50.25" hidden="1" customHeight="1" x14ac:dyDescent="0.25">
      <c r="A15" s="286" t="str">
        <f>""&amp;malumot!C124&amp;"ga tegishli "&amp;malumot!C133&amp;" ko'rinishidagi ko'chmas mulkni quyidagi ma'lumotlarga muvofiq  garovga qabul qilinsin:"</f>
        <v>0ga tegishli  0 ko'rinishidagi ko'chmas mulkni quyidagi ma'lumotlarga muvofiq  garovga qabul qilinsin:</v>
      </c>
      <c r="B15" s="286"/>
      <c r="C15" s="286"/>
      <c r="D15" s="286"/>
      <c r="E15" s="286"/>
    </row>
    <row r="16" spans="1:5" ht="47.25" hidden="1" customHeight="1" x14ac:dyDescent="0.25">
      <c r="A16" s="286" t="str">
        <f>""&amp;malumot!B124&amp;"ga tegishli "&amp;malumot!B132&amp;" ko'rinishidagi transport vositasini quyidagi ma'lumotlarga muvofiq garovga qabul qilinsin:"</f>
        <v>BEKOV OTABEK BAXODIROVICHga tegishli JAC M3 ko'rinishidagi transport vositasini quyidagi ma'lumotlarga muvofiq garovga qabul qilinsin:</v>
      </c>
      <c r="B16" s="286"/>
      <c r="C16" s="286"/>
      <c r="D16" s="286"/>
      <c r="E16" s="286"/>
    </row>
    <row r="17" spans="1:5" s="34" customFormat="1" ht="60" customHeight="1" outlineLevel="1" x14ac:dyDescent="0.2">
      <c r="A17" s="36" t="str">
        <f>dalolatnoma!A29</f>
        <v>Nomi</v>
      </c>
      <c r="B17" s="36" t="str">
        <f>dalolatnoma!B29</f>
        <v>Kuzov turi  va kuzov raqami*</v>
      </c>
      <c r="C17" s="36" t="str">
        <f>dalolatnoma!C29</f>
        <v>Dvigatel va shassi raqami*</v>
      </c>
      <c r="D17" s="36" t="str">
        <f>dalolatnoma!D29</f>
        <v>Ishlab chiqarilgan yili va rangi*</v>
      </c>
      <c r="E17" s="36" t="str">
        <f>dalolatnoma!E29</f>
        <v>Kelishilgan garov qiymati, so'm</v>
      </c>
    </row>
    <row r="18" spans="1:5" ht="67.5" customHeight="1" outlineLevel="1" x14ac:dyDescent="0.25">
      <c r="A18" s="185" t="str">
        <f>dalolatnoma!A30</f>
        <v>JAC M3</v>
      </c>
      <c r="B18" s="185" t="str">
        <f>dalolatnoma!B30</f>
        <v>kuzov turi - YENGIL MINIVEN, kuzov raqami P08461541</v>
      </c>
      <c r="C18" s="185" t="str">
        <f>dalolatnoma!C30</f>
        <v>dvigatel raqami LJ166A33XP2208188, shassi raqami - Rakamsiz</v>
      </c>
      <c r="D18" s="185" t="str">
        <f>dalolatnoma!D30</f>
        <v>rangi -  QORA CHERNIY, ishlab chiqarilgan yili - 2023</v>
      </c>
      <c r="E18" s="185" t="str">
        <f>dalolatnoma!E30</f>
        <v>165 000 000,00 
(yuz oltmish besh million so'm)</v>
      </c>
    </row>
    <row r="19" spans="1:5" ht="20.25" customHeight="1" outlineLevel="1" x14ac:dyDescent="0.25">
      <c r="A19" s="286" t="str">
        <f>dalolatnoma!A22:E22</f>
        <v>-* avtotransport egasi: BEKOV OTABEK BAXODIROVICH</v>
      </c>
      <c r="B19" s="286"/>
      <c r="C19" s="286"/>
      <c r="D19" s="286"/>
      <c r="E19" s="286"/>
    </row>
    <row r="20" spans="1:5" ht="20.25" customHeight="1" outlineLevel="1" x14ac:dyDescent="0.25">
      <c r="A20" s="286" t="str">
        <f>dalolatnoma!A23:E23</f>
        <v>-* texnik pasport: AAG 5923045 28.03.2025y.</v>
      </c>
      <c r="B20" s="286"/>
      <c r="C20" s="286"/>
      <c r="D20" s="286"/>
      <c r="E20" s="286"/>
    </row>
    <row r="21" spans="1:5" ht="36" customHeight="1" outlineLevel="1" x14ac:dyDescent="0.25">
      <c r="A21" s="286" t="str">
        <f>dalolatnoma!A24:E24</f>
        <v>-* roʻyxatdan oʻtgan manzili/garaj manzili: XORAZM VILOYATI URGANCH TUMANI GOYBU QFY OQ MAKTAB MFY</v>
      </c>
      <c r="B21" s="286"/>
      <c r="C21" s="286"/>
      <c r="D21" s="286"/>
      <c r="E21" s="286"/>
    </row>
    <row r="22" spans="1:5" ht="19.5" customHeight="1" outlineLevel="1" x14ac:dyDescent="0.25">
      <c r="A22" s="286" t="str">
        <f>dalolatnoma!A25:E25</f>
        <v>-* davlat raqami: 90C477ZA</v>
      </c>
      <c r="B22" s="286"/>
      <c r="C22" s="286"/>
      <c r="D22" s="286"/>
      <c r="E22" s="286"/>
    </row>
    <row r="23" spans="1:5" ht="31.15" customHeight="1" x14ac:dyDescent="0.25">
      <c r="A23" s="287" t="str">
        <f>"	«"&amp;malumot!B153&amp;"» АJ sug‘urta kompaniyasi bilan Mikroqarz to'lamaslik xavfini "&amp;FIXED(malumot!B154,2)&amp;"("&amp;malumot!B155&amp;") so'm miqdoriga sug’urta qilish shartnomasi tuzilsin"</f>
        <v xml:space="preserve">	«АО "APEX INSURANCE"» АJ sug‘urta kompaniyasi bilan Mikroqarz to'lamaslik xavfini 15 000 000,00(o'n besh million so'm) so'm miqdoriga sug’urta qilish shartnomasi tuzilsin</v>
      </c>
      <c r="B23" s="287"/>
      <c r="C23" s="287"/>
      <c r="D23" s="287"/>
      <c r="E23" s="287"/>
    </row>
    <row r="24" spans="1:5" s="34" customFormat="1" x14ac:dyDescent="0.2">
      <c r="A24" s="286"/>
      <c r="B24" s="286"/>
      <c r="C24" s="286"/>
      <c r="D24" s="286"/>
      <c r="E24" s="286"/>
    </row>
    <row r="25" spans="1:5" x14ac:dyDescent="0.25">
      <c r="B25" s="34"/>
    </row>
    <row r="26" spans="1:5" x14ac:dyDescent="0.25">
      <c r="B26" s="34"/>
    </row>
    <row r="27" spans="1:5" ht="67.5" customHeight="1" x14ac:dyDescent="0.25">
      <c r="A27" s="208" t="s">
        <v>403</v>
      </c>
      <c r="B27" s="34"/>
      <c r="D27" s="34" t="s">
        <v>394</v>
      </c>
    </row>
  </sheetData>
  <mergeCells count="19">
    <mergeCell ref="A13:E13"/>
    <mergeCell ref="A15:E15"/>
    <mergeCell ref="A14:E14"/>
    <mergeCell ref="A21:E21"/>
    <mergeCell ref="A22:E22"/>
    <mergeCell ref="A23:E23"/>
    <mergeCell ref="A2:E4"/>
    <mergeCell ref="A24:E24"/>
    <mergeCell ref="A20:E20"/>
    <mergeCell ref="A12:E12"/>
    <mergeCell ref="A16:E16"/>
    <mergeCell ref="A5:E5"/>
    <mergeCell ref="A6:E6"/>
    <mergeCell ref="A11:E11"/>
    <mergeCell ref="A7:E7"/>
    <mergeCell ref="A8:E8"/>
    <mergeCell ref="A9:E9"/>
    <mergeCell ref="A10:E10"/>
    <mergeCell ref="A19:E19"/>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1">
    <tabColor rgb="FF00B050"/>
  </sheetPr>
  <dimension ref="A1:AH49"/>
  <sheetViews>
    <sheetView tabSelected="1" view="pageBreakPreview" topLeftCell="A31" zoomScaleNormal="100" zoomScaleSheetLayoutView="100" workbookViewId="0">
      <selection activeCell="B53" sqref="B53"/>
    </sheetView>
  </sheetViews>
  <sheetFormatPr defaultRowHeight="15" x14ac:dyDescent="0.25"/>
  <cols>
    <col min="1" max="1" width="22.85546875" style="57" customWidth="1"/>
    <col min="2" max="2" width="24.28515625" style="57" customWidth="1"/>
    <col min="3" max="3" width="18.42578125" style="57" customWidth="1"/>
    <col min="4" max="4" width="18" style="57" customWidth="1"/>
    <col min="5" max="5" width="25.140625" style="57" customWidth="1"/>
    <col min="6" max="6" width="9.140625" customWidth="1"/>
    <col min="7" max="7" width="24.42578125" customWidth="1"/>
    <col min="8" max="8" width="17.140625" customWidth="1"/>
    <col min="9" max="34" width="9.140625" hidden="1" customWidth="1"/>
    <col min="35" max="35" width="8.7109375" customWidth="1"/>
  </cols>
  <sheetData>
    <row r="1" spans="1:33" ht="47.25" customHeight="1" x14ac:dyDescent="0.25">
      <c r="A1" s="291" t="str">
        <f>""&amp;malumot!B157&amp;"
mikromoliya tashkiloti
Kredit qo‘mitasining yig‘ilishi"</f>
        <v>«CLEVER MIKROMOLIYA TASHKILOTI» MChJ
mikromoliya tashkiloti
Kredit qo‘mitasining yig‘ilishi</v>
      </c>
      <c r="B1" s="291"/>
      <c r="C1" s="291"/>
      <c r="D1" s="291"/>
      <c r="E1" s="291"/>
    </row>
    <row r="2" spans="1:33" ht="19.5" customHeight="1" x14ac:dyDescent="0.25">
      <c r="A2" s="291" t="str">
        <f>""&amp;H7&amp;" protokolidan ko'chirma"</f>
        <v>№717-XMS protokolidan ko'chirma</v>
      </c>
      <c r="B2" s="291"/>
      <c r="C2" s="291"/>
      <c r="D2" s="291"/>
      <c r="E2" s="291"/>
    </row>
    <row r="3" spans="1:33" ht="29.25" customHeight="1" x14ac:dyDescent="0.25">
      <c r="A3" s="123" t="s">
        <v>201</v>
      </c>
      <c r="B3" s="47"/>
      <c r="C3" s="47"/>
      <c r="D3" s="47"/>
      <c r="E3" s="124" t="str">
        <f>malumot!B68</f>
        <v>7 aprel 2025 y.</v>
      </c>
    </row>
    <row r="4" spans="1:33" ht="21" customHeight="1" x14ac:dyDescent="0.25">
      <c r="A4" s="47"/>
      <c r="B4" s="291" t="s">
        <v>200</v>
      </c>
      <c r="C4" s="291"/>
      <c r="D4" s="291"/>
      <c r="E4" s="47"/>
    </row>
    <row r="5" spans="1:33" ht="21.75" customHeight="1" x14ac:dyDescent="0.25">
      <c r="A5" s="290" t="str">
        <f>"         "&amp;H8&amp;"."&amp;malumot!B5&amp;" ga "&amp;malumot!B65&amp;" berish masalasini ko‘rib chiqish to‘g‘risida."</f>
        <v xml:space="preserve">         1.MATCHANOVA AZIZA BEKTURDIYEVNA ga mikrokredit berish masalasini ko‘rib chiqish to‘g‘risida.</v>
      </c>
      <c r="B5" s="290"/>
      <c r="C5" s="290"/>
      <c r="D5" s="290"/>
      <c r="E5" s="290"/>
    </row>
    <row r="6" spans="1:33" ht="9" customHeight="1" x14ac:dyDescent="0.25"/>
    <row r="7" spans="1:33" ht="21" customHeight="1" x14ac:dyDescent="0.35">
      <c r="A7" s="286" t="str">
        <f>"      "&amp;H9&amp;" masala yuzasidan: «Clever Mikromoliya Tashkiloti» MChJ mikromoliya tashkiloti kredit bo‘yicha menejeri  "&amp;malumot!B5&amp;"ga "&amp;FIXED(malumot!B76)&amp;" ("&amp;malumot!B77&amp;") so‘m miqdorida, muddati "&amp;malumot!B82&amp;" ("&amp;malumot!B83&amp;") oyga va yillik 60 (Oltmish) foiz miqdorida "&amp;malumot!B65&amp;" berich bo‘yicha "&amp;malumot!B5&amp;"ning kredit arizasi va "&amp;malumot!B157&amp;"ning xulosasi bilan ishtirokchilarni tanishtirdi."</f>
        <v xml:space="preserve">      Birinchi masala yuzasidan: «Clever Mikromoliya Tashkiloti» MChJ mikromoliya tashkiloti kredit bo‘yicha menejeri  MATCHANOVA AZIZA BEKTURDIYEVNAga 125 000 000,00 (yuz yigirma besh million so'm) so‘m miqdorida, muddati 36 (O'ttiz olti  ) oyga va yillik 60 (Oltmish) foiz miqdorida mikrokredit berich bo‘yicha MATCHANOVA AZIZA BEKTURDIYEVNAning kredit arizasi va «CLEVER MIKROMOLIYA TASHKILOTI» MChJning xulosasi bilan ishtirokchilarni tanishtirdi.</v>
      </c>
      <c r="B7" s="286"/>
      <c r="C7" s="286"/>
      <c r="D7" s="286"/>
      <c r="E7" s="286"/>
      <c r="G7" s="58" t="s">
        <v>255</v>
      </c>
      <c r="H7" s="59" t="str">
        <f>malumot!B1</f>
        <v>№717-XMS</v>
      </c>
    </row>
    <row r="8" spans="1:33" ht="48.75" customHeight="1" x14ac:dyDescent="0.35">
      <c r="A8" s="286"/>
      <c r="B8" s="286"/>
      <c r="C8" s="286"/>
      <c r="D8" s="286"/>
      <c r="E8" s="286"/>
      <c r="G8" s="58" t="s">
        <v>256</v>
      </c>
      <c r="H8" s="59">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9" customHeight="1" x14ac:dyDescent="0.35">
      <c r="A9" s="286"/>
      <c r="B9" s="286"/>
      <c r="C9" s="286"/>
      <c r="D9" s="286"/>
      <c r="E9" s="286"/>
      <c r="G9" s="58" t="s">
        <v>257</v>
      </c>
      <c r="H9" s="59" t="str">
        <f>IF(H8=I8,I9,IF(H8=J8,J9,IF(H8=K8,K9,IF(H8=L8,L9,IF(H8=M8,M9,IF(H8=N8,N9,IF(H8=O8,O9,IF(H8=P8,P9,IF(H8=Q8,Q9,IF(H8=R8,R9,IF(H8=S8,S9,IF(H8=T8,T9,IF(H8=U8,U9,IF(H8=V8,V9,IF(H8=W8,W9,IF(H8=X8,X9,IF(H8=Y8,Y9,IF(H8=Z8,Z9,IF(H8=AA8,AA9,IF(H8=AB8,AB9,IF(H8=AC8,AC9,IF(H8=AD8,AD9,IF(H8=AE8,AE9,IF(H8=AF8,AF9,IF(H8=AG8,AG9)))))))))))))))))))))))))</f>
        <v>Birinchi</v>
      </c>
      <c r="I9" s="142" t="s">
        <v>188</v>
      </c>
      <c r="J9" s="143" t="s">
        <v>189</v>
      </c>
      <c r="K9" s="143" t="s">
        <v>190</v>
      </c>
      <c r="L9" s="143" t="s">
        <v>363</v>
      </c>
      <c r="M9" s="143" t="s">
        <v>191</v>
      </c>
      <c r="N9" s="143" t="s">
        <v>364</v>
      </c>
      <c r="O9" s="143" t="s">
        <v>192</v>
      </c>
      <c r="P9" s="143" t="s">
        <v>193</v>
      </c>
      <c r="Q9" s="143" t="s">
        <v>194</v>
      </c>
      <c r="R9" s="143" t="s">
        <v>353</v>
      </c>
      <c r="S9" s="143" t="s">
        <v>354</v>
      </c>
      <c r="T9" s="143" t="s">
        <v>355</v>
      </c>
      <c r="U9" s="143" t="s">
        <v>356</v>
      </c>
      <c r="V9" s="143" t="s">
        <v>365</v>
      </c>
      <c r="W9" s="143" t="s">
        <v>357</v>
      </c>
      <c r="X9" s="143" t="s">
        <v>358</v>
      </c>
      <c r="Y9" s="143" t="s">
        <v>359</v>
      </c>
      <c r="Z9" s="143" t="s">
        <v>360</v>
      </c>
      <c r="AA9" s="143" t="s">
        <v>361</v>
      </c>
      <c r="AB9" s="143" t="s">
        <v>195</v>
      </c>
      <c r="AC9" s="143" t="s">
        <v>196</v>
      </c>
      <c r="AD9" s="143" t="s">
        <v>197</v>
      </c>
      <c r="AE9" s="143" t="s">
        <v>198</v>
      </c>
      <c r="AF9" s="143" t="s">
        <v>362</v>
      </c>
      <c r="AG9" s="143" t="s">
        <v>199</v>
      </c>
    </row>
    <row r="10" spans="1:33" ht="3.75" customHeight="1" x14ac:dyDescent="0.25">
      <c r="A10" s="286"/>
      <c r="B10" s="286"/>
      <c r="C10" s="286"/>
      <c r="D10" s="286"/>
      <c r="E10" s="286"/>
    </row>
    <row r="11" spans="1:33" ht="15.75" customHeight="1" x14ac:dyDescent="0.25">
      <c r="A11" s="287" t="str">
        <f>""&amp;malumot!C64&amp;" ta’minoti:"</f>
        <v>Mikrokredit ta’minoti:</v>
      </c>
      <c r="B11" s="287"/>
      <c r="C11" s="287"/>
      <c r="D11" s="287"/>
      <c r="E11" s="287"/>
    </row>
    <row r="12" spans="1:33" ht="7.5" customHeight="1" x14ac:dyDescent="0.25"/>
    <row r="13" spans="1:33" ht="64.5" customHeight="1" x14ac:dyDescent="0.25">
      <c r="A13" s="286" t="str">
        <f>xulosa!A18:E18</f>
        <v>1.   Egalik huquqi BEKOV OTABEK BAXODIROVICHga tegishli bo'lgan garovga olingan avtomobil markasi   JAC M3, rangi -  QORA CHERNIY, ishlab chiqarilgan yili - 2023, davlat raqam belgisi 90C477ZA, kuzov turi - YENGIL MINIVEN, kuzov raqami P08461541, dvigatel raqami LJ166A33XP2208188, shassi raqami - Rakamsiz</v>
      </c>
      <c r="B13" s="286"/>
      <c r="C13" s="286"/>
      <c r="D13" s="286"/>
      <c r="E13" s="286"/>
    </row>
    <row r="14" spans="1:33" ht="31.9" customHeight="1" x14ac:dyDescent="0.25">
      <c r="A14" s="287" t="str">
        <f>"2. «"&amp;malumot!B153&amp;"» АJ sug‘urta kompaniyasi tomonidan Mikroqarz to'lamaslik xavfini "&amp;FIXED(malumot!B154,2)&amp;"("&amp;malumot!B155&amp;") so ' m miqdoriga sug’urta qilish"</f>
        <v>2. «АО "APEX INSURANCE"» АJ sug‘urta kompaniyasi tomonidan Mikroqarz to'lamaslik xavfini 15 000 000,00(o'n besh million so'm) so ' m miqdoriga sug’urta qilish</v>
      </c>
      <c r="B14" s="287"/>
      <c r="C14" s="287"/>
      <c r="D14" s="287"/>
      <c r="E14" s="287"/>
    </row>
    <row r="15" spans="1:33" ht="17.25" customHeight="1" x14ac:dyDescent="0.25">
      <c r="C15" s="144" t="s">
        <v>372</v>
      </c>
      <c r="D15" s="144" t="str">
        <f>""&amp;malumot!B157&amp;" kredit qo‘mitasi"</f>
        <v>«CLEVER MIKROMOLIYA TASHKILOTI» MChJ kredit qo‘mitasi</v>
      </c>
      <c r="E15" s="144" t="str">
        <f>CONCATENATE(C15,D15)</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6" spans="1:33" ht="54" customHeight="1" x14ac:dyDescent="0.25">
      <c r="A16" s="286" t="str">
        <f>CONCATENATE(H9,E15)</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6" s="286"/>
      <c r="C16" s="286"/>
      <c r="D16" s="286"/>
      <c r="E16" s="286"/>
    </row>
    <row r="17" spans="1:5" ht="24" customHeight="1" x14ac:dyDescent="0.25">
      <c r="A17" s="292" t="s">
        <v>258</v>
      </c>
      <c r="B17" s="292"/>
      <c r="C17" s="292"/>
      <c r="D17" s="292"/>
      <c r="E17" s="292"/>
    </row>
    <row r="18" spans="1:5" ht="32.25" customHeight="1" x14ac:dyDescent="0.25">
      <c r="A18" s="286" t="str">
        <f>"       "&amp;malumot!B5&amp;"ga quyidagi shartlarda "&amp;malumot!B65&amp;" berish masalasi ma’qullansin:"</f>
        <v xml:space="preserve">       MATCHANOVA AZIZA BEKTURDIYEVNAga quyidagi shartlarda mikrokredit berish masalasi ma’qullansin:</v>
      </c>
      <c r="B18" s="286"/>
      <c r="C18" s="286"/>
      <c r="D18" s="286"/>
      <c r="E18" s="286"/>
    </row>
    <row r="19" spans="1:5" s="125" customFormat="1" ht="18.75" customHeight="1" x14ac:dyDescent="0.25">
      <c r="A19" s="290" t="str">
        <f>"1. "&amp;malumot!C64&amp;" summasi: "&amp;FIXED(malumot!B76)&amp;" ("&amp;malumot!B77&amp;") so'm."</f>
        <v>1. Mikrokredit summasi: 125 000 000,00 (yuz yigirma besh million so'm) so'm.</v>
      </c>
      <c r="B19" s="290"/>
      <c r="C19" s="290"/>
      <c r="D19" s="290"/>
      <c r="E19" s="290"/>
    </row>
    <row r="20" spans="1:5" s="125" customFormat="1" ht="18.75" customHeight="1" x14ac:dyDescent="0.25">
      <c r="A20" s="290" t="str">
        <f>"2. "&amp;malumot!C64&amp;" muddati: "&amp;malumot!B82&amp;" ("&amp;malumot!B83&amp;") oy "</f>
        <v xml:space="preserve">2. Mikrokredit muddati: 36 (O'ttiz olti  ) oy </v>
      </c>
      <c r="B20" s="290"/>
      <c r="C20" s="290"/>
      <c r="D20" s="290"/>
      <c r="E20" s="290"/>
    </row>
    <row r="21" spans="1:5" s="125" customFormat="1" ht="18.75" customHeight="1" x14ac:dyDescent="0.25">
      <c r="A21" s="290" t="str">
        <f>"3. "&amp;malumot!C64&amp;"dan foydalanganlik uchun foiz stavkasi:yillik "&amp;malumot!B86&amp;"% ("&amp;malumot!B87&amp;") foiz."</f>
        <v>3. Mikrokreditdan foydalanganlik uchun foiz stavkasi:yillik 55% (Ellik besh  ) foiz.</v>
      </c>
      <c r="B21" s="290"/>
      <c r="C21" s="290"/>
      <c r="D21" s="290"/>
      <c r="E21" s="290"/>
    </row>
    <row r="22" spans="1:5" s="125" customFormat="1" ht="18.75" customHeight="1" x14ac:dyDescent="0.25">
      <c r="A22" s="290" t="str">
        <f>"4. "&amp;malumot!C64&amp;" bo‘yicha asosiy qarz va foizlarni to‘lash:"</f>
        <v>4. Mikrokredit bo‘yicha asosiy qarz va foizlarni to‘lash:</v>
      </c>
      <c r="B22" s="290"/>
      <c r="C22" s="290"/>
      <c r="D22" s="290"/>
      <c r="E22" s="290"/>
    </row>
    <row r="23" spans="1:5" s="125" customFormat="1" ht="18.75" customHeight="1" x14ac:dyDescent="0.25">
      <c r="A23" s="290" t="str">
        <f>kredit_ariza!A19:D19</f>
        <v xml:space="preserve"> - mikrokredit shartnomasi bo'yicha har oy annuitet to'lovlari amalga oshiriladi</v>
      </c>
      <c r="B23" s="290"/>
      <c r="C23" s="290"/>
      <c r="D23" s="290"/>
      <c r="E23" s="290"/>
    </row>
    <row r="24" spans="1:5" s="125" customFormat="1" ht="18.75" customHeight="1" x14ac:dyDescent="0.25">
      <c r="A24" s="290" t="s">
        <v>383</v>
      </c>
      <c r="B24" s="290"/>
      <c r="C24" s="290"/>
      <c r="D24" s="290"/>
      <c r="E24" s="290"/>
    </row>
    <row r="25" spans="1:5" ht="48" customHeight="1" x14ac:dyDescent="0.25">
      <c r="A25" s="286" t="str">
        <f>"1. garov  "&amp;xulosa!A29:E29&amp;""</f>
        <v>1. garov   - BEKOV OTABEK BAXODIROVICH ga mulk huquqi asosida tegishli avtotransport vositasi JAC M3 , quyidagi tafsilotlarga muvofiq:</v>
      </c>
      <c r="B25" s="286"/>
      <c r="C25" s="286"/>
      <c r="D25" s="286"/>
      <c r="E25" s="286"/>
    </row>
    <row r="26" spans="1:5" ht="40.5" customHeight="1" x14ac:dyDescent="0.25">
      <c r="A26" s="15" t="str">
        <f>dalolatnoma!A29</f>
        <v>Nomi</v>
      </c>
      <c r="B26" s="15" t="str">
        <f>dalolatnoma!B29</f>
        <v>Kuzov turi  va kuzov raqami*</v>
      </c>
      <c r="C26" s="15" t="str">
        <f>dalolatnoma!C29</f>
        <v>Dvigatel va shassi raqami*</v>
      </c>
      <c r="D26" s="15" t="str">
        <f>dalolatnoma!D29</f>
        <v>Ishlab chiqarilgan yili va rangi*</v>
      </c>
      <c r="E26" s="15" t="str">
        <f>dalolatnoma!E29</f>
        <v>Kelishilgan garov qiymati, so'm</v>
      </c>
    </row>
    <row r="27" spans="1:5" ht="75.75" customHeight="1" x14ac:dyDescent="0.25">
      <c r="A27" s="15" t="str">
        <f>dalolatnoma!A30</f>
        <v>JAC M3</v>
      </c>
      <c r="B27" s="15" t="str">
        <f>dalolatnoma!B30</f>
        <v>kuzov turi - YENGIL MINIVEN, kuzov raqami P08461541</v>
      </c>
      <c r="C27" s="15" t="str">
        <f>dalolatnoma!C30</f>
        <v>dvigatel raqami LJ166A33XP2208188, shassi raqami - Rakamsiz</v>
      </c>
      <c r="D27" s="15" t="str">
        <f>dalolatnoma!D30</f>
        <v>rangi -  QORA CHERNIY, ishlab chiqarilgan yili - 2023</v>
      </c>
      <c r="E27" s="15" t="str">
        <f>dalolatnoma!E30</f>
        <v>165 000 000,00 
(yuz oltmish besh million so'm)</v>
      </c>
    </row>
    <row r="28" spans="1:5" ht="20.25" customHeight="1" x14ac:dyDescent="0.25">
      <c r="A28" s="286" t="str">
        <f>dalolatnoma!A22:E22</f>
        <v>-* avtotransport egasi: BEKOV OTABEK BAXODIROVICH</v>
      </c>
      <c r="B28" s="286"/>
      <c r="C28" s="286"/>
      <c r="D28" s="286"/>
      <c r="E28" s="286"/>
    </row>
    <row r="29" spans="1:5" ht="20.25" customHeight="1" x14ac:dyDescent="0.25">
      <c r="A29" s="286" t="str">
        <f>dalolatnoma!A23:E23</f>
        <v>-* texnik pasport: AAG 5923045 28.03.2025y.</v>
      </c>
      <c r="B29" s="286"/>
      <c r="C29" s="286"/>
      <c r="D29" s="286"/>
      <c r="E29" s="286"/>
    </row>
    <row r="30" spans="1:5" ht="18" customHeight="1" x14ac:dyDescent="0.25">
      <c r="A30" s="286" t="str">
        <f>dalolatnoma!A24:E24</f>
        <v>-* roʻyxatdan oʻtgan manzili/garaj manzili: XORAZM VILOYATI URGANCH TUMANI GOYBU QFY OQ MAKTAB MFY</v>
      </c>
      <c r="B30" s="286"/>
      <c r="C30" s="286"/>
      <c r="D30" s="286"/>
      <c r="E30" s="286"/>
    </row>
    <row r="31" spans="1:5" ht="22.5" customHeight="1" x14ac:dyDescent="0.25">
      <c r="A31" s="286" t="str">
        <f>dalolatnoma!A25:E25</f>
        <v>-* davlat raqami: 90C477ZA</v>
      </c>
      <c r="B31" s="286"/>
      <c r="C31" s="286"/>
      <c r="D31" s="286"/>
      <c r="E31" s="286"/>
    </row>
    <row r="32" spans="1:5" ht="12" customHeight="1" x14ac:dyDescent="0.25">
      <c r="A32" s="126"/>
      <c r="B32" s="126"/>
      <c r="C32" s="126"/>
      <c r="D32" s="126"/>
      <c r="E32" s="126"/>
    </row>
    <row r="33" spans="1:5" ht="34.9" customHeight="1" x14ac:dyDescent="0.25">
      <c r="A33" s="286" t="str">
        <f>"6. «"&amp;malumot!B153&amp;"» АJ sug‘urta kompaniyasi tomonidan Mikroqarz to'lamaslik xavfini "&amp;FIXED(malumot!B154,2)&amp;"("&amp;malumot!B155&amp;") so ' m miqdoriga sug’urta qilish"</f>
        <v>6. «АО "APEX INSURANCE"» АJ sug‘urta kompaniyasi tomonidan Mikroqarz to'lamaslik xavfini 15 000 000,00(o'n besh million so'm) so ' m miqdoriga sug’urta qilish</v>
      </c>
      <c r="B33" s="286"/>
      <c r="C33" s="286"/>
      <c r="D33" s="286"/>
      <c r="E33" s="286"/>
    </row>
    <row r="34" spans="1:5" ht="22.5" customHeight="1" x14ac:dyDescent="0.25">
      <c r="A34" s="286" t="str">
        <f>"7. Boshqa shartlar – "&amp;IF(malumot!B110=malumot!B111,"avtotransport vositasi",IF(malumot!B110=malumot!C111,"ko'chmas mulk",0))&amp;" shaklida garov ta'minlangandan keyin "&amp;malumot!B65&amp;" berish."</f>
        <v>7. Boshqa shartlar – 0 shaklida garov ta'minlangandan keyin mikrokredit berish.</v>
      </c>
      <c r="B34" s="286"/>
      <c r="C34" s="286"/>
      <c r="D34" s="286"/>
      <c r="E34" s="286"/>
    </row>
    <row r="36" spans="1:5" ht="24" customHeight="1" x14ac:dyDescent="0.25">
      <c r="A36" s="293" t="s">
        <v>259</v>
      </c>
      <c r="B36" s="293"/>
      <c r="C36" s="293"/>
      <c r="D36" s="293"/>
      <c r="E36" s="293"/>
    </row>
    <row r="37" spans="1:5" hidden="1" x14ac:dyDescent="0.25">
      <c r="A37" s="18"/>
      <c r="B37" s="289"/>
      <c r="C37" s="289"/>
      <c r="D37" s="183"/>
      <c r="E37" s="18"/>
    </row>
    <row r="38" spans="1:5" ht="3.75" customHeight="1" x14ac:dyDescent="0.25">
      <c r="A38" s="18"/>
      <c r="B38" s="289"/>
      <c r="C38" s="289"/>
      <c r="D38" s="183"/>
      <c r="E38" s="18"/>
    </row>
    <row r="39" spans="1:5" ht="27" customHeight="1" x14ac:dyDescent="0.25">
      <c r="A39" s="18"/>
      <c r="B39" s="289"/>
      <c r="C39" s="289"/>
      <c r="D39" s="183"/>
      <c r="E39" s="18"/>
    </row>
    <row r="40" spans="1:5" ht="14.25" customHeight="1" x14ac:dyDescent="0.25"/>
    <row r="41" spans="1:5" ht="65.25" customHeight="1" x14ac:dyDescent="0.25">
      <c r="A41" s="208" t="str">
        <f>malumot!B157&amp;" ijrochi direktori"</f>
        <v>«CLEVER MIKROMOLIYA TASHKILOTI» MChJ ijrochi direktori</v>
      </c>
      <c r="B41" s="210"/>
      <c r="C41" s="210"/>
      <c r="D41" s="209" t="s">
        <v>394</v>
      </c>
    </row>
    <row r="42" spans="1:5" x14ac:dyDescent="0.25">
      <c r="A42" s="210"/>
      <c r="B42" s="210"/>
      <c r="C42" s="210"/>
      <c r="D42" s="210"/>
    </row>
    <row r="43" spans="1:5" x14ac:dyDescent="0.25">
      <c r="A43" s="210"/>
      <c r="B43" s="210"/>
      <c r="C43" s="210"/>
      <c r="D43" s="210"/>
    </row>
    <row r="44" spans="1:5" x14ac:dyDescent="0.25">
      <c r="A44" s="210"/>
      <c r="B44" s="210"/>
      <c r="C44" s="210"/>
      <c r="D44" s="210"/>
    </row>
    <row r="45" spans="1:5" ht="29.25" x14ac:dyDescent="0.25">
      <c r="A45" s="210" t="str">
        <f>malumot!A169</f>
        <v>Kreditlash bo’limi boshlig’i</v>
      </c>
      <c r="B45" s="210"/>
      <c r="C45" s="210"/>
      <c r="D45" s="210" t="str">
        <f>malumot!B169</f>
        <v>B. Mominov</v>
      </c>
    </row>
    <row r="46" spans="1:5" x14ac:dyDescent="0.25">
      <c r="A46" s="210"/>
      <c r="B46" s="210"/>
      <c r="C46" s="210"/>
      <c r="D46" s="210"/>
    </row>
    <row r="47" spans="1:5" x14ac:dyDescent="0.25">
      <c r="A47" s="210"/>
      <c r="B47" s="210"/>
      <c r="C47" s="210"/>
      <c r="D47" s="210"/>
    </row>
    <row r="48" spans="1:5" x14ac:dyDescent="0.25">
      <c r="A48" s="210"/>
      <c r="B48" s="210"/>
      <c r="C48" s="210"/>
      <c r="D48" s="210"/>
    </row>
    <row r="49" spans="1:4" ht="29.25" x14ac:dyDescent="0.25">
      <c r="A49" s="210" t="str">
        <f>malumot!A170</f>
        <v>Monitoring bo’limi boshlig’i</v>
      </c>
      <c r="B49" s="210"/>
      <c r="C49" s="210"/>
      <c r="D49" s="210" t="str">
        <f>malumot!B170</f>
        <v>B. Jumanazarov</v>
      </c>
    </row>
  </sheetData>
  <mergeCells count="28">
    <mergeCell ref="A22:E22"/>
    <mergeCell ref="A23:E23"/>
    <mergeCell ref="A14:E14"/>
    <mergeCell ref="A24:E24"/>
    <mergeCell ref="A36:E36"/>
    <mergeCell ref="A31:E31"/>
    <mergeCell ref="A25:E25"/>
    <mergeCell ref="A28:E28"/>
    <mergeCell ref="A29:E29"/>
    <mergeCell ref="A30:E30"/>
    <mergeCell ref="A34:E34"/>
    <mergeCell ref="A33:E33"/>
    <mergeCell ref="B37:C37"/>
    <mergeCell ref="B38:C38"/>
    <mergeCell ref="B39:C39"/>
    <mergeCell ref="A20:E20"/>
    <mergeCell ref="A1:E1"/>
    <mergeCell ref="A2:E2"/>
    <mergeCell ref="B4:D4"/>
    <mergeCell ref="A5:E5"/>
    <mergeCell ref="A7:E10"/>
    <mergeCell ref="A11:E11"/>
    <mergeCell ref="A13:E13"/>
    <mergeCell ref="A16:E16"/>
    <mergeCell ref="A17:E17"/>
    <mergeCell ref="A18:E18"/>
    <mergeCell ref="A19:E19"/>
    <mergeCell ref="A21:E21"/>
  </mergeCells>
  <pageMargins left="0.70866141732283472" right="0.70866141732283472" top="0.74803149606299213" bottom="0.74803149606299213" header="0.31496062992125984" footer="0.31496062992125984"/>
  <pageSetup paperSize="9" scale="60" orientation="portrait" verticalDpi="300"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9">
    <tabColor theme="1"/>
  </sheetPr>
  <dimension ref="A1:V76"/>
  <sheetViews>
    <sheetView topLeftCell="A16" zoomScale="70" zoomScaleNormal="70" zoomScaleSheetLayoutView="70" workbookViewId="0">
      <selection activeCell="D56" sqref="D56:F56"/>
    </sheetView>
  </sheetViews>
  <sheetFormatPr defaultColWidth="9.140625" defaultRowHeight="15" outlineLevelCol="1" x14ac:dyDescent="0.25"/>
  <cols>
    <col min="1" max="1" width="9.140625" style="79"/>
    <col min="2" max="2" width="12.28515625" style="79" customWidth="1"/>
    <col min="3" max="3" width="16.5703125" style="79" customWidth="1"/>
    <col min="4" max="4" width="16.7109375" style="79" customWidth="1"/>
    <col min="5" max="5" width="16.5703125" style="79" customWidth="1"/>
    <col min="6" max="6" width="20.85546875" style="79" customWidth="1"/>
    <col min="7" max="7" width="10.140625" style="79" customWidth="1" outlineLevel="1"/>
    <col min="8" max="8" width="19.140625" style="79" customWidth="1"/>
    <col min="9" max="9" width="21.42578125" style="79" customWidth="1"/>
    <col min="10" max="10" width="20.85546875" style="79" customWidth="1"/>
    <col min="11" max="11" width="20.140625" style="79" customWidth="1"/>
    <col min="12" max="12" width="21.42578125" style="79" customWidth="1"/>
    <col min="13" max="13" width="25.42578125" style="79" customWidth="1"/>
    <col min="14" max="14" width="18.28515625" style="79" customWidth="1"/>
    <col min="15" max="17" width="9.140625" style="13"/>
    <col min="18" max="18" width="24.42578125" style="13" customWidth="1"/>
    <col min="19" max="16384" width="9.140625" style="13"/>
  </cols>
  <sheetData>
    <row r="1" spans="1:22" x14ac:dyDescent="0.25">
      <c r="A1" s="78"/>
      <c r="B1" s="78"/>
      <c r="C1" s="78"/>
      <c r="D1" s="78"/>
      <c r="E1" s="294" t="s">
        <v>15</v>
      </c>
      <c r="F1" s="294"/>
    </row>
    <row r="2" spans="1:22" x14ac:dyDescent="0.25">
      <c r="A2" s="78"/>
      <c r="B2" s="78"/>
      <c r="C2" s="78"/>
      <c r="D2" s="78"/>
      <c r="E2" s="78"/>
      <c r="F2" s="80" t="str">
        <f>"к договору микрозайма "&amp;malumot!B74&amp;""</f>
        <v>к договору микрозайма 7 aprel 2025 y.dan №717-XMS</v>
      </c>
    </row>
    <row r="3" spans="1:22" ht="19.5" customHeight="1" x14ac:dyDescent="0.25">
      <c r="A3" s="78"/>
      <c r="B3" s="78"/>
      <c r="C3" s="78"/>
      <c r="D3" s="78"/>
      <c r="E3" s="78"/>
      <c r="F3" s="78"/>
      <c r="H3" s="81"/>
      <c r="I3" s="81"/>
      <c r="J3" s="82"/>
      <c r="K3" s="82"/>
    </row>
    <row r="4" spans="1:22" ht="19.5" customHeight="1" x14ac:dyDescent="0.25">
      <c r="A4" s="295" t="s">
        <v>16</v>
      </c>
      <c r="B4" s="295"/>
      <c r="C4" s="295"/>
      <c r="D4" s="295"/>
      <c r="E4" s="295"/>
      <c r="F4" s="295"/>
      <c r="H4" s="81"/>
      <c r="I4" s="81"/>
      <c r="J4" s="81"/>
      <c r="K4" s="81"/>
    </row>
    <row r="5" spans="1:22" ht="19.5" customHeight="1" x14ac:dyDescent="0.25">
      <c r="L5" s="79">
        <f>malumot!B82</f>
        <v>36</v>
      </c>
    </row>
    <row r="6" spans="1:22" x14ac:dyDescent="0.25">
      <c r="A6" s="296" t="s">
        <v>14</v>
      </c>
      <c r="B6" s="297" t="s">
        <v>8</v>
      </c>
      <c r="C6" s="297" t="s">
        <v>9</v>
      </c>
      <c r="D6" s="298" t="s">
        <v>10</v>
      </c>
      <c r="E6" s="298"/>
      <c r="F6" s="298"/>
    </row>
    <row r="7" spans="1:22" s="14" customFormat="1" x14ac:dyDescent="0.25">
      <c r="A7" s="296"/>
      <c r="B7" s="297"/>
      <c r="C7" s="297"/>
      <c r="D7" s="83" t="s">
        <v>11</v>
      </c>
      <c r="E7" s="83" t="s">
        <v>12</v>
      </c>
      <c r="F7" s="83" t="s">
        <v>13</v>
      </c>
      <c r="G7" s="84"/>
      <c r="H7" s="84"/>
      <c r="I7" s="84"/>
      <c r="J7" s="84"/>
      <c r="K7" s="84"/>
      <c r="L7" s="84"/>
      <c r="M7" s="84"/>
      <c r="N7" s="84"/>
    </row>
    <row r="8" spans="1:22" x14ac:dyDescent="0.25">
      <c r="A8" s="85">
        <v>1</v>
      </c>
      <c r="B8" s="86">
        <f>malumot!B80</f>
        <v>45778</v>
      </c>
      <c r="C8" s="48">
        <f>malumot!B76</f>
        <v>125000000</v>
      </c>
      <c r="D8" s="48">
        <f>IF(IF(C8=0,L8,IF(C8&gt;1,I8))="",0,(IF(C8=0,L8,IF(C8&gt;1,I8))))</f>
        <v>3472222.22</v>
      </c>
      <c r="E8" s="48">
        <f>IF(C8=0,N6,IF(C8&gt;1,L8))</f>
        <v>4520547.84</v>
      </c>
      <c r="F8" s="48">
        <f>IF(C8=0,O6,IF(C8&gt;1,M8))</f>
        <v>7992770.0600000005</v>
      </c>
      <c r="G8" s="99">
        <f>B8-malumot!B67</f>
        <v>24</v>
      </c>
      <c r="H8" s="79">
        <f>DATE(YEAR(B8),12,31)-DATE(YEAR(B8),1,1)+1</f>
        <v>365</v>
      </c>
      <c r="I8" s="87">
        <f>IF(malumot!B84=0,ROUND(C8/L5,2),"")</f>
        <v>3472222.22</v>
      </c>
      <c r="J8" s="87"/>
      <c r="K8" s="87"/>
      <c r="L8" s="81">
        <f>ROUND(C8*malumot!$B$85/H8,2)*G8</f>
        <v>4520547.84</v>
      </c>
      <c r="M8" s="81">
        <f t="shared" ref="M8:M31" si="0">D8+E8</f>
        <v>7992770.0600000005</v>
      </c>
      <c r="N8" s="81"/>
      <c r="O8" s="96" t="str">
        <f>TEXT(B8,"ддд")</f>
        <v>Чт</v>
      </c>
      <c r="P8" s="98">
        <f>IF(O8=$U$8,2,IF(O8=$V$8,1,0))</f>
        <v>0</v>
      </c>
      <c r="Q8" s="98">
        <f>DAY(malumot!$B$79)+P8</f>
        <v>1</v>
      </c>
      <c r="R8" s="93"/>
      <c r="S8" s="94" t="s">
        <v>31</v>
      </c>
      <c r="T8" s="94" t="s">
        <v>32</v>
      </c>
      <c r="U8" s="94" t="s">
        <v>33</v>
      </c>
      <c r="V8" s="95" t="s">
        <v>34</v>
      </c>
    </row>
    <row r="9" spans="1:22" x14ac:dyDescent="0.25">
      <c r="A9" s="85">
        <v>2</v>
      </c>
      <c r="B9" s="86">
        <f>IF(A9&lt;=malumot!$B$82,DATE(YEAR(R9),MONTH(R9),DAY(IF(A9=malumot!$B$82,malumot!$B$67,IF(A9&lt;malumot!$B$82,(Q9),IF(A9&gt;malumot!$B$82,$H$56,0))))))</f>
        <v>45810</v>
      </c>
      <c r="C9" s="48">
        <f t="shared" ref="C9:C30" si="1">C8-D8</f>
        <v>121527777.78</v>
      </c>
      <c r="D9" s="48">
        <f t="shared" ref="D9:D30" si="2">IF(C9=0,L9,IF(C9&gt;1,I9))</f>
        <v>3472222.22</v>
      </c>
      <c r="E9" s="48">
        <f t="shared" ref="E9:E30" si="3">IF(C9=0,N8,IF(C9&gt;1,L9))</f>
        <v>5859969.5999999996</v>
      </c>
      <c r="F9" s="48">
        <f t="shared" ref="F9:F30" si="4">IF(C9=0,N8,IF(C9&gt;1,M9))</f>
        <v>9332191.8200000003</v>
      </c>
      <c r="G9" s="79">
        <f>B9-B8</f>
        <v>32</v>
      </c>
      <c r="H9" s="79">
        <f t="shared" ref="H9:H31" si="5">DATE(YEAR(B9),12,31)-DATE(YEAR(B9),1,1)+1</f>
        <v>365</v>
      </c>
      <c r="I9" s="87">
        <f>IF(I8="",ROUND(C8/(L5-1),2),I8)</f>
        <v>3472222.22</v>
      </c>
      <c r="J9" s="87"/>
      <c r="K9" s="87"/>
      <c r="L9" s="81">
        <f>ROUND(C9*malumot!$B$85/H9,2)*G9</f>
        <v>5859969.5999999996</v>
      </c>
      <c r="M9" s="81">
        <f t="shared" si="0"/>
        <v>9332191.8200000003</v>
      </c>
      <c r="N9" s="81"/>
      <c r="O9" s="96" t="str">
        <f>TEXT(R9,"ддд")</f>
        <v>Вс</v>
      </c>
      <c r="P9" s="98">
        <f t="shared" ref="P9:P31" si="6">IF(O9=$U$8,2,IF(O9=$V$8,1,0))</f>
        <v>1</v>
      </c>
      <c r="Q9" s="98">
        <f>DAY(malumot!$B$79)+P9</f>
        <v>2</v>
      </c>
      <c r="R9" s="93">
        <f>IF(A9&lt;=malumot!$B$82,DATE(YEAR($B$8),MONTH($B$8)+A8,DAY(malumot!$B$79)),0)</f>
        <v>45809</v>
      </c>
      <c r="S9" s="79"/>
      <c r="T9" s="79"/>
      <c r="U9" s="79"/>
      <c r="V9" s="79"/>
    </row>
    <row r="10" spans="1:22" x14ac:dyDescent="0.25">
      <c r="A10" s="85">
        <v>3</v>
      </c>
      <c r="B10" s="86">
        <f>IF(A10&lt;=malumot!$B$82,DATE(YEAR(R10),MONTH(R10),DAY(IF(A10=malumot!$B$82,malumot!$B$67,IF(A10&lt;malumot!$B$82,(Q10),IF(A10&gt;malumot!$B$82,$H$56,0))))))</f>
        <v>45839</v>
      </c>
      <c r="C10" s="48">
        <f t="shared" si="1"/>
        <v>118055555.56</v>
      </c>
      <c r="D10" s="48">
        <f t="shared" si="2"/>
        <v>3472222.22</v>
      </c>
      <c r="E10" s="48">
        <f t="shared" si="3"/>
        <v>5158865.97</v>
      </c>
      <c r="F10" s="48">
        <f t="shared" si="4"/>
        <v>8631088.1899999995</v>
      </c>
      <c r="G10" s="79">
        <f t="shared" ref="G10:G31" si="7">B10-B9</f>
        <v>29</v>
      </c>
      <c r="H10" s="79">
        <f t="shared" si="5"/>
        <v>365</v>
      </c>
      <c r="I10" s="87">
        <f>I9</f>
        <v>3472222.22</v>
      </c>
      <c r="J10" s="87"/>
      <c r="K10" s="87"/>
      <c r="L10" s="81">
        <f>ROUND(C10*malumot!$B$85/H10,2)*G10</f>
        <v>5158865.97</v>
      </c>
      <c r="M10" s="81">
        <f t="shared" si="0"/>
        <v>8631088.1899999995</v>
      </c>
      <c r="N10" s="81"/>
      <c r="O10" s="96" t="str">
        <f t="shared" ref="O10:O31" si="8">TEXT(R10,"ддд")</f>
        <v>Вт</v>
      </c>
      <c r="P10" s="98">
        <f t="shared" si="6"/>
        <v>0</v>
      </c>
      <c r="Q10" s="98">
        <f>DAY(malumot!$B$79)+P10</f>
        <v>1</v>
      </c>
      <c r="R10" s="93">
        <f>IF(A10&lt;=malumot!$B$82,DATE(YEAR($B$8),MONTH($B$8)+A9,DAY(malumot!$B$79)),0)</f>
        <v>45839</v>
      </c>
      <c r="S10" s="79"/>
      <c r="T10" s="79"/>
      <c r="U10" s="79"/>
      <c r="V10" s="79"/>
    </row>
    <row r="11" spans="1:22" x14ac:dyDescent="0.25">
      <c r="A11" s="85">
        <v>4</v>
      </c>
      <c r="B11" s="86">
        <f>IF(A11&lt;=malumot!$B$82,DATE(YEAR(R11),MONTH(R11),DAY(IF(A11=malumot!$B$82,malumot!$B$67,IF(A11&lt;malumot!$B$82,(Q11),IF(A11&gt;malumot!$B$82,$H$56,0))))))</f>
        <v>45870</v>
      </c>
      <c r="C11" s="48">
        <f t="shared" si="1"/>
        <v>114583333.34</v>
      </c>
      <c r="D11" s="48">
        <f t="shared" si="2"/>
        <v>3472222.22</v>
      </c>
      <c r="E11" s="48">
        <f t="shared" si="3"/>
        <v>5352454.42</v>
      </c>
      <c r="F11" s="48">
        <f t="shared" si="4"/>
        <v>8824676.6400000006</v>
      </c>
      <c r="G11" s="79">
        <f t="shared" si="7"/>
        <v>31</v>
      </c>
      <c r="H11" s="79">
        <f t="shared" si="5"/>
        <v>365</v>
      </c>
      <c r="I11" s="87">
        <f>I10</f>
        <v>3472222.22</v>
      </c>
      <c r="J11" s="87"/>
      <c r="K11" s="87"/>
      <c r="L11" s="81">
        <f>ROUND(C11*malumot!$B$85/H11,2)*G11</f>
        <v>5352454.42</v>
      </c>
      <c r="M11" s="81">
        <f t="shared" si="0"/>
        <v>8824676.6400000006</v>
      </c>
      <c r="N11" s="81"/>
      <c r="O11" s="96" t="str">
        <f t="shared" si="8"/>
        <v>Пт</v>
      </c>
      <c r="P11" s="98">
        <f t="shared" si="6"/>
        <v>0</v>
      </c>
      <c r="Q11" s="98">
        <f>DAY(malumot!$B$79)+P11</f>
        <v>1</v>
      </c>
      <c r="R11" s="93">
        <f>IF(A11&lt;=malumot!$B$82,DATE(YEAR($B$8),MONTH($B$8)+A10,DAY(malumot!$B$79)),0)</f>
        <v>45870</v>
      </c>
      <c r="S11" s="79"/>
      <c r="T11" s="79"/>
      <c r="U11" s="79"/>
      <c r="V11" s="79"/>
    </row>
    <row r="12" spans="1:22" x14ac:dyDescent="0.25">
      <c r="A12" s="85">
        <v>5</v>
      </c>
      <c r="B12" s="86">
        <f>IF(A12&lt;=malumot!$B$82,DATE(YEAR(R12),MONTH(R12),DAY(IF(A12=malumot!$B$82,malumot!$B$67,IF(A12&lt;malumot!$B$82,(Q12),IF(A12&gt;malumot!$B$82,$H$56,0))))))</f>
        <v>45901</v>
      </c>
      <c r="C12" s="48">
        <f t="shared" si="1"/>
        <v>111111111.12</v>
      </c>
      <c r="D12" s="48">
        <f t="shared" si="2"/>
        <v>3472222.22</v>
      </c>
      <c r="E12" s="48">
        <f t="shared" si="3"/>
        <v>5190258.7</v>
      </c>
      <c r="F12" s="48">
        <f t="shared" si="4"/>
        <v>8662480.9199999999</v>
      </c>
      <c r="G12" s="79">
        <f t="shared" si="7"/>
        <v>31</v>
      </c>
      <c r="H12" s="79">
        <f t="shared" si="5"/>
        <v>365</v>
      </c>
      <c r="I12" s="87">
        <f>I11</f>
        <v>3472222.22</v>
      </c>
      <c r="J12" s="87">
        <f>malumot!B76</f>
        <v>125000000</v>
      </c>
      <c r="K12" s="87"/>
      <c r="L12" s="81">
        <f>ROUND(C12*malumot!$B$85/H12,2)*G12</f>
        <v>5190258.7</v>
      </c>
      <c r="M12" s="81">
        <f t="shared" si="0"/>
        <v>8662480.9199999999</v>
      </c>
      <c r="N12" s="81"/>
      <c r="O12" s="96" t="str">
        <f t="shared" si="8"/>
        <v>Пн</v>
      </c>
      <c r="P12" s="98">
        <f t="shared" si="6"/>
        <v>0</v>
      </c>
      <c r="Q12" s="98">
        <f>DAY(malumot!$B$79)+P12</f>
        <v>1</v>
      </c>
      <c r="R12" s="93">
        <f>IF(A12&lt;=malumot!$B$82,DATE(YEAR($B$8),MONTH($B$8)+A11,DAY(malumot!$B$79)),0)</f>
        <v>45901</v>
      </c>
      <c r="S12" s="79"/>
      <c r="T12" s="79"/>
      <c r="U12" s="79"/>
      <c r="V12" s="79"/>
    </row>
    <row r="13" spans="1:22" x14ac:dyDescent="0.25">
      <c r="A13" s="85">
        <v>6</v>
      </c>
      <c r="B13" s="86">
        <f>IF(A13&lt;=malumot!$B$82,DATE(YEAR(R13),MONTH(R13),DAY(IF(A13=malumot!$B$82,malumot!$B$67,IF(A13&lt;malumot!$B$82,(Q13),IF(A13&gt;malumot!$B$82,$H$56,0))))))</f>
        <v>45931</v>
      </c>
      <c r="C13" s="48">
        <f t="shared" si="1"/>
        <v>107638888.90000001</v>
      </c>
      <c r="D13" s="48">
        <f t="shared" si="2"/>
        <v>3472222.22</v>
      </c>
      <c r="E13" s="48">
        <f t="shared" si="3"/>
        <v>4865867.7</v>
      </c>
      <c r="F13" s="48">
        <f t="shared" si="4"/>
        <v>8338089.9199999999</v>
      </c>
      <c r="G13" s="79">
        <f t="shared" si="7"/>
        <v>30</v>
      </c>
      <c r="H13" s="79">
        <f t="shared" si="5"/>
        <v>365</v>
      </c>
      <c r="I13" s="87">
        <f>IF(L5=H1,K13,IF(L5&gt;H1,I12))</f>
        <v>3472222.22</v>
      </c>
      <c r="J13" s="87">
        <f>SUM($I$8:I12)</f>
        <v>17361111.100000001</v>
      </c>
      <c r="K13" s="87">
        <f>$J$12-J13</f>
        <v>107638888.90000001</v>
      </c>
      <c r="L13" s="81">
        <f>ROUND(C13*malumot!$B$85/H13,2)*G13</f>
        <v>4865867.7</v>
      </c>
      <c r="M13" s="81">
        <f t="shared" si="0"/>
        <v>8338089.9199999999</v>
      </c>
      <c r="N13" s="81"/>
      <c r="O13" s="96" t="str">
        <f t="shared" si="8"/>
        <v>Ср</v>
      </c>
      <c r="P13" s="98">
        <f t="shared" si="6"/>
        <v>0</v>
      </c>
      <c r="Q13" s="98">
        <f>DAY(malumot!$B$79)+P13</f>
        <v>1</v>
      </c>
      <c r="R13" s="93">
        <f>IF(A13&lt;=malumot!$B$82,DATE(YEAR($B$8),MONTH($B$8)+A12,DAY(malumot!$B$79)),0)</f>
        <v>45931</v>
      </c>
      <c r="S13" s="79"/>
      <c r="T13" s="79"/>
      <c r="U13" s="79"/>
      <c r="V13" s="79"/>
    </row>
    <row r="14" spans="1:22" x14ac:dyDescent="0.25">
      <c r="A14" s="85">
        <v>7</v>
      </c>
      <c r="B14" s="86">
        <f>IF(A14&lt;=malumot!$B$82,DATE(YEAR(R14),MONTH(R14),DAY(IF(A14=malumot!$B$82,malumot!$B$67,IF(A14&lt;malumot!$B$82,(Q14),IF(A14&gt;malumot!$B$82,$H$56,0))))))</f>
        <v>45964</v>
      </c>
      <c r="C14" s="48">
        <f t="shared" si="1"/>
        <v>104166666.68000001</v>
      </c>
      <c r="D14" s="48">
        <f t="shared" si="2"/>
        <v>3472222.22</v>
      </c>
      <c r="E14" s="48">
        <f t="shared" si="3"/>
        <v>5179794.51</v>
      </c>
      <c r="F14" s="48">
        <f t="shared" si="4"/>
        <v>8652016.7300000004</v>
      </c>
      <c r="G14" s="79">
        <f t="shared" si="7"/>
        <v>33</v>
      </c>
      <c r="H14" s="79">
        <f t="shared" si="5"/>
        <v>365</v>
      </c>
      <c r="I14" s="87">
        <f>IF($L$5=A14,K14,IF($L$5&gt;A14,I13))</f>
        <v>3472222.22</v>
      </c>
      <c r="J14" s="87">
        <f>SUM($I$8:I13)</f>
        <v>20833333.32</v>
      </c>
      <c r="K14" s="87">
        <f t="shared" ref="K14:K31" si="9">$J$12-J14</f>
        <v>104166666.68000001</v>
      </c>
      <c r="L14" s="81">
        <f>ROUND(C14*malumot!$B$85/H14,2)*G14</f>
        <v>5179794.51</v>
      </c>
      <c r="M14" s="81">
        <f t="shared" si="0"/>
        <v>8652016.7300000004</v>
      </c>
      <c r="N14" s="81"/>
      <c r="O14" s="96" t="str">
        <f t="shared" si="8"/>
        <v>Сб</v>
      </c>
      <c r="P14" s="98">
        <f t="shared" si="6"/>
        <v>2</v>
      </c>
      <c r="Q14" s="98">
        <f>DAY(malumot!$B$79)+P14</f>
        <v>3</v>
      </c>
      <c r="R14" s="93">
        <f>IF(A14&lt;=malumot!$B$82,DATE(YEAR($B$8),MONTH($B$8)+A13,DAY(malumot!$B$79)),0)</f>
        <v>45962</v>
      </c>
      <c r="S14" s="79"/>
      <c r="T14" s="79"/>
      <c r="U14" s="79"/>
      <c r="V14" s="79"/>
    </row>
    <row r="15" spans="1:22" x14ac:dyDescent="0.25">
      <c r="A15" s="85">
        <v>8</v>
      </c>
      <c r="B15" s="86">
        <f>IF(A15&lt;=malumot!$B$82,DATE(YEAR(R15),MONTH(R15),DAY(IF(A15=malumot!$B$82,malumot!$B$67,IF(A15&lt;malumot!$B$82,(Q15),IF(A15&gt;malumot!$B$82,$H$56,0))))))</f>
        <v>45992</v>
      </c>
      <c r="C15" s="48">
        <f t="shared" si="1"/>
        <v>100694444.46000001</v>
      </c>
      <c r="D15" s="48">
        <f t="shared" si="2"/>
        <v>3472222.22</v>
      </c>
      <c r="E15" s="48">
        <f t="shared" si="3"/>
        <v>4248477.8</v>
      </c>
      <c r="F15" s="48">
        <f t="shared" si="4"/>
        <v>7720700.0199999996</v>
      </c>
      <c r="G15" s="79">
        <f t="shared" si="7"/>
        <v>28</v>
      </c>
      <c r="H15" s="79">
        <f t="shared" si="5"/>
        <v>365</v>
      </c>
      <c r="I15" s="87">
        <f t="shared" ref="I15:I31" si="10">IF($L$5=A15,K15,IF($L$5&gt;A15,I14))</f>
        <v>3472222.22</v>
      </c>
      <c r="J15" s="87">
        <f>SUM($I$8:I14)</f>
        <v>24305555.539999999</v>
      </c>
      <c r="K15" s="87">
        <f t="shared" si="9"/>
        <v>100694444.46000001</v>
      </c>
      <c r="L15" s="81">
        <f>ROUND(C15*malumot!$B$85/H15,2)*G15</f>
        <v>4248477.8</v>
      </c>
      <c r="M15" s="81">
        <f t="shared" si="0"/>
        <v>7720700.0199999996</v>
      </c>
      <c r="N15" s="81"/>
      <c r="O15" s="96" t="str">
        <f t="shared" si="8"/>
        <v>Пн</v>
      </c>
      <c r="P15" s="98">
        <f t="shared" si="6"/>
        <v>0</v>
      </c>
      <c r="Q15" s="98">
        <f>DAY(malumot!$B$79)+P15</f>
        <v>1</v>
      </c>
      <c r="R15" s="93">
        <f>IF(A15&lt;=malumot!$B$82,DATE(YEAR($B$8),MONTH($B$8)+A14,DAY(malumot!$B$79)),0)</f>
        <v>45992</v>
      </c>
      <c r="S15" s="79"/>
      <c r="T15" s="79"/>
      <c r="U15" s="79"/>
      <c r="V15" s="79"/>
    </row>
    <row r="16" spans="1:22" x14ac:dyDescent="0.25">
      <c r="A16" s="85">
        <v>9</v>
      </c>
      <c r="B16" s="86">
        <f>IF(A16&lt;=malumot!$B$82,DATE(YEAR(R16),MONTH(R16),DAY(IF(A16=malumot!$B$82,malumot!$B$67,IF(A16&lt;malumot!$B$82,(Q16),IF(A16&gt;malumot!$B$82,$H$56,0))))))</f>
        <v>46023</v>
      </c>
      <c r="C16" s="48">
        <f t="shared" si="1"/>
        <v>97222222.24000001</v>
      </c>
      <c r="D16" s="48">
        <f t="shared" si="2"/>
        <v>3472222.22</v>
      </c>
      <c r="E16" s="48">
        <f t="shared" si="3"/>
        <v>4541476.4399999995</v>
      </c>
      <c r="F16" s="48">
        <f t="shared" si="4"/>
        <v>8013698.6600000001</v>
      </c>
      <c r="G16" s="79">
        <f t="shared" si="7"/>
        <v>31</v>
      </c>
      <c r="H16" s="79">
        <f t="shared" si="5"/>
        <v>365</v>
      </c>
      <c r="I16" s="87">
        <f t="shared" si="10"/>
        <v>3472222.22</v>
      </c>
      <c r="J16" s="87">
        <f>SUM($I$8:I15)</f>
        <v>27777777.759999998</v>
      </c>
      <c r="K16" s="87">
        <f t="shared" si="9"/>
        <v>97222222.24000001</v>
      </c>
      <c r="L16" s="81">
        <f>ROUND(C16*malumot!$B$85/H16,2)*G16</f>
        <v>4541476.4399999995</v>
      </c>
      <c r="M16" s="81">
        <f t="shared" si="0"/>
        <v>8013698.6600000001</v>
      </c>
      <c r="N16" s="81"/>
      <c r="O16" s="96" t="str">
        <f t="shared" si="8"/>
        <v>Чт</v>
      </c>
      <c r="P16" s="98">
        <f t="shared" si="6"/>
        <v>0</v>
      </c>
      <c r="Q16" s="98">
        <f>DAY(malumot!$B$79)+P16</f>
        <v>1</v>
      </c>
      <c r="R16" s="93">
        <f>IF(A16&lt;=malumot!$B$82,DATE(YEAR($B$8),MONTH($B$8)+A15,DAY(malumot!$B$79)),0)</f>
        <v>46023</v>
      </c>
      <c r="S16" s="79"/>
      <c r="T16" s="79"/>
      <c r="U16" s="79"/>
      <c r="V16" s="79"/>
    </row>
    <row r="17" spans="1:22" x14ac:dyDescent="0.25">
      <c r="A17" s="85">
        <v>10</v>
      </c>
      <c r="B17" s="86">
        <f>IF(A17&lt;=malumot!$B$82,DATE(YEAR(R17),MONTH(R17),DAY(IF(A17=malumot!$B$82,malumot!$B$67,IF(A17&lt;malumot!$B$82,(Q17),IF(A17&gt;malumot!$B$82,$H$56,0))))))</f>
        <v>46055</v>
      </c>
      <c r="C17" s="48">
        <f t="shared" si="1"/>
        <v>93750000.020000011</v>
      </c>
      <c r="D17" s="48">
        <f t="shared" si="2"/>
        <v>3472222.22</v>
      </c>
      <c r="E17" s="48">
        <f t="shared" si="3"/>
        <v>4520547.84</v>
      </c>
      <c r="F17" s="48">
        <f t="shared" si="4"/>
        <v>7992770.0600000005</v>
      </c>
      <c r="G17" s="79">
        <f t="shared" si="7"/>
        <v>32</v>
      </c>
      <c r="H17" s="79">
        <f t="shared" si="5"/>
        <v>365</v>
      </c>
      <c r="I17" s="87">
        <f t="shared" si="10"/>
        <v>3472222.22</v>
      </c>
      <c r="J17" s="87">
        <f>SUM($I$8:I16)</f>
        <v>31249999.979999997</v>
      </c>
      <c r="K17" s="87">
        <f>$J$12-J17</f>
        <v>93750000.020000011</v>
      </c>
      <c r="L17" s="81">
        <f>ROUND(C17*malumot!$B$85/H17,2)*G17</f>
        <v>4520547.84</v>
      </c>
      <c r="M17" s="81">
        <f t="shared" si="0"/>
        <v>7992770.0600000005</v>
      </c>
      <c r="N17" s="81"/>
      <c r="O17" s="96" t="str">
        <f t="shared" si="8"/>
        <v>Вс</v>
      </c>
      <c r="P17" s="98">
        <f t="shared" si="6"/>
        <v>1</v>
      </c>
      <c r="Q17" s="98">
        <f>DAY(malumot!$B$79)+P17</f>
        <v>2</v>
      </c>
      <c r="R17" s="93">
        <f>IF(A17&lt;=malumot!$B$82,DATE(YEAR($B$8),MONTH($B$8)+A16,DAY(malumot!$B$79)),0)</f>
        <v>46054</v>
      </c>
      <c r="S17" s="79"/>
      <c r="T17" s="79"/>
      <c r="U17" s="79"/>
      <c r="V17" s="79"/>
    </row>
    <row r="18" spans="1:22" x14ac:dyDescent="0.25">
      <c r="A18" s="85">
        <v>11</v>
      </c>
      <c r="B18" s="86">
        <f>IF(A18&lt;=malumot!$B$82,DATE(YEAR(R18),MONTH(R18),DAY(IF(A18=malumot!$B$82,malumot!$B$67,IF(A18&lt;malumot!$B$82,(Q18),IF(A18&gt;malumot!$B$82,$H$56,0))))))</f>
        <v>46083</v>
      </c>
      <c r="C18" s="48">
        <f t="shared" si="1"/>
        <v>90277777.800000012</v>
      </c>
      <c r="D18" s="48">
        <f t="shared" si="2"/>
        <v>3472222.22</v>
      </c>
      <c r="E18" s="48">
        <f t="shared" si="3"/>
        <v>3808980.2800000003</v>
      </c>
      <c r="F18" s="48">
        <f t="shared" si="4"/>
        <v>7281202.5</v>
      </c>
      <c r="G18" s="79">
        <f t="shared" si="7"/>
        <v>28</v>
      </c>
      <c r="H18" s="79">
        <f t="shared" si="5"/>
        <v>365</v>
      </c>
      <c r="I18" s="87">
        <f t="shared" si="10"/>
        <v>3472222.22</v>
      </c>
      <c r="J18" s="87">
        <f>SUM($I$8:I17)</f>
        <v>34722222.199999996</v>
      </c>
      <c r="K18" s="87">
        <f t="shared" si="9"/>
        <v>90277777.800000012</v>
      </c>
      <c r="L18" s="81">
        <f>ROUND(C18*malumot!$B$85/H18,2)*G18</f>
        <v>3808980.2800000003</v>
      </c>
      <c r="M18" s="81">
        <f t="shared" si="0"/>
        <v>7281202.5</v>
      </c>
      <c r="N18" s="81"/>
      <c r="O18" s="96" t="str">
        <f t="shared" si="8"/>
        <v>Вс</v>
      </c>
      <c r="P18" s="98">
        <f t="shared" si="6"/>
        <v>1</v>
      </c>
      <c r="Q18" s="98">
        <f>DAY(malumot!$B$79)+P18</f>
        <v>2</v>
      </c>
      <c r="R18" s="93">
        <f>IF(A18&lt;=malumot!$B$82,DATE(YEAR($B$8),MONTH($B$8)+A17,DAY(malumot!$B$79)),0)</f>
        <v>46082</v>
      </c>
      <c r="S18" s="79"/>
      <c r="T18" s="79"/>
      <c r="U18" s="79"/>
      <c r="V18" s="79"/>
    </row>
    <row r="19" spans="1:22" x14ac:dyDescent="0.25">
      <c r="A19" s="85">
        <v>12</v>
      </c>
      <c r="B19" s="86">
        <f>IF(A19&lt;=malumot!$B$82,DATE(YEAR(R19),MONTH(R19),DAY(IF(A19=malumot!$B$82,malumot!$B$67,IF(A19&lt;malumot!$B$82,(Q19),IF(A19&gt;malumot!$B$82,$H$56,0))))))</f>
        <v>46113</v>
      </c>
      <c r="C19" s="48">
        <f t="shared" si="1"/>
        <v>86805555.580000013</v>
      </c>
      <c r="D19" s="48">
        <f t="shared" si="2"/>
        <v>3472222.22</v>
      </c>
      <c r="E19" s="48">
        <f t="shared" si="3"/>
        <v>3924086.7</v>
      </c>
      <c r="F19" s="48">
        <f t="shared" si="4"/>
        <v>7396308.9199999999</v>
      </c>
      <c r="G19" s="79">
        <f t="shared" si="7"/>
        <v>30</v>
      </c>
      <c r="H19" s="79">
        <f t="shared" si="5"/>
        <v>365</v>
      </c>
      <c r="I19" s="87">
        <f t="shared" si="10"/>
        <v>3472222.22</v>
      </c>
      <c r="J19" s="87">
        <f>SUM($I$8:I18)</f>
        <v>38194444.419999994</v>
      </c>
      <c r="K19" s="87">
        <f t="shared" si="9"/>
        <v>86805555.580000013</v>
      </c>
      <c r="L19" s="81">
        <f>ROUND(C19*malumot!$B$85/H19,2)*G19</f>
        <v>3924086.7</v>
      </c>
      <c r="M19" s="81">
        <f t="shared" si="0"/>
        <v>7396308.9199999999</v>
      </c>
      <c r="N19" s="81"/>
      <c r="O19" s="96" t="str">
        <f t="shared" si="8"/>
        <v>Ср</v>
      </c>
      <c r="P19" s="98">
        <f t="shared" si="6"/>
        <v>0</v>
      </c>
      <c r="Q19" s="98">
        <f>DAY(malumot!$B$79)+P19</f>
        <v>1</v>
      </c>
      <c r="R19" s="93">
        <f>IF(A19&lt;=malumot!$B$82,DATE(YEAR($B$8),MONTH($B$8)+A18,DAY(malumot!$B$79)),0)</f>
        <v>46113</v>
      </c>
      <c r="S19" s="79"/>
      <c r="T19" s="79"/>
      <c r="U19" s="79"/>
      <c r="V19" s="79"/>
    </row>
    <row r="20" spans="1:22" x14ac:dyDescent="0.25">
      <c r="A20" s="85">
        <v>13</v>
      </c>
      <c r="B20" s="86">
        <f>IF(A20&lt;=malumot!$B$82,DATE(YEAR(R20),MONTH(R20),DAY(IF(A20=malumot!$B$82,malumot!$B$67,IF(A20&lt;malumot!$B$82,(Q20),IF(A20&gt;malumot!$B$82,$H$56,0))))))</f>
        <v>46143</v>
      </c>
      <c r="C20" s="48">
        <f t="shared" si="1"/>
        <v>83333333.360000014</v>
      </c>
      <c r="D20" s="48">
        <f t="shared" si="2"/>
        <v>3472222.22</v>
      </c>
      <c r="E20" s="48">
        <f t="shared" si="3"/>
        <v>3767123.4</v>
      </c>
      <c r="F20" s="48">
        <f t="shared" si="4"/>
        <v>7239345.6200000001</v>
      </c>
      <c r="G20" s="79">
        <f t="shared" si="7"/>
        <v>30</v>
      </c>
      <c r="H20" s="79">
        <f t="shared" si="5"/>
        <v>365</v>
      </c>
      <c r="I20" s="87">
        <f t="shared" si="10"/>
        <v>3472222.22</v>
      </c>
      <c r="J20" s="87">
        <f>SUM($I$8:I19)</f>
        <v>41666666.639999993</v>
      </c>
      <c r="K20" s="87">
        <f>$J$12-J20</f>
        <v>83333333.360000014</v>
      </c>
      <c r="L20" s="81">
        <f>ROUND(C20*malumot!$B$85/H20,2)*G20</f>
        <v>3767123.4</v>
      </c>
      <c r="M20" s="81">
        <f t="shared" si="0"/>
        <v>7239345.6200000001</v>
      </c>
      <c r="N20" s="81"/>
      <c r="O20" s="96" t="str">
        <f t="shared" si="8"/>
        <v>Пт</v>
      </c>
      <c r="P20" s="98">
        <f t="shared" si="6"/>
        <v>0</v>
      </c>
      <c r="Q20" s="98">
        <f>DAY(malumot!$B$79)+P20</f>
        <v>1</v>
      </c>
      <c r="R20" s="93">
        <f>IF(A20&lt;=malumot!$B$82,DATE(YEAR($B$8),MONTH($B$8)+A19,DAY(malumot!$B$79)),0)</f>
        <v>46143</v>
      </c>
      <c r="S20" s="79"/>
      <c r="T20" s="79"/>
      <c r="U20" s="79"/>
      <c r="V20" s="79"/>
    </row>
    <row r="21" spans="1:22" x14ac:dyDescent="0.25">
      <c r="A21" s="85">
        <v>14</v>
      </c>
      <c r="B21" s="86">
        <f>IF(A21&lt;=malumot!$B$82,DATE(YEAR(R21),MONTH(R21),DAY(IF(A21=malumot!$B$82,malumot!$B$67,IF(A21&lt;malumot!$B$82,(Q21),IF(A21&gt;malumot!$B$82,$H$56,0))))))</f>
        <v>46174</v>
      </c>
      <c r="C21" s="48">
        <f t="shared" si="1"/>
        <v>79861111.140000015</v>
      </c>
      <c r="D21" s="48">
        <f t="shared" si="2"/>
        <v>3472222.22</v>
      </c>
      <c r="E21" s="48">
        <f t="shared" si="3"/>
        <v>3730498.46</v>
      </c>
      <c r="F21" s="48">
        <f t="shared" si="4"/>
        <v>7202720.6799999997</v>
      </c>
      <c r="G21" s="79">
        <f t="shared" si="7"/>
        <v>31</v>
      </c>
      <c r="H21" s="79">
        <f t="shared" si="5"/>
        <v>365</v>
      </c>
      <c r="I21" s="87">
        <f t="shared" si="10"/>
        <v>3472222.22</v>
      </c>
      <c r="J21" s="87">
        <f>SUM($I$8:I20)</f>
        <v>45138888.859999992</v>
      </c>
      <c r="K21" s="87">
        <f t="shared" si="9"/>
        <v>79861111.140000015</v>
      </c>
      <c r="L21" s="81">
        <f>ROUND(C21*malumot!$B$85/H21,2)*G21</f>
        <v>3730498.46</v>
      </c>
      <c r="M21" s="81">
        <f t="shared" si="0"/>
        <v>7202720.6799999997</v>
      </c>
      <c r="N21" s="81"/>
      <c r="O21" s="96" t="str">
        <f t="shared" si="8"/>
        <v>Пн</v>
      </c>
      <c r="P21" s="98">
        <f t="shared" si="6"/>
        <v>0</v>
      </c>
      <c r="Q21" s="98">
        <f>DAY(malumot!$B$79)+P21</f>
        <v>1</v>
      </c>
      <c r="R21" s="93">
        <f>IF(A21&lt;=malumot!$B$82,DATE(YEAR($B$8),MONTH($B$8)+A20,DAY(malumot!$B$79)),0)</f>
        <v>46174</v>
      </c>
      <c r="S21" s="79"/>
      <c r="T21" s="79"/>
      <c r="U21" s="79"/>
      <c r="V21" s="79"/>
    </row>
    <row r="22" spans="1:22" x14ac:dyDescent="0.25">
      <c r="A22" s="85">
        <v>15</v>
      </c>
      <c r="B22" s="86">
        <f>IF(A22&lt;=malumot!$B$82,DATE(YEAR(R22),MONTH(R22),DAY(IF(A22=malumot!$B$82,malumot!$B$67,IF(A22&lt;malumot!$B$82,(Q22),IF(A22&gt;malumot!$B$82,$H$56,0))))))</f>
        <v>46204</v>
      </c>
      <c r="C22" s="48">
        <f t="shared" si="1"/>
        <v>76388888.920000017</v>
      </c>
      <c r="D22" s="48">
        <f t="shared" si="2"/>
        <v>3472222.22</v>
      </c>
      <c r="E22" s="48">
        <f t="shared" si="3"/>
        <v>3453196.1999999997</v>
      </c>
      <c r="F22" s="48">
        <f t="shared" si="4"/>
        <v>6925418.4199999999</v>
      </c>
      <c r="G22" s="79">
        <f t="shared" si="7"/>
        <v>30</v>
      </c>
      <c r="H22" s="79">
        <f t="shared" si="5"/>
        <v>365</v>
      </c>
      <c r="I22" s="87">
        <f t="shared" si="10"/>
        <v>3472222.22</v>
      </c>
      <c r="J22" s="87">
        <f>SUM($I$8:I21)</f>
        <v>48611111.079999991</v>
      </c>
      <c r="K22" s="87">
        <f t="shared" si="9"/>
        <v>76388888.920000017</v>
      </c>
      <c r="L22" s="81">
        <f>ROUND(C22*malumot!$B$85/H22,2)*G22</f>
        <v>3453196.1999999997</v>
      </c>
      <c r="M22" s="81">
        <f t="shared" si="0"/>
        <v>6925418.4199999999</v>
      </c>
      <c r="N22" s="81"/>
      <c r="O22" s="96" t="str">
        <f t="shared" si="8"/>
        <v>Ср</v>
      </c>
      <c r="P22" s="98">
        <f t="shared" si="6"/>
        <v>0</v>
      </c>
      <c r="Q22" s="98">
        <f>DAY(malumot!$B$79)+P22</f>
        <v>1</v>
      </c>
      <c r="R22" s="93">
        <f>IF(A22&lt;=malumot!$B$82,DATE(YEAR($B$8),MONTH($B$8)+A21,DAY(malumot!$B$79)),0)</f>
        <v>46204</v>
      </c>
      <c r="S22" s="79"/>
      <c r="T22" s="79"/>
      <c r="U22" s="79"/>
      <c r="V22" s="79"/>
    </row>
    <row r="23" spans="1:22" x14ac:dyDescent="0.25">
      <c r="A23" s="85">
        <v>16</v>
      </c>
      <c r="B23" s="86">
        <f>IF(A23&lt;=malumot!$B$82,DATE(YEAR(R23),MONTH(R23),DAY(IF(A23=malumot!$B$82,malumot!$B$67,IF(A23&lt;malumot!$B$82,(Q23),IF(A23&gt;malumot!$B$82,$H$56,0))))))</f>
        <v>46237</v>
      </c>
      <c r="C23" s="48">
        <f t="shared" si="1"/>
        <v>72916666.700000018</v>
      </c>
      <c r="D23" s="48">
        <f t="shared" si="2"/>
        <v>3472222.22</v>
      </c>
      <c r="E23" s="48">
        <f t="shared" si="3"/>
        <v>3625856.19</v>
      </c>
      <c r="F23" s="48">
        <f t="shared" si="4"/>
        <v>7098078.4100000001</v>
      </c>
      <c r="G23" s="79">
        <f t="shared" si="7"/>
        <v>33</v>
      </c>
      <c r="H23" s="79">
        <f t="shared" si="5"/>
        <v>365</v>
      </c>
      <c r="I23" s="87">
        <f t="shared" si="10"/>
        <v>3472222.22</v>
      </c>
      <c r="J23" s="87">
        <f>SUM($I$8:I22)</f>
        <v>52083333.29999999</v>
      </c>
      <c r="K23" s="87">
        <f t="shared" si="9"/>
        <v>72916666.700000018</v>
      </c>
      <c r="L23" s="81">
        <f>ROUND(C23*malumot!$B$85/H23,2)*G23</f>
        <v>3625856.19</v>
      </c>
      <c r="M23" s="81">
        <f t="shared" si="0"/>
        <v>7098078.4100000001</v>
      </c>
      <c r="N23" s="81"/>
      <c r="O23" s="96" t="str">
        <f t="shared" si="8"/>
        <v>Сб</v>
      </c>
      <c r="P23" s="98">
        <f t="shared" si="6"/>
        <v>2</v>
      </c>
      <c r="Q23" s="98">
        <f>DAY(malumot!$B$79)+P23</f>
        <v>3</v>
      </c>
      <c r="R23" s="93">
        <f>IF(A23&lt;=malumot!$B$82,DATE(YEAR($B$8),MONTH($B$8)+A22,DAY(malumot!$B$79)),0)</f>
        <v>46235</v>
      </c>
      <c r="S23" s="79"/>
      <c r="T23" s="79"/>
      <c r="U23" s="79"/>
      <c r="V23" s="79"/>
    </row>
    <row r="24" spans="1:22" x14ac:dyDescent="0.25">
      <c r="A24" s="85">
        <v>17</v>
      </c>
      <c r="B24" s="86">
        <f>IF(A24&lt;=malumot!$B$82,DATE(YEAR(R24),MONTH(R24),DAY(IF(A24=malumot!$B$82,malumot!$B$67,IF(A24&lt;malumot!$B$82,(Q24),IF(A24&gt;malumot!$B$82,$H$56,0))))))</f>
        <v>46266</v>
      </c>
      <c r="C24" s="48">
        <f t="shared" si="1"/>
        <v>69444444.480000019</v>
      </c>
      <c r="D24" s="48">
        <f t="shared" si="2"/>
        <v>3472222.22</v>
      </c>
      <c r="E24" s="48">
        <f t="shared" si="3"/>
        <v>3034626.9899999998</v>
      </c>
      <c r="F24" s="48">
        <f t="shared" si="4"/>
        <v>6506849.21</v>
      </c>
      <c r="G24" s="79">
        <f t="shared" si="7"/>
        <v>29</v>
      </c>
      <c r="H24" s="79">
        <f t="shared" si="5"/>
        <v>365</v>
      </c>
      <c r="I24" s="87">
        <f t="shared" si="10"/>
        <v>3472222.22</v>
      </c>
      <c r="J24" s="87">
        <f>SUM($I$8:I23)</f>
        <v>55555555.519999988</v>
      </c>
      <c r="K24" s="87">
        <f t="shared" si="9"/>
        <v>69444444.480000019</v>
      </c>
      <c r="L24" s="81">
        <f>ROUND(C24*malumot!$B$85/H24,2)*G24</f>
        <v>3034626.9899999998</v>
      </c>
      <c r="M24" s="81">
        <f t="shared" si="0"/>
        <v>6506849.21</v>
      </c>
      <c r="N24" s="81"/>
      <c r="O24" s="96" t="str">
        <f t="shared" si="8"/>
        <v>Вт</v>
      </c>
      <c r="P24" s="98">
        <f t="shared" si="6"/>
        <v>0</v>
      </c>
      <c r="Q24" s="98">
        <f>DAY(malumot!$B$79)+P24</f>
        <v>1</v>
      </c>
      <c r="R24" s="93">
        <f>IF(A24&lt;=malumot!$B$82,DATE(YEAR($B$8),MONTH($B$8)+A23,DAY(malumot!$B$79)),0)</f>
        <v>46266</v>
      </c>
      <c r="S24" s="79"/>
      <c r="T24" s="79"/>
      <c r="U24" s="79"/>
      <c r="V24" s="79"/>
    </row>
    <row r="25" spans="1:22" x14ac:dyDescent="0.25">
      <c r="A25" s="85">
        <v>18</v>
      </c>
      <c r="B25" s="86">
        <f>IF(A25&lt;=malumot!$B$82,DATE(YEAR(R25),MONTH(R25),DAY(IF(A25=malumot!$B$82,malumot!$B$67,IF(A25&lt;malumot!$B$82,(Q25),IF(A25&gt;malumot!$B$82,$H$56,0))))))</f>
        <v>46296</v>
      </c>
      <c r="C25" s="48">
        <f t="shared" si="1"/>
        <v>65972222.26000002</v>
      </c>
      <c r="D25" s="48">
        <f t="shared" si="2"/>
        <v>3472222.22</v>
      </c>
      <c r="E25" s="48">
        <f t="shared" si="3"/>
        <v>2982306</v>
      </c>
      <c r="F25" s="48">
        <f t="shared" si="4"/>
        <v>6454528.2200000007</v>
      </c>
      <c r="G25" s="79">
        <f t="shared" si="7"/>
        <v>30</v>
      </c>
      <c r="H25" s="79">
        <f t="shared" si="5"/>
        <v>365</v>
      </c>
      <c r="I25" s="87">
        <f t="shared" si="10"/>
        <v>3472222.22</v>
      </c>
      <c r="J25" s="87">
        <f>SUM($I$8:I24)</f>
        <v>59027777.739999987</v>
      </c>
      <c r="K25" s="87">
        <f t="shared" si="9"/>
        <v>65972222.260000013</v>
      </c>
      <c r="L25" s="81">
        <f>ROUND(C25*malumot!$B$85/H25,2)*G25</f>
        <v>2982306</v>
      </c>
      <c r="M25" s="81">
        <f t="shared" si="0"/>
        <v>6454528.2200000007</v>
      </c>
      <c r="N25" s="81"/>
      <c r="O25" s="96" t="str">
        <f t="shared" si="8"/>
        <v>Чт</v>
      </c>
      <c r="P25" s="98">
        <f t="shared" si="6"/>
        <v>0</v>
      </c>
      <c r="Q25" s="98">
        <f>DAY(malumot!$B$79)+P25</f>
        <v>1</v>
      </c>
      <c r="R25" s="93">
        <f>IF(A25&lt;=malumot!$B$82,DATE(YEAR($B$8),MONTH($B$8)+A24,DAY(malumot!$B$79)),0)</f>
        <v>46296</v>
      </c>
      <c r="S25" s="79"/>
      <c r="T25" s="79"/>
      <c r="U25" s="79"/>
      <c r="V25" s="79"/>
    </row>
    <row r="26" spans="1:22" x14ac:dyDescent="0.25">
      <c r="A26" s="85">
        <v>19</v>
      </c>
      <c r="B26" s="86">
        <f>IF(A26&lt;=malumot!$B$82,DATE(YEAR(R26),MONTH(R26),DAY(IF(A26=malumot!$B$82,malumot!$B$67,IF(A26&lt;malumot!$B$82,(Q26),IF(A26&gt;malumot!$B$82,$H$56,0))))))</f>
        <v>46328</v>
      </c>
      <c r="C26" s="48">
        <f t="shared" si="1"/>
        <v>62500000.040000021</v>
      </c>
      <c r="D26" s="48">
        <f t="shared" si="2"/>
        <v>3472222.22</v>
      </c>
      <c r="E26" s="48">
        <f t="shared" si="3"/>
        <v>3013698.56</v>
      </c>
      <c r="F26" s="48">
        <f t="shared" si="4"/>
        <v>6485920.7800000003</v>
      </c>
      <c r="G26" s="79">
        <f t="shared" si="7"/>
        <v>32</v>
      </c>
      <c r="H26" s="79">
        <f t="shared" si="5"/>
        <v>365</v>
      </c>
      <c r="I26" s="87">
        <f t="shared" si="10"/>
        <v>3472222.22</v>
      </c>
      <c r="J26" s="87">
        <f>SUM($I$8:I25)</f>
        <v>62499999.959999986</v>
      </c>
      <c r="K26" s="87">
        <f t="shared" si="9"/>
        <v>62500000.040000014</v>
      </c>
      <c r="L26" s="81">
        <f>ROUND(C26*malumot!$B$85/H26,2)*G26</f>
        <v>3013698.56</v>
      </c>
      <c r="M26" s="81">
        <f t="shared" si="0"/>
        <v>6485920.7800000003</v>
      </c>
      <c r="N26" s="81"/>
      <c r="O26" s="96" t="str">
        <f t="shared" si="8"/>
        <v>Вс</v>
      </c>
      <c r="P26" s="98">
        <f t="shared" si="6"/>
        <v>1</v>
      </c>
      <c r="Q26" s="98">
        <f>DAY(malumot!$B$79)+P26</f>
        <v>2</v>
      </c>
      <c r="R26" s="93">
        <f>IF(A26&lt;=malumot!$B$82,DATE(YEAR($B$8),MONTH($B$8)+A25,DAY(malumot!$B$79)),0)</f>
        <v>46327</v>
      </c>
      <c r="S26" s="79"/>
      <c r="T26" s="79"/>
      <c r="U26" s="79"/>
      <c r="V26" s="79"/>
    </row>
    <row r="27" spans="1:22" x14ac:dyDescent="0.25">
      <c r="A27" s="85">
        <v>20</v>
      </c>
      <c r="B27" s="86">
        <f>IF(A27&lt;=malumot!$B$82,DATE(YEAR(R27),MONTH(R27),DAY(IF(A27=malumot!$B$82,malumot!$B$67,IF(A27&lt;malumot!$B$82,(Q27),IF(A27&gt;malumot!$B$82,$H$56,0))))))</f>
        <v>46357</v>
      </c>
      <c r="C27" s="48">
        <f t="shared" si="1"/>
        <v>59027777.820000023</v>
      </c>
      <c r="D27" s="48">
        <f t="shared" si="2"/>
        <v>3472222.22</v>
      </c>
      <c r="E27" s="48">
        <f t="shared" si="3"/>
        <v>2579433.13</v>
      </c>
      <c r="F27" s="48">
        <f t="shared" si="4"/>
        <v>6051655.3499999996</v>
      </c>
      <c r="G27" s="79">
        <f t="shared" si="7"/>
        <v>29</v>
      </c>
      <c r="H27" s="79">
        <f t="shared" si="5"/>
        <v>365</v>
      </c>
      <c r="I27" s="87">
        <f t="shared" si="10"/>
        <v>3472222.22</v>
      </c>
      <c r="J27" s="87">
        <f>SUM($I$8:I26)</f>
        <v>65972222.179999985</v>
      </c>
      <c r="K27" s="87">
        <f t="shared" si="9"/>
        <v>59027777.820000015</v>
      </c>
      <c r="L27" s="81">
        <f>ROUND(C27*malumot!$B$85/H27,2)*G27</f>
        <v>2579433.13</v>
      </c>
      <c r="M27" s="81">
        <f t="shared" si="0"/>
        <v>6051655.3499999996</v>
      </c>
      <c r="N27" s="81"/>
      <c r="O27" s="96" t="str">
        <f t="shared" si="8"/>
        <v>Вт</v>
      </c>
      <c r="P27" s="98">
        <f t="shared" si="6"/>
        <v>0</v>
      </c>
      <c r="Q27" s="98">
        <f>DAY(malumot!$B$79)+P27</f>
        <v>1</v>
      </c>
      <c r="R27" s="93">
        <f>IF(A27&lt;=malumot!$B$82,DATE(YEAR($B$8),MONTH($B$8)+A26,DAY(malumot!$B$79)),0)</f>
        <v>46357</v>
      </c>
      <c r="S27" s="79"/>
      <c r="T27" s="79"/>
      <c r="U27" s="79"/>
      <c r="V27" s="79"/>
    </row>
    <row r="28" spans="1:22" x14ac:dyDescent="0.25">
      <c r="A28" s="85">
        <v>21</v>
      </c>
      <c r="B28" s="86">
        <f>IF(A28&lt;=malumot!$B$82,DATE(YEAR(R28),MONTH(R28),DAY(IF(A28=malumot!$B$82,malumot!$B$67,IF(A28&lt;malumot!$B$82,(Q28),IF(A28&gt;malumot!$B$82,$H$56,0))))))</f>
        <v>46388</v>
      </c>
      <c r="C28" s="48">
        <f t="shared" si="1"/>
        <v>55555555.600000024</v>
      </c>
      <c r="D28" s="48">
        <f t="shared" si="2"/>
        <v>3472222.22</v>
      </c>
      <c r="E28" s="48">
        <f t="shared" si="3"/>
        <v>2595129.35</v>
      </c>
      <c r="F28" s="48">
        <f t="shared" si="4"/>
        <v>6067351.5700000003</v>
      </c>
      <c r="G28" s="79">
        <f t="shared" si="7"/>
        <v>31</v>
      </c>
      <c r="H28" s="79">
        <f t="shared" si="5"/>
        <v>365</v>
      </c>
      <c r="I28" s="87">
        <f t="shared" si="10"/>
        <v>3472222.22</v>
      </c>
      <c r="J28" s="87">
        <f>SUM($I$8:I27)</f>
        <v>69444444.399999991</v>
      </c>
      <c r="K28" s="87">
        <f t="shared" si="9"/>
        <v>55555555.600000009</v>
      </c>
      <c r="L28" s="81">
        <f>ROUND(C28*malumot!$B$85/H28,2)*G28</f>
        <v>2595129.35</v>
      </c>
      <c r="M28" s="81">
        <f t="shared" si="0"/>
        <v>6067351.5700000003</v>
      </c>
      <c r="N28" s="81"/>
      <c r="O28" s="96" t="str">
        <f t="shared" si="8"/>
        <v>Пт</v>
      </c>
      <c r="P28" s="98">
        <f t="shared" si="6"/>
        <v>0</v>
      </c>
      <c r="Q28" s="98">
        <f>DAY(malumot!$B$79)+P28</f>
        <v>1</v>
      </c>
      <c r="R28" s="93">
        <f>IF(A28&lt;=malumot!$B$82,DATE(YEAR($B$8),MONTH($B$8)+A27,DAY(malumot!$B$79)),0)</f>
        <v>46388</v>
      </c>
      <c r="S28" s="79"/>
      <c r="T28" s="79"/>
      <c r="U28" s="79"/>
      <c r="V28" s="79"/>
    </row>
    <row r="29" spans="1:22" x14ac:dyDescent="0.25">
      <c r="A29" s="85">
        <v>22</v>
      </c>
      <c r="B29" s="86">
        <f>IF(A29&lt;=malumot!$B$82,DATE(YEAR(R29),MONTH(R29),DAY(IF(A29=malumot!$B$82,malumot!$B$67,IF(A29&lt;malumot!$B$82,(Q29),IF(A29&gt;malumot!$B$82,$H$56,0))))))</f>
        <v>46419</v>
      </c>
      <c r="C29" s="48">
        <f t="shared" si="1"/>
        <v>52083333.380000025</v>
      </c>
      <c r="D29" s="48">
        <f t="shared" si="2"/>
        <v>3472222.22</v>
      </c>
      <c r="E29" s="48">
        <f t="shared" si="3"/>
        <v>2432933.94</v>
      </c>
      <c r="F29" s="48">
        <f t="shared" si="4"/>
        <v>5905156.1600000001</v>
      </c>
      <c r="G29" s="79">
        <f t="shared" si="7"/>
        <v>31</v>
      </c>
      <c r="H29" s="79">
        <f t="shared" si="5"/>
        <v>365</v>
      </c>
      <c r="I29" s="87">
        <f t="shared" si="10"/>
        <v>3472222.22</v>
      </c>
      <c r="J29" s="87">
        <f>SUM($I$8:I28)</f>
        <v>72916666.61999999</v>
      </c>
      <c r="K29" s="87">
        <f t="shared" si="9"/>
        <v>52083333.38000001</v>
      </c>
      <c r="L29" s="81">
        <f>ROUND(C29*malumot!$B$85/H29,2)*G29</f>
        <v>2432933.94</v>
      </c>
      <c r="M29" s="81">
        <f t="shared" si="0"/>
        <v>5905156.1600000001</v>
      </c>
      <c r="N29" s="81"/>
      <c r="O29" s="96" t="str">
        <f t="shared" si="8"/>
        <v>Пн</v>
      </c>
      <c r="P29" s="98">
        <f t="shared" si="6"/>
        <v>0</v>
      </c>
      <c r="Q29" s="98">
        <f>DAY(malumot!$B$79)+P29</f>
        <v>1</v>
      </c>
      <c r="R29" s="93">
        <f>IF(A29&lt;=malumot!$B$82,DATE(YEAR($B$8),MONTH($B$8)+A28,DAY(malumot!$B$79)),0)</f>
        <v>46419</v>
      </c>
      <c r="S29" s="79"/>
      <c r="T29" s="79"/>
      <c r="U29" s="79"/>
      <c r="V29" s="79"/>
    </row>
    <row r="30" spans="1:22" x14ac:dyDescent="0.25">
      <c r="A30" s="85">
        <v>23</v>
      </c>
      <c r="B30" s="86">
        <f>IF(A30&lt;=malumot!$B$82,DATE(YEAR(R30),MONTH(R30),DAY(IF(A30=malumot!$B$82,malumot!$B$67,IF(A30&lt;malumot!$B$82,(Q30),IF(A30&gt;malumot!$B$82,$H$56,0))))))</f>
        <v>46447</v>
      </c>
      <c r="C30" s="48">
        <f t="shared" si="1"/>
        <v>48611111.160000026</v>
      </c>
      <c r="D30" s="48">
        <f t="shared" si="2"/>
        <v>3472222.22</v>
      </c>
      <c r="E30" s="48">
        <f t="shared" si="3"/>
        <v>2050989.3599999999</v>
      </c>
      <c r="F30" s="48">
        <f t="shared" si="4"/>
        <v>5523211.5800000001</v>
      </c>
      <c r="G30" s="79">
        <f t="shared" si="7"/>
        <v>28</v>
      </c>
      <c r="H30" s="79">
        <f t="shared" si="5"/>
        <v>365</v>
      </c>
      <c r="I30" s="87">
        <f t="shared" si="10"/>
        <v>3472222.22</v>
      </c>
      <c r="J30" s="87">
        <f>SUM($I$8:I29)</f>
        <v>76388888.839999989</v>
      </c>
      <c r="K30" s="87">
        <f t="shared" si="9"/>
        <v>48611111.160000011</v>
      </c>
      <c r="L30" s="81">
        <f>ROUND(C30*malumot!$B$85/H30,2)*G30</f>
        <v>2050989.3599999999</v>
      </c>
      <c r="M30" s="81">
        <f t="shared" si="0"/>
        <v>5523211.5800000001</v>
      </c>
      <c r="N30" s="81"/>
      <c r="O30" s="96" t="str">
        <f t="shared" si="8"/>
        <v>Пн</v>
      </c>
      <c r="P30" s="98">
        <f t="shared" si="6"/>
        <v>0</v>
      </c>
      <c r="Q30" s="98">
        <f>DAY(malumot!$B$79)+P30</f>
        <v>1</v>
      </c>
      <c r="R30" s="93">
        <f>IF(A30&lt;=malumot!$B$82,DATE(YEAR($B$8),MONTH($B$8)+A29,DAY(malumot!$B$79)),0)</f>
        <v>46447</v>
      </c>
      <c r="S30" s="79"/>
      <c r="T30" s="79"/>
      <c r="U30" s="79"/>
      <c r="V30" s="79"/>
    </row>
    <row r="31" spans="1:22" x14ac:dyDescent="0.25">
      <c r="A31" s="85">
        <v>24</v>
      </c>
      <c r="B31" s="86">
        <f>IF(A31&lt;=malumot!$B$82,DATE(YEAR(R31),MONTH(R31),DAY(IF(A31=malumot!$B$82,malumot!$B$67,IF(A31&lt;malumot!$B$82,(Q31),IF(A31&gt;malumot!$B$82,$H$56,0))))))</f>
        <v>46478</v>
      </c>
      <c r="C31" s="48">
        <f t="shared" ref="C31" si="11">C30-D30</f>
        <v>45138888.940000027</v>
      </c>
      <c r="D31" s="48">
        <f t="shared" ref="D31" si="12">IF(C31=0,L31,IF(C31&gt;1,I31))</f>
        <v>3472222.22</v>
      </c>
      <c r="E31" s="48">
        <f t="shared" ref="E31" si="13">IF(C31=0,N30,IF(C31&gt;1,L31))</f>
        <v>2108542.5</v>
      </c>
      <c r="F31" s="48">
        <f t="shared" ref="F31" si="14">IF(C31=0,N30,IF(C31&gt;1,M31))</f>
        <v>5580764.7200000007</v>
      </c>
      <c r="G31" s="79">
        <f t="shared" si="7"/>
        <v>31</v>
      </c>
      <c r="H31" s="79">
        <f t="shared" si="5"/>
        <v>365</v>
      </c>
      <c r="I31" s="87">
        <f t="shared" si="10"/>
        <v>3472222.22</v>
      </c>
      <c r="J31" s="87">
        <f>SUM($I$8:I30)</f>
        <v>79861111.059999987</v>
      </c>
      <c r="K31" s="87">
        <f t="shared" si="9"/>
        <v>45138888.940000013</v>
      </c>
      <c r="L31" s="81">
        <f>ROUND(C31*malumot!$B$85/H31,2)*G31</f>
        <v>2108542.5</v>
      </c>
      <c r="M31" s="81">
        <f t="shared" si="0"/>
        <v>5580764.7200000007</v>
      </c>
      <c r="N31" s="81"/>
      <c r="O31" s="96" t="str">
        <f t="shared" si="8"/>
        <v>Чт</v>
      </c>
      <c r="P31" s="98">
        <f t="shared" si="6"/>
        <v>0</v>
      </c>
      <c r="Q31" s="98">
        <f>DAY(malumot!$B$79)+P31</f>
        <v>1</v>
      </c>
      <c r="R31" s="93">
        <f>IF(A31&lt;=malumot!$B$82,DATE(YEAR($B$8),MONTH($B$8)+A30,DAY(malumot!$B$79)),0)</f>
        <v>46478</v>
      </c>
      <c r="S31" s="79"/>
      <c r="T31" s="79"/>
      <c r="U31" s="79"/>
      <c r="V31" s="79"/>
    </row>
    <row r="32" spans="1:22" x14ac:dyDescent="0.25">
      <c r="A32" s="85">
        <f>1+A31</f>
        <v>25</v>
      </c>
      <c r="B32" s="86">
        <f>IF(A32&lt;=malumot!$B$82,DATE(YEAR(R32),MONTH(R32),DAY(IF(A32=malumot!$B$82,malumot!$B$67,IF(A32&lt;malumot!$B$82,(Q32),IF(A32&gt;malumot!$B$82,$H$56,0))))))</f>
        <v>46510</v>
      </c>
      <c r="C32" s="48">
        <f t="shared" ref="C32:C42" si="15">C31-D31</f>
        <v>41666666.720000029</v>
      </c>
      <c r="D32" s="48">
        <f t="shared" ref="D32:D42" si="16">IF(C32=0,L32,IF(C32&gt;1,I32))</f>
        <v>3472222.22</v>
      </c>
      <c r="E32" s="48">
        <f t="shared" ref="E32:E42" si="17">IF(C32=0,N31,IF(C32&gt;1,L32))</f>
        <v>2009132.48</v>
      </c>
      <c r="F32" s="48">
        <f t="shared" ref="F32:F42" si="18">IF(C32=0,N31,IF(C32&gt;1,M32))</f>
        <v>5481354.7000000002</v>
      </c>
      <c r="G32" s="79">
        <f t="shared" ref="G32:G42" si="19">B32-B31</f>
        <v>32</v>
      </c>
      <c r="H32" s="79">
        <f t="shared" ref="H32:H42" si="20">DATE(YEAR(B32),12,31)-DATE(YEAR(B32),1,1)+1</f>
        <v>365</v>
      </c>
      <c r="I32" s="87">
        <f t="shared" ref="I32:I42" si="21">IF($L$5=A32,K32,IF($L$5&gt;A32,I31))</f>
        <v>3472222.22</v>
      </c>
      <c r="J32" s="87">
        <f>SUM($I$8:I31)</f>
        <v>83333333.279999986</v>
      </c>
      <c r="K32" s="87">
        <f t="shared" ref="K32:K42" si="22">$J$12-J32</f>
        <v>41666666.720000014</v>
      </c>
      <c r="L32" s="81">
        <f>ROUND(C32*malumot!$B$85/H32,2)*G32</f>
        <v>2009132.48</v>
      </c>
      <c r="M32" s="81">
        <f t="shared" ref="M32:M42" si="23">D32+E32</f>
        <v>5481354.7000000002</v>
      </c>
      <c r="N32" s="81"/>
      <c r="O32" s="96" t="str">
        <f t="shared" ref="O32:O42" si="24">TEXT(R32,"ддд")</f>
        <v>Сб</v>
      </c>
      <c r="P32" s="98">
        <f t="shared" ref="P32:P42" si="25">IF(O32=$U$8,2,IF(O32=$V$8,1,0))</f>
        <v>2</v>
      </c>
      <c r="Q32" s="98">
        <f>DAY(malumot!$B$79)+P32</f>
        <v>3</v>
      </c>
      <c r="R32" s="93">
        <f>IF(A32&lt;=malumot!$B$82,DATE(YEAR($B$8),MONTH($B$8)+A31,DAY(malumot!$B$79)),0)</f>
        <v>46508</v>
      </c>
      <c r="S32" s="79"/>
      <c r="T32" s="79"/>
      <c r="U32" s="79"/>
      <c r="V32" s="79"/>
    </row>
    <row r="33" spans="1:22" x14ac:dyDescent="0.25">
      <c r="A33" s="85">
        <f t="shared" ref="A33:A42" si="26">1+A32</f>
        <v>26</v>
      </c>
      <c r="B33" s="86">
        <f>IF(A33&lt;=malumot!$B$82,DATE(YEAR(R33),MONTH(R33),DAY(IF(A33=malumot!$B$82,malumot!$B$67,IF(A33&lt;malumot!$B$82,(Q33),IF(A33&gt;malumot!$B$82,$H$56,0))))))</f>
        <v>46539</v>
      </c>
      <c r="C33" s="48">
        <f t="shared" si="15"/>
        <v>38194444.50000003</v>
      </c>
      <c r="D33" s="48">
        <f t="shared" si="16"/>
        <v>3472222.22</v>
      </c>
      <c r="E33" s="48">
        <f t="shared" si="17"/>
        <v>1669044.8299999998</v>
      </c>
      <c r="F33" s="48">
        <f t="shared" si="18"/>
        <v>5141267.05</v>
      </c>
      <c r="G33" s="79">
        <f t="shared" si="19"/>
        <v>29</v>
      </c>
      <c r="H33" s="79">
        <f t="shared" si="20"/>
        <v>365</v>
      </c>
      <c r="I33" s="87">
        <f t="shared" si="21"/>
        <v>3472222.22</v>
      </c>
      <c r="J33" s="87">
        <f>SUM($I$8:I32)</f>
        <v>86805555.499999985</v>
      </c>
      <c r="K33" s="87">
        <f t="shared" si="22"/>
        <v>38194444.500000015</v>
      </c>
      <c r="L33" s="81">
        <f>ROUND(C33*malumot!$B$85/H33,2)*G33</f>
        <v>1669044.8299999998</v>
      </c>
      <c r="M33" s="81">
        <f t="shared" si="23"/>
        <v>5141267.05</v>
      </c>
      <c r="N33" s="81"/>
      <c r="O33" s="96" t="str">
        <f t="shared" si="24"/>
        <v>Вт</v>
      </c>
      <c r="P33" s="98">
        <f t="shared" si="25"/>
        <v>0</v>
      </c>
      <c r="Q33" s="98">
        <f>DAY(malumot!$B$79)+P33</f>
        <v>1</v>
      </c>
      <c r="R33" s="93">
        <f>IF(A33&lt;=malumot!$B$82,DATE(YEAR($B$8),MONTH($B$8)+A32,DAY(malumot!$B$79)),0)</f>
        <v>46539</v>
      </c>
      <c r="S33" s="79"/>
      <c r="T33" s="79"/>
      <c r="U33" s="79"/>
      <c r="V33" s="79"/>
    </row>
    <row r="34" spans="1:22" x14ac:dyDescent="0.25">
      <c r="A34" s="85">
        <f t="shared" si="26"/>
        <v>27</v>
      </c>
      <c r="B34" s="86">
        <f>IF(A34&lt;=malumot!$B$82,DATE(YEAR(R34),MONTH(R34),DAY(IF(A34=malumot!$B$82,malumot!$B$67,IF(A34&lt;malumot!$B$82,(Q34),IF(A34&gt;malumot!$B$82,$H$56,0))))))</f>
        <v>46569</v>
      </c>
      <c r="C34" s="48">
        <f t="shared" si="15"/>
        <v>34722222.280000031</v>
      </c>
      <c r="D34" s="48">
        <f t="shared" si="16"/>
        <v>3472222.22</v>
      </c>
      <c r="E34" s="48">
        <f t="shared" si="17"/>
        <v>1569634.8</v>
      </c>
      <c r="F34" s="48">
        <f t="shared" si="18"/>
        <v>5041857.0200000005</v>
      </c>
      <c r="G34" s="79">
        <f t="shared" si="19"/>
        <v>30</v>
      </c>
      <c r="H34" s="79">
        <f t="shared" si="20"/>
        <v>365</v>
      </c>
      <c r="I34" s="87">
        <f t="shared" si="21"/>
        <v>3472222.22</v>
      </c>
      <c r="J34" s="87">
        <f>SUM($I$8:I33)</f>
        <v>90277777.719999984</v>
      </c>
      <c r="K34" s="87">
        <f t="shared" si="22"/>
        <v>34722222.280000016</v>
      </c>
      <c r="L34" s="81">
        <f>ROUND(C34*malumot!$B$85/H34,2)*G34</f>
        <v>1569634.8</v>
      </c>
      <c r="M34" s="81">
        <f t="shared" si="23"/>
        <v>5041857.0200000005</v>
      </c>
      <c r="N34" s="81"/>
      <c r="O34" s="96" t="str">
        <f t="shared" si="24"/>
        <v>Чт</v>
      </c>
      <c r="P34" s="98">
        <f t="shared" si="25"/>
        <v>0</v>
      </c>
      <c r="Q34" s="98">
        <f>DAY(malumot!$B$79)+P34</f>
        <v>1</v>
      </c>
      <c r="R34" s="93">
        <f>IF(A34&lt;=malumot!$B$82,DATE(YEAR($B$8),MONTH($B$8)+A33,DAY(malumot!$B$79)),0)</f>
        <v>46569</v>
      </c>
      <c r="S34" s="79"/>
      <c r="T34" s="79"/>
      <c r="U34" s="79"/>
      <c r="V34" s="79"/>
    </row>
    <row r="35" spans="1:22" x14ac:dyDescent="0.25">
      <c r="A35" s="85">
        <f t="shared" si="26"/>
        <v>28</v>
      </c>
      <c r="B35" s="86">
        <f>IF(A35&lt;=malumot!$B$82,DATE(YEAR(R35),MONTH(R35),DAY(IF(A35=malumot!$B$82,malumot!$B$67,IF(A35&lt;malumot!$B$82,(Q35),IF(A35&gt;malumot!$B$82,$H$56,0))))))</f>
        <v>46601</v>
      </c>
      <c r="C35" s="48">
        <f t="shared" si="15"/>
        <v>31250000.060000032</v>
      </c>
      <c r="D35" s="48">
        <f t="shared" si="16"/>
        <v>3472222.22</v>
      </c>
      <c r="E35" s="48">
        <f t="shared" si="17"/>
        <v>1506849.28</v>
      </c>
      <c r="F35" s="48">
        <f t="shared" si="18"/>
        <v>4979071.5</v>
      </c>
      <c r="G35" s="79">
        <f t="shared" si="19"/>
        <v>32</v>
      </c>
      <c r="H35" s="79">
        <f t="shared" si="20"/>
        <v>365</v>
      </c>
      <c r="I35" s="87">
        <f t="shared" si="21"/>
        <v>3472222.22</v>
      </c>
      <c r="J35" s="87">
        <f>SUM($I$8:I34)</f>
        <v>93749999.939999983</v>
      </c>
      <c r="K35" s="87">
        <f t="shared" si="22"/>
        <v>31250000.060000017</v>
      </c>
      <c r="L35" s="81">
        <f>ROUND(C35*malumot!$B$85/H35,2)*G35</f>
        <v>1506849.28</v>
      </c>
      <c r="M35" s="81">
        <f t="shared" si="23"/>
        <v>4979071.5</v>
      </c>
      <c r="N35" s="81"/>
      <c r="O35" s="96" t="str">
        <f t="shared" si="24"/>
        <v>Вс</v>
      </c>
      <c r="P35" s="98">
        <f t="shared" si="25"/>
        <v>1</v>
      </c>
      <c r="Q35" s="98">
        <f>DAY(malumot!$B$79)+P35</f>
        <v>2</v>
      </c>
      <c r="R35" s="93">
        <f>IF(A35&lt;=malumot!$B$82,DATE(YEAR($B$8),MONTH($B$8)+A34,DAY(malumot!$B$79)),0)</f>
        <v>46600</v>
      </c>
      <c r="S35" s="79"/>
      <c r="T35" s="79"/>
      <c r="U35" s="79"/>
      <c r="V35" s="79"/>
    </row>
    <row r="36" spans="1:22" x14ac:dyDescent="0.25">
      <c r="A36" s="85">
        <f t="shared" si="26"/>
        <v>29</v>
      </c>
      <c r="B36" s="86">
        <f>IF(A36&lt;=malumot!$B$82,DATE(YEAR(R36),MONTH(R36),DAY(IF(A36=malumot!$B$82,malumot!$B$67,IF(A36&lt;malumot!$B$82,(Q36),IF(A36&gt;malumot!$B$82,$H$56,0))))))</f>
        <v>46631</v>
      </c>
      <c r="C36" s="48">
        <f t="shared" si="15"/>
        <v>27777777.840000033</v>
      </c>
      <c r="D36" s="48">
        <f t="shared" si="16"/>
        <v>3472222.22</v>
      </c>
      <c r="E36" s="48">
        <f t="shared" si="17"/>
        <v>1255707.8999999999</v>
      </c>
      <c r="F36" s="48">
        <f t="shared" si="18"/>
        <v>4727930.12</v>
      </c>
      <c r="G36" s="79">
        <f t="shared" si="19"/>
        <v>30</v>
      </c>
      <c r="H36" s="79">
        <f t="shared" si="20"/>
        <v>365</v>
      </c>
      <c r="I36" s="87">
        <f t="shared" si="21"/>
        <v>3472222.22</v>
      </c>
      <c r="J36" s="87">
        <f>SUM($I$8:I35)</f>
        <v>97222222.159999982</v>
      </c>
      <c r="K36" s="87">
        <f t="shared" si="22"/>
        <v>27777777.840000018</v>
      </c>
      <c r="L36" s="81">
        <f>ROUND(C36*malumot!$B$85/H36,2)*G36</f>
        <v>1255707.8999999999</v>
      </c>
      <c r="M36" s="81">
        <f t="shared" si="23"/>
        <v>4727930.12</v>
      </c>
      <c r="N36" s="81"/>
      <c r="O36" s="96" t="str">
        <f t="shared" si="24"/>
        <v>Ср</v>
      </c>
      <c r="P36" s="98">
        <f t="shared" si="25"/>
        <v>0</v>
      </c>
      <c r="Q36" s="98">
        <f>DAY(malumot!$B$79)+P36</f>
        <v>1</v>
      </c>
      <c r="R36" s="93">
        <f>IF(A36&lt;=malumot!$B$82,DATE(YEAR($B$8),MONTH($B$8)+A35,DAY(malumot!$B$79)),0)</f>
        <v>46631</v>
      </c>
      <c r="S36" s="79"/>
      <c r="T36" s="79"/>
      <c r="U36" s="79"/>
      <c r="V36" s="79"/>
    </row>
    <row r="37" spans="1:22" x14ac:dyDescent="0.25">
      <c r="A37" s="85">
        <f t="shared" si="26"/>
        <v>30</v>
      </c>
      <c r="B37" s="86">
        <f>IF(A37&lt;=malumot!$B$82,DATE(YEAR(R37),MONTH(R37),DAY(IF(A37=malumot!$B$82,malumot!$B$67,IF(A37&lt;malumot!$B$82,(Q37),IF(A37&gt;malumot!$B$82,$H$56,0))))))</f>
        <v>46661</v>
      </c>
      <c r="C37" s="48">
        <f t="shared" si="15"/>
        <v>24305555.620000035</v>
      </c>
      <c r="D37" s="48">
        <f t="shared" si="16"/>
        <v>3472222.22</v>
      </c>
      <c r="E37" s="48">
        <f t="shared" si="17"/>
        <v>1098744.2999999998</v>
      </c>
      <c r="F37" s="48">
        <f t="shared" si="18"/>
        <v>4570966.5199999996</v>
      </c>
      <c r="G37" s="79">
        <f t="shared" si="19"/>
        <v>30</v>
      </c>
      <c r="H37" s="79">
        <f t="shared" si="20"/>
        <v>365</v>
      </c>
      <c r="I37" s="87">
        <f t="shared" si="21"/>
        <v>3472222.22</v>
      </c>
      <c r="J37" s="87">
        <f>SUM($I$8:I36)</f>
        <v>100694444.37999998</v>
      </c>
      <c r="K37" s="87">
        <f t="shared" si="22"/>
        <v>24305555.62000002</v>
      </c>
      <c r="L37" s="81">
        <f>ROUND(C37*malumot!$B$85/H37,2)*G37</f>
        <v>1098744.2999999998</v>
      </c>
      <c r="M37" s="81">
        <f t="shared" si="23"/>
        <v>4570966.5199999996</v>
      </c>
      <c r="N37" s="81"/>
      <c r="O37" s="96" t="str">
        <f t="shared" si="24"/>
        <v>Пт</v>
      </c>
      <c r="P37" s="98">
        <f t="shared" si="25"/>
        <v>0</v>
      </c>
      <c r="Q37" s="98">
        <f>DAY(malumot!$B$79)+P37</f>
        <v>1</v>
      </c>
      <c r="R37" s="93">
        <f>IF(A37&lt;=malumot!$B$82,DATE(YEAR($B$8),MONTH($B$8)+A36,DAY(malumot!$B$79)),0)</f>
        <v>46661</v>
      </c>
      <c r="S37" s="79"/>
      <c r="T37" s="79"/>
      <c r="U37" s="79"/>
      <c r="V37" s="79"/>
    </row>
    <row r="38" spans="1:22" x14ac:dyDescent="0.25">
      <c r="A38" s="85">
        <f t="shared" si="26"/>
        <v>31</v>
      </c>
      <c r="B38" s="86">
        <f>IF(A38&lt;=malumot!$B$82,DATE(YEAR(R38),MONTH(R38),DAY(IF(A38=malumot!$B$82,malumot!$B$67,IF(A38&lt;malumot!$B$82,(Q38),IF(A38&gt;malumot!$B$82,$H$56,0))))))</f>
        <v>46692</v>
      </c>
      <c r="C38" s="48">
        <f t="shared" si="15"/>
        <v>20833333.400000036</v>
      </c>
      <c r="D38" s="48">
        <f t="shared" si="16"/>
        <v>3472222.22</v>
      </c>
      <c r="E38" s="48">
        <f t="shared" si="17"/>
        <v>973173.39</v>
      </c>
      <c r="F38" s="48">
        <f t="shared" si="18"/>
        <v>4445395.6100000003</v>
      </c>
      <c r="G38" s="79">
        <f t="shared" si="19"/>
        <v>31</v>
      </c>
      <c r="H38" s="79">
        <f t="shared" si="20"/>
        <v>365</v>
      </c>
      <c r="I38" s="87">
        <f t="shared" si="21"/>
        <v>3472222.22</v>
      </c>
      <c r="J38" s="87">
        <f>SUM($I$8:I37)</f>
        <v>104166666.59999998</v>
      </c>
      <c r="K38" s="87">
        <f t="shared" si="22"/>
        <v>20833333.400000021</v>
      </c>
      <c r="L38" s="81">
        <f>ROUND(C38*malumot!$B$85/H38,2)*G38</f>
        <v>973173.39</v>
      </c>
      <c r="M38" s="81">
        <f t="shared" si="23"/>
        <v>4445395.6100000003</v>
      </c>
      <c r="N38" s="81"/>
      <c r="O38" s="96" t="str">
        <f t="shared" si="24"/>
        <v>Пн</v>
      </c>
      <c r="P38" s="98">
        <f t="shared" si="25"/>
        <v>0</v>
      </c>
      <c r="Q38" s="98">
        <f>DAY(malumot!$B$79)+P38</f>
        <v>1</v>
      </c>
      <c r="R38" s="93">
        <f>IF(A38&lt;=malumot!$B$82,DATE(YEAR($B$8),MONTH($B$8)+A37,DAY(malumot!$B$79)),0)</f>
        <v>46692</v>
      </c>
      <c r="S38" s="79"/>
      <c r="T38" s="79"/>
      <c r="U38" s="79"/>
      <c r="V38" s="79"/>
    </row>
    <row r="39" spans="1:22" x14ac:dyDescent="0.25">
      <c r="A39" s="85">
        <f t="shared" si="26"/>
        <v>32</v>
      </c>
      <c r="B39" s="86">
        <f>IF(A39&lt;=malumot!$B$82,DATE(YEAR(R39),MONTH(R39),DAY(IF(A39=malumot!$B$82,malumot!$B$67,IF(A39&lt;malumot!$B$82,(Q39),IF(A39&gt;malumot!$B$82,$H$56,0))))))</f>
        <v>46722</v>
      </c>
      <c r="C39" s="48">
        <f t="shared" si="15"/>
        <v>17361111.180000037</v>
      </c>
      <c r="D39" s="48">
        <f t="shared" si="16"/>
        <v>3472222.22</v>
      </c>
      <c r="E39" s="48">
        <f t="shared" si="17"/>
        <v>784817.4</v>
      </c>
      <c r="F39" s="48">
        <f t="shared" si="18"/>
        <v>4257039.62</v>
      </c>
      <c r="G39" s="79">
        <f t="shared" si="19"/>
        <v>30</v>
      </c>
      <c r="H39" s="79">
        <f t="shared" si="20"/>
        <v>365</v>
      </c>
      <c r="I39" s="87">
        <f t="shared" si="21"/>
        <v>3472222.22</v>
      </c>
      <c r="J39" s="87">
        <f>SUM($I$8:I38)</f>
        <v>107638888.81999998</v>
      </c>
      <c r="K39" s="87">
        <f t="shared" si="22"/>
        <v>17361111.180000022</v>
      </c>
      <c r="L39" s="81">
        <f>ROUND(C39*malumot!$B$85/H39,2)*G39</f>
        <v>784817.4</v>
      </c>
      <c r="M39" s="81">
        <f t="shared" si="23"/>
        <v>4257039.62</v>
      </c>
      <c r="N39" s="81"/>
      <c r="O39" s="96" t="str">
        <f t="shared" si="24"/>
        <v>Ср</v>
      </c>
      <c r="P39" s="98">
        <f t="shared" si="25"/>
        <v>0</v>
      </c>
      <c r="Q39" s="98">
        <f>DAY(malumot!$B$79)+P39</f>
        <v>1</v>
      </c>
      <c r="R39" s="93">
        <f>IF(A39&lt;=malumot!$B$82,DATE(YEAR($B$8),MONTH($B$8)+A38,DAY(malumot!$B$79)),0)</f>
        <v>46722</v>
      </c>
      <c r="S39" s="79"/>
      <c r="T39" s="79"/>
      <c r="U39" s="79"/>
      <c r="V39" s="79"/>
    </row>
    <row r="40" spans="1:22" x14ac:dyDescent="0.25">
      <c r="A40" s="85">
        <f t="shared" si="26"/>
        <v>33</v>
      </c>
      <c r="B40" s="86">
        <f>IF(A40&lt;=malumot!$B$82,DATE(YEAR(R40),MONTH(R40),DAY(IF(A40=malumot!$B$82,malumot!$B$67,IF(A40&lt;malumot!$B$82,(Q40),IF(A40&gt;malumot!$B$82,$H$56,0))))))</f>
        <v>46755</v>
      </c>
      <c r="C40" s="48">
        <f t="shared" si="15"/>
        <v>13888888.960000036</v>
      </c>
      <c r="D40" s="48">
        <f t="shared" si="16"/>
        <v>3472222.22</v>
      </c>
      <c r="E40" s="48">
        <f t="shared" si="17"/>
        <v>688752.24</v>
      </c>
      <c r="F40" s="48">
        <f t="shared" si="18"/>
        <v>4160974.46</v>
      </c>
      <c r="G40" s="79">
        <f t="shared" si="19"/>
        <v>33</v>
      </c>
      <c r="H40" s="79">
        <f t="shared" si="20"/>
        <v>366</v>
      </c>
      <c r="I40" s="87">
        <f t="shared" si="21"/>
        <v>3472222.22</v>
      </c>
      <c r="J40" s="87">
        <f>SUM($I$8:I39)</f>
        <v>111111111.03999998</v>
      </c>
      <c r="K40" s="87">
        <f t="shared" si="22"/>
        <v>13888888.960000023</v>
      </c>
      <c r="L40" s="81">
        <f>ROUND(C40*malumot!$B$85/H40,2)*G40</f>
        <v>688752.24</v>
      </c>
      <c r="M40" s="81">
        <f t="shared" si="23"/>
        <v>4160974.46</v>
      </c>
      <c r="N40" s="81"/>
      <c r="O40" s="96" t="str">
        <f t="shared" si="24"/>
        <v>Сб</v>
      </c>
      <c r="P40" s="98">
        <f t="shared" si="25"/>
        <v>2</v>
      </c>
      <c r="Q40" s="98">
        <f>DAY(malumot!$B$79)+P40</f>
        <v>3</v>
      </c>
      <c r="R40" s="93">
        <f>IF(A40&lt;=malumot!$B$82,DATE(YEAR($B$8),MONTH($B$8)+A39,DAY(malumot!$B$79)),0)</f>
        <v>46753</v>
      </c>
      <c r="S40" s="79"/>
      <c r="T40" s="79"/>
      <c r="U40" s="79"/>
      <c r="V40" s="79"/>
    </row>
    <row r="41" spans="1:22" x14ac:dyDescent="0.25">
      <c r="A41" s="85">
        <f t="shared" si="26"/>
        <v>34</v>
      </c>
      <c r="B41" s="86">
        <f>IF(A41&lt;=malumot!$B$82,DATE(YEAR(R41),MONTH(R41),DAY(IF(A41=malumot!$B$82,malumot!$B$67,IF(A41&lt;malumot!$B$82,(Q41),IF(A41&gt;malumot!$B$82,$H$56,0))))))</f>
        <v>46784</v>
      </c>
      <c r="C41" s="48">
        <f t="shared" si="15"/>
        <v>10416666.740000036</v>
      </c>
      <c r="D41" s="48">
        <f t="shared" si="16"/>
        <v>3472222.22</v>
      </c>
      <c r="E41" s="48">
        <f t="shared" si="17"/>
        <v>453950.33999999997</v>
      </c>
      <c r="F41" s="48">
        <f t="shared" si="18"/>
        <v>3926172.56</v>
      </c>
      <c r="G41" s="79">
        <f t="shared" si="19"/>
        <v>29</v>
      </c>
      <c r="H41" s="79">
        <f t="shared" si="20"/>
        <v>366</v>
      </c>
      <c r="I41" s="87">
        <f t="shared" si="21"/>
        <v>3472222.22</v>
      </c>
      <c r="J41" s="87">
        <f>SUM($I$8:I40)</f>
        <v>114583333.25999998</v>
      </c>
      <c r="K41" s="87">
        <f t="shared" si="22"/>
        <v>10416666.740000024</v>
      </c>
      <c r="L41" s="81">
        <f>ROUND(C41*malumot!$B$85/H41,2)*G41</f>
        <v>453950.33999999997</v>
      </c>
      <c r="M41" s="81">
        <f t="shared" si="23"/>
        <v>3926172.56</v>
      </c>
      <c r="N41" s="81"/>
      <c r="O41" s="96" t="str">
        <f t="shared" si="24"/>
        <v>Вт</v>
      </c>
      <c r="P41" s="98">
        <f t="shared" si="25"/>
        <v>0</v>
      </c>
      <c r="Q41" s="98">
        <f>DAY(malumot!$B$79)+P41</f>
        <v>1</v>
      </c>
      <c r="R41" s="93">
        <f>IF(A41&lt;=malumot!$B$82,DATE(YEAR($B$8),MONTH($B$8)+A40,DAY(malumot!$B$79)),0)</f>
        <v>46784</v>
      </c>
      <c r="S41" s="79"/>
      <c r="T41" s="79"/>
      <c r="U41" s="79"/>
      <c r="V41" s="79"/>
    </row>
    <row r="42" spans="1:22" x14ac:dyDescent="0.25">
      <c r="A42" s="85">
        <f t="shared" si="26"/>
        <v>35</v>
      </c>
      <c r="B42" s="86">
        <f>IF(A42&lt;=malumot!$B$82,DATE(YEAR(R42),MONTH(R42),DAY(IF(A42=malumot!$B$82,malumot!$B$67,IF(A42&lt;malumot!$B$82,(Q42),IF(A42&gt;malumot!$B$82,$H$56,0))))))</f>
        <v>46813</v>
      </c>
      <c r="C42" s="48">
        <f t="shared" si="15"/>
        <v>6944444.5200000349</v>
      </c>
      <c r="D42" s="48">
        <f t="shared" si="16"/>
        <v>3472222.22</v>
      </c>
      <c r="E42" s="48">
        <f t="shared" si="17"/>
        <v>302633.56</v>
      </c>
      <c r="F42" s="48">
        <f t="shared" si="18"/>
        <v>3774855.7800000003</v>
      </c>
      <c r="G42" s="79">
        <f t="shared" si="19"/>
        <v>29</v>
      </c>
      <c r="H42" s="79">
        <f t="shared" si="20"/>
        <v>366</v>
      </c>
      <c r="I42" s="87">
        <f t="shared" si="21"/>
        <v>3472222.22</v>
      </c>
      <c r="J42" s="87">
        <f>SUM($I$8:I41)</f>
        <v>118055555.47999997</v>
      </c>
      <c r="K42" s="87">
        <f t="shared" si="22"/>
        <v>6944444.5200000256</v>
      </c>
      <c r="L42" s="81">
        <f>ROUND(C42*malumot!$B$85/H42,2)*G42</f>
        <v>302633.56</v>
      </c>
      <c r="M42" s="81">
        <f t="shared" si="23"/>
        <v>3774855.7800000003</v>
      </c>
      <c r="N42" s="81"/>
      <c r="O42" s="96" t="str">
        <f t="shared" si="24"/>
        <v>Ср</v>
      </c>
      <c r="P42" s="98">
        <f t="shared" si="25"/>
        <v>0</v>
      </c>
      <c r="Q42" s="98">
        <f>DAY(malumot!$B$79)+P42</f>
        <v>1</v>
      </c>
      <c r="R42" s="93">
        <f>IF(A42&lt;=malumot!$B$82,DATE(YEAR($B$8),MONTH($B$8)+A41,DAY(malumot!$B$79)),0)</f>
        <v>46813</v>
      </c>
      <c r="S42" s="79"/>
      <c r="T42" s="79"/>
      <c r="U42" s="79"/>
      <c r="V42" s="79"/>
    </row>
    <row r="43" spans="1:22" x14ac:dyDescent="0.25">
      <c r="A43" s="85">
        <f t="shared" ref="A43:A55" si="27">1+A42</f>
        <v>36</v>
      </c>
      <c r="B43" s="86">
        <f>IF(A43&lt;=malumot!$B$82,DATE(YEAR(R43),MONTH(R43),DAY(IF(A43=malumot!$B$82,malumot!$B$67,IF(A43&lt;malumot!$B$82,(Q43),IF(A43&gt;malumot!$B$82,$H$56,0))))))</f>
        <v>46850</v>
      </c>
      <c r="C43" s="48">
        <f t="shared" ref="C43" si="28">C42-D42</f>
        <v>3472222.3000000347</v>
      </c>
      <c r="D43" s="48">
        <f t="shared" ref="D43" si="29">IF(C43=0,L43,IF(C43&gt;1,I43))</f>
        <v>3472222.3000000268</v>
      </c>
      <c r="E43" s="48">
        <f t="shared" ref="E43" si="30">IF(C43=0,N42,IF(C43&gt;1,L43))</f>
        <v>193059.34</v>
      </c>
      <c r="F43" s="48">
        <f t="shared" ref="F43" si="31">IF(C43=0,N42,IF(C43&gt;1,M43))</f>
        <v>3665281.6400000267</v>
      </c>
      <c r="G43" s="79">
        <f t="shared" ref="G43" si="32">B43-B42</f>
        <v>37</v>
      </c>
      <c r="H43" s="79">
        <f t="shared" ref="H43" si="33">DATE(YEAR(B43),12,31)-DATE(YEAR(B43),1,1)+1</f>
        <v>366</v>
      </c>
      <c r="I43" s="87">
        <f t="shared" ref="I43" si="34">IF($L$5=A43,K43,IF($L$5&gt;A43,I42))</f>
        <v>3472222.3000000268</v>
      </c>
      <c r="J43" s="87">
        <f>SUM($I$8:I42)</f>
        <v>121527777.69999997</v>
      </c>
      <c r="K43" s="87">
        <f t="shared" ref="K43" si="35">$J$12-J43</f>
        <v>3472222.3000000268</v>
      </c>
      <c r="L43" s="81">
        <f>ROUND(C43*malumot!$B$85/H43,2)*G43</f>
        <v>193059.34</v>
      </c>
      <c r="M43" s="81">
        <f t="shared" ref="M43" si="36">D43+E43</f>
        <v>3665281.6400000267</v>
      </c>
      <c r="N43" s="81"/>
      <c r="O43" s="96" t="str">
        <f t="shared" ref="O43" si="37">TEXT(R43,"ддд")</f>
        <v>Сб</v>
      </c>
      <c r="P43" s="98">
        <f t="shared" ref="P43" si="38">IF(O43=$U$8,2,IF(O43=$V$8,1,0))</f>
        <v>2</v>
      </c>
      <c r="Q43" s="98">
        <f>DAY(malumot!$B$79)+P43</f>
        <v>3</v>
      </c>
      <c r="R43" s="93">
        <f>IF(A43&lt;=malumot!$B$82,DATE(YEAR($B$8),MONTH($B$8)+A42,DAY(malumot!$B$79)),0)</f>
        <v>46844</v>
      </c>
      <c r="S43" s="79"/>
      <c r="T43" s="79"/>
      <c r="U43" s="79"/>
      <c r="V43" s="79"/>
    </row>
    <row r="44" spans="1:22" x14ac:dyDescent="0.25">
      <c r="A44" s="85">
        <f t="shared" si="27"/>
        <v>37</v>
      </c>
      <c r="B44" s="86" t="b">
        <f>IF(A44&lt;=malumot!$B$82,DATE(YEAR(R44),MONTH(R44),DAY(IF(A44=malumot!$B$82,malumot!$B$67,IF(A44&lt;malumot!$B$82,(Q44),IF(A44&gt;malumot!$B$82,$H$56,0))))))</f>
        <v>0</v>
      </c>
      <c r="C44" s="48">
        <f t="shared" ref="C44:C55" si="39">C43-D43</f>
        <v>7.9162418842315674E-9</v>
      </c>
      <c r="D44" s="48" t="b">
        <f t="shared" ref="D44:D55" si="40">IF(C44=0,L44,IF(C44&gt;1,I44))</f>
        <v>0</v>
      </c>
      <c r="E44" s="48" t="b">
        <f t="shared" ref="E44:E55" si="41">IF(C44=0,N43,IF(C44&gt;1,L44))</f>
        <v>0</v>
      </c>
      <c r="F44" s="48" t="b">
        <f t="shared" ref="F44:F55" si="42">IF(C44=0,N43,IF(C44&gt;1,M44))</f>
        <v>0</v>
      </c>
      <c r="G44" s="79">
        <f t="shared" ref="G44:G55" si="43">B44-B43</f>
        <v>-46850</v>
      </c>
      <c r="H44" s="79">
        <f t="shared" ref="H44:H55" si="44">DATE(YEAR(B44),12,31)-DATE(YEAR(B44),1,1)+1</f>
        <v>366</v>
      </c>
      <c r="I44" s="87" t="b">
        <f t="shared" ref="I44:I55" si="45">IF($L$5=A44,K44,IF($L$5&gt;A44,I43))</f>
        <v>0</v>
      </c>
      <c r="J44" s="87">
        <f>SUM($I$8:I43)</f>
        <v>125000000</v>
      </c>
      <c r="K44" s="87">
        <f t="shared" ref="K44:K55" si="46">$J$12-J44</f>
        <v>0</v>
      </c>
      <c r="L44" s="81">
        <f>ROUND(C44*malumot!$B$85/H44,2)*G44</f>
        <v>0</v>
      </c>
      <c r="M44" s="81">
        <f t="shared" ref="M44:M55" si="47">D44+E44</f>
        <v>0</v>
      </c>
      <c r="N44" s="81"/>
      <c r="O44" s="96" t="str">
        <f t="shared" ref="O44:O55" si="48">TEXT(R44,"ддд")</f>
        <v>Сб</v>
      </c>
      <c r="P44" s="98">
        <f t="shared" ref="P44:P55" si="49">IF(O44=$U$8,2,IF(O44=$V$8,1,0))</f>
        <v>2</v>
      </c>
      <c r="Q44" s="98">
        <f>DAY(malumot!$B$79)+P44</f>
        <v>3</v>
      </c>
      <c r="R44" s="93">
        <f>IF(A44&lt;=malumot!$B$82,DATE(YEAR($B$8),MONTH($B$8)+A43,DAY(malumot!$B$79)),0)</f>
        <v>0</v>
      </c>
      <c r="S44" s="79"/>
      <c r="T44" s="79"/>
      <c r="U44" s="79"/>
      <c r="V44" s="79"/>
    </row>
    <row r="45" spans="1:22" x14ac:dyDescent="0.25">
      <c r="A45" s="85">
        <f t="shared" si="27"/>
        <v>38</v>
      </c>
      <c r="B45" s="86" t="b">
        <f>IF(A45&lt;=malumot!$B$82,DATE(YEAR(R45),MONTH(R45),DAY(IF(A45=malumot!$B$82,malumot!$B$67,IF(A45&lt;malumot!$B$82,(Q45),IF(A45&gt;malumot!$B$82,$H$56,0))))))</f>
        <v>0</v>
      </c>
      <c r="C45" s="48">
        <f t="shared" si="39"/>
        <v>7.9162418842315674E-9</v>
      </c>
      <c r="D45" s="48" t="b">
        <f t="shared" si="40"/>
        <v>0</v>
      </c>
      <c r="E45" s="48" t="b">
        <f t="shared" si="41"/>
        <v>0</v>
      </c>
      <c r="F45" s="48" t="b">
        <f t="shared" si="42"/>
        <v>0</v>
      </c>
      <c r="G45" s="79">
        <f t="shared" si="43"/>
        <v>0</v>
      </c>
      <c r="H45" s="79">
        <f t="shared" si="44"/>
        <v>366</v>
      </c>
      <c r="I45" s="87" t="b">
        <f t="shared" si="45"/>
        <v>0</v>
      </c>
      <c r="J45" s="87">
        <f>SUM($I$8:I44)</f>
        <v>125000000</v>
      </c>
      <c r="K45" s="87">
        <f t="shared" si="46"/>
        <v>0</v>
      </c>
      <c r="L45" s="81">
        <f>ROUND(C45*malumot!$B$85/H45,2)*G45</f>
        <v>0</v>
      </c>
      <c r="M45" s="81">
        <f t="shared" si="47"/>
        <v>0</v>
      </c>
      <c r="N45" s="81"/>
      <c r="O45" s="96" t="str">
        <f t="shared" si="48"/>
        <v>Сб</v>
      </c>
      <c r="P45" s="98">
        <f t="shared" si="49"/>
        <v>2</v>
      </c>
      <c r="Q45" s="98">
        <f>DAY(malumot!$B$79)+P45</f>
        <v>3</v>
      </c>
      <c r="R45" s="93">
        <f>IF(A45&lt;=malumot!$B$82,DATE(YEAR($B$8),MONTH($B$8)+A44,DAY(malumot!$B$79)),0)</f>
        <v>0</v>
      </c>
      <c r="S45" s="79"/>
      <c r="T45" s="79"/>
      <c r="U45" s="79"/>
      <c r="V45" s="79"/>
    </row>
    <row r="46" spans="1:22" x14ac:dyDescent="0.25">
      <c r="A46" s="85">
        <f t="shared" si="27"/>
        <v>39</v>
      </c>
      <c r="B46" s="86" t="b">
        <f>IF(A46&lt;=malumot!$B$82,DATE(YEAR(R46),MONTH(R46),DAY(IF(A46=malumot!$B$82,malumot!$B$67,IF(A46&lt;malumot!$B$82,(Q46),IF(A46&gt;malumot!$B$82,$H$56,0))))))</f>
        <v>0</v>
      </c>
      <c r="C46" s="48">
        <f t="shared" si="39"/>
        <v>7.9162418842315674E-9</v>
      </c>
      <c r="D46" s="48" t="b">
        <f t="shared" si="40"/>
        <v>0</v>
      </c>
      <c r="E46" s="48" t="b">
        <f t="shared" si="41"/>
        <v>0</v>
      </c>
      <c r="F46" s="48" t="b">
        <f t="shared" si="42"/>
        <v>0</v>
      </c>
      <c r="G46" s="79">
        <f t="shared" si="43"/>
        <v>0</v>
      </c>
      <c r="H46" s="79">
        <f t="shared" si="44"/>
        <v>366</v>
      </c>
      <c r="I46" s="87" t="b">
        <f t="shared" si="45"/>
        <v>0</v>
      </c>
      <c r="J46" s="87">
        <f>SUM($I$8:I45)</f>
        <v>125000000</v>
      </c>
      <c r="K46" s="87">
        <f t="shared" si="46"/>
        <v>0</v>
      </c>
      <c r="L46" s="81">
        <f>ROUND(C46*malumot!$B$85/H46,2)*G46</f>
        <v>0</v>
      </c>
      <c r="M46" s="81">
        <f t="shared" si="47"/>
        <v>0</v>
      </c>
      <c r="N46" s="81"/>
      <c r="O46" s="96" t="str">
        <f t="shared" si="48"/>
        <v>Сб</v>
      </c>
      <c r="P46" s="98">
        <f t="shared" si="49"/>
        <v>2</v>
      </c>
      <c r="Q46" s="98">
        <f>DAY(malumot!$B$79)+P46</f>
        <v>3</v>
      </c>
      <c r="R46" s="93">
        <f>IF(A46&lt;=malumot!$B$82,DATE(YEAR($B$8),MONTH($B$8)+A45,DAY(malumot!$B$79)),0)</f>
        <v>0</v>
      </c>
      <c r="S46" s="79"/>
      <c r="T46" s="79"/>
      <c r="U46" s="79"/>
      <c r="V46" s="79"/>
    </row>
    <row r="47" spans="1:22" x14ac:dyDescent="0.25">
      <c r="A47" s="85">
        <f t="shared" si="27"/>
        <v>40</v>
      </c>
      <c r="B47" s="86" t="b">
        <f>IF(A47&lt;=malumot!$B$82,DATE(YEAR(R47),MONTH(R47),DAY(IF(A47=malumot!$B$82,malumot!$B$67,IF(A47&lt;malumot!$B$82,(Q47),IF(A47&gt;malumot!$B$82,$H$56,0))))))</f>
        <v>0</v>
      </c>
      <c r="C47" s="48">
        <f t="shared" si="39"/>
        <v>7.9162418842315674E-9</v>
      </c>
      <c r="D47" s="48" t="b">
        <f t="shared" si="40"/>
        <v>0</v>
      </c>
      <c r="E47" s="48" t="b">
        <f t="shared" si="41"/>
        <v>0</v>
      </c>
      <c r="F47" s="48" t="b">
        <f t="shared" si="42"/>
        <v>0</v>
      </c>
      <c r="G47" s="79">
        <f t="shared" si="43"/>
        <v>0</v>
      </c>
      <c r="H47" s="79">
        <f t="shared" si="44"/>
        <v>366</v>
      </c>
      <c r="I47" s="87" t="b">
        <f t="shared" si="45"/>
        <v>0</v>
      </c>
      <c r="J47" s="87">
        <f>SUM($I$8:I46)</f>
        <v>125000000</v>
      </c>
      <c r="K47" s="87">
        <f t="shared" si="46"/>
        <v>0</v>
      </c>
      <c r="L47" s="81">
        <f>ROUND(C47*malumot!$B$85/H47,2)*G47</f>
        <v>0</v>
      </c>
      <c r="M47" s="81">
        <f t="shared" si="47"/>
        <v>0</v>
      </c>
      <c r="N47" s="81"/>
      <c r="O47" s="96" t="str">
        <f t="shared" si="48"/>
        <v>Сб</v>
      </c>
      <c r="P47" s="98">
        <f t="shared" si="49"/>
        <v>2</v>
      </c>
      <c r="Q47" s="98">
        <f>DAY(malumot!$B$79)+P47</f>
        <v>3</v>
      </c>
      <c r="R47" s="93">
        <f>IF(A47&lt;=malumot!$B$82,DATE(YEAR($B$8),MONTH($B$8)+A46,DAY(malumot!$B$79)),0)</f>
        <v>0</v>
      </c>
      <c r="S47" s="79"/>
      <c r="T47" s="79"/>
      <c r="U47" s="79"/>
      <c r="V47" s="79"/>
    </row>
    <row r="48" spans="1:22" x14ac:dyDescent="0.25">
      <c r="A48" s="85">
        <f t="shared" si="27"/>
        <v>41</v>
      </c>
      <c r="B48" s="86" t="b">
        <f>IF(A48&lt;=malumot!$B$82,DATE(YEAR(R48),MONTH(R48),DAY(IF(A48=malumot!$B$82,malumot!$B$67,IF(A48&lt;malumot!$B$82,(Q48),IF(A48&gt;malumot!$B$82,$H$56,0))))))</f>
        <v>0</v>
      </c>
      <c r="C48" s="48">
        <f t="shared" si="39"/>
        <v>7.9162418842315674E-9</v>
      </c>
      <c r="D48" s="48" t="b">
        <f t="shared" si="40"/>
        <v>0</v>
      </c>
      <c r="E48" s="48" t="b">
        <f t="shared" si="41"/>
        <v>0</v>
      </c>
      <c r="F48" s="48" t="b">
        <f t="shared" si="42"/>
        <v>0</v>
      </c>
      <c r="G48" s="79">
        <f t="shared" si="43"/>
        <v>0</v>
      </c>
      <c r="H48" s="79">
        <f t="shared" si="44"/>
        <v>366</v>
      </c>
      <c r="I48" s="87" t="b">
        <f t="shared" si="45"/>
        <v>0</v>
      </c>
      <c r="J48" s="87">
        <f>SUM($I$8:I47)</f>
        <v>125000000</v>
      </c>
      <c r="K48" s="87">
        <f t="shared" si="46"/>
        <v>0</v>
      </c>
      <c r="L48" s="81">
        <f>ROUND(C48*malumot!$B$85/H48,2)*G48</f>
        <v>0</v>
      </c>
      <c r="M48" s="81">
        <f t="shared" si="47"/>
        <v>0</v>
      </c>
      <c r="N48" s="81"/>
      <c r="O48" s="96" t="str">
        <f t="shared" si="48"/>
        <v>Сб</v>
      </c>
      <c r="P48" s="98">
        <f t="shared" si="49"/>
        <v>2</v>
      </c>
      <c r="Q48" s="98">
        <f>DAY(malumot!$B$79)+P48</f>
        <v>3</v>
      </c>
      <c r="R48" s="93">
        <f>IF(A48&lt;=malumot!$B$82,DATE(YEAR($B$8),MONTH($B$8)+A47,DAY(malumot!$B$79)),0)</f>
        <v>0</v>
      </c>
      <c r="S48" s="79"/>
      <c r="T48" s="79"/>
      <c r="U48" s="79"/>
      <c r="V48" s="79"/>
    </row>
    <row r="49" spans="1:22" x14ac:dyDescent="0.25">
      <c r="A49" s="85">
        <f t="shared" si="27"/>
        <v>42</v>
      </c>
      <c r="B49" s="86" t="b">
        <f>IF(A49&lt;=malumot!$B$82,DATE(YEAR(R49),MONTH(R49),DAY(IF(A49=malumot!$B$82,malumot!$B$67,IF(A49&lt;malumot!$B$82,(Q49),IF(A49&gt;malumot!$B$82,$H$56,0))))))</f>
        <v>0</v>
      </c>
      <c r="C49" s="48">
        <f t="shared" si="39"/>
        <v>7.9162418842315674E-9</v>
      </c>
      <c r="D49" s="48" t="b">
        <f t="shared" si="40"/>
        <v>0</v>
      </c>
      <c r="E49" s="48" t="b">
        <f t="shared" si="41"/>
        <v>0</v>
      </c>
      <c r="F49" s="48" t="b">
        <f t="shared" si="42"/>
        <v>0</v>
      </c>
      <c r="G49" s="79">
        <f t="shared" si="43"/>
        <v>0</v>
      </c>
      <c r="H49" s="79">
        <f t="shared" si="44"/>
        <v>366</v>
      </c>
      <c r="I49" s="87" t="b">
        <f t="shared" si="45"/>
        <v>0</v>
      </c>
      <c r="J49" s="87">
        <f>SUM($I$8:I48)</f>
        <v>125000000</v>
      </c>
      <c r="K49" s="87">
        <f t="shared" si="46"/>
        <v>0</v>
      </c>
      <c r="L49" s="81">
        <f>ROUND(C49*malumot!$B$85/H49,2)*G49</f>
        <v>0</v>
      </c>
      <c r="M49" s="81">
        <f t="shared" si="47"/>
        <v>0</v>
      </c>
      <c r="N49" s="81"/>
      <c r="O49" s="96" t="str">
        <f t="shared" si="48"/>
        <v>Сб</v>
      </c>
      <c r="P49" s="98">
        <f t="shared" si="49"/>
        <v>2</v>
      </c>
      <c r="Q49" s="98">
        <f>DAY(malumot!$B$79)+P49</f>
        <v>3</v>
      </c>
      <c r="R49" s="93">
        <f>IF(A49&lt;=malumot!$B$82,DATE(YEAR($B$8),MONTH($B$8)+A48,DAY(malumot!$B$79)),0)</f>
        <v>0</v>
      </c>
      <c r="S49" s="79"/>
      <c r="T49" s="79"/>
      <c r="U49" s="79"/>
      <c r="V49" s="79"/>
    </row>
    <row r="50" spans="1:22" x14ac:dyDescent="0.25">
      <c r="A50" s="85">
        <f t="shared" si="27"/>
        <v>43</v>
      </c>
      <c r="B50" s="86" t="b">
        <f>IF(A50&lt;=malumot!$B$82,DATE(YEAR(R50),MONTH(R50),DAY(IF(A50=malumot!$B$82,malumot!$B$67,IF(A50&lt;malumot!$B$82,(Q50),IF(A50&gt;malumot!$B$82,$H$56,0))))))</f>
        <v>0</v>
      </c>
      <c r="C50" s="48">
        <f t="shared" si="39"/>
        <v>7.9162418842315674E-9</v>
      </c>
      <c r="D50" s="48" t="b">
        <f t="shared" si="40"/>
        <v>0</v>
      </c>
      <c r="E50" s="48" t="b">
        <f t="shared" si="41"/>
        <v>0</v>
      </c>
      <c r="F50" s="48" t="b">
        <f t="shared" si="42"/>
        <v>0</v>
      </c>
      <c r="G50" s="79">
        <f t="shared" si="43"/>
        <v>0</v>
      </c>
      <c r="H50" s="79">
        <f t="shared" si="44"/>
        <v>366</v>
      </c>
      <c r="I50" s="87" t="b">
        <f t="shared" si="45"/>
        <v>0</v>
      </c>
      <c r="J50" s="87">
        <f>SUM($I$8:I49)</f>
        <v>125000000</v>
      </c>
      <c r="K50" s="87">
        <f t="shared" si="46"/>
        <v>0</v>
      </c>
      <c r="L50" s="81">
        <f>ROUND(C50*malumot!$B$85/H50,2)*G50</f>
        <v>0</v>
      </c>
      <c r="M50" s="81">
        <f t="shared" si="47"/>
        <v>0</v>
      </c>
      <c r="N50" s="81"/>
      <c r="O50" s="96" t="str">
        <f t="shared" si="48"/>
        <v>Сб</v>
      </c>
      <c r="P50" s="98">
        <f t="shared" si="49"/>
        <v>2</v>
      </c>
      <c r="Q50" s="98">
        <f>DAY(malumot!$B$79)+P50</f>
        <v>3</v>
      </c>
      <c r="R50" s="93">
        <f>IF(A50&lt;=malumot!$B$82,DATE(YEAR($B$8),MONTH($B$8)+A49,DAY(malumot!$B$79)),0)</f>
        <v>0</v>
      </c>
      <c r="S50" s="79"/>
      <c r="T50" s="79"/>
      <c r="U50" s="79"/>
      <c r="V50" s="79"/>
    </row>
    <row r="51" spans="1:22" x14ac:dyDescent="0.25">
      <c r="A51" s="85">
        <f t="shared" si="27"/>
        <v>44</v>
      </c>
      <c r="B51" s="86" t="b">
        <f>IF(A51&lt;=malumot!$B$82,DATE(YEAR(R51),MONTH(R51),DAY(IF(A51=malumot!$B$82,malumot!$B$67,IF(A51&lt;malumot!$B$82,(Q51),IF(A51&gt;malumot!$B$82,$H$56,0))))))</f>
        <v>0</v>
      </c>
      <c r="C51" s="48">
        <f t="shared" si="39"/>
        <v>7.9162418842315674E-9</v>
      </c>
      <c r="D51" s="48" t="b">
        <f t="shared" si="40"/>
        <v>0</v>
      </c>
      <c r="E51" s="48" t="b">
        <f t="shared" si="41"/>
        <v>0</v>
      </c>
      <c r="F51" s="48" t="b">
        <f t="shared" si="42"/>
        <v>0</v>
      </c>
      <c r="G51" s="79">
        <f t="shared" si="43"/>
        <v>0</v>
      </c>
      <c r="H51" s="79">
        <f t="shared" si="44"/>
        <v>366</v>
      </c>
      <c r="I51" s="87" t="b">
        <f t="shared" si="45"/>
        <v>0</v>
      </c>
      <c r="J51" s="87">
        <f>SUM($I$8:I50)</f>
        <v>125000000</v>
      </c>
      <c r="K51" s="87">
        <f t="shared" si="46"/>
        <v>0</v>
      </c>
      <c r="L51" s="81">
        <f>ROUND(C51*malumot!$B$85/H51,2)*G51</f>
        <v>0</v>
      </c>
      <c r="M51" s="81">
        <f t="shared" si="47"/>
        <v>0</v>
      </c>
      <c r="N51" s="81"/>
      <c r="O51" s="96" t="str">
        <f t="shared" si="48"/>
        <v>Сб</v>
      </c>
      <c r="P51" s="98">
        <f t="shared" si="49"/>
        <v>2</v>
      </c>
      <c r="Q51" s="98">
        <f>DAY(malumot!$B$79)+P51</f>
        <v>3</v>
      </c>
      <c r="R51" s="93">
        <f>IF(A51&lt;=malumot!$B$82,DATE(YEAR($B$8),MONTH($B$8)+A50,DAY(malumot!$B$79)),0)</f>
        <v>0</v>
      </c>
      <c r="S51" s="79"/>
      <c r="T51" s="79"/>
      <c r="U51" s="79"/>
      <c r="V51" s="79"/>
    </row>
    <row r="52" spans="1:22" x14ac:dyDescent="0.25">
      <c r="A52" s="85">
        <f t="shared" si="27"/>
        <v>45</v>
      </c>
      <c r="B52" s="86" t="b">
        <f>IF(A52&lt;=malumot!$B$82,DATE(YEAR(R52),MONTH(R52),DAY(IF(A52=malumot!$B$82,malumot!$B$67,IF(A52&lt;malumot!$B$82,(Q52),IF(A52&gt;malumot!$B$82,$H$56,0))))))</f>
        <v>0</v>
      </c>
      <c r="C52" s="48">
        <f t="shared" si="39"/>
        <v>7.9162418842315674E-9</v>
      </c>
      <c r="D52" s="48" t="b">
        <f t="shared" si="40"/>
        <v>0</v>
      </c>
      <c r="E52" s="48" t="b">
        <f t="shared" si="41"/>
        <v>0</v>
      </c>
      <c r="F52" s="48" t="b">
        <f t="shared" si="42"/>
        <v>0</v>
      </c>
      <c r="G52" s="79">
        <f t="shared" si="43"/>
        <v>0</v>
      </c>
      <c r="H52" s="79">
        <f t="shared" si="44"/>
        <v>366</v>
      </c>
      <c r="I52" s="87" t="b">
        <f t="shared" si="45"/>
        <v>0</v>
      </c>
      <c r="J52" s="87">
        <f>SUM($I$8:I51)</f>
        <v>125000000</v>
      </c>
      <c r="K52" s="87">
        <f t="shared" si="46"/>
        <v>0</v>
      </c>
      <c r="L52" s="81">
        <f>ROUND(C52*malumot!$B$85/H52,2)*G52</f>
        <v>0</v>
      </c>
      <c r="M52" s="81">
        <f t="shared" si="47"/>
        <v>0</v>
      </c>
      <c r="N52" s="81"/>
      <c r="O52" s="96" t="str">
        <f t="shared" si="48"/>
        <v>Сб</v>
      </c>
      <c r="P52" s="98">
        <f t="shared" si="49"/>
        <v>2</v>
      </c>
      <c r="Q52" s="98">
        <f>DAY(malumot!$B$79)+P52</f>
        <v>3</v>
      </c>
      <c r="R52" s="93">
        <f>IF(A52&lt;=malumot!$B$82,DATE(YEAR($B$8),MONTH($B$8)+A51,DAY(malumot!$B$79)),0)</f>
        <v>0</v>
      </c>
      <c r="S52" s="79"/>
      <c r="T52" s="79"/>
      <c r="U52" s="79"/>
      <c r="V52" s="79"/>
    </row>
    <row r="53" spans="1:22" x14ac:dyDescent="0.25">
      <c r="A53" s="85">
        <f t="shared" si="27"/>
        <v>46</v>
      </c>
      <c r="B53" s="86" t="b">
        <f>IF(A53&lt;=malumot!$B$82,DATE(YEAR(R53),MONTH(R53),DAY(IF(A53=malumot!$B$82,malumot!$B$67,IF(A53&lt;malumot!$B$82,(Q53),IF(A53&gt;malumot!$B$82,$H$56,0))))))</f>
        <v>0</v>
      </c>
      <c r="C53" s="48">
        <f t="shared" si="39"/>
        <v>7.9162418842315674E-9</v>
      </c>
      <c r="D53" s="48" t="b">
        <f t="shared" si="40"/>
        <v>0</v>
      </c>
      <c r="E53" s="48" t="b">
        <f t="shared" si="41"/>
        <v>0</v>
      </c>
      <c r="F53" s="48" t="b">
        <f t="shared" si="42"/>
        <v>0</v>
      </c>
      <c r="G53" s="79">
        <f t="shared" si="43"/>
        <v>0</v>
      </c>
      <c r="H53" s="79">
        <f t="shared" si="44"/>
        <v>366</v>
      </c>
      <c r="I53" s="87" t="b">
        <f t="shared" si="45"/>
        <v>0</v>
      </c>
      <c r="J53" s="87">
        <f>SUM($I$8:I52)</f>
        <v>125000000</v>
      </c>
      <c r="K53" s="87">
        <f t="shared" si="46"/>
        <v>0</v>
      </c>
      <c r="L53" s="81">
        <f>ROUND(C53*malumot!$B$85/H53,2)*G53</f>
        <v>0</v>
      </c>
      <c r="M53" s="81">
        <f t="shared" si="47"/>
        <v>0</v>
      </c>
      <c r="N53" s="81"/>
      <c r="O53" s="96" t="str">
        <f t="shared" si="48"/>
        <v>Сб</v>
      </c>
      <c r="P53" s="98">
        <f t="shared" si="49"/>
        <v>2</v>
      </c>
      <c r="Q53" s="98">
        <f>DAY(malumot!$B$79)+P53</f>
        <v>3</v>
      </c>
      <c r="R53" s="93">
        <f>IF(A53&lt;=malumot!$B$82,DATE(YEAR($B$8),MONTH($B$8)+A52,DAY(malumot!$B$79)),0)</f>
        <v>0</v>
      </c>
      <c r="S53" s="79"/>
      <c r="T53" s="79"/>
      <c r="U53" s="79"/>
      <c r="V53" s="79"/>
    </row>
    <row r="54" spans="1:22" x14ac:dyDescent="0.25">
      <c r="A54" s="85">
        <f t="shared" si="27"/>
        <v>47</v>
      </c>
      <c r="B54" s="86" t="b">
        <f>IF(A54&lt;=malumot!$B$82,DATE(YEAR(R54),MONTH(R54),DAY(IF(A54=malumot!$B$82,malumot!$B$67,IF(A54&lt;malumot!$B$82,(Q54),IF(A54&gt;malumot!$B$82,$H$56,0))))))</f>
        <v>0</v>
      </c>
      <c r="C54" s="48">
        <f t="shared" si="39"/>
        <v>7.9162418842315674E-9</v>
      </c>
      <c r="D54" s="48" t="b">
        <f t="shared" si="40"/>
        <v>0</v>
      </c>
      <c r="E54" s="48" t="b">
        <f t="shared" si="41"/>
        <v>0</v>
      </c>
      <c r="F54" s="48" t="b">
        <f t="shared" si="42"/>
        <v>0</v>
      </c>
      <c r="G54" s="79">
        <f t="shared" si="43"/>
        <v>0</v>
      </c>
      <c r="H54" s="79">
        <f t="shared" si="44"/>
        <v>366</v>
      </c>
      <c r="I54" s="87" t="b">
        <f t="shared" si="45"/>
        <v>0</v>
      </c>
      <c r="J54" s="87">
        <f>SUM($I$8:I53)</f>
        <v>125000000</v>
      </c>
      <c r="K54" s="87">
        <f t="shared" si="46"/>
        <v>0</v>
      </c>
      <c r="L54" s="81">
        <f>ROUND(C54*malumot!$B$85/H54,2)*G54</f>
        <v>0</v>
      </c>
      <c r="M54" s="81">
        <f t="shared" si="47"/>
        <v>0</v>
      </c>
      <c r="N54" s="81"/>
      <c r="O54" s="96" t="str">
        <f t="shared" si="48"/>
        <v>Сб</v>
      </c>
      <c r="P54" s="98">
        <f t="shared" si="49"/>
        <v>2</v>
      </c>
      <c r="Q54" s="98">
        <f>DAY(malumot!$B$79)+P54</f>
        <v>3</v>
      </c>
      <c r="R54" s="93">
        <f>IF(A54&lt;=malumot!$B$82,DATE(YEAR($B$8),MONTH($B$8)+A53,DAY(malumot!$B$79)),0)</f>
        <v>0</v>
      </c>
      <c r="S54" s="79"/>
      <c r="T54" s="79"/>
      <c r="U54" s="79"/>
      <c r="V54" s="79"/>
    </row>
    <row r="55" spans="1:22" x14ac:dyDescent="0.25">
      <c r="A55" s="85">
        <f t="shared" si="27"/>
        <v>48</v>
      </c>
      <c r="B55" s="86" t="b">
        <f>IF(A55&lt;=malumot!$B$82,DATE(YEAR(R55),MONTH(R55),DAY(IF(A55=malumot!$B$82,malumot!$B$67,IF(A55&lt;malumot!$B$82,(Q55),IF(A55&gt;malumot!$B$82,$H$56,0))))))</f>
        <v>0</v>
      </c>
      <c r="C55" s="48">
        <f t="shared" si="39"/>
        <v>7.9162418842315674E-9</v>
      </c>
      <c r="D55" s="48" t="b">
        <f t="shared" si="40"/>
        <v>0</v>
      </c>
      <c r="E55" s="48" t="b">
        <f t="shared" si="41"/>
        <v>0</v>
      </c>
      <c r="F55" s="48" t="b">
        <f t="shared" si="42"/>
        <v>0</v>
      </c>
      <c r="G55" s="79">
        <f t="shared" si="43"/>
        <v>0</v>
      </c>
      <c r="H55" s="79">
        <f t="shared" si="44"/>
        <v>366</v>
      </c>
      <c r="I55" s="87" t="b">
        <f t="shared" si="45"/>
        <v>0</v>
      </c>
      <c r="J55" s="87">
        <f>SUM($I$8:I54)</f>
        <v>125000000</v>
      </c>
      <c r="K55" s="87">
        <f t="shared" si="46"/>
        <v>0</v>
      </c>
      <c r="L55" s="81">
        <f>ROUND(C55*malumot!$B$85/H55,2)*G55</f>
        <v>0</v>
      </c>
      <c r="M55" s="81">
        <f t="shared" si="47"/>
        <v>0</v>
      </c>
      <c r="N55" s="81"/>
      <c r="O55" s="96" t="str">
        <f t="shared" si="48"/>
        <v>Сб</v>
      </c>
      <c r="P55" s="98">
        <f t="shared" si="49"/>
        <v>2</v>
      </c>
      <c r="Q55" s="98">
        <f>DAY(malumot!$B$79)+P55</f>
        <v>3</v>
      </c>
      <c r="R55" s="93">
        <f>IF(A55&lt;=malumot!$B$82,DATE(YEAR($B$8),MONTH($B$8)+A54,DAY(malumot!$B$79)),0)</f>
        <v>0</v>
      </c>
      <c r="S55" s="79"/>
      <c r="T55" s="79"/>
      <c r="U55" s="79"/>
      <c r="V55" s="79"/>
    </row>
    <row r="56" spans="1:22" x14ac:dyDescent="0.25">
      <c r="A56" s="88"/>
      <c r="B56" s="89" t="s">
        <v>6</v>
      </c>
      <c r="C56" s="90"/>
      <c r="D56" s="90">
        <f>SUM(D8:D55)</f>
        <v>125000000</v>
      </c>
      <c r="E56" s="90">
        <f t="shared" ref="E56:F56" si="50">SUM(E8:E55)</f>
        <v>105051161.73999999</v>
      </c>
      <c r="F56" s="90">
        <f t="shared" si="50"/>
        <v>230051161.74000007</v>
      </c>
    </row>
    <row r="57" spans="1:22" ht="9" customHeight="1" x14ac:dyDescent="0.25">
      <c r="B57" s="91"/>
      <c r="C57" s="92"/>
      <c r="D57" s="92"/>
      <c r="E57" s="92"/>
      <c r="F57" s="92"/>
    </row>
    <row r="58" spans="1:22" ht="47.25" customHeight="1" x14ac:dyDescent="0.25">
      <c r="A58" s="300" t="s">
        <v>17</v>
      </c>
      <c r="B58" s="300"/>
      <c r="C58" s="300"/>
      <c r="D58" s="300"/>
      <c r="E58" s="300"/>
      <c r="F58" s="300"/>
    </row>
    <row r="59" spans="1:22" ht="7.5" customHeight="1" x14ac:dyDescent="0.25"/>
    <row r="60" spans="1:22" x14ac:dyDescent="0.25">
      <c r="A60" s="301" t="e">
        <f>#REF!</f>
        <v>#REF!</v>
      </c>
      <c r="B60" s="301"/>
      <c r="C60" s="301"/>
      <c r="D60" s="301" t="e">
        <f>#REF!</f>
        <v>#REF!</v>
      </c>
      <c r="E60" s="301"/>
      <c r="F60" s="301"/>
    </row>
    <row r="61" spans="1:22" ht="11.25" customHeight="1" x14ac:dyDescent="0.25">
      <c r="A61" s="302"/>
      <c r="B61" s="302"/>
      <c r="C61" s="302"/>
      <c r="D61" s="302"/>
      <c r="E61" s="302"/>
      <c r="F61" s="302"/>
    </row>
    <row r="62" spans="1:22" ht="30" customHeight="1" x14ac:dyDescent="0.25">
      <c r="A62" s="303" t="e">
        <f>#REF!</f>
        <v>#REF!</v>
      </c>
      <c r="B62" s="303"/>
      <c r="C62" s="303"/>
      <c r="D62" s="303" t="e">
        <f>#REF!</f>
        <v>#REF!</v>
      </c>
      <c r="E62" s="303"/>
      <c r="F62" s="303"/>
    </row>
    <row r="63" spans="1:22" ht="32.25" customHeight="1" x14ac:dyDescent="0.25">
      <c r="A63" s="299" t="e">
        <f>#REF!</f>
        <v>#REF!</v>
      </c>
      <c r="B63" s="299"/>
      <c r="C63" s="299"/>
      <c r="D63" s="299" t="e">
        <f>#REF!</f>
        <v>#REF!</v>
      </c>
      <c r="E63" s="299"/>
      <c r="F63" s="299"/>
    </row>
    <row r="64" spans="1:22" x14ac:dyDescent="0.25">
      <c r="A64" s="299" t="e">
        <f>#REF!</f>
        <v>#REF!</v>
      </c>
      <c r="B64" s="299"/>
      <c r="C64" s="299"/>
      <c r="D64" s="299" t="str">
        <f>"паспорт серии "&amp;malumot!B16&amp;", "&amp;malumot!B20&amp;""</f>
        <v>паспорт серии AC 2074678, XORAZM VILOYATI SHOVOT TUMANI IIB tomonidan 17.07.2019 yilda berilgan</v>
      </c>
      <c r="E64" s="299"/>
      <c r="F64" s="299"/>
    </row>
    <row r="65" spans="1:6" ht="32.25" customHeight="1" x14ac:dyDescent="0.25">
      <c r="A65" s="299" t="e">
        <f>#REF!</f>
        <v>#REF!</v>
      </c>
      <c r="B65" s="299"/>
      <c r="C65" s="299"/>
      <c r="D65" s="299"/>
      <c r="E65" s="299"/>
      <c r="F65" s="299"/>
    </row>
    <row r="66" spans="1:6" x14ac:dyDescent="0.25">
      <c r="A66" s="299" t="e">
        <f>#REF!</f>
        <v>#REF!</v>
      </c>
      <c r="B66" s="299"/>
      <c r="C66" s="299"/>
      <c r="D66" s="299" t="e">
        <f>#REF!</f>
        <v>#REF!</v>
      </c>
      <c r="E66" s="299"/>
      <c r="F66" s="299"/>
    </row>
    <row r="67" spans="1:6" x14ac:dyDescent="0.25">
      <c r="A67" s="299" t="e">
        <f>#REF!</f>
        <v>#REF!</v>
      </c>
      <c r="B67" s="299"/>
      <c r="C67" s="299"/>
      <c r="D67" s="299" t="e">
        <f>#REF!</f>
        <v>#REF!</v>
      </c>
      <c r="E67" s="299"/>
      <c r="F67" s="299"/>
    </row>
    <row r="68" spans="1:6" x14ac:dyDescent="0.25">
      <c r="A68" s="299" t="e">
        <f>#REF!</f>
        <v>#REF!</v>
      </c>
      <c r="B68" s="299"/>
      <c r="C68" s="299"/>
      <c r="D68" s="299" t="e">
        <f>#REF!</f>
        <v>#REF!</v>
      </c>
      <c r="E68" s="299"/>
      <c r="F68" s="299"/>
    </row>
    <row r="69" spans="1:6" ht="8.25" customHeight="1" x14ac:dyDescent="0.25">
      <c r="A69" s="299"/>
      <c r="B69" s="299"/>
      <c r="C69" s="299"/>
      <c r="D69" s="299"/>
      <c r="E69" s="299"/>
      <c r="F69" s="299"/>
    </row>
    <row r="70" spans="1:6" x14ac:dyDescent="0.25">
      <c r="A70" s="303" t="e">
        <f>#REF!</f>
        <v>#REF!</v>
      </c>
      <c r="B70" s="303"/>
      <c r="C70" s="303"/>
      <c r="D70" s="303" t="e">
        <f>#REF!</f>
        <v>#REF!</v>
      </c>
      <c r="E70" s="303"/>
      <c r="F70" s="303"/>
    </row>
    <row r="71" spans="1:6" ht="7.5" customHeight="1" x14ac:dyDescent="0.25">
      <c r="A71" s="303"/>
      <c r="B71" s="303"/>
      <c r="C71" s="303"/>
      <c r="D71" s="303"/>
      <c r="E71" s="303"/>
      <c r="F71" s="303"/>
    </row>
    <row r="72" spans="1:6" x14ac:dyDescent="0.25">
      <c r="A72" s="303" t="e">
        <f>#REF!</f>
        <v>#REF!</v>
      </c>
      <c r="B72" s="303"/>
      <c r="C72" s="303"/>
      <c r="D72" s="303" t="e">
        <f>#REF!</f>
        <v>#REF!</v>
      </c>
      <c r="E72" s="303"/>
      <c r="F72" s="303"/>
    </row>
    <row r="73" spans="1:6" ht="8.25" customHeight="1" x14ac:dyDescent="0.25">
      <c r="A73" s="299"/>
      <c r="B73" s="299"/>
      <c r="C73" s="299"/>
      <c r="D73" s="299"/>
      <c r="E73" s="299"/>
      <c r="F73" s="299"/>
    </row>
    <row r="74" spans="1:6" ht="30" customHeight="1" x14ac:dyDescent="0.25">
      <c r="A74" s="305"/>
      <c r="B74" s="305"/>
      <c r="C74" s="305"/>
      <c r="D74" s="306" t="e">
        <f>#REF!</f>
        <v>#REF!</v>
      </c>
      <c r="E74" s="306"/>
      <c r="F74" s="306"/>
    </row>
    <row r="75" spans="1:6" x14ac:dyDescent="0.25">
      <c r="A75" s="307"/>
      <c r="B75" s="307"/>
      <c r="C75" s="307"/>
      <c r="D75" s="307"/>
      <c r="E75" s="307"/>
      <c r="F75" s="307"/>
    </row>
    <row r="76" spans="1:6" x14ac:dyDescent="0.25">
      <c r="A76" s="304"/>
      <c r="B76" s="304"/>
      <c r="C76" s="304"/>
      <c r="D76" s="304"/>
      <c r="E76" s="304"/>
      <c r="F76" s="304"/>
    </row>
  </sheetData>
  <mergeCells count="40">
    <mergeCell ref="A76:C76"/>
    <mergeCell ref="D76:F76"/>
    <mergeCell ref="A73:C73"/>
    <mergeCell ref="D73:F73"/>
    <mergeCell ref="A74:C74"/>
    <mergeCell ref="D74:F74"/>
    <mergeCell ref="A75:C75"/>
    <mergeCell ref="D75:F75"/>
    <mergeCell ref="A70:C70"/>
    <mergeCell ref="D70:F70"/>
    <mergeCell ref="A71:C71"/>
    <mergeCell ref="D71:F71"/>
    <mergeCell ref="A72:C72"/>
    <mergeCell ref="D72:F72"/>
    <mergeCell ref="A67:C67"/>
    <mergeCell ref="D67:F67"/>
    <mergeCell ref="A68:C68"/>
    <mergeCell ref="D68:F68"/>
    <mergeCell ref="A69:C69"/>
    <mergeCell ref="D69:F69"/>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E1:F1"/>
    <mergeCell ref="A4:F4"/>
    <mergeCell ref="A6:A7"/>
    <mergeCell ref="B6:B7"/>
    <mergeCell ref="C6:C7"/>
    <mergeCell ref="D6:F6"/>
  </mergeCells>
  <conditionalFormatting sqref="B8:B43">
    <cfRule type="cellIs" dxfId="15" priority="7" operator="lessThan">
      <formula>22105</formula>
    </cfRule>
  </conditionalFormatting>
  <conditionalFormatting sqref="C8:C43">
    <cfRule type="cellIs" dxfId="14" priority="6" operator="lessThan">
      <formula>1</formula>
    </cfRule>
  </conditionalFormatting>
  <conditionalFormatting sqref="C8:F43">
    <cfRule type="cellIs" dxfId="13" priority="4" operator="lessThan">
      <formula>0.1</formula>
    </cfRule>
  </conditionalFormatting>
  <conditionalFormatting sqref="B44:B55">
    <cfRule type="cellIs" dxfId="12" priority="3" operator="lessThan">
      <formula>22105</formula>
    </cfRule>
  </conditionalFormatting>
  <conditionalFormatting sqref="C44:C55">
    <cfRule type="cellIs" dxfId="11" priority="2" operator="lessThan">
      <formula>1</formula>
    </cfRule>
  </conditionalFormatting>
  <conditionalFormatting sqref="C44:F55">
    <cfRule type="cellIs" dxfId="10"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x14ac:dyDescent="0.25"/>
  <cols>
    <col min="1" max="1" width="16.7109375" style="105"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1" customFormat="1" ht="36.75" customHeight="1" x14ac:dyDescent="0.25">
      <c r="A1" s="110" t="s">
        <v>14</v>
      </c>
      <c r="B1" s="111" t="s">
        <v>3</v>
      </c>
      <c r="D1" s="110"/>
      <c r="E1" s="110" t="s">
        <v>39</v>
      </c>
      <c r="F1" s="110" t="s">
        <v>40</v>
      </c>
      <c r="G1" s="110"/>
      <c r="H1" s="110"/>
      <c r="I1" s="110"/>
      <c r="J1" s="110"/>
      <c r="K1" s="110"/>
      <c r="L1" s="110" t="s">
        <v>41</v>
      </c>
      <c r="M1" s="110" t="s">
        <v>43</v>
      </c>
      <c r="N1" s="110" t="s">
        <v>42</v>
      </c>
    </row>
    <row r="2" spans="1:23" ht="15" customHeight="1" x14ac:dyDescent="0.25">
      <c r="A2" s="104">
        <v>1</v>
      </c>
      <c r="B2" t="s">
        <v>254</v>
      </c>
      <c r="C2" t="s">
        <v>65</v>
      </c>
      <c r="D2" s="106" t="s">
        <v>254</v>
      </c>
      <c r="E2" s="106" t="s">
        <v>45</v>
      </c>
      <c r="F2" s="107">
        <v>44207</v>
      </c>
      <c r="G2" s="97">
        <f>MONTH(F2)</f>
        <v>1</v>
      </c>
      <c r="H2" s="107" t="str">
        <f>IF(G2=$A$26,$A$28,IF(G2=$B$26,$B$28,IF(G2=$C$26,$C$28,IF(G2=$D$26,$D$28,IF(G2=$E$26,$E$28,IF(G2=$F$26,$F$28,IF(G2=$K$26,$K$28,IF(G2=$L$26,$L$28,IF(G2=$M$26,$M$28,IF(G2=$N$26,$N$28,IF(G2=$O$26,$O$28,IF(G2=$P$26,$P$28,0))))))))))))</f>
        <v>yanvar</v>
      </c>
      <c r="I2" s="97">
        <f>DAY(F2)</f>
        <v>11</v>
      </c>
      <c r="J2" s="109">
        <f>YEAR(F2)</f>
        <v>2021</v>
      </c>
      <c r="K2" s="107" t="str">
        <f>""&amp;I2&amp;" "&amp;H2&amp;" "&amp;J2&amp;" г."</f>
        <v>11 yanvar 2021 г.</v>
      </c>
      <c r="L2" s="106">
        <v>5</v>
      </c>
      <c r="M2" s="108">
        <v>15000000</v>
      </c>
      <c r="N2" s="106" t="s">
        <v>128</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57"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x14ac:dyDescent="0.25">
      <c r="A3" s="104">
        <v>2</v>
      </c>
      <c r="D3" s="106" t="s">
        <v>254</v>
      </c>
      <c r="E3" s="106" t="s">
        <v>44</v>
      </c>
      <c r="F3" s="107">
        <v>43775</v>
      </c>
      <c r="G3" s="97">
        <f>MONTH(F3)</f>
        <v>11</v>
      </c>
      <c r="H3" s="107" t="str">
        <f>IF(G3=$A$26,$A$28,IF(G3=$B$26,$B$28,IF(G3=$C$26,$C$28,IF(G3=$D$26,$D$28,IF(G3=$E$26,$E$28,IF(G3=$F$26,$F$28,IF(G3=$K$26,$K$28,IF(G3=$L$26,$L$28,IF(G3=$M$26,$M$28,IF(G3=$N$26,$N$28,IF(G3=$O$26,$O$28,IF(G3=$P$26,$P$28,0))))))))))))</f>
        <v>noyabr</v>
      </c>
      <c r="I3" s="97">
        <f>DAY(F3)</f>
        <v>6</v>
      </c>
      <c r="J3" s="109">
        <f>YEAR(F3)</f>
        <v>2019</v>
      </c>
      <c r="K3" s="107" t="str">
        <f>""&amp;I3&amp;" "&amp;H3&amp;" "&amp;J3&amp;" г."</f>
        <v>6 noyabr 2019 г.</v>
      </c>
      <c r="L3" s="106">
        <v>386</v>
      </c>
      <c r="M3" s="108">
        <v>15000000</v>
      </c>
      <c r="N3" s="106" t="s">
        <v>128</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x14ac:dyDescent="0.25">
      <c r="A4" s="104">
        <v>3</v>
      </c>
      <c r="D4" s="106" t="s">
        <v>254</v>
      </c>
      <c r="E4" s="106" t="s">
        <v>44</v>
      </c>
      <c r="F4" s="107">
        <v>44217</v>
      </c>
      <c r="G4" s="97">
        <f>MONTH(F4)</f>
        <v>1</v>
      </c>
      <c r="H4" s="107" t="str">
        <f>IF(G4=$A$26,$A$28,IF(G4=$B$26,$B$28,IF(G4=$C$26,$C$28,IF(G4=$D$26,$D$28,IF(G4=$E$26,$E$28,IF(G4=$F$26,$F$28,IF(G4=$K$26,$K$28,IF(G4=$L$26,$L$28,IF(G4=$M$26,$M$28,IF(G4=$N$26,$N$28,IF(G4=$O$26,$O$28,IF(G4=$P$26,$P$28,0))))))))))))</f>
        <v>yanvar</v>
      </c>
      <c r="I4" s="97">
        <f>DAY(F4)</f>
        <v>21</v>
      </c>
      <c r="J4" s="109">
        <f>YEAR(F4)</f>
        <v>2021</v>
      </c>
      <c r="K4" s="107" t="str">
        <f>""&amp;I4&amp;" "&amp;H4&amp;" "&amp;J4&amp;" г."</f>
        <v>21 yanvar 2021 г.</v>
      </c>
      <c r="L4" s="106">
        <v>33</v>
      </c>
      <c r="M4" s="108">
        <v>15000000</v>
      </c>
      <c r="N4" s="106" t="s">
        <v>128</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x14ac:dyDescent="0.25">
      <c r="A5" s="104">
        <v>4</v>
      </c>
      <c r="D5" s="106" t="s">
        <v>254</v>
      </c>
      <c r="E5" s="106"/>
      <c r="F5" s="107"/>
      <c r="G5" s="97">
        <f t="shared" ref="G5:G21" si="2">MONTH(F5)</f>
        <v>1</v>
      </c>
      <c r="H5" s="107" t="str">
        <f t="shared" ref="H5:H21" si="3">IF(G5=$A$26,$A$28,IF(G5=$B$26,$B$28,IF(G5=$C$26,$C$28,IF(G5=$D$26,$D$28,IF(G5=$E$26,$E$28,IF(G5=$F$26,$F$28,IF(G5=$K$26,$K$28,IF(G5=$L$26,$L$28,IF(G5=$M$26,$M$28,IF(G5=$N$26,$N$28,IF(G5=$O$26,$O$28,IF(G5=$P$26,$P$28,0))))))))))))</f>
        <v>yanvar</v>
      </c>
      <c r="I5" s="97">
        <f t="shared" ref="I5:I21" si="4">DAY(F5)</f>
        <v>0</v>
      </c>
      <c r="J5" s="109">
        <f t="shared" ref="J5:J21" si="5">YEAR(F5)</f>
        <v>1900</v>
      </c>
      <c r="K5" s="107" t="str">
        <f t="shared" ref="K5:K21" si="6">""&amp;I5&amp;" "&amp;H5&amp;" "&amp;J5&amp;" г."</f>
        <v>0 yanvar 1900 г.</v>
      </c>
      <c r="L5" s="106"/>
      <c r="M5" s="108"/>
      <c r="N5" s="106"/>
      <c r="P5">
        <f t="shared" si="1"/>
        <v>0</v>
      </c>
    </row>
    <row r="6" spans="1:23" ht="15" customHeight="1" x14ac:dyDescent="0.25">
      <c r="A6" s="104">
        <v>5</v>
      </c>
      <c r="D6" s="106" t="s">
        <v>254</v>
      </c>
      <c r="E6" s="106"/>
      <c r="F6" s="107"/>
      <c r="G6" s="97">
        <f t="shared" si="2"/>
        <v>1</v>
      </c>
      <c r="H6" s="107" t="str">
        <f t="shared" si="3"/>
        <v>yanvar</v>
      </c>
      <c r="I6" s="97">
        <f t="shared" si="4"/>
        <v>0</v>
      </c>
      <c r="J6" s="109">
        <f t="shared" si="5"/>
        <v>1900</v>
      </c>
      <c r="K6" s="107" t="str">
        <f t="shared" si="6"/>
        <v>0 yanvar 1900 г.</v>
      </c>
      <c r="L6" s="106"/>
      <c r="M6" s="108"/>
      <c r="N6" s="106"/>
      <c r="P6">
        <f t="shared" si="1"/>
        <v>0</v>
      </c>
    </row>
    <row r="7" spans="1:23" ht="15" customHeight="1" x14ac:dyDescent="0.25">
      <c r="A7" s="104">
        <v>6</v>
      </c>
      <c r="D7" s="106" t="s">
        <v>254</v>
      </c>
      <c r="E7" s="106"/>
      <c r="F7" s="107"/>
      <c r="G7" s="97">
        <f t="shared" si="2"/>
        <v>1</v>
      </c>
      <c r="H7" s="107" t="str">
        <f t="shared" si="3"/>
        <v>yanvar</v>
      </c>
      <c r="I7" s="97">
        <f t="shared" si="4"/>
        <v>0</v>
      </c>
      <c r="J7" s="109">
        <f t="shared" si="5"/>
        <v>1900</v>
      </c>
      <c r="K7" s="107" t="str">
        <f t="shared" si="6"/>
        <v>0 yanvar 1900 г.</v>
      </c>
      <c r="L7" s="106"/>
      <c r="M7" s="108"/>
      <c r="N7" s="106"/>
      <c r="P7">
        <f t="shared" si="1"/>
        <v>0</v>
      </c>
    </row>
    <row r="8" spans="1:23" ht="15" customHeight="1" x14ac:dyDescent="0.25">
      <c r="A8" s="104">
        <v>7</v>
      </c>
      <c r="D8" s="106" t="s">
        <v>254</v>
      </c>
      <c r="E8" s="106"/>
      <c r="F8" s="107"/>
      <c r="G8" s="97">
        <f t="shared" si="2"/>
        <v>1</v>
      </c>
      <c r="H8" s="107" t="str">
        <f t="shared" si="3"/>
        <v>yanvar</v>
      </c>
      <c r="I8" s="97">
        <f t="shared" si="4"/>
        <v>0</v>
      </c>
      <c r="J8" s="109">
        <f t="shared" si="5"/>
        <v>1900</v>
      </c>
      <c r="K8" s="107" t="str">
        <f t="shared" si="6"/>
        <v>0 yanvar 1900 г.</v>
      </c>
      <c r="L8" s="106"/>
      <c r="M8" s="108"/>
      <c r="N8" s="106"/>
      <c r="P8">
        <f t="shared" si="1"/>
        <v>0</v>
      </c>
    </row>
    <row r="9" spans="1:23" ht="15" customHeight="1" x14ac:dyDescent="0.25">
      <c r="A9" s="104">
        <v>8</v>
      </c>
      <c r="D9" s="106" t="s">
        <v>254</v>
      </c>
      <c r="E9" s="106"/>
      <c r="F9" s="107"/>
      <c r="G9" s="97">
        <f t="shared" si="2"/>
        <v>1</v>
      </c>
      <c r="H9" s="107" t="str">
        <f t="shared" si="3"/>
        <v>yanvar</v>
      </c>
      <c r="I9" s="97">
        <f t="shared" si="4"/>
        <v>0</v>
      </c>
      <c r="J9" s="109">
        <f t="shared" si="5"/>
        <v>1900</v>
      </c>
      <c r="K9" s="107" t="str">
        <f t="shared" si="6"/>
        <v>0 yanvar 1900 г.</v>
      </c>
      <c r="L9" s="106"/>
      <c r="M9" s="108"/>
      <c r="N9" s="106"/>
      <c r="P9">
        <f t="shared" si="1"/>
        <v>0</v>
      </c>
    </row>
    <row r="10" spans="1:23" ht="15" customHeight="1" x14ac:dyDescent="0.25">
      <c r="A10" s="104">
        <v>9</v>
      </c>
      <c r="D10" s="106" t="s">
        <v>254</v>
      </c>
      <c r="E10" s="106"/>
      <c r="F10" s="107"/>
      <c r="G10" s="97">
        <f t="shared" si="2"/>
        <v>1</v>
      </c>
      <c r="H10" s="107" t="str">
        <f t="shared" si="3"/>
        <v>yanvar</v>
      </c>
      <c r="I10" s="97">
        <f t="shared" si="4"/>
        <v>0</v>
      </c>
      <c r="J10" s="109">
        <f t="shared" si="5"/>
        <v>1900</v>
      </c>
      <c r="K10" s="107" t="str">
        <f t="shared" si="6"/>
        <v>0 yanvar 1900 г.</v>
      </c>
      <c r="L10" s="106"/>
      <c r="M10" s="108"/>
      <c r="N10" s="106"/>
      <c r="P10">
        <f t="shared" si="1"/>
        <v>0</v>
      </c>
    </row>
    <row r="11" spans="1:23" ht="15" customHeight="1" x14ac:dyDescent="0.25">
      <c r="A11" s="104">
        <v>10</v>
      </c>
      <c r="D11" s="106" t="s">
        <v>254</v>
      </c>
      <c r="E11" s="106"/>
      <c r="F11" s="107"/>
      <c r="G11" s="97">
        <f t="shared" si="2"/>
        <v>1</v>
      </c>
      <c r="H11" s="107" t="str">
        <f t="shared" si="3"/>
        <v>yanvar</v>
      </c>
      <c r="I11" s="97">
        <f t="shared" si="4"/>
        <v>0</v>
      </c>
      <c r="J11" s="109">
        <f t="shared" si="5"/>
        <v>1900</v>
      </c>
      <c r="K11" s="107" t="str">
        <f t="shared" si="6"/>
        <v>0 yanvar 1900 г.</v>
      </c>
      <c r="L11" s="106"/>
      <c r="M11" s="108"/>
      <c r="N11" s="106"/>
      <c r="P11">
        <f t="shared" si="1"/>
        <v>0</v>
      </c>
    </row>
    <row r="12" spans="1:23" ht="15" customHeight="1" x14ac:dyDescent="0.25">
      <c r="A12" s="104">
        <v>11</v>
      </c>
      <c r="D12" s="106" t="s">
        <v>254</v>
      </c>
      <c r="E12" s="106"/>
      <c r="F12" s="107"/>
      <c r="G12" s="97">
        <f t="shared" si="2"/>
        <v>1</v>
      </c>
      <c r="H12" s="107" t="str">
        <f t="shared" si="3"/>
        <v>yanvar</v>
      </c>
      <c r="I12" s="97">
        <f t="shared" si="4"/>
        <v>0</v>
      </c>
      <c r="J12" s="109">
        <f t="shared" si="5"/>
        <v>1900</v>
      </c>
      <c r="K12" s="107" t="str">
        <f t="shared" si="6"/>
        <v>0 yanvar 1900 г.</v>
      </c>
      <c r="L12" s="106"/>
      <c r="M12" s="108"/>
      <c r="N12" s="106"/>
      <c r="P12">
        <f t="shared" si="1"/>
        <v>0</v>
      </c>
    </row>
    <row r="13" spans="1:23" ht="15" customHeight="1" x14ac:dyDescent="0.25">
      <c r="A13" s="104">
        <v>12</v>
      </c>
      <c r="D13" s="106" t="s">
        <v>254</v>
      </c>
      <c r="E13" s="106"/>
      <c r="F13" s="107"/>
      <c r="G13" s="97">
        <f t="shared" si="2"/>
        <v>1</v>
      </c>
      <c r="H13" s="107" t="str">
        <f t="shared" si="3"/>
        <v>yanvar</v>
      </c>
      <c r="I13" s="97">
        <f t="shared" si="4"/>
        <v>0</v>
      </c>
      <c r="J13" s="109">
        <f t="shared" si="5"/>
        <v>1900</v>
      </c>
      <c r="K13" s="107" t="str">
        <f t="shared" si="6"/>
        <v>0 yanvar 1900 г.</v>
      </c>
      <c r="L13" s="106"/>
      <c r="M13" s="108"/>
      <c r="N13" s="106"/>
      <c r="P13">
        <f t="shared" si="1"/>
        <v>0</v>
      </c>
    </row>
    <row r="14" spans="1:23" ht="15" customHeight="1" x14ac:dyDescent="0.25">
      <c r="A14" s="104">
        <v>13</v>
      </c>
      <c r="D14" s="106" t="s">
        <v>254</v>
      </c>
      <c r="E14" s="106"/>
      <c r="F14" s="107"/>
      <c r="G14" s="97">
        <f t="shared" si="2"/>
        <v>1</v>
      </c>
      <c r="H14" s="107" t="str">
        <f t="shared" si="3"/>
        <v>yanvar</v>
      </c>
      <c r="I14" s="97">
        <f t="shared" si="4"/>
        <v>0</v>
      </c>
      <c r="J14" s="109">
        <f t="shared" si="5"/>
        <v>1900</v>
      </c>
      <c r="K14" s="107" t="str">
        <f t="shared" si="6"/>
        <v>0 yanvar 1900 г.</v>
      </c>
      <c r="L14" s="106"/>
      <c r="M14" s="108"/>
      <c r="N14" s="106"/>
      <c r="P14">
        <f t="shared" si="1"/>
        <v>0</v>
      </c>
    </row>
    <row r="15" spans="1:23" ht="15" customHeight="1" x14ac:dyDescent="0.25">
      <c r="A15" s="104">
        <v>14</v>
      </c>
      <c r="D15" s="106" t="s">
        <v>254</v>
      </c>
      <c r="E15" s="106"/>
      <c r="F15" s="107"/>
      <c r="G15" s="97">
        <f t="shared" si="2"/>
        <v>1</v>
      </c>
      <c r="H15" s="107" t="str">
        <f t="shared" si="3"/>
        <v>yanvar</v>
      </c>
      <c r="I15" s="97">
        <f t="shared" si="4"/>
        <v>0</v>
      </c>
      <c r="J15" s="109">
        <f t="shared" si="5"/>
        <v>1900</v>
      </c>
      <c r="K15" s="107" t="str">
        <f t="shared" si="6"/>
        <v>0 yanvar 1900 г.</v>
      </c>
      <c r="L15" s="106"/>
      <c r="M15" s="108"/>
      <c r="N15" s="106"/>
      <c r="P15">
        <f t="shared" si="1"/>
        <v>0</v>
      </c>
    </row>
    <row r="16" spans="1:23" ht="15" customHeight="1" x14ac:dyDescent="0.25">
      <c r="A16" s="104">
        <v>15</v>
      </c>
      <c r="D16" s="106" t="s">
        <v>254</v>
      </c>
      <c r="E16" s="106"/>
      <c r="F16" s="107"/>
      <c r="G16" s="97">
        <f t="shared" si="2"/>
        <v>1</v>
      </c>
      <c r="H16" s="107" t="str">
        <f t="shared" si="3"/>
        <v>yanvar</v>
      </c>
      <c r="I16" s="97">
        <f t="shared" si="4"/>
        <v>0</v>
      </c>
      <c r="J16" s="109">
        <f t="shared" si="5"/>
        <v>1900</v>
      </c>
      <c r="K16" s="107" t="str">
        <f t="shared" si="6"/>
        <v>0 yanvar 1900 г.</v>
      </c>
      <c r="L16" s="106"/>
      <c r="M16" s="108"/>
      <c r="N16" s="106"/>
      <c r="P16">
        <f t="shared" si="1"/>
        <v>0</v>
      </c>
    </row>
    <row r="17" spans="1:17" ht="15" customHeight="1" x14ac:dyDescent="0.25">
      <c r="A17" s="104">
        <v>16</v>
      </c>
      <c r="D17" s="106" t="s">
        <v>254</v>
      </c>
      <c r="E17" s="106"/>
      <c r="F17" s="107"/>
      <c r="G17" s="97">
        <f t="shared" si="2"/>
        <v>1</v>
      </c>
      <c r="H17" s="107" t="str">
        <f t="shared" si="3"/>
        <v>yanvar</v>
      </c>
      <c r="I17" s="97">
        <f t="shared" si="4"/>
        <v>0</v>
      </c>
      <c r="J17" s="109">
        <f t="shared" si="5"/>
        <v>1900</v>
      </c>
      <c r="K17" s="107" t="str">
        <f t="shared" si="6"/>
        <v>0 yanvar 1900 г.</v>
      </c>
      <c r="L17" s="106"/>
      <c r="M17" s="108"/>
      <c r="N17" s="106"/>
      <c r="P17">
        <f t="shared" si="1"/>
        <v>0</v>
      </c>
    </row>
    <row r="18" spans="1:17" ht="15" customHeight="1" x14ac:dyDescent="0.25">
      <c r="A18" s="104">
        <v>17</v>
      </c>
      <c r="D18" s="106" t="s">
        <v>254</v>
      </c>
      <c r="E18" s="106"/>
      <c r="F18" s="107"/>
      <c r="G18" s="97">
        <f t="shared" si="2"/>
        <v>1</v>
      </c>
      <c r="H18" s="107" t="str">
        <f t="shared" si="3"/>
        <v>yanvar</v>
      </c>
      <c r="I18" s="97">
        <f t="shared" si="4"/>
        <v>0</v>
      </c>
      <c r="J18" s="109">
        <f t="shared" si="5"/>
        <v>1900</v>
      </c>
      <c r="K18" s="107" t="str">
        <f t="shared" si="6"/>
        <v>0 yanvar 1900 г.</v>
      </c>
      <c r="L18" s="106"/>
      <c r="M18" s="108"/>
      <c r="N18" s="106"/>
      <c r="P18">
        <f t="shared" si="1"/>
        <v>0</v>
      </c>
    </row>
    <row r="19" spans="1:17" ht="15" customHeight="1" x14ac:dyDescent="0.25">
      <c r="A19" s="104">
        <v>18</v>
      </c>
      <c r="D19" s="106" t="s">
        <v>254</v>
      </c>
      <c r="E19" s="106"/>
      <c r="F19" s="107"/>
      <c r="G19" s="97">
        <f t="shared" si="2"/>
        <v>1</v>
      </c>
      <c r="H19" s="107" t="str">
        <f t="shared" si="3"/>
        <v>yanvar</v>
      </c>
      <c r="I19" s="97">
        <f t="shared" si="4"/>
        <v>0</v>
      </c>
      <c r="J19" s="109">
        <f t="shared" si="5"/>
        <v>1900</v>
      </c>
      <c r="K19" s="107" t="str">
        <f t="shared" si="6"/>
        <v>0 yanvar 1900 г.</v>
      </c>
      <c r="L19" s="106"/>
      <c r="M19" s="108"/>
      <c r="N19" s="106"/>
      <c r="P19">
        <f t="shared" si="1"/>
        <v>0</v>
      </c>
    </row>
    <row r="20" spans="1:17" ht="15" customHeight="1" x14ac:dyDescent="0.25">
      <c r="A20" s="104">
        <v>19</v>
      </c>
      <c r="D20" s="106" t="s">
        <v>254</v>
      </c>
      <c r="E20" s="106"/>
      <c r="F20" s="107"/>
      <c r="G20" s="97">
        <f t="shared" si="2"/>
        <v>1</v>
      </c>
      <c r="H20" s="107" t="str">
        <f t="shared" si="3"/>
        <v>yanvar</v>
      </c>
      <c r="I20" s="97">
        <f t="shared" si="4"/>
        <v>0</v>
      </c>
      <c r="J20" s="109">
        <f t="shared" si="5"/>
        <v>1900</v>
      </c>
      <c r="K20" s="107" t="str">
        <f t="shared" si="6"/>
        <v>0 yanvar 1900 г.</v>
      </c>
      <c r="L20" s="106"/>
      <c r="M20" s="108"/>
      <c r="N20" s="106"/>
      <c r="P20">
        <f t="shared" si="1"/>
        <v>0</v>
      </c>
    </row>
    <row r="21" spans="1:17" ht="15" customHeight="1" x14ac:dyDescent="0.25">
      <c r="A21" s="104">
        <v>20</v>
      </c>
      <c r="D21" s="106" t="s">
        <v>254</v>
      </c>
      <c r="E21" s="106"/>
      <c r="F21" s="107"/>
      <c r="G21" s="97">
        <f t="shared" si="2"/>
        <v>1</v>
      </c>
      <c r="H21" s="107" t="str">
        <f t="shared" si="3"/>
        <v>yanvar</v>
      </c>
      <c r="I21" s="97">
        <f t="shared" si="4"/>
        <v>0</v>
      </c>
      <c r="J21" s="109">
        <f t="shared" si="5"/>
        <v>1900</v>
      </c>
      <c r="K21" s="107" t="str">
        <f t="shared" si="6"/>
        <v>0 yanvar 1900 г.</v>
      </c>
      <c r="L21" s="106"/>
      <c r="M21" s="108"/>
      <c r="N21" s="106"/>
      <c r="P21">
        <f t="shared" si="1"/>
        <v>0</v>
      </c>
    </row>
    <row r="22" spans="1:17" x14ac:dyDescent="0.25">
      <c r="M22" s="112">
        <f>SUM(M2:M21)+malumot!B143</f>
        <v>210000000</v>
      </c>
      <c r="Q22" t="s">
        <v>253</v>
      </c>
    </row>
    <row r="23" spans="1:17" x14ac:dyDescent="0.25">
      <c r="A23" s="93"/>
      <c r="B23" s="94"/>
      <c r="C23" s="94"/>
      <c r="D23" s="94"/>
      <c r="E23" s="94"/>
      <c r="F23" s="94"/>
      <c r="G23" s="94"/>
      <c r="H23" s="94"/>
      <c r="I23" s="94"/>
      <c r="J23" s="94"/>
      <c r="K23" s="94"/>
      <c r="L23" s="94"/>
      <c r="M23" s="94"/>
      <c r="N23" s="94"/>
      <c r="O23" s="94"/>
    </row>
    <row r="24" spans="1:17" x14ac:dyDescent="0.25">
      <c r="A24" s="94"/>
      <c r="B24" s="94"/>
      <c r="C24" s="94"/>
      <c r="D24" s="94"/>
      <c r="E24" s="94"/>
      <c r="F24" s="94"/>
      <c r="G24" s="94"/>
      <c r="H24" s="94"/>
      <c r="I24" s="94"/>
      <c r="J24" s="94"/>
      <c r="K24" s="94"/>
      <c r="L24" s="94"/>
      <c r="M24" s="94"/>
      <c r="N24" s="94"/>
      <c r="O24" s="94"/>
    </row>
    <row r="25" spans="1:17" x14ac:dyDescent="0.25">
      <c r="A25" s="94">
        <f>MONTH(F2)</f>
        <v>1</v>
      </c>
      <c r="B25" s="94" t="str">
        <f>IF(A25=A26,A28,IF(A25=B26,B28,IF(A25=C26,C28,IF(A25=D26,D28,IF(A25=E26,E28,IF(A25=F26,F28,IF(A25=K26,K28,IF(A25=L26,L28,IF(A25=M26,M28,IF(A25=N26,N28,IF(A25=O26,O28,IF(A25=#REF!,#REF!,))))))))))))</f>
        <v>yanvar</v>
      </c>
      <c r="C25" s="94">
        <f>DAY(F2)</f>
        <v>11</v>
      </c>
      <c r="D25" s="94">
        <f>YEAR(F2)</f>
        <v>2021</v>
      </c>
      <c r="E25" s="94"/>
      <c r="F25" s="94"/>
      <c r="G25" s="94"/>
      <c r="H25" s="94"/>
      <c r="I25" s="94"/>
      <c r="J25" s="94"/>
      <c r="K25" s="94"/>
      <c r="L25" s="94"/>
      <c r="M25" s="94"/>
      <c r="N25" s="94"/>
      <c r="O25" s="94"/>
    </row>
    <row r="26" spans="1:17" x14ac:dyDescent="0.25">
      <c r="A26" s="94">
        <v>1</v>
      </c>
      <c r="B26" s="94">
        <v>2</v>
      </c>
      <c r="C26" s="94">
        <v>3</v>
      </c>
      <c r="D26" s="94">
        <v>4</v>
      </c>
      <c r="E26" s="94">
        <v>5</v>
      </c>
      <c r="F26" s="94">
        <v>6</v>
      </c>
      <c r="G26" s="94"/>
      <c r="H26" s="94"/>
      <c r="I26" s="94"/>
      <c r="J26" s="94"/>
      <c r="K26" s="94">
        <v>7</v>
      </c>
      <c r="L26" s="94">
        <v>8</v>
      </c>
      <c r="M26" s="94">
        <v>9</v>
      </c>
      <c r="N26" s="94">
        <v>10</v>
      </c>
      <c r="O26" s="94">
        <v>11</v>
      </c>
      <c r="P26" s="94">
        <v>12</v>
      </c>
    </row>
    <row r="27" spans="1:17" x14ac:dyDescent="0.25">
      <c r="A27" s="94"/>
      <c r="B27" s="94"/>
      <c r="C27" s="94"/>
      <c r="D27" s="94"/>
      <c r="E27" s="94"/>
      <c r="F27" s="94"/>
      <c r="G27" s="94"/>
      <c r="H27" s="94"/>
      <c r="I27" s="94"/>
      <c r="J27" s="94"/>
      <c r="K27" s="94"/>
      <c r="L27" s="94"/>
      <c r="M27" s="94"/>
      <c r="N27" s="94"/>
      <c r="O27" s="94"/>
    </row>
    <row r="28" spans="1:17" x14ac:dyDescent="0.25">
      <c r="A28" s="94" t="s">
        <v>117</v>
      </c>
      <c r="B28" s="94" t="s">
        <v>118</v>
      </c>
      <c r="C28" s="94" t="s">
        <v>107</v>
      </c>
      <c r="D28" s="94" t="s">
        <v>108</v>
      </c>
      <c r="E28" s="94" t="s">
        <v>109</v>
      </c>
      <c r="F28" s="94" t="s">
        <v>110</v>
      </c>
      <c r="G28" s="94"/>
      <c r="H28" s="94"/>
      <c r="I28" s="94"/>
      <c r="J28" s="94"/>
      <c r="K28" s="94" t="s">
        <v>23</v>
      </c>
      <c r="L28" s="94" t="s">
        <v>112</v>
      </c>
      <c r="M28" s="94" t="s">
        <v>252</v>
      </c>
      <c r="N28" s="94" t="s">
        <v>251</v>
      </c>
      <c r="O28" s="94" t="s">
        <v>115</v>
      </c>
      <c r="P28" s="94" t="s">
        <v>116</v>
      </c>
    </row>
    <row r="29" spans="1:17" x14ac:dyDescent="0.25">
      <c r="A29" s="94" t="s">
        <v>117</v>
      </c>
      <c r="B29" s="94" t="s">
        <v>118</v>
      </c>
      <c r="C29" s="94" t="s">
        <v>107</v>
      </c>
      <c r="D29" s="94" t="s">
        <v>108</v>
      </c>
      <c r="E29" s="94" t="s">
        <v>109</v>
      </c>
      <c r="F29" s="94" t="s">
        <v>110</v>
      </c>
      <c r="G29" s="94"/>
      <c r="H29" s="94"/>
      <c r="I29" s="94"/>
      <c r="J29" s="94"/>
      <c r="K29" s="94" t="s">
        <v>27</v>
      </c>
      <c r="L29" s="94" t="s">
        <v>112</v>
      </c>
      <c r="M29" s="94" t="s">
        <v>252</v>
      </c>
      <c r="N29" s="94" t="s">
        <v>251</v>
      </c>
      <c r="O29" s="94" t="s">
        <v>115</v>
      </c>
      <c r="P29" s="94" t="s">
        <v>116</v>
      </c>
    </row>
    <row r="30" spans="1:17" x14ac:dyDescent="0.25">
      <c r="A30" s="94"/>
      <c r="B30" s="94"/>
      <c r="C30" s="94"/>
      <c r="D30" s="94"/>
      <c r="E30" s="94"/>
      <c r="F30" s="94"/>
      <c r="G30" s="94"/>
      <c r="H30" s="94"/>
      <c r="I30" s="94"/>
      <c r="J30" s="94"/>
      <c r="K30" s="94"/>
      <c r="L30" s="95"/>
      <c r="M30" s="95"/>
      <c r="N30" s="95"/>
      <c r="O30" s="95"/>
    </row>
  </sheetData>
  <dataValidations count="1">
    <dataValidation type="list" allowBlank="1" showInputMessage="1" showErrorMessage="1" sqref="D2:D21" xr:uid="{00000000-0002-0000-0500-000000000000}">
      <formula1>$B$2:$C$2</formula1>
    </dataValidation>
  </dataValidations>
  <pageMargins left="0.7" right="0.7" top="0.75" bottom="0.75" header="0.3" footer="0.3"/>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18">
    <tabColor theme="1"/>
  </sheetPr>
  <dimension ref="A1:H76"/>
  <sheetViews>
    <sheetView view="pageBreakPreview" topLeftCell="A30" zoomScaleSheetLayoutView="100" workbookViewId="0">
      <selection activeCell="D56" sqref="D56:F56"/>
    </sheetView>
  </sheetViews>
  <sheetFormatPr defaultColWidth="9.140625" defaultRowHeight="15" outlineLevelCol="1" x14ac:dyDescent="0.25"/>
  <cols>
    <col min="1" max="1" width="9.140625" style="13"/>
    <col min="2" max="2" width="10.140625" style="13" bestFit="1" customWidth="1"/>
    <col min="3" max="3" width="16.5703125" style="13" customWidth="1"/>
    <col min="4" max="4" width="17.140625" style="13" customWidth="1"/>
    <col min="5" max="5" width="17.85546875" style="13" customWidth="1"/>
    <col min="6" max="6" width="20.85546875" style="13" customWidth="1"/>
    <col min="7" max="7" width="10.140625" style="13" customWidth="1" outlineLevel="1"/>
    <col min="8" max="16384" width="9.140625" style="13"/>
  </cols>
  <sheetData>
    <row r="1" spans="1:8" x14ac:dyDescent="0.25">
      <c r="A1" s="34"/>
      <c r="B1" s="34"/>
      <c r="C1" s="34"/>
      <c r="D1" s="34"/>
      <c r="E1" s="308" t="s">
        <v>15</v>
      </c>
      <c r="F1" s="308"/>
    </row>
    <row r="2" spans="1:8" x14ac:dyDescent="0.25">
      <c r="A2" s="34"/>
      <c r="B2" s="34"/>
      <c r="C2" s="34"/>
      <c r="D2" s="34"/>
      <c r="E2" s="34"/>
      <c r="F2" s="35" t="str">
        <f>"к договору микрозайма "&amp;malumot!B74&amp;""</f>
        <v>к договору микрозайма 7 aprel 2025 y.dan №717-XMS</v>
      </c>
    </row>
    <row r="3" spans="1:8" ht="6.75" customHeight="1" x14ac:dyDescent="0.25">
      <c r="A3" s="34"/>
      <c r="B3" s="34"/>
      <c r="C3" s="34"/>
      <c r="D3" s="34"/>
      <c r="E3" s="34"/>
      <c r="F3" s="34"/>
    </row>
    <row r="4" spans="1:8" x14ac:dyDescent="0.25">
      <c r="A4" s="309" t="s">
        <v>16</v>
      </c>
      <c r="B4" s="309"/>
      <c r="C4" s="309"/>
      <c r="D4" s="309"/>
      <c r="E4" s="309"/>
      <c r="F4" s="309"/>
    </row>
    <row r="5" spans="1:8" ht="7.5" customHeight="1" x14ac:dyDescent="0.25"/>
    <row r="6" spans="1:8" x14ac:dyDescent="0.25">
      <c r="A6" s="310" t="s">
        <v>14</v>
      </c>
      <c r="B6" s="311" t="s">
        <v>8</v>
      </c>
      <c r="C6" s="311" t="s">
        <v>9</v>
      </c>
      <c r="D6" s="312" t="s">
        <v>10</v>
      </c>
      <c r="E6" s="312"/>
      <c r="F6" s="312"/>
    </row>
    <row r="7" spans="1:8" s="14" customFormat="1" x14ac:dyDescent="0.25">
      <c r="A7" s="310"/>
      <c r="B7" s="311"/>
      <c r="C7" s="311"/>
      <c r="D7" s="15" t="s">
        <v>11</v>
      </c>
      <c r="E7" s="15" t="s">
        <v>12</v>
      </c>
      <c r="F7" s="15" t="s">
        <v>13</v>
      </c>
    </row>
    <row r="8" spans="1:8" x14ac:dyDescent="0.25">
      <c r="A8" s="16">
        <v>1</v>
      </c>
      <c r="B8" s="30">
        <f>'График дифференц'!B8</f>
        <v>45778</v>
      </c>
      <c r="C8" s="31">
        <f>malumot!B76</f>
        <v>125000000</v>
      </c>
      <c r="D8" s="31">
        <f>IF(A8&lt;malumot!$B$82,'График аннуитет.'!F8-'График аннуитет.'!E8,'График аннуитет.'!C8)</f>
        <v>2634452.16</v>
      </c>
      <c r="E8" s="31">
        <f>ROUND(C8*malumot!$B$85/H8,2)*'График аннуитет.'!G8</f>
        <v>4520547.84</v>
      </c>
      <c r="F8" s="31">
        <f>malumot!B91</f>
        <v>7155000</v>
      </c>
      <c r="G8" s="13">
        <f>B8-malumot!B67</f>
        <v>24</v>
      </c>
      <c r="H8" s="13">
        <f>DATE(YEAR(B8),12,31)-DATE(YEAR(B8),1,1)+1</f>
        <v>365</v>
      </c>
    </row>
    <row r="9" spans="1:8" x14ac:dyDescent="0.25">
      <c r="A9" s="16">
        <v>2</v>
      </c>
      <c r="B9" s="30">
        <f>'График дифференц'!B9</f>
        <v>45810</v>
      </c>
      <c r="C9" s="31">
        <f t="shared" ref="C9:C30" si="0">C8-D8</f>
        <v>122365547.84</v>
      </c>
      <c r="D9" s="31">
        <f>IF(A9&lt;malumot!$B$82,'График аннуитет.'!F9-'График аннуитет.'!E9,'График аннуитет.'!C9)</f>
        <v>1254633.92</v>
      </c>
      <c r="E9" s="31">
        <f>ROUND(C9*malumot!$B$85/H9,2)*'График аннуитет.'!G9</f>
        <v>5900366.0800000001</v>
      </c>
      <c r="F9" s="31">
        <f>IF(A9&lt;malumot!$B$82,'График аннуитет.'!F8,'График аннуитет.'!D9+'График аннуитет.'!E9)</f>
        <v>7155000</v>
      </c>
      <c r="G9" s="13">
        <f>B9-B8</f>
        <v>32</v>
      </c>
      <c r="H9" s="13">
        <f t="shared" ref="H9:H31" si="1">DATE(YEAR(B9),12,31)-DATE(YEAR(B9),1,1)+1</f>
        <v>365</v>
      </c>
    </row>
    <row r="10" spans="1:8" x14ac:dyDescent="0.25">
      <c r="A10" s="16">
        <v>3</v>
      </c>
      <c r="B10" s="30">
        <f>'График дифференц'!B10</f>
        <v>45839</v>
      </c>
      <c r="C10" s="31">
        <f t="shared" si="0"/>
        <v>121110913.92</v>
      </c>
      <c r="D10" s="31">
        <f>IF(A10&lt;malumot!$B$82,'График аннуитет.'!F10-'График аннуитет.'!E10,'График аннуитет.'!C10)</f>
        <v>1862618.9000000004</v>
      </c>
      <c r="E10" s="31">
        <f>ROUND(C10*malumot!$B$85/H10,2)*'График аннуитет.'!G10</f>
        <v>5292381.0999999996</v>
      </c>
      <c r="F10" s="31">
        <f>IF(A10&lt;malumot!$B$82,'График аннуитет.'!F9,'График аннуитет.'!D10+'График аннуитет.'!E10)</f>
        <v>7155000</v>
      </c>
      <c r="G10" s="13">
        <f t="shared" ref="G10:G24" si="2">B10-B9</f>
        <v>29</v>
      </c>
      <c r="H10" s="13">
        <f t="shared" si="1"/>
        <v>365</v>
      </c>
    </row>
    <row r="11" spans="1:8" x14ac:dyDescent="0.25">
      <c r="A11" s="16">
        <v>4</v>
      </c>
      <c r="B11" s="30">
        <f>'График дифференц'!B11</f>
        <v>45870</v>
      </c>
      <c r="C11" s="31">
        <f t="shared" si="0"/>
        <v>119248295.02</v>
      </c>
      <c r="D11" s="31">
        <f>IF(A11&lt;malumot!$B$82,'График аннуитет.'!F11-'График аннуитет.'!E11,'График аннуитет.'!C11)</f>
        <v>1584634.4900000002</v>
      </c>
      <c r="E11" s="31">
        <f>ROUND(C11*malumot!$B$85/H11,2)*'График аннуитет.'!G11</f>
        <v>5570365.5099999998</v>
      </c>
      <c r="F11" s="31">
        <f>IF(A11&lt;malumot!$B$82,'График аннуитет.'!F10,'График аннуитет.'!D11+'График аннуитет.'!E11)</f>
        <v>7155000</v>
      </c>
      <c r="G11" s="13">
        <f t="shared" si="2"/>
        <v>31</v>
      </c>
      <c r="H11" s="13">
        <f t="shared" si="1"/>
        <v>365</v>
      </c>
    </row>
    <row r="12" spans="1:8" x14ac:dyDescent="0.25">
      <c r="A12" s="16">
        <v>5</v>
      </c>
      <c r="B12" s="30">
        <f>'График дифференц'!B12</f>
        <v>45901</v>
      </c>
      <c r="C12" s="31">
        <f t="shared" si="0"/>
        <v>117663660.53</v>
      </c>
      <c r="D12" s="31">
        <f>IF(A12&lt;malumot!$B$82,'График аннуитет.'!F12-'График аннуитет.'!E12,'График аннуитет.'!C12)</f>
        <v>1658656.29</v>
      </c>
      <c r="E12" s="31">
        <f>ROUND(C12*malumot!$B$85/H12,2)*'График аннуитет.'!G12</f>
        <v>5496343.71</v>
      </c>
      <c r="F12" s="31">
        <f>IF(A12&lt;malumot!$B$82,'График аннуитет.'!F11,'График аннуитет.'!D12+'График аннуитет.'!E12)</f>
        <v>7155000</v>
      </c>
      <c r="G12" s="13">
        <f t="shared" si="2"/>
        <v>31</v>
      </c>
      <c r="H12" s="13">
        <f t="shared" si="1"/>
        <v>365</v>
      </c>
    </row>
    <row r="13" spans="1:8" x14ac:dyDescent="0.25">
      <c r="A13" s="16">
        <v>6</v>
      </c>
      <c r="B13" s="30">
        <f>'График дифференц'!B13</f>
        <v>45931</v>
      </c>
      <c r="C13" s="31">
        <f t="shared" si="0"/>
        <v>116005004.23999999</v>
      </c>
      <c r="D13" s="31">
        <f>IF(A13&lt;malumot!$B$82,'График аннуитет.'!F13-'График аннуитет.'!E13,'График аннуитет.'!C13)</f>
        <v>1910938.2000000002</v>
      </c>
      <c r="E13" s="31">
        <f>ROUND(C13*malumot!$B$85/H13,2)*'График аннуитет.'!G13</f>
        <v>5244061.8</v>
      </c>
      <c r="F13" s="31">
        <f>IF(A13&lt;malumot!$B$82,'График аннуитет.'!F12,'График аннуитет.'!D13+'График аннуитет.'!E13)</f>
        <v>7155000</v>
      </c>
      <c r="G13" s="13">
        <f t="shared" si="2"/>
        <v>30</v>
      </c>
      <c r="H13" s="13">
        <f t="shared" si="1"/>
        <v>365</v>
      </c>
    </row>
    <row r="14" spans="1:8" x14ac:dyDescent="0.25">
      <c r="A14" s="16">
        <v>7</v>
      </c>
      <c r="B14" s="30">
        <f>'График дифференц'!B14</f>
        <v>45964</v>
      </c>
      <c r="C14" s="31">
        <f t="shared" si="0"/>
        <v>114094066.03999999</v>
      </c>
      <c r="D14" s="31">
        <f>IF(A14&lt;malumot!$B$82,'График аннуитет.'!F14-'График аннуитет.'!E14,'График аннуитет.'!C14)</f>
        <v>1481555.1899999995</v>
      </c>
      <c r="E14" s="31">
        <f>ROUND(C14*malumot!$B$85/H14,2)*'График аннуитет.'!G14</f>
        <v>5673444.8100000005</v>
      </c>
      <c r="F14" s="31">
        <f>IF(A14&lt;malumot!$B$82,'График аннуитет.'!F13,'График аннуитет.'!D14+'График аннуитет.'!E14)</f>
        <v>7155000</v>
      </c>
      <c r="G14" s="13">
        <f t="shared" si="2"/>
        <v>33</v>
      </c>
      <c r="H14" s="13">
        <f t="shared" si="1"/>
        <v>365</v>
      </c>
    </row>
    <row r="15" spans="1:8" x14ac:dyDescent="0.25">
      <c r="A15" s="16">
        <v>8</v>
      </c>
      <c r="B15" s="30">
        <f>'График дифференц'!B15</f>
        <v>45992</v>
      </c>
      <c r="C15" s="31">
        <f t="shared" si="0"/>
        <v>112612510.84999999</v>
      </c>
      <c r="D15" s="31">
        <f>IF(A15&lt;malumot!$B$82,'График аннуитет.'!F15-'График аннуитет.'!E15,'График аннуитет.'!C15)</f>
        <v>2403677.7600000007</v>
      </c>
      <c r="E15" s="31">
        <f>ROUND(C15*malumot!$B$85/H15,2)*'График аннуитет.'!G15</f>
        <v>4751322.2399999993</v>
      </c>
      <c r="F15" s="31">
        <f>IF(A15&lt;malumot!$B$82,'График аннуитет.'!F14,'График аннуитет.'!D15+'График аннуитет.'!E15)</f>
        <v>7155000</v>
      </c>
      <c r="G15" s="13">
        <f t="shared" si="2"/>
        <v>28</v>
      </c>
      <c r="H15" s="13">
        <f t="shared" si="1"/>
        <v>365</v>
      </c>
    </row>
    <row r="16" spans="1:8" x14ac:dyDescent="0.25">
      <c r="A16" s="16">
        <v>9</v>
      </c>
      <c r="B16" s="30">
        <f>'График дифференц'!B16</f>
        <v>46023</v>
      </c>
      <c r="C16" s="31">
        <f t="shared" si="0"/>
        <v>110208833.08999999</v>
      </c>
      <c r="D16" s="31">
        <f>IF(A16&lt;malumot!$B$82,'График аннуитет.'!F16-'График аннуитет.'!E16,'График аннуитет.'!C16)</f>
        <v>2006888.8999999994</v>
      </c>
      <c r="E16" s="31">
        <f>ROUND(C16*malumot!$B$85/H16,2)*'График аннуитет.'!G16</f>
        <v>5148111.1000000006</v>
      </c>
      <c r="F16" s="31">
        <f>IF(A16&lt;malumot!$B$82,'График аннуитет.'!F15,'График аннуитет.'!D16+'График аннуитет.'!E16)</f>
        <v>7155000</v>
      </c>
      <c r="G16" s="13">
        <f t="shared" si="2"/>
        <v>31</v>
      </c>
      <c r="H16" s="13">
        <f t="shared" si="1"/>
        <v>365</v>
      </c>
    </row>
    <row r="17" spans="1:8" x14ac:dyDescent="0.25">
      <c r="A17" s="16">
        <v>10</v>
      </c>
      <c r="B17" s="30">
        <f>'График дифференц'!B17</f>
        <v>46055</v>
      </c>
      <c r="C17" s="31">
        <f t="shared" si="0"/>
        <v>108201944.18999998</v>
      </c>
      <c r="D17" s="31">
        <f>IF(A17&lt;malumot!$B$82,'График аннуитет.'!F17-'График аннуитет.'!E17,'График аннуитет.'!C17)</f>
        <v>1937591.04</v>
      </c>
      <c r="E17" s="31">
        <f>ROUND(C17*malumot!$B$85/H17,2)*'График аннуитет.'!G17</f>
        <v>5217408.96</v>
      </c>
      <c r="F17" s="31">
        <f>IF(A17&lt;malumot!$B$82,'График аннуитет.'!F16,'График аннуитет.'!D17+'График аннуитет.'!E17)</f>
        <v>7155000</v>
      </c>
      <c r="G17" s="13">
        <f t="shared" si="2"/>
        <v>32</v>
      </c>
      <c r="H17" s="13">
        <f t="shared" si="1"/>
        <v>365</v>
      </c>
    </row>
    <row r="18" spans="1:8" x14ac:dyDescent="0.25">
      <c r="A18" s="16">
        <v>11</v>
      </c>
      <c r="B18" s="30">
        <f>'График дифференц'!B18</f>
        <v>46083</v>
      </c>
      <c r="C18" s="31">
        <f t="shared" si="0"/>
        <v>106264353.14999998</v>
      </c>
      <c r="D18" s="31">
        <f>IF(A18&lt;malumot!$B$82,'График аннуитет.'!F18-'График аннуитет.'!E18,'График аннуитет.'!C18)</f>
        <v>2671517.6400000006</v>
      </c>
      <c r="E18" s="31">
        <f>ROUND(C18*malumot!$B$85/H18,2)*'График аннуитет.'!G18</f>
        <v>4483482.3599999994</v>
      </c>
      <c r="F18" s="31">
        <f>IF(A18&lt;malumot!$B$82,'График аннуитет.'!F17,'График аннуитет.'!D18+'График аннуитет.'!E18)</f>
        <v>7155000</v>
      </c>
      <c r="G18" s="13">
        <f t="shared" si="2"/>
        <v>28</v>
      </c>
      <c r="H18" s="13">
        <f t="shared" si="1"/>
        <v>365</v>
      </c>
    </row>
    <row r="19" spans="1:8" x14ac:dyDescent="0.25">
      <c r="A19" s="16">
        <v>12</v>
      </c>
      <c r="B19" s="30">
        <f>'График дифференц'!B19</f>
        <v>46113</v>
      </c>
      <c r="C19" s="31">
        <f t="shared" si="0"/>
        <v>103592835.50999998</v>
      </c>
      <c r="D19" s="31">
        <f>IF(A19&lt;malumot!$B$82,'График аннуитет.'!F19-'График аннуитет.'!E19,'График аннуитет.'!C19)</f>
        <v>2472036.2999999998</v>
      </c>
      <c r="E19" s="31">
        <f>ROUND(C19*malumot!$B$85/H19,2)*'График аннуитет.'!G19</f>
        <v>4682963.7</v>
      </c>
      <c r="F19" s="31">
        <f>IF(A19&lt;malumot!$B$82,'График аннуитет.'!F18,'График аннуитет.'!D19+'График аннуитет.'!E19)</f>
        <v>7155000</v>
      </c>
      <c r="G19" s="13">
        <f>B19-B18</f>
        <v>30</v>
      </c>
      <c r="H19" s="13">
        <f t="shared" si="1"/>
        <v>365</v>
      </c>
    </row>
    <row r="20" spans="1:8" x14ac:dyDescent="0.25">
      <c r="A20" s="16">
        <v>13</v>
      </c>
      <c r="B20" s="30">
        <f>'График дифференц'!B20</f>
        <v>46143</v>
      </c>
      <c r="C20" s="31">
        <f t="shared" si="0"/>
        <v>101120799.20999998</v>
      </c>
      <c r="D20" s="31">
        <f>IF(A20&lt;malumot!$B$82,'График аннуитет.'!F20-'График аннуитет.'!E20,'График аннуитет.'!C20)</f>
        <v>2583785.7000000002</v>
      </c>
      <c r="E20" s="31">
        <f>ROUND(C20*malumot!$B$85/H20,2)*'График аннуитет.'!G20</f>
        <v>4571214.3</v>
      </c>
      <c r="F20" s="31">
        <f>IF(A20&lt;malumot!$B$82,'График аннуитет.'!F19,'График аннуитет.'!D20+'График аннуитет.'!E20)</f>
        <v>7155000</v>
      </c>
      <c r="G20" s="13">
        <f t="shared" si="2"/>
        <v>30</v>
      </c>
      <c r="H20" s="13">
        <f t="shared" si="1"/>
        <v>365</v>
      </c>
    </row>
    <row r="21" spans="1:8" x14ac:dyDescent="0.25">
      <c r="A21" s="16">
        <v>14</v>
      </c>
      <c r="B21" s="30">
        <f>'График дифференц'!B21</f>
        <v>46174</v>
      </c>
      <c r="C21" s="31">
        <f t="shared" si="0"/>
        <v>98537013.509999976</v>
      </c>
      <c r="D21" s="31">
        <f>IF(A21&lt;malumot!$B$82,'График аннуитет.'!F21-'График аннуитет.'!E21,'График аннуитет.'!C21)</f>
        <v>2552106.67</v>
      </c>
      <c r="E21" s="31">
        <f>ROUND(C21*malumot!$B$85/H21,2)*'График аннуитет.'!G21</f>
        <v>4602893.33</v>
      </c>
      <c r="F21" s="31">
        <f>IF(A21&lt;malumot!$B$82,'График аннуитет.'!F20,'График аннуитет.'!D21+'График аннуитет.'!E21)</f>
        <v>7155000</v>
      </c>
      <c r="G21" s="13">
        <f t="shared" si="2"/>
        <v>31</v>
      </c>
      <c r="H21" s="13">
        <f t="shared" si="1"/>
        <v>365</v>
      </c>
    </row>
    <row r="22" spans="1:8" x14ac:dyDescent="0.25">
      <c r="A22" s="16">
        <v>15</v>
      </c>
      <c r="B22" s="30">
        <f>'График дифференц'!B22</f>
        <v>46204</v>
      </c>
      <c r="C22" s="31">
        <f t="shared" si="0"/>
        <v>95984906.839999974</v>
      </c>
      <c r="D22" s="31">
        <f>IF(A22&lt;malumot!$B$82,'График аннуитет.'!F22-'График аннуитет.'!E22,'График аннуитет.'!C22)</f>
        <v>2815956.3</v>
      </c>
      <c r="E22" s="31">
        <f>ROUND(C22*malumot!$B$85/H22,2)*'График аннуитет.'!G22</f>
        <v>4339043.7</v>
      </c>
      <c r="F22" s="31">
        <f>IF(A22&lt;malumot!$B$82,'График аннуитет.'!F21,'График аннуитет.'!D22+'График аннуитет.'!E22)</f>
        <v>7155000</v>
      </c>
      <c r="G22" s="13">
        <f t="shared" si="2"/>
        <v>30</v>
      </c>
      <c r="H22" s="13">
        <f t="shared" si="1"/>
        <v>365</v>
      </c>
    </row>
    <row r="23" spans="1:8" x14ac:dyDescent="0.25">
      <c r="A23" s="16">
        <v>16</v>
      </c>
      <c r="B23" s="30">
        <f>'График дифференц'!B23</f>
        <v>46237</v>
      </c>
      <c r="C23" s="31">
        <f t="shared" si="0"/>
        <v>93168950.539999977</v>
      </c>
      <c r="D23" s="31">
        <f>IF(A23&lt;malumot!$B$82,'График аннуитет.'!F23-'График аннуитет.'!E23,'График аннуитет.'!C23)</f>
        <v>2522078.1899999995</v>
      </c>
      <c r="E23" s="31">
        <f>ROUND(C23*malumot!$B$85/H23,2)*'График аннуитет.'!G23</f>
        <v>4632921.8100000005</v>
      </c>
      <c r="F23" s="31">
        <f>IF(A23&lt;malumot!$B$82,'График аннуитет.'!F22,'График аннуитет.'!D23+'График аннуитет.'!E23)</f>
        <v>7155000</v>
      </c>
      <c r="G23" s="13">
        <f t="shared" si="2"/>
        <v>33</v>
      </c>
      <c r="H23" s="13">
        <f t="shared" si="1"/>
        <v>365</v>
      </c>
    </row>
    <row r="24" spans="1:8" x14ac:dyDescent="0.25">
      <c r="A24" s="16">
        <v>17</v>
      </c>
      <c r="B24" s="30">
        <f>'График дифференц'!B24</f>
        <v>46266</v>
      </c>
      <c r="C24" s="31">
        <f t="shared" si="0"/>
        <v>90646872.349999979</v>
      </c>
      <c r="D24" s="31">
        <f>IF(A24&lt;malumot!$B$82,'График аннуитет.'!F24-'График аннуитет.'!E24,'График аннуитет.'!C24)</f>
        <v>3193855.7800000003</v>
      </c>
      <c r="E24" s="31">
        <f>ROUND(C24*malumot!$B$85/H24,2)*'График аннуитет.'!G24</f>
        <v>3961144.2199999997</v>
      </c>
      <c r="F24" s="31">
        <f>IF(A24&lt;malumot!$B$82,'График аннуитет.'!F23,'График аннуитет.'!D24+'График аннуитет.'!E24)</f>
        <v>7155000</v>
      </c>
      <c r="G24" s="13">
        <f t="shared" si="2"/>
        <v>29</v>
      </c>
      <c r="H24" s="13">
        <f t="shared" si="1"/>
        <v>365</v>
      </c>
    </row>
    <row r="25" spans="1:8" x14ac:dyDescent="0.25">
      <c r="A25" s="16">
        <v>18</v>
      </c>
      <c r="B25" s="30">
        <f>'График дифференц'!B25</f>
        <v>46296</v>
      </c>
      <c r="C25" s="31">
        <f t="shared" si="0"/>
        <v>87453016.569999978</v>
      </c>
      <c r="D25" s="31">
        <f>IF(A25&lt;malumot!$B$82,'График аннуитет.'!F25-'График аннуитет.'!E25,'График аннуитет.'!C25)</f>
        <v>3201644.4000000004</v>
      </c>
      <c r="E25" s="31">
        <f>ROUND(C25*malumot!$B$85/H25,2)*'График аннуитет.'!G25</f>
        <v>3953355.5999999996</v>
      </c>
      <c r="F25" s="31">
        <f>IF(A25&lt;malumot!$B$82,'График аннуитет.'!F24,'График аннуитет.'!D25+'График аннуитет.'!E25)</f>
        <v>7155000</v>
      </c>
      <c r="G25" s="13">
        <f>B25-B24</f>
        <v>30</v>
      </c>
      <c r="H25" s="13">
        <f t="shared" si="1"/>
        <v>365</v>
      </c>
    </row>
    <row r="26" spans="1:8" x14ac:dyDescent="0.25">
      <c r="A26" s="16">
        <v>19</v>
      </c>
      <c r="B26" s="30">
        <f>'График дифференц'!B26</f>
        <v>46328</v>
      </c>
      <c r="C26" s="31">
        <f t="shared" si="0"/>
        <v>84251372.169999972</v>
      </c>
      <c r="D26" s="31">
        <f>IF(A26&lt;malumot!$B$82,'График аннуитет.'!F26-'График аннуитет.'!E26,'График аннуитет.'!C26)</f>
        <v>3092468.16</v>
      </c>
      <c r="E26" s="31">
        <f>ROUND(C26*malumot!$B$85/H26,2)*'График аннуитет.'!G26</f>
        <v>4062531.84</v>
      </c>
      <c r="F26" s="31">
        <f>IF(A26&lt;malumot!$B$82,'График аннуитет.'!F25,'График аннуитет.'!D26+'График аннуитет.'!E26)</f>
        <v>7155000</v>
      </c>
      <c r="G26" s="13">
        <f t="shared" ref="G26:G30" si="3">B26-B25</f>
        <v>32</v>
      </c>
      <c r="H26" s="13">
        <f t="shared" si="1"/>
        <v>365</v>
      </c>
    </row>
    <row r="27" spans="1:8" x14ac:dyDescent="0.25">
      <c r="A27" s="16">
        <v>20</v>
      </c>
      <c r="B27" s="30">
        <f>'График дифференц'!B27</f>
        <v>46357</v>
      </c>
      <c r="C27" s="31">
        <f t="shared" si="0"/>
        <v>81158904.009999976</v>
      </c>
      <c r="D27" s="31">
        <f>IF(A27&lt;malumot!$B$82,'График аннуитет.'!F27-'График аннуитет.'!E27,'График аннуитет.'!C27)</f>
        <v>3608467.04</v>
      </c>
      <c r="E27" s="31">
        <f>ROUND(C27*malumot!$B$85/H27,2)*'График аннуитет.'!G27</f>
        <v>3546532.96</v>
      </c>
      <c r="F27" s="31">
        <f>IF(A27&lt;malumot!$B$82,'График аннуитет.'!F26,'График аннуитет.'!D27+'График аннуитет.'!E27)</f>
        <v>7155000</v>
      </c>
      <c r="G27" s="13">
        <f t="shared" si="3"/>
        <v>29</v>
      </c>
      <c r="H27" s="13">
        <f t="shared" si="1"/>
        <v>365</v>
      </c>
    </row>
    <row r="28" spans="1:8" x14ac:dyDescent="0.25">
      <c r="A28" s="16">
        <v>21</v>
      </c>
      <c r="B28" s="30">
        <f>'График дифференц'!B28</f>
        <v>46388</v>
      </c>
      <c r="C28" s="31">
        <f t="shared" si="0"/>
        <v>77550436.969999969</v>
      </c>
      <c r="D28" s="31">
        <f>IF(A28&lt;malumot!$B$82,'График аннуитет.'!F28-'График аннуитет.'!E28,'График аннуитет.'!C28)</f>
        <v>3532438.5799999996</v>
      </c>
      <c r="E28" s="31">
        <f>ROUND(C28*malumot!$B$85/H28,2)*'График аннуитет.'!G28</f>
        <v>3622561.4200000004</v>
      </c>
      <c r="F28" s="31">
        <f>IF(A28&lt;malumot!$B$82,'График аннуитет.'!F27,'График аннуитет.'!D28+'График аннуитет.'!E28)</f>
        <v>7155000</v>
      </c>
      <c r="G28" s="13">
        <f t="shared" si="3"/>
        <v>31</v>
      </c>
      <c r="H28" s="13">
        <f t="shared" si="1"/>
        <v>365</v>
      </c>
    </row>
    <row r="29" spans="1:8" x14ac:dyDescent="0.25">
      <c r="A29" s="16">
        <v>22</v>
      </c>
      <c r="B29" s="30">
        <f>'График дифференц'!B29</f>
        <v>46419</v>
      </c>
      <c r="C29" s="31">
        <f t="shared" si="0"/>
        <v>74017998.389999971</v>
      </c>
      <c r="D29" s="31">
        <f>IF(A29&lt;malumot!$B$82,'График аннуитет.'!F29-'График аннуитет.'!E29,'График аннуитет.'!C29)</f>
        <v>3697446.93</v>
      </c>
      <c r="E29" s="31">
        <f>ROUND(C29*malumot!$B$85/H29,2)*'График аннуитет.'!G29</f>
        <v>3457553.07</v>
      </c>
      <c r="F29" s="31">
        <f>IF(A29&lt;malumot!$B$82,'График аннуитет.'!F28,'График аннуитет.'!D29+'График аннуитет.'!E29)</f>
        <v>7155000</v>
      </c>
      <c r="G29" s="13">
        <f t="shared" si="3"/>
        <v>31</v>
      </c>
      <c r="H29" s="13">
        <f t="shared" si="1"/>
        <v>365</v>
      </c>
    </row>
    <row r="30" spans="1:8" x14ac:dyDescent="0.25">
      <c r="A30" s="16">
        <v>23</v>
      </c>
      <c r="B30" s="30">
        <f>'График дифференц'!B30</f>
        <v>46447</v>
      </c>
      <c r="C30" s="31">
        <f t="shared" si="0"/>
        <v>70320551.459999964</v>
      </c>
      <c r="D30" s="31">
        <f>IF(A30&lt;malumot!$B$82,'График аннуитет.'!F30-'График аннуитет.'!E30,'График аннуитет.'!C30)</f>
        <v>4188050.84</v>
      </c>
      <c r="E30" s="31">
        <f>ROUND(C30*malumot!$B$85/H30,2)*'График аннуитет.'!G30</f>
        <v>2966949.16</v>
      </c>
      <c r="F30" s="31">
        <f>IF(A30&lt;malumot!$B$82,'График аннуитет.'!F29,'График аннуитет.'!D30+'График аннуитет.'!E30)</f>
        <v>7155000</v>
      </c>
      <c r="G30" s="13">
        <f t="shared" si="3"/>
        <v>28</v>
      </c>
      <c r="H30" s="13">
        <f t="shared" si="1"/>
        <v>365</v>
      </c>
    </row>
    <row r="31" spans="1:8" x14ac:dyDescent="0.25">
      <c r="A31" s="16">
        <v>24</v>
      </c>
      <c r="B31" s="30">
        <f>'График дифференц'!B31</f>
        <v>46478</v>
      </c>
      <c r="C31" s="31">
        <f t="shared" ref="C31" si="4">C30-D30</f>
        <v>66132500.61999996</v>
      </c>
      <c r="D31" s="31">
        <f>IF(A31&lt;malumot!$B$82,'График аннуитет.'!F31-'График аннуитет.'!E31,'График аннуитет.'!C31)</f>
        <v>4065796.9899999998</v>
      </c>
      <c r="E31" s="31">
        <f>ROUND(C31*malumot!$B$85/H31,2)*'График аннуитет.'!G31</f>
        <v>3089203.0100000002</v>
      </c>
      <c r="F31" s="31">
        <f>IF(A31&lt;malumot!$B$82,'График аннуитет.'!F30,'График аннуитет.'!D31+'График аннуитет.'!E31)</f>
        <v>7155000</v>
      </c>
      <c r="G31" s="13">
        <f>B31-B30</f>
        <v>31</v>
      </c>
      <c r="H31" s="13">
        <f t="shared" si="1"/>
        <v>365</v>
      </c>
    </row>
    <row r="32" spans="1:8" x14ac:dyDescent="0.25">
      <c r="A32" s="16">
        <f>1+A31</f>
        <v>25</v>
      </c>
      <c r="B32" s="30">
        <f>'График дифференц'!B32</f>
        <v>46510</v>
      </c>
      <c r="C32" s="31">
        <f t="shared" ref="C32:C43" si="5">C31-D31</f>
        <v>62066703.629999958</v>
      </c>
      <c r="D32" s="31">
        <f>IF(A32&lt;malumot!$B$82,'График аннуитет.'!F32-'График аннуитет.'!E32,'График аннуитет.'!C32)</f>
        <v>4162194.56</v>
      </c>
      <c r="E32" s="31">
        <f>ROUND(C32*malumot!$B$85/H32,2)*'График аннуитет.'!G32</f>
        <v>2992805.44</v>
      </c>
      <c r="F32" s="31">
        <f>IF(A32&lt;malumot!$B$82,'График аннуитет.'!F31,'График аннуитет.'!D32+'График аннуитет.'!E32)</f>
        <v>7155000</v>
      </c>
      <c r="G32" s="13">
        <f t="shared" ref="G32:G43" si="6">B32-B31</f>
        <v>32</v>
      </c>
      <c r="H32" s="13">
        <f t="shared" ref="H32:H43" si="7">DATE(YEAR(B32),12,31)-DATE(YEAR(B32),1,1)+1</f>
        <v>365</v>
      </c>
    </row>
    <row r="33" spans="1:8" x14ac:dyDescent="0.25">
      <c r="A33" s="16">
        <f t="shared" ref="A33:A55" si="8">1+A32</f>
        <v>26</v>
      </c>
      <c r="B33" s="30">
        <f>'График дифференц'!B33</f>
        <v>46539</v>
      </c>
      <c r="C33" s="31">
        <f t="shared" si="5"/>
        <v>57904509.069999956</v>
      </c>
      <c r="D33" s="31">
        <f>IF(A33&lt;malumot!$B$82,'График аннуитет.'!F33-'График аннуитет.'!E33,'График аннуитет.'!C33)</f>
        <v>4624652.2699999996</v>
      </c>
      <c r="E33" s="31">
        <f>ROUND(C33*malumot!$B$85/H33,2)*'График аннуитет.'!G33</f>
        <v>2530347.73</v>
      </c>
      <c r="F33" s="31">
        <f>IF(A33&lt;malumot!$B$82,'График аннуитет.'!F32,'График аннуитет.'!D33+'График аннуитет.'!E33)</f>
        <v>7155000</v>
      </c>
      <c r="G33" s="13">
        <f t="shared" si="6"/>
        <v>29</v>
      </c>
      <c r="H33" s="13">
        <f t="shared" si="7"/>
        <v>365</v>
      </c>
    </row>
    <row r="34" spans="1:8" x14ac:dyDescent="0.25">
      <c r="A34" s="16">
        <f t="shared" si="8"/>
        <v>27</v>
      </c>
      <c r="B34" s="30">
        <f>'График дифференц'!B34</f>
        <v>46569</v>
      </c>
      <c r="C34" s="31">
        <f t="shared" si="5"/>
        <v>53279856.799999952</v>
      </c>
      <c r="D34" s="31">
        <f>IF(A34&lt;malumot!$B$82,'График аннуитет.'!F34-'График аннуитет.'!E34,'График аннуитет.'!C34)</f>
        <v>4746458.4000000004</v>
      </c>
      <c r="E34" s="31">
        <f>ROUND(C34*malumot!$B$85/H34,2)*'График аннуитет.'!G34</f>
        <v>2408541.6</v>
      </c>
      <c r="F34" s="31">
        <f>IF(A34&lt;malumot!$B$82,'График аннуитет.'!F33,'График аннуитет.'!D34+'График аннуитет.'!E34)</f>
        <v>7155000</v>
      </c>
      <c r="G34" s="13">
        <f t="shared" si="6"/>
        <v>30</v>
      </c>
      <c r="H34" s="13">
        <f t="shared" si="7"/>
        <v>365</v>
      </c>
    </row>
    <row r="35" spans="1:8" x14ac:dyDescent="0.25">
      <c r="A35" s="16">
        <f t="shared" si="8"/>
        <v>28</v>
      </c>
      <c r="B35" s="30">
        <f>'График дифференц'!B35</f>
        <v>46601</v>
      </c>
      <c r="C35" s="31">
        <f t="shared" si="5"/>
        <v>48533398.399999954</v>
      </c>
      <c r="D35" s="31">
        <f>IF(A35&lt;malumot!$B$82,'График аннуитет.'!F35-'График аннуитет.'!E35,'График аннуитет.'!C35)</f>
        <v>4814759.3599999994</v>
      </c>
      <c r="E35" s="31">
        <f>ROUND(C35*malumot!$B$85/H35,2)*'График аннуитет.'!G35</f>
        <v>2340240.64</v>
      </c>
      <c r="F35" s="31">
        <f>IF(A35&lt;malumot!$B$82,'График аннуитет.'!F34,'График аннуитет.'!D35+'График аннуитет.'!E35)</f>
        <v>7155000</v>
      </c>
      <c r="G35" s="13">
        <f t="shared" si="6"/>
        <v>32</v>
      </c>
      <c r="H35" s="13">
        <f t="shared" si="7"/>
        <v>365</v>
      </c>
    </row>
    <row r="36" spans="1:8" x14ac:dyDescent="0.25">
      <c r="A36" s="16">
        <f t="shared" si="8"/>
        <v>29</v>
      </c>
      <c r="B36" s="30">
        <f>'График дифференц'!B36</f>
        <v>46631</v>
      </c>
      <c r="C36" s="31">
        <f t="shared" si="5"/>
        <v>43718639.039999954</v>
      </c>
      <c r="D36" s="31">
        <f>IF(A36&lt;malumot!$B$82,'График аннуитет.'!F36-'График аннуитет.'!E36,'График аннуитет.'!C36)</f>
        <v>5178678</v>
      </c>
      <c r="E36" s="31">
        <f>ROUND(C36*malumot!$B$85/H36,2)*'График аннуитет.'!G36</f>
        <v>1976321.9999999998</v>
      </c>
      <c r="F36" s="31">
        <f>IF(A36&lt;malumot!$B$82,'График аннуитет.'!F35,'График аннуитет.'!D36+'График аннуитет.'!E36)</f>
        <v>7155000</v>
      </c>
      <c r="G36" s="13">
        <f t="shared" si="6"/>
        <v>30</v>
      </c>
      <c r="H36" s="13">
        <f t="shared" si="7"/>
        <v>365</v>
      </c>
    </row>
    <row r="37" spans="1:8" x14ac:dyDescent="0.25">
      <c r="A37" s="16">
        <f t="shared" si="8"/>
        <v>30</v>
      </c>
      <c r="B37" s="30">
        <f>'График дифференц'!B37</f>
        <v>46661</v>
      </c>
      <c r="C37" s="31">
        <f t="shared" si="5"/>
        <v>38539961.039999954</v>
      </c>
      <c r="D37" s="31">
        <f>IF(A37&lt;malumot!$B$82,'График аннуитет.'!F37-'График аннуитет.'!E37,'График аннуитет.'!C37)</f>
        <v>5412782.7000000002</v>
      </c>
      <c r="E37" s="31">
        <f>ROUND(C37*malumot!$B$85/H37,2)*'График аннуитет.'!G37</f>
        <v>1742217.3</v>
      </c>
      <c r="F37" s="31">
        <f>IF(A37&lt;malumot!$B$82,'График аннуитет.'!F36,'График аннуитет.'!D37+'График аннуитет.'!E37)</f>
        <v>7155000</v>
      </c>
      <c r="G37" s="13">
        <f t="shared" si="6"/>
        <v>30</v>
      </c>
      <c r="H37" s="13">
        <f t="shared" si="7"/>
        <v>365</v>
      </c>
    </row>
    <row r="38" spans="1:8" x14ac:dyDescent="0.25">
      <c r="A38" s="16">
        <f t="shared" si="8"/>
        <v>31</v>
      </c>
      <c r="B38" s="30">
        <f>'График дифференц'!B38</f>
        <v>46692</v>
      </c>
      <c r="C38" s="31">
        <f t="shared" si="5"/>
        <v>33127178.339999955</v>
      </c>
      <c r="D38" s="31">
        <f>IF(A38&lt;malumot!$B$82,'График аннуитет.'!F38-'График аннуитет.'!E38,'График аннуитет.'!C38)</f>
        <v>5607552.2300000004</v>
      </c>
      <c r="E38" s="31">
        <f>ROUND(C38*malumot!$B$85/H38,2)*'График аннуитет.'!G38</f>
        <v>1547447.77</v>
      </c>
      <c r="F38" s="31">
        <f>IF(A38&lt;malumot!$B$82,'График аннуитет.'!F37,'График аннуитет.'!D38+'График аннуитет.'!E38)</f>
        <v>7155000</v>
      </c>
      <c r="G38" s="13">
        <f t="shared" si="6"/>
        <v>31</v>
      </c>
      <c r="H38" s="13">
        <f t="shared" si="7"/>
        <v>365</v>
      </c>
    </row>
    <row r="39" spans="1:8" x14ac:dyDescent="0.25">
      <c r="A39" s="16">
        <f t="shared" si="8"/>
        <v>32</v>
      </c>
      <c r="B39" s="30">
        <f>'График дифференц'!B39</f>
        <v>46722</v>
      </c>
      <c r="C39" s="31">
        <f t="shared" si="5"/>
        <v>27519626.109999955</v>
      </c>
      <c r="D39" s="31">
        <f>IF(A39&lt;malumot!$B$82,'График аннуитет.'!F39-'График аннуитет.'!E39,'График аннуитет.'!C39)</f>
        <v>5910962.0999999996</v>
      </c>
      <c r="E39" s="31">
        <f>ROUND(C39*malumot!$B$85/H39,2)*'График аннуитет.'!G39</f>
        <v>1244037.8999999999</v>
      </c>
      <c r="F39" s="31">
        <f>IF(A39&lt;malumot!$B$82,'График аннуитет.'!F38,'График аннуитет.'!D39+'График аннуитет.'!E39)</f>
        <v>7155000</v>
      </c>
      <c r="G39" s="13">
        <f t="shared" si="6"/>
        <v>30</v>
      </c>
      <c r="H39" s="13">
        <f t="shared" si="7"/>
        <v>365</v>
      </c>
    </row>
    <row r="40" spans="1:8" x14ac:dyDescent="0.25">
      <c r="A40" s="16">
        <f t="shared" si="8"/>
        <v>33</v>
      </c>
      <c r="B40" s="30">
        <f>'График дифференц'!B40</f>
        <v>46755</v>
      </c>
      <c r="C40" s="31">
        <f t="shared" si="5"/>
        <v>21608664.009999953</v>
      </c>
      <c r="D40" s="31">
        <f>IF(A40&lt;malumot!$B$82,'График аннуитет.'!F40-'График аннуитет.'!E40,'График аннуитет.'!C40)</f>
        <v>6083422.6799999997</v>
      </c>
      <c r="E40" s="31">
        <f>ROUND(C40*malumot!$B$85/H40,2)*'График аннуитет.'!G40</f>
        <v>1071577.32</v>
      </c>
      <c r="F40" s="31">
        <f>IF(A40&lt;malumot!$B$82,'График аннуитет.'!F39,'График аннуитет.'!D40+'График аннуитет.'!E40)</f>
        <v>7155000</v>
      </c>
      <c r="G40" s="13">
        <f t="shared" si="6"/>
        <v>33</v>
      </c>
      <c r="H40" s="13">
        <f t="shared" si="7"/>
        <v>366</v>
      </c>
    </row>
    <row r="41" spans="1:8" x14ac:dyDescent="0.25">
      <c r="A41" s="16">
        <f t="shared" si="8"/>
        <v>34</v>
      </c>
      <c r="B41" s="30">
        <f>'График дифференц'!B41</f>
        <v>46784</v>
      </c>
      <c r="C41" s="31">
        <f t="shared" si="5"/>
        <v>15525241.329999954</v>
      </c>
      <c r="D41" s="31">
        <f>IF(A41&lt;malumot!$B$82,'График аннуитет.'!F41-'График аннуитет.'!E41,'График аннуитет.'!C41)</f>
        <v>6478421.8799999999</v>
      </c>
      <c r="E41" s="31">
        <f>ROUND(C41*malumot!$B$85/H41,2)*'График аннуитет.'!G41</f>
        <v>676578.12</v>
      </c>
      <c r="F41" s="31">
        <f>IF(A41&lt;malumot!$B$82,'График аннуитет.'!F40,'График аннуитет.'!D41+'График аннуитет.'!E41)</f>
        <v>7155000</v>
      </c>
      <c r="G41" s="13">
        <f t="shared" si="6"/>
        <v>29</v>
      </c>
      <c r="H41" s="13">
        <f t="shared" si="7"/>
        <v>366</v>
      </c>
    </row>
    <row r="42" spans="1:8" x14ac:dyDescent="0.25">
      <c r="A42" s="16">
        <f t="shared" si="8"/>
        <v>35</v>
      </c>
      <c r="B42" s="30">
        <f>'График дифференц'!B42</f>
        <v>46813</v>
      </c>
      <c r="C42" s="31">
        <f t="shared" si="5"/>
        <v>9046819.4499999546</v>
      </c>
      <c r="D42" s="31">
        <f>IF(A42&lt;malumot!$B$82,'График аннуитет.'!F42-'График аннуитет.'!E42,'График аннуитет.'!C42)</f>
        <v>6760746.4500000002</v>
      </c>
      <c r="E42" s="31">
        <f>ROUND(C42*malumot!$B$85/H42,2)*'График аннуитет.'!G42</f>
        <v>394253.55000000005</v>
      </c>
      <c r="F42" s="31">
        <f>IF(A42&lt;malumot!$B$82,'График аннуитет.'!F41,'График аннуитет.'!D42+'График аннуитет.'!E42)</f>
        <v>7155000</v>
      </c>
      <c r="G42" s="13">
        <f t="shared" si="6"/>
        <v>29</v>
      </c>
      <c r="H42" s="13">
        <f t="shared" si="7"/>
        <v>366</v>
      </c>
    </row>
    <row r="43" spans="1:8" x14ac:dyDescent="0.25">
      <c r="A43" s="16">
        <f t="shared" si="8"/>
        <v>36</v>
      </c>
      <c r="B43" s="30">
        <f>'График дифференц'!B43</f>
        <v>46850</v>
      </c>
      <c r="C43" s="31">
        <f t="shared" si="5"/>
        <v>2286072.9999999544</v>
      </c>
      <c r="D43" s="31">
        <f>IF(A43&lt;malumot!$B$82,'График аннуитет.'!F43-'График аннуитет.'!E43,'График аннуитет.'!C43)</f>
        <v>2286072.9999999544</v>
      </c>
      <c r="E43" s="31">
        <f>ROUND(C43*malumot!$B$85/H43,2)*'График аннуитет.'!G43</f>
        <v>127108.32</v>
      </c>
      <c r="F43" s="31">
        <f>IF(A43&lt;malumot!$B$82,'График аннуитет.'!F42,'График аннуитет.'!D43+'График аннуитет.'!E43)</f>
        <v>2413181.3199999542</v>
      </c>
      <c r="G43" s="13">
        <f t="shared" si="6"/>
        <v>37</v>
      </c>
      <c r="H43" s="13">
        <f t="shared" si="7"/>
        <v>366</v>
      </c>
    </row>
    <row r="44" spans="1:8" x14ac:dyDescent="0.25">
      <c r="A44" s="16">
        <f t="shared" si="8"/>
        <v>37</v>
      </c>
      <c r="B44" s="30" t="b">
        <f>'График дифференц'!B44</f>
        <v>0</v>
      </c>
      <c r="C44" s="31">
        <f t="shared" ref="C44:C55" si="9">C43-D43</f>
        <v>0</v>
      </c>
      <c r="D44" s="31">
        <f>IF(A44&lt;malumot!$B$82,'График аннуитет.'!F44-'График аннуитет.'!E44,'График аннуитет.'!C44)</f>
        <v>0</v>
      </c>
      <c r="E44" s="31">
        <f>ROUND(C44*malumot!$B$85/H44,2)*'График аннуитет.'!G44</f>
        <v>0</v>
      </c>
      <c r="F44" s="31">
        <f>IF(A44&lt;malumot!$B$82,'График аннуитет.'!F43,'График аннуитет.'!D44+'График аннуитет.'!E44)</f>
        <v>0</v>
      </c>
      <c r="G44" s="13">
        <f t="shared" ref="G44:G55" si="10">B44-B43</f>
        <v>-46850</v>
      </c>
      <c r="H44" s="13">
        <f t="shared" ref="H44:H55" si="11">DATE(YEAR(B44),12,31)-DATE(YEAR(B44),1,1)+1</f>
        <v>366</v>
      </c>
    </row>
    <row r="45" spans="1:8" x14ac:dyDescent="0.25">
      <c r="A45" s="16">
        <f t="shared" si="8"/>
        <v>38</v>
      </c>
      <c r="B45" s="30" t="b">
        <f>'График дифференц'!B45</f>
        <v>0</v>
      </c>
      <c r="C45" s="31">
        <f t="shared" si="9"/>
        <v>0</v>
      </c>
      <c r="D45" s="31">
        <f>IF(A45&lt;malumot!$B$82,'График аннуитет.'!F45-'График аннуитет.'!E45,'График аннуитет.'!C45)</f>
        <v>0</v>
      </c>
      <c r="E45" s="31">
        <f>ROUND(C45*malumot!$B$85/H45,2)*'График аннуитет.'!G45</f>
        <v>0</v>
      </c>
      <c r="F45" s="31">
        <f>IF(A45&lt;malumot!$B$82,'График аннуитет.'!F44,'График аннуитет.'!D45+'График аннуитет.'!E45)</f>
        <v>0</v>
      </c>
      <c r="G45" s="13">
        <f t="shared" si="10"/>
        <v>0</v>
      </c>
      <c r="H45" s="13">
        <f t="shared" si="11"/>
        <v>366</v>
      </c>
    </row>
    <row r="46" spans="1:8" x14ac:dyDescent="0.25">
      <c r="A46" s="16">
        <f t="shared" si="8"/>
        <v>39</v>
      </c>
      <c r="B46" s="30" t="b">
        <f>'График дифференц'!B46</f>
        <v>0</v>
      </c>
      <c r="C46" s="31">
        <f t="shared" si="9"/>
        <v>0</v>
      </c>
      <c r="D46" s="31">
        <f>IF(A46&lt;malumot!$B$82,'График аннуитет.'!F46-'График аннуитет.'!E46,'График аннуитет.'!C46)</f>
        <v>0</v>
      </c>
      <c r="E46" s="31">
        <f>ROUND(C46*malumot!$B$85/H46,2)*'График аннуитет.'!G46</f>
        <v>0</v>
      </c>
      <c r="F46" s="31">
        <f>IF(A46&lt;malumot!$B$82,'График аннуитет.'!F45,'График аннуитет.'!D46+'График аннуитет.'!E46)</f>
        <v>0</v>
      </c>
      <c r="G46" s="13">
        <f t="shared" si="10"/>
        <v>0</v>
      </c>
      <c r="H46" s="13">
        <f t="shared" si="11"/>
        <v>366</v>
      </c>
    </row>
    <row r="47" spans="1:8" x14ac:dyDescent="0.25">
      <c r="A47" s="16">
        <f t="shared" si="8"/>
        <v>40</v>
      </c>
      <c r="B47" s="30" t="b">
        <f>'График дифференц'!B47</f>
        <v>0</v>
      </c>
      <c r="C47" s="31">
        <f t="shared" si="9"/>
        <v>0</v>
      </c>
      <c r="D47" s="31">
        <f>IF(A47&lt;malumot!$B$82,'График аннуитет.'!F47-'График аннуитет.'!E47,'График аннуитет.'!C47)</f>
        <v>0</v>
      </c>
      <c r="E47" s="31">
        <f>ROUND(C47*malumot!$B$85/H47,2)*'График аннуитет.'!G47</f>
        <v>0</v>
      </c>
      <c r="F47" s="31">
        <f>IF(A47&lt;malumot!$B$82,'График аннуитет.'!F46,'График аннуитет.'!D47+'График аннуитет.'!E47)</f>
        <v>0</v>
      </c>
      <c r="G47" s="13">
        <f t="shared" si="10"/>
        <v>0</v>
      </c>
      <c r="H47" s="13">
        <f t="shared" si="11"/>
        <v>366</v>
      </c>
    </row>
    <row r="48" spans="1:8" x14ac:dyDescent="0.25">
      <c r="A48" s="16">
        <f t="shared" si="8"/>
        <v>41</v>
      </c>
      <c r="B48" s="30" t="b">
        <f>'График дифференц'!B48</f>
        <v>0</v>
      </c>
      <c r="C48" s="31">
        <f t="shared" si="9"/>
        <v>0</v>
      </c>
      <c r="D48" s="31">
        <f>IF(A48&lt;malumot!$B$82,'График аннуитет.'!F48-'График аннуитет.'!E48,'График аннуитет.'!C48)</f>
        <v>0</v>
      </c>
      <c r="E48" s="31">
        <f>ROUND(C48*malumot!$B$85/H48,2)*'График аннуитет.'!G48</f>
        <v>0</v>
      </c>
      <c r="F48" s="31">
        <f>IF(A48&lt;malumot!$B$82,'График аннуитет.'!F47,'График аннуитет.'!D48+'График аннуитет.'!E48)</f>
        <v>0</v>
      </c>
      <c r="G48" s="13">
        <f t="shared" si="10"/>
        <v>0</v>
      </c>
      <c r="H48" s="13">
        <f t="shared" si="11"/>
        <v>366</v>
      </c>
    </row>
    <row r="49" spans="1:8" x14ac:dyDescent="0.25">
      <c r="A49" s="16">
        <f t="shared" si="8"/>
        <v>42</v>
      </c>
      <c r="B49" s="30" t="b">
        <f>'График дифференц'!B49</f>
        <v>0</v>
      </c>
      <c r="C49" s="31">
        <f t="shared" si="9"/>
        <v>0</v>
      </c>
      <c r="D49" s="31">
        <f>IF(A49&lt;malumot!$B$82,'График аннуитет.'!F49-'График аннуитет.'!E49,'График аннуитет.'!C49)</f>
        <v>0</v>
      </c>
      <c r="E49" s="31">
        <f>ROUND(C49*malumot!$B$85/H49,2)*'График аннуитет.'!G49</f>
        <v>0</v>
      </c>
      <c r="F49" s="31">
        <f>IF(A49&lt;malumot!$B$82,'График аннуитет.'!F48,'График аннуитет.'!D49+'График аннуитет.'!E49)</f>
        <v>0</v>
      </c>
      <c r="G49" s="13">
        <f t="shared" si="10"/>
        <v>0</v>
      </c>
      <c r="H49" s="13">
        <f t="shared" si="11"/>
        <v>366</v>
      </c>
    </row>
    <row r="50" spans="1:8" x14ac:dyDescent="0.25">
      <c r="A50" s="16">
        <f t="shared" si="8"/>
        <v>43</v>
      </c>
      <c r="B50" s="30" t="b">
        <f>'График дифференц'!B50</f>
        <v>0</v>
      </c>
      <c r="C50" s="31">
        <f t="shared" si="9"/>
        <v>0</v>
      </c>
      <c r="D50" s="31">
        <f>IF(A50&lt;malumot!$B$82,'График аннуитет.'!F50-'График аннуитет.'!E50,'График аннуитет.'!C50)</f>
        <v>0</v>
      </c>
      <c r="E50" s="31">
        <f>ROUND(C50*malumot!$B$85/H50,2)*'График аннуитет.'!G50</f>
        <v>0</v>
      </c>
      <c r="F50" s="31">
        <f>IF(A50&lt;malumot!$B$82,'График аннуитет.'!F49,'График аннуитет.'!D50+'График аннуитет.'!E50)</f>
        <v>0</v>
      </c>
      <c r="G50" s="13">
        <f t="shared" si="10"/>
        <v>0</v>
      </c>
      <c r="H50" s="13">
        <f t="shared" si="11"/>
        <v>366</v>
      </c>
    </row>
    <row r="51" spans="1:8" x14ac:dyDescent="0.25">
      <c r="A51" s="16">
        <f t="shared" si="8"/>
        <v>44</v>
      </c>
      <c r="B51" s="30" t="b">
        <f>'График дифференц'!B51</f>
        <v>0</v>
      </c>
      <c r="C51" s="31">
        <f t="shared" si="9"/>
        <v>0</v>
      </c>
      <c r="D51" s="31">
        <f>IF(A51&lt;malumot!$B$82,'График аннуитет.'!F51-'График аннуитет.'!E51,'График аннуитет.'!C51)</f>
        <v>0</v>
      </c>
      <c r="E51" s="31">
        <f>ROUND(C51*malumot!$B$85/H51,2)*'График аннуитет.'!G51</f>
        <v>0</v>
      </c>
      <c r="F51" s="31">
        <f>IF(A51&lt;malumot!$B$82,'График аннуитет.'!F50,'График аннуитет.'!D51+'График аннуитет.'!E51)</f>
        <v>0</v>
      </c>
      <c r="G51" s="13">
        <f t="shared" si="10"/>
        <v>0</v>
      </c>
      <c r="H51" s="13">
        <f t="shared" si="11"/>
        <v>366</v>
      </c>
    </row>
    <row r="52" spans="1:8" x14ac:dyDescent="0.25">
      <c r="A52" s="16">
        <f t="shared" si="8"/>
        <v>45</v>
      </c>
      <c r="B52" s="30" t="b">
        <f>'График дифференц'!B52</f>
        <v>0</v>
      </c>
      <c r="C52" s="31">
        <f t="shared" si="9"/>
        <v>0</v>
      </c>
      <c r="D52" s="31">
        <f>IF(A52&lt;malumot!$B$82,'График аннуитет.'!F52-'График аннуитет.'!E52,'График аннуитет.'!C52)</f>
        <v>0</v>
      </c>
      <c r="E52" s="31">
        <f>ROUND(C52*malumot!$B$85/H52,2)*'График аннуитет.'!G52</f>
        <v>0</v>
      </c>
      <c r="F52" s="31">
        <f>IF(A52&lt;malumot!$B$82,'График аннуитет.'!F51,'График аннуитет.'!D52+'График аннуитет.'!E52)</f>
        <v>0</v>
      </c>
      <c r="G52" s="13">
        <f t="shared" si="10"/>
        <v>0</v>
      </c>
      <c r="H52" s="13">
        <f t="shared" si="11"/>
        <v>366</v>
      </c>
    </row>
    <row r="53" spans="1:8" x14ac:dyDescent="0.25">
      <c r="A53" s="16">
        <f t="shared" si="8"/>
        <v>46</v>
      </c>
      <c r="B53" s="30" t="b">
        <f>'График дифференц'!B53</f>
        <v>0</v>
      </c>
      <c r="C53" s="31">
        <f t="shared" si="9"/>
        <v>0</v>
      </c>
      <c r="D53" s="31">
        <f>IF(A53&lt;malumot!$B$82,'График аннуитет.'!F53-'График аннуитет.'!E53,'График аннуитет.'!C53)</f>
        <v>0</v>
      </c>
      <c r="E53" s="31">
        <f>ROUND(C53*malumot!$B$85/H53,2)*'График аннуитет.'!G53</f>
        <v>0</v>
      </c>
      <c r="F53" s="31">
        <f>IF(A53&lt;malumot!$B$82,'График аннуитет.'!F52,'График аннуитет.'!D53+'График аннуитет.'!E53)</f>
        <v>0</v>
      </c>
      <c r="G53" s="13">
        <f t="shared" si="10"/>
        <v>0</v>
      </c>
      <c r="H53" s="13">
        <f t="shared" si="11"/>
        <v>366</v>
      </c>
    </row>
    <row r="54" spans="1:8" x14ac:dyDescent="0.25">
      <c r="A54" s="16">
        <f t="shared" si="8"/>
        <v>47</v>
      </c>
      <c r="B54" s="30" t="b">
        <f>'График дифференц'!B54</f>
        <v>0</v>
      </c>
      <c r="C54" s="31">
        <f t="shared" si="9"/>
        <v>0</v>
      </c>
      <c r="D54" s="31">
        <f>IF(A54&lt;malumot!$B$82,'График аннуитет.'!F54-'График аннуитет.'!E54,'График аннуитет.'!C54)</f>
        <v>0</v>
      </c>
      <c r="E54" s="31">
        <f>ROUND(C54*malumot!$B$85/H54,2)*'График аннуитет.'!G54</f>
        <v>0</v>
      </c>
      <c r="F54" s="31">
        <f>IF(A54&lt;malumot!$B$82,'График аннуитет.'!F53,'График аннуитет.'!D54+'График аннуитет.'!E54)</f>
        <v>0</v>
      </c>
      <c r="G54" s="13">
        <f t="shared" si="10"/>
        <v>0</v>
      </c>
      <c r="H54" s="13">
        <f t="shared" si="11"/>
        <v>366</v>
      </c>
    </row>
    <row r="55" spans="1:8" x14ac:dyDescent="0.25">
      <c r="A55" s="16">
        <f t="shared" si="8"/>
        <v>48</v>
      </c>
      <c r="B55" s="30" t="b">
        <f>'График дифференц'!B55</f>
        <v>0</v>
      </c>
      <c r="C55" s="31">
        <f t="shared" si="9"/>
        <v>0</v>
      </c>
      <c r="D55" s="31">
        <f>IF(A55&lt;malumot!$B$82,'График аннуитет.'!F55-'График аннуитет.'!E55,'График аннуитет.'!C55)</f>
        <v>0</v>
      </c>
      <c r="E55" s="31">
        <f>ROUND(C55*malumot!$B$85/H55,2)*'График аннуитет.'!G55</f>
        <v>0</v>
      </c>
      <c r="F55" s="31">
        <f>IF(A55&lt;malumot!$B$82,'График аннуитет.'!F54,'График аннуитет.'!D55+'График аннуитет.'!E55)</f>
        <v>0</v>
      </c>
      <c r="G55" s="13">
        <f t="shared" si="10"/>
        <v>0</v>
      </c>
      <c r="H55" s="13">
        <f t="shared" si="11"/>
        <v>366</v>
      </c>
    </row>
    <row r="56" spans="1:8" x14ac:dyDescent="0.25">
      <c r="A56" s="43"/>
      <c r="B56" s="44" t="s">
        <v>6</v>
      </c>
      <c r="C56" s="45"/>
      <c r="D56" s="45">
        <f>SUM(D8:D55)</f>
        <v>124999999.99999997</v>
      </c>
      <c r="E56" s="45">
        <f t="shared" ref="E56:F56" si="12">SUM(E8:E55)</f>
        <v>127838181.31999998</v>
      </c>
      <c r="F56" s="45">
        <f t="shared" si="12"/>
        <v>252838181.31999996</v>
      </c>
    </row>
    <row r="57" spans="1:8" ht="9" customHeight="1" x14ac:dyDescent="0.25">
      <c r="B57" s="32"/>
      <c r="C57" s="33"/>
      <c r="D57" s="33"/>
      <c r="E57" s="33"/>
      <c r="F57" s="33"/>
    </row>
    <row r="58" spans="1:8" ht="47.25" customHeight="1" x14ac:dyDescent="0.25">
      <c r="A58" s="286" t="s">
        <v>17</v>
      </c>
      <c r="B58" s="286"/>
      <c r="C58" s="286"/>
      <c r="D58" s="286"/>
      <c r="E58" s="286"/>
      <c r="F58" s="286"/>
    </row>
    <row r="59" spans="1:8" ht="7.5" customHeight="1" x14ac:dyDescent="0.25"/>
    <row r="60" spans="1:8" x14ac:dyDescent="0.25">
      <c r="A60" s="314" t="e">
        <f>#REF!</f>
        <v>#REF!</v>
      </c>
      <c r="B60" s="314"/>
      <c r="C60" s="314"/>
      <c r="D60" s="314" t="e">
        <f>#REF!</f>
        <v>#REF!</v>
      </c>
      <c r="E60" s="314"/>
      <c r="F60" s="314"/>
    </row>
    <row r="61" spans="1:8" ht="11.25" customHeight="1" x14ac:dyDescent="0.25">
      <c r="A61" s="315"/>
      <c r="B61" s="315"/>
      <c r="C61" s="315"/>
      <c r="D61" s="315"/>
      <c r="E61" s="315"/>
      <c r="F61" s="315"/>
    </row>
    <row r="62" spans="1:8" ht="30" customHeight="1" x14ac:dyDescent="0.25">
      <c r="A62" s="288" t="e">
        <f>#REF!</f>
        <v>#REF!</v>
      </c>
      <c r="B62" s="288"/>
      <c r="C62" s="288"/>
      <c r="D62" s="288" t="e">
        <f>#REF!</f>
        <v>#REF!</v>
      </c>
      <c r="E62" s="288"/>
      <c r="F62" s="288"/>
    </row>
    <row r="63" spans="1:8" ht="32.25" customHeight="1" x14ac:dyDescent="0.25">
      <c r="A63" s="313" t="e">
        <f>#REF!</f>
        <v>#REF!</v>
      </c>
      <c r="B63" s="313"/>
      <c r="C63" s="313"/>
      <c r="D63" s="313" t="e">
        <f>#REF!</f>
        <v>#REF!</v>
      </c>
      <c r="E63" s="313"/>
      <c r="F63" s="313"/>
    </row>
    <row r="64" spans="1:8" x14ac:dyDescent="0.25">
      <c r="A64" s="313" t="e">
        <f>#REF!</f>
        <v>#REF!</v>
      </c>
      <c r="B64" s="313"/>
      <c r="C64" s="313"/>
      <c r="D64" s="313" t="str">
        <f>"паспорт серии "&amp;malumot!B16&amp;", "&amp;malumot!B20&amp;""</f>
        <v>паспорт серии AC 2074678, XORAZM VILOYATI SHOVOT TUMANI IIB tomonidan 17.07.2019 yilda berilgan</v>
      </c>
      <c r="E64" s="313"/>
      <c r="F64" s="313"/>
    </row>
    <row r="65" spans="1:6" ht="32.25" customHeight="1" x14ac:dyDescent="0.25">
      <c r="A65" s="313" t="e">
        <f>#REF!</f>
        <v>#REF!</v>
      </c>
      <c r="B65" s="313"/>
      <c r="C65" s="313"/>
      <c r="D65" s="313"/>
      <c r="E65" s="313"/>
      <c r="F65" s="313"/>
    </row>
    <row r="66" spans="1:6" x14ac:dyDescent="0.25">
      <c r="A66" s="313" t="e">
        <f>#REF!</f>
        <v>#REF!</v>
      </c>
      <c r="B66" s="313"/>
      <c r="C66" s="313"/>
      <c r="D66" s="313" t="e">
        <f>#REF!</f>
        <v>#REF!</v>
      </c>
      <c r="E66" s="313"/>
      <c r="F66" s="313"/>
    </row>
    <row r="67" spans="1:6" x14ac:dyDescent="0.25">
      <c r="A67" s="313" t="e">
        <f>#REF!</f>
        <v>#REF!</v>
      </c>
      <c r="B67" s="313"/>
      <c r="C67" s="313"/>
      <c r="D67" s="313" t="e">
        <f>#REF!</f>
        <v>#REF!</v>
      </c>
      <c r="E67" s="313"/>
      <c r="F67" s="313"/>
    </row>
    <row r="68" spans="1:6" x14ac:dyDescent="0.25">
      <c r="A68" s="313" t="e">
        <f>#REF!</f>
        <v>#REF!</v>
      </c>
      <c r="B68" s="313"/>
      <c r="C68" s="313"/>
      <c r="D68" s="313" t="e">
        <f>#REF!</f>
        <v>#REF!</v>
      </c>
      <c r="E68" s="313"/>
      <c r="F68" s="313"/>
    </row>
    <row r="69" spans="1:6" ht="8.25" customHeight="1" x14ac:dyDescent="0.25">
      <c r="A69" s="313"/>
      <c r="B69" s="313"/>
      <c r="C69" s="313"/>
      <c r="D69" s="313"/>
      <c r="E69" s="313"/>
      <c r="F69" s="313"/>
    </row>
    <row r="70" spans="1:6" x14ac:dyDescent="0.25">
      <c r="A70" s="288" t="e">
        <f>#REF!</f>
        <v>#REF!</v>
      </c>
      <c r="B70" s="288"/>
      <c r="C70" s="288"/>
      <c r="D70" s="288" t="e">
        <f>#REF!</f>
        <v>#REF!</v>
      </c>
      <c r="E70" s="288"/>
      <c r="F70" s="288"/>
    </row>
    <row r="71" spans="1:6" ht="7.5" customHeight="1" x14ac:dyDescent="0.25">
      <c r="A71" s="288"/>
      <c r="B71" s="288"/>
      <c r="C71" s="288"/>
      <c r="D71" s="288"/>
      <c r="E71" s="288"/>
      <c r="F71" s="288"/>
    </row>
    <row r="72" spans="1:6" x14ac:dyDescent="0.25">
      <c r="A72" s="288" t="e">
        <f>#REF!</f>
        <v>#REF!</v>
      </c>
      <c r="B72" s="288"/>
      <c r="C72" s="288"/>
      <c r="D72" s="288" t="e">
        <f>#REF!</f>
        <v>#REF!</v>
      </c>
      <c r="E72" s="288"/>
      <c r="F72" s="288"/>
    </row>
    <row r="73" spans="1:6" ht="8.25" customHeight="1" x14ac:dyDescent="0.25">
      <c r="A73" s="313"/>
      <c r="B73" s="313"/>
      <c r="C73" s="313"/>
      <c r="D73" s="313"/>
      <c r="E73" s="313"/>
      <c r="F73" s="313"/>
    </row>
    <row r="74" spans="1:6" ht="30" customHeight="1" x14ac:dyDescent="0.25">
      <c r="A74" s="317"/>
      <c r="B74" s="317"/>
      <c r="C74" s="317"/>
      <c r="D74" s="318"/>
      <c r="E74" s="318"/>
      <c r="F74" s="318"/>
    </row>
    <row r="75" spans="1:6" x14ac:dyDescent="0.25">
      <c r="A75" s="319"/>
      <c r="B75" s="319"/>
      <c r="C75" s="319"/>
      <c r="D75" s="319"/>
      <c r="E75" s="319"/>
      <c r="F75" s="319"/>
    </row>
    <row r="76" spans="1:6" x14ac:dyDescent="0.25">
      <c r="A76" s="316"/>
      <c r="B76" s="316"/>
      <c r="C76" s="316"/>
      <c r="D76" s="316"/>
      <c r="E76" s="316"/>
      <c r="F76" s="316"/>
    </row>
  </sheetData>
  <mergeCells count="40">
    <mergeCell ref="A76:C76"/>
    <mergeCell ref="D76:F76"/>
    <mergeCell ref="A73:C73"/>
    <mergeCell ref="D73:F73"/>
    <mergeCell ref="A74:C74"/>
    <mergeCell ref="D74:F74"/>
    <mergeCell ref="A75:C75"/>
    <mergeCell ref="D75:F75"/>
    <mergeCell ref="A70:C70"/>
    <mergeCell ref="D70:F70"/>
    <mergeCell ref="A71:C71"/>
    <mergeCell ref="D71:F71"/>
    <mergeCell ref="A72:C72"/>
    <mergeCell ref="D72:F72"/>
    <mergeCell ref="A67:C67"/>
    <mergeCell ref="D67:F67"/>
    <mergeCell ref="A68:C68"/>
    <mergeCell ref="D68:F68"/>
    <mergeCell ref="A69:C69"/>
    <mergeCell ref="D69:F69"/>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E1:F1"/>
    <mergeCell ref="A4:F4"/>
    <mergeCell ref="A6:A7"/>
    <mergeCell ref="B6:B7"/>
    <mergeCell ref="C6:C7"/>
    <mergeCell ref="D6:F6"/>
  </mergeCells>
  <conditionalFormatting sqref="B8:B43">
    <cfRule type="cellIs" dxfId="9" priority="7" operator="lessThan">
      <formula>22105</formula>
    </cfRule>
  </conditionalFormatting>
  <conditionalFormatting sqref="C8:C43">
    <cfRule type="cellIs" dxfId="8" priority="6" operator="lessThan">
      <formula>1</formula>
    </cfRule>
  </conditionalFormatting>
  <conditionalFormatting sqref="C8:F43">
    <cfRule type="cellIs" dxfId="7" priority="4" operator="lessThan">
      <formula>0.1</formula>
    </cfRule>
  </conditionalFormatting>
  <conditionalFormatting sqref="B44:B55">
    <cfRule type="cellIs" dxfId="6" priority="3" operator="lessThan">
      <formula>22105</formula>
    </cfRule>
  </conditionalFormatting>
  <conditionalFormatting sqref="C44:C55">
    <cfRule type="cellIs" dxfId="5" priority="2" operator="lessThan">
      <formula>1</formula>
    </cfRule>
  </conditionalFormatting>
  <conditionalFormatting sqref="C44:F55">
    <cfRule type="cellIs" dxfId="4" priority="1" operator="lessThan">
      <formula>0.1</formula>
    </cfRule>
  </conditionalFormatting>
  <pageMargins left="0.7" right="0.7" top="0.75" bottom="0.75" header="0.3" footer="0.3"/>
  <pageSetup paperSize="9" scale="9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7">
    <tabColor rgb="FF00B050"/>
  </sheetPr>
  <dimension ref="A1:E67"/>
  <sheetViews>
    <sheetView view="pageBreakPreview" topLeftCell="A44" zoomScaleSheetLayoutView="100" workbookViewId="0">
      <selection activeCell="A55" sqref="A55:A67"/>
    </sheetView>
  </sheetViews>
  <sheetFormatPr defaultColWidth="9.140625" defaultRowHeight="15" outlineLevelRow="1" x14ac:dyDescent="0.25"/>
  <cols>
    <col min="1" max="2" width="23.7109375" style="13" customWidth="1"/>
    <col min="3" max="3" width="18.28515625" style="13" customWidth="1"/>
    <col min="4" max="5" width="17" style="13" customWidth="1"/>
    <col min="6" max="16384" width="9.140625" style="13"/>
  </cols>
  <sheetData>
    <row r="1" spans="1:5" ht="36" customHeight="1" x14ac:dyDescent="0.25">
      <c r="A1" s="288" t="str">
        <f>""&amp;malumot!B157&amp;"
mikromoliya tashkilotining Xulosasi"</f>
        <v>«CLEVER MIKROMOLIYA TASHKILOTI» MChJ
mikromoliya tashkilotining Xulosasi</v>
      </c>
      <c r="B1" s="288"/>
      <c r="C1" s="288"/>
      <c r="D1" s="288"/>
      <c r="E1" s="288"/>
    </row>
    <row r="2" spans="1:5" x14ac:dyDescent="0.25">
      <c r="A2" s="286"/>
      <c r="B2" s="286"/>
      <c r="C2" s="286"/>
      <c r="D2" s="286"/>
      <c r="E2" s="286"/>
    </row>
    <row r="3" spans="1:5" x14ac:dyDescent="0.25">
      <c r="A3" s="288" t="s">
        <v>202</v>
      </c>
      <c r="B3" s="288"/>
      <c r="C3" s="288"/>
      <c r="D3" s="288"/>
      <c r="E3" s="288"/>
    </row>
    <row r="4" spans="1:5" x14ac:dyDescent="0.25">
      <c r="A4" s="286" t="str">
        <f>"Mijozning to'liq ismi sharifi: "&amp;malumot!B5&amp;""</f>
        <v>Mijozning to'liq ismi sharifi: MATCHANOVA AZIZA BEKTURDIYEVNA</v>
      </c>
      <c r="B4" s="286"/>
      <c r="C4" s="286"/>
      <c r="D4" s="286"/>
      <c r="E4" s="286"/>
    </row>
    <row r="5" spans="1:5" x14ac:dyDescent="0.25">
      <c r="A5" s="286" t="str">
        <f>"Tug'ilgan sanasi: "&amp;malumot!B15&amp;""</f>
        <v>Tug'ilgan sanasi: 09.04.1990 y</v>
      </c>
      <c r="B5" s="286"/>
      <c r="C5" s="286"/>
      <c r="D5" s="286"/>
      <c r="E5" s="286"/>
    </row>
    <row r="6" spans="1:5" ht="31.5" customHeight="1" x14ac:dyDescent="0.25">
      <c r="A6" s="286" t="str">
        <f>"Pasport seriyasi "&amp;malumot!B16&amp;" "&amp;malumot!B20&amp;", amal qilish muddati - "&amp;malumot!B21&amp;""</f>
        <v>Pasport seriyasi AC 2074678 XORAZM VILOYATI SHOVOT TUMANI IIB tomonidan 17.07.2019 yilda berilgan, amal qilish muddati - 16.07.2029 y.</v>
      </c>
      <c r="B6" s="286"/>
      <c r="C6" s="286"/>
      <c r="D6" s="286"/>
      <c r="E6" s="286"/>
    </row>
    <row r="7" spans="1:5" ht="48" customHeight="1" x14ac:dyDescent="0.25">
      <c r="A7" s="286" t="str">
        <f>"Ro‘yxatdan o‘tgan manzili: "&amp;malumot!B28&amp;", mo'ljal: "&amp;malumot!B26&amp;""</f>
        <v>Ro‘yxatdan o‘tgan manzili: XORAZM VILOYATI SHOVOT TUMANI BOYRACHI QFY BOBORAXIM KO'CHASI 4-UY, mo'ljal: SHOVOT TUMANI BOYRACH QFY MADANIYAT MARKAZI</v>
      </c>
      <c r="B7" s="286"/>
      <c r="C7" s="286"/>
      <c r="D7" s="286"/>
      <c r="E7" s="286"/>
    </row>
    <row r="8" spans="1:5" ht="23.25" customHeight="1" x14ac:dyDescent="0.25">
      <c r="A8" s="286" t="str">
        <f>"Ish joyi: "&amp;malumot!B52&amp;" lavozimi "&amp;malumot!B49&amp;"da "&amp;malumot!B44&amp;""</f>
        <v>Ish joyi:  lavozimi TIKISH-BICHISHda O'Z O'ZINI BAND QILGAN FUQARO</v>
      </c>
      <c r="B8" s="286"/>
      <c r="C8" s="286"/>
      <c r="D8" s="286"/>
      <c r="E8" s="286"/>
    </row>
    <row r="9" spans="1:5" x14ac:dyDescent="0.25">
      <c r="A9" s="286"/>
      <c r="B9" s="286"/>
      <c r="C9" s="286"/>
      <c r="D9" s="286"/>
      <c r="E9" s="286"/>
    </row>
    <row r="10" spans="1:5" x14ac:dyDescent="0.25">
      <c r="A10" s="288" t="str">
        <f>"Mijoz tomonidan so’ralgan "&amp;malumot!B65&amp;" shartlari:"</f>
        <v>Mijoz tomonidan so’ralgan mikrokredit shartlari:</v>
      </c>
      <c r="B10" s="288"/>
      <c r="C10" s="288"/>
      <c r="D10" s="288"/>
      <c r="E10" s="288"/>
    </row>
    <row r="11" spans="1:5" x14ac:dyDescent="0.25">
      <c r="A11" s="286" t="str">
        <f>kredit_ariza!A13:D13</f>
        <v>Mikrokredit summasi: 125 000 000,00 (yuz yigirma besh million so'm) so'm.</v>
      </c>
      <c r="B11" s="286"/>
      <c r="C11" s="286"/>
      <c r="D11" s="286"/>
      <c r="E11" s="286"/>
    </row>
    <row r="12" spans="1:5" x14ac:dyDescent="0.25">
      <c r="A12" s="286" t="str">
        <f>kredit_ariza!A14:D14</f>
        <v>Mikrokredit muddati: 36 (O'ttiz olti  ) oy.</v>
      </c>
      <c r="B12" s="286"/>
      <c r="C12" s="286"/>
      <c r="D12" s="286"/>
      <c r="E12" s="286"/>
    </row>
    <row r="13" spans="1:5" x14ac:dyDescent="0.25">
      <c r="A13" s="286" t="str">
        <f>kredit_ariza!A15:D15</f>
        <v>Mikrokreditdan foydalanganlik uchun foiz stavkasi: yillik  55% (Ellik besh  ) foiz</v>
      </c>
      <c r="B13" s="286"/>
      <c r="C13" s="286"/>
      <c r="D13" s="286"/>
      <c r="E13" s="286"/>
    </row>
    <row r="14" spans="1:5" x14ac:dyDescent="0.25">
      <c r="A14" s="286" t="str">
        <f>kredit_ariza!A16:D16</f>
        <v>Mikrokredit bo'yicha asosiy qarz va foizlarni to'lash:</v>
      </c>
      <c r="B14" s="286"/>
      <c r="C14" s="286"/>
      <c r="D14" s="286"/>
      <c r="E14" s="286"/>
    </row>
    <row r="15" spans="1:5" ht="18.75" customHeight="1" x14ac:dyDescent="0.25">
      <c r="A15" s="286" t="str">
        <f>kredit_ariza!A19:D19</f>
        <v xml:space="preserve"> - mikrokredit shartnomasi bo'yicha har oy annuitet to'lovlari amalga oshiriladi</v>
      </c>
      <c r="B15" s="286"/>
      <c r="C15" s="286"/>
      <c r="D15" s="286"/>
      <c r="E15" s="286"/>
    </row>
    <row r="16" spans="1:5" ht="14.25" customHeight="1" x14ac:dyDescent="0.25">
      <c r="A16" s="287" t="str">
        <f>kredit_ariza!A20:D20</f>
        <v xml:space="preserve">   </v>
      </c>
      <c r="B16" s="287"/>
      <c r="C16" s="287"/>
      <c r="D16" s="287"/>
      <c r="E16" s="287"/>
    </row>
    <row r="17" spans="1:5" x14ac:dyDescent="0.25">
      <c r="A17" s="286" t="str">
        <f>kredit_ariza!A21:D21</f>
        <v>Mikrokredit ta’minoti::</v>
      </c>
      <c r="B17" s="286"/>
      <c r="C17" s="286"/>
      <c r="D17" s="286"/>
      <c r="E17" s="286"/>
    </row>
    <row r="18" spans="1:5" ht="67.5" customHeight="1" x14ac:dyDescent="0.25">
      <c r="A18" s="286" t="str">
        <f>kredit_ariza!A22:D22</f>
        <v>1.   Egalik huquqi BEKOV OTABEK BAXODIROVICHga tegishli bo'lgan garovga olingan avtomobil markasi   JAC M3, rangi -  QORA CHERNIY, ishlab chiqarilgan yili - 2023, davlat raqam belgisi 90C477ZA, kuzov turi - YENGIL MINIVEN, kuzov raqami P08461541, dvigatel raqami LJ166A33XP2208188, shassi raqami - Rakamsiz</v>
      </c>
      <c r="B18" s="286"/>
      <c r="C18" s="286"/>
      <c r="D18" s="286"/>
      <c r="E18" s="286"/>
    </row>
    <row r="19" spans="1:5" x14ac:dyDescent="0.25">
      <c r="A19" s="288" t="s">
        <v>203</v>
      </c>
      <c r="B19" s="288"/>
      <c r="C19" s="288"/>
      <c r="D19" s="288"/>
      <c r="E19" s="288"/>
    </row>
    <row r="20" spans="1:5" ht="21" customHeight="1" x14ac:dyDescent="0.25">
      <c r="A20" s="286" t="str">
        <f>"Anketaga muvofiq "&amp;malumot!B9&amp;"ning o‘rtacha oylik daromadi  "&amp;FIXED(malumot!B60)&amp;" so‘mni tashkil etdi."</f>
        <v>Anketaga muvofiq MATCHANOVA A.B.ning o‘rtacha oylik daromadi  12 000 000,00 so‘mni tashkil etdi.</v>
      </c>
      <c r="B20" s="286"/>
      <c r="C20" s="286"/>
      <c r="D20" s="286"/>
      <c r="E20" s="286"/>
    </row>
    <row r="21" spans="1:5" ht="21" customHeight="1" x14ac:dyDescent="0.25">
      <c r="A21" s="286" t="str">
        <f>"Mijozning o'rtacha oylik xarajatlari "&amp;FIXED(mijoz_anketasi!F27)&amp;" so'mni tashkil etdi"</f>
        <v>Mijozning o'rtacha oylik xarajatlari 1 700 000,00 so'mni tashkil etdi</v>
      </c>
      <c r="B21" s="286"/>
      <c r="C21" s="286"/>
      <c r="D21" s="286"/>
      <c r="E21" s="286"/>
    </row>
    <row r="22" spans="1:5" ht="18" hidden="1" customHeight="1" x14ac:dyDescent="0.25">
      <c r="A22" s="286" t="str">
        <f>IF(malumot!B78=malumot!C78,xulosa!A23:E23,xulosa!A24:E24)</f>
        <v>Mikrokredit bo‘yicha oylik annuitet to‘lovi miqdori 7 155 000,00 so‘mni tashkil etadi.</v>
      </c>
      <c r="B22" s="286"/>
      <c r="C22" s="286"/>
      <c r="D22" s="286"/>
      <c r="E22" s="286"/>
    </row>
    <row r="23" spans="1:5" ht="21" hidden="1" customHeight="1" x14ac:dyDescent="0.25">
      <c r="A23" s="286" t="str">
        <f>""&amp;malumot!C64&amp;" shartnomasi bo'yicha birinchi oy uchun to'lov "&amp;FIXED(malumot!B91)&amp;" so'mni tashkil etadi."</f>
        <v>Mikrokredit shartnomasi bo'yicha birinchi oy uchun to'lov 7 155 000,00 so'mni tashkil etadi.</v>
      </c>
      <c r="B23" s="286"/>
      <c r="C23" s="286"/>
      <c r="D23" s="286"/>
      <c r="E23" s="286"/>
    </row>
    <row r="24" spans="1:5" ht="19.5" customHeight="1" x14ac:dyDescent="0.25">
      <c r="A24" s="286" t="str">
        <f>""&amp;malumot!C64&amp;" bo‘yicha oylik "&amp;malumot!B78&amp;" to‘lovi miqdori "&amp;FIXED(malumot!B91)&amp;" so‘mni tashkil etadi."</f>
        <v>Mikrokredit bo‘yicha oylik annuitet to‘lovi miqdori 7 155 000,00 so‘mni tashkil etadi.</v>
      </c>
      <c r="B24" s="286"/>
      <c r="C24" s="286"/>
      <c r="D24" s="286"/>
      <c r="E24" s="286"/>
    </row>
    <row r="25" spans="1:5" ht="48.75" customHeight="1" x14ac:dyDescent="0.25">
      <c r="A25" s="287" t="s">
        <v>401</v>
      </c>
      <c r="B25" s="287"/>
      <c r="C25" s="287"/>
      <c r="D25" s="287"/>
      <c r="E25" s="287"/>
    </row>
    <row r="26" spans="1:5" x14ac:dyDescent="0.25">
      <c r="A26" s="288" t="str">
        <f>""&amp;malumot!C64&amp;" bo’yicha ta’minot:"</f>
        <v>Mikrokredit bo’yicha ta’minot:</v>
      </c>
      <c r="B26" s="288"/>
      <c r="C26" s="288"/>
      <c r="D26" s="288"/>
      <c r="E26" s="288"/>
    </row>
    <row r="27" spans="1:5" ht="31.5" hidden="1" customHeight="1" x14ac:dyDescent="0.25">
      <c r="A27" s="286" t="str">
        <f>" - "&amp;malumot!B124&amp;" ga mulk huquqi asosida tegishli avtotransport vositasi "&amp;malumot!B132&amp;" , quyidagi tafsilotlarga muvofiq:"</f>
        <v xml:space="preserve"> - BEKOV OTABEK BAXODIROVICH ga mulk huquqi asosida tegishli avtotransport vositasi JAC M3 , quyidagi tafsilotlarga muvofiq:</v>
      </c>
      <c r="B27" s="286"/>
      <c r="C27" s="286"/>
      <c r="D27" s="286"/>
      <c r="E27" s="286"/>
    </row>
    <row r="28" spans="1:5" ht="67.5" hidden="1" customHeight="1" x14ac:dyDescent="0.25">
      <c r="A28" s="286" t="str">
        <f>" -   "&amp;malumot!C124&amp;" ga mulk huquqi asosida tegishli ko'chmas mulk shaklida "&amp;malumot!C133&amp;", manzili: "&amp;malumot!C130&amp;", quyidagi tafsilotlarga muvofiq:"</f>
        <v xml:space="preserve"> -   0 ga mulk huquqi asosida tegishli ko'chmas mulk shaklida  0, manzili: , quyidagi tafsilotlarga muvofiq:</v>
      </c>
      <c r="B28" s="286"/>
      <c r="C28" s="286"/>
      <c r="D28" s="286"/>
      <c r="E28" s="286"/>
    </row>
    <row r="29" spans="1:5" ht="44.25" customHeight="1" x14ac:dyDescent="0.25">
      <c r="A29" s="286" t="str">
        <f>IF(malumot!B110="Avtotransport",xulosa!A27:E27,xulosa!A28:E28)</f>
        <v xml:space="preserve"> - BEKOV OTABEK BAXODIROVICH ga mulk huquqi asosida tegishli avtotransport vositasi JAC M3 , quyidagi tafsilotlarga muvofiq:</v>
      </c>
      <c r="B29" s="286"/>
      <c r="C29" s="286"/>
      <c r="D29" s="286"/>
      <c r="E29" s="286"/>
    </row>
    <row r="30" spans="1:5" s="14" customFormat="1" ht="47.25" customHeight="1" outlineLevel="1" x14ac:dyDescent="0.25">
      <c r="A30" s="36" t="str">
        <f>dalolatnoma!A29</f>
        <v>Nomi</v>
      </c>
      <c r="B30" s="36" t="str">
        <f>dalolatnoma!B29</f>
        <v>Kuzov turi  va kuzov raqami*</v>
      </c>
      <c r="C30" s="36" t="str">
        <f>dalolatnoma!C29</f>
        <v>Dvigatel va shassi raqami*</v>
      </c>
      <c r="D30" s="36" t="str">
        <f>dalolatnoma!D29</f>
        <v>Ishlab chiqarilgan yili va rangi*</v>
      </c>
      <c r="E30" s="36" t="str">
        <f>dalolatnoma!E29</f>
        <v>Kelishilgan garov qiymati, so'm</v>
      </c>
    </row>
    <row r="31" spans="1:5" s="18" customFormat="1" ht="102.75" customHeight="1" outlineLevel="1" x14ac:dyDescent="0.25">
      <c r="A31" s="15" t="str">
        <f>dalolatnoma!A30</f>
        <v>JAC M3</v>
      </c>
      <c r="B31" s="15" t="str">
        <f>dalolatnoma!B30</f>
        <v>kuzov turi - YENGIL MINIVEN, kuzov raqami P08461541</v>
      </c>
      <c r="C31" s="15" t="str">
        <f>dalolatnoma!C30</f>
        <v>dvigatel raqami LJ166A33XP2208188, shassi raqami - Rakamsiz</v>
      </c>
      <c r="D31" s="15" t="str">
        <f>dalolatnoma!D30</f>
        <v>rangi -  QORA CHERNIY, ishlab chiqarilgan yili - 2023</v>
      </c>
      <c r="E31" s="15" t="str">
        <f>dalolatnoma!E30</f>
        <v>165 000 000,00 
(yuz oltmish besh million so'm)</v>
      </c>
    </row>
    <row r="32" spans="1:5" ht="15.75" customHeight="1" outlineLevel="1" x14ac:dyDescent="0.25">
      <c r="A32" s="286" t="str">
        <f>dalolatnoma!A22</f>
        <v>-* avtotransport egasi: BEKOV OTABEK BAXODIROVICH</v>
      </c>
      <c r="B32" s="286"/>
      <c r="C32" s="286"/>
      <c r="D32" s="286"/>
      <c r="E32" s="286"/>
    </row>
    <row r="33" spans="1:5" ht="15" customHeight="1" outlineLevel="1" x14ac:dyDescent="0.25">
      <c r="A33" s="286" t="str">
        <f>dalolatnoma!A23</f>
        <v>-* texnik pasport: AAG 5923045 28.03.2025y.</v>
      </c>
      <c r="B33" s="286"/>
      <c r="C33" s="286"/>
      <c r="D33" s="286"/>
      <c r="E33" s="286"/>
    </row>
    <row r="34" spans="1:5" ht="33" customHeight="1" outlineLevel="1" x14ac:dyDescent="0.25">
      <c r="A34" s="286" t="str">
        <f>dalolatnoma!A24</f>
        <v>-* roʻyxatdan oʻtgan manzili/garaj manzili: XORAZM VILOYATI URGANCH TUMANI GOYBU QFY OQ MAKTAB MFY</v>
      </c>
      <c r="B34" s="286"/>
      <c r="C34" s="286"/>
      <c r="D34" s="286"/>
      <c r="E34" s="286"/>
    </row>
    <row r="35" spans="1:5" ht="25.5" customHeight="1" outlineLevel="1" x14ac:dyDescent="0.25">
      <c r="A35" s="286" t="str">
        <f>dalolatnoma!A25</f>
        <v>-* davlat raqami: 90C477ZA</v>
      </c>
      <c r="B35" s="286"/>
      <c r="C35" s="286"/>
      <c r="D35" s="286"/>
      <c r="E35" s="286"/>
    </row>
    <row r="36" spans="1:5" ht="39" customHeight="1" x14ac:dyDescent="0.25">
      <c r="A36" s="288" t="str">
        <f>""&amp;malumot!B157&amp;"
mikromoliya tashkilotining Xulosasi"</f>
        <v>«CLEVER MIKROMOLIYA TASHKILOTI» MChJ
mikromoliya tashkilotining Xulosasi</v>
      </c>
      <c r="B36" s="288"/>
      <c r="C36" s="288"/>
      <c r="D36" s="288"/>
      <c r="E36" s="288"/>
    </row>
    <row r="37" spans="1:5" ht="33.75" customHeight="1" x14ac:dyDescent="0.25">
      <c r="A37" s="286" t="str">
        <f>""&amp;malumot!B157&amp;" kredit qo‘mitasining xulosasiga quyidagi shartlarda "&amp;malumot!B10&amp;"ga "&amp;malumot!B65&amp;" berish masalasi kiritiladi:"</f>
        <v>«CLEVER MIKROMOLIYA TASHKILOTI» MChJ kredit qo‘mitasining xulosasiga quyidagi shartlarda MATCHANOVA AZIZA BEKTURDIYEVNAga mikrokredit berish masalasi kiritiladi:</v>
      </c>
      <c r="B37" s="286"/>
      <c r="C37" s="286"/>
      <c r="D37" s="286"/>
      <c r="E37" s="286"/>
    </row>
    <row r="38" spans="1:5" x14ac:dyDescent="0.25">
      <c r="A38" s="286" t="str">
        <f>A11</f>
        <v>Mikrokredit summasi: 125 000 000,00 (yuz yigirma besh million so'm) so'm.</v>
      </c>
      <c r="B38" s="286"/>
      <c r="C38" s="286"/>
      <c r="D38" s="286"/>
      <c r="E38" s="286"/>
    </row>
    <row r="39" spans="1:5" x14ac:dyDescent="0.25">
      <c r="A39" s="286" t="str">
        <f t="shared" ref="A39:A45" si="0">A12</f>
        <v>Mikrokredit muddati: 36 (O'ttiz olti  ) oy.</v>
      </c>
      <c r="B39" s="286"/>
      <c r="C39" s="286"/>
      <c r="D39" s="286"/>
      <c r="E39" s="286"/>
    </row>
    <row r="40" spans="1:5" x14ac:dyDescent="0.25">
      <c r="A40" s="286" t="str">
        <f t="shared" si="0"/>
        <v>Mikrokreditdan foydalanganlik uchun foiz stavkasi: yillik  55% (Ellik besh  ) foiz</v>
      </c>
      <c r="B40" s="286"/>
      <c r="C40" s="286"/>
      <c r="D40" s="286"/>
      <c r="E40" s="286"/>
    </row>
    <row r="41" spans="1:5" x14ac:dyDescent="0.25">
      <c r="A41" s="286" t="str">
        <f t="shared" si="0"/>
        <v>Mikrokredit bo'yicha asosiy qarz va foizlarni to'lash:</v>
      </c>
      <c r="B41" s="286"/>
      <c r="C41" s="286"/>
      <c r="D41" s="286"/>
      <c r="E41" s="286"/>
    </row>
    <row r="42" spans="1:5" ht="20.25" customHeight="1" x14ac:dyDescent="0.25">
      <c r="A42" s="286" t="str">
        <f t="shared" si="0"/>
        <v xml:space="preserve"> - mikrokredit shartnomasi bo'yicha har oy annuitet to'lovlari amalga oshiriladi</v>
      </c>
      <c r="B42" s="286"/>
      <c r="C42" s="286"/>
      <c r="D42" s="286"/>
      <c r="E42" s="286"/>
    </row>
    <row r="43" spans="1:5" ht="35.25" customHeight="1" x14ac:dyDescent="0.25">
      <c r="A43" s="286" t="str">
        <f t="shared" si="0"/>
        <v xml:space="preserve">   </v>
      </c>
      <c r="B43" s="286"/>
      <c r="C43" s="286"/>
      <c r="D43" s="286"/>
      <c r="E43" s="286"/>
    </row>
    <row r="44" spans="1:5" ht="22.5" customHeight="1" x14ac:dyDescent="0.25">
      <c r="A44" s="286" t="str">
        <f t="shared" si="0"/>
        <v>Mikrokredit ta’minoti::</v>
      </c>
      <c r="B44" s="286"/>
      <c r="C44" s="286"/>
      <c r="D44" s="286"/>
      <c r="E44" s="286"/>
    </row>
    <row r="45" spans="1:5" ht="69" customHeight="1" x14ac:dyDescent="0.25">
      <c r="A45" s="286" t="str">
        <f t="shared" si="0"/>
        <v>1.   Egalik huquqi BEKOV OTABEK BAXODIROVICHga tegishli bo'lgan garovga olingan avtomobil markasi   JAC M3, rangi -  QORA CHERNIY, ishlab chiqarilgan yili - 2023, davlat raqam belgisi 90C477ZA, kuzov turi - YENGIL MINIVEN, kuzov raqami P08461541, dvigatel raqami LJ166A33XP2208188, shassi raqami - Rakamsiz</v>
      </c>
      <c r="B45" s="286"/>
      <c r="C45" s="286"/>
      <c r="D45" s="286"/>
      <c r="E45" s="286"/>
    </row>
    <row r="46" spans="1:5" x14ac:dyDescent="0.25">
      <c r="A46" s="286"/>
      <c r="B46" s="286"/>
      <c r="C46" s="286"/>
      <c r="D46" s="286"/>
      <c r="E46" s="286"/>
    </row>
    <row r="47" spans="1:5" ht="29.25" customHeight="1" x14ac:dyDescent="0.25">
      <c r="A47" s="286" t="str">
        <f>""&amp;malumot!B157&amp;" mikromoliya tashkilotining xulosasi  "&amp;TEXT(malumot!B2,"ДД.ММ.ГГГГ")&amp;" y. tayyorlangan"</f>
        <v>«CLEVER MIKROMOLIYA TASHKILOTI» MChJ mikromoliya tashkilotining xulosasi  07.04.2025 y. tayyorlangan</v>
      </c>
      <c r="B47" s="286"/>
      <c r="C47" s="286"/>
      <c r="D47" s="286"/>
      <c r="E47" s="286"/>
    </row>
    <row r="48" spans="1:5" hidden="1" x14ac:dyDescent="0.25">
      <c r="A48" s="286"/>
      <c r="B48" s="286"/>
      <c r="C48" s="286"/>
      <c r="D48" s="286"/>
      <c r="E48" s="286"/>
    </row>
    <row r="49" spans="1:5" ht="15.75" hidden="1" customHeight="1" x14ac:dyDescent="0.25">
      <c r="A49" s="287"/>
      <c r="B49" s="287"/>
      <c r="C49" s="287"/>
      <c r="D49" s="19"/>
      <c r="E49" s="20"/>
    </row>
    <row r="50" spans="1:5" ht="35.25" hidden="1" customHeight="1" x14ac:dyDescent="0.25">
      <c r="A50" s="287"/>
      <c r="B50" s="287"/>
      <c r="C50" s="287"/>
      <c r="D50" s="20"/>
      <c r="E50" s="20"/>
    </row>
    <row r="51" spans="1:5" hidden="1" x14ac:dyDescent="0.25">
      <c r="A51" s="286"/>
      <c r="B51" s="286"/>
      <c r="C51" s="286"/>
      <c r="D51" s="286"/>
      <c r="E51" s="286"/>
    </row>
    <row r="52" spans="1:5" ht="59.25" customHeight="1" x14ac:dyDescent="0.25">
      <c r="A52" s="286" t="str">
        <f>""&amp;malumot!B157&amp;" mikromoliya tashkilotining Kredit qo‘mitasi a’zolari "&amp;malumot!B157&amp;"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2" s="286"/>
      <c r="C52" s="286"/>
      <c r="D52" s="286"/>
      <c r="E52" s="286"/>
    </row>
    <row r="53" spans="1:5" x14ac:dyDescent="0.25">
      <c r="A53" s="207" t="s">
        <v>399</v>
      </c>
      <c r="B53" s="320"/>
      <c r="C53" s="320"/>
      <c r="D53" s="17"/>
      <c r="E53" s="17"/>
    </row>
    <row r="54" spans="1:5" x14ac:dyDescent="0.25">
      <c r="C54" s="34"/>
    </row>
    <row r="55" spans="1:5" x14ac:dyDescent="0.25">
      <c r="A55" s="210" t="str">
        <f>malumot!A160</f>
        <v>Xorazm filiali boshlig'i</v>
      </c>
      <c r="B55" s="34"/>
      <c r="C55" s="34"/>
      <c r="D55" s="34" t="str">
        <f>malumot!B160</f>
        <v>M.Sharipov</v>
      </c>
    </row>
    <row r="56" spans="1:5" x14ac:dyDescent="0.25">
      <c r="A56" s="210"/>
      <c r="B56" s="34"/>
      <c r="C56" s="34"/>
      <c r="D56" s="34"/>
    </row>
    <row r="57" spans="1:5" x14ac:dyDescent="0.25">
      <c r="A57" s="210"/>
      <c r="B57" s="208"/>
      <c r="C57" s="34"/>
      <c r="D57" s="34"/>
    </row>
    <row r="58" spans="1:5" x14ac:dyDescent="0.25">
      <c r="A58" s="210"/>
      <c r="B58" s="34"/>
      <c r="C58" s="34"/>
      <c r="D58" s="34"/>
    </row>
    <row r="59" spans="1:5" ht="29.25" x14ac:dyDescent="0.25">
      <c r="A59" s="210" t="str">
        <f>malumot!A169</f>
        <v>Kreditlash bo’limi boshlig’i</v>
      </c>
      <c r="B59" s="34"/>
      <c r="C59" s="34"/>
      <c r="D59" s="34" t="str">
        <f>malumot!B169</f>
        <v>B. Mominov</v>
      </c>
    </row>
    <row r="60" spans="1:5" x14ac:dyDescent="0.25">
      <c r="A60" s="210"/>
      <c r="B60" s="34"/>
      <c r="C60" s="34"/>
      <c r="D60" s="34"/>
    </row>
    <row r="61" spans="1:5" x14ac:dyDescent="0.25">
      <c r="A61" s="210"/>
      <c r="B61" s="34"/>
      <c r="C61" s="34"/>
      <c r="D61" s="34"/>
    </row>
    <row r="62" spans="1:5" x14ac:dyDescent="0.25">
      <c r="A62" s="210"/>
      <c r="B62" s="34"/>
      <c r="C62" s="34"/>
      <c r="D62" s="34"/>
    </row>
    <row r="63" spans="1:5" ht="29.25" x14ac:dyDescent="0.25">
      <c r="A63" s="210" t="str">
        <f>malumot!A170</f>
        <v>Monitoring bo’limi boshlig’i</v>
      </c>
      <c r="B63" s="34"/>
      <c r="C63" s="34"/>
      <c r="D63" s="34" t="str">
        <f>malumot!B170</f>
        <v>B. Jumanazarov</v>
      </c>
    </row>
    <row r="64" spans="1:5" x14ac:dyDescent="0.25">
      <c r="A64" s="210"/>
      <c r="B64" s="34"/>
      <c r="C64" s="34"/>
      <c r="D64" s="34"/>
    </row>
    <row r="65" spans="1:4" x14ac:dyDescent="0.25">
      <c r="A65" s="210"/>
      <c r="B65" s="34"/>
      <c r="C65" s="34"/>
      <c r="D65" s="34"/>
    </row>
    <row r="66" spans="1:4" x14ac:dyDescent="0.25">
      <c r="A66" s="210"/>
      <c r="B66" s="34"/>
      <c r="C66" s="34"/>
      <c r="D66" s="34"/>
    </row>
    <row r="67" spans="1:4" x14ac:dyDescent="0.25">
      <c r="A67" s="208" t="s">
        <v>404</v>
      </c>
      <c r="B67" s="34"/>
      <c r="C67" s="34"/>
      <c r="D67" s="34" t="s">
        <v>394</v>
      </c>
    </row>
  </sheetData>
  <mergeCells count="51">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49:C49"/>
    <mergeCell ref="B53:C53"/>
    <mergeCell ref="A52:E52"/>
    <mergeCell ref="A37:E37"/>
    <mergeCell ref="A38:E38"/>
    <mergeCell ref="A39:E39"/>
    <mergeCell ref="A40:E40"/>
    <mergeCell ref="A41:E41"/>
    <mergeCell ref="A42:E42"/>
    <mergeCell ref="A43:E43"/>
    <mergeCell ref="A44:E44"/>
    <mergeCell ref="A45:E45"/>
    <mergeCell ref="A46:E46"/>
    <mergeCell ref="A47:E47"/>
    <mergeCell ref="A48:E48"/>
    <mergeCell ref="A51:E51"/>
    <mergeCell ref="A50:C50"/>
  </mergeCells>
  <pageMargins left="0.7" right="0.7" top="0.75" bottom="0.75" header="0.3" footer="0.3"/>
  <pageSetup paperSize="9" scale="84" orientation="portrait" r:id="rId1"/>
  <rowBreaks count="1" manualBreakCount="1">
    <brk id="3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13">
    <tabColor rgb="FF00B050"/>
  </sheetPr>
  <dimension ref="A2:F62"/>
  <sheetViews>
    <sheetView view="pageBreakPreview" topLeftCell="A45" zoomScale="115" zoomScaleNormal="100" zoomScaleSheetLayoutView="115" workbookViewId="0">
      <selection activeCell="D61" sqref="D61:E61"/>
    </sheetView>
  </sheetViews>
  <sheetFormatPr defaultColWidth="9.140625" defaultRowHeight="15" outlineLevelRow="1" x14ac:dyDescent="0.25"/>
  <cols>
    <col min="1" max="1" width="28.42578125" style="13" customWidth="1"/>
    <col min="2" max="2" width="22.85546875" style="13" customWidth="1"/>
    <col min="3" max="3" width="22.42578125" style="13" customWidth="1"/>
    <col min="4" max="4" width="21.42578125" style="13" customWidth="1"/>
    <col min="5" max="5" width="21.5703125" style="13" customWidth="1"/>
    <col min="6" max="16384" width="9.140625" style="13"/>
  </cols>
  <sheetData>
    <row r="2" spans="1:5" ht="37.5" customHeight="1" x14ac:dyDescent="0.25">
      <c r="A2" s="309" t="str">
        <f>"GAROV PREDMETI QIYMATINI KELISHISH 
№"&amp;malumot!B148&amp;" SONLI DALOLATNOMASI
 "</f>
        <v xml:space="preserve">GAROV PREDMETI QIYMATINI KELISHISH 
№1 SONLI DALOLATNOMASI
 </v>
      </c>
      <c r="B2" s="309"/>
      <c r="C2" s="309"/>
      <c r="D2" s="309"/>
      <c r="E2" s="309"/>
    </row>
    <row r="3" spans="1:5" x14ac:dyDescent="0.25">
      <c r="A3" s="37"/>
      <c r="B3" s="37"/>
      <c r="C3" s="37"/>
      <c r="D3" s="37"/>
      <c r="E3" s="37"/>
    </row>
    <row r="4" spans="1:5" x14ac:dyDescent="0.25">
      <c r="A4" s="34" t="s">
        <v>206</v>
      </c>
      <c r="B4" s="34"/>
      <c r="C4" s="34"/>
      <c r="D4" s="34"/>
      <c r="E4" s="34" t="str">
        <f>malumot!B149</f>
        <v>7 aprel 2025 y.</v>
      </c>
    </row>
    <row r="5" spans="1:5" ht="9" customHeight="1" x14ac:dyDescent="0.25">
      <c r="A5" s="286"/>
      <c r="B5" s="286"/>
      <c r="C5" s="286"/>
      <c r="D5" s="286"/>
      <c r="E5" s="286"/>
    </row>
    <row r="6" spans="1:5" ht="77.25" customHeight="1" x14ac:dyDescent="0.25">
      <c r="A6" s="286" t="str">
        <f>IF(malumot!B110="avtotransport",dalolatnoma!A10:E10,dalolatnoma!A7:E7)</f>
        <v>«CLEVER MIKROMOLIYA TASHKILOTI» MChJning (1-tomon) vakili bo‘lgan  Xorazm filiali boshlig'i M.Sharipov, O‘zbekiston Respublikasi fuqarosi MATCHANOVA AZIZA BEKTURDIYEVNA (2-tomon) va garovga beruvchi O‘zbekiston Respublikasi fuqarosi BEKOV OTABEK BAXODIROVICH (3-tomon) o’rtalarida, 7 aprel 2025 y.dan №717-XMS-sonli Mikrokredit shartnomasiga muvofiq 1-tomon 2-tomonga berilgan mikrokredit bo‘yicha ta’minot sifatida taqdim etilgan, 3-tomonga mulk huquqi asosida tegishli bo‘lgan mulkning garov qiymatini kelishish muzokaralari o’tkazildi.</v>
      </c>
      <c r="B6" s="286"/>
      <c r="C6" s="286"/>
      <c r="D6" s="286"/>
      <c r="E6" s="286"/>
    </row>
    <row r="7" spans="1:5" ht="88.5" hidden="1" customHeight="1" x14ac:dyDescent="0.25">
      <c r="A7" s="286" t="str">
        <f>IF(malumot!B100="ha",dalolatnoma!A9:E9,dalolatnoma!A8:E8)</f>
        <v xml:space="preserve">«CLEVER MIKROMOLIYA TASHKILOTI» MChJning (1-tomon) vakili bo‘lgan  Xorazm filiali boshlig'i M.Sharipov, va O‘zbekiston Respublikasi fuqarosi  MATCHANOVA AZIZA BEKTURDIYEVNA (2-tomon) va garov egasi 0 (3-tomon) 7 aprel 2025 y.dan №717-XMS Mikrokredit shartnomasiga muvofiq 1-tomon 2-tomonga berilgan mikrokredit bo‘yicha ta’minot sifatida taqdim etilgan, 2-tomonga mulk huquqi asosida tegishli bo‘lgan mulkning garov qiymatini kelishish muzokaralari o’tkazildi. </v>
      </c>
      <c r="B7" s="286"/>
      <c r="C7" s="286"/>
      <c r="D7" s="286"/>
      <c r="E7" s="286"/>
    </row>
    <row r="8" spans="1:5" ht="88.5" hidden="1" customHeight="1" x14ac:dyDescent="0.25">
      <c r="A8" s="286" t="str">
        <f>""&amp;malumot!B157&amp;"ning (1-tomon) vakili bo‘lgan  "&amp;malumot!A160&amp;" "&amp;malumot!B160&amp;", va O‘zbekiston Respublikasi fuqarosi  "&amp;malumot!B5&amp;" (2-tomon) va garov egasi "&amp;malumot!C124&amp;"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Xorazm filiali boshlig'i M.Sharipov, va O‘zbekiston Respublikasi fuqarosi  MATCHANOVA AZIZA BEKTURDIYEVNA (2-tomon) va garov egasi 0 (3-tomon) 7 aprel 2025 y.dan №717-XMS Mikrokredit shartnomasiga muvofiq 1-tomon 2-tomonga berilgan mikrokredit bo‘yicha ta’minot sifatida taqdim etilgan, 2-tomonga mulk huquqi asosida tegishli bo‘lgan mulkning garov qiymatini kelishish muzokaralari o’tkazildi. </v>
      </c>
      <c r="B8" s="286"/>
      <c r="C8" s="286"/>
      <c r="D8" s="286"/>
      <c r="E8" s="286"/>
    </row>
    <row r="9" spans="1:5" ht="88.5" hidden="1" customHeight="1" x14ac:dyDescent="0.25">
      <c r="A9" s="286" t="str">
        <f>""&amp;malumot!B157&amp;"ning (1-tomon) vakili bo‘lgan  "&amp;malumot!A160&amp;" "&amp;malumot!B160&amp;", va O‘zbekiston Respublikasi fuqarosi  "&amp;malumot!B5&amp;" (2-tomon) va garov egasi "&amp;malumot!C124&amp;"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Xorazm filiali boshlig'i M.Sharipov, va O‘zbekiston Respublikasi fuqarosi  MATCHANOVA AZIZA BEKTURDIYEVNA (2-tomon) va garov egasi 0 (3-tomon) 7 aprel 2025 y.dan №717-XMS Mikrokredit shartnomasiga muvofiq 1-tomon 2-tomonga berilgan mikrokredit bo‘yicha ta’minot sifatida taqdim etilgan, 2-tomonga mulk huquqi asosida tegishli bo‘lgan mulkning garov qiymatini kelishish muzokaralari o’tkazildi. </v>
      </c>
      <c r="B9" s="286"/>
      <c r="C9" s="286"/>
      <c r="D9" s="286"/>
      <c r="E9" s="286"/>
    </row>
    <row r="10" spans="1:5" ht="88.5" hidden="1" customHeight="1" x14ac:dyDescent="0.25">
      <c r="A10" s="286" t="str">
        <f>IF(malumot!B100="ha",dalolatnoma!A12:E12,dalolatnoma!A11:E11)</f>
        <v>«CLEVER MIKROMOLIYA TASHKILOTI» MChJning (1-tomon) vakili bo‘lgan  Xorazm filiali boshlig'i M.Sharipov, O‘zbekiston Respublikasi fuqarosi MATCHANOVA AZIZA BEKTURDIYEVNA (2-tomon) va garovga beruvchi O‘zbekiston Respublikasi fuqarosi BEKOV OTABEK BAXODIROVICH (3-tomon) o’rtalarida, 7 aprel 2025 y.dan №717-XMS-sonli Mikrokredit shartnomasiga muvofiq 1-tomon 2-tomonga berilgan mikrokredit bo‘yicha ta’minot sifatida taqdim etilgan, 3-tomonga mulk huquqi asosida tegishli bo‘lgan mulkning garov qiymatini kelishish muzokaralari o’tkazildi.</v>
      </c>
      <c r="B10" s="286"/>
      <c r="C10" s="286"/>
      <c r="D10" s="286"/>
      <c r="E10" s="286"/>
    </row>
    <row r="11" spans="1:5" ht="88.5" hidden="1" customHeight="1" x14ac:dyDescent="0.25">
      <c r="A11" s="286" t="str">
        <f>""&amp;malumot!B157&amp;"ning (1-tomon) vakili bo‘lgan  "&amp;malumot!A160&amp;" "&amp;malumot!B160&amp;", O‘zbekiston Respublikasi fuqarosi "&amp;malumot!B5&amp;" (2-tomon) va garovga beruvchi O‘zbekiston Respublikasi fuqarosi "&amp;malumot!B124&amp;" (3-tomon) o’rtalarida, "&amp;malumot!B74&amp;"-sonli "&amp;malumot!C64&amp;" shartnomasiga muvofiq 1-tomon 2-tomonga berilgan "&amp;malumot!B65&amp;" bo‘yicha ta’minot sifatida taqdim etilgan, 3-tomonga mulk huquqi asosida tegishli bo‘lgan mulkning garov qiymatini kelishish muzokaralari o’tkazildi."</f>
        <v>«CLEVER MIKROMOLIYA TASHKILOTI» MChJning (1-tomon) vakili bo‘lgan  Xorazm filiali boshlig'i M.Sharipov, O‘zbekiston Respublikasi fuqarosi MATCHANOVA AZIZA BEKTURDIYEVNA (2-tomon) va garovga beruvchi O‘zbekiston Respublikasi fuqarosi BEKOV OTABEK BAXODIROVICH (3-tomon) o’rtalarida, 7 aprel 2025 y.dan №717-XMS-sonli Mikrokredit shartnomasiga muvofiq 1-tomon 2-tomonga berilgan mikrokredit bo‘yicha ta’minot sifatida taqdim etilgan, 3-tomonga mulk huquqi asosida tegishli bo‘lgan mulkning garov qiymatini kelishish muzokaralari o’tkazildi.</v>
      </c>
      <c r="B11" s="286"/>
      <c r="C11" s="286"/>
      <c r="D11" s="286"/>
      <c r="E11" s="286"/>
    </row>
    <row r="12" spans="1:5" ht="88.5" hidden="1" customHeight="1" x14ac:dyDescent="0.25">
      <c r="A12" s="286" t="str">
        <f>""&amp;malumot!B157&amp;"ning (1-tomon) vakili bo‘lgan  "&amp;malumot!A160&amp;" "&amp;malumot!B160&amp;", O‘zbekiston Respublikasi fuqarosi va garovga beruvchi "&amp;malumot!B5&amp;" (2-tomon) o’rtalarida, "&amp;malumot!B74&amp;"-sonli "&amp;malumot!C64&amp;" shartnomasiga muvofiq 1-tomon 2-tomonga berilgan "&amp;malumot!B65&amp;" bo‘yicha ta’minot sifatida taqdim etilgan, 2-tomonga mulk huquqi asosida tegishli bo‘lgan mulkning garov qiymatini kelishish muzokaralari o’tkazildi."</f>
        <v>«CLEVER MIKROMOLIYA TASHKILOTI» MChJning (1-tomon) vakili bo‘lgan  Xorazm filiali boshlig'i M.Sharipov, O‘zbekiston Respublikasi fuqarosi va garovga beruvchi MATCHANOVA AZIZA BEKTURDIYEVNA (2-tomon) o’rtalarida, 7 aprel 2025 y.dan №717-XMS-sonli Mikrokredit shartnomasiga muvofiq 1-tomon 2-tomonga berilgan mikrokredit bo‘yicha ta’minot sifatida taqdim etilgan, 2-tomonga mulk huquqi asosida tegishli bo‘lgan mulkning garov qiymatini kelishish muzokaralari o’tkazildi.</v>
      </c>
      <c r="B12" s="286"/>
      <c r="C12" s="286"/>
      <c r="D12" s="286"/>
      <c r="E12" s="286"/>
    </row>
    <row r="13" spans="1:5" ht="88.5" hidden="1" customHeight="1" x14ac:dyDescent="0.25">
      <c r="A13" s="286" t="str">
        <f>"Garov predmeti sifatida "&amp;malumot!B132&amp;", 3-tomonga egalik huquqi tegishli bo'lgan, quyidagi tafsilotlarga ega avtotransport vositasi taqdim etiladi:"</f>
        <v>Garov predmeti sifatida JAC M3, 3-tomonga egalik huquqi tegishli bo'lgan, quyidagi tafsilotlarga ega avtotransport vositasi taqdim etiladi:</v>
      </c>
      <c r="B13" s="286"/>
      <c r="C13" s="286"/>
      <c r="D13" s="286"/>
      <c r="E13" s="286"/>
    </row>
    <row r="14" spans="1:5" ht="88.5" hidden="1" customHeight="1" x14ac:dyDescent="0.25">
      <c r="A14" s="286" t="str">
        <f>"Garov predmeti sifatida "&amp;malumot!B132&amp;", 2-tomonga egalik huquqi tegishli bo'lgan, quyidagi tafsilotlarga ega avtotransport vositasi taqdim etiladi:"</f>
        <v>Garov predmeti sifatida JAC M3, 2-tomonga egalik huquqi tegishli bo'lgan, quyidagi tafsilotlarga ega avtotransport vositasi taqdim etiladi:</v>
      </c>
      <c r="B14" s="286"/>
      <c r="C14" s="286"/>
      <c r="D14" s="286"/>
      <c r="E14" s="286"/>
    </row>
    <row r="15" spans="1:5" ht="88.5" hidden="1" customHeight="1" x14ac:dyDescent="0.25">
      <c r="A15" s="286" t="str">
        <f>IF(malumot!B100="ha",dalolatnoma!A14:E14,dalolatnoma!A13:E13)</f>
        <v>Garov predmeti sifatida JAC M3, 3-tomonga egalik huquqi tegishli bo'lgan, quyidagi tafsilotlarga ega avtotransport vositasi taqdim etiladi:</v>
      </c>
      <c r="B15" s="286"/>
      <c r="C15" s="286"/>
      <c r="D15" s="286"/>
      <c r="E15" s="286"/>
    </row>
    <row r="16" spans="1:5" ht="88.5" hidden="1" customHeight="1" x14ac:dyDescent="0.25">
      <c r="A16" s="286" t="str">
        <f>"Garov predmeti sifatida "&amp;malumot!C133&amp;", 2-tomonga egalik huquqi tegishli bo'lgan, quyidagi tafsilotlarga ega ko'chmas mulk taqdim etiladi:"</f>
        <v>Garov predmeti sifatida  0, 2-tomonga egalik huquqi tegishli bo'lgan, quyidagi tafsilotlarga ega ko'chmas mulk taqdim etiladi:</v>
      </c>
      <c r="B16" s="286"/>
      <c r="C16" s="286"/>
      <c r="D16" s="286"/>
      <c r="E16" s="286"/>
    </row>
    <row r="17" spans="1:5" ht="13.5" hidden="1" customHeight="1" x14ac:dyDescent="0.25">
      <c r="A17" s="286" t="str">
        <f>"Garov predmeti sifatida "&amp;malumot!C133&amp;", 3-tomonga egalik huquqi tegishli bo'lgan, quyidagi tafsilotlarga ega ko'chmas mulk taqdim etiladi:"</f>
        <v>Garov predmeti sifatida  0, 3-tomonga egalik huquqi tegishli bo'lgan, quyidagi tafsilotlarga ega ko'chmas mulk taqdim etiladi:</v>
      </c>
      <c r="B17" s="286"/>
      <c r="C17" s="286"/>
      <c r="D17" s="286"/>
      <c r="E17" s="286"/>
    </row>
    <row r="18" spans="1:5" ht="11.25" hidden="1" customHeight="1" x14ac:dyDescent="0.25">
      <c r="A18" s="286" t="str">
        <f>IF(malumot!B100="ha",dalolatnoma!A16:E16,dalolatnoma!A17:E17)</f>
        <v>Garov predmeti sifatida  0, 3-tomonga egalik huquqi tegishli bo'lgan, quyidagi tafsilotlarga ega ko'chmas mulk taqdim etiladi:</v>
      </c>
      <c r="B18" s="286"/>
      <c r="C18" s="286"/>
      <c r="D18" s="286"/>
      <c r="E18" s="286"/>
    </row>
    <row r="19" spans="1:5" ht="36.75" customHeight="1" x14ac:dyDescent="0.25">
      <c r="A19" s="286" t="str">
        <f>IF(malumot!B110="Avtotransport",dalolatnoma!A15:E15,dalolatnoma!A18:E18)</f>
        <v>Garov predmeti sifatida JAC M3, 3-tomonga egalik huquqi tegishli bo'lgan, quyidagi tafsilotlarga ega avtotransport vositasi taqdim etiladi:</v>
      </c>
      <c r="B19" s="286"/>
      <c r="C19" s="286"/>
      <c r="D19" s="286"/>
      <c r="E19" s="286"/>
    </row>
    <row r="20" spans="1:5" ht="48" customHeight="1" outlineLevel="1" x14ac:dyDescent="0.25">
      <c r="A20" s="36" t="s">
        <v>204</v>
      </c>
      <c r="B20" s="326" t="str">
        <f>IF(malumot!B110=malumot!C110,"Kuzov turi  va kuzov raqami*","Foydali maydoni")</f>
        <v>Kuzov turi  va kuzov raqami*</v>
      </c>
      <c r="C20" s="327"/>
      <c r="D20" s="36" t="str">
        <f>IF(malumot!B110=malumot!C110,"Dvigatel va shassi raqami*","Yashash maydoni")</f>
        <v>Dvigatel va shassi raqami*</v>
      </c>
      <c r="E20" s="36" t="str">
        <f>IF(malumot!B110=malumot!C110,"Ishlab chiqarilgan yili va rangi**","Umumiy maydoni")</f>
        <v>Ishlab chiqarilgan yili va rangi**</v>
      </c>
    </row>
    <row r="21" spans="1:5" ht="83.25" customHeight="1" outlineLevel="1" x14ac:dyDescent="0.25">
      <c r="A21" s="15" t="str">
        <f>IF(malumot!B110=malumot!C110,malumot!B132,malumot!C132)</f>
        <v>JAC M3</v>
      </c>
      <c r="B21" s="311" t="str">
        <f>IF(malumot!B110=malumot!C110,malumot!B134,CONCATENATE(malumot!F137," ","kv.m"))</f>
        <v>kuzov turi - YENGIL MINIVEN, kuzov raqami P08461541</v>
      </c>
      <c r="C21" s="311"/>
      <c r="D21" s="15" t="str">
        <f>IF(malumot!B110=malumot!C110,malumot!B137,malumot!E140)</f>
        <v>dvigatel raqami LJ166A33XP2208188, shassi raqami - Rakamsiz</v>
      </c>
      <c r="E21" s="15" t="str">
        <f>IF(malumot!B110=malumot!C110,malumot!B140,malumot!E137)</f>
        <v>rangi -  QORA CHERNIY, ishlab chiqarilgan yili - 2023</v>
      </c>
    </row>
    <row r="22" spans="1:5" ht="17.25" customHeight="1" outlineLevel="1" x14ac:dyDescent="0.25">
      <c r="A22" s="286" t="str">
        <f>"-* "&amp;IF(malumot!B110=malumot!C110,"avtotransport "&amp;"egasi: "&amp;malumot!B124&amp;"","ko'chmas mulk"&amp;" egasi: "&amp;malumot!B124&amp;"")</f>
        <v>-* avtotransport egasi: BEKOV OTABEK BAXODIROVICH</v>
      </c>
      <c r="B22" s="286"/>
      <c r="C22" s="286"/>
      <c r="D22" s="286"/>
      <c r="E22" s="286"/>
    </row>
    <row r="23" spans="1:5" outlineLevel="1" x14ac:dyDescent="0.25">
      <c r="A23" s="286" t="str">
        <f>IF(malumot!B110=malumot!C110,"-* texnik pasport: "&amp;malumot!B131&amp;"","-* reest raqami: "&amp;malumot!C131&amp;"")</f>
        <v>-* texnik pasport: AAG 5923045 28.03.2025y.</v>
      </c>
      <c r="B23" s="286"/>
      <c r="C23" s="286"/>
      <c r="D23" s="286"/>
      <c r="E23" s="286"/>
    </row>
    <row r="24" spans="1:5" s="163" customFormat="1" outlineLevel="1" x14ac:dyDescent="0.25">
      <c r="A24" s="286" t="str">
        <f>IF(malumot!B110=malumot!C110,"-* roʻyxatdan oʻtgan manzili/garaj manzili: "&amp;malumot!B129&amp;"","-*  kadastr raqami: "&amp;malumot!C134&amp;"")</f>
        <v>-* roʻyxatdan oʻtgan manzili/garaj manzili: XORAZM VILOYATI URGANCH TUMANI GOYBU QFY OQ MAKTAB MFY</v>
      </c>
      <c r="B24" s="286"/>
      <c r="C24" s="286"/>
      <c r="D24" s="286"/>
      <c r="E24" s="286"/>
    </row>
    <row r="25" spans="1:5" ht="33" customHeight="1" outlineLevel="1" x14ac:dyDescent="0.25">
      <c r="A25" s="286" t="str">
        <f>IF(malumot!B110=malumot!C110,"-* davlat raqami: "&amp;malumot!B133&amp;"","-* manzili: "&amp;malumot!C130&amp;"")</f>
        <v>-* davlat raqami: 90C477ZA</v>
      </c>
      <c r="B25" s="286"/>
      <c r="C25" s="286"/>
      <c r="D25" s="286"/>
      <c r="E25" s="286"/>
    </row>
    <row r="26" spans="1:5" ht="65.25" customHeight="1" x14ac:dyDescent="0.25">
      <c r="A26" s="286" t="str">
        <f>IF(malumot!B100="ha",dalolatnoma!A28:E28,dalolatnoma!A27:E27)</f>
        <v>Tomonlar o’rtasida o’tkazilgan muzokaralar natijalariga ko‘ra, 2-tomon ta’minot sifatida quyidagi tafsilotlarga ega bo’lgan garov predmetini taqdim etadi, 1-tomon esa ushbu garov predmetini  7 aprel 2025 y.dan №717-XMS mikrokredit shartnomasi bo‘yicha berilgan mikrokredit bo‘yicha  
165 000 000,00 (yuz oltmish besh million so'm) so’m bo‘lgan kelishilgan garov qiymatida qabul qiladi::</v>
      </c>
      <c r="B26" s="286"/>
      <c r="C26" s="286"/>
      <c r="D26" s="286"/>
      <c r="E26" s="286"/>
    </row>
    <row r="27" spans="1:5" ht="66" customHeight="1" x14ac:dyDescent="0.25">
      <c r="A27" s="286" t="str">
        <f>"Tomonlar o’rtasida o’tkazilgan muzokaralar natijalariga ko‘ra, 2-tomon ta’minot sifatida quyidagi tafsilotlarga ega bo’lgan garov predmetini taqdim etadi, 1-tomon esa ushbu garov predmetini  "&amp;malumot!B74&amp;" "&amp;malumot!B65&amp;" shartnomasi bo‘yicha berilgan "&amp;malumot!B65&amp;" bo‘yicha  
"&amp;FIXED(malumot!B143,2)&amp;" ("&amp;malumot!B144&amp;") so’m bo‘lgan kelishilgan garov qiymatida qabul qiladi::"</f>
        <v>Tomonlar o’rtasida o’tkazilgan muzokaralar natijalariga ko‘ra, 2-tomon ta’minot sifatida quyidagi tafsilotlarga ega bo’lgan garov predmetini taqdim etadi, 1-tomon esa ushbu garov predmetini  7 aprel 2025 y.dan №717-XMS mikrokredit shartnomasi bo‘yicha berilgan mikrokredit bo‘yicha  
165 000 000,00 (yuz oltmish besh million so'm) so’m bo‘lgan kelishilgan garov qiymatida qabul qiladi::</v>
      </c>
      <c r="B27" s="286"/>
      <c r="C27" s="286"/>
      <c r="D27" s="286"/>
      <c r="E27" s="286"/>
    </row>
    <row r="28" spans="1:5" ht="58.5" customHeight="1" x14ac:dyDescent="0.25">
      <c r="A28" s="286" t="str">
        <f>"Tomonlar o’rtasida o’tkazilgan muzokaralar natijalariga ko‘ra, 2-tomon ta’minot sifatida quyidagi tafsilotlarga ega bo’lgan garov predmetini taqdim etadi, 1-tomon esa ushbu garov predmetini  "&amp;malumot!B74&amp;" "&amp;malumot!C64&amp;" shartnomasi bo‘yicha berilgan "&amp;malumot!B65&amp;" bo‘yicha  
"&amp;FIXED(malumot!B143,2)&amp;" ("&amp;malumot!B144&amp;") so’m bo‘lgan kelishilgan garov qiymatida qabul qiladi::"</f>
        <v>Tomonlar o’rtasida o’tkazilgan muzokaralar natijalariga ko‘ra, 2-tomon ta’minot sifatida quyidagi tafsilotlarga ega bo’lgan garov predmetini taqdim etadi, 1-tomon esa ushbu garov predmetini  7 aprel 2025 y.dan №717-XMS Mikrokredit shartnomasi bo‘yicha berilgan mikrokredit bo‘yicha  
165 000 000,00 (yuz oltmish besh million so'm) so’m bo‘lgan kelishilgan garov qiymatida qabul qiladi::</v>
      </c>
      <c r="B28" s="286"/>
      <c r="C28" s="286"/>
      <c r="D28" s="286"/>
      <c r="E28" s="286"/>
    </row>
    <row r="29" spans="1:5" ht="51.75" customHeight="1" outlineLevel="1" x14ac:dyDescent="0.25">
      <c r="A29" s="36" t="s">
        <v>204</v>
      </c>
      <c r="B29" s="36" t="str">
        <f>B20</f>
        <v>Kuzov turi  va kuzov raqami*</v>
      </c>
      <c r="C29" s="36" t="str">
        <f>D20</f>
        <v>Dvigatel va shassi raqami*</v>
      </c>
      <c r="D29" s="36" t="str">
        <f>IF(malumot!B110=malumot!C110,"Ishlab chiqarilgan yili va rangi*","Foydalanishga topshirilgan sanasi")</f>
        <v>Ishlab chiqarilgan yili va rangi*</v>
      </c>
      <c r="E29" s="36" t="s">
        <v>205</v>
      </c>
    </row>
    <row r="30" spans="1:5" ht="76.5" customHeight="1" outlineLevel="1" x14ac:dyDescent="0.25">
      <c r="A30" s="15" t="str">
        <f>A21</f>
        <v>JAC M3</v>
      </c>
      <c r="B30" s="15" t="str">
        <f>B21</f>
        <v>kuzov turi - YENGIL MINIVEN, kuzov raqami P08461541</v>
      </c>
      <c r="C30" s="15" t="str">
        <f>D21</f>
        <v>dvigatel raqami LJ166A33XP2208188, shassi raqami - Rakamsiz</v>
      </c>
      <c r="D30" s="15" t="str">
        <f>IF(malumot!B110=malumot!C110,E21,TEXT(malumot!C142,"ДД.ММ.ГГГГ"))</f>
        <v>rangi -  QORA CHERNIY, ishlab chiqarilgan yili - 2023</v>
      </c>
      <c r="E30" s="15" t="str">
        <f>""&amp;FIXED(malumot!B143,2)&amp;" 
("&amp;malumot!B144&amp;")"</f>
        <v>165 000 000,00 
(yuz oltmish besh million so'm)</v>
      </c>
    </row>
    <row r="31" spans="1:5" ht="16.5" customHeight="1" x14ac:dyDescent="0.25">
      <c r="A31" s="14"/>
      <c r="B31" s="14"/>
      <c r="C31" s="14"/>
      <c r="D31" s="14"/>
      <c r="E31" s="14"/>
    </row>
    <row r="32" spans="1:5" ht="56.25" hidden="1" customHeight="1" outlineLevel="1" x14ac:dyDescent="0.25">
      <c r="A32" s="36" t="s">
        <v>4</v>
      </c>
      <c r="B32" s="36" t="s">
        <v>18</v>
      </c>
      <c r="C32" s="36" t="s">
        <v>19</v>
      </c>
      <c r="D32" s="36" t="s">
        <v>20</v>
      </c>
      <c r="E32" s="36" t="s">
        <v>5</v>
      </c>
    </row>
    <row r="33" spans="1:5" ht="15.75" hidden="1" customHeight="1" outlineLevel="1" x14ac:dyDescent="0.25">
      <c r="A33" s="15" t="e">
        <f>#REF!</f>
        <v>#REF!</v>
      </c>
      <c r="B33" s="103" t="e">
        <f>#REF!</f>
        <v>#REF!</v>
      </c>
      <c r="C33" s="103" t="e">
        <f>#REF!</f>
        <v>#REF!</v>
      </c>
      <c r="D33" s="103" t="e">
        <f>#REF!</f>
        <v>#REF!</v>
      </c>
      <c r="E33" s="321" t="str">
        <f>""&amp;FIXED(malumot!C143,2)&amp;" ("&amp;malumot!B144&amp;")"</f>
        <v>165 000 000,00 (yuz oltmish besh million so'm)</v>
      </c>
    </row>
    <row r="34" spans="1:5" ht="15.75" hidden="1" customHeight="1" outlineLevel="1" x14ac:dyDescent="0.25">
      <c r="A34" s="15"/>
      <c r="B34" s="103"/>
      <c r="C34" s="103"/>
      <c r="D34" s="103"/>
      <c r="E34" s="322"/>
    </row>
    <row r="35" spans="1:5" ht="15.75" hidden="1" customHeight="1" outlineLevel="1" x14ac:dyDescent="0.25">
      <c r="A35" s="15" t="e">
        <f>#REF!</f>
        <v>#REF!</v>
      </c>
      <c r="B35" s="103" t="e">
        <f>#REF!</f>
        <v>#REF!</v>
      </c>
      <c r="C35" s="103" t="e">
        <f>#REF!</f>
        <v>#REF!</v>
      </c>
      <c r="D35" s="103" t="e">
        <f>#REF!</f>
        <v>#REF!</v>
      </c>
      <c r="E35" s="322"/>
    </row>
    <row r="36" spans="1:5" ht="15.75" hidden="1" customHeight="1" outlineLevel="1" x14ac:dyDescent="0.25">
      <c r="A36" s="15" t="e">
        <f>#REF!</f>
        <v>#REF!</v>
      </c>
      <c r="B36" s="103" t="e">
        <f>#REF!</f>
        <v>#REF!</v>
      </c>
      <c r="C36" s="103" t="e">
        <f>#REF!</f>
        <v>#REF!</v>
      </c>
      <c r="D36" s="103" t="e">
        <f>#REF!</f>
        <v>#REF!</v>
      </c>
      <c r="E36" s="322"/>
    </row>
    <row r="37" spans="1:5" ht="15.75" hidden="1" customHeight="1" outlineLevel="1" x14ac:dyDescent="0.25">
      <c r="A37" s="15" t="e">
        <f>#REF!</f>
        <v>#REF!</v>
      </c>
      <c r="B37" s="103" t="e">
        <f>#REF!</f>
        <v>#REF!</v>
      </c>
      <c r="C37" s="103" t="e">
        <f>#REF!</f>
        <v>#REF!</v>
      </c>
      <c r="D37" s="103" t="e">
        <f>#REF!</f>
        <v>#REF!</v>
      </c>
      <c r="E37" s="322"/>
    </row>
    <row r="38" spans="1:5" ht="15.75" hidden="1" customHeight="1" outlineLevel="1" x14ac:dyDescent="0.25">
      <c r="A38" s="15" t="e">
        <f>#REF!</f>
        <v>#REF!</v>
      </c>
      <c r="B38" s="103" t="e">
        <f>#REF!</f>
        <v>#REF!</v>
      </c>
      <c r="C38" s="103" t="e">
        <f>#REF!</f>
        <v>#REF!</v>
      </c>
      <c r="D38" s="103" t="e">
        <f>#REF!</f>
        <v>#REF!</v>
      </c>
      <c r="E38" s="322"/>
    </row>
    <row r="39" spans="1:5" ht="15.75" hidden="1" customHeight="1" outlineLevel="1" x14ac:dyDescent="0.25">
      <c r="A39" s="15" t="e">
        <f>#REF!</f>
        <v>#REF!</v>
      </c>
      <c r="B39" s="103" t="e">
        <f>#REF!</f>
        <v>#REF!</v>
      </c>
      <c r="C39" s="103" t="e">
        <f>#REF!</f>
        <v>#REF!</v>
      </c>
      <c r="D39" s="103" t="e">
        <f>#REF!</f>
        <v>#REF!</v>
      </c>
      <c r="E39" s="322"/>
    </row>
    <row r="40" spans="1:5" ht="15.75" hidden="1" customHeight="1" outlineLevel="1" x14ac:dyDescent="0.25">
      <c r="A40" s="15" t="e">
        <f>#REF!</f>
        <v>#REF!</v>
      </c>
      <c r="B40" s="103" t="e">
        <f>#REF!</f>
        <v>#REF!</v>
      </c>
      <c r="C40" s="103" t="e">
        <f>#REF!</f>
        <v>#REF!</v>
      </c>
      <c r="D40" s="103" t="e">
        <f>#REF!</f>
        <v>#REF!</v>
      </c>
      <c r="E40" s="322"/>
    </row>
    <row r="41" spans="1:5" ht="15.75" hidden="1" customHeight="1" outlineLevel="1" x14ac:dyDescent="0.25">
      <c r="A41" s="15" t="e">
        <f>#REF!</f>
        <v>#REF!</v>
      </c>
      <c r="B41" s="103" t="e">
        <f>#REF!</f>
        <v>#REF!</v>
      </c>
      <c r="C41" s="103" t="e">
        <f>#REF!</f>
        <v>#REF!</v>
      </c>
      <c r="D41" s="103" t="e">
        <f>#REF!</f>
        <v>#REF!</v>
      </c>
      <c r="E41" s="322"/>
    </row>
    <row r="42" spans="1:5" ht="15.75" hidden="1" customHeight="1" outlineLevel="1" x14ac:dyDescent="0.25">
      <c r="A42" s="15" t="e">
        <f>#REF!</f>
        <v>#REF!</v>
      </c>
      <c r="B42" s="103" t="e">
        <f>#REF!</f>
        <v>#REF!</v>
      </c>
      <c r="C42" s="103" t="e">
        <f>#REF!</f>
        <v>#REF!</v>
      </c>
      <c r="D42" s="103" t="e">
        <f>#REF!</f>
        <v>#REF!</v>
      </c>
      <c r="E42" s="322"/>
    </row>
    <row r="43" spans="1:5" ht="15.75" hidden="1" customHeight="1" outlineLevel="1" x14ac:dyDescent="0.25">
      <c r="A43" s="15" t="e">
        <f>#REF!</f>
        <v>#REF!</v>
      </c>
      <c r="B43" s="15" t="e">
        <f>#REF!</f>
        <v>#REF!</v>
      </c>
      <c r="C43" s="15" t="e">
        <f>#REF!</f>
        <v>#REF!</v>
      </c>
      <c r="D43" s="15" t="e">
        <f>#REF!</f>
        <v>#REF!</v>
      </c>
      <c r="E43" s="323"/>
    </row>
    <row r="44" spans="1:5" s="34" customFormat="1" ht="15.75" hidden="1" customHeight="1" outlineLevel="1" x14ac:dyDescent="0.2">
      <c r="A44" s="36" t="e">
        <f>#REF!</f>
        <v>#REF!</v>
      </c>
      <c r="B44" s="36" t="e">
        <f>#REF!</f>
        <v>#REF!</v>
      </c>
      <c r="C44" s="36" t="e">
        <f>#REF!</f>
        <v>#REF!</v>
      </c>
      <c r="D44" s="36" t="e">
        <f>#REF!</f>
        <v>#REF!</v>
      </c>
      <c r="E44" s="36" t="str">
        <f>FIXED(malumot!C143,2)</f>
        <v>165 000 000,00</v>
      </c>
    </row>
    <row r="45" spans="1:5" ht="12.75" customHeight="1" collapsed="1" x14ac:dyDescent="0.25">
      <c r="A45" s="14"/>
      <c r="B45" s="14"/>
      <c r="C45" s="14"/>
      <c r="D45" s="14"/>
      <c r="E45" s="14"/>
    </row>
    <row r="46" spans="1:5" ht="93.75" hidden="1" customHeight="1" x14ac:dyDescent="0.25">
      <c r="A46" s="286"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86"/>
      <c r="C46" s="286"/>
      <c r="D46" s="286"/>
      <c r="E46" s="286"/>
    </row>
    <row r="47" spans="1:5" ht="42" customHeight="1" x14ac:dyDescent="0.25">
      <c r="A47" s="286" t="s">
        <v>208</v>
      </c>
      <c r="B47" s="286"/>
      <c r="C47" s="286"/>
      <c r="D47" s="286"/>
      <c r="E47" s="286"/>
    </row>
    <row r="48" spans="1:5" ht="35.25" customHeight="1" x14ac:dyDescent="0.25">
      <c r="A48" s="286" t="str">
        <f>"Shunday qilib, garov predmetining kelishilgan garov qiymati  "&amp;FIXED(malumot!B143)&amp;" ("&amp;malumot!B144&amp;") so‘mni tashkil etadi."</f>
        <v>Shunday qilib, garov predmetining kelishilgan garov qiymati  165 000 000,00 (yuz oltmish besh million so'm) so‘mni tashkil etadi.</v>
      </c>
      <c r="B48" s="286"/>
      <c r="C48" s="286"/>
      <c r="D48" s="286"/>
      <c r="E48" s="286"/>
    </row>
    <row r="49" spans="1:6" ht="35.25" hidden="1" customHeight="1" x14ac:dyDescent="0.25">
      <c r="A49" s="17"/>
      <c r="B49" s="17"/>
      <c r="C49" s="17"/>
      <c r="D49" s="17">
        <f>IF(malumot!B99=malumot!C99,malumot!C143,IF(malumot!B99=malumot!D99,'Данные для послед. Залога'!M22,0))</f>
        <v>165000000</v>
      </c>
      <c r="E49" s="17" t="str">
        <f>IF(malumot!B99=malumot!C99,malumot!B144,IF(malumot!B99=malumot!D99,'Данные для послед. Залога'!Q22,0))</f>
        <v>yuz oltmish besh million so'm</v>
      </c>
    </row>
    <row r="50" spans="1:6" x14ac:dyDescent="0.25">
      <c r="A50" s="320" t="s">
        <v>209</v>
      </c>
      <c r="B50" s="320"/>
      <c r="C50" s="320"/>
      <c r="D50" s="19"/>
      <c r="E50" s="19"/>
    </row>
    <row r="51" spans="1:6" x14ac:dyDescent="0.25">
      <c r="A51" s="320" t="str">
        <f>malumot!B158</f>
        <v>«CLEVER MIKROMOLIYA TASHKILOTI» MChJ</v>
      </c>
      <c r="B51" s="320"/>
      <c r="C51" s="320"/>
      <c r="D51" s="153"/>
      <c r="E51" s="153"/>
    </row>
    <row r="52" spans="1:6" ht="15" customHeight="1" x14ac:dyDescent="0.25">
      <c r="A52" s="320" t="str">
        <f>""&amp;malumot!A160&amp;""</f>
        <v>Xorazm filiali boshlig'i</v>
      </c>
      <c r="B52" s="320"/>
      <c r="C52" s="320"/>
      <c r="D52" s="211"/>
      <c r="E52" s="211" t="str">
        <f>malumot!B160</f>
        <v>M.Sharipov</v>
      </c>
    </row>
    <row r="53" spans="1:6" x14ac:dyDescent="0.25">
      <c r="A53" s="50"/>
      <c r="B53" s="50"/>
      <c r="C53" s="50"/>
      <c r="D53" s="50"/>
      <c r="E53" s="50"/>
    </row>
    <row r="54" spans="1:6" x14ac:dyDescent="0.25">
      <c r="A54" s="320"/>
      <c r="B54" s="320"/>
      <c r="C54" s="320"/>
      <c r="D54" s="50"/>
      <c r="E54" s="50"/>
    </row>
    <row r="55" spans="1:6" hidden="1" x14ac:dyDescent="0.25">
      <c r="A55" s="287" t="s">
        <v>46</v>
      </c>
      <c r="B55" s="287"/>
      <c r="C55" s="287"/>
      <c r="D55" s="50"/>
      <c r="E55" s="50"/>
    </row>
    <row r="56" spans="1:6" hidden="1" x14ac:dyDescent="0.25">
      <c r="A56" s="287" t="str">
        <f>malumot!B158</f>
        <v>«CLEVER MIKROMOLIYA TASHKILOTI» MChJ</v>
      </c>
      <c r="B56" s="287"/>
      <c r="C56" s="287"/>
      <c r="D56" s="287" t="str">
        <f>"_______________   "&amp;malumot!B169&amp;""</f>
        <v>_______________   B. Mominov</v>
      </c>
      <c r="E56" s="287"/>
    </row>
    <row r="57" spans="1:6" ht="12.75" customHeight="1" x14ac:dyDescent="0.25">
      <c r="A57" s="287"/>
      <c r="B57" s="287"/>
      <c r="C57" s="287"/>
      <c r="D57" s="287"/>
      <c r="E57" s="287"/>
    </row>
    <row r="58" spans="1:6" x14ac:dyDescent="0.25">
      <c r="A58" s="320" t="s">
        <v>210</v>
      </c>
      <c r="B58" s="320"/>
      <c r="C58" s="320"/>
      <c r="D58" s="287"/>
      <c r="E58" s="287"/>
    </row>
    <row r="59" spans="1:6" ht="31.5" customHeight="1" x14ac:dyDescent="0.25">
      <c r="A59" s="287" t="s">
        <v>211</v>
      </c>
      <c r="B59" s="287"/>
      <c r="C59" s="287"/>
      <c r="D59" s="320" t="str">
        <f>"_______________  "&amp;malumot!B7&amp;""</f>
        <v>_______________  MATCHANOVA A.B.</v>
      </c>
      <c r="E59" s="320"/>
    </row>
    <row r="60" spans="1:6" ht="12.75" customHeight="1" x14ac:dyDescent="0.25">
      <c r="A60" s="287"/>
      <c r="B60" s="287"/>
      <c r="C60" s="287"/>
      <c r="D60" s="324" t="str">
        <f>IF(malumot!B100="да","",malumot!B125)</f>
        <v>BEKOV O.B.</v>
      </c>
      <c r="E60" s="324"/>
    </row>
    <row r="61" spans="1:6" ht="17.25" customHeight="1" x14ac:dyDescent="0.25">
      <c r="A61" s="320" t="str">
        <f>+IF(malumot!B100="ha"," ","3-tomondan:")</f>
        <v>3-tomondan:</v>
      </c>
      <c r="B61" s="320"/>
      <c r="C61" s="320"/>
      <c r="D61" s="325" t="str">
        <f>"_______________  "&amp;malumot!B113&amp;""</f>
        <v>_______________  BEKOV O.B.</v>
      </c>
      <c r="E61" s="325"/>
      <c r="F61" s="13" t="str">
        <f>IF(malumot!B101=malumot!D101,B7,"")</f>
        <v/>
      </c>
    </row>
    <row r="62" spans="1:6" ht="29.25" hidden="1" customHeight="1" x14ac:dyDescent="0.25">
      <c r="A62" s="287" t="str">
        <f>+IF(malumot!B100="ha"," ","O'zbekiston Respublikasi fuqarosi")</f>
        <v>O'zbekiston Respublikasi fuqarosi</v>
      </c>
      <c r="B62" s="287"/>
      <c r="C62" s="287"/>
      <c r="D62" s="320" t="str">
        <f>"_______________ "&amp;malumot!B103</f>
        <v xml:space="preserve">_______________ </v>
      </c>
      <c r="E62" s="320"/>
    </row>
  </sheetData>
  <mergeCells count="48">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 ref="A58:C58"/>
    <mergeCell ref="D58:E58"/>
    <mergeCell ref="A59:C59"/>
    <mergeCell ref="D59:E59"/>
    <mergeCell ref="A60:C60"/>
    <mergeCell ref="D60:E60"/>
    <mergeCell ref="A50:C50"/>
    <mergeCell ref="A51:C51"/>
    <mergeCell ref="A52:C52"/>
    <mergeCell ref="A46:E46"/>
    <mergeCell ref="A47:E47"/>
    <mergeCell ref="A54:C54"/>
    <mergeCell ref="A55:C55"/>
    <mergeCell ref="A57:C57"/>
    <mergeCell ref="D57:E57"/>
    <mergeCell ref="A56:C56"/>
    <mergeCell ref="D56:E56"/>
    <mergeCell ref="A28:E28"/>
    <mergeCell ref="A48:E48"/>
    <mergeCell ref="A2:E2"/>
    <mergeCell ref="A11:E11"/>
    <mergeCell ref="A12:E12"/>
    <mergeCell ref="A13:E13"/>
    <mergeCell ref="A10:E10"/>
    <mergeCell ref="A5:E5"/>
    <mergeCell ref="A6:E6"/>
    <mergeCell ref="A7:E7"/>
    <mergeCell ref="A8:E8"/>
    <mergeCell ref="A9:E9"/>
    <mergeCell ref="A26:E26"/>
    <mergeCell ref="A25:E25"/>
    <mergeCell ref="A27:E27"/>
    <mergeCell ref="E33:E4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2">
    <tabColor rgb="FF00B050"/>
    <pageSetUpPr fitToPage="1"/>
  </sheetPr>
  <dimension ref="A2:P76"/>
  <sheetViews>
    <sheetView view="pageBreakPreview" zoomScaleNormal="100" zoomScaleSheetLayoutView="100" workbookViewId="0">
      <selection activeCell="H68" sqref="H68"/>
    </sheetView>
  </sheetViews>
  <sheetFormatPr defaultColWidth="9.140625" defaultRowHeight="15" outlineLevelCol="1" x14ac:dyDescent="0.25"/>
  <cols>
    <col min="1" max="1" width="9.140625" style="13"/>
    <col min="2" max="2" width="13.7109375" style="13" customWidth="1"/>
    <col min="3" max="3" width="20.140625" style="13" customWidth="1"/>
    <col min="4" max="4" width="20.28515625" style="13" customWidth="1"/>
    <col min="5" max="5" width="19.5703125" style="13" customWidth="1"/>
    <col min="6" max="6" width="18.28515625" style="13" customWidth="1"/>
    <col min="7" max="7" width="10.140625" style="13" customWidth="1" outlineLevel="1"/>
    <col min="8" max="8" width="19.7109375" style="13" customWidth="1"/>
    <col min="9" max="10" width="9.140625" style="13" customWidth="1"/>
    <col min="11" max="16384" width="9.140625" style="13"/>
  </cols>
  <sheetData>
    <row r="2" spans="1:16" x14ac:dyDescent="0.25">
      <c r="A2" s="34"/>
      <c r="B2" s="34"/>
      <c r="C2" s="34"/>
      <c r="D2" s="34"/>
      <c r="E2" s="308"/>
      <c r="F2" s="308"/>
      <c r="G2" s="18"/>
    </row>
    <row r="3" spans="1:16" ht="75" customHeight="1" x14ac:dyDescent="0.25">
      <c r="A3" s="34"/>
      <c r="B3" s="34"/>
      <c r="C3" s="34"/>
      <c r="D3" s="34"/>
      <c r="E3" s="328" t="str">
        <f>""&amp;malumot!B74&amp;" 
"&amp;malumot!B65&amp;" shartnomasiga 
1 sonli ilova"</f>
        <v>7 aprel 2025 y.dan №717-XMS 
mikrokredit shartnomasiga 
1 sonli ilova</v>
      </c>
      <c r="F3" s="328"/>
      <c r="G3" s="18"/>
    </row>
    <row r="4" spans="1:16" x14ac:dyDescent="0.25">
      <c r="A4" s="34"/>
      <c r="B4" s="34"/>
      <c r="C4" s="34"/>
      <c r="D4" s="34"/>
      <c r="E4" s="34"/>
      <c r="F4" s="34"/>
    </row>
    <row r="5" spans="1:16" x14ac:dyDescent="0.25">
      <c r="A5" s="309" t="s">
        <v>262</v>
      </c>
      <c r="B5" s="309"/>
      <c r="C5" s="309"/>
      <c r="D5" s="309"/>
      <c r="E5" s="309"/>
      <c r="F5" s="309"/>
    </row>
    <row r="7" spans="1:16" ht="15" customHeight="1" x14ac:dyDescent="0.25">
      <c r="A7" s="310" t="s">
        <v>14</v>
      </c>
      <c r="B7" s="311" t="s">
        <v>263</v>
      </c>
      <c r="C7" s="311" t="s">
        <v>264</v>
      </c>
      <c r="D7" s="312" t="s">
        <v>265</v>
      </c>
      <c r="E7" s="312"/>
      <c r="F7" s="312"/>
    </row>
    <row r="8" spans="1:16" s="14" customFormat="1" x14ac:dyDescent="0.25">
      <c r="A8" s="310"/>
      <c r="B8" s="311"/>
      <c r="C8" s="311"/>
      <c r="D8" s="15" t="s">
        <v>266</v>
      </c>
      <c r="E8" s="15" t="s">
        <v>267</v>
      </c>
      <c r="F8" s="15" t="s">
        <v>268</v>
      </c>
    </row>
    <row r="9" spans="1:16" x14ac:dyDescent="0.25">
      <c r="A9" s="16">
        <v>1</v>
      </c>
      <c r="B9" s="30">
        <f>'График аннуитет.'!B8</f>
        <v>45778</v>
      </c>
      <c r="C9" s="31">
        <f>IF(malumot!$B$78=malumot!$C$78,'График дифференц'!C8,IF(malumot!$B$78=malumot!$D$78,'График аннуитет.'!C8))</f>
        <v>125000000</v>
      </c>
      <c r="D9" s="31">
        <f>IF(malumot!$B$78=malumot!$C$78,'График дифференц'!D8,IF(malumot!$B$78=malumot!$D$78,'График аннуитет.'!D8))</f>
        <v>2634452.16</v>
      </c>
      <c r="E9" s="31">
        <f>IF(malumot!$B$78=malumot!$C$78,'График дифференц'!E8,IF(malumot!$B$78=malumot!$D$78,'График аннуитет.'!E8))</f>
        <v>4520547.84</v>
      </c>
      <c r="F9" s="31">
        <f>IF(malumot!$B$78=malumot!$C$78,'График дифференц'!F8,IF(malumot!$B$78=malumot!$D$78,'График аннуитет.'!F8))</f>
        <v>7155000</v>
      </c>
    </row>
    <row r="10" spans="1:16" x14ac:dyDescent="0.25">
      <c r="A10" s="16">
        <v>2</v>
      </c>
      <c r="B10" s="30">
        <f>'График аннуитет.'!B9</f>
        <v>45810</v>
      </c>
      <c r="C10" s="31">
        <f>IF(malumot!$B$78=malumot!$C$78,'График дифференц'!C9,IF(malumot!$B$78=malumot!$D$78,'График аннуитет.'!C9))</f>
        <v>122365547.84</v>
      </c>
      <c r="D10" s="31">
        <f>IF(malumot!$B$78=malumot!$C$78,'График дифференц'!D9,IF(malumot!$B$78=malumot!$D$78,'График аннуитет.'!D9))</f>
        <v>1254633.92</v>
      </c>
      <c r="E10" s="31">
        <f>IF(malumot!$B$78=malumot!$C$78,'График дифференц'!E9,IF(malumot!$B$78=malumot!$D$78,'График аннуитет.'!E9))</f>
        <v>5900366.0800000001</v>
      </c>
      <c r="F10" s="31">
        <f>IF(malumot!$B$78=malumot!$C$78,'График дифференц'!F9,IF(malumot!$B$78=malumot!$D$78,'График аннуитет.'!F9))</f>
        <v>7155000</v>
      </c>
    </row>
    <row r="11" spans="1:16" x14ac:dyDescent="0.25">
      <c r="A11" s="16">
        <v>3</v>
      </c>
      <c r="B11" s="30">
        <f>'График аннуитет.'!B10</f>
        <v>45839</v>
      </c>
      <c r="C11" s="31">
        <f>IF(malumot!$B$78=malumot!$C$78,'График дифференц'!C10,IF(malumot!$B$78=malumot!$D$78,'График аннуитет.'!C10))</f>
        <v>121110913.92</v>
      </c>
      <c r="D11" s="31">
        <f>IF(malumot!$B$78=malumot!$C$78,'График дифференц'!D10,IF(malumot!$B$78=malumot!$D$78,'График аннуитет.'!D10))</f>
        <v>1862618.9000000004</v>
      </c>
      <c r="E11" s="31">
        <f>IF(malumot!$B$78=malumot!$C$78,'График дифференц'!E10,IF(malumot!$B$78=malumot!$D$78,'График аннуитет.'!E10))</f>
        <v>5292381.0999999996</v>
      </c>
      <c r="F11" s="31">
        <f>IF(malumot!$B$78=malumot!$C$78,'График дифференц'!F10,IF(malumot!$B$78=malumot!$D$78,'График аннуитет.'!F10))</f>
        <v>7155000</v>
      </c>
    </row>
    <row r="12" spans="1:16" x14ac:dyDescent="0.25">
      <c r="A12" s="16">
        <v>4</v>
      </c>
      <c r="B12" s="30">
        <f>'График аннуитет.'!B11</f>
        <v>45870</v>
      </c>
      <c r="C12" s="31">
        <f>IF(malumot!$B$78=malumot!$C$78,'График дифференц'!C11,IF(malumot!$B$78=malumot!$D$78,'График аннуитет.'!C11))</f>
        <v>119248295.02</v>
      </c>
      <c r="D12" s="31">
        <f>IF(malumot!$B$78=malumot!$C$78,'График дифференц'!D11,IF(malumot!$B$78=malumot!$D$78,'График аннуитет.'!D11))</f>
        <v>1584634.4900000002</v>
      </c>
      <c r="E12" s="31">
        <f>IF(malumot!$B$78=malumot!$C$78,'График дифференц'!E11,IF(malumot!$B$78=malumot!$D$78,'График аннуитет.'!E11))</f>
        <v>5570365.5099999998</v>
      </c>
      <c r="F12" s="31">
        <f>IF(malumot!$B$78=malumot!$C$78,'График дифференц'!F11,IF(malumot!$B$78=malumot!$D$78,'График аннуитет.'!F11))</f>
        <v>7155000</v>
      </c>
      <c r="H12" s="335" t="s">
        <v>370</v>
      </c>
      <c r="I12" s="335"/>
      <c r="J12" s="335"/>
      <c r="K12" s="335"/>
      <c r="L12" s="335"/>
      <c r="M12" s="335"/>
      <c r="N12" s="335"/>
      <c r="O12" s="335"/>
      <c r="P12" s="335"/>
    </row>
    <row r="13" spans="1:16" x14ac:dyDescent="0.25">
      <c r="A13" s="16">
        <v>5</v>
      </c>
      <c r="B13" s="30">
        <f>'График аннуитет.'!B12</f>
        <v>45901</v>
      </c>
      <c r="C13" s="31">
        <f>IF(malumot!$B$78=malumot!$C$78,'График дифференц'!C12,IF(malumot!$B$78=malumot!$D$78,'График аннуитет.'!C12))</f>
        <v>117663660.53</v>
      </c>
      <c r="D13" s="31">
        <f>IF(malumot!$B$78=malumot!$C$78,'График дифференц'!D12,IF(malumot!$B$78=malumot!$D$78,'График аннуитет.'!D12))</f>
        <v>1658656.29</v>
      </c>
      <c r="E13" s="31">
        <f>IF(malumot!$B$78=malumot!$C$78,'График дифференц'!E12,IF(malumot!$B$78=malumot!$D$78,'График аннуитет.'!E12))</f>
        <v>5496343.71</v>
      </c>
      <c r="F13" s="31">
        <f>IF(malumot!$B$78=malumot!$C$78,'График дифференц'!F12,IF(malumot!$B$78=malumot!$D$78,'График аннуитет.'!F12))</f>
        <v>7155000</v>
      </c>
      <c r="H13" s="335"/>
      <c r="I13" s="335"/>
      <c r="J13" s="335"/>
      <c r="K13" s="335"/>
      <c r="L13" s="335"/>
      <c r="M13" s="335"/>
      <c r="N13" s="335"/>
      <c r="O13" s="335"/>
      <c r="P13" s="335"/>
    </row>
    <row r="14" spans="1:16" x14ac:dyDescent="0.25">
      <c r="A14" s="16">
        <v>6</v>
      </c>
      <c r="B14" s="30">
        <f>'График аннуитет.'!B13</f>
        <v>45931</v>
      </c>
      <c r="C14" s="31">
        <f>IF(malumot!$B$78=malumot!$C$78,'График дифференц'!C13,IF(malumot!$B$78=malumot!$D$78,'График аннуитет.'!C13))</f>
        <v>116005004.23999999</v>
      </c>
      <c r="D14" s="31">
        <f>IF(malumot!$B$78=malumot!$C$78,'График дифференц'!D13,IF(malumot!$B$78=malumot!$D$78,'График аннуитет.'!D13))</f>
        <v>1910938.2000000002</v>
      </c>
      <c r="E14" s="31">
        <f>IF(malumot!$B$78=malumot!$C$78,'График дифференц'!E13,IF(malumot!$B$78=malumot!$D$78,'График аннуитет.'!E13))</f>
        <v>5244061.8</v>
      </c>
      <c r="F14" s="31">
        <f>IF(malumot!$B$78=malumot!$C$78,'График дифференц'!F13,IF(malumot!$B$78=malumot!$D$78,'График аннуитет.'!F13))</f>
        <v>7155000</v>
      </c>
      <c r="H14" s="335"/>
      <c r="I14" s="335"/>
      <c r="J14" s="335"/>
      <c r="K14" s="335"/>
      <c r="L14" s="335"/>
      <c r="M14" s="335"/>
      <c r="N14" s="335"/>
      <c r="O14" s="335"/>
      <c r="P14" s="335"/>
    </row>
    <row r="15" spans="1:16" x14ac:dyDescent="0.25">
      <c r="A15" s="16">
        <v>7</v>
      </c>
      <c r="B15" s="30">
        <f>'График аннуитет.'!B14</f>
        <v>45964</v>
      </c>
      <c r="C15" s="31">
        <f>IF(malumot!$B$78=malumot!$C$78,'График дифференц'!C14,IF(malumot!$B$78=malumot!$D$78,'График аннуитет.'!C14))</f>
        <v>114094066.03999999</v>
      </c>
      <c r="D15" s="31">
        <f>IF(malumot!$B$78=malumot!$C$78,'График дифференц'!D14,IF(malumot!$B$78=malumot!$D$78,'График аннуитет.'!D14))</f>
        <v>1481555.1899999995</v>
      </c>
      <c r="E15" s="31">
        <f>IF(malumot!$B$78=malumot!$C$78,'График дифференц'!E14,IF(malumot!$B$78=malumot!$D$78,'График аннуитет.'!E14))</f>
        <v>5673444.8100000005</v>
      </c>
      <c r="F15" s="31">
        <f>IF(malumot!$B$78=malumot!$C$78,'График дифференц'!F14,IF(malumot!$B$78=malumot!$D$78,'График аннуитет.'!F14))</f>
        <v>7155000</v>
      </c>
      <c r="H15" s="335"/>
      <c r="I15" s="335"/>
      <c r="J15" s="335"/>
      <c r="K15" s="335"/>
      <c r="L15" s="335"/>
      <c r="M15" s="335"/>
      <c r="N15" s="335"/>
      <c r="O15" s="335"/>
      <c r="P15" s="335"/>
    </row>
    <row r="16" spans="1:16" x14ac:dyDescent="0.25">
      <c r="A16" s="16">
        <v>8</v>
      </c>
      <c r="B16" s="30">
        <f>'График аннуитет.'!B15</f>
        <v>45992</v>
      </c>
      <c r="C16" s="31">
        <f>IF(malumot!$B$78=malumot!$C$78,'График дифференц'!C15,IF(malumot!$B$78=malumot!$D$78,'График аннуитет.'!C15))</f>
        <v>112612510.84999999</v>
      </c>
      <c r="D16" s="31">
        <f>IF(malumot!$B$78=malumot!$C$78,'График дифференц'!D15,IF(malumot!$B$78=malumot!$D$78,'График аннуитет.'!D15))</f>
        <v>2403677.7600000007</v>
      </c>
      <c r="E16" s="31">
        <f>IF(malumot!$B$78=malumot!$C$78,'График дифференц'!E15,IF(malumot!$B$78=malumot!$D$78,'График аннуитет.'!E15))</f>
        <v>4751322.2399999993</v>
      </c>
      <c r="F16" s="31">
        <f>IF(malumot!$B$78=malumot!$C$78,'График дифференц'!F15,IF(malumot!$B$78=malumot!$D$78,'График аннуитет.'!F15))</f>
        <v>7155000</v>
      </c>
      <c r="H16" s="335"/>
      <c r="I16" s="335"/>
      <c r="J16" s="335"/>
      <c r="K16" s="335"/>
      <c r="L16" s="335"/>
      <c r="M16" s="335"/>
      <c r="N16" s="335"/>
      <c r="O16" s="335"/>
      <c r="P16" s="335"/>
    </row>
    <row r="17" spans="1:16" x14ac:dyDescent="0.25">
      <c r="A17" s="16">
        <v>9</v>
      </c>
      <c r="B17" s="30">
        <f>'График аннуитет.'!B16</f>
        <v>46023</v>
      </c>
      <c r="C17" s="31">
        <f>IF(malumot!$B$78=malumot!$C$78,'График дифференц'!C16,IF(malumot!$B$78=malumot!$D$78,'График аннуитет.'!C16))</f>
        <v>110208833.08999999</v>
      </c>
      <c r="D17" s="31">
        <f>IF(malumot!$B$78=malumot!$C$78,'График дифференц'!D16,IF(malumot!$B$78=malumot!$D$78,'График аннуитет.'!D16))</f>
        <v>2006888.8999999994</v>
      </c>
      <c r="E17" s="31">
        <f>IF(malumot!$B$78=malumot!$C$78,'График дифференц'!E16,IF(malumot!$B$78=malumot!$D$78,'График аннуитет.'!E16))</f>
        <v>5148111.1000000006</v>
      </c>
      <c r="F17" s="31">
        <f>IF(malumot!$B$78=malumot!$C$78,'График дифференц'!F16,IF(malumot!$B$78=malumot!$D$78,'График аннуитет.'!F16))</f>
        <v>7155000</v>
      </c>
      <c r="H17" s="335"/>
      <c r="I17" s="335"/>
      <c r="J17" s="335"/>
      <c r="K17" s="335"/>
      <c r="L17" s="335"/>
      <c r="M17" s="335"/>
      <c r="N17" s="335"/>
      <c r="O17" s="335"/>
      <c r="P17" s="335"/>
    </row>
    <row r="18" spans="1:16" x14ac:dyDescent="0.25">
      <c r="A18" s="16">
        <v>10</v>
      </c>
      <c r="B18" s="30">
        <f>'График аннуитет.'!B17</f>
        <v>46055</v>
      </c>
      <c r="C18" s="31">
        <f>IF(malumot!$B$78=malumot!$C$78,'График дифференц'!C17,IF(malumot!$B$78=malumot!$D$78,'График аннуитет.'!C17))</f>
        <v>108201944.18999998</v>
      </c>
      <c r="D18" s="31">
        <f>IF(malumot!$B$78=malumot!$C$78,'График дифференц'!D17,IF(malumot!$B$78=malumot!$D$78,'График аннуитет.'!D17))</f>
        <v>1937591.04</v>
      </c>
      <c r="E18" s="31">
        <f>IF(malumot!$B$78=malumot!$C$78,'График дифференц'!E17,IF(malumot!$B$78=malumot!$D$78,'График аннуитет.'!E17))</f>
        <v>5217408.96</v>
      </c>
      <c r="F18" s="31">
        <f>IF(malumot!$B$78=malumot!$C$78,'График дифференц'!F17,IF(malumot!$B$78=malumot!$D$78,'График аннуитет.'!F17))</f>
        <v>7155000</v>
      </c>
      <c r="H18" s="335"/>
      <c r="I18" s="335"/>
      <c r="J18" s="335"/>
      <c r="K18" s="335"/>
      <c r="L18" s="335"/>
      <c r="M18" s="335"/>
      <c r="N18" s="335"/>
      <c r="O18" s="335"/>
      <c r="P18" s="335"/>
    </row>
    <row r="19" spans="1:16" x14ac:dyDescent="0.25">
      <c r="A19" s="16">
        <v>11</v>
      </c>
      <c r="B19" s="30">
        <f>'График аннуитет.'!B18</f>
        <v>46083</v>
      </c>
      <c r="C19" s="31">
        <f>IF(malumot!$B$78=malumot!$C$78,'График дифференц'!C18,IF(malumot!$B$78=malumot!$D$78,'График аннуитет.'!C18))</f>
        <v>106264353.14999998</v>
      </c>
      <c r="D19" s="31">
        <f>IF(malumot!$B$78=malumot!$C$78,'График дифференц'!D18,IF(malumot!$B$78=malumot!$D$78,'График аннуитет.'!D18))</f>
        <v>2671517.6400000006</v>
      </c>
      <c r="E19" s="31">
        <f>IF(malumot!$B$78=malumot!$C$78,'График дифференц'!E18,IF(malumot!$B$78=malumot!$D$78,'График аннуитет.'!E18))</f>
        <v>4483482.3599999994</v>
      </c>
      <c r="F19" s="31">
        <f>IF(malumot!$B$78=malumot!$C$78,'График дифференц'!F18,IF(malumot!$B$78=malumot!$D$78,'График аннуитет.'!F18))</f>
        <v>7155000</v>
      </c>
      <c r="H19" s="335"/>
      <c r="I19" s="335"/>
      <c r="J19" s="335"/>
      <c r="K19" s="335"/>
      <c r="L19" s="335"/>
      <c r="M19" s="335"/>
      <c r="N19" s="335"/>
      <c r="O19" s="335"/>
      <c r="P19" s="335"/>
    </row>
    <row r="20" spans="1:16" x14ac:dyDescent="0.25">
      <c r="A20" s="16">
        <v>12</v>
      </c>
      <c r="B20" s="30">
        <f>'График аннуитет.'!B19</f>
        <v>46113</v>
      </c>
      <c r="C20" s="31">
        <f>IF(malumot!$B$78=malumot!$C$78,'График дифференц'!C19,IF(malumot!$B$78=malumot!$D$78,'График аннуитет.'!C19))</f>
        <v>103592835.50999998</v>
      </c>
      <c r="D20" s="31">
        <f>IF(malumot!$B$78=malumot!$C$78,'График дифференц'!D19,IF(malumot!$B$78=malumot!$D$78,'График аннуитет.'!D19))</f>
        <v>2472036.2999999998</v>
      </c>
      <c r="E20" s="31">
        <f>IF(malumot!$B$78=malumot!$C$78,'График дифференц'!E19,IF(malumot!$B$78=malumot!$D$78,'График аннуитет.'!E19))</f>
        <v>4682963.7</v>
      </c>
      <c r="F20" s="31">
        <f>IF(malumot!$B$78=malumot!$C$78,'График дифференц'!F19,IF(malumot!$B$78=malumot!$D$78,'График аннуитет.'!F19))</f>
        <v>7155000</v>
      </c>
      <c r="H20" s="335"/>
      <c r="I20" s="335"/>
      <c r="J20" s="335"/>
      <c r="K20" s="335"/>
      <c r="L20" s="335"/>
      <c r="M20" s="335"/>
      <c r="N20" s="335"/>
      <c r="O20" s="335"/>
      <c r="P20" s="335"/>
    </row>
    <row r="21" spans="1:16" x14ac:dyDescent="0.25">
      <c r="A21" s="16">
        <v>13</v>
      </c>
      <c r="B21" s="30">
        <f>'График аннуитет.'!B20</f>
        <v>46143</v>
      </c>
      <c r="C21" s="31">
        <f>IF(malumot!$B$78=malumot!$C$78,'График дифференц'!C20,IF(malumot!$B$78=malumot!$D$78,'График аннуитет.'!C20))</f>
        <v>101120799.20999998</v>
      </c>
      <c r="D21" s="31">
        <f>IF(malumot!$B$78=malumot!$C$78,'График дифференц'!D20,IF(malumot!$B$78=malumot!$D$78,'График аннуитет.'!D20))</f>
        <v>2583785.7000000002</v>
      </c>
      <c r="E21" s="31">
        <f>IF(malumot!$B$78=malumot!$C$78,'График дифференц'!E20,IF(malumot!$B$78=malumot!$D$78,'График аннуитет.'!E20))</f>
        <v>4571214.3</v>
      </c>
      <c r="F21" s="31">
        <f>IF(malumot!$B$78=malumot!$C$78,'График дифференц'!F20,IF(malumot!$B$78=malumot!$D$78,'График аннуитет.'!F20))</f>
        <v>7155000</v>
      </c>
      <c r="H21" s="335"/>
      <c r="I21" s="335"/>
      <c r="J21" s="335"/>
      <c r="K21" s="335"/>
      <c r="L21" s="335"/>
      <c r="M21" s="335"/>
      <c r="N21" s="335"/>
      <c r="O21" s="335"/>
      <c r="P21" s="335"/>
    </row>
    <row r="22" spans="1:16" x14ac:dyDescent="0.25">
      <c r="A22" s="16">
        <v>14</v>
      </c>
      <c r="B22" s="30">
        <f>'График аннуитет.'!B21</f>
        <v>46174</v>
      </c>
      <c r="C22" s="31">
        <f>IF(malumot!$B$78=malumot!$C$78,'График дифференц'!C21,IF(malumot!$B$78=malumot!$D$78,'График аннуитет.'!C21))</f>
        <v>98537013.509999976</v>
      </c>
      <c r="D22" s="31">
        <f>IF(malumot!$B$78=malumot!$C$78,'График дифференц'!D21,IF(malumot!$B$78=malumot!$D$78,'График аннуитет.'!D21))</f>
        <v>2552106.67</v>
      </c>
      <c r="E22" s="31">
        <f>IF(malumot!$B$78=malumot!$C$78,'График дифференц'!E21,IF(malumot!$B$78=malumot!$D$78,'График аннуитет.'!E21))</f>
        <v>4602893.33</v>
      </c>
      <c r="F22" s="31">
        <f>IF(malumot!$B$78=malumot!$C$78,'График дифференц'!F21,IF(malumot!$B$78=malumot!$D$78,'График аннуитет.'!F21))</f>
        <v>7155000</v>
      </c>
      <c r="H22" s="335"/>
      <c r="I22" s="335"/>
      <c r="J22" s="335"/>
      <c r="K22" s="335"/>
      <c r="L22" s="335"/>
      <c r="M22" s="335"/>
      <c r="N22" s="335"/>
      <c r="O22" s="335"/>
      <c r="P22" s="335"/>
    </row>
    <row r="23" spans="1:16" x14ac:dyDescent="0.25">
      <c r="A23" s="16">
        <v>15</v>
      </c>
      <c r="B23" s="30">
        <f>'График аннуитет.'!B22</f>
        <v>46204</v>
      </c>
      <c r="C23" s="31">
        <f>IF(malumot!$B$78=malumot!$C$78,'График дифференц'!C22,IF(malumot!$B$78=malumot!$D$78,'График аннуитет.'!C22))</f>
        <v>95984906.839999974</v>
      </c>
      <c r="D23" s="31">
        <f>IF(malumot!$B$78=malumot!$C$78,'График дифференц'!D22,IF(malumot!$B$78=malumot!$D$78,'График аннуитет.'!D22))</f>
        <v>2815956.3</v>
      </c>
      <c r="E23" s="31">
        <f>IF(malumot!$B$78=malumot!$C$78,'График дифференц'!E22,IF(malumot!$B$78=malumot!$D$78,'График аннуитет.'!E22))</f>
        <v>4339043.7</v>
      </c>
      <c r="F23" s="31">
        <f>IF(malumot!$B$78=malumot!$C$78,'График дифференц'!F22,IF(malumot!$B$78=malumot!$D$78,'График аннуитет.'!F22))</f>
        <v>7155000</v>
      </c>
      <c r="H23" s="335"/>
      <c r="I23" s="335"/>
      <c r="J23" s="335"/>
      <c r="K23" s="335"/>
      <c r="L23" s="335"/>
      <c r="M23" s="335"/>
      <c r="N23" s="335"/>
      <c r="O23" s="335"/>
      <c r="P23" s="335"/>
    </row>
    <row r="24" spans="1:16" x14ac:dyDescent="0.25">
      <c r="A24" s="16">
        <v>16</v>
      </c>
      <c r="B24" s="30">
        <f>'График аннуитет.'!B23</f>
        <v>46237</v>
      </c>
      <c r="C24" s="31">
        <f>IF(malumot!$B$78=malumot!$C$78,'График дифференц'!C23,IF(malumot!$B$78=malumot!$D$78,'График аннуитет.'!C23))</f>
        <v>93168950.539999977</v>
      </c>
      <c r="D24" s="31">
        <f>IF(malumot!$B$78=malumot!$C$78,'График дифференц'!D23,IF(malumot!$B$78=malumot!$D$78,'График аннуитет.'!D23))</f>
        <v>2522078.1899999995</v>
      </c>
      <c r="E24" s="31">
        <f>IF(malumot!$B$78=malumot!$C$78,'График дифференц'!E23,IF(malumot!$B$78=malumot!$D$78,'График аннуитет.'!E23))</f>
        <v>4632921.8100000005</v>
      </c>
      <c r="F24" s="31">
        <f>IF(malumot!$B$78=malumot!$C$78,'График дифференц'!F23,IF(malumot!$B$78=malumot!$D$78,'График аннуитет.'!F23))</f>
        <v>7155000</v>
      </c>
      <c r="H24" s="335"/>
      <c r="I24" s="335"/>
      <c r="J24" s="335"/>
      <c r="K24" s="335"/>
      <c r="L24" s="335"/>
      <c r="M24" s="335"/>
      <c r="N24" s="335"/>
      <c r="O24" s="335"/>
      <c r="P24" s="335"/>
    </row>
    <row r="25" spans="1:16" x14ac:dyDescent="0.25">
      <c r="A25" s="16">
        <v>17</v>
      </c>
      <c r="B25" s="30">
        <f>'График аннуитет.'!B24</f>
        <v>46266</v>
      </c>
      <c r="C25" s="31">
        <f>IF(malumot!$B$78=malumot!$C$78,'График дифференц'!C24,IF(malumot!$B$78=malumot!$D$78,'График аннуитет.'!C24))</f>
        <v>90646872.349999979</v>
      </c>
      <c r="D25" s="31">
        <f>IF(malumot!$B$78=malumot!$C$78,'График дифференц'!D24,IF(malumot!$B$78=malumot!$D$78,'График аннуитет.'!D24))</f>
        <v>3193855.7800000003</v>
      </c>
      <c r="E25" s="31">
        <f>IF(malumot!$B$78=malumot!$C$78,'График дифференц'!E24,IF(malumot!$B$78=malumot!$D$78,'График аннуитет.'!E24))</f>
        <v>3961144.2199999997</v>
      </c>
      <c r="F25" s="31">
        <f>IF(malumot!$B$78=malumot!$C$78,'График дифференц'!F24,IF(malumot!$B$78=malumot!$D$78,'График аннуитет.'!F24))</f>
        <v>7155000</v>
      </c>
    </row>
    <row r="26" spans="1:16" x14ac:dyDescent="0.25">
      <c r="A26" s="16">
        <v>18</v>
      </c>
      <c r="B26" s="30">
        <f>'График аннуитет.'!B25</f>
        <v>46296</v>
      </c>
      <c r="C26" s="31">
        <f>IF(malumot!$B$78=malumot!$C$78,'График дифференц'!C25,IF(malumot!$B$78=malumot!$D$78,'График аннуитет.'!C25))</f>
        <v>87453016.569999978</v>
      </c>
      <c r="D26" s="31">
        <f>IF(malumot!$B$78=malumot!$C$78,'График дифференц'!D25,IF(malumot!$B$78=malumot!$D$78,'График аннуитет.'!D25))</f>
        <v>3201644.4000000004</v>
      </c>
      <c r="E26" s="31">
        <f>IF(malumot!$B$78=malumot!$C$78,'График дифференц'!E25,IF(malumot!$B$78=malumot!$D$78,'График аннуитет.'!E25))</f>
        <v>3953355.5999999996</v>
      </c>
      <c r="F26" s="31">
        <f>IF(malumot!$B$78=malumot!$C$78,'График дифференц'!F25,IF(malumot!$B$78=malumot!$D$78,'График аннуитет.'!F25))</f>
        <v>7155000</v>
      </c>
    </row>
    <row r="27" spans="1:16" x14ac:dyDescent="0.25">
      <c r="A27" s="16">
        <f>1+A26</f>
        <v>19</v>
      </c>
      <c r="B27" s="30">
        <f>'График аннуитет.'!B26</f>
        <v>46328</v>
      </c>
      <c r="C27" s="31">
        <f>IF(malumot!$B$78=malumot!$C$78,'График дифференц'!C26,IF(malumot!$B$78=malumot!$D$78,'График аннуитет.'!C26))</f>
        <v>84251372.169999972</v>
      </c>
      <c r="D27" s="31">
        <f>IF(malumot!$B$78=malumot!$C$78,'График дифференц'!D26,IF(malumot!$B$78=malumot!$D$78,'График аннуитет.'!D26))</f>
        <v>3092468.16</v>
      </c>
      <c r="E27" s="31">
        <f>IF(malumot!$B$78=malumot!$C$78,'График дифференц'!E26,IF(malumot!$B$78=malumot!$D$78,'График аннуитет.'!E26))</f>
        <v>4062531.84</v>
      </c>
      <c r="F27" s="31">
        <f>IF(malumot!$B$78=malumot!$C$78,'График дифференц'!F26,IF(malumot!$B$78=malumot!$D$78,'График аннуитет.'!F26))</f>
        <v>7155000</v>
      </c>
    </row>
    <row r="28" spans="1:16" x14ac:dyDescent="0.25">
      <c r="A28" s="16">
        <f t="shared" ref="A28:A43" si="0">1+A27</f>
        <v>20</v>
      </c>
      <c r="B28" s="30">
        <f>'График аннуитет.'!B27</f>
        <v>46357</v>
      </c>
      <c r="C28" s="31">
        <f>IF(malumot!$B$78=malumot!$C$78,'График дифференц'!C27,IF(malumot!$B$78=malumot!$D$78,'График аннуитет.'!C27))</f>
        <v>81158904.009999976</v>
      </c>
      <c r="D28" s="31">
        <f>IF(malumot!$B$78=malumot!$C$78,'График дифференц'!D27,IF(malumot!$B$78=malumot!$D$78,'График аннуитет.'!D27))</f>
        <v>3608467.04</v>
      </c>
      <c r="E28" s="31">
        <f>IF(malumot!$B$78=malumot!$C$78,'График дифференц'!E27,IF(malumot!$B$78=malumot!$D$78,'График аннуитет.'!E27))</f>
        <v>3546532.96</v>
      </c>
      <c r="F28" s="31">
        <f>IF(malumot!$B$78=malumot!$C$78,'График дифференц'!F27,IF(malumot!$B$78=malumot!$D$78,'График аннуитет.'!F27))</f>
        <v>7155000</v>
      </c>
    </row>
    <row r="29" spans="1:16" x14ac:dyDescent="0.25">
      <c r="A29" s="16">
        <f t="shared" si="0"/>
        <v>21</v>
      </c>
      <c r="B29" s="30">
        <f>'График аннуитет.'!B28</f>
        <v>46388</v>
      </c>
      <c r="C29" s="31">
        <f>IF(malumot!$B$78=malumot!$C$78,'График дифференц'!C28,IF(malumot!$B$78=malumot!$D$78,'График аннуитет.'!C28))</f>
        <v>77550436.969999969</v>
      </c>
      <c r="D29" s="31">
        <f>IF(malumot!$B$78=malumot!$C$78,'График дифференц'!D28,IF(malumot!$B$78=malumot!$D$78,'График аннуитет.'!D28))</f>
        <v>3532438.5799999996</v>
      </c>
      <c r="E29" s="31">
        <f>IF(malumot!$B$78=malumot!$C$78,'График дифференц'!E28,IF(malumot!$B$78=malumot!$D$78,'График аннуитет.'!E28))</f>
        <v>3622561.4200000004</v>
      </c>
      <c r="F29" s="31">
        <f>IF(malumot!$B$78=malumot!$C$78,'График дифференц'!F28,IF(malumot!$B$78=malumot!$D$78,'График аннуитет.'!F28))</f>
        <v>7155000</v>
      </c>
    </row>
    <row r="30" spans="1:16" x14ac:dyDescent="0.25">
      <c r="A30" s="16">
        <f t="shared" si="0"/>
        <v>22</v>
      </c>
      <c r="B30" s="30">
        <f>'График аннуитет.'!B29</f>
        <v>46419</v>
      </c>
      <c r="C30" s="31">
        <f>IF(malumot!$B$78=malumot!$C$78,'График дифференц'!C29,IF(malumot!$B$78=malumot!$D$78,'График аннуитет.'!C29))</f>
        <v>74017998.389999971</v>
      </c>
      <c r="D30" s="31">
        <f>IF(malumot!$B$78=malumot!$C$78,'График дифференц'!D29,IF(malumot!$B$78=malumot!$D$78,'График аннуитет.'!D29))</f>
        <v>3697446.93</v>
      </c>
      <c r="E30" s="31">
        <f>IF(malumot!$B$78=malumot!$C$78,'График дифференц'!E29,IF(malumot!$B$78=malumot!$D$78,'График аннуитет.'!E29))</f>
        <v>3457553.07</v>
      </c>
      <c r="F30" s="31">
        <f>IF(malumot!$B$78=malumot!$C$78,'График дифференц'!F29,IF(malumot!$B$78=malumot!$D$78,'График аннуитет.'!F29))</f>
        <v>7155000</v>
      </c>
    </row>
    <row r="31" spans="1:16" x14ac:dyDescent="0.25">
      <c r="A31" s="16">
        <f t="shared" si="0"/>
        <v>23</v>
      </c>
      <c r="B31" s="30">
        <f>'График аннуитет.'!B30</f>
        <v>46447</v>
      </c>
      <c r="C31" s="31">
        <f>IF(malumot!$B$78=malumot!$C$78,'График дифференц'!C30,IF(malumot!$B$78=malumot!$D$78,'График аннуитет.'!C30))</f>
        <v>70320551.459999964</v>
      </c>
      <c r="D31" s="31">
        <f>IF(malumot!$B$78=malumot!$C$78,'График дифференц'!D30,IF(malumot!$B$78=malumot!$D$78,'График аннуитет.'!D30))</f>
        <v>4188050.84</v>
      </c>
      <c r="E31" s="31">
        <f>IF(malumot!$B$78=malumot!$C$78,'График дифференц'!E30,IF(malumot!$B$78=malumot!$D$78,'График аннуитет.'!E30))</f>
        <v>2966949.16</v>
      </c>
      <c r="F31" s="31">
        <f>IF(malumot!$B$78=malumot!$C$78,'График дифференц'!F30,IF(malumot!$B$78=malumot!$D$78,'График аннуитет.'!F30))</f>
        <v>7155000</v>
      </c>
    </row>
    <row r="32" spans="1:16" x14ac:dyDescent="0.25">
      <c r="A32" s="16">
        <f t="shared" si="0"/>
        <v>24</v>
      </c>
      <c r="B32" s="30">
        <f>'График аннуитет.'!B31</f>
        <v>46478</v>
      </c>
      <c r="C32" s="31">
        <f>IF(malumot!$B$78=malumot!$C$78,'График дифференц'!C31,IF(malumot!$B$78=malumot!$D$78,'График аннуитет.'!C31))</f>
        <v>66132500.61999996</v>
      </c>
      <c r="D32" s="31">
        <f>IF(malumot!$B$78=malumot!$C$78,'График дифференц'!D31,IF(malumot!$B$78=malumot!$D$78,'График аннуитет.'!D31))</f>
        <v>4065796.9899999998</v>
      </c>
      <c r="E32" s="31">
        <f>IF(malumot!$B$78=malumot!$C$78,'График дифференц'!E31,IF(malumot!$B$78=malumot!$D$78,'График аннуитет.'!E31))</f>
        <v>3089203.0100000002</v>
      </c>
      <c r="F32" s="31">
        <f>IF(malumot!$B$78=malumot!$C$78,'График дифференц'!F31,IF(malumot!$B$78=malumot!$D$78,'График аннуитет.'!F31))</f>
        <v>7155000</v>
      </c>
    </row>
    <row r="33" spans="1:6" x14ac:dyDescent="0.25">
      <c r="A33" s="16">
        <f t="shared" si="0"/>
        <v>25</v>
      </c>
      <c r="B33" s="30">
        <f>IF('График аннуитет.'!B32=FALSE,"",'График аннуитет.'!B32)</f>
        <v>46510</v>
      </c>
      <c r="C33" s="31">
        <f>IF(malumot!$B$78=malumot!$C$78,'График дифференц'!C32,IF(malumot!$B$78=malumot!$D$78,'График аннуитет.'!C32))</f>
        <v>62066703.629999958</v>
      </c>
      <c r="D33" s="31">
        <f>IF(malumot!$B$78=malumot!$C$78,'График дифференц'!D32,IF(malumot!$B$78=malumot!$D$78,'График аннуитет.'!D32))</f>
        <v>4162194.56</v>
      </c>
      <c r="E33" s="31">
        <f>IF(malumot!$B$78=malumot!$C$78,'График дифференц'!E32,IF(malumot!$B$78=malumot!$D$78,'График аннуитет.'!E32))</f>
        <v>2992805.44</v>
      </c>
      <c r="F33" s="31">
        <f>IF(malumot!$B$78=malumot!$C$78,'График дифференц'!F32,IF(malumot!$B$78=malumot!$D$78,'График аннуитет.'!F32))</f>
        <v>7155000</v>
      </c>
    </row>
    <row r="34" spans="1:6" x14ac:dyDescent="0.25">
      <c r="A34" s="16">
        <f t="shared" si="0"/>
        <v>26</v>
      </c>
      <c r="B34" s="30">
        <f>IF('График аннуитет.'!B33=FALSE,"",'График аннуитет.'!B33)</f>
        <v>46539</v>
      </c>
      <c r="C34" s="31">
        <f>IF(malumot!$B$78=malumot!$C$78,'График дифференц'!C33,IF(malumot!$B$78=malumot!$D$78,'График аннуитет.'!C33))</f>
        <v>57904509.069999956</v>
      </c>
      <c r="D34" s="31">
        <f>IF(malumot!$B$78=malumot!$C$78,'График дифференц'!D33,IF(malumot!$B$78=malumot!$D$78,'График аннуитет.'!D33))</f>
        <v>4624652.2699999996</v>
      </c>
      <c r="E34" s="31">
        <f>IF(malumot!$B$78=malumot!$C$78,'График дифференц'!E33,IF(malumot!$B$78=malumot!$D$78,'График аннуитет.'!E33))</f>
        <v>2530347.73</v>
      </c>
      <c r="F34" s="31">
        <f>IF(malumot!$B$78=malumot!$C$78,'График дифференц'!F33,IF(malumot!$B$78=malumot!$D$78,'График аннуитет.'!F33))</f>
        <v>7155000</v>
      </c>
    </row>
    <row r="35" spans="1:6" x14ac:dyDescent="0.25">
      <c r="A35" s="16">
        <f t="shared" si="0"/>
        <v>27</v>
      </c>
      <c r="B35" s="30">
        <f>IF('График аннуитет.'!B34=FALSE,"",'График аннуитет.'!B34)</f>
        <v>46569</v>
      </c>
      <c r="C35" s="31">
        <f>IF(malumot!$B$78=malumot!$C$78,'График дифференц'!C34,IF(malumot!$B$78=malumot!$D$78,'График аннуитет.'!C34))</f>
        <v>53279856.799999952</v>
      </c>
      <c r="D35" s="31">
        <f>IF(malumot!$B$78=malumot!$C$78,'График дифференц'!D34,IF(malumot!$B$78=malumot!$D$78,'График аннуитет.'!D34))</f>
        <v>4746458.4000000004</v>
      </c>
      <c r="E35" s="31">
        <f>IF(malumot!$B$78=malumot!$C$78,'График дифференц'!E34,IF(malumot!$B$78=malumot!$D$78,'График аннуитет.'!E34))</f>
        <v>2408541.6</v>
      </c>
      <c r="F35" s="31">
        <f>IF(malumot!$B$78=malumot!$C$78,'График дифференц'!F34,IF(malumot!$B$78=malumot!$D$78,'График аннуитет.'!F34))</f>
        <v>7155000</v>
      </c>
    </row>
    <row r="36" spans="1:6" x14ac:dyDescent="0.25">
      <c r="A36" s="16">
        <f t="shared" si="0"/>
        <v>28</v>
      </c>
      <c r="B36" s="30">
        <f>IF('График аннуитет.'!B35=FALSE,"",'График аннуитет.'!B35)</f>
        <v>46601</v>
      </c>
      <c r="C36" s="31">
        <f>IF(malumot!$B$78=malumot!$C$78,'График дифференц'!C35,IF(malumot!$B$78=malumot!$D$78,'График аннуитет.'!C35))</f>
        <v>48533398.399999954</v>
      </c>
      <c r="D36" s="31">
        <f>IF(malumot!$B$78=malumot!$C$78,'График дифференц'!D35,IF(malumot!$B$78=malumot!$D$78,'График аннуитет.'!D35))</f>
        <v>4814759.3599999994</v>
      </c>
      <c r="E36" s="31">
        <f>IF(malumot!$B$78=malumot!$C$78,'График дифференц'!E35,IF(malumot!$B$78=malumot!$D$78,'График аннуитет.'!E35))</f>
        <v>2340240.64</v>
      </c>
      <c r="F36" s="31">
        <f>IF(malumot!$B$78=malumot!$C$78,'График дифференц'!F35,IF(malumot!$B$78=malumot!$D$78,'График аннуитет.'!F35))</f>
        <v>7155000</v>
      </c>
    </row>
    <row r="37" spans="1:6" x14ac:dyDescent="0.25">
      <c r="A37" s="16">
        <f t="shared" si="0"/>
        <v>29</v>
      </c>
      <c r="B37" s="30">
        <f>IF('График аннуитет.'!B36=FALSE,"",'График аннуитет.'!B36)</f>
        <v>46631</v>
      </c>
      <c r="C37" s="31">
        <f>IF(malumot!$B$78=malumot!$C$78,'График дифференц'!C36,IF(malumot!$B$78=malumot!$D$78,'График аннуитет.'!C36))</f>
        <v>43718639.039999954</v>
      </c>
      <c r="D37" s="31">
        <f>IF(malumot!$B$78=malumot!$C$78,'График дифференц'!D36,IF(malumot!$B$78=malumot!$D$78,'График аннуитет.'!D36))</f>
        <v>5178678</v>
      </c>
      <c r="E37" s="31">
        <f>IF(malumot!$B$78=malumot!$C$78,'График дифференц'!E36,IF(malumot!$B$78=malumot!$D$78,'График аннуитет.'!E36))</f>
        <v>1976321.9999999998</v>
      </c>
      <c r="F37" s="31">
        <f>IF(malumot!$B$78=malumot!$C$78,'График дифференц'!F36,IF(malumot!$B$78=malumot!$D$78,'График аннуитет.'!F36))</f>
        <v>7155000</v>
      </c>
    </row>
    <row r="38" spans="1:6" x14ac:dyDescent="0.25">
      <c r="A38" s="16">
        <f t="shared" si="0"/>
        <v>30</v>
      </c>
      <c r="B38" s="30">
        <f>IF('График аннуитет.'!B37=FALSE,"",'График аннуитет.'!B37)</f>
        <v>46661</v>
      </c>
      <c r="C38" s="31">
        <f>IF(malumot!$B$78=malumot!$C$78,'График дифференц'!C37,IF(malumot!$B$78=malumot!$D$78,'График аннуитет.'!C37))</f>
        <v>38539961.039999954</v>
      </c>
      <c r="D38" s="31">
        <f>IF(malumot!$B$78=malumot!$C$78,'График дифференц'!D37,IF(malumot!$B$78=malumot!$D$78,'График аннуитет.'!D37))</f>
        <v>5412782.7000000002</v>
      </c>
      <c r="E38" s="31">
        <f>IF(malumot!$B$78=malumot!$C$78,'График дифференц'!E37,IF(malumot!$B$78=malumot!$D$78,'График аннуитет.'!E37))</f>
        <v>1742217.3</v>
      </c>
      <c r="F38" s="31">
        <f>IF(malumot!$B$78=malumot!$C$78,'График дифференц'!F37,IF(malumot!$B$78=malumot!$D$78,'График аннуитет.'!F37))</f>
        <v>7155000</v>
      </c>
    </row>
    <row r="39" spans="1:6" x14ac:dyDescent="0.25">
      <c r="A39" s="16">
        <f t="shared" si="0"/>
        <v>31</v>
      </c>
      <c r="B39" s="30">
        <f>IF('График аннуитет.'!B38=FALSE,"",'График аннуитет.'!B38)</f>
        <v>46692</v>
      </c>
      <c r="C39" s="31">
        <f>IF(malumot!$B$78=malumot!$C$78,'График дифференц'!C38,IF(malumot!$B$78=malumot!$D$78,'График аннуитет.'!C38))</f>
        <v>33127178.339999955</v>
      </c>
      <c r="D39" s="31">
        <f>IF(malumot!$B$78=malumot!$C$78,'График дифференц'!D38,IF(malumot!$B$78=malumot!$D$78,'График аннуитет.'!D38))</f>
        <v>5607552.2300000004</v>
      </c>
      <c r="E39" s="31">
        <f>IF(malumot!$B$78=malumot!$C$78,'График дифференц'!E38,IF(malumot!$B$78=malumot!$D$78,'График аннуитет.'!E38))</f>
        <v>1547447.77</v>
      </c>
      <c r="F39" s="31">
        <f>IF(malumot!$B$78=malumot!$C$78,'График дифференц'!F38,IF(malumot!$B$78=malumot!$D$78,'График аннуитет.'!F38))</f>
        <v>7155000</v>
      </c>
    </row>
    <row r="40" spans="1:6" x14ac:dyDescent="0.25">
      <c r="A40" s="16">
        <f t="shared" si="0"/>
        <v>32</v>
      </c>
      <c r="B40" s="30">
        <f>IF('График аннуитет.'!B39=FALSE,"",'График аннуитет.'!B39)</f>
        <v>46722</v>
      </c>
      <c r="C40" s="31">
        <f>IF(malumot!$B$78=malumot!$C$78,'График дифференц'!C39,IF(malumot!$B$78=malumot!$D$78,'График аннуитет.'!C39))</f>
        <v>27519626.109999955</v>
      </c>
      <c r="D40" s="31">
        <f>IF(malumot!$B$78=malumot!$C$78,'График дифференц'!D39,IF(malumot!$B$78=malumot!$D$78,'График аннуитет.'!D39))</f>
        <v>5910962.0999999996</v>
      </c>
      <c r="E40" s="31">
        <f>IF(malumot!$B$78=malumot!$C$78,'График дифференц'!E39,IF(malumot!$B$78=malumot!$D$78,'График аннуитет.'!E39))</f>
        <v>1244037.8999999999</v>
      </c>
      <c r="F40" s="31">
        <f>IF(malumot!$B$78=malumot!$C$78,'График дифференц'!F39,IF(malumot!$B$78=malumot!$D$78,'График аннуитет.'!F39))</f>
        <v>7155000</v>
      </c>
    </row>
    <row r="41" spans="1:6" x14ac:dyDescent="0.25">
      <c r="A41" s="16">
        <f t="shared" si="0"/>
        <v>33</v>
      </c>
      <c r="B41" s="30">
        <f>IF('График аннуитет.'!B40=FALSE,"",'График аннуитет.'!B40)</f>
        <v>46755</v>
      </c>
      <c r="C41" s="31">
        <f>IF(malumot!$B$78=malumot!$C$78,'График дифференц'!C40,IF(malumot!$B$78=malumot!$D$78,'График аннуитет.'!C40))</f>
        <v>21608664.009999953</v>
      </c>
      <c r="D41" s="31">
        <f>IF(malumot!$B$78=malumot!$C$78,'График дифференц'!D40,IF(malumot!$B$78=malumot!$D$78,'График аннуитет.'!D40))</f>
        <v>6083422.6799999997</v>
      </c>
      <c r="E41" s="31">
        <f>IF(malumot!$B$78=malumot!$C$78,'График дифференц'!E40,IF(malumot!$B$78=malumot!$D$78,'График аннуитет.'!E40))</f>
        <v>1071577.32</v>
      </c>
      <c r="F41" s="31">
        <f>IF(malumot!$B$78=malumot!$C$78,'График дифференц'!F40,IF(malumot!$B$78=malumot!$D$78,'График аннуитет.'!F40))</f>
        <v>7155000</v>
      </c>
    </row>
    <row r="42" spans="1:6" x14ac:dyDescent="0.25">
      <c r="A42" s="16">
        <f t="shared" si="0"/>
        <v>34</v>
      </c>
      <c r="B42" s="30">
        <f>IF('График аннуитет.'!B41=FALSE,"",'График аннуитет.'!B41)</f>
        <v>46784</v>
      </c>
      <c r="C42" s="31">
        <f>IF(malumot!$B$78=malumot!$C$78,'График дифференц'!C41,IF(malumot!$B$78=malumot!$D$78,'График аннуитет.'!C41))</f>
        <v>15525241.329999954</v>
      </c>
      <c r="D42" s="31">
        <f>IF(malumot!$B$78=malumot!$C$78,'График дифференц'!D41,IF(malumot!$B$78=malumot!$D$78,'График аннуитет.'!D41))</f>
        <v>6478421.8799999999</v>
      </c>
      <c r="E42" s="31">
        <f>IF(malumot!$B$78=malumot!$C$78,'График дифференц'!E41,IF(malumot!$B$78=malumot!$D$78,'График аннуитет.'!E41))</f>
        <v>676578.12</v>
      </c>
      <c r="F42" s="31">
        <f>IF(malumot!$B$78=malumot!$C$78,'График дифференц'!F41,IF(malumot!$B$78=malumot!$D$78,'График аннуитет.'!F41))</f>
        <v>7155000</v>
      </c>
    </row>
    <row r="43" spans="1:6" x14ac:dyDescent="0.25">
      <c r="A43" s="16">
        <f t="shared" si="0"/>
        <v>35</v>
      </c>
      <c r="B43" s="30">
        <f>IF('График аннуитет.'!B42=FALSE,"",'График аннуитет.'!B42)</f>
        <v>46813</v>
      </c>
      <c r="C43" s="31">
        <f>IF(malumot!$B$78=malumot!$C$78,'График дифференц'!C42,IF(malumot!$B$78=malumot!$D$78,'График аннуитет.'!C42))</f>
        <v>9046819.4499999546</v>
      </c>
      <c r="D43" s="31">
        <f>IF(malumot!$B$78=malumot!$C$78,'График дифференц'!D42,IF(malumot!$B$78=malumot!$D$78,'График аннуитет.'!D42))</f>
        <v>6760746.4500000002</v>
      </c>
      <c r="E43" s="31">
        <f>IF(malumot!$B$78=malumot!$C$78,'График дифференц'!E42,IF(malumot!$B$78=malumot!$D$78,'График аннуитет.'!E42))</f>
        <v>394253.55000000005</v>
      </c>
      <c r="F43" s="31">
        <f>IF(malumot!$B$78=malumot!$C$78,'График дифференц'!F42,IF(malumot!$B$78=malumot!$D$78,'График аннуитет.'!F42))</f>
        <v>7155000</v>
      </c>
    </row>
    <row r="44" spans="1:6" x14ac:dyDescent="0.25">
      <c r="A44" s="16">
        <f>1+A43</f>
        <v>36</v>
      </c>
      <c r="B44" s="30">
        <f>IF('График аннуитет.'!B43=FALSE,"",'График аннуитет.'!B43)</f>
        <v>46850</v>
      </c>
      <c r="C44" s="31">
        <f>IF(malumot!$B$78=malumot!$C$78,'График дифференц'!C43,IF(malumot!$B$78=malumot!$D$78,'График аннуитет.'!C43))</f>
        <v>2286072.9999999544</v>
      </c>
      <c r="D44" s="31">
        <f>IF(malumot!$B$78=malumot!$C$78,'График дифференц'!D43,IF(malumot!$B$78=malumot!$D$78,'График аннуитет.'!D43))</f>
        <v>2286072.9999999544</v>
      </c>
      <c r="E44" s="31">
        <f>IF(malumot!$B$78=malumot!$C$78,'График дифференц'!E43,IF(malumot!$B$78=malumot!$D$78,'График аннуитет.'!E43))</f>
        <v>127108.32</v>
      </c>
      <c r="F44" s="31">
        <f>IF(malumot!$B$78=malumot!$C$78,'График дифференц'!F43,IF(malumot!$B$78=malumot!$D$78,'График аннуитет.'!F43))</f>
        <v>2413181.3199999542</v>
      </c>
    </row>
    <row r="45" spans="1:6" hidden="1" x14ac:dyDescent="0.25">
      <c r="A45" s="16">
        <f t="shared" ref="A45:A56" si="1">1+A44</f>
        <v>37</v>
      </c>
      <c r="B45" s="30" t="str">
        <f>IF('График аннуитет.'!B44=FALSE,"",'График аннуитет.'!B44)</f>
        <v/>
      </c>
      <c r="C45" s="31">
        <f>IF(malumot!$B$78=malumot!$C$78,'График дифференц'!C44,IF(malumot!$B$78=malumot!$D$78,'График аннуитет.'!C44))</f>
        <v>0</v>
      </c>
      <c r="D45" s="31">
        <f>IF(malumot!$B$78=malumot!$C$78,'График дифференц'!D44,IF(malumot!$B$78=malumot!$D$78,'График аннуитет.'!D44))</f>
        <v>0</v>
      </c>
      <c r="E45" s="31">
        <f>IF(malumot!$B$78=malumot!$C$78,'График дифференц'!E44,IF(malumot!$B$78=malumot!$D$78,'График аннуитет.'!E44))</f>
        <v>0</v>
      </c>
      <c r="F45" s="31">
        <f>IF(malumot!$B$78=malumot!$C$78,'График дифференц'!F44,IF(malumot!$B$78=malumot!$D$78,'График аннуитет.'!F44))</f>
        <v>0</v>
      </c>
    </row>
    <row r="46" spans="1:6" hidden="1" x14ac:dyDescent="0.25">
      <c r="A46" s="16">
        <f t="shared" si="1"/>
        <v>38</v>
      </c>
      <c r="B46" s="30" t="str">
        <f>IF('График аннуитет.'!B45=FALSE,"",'График аннуитет.'!B45)</f>
        <v/>
      </c>
      <c r="C46" s="31">
        <f>IF(malumot!$B$78=malumot!$C$78,'График дифференц'!C45,IF(malumot!$B$78=malumot!$D$78,'График аннуитет.'!C45))</f>
        <v>0</v>
      </c>
      <c r="D46" s="31">
        <f>IF(malumot!$B$78=malumot!$C$78,'График дифференц'!D45,IF(malumot!$B$78=malumot!$D$78,'График аннуитет.'!D45))</f>
        <v>0</v>
      </c>
      <c r="E46" s="31">
        <f>IF(malumot!$B$78=malumot!$C$78,'График дифференц'!E45,IF(malumot!$B$78=malumot!$D$78,'График аннуитет.'!E45))</f>
        <v>0</v>
      </c>
      <c r="F46" s="31">
        <f>IF(malumot!$B$78=malumot!$C$78,'График дифференц'!F45,IF(malumot!$B$78=malumot!$D$78,'График аннуитет.'!F45))</f>
        <v>0</v>
      </c>
    </row>
    <row r="47" spans="1:6" hidden="1" x14ac:dyDescent="0.25">
      <c r="A47" s="16">
        <f t="shared" si="1"/>
        <v>39</v>
      </c>
      <c r="B47" s="30" t="str">
        <f>IF('График аннуитет.'!B46=FALSE,"",'График аннуитет.'!B46)</f>
        <v/>
      </c>
      <c r="C47" s="31">
        <f>IF(malumot!$B$78=malumot!$C$78,'График дифференц'!C46,IF(malumot!$B$78=malumot!$D$78,'График аннуитет.'!C46))</f>
        <v>0</v>
      </c>
      <c r="D47" s="31">
        <f>IF(malumot!$B$78=malumot!$C$78,'График дифференц'!D46,IF(malumot!$B$78=malumot!$D$78,'График аннуитет.'!D46))</f>
        <v>0</v>
      </c>
      <c r="E47" s="31">
        <f>IF(malumot!$B$78=malumot!$C$78,'График дифференц'!E46,IF(malumot!$B$78=malumot!$D$78,'График аннуитет.'!E46))</f>
        <v>0</v>
      </c>
      <c r="F47" s="31">
        <f>IF(malumot!$B$78=malumot!$C$78,'График дифференц'!F46,IF(malumot!$B$78=malumot!$D$78,'График аннуитет.'!F46))</f>
        <v>0</v>
      </c>
    </row>
    <row r="48" spans="1:6" hidden="1" x14ac:dyDescent="0.25">
      <c r="A48" s="16">
        <f t="shared" si="1"/>
        <v>40</v>
      </c>
      <c r="B48" s="30" t="str">
        <f>IF('График аннуитет.'!B47=FALSE,"",'График аннуитет.'!B47)</f>
        <v/>
      </c>
      <c r="C48" s="31">
        <f>IF(malumot!$B$78=malumot!$C$78,'График дифференц'!C47,IF(malumot!$B$78=malumot!$D$78,'График аннуитет.'!C47))</f>
        <v>0</v>
      </c>
      <c r="D48" s="31">
        <f>IF(malumot!$B$78=malumot!$C$78,'График дифференц'!D47,IF(malumot!$B$78=malumot!$D$78,'График аннуитет.'!D47))</f>
        <v>0</v>
      </c>
      <c r="E48" s="31">
        <f>IF(malumot!$B$78=malumot!$C$78,'График дифференц'!E47,IF(malumot!$B$78=malumot!$D$78,'График аннуитет.'!E47))</f>
        <v>0</v>
      </c>
      <c r="F48" s="31">
        <f>IF(malumot!$B$78=malumot!$C$78,'График дифференц'!F47,IF(malumot!$B$78=malumot!$D$78,'График аннуитет.'!F47))</f>
        <v>0</v>
      </c>
    </row>
    <row r="49" spans="1:6" hidden="1" x14ac:dyDescent="0.25">
      <c r="A49" s="16">
        <f t="shared" si="1"/>
        <v>41</v>
      </c>
      <c r="B49" s="30" t="str">
        <f>IF('График аннуитет.'!B48=FALSE,"",'График аннуитет.'!B48)</f>
        <v/>
      </c>
      <c r="C49" s="31">
        <f>IF(malumot!$B$78=malumot!$C$78,'График дифференц'!C48,IF(malumot!$B$78=malumot!$D$78,'График аннуитет.'!C48))</f>
        <v>0</v>
      </c>
      <c r="D49" s="31">
        <f>IF(malumot!$B$78=malumot!$C$78,'График дифференц'!D48,IF(malumot!$B$78=malumot!$D$78,'График аннуитет.'!D48))</f>
        <v>0</v>
      </c>
      <c r="E49" s="31">
        <f>IF(malumot!$B$78=malumot!$C$78,'График дифференц'!E48,IF(malumot!$B$78=malumot!$D$78,'График аннуитет.'!E48))</f>
        <v>0</v>
      </c>
      <c r="F49" s="31">
        <f>IF(malumot!$B$78=malumot!$C$78,'График дифференц'!F48,IF(malumot!$B$78=malumot!$D$78,'График аннуитет.'!F48))</f>
        <v>0</v>
      </c>
    </row>
    <row r="50" spans="1:6" hidden="1" x14ac:dyDescent="0.25">
      <c r="A50" s="16">
        <f t="shared" si="1"/>
        <v>42</v>
      </c>
      <c r="B50" s="30" t="str">
        <f>IF('График аннуитет.'!B49=FALSE,"",'График аннуитет.'!B49)</f>
        <v/>
      </c>
      <c r="C50" s="31">
        <f>IF(malumot!$B$78=malumot!$C$78,'График дифференц'!C49,IF(malumot!$B$78=malumot!$D$78,'График аннуитет.'!C49))</f>
        <v>0</v>
      </c>
      <c r="D50" s="31">
        <f>IF(malumot!$B$78=malumot!$C$78,'График дифференц'!D49,IF(malumot!$B$78=malumot!$D$78,'График аннуитет.'!D49))</f>
        <v>0</v>
      </c>
      <c r="E50" s="31">
        <f>IF(malumot!$B$78=malumot!$C$78,'График дифференц'!E49,IF(malumot!$B$78=malumot!$D$78,'График аннуитет.'!E49))</f>
        <v>0</v>
      </c>
      <c r="F50" s="31">
        <f>IF(malumot!$B$78=malumot!$C$78,'График дифференц'!F49,IF(malumot!$B$78=malumot!$D$78,'График аннуитет.'!F49))</f>
        <v>0</v>
      </c>
    </row>
    <row r="51" spans="1:6" hidden="1" x14ac:dyDescent="0.25">
      <c r="A51" s="16">
        <f t="shared" si="1"/>
        <v>43</v>
      </c>
      <c r="B51" s="30" t="str">
        <f>IF('График аннуитет.'!B50=FALSE,"",'График аннуитет.'!B50)</f>
        <v/>
      </c>
      <c r="C51" s="31">
        <f>IF(malumot!$B$78=malumot!$C$78,'График дифференц'!C50,IF(malumot!$B$78=malumot!$D$78,'График аннуитет.'!C50))</f>
        <v>0</v>
      </c>
      <c r="D51" s="31">
        <f>IF(malumot!$B$78=malumot!$C$78,'График дифференц'!D50,IF(malumot!$B$78=malumot!$D$78,'График аннуитет.'!D50))</f>
        <v>0</v>
      </c>
      <c r="E51" s="31">
        <f>IF(malumot!$B$78=malumot!$C$78,'График дифференц'!E50,IF(malumot!$B$78=malumot!$D$78,'График аннуитет.'!E50))</f>
        <v>0</v>
      </c>
      <c r="F51" s="31">
        <f>IF(malumot!$B$78=malumot!$C$78,'График дифференц'!F50,IF(malumot!$B$78=malumot!$D$78,'График аннуитет.'!F50))</f>
        <v>0</v>
      </c>
    </row>
    <row r="52" spans="1:6" hidden="1" x14ac:dyDescent="0.25">
      <c r="A52" s="16">
        <f t="shared" si="1"/>
        <v>44</v>
      </c>
      <c r="B52" s="30" t="str">
        <f>IF('График аннуитет.'!B51=FALSE,"",'График аннуитет.'!B51)</f>
        <v/>
      </c>
      <c r="C52" s="31">
        <f>IF(malumot!$B$78=malumot!$C$78,'График дифференц'!C51,IF(malumot!$B$78=malumot!$D$78,'График аннуитет.'!C51))</f>
        <v>0</v>
      </c>
      <c r="D52" s="31">
        <f>IF(malumot!$B$78=malumot!$C$78,'График дифференц'!D51,IF(malumot!$B$78=malumot!$D$78,'График аннуитет.'!D51))</f>
        <v>0</v>
      </c>
      <c r="E52" s="31">
        <f>IF(malumot!$B$78=malumot!$C$78,'График дифференц'!E51,IF(malumot!$B$78=malumot!$D$78,'График аннуитет.'!E51))</f>
        <v>0</v>
      </c>
      <c r="F52" s="31">
        <f>IF(malumot!$B$78=malumot!$C$78,'График дифференц'!F51,IF(malumot!$B$78=malumot!$D$78,'График аннуитет.'!F51))</f>
        <v>0</v>
      </c>
    </row>
    <row r="53" spans="1:6" hidden="1" x14ac:dyDescent="0.25">
      <c r="A53" s="16">
        <f t="shared" si="1"/>
        <v>45</v>
      </c>
      <c r="B53" s="30" t="str">
        <f>IF('График аннуитет.'!B52=FALSE,"",'График аннуитет.'!B52)</f>
        <v/>
      </c>
      <c r="C53" s="31">
        <f>IF(malumot!$B$78=malumot!$C$78,'График дифференц'!C52,IF(malumot!$B$78=malumot!$D$78,'График аннуитет.'!C52))</f>
        <v>0</v>
      </c>
      <c r="D53" s="31">
        <f>IF(malumot!$B$78=malumot!$C$78,'График дифференц'!D52,IF(malumot!$B$78=malumot!$D$78,'График аннуитет.'!D52))</f>
        <v>0</v>
      </c>
      <c r="E53" s="31">
        <f>IF(malumot!$B$78=malumot!$C$78,'График дифференц'!E52,IF(malumot!$B$78=malumot!$D$78,'График аннуитет.'!E52))</f>
        <v>0</v>
      </c>
      <c r="F53" s="31">
        <f>IF(malumot!$B$78=malumot!$C$78,'График дифференц'!F52,IF(malumot!$B$78=malumot!$D$78,'График аннуитет.'!F52))</f>
        <v>0</v>
      </c>
    </row>
    <row r="54" spans="1:6" hidden="1" x14ac:dyDescent="0.25">
      <c r="A54" s="16">
        <f t="shared" si="1"/>
        <v>46</v>
      </c>
      <c r="B54" s="30" t="str">
        <f>IF('График аннуитет.'!B53=FALSE,"",'График аннуитет.'!B53)</f>
        <v/>
      </c>
      <c r="C54" s="31">
        <f>IF(malumot!$B$78=malumot!$C$78,'График дифференц'!C53,IF(malumot!$B$78=malumot!$D$78,'График аннуитет.'!C53))</f>
        <v>0</v>
      </c>
      <c r="D54" s="31">
        <f>IF(malumot!$B$78=malumot!$C$78,'График дифференц'!D53,IF(malumot!$B$78=malumot!$D$78,'График аннуитет.'!D53))</f>
        <v>0</v>
      </c>
      <c r="E54" s="31">
        <f>IF(malumot!$B$78=malumot!$C$78,'График дифференц'!E53,IF(malumot!$B$78=malumot!$D$78,'График аннуитет.'!E53))</f>
        <v>0</v>
      </c>
      <c r="F54" s="31">
        <f>IF(malumot!$B$78=malumot!$C$78,'График дифференц'!F53,IF(malumot!$B$78=malumot!$D$78,'График аннуитет.'!F53))</f>
        <v>0</v>
      </c>
    </row>
    <row r="55" spans="1:6" hidden="1" x14ac:dyDescent="0.25">
      <c r="A55" s="16">
        <f t="shared" si="1"/>
        <v>47</v>
      </c>
      <c r="B55" s="30" t="str">
        <f>IF('График аннуитет.'!B54=FALSE,"",'График аннуитет.'!B54)</f>
        <v/>
      </c>
      <c r="C55" s="31">
        <f>IF(malumot!$B$78=malumot!$C$78,'График дифференц'!C54,IF(malumot!$B$78=malumot!$D$78,'График аннуитет.'!C54))</f>
        <v>0</v>
      </c>
      <c r="D55" s="31">
        <f>IF(malumot!$B$78=malumot!$C$78,'График дифференц'!D54,IF(malumot!$B$78=malumot!$D$78,'График аннуитет.'!D54))</f>
        <v>0</v>
      </c>
      <c r="E55" s="31">
        <f>IF(malumot!$B$78=malumot!$C$78,'График дифференц'!E54,IF(malumot!$B$78=malumot!$D$78,'График аннуитет.'!E54))</f>
        <v>0</v>
      </c>
      <c r="F55" s="31">
        <f>IF(malumot!$B$78=malumot!$C$78,'График дифференц'!F54,IF(malumot!$B$78=malumot!$D$78,'График аннуитет.'!F54))</f>
        <v>0</v>
      </c>
    </row>
    <row r="56" spans="1:6" hidden="1" x14ac:dyDescent="0.25">
      <c r="A56" s="16">
        <f t="shared" si="1"/>
        <v>48</v>
      </c>
      <c r="B56" s="30" t="str">
        <f>IF('График аннуитет.'!B55=FALSE,"",'График аннуитет.'!B55)</f>
        <v/>
      </c>
      <c r="C56" s="31">
        <f>IF(malumot!$B$78=malumot!$C$78,'График дифференц'!C55,IF(malumot!$B$78=malumot!$D$78,'График аннуитет.'!C55))</f>
        <v>0</v>
      </c>
      <c r="D56" s="31">
        <f>IF(malumot!$B$78=malumot!$C$78,'График дифференц'!D55,IF(malumot!$B$78=malumot!$D$78,'График аннуитет.'!D55))</f>
        <v>0</v>
      </c>
      <c r="E56" s="31">
        <f>IF(malumot!$B$78=malumot!$C$78,'График дифференц'!E55,IF(malumot!$B$78=malumot!$D$78,'График аннуитет.'!E55))</f>
        <v>0</v>
      </c>
      <c r="F56" s="31">
        <f>IF(malumot!$B$78=malumot!$C$78,'График дифференц'!F55,IF(malumot!$B$78=malumot!$D$78,'График аннуитет.'!F55))</f>
        <v>0</v>
      </c>
    </row>
    <row r="57" spans="1:6" ht="15" customHeight="1" x14ac:dyDescent="0.25">
      <c r="A57" s="43"/>
      <c r="B57" s="44" t="s">
        <v>207</v>
      </c>
      <c r="C57" s="45"/>
      <c r="D57" s="45">
        <f>SUM(D9:D56)</f>
        <v>124999999.99999997</v>
      </c>
      <c r="E57" s="45">
        <f t="shared" ref="E57:F57" si="2">SUM(E9:E56)</f>
        <v>127838181.31999998</v>
      </c>
      <c r="F57" s="45">
        <f t="shared" si="2"/>
        <v>252838181.31999996</v>
      </c>
    </row>
    <row r="58" spans="1:6" ht="33" customHeight="1" x14ac:dyDescent="0.25">
      <c r="B58" s="32"/>
      <c r="C58" s="33"/>
      <c r="D58" s="33"/>
      <c r="E58" s="33"/>
      <c r="F58" s="33"/>
    </row>
    <row r="59" spans="1:6" ht="70.5" customHeight="1" x14ac:dyDescent="0.25">
      <c r="A59" s="286" t="str">
        <f>"*"&amp;malumot!C64&amp;" bo‘yicha to‘lovlar to‘lov jadvalida ko‘rsatilmagan sanalarda to‘langan taqdirda, to‘lov summasi mikroqarz shartnomasining 2.2.-bandiga muvofiq "&amp;malumot!B65&amp;" qoldig‘iga hisoblangan foizlar summasiga o‘zgartiriladi."</f>
        <v>*Mikrokredit bo‘yicha to‘lovlar to‘lov jadvalida ko‘rsatilmagan sanalarda to‘langan taqdirda, to‘lov summasi mikroqarz shartnomasining 2.2.-bandiga muvofiq mikrokredit qoldig‘iga hisoblangan foizlar summasiga o‘zgartiriladi.</v>
      </c>
      <c r="B59" s="286"/>
      <c r="C59" s="286"/>
      <c r="D59" s="286"/>
      <c r="E59" s="286"/>
      <c r="F59" s="286"/>
    </row>
    <row r="60" spans="1:6" ht="42.75" customHeight="1" x14ac:dyDescent="0.25"/>
    <row r="61" spans="1:6" ht="15" customHeight="1" x14ac:dyDescent="0.25">
      <c r="A61" s="332" t="s">
        <v>269</v>
      </c>
      <c r="B61" s="332"/>
      <c r="C61" s="332"/>
      <c r="D61" s="332" t="s">
        <v>274</v>
      </c>
      <c r="E61" s="332"/>
      <c r="F61" s="332"/>
    </row>
    <row r="62" spans="1:6" ht="11.25" customHeight="1" x14ac:dyDescent="0.25">
      <c r="A62" s="333"/>
      <c r="B62" s="333"/>
      <c r="C62" s="333"/>
      <c r="D62" s="333"/>
      <c r="E62" s="333"/>
      <c r="F62" s="333"/>
    </row>
    <row r="63" spans="1:6" ht="30" customHeight="1" x14ac:dyDescent="0.25">
      <c r="A63" s="329" t="str">
        <f>shartnoma!A117</f>
        <v>«CLEVER MIKROMOLIYA TASHKILOTI» MChJ</v>
      </c>
      <c r="B63" s="329"/>
      <c r="C63" s="329"/>
      <c r="D63" s="330" t="str">
        <f>shartnoma!B117</f>
        <v>MATCHANOVA AZIZA BEKTURDIYEVNA</v>
      </c>
      <c r="E63" s="330"/>
      <c r="F63" s="330"/>
    </row>
    <row r="64" spans="1:6" ht="47.25" customHeight="1" x14ac:dyDescent="0.25">
      <c r="A64" s="331" t="str">
        <f>shartnoma!A119</f>
        <v>Manzil: Toshkent shahri, Olmazor tumani, Sagbon ko'chasi, 30 boshi berk, 6-uy</v>
      </c>
      <c r="B64" s="331"/>
      <c r="C64" s="331"/>
      <c r="D64" s="331" t="str">
        <f>shartnoma!B119</f>
        <v>Manzil: XORAZM VILOYATI SHOVOT TUMANI BOYRACHI QFY BOBORAXIM KO'CHASI 4-UY</v>
      </c>
      <c r="E64" s="331"/>
      <c r="F64" s="331"/>
    </row>
    <row r="65" spans="1:6" ht="15" customHeight="1" x14ac:dyDescent="0.25">
      <c r="A65" s="331" t="str">
        <f>shartnoma!A120</f>
        <v>h/r: №20216000705068380001</v>
      </c>
      <c r="B65" s="331"/>
      <c r="C65" s="331"/>
      <c r="D65" s="331" t="str">
        <f>shartnoma!B121</f>
        <v>Pasport: AC 2074678, XORAZM VILOYATI SHOVOT TUMANI IIB tomonidan 17.07.2019 yilda berilgan</v>
      </c>
      <c r="E65" s="331"/>
      <c r="F65" s="331"/>
    </row>
    <row r="66" spans="1:6" ht="32.25" customHeight="1" x14ac:dyDescent="0.25">
      <c r="A66" s="331" t="str">
        <f>shartnoma!A121</f>
        <v>MFO: №01042 в ATB “Kapitalbank” Sergeli filiali</v>
      </c>
      <c r="B66" s="331"/>
      <c r="C66" s="331"/>
      <c r="D66" s="331"/>
      <c r="E66" s="331"/>
      <c r="F66" s="331"/>
    </row>
    <row r="67" spans="1:6" ht="15" customHeight="1" x14ac:dyDescent="0.25">
      <c r="A67" s="331" t="str">
        <f>shartnoma!A122</f>
        <v>STIR: 306365847</v>
      </c>
      <c r="B67" s="331"/>
      <c r="C67" s="331"/>
      <c r="D67" s="331" t="str">
        <f>shartnoma!B122</f>
        <v>Tel: 91 860-86-87 O'ZI</v>
      </c>
      <c r="E67" s="331"/>
      <c r="F67" s="331"/>
    </row>
    <row r="68" spans="1:6" ht="15" customHeight="1" x14ac:dyDescent="0.25">
      <c r="A68" s="331" t="str">
        <f>shartnoma!A123</f>
        <v>Tel: (78) 113 31 33</v>
      </c>
      <c r="B68" s="331"/>
      <c r="C68" s="331"/>
      <c r="D68" s="331" t="str">
        <f>shartnoma!B123</f>
        <v>33 381-86-87 Ayoli</v>
      </c>
      <c r="E68" s="331"/>
      <c r="F68" s="331"/>
    </row>
    <row r="69" spans="1:6" ht="15" customHeight="1" x14ac:dyDescent="0.25">
      <c r="A69" s="331" t="str">
        <f>shartnoma!A124</f>
        <v>(78) 113 31 34</v>
      </c>
      <c r="B69" s="331"/>
      <c r="C69" s="331"/>
      <c r="D69" s="331" t="str">
        <f>shartnoma!B124</f>
        <v>99-187-10-62 Otasi</v>
      </c>
      <c r="E69" s="331"/>
      <c r="F69" s="331"/>
    </row>
    <row r="70" spans="1:6" ht="23.25" customHeight="1" x14ac:dyDescent="0.25">
      <c r="A70" s="334"/>
      <c r="B70" s="334"/>
      <c r="C70" s="334"/>
      <c r="D70" s="334" t="str">
        <f>IF(shartnoma!B125=0,"",shartnoma!B125)</f>
        <v/>
      </c>
      <c r="E70" s="334"/>
      <c r="F70" s="334"/>
    </row>
    <row r="71" spans="1:6" ht="22.5" customHeight="1" x14ac:dyDescent="0.25">
      <c r="A71" s="336" t="str">
        <f>malumot!A171</f>
        <v>Xorazm filiali boshlig'i</v>
      </c>
      <c r="B71" s="336"/>
      <c r="C71" s="336"/>
      <c r="D71" s="330" t="str">
        <f>shartnoma!B126</f>
        <v>MATCHANOVA A.B.     __________________</v>
      </c>
      <c r="E71" s="330"/>
      <c r="F71" s="330"/>
    </row>
    <row r="72" spans="1:6" ht="15" customHeight="1" x14ac:dyDescent="0.25">
      <c r="A72" s="336" t="str">
        <f>malumot!B160</f>
        <v>M.Sharipov</v>
      </c>
      <c r="B72" s="336"/>
      <c r="C72" s="336"/>
      <c r="D72" s="330"/>
      <c r="E72" s="330"/>
      <c r="F72" s="330"/>
    </row>
    <row r="73" spans="1:6" ht="24" customHeight="1" x14ac:dyDescent="0.25">
      <c r="A73" s="313"/>
      <c r="B73" s="313"/>
      <c r="C73" s="313"/>
      <c r="D73" s="313"/>
      <c r="E73" s="313"/>
      <c r="F73" s="313"/>
    </row>
    <row r="74" spans="1:6" ht="30" customHeight="1" x14ac:dyDescent="0.25">
      <c r="A74" s="317"/>
      <c r="B74" s="317"/>
      <c r="C74" s="317"/>
      <c r="D74" s="318"/>
      <c r="E74" s="318"/>
      <c r="F74" s="318"/>
    </row>
    <row r="75" spans="1:6" x14ac:dyDescent="0.25">
      <c r="A75" s="319"/>
      <c r="B75" s="319"/>
      <c r="C75" s="319"/>
      <c r="D75" s="319"/>
      <c r="E75" s="319"/>
      <c r="F75" s="319"/>
    </row>
    <row r="76" spans="1:6" x14ac:dyDescent="0.25">
      <c r="A76" s="316"/>
      <c r="B76" s="316"/>
      <c r="C76" s="316"/>
      <c r="D76" s="316"/>
      <c r="E76" s="316"/>
      <c r="F76" s="316"/>
    </row>
  </sheetData>
  <mergeCells count="40">
    <mergeCell ref="H12:P24"/>
    <mergeCell ref="A76:C76"/>
    <mergeCell ref="D76:F76"/>
    <mergeCell ref="A73:C73"/>
    <mergeCell ref="D73:F73"/>
    <mergeCell ref="A74:C74"/>
    <mergeCell ref="D74:F74"/>
    <mergeCell ref="A75:C75"/>
    <mergeCell ref="D75:F75"/>
    <mergeCell ref="A71:C71"/>
    <mergeCell ref="D71:F71"/>
    <mergeCell ref="A72:C72"/>
    <mergeCell ref="D72:F72"/>
    <mergeCell ref="A68:C68"/>
    <mergeCell ref="D68:F68"/>
    <mergeCell ref="A69:C69"/>
    <mergeCell ref="D69:F69"/>
    <mergeCell ref="A70:C70"/>
    <mergeCell ref="D70:F70"/>
    <mergeCell ref="A67:C67"/>
    <mergeCell ref="D67:F67"/>
    <mergeCell ref="A59:F59"/>
    <mergeCell ref="A61:C61"/>
    <mergeCell ref="D61:F61"/>
    <mergeCell ref="A62:C62"/>
    <mergeCell ref="D62:F62"/>
    <mergeCell ref="A63:C63"/>
    <mergeCell ref="D63:F63"/>
    <mergeCell ref="A64:C64"/>
    <mergeCell ref="D64:F64"/>
    <mergeCell ref="A65:C65"/>
    <mergeCell ref="D65:F66"/>
    <mergeCell ref="A66:C66"/>
    <mergeCell ref="E2:F2"/>
    <mergeCell ref="A5:F5"/>
    <mergeCell ref="A7:A8"/>
    <mergeCell ref="B7:B8"/>
    <mergeCell ref="C7:C8"/>
    <mergeCell ref="D7:F7"/>
    <mergeCell ref="E3:F3"/>
  </mergeCells>
  <conditionalFormatting sqref="B9:B44">
    <cfRule type="cellIs" dxfId="3" priority="4" operator="lessThan">
      <formula>22105</formula>
    </cfRule>
  </conditionalFormatting>
  <conditionalFormatting sqref="C9:F44">
    <cfRule type="cellIs" dxfId="2" priority="3" operator="lessThan">
      <formula>0.1</formula>
    </cfRule>
  </conditionalFormatting>
  <conditionalFormatting sqref="B45:B56">
    <cfRule type="cellIs" dxfId="1" priority="2" operator="lessThan">
      <formula>22105</formula>
    </cfRule>
  </conditionalFormatting>
  <conditionalFormatting sqref="C45:F56">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6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5:C33"/>
  <sheetViews>
    <sheetView view="pageBreakPreview" topLeftCell="A5" zoomScale="130" zoomScaleNormal="175" zoomScaleSheetLayoutView="130" workbookViewId="0">
      <selection activeCell="C16" sqref="C16"/>
    </sheetView>
  </sheetViews>
  <sheetFormatPr defaultColWidth="0" defaultRowHeight="15.75" zeroHeight="1" x14ac:dyDescent="0.25"/>
  <cols>
    <col min="1" max="1" width="26" style="6" customWidth="1"/>
    <col min="2" max="2" width="15.28515625" style="6" customWidth="1"/>
    <col min="3" max="3" width="34.5703125" style="6" customWidth="1"/>
    <col min="4" max="16384" width="9.140625" style="6" hidden="1"/>
  </cols>
  <sheetData>
    <row r="5" spans="1:3" x14ac:dyDescent="0.25"/>
    <row r="6" spans="1:3" ht="17.25" customHeight="1" x14ac:dyDescent="0.25">
      <c r="C6" s="12" t="str">
        <f>malumot!B157</f>
        <v>«CLEVER MIKROMOLIYA TASHKILOTI» MChJ</v>
      </c>
    </row>
    <row r="7" spans="1:3" ht="33" customHeight="1" x14ac:dyDescent="0.25">
      <c r="A7" s="213"/>
      <c r="B7" s="213"/>
      <c r="C7" s="219" t="str">
        <f>malumot!A160&amp;" "&amp;malumot!B171 &amp;"ga"</f>
        <v>Xorazm filiali boshlig'i M.Sharipovga</v>
      </c>
    </row>
    <row r="8" spans="1:3" ht="31.5" x14ac:dyDescent="0.25">
      <c r="A8" s="220"/>
      <c r="B8" s="220"/>
      <c r="C8" s="230" t="str">
        <f>malumot!B5 &amp; "dan"</f>
        <v>MATCHANOVA AZIZA BEKTURDIYEVNAdan</v>
      </c>
    </row>
    <row r="9" spans="1:3" ht="15.75" hidden="1" customHeight="1" x14ac:dyDescent="0.25">
      <c r="C9" s="221" t="str">
        <f>[2]malumot!B119</f>
        <v>FAYZIYEV JAMSHID KURBONOVICH</v>
      </c>
    </row>
    <row r="10" spans="1:3" ht="15.75" hidden="1" customHeight="1" x14ac:dyDescent="0.25">
      <c r="C10" s="221">
        <f>[2]malumot!C119</f>
        <v>0</v>
      </c>
    </row>
    <row r="11" spans="1:3" ht="15.75" hidden="1" customHeight="1" x14ac:dyDescent="0.25">
      <c r="C11" s="220" t="s">
        <v>441</v>
      </c>
    </row>
    <row r="12" spans="1:3" x14ac:dyDescent="0.25">
      <c r="B12" s="6" t="s">
        <v>386</v>
      </c>
    </row>
    <row r="13" spans="1:3" ht="79.5" customHeight="1" x14ac:dyDescent="0.25">
      <c r="A13" s="337" t="str">
        <f>IF(malumot!B110="Avtotransport",A14,A15)</f>
        <v>MATCHANOVA AZIZA BEKTURDIYEVNA tomonidan so’ralayotgan O'ttiz olti   (36) oy muddatga, 110 000 000 (yuz yigirma besh million so'm) miqdoridagi mikrokreditning ta’minoti sifatida menga mulk huquqi asosida tegishli bo’lgan  90C477ZA, YENGIL MINIVEN, LJ166A33XP2208188, QORA CHERNIY, avtotransport vositasini qabul qilishingizni so’rayman:</v>
      </c>
      <c r="B13" s="337"/>
      <c r="C13" s="337"/>
    </row>
    <row r="14" spans="1:3" ht="124.5" hidden="1" customHeight="1" x14ac:dyDescent="0.25">
      <c r="A14" s="338" t="str">
        <f>""&amp;malumot!B12&amp;" tomonidan so’ralayotgan "&amp;malumot!B83&amp;" ("&amp;malumot!B82&amp;") oy muddatga, "&amp;FIXED(malumot!B75,0)&amp;" ("&amp;malumot!B77&amp;") miqdoridagi "&amp;malumot!B65&amp;"ning ta’minoti sifatida menga mulk huquqi asosida tegishli bo’lgan  "&amp;malumot!B133&amp;", "&amp;malumot!B135&amp;", "&amp;malumot!B138&amp;", "&amp;malumot!B141&amp;", avtotransport vositasini qabul qilishingizni so’rayman:"</f>
        <v>MATCHANOVA AZIZA BEKTURDIYEVNA tomonidan so’ralayotgan O'ttiz olti   (36) oy muddatga, 110 000 000 (yuz yigirma besh million so'm) miqdoridagi mikrokreditning ta’minoti sifatida menga mulk huquqi asosida tegishli bo’lgan  90C477ZA, YENGIL MINIVEN, LJ166A33XP2208188, QORA CHERNIY, avtotransport vositasini qabul qilishingizni so’rayman:</v>
      </c>
      <c r="B14" s="338"/>
      <c r="C14" s="338"/>
    </row>
    <row r="15" spans="1:3" ht="116.25" hidden="1" customHeight="1" x14ac:dyDescent="0.25">
      <c r="A15" s="338" t="str">
        <f>""&amp;[2]malumot!B12&amp;" tomonidan so’ralayotgan "&amp;[2]malumot!B81&amp;" ("&amp;[2]malumot!B82&amp;") oy muddatga, "&amp;FIXED([2]malumot!B75,0)&amp;" ("&amp;[2]malumot!B76&amp;") miqdoridagi "&amp;[2]malumot!B65&amp;"ning ta’minoti sifatida menga mulk huquqi asosida tegishli bo’lgan  "&amp;[2]malumot!C134&amp;", umumiy maydoni "&amp;[2]malumot!C138&amp;" va yashash maydoni "&amp;[2]malumot!C141&amp;"  "&amp;[2]malumot!C131&amp;" manzilda joylashgan ko'chmas mulkni qabul qilishingizni so’rayman:"</f>
        <v>XAYATOV OTABEK KURBANOVICH tomonidan so’ralayotgan 48 (Qirq sakkiz  ) oy muddatga, 26 000 000 (yigirma olti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38"/>
      <c r="C15" s="338"/>
    </row>
    <row r="16" spans="1:3" x14ac:dyDescent="0.25"/>
    <row r="17" spans="1:3" x14ac:dyDescent="0.25"/>
    <row r="18" spans="1:3" x14ac:dyDescent="0.25">
      <c r="C18" s="221" t="s">
        <v>442</v>
      </c>
    </row>
    <row r="19" spans="1:3" ht="18.75" customHeight="1" x14ac:dyDescent="0.25">
      <c r="C19" s="222" t="str">
        <f>malumot!B2</f>
        <v>07.04.2025</v>
      </c>
    </row>
    <row r="20" spans="1:3" x14ac:dyDescent="0.25">
      <c r="A20" s="186"/>
      <c r="B20" s="186"/>
      <c r="C20" s="186"/>
    </row>
    <row r="21" spans="1:3" x14ac:dyDescent="0.25">
      <c r="A21" s="217"/>
      <c r="B21" s="217"/>
      <c r="C21" s="217"/>
    </row>
    <row r="22" spans="1:3" x14ac:dyDescent="0.25">
      <c r="A22" s="217"/>
      <c r="B22" s="217"/>
      <c r="C22" s="217"/>
    </row>
    <row r="23" spans="1:3" x14ac:dyDescent="0.25">
      <c r="A23" s="218" t="str">
        <f>malumot!A171</f>
        <v>Xorazm filiali boshlig'i</v>
      </c>
      <c r="B23" s="218"/>
      <c r="C23" s="219" t="str">
        <f>malumot!B171</f>
        <v>M.Sharipov</v>
      </c>
    </row>
    <row r="24" spans="1:3" x14ac:dyDescent="0.25">
      <c r="A24" s="262"/>
      <c r="B24" s="262"/>
      <c r="C24" s="219"/>
    </row>
    <row r="25" spans="1:3" x14ac:dyDescent="0.25">
      <c r="A25" s="218"/>
      <c r="B25" s="218"/>
      <c r="C25" s="219"/>
    </row>
    <row r="26" spans="1:3" x14ac:dyDescent="0.25"/>
    <row r="27" spans="1:3" hidden="1" x14ac:dyDescent="0.25">
      <c r="A27" s="6" t="str">
        <f>" xususiy faoliyat ko'rsatuvchi notarius tomonidan "&amp;[2]malumot!B104&amp;" "&amp;[2]malumot!B105&amp;" berilgan ishonchnomaga asosan "</f>
        <v xml:space="preserve"> xususiy faoliyat ko'rsatuvchi notarius tomonidan BUXORO VILOYATI BUXORO SHAHRI ASHXOBOD KO'CHASI 1/3-UY SHARIPOV ZAFAR JO'RABOYEVICH berilgan ishonchnomaga asosan </v>
      </c>
    </row>
    <row r="29" spans="1:3" hidden="1" x14ac:dyDescent="0.25">
      <c r="A29" s="6" t="str">
        <f>"№"&amp;[2]malumot!B106&amp; ""</f>
        <v>№202502386001856</v>
      </c>
    </row>
    <row r="30" spans="1:3" hidden="1" x14ac:dyDescent="0.25">
      <c r="A30" s="6" t="str">
        <f>[2]malumot!B108</f>
        <v>01.04.2025</v>
      </c>
    </row>
    <row r="31" spans="1:3" hidden="1" x14ac:dyDescent="0.25">
      <c r="A31" s="6" t="str">
        <f>TEXT(A30,"ДД.ММ.ГГГГ")</f>
        <v>01.04.2025</v>
      </c>
    </row>
    <row r="32" spans="1:3" hidden="1" x14ac:dyDescent="0.25">
      <c r="A32" s="6" t="s">
        <v>443</v>
      </c>
    </row>
    <row r="33" spans="1:1" hidden="1" x14ac:dyDescent="0.25">
      <c r="A33" s="6" t="str">
        <f>CONCATENATE(A31,A32)</f>
        <v>01.04.2025 sanasidan</v>
      </c>
    </row>
  </sheetData>
  <mergeCells count="3">
    <mergeCell ref="A13:C13"/>
    <mergeCell ref="A14:C14"/>
    <mergeCell ref="A15:C15"/>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D23"/>
  <sheetViews>
    <sheetView view="pageBreakPreview" topLeftCell="A7" zoomScale="115" zoomScaleNormal="130" zoomScaleSheetLayoutView="115" workbookViewId="0">
      <selection activeCell="A20" sqref="A20:B20"/>
    </sheetView>
  </sheetViews>
  <sheetFormatPr defaultColWidth="9.140625" defaultRowHeight="15.75" x14ac:dyDescent="0.25"/>
  <cols>
    <col min="1" max="1" width="16.42578125" style="6" customWidth="1"/>
    <col min="2" max="2" width="18.42578125" style="6" customWidth="1"/>
    <col min="3" max="3" width="17.5703125" style="6" customWidth="1"/>
    <col min="4" max="4" width="28.5703125" style="6" customWidth="1"/>
    <col min="5" max="16384" width="9.140625" style="6"/>
  </cols>
  <sheetData>
    <row r="1" spans="1:4" ht="33.75" customHeight="1" x14ac:dyDescent="0.25">
      <c r="C1" s="341" t="str">
        <f>malumot!B157&amp;" Ijrochi direktori"</f>
        <v>«CLEVER MIKROMOLIYA TASHKILOTI» MChJ Ijrochi direktori</v>
      </c>
      <c r="D1" s="341"/>
    </row>
    <row r="2" spans="1:4" x14ac:dyDescent="0.25">
      <c r="C2" s="342" t="s">
        <v>385</v>
      </c>
      <c r="D2" s="342"/>
    </row>
    <row r="3" spans="1:4" x14ac:dyDescent="0.25">
      <c r="C3" s="11"/>
      <c r="D3" s="11"/>
    </row>
    <row r="4" spans="1:4" ht="57.75" customHeight="1" x14ac:dyDescent="0.25">
      <c r="C4" s="340" t="str">
        <f>malumot!B22&amp;" manzilida istiqomat qiluvchi"</f>
        <v>XORAZM VILOYATI SHOVOT TUMANI BOYRACHI QFY BOBORAXIM KO'CHASI 4-UY manzilida istiqomat qiluvchi</v>
      </c>
      <c r="D4" s="340"/>
    </row>
    <row r="5" spans="1:4" ht="36" customHeight="1" x14ac:dyDescent="0.25">
      <c r="C5" s="340" t="str">
        <f>malumot!B5&amp;" tomonidan"</f>
        <v>MATCHANOVA AZIZA BEKTURDIYEVNA tomonidan</v>
      </c>
      <c r="D5" s="340"/>
    </row>
    <row r="6" spans="1:4" ht="56.25" customHeight="1" x14ac:dyDescent="0.25">
      <c r="C6" s="339" t="str">
        <f>"Pasport: "&amp;malumot!B16&amp;", "&amp;malumot!B20</f>
        <v>Pasport: AC 2074678, XORAZM VILOYATI SHOVOT TUMANI IIB tomonidan 17.07.2019 yilda berilgan</v>
      </c>
      <c r="D6" s="339"/>
    </row>
    <row r="8" spans="1:4" x14ac:dyDescent="0.25">
      <c r="A8" s="275" t="s">
        <v>386</v>
      </c>
      <c r="B8" s="275"/>
      <c r="C8" s="275"/>
      <c r="D8" s="275"/>
    </row>
    <row r="9" spans="1:4" ht="66" customHeight="1" x14ac:dyDescent="0.25">
      <c r="A9" s="339" t="str">
        <f>"       Men, " &amp; malumot!B5 &amp; " sizdan " &amp; malumot!B2 &amp; " yildagi " &amp; malumot!B1 &amp; "-sonli kredit shartnomasiga asosan " &amp; malumot!B76  &amp; "(" &amp; malumot!B77 &amp; ")"  &amp; "so'm pul mablag'larini quyidagi rekvizitlar asosida o'tkazib berishingizni so'rayman: "</f>
        <v xml:space="preserve">       Men, MATCHANOVA AZIZA BEKTURDIYEVNA sizdan 07.04.2025 yildagi №717-XMS-sonli kredit shartnomasiga asosan 125000000(yuz yigirma besh million so'm)so'm pul mablag'larini quyidagi rekvizitlar asosida o'tkazib berishingizni so'rayman: </v>
      </c>
      <c r="B9" s="339"/>
      <c r="C9" s="339"/>
      <c r="D9" s="339"/>
    </row>
    <row r="10" spans="1:4" x14ac:dyDescent="0.25">
      <c r="A10" s="186" t="str">
        <f>malumot!A93</f>
        <v>Bank nomi:</v>
      </c>
      <c r="B10" s="339" t="str">
        <f>malumot!B93</f>
        <v>«HAMKOR BANK» AJ</v>
      </c>
      <c r="C10" s="339"/>
      <c r="D10" s="186"/>
    </row>
    <row r="11" spans="1:4" x14ac:dyDescent="0.25">
      <c r="A11" s="186" t="str">
        <f>malumot!A94</f>
        <v>H/r:</v>
      </c>
      <c r="B11" s="339" t="str">
        <f>malumot!B94</f>
        <v xml:space="preserve">2312 0000 6000 1143 7200 </v>
      </c>
      <c r="C11" s="339"/>
      <c r="D11" s="186"/>
    </row>
    <row r="12" spans="1:4" x14ac:dyDescent="0.25">
      <c r="A12" s="186" t="str">
        <f>malumot!A95</f>
        <v>MFO:</v>
      </c>
      <c r="B12" s="339" t="str">
        <f>malumot!B95</f>
        <v>00083</v>
      </c>
      <c r="C12" s="339"/>
      <c r="D12" s="186"/>
    </row>
    <row r="13" spans="1:4" x14ac:dyDescent="0.25">
      <c r="A13" s="186" t="str">
        <f>malumot!A96</f>
        <v>STIR:</v>
      </c>
      <c r="B13" s="339" t="str">
        <f>malumot!B96</f>
        <v>200242936</v>
      </c>
      <c r="C13" s="339"/>
      <c r="D13" s="186"/>
    </row>
    <row r="14" spans="1:4" x14ac:dyDescent="0.25">
      <c r="A14" s="186" t="str">
        <f>malumot!A97</f>
        <v>Karta raqami:</v>
      </c>
      <c r="B14" s="339" t="str">
        <f>malumot!B97</f>
        <v>9860 1678 4680 5015</v>
      </c>
      <c r="C14" s="339"/>
      <c r="D14" s="186"/>
    </row>
    <row r="15" spans="1:4" x14ac:dyDescent="0.25">
      <c r="A15" s="186"/>
      <c r="B15" s="186"/>
      <c r="C15" s="186"/>
      <c r="D15" s="186"/>
    </row>
    <row r="16" spans="1:4" x14ac:dyDescent="0.25">
      <c r="A16" s="340" t="str">
        <f>malumot!B5</f>
        <v>MATCHANOVA AZIZA BEKTURDIYEVNA</v>
      </c>
      <c r="B16" s="340"/>
      <c r="C16" s="340"/>
      <c r="D16" s="188" t="s">
        <v>393</v>
      </c>
    </row>
    <row r="17" spans="1:4" x14ac:dyDescent="0.25">
      <c r="A17" s="11"/>
      <c r="B17" s="11"/>
      <c r="C17" s="11"/>
      <c r="D17" s="189" t="s">
        <v>326</v>
      </c>
    </row>
    <row r="18" spans="1:4" x14ac:dyDescent="0.25">
      <c r="A18" s="11"/>
      <c r="B18" s="11"/>
      <c r="C18" s="11"/>
      <c r="D18" s="11"/>
    </row>
    <row r="19" spans="1:4" x14ac:dyDescent="0.25">
      <c r="A19" s="11"/>
      <c r="B19" s="11"/>
      <c r="C19" s="11"/>
      <c r="D19" s="11"/>
    </row>
    <row r="20" spans="1:4" ht="48.75" customHeight="1" x14ac:dyDescent="0.25">
      <c r="A20" s="341" t="str">
        <f>malumot!B157&amp;" ijrochi direktori"</f>
        <v>«CLEVER MIKROMOLIYA TASHKILOTI» MChJ ijrochi direktori</v>
      </c>
      <c r="B20" s="341"/>
      <c r="C20" s="11"/>
      <c r="D20" s="184" t="s">
        <v>394</v>
      </c>
    </row>
    <row r="23" spans="1:4" x14ac:dyDescent="0.25">
      <c r="A23" s="6" t="s">
        <v>395</v>
      </c>
      <c r="B23" s="6" t="s">
        <v>396</v>
      </c>
    </row>
  </sheetData>
  <mergeCells count="14">
    <mergeCell ref="B14:C14"/>
    <mergeCell ref="A16:C16"/>
    <mergeCell ref="A20:B20"/>
    <mergeCell ref="C1:D1"/>
    <mergeCell ref="C2:D2"/>
    <mergeCell ref="A8:D8"/>
    <mergeCell ref="C4:D4"/>
    <mergeCell ref="C5:D5"/>
    <mergeCell ref="C6:D6"/>
    <mergeCell ref="A9:D9"/>
    <mergeCell ref="B10:C10"/>
    <mergeCell ref="B11:C11"/>
    <mergeCell ref="B12:C12"/>
    <mergeCell ref="B13:C13"/>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17">
    <tabColor rgb="FF00B050"/>
  </sheetPr>
  <dimension ref="B1:G42"/>
  <sheetViews>
    <sheetView view="pageBreakPreview" topLeftCell="A15" zoomScaleSheetLayoutView="100" workbookViewId="0">
      <selection activeCell="B40" sqref="B40:F40"/>
    </sheetView>
  </sheetViews>
  <sheetFormatPr defaultColWidth="9.140625" defaultRowHeight="15" x14ac:dyDescent="0.25"/>
  <cols>
    <col min="1" max="1" width="3.42578125" style="13" customWidth="1"/>
    <col min="2" max="3" width="17.85546875" style="18" customWidth="1"/>
    <col min="4" max="4" width="15" style="18" customWidth="1"/>
    <col min="5" max="5" width="17.85546875" style="18" customWidth="1"/>
    <col min="6" max="6" width="9" style="18" customWidth="1"/>
    <col min="7" max="7" width="4.7109375" style="18" customWidth="1"/>
    <col min="8" max="16384" width="9.140625" style="13"/>
  </cols>
  <sheetData>
    <row r="1" spans="2:7" ht="15.75" thickBot="1" x14ac:dyDescent="0.3"/>
    <row r="2" spans="2:7" ht="62.25" customHeight="1" x14ac:dyDescent="0.35">
      <c r="B2" s="348" t="str">
        <f>malumot!B158</f>
        <v>«CLEVER MIKROMOLIYA TASHKILOTI» MChJ</v>
      </c>
      <c r="C2" s="349"/>
      <c r="D2" s="349"/>
      <c r="E2" s="349"/>
      <c r="F2" s="350"/>
      <c r="G2" s="38"/>
    </row>
    <row r="3" spans="2:7" x14ac:dyDescent="0.25">
      <c r="B3" s="343"/>
      <c r="C3" s="319"/>
      <c r="D3" s="319"/>
      <c r="E3" s="319"/>
      <c r="F3" s="344"/>
      <c r="G3" s="39"/>
    </row>
    <row r="4" spans="2:7" ht="8.25" customHeight="1" x14ac:dyDescent="0.25">
      <c r="B4" s="51"/>
      <c r="F4" s="52"/>
      <c r="G4" s="39"/>
    </row>
    <row r="5" spans="2:7" ht="12" customHeight="1" x14ac:dyDescent="0.25">
      <c r="B5" s="41"/>
      <c r="C5" s="39"/>
      <c r="D5" s="39"/>
      <c r="E5" s="39"/>
      <c r="F5" s="42"/>
      <c r="G5" s="39"/>
    </row>
    <row r="6" spans="2:7" ht="6.75" customHeight="1" x14ac:dyDescent="0.25">
      <c r="B6" s="41"/>
      <c r="C6" s="39"/>
      <c r="D6" s="39"/>
      <c r="E6" s="39"/>
      <c r="F6" s="42"/>
      <c r="G6" s="39"/>
    </row>
    <row r="7" spans="2:7" ht="6.75" customHeight="1" x14ac:dyDescent="0.25">
      <c r="B7" s="41"/>
      <c r="C7" s="39"/>
      <c r="D7" s="39"/>
      <c r="E7" s="39"/>
      <c r="F7" s="42"/>
      <c r="G7" s="39"/>
    </row>
    <row r="8" spans="2:7" x14ac:dyDescent="0.25">
      <c r="B8" s="41"/>
      <c r="C8" s="39"/>
      <c r="D8" s="39"/>
      <c r="E8" s="39"/>
      <c r="F8" s="42"/>
      <c r="G8" s="39"/>
    </row>
    <row r="9" spans="2:7" x14ac:dyDescent="0.25">
      <c r="B9" s="41"/>
      <c r="C9" s="39"/>
      <c r="D9" s="39"/>
      <c r="E9" s="39"/>
      <c r="F9" s="42"/>
      <c r="G9" s="39"/>
    </row>
    <row r="10" spans="2:7" x14ac:dyDescent="0.25">
      <c r="B10" s="343" t="s">
        <v>26</v>
      </c>
      <c r="C10" s="319"/>
      <c r="D10" s="319"/>
      <c r="E10" s="319"/>
      <c r="F10" s="344"/>
      <c r="G10" s="39"/>
    </row>
    <row r="11" spans="2:7" x14ac:dyDescent="0.25">
      <c r="B11" s="343" t="s">
        <v>26</v>
      </c>
      <c r="C11" s="319"/>
      <c r="D11" s="319"/>
      <c r="E11" s="319"/>
      <c r="F11" s="344"/>
      <c r="G11" s="39"/>
    </row>
    <row r="12" spans="2:7" ht="135" customHeight="1" x14ac:dyDescent="0.8">
      <c r="B12" s="351" t="str">
        <f>malumot!B5</f>
        <v>MATCHANOVA AZIZA BEKTURDIYEVNA</v>
      </c>
      <c r="C12" s="352"/>
      <c r="D12" s="352"/>
      <c r="E12" s="352"/>
      <c r="F12" s="353"/>
      <c r="G12" s="40"/>
    </row>
    <row r="13" spans="2:7" x14ac:dyDescent="0.25">
      <c r="B13" s="343"/>
      <c r="C13" s="319"/>
      <c r="D13" s="319"/>
      <c r="E13" s="319"/>
      <c r="F13" s="344"/>
      <c r="G13" s="39"/>
    </row>
    <row r="14" spans="2:7" x14ac:dyDescent="0.25">
      <c r="B14" s="41"/>
      <c r="C14" s="39"/>
      <c r="D14" s="39"/>
      <c r="E14" s="39"/>
      <c r="F14" s="42"/>
      <c r="G14" s="39"/>
    </row>
    <row r="15" spans="2:7" x14ac:dyDescent="0.25">
      <c r="B15" s="41"/>
      <c r="C15" s="39"/>
      <c r="D15" s="39"/>
      <c r="E15" s="39"/>
      <c r="F15" s="42"/>
      <c r="G15" s="39"/>
    </row>
    <row r="16" spans="2:7" x14ac:dyDescent="0.25">
      <c r="B16" s="41"/>
      <c r="C16" s="39"/>
      <c r="D16" s="39"/>
      <c r="E16" s="39"/>
      <c r="F16" s="42"/>
      <c r="G16" s="39"/>
    </row>
    <row r="17" spans="2:7" x14ac:dyDescent="0.25">
      <c r="B17" s="41"/>
      <c r="C17" s="39"/>
      <c r="D17" s="39"/>
      <c r="E17" s="39"/>
      <c r="F17" s="42"/>
      <c r="G17" s="39"/>
    </row>
    <row r="18" spans="2:7" x14ac:dyDescent="0.25">
      <c r="B18" s="343"/>
      <c r="C18" s="319"/>
      <c r="D18" s="319"/>
      <c r="E18" s="319"/>
      <c r="F18" s="344"/>
      <c r="G18" s="39"/>
    </row>
    <row r="19" spans="2:7" ht="20.25" x14ac:dyDescent="0.3">
      <c r="B19" s="345" t="str">
        <f>""&amp;malumot!C64&amp;" shartnoma "&amp;malumot!B74&amp;""</f>
        <v>Mikrokredit shartnoma 7 aprel 2025 y.dan №717-XMS</v>
      </c>
      <c r="C19" s="346"/>
      <c r="D19" s="346"/>
      <c r="E19" s="346"/>
      <c r="F19" s="347"/>
      <c r="G19" s="39"/>
    </row>
    <row r="20" spans="2:7" x14ac:dyDescent="0.25">
      <c r="B20" s="343"/>
      <c r="C20" s="319"/>
      <c r="D20" s="319"/>
      <c r="E20" s="319"/>
      <c r="F20" s="344"/>
      <c r="G20" s="39"/>
    </row>
    <row r="21" spans="2:7" x14ac:dyDescent="0.25">
      <c r="B21" s="343"/>
      <c r="C21" s="319"/>
      <c r="D21" s="319"/>
      <c r="E21" s="319"/>
      <c r="F21" s="344"/>
      <c r="G21" s="39"/>
    </row>
    <row r="22" spans="2:7" x14ac:dyDescent="0.25">
      <c r="B22" s="343"/>
      <c r="C22" s="319"/>
      <c r="D22" s="319"/>
      <c r="E22" s="319"/>
      <c r="F22" s="344"/>
      <c r="G22" s="39"/>
    </row>
    <row r="23" spans="2:7" x14ac:dyDescent="0.25">
      <c r="B23" s="343"/>
      <c r="C23" s="319"/>
      <c r="D23" s="319"/>
      <c r="E23" s="319"/>
      <c r="F23" s="344"/>
      <c r="G23" s="39"/>
    </row>
    <row r="24" spans="2:7" x14ac:dyDescent="0.25">
      <c r="B24" s="357" t="str">
        <f>" Foiz stavkasi: "&amp;malumot!B86&amp;"%"</f>
        <v xml:space="preserve"> Foiz stavkasi: 55%</v>
      </c>
      <c r="C24" s="358"/>
      <c r="D24" s="358"/>
      <c r="E24" s="358"/>
      <c r="F24" s="359"/>
      <c r="G24" s="39"/>
    </row>
    <row r="25" spans="2:7" ht="15" customHeight="1" x14ac:dyDescent="0.25">
      <c r="B25" s="357" t="str">
        <f>" "&amp;malumot!C64&amp;" muddati: "&amp;malumot!B82&amp;" oy"</f>
        <v xml:space="preserve"> Mikrokredit muddati: 36 oy</v>
      </c>
      <c r="C25" s="358"/>
      <c r="D25" s="358"/>
      <c r="E25" s="358"/>
      <c r="F25" s="359"/>
      <c r="G25" s="39"/>
    </row>
    <row r="26" spans="2:7" x14ac:dyDescent="0.25">
      <c r="B26" s="357" t="str">
        <f>" "&amp;malumot!C64&amp;" miqdori: "&amp;FIXED(malumot!B76,2)&amp;" so'm"</f>
        <v xml:space="preserve"> Mikrokredit miqdori: 125 000 000,00 so'm</v>
      </c>
      <c r="C26" s="358"/>
      <c r="D26" s="358"/>
      <c r="E26" s="358"/>
      <c r="F26" s="359"/>
      <c r="G26" s="39"/>
    </row>
    <row r="27" spans="2:7" x14ac:dyDescent="0.25">
      <c r="B27" s="343"/>
      <c r="C27" s="319"/>
      <c r="D27" s="319"/>
      <c r="E27" s="319"/>
      <c r="F27" s="344"/>
      <c r="G27" s="39"/>
    </row>
    <row r="28" spans="2:7" hidden="1" x14ac:dyDescent="0.25">
      <c r="G28" s="39"/>
    </row>
    <row r="29" spans="2:7" x14ac:dyDescent="0.25">
      <c r="B29" s="343"/>
      <c r="C29" s="319"/>
      <c r="D29" s="319"/>
      <c r="E29" s="319"/>
      <c r="F29" s="344"/>
      <c r="G29" s="39"/>
    </row>
    <row r="30" spans="2:7" ht="12.75" customHeight="1" x14ac:dyDescent="0.25">
      <c r="B30" s="41"/>
      <c r="C30" s="39"/>
      <c r="D30" s="39"/>
      <c r="E30" s="39"/>
      <c r="F30" s="42"/>
      <c r="G30" s="39"/>
    </row>
    <row r="31" spans="2:7" x14ac:dyDescent="0.25">
      <c r="B31" s="41"/>
      <c r="C31" s="39"/>
      <c r="D31" s="39"/>
      <c r="E31" s="39"/>
      <c r="F31" s="42"/>
      <c r="G31" s="39"/>
    </row>
    <row r="32" spans="2:7" ht="2.25" customHeight="1" x14ac:dyDescent="0.25">
      <c r="B32" s="41"/>
      <c r="C32" s="39"/>
      <c r="D32" s="39"/>
      <c r="E32" s="39"/>
      <c r="F32" s="42"/>
      <c r="G32" s="39"/>
    </row>
    <row r="33" spans="2:7" x14ac:dyDescent="0.25">
      <c r="B33" s="41"/>
      <c r="C33" s="39"/>
      <c r="D33" s="39"/>
      <c r="E33" s="39"/>
      <c r="F33" s="42"/>
      <c r="G33" s="39"/>
    </row>
    <row r="34" spans="2:7" x14ac:dyDescent="0.25">
      <c r="B34" s="41"/>
      <c r="C34" s="39"/>
      <c r="D34" s="39"/>
      <c r="E34" s="39"/>
      <c r="F34" s="42"/>
      <c r="G34" s="39"/>
    </row>
    <row r="35" spans="2:7" x14ac:dyDescent="0.25">
      <c r="B35" s="41"/>
      <c r="C35" s="39"/>
      <c r="D35" s="39"/>
      <c r="E35" s="39"/>
      <c r="F35" s="42"/>
      <c r="G35" s="39"/>
    </row>
    <row r="36" spans="2:7" x14ac:dyDescent="0.25">
      <c r="B36" s="41"/>
      <c r="C36" s="39"/>
      <c r="D36" s="39"/>
      <c r="E36" s="39"/>
      <c r="F36" s="42"/>
      <c r="G36" s="39"/>
    </row>
    <row r="37" spans="2:7" x14ac:dyDescent="0.25">
      <c r="B37" s="41"/>
      <c r="C37" s="39"/>
      <c r="D37" s="39"/>
      <c r="E37" s="39"/>
      <c r="F37" s="42"/>
      <c r="G37" s="39"/>
    </row>
    <row r="38" spans="2:7" x14ac:dyDescent="0.25">
      <c r="B38" s="41"/>
      <c r="C38" s="39"/>
      <c r="D38" s="39"/>
      <c r="E38" s="39"/>
      <c r="F38" s="42"/>
      <c r="G38" s="39"/>
    </row>
    <row r="39" spans="2:7" x14ac:dyDescent="0.25">
      <c r="B39" s="41"/>
      <c r="C39" s="39"/>
      <c r="D39" s="39"/>
      <c r="E39" s="39"/>
      <c r="F39" s="42"/>
      <c r="G39" s="39"/>
    </row>
    <row r="40" spans="2:7" ht="15.75" thickBot="1" x14ac:dyDescent="0.3">
      <c r="B40" s="354" t="str">
        <f>"Toshkent sh., "&amp;malumot!B70&amp;""</f>
        <v>Toshkent sh., 7 aprel 2025 y.</v>
      </c>
      <c r="C40" s="355"/>
      <c r="D40" s="355"/>
      <c r="E40" s="355"/>
      <c r="F40" s="356"/>
      <c r="G40" s="39"/>
    </row>
    <row r="41" spans="2:7" x14ac:dyDescent="0.25">
      <c r="B41" s="319"/>
      <c r="C41" s="319"/>
      <c r="D41" s="319"/>
      <c r="E41" s="319"/>
      <c r="F41" s="319"/>
      <c r="G41" s="39"/>
    </row>
    <row r="42" spans="2:7" x14ac:dyDescent="0.25">
      <c r="B42" s="319"/>
      <c r="C42" s="319"/>
      <c r="D42" s="319"/>
      <c r="E42" s="319"/>
      <c r="F42" s="319"/>
      <c r="G42" s="39"/>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5">
    <tabColor rgb="FF00B050"/>
  </sheetPr>
  <dimension ref="A1:F43"/>
  <sheetViews>
    <sheetView view="pageBreakPreview" zoomScaleSheetLayoutView="100" workbookViewId="0">
      <selection activeCell="F27" sqref="F27"/>
    </sheetView>
  </sheetViews>
  <sheetFormatPr defaultColWidth="9.140625" defaultRowHeight="12.75" x14ac:dyDescent="0.2"/>
  <cols>
    <col min="1" max="6" width="14.28515625" style="21" customWidth="1"/>
    <col min="7" max="16384" width="9.140625" style="21"/>
  </cols>
  <sheetData>
    <row r="1" spans="1:6" x14ac:dyDescent="0.2">
      <c r="A1" s="364" t="s">
        <v>215</v>
      </c>
      <c r="B1" s="364"/>
      <c r="C1" s="364"/>
      <c r="D1" s="364"/>
      <c r="E1" s="364"/>
      <c r="F1" s="364"/>
    </row>
    <row r="2" spans="1:6" ht="35.25" customHeight="1" x14ac:dyDescent="0.2">
      <c r="A2" s="365" t="s">
        <v>321</v>
      </c>
      <c r="B2" s="365"/>
      <c r="C2" s="365"/>
      <c r="D2" s="365"/>
      <c r="E2" s="365"/>
      <c r="F2" s="365"/>
    </row>
    <row r="3" spans="1:6" x14ac:dyDescent="0.2">
      <c r="A3" s="364" t="s">
        <v>216</v>
      </c>
      <c r="B3" s="364"/>
      <c r="C3" s="364"/>
      <c r="D3" s="364"/>
      <c r="E3" s="364"/>
      <c r="F3" s="364"/>
    </row>
    <row r="4" spans="1:6" x14ac:dyDescent="0.2">
      <c r="A4" s="360" t="str">
        <f>xulosa!A4:E4</f>
        <v>Mijozning to'liq ismi sharifi: MATCHANOVA AZIZA BEKTURDIYEVNA</v>
      </c>
      <c r="B4" s="360"/>
      <c r="C4" s="360"/>
      <c r="D4" s="360"/>
      <c r="E4" s="360"/>
      <c r="F4" s="360"/>
    </row>
    <row r="5" spans="1:6" x14ac:dyDescent="0.2">
      <c r="A5" s="360" t="str">
        <f>xulosa!A5:E5</f>
        <v>Tug'ilgan sanasi: 09.04.1990 y</v>
      </c>
      <c r="B5" s="360"/>
      <c r="C5" s="360"/>
      <c r="D5" s="360"/>
      <c r="E5" s="360"/>
      <c r="F5" s="360"/>
    </row>
    <row r="6" spans="1:6" ht="32.25" customHeight="1" x14ac:dyDescent="0.2">
      <c r="A6" s="360" t="str">
        <f>xulosa!A6:E6</f>
        <v>Pasport seriyasi AC 2074678 XORAZM VILOYATI SHOVOT TUMANI IIB tomonidan 17.07.2019 yilda berilgan, amal qilish muddati - 16.07.2029 y.</v>
      </c>
      <c r="B6" s="360"/>
      <c r="C6" s="360"/>
      <c r="D6" s="360"/>
      <c r="E6" s="360"/>
      <c r="F6" s="360"/>
    </row>
    <row r="7" spans="1:6" x14ac:dyDescent="0.2">
      <c r="A7" s="360" t="str">
        <f>"Fuqaroligi: "&amp;malumot!B32&amp;""</f>
        <v>Fuqaroligi: O’zbekiston Respublikasi</v>
      </c>
      <c r="B7" s="360"/>
      <c r="C7" s="360"/>
      <c r="D7" s="360"/>
      <c r="E7" s="360"/>
      <c r="F7" s="360"/>
    </row>
    <row r="8" spans="1:6" ht="26.25" customHeight="1" x14ac:dyDescent="0.2">
      <c r="A8" s="360" t="str">
        <f>xulosa!A7:E7</f>
        <v>Ro‘yxatdan o‘tgan manzili: XORAZM VILOYATI SHOVOT TUMANI BOYRACHI QFY BOBORAXIM KO'CHASI 4-UY, mo'ljal: SHOVOT TUMANI BOYRACH QFY MADANIYAT MARKAZI</v>
      </c>
      <c r="B8" s="360"/>
      <c r="C8" s="360"/>
      <c r="D8" s="360"/>
      <c r="E8" s="360"/>
      <c r="F8" s="360"/>
    </row>
    <row r="9" spans="1:6" x14ac:dyDescent="0.2">
      <c r="A9" s="360" t="str">
        <f>IF(malumot!B23="mos keladi"," ",mijoz_anketasi!A10:F10)</f>
        <v xml:space="preserve"> </v>
      </c>
      <c r="B9" s="360"/>
      <c r="C9" s="360"/>
      <c r="D9" s="360"/>
      <c r="E9" s="360"/>
      <c r="F9" s="360"/>
    </row>
    <row r="10" spans="1:6" ht="31.5" hidden="1" customHeight="1" x14ac:dyDescent="0.2">
      <c r="A10" s="360" t="str">
        <f>"Haqiqatdan yashash joy manzili: "&amp;malumot!B28&amp;""</f>
        <v>Haqiqatdan yashash joy manzili: XORAZM VILOYATI SHOVOT TUMANI BOYRACHI QFY BOBORAXIM KO'CHASI 4-UY</v>
      </c>
      <c r="B10" s="360"/>
      <c r="C10" s="360"/>
      <c r="D10" s="360"/>
      <c r="E10" s="360"/>
      <c r="F10" s="360"/>
    </row>
    <row r="11" spans="1:6" ht="16.5" hidden="1" customHeight="1" x14ac:dyDescent="0.2">
      <c r="A11" s="360" t="str">
        <f>xulosa!A8:E8</f>
        <v>Ish joyi:  lavozimi TIKISH-BICHISHda O'Z O'ZINI BAND QILGAN FUQARO</v>
      </c>
      <c r="B11" s="360"/>
      <c r="C11" s="360"/>
      <c r="D11" s="360"/>
      <c r="E11" s="360"/>
      <c r="F11" s="360"/>
    </row>
    <row r="12" spans="1:6" x14ac:dyDescent="0.2">
      <c r="A12" s="364" t="s">
        <v>217</v>
      </c>
      <c r="B12" s="364"/>
      <c r="C12" s="364"/>
      <c r="D12" s="364"/>
      <c r="E12" s="364"/>
      <c r="F12" s="364"/>
    </row>
    <row r="13" spans="1:6" x14ac:dyDescent="0.2">
      <c r="A13" s="360" t="str">
        <f>"Uy telefoni raqami: "&amp;malumot!B40&amp;""</f>
        <v>Uy telefoni raqami: 91 860-86-87 O'ZI</v>
      </c>
      <c r="B13" s="360"/>
      <c r="C13" s="360"/>
      <c r="D13" s="360"/>
      <c r="E13" s="360"/>
      <c r="F13" s="360"/>
    </row>
    <row r="14" spans="1:6" x14ac:dyDescent="0.2">
      <c r="A14" s="360" t="str">
        <f>"Uyali telefon raqami: "&amp;malumot!B41&amp;""</f>
        <v>Uyali telefon raqami: 33 381-86-87 Ayoli</v>
      </c>
      <c r="B14" s="360"/>
      <c r="C14" s="360"/>
      <c r="D14" s="360"/>
      <c r="E14" s="360"/>
      <c r="F14" s="360"/>
    </row>
    <row r="15" spans="1:6" x14ac:dyDescent="0.2">
      <c r="A15" s="360" t="str">
        <f>"Uyali telefon raqami: "&amp;malumot!B42&amp;""</f>
        <v>Uyali telefon raqami: 99-187-10-62 Otasi</v>
      </c>
      <c r="B15" s="360"/>
      <c r="C15" s="360"/>
      <c r="D15" s="360"/>
      <c r="E15" s="360"/>
      <c r="F15" s="360"/>
    </row>
    <row r="16" spans="1:6" hidden="1" x14ac:dyDescent="0.2">
      <c r="A16" s="360" t="str">
        <f>"Uyali telefon raqami: "&amp;malumot!B42&amp;""</f>
        <v>Uyali telefon raqami: 99-187-10-62 Otasi</v>
      </c>
      <c r="B16" s="360"/>
      <c r="C16" s="360"/>
      <c r="D16" s="360"/>
      <c r="E16" s="360"/>
      <c r="F16" s="360"/>
    </row>
    <row r="17" spans="1:6" x14ac:dyDescent="0.2">
      <c r="A17" s="360" t="str">
        <f>"Ish telefoni raqami: "&amp;malumot!B43&amp;""</f>
        <v xml:space="preserve">Ish telefoni raqami: </v>
      </c>
      <c r="B17" s="360"/>
      <c r="C17" s="360"/>
      <c r="D17" s="360"/>
      <c r="E17" s="360"/>
      <c r="F17" s="360"/>
    </row>
    <row r="18" spans="1:6" x14ac:dyDescent="0.2">
      <c r="A18" s="364" t="s">
        <v>218</v>
      </c>
      <c r="B18" s="364"/>
      <c r="C18" s="364"/>
      <c r="D18" s="364"/>
      <c r="E18" s="364"/>
      <c r="F18" s="364"/>
    </row>
    <row r="19" spans="1:6" x14ac:dyDescent="0.2">
      <c r="A19" s="360" t="str">
        <f>"Muassasa nomlanishi:"&amp;malumot!B58&amp;""</f>
        <v>Muassasa nomlanishi:O'Z O'ZINI BAND QILGAN FUQARO № MALUMOTNOMA № 0009500363</v>
      </c>
      <c r="B19" s="360"/>
      <c r="C19" s="360"/>
      <c r="D19" s="360"/>
      <c r="E19" s="360"/>
      <c r="F19" s="360"/>
    </row>
    <row r="20" spans="1:6" x14ac:dyDescent="0.2">
      <c r="A20" s="360" t="str">
        <f>"Ro‘yxatdan o‘tish manzili:"&amp;malumot!B50&amp;""</f>
        <v>Ro‘yxatdan o‘tish manzili:</v>
      </c>
      <c r="B20" s="360"/>
      <c r="C20" s="360"/>
      <c r="D20" s="360"/>
      <c r="E20" s="360"/>
      <c r="F20" s="360"/>
    </row>
    <row r="21" spans="1:6" x14ac:dyDescent="0.2">
      <c r="A21" s="360" t="str">
        <f>"Lavozimi: "&amp;malumot!B59&amp;""</f>
        <v>Lavozimi: TIKISH-BICHISH</v>
      </c>
      <c r="B21" s="360"/>
      <c r="C21" s="360"/>
      <c r="D21" s="360"/>
      <c r="E21" s="360"/>
      <c r="F21" s="360"/>
    </row>
    <row r="22" spans="1:6" x14ac:dyDescent="0.2">
      <c r="A22" s="364" t="s">
        <v>219</v>
      </c>
      <c r="B22" s="361"/>
      <c r="C22" s="361"/>
      <c r="D22" s="361"/>
      <c r="E22" s="361"/>
      <c r="F22" s="361"/>
    </row>
    <row r="23" spans="1:6" s="23" customFormat="1" ht="25.5" x14ac:dyDescent="0.25">
      <c r="A23" s="22" t="s">
        <v>220</v>
      </c>
      <c r="B23" s="22" t="s">
        <v>221</v>
      </c>
      <c r="C23" s="22" t="s">
        <v>222</v>
      </c>
      <c r="D23" s="22" t="s">
        <v>223</v>
      </c>
      <c r="E23" s="22" t="s">
        <v>224</v>
      </c>
      <c r="F23" s="22" t="s">
        <v>225</v>
      </c>
    </row>
    <row r="24" spans="1:6" ht="51" x14ac:dyDescent="0.2">
      <c r="A24" s="24" t="s">
        <v>226</v>
      </c>
      <c r="B24" s="25">
        <f>malumot!B60</f>
        <v>12000000</v>
      </c>
      <c r="C24" s="25">
        <v>0</v>
      </c>
      <c r="D24" s="25">
        <v>0</v>
      </c>
      <c r="E24" s="24" t="s">
        <v>229</v>
      </c>
      <c r="F24" s="25">
        <v>700000</v>
      </c>
    </row>
    <row r="25" spans="1:6" ht="25.5" x14ac:dyDescent="0.2">
      <c r="A25" s="24" t="s">
        <v>227</v>
      </c>
      <c r="B25" s="25">
        <v>0</v>
      </c>
      <c r="C25" s="25">
        <v>0</v>
      </c>
      <c r="D25" s="25">
        <v>0</v>
      </c>
      <c r="E25" s="24" t="s">
        <v>230</v>
      </c>
      <c r="F25" s="25">
        <v>500000</v>
      </c>
    </row>
    <row r="26" spans="1:6" ht="28.5" customHeight="1" x14ac:dyDescent="0.2">
      <c r="A26" s="24" t="s">
        <v>228</v>
      </c>
      <c r="B26" s="25">
        <f>malumot!B61</f>
        <v>0</v>
      </c>
      <c r="C26" s="25">
        <v>0</v>
      </c>
      <c r="D26" s="25">
        <v>0</v>
      </c>
      <c r="E26" s="24" t="s">
        <v>231</v>
      </c>
      <c r="F26" s="25">
        <v>500000</v>
      </c>
    </row>
    <row r="27" spans="1:6" s="28" customFormat="1" x14ac:dyDescent="0.2">
      <c r="A27" s="26" t="s">
        <v>207</v>
      </c>
      <c r="B27" s="27">
        <f>B24+B25+B26</f>
        <v>12000000</v>
      </c>
      <c r="C27" s="27">
        <f t="shared" ref="C27:F27" si="0">SUM(C24:C26)</f>
        <v>0</v>
      </c>
      <c r="D27" s="27">
        <f t="shared" si="0"/>
        <v>0</v>
      </c>
      <c r="E27" s="26"/>
      <c r="F27" s="27">
        <f t="shared" si="0"/>
        <v>1700000</v>
      </c>
    </row>
    <row r="28" spans="1:6" ht="31.5" customHeight="1" x14ac:dyDescent="0.2">
      <c r="A28" s="360" t="str">
        <f>"Men, "&amp;malumot!B5&amp;", ushbu anketada ko‘rsatilgan barcha ma'lumotlar anketa to'ldirilgan sanada  to'g'ri va aniq ekanligini tasdiqlayman."</f>
        <v>Men, MATCHANOVA AZIZA BEKTURDIYEVNA, ushbu anketada ko‘rsatilgan barcha ma'lumotlar anketa to'ldirilgan sanada  to'g'ri va aniq ekanligini tasdiqlayman.</v>
      </c>
      <c r="B28" s="360"/>
      <c r="C28" s="360"/>
      <c r="D28" s="360"/>
      <c r="E28" s="360"/>
      <c r="F28" s="360"/>
    </row>
    <row r="29" spans="1:6" x14ac:dyDescent="0.2">
      <c r="A29" s="360" t="str">
        <f>"Men,  "&amp;malumot!B5&amp;", quyidagilarni tan olaman va roziman::"</f>
        <v>Men,  MATCHANOVA AZIZA BEKTURDIYEVNA, quyidagilarni tan olaman va roziman::</v>
      </c>
      <c r="B29" s="360"/>
      <c r="C29" s="360"/>
      <c r="D29" s="360"/>
      <c r="E29" s="360"/>
      <c r="F29" s="360"/>
    </row>
    <row r="30" spans="1:6" ht="45.75" customHeight="1" x14ac:dyDescent="0.2">
      <c r="A30" s="360" t="str">
        <f>"1.  Ushbu anketada ko‘rsatilgan har qanday ma’lumot  "&amp;malumot!B157&amp;",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360"/>
      <c r="C30" s="360"/>
      <c r="D30" s="360"/>
      <c r="E30" s="360"/>
      <c r="F30" s="360"/>
    </row>
    <row r="31" spans="1:6" ht="42.75" customHeight="1" x14ac:dyDescent="0.2">
      <c r="A31" s="360" t="str">
        <f>"2. Mazkur anketaning "&amp;malumot!B157&amp;" tomonidan qabul qilinishi “Clever Mikromoliya Tashkiloti” MChJ tomonidan menga "&amp;malumot!B65&amp;" berish majburiyatini yuklamaydi."</f>
        <v>2. Mazkur anketaning «CLEVER MIKROMOLIYA TASHKILOTI» MChJ tomonidan qabul qilinishi “Clever Mikromoliya Tashkiloti” MChJ tomonidan menga mikrokredit berish majburiyatini yuklamaydi.</v>
      </c>
      <c r="B31" s="360"/>
      <c r="C31" s="360"/>
      <c r="D31" s="360"/>
      <c r="E31" s="360"/>
      <c r="F31" s="360"/>
    </row>
    <row r="32" spans="1:6" ht="71.25" customHeight="1" x14ac:dyDescent="0.2">
      <c r="A32" s="360" t="s">
        <v>232</v>
      </c>
      <c r="B32" s="360"/>
      <c r="C32" s="360"/>
      <c r="D32" s="360"/>
      <c r="E32" s="360"/>
      <c r="F32" s="360"/>
    </row>
    <row r="33" spans="1:6" x14ac:dyDescent="0.2">
      <c r="A33" s="360"/>
      <c r="B33" s="360"/>
      <c r="C33" s="360"/>
      <c r="D33" s="360"/>
      <c r="E33" s="360"/>
      <c r="F33" s="360"/>
    </row>
    <row r="34" spans="1:6" ht="12.75" customHeight="1" x14ac:dyDescent="0.2">
      <c r="A34" s="361" t="s">
        <v>233</v>
      </c>
      <c r="B34" s="361"/>
      <c r="C34" s="361"/>
      <c r="D34" s="139" t="s">
        <v>156</v>
      </c>
      <c r="E34" s="361" t="s">
        <v>234</v>
      </c>
      <c r="F34" s="361"/>
    </row>
    <row r="35" spans="1:6" ht="25.5" customHeight="1" x14ac:dyDescent="0.2">
      <c r="A35" s="362"/>
      <c r="B35" s="362"/>
      <c r="C35" s="362"/>
      <c r="D35" s="363" t="str">
        <f>malumot!B2</f>
        <v>07.04.2025</v>
      </c>
      <c r="E35" s="362"/>
      <c r="F35" s="362"/>
    </row>
    <row r="36" spans="1:6" ht="25.5" customHeight="1" x14ac:dyDescent="0.2">
      <c r="A36" s="362"/>
      <c r="B36" s="362"/>
      <c r="C36" s="362"/>
      <c r="D36" s="363"/>
      <c r="E36" s="362"/>
      <c r="F36" s="362"/>
    </row>
    <row r="37" spans="1:6" x14ac:dyDescent="0.2">
      <c r="A37" s="360"/>
      <c r="B37" s="360"/>
      <c r="C37" s="360"/>
      <c r="D37" s="360"/>
      <c r="E37" s="360"/>
      <c r="F37" s="360"/>
    </row>
    <row r="38" spans="1:6" x14ac:dyDescent="0.2">
      <c r="A38" s="360"/>
      <c r="B38" s="360"/>
      <c r="C38" s="360"/>
      <c r="D38" s="360"/>
      <c r="E38" s="360"/>
      <c r="F38" s="360"/>
    </row>
    <row r="39" spans="1:6" x14ac:dyDescent="0.2">
      <c r="A39" s="360"/>
      <c r="B39" s="360"/>
      <c r="C39" s="360"/>
      <c r="D39" s="360"/>
      <c r="E39" s="360"/>
      <c r="F39" s="360"/>
    </row>
    <row r="40" spans="1:6" x14ac:dyDescent="0.2">
      <c r="A40" s="360"/>
      <c r="B40" s="360"/>
      <c r="C40" s="360"/>
      <c r="D40" s="360"/>
      <c r="E40" s="360"/>
      <c r="F40" s="360"/>
    </row>
    <row r="41" spans="1:6" x14ac:dyDescent="0.2">
      <c r="A41" s="360"/>
      <c r="B41" s="360"/>
      <c r="C41" s="360"/>
      <c r="D41" s="360"/>
      <c r="E41" s="360"/>
      <c r="F41" s="360"/>
    </row>
    <row r="42" spans="1:6" x14ac:dyDescent="0.2">
      <c r="A42" s="360"/>
      <c r="B42" s="360"/>
      <c r="C42" s="360"/>
      <c r="D42" s="360"/>
      <c r="E42" s="360"/>
      <c r="F42" s="360"/>
    </row>
    <row r="43" spans="1:6" x14ac:dyDescent="0.2">
      <c r="A43" s="360"/>
      <c r="B43" s="360"/>
      <c r="C43" s="360"/>
      <c r="D43" s="360"/>
      <c r="E43" s="360"/>
      <c r="F43" s="360"/>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22">
    <tabColor rgb="FF00B050"/>
  </sheetPr>
  <dimension ref="A3:B11"/>
  <sheetViews>
    <sheetView view="pageBreakPreview" zoomScale="85" zoomScaleNormal="100" zoomScaleSheetLayoutView="85" workbookViewId="0">
      <selection activeCell="A32" sqref="A32"/>
    </sheetView>
  </sheetViews>
  <sheetFormatPr defaultRowHeight="15" x14ac:dyDescent="0.25"/>
  <cols>
    <col min="1" max="1" width="54.42578125" style="13" customWidth="1"/>
    <col min="2" max="2" width="32.28515625" style="13" customWidth="1"/>
  </cols>
  <sheetData>
    <row r="3" spans="1:2" ht="35.25" customHeight="1" x14ac:dyDescent="0.25">
      <c r="A3" s="366" t="s">
        <v>212</v>
      </c>
      <c r="B3" s="366"/>
    </row>
    <row r="4" spans="1:2" ht="92.25" customHeight="1" x14ac:dyDescent="0.25">
      <c r="A4" s="286" t="str">
        <f>"     Men, fuqaro "&amp;malumot!B5&amp;" "&amp;malumot!B159&amp;" bilan "&amp;malumot!B69&amp;" sanasidagi "&amp;malumot!B66&amp;"-sonli shartnomaning garov ta'minoti sifatida taqdim etilayotgan mulk "&amp;malumot!B132&amp;" rusumli avtotransport vositasini qonunga xilof ravishda o‘zlashtirmaslikka, yashirmaslikka, nobud qilmaslikka yoki unga shikast yetkazmaslik majburiyatini olaman."</f>
        <v xml:space="preserve">     Men, fuqaro MATCHANOVA AZIZA BEKTURDIYEVNA «CLEVER MIKROMOLIYA TASHKILOTI» MChJ bilan 7 aprel 2025 y. sanasidagi №717-XMS-sonli shartnomaning garov ta'minoti sifatida taqdim etilayotgan mulk JAC M3 rusumli avtotransport vositasini qonunga xilof ravishda o‘zlashtirmaslikka, yashirmaslikka, nobud qilmaslikka yoki unga shikast yetkazmaslik majburiyatini olaman.</v>
      </c>
      <c r="B4" s="286"/>
    </row>
    <row r="5" spans="1:2" ht="56.25" customHeight="1" x14ac:dyDescent="0.25">
      <c r="A5" s="367" t="s">
        <v>213</v>
      </c>
      <c r="B5" s="367"/>
    </row>
    <row r="6" spans="1:2" ht="42.75" customHeight="1" x14ac:dyDescent="0.25"/>
    <row r="7" spans="1:2" x14ac:dyDescent="0.25">
      <c r="A7" s="13" t="str">
        <f>malumot!B5</f>
        <v>MATCHANOVA AZIZA BEKTURDIYEVNA</v>
      </c>
      <c r="B7" s="127" t="s">
        <v>214</v>
      </c>
    </row>
    <row r="8" spans="1:2" ht="26.25" customHeight="1" x14ac:dyDescent="0.25"/>
    <row r="9" spans="1:2" ht="26.25" customHeight="1" x14ac:dyDescent="0.25"/>
    <row r="10" spans="1:2" ht="26.25" customHeight="1" x14ac:dyDescent="0.25"/>
    <row r="11" spans="1:2" x14ac:dyDescent="0.25">
      <c r="A11" s="13" t="str">
        <f>"sana:   "&amp;TEXT(malumot!B2,"ДД.ММ.ГГГГ")&amp;" y."</f>
        <v>sana:   07.04.2025 y.</v>
      </c>
    </row>
  </sheetData>
  <mergeCells count="3">
    <mergeCell ref="A3:B3"/>
    <mergeCell ref="A4:B4"/>
    <mergeCell ref="A5:B5"/>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6">
    <tabColor rgb="FF00B050"/>
  </sheetPr>
  <dimension ref="A1:E78"/>
  <sheetViews>
    <sheetView view="pageBreakPreview" topLeftCell="A10" zoomScaleSheetLayoutView="100" workbookViewId="0">
      <selection activeCell="D43" sqref="D43"/>
    </sheetView>
  </sheetViews>
  <sheetFormatPr defaultColWidth="9.140625" defaultRowHeight="15.75" x14ac:dyDescent="0.2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x14ac:dyDescent="0.25">
      <c r="C1" s="369" t="str">
        <f>""&amp;malumot!B157&amp;"ning
"&amp;malumot!A160&amp;""</f>
        <v>«CLEVER MIKROMOLIYA TASHKILOTI» MChJning
Xorazm filiali boshlig'i</v>
      </c>
      <c r="D1" s="369"/>
    </row>
    <row r="2" spans="1:4" x14ac:dyDescent="0.25">
      <c r="C2" s="11"/>
      <c r="D2" s="12" t="str">
        <f>""&amp;malumot!B160&amp;"ga"</f>
        <v>M.Sharipovga</v>
      </c>
    </row>
    <row r="3" spans="1:4" hidden="1" x14ac:dyDescent="0.25"/>
    <row r="4" spans="1:4" x14ac:dyDescent="0.25">
      <c r="A4" s="275" t="str">
        <f>""&amp;malumot!C64&amp;" olish uchun Ariza"</f>
        <v>Mikrokredit olish uchun Ariza</v>
      </c>
      <c r="B4" s="275"/>
      <c r="C4" s="275"/>
      <c r="D4" s="275"/>
    </row>
    <row r="5" spans="1:4" ht="11.25" hidden="1" customHeight="1" x14ac:dyDescent="0.25">
      <c r="A5" s="275"/>
      <c r="B5" s="275"/>
      <c r="C5" s="275"/>
      <c r="D5" s="275"/>
    </row>
    <row r="6" spans="1:4" ht="48.75" customHeight="1" x14ac:dyDescent="0.25">
      <c r="A6" s="337" t="str">
        <f>""&amp;malumot!B28&amp;".-da yashovchi O‘zbekiston Respublikasi fuqarosi "&amp;malumot!B8&amp;"dan. "</f>
        <v xml:space="preserve">XORAZM VILOYATI SHOVOT TUMANI BOYRACHI QFY BOBORAXIM KO'CHASI 4-UY.-da yashovchi O‘zbekiston Respublikasi fuqarosi MATCHANOVA AZIZA BEKTURDIYEVNAdan. </v>
      </c>
      <c r="B6" s="337"/>
      <c r="C6" s="337"/>
      <c r="D6" s="337"/>
    </row>
    <row r="7" spans="1:4" ht="15.75" customHeight="1" x14ac:dyDescent="0.25">
      <c r="A7" s="368" t="str">
        <f>"Tug'ilgan kuni: "&amp;malumot!B15&amp;""</f>
        <v>Tug'ilgan kuni: 09.04.1990 y</v>
      </c>
      <c r="B7" s="368"/>
      <c r="C7" s="368"/>
      <c r="D7" s="368"/>
    </row>
    <row r="8" spans="1:4" ht="33" customHeight="1" x14ac:dyDescent="0.25">
      <c r="A8" s="368" t="str">
        <f>"Pasport seriyasi: "&amp;malumot!B16&amp;" "&amp;malumot!B20&amp;""</f>
        <v>Pasport seriyasi: AC 2074678 XORAZM VILOYATI SHOVOT TUMANI IIB tomonidan 17.07.2019 yilda berilgan</v>
      </c>
      <c r="B8" s="368"/>
      <c r="C8" s="368"/>
      <c r="D8" s="368"/>
    </row>
    <row r="9" spans="1:4" ht="16.5" customHeight="1" x14ac:dyDescent="0.25">
      <c r="A9" s="368" t="str">
        <f>"Asosiy ish joyi : "&amp;malumot!B58&amp;""</f>
        <v>Asosiy ish joyi : O'Z O'ZINI BAND QILGAN FUQARO № MALUMOTNOMA № 0009500363</v>
      </c>
      <c r="B9" s="368"/>
      <c r="C9" s="368"/>
      <c r="D9" s="368"/>
    </row>
    <row r="10" spans="1:4" ht="15.75" customHeight="1" x14ac:dyDescent="0.25">
      <c r="A10" s="368" t="str">
        <f>"Lavozimi: "&amp;malumot!B59&amp;""</f>
        <v>Lavozimi: TIKISH-BICHISH</v>
      </c>
      <c r="B10" s="368"/>
      <c r="C10" s="368"/>
      <c r="D10" s="368"/>
    </row>
    <row r="11" spans="1:4" x14ac:dyDescent="0.25">
      <c r="A11" s="368" t="str">
        <f>"O’rtacha oylik daromadi: "&amp;FIXED(malumot!B60,2)&amp;" so'm."</f>
        <v>O’rtacha oylik daromadi: 12 000 000,00 so'm.</v>
      </c>
      <c r="B11" s="368"/>
      <c r="C11" s="368"/>
      <c r="D11" s="368"/>
    </row>
    <row r="12" spans="1:4" x14ac:dyDescent="0.25">
      <c r="A12" s="368" t="str">
        <f>"Menga quyidagi shartlarda "&amp;malumot!B65&amp;" berishingizni so’rayman:"</f>
        <v>Menga quyidagi shartlarda mikrokredit berishingizni so’rayman:</v>
      </c>
      <c r="B12" s="368"/>
      <c r="C12" s="368"/>
      <c r="D12" s="368"/>
    </row>
    <row r="13" spans="1:4" x14ac:dyDescent="0.25">
      <c r="A13" s="368" t="str">
        <f>""&amp;malumot!C64&amp;" summasi: "&amp;FIXED(malumot!B76,2)&amp;" ("&amp;malumot!B77&amp;") so'm."</f>
        <v>Mikrokredit summasi: 125 000 000,00 (yuz yigirma besh million so'm) so'm.</v>
      </c>
      <c r="B13" s="368"/>
      <c r="C13" s="368"/>
      <c r="D13" s="368"/>
    </row>
    <row r="14" spans="1:4" x14ac:dyDescent="0.25">
      <c r="A14" s="368" t="str">
        <f>""&amp;malumot!C64&amp;" muddati: "&amp;malumot!B82&amp;" ("&amp;malumot!B83&amp;") oy."</f>
        <v>Mikrokredit muddati: 36 (O'ttiz olti  ) oy.</v>
      </c>
      <c r="B14" s="368"/>
      <c r="C14" s="368"/>
      <c r="D14" s="368"/>
    </row>
    <row r="15" spans="1:4" ht="17.25" customHeight="1" x14ac:dyDescent="0.25">
      <c r="A15" s="368" t="str">
        <f>""&amp;malumot!C64&amp;"dan foydalanganlik uchun foiz stavkasi: yillik  "&amp;malumot!B86&amp;"% ("&amp;malumot!B87&amp;") foiz"</f>
        <v>Mikrokreditdan foydalanganlik uchun foiz stavkasi: yillik  55% (Ellik besh  ) foiz</v>
      </c>
      <c r="B15" s="368"/>
      <c r="C15" s="368"/>
      <c r="D15" s="368"/>
    </row>
    <row r="16" spans="1:4" x14ac:dyDescent="0.25">
      <c r="A16" s="368" t="str">
        <f>""&amp;malumot!C64&amp;" bo'yicha asosiy qarz va foizlarni to'lash:"</f>
        <v>Mikrokredit bo'yicha asosiy qarz va foizlarni to'lash:</v>
      </c>
      <c r="B16" s="368"/>
      <c r="C16" s="368"/>
      <c r="D16" s="368"/>
    </row>
    <row r="17" spans="1:5" ht="20.25" hidden="1" customHeight="1" x14ac:dyDescent="0.25">
      <c r="A17" s="337" t="str">
        <f>" - "&amp;malumot!B65&amp;" shartnomasi bo'yicha har oy differensial to'lovlari amalga oshiriladi"</f>
        <v xml:space="preserve"> - mikrokredit shartnomasi bo'yicha har oy differensial to'lovlari amalga oshiriladi</v>
      </c>
      <c r="B17" s="337"/>
      <c r="C17" s="337"/>
      <c r="D17" s="337"/>
    </row>
    <row r="18" spans="1:5" ht="33.75" hidden="1" customHeight="1" x14ac:dyDescent="0.25">
      <c r="A18" s="337" t="str">
        <f>" - "&amp;malumot!B65&amp;" shartnomasi bo'yicha har oy annuitet to'lovlari amalga oshiriladi"</f>
        <v xml:space="preserve"> - mikrokredit shartnomasi bo'yicha har oy annuitet to'lovlari amalga oshiriladi</v>
      </c>
      <c r="B18" s="337"/>
      <c r="C18" s="337"/>
      <c r="D18" s="337"/>
    </row>
    <row r="19" spans="1:5" ht="21.75" customHeight="1" x14ac:dyDescent="0.25">
      <c r="A19" s="337" t="str">
        <f>IF(malumot!B78=malumot!C78,kredit_ariza!A17:D17,IF(malumot!B78=malumot!D78,kredit_ariza!A18:D18))</f>
        <v xml:space="preserve"> - mikrokredit shartnomasi bo'yicha har oy annuitet to'lovlari amalga oshiriladi</v>
      </c>
      <c r="B19" s="337"/>
      <c r="C19" s="337"/>
      <c r="D19" s="337"/>
    </row>
    <row r="20" spans="1:5" ht="33.75" hidden="1" customHeight="1" x14ac:dyDescent="0.25">
      <c r="A20" s="368" t="str">
        <f>IF(DAY(malumot!E67)&lt;15,"   ","  Oxirgi yakuniy to'lov "&amp;malumot!B65&amp;" shartnomasi tuzilgan kundan boshlab oxirgi oyning oxirgi kunida amalga oshiriladi")</f>
        <v xml:space="preserve">   </v>
      </c>
      <c r="B20" s="368"/>
      <c r="C20" s="368"/>
      <c r="D20" s="368"/>
    </row>
    <row r="21" spans="1:5" x14ac:dyDescent="0.25">
      <c r="A21" s="368" t="str">
        <f>""&amp;malumot!C64&amp;" ta’minoti::"</f>
        <v>Mikrokredit ta’minoti::</v>
      </c>
      <c r="B21" s="368"/>
      <c r="C21" s="368"/>
      <c r="D21" s="368"/>
    </row>
    <row r="22" spans="1:5" ht="65.25" customHeight="1" x14ac:dyDescent="0.25">
      <c r="A22" s="337" t="str">
        <f>"1. "&amp;IF(malumot!B110="Avtotransport",A26,A23)&amp;""</f>
        <v>1.   Egalik huquqi BEKOV OTABEK BAXODIROVICHga tegishli bo'lgan garovga olingan avtomobil markasi   JAC M3, rangi -  QORA CHERNIY, ishlab chiqarilgan yili - 2023, davlat raqam belgisi 90C477ZA, kuzov turi - YENGIL MINIVEN, kuzov raqami P08461541, dvigatel raqami LJ166A33XP2208188, shassi raqami - Rakamsiz</v>
      </c>
      <c r="B22" s="337"/>
      <c r="C22" s="337"/>
      <c r="D22" s="337"/>
    </row>
    <row r="23" spans="1:5" ht="79.5" hidden="1" customHeight="1" x14ac:dyDescent="0.25">
      <c r="A23" s="337" t="str">
        <f>IF(malumot!B99=malumot!C99,A25,IF(malumot!B99=malumot!D99,A24,0))</f>
        <v xml:space="preserve"> Egalik huquqi 0ga tegishli bo'lgan umumiy maydoni -   va yashash maydoni -   0,  </v>
      </c>
      <c r="B23" s="337"/>
      <c r="C23" s="337"/>
      <c r="D23" s="337"/>
    </row>
    <row r="24" spans="1:5" ht="96.75" hidden="1" customHeight="1" x14ac:dyDescent="0.25">
      <c r="A24" s="337" t="str">
        <f>" - Navbatdagi garov (ipoteka) Egalik huquqi asosida  "&amp;malumot!C124&amp;"ga "&amp;malumot!C133&amp;", umumiy maydoni - "&amp;malumot!C137&amp;" va yashash maydoni - "&amp;malumot!C140&amp;", manzili: "&amp;malumot!C130&amp;"."</f>
        <v xml:space="preserve"> - Navbatdagi garov (ipoteka) Egalik huquqi asosida  0ga  0, umumiy maydoni -  va yashash maydoni - , manzili: .</v>
      </c>
      <c r="B24" s="337"/>
      <c r="C24" s="337"/>
      <c r="D24" s="337"/>
      <c r="E24" s="145"/>
    </row>
    <row r="25" spans="1:5" ht="92.25" hidden="1" customHeight="1" x14ac:dyDescent="0.25">
      <c r="A25" s="337" t="str">
        <f>" Egalik huquqi "&amp;malumot!C124&amp;"ga tegishli bo'lgan umumiy maydoni - "&amp;malumot!C137&amp;"  va yashash maydoni - "&amp;malumot!C140&amp;" "&amp;malumot!C133&amp;", "&amp;malumot!C130&amp;" "</f>
        <v xml:space="preserve"> Egalik huquqi 0ga tegishli bo'lgan umumiy maydoni -   va yashash maydoni -   0,  </v>
      </c>
      <c r="B25" s="337"/>
      <c r="C25" s="337"/>
      <c r="D25" s="337"/>
    </row>
    <row r="26" spans="1:5" ht="78" hidden="1" customHeight="1" x14ac:dyDescent="0.25">
      <c r="A26" s="337" t="str">
        <f>IF(malumot!B99=malumot!C99,kredit_ariza!A28:D28,IF(malumot!B99=malumot!D99,kredit_ariza!A27:D27,0))</f>
        <v xml:space="preserve">  Egalik huquqi BEKOV OTABEK BAXODIROVICHga tegishli bo'lgan garovga olingan avtomobil markasi   JAC M3, rangi -  QORA CHERNIY, ishlab chiqarilgan yili - 2023, davlat raqam belgisi 90C477ZA, kuzov turi - YENGIL MINIVEN, kuzov raqami P08461541, dvigatel raqami LJ166A33XP2208188, shassi raqami - Rakamsiz</v>
      </c>
      <c r="B26" s="337"/>
      <c r="C26" s="337"/>
      <c r="D26" s="337"/>
    </row>
    <row r="27" spans="1:5" ht="93" hidden="1" customHeight="1" x14ac:dyDescent="0.25">
      <c r="A27" s="337" t="str">
        <f>" Egalik huquqi "&amp;malumot!B124&amp;"ga tegishli bo'lgan "&amp;malumot!B132&amp;", "&amp;malumot!B140&amp;", davlat raqam belgisi "&amp;malumot!B133&amp;", "&amp;malumot!B134&amp;", "&amp;malumot!B137&amp;" avtotransport vositasi "</f>
        <v xml:space="preserve"> Egalik huquqi BEKOV OTABEK BAXODIROVICHga tegishli bo'lgan JAC M3, rangi -  QORA CHERNIY, ishlab chiqarilgan yili - 2023, davlat raqam belgisi 90C477ZA, kuzov turi - YENGIL MINIVEN, kuzov raqami P08461541, dvigatel raqami LJ166A33XP2208188, shassi raqami - Rakamsiz avtotransport vositasi </v>
      </c>
      <c r="B27" s="337"/>
      <c r="C27" s="337"/>
      <c r="D27" s="337"/>
    </row>
    <row r="28" spans="1:5" ht="93.75" hidden="1" customHeight="1" x14ac:dyDescent="0.25">
      <c r="A28" s="337" t="str">
        <f>"  Egalik huquqi "&amp;malumot!B124&amp;"ga tegishli bo'lgan garovga olingan avtomobil markasi   "&amp;malumot!B132&amp;", "&amp;malumot!B140&amp;", davlat raqam belgisi "&amp;malumot!B133&amp;", "&amp;malumot!B134&amp;", "&amp;malumot!B137&amp;""</f>
        <v xml:space="preserve">  Egalik huquqi BEKOV OTABEK BAXODIROVICHga tegishli bo'lgan garovga olingan avtomobil markasi   JAC M3, rangi -  QORA CHERNIY, ishlab chiqarilgan yili - 2023, davlat raqam belgisi 90C477ZA, kuzov turi - YENGIL MINIVEN, kuzov raqami P08461541, dvigatel raqami LJ166A33XP2208188, shassi raqami - Rakamsiz</v>
      </c>
      <c r="B28" s="337"/>
      <c r="C28" s="337"/>
      <c r="D28" s="337"/>
    </row>
    <row r="29" spans="1:5" ht="33" customHeight="1" x14ac:dyDescent="0.25">
      <c r="A29" s="272" t="str">
        <f>"2. 	«"&amp;malumot!B153&amp;"» АJ sug‘urta kompaniyasi tomonidan Mikroqarz to'lamaslik xavfini "&amp;FIXED(malumot!B154,2)&amp;"("&amp;malumot!B155&amp;") so ' m miqdoriga sug’urta qilish"</f>
        <v>2. 	«АО "APEX INSURANCE"» АJ sug‘urta kompaniyasi tomonidan Mikroqarz to'lamaslik xavfini 15 000 000,00(o'n besh million so'm) so ' m miqdoriga sug’urta qilish</v>
      </c>
      <c r="B29" s="272"/>
      <c r="C29" s="272"/>
      <c r="D29" s="272"/>
    </row>
    <row r="30" spans="1:5" ht="10.5" hidden="1" customHeight="1" x14ac:dyDescent="0.25">
      <c r="A30" s="368"/>
      <c r="B30" s="368"/>
      <c r="C30" s="368"/>
      <c r="D30" s="368"/>
    </row>
    <row r="31" spans="1:5" ht="53.25" customHeight="1" x14ac:dyDescent="0.25">
      <c r="A31" s="337" t="str">
        <f>"Mazkur ariza bilan "&amp;malumot!B157&amp;"ga men va soʻralayotgan "&amp;malumot!B65&amp;" boʻyicha barcha zarur maʼlumotlarni quyida ko’rsatilgan tashkilotlarga taqdim etish va olishga roziligimni bildirib, ushbu amaliyotlarni o’tkazish uchun huquq beraman:"</f>
        <v>Mazkur ariza bilan «CLEVER MIKROMOLIYA TASHKILOTI» MChJga men va soʻralayotgan mikrokredit boʻyicha barcha zarur maʼlumotlarni quyida ko’rsatilgan tashkilotlarga taqdim etish va olishga roziligimni bildirib, ushbu amaliyotlarni o’tkazish uchun huquq beraman:</v>
      </c>
      <c r="B31" s="337"/>
      <c r="C31" s="337"/>
      <c r="D31" s="337"/>
    </row>
    <row r="32" spans="1:5" ht="15.75" customHeight="1" x14ac:dyDescent="0.25">
      <c r="A32" s="337" t="s">
        <v>246</v>
      </c>
      <c r="B32" s="337"/>
      <c r="C32" s="337"/>
      <c r="D32" s="337"/>
    </row>
    <row r="33" spans="1:4" x14ac:dyDescent="0.25">
      <c r="A33" s="337" t="s">
        <v>247</v>
      </c>
      <c r="B33" s="337"/>
      <c r="C33" s="337"/>
      <c r="D33" s="337"/>
    </row>
    <row r="34" spans="1:4" x14ac:dyDescent="0.25">
      <c r="A34" s="337" t="s">
        <v>248</v>
      </c>
      <c r="B34" s="337"/>
      <c r="C34" s="337"/>
      <c r="D34" s="337"/>
    </row>
    <row r="35" spans="1:4" x14ac:dyDescent="0.25">
      <c r="A35" s="368" t="str">
        <f>"Ariza berilgan sana: "&amp;TEXT(malumot!B2,"ДД.ММ.ГГГГ")&amp;"y."</f>
        <v>Ariza berilgan sana: 07.04.2025y.</v>
      </c>
      <c r="B35" s="368"/>
      <c r="C35" s="368"/>
      <c r="D35" s="368"/>
    </row>
    <row r="36" spans="1:4" hidden="1" x14ac:dyDescent="0.25">
      <c r="A36" s="368"/>
      <c r="B36" s="368"/>
      <c r="C36" s="368"/>
      <c r="D36" s="368"/>
    </row>
    <row r="37" spans="1:4" x14ac:dyDescent="0.25">
      <c r="A37" s="368" t="s">
        <v>249</v>
      </c>
      <c r="B37" s="368"/>
      <c r="C37" s="368"/>
      <c r="D37" s="368"/>
    </row>
    <row r="38" spans="1:4" hidden="1" x14ac:dyDescent="0.25">
      <c r="A38" s="368"/>
      <c r="B38" s="368"/>
      <c r="C38" s="368"/>
      <c r="D38" s="368"/>
    </row>
    <row r="39" spans="1:4" x14ac:dyDescent="0.25">
      <c r="A39" s="368"/>
      <c r="B39" s="368"/>
      <c r="C39" s="368"/>
      <c r="D39" s="368"/>
    </row>
    <row r="40" spans="1:4" ht="15.75" customHeight="1" x14ac:dyDescent="0.25">
      <c r="A40" s="340" t="str">
        <f>malumot!B5</f>
        <v>MATCHANOVA AZIZA BEKTURDIYEVNA</v>
      </c>
      <c r="B40" s="340"/>
      <c r="C40" s="340"/>
      <c r="D40" s="215" t="s">
        <v>393</v>
      </c>
    </row>
    <row r="41" spans="1:4" x14ac:dyDescent="0.25">
      <c r="A41" s="9"/>
      <c r="B41" s="9"/>
      <c r="D41" s="10" t="s">
        <v>326</v>
      </c>
    </row>
    <row r="42" spans="1:4" x14ac:dyDescent="0.25">
      <c r="A42" s="368"/>
      <c r="B42" s="368"/>
      <c r="C42" s="368"/>
      <c r="D42" s="368"/>
    </row>
    <row r="43" spans="1:4" x14ac:dyDescent="0.25">
      <c r="A43" s="212" t="str">
        <f>malumot!A160</f>
        <v>Xorazm filiali boshlig'i</v>
      </c>
      <c r="B43" s="213"/>
      <c r="C43" s="213"/>
      <c r="D43" s="213" t="str">
        <f>malumot!B160</f>
        <v>M.Sharipov</v>
      </c>
    </row>
    <row r="44" spans="1:4" x14ac:dyDescent="0.25">
      <c r="A44" s="145"/>
      <c r="B44" s="145"/>
      <c r="C44" s="145"/>
      <c r="D44" s="145"/>
    </row>
    <row r="45" spans="1:4" x14ac:dyDescent="0.25">
      <c r="A45" s="145"/>
      <c r="B45" s="145"/>
      <c r="C45" s="145"/>
      <c r="D45" s="145"/>
    </row>
    <row r="46" spans="1:4" x14ac:dyDescent="0.25">
      <c r="A46" s="145"/>
      <c r="B46" s="145"/>
      <c r="C46" s="145"/>
      <c r="D46" s="145"/>
    </row>
    <row r="47" spans="1:4" x14ac:dyDescent="0.25">
      <c r="A47" s="368"/>
      <c r="B47" s="368"/>
      <c r="C47" s="368"/>
      <c r="D47" s="368"/>
    </row>
    <row r="48" spans="1:4" x14ac:dyDescent="0.25">
      <c r="A48" s="368"/>
      <c r="B48" s="368"/>
      <c r="C48" s="368"/>
      <c r="D48" s="368"/>
    </row>
    <row r="49" spans="1:4" x14ac:dyDescent="0.25">
      <c r="A49" s="368"/>
      <c r="B49" s="368"/>
      <c r="C49" s="368"/>
      <c r="D49" s="368"/>
    </row>
    <row r="50" spans="1:4" x14ac:dyDescent="0.25">
      <c r="A50" s="368"/>
      <c r="B50" s="368"/>
      <c r="C50" s="368"/>
      <c r="D50" s="368"/>
    </row>
    <row r="51" spans="1:4" x14ac:dyDescent="0.25">
      <c r="A51" s="368"/>
      <c r="B51" s="368"/>
      <c r="C51" s="368"/>
      <c r="D51" s="368"/>
    </row>
    <row r="52" spans="1:4" x14ac:dyDescent="0.25">
      <c r="A52" s="368"/>
      <c r="B52" s="368"/>
      <c r="C52" s="368"/>
      <c r="D52" s="368"/>
    </row>
    <row r="53" spans="1:4" x14ac:dyDescent="0.25">
      <c r="A53" s="368"/>
      <c r="B53" s="368"/>
      <c r="C53" s="368"/>
      <c r="D53" s="368"/>
    </row>
    <row r="54" spans="1:4" x14ac:dyDescent="0.25">
      <c r="A54" s="368"/>
      <c r="B54" s="368"/>
      <c r="C54" s="368"/>
      <c r="D54" s="368"/>
    </row>
    <row r="55" spans="1:4" x14ac:dyDescent="0.25">
      <c r="A55" s="368"/>
      <c r="B55" s="368"/>
      <c r="C55" s="368"/>
      <c r="D55" s="368"/>
    </row>
    <row r="56" spans="1:4" x14ac:dyDescent="0.25">
      <c r="A56" s="368"/>
      <c r="B56" s="368"/>
      <c r="C56" s="368"/>
      <c r="D56" s="368"/>
    </row>
    <row r="57" spans="1:4" x14ac:dyDescent="0.25">
      <c r="A57" s="368"/>
      <c r="B57" s="368"/>
      <c r="C57" s="368"/>
      <c r="D57" s="368"/>
    </row>
    <row r="58" spans="1:4" x14ac:dyDescent="0.25">
      <c r="A58" s="368"/>
      <c r="B58" s="368"/>
      <c r="C58" s="368"/>
      <c r="D58" s="368"/>
    </row>
    <row r="59" spans="1:4" x14ac:dyDescent="0.25">
      <c r="A59" s="368"/>
      <c r="B59" s="368"/>
      <c r="C59" s="368"/>
      <c r="D59" s="368"/>
    </row>
    <row r="60" spans="1:4" x14ac:dyDescent="0.25">
      <c r="A60" s="368"/>
      <c r="B60" s="368"/>
      <c r="C60" s="368"/>
      <c r="D60" s="368"/>
    </row>
    <row r="61" spans="1:4" x14ac:dyDescent="0.25">
      <c r="A61" s="368"/>
      <c r="B61" s="368"/>
      <c r="C61" s="368"/>
      <c r="D61" s="368"/>
    </row>
    <row r="62" spans="1:4" x14ac:dyDescent="0.25">
      <c r="A62" s="368"/>
      <c r="B62" s="368"/>
      <c r="C62" s="368"/>
      <c r="D62" s="368"/>
    </row>
    <row r="63" spans="1:4" x14ac:dyDescent="0.25">
      <c r="A63" s="368"/>
      <c r="B63" s="368"/>
      <c r="C63" s="368"/>
      <c r="D63" s="368"/>
    </row>
    <row r="64" spans="1:4" x14ac:dyDescent="0.25">
      <c r="A64" s="368"/>
      <c r="B64" s="368"/>
      <c r="C64" s="368"/>
      <c r="D64" s="368"/>
    </row>
    <row r="65" spans="1:4" x14ac:dyDescent="0.25">
      <c r="A65" s="368"/>
      <c r="B65" s="368"/>
      <c r="C65" s="368"/>
      <c r="D65" s="368"/>
    </row>
    <row r="66" spans="1:4" x14ac:dyDescent="0.25">
      <c r="A66" s="368"/>
      <c r="B66" s="368"/>
      <c r="C66" s="368"/>
      <c r="D66" s="368"/>
    </row>
    <row r="67" spans="1:4" x14ac:dyDescent="0.25">
      <c r="A67" s="368"/>
      <c r="B67" s="368"/>
      <c r="C67" s="368"/>
      <c r="D67" s="368"/>
    </row>
    <row r="68" spans="1:4" x14ac:dyDescent="0.25">
      <c r="A68" s="368"/>
      <c r="B68" s="368"/>
      <c r="C68" s="368"/>
      <c r="D68" s="368"/>
    </row>
    <row r="69" spans="1:4" x14ac:dyDescent="0.25">
      <c r="A69" s="368"/>
      <c r="B69" s="368"/>
      <c r="C69" s="368"/>
      <c r="D69" s="368"/>
    </row>
    <row r="70" spans="1:4" x14ac:dyDescent="0.25">
      <c r="A70" s="368"/>
      <c r="B70" s="368"/>
      <c r="C70" s="368"/>
      <c r="D70" s="368"/>
    </row>
    <row r="71" spans="1:4" x14ac:dyDescent="0.25">
      <c r="A71" s="368"/>
      <c r="B71" s="368"/>
      <c r="C71" s="368"/>
      <c r="D71" s="368"/>
    </row>
    <row r="72" spans="1:4" x14ac:dyDescent="0.25">
      <c r="A72" s="368"/>
      <c r="B72" s="368"/>
      <c r="C72" s="368"/>
      <c r="D72" s="368"/>
    </row>
    <row r="73" spans="1:4" x14ac:dyDescent="0.25">
      <c r="A73" s="368"/>
      <c r="B73" s="368"/>
      <c r="C73" s="368"/>
      <c r="D73" s="368"/>
    </row>
    <row r="74" spans="1:4" x14ac:dyDescent="0.25">
      <c r="A74" s="368"/>
      <c r="B74" s="368"/>
      <c r="C74" s="368"/>
      <c r="D74" s="368"/>
    </row>
    <row r="75" spans="1:4" x14ac:dyDescent="0.25">
      <c r="A75" s="368"/>
      <c r="B75" s="368"/>
      <c r="C75" s="368"/>
      <c r="D75" s="368"/>
    </row>
    <row r="76" spans="1:4" x14ac:dyDescent="0.25">
      <c r="A76" s="368"/>
      <c r="B76" s="368"/>
      <c r="C76" s="368"/>
      <c r="D76" s="368"/>
    </row>
    <row r="77" spans="1:4" x14ac:dyDescent="0.25">
      <c r="A77" s="368"/>
      <c r="B77" s="368"/>
      <c r="C77" s="368"/>
      <c r="D77" s="368"/>
    </row>
    <row r="78" spans="1:4" x14ac:dyDescent="0.25">
      <c r="A78" s="368"/>
      <c r="B78" s="368"/>
      <c r="C78" s="368"/>
      <c r="D78" s="368"/>
    </row>
  </sheetData>
  <mergeCells count="71">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1:D31"/>
    <mergeCell ref="A32:D32"/>
    <mergeCell ref="A33:D33"/>
    <mergeCell ref="A34:D34"/>
    <mergeCell ref="A28:D28"/>
    <mergeCell ref="A30:D30"/>
    <mergeCell ref="A29:D29"/>
    <mergeCell ref="A35:D35"/>
    <mergeCell ref="A42:D42"/>
    <mergeCell ref="A36:D36"/>
    <mergeCell ref="A37:D37"/>
    <mergeCell ref="A38:D38"/>
    <mergeCell ref="A39:D39"/>
    <mergeCell ref="A47:D47"/>
    <mergeCell ref="A48:D48"/>
    <mergeCell ref="A49:D49"/>
    <mergeCell ref="A50:D50"/>
    <mergeCell ref="A51:D51"/>
    <mergeCell ref="A52:D52"/>
    <mergeCell ref="A53:D53"/>
    <mergeCell ref="A54:D54"/>
    <mergeCell ref="A55:D55"/>
    <mergeCell ref="A63:D63"/>
    <mergeCell ref="A64:D64"/>
    <mergeCell ref="A65:D65"/>
    <mergeCell ref="A56:D56"/>
    <mergeCell ref="A57:D57"/>
    <mergeCell ref="A58:D58"/>
    <mergeCell ref="A59:D59"/>
    <mergeCell ref="A60:D60"/>
    <mergeCell ref="A76:D76"/>
    <mergeCell ref="A77:D77"/>
    <mergeCell ref="A78:D78"/>
    <mergeCell ref="A40:C40"/>
    <mergeCell ref="A71:D71"/>
    <mergeCell ref="A72:D72"/>
    <mergeCell ref="A73:D73"/>
    <mergeCell ref="A74:D74"/>
    <mergeCell ref="A75:D75"/>
    <mergeCell ref="A66:D66"/>
    <mergeCell ref="A67:D67"/>
    <mergeCell ref="A68:D68"/>
    <mergeCell ref="A69:D69"/>
    <mergeCell ref="A70:D70"/>
    <mergeCell ref="A61:D61"/>
    <mergeCell ref="A62:D62"/>
  </mergeCells>
  <pageMargins left="0.7" right="0.7" top="0.75" bottom="0.75" header="0.3" footer="0.3"/>
  <pageSetup paperSize="9" scale="8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x14ac:dyDescent="0.25"/>
  <cols>
    <col min="1" max="1" width="33.85546875" style="13" customWidth="1"/>
    <col min="2" max="2" width="21.28515625" style="13" customWidth="1"/>
    <col min="3" max="3" width="19.140625" style="13" customWidth="1"/>
    <col min="4" max="5" width="21.28515625" style="13" customWidth="1"/>
    <col min="6" max="16384" width="9.140625" style="13"/>
  </cols>
  <sheetData>
    <row r="2" spans="1:5" x14ac:dyDescent="0.25">
      <c r="A2" s="100" t="s">
        <v>47</v>
      </c>
    </row>
    <row r="3" spans="1:5" x14ac:dyDescent="0.25">
      <c r="A3" s="100" t="s">
        <v>48</v>
      </c>
    </row>
    <row r="6" spans="1:5" ht="20.25" customHeight="1" x14ac:dyDescent="0.25">
      <c r="E6" s="101" t="s">
        <v>35</v>
      </c>
    </row>
    <row r="7" spans="1:5" x14ac:dyDescent="0.25">
      <c r="E7" s="101" t="s">
        <v>49</v>
      </c>
    </row>
    <row r="9" spans="1:5" ht="107.25" customHeight="1" x14ac:dyDescent="0.25">
      <c r="A9" s="371" t="str">
        <f>"          Между ООО «Clever Mikrokredit Tashkiloti» и "&amp;malumot!B5&amp;"  (паспорт: "&amp;malumot!B16&amp;" "&amp;malumot!B20&amp;") заключен договор микрозайма "&amp;malumot!B74&amp;", на сумму "&amp;FIXED(malumot!B76)&amp;" ("&amp;malumot!B77&amp;") сум, сроком на "&amp;malumot!B82&amp;" ("&amp;malumot!B83&amp;") месяцев. В качестве своевременного исполнения обязательств по договору Микрозайма "&amp;malumot!B74&amp;" планирует предоставить нижеследующее "&amp;IF(malumot!B110=malumot!C110,"автотранспортного средство марки "&amp;malumot!B132&amp;" принадлежащее на правах собственности "&amp;malumot!B124&amp;"","недвижимого имущества в виде "&amp;malumot!C133&amp;", общей площадью - "&amp;malumot!C137&amp;" и жилой площадью - "&amp;malumot!C140&amp;", расположенного по адресу: "&amp;malumot!C130&amp;", принадлежащее на правах собственности "&amp;malumot!C124&amp;".")</f>
        <v xml:space="preserve">          Между ООО «Clever Mikrokredit Tashkiloti» и MATCHANOVA AZIZA BEKTURDIYEVNA  (паспорт: AC 2074678 XORAZM VILOYATI SHOVOT TUMANI IIB tomonidan 17.07.2019 yilda berilgan) заключен договор микрозайма 7 aprel 2025 y.dan №717-XMS, на сумму 125 000 000,00 (yuz yigirma besh million so'm) сум, сроком на 36 (O'ttiz olti  ) месяцев. В качестве своевременного исполнения обязательств по договору Микрозайма 7 aprel 2025 y.dan №717-XMS планирует предоставить нижеследующее автотранспортного средство марки JAC M3 принадлежащее на правах собственности BEKOV OTABEK BAXODIROVICH</v>
      </c>
      <c r="B9" s="371"/>
      <c r="C9" s="371"/>
      <c r="D9" s="371"/>
      <c r="E9" s="371"/>
    </row>
    <row r="11" spans="1:5" ht="28.5" x14ac:dyDescent="0.25">
      <c r="A11" s="36" t="str">
        <f>buyruq!A17</f>
        <v>Nomi</v>
      </c>
      <c r="B11" s="36" t="str">
        <f>buyruq!B17</f>
        <v>Kuzov turi  va kuzov raqami*</v>
      </c>
      <c r="C11" s="36" t="str">
        <f>buyruq!C17</f>
        <v>Dvigatel va shassi raqami*</v>
      </c>
      <c r="D11" s="36" t="str">
        <f>buyruq!D17</f>
        <v>Ishlab chiqarilgan yili va rangi*</v>
      </c>
      <c r="E11" s="36" t="str">
        <f>buyruq!E17</f>
        <v>Kelishilgan garov qiymati, so'm</v>
      </c>
    </row>
    <row r="12" spans="1:5" ht="73.5" customHeight="1" x14ac:dyDescent="0.25">
      <c r="A12" s="36" t="str">
        <f>buyruq!A18</f>
        <v>JAC M3</v>
      </c>
      <c r="B12" s="36" t="str">
        <f>buyruq!B18</f>
        <v>kuzov turi - YENGIL MINIVEN, kuzov raqami P08461541</v>
      </c>
      <c r="C12" s="36" t="str">
        <f>buyruq!C18</f>
        <v>dvigatel raqami LJ166A33XP2208188, shassi raqami - Rakamsiz</v>
      </c>
      <c r="D12" s="36" t="str">
        <f>buyruq!D18</f>
        <v>rangi -  QORA CHERNIY, ishlab chiqarilgan yili - 2023</v>
      </c>
      <c r="E12" s="36" t="str">
        <f>buyruq!E18</f>
        <v>165 000 000,00 
(yuz oltmish besh million so'm)</v>
      </c>
    </row>
    <row r="13" spans="1:5" x14ac:dyDescent="0.25">
      <c r="A13" s="372" t="str">
        <f>buyruq!A19:E19</f>
        <v>-* avtotransport egasi: BEKOV OTABEK BAXODIROVICH</v>
      </c>
      <c r="B13" s="372"/>
      <c r="C13" s="372"/>
      <c r="D13" s="372"/>
      <c r="E13" s="372"/>
    </row>
    <row r="14" spans="1:5" x14ac:dyDescent="0.25">
      <c r="A14" s="372" t="str">
        <f>buyruq!A20:E20</f>
        <v>-* texnik pasport: AAG 5923045 28.03.2025y.</v>
      </c>
      <c r="B14" s="372"/>
      <c r="C14" s="372"/>
      <c r="D14" s="372"/>
      <c r="E14" s="372"/>
    </row>
    <row r="15" spans="1:5" x14ac:dyDescent="0.25">
      <c r="A15" s="372" t="str">
        <f>buyruq!A21:E21</f>
        <v>-* roʻyxatdan oʻtgan manzili/garaj manzili: XORAZM VILOYATI URGANCH TUMANI GOYBU QFY OQ MAKTAB MFY</v>
      </c>
      <c r="B15" s="372"/>
      <c r="C15" s="372"/>
      <c r="D15" s="372"/>
      <c r="E15" s="372"/>
    </row>
    <row r="16" spans="1:5" x14ac:dyDescent="0.25">
      <c r="A16" s="372" t="str">
        <f>buyruq!A22:E22</f>
        <v>-* davlat raqami: 90C477ZA</v>
      </c>
      <c r="B16" s="372"/>
      <c r="C16" s="372"/>
      <c r="D16" s="372"/>
      <c r="E16" s="372"/>
    </row>
    <row r="17" spans="1:5" ht="3" customHeight="1" x14ac:dyDescent="0.25"/>
    <row r="19" spans="1:5" ht="59.25" hidden="1" customHeight="1" x14ac:dyDescent="0.25">
      <c r="A19" s="36" t="str">
        <f>dalolatnoma!A32</f>
        <v>Наименование</v>
      </c>
      <c r="B19" s="36" t="str">
        <f>dalolatnoma!B32</f>
        <v>Полезная площадь</v>
      </c>
      <c r="C19" s="36" t="str">
        <f>dalolatnoma!C32</f>
        <v>Жилая площадь</v>
      </c>
      <c r="D19" s="36" t="str">
        <f>dalolatnoma!D32</f>
        <v>Общая площадь</v>
      </c>
      <c r="E19" s="36" t="str">
        <f>dalolatnoma!E32</f>
        <v>Согласованная залоговая стоимость, сум</v>
      </c>
    </row>
    <row r="20" spans="1:5" ht="17.25" hidden="1" customHeight="1" x14ac:dyDescent="0.25">
      <c r="A20" s="15" t="e">
        <f>dalolatnoma!A33</f>
        <v>#REF!</v>
      </c>
      <c r="B20" s="15" t="e">
        <f>dalolatnoma!B33</f>
        <v>#REF!</v>
      </c>
      <c r="C20" s="15" t="e">
        <f>dalolatnoma!C33</f>
        <v>#REF!</v>
      </c>
      <c r="D20" s="15" t="e">
        <f>dalolatnoma!D33</f>
        <v>#REF!</v>
      </c>
      <c r="E20" s="321" t="str">
        <f>""&amp;FIXED(malumot!C143,2)&amp;" ("&amp;malumot!C144&amp;")"</f>
        <v>165 000 000,00 (yuz oltmish besh million so'm)</v>
      </c>
    </row>
    <row r="21" spans="1:5" ht="17.25" hidden="1" customHeight="1" x14ac:dyDescent="0.25">
      <c r="A21" s="15">
        <f>dalolatnoma!A34</f>
        <v>0</v>
      </c>
      <c r="B21" s="15">
        <f>dalolatnoma!B34</f>
        <v>0</v>
      </c>
      <c r="C21" s="15">
        <f>dalolatnoma!C34</f>
        <v>0</v>
      </c>
      <c r="D21" s="15">
        <f>dalolatnoma!D34</f>
        <v>0</v>
      </c>
      <c r="E21" s="322"/>
    </row>
    <row r="22" spans="1:5" ht="17.25" hidden="1" customHeight="1" x14ac:dyDescent="0.25">
      <c r="A22" s="15" t="e">
        <f>dalolatnoma!A35</f>
        <v>#REF!</v>
      </c>
      <c r="B22" s="15" t="e">
        <f>dalolatnoma!B35</f>
        <v>#REF!</v>
      </c>
      <c r="C22" s="15" t="e">
        <f>dalolatnoma!C35</f>
        <v>#REF!</v>
      </c>
      <c r="D22" s="15" t="e">
        <f>dalolatnoma!D35</f>
        <v>#REF!</v>
      </c>
      <c r="E22" s="322"/>
    </row>
    <row r="23" spans="1:5" ht="17.25" hidden="1" customHeight="1" x14ac:dyDescent="0.25">
      <c r="A23" s="15" t="e">
        <f>dalolatnoma!A36</f>
        <v>#REF!</v>
      </c>
      <c r="B23" s="15" t="e">
        <f>dalolatnoma!B36</f>
        <v>#REF!</v>
      </c>
      <c r="C23" s="15" t="e">
        <f>dalolatnoma!C36</f>
        <v>#REF!</v>
      </c>
      <c r="D23" s="15" t="e">
        <f>dalolatnoma!D36</f>
        <v>#REF!</v>
      </c>
      <c r="E23" s="322"/>
    </row>
    <row r="24" spans="1:5" ht="17.25" hidden="1" customHeight="1" x14ac:dyDescent="0.25">
      <c r="A24" s="15" t="e">
        <f>dalolatnoma!A37</f>
        <v>#REF!</v>
      </c>
      <c r="B24" s="15" t="e">
        <f>dalolatnoma!B37</f>
        <v>#REF!</v>
      </c>
      <c r="C24" s="15" t="e">
        <f>dalolatnoma!C37</f>
        <v>#REF!</v>
      </c>
      <c r="D24" s="15" t="e">
        <f>dalolatnoma!D37</f>
        <v>#REF!</v>
      </c>
      <c r="E24" s="322"/>
    </row>
    <row r="25" spans="1:5" ht="15.75" hidden="1" customHeight="1" x14ac:dyDescent="0.25">
      <c r="A25" s="15" t="e">
        <f>dalolatnoma!A38</f>
        <v>#REF!</v>
      </c>
      <c r="B25" s="15" t="e">
        <f>dalolatnoma!B38</f>
        <v>#REF!</v>
      </c>
      <c r="C25" s="15" t="e">
        <f>dalolatnoma!C38</f>
        <v>#REF!</v>
      </c>
      <c r="D25" s="15" t="e">
        <f>dalolatnoma!D38</f>
        <v>#REF!</v>
      </c>
      <c r="E25" s="322"/>
    </row>
    <row r="26" spans="1:5" ht="17.25" hidden="1" customHeight="1" x14ac:dyDescent="0.25">
      <c r="A26" s="15" t="e">
        <f>dalolatnoma!A39</f>
        <v>#REF!</v>
      </c>
      <c r="B26" s="15" t="e">
        <f>dalolatnoma!B39</f>
        <v>#REF!</v>
      </c>
      <c r="C26" s="15" t="e">
        <f>dalolatnoma!C39</f>
        <v>#REF!</v>
      </c>
      <c r="D26" s="15" t="e">
        <f>dalolatnoma!D39</f>
        <v>#REF!</v>
      </c>
      <c r="E26" s="322"/>
    </row>
    <row r="27" spans="1:5" ht="17.25" hidden="1" customHeight="1" x14ac:dyDescent="0.25">
      <c r="A27" s="15" t="e">
        <f>dalolatnoma!A40</f>
        <v>#REF!</v>
      </c>
      <c r="B27" s="15" t="e">
        <f>dalolatnoma!B40</f>
        <v>#REF!</v>
      </c>
      <c r="C27" s="15" t="e">
        <f>dalolatnoma!C40</f>
        <v>#REF!</v>
      </c>
      <c r="D27" s="15" t="e">
        <f>dalolatnoma!D40</f>
        <v>#REF!</v>
      </c>
      <c r="E27" s="322"/>
    </row>
    <row r="28" spans="1:5" ht="17.25" hidden="1" customHeight="1" x14ac:dyDescent="0.25">
      <c r="A28" s="15" t="e">
        <f>dalolatnoma!A41</f>
        <v>#REF!</v>
      </c>
      <c r="B28" s="15" t="e">
        <f>dalolatnoma!B41</f>
        <v>#REF!</v>
      </c>
      <c r="C28" s="15" t="e">
        <f>dalolatnoma!C41</f>
        <v>#REF!</v>
      </c>
      <c r="D28" s="15" t="e">
        <f>dalolatnoma!D41</f>
        <v>#REF!</v>
      </c>
      <c r="E28" s="322"/>
    </row>
    <row r="29" spans="1:5" ht="17.25" hidden="1" customHeight="1" x14ac:dyDescent="0.25">
      <c r="A29" s="15" t="e">
        <f>dalolatnoma!A42</f>
        <v>#REF!</v>
      </c>
      <c r="B29" s="15" t="e">
        <f>dalolatnoma!B42</f>
        <v>#REF!</v>
      </c>
      <c r="C29" s="15" t="e">
        <f>dalolatnoma!C42</f>
        <v>#REF!</v>
      </c>
      <c r="D29" s="15" t="e">
        <f>dalolatnoma!D42</f>
        <v>#REF!</v>
      </c>
      <c r="E29" s="322"/>
    </row>
    <row r="30" spans="1:5" ht="17.25" hidden="1" customHeight="1" x14ac:dyDescent="0.25">
      <c r="A30" s="15" t="e">
        <f>dalolatnoma!A43</f>
        <v>#REF!</v>
      </c>
      <c r="B30" s="15" t="e">
        <f>dalolatnoma!B43</f>
        <v>#REF!</v>
      </c>
      <c r="C30" s="15" t="e">
        <f>dalolatnoma!C43</f>
        <v>#REF!</v>
      </c>
      <c r="D30" s="15" t="e">
        <f>dalolatnoma!D43</f>
        <v>#REF!</v>
      </c>
      <c r="E30" s="323"/>
    </row>
    <row r="31" spans="1:5" ht="17.25" hidden="1" customHeight="1" x14ac:dyDescent="0.25">
      <c r="A31" s="15" t="e">
        <f>dalolatnoma!A44</f>
        <v>#REF!</v>
      </c>
      <c r="B31" s="15" t="e">
        <f>dalolatnoma!B44</f>
        <v>#REF!</v>
      </c>
      <c r="C31" s="15" t="e">
        <f>dalolatnoma!C44</f>
        <v>#REF!</v>
      </c>
      <c r="D31" s="15" t="e">
        <f>dalolatnoma!D44</f>
        <v>#REF!</v>
      </c>
      <c r="E31" s="15" t="str">
        <f>dalolatnoma!E44</f>
        <v>165 000 000,00</v>
      </c>
    </row>
    <row r="32" spans="1:5" ht="18.75" hidden="1" customHeight="1" x14ac:dyDescent="0.25">
      <c r="A32" s="371" t="e">
        <f>_xlfn.SINGLE(dalolatnoma!#REF!)</f>
        <v>#REF!</v>
      </c>
      <c r="B32" s="371"/>
      <c r="C32" s="371"/>
      <c r="D32" s="371"/>
      <c r="E32" s="371"/>
    </row>
    <row r="33" spans="1:5" ht="24.75" hidden="1" customHeight="1" x14ac:dyDescent="0.25">
      <c r="A33" s="371" t="e">
        <f>_xlfn.SINGLE(dalolatnoma!#REF!)</f>
        <v>#REF!</v>
      </c>
      <c r="B33" s="371"/>
      <c r="C33" s="371"/>
      <c r="D33" s="371"/>
      <c r="E33" s="371"/>
    </row>
    <row r="34" spans="1:5" ht="30.75" hidden="1" customHeight="1" x14ac:dyDescent="0.25">
      <c r="A34" s="371" t="e">
        <f>_xlfn.SINGLE(dalolatnoma!#REF!)</f>
        <v>#REF!</v>
      </c>
      <c r="B34" s="371"/>
      <c r="C34" s="371"/>
      <c r="D34" s="371"/>
      <c r="E34" s="371"/>
    </row>
    <row r="35" spans="1:5" ht="15" hidden="1" customHeight="1" x14ac:dyDescent="0.25">
      <c r="A35" s="371" t="e">
        <f>_xlfn.SINGLE(dalolatnoma!#REF!)</f>
        <v>#REF!</v>
      </c>
      <c r="B35" s="371"/>
      <c r="C35" s="371"/>
      <c r="D35" s="371"/>
      <c r="E35" s="371"/>
    </row>
    <row r="36" spans="1:5" x14ac:dyDescent="0.25">
      <c r="A36" s="19"/>
      <c r="B36" s="19"/>
      <c r="C36" s="19"/>
      <c r="D36" s="19"/>
      <c r="E36" s="19"/>
    </row>
    <row r="37" spans="1:5" s="122" customFormat="1" ht="51" customHeight="1" x14ac:dyDescent="0.25">
      <c r="A37" s="370"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70"/>
      <c r="C37" s="370"/>
      <c r="D37" s="370"/>
      <c r="E37" s="370"/>
    </row>
    <row r="38" spans="1:5" ht="40.5" customHeight="1" x14ac:dyDescent="0.25">
      <c r="A38" s="371" t="str">
        <f>dalolatnoma!A47:E47</f>
        <v>Shu bilan birga, garov predmetining kelishilgan garov qiymati deganda ushbu mulk garov sifatida taqdim etilgan/qabul qilingan qiymati tushuniladi.</v>
      </c>
      <c r="B38" s="371"/>
      <c r="C38" s="371"/>
      <c r="D38" s="371"/>
      <c r="E38" s="371"/>
    </row>
    <row r="39" spans="1:5" ht="39" customHeight="1" x14ac:dyDescent="0.25">
      <c r="A39" s="371"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7 aprel 2025 y.dan №717-XMS, при сохранении запрета.</v>
      </c>
      <c r="B39" s="371"/>
      <c r="C39" s="371"/>
      <c r="D39" s="371"/>
      <c r="E39" s="371"/>
    </row>
    <row r="40" spans="1:5" x14ac:dyDescent="0.25">
      <c r="A40" s="374"/>
      <c r="B40" s="374"/>
      <c r="C40" s="374"/>
      <c r="D40" s="374"/>
      <c r="E40" s="374"/>
    </row>
    <row r="41" spans="1:5" x14ac:dyDescent="0.25">
      <c r="A41" s="375" t="s">
        <v>36</v>
      </c>
      <c r="B41" s="375"/>
      <c r="C41" s="375"/>
      <c r="D41" s="375"/>
      <c r="E41" s="375"/>
    </row>
    <row r="42" spans="1:5" x14ac:dyDescent="0.25">
      <c r="A42" s="374"/>
      <c r="B42" s="374"/>
      <c r="C42" s="374"/>
      <c r="D42" s="374"/>
      <c r="E42" s="374"/>
    </row>
    <row r="43" spans="1:5" x14ac:dyDescent="0.25">
      <c r="A43" s="375" t="s">
        <v>37</v>
      </c>
      <c r="B43" s="375"/>
      <c r="C43" s="375"/>
      <c r="D43" s="375"/>
      <c r="E43" s="375"/>
    </row>
    <row r="44" spans="1:5" ht="28.5" customHeight="1" x14ac:dyDescent="0.25">
      <c r="A44" s="373" t="s">
        <v>38</v>
      </c>
      <c r="B44" s="373"/>
      <c r="C44" s="373"/>
      <c r="D44" s="373"/>
      <c r="E44" s="102"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6">
    <tabColor rgb="FF00B050"/>
  </sheetPr>
  <dimension ref="A1:I31"/>
  <sheetViews>
    <sheetView view="pageBreakPreview" topLeftCell="A10" zoomScaleNormal="100" zoomScaleSheetLayoutView="100" workbookViewId="0">
      <selection activeCell="H31" sqref="H31"/>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16384" width="9.140625" style="21"/>
  </cols>
  <sheetData>
    <row r="1" spans="1:9" x14ac:dyDescent="0.2">
      <c r="A1" s="28"/>
      <c r="B1" s="28"/>
      <c r="C1" s="28"/>
      <c r="D1" s="28"/>
      <c r="E1" s="28"/>
      <c r="F1" s="28"/>
      <c r="G1" s="28"/>
      <c r="H1" s="28"/>
      <c r="I1" s="28"/>
    </row>
    <row r="2" spans="1:9" x14ac:dyDescent="0.2">
      <c r="A2" s="381" t="str">
        <f>""&amp;" "&amp;malumot!B74&amp;"-sonli "&amp;" "&amp;malumot!C64&amp;" shartnomasi bo‘yicha
 garovga qo‘yilgan mol-mulkni tekshirish bo’yicha "&amp;malumot!B5&amp;" bilan tuzilgan dalolatnomasi"</f>
        <v xml:space="preserve"> 7 aprel 2025 y.dan №717-XMS-sonli  Mikrokredit shartnomasi bo‘yicha
 garovga qo‘yilgan mol-mulkni tekshirish bo’yicha MATCHANOVA AZIZA BEKTURDIYEVNA bilan tuzilgan dalolatnomasi</v>
      </c>
      <c r="B2" s="381"/>
      <c r="C2" s="381"/>
      <c r="D2" s="381"/>
      <c r="E2" s="381"/>
      <c r="F2" s="381"/>
      <c r="G2" s="381"/>
      <c r="H2" s="381"/>
      <c r="I2" s="28"/>
    </row>
    <row r="3" spans="1:9" x14ac:dyDescent="0.2">
      <c r="A3" s="381"/>
      <c r="B3" s="381"/>
      <c r="C3" s="381"/>
      <c r="D3" s="381"/>
      <c r="E3" s="381"/>
      <c r="F3" s="381"/>
      <c r="G3" s="381"/>
      <c r="H3" s="381"/>
      <c r="I3" s="28"/>
    </row>
    <row r="5" spans="1:9" x14ac:dyDescent="0.2">
      <c r="A5" s="21" t="s">
        <v>201</v>
      </c>
      <c r="H5" s="132" t="str">
        <f>TEXT(+malumot!B2+360,"ДД.ММ.ГГГГ")</f>
        <v>02.04.2026</v>
      </c>
    </row>
    <row r="7" spans="1:9" ht="45" customHeight="1" x14ac:dyDescent="0.2">
      <c r="A7" s="383" t="str">
        <f>"      Men, "&amp;malumot!B157&amp;" "&amp;malumot!A160&amp;"i "&amp;malumot!B160&amp;", jismoniy shaxs "&amp;" "&amp;malumot!B5&amp;" "&amp;" "&amp;malumot!B74&amp;"-sonli "&amp;malumot!C64&amp;" shartnomasi bo‘yicha garovga qo‘yilgan mol-mulkni ko‘zdan kechirdim"</f>
        <v xml:space="preserve">      Men, «CLEVER MIKROMOLIYA TASHKILOTI» MChJ Xorazm filiali boshlig'ii M.Sharipov, jismoniy shaxs  MATCHANOVA AZIZA BEKTURDIYEVNA  7 aprel 2025 y.dan №717-XMS-sonli Mikrokredit shartnomasi bo‘yicha garovga qo‘yilgan mol-mulkni ko‘zdan kechirdim</v>
      </c>
      <c r="B7" s="383"/>
      <c r="C7" s="383"/>
      <c r="D7" s="383"/>
      <c r="E7" s="383"/>
      <c r="F7" s="383"/>
      <c r="G7" s="383"/>
      <c r="H7" s="383"/>
    </row>
    <row r="8" spans="1:9" ht="19.5" customHeight="1" x14ac:dyDescent="0.2">
      <c r="A8" s="384" t="s">
        <v>270</v>
      </c>
      <c r="B8" s="384"/>
      <c r="C8" s="384"/>
      <c r="D8" s="384"/>
      <c r="E8" s="384"/>
      <c r="F8" s="384"/>
      <c r="G8" s="384"/>
      <c r="H8" s="384"/>
    </row>
    <row r="9" spans="1:9" s="133" customFormat="1" ht="32.25" customHeight="1" x14ac:dyDescent="0.25">
      <c r="A9" s="379" t="str">
        <f>akt_monitoring_2!A9</f>
        <v>Nomi</v>
      </c>
      <c r="B9" s="380"/>
      <c r="C9" s="379" t="str">
        <f>akt_monitoring_2!C9</f>
        <v>Kuzov turi  va kuzov raqami*</v>
      </c>
      <c r="D9" s="380"/>
      <c r="E9" s="379" t="str">
        <f>akt_monitoring_2!E9</f>
        <v>Dvigatel va shassi raqami*</v>
      </c>
      <c r="F9" s="380"/>
      <c r="G9" s="379" t="str">
        <f>akt_monitoring_2!G9</f>
        <v>Ishlab chiqarilgan yili va rangi**</v>
      </c>
      <c r="H9" s="380"/>
    </row>
    <row r="10" spans="1:9" s="131" customFormat="1" ht="58.5" customHeight="1" x14ac:dyDescent="0.2">
      <c r="A10" s="377" t="str">
        <f>akt_monitoring_2!A10</f>
        <v>JAC M3</v>
      </c>
      <c r="B10" s="377"/>
      <c r="C10" s="377" t="str">
        <f>akt_monitoring_2!C10</f>
        <v>kuzov turi - YENGIL MINIVEN, kuzov raqami P08461541</v>
      </c>
      <c r="D10" s="377"/>
      <c r="E10" s="377" t="str">
        <f>akt_monitoring_2!E10</f>
        <v>dvigatel raqami LJ166A33XP2208188, shassi raqami - Rakamsiz</v>
      </c>
      <c r="F10" s="377"/>
      <c r="G10" s="377" t="str">
        <f>akt_monitoring_2!G10</f>
        <v>rangi -  QORA CHERNIY, ishlab chiqarilgan yili - 2023</v>
      </c>
      <c r="H10" s="377"/>
    </row>
    <row r="11" spans="1:9" ht="19.5" customHeight="1" x14ac:dyDescent="0.2">
      <c r="A11" s="378" t="str">
        <f>dalolatnoma!A22:E22</f>
        <v>-* avtotransport egasi: BEKOV OTABEK BAXODIROVICH</v>
      </c>
      <c r="B11" s="378"/>
      <c r="C11" s="378"/>
      <c r="D11" s="378"/>
      <c r="E11" s="378"/>
      <c r="F11" s="378"/>
      <c r="G11" s="378"/>
      <c r="H11" s="378"/>
    </row>
    <row r="12" spans="1:9" ht="19.5" customHeight="1" x14ac:dyDescent="0.2">
      <c r="A12" s="378" t="str">
        <f>dalolatnoma!A23:E23</f>
        <v>-* texnik pasport: AAG 5923045 28.03.2025y.</v>
      </c>
      <c r="B12" s="378"/>
      <c r="C12" s="378"/>
      <c r="D12" s="378"/>
      <c r="E12" s="378"/>
      <c r="F12" s="378"/>
      <c r="G12" s="378"/>
      <c r="H12" s="378"/>
    </row>
    <row r="13" spans="1:9" ht="19.5" customHeight="1" x14ac:dyDescent="0.2">
      <c r="A13" s="378" t="str">
        <f>dalolatnoma!A24:E24</f>
        <v>-* roʻyxatdan oʻtgan manzili/garaj manzili: XORAZM VILOYATI URGANCH TUMANI GOYBU QFY OQ MAKTAB MFY</v>
      </c>
      <c r="B13" s="378"/>
      <c r="C13" s="378"/>
      <c r="D13" s="378"/>
      <c r="E13" s="378"/>
      <c r="F13" s="378"/>
      <c r="G13" s="378"/>
      <c r="H13" s="378"/>
    </row>
    <row r="14" spans="1:9" ht="19.5" customHeight="1" x14ac:dyDescent="0.2">
      <c r="A14" s="378" t="str">
        <f>dalolatnoma!A25:E25</f>
        <v>-* davlat raqami: 90C477ZA</v>
      </c>
      <c r="B14" s="378"/>
      <c r="C14" s="378"/>
      <c r="D14" s="378"/>
      <c r="E14" s="378"/>
      <c r="F14" s="378"/>
      <c r="G14" s="378"/>
      <c r="H14" s="378"/>
    </row>
    <row r="15" spans="1:9" ht="33.75" customHeight="1" x14ac:dyDescent="0.2">
      <c r="A15" s="382" t="str">
        <f>+"Shu bilan birga, yuqoridagi mulkning kelishilgan garov qiymati "&amp;dalolatnoma!E30</f>
        <v>Shu bilan birga, yuqoridagi mulkning kelishilgan garov qiymati 165 000 000,00 
(yuz oltmish besh million so'm)</v>
      </c>
      <c r="B15" s="382"/>
      <c r="C15" s="382"/>
      <c r="D15" s="382"/>
      <c r="E15" s="382"/>
      <c r="F15" s="382"/>
      <c r="G15" s="382"/>
      <c r="H15" s="382"/>
    </row>
    <row r="17" spans="1:8" ht="35.25" customHeight="1" x14ac:dyDescent="0.2">
      <c r="A17" s="376" t="s">
        <v>271</v>
      </c>
      <c r="B17" s="376"/>
      <c r="C17" s="376"/>
      <c r="D17" s="376"/>
      <c r="E17" s="376"/>
      <c r="F17" s="376"/>
      <c r="G17" s="376"/>
      <c r="H17" s="376"/>
    </row>
    <row r="21" spans="1:8" s="28" customFormat="1" x14ac:dyDescent="0.2"/>
    <row r="22" spans="1:8" s="28" customFormat="1" x14ac:dyDescent="0.2">
      <c r="A22" s="214" t="str">
        <f>malumot!A160</f>
        <v>Xorazm filiali boshlig'i</v>
      </c>
      <c r="H22" s="134" t="str">
        <f>malumot!B160</f>
        <v>M.Sharipov</v>
      </c>
    </row>
    <row r="23" spans="1:8" s="28" customFormat="1" x14ac:dyDescent="0.2">
      <c r="H23" s="134"/>
    </row>
    <row r="24" spans="1:8" s="28" customFormat="1" x14ac:dyDescent="0.2"/>
    <row r="25" spans="1:8" s="28" customFormat="1" x14ac:dyDescent="0.2"/>
    <row r="26" spans="1:8" s="28" customFormat="1" x14ac:dyDescent="0.2">
      <c r="H26" s="134"/>
    </row>
    <row r="27" spans="1:8" s="28" customFormat="1" x14ac:dyDescent="0.2">
      <c r="A27" s="28" t="str">
        <f>malumot!A170</f>
        <v>Monitoring bo’limi boshlig’i</v>
      </c>
      <c r="H27" s="28" t="str">
        <f>malumot!B170</f>
        <v>B. Jumanazarov</v>
      </c>
    </row>
    <row r="28" spans="1:8" s="28" customFormat="1" x14ac:dyDescent="0.2"/>
    <row r="29" spans="1:8" s="28" customFormat="1" x14ac:dyDescent="0.2"/>
    <row r="31" spans="1:8" x14ac:dyDescent="0.2">
      <c r="A31" s="28" t="s">
        <v>273</v>
      </c>
      <c r="H31" s="28" t="str">
        <f>malumot!B7</f>
        <v>MATCHANOVA A.B.</v>
      </c>
    </row>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5">
    <tabColor rgb="FF00B050"/>
  </sheetPr>
  <dimension ref="A1:I35"/>
  <sheetViews>
    <sheetView view="pageBreakPreview" topLeftCell="A7" zoomScaleNormal="100" zoomScaleSheetLayoutView="100" workbookViewId="0">
      <selection activeCell="H27" sqref="H27"/>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9" width="9.140625" style="21" hidden="1" customWidth="1"/>
    <col min="10" max="10" width="9.140625" style="21" customWidth="1"/>
    <col min="11" max="11" width="0.5703125" style="21" customWidth="1"/>
    <col min="12" max="16384" width="9.140625" style="21"/>
  </cols>
  <sheetData>
    <row r="1" spans="1:9" x14ac:dyDescent="0.2">
      <c r="A1" s="28"/>
      <c r="B1" s="28"/>
      <c r="C1" s="28"/>
      <c r="D1" s="28"/>
      <c r="E1" s="28"/>
      <c r="F1" s="28"/>
      <c r="G1" s="28"/>
      <c r="H1" s="28"/>
      <c r="I1" s="28"/>
    </row>
    <row r="2" spans="1:9" x14ac:dyDescent="0.2">
      <c r="A2" s="381" t="str">
        <f>""&amp;" "&amp;malumot!B74&amp;"-sonli "&amp;" "&amp;malumot!C64&amp;" shartnomasi bo‘yicha
 garovga qo‘yilgan mol-mulkni tekshirish bo’yicha "&amp;malumot!B5&amp;" bilan tuzilgan dalolatnomasi"</f>
        <v xml:space="preserve"> 7 aprel 2025 y.dan №717-XMS-sonli  Mikrokredit shartnomasi bo‘yicha
 garovga qo‘yilgan mol-mulkni tekshirish bo’yicha MATCHANOVA AZIZA BEKTURDIYEVNA bilan tuzilgan dalolatnomasi</v>
      </c>
      <c r="B2" s="381"/>
      <c r="C2" s="381"/>
      <c r="D2" s="381"/>
      <c r="E2" s="381"/>
      <c r="F2" s="381"/>
      <c r="G2" s="381"/>
      <c r="H2" s="381"/>
      <c r="I2" s="28"/>
    </row>
    <row r="3" spans="1:9" x14ac:dyDescent="0.2">
      <c r="A3" s="381"/>
      <c r="B3" s="381"/>
      <c r="C3" s="381"/>
      <c r="D3" s="381"/>
      <c r="E3" s="381"/>
      <c r="F3" s="381"/>
      <c r="G3" s="381"/>
      <c r="H3" s="381"/>
      <c r="I3" s="28"/>
    </row>
    <row r="5" spans="1:9" x14ac:dyDescent="0.2">
      <c r="A5" s="21" t="s">
        <v>201</v>
      </c>
      <c r="F5" s="146"/>
      <c r="H5" s="132" t="str">
        <f>TEXT(malumot!D2,"ДД.ММ.ГГГГ")</f>
        <v>04.10.2025</v>
      </c>
    </row>
    <row r="7" spans="1:9" ht="45" customHeight="1" x14ac:dyDescent="0.2">
      <c r="A7" s="383" t="str">
        <f>"      Men, “СLEVER MIKROMOLYA TASHKILOTI” "&amp;malumot!A160&amp;"i "&amp;malumot!B160&amp;", jismoniy shaxs "&amp;" "&amp;malumot!B5&amp;" "&amp;" "&amp;malumot!B74&amp;"-sonli "&amp;malumot!B65&amp;" shartnomasi bo‘yicha garovga qo‘yilgan mol-mulkni ko‘zdan kechirdim"</f>
        <v xml:space="preserve">      Men, “СLEVER MIKROMOLYA TASHKILOTI” Xorazm filiali boshlig'ii M.Sharipov, jismoniy shaxs  MATCHANOVA AZIZA BEKTURDIYEVNA  7 aprel 2025 y.dan №717-XMS-sonli mikrokredit shartnomasi bo‘yicha garovga qo‘yilgan mol-mulkni ko‘zdan kechirdim</v>
      </c>
      <c r="B7" s="383"/>
      <c r="C7" s="383"/>
      <c r="D7" s="383"/>
      <c r="E7" s="383"/>
      <c r="F7" s="383"/>
      <c r="G7" s="383"/>
      <c r="H7" s="383"/>
    </row>
    <row r="8" spans="1:9" ht="19.5" customHeight="1" x14ac:dyDescent="0.2">
      <c r="A8" s="384" t="s">
        <v>270</v>
      </c>
      <c r="B8" s="384"/>
      <c r="C8" s="384"/>
      <c r="D8" s="384"/>
      <c r="E8" s="384"/>
      <c r="F8" s="384"/>
      <c r="G8" s="384"/>
      <c r="H8" s="384"/>
    </row>
    <row r="9" spans="1:9" s="133" customFormat="1" ht="32.25" customHeight="1" x14ac:dyDescent="0.25">
      <c r="A9" s="379" t="str">
        <f>dalolatnoma!A20</f>
        <v>Nomi</v>
      </c>
      <c r="B9" s="380"/>
      <c r="C9" s="379" t="str">
        <f>dalolatnoma!B20</f>
        <v>Kuzov turi  va kuzov raqami*</v>
      </c>
      <c r="D9" s="380"/>
      <c r="E9" s="379" t="str">
        <f>dalolatnoma!D20</f>
        <v>Dvigatel va shassi raqami*</v>
      </c>
      <c r="F9" s="380"/>
      <c r="G9" s="379" t="str">
        <f>dalolatnoma!E20</f>
        <v>Ishlab chiqarilgan yili va rangi**</v>
      </c>
      <c r="H9" s="380"/>
    </row>
    <row r="10" spans="1:9" s="131" customFormat="1" ht="58.5" customHeight="1" x14ac:dyDescent="0.2">
      <c r="A10" s="377" t="str">
        <f>dalolatnoma!A21</f>
        <v>JAC M3</v>
      </c>
      <c r="B10" s="377"/>
      <c r="C10" s="377" t="str">
        <f>dalolatnoma!B21</f>
        <v>kuzov turi - YENGIL MINIVEN, kuzov raqami P08461541</v>
      </c>
      <c r="D10" s="377"/>
      <c r="E10" s="377" t="str">
        <f>dalolatnoma!D21</f>
        <v>dvigatel raqami LJ166A33XP2208188, shassi raqami - Rakamsiz</v>
      </c>
      <c r="F10" s="377"/>
      <c r="G10" s="377" t="str">
        <f>dalolatnoma!E21</f>
        <v>rangi -  QORA CHERNIY, ishlab chiqarilgan yili - 2023</v>
      </c>
      <c r="H10" s="377"/>
    </row>
    <row r="11" spans="1:9" ht="19.5" customHeight="1" x14ac:dyDescent="0.2">
      <c r="A11" s="378" t="str">
        <f>dalolatnoma!A22:E22</f>
        <v>-* avtotransport egasi: BEKOV OTABEK BAXODIROVICH</v>
      </c>
      <c r="B11" s="378"/>
      <c r="C11" s="378"/>
      <c r="D11" s="378"/>
      <c r="E11" s="378"/>
      <c r="F11" s="378"/>
      <c r="G11" s="378"/>
      <c r="H11" s="378"/>
    </row>
    <row r="12" spans="1:9" ht="19.5" customHeight="1" x14ac:dyDescent="0.2">
      <c r="A12" s="378" t="str">
        <f>dalolatnoma!A23:E23</f>
        <v>-* texnik pasport: AAG 5923045 28.03.2025y.</v>
      </c>
      <c r="B12" s="378"/>
      <c r="C12" s="378"/>
      <c r="D12" s="378"/>
      <c r="E12" s="378"/>
      <c r="F12" s="378"/>
      <c r="G12" s="378"/>
      <c r="H12" s="378"/>
    </row>
    <row r="13" spans="1:9" ht="19.5" customHeight="1" x14ac:dyDescent="0.2">
      <c r="A13" s="378" t="str">
        <f>dalolatnoma!A24:E24</f>
        <v>-* roʻyxatdan oʻtgan manzili/garaj manzili: XORAZM VILOYATI URGANCH TUMANI GOYBU QFY OQ MAKTAB MFY</v>
      </c>
      <c r="B13" s="378"/>
      <c r="C13" s="378"/>
      <c r="D13" s="378"/>
      <c r="E13" s="378"/>
      <c r="F13" s="378"/>
      <c r="G13" s="378"/>
      <c r="H13" s="378"/>
    </row>
    <row r="14" spans="1:9" ht="19.5" customHeight="1" x14ac:dyDescent="0.2">
      <c r="A14" s="378" t="str">
        <f>dalolatnoma!A25:E25</f>
        <v>-* davlat raqami: 90C477ZA</v>
      </c>
      <c r="B14" s="378"/>
      <c r="C14" s="378"/>
      <c r="D14" s="378"/>
      <c r="E14" s="378"/>
      <c r="F14" s="378"/>
      <c r="G14" s="378"/>
      <c r="H14" s="378"/>
    </row>
    <row r="15" spans="1:9" ht="33.75" customHeight="1" x14ac:dyDescent="0.2">
      <c r="A15" s="382" t="str">
        <f>+"Shu bilan birga, yuqoridagi mulkning kelishilgan garov qiymati "&amp;dalolatnoma!E30</f>
        <v>Shu bilan birga, yuqoridagi mulkning kelishilgan garov qiymati 165 000 000,00 
(yuz oltmish besh million so'm)</v>
      </c>
      <c r="B15" s="382"/>
      <c r="C15" s="382"/>
      <c r="D15" s="382"/>
      <c r="E15" s="382"/>
      <c r="F15" s="382"/>
      <c r="G15" s="382"/>
      <c r="H15" s="382"/>
    </row>
    <row r="17" spans="1:8" ht="27" customHeight="1" x14ac:dyDescent="0.2">
      <c r="A17" s="376" t="s">
        <v>271</v>
      </c>
      <c r="B17" s="376"/>
      <c r="C17" s="376"/>
      <c r="D17" s="376"/>
      <c r="E17" s="376"/>
      <c r="F17" s="376"/>
      <c r="G17" s="376"/>
      <c r="H17" s="376"/>
    </row>
    <row r="21" spans="1:8" s="28" customFormat="1" x14ac:dyDescent="0.2"/>
    <row r="22" spans="1:8" s="28" customFormat="1" x14ac:dyDescent="0.2">
      <c r="A22" s="28" t="str">
        <f>malumot!A160</f>
        <v>Xorazm filiali boshlig'i</v>
      </c>
      <c r="H22" s="134" t="str">
        <f>malumot!B160</f>
        <v>M.Sharipov</v>
      </c>
    </row>
    <row r="23" spans="1:8" s="28" customFormat="1" x14ac:dyDescent="0.2">
      <c r="H23" s="134"/>
    </row>
    <row r="24" spans="1:8" s="28" customFormat="1" x14ac:dyDescent="0.2">
      <c r="H24" s="134"/>
    </row>
    <row r="25" spans="1:8" s="28" customFormat="1" x14ac:dyDescent="0.2">
      <c r="H25" s="134"/>
    </row>
    <row r="26" spans="1:8" s="28" customFormat="1" x14ac:dyDescent="0.2">
      <c r="H26" s="134"/>
    </row>
    <row r="27" spans="1:8" s="28" customFormat="1" ht="16.5" customHeight="1" x14ac:dyDescent="0.2">
      <c r="A27" s="28" t="s">
        <v>272</v>
      </c>
      <c r="H27" s="28" t="str">
        <f>malumot!B170</f>
        <v>B. Jumanazarov</v>
      </c>
    </row>
    <row r="28" spans="1:8" s="28" customFormat="1" ht="16.5" customHeight="1" x14ac:dyDescent="0.2"/>
    <row r="29" spans="1:8" s="28" customFormat="1" ht="16.5" customHeight="1" x14ac:dyDescent="0.2"/>
    <row r="30" spans="1:8" s="28" customFormat="1" x14ac:dyDescent="0.2"/>
    <row r="31" spans="1:8" s="28" customFormat="1" x14ac:dyDescent="0.2">
      <c r="A31" s="28" t="s">
        <v>273</v>
      </c>
      <c r="H31" s="134" t="str">
        <f>malumot!B7</f>
        <v>MATCHANOVA A.B.</v>
      </c>
    </row>
    <row r="32" spans="1:8" s="28" customFormat="1" x14ac:dyDescent="0.2"/>
    <row r="33" s="28" customFormat="1" x14ac:dyDescent="0.2"/>
    <row r="34" s="28" customFormat="1" x14ac:dyDescent="0.2"/>
    <row r="35" s="28" customFormat="1" x14ac:dyDescent="0.2"/>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34"/>
  <sheetViews>
    <sheetView view="pageBreakPreview" topLeftCell="A7" zoomScaleNormal="100" zoomScaleSheetLayoutView="100" workbookViewId="0">
      <selection activeCell="A28" sqref="A28:XFD28"/>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16384" width="9.140625" style="21"/>
  </cols>
  <sheetData>
    <row r="1" spans="1:9" x14ac:dyDescent="0.2">
      <c r="A1" s="28"/>
      <c r="B1" s="28"/>
      <c r="C1" s="28"/>
      <c r="D1" s="28"/>
      <c r="E1" s="28"/>
      <c r="F1" s="28"/>
      <c r="G1" s="28"/>
      <c r="H1" s="28"/>
      <c r="I1" s="28"/>
    </row>
    <row r="2" spans="1:9" x14ac:dyDescent="0.2">
      <c r="A2" s="381" t="str">
        <f>""&amp;" "&amp;malumot!B74&amp;"-sonli "&amp;" "&amp;malumot!C64&amp;" shartnomasi bo‘yicha
 garovga qo‘yilgan mol-mulkni tekshirish bo’yicha "&amp;malumot!B5&amp;" bilan tuzilgan dalolatnomasi"</f>
        <v xml:space="preserve"> 7 aprel 2025 y.dan №717-XMS-sonli  Mikrokredit shartnomasi bo‘yicha
 garovga qo‘yilgan mol-mulkni tekshirish bo’yicha MATCHANOVA AZIZA BEKTURDIYEVNA bilan tuzilgan dalolatnomasi</v>
      </c>
      <c r="B2" s="381"/>
      <c r="C2" s="381"/>
      <c r="D2" s="381"/>
      <c r="E2" s="381"/>
      <c r="F2" s="381"/>
      <c r="G2" s="381"/>
      <c r="H2" s="381"/>
      <c r="I2" s="28"/>
    </row>
    <row r="3" spans="1:9" x14ac:dyDescent="0.2">
      <c r="A3" s="381"/>
      <c r="B3" s="381"/>
      <c r="C3" s="381"/>
      <c r="D3" s="381"/>
      <c r="E3" s="381"/>
      <c r="F3" s="381"/>
      <c r="G3" s="381"/>
      <c r="H3" s="381"/>
      <c r="I3" s="28"/>
    </row>
    <row r="5" spans="1:9" x14ac:dyDescent="0.2">
      <c r="A5" s="21" t="s">
        <v>201</v>
      </c>
      <c r="H5" s="132" t="str">
        <f>TEXT(+malumot!B2+540,"ДД.ММ.ГГГГ")</f>
        <v>29.09.2026</v>
      </c>
    </row>
    <row r="7" spans="1:9" ht="45" customHeight="1" x14ac:dyDescent="0.2">
      <c r="A7" s="383" t="str">
        <f>"      Men, "&amp;malumot!B157&amp;" "&amp;malumot!A160&amp;"i "&amp;malumot!B160&amp;", jismoniy shaxs "&amp;" "&amp;malumot!B5&amp;" "&amp;" "&amp;malumot!B74&amp;"-sonli "&amp;malumot!C64&amp;" shartnomasi bo‘yicha garovga qo‘yilgan mol-mulkni ko‘zdan kechirdim"</f>
        <v xml:space="preserve">      Men, «CLEVER MIKROMOLIYA TASHKILOTI» MChJ Xorazm filiali boshlig'ii M.Sharipov, jismoniy shaxs  MATCHANOVA AZIZA BEKTURDIYEVNA  7 aprel 2025 y.dan №717-XMS-sonli Mikrokredit shartnomasi bo‘yicha garovga qo‘yilgan mol-mulkni ko‘zdan kechirdim</v>
      </c>
      <c r="B7" s="383"/>
      <c r="C7" s="383"/>
      <c r="D7" s="383"/>
      <c r="E7" s="383"/>
      <c r="F7" s="383"/>
      <c r="G7" s="383"/>
      <c r="H7" s="383"/>
    </row>
    <row r="8" spans="1:9" ht="19.5" customHeight="1" x14ac:dyDescent="0.2">
      <c r="A8" s="384" t="s">
        <v>270</v>
      </c>
      <c r="B8" s="384"/>
      <c r="C8" s="384"/>
      <c r="D8" s="384"/>
      <c r="E8" s="384"/>
      <c r="F8" s="384"/>
      <c r="G8" s="384"/>
      <c r="H8" s="384"/>
    </row>
    <row r="9" spans="1:9" s="133" customFormat="1" ht="32.25" customHeight="1" x14ac:dyDescent="0.25">
      <c r="A9" s="379" t="str">
        <f>akt_monitoring_2!A9</f>
        <v>Nomi</v>
      </c>
      <c r="B9" s="380"/>
      <c r="C9" s="379" t="str">
        <f>akt_monitoring_2!C9</f>
        <v>Kuzov turi  va kuzov raqami*</v>
      </c>
      <c r="D9" s="380"/>
      <c r="E9" s="379" t="str">
        <f>akt_monitoring_2!E9</f>
        <v>Dvigatel va shassi raqami*</v>
      </c>
      <c r="F9" s="380"/>
      <c r="G9" s="379" t="str">
        <f>akt_monitoring_2!G9</f>
        <v>Ishlab chiqarilgan yili va rangi**</v>
      </c>
      <c r="H9" s="380"/>
    </row>
    <row r="10" spans="1:9" s="131" customFormat="1" ht="58.5" customHeight="1" x14ac:dyDescent="0.2">
      <c r="A10" s="385" t="str">
        <f>akt_monitoring_2!A10</f>
        <v>JAC M3</v>
      </c>
      <c r="B10" s="386"/>
      <c r="C10" s="385" t="str">
        <f>akt_monitoring_2!C10</f>
        <v>kuzov turi - YENGIL MINIVEN, kuzov raqami P08461541</v>
      </c>
      <c r="D10" s="386"/>
      <c r="E10" s="385" t="str">
        <f>akt_monitoring_2!E10</f>
        <v>dvigatel raqami LJ166A33XP2208188, shassi raqami - Rakamsiz</v>
      </c>
      <c r="F10" s="386"/>
      <c r="G10" s="385" t="str">
        <f>akt_monitoring_2!G10</f>
        <v>rangi -  QORA CHERNIY, ishlab chiqarilgan yili - 2023</v>
      </c>
      <c r="H10" s="386"/>
    </row>
    <row r="11" spans="1:9" ht="19.5" customHeight="1" x14ac:dyDescent="0.2">
      <c r="A11" s="378" t="str">
        <f>dalolatnoma!A22:E22</f>
        <v>-* avtotransport egasi: BEKOV OTABEK BAXODIROVICH</v>
      </c>
      <c r="B11" s="378"/>
      <c r="C11" s="378"/>
      <c r="D11" s="378"/>
      <c r="E11" s="378"/>
      <c r="F11" s="378"/>
      <c r="G11" s="378"/>
      <c r="H11" s="378"/>
    </row>
    <row r="12" spans="1:9" ht="19.5" customHeight="1" x14ac:dyDescent="0.2">
      <c r="A12" s="378" t="str">
        <f>dalolatnoma!A23:E23</f>
        <v>-* texnik pasport: AAG 5923045 28.03.2025y.</v>
      </c>
      <c r="B12" s="378"/>
      <c r="C12" s="378"/>
      <c r="D12" s="378"/>
      <c r="E12" s="378"/>
      <c r="F12" s="378"/>
      <c r="G12" s="378"/>
      <c r="H12" s="378"/>
    </row>
    <row r="13" spans="1:9" ht="19.5" customHeight="1" x14ac:dyDescent="0.2">
      <c r="A13" s="378" t="str">
        <f>dalolatnoma!A24:E24</f>
        <v>-* roʻyxatdan oʻtgan manzili/garaj manzili: XORAZM VILOYATI URGANCH TUMANI GOYBU QFY OQ MAKTAB MFY</v>
      </c>
      <c r="B13" s="378"/>
      <c r="C13" s="378"/>
      <c r="D13" s="378"/>
      <c r="E13" s="378"/>
      <c r="F13" s="378"/>
      <c r="G13" s="378"/>
      <c r="H13" s="378"/>
    </row>
    <row r="14" spans="1:9" ht="19.5" customHeight="1" x14ac:dyDescent="0.2">
      <c r="A14" s="378" t="str">
        <f>dalolatnoma!A25:E25</f>
        <v>-* davlat raqami: 90C477ZA</v>
      </c>
      <c r="B14" s="378"/>
      <c r="C14" s="378"/>
      <c r="D14" s="378"/>
      <c r="E14" s="378"/>
      <c r="F14" s="378"/>
      <c r="G14" s="378"/>
      <c r="H14" s="378"/>
    </row>
    <row r="15" spans="1:9" ht="33.75" customHeight="1" x14ac:dyDescent="0.2">
      <c r="A15" s="382" t="str">
        <f>+"Shu bilan birga, yuqoridagi mulkning kelishilgan garov qiymati "&amp;dalolatnoma!E30</f>
        <v>Shu bilan birga, yuqoridagi mulkning kelishilgan garov qiymati 165 000 000,00 
(yuz oltmish besh million so'm)</v>
      </c>
      <c r="B15" s="382"/>
      <c r="C15" s="382"/>
      <c r="D15" s="382"/>
      <c r="E15" s="382"/>
      <c r="F15" s="382"/>
      <c r="G15" s="382"/>
      <c r="H15" s="382"/>
    </row>
    <row r="17" spans="1:8" s="131" customFormat="1" ht="32.25" customHeight="1" x14ac:dyDescent="0.2">
      <c r="A17" s="376" t="s">
        <v>271</v>
      </c>
      <c r="B17" s="376"/>
      <c r="C17" s="376"/>
      <c r="D17" s="376"/>
      <c r="E17" s="376"/>
      <c r="F17" s="376"/>
      <c r="G17" s="376"/>
      <c r="H17" s="376"/>
    </row>
    <row r="21" spans="1:8" s="28" customFormat="1" x14ac:dyDescent="0.2"/>
    <row r="22" spans="1:8" s="28" customFormat="1" x14ac:dyDescent="0.2">
      <c r="A22" s="28" t="str">
        <f>malumot!A160</f>
        <v>Xorazm filiali boshlig'i</v>
      </c>
      <c r="H22" s="134" t="str">
        <f>malumot!B160</f>
        <v>M.Sharipov</v>
      </c>
    </row>
    <row r="23" spans="1:8" s="28" customFormat="1" x14ac:dyDescent="0.2">
      <c r="H23" s="134"/>
    </row>
    <row r="24" spans="1:8" s="28" customFormat="1" x14ac:dyDescent="0.2">
      <c r="H24" s="134"/>
    </row>
    <row r="25" spans="1:8" s="28" customFormat="1" x14ac:dyDescent="0.2">
      <c r="H25" s="134"/>
    </row>
    <row r="26" spans="1:8" s="28" customFormat="1" x14ac:dyDescent="0.2">
      <c r="H26" s="134"/>
    </row>
    <row r="27" spans="1:8" s="28" customFormat="1" ht="16.5" customHeight="1" x14ac:dyDescent="0.2">
      <c r="A27" s="28" t="s">
        <v>272</v>
      </c>
      <c r="H27" s="28" t="str">
        <f>malumot!B170</f>
        <v>B. Jumanazarov</v>
      </c>
    </row>
    <row r="28" spans="1:8" s="28" customFormat="1" ht="16.5" customHeight="1" x14ac:dyDescent="0.2"/>
    <row r="29" spans="1:8" s="28" customFormat="1" ht="16.5" customHeight="1" x14ac:dyDescent="0.2"/>
    <row r="30" spans="1:8" s="28" customFormat="1" x14ac:dyDescent="0.2"/>
    <row r="31" spans="1:8" s="28" customFormat="1" x14ac:dyDescent="0.2">
      <c r="A31" s="28" t="s">
        <v>273</v>
      </c>
      <c r="H31" s="134" t="str">
        <f>malumot!B7</f>
        <v>MATCHANOVA A.B.</v>
      </c>
    </row>
    <row r="32" spans="1:8" s="28" customFormat="1" x14ac:dyDescent="0.2"/>
    <row r="33" s="28" customFormat="1" x14ac:dyDescent="0.2"/>
    <row r="34" s="28"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34"/>
  <sheetViews>
    <sheetView view="pageBreakPreview" topLeftCell="A6" zoomScaleNormal="100" zoomScaleSheetLayoutView="100" workbookViewId="0">
      <selection activeCell="A27" sqref="A27"/>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16384" width="9.140625" style="21"/>
  </cols>
  <sheetData>
    <row r="1" spans="1:9" x14ac:dyDescent="0.2">
      <c r="A1" s="28"/>
      <c r="B1" s="28"/>
      <c r="C1" s="28"/>
      <c r="D1" s="28"/>
      <c r="E1" s="28"/>
      <c r="F1" s="28"/>
      <c r="G1" s="28"/>
      <c r="H1" s="28"/>
      <c r="I1" s="28"/>
    </row>
    <row r="2" spans="1:9" x14ac:dyDescent="0.2">
      <c r="A2" s="381" t="str">
        <f>""&amp;" "&amp;malumot!B74&amp;"-sonli "&amp;" "&amp;malumot!C64&amp;" shartnomasi bo‘yicha
 garovga qo‘yilgan mol-mulkni tekshirish bo’yicha "&amp;malumot!B5&amp;" bilan tuzilgan dalolatnomasi"</f>
        <v xml:space="preserve"> 7 aprel 2025 y.dan №717-XMS-sonli  Mikrokredit shartnomasi bo‘yicha
 garovga qo‘yilgan mol-mulkni tekshirish bo’yicha MATCHANOVA AZIZA BEKTURDIYEVNA bilan tuzilgan dalolatnomasi</v>
      </c>
      <c r="B2" s="381"/>
      <c r="C2" s="381"/>
      <c r="D2" s="381"/>
      <c r="E2" s="381"/>
      <c r="F2" s="381"/>
      <c r="G2" s="381"/>
      <c r="H2" s="381"/>
      <c r="I2" s="28"/>
    </row>
    <row r="3" spans="1:9" x14ac:dyDescent="0.2">
      <c r="A3" s="381"/>
      <c r="B3" s="381"/>
      <c r="C3" s="381"/>
      <c r="D3" s="381"/>
      <c r="E3" s="381"/>
      <c r="F3" s="381"/>
      <c r="G3" s="381"/>
      <c r="H3" s="381"/>
      <c r="I3" s="28"/>
    </row>
    <row r="5" spans="1:9" x14ac:dyDescent="0.2">
      <c r="A5" s="21" t="s">
        <v>201</v>
      </c>
      <c r="H5" s="132" t="str">
        <f>TEXT(+malumot!B2+720,"ДД.ММ.ГГГГ")</f>
        <v>28.03.2027</v>
      </c>
    </row>
    <row r="7" spans="1:9" ht="45" customHeight="1" x14ac:dyDescent="0.2">
      <c r="A7" s="383" t="str">
        <f>"      Men, "&amp;malumot!B157&amp;" "&amp;malumot!A160&amp;"i "&amp;malumot!B160&amp;", jismoniy shaxs "&amp;" "&amp;malumot!B5&amp;" "&amp;" "&amp;malumot!B74&amp;"-sonli "&amp;malumot!C64&amp;" shartnomasi bo‘yicha garovga qo‘yilgan mol-mulkni ko‘zdan kechirdim"</f>
        <v xml:space="preserve">      Men, «CLEVER MIKROMOLIYA TASHKILOTI» MChJ Xorazm filiali boshlig'ii M.Sharipov, jismoniy shaxs  MATCHANOVA AZIZA BEKTURDIYEVNA  7 aprel 2025 y.dan №717-XMS-sonli Mikrokredit shartnomasi bo‘yicha garovga qo‘yilgan mol-mulkni ko‘zdan kechirdim</v>
      </c>
      <c r="B7" s="383"/>
      <c r="C7" s="383"/>
      <c r="D7" s="383"/>
      <c r="E7" s="383"/>
      <c r="F7" s="383"/>
      <c r="G7" s="383"/>
      <c r="H7" s="383"/>
    </row>
    <row r="8" spans="1:9" ht="19.5" customHeight="1" x14ac:dyDescent="0.2">
      <c r="A8" s="384" t="s">
        <v>270</v>
      </c>
      <c r="B8" s="384"/>
      <c r="C8" s="384"/>
      <c r="D8" s="384"/>
      <c r="E8" s="384"/>
      <c r="F8" s="384"/>
      <c r="G8" s="384"/>
      <c r="H8" s="384"/>
    </row>
    <row r="9" spans="1:9" s="133" customFormat="1" ht="32.25" customHeight="1" x14ac:dyDescent="0.25">
      <c r="A9" s="379" t="str">
        <f>akt_monitoring_2!A9</f>
        <v>Nomi</v>
      </c>
      <c r="B9" s="380"/>
      <c r="C9" s="379" t="str">
        <f>akt_monitoring_2!C9</f>
        <v>Kuzov turi  va kuzov raqami*</v>
      </c>
      <c r="D9" s="380"/>
      <c r="E9" s="379" t="str">
        <f>akt_monitoring_2!E9</f>
        <v>Dvigatel va shassi raqami*</v>
      </c>
      <c r="F9" s="380"/>
      <c r="G9" s="379" t="str">
        <f>akt_monitoring_2!G9</f>
        <v>Ishlab chiqarilgan yili va rangi**</v>
      </c>
      <c r="H9" s="380"/>
    </row>
    <row r="10" spans="1:9" s="131" customFormat="1" ht="58.5" customHeight="1" x14ac:dyDescent="0.2">
      <c r="A10" s="377" t="str">
        <f>akt_monitoring_2!A10</f>
        <v>JAC M3</v>
      </c>
      <c r="B10" s="377"/>
      <c r="C10" s="377" t="str">
        <f>akt_monitoring_2!C10</f>
        <v>kuzov turi - YENGIL MINIVEN, kuzov raqami P08461541</v>
      </c>
      <c r="D10" s="377"/>
      <c r="E10" s="377" t="str">
        <f>akt_monitoring_2!E10</f>
        <v>dvigatel raqami LJ166A33XP2208188, shassi raqami - Rakamsiz</v>
      </c>
      <c r="F10" s="377"/>
      <c r="G10" s="377" t="str">
        <f>akt_monitoring_2!G10</f>
        <v>rangi -  QORA CHERNIY, ishlab chiqarilgan yili - 2023</v>
      </c>
      <c r="H10" s="377"/>
    </row>
    <row r="11" spans="1:9" ht="19.5" customHeight="1" x14ac:dyDescent="0.2">
      <c r="A11" s="378" t="str">
        <f>dalolatnoma!A22:E22</f>
        <v>-* avtotransport egasi: BEKOV OTABEK BAXODIROVICH</v>
      </c>
      <c r="B11" s="378"/>
      <c r="C11" s="378"/>
      <c r="D11" s="378"/>
      <c r="E11" s="378"/>
      <c r="F11" s="378"/>
      <c r="G11" s="378"/>
      <c r="H11" s="378"/>
    </row>
    <row r="12" spans="1:9" ht="19.5" customHeight="1" x14ac:dyDescent="0.2">
      <c r="A12" s="378" t="str">
        <f>dalolatnoma!A23:E23</f>
        <v>-* texnik pasport: AAG 5923045 28.03.2025y.</v>
      </c>
      <c r="B12" s="378"/>
      <c r="C12" s="378"/>
      <c r="D12" s="378"/>
      <c r="E12" s="378"/>
      <c r="F12" s="378"/>
      <c r="G12" s="378"/>
      <c r="H12" s="378"/>
    </row>
    <row r="13" spans="1:9" ht="19.5" customHeight="1" x14ac:dyDescent="0.2">
      <c r="A13" s="378" t="str">
        <f>dalolatnoma!A24:E24</f>
        <v>-* roʻyxatdan oʻtgan manzili/garaj manzili: XORAZM VILOYATI URGANCH TUMANI GOYBU QFY OQ MAKTAB MFY</v>
      </c>
      <c r="B13" s="378"/>
      <c r="C13" s="378"/>
      <c r="D13" s="378"/>
      <c r="E13" s="378"/>
      <c r="F13" s="378"/>
      <c r="G13" s="378"/>
      <c r="H13" s="378"/>
    </row>
    <row r="14" spans="1:9" ht="19.5" customHeight="1" x14ac:dyDescent="0.2">
      <c r="A14" s="378" t="str">
        <f>dalolatnoma!A25:E25</f>
        <v>-* davlat raqami: 90C477ZA</v>
      </c>
      <c r="B14" s="378"/>
      <c r="C14" s="378"/>
      <c r="D14" s="378"/>
      <c r="E14" s="378"/>
      <c r="F14" s="378"/>
      <c r="G14" s="378"/>
      <c r="H14" s="378"/>
    </row>
    <row r="15" spans="1:9" ht="33.75" customHeight="1" x14ac:dyDescent="0.2">
      <c r="A15" s="382" t="str">
        <f>+"Shu bilan birga, yuqoridagi mulkning kelishilgan garov qiymati "&amp;dalolatnoma!E30</f>
        <v>Shu bilan birga, yuqoridagi mulkning kelishilgan garov qiymati 165 000 000,00 
(yuz oltmish besh million so'm)</v>
      </c>
      <c r="B15" s="382"/>
      <c r="C15" s="382"/>
      <c r="D15" s="382"/>
      <c r="E15" s="382"/>
      <c r="F15" s="382"/>
      <c r="G15" s="382"/>
      <c r="H15" s="382"/>
    </row>
    <row r="17" spans="1:8" ht="28.5" customHeight="1" x14ac:dyDescent="0.2">
      <c r="A17" s="376" t="s">
        <v>271</v>
      </c>
      <c r="B17" s="376"/>
      <c r="C17" s="376"/>
      <c r="D17" s="376"/>
      <c r="E17" s="376"/>
      <c r="F17" s="376"/>
      <c r="G17" s="376"/>
      <c r="H17" s="376"/>
    </row>
    <row r="21" spans="1:8" s="28" customFormat="1" x14ac:dyDescent="0.2"/>
    <row r="22" spans="1:8" s="28" customFormat="1" x14ac:dyDescent="0.2">
      <c r="A22" s="28" t="str">
        <f>malumot!A160</f>
        <v>Xorazm filiali boshlig'i</v>
      </c>
      <c r="H22" s="134" t="str">
        <f>malumot!B160</f>
        <v>M.Sharipov</v>
      </c>
    </row>
    <row r="23" spans="1:8" s="28" customFormat="1" x14ac:dyDescent="0.2">
      <c r="H23" s="134"/>
    </row>
    <row r="24" spans="1:8" s="28" customFormat="1" x14ac:dyDescent="0.2">
      <c r="H24" s="134"/>
    </row>
    <row r="25" spans="1:8" s="28" customFormat="1" x14ac:dyDescent="0.2">
      <c r="H25" s="134"/>
    </row>
    <row r="26" spans="1:8" s="28" customFormat="1" x14ac:dyDescent="0.2">
      <c r="H26" s="134"/>
    </row>
    <row r="27" spans="1:8" s="28" customFormat="1" ht="16.5" customHeight="1" x14ac:dyDescent="0.2">
      <c r="A27" s="28" t="s">
        <v>272</v>
      </c>
      <c r="H27" s="28" t="str">
        <f>malumot!B170</f>
        <v>B. Jumanazarov</v>
      </c>
    </row>
    <row r="28" spans="1:8" s="28" customFormat="1" x14ac:dyDescent="0.2"/>
    <row r="29" spans="1:8" s="28" customFormat="1" x14ac:dyDescent="0.2"/>
    <row r="30" spans="1:8" s="28" customFormat="1" x14ac:dyDescent="0.2"/>
    <row r="31" spans="1:8" s="28" customFormat="1" x14ac:dyDescent="0.2">
      <c r="A31" s="28" t="s">
        <v>273</v>
      </c>
      <c r="H31" s="134" t="str">
        <f>malumot!B7</f>
        <v>MATCHANOVA A.B.</v>
      </c>
    </row>
    <row r="32" spans="1:8" s="28" customFormat="1" x14ac:dyDescent="0.2"/>
    <row r="33" s="28" customFormat="1" x14ac:dyDescent="0.2"/>
    <row r="34" s="28"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A1:D29"/>
  <sheetViews>
    <sheetView view="pageBreakPreview" zoomScaleNormal="100" zoomScaleSheetLayoutView="100" workbookViewId="0">
      <selection activeCell="B1" sqref="B1:B4"/>
    </sheetView>
  </sheetViews>
  <sheetFormatPr defaultColWidth="16.85546875" defaultRowHeight="15" x14ac:dyDescent="0.25"/>
  <cols>
    <col min="1" max="1" width="16" style="13" customWidth="1"/>
    <col min="2" max="2" width="21.140625" style="13" customWidth="1"/>
    <col min="3" max="3" width="23.85546875" style="13" customWidth="1"/>
    <col min="4" max="4" width="26" style="13" customWidth="1"/>
    <col min="5" max="16384" width="16.85546875" style="13"/>
  </cols>
  <sheetData>
    <row r="1" spans="1:4" x14ac:dyDescent="0.25">
      <c r="B1" s="266" t="s">
        <v>444</v>
      </c>
    </row>
    <row r="2" spans="1:4" x14ac:dyDescent="0.25">
      <c r="B2" s="267" t="s">
        <v>445</v>
      </c>
      <c r="C2" s="263"/>
      <c r="D2" s="263"/>
    </row>
    <row r="3" spans="1:4" x14ac:dyDescent="0.25">
      <c r="B3" s="267" t="s">
        <v>446</v>
      </c>
      <c r="C3" s="263"/>
      <c r="D3" s="263"/>
    </row>
    <row r="4" spans="1:4" x14ac:dyDescent="0.25">
      <c r="B4" s="267" t="s">
        <v>447</v>
      </c>
      <c r="C4" s="263"/>
      <c r="D4" s="263"/>
    </row>
    <row r="6" spans="1:4" x14ac:dyDescent="0.25">
      <c r="A6" s="32" t="str">
        <f>[2]malumot!B109</f>
        <v>05.04.2025 yildagi</v>
      </c>
      <c r="D6" s="34" t="s">
        <v>448</v>
      </c>
    </row>
    <row r="7" spans="1:4" x14ac:dyDescent="0.25">
      <c r="A7" s="13" t="str">
        <f>[2]malumot!B110</f>
        <v>№ 02/04-001</v>
      </c>
      <c r="D7" s="34" t="s">
        <v>449</v>
      </c>
    </row>
    <row r="9" spans="1:4" x14ac:dyDescent="0.25">
      <c r="A9" s="290" t="str">
        <f>"      “CLEVER mikromoliya tashkiloti” MCHJ va " &amp; [2]malumot!B5 &amp; " (pasport: " &amp;[2]malumot!B16 &amp; ", " &amp;[2]malumot!B20 &amp;")" &amp; " o‘rtasida " &amp;[2]malumot!B2 &amp; " yildagi " &amp;[2]malumot!B1 &amp; "-sonli" &amp; [2]notarius!B78 &amp; ", "&amp; [2]malumot!B75 &amp; " (" &amp;[2]malumot!B76 &amp;")" &amp; "miqdorida mikroqarz shartnomasi imzolangan. Mikroqarz shartnomasi bo‘yicha majburiyatlarni o‘z vaqtida bajarish uchun Qarz oluvchi quyidagi mulkni taqdim etdi, xususan:"</f>
        <v xml:space="preserve">      “CLEVER mikromoliya tashkiloti” MCHJ va XAYATOV OTABEK KURBANOVICH (pasport: AB 7858443, BUXORO VILOYATI KOGON TUMAN IIB tomonidan 06.10.2017 yilda berilgan) o‘rtasida 01.04.2025 yildagi № 687-BR-sonli, 26000000 (yigirma olti million so'm)miqdorida mikroqarz shartnomasi imzolangan. Mikroqarz shartnomasi bo‘yicha majburiyatlarni o‘z vaqtida bajarish uchun Qarz oluvchi quyidagi mulkni taqdim etdi, xususan:</v>
      </c>
      <c r="B9" s="290"/>
      <c r="C9" s="290"/>
      <c r="D9" s="290"/>
    </row>
    <row r="11" spans="1:4" ht="28.5" x14ac:dyDescent="0.25">
      <c r="A11" s="36" t="s">
        <v>204</v>
      </c>
      <c r="B11" s="36" t="str">
        <f>IF([2]malumot!B111=[2]malumot!C111,"Kuzov turi  va kuzov raqami*","Foydali maydoni")</f>
        <v>Kuzov turi  va kuzov raqami*</v>
      </c>
      <c r="C11" s="36" t="str">
        <f>IF([2]malumot!B111=[2]malumot!C111,"Dvigatel va shassi raqami*","Yashash maydoni")</f>
        <v>Dvigatel va shassi raqami*</v>
      </c>
      <c r="D11" s="36" t="str">
        <f>IF([2]malumot!B111=[2]malumot!C111,"Ishlab chiqarilgan yili va rangi**","Umumiy maydoni")</f>
        <v>Ishlab chiqarilgan yili va rangi**</v>
      </c>
    </row>
    <row r="12" spans="1:4" ht="60" x14ac:dyDescent="0.25">
      <c r="A12" s="233" t="str">
        <f>IF([2]malumot!B111=[2]malumot!C111,[2]malumot!B133,[2]malumot!C133)</f>
        <v>SPARK</v>
      </c>
      <c r="B12" s="233" t="str">
        <f>IF([2]malumot!B111=[2]malumot!C111,[2]malumot!B135,CONCATENATE([2]malumot!F138," ","kv.m"))</f>
        <v>kuzov turi - YENGIL SEDAN, kuzov raqami XWBMF481EBA580791</v>
      </c>
      <c r="C12" s="233" t="str">
        <f>IF([2]malumot!B111=[2]malumot!C111,[2]malumot!B138,[2]malumot!E141)</f>
        <v>dvigatel raqami B10D1606437KC3, shassi raqami - RAKAMSIZ</v>
      </c>
      <c r="D12" s="233" t="str">
        <f>IF([2]malumot!B111=[2]malumot!C111,[2]malumot!B141,[2]malumot!E138)</f>
        <v>rangi -  OQ BELAYA "KASABLANKA", ishlab chiqarilgan yili - 2011</v>
      </c>
    </row>
    <row r="13" spans="1:4" x14ac:dyDescent="0.25">
      <c r="A13" s="387" t="str">
        <f>"-* "&amp;IF([2]malumot!B111=[2]malumot!C111,"avtotransport "&amp;"egasi: "&amp;[2]malumot!B125&amp;"","ko'chmas mulk"&amp;" egasi: "&amp;[2]malumot!B125&amp;"")</f>
        <v>-* avtotransport egasi: FAYZIYEV JAMSHID KURBONOVICH</v>
      </c>
      <c r="B13" s="387"/>
      <c r="C13" s="387"/>
      <c r="D13" s="387"/>
    </row>
    <row r="14" spans="1:4" x14ac:dyDescent="0.25">
      <c r="A14" s="388" t="str">
        <f>IF([2]malumot!B111=[2]malumot!C111,"-* texnik pasport: "&amp;[2]malumot!B132&amp;"","-* reest raqami: "&amp;[2]malumot!C132&amp;"")</f>
        <v>-* texnik pasport: AAG   4517617  20.08.2024y</v>
      </c>
      <c r="B14" s="388"/>
      <c r="C14" s="388"/>
      <c r="D14" s="388"/>
    </row>
    <row r="15" spans="1:4" x14ac:dyDescent="0.25">
      <c r="A15" s="388" t="str">
        <f>IF([2]malumot!B111=[2]malumot!C111,"-* davlat raqami: "&amp;[2]malumot!B134&amp;"","-* manzili: "&amp;[2]malumot!C131&amp;"")</f>
        <v>-* davlat raqami: 80Y320AB</v>
      </c>
      <c r="B15" s="388"/>
      <c r="C15" s="388"/>
      <c r="D15" s="388"/>
    </row>
    <row r="16" spans="1:4" x14ac:dyDescent="0.25">
      <c r="A16" s="234" t="str">
        <f>"-* garov shartnomasi bo'yicha (reestr № " &amp;[2]malumot!B106&amp; " , " &amp;[2]malumot!B107&amp; " yil)"</f>
        <v>-* garov shartnomasi bo'yicha (reestr № 202502386001856 , 01.04.2025 yil)</v>
      </c>
      <c r="B16" s="231"/>
      <c r="C16" s="231"/>
      <c r="D16" s="231"/>
    </row>
    <row r="17" spans="1:4" x14ac:dyDescent="0.25">
      <c r="A17" s="231"/>
      <c r="B17" s="231"/>
      <c r="C17" s="231"/>
      <c r="D17" s="231"/>
    </row>
    <row r="18" spans="1:4" x14ac:dyDescent="0.25">
      <c r="A18" s="290" t="s">
        <v>450</v>
      </c>
      <c r="B18" s="290"/>
      <c r="C18" s="290"/>
      <c r="D18" s="290"/>
    </row>
    <row r="20" spans="1:4" x14ac:dyDescent="0.25">
      <c r="C20" s="264"/>
    </row>
    <row r="21" spans="1:4" x14ac:dyDescent="0.25">
      <c r="A21" s="265" t="s">
        <v>451</v>
      </c>
    </row>
    <row r="22" spans="1:4" x14ac:dyDescent="0.25">
      <c r="A22" s="265" t="s">
        <v>452</v>
      </c>
      <c r="D22" s="232" t="s">
        <v>394</v>
      </c>
    </row>
    <row r="26" spans="1:4" x14ac:dyDescent="0.25">
      <c r="A26" s="13" t="s">
        <v>453</v>
      </c>
    </row>
    <row r="27" spans="1:4" ht="16.5" customHeight="1" x14ac:dyDescent="0.25">
      <c r="A27" s="13" t="s">
        <v>454</v>
      </c>
    </row>
    <row r="29" spans="1:4" ht="48" customHeight="1" x14ac:dyDescent="0.25">
      <c r="A29" s="290" t="s">
        <v>455</v>
      </c>
      <c r="B29" s="290"/>
      <c r="C29" s="290"/>
      <c r="D29" s="290"/>
    </row>
  </sheetData>
  <mergeCells count="6">
    <mergeCell ref="A29:D29"/>
    <mergeCell ref="A9:D9"/>
    <mergeCell ref="A13:D13"/>
    <mergeCell ref="A14:D14"/>
    <mergeCell ref="A15:D15"/>
    <mergeCell ref="A18:D18"/>
  </mergeCells>
  <printOptions horizontalCentered="1"/>
  <pageMargins left="0.70866141732283472" right="0.70866141732283472" top="0.74803149606299213" bottom="0.74803149606299213" header="0.31496062992125984" footer="0.31496062992125984"/>
  <pageSetup paperSize="9" scale="82"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Лист21">
    <tabColor rgb="FF00B050"/>
  </sheetPr>
  <dimension ref="A2:H33"/>
  <sheetViews>
    <sheetView view="pageBreakPreview" zoomScaleNormal="100" zoomScaleSheetLayoutView="100" workbookViewId="0">
      <selection activeCell="A2" sqref="A2:E2"/>
    </sheetView>
  </sheetViews>
  <sheetFormatPr defaultColWidth="9.140625" defaultRowHeight="15.75" x14ac:dyDescent="0.25"/>
  <cols>
    <col min="1" max="2" width="17.42578125" style="114" customWidth="1"/>
    <col min="3" max="3" width="29.85546875" style="114" customWidth="1"/>
    <col min="4" max="4" width="18.140625" style="114" customWidth="1"/>
    <col min="5" max="5" width="6.5703125" style="114" customWidth="1"/>
    <col min="6" max="16384" width="9.140625" style="114"/>
  </cols>
  <sheetData>
    <row r="2" spans="1:5" x14ac:dyDescent="0.25">
      <c r="A2" s="389" t="s">
        <v>235</v>
      </c>
      <c r="B2" s="389"/>
      <c r="C2" s="389"/>
      <c r="D2" s="389"/>
      <c r="E2" s="389"/>
    </row>
    <row r="3" spans="1:5" x14ac:dyDescent="0.25">
      <c r="E3" s="113" t="str">
        <f>malumot!B68</f>
        <v>7 aprel 2025 y.</v>
      </c>
    </row>
    <row r="5" spans="1:5" s="115" customFormat="1" ht="27" customHeight="1" x14ac:dyDescent="0.25">
      <c r="A5" s="393" t="s">
        <v>236</v>
      </c>
      <c r="B5" s="394"/>
      <c r="C5" s="390" t="str">
        <f>malumot!B8</f>
        <v>MATCHANOVA AZIZA BEKTURDIYEVNA</v>
      </c>
      <c r="D5" s="391"/>
      <c r="E5" s="392"/>
    </row>
    <row r="7" spans="1:5" ht="15.75" customHeight="1" x14ac:dyDescent="0.25">
      <c r="A7" s="395" t="s">
        <v>350</v>
      </c>
      <c r="B7" s="396"/>
      <c r="C7" s="397"/>
      <c r="D7" s="116" t="s">
        <v>131</v>
      </c>
      <c r="E7" s="116"/>
    </row>
    <row r="8" spans="1:5" x14ac:dyDescent="0.25">
      <c r="A8" s="398"/>
      <c r="B8" s="399"/>
      <c r="C8" s="400"/>
      <c r="D8" s="116" t="s">
        <v>240</v>
      </c>
      <c r="E8" s="116"/>
    </row>
    <row r="9" spans="1:5" ht="15.75" customHeight="1" x14ac:dyDescent="0.25">
      <c r="A9" s="401" t="s">
        <v>237</v>
      </c>
      <c r="B9" s="401"/>
      <c r="C9" s="401"/>
      <c r="D9" s="116" t="s">
        <v>131</v>
      </c>
      <c r="E9" s="116"/>
    </row>
    <row r="10" spans="1:5" x14ac:dyDescent="0.25">
      <c r="A10" s="401"/>
      <c r="B10" s="401"/>
      <c r="C10" s="401"/>
      <c r="D10" s="116" t="s">
        <v>240</v>
      </c>
      <c r="E10" s="116"/>
    </row>
    <row r="11" spans="1:5" ht="15.75" customHeight="1" x14ac:dyDescent="0.25">
      <c r="A11" s="401" t="s">
        <v>238</v>
      </c>
      <c r="B11" s="401"/>
      <c r="C11" s="401"/>
      <c r="D11" s="116" t="s">
        <v>131</v>
      </c>
      <c r="E11" s="116"/>
    </row>
    <row r="12" spans="1:5" x14ac:dyDescent="0.25">
      <c r="A12" s="401"/>
      <c r="B12" s="401"/>
      <c r="C12" s="401"/>
      <c r="D12" s="116" t="s">
        <v>240</v>
      </c>
      <c r="E12" s="116"/>
    </row>
    <row r="13" spans="1:5" ht="34.5" customHeight="1" x14ac:dyDescent="0.25">
      <c r="A13" s="402" t="s">
        <v>239</v>
      </c>
      <c r="B13" s="402"/>
      <c r="C13" s="402"/>
      <c r="D13" s="402"/>
      <c r="E13" s="402"/>
    </row>
    <row r="14" spans="1:5" ht="16.5" thickBot="1" x14ac:dyDescent="0.3">
      <c r="A14" s="403"/>
      <c r="B14" s="403"/>
      <c r="C14" s="403"/>
      <c r="D14" s="403"/>
      <c r="E14" s="403"/>
    </row>
    <row r="15" spans="1:5" ht="16.5" thickBot="1" x14ac:dyDescent="0.3">
      <c r="A15" s="403"/>
      <c r="B15" s="403"/>
      <c r="C15" s="403"/>
      <c r="D15" s="403"/>
      <c r="E15" s="403"/>
    </row>
    <row r="16" spans="1:5" ht="16.5" thickBot="1" x14ac:dyDescent="0.3">
      <c r="A16" s="403"/>
      <c r="B16" s="403"/>
      <c r="C16" s="403"/>
      <c r="D16" s="403"/>
      <c r="E16" s="403"/>
    </row>
    <row r="18" spans="1:8" ht="18.75" customHeight="1" x14ac:dyDescent="0.25">
      <c r="A18" s="401" t="s">
        <v>241</v>
      </c>
      <c r="B18" s="401"/>
      <c r="C18" s="401"/>
      <c r="D18" s="116" t="s">
        <v>131</v>
      </c>
      <c r="E18" s="116"/>
    </row>
    <row r="19" spans="1:8" ht="18.75" customHeight="1" x14ac:dyDescent="0.25">
      <c r="A19" s="401"/>
      <c r="B19" s="401"/>
      <c r="C19" s="401"/>
      <c r="D19" s="116" t="s">
        <v>240</v>
      </c>
      <c r="E19" s="116"/>
    </row>
    <row r="20" spans="1:8" ht="29.25" customHeight="1" x14ac:dyDescent="0.25">
      <c r="A20" s="401" t="s">
        <v>242</v>
      </c>
      <c r="B20" s="401"/>
      <c r="C20" s="401"/>
      <c r="D20" s="116" t="s">
        <v>131</v>
      </c>
      <c r="E20" s="116"/>
    </row>
    <row r="21" spans="1:8" ht="29.25" customHeight="1" x14ac:dyDescent="0.25">
      <c r="A21" s="401"/>
      <c r="B21" s="401"/>
      <c r="C21" s="401"/>
      <c r="D21" s="116" t="s">
        <v>240</v>
      </c>
      <c r="E21" s="116"/>
    </row>
    <row r="23" spans="1:8" ht="15.75" customHeight="1" x14ac:dyDescent="0.25">
      <c r="A23" s="402" t="s">
        <v>243</v>
      </c>
      <c r="B23" s="402"/>
      <c r="C23" s="402"/>
      <c r="D23" s="402"/>
      <c r="E23" s="402"/>
    </row>
    <row r="24" spans="1:8" ht="16.5" thickBot="1" x14ac:dyDescent="0.3">
      <c r="A24" s="403"/>
      <c r="B24" s="403"/>
      <c r="C24" s="403"/>
      <c r="D24" s="403"/>
      <c r="E24" s="403"/>
    </row>
    <row r="25" spans="1:8" ht="16.5" thickBot="1" x14ac:dyDescent="0.3">
      <c r="A25" s="403"/>
      <c r="B25" s="403"/>
      <c r="C25" s="403"/>
      <c r="D25" s="403"/>
      <c r="E25" s="403"/>
    </row>
    <row r="26" spans="1:8" ht="16.5" thickBot="1" x14ac:dyDescent="0.3">
      <c r="A26" s="403"/>
      <c r="B26" s="403"/>
      <c r="C26" s="403"/>
      <c r="D26" s="403"/>
      <c r="E26" s="403"/>
    </row>
    <row r="28" spans="1:8" ht="78.75" customHeight="1" x14ac:dyDescent="0.25">
      <c r="A28" s="404" t="s">
        <v>244</v>
      </c>
      <c r="B28" s="404"/>
      <c r="C28" s="404"/>
      <c r="D28" s="404"/>
      <c r="E28" s="404"/>
    </row>
    <row r="30" spans="1:8" ht="33" customHeight="1" x14ac:dyDescent="0.25">
      <c r="A30" s="404" t="s">
        <v>245</v>
      </c>
      <c r="B30" s="404"/>
      <c r="C30" s="404"/>
      <c r="D30" s="404"/>
      <c r="E30" s="404"/>
      <c r="F30" s="117"/>
      <c r="G30" s="117"/>
      <c r="H30" s="117"/>
    </row>
    <row r="33" spans="1:5" ht="16.5" thickBot="1" x14ac:dyDescent="0.3">
      <c r="A33" s="118" t="str">
        <f>C5</f>
        <v>MATCHANOVA AZIZA BEKTURDIYEVNA</v>
      </c>
      <c r="D33" s="119"/>
      <c r="E33" s="120"/>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23</vt:i4>
      </vt:variant>
      <vt:variant>
        <vt:lpstr>Именованные диапазоны</vt:lpstr>
      </vt:variant>
      <vt:variant>
        <vt:i4>17</vt:i4>
      </vt:variant>
    </vt:vector>
  </HeadingPairs>
  <TitlesOfParts>
    <vt:vector size="40" baseType="lpstr">
      <vt:lpstr>malumot</vt:lpstr>
      <vt:lpstr>shartnoma</vt:lpstr>
      <vt:lpstr>buyruq</vt:lpstr>
      <vt:lpstr>bayonnoma</vt:lpstr>
      <vt:lpstr>График дифференц</vt:lpstr>
      <vt:lpstr>Данные для послед. Залога</vt:lpstr>
      <vt:lpstr>График аннуитет.</vt:lpstr>
      <vt:lpstr>xulosa</vt:lpstr>
      <vt:lpstr>dalolatnoma</vt:lpstr>
      <vt:lpstr>grafik</vt:lpstr>
      <vt:lpstr>garov_ariza</vt:lpstr>
      <vt:lpstr>ariza</vt:lpstr>
      <vt:lpstr>muqova</vt:lpstr>
      <vt:lpstr>mijoz_anketasi</vt:lpstr>
      <vt:lpstr>majburiyatnoma</vt:lpstr>
      <vt:lpstr>kredit_ariza</vt:lpstr>
      <vt:lpstr>Письмо</vt:lpstr>
      <vt:lpstr>akt_monitoring_1</vt:lpstr>
      <vt:lpstr>akt_monitoring_2</vt:lpstr>
      <vt:lpstr>akt_monitoring_3</vt:lpstr>
      <vt:lpstr>akt_monitoring_4</vt:lpstr>
      <vt:lpstr>notarius</vt:lpstr>
      <vt:lpstr>Анкета 2</vt:lpstr>
      <vt:lpstr>akt_monitoring_1!Область_печати</vt:lpstr>
      <vt:lpstr>akt_monitoring_2!Область_печати</vt:lpstr>
      <vt:lpstr>akt_monitoring_3!Область_печати</vt:lpstr>
      <vt:lpstr>akt_monitoring_4!Область_печати</vt:lpstr>
      <vt:lpstr>ariza!Область_печати</vt:lpstr>
      <vt:lpstr>bayonnoma!Область_печати</vt:lpstr>
      <vt:lpstr>buyruq!Область_печати</vt:lpstr>
      <vt:lpstr>dalolatnoma!Область_печати</vt:lpstr>
      <vt:lpstr>garov_ariza!Область_печати</vt:lpstr>
      <vt:lpstr>grafik!Область_печати</vt:lpstr>
      <vt:lpstr>kredit_ariza!Область_печати</vt:lpstr>
      <vt:lpstr>mijoz_anketasi!Область_печати</vt:lpstr>
      <vt:lpstr>muqova!Область_печати</vt:lpstr>
      <vt:lpstr>notarius!Область_печати</vt:lpstr>
      <vt:lpstr>shartnoma!Область_печати</vt:lpstr>
      <vt:lpstr>xulosa!Область_печати</vt:lpstr>
      <vt:lpstr>'График аннуитет.'!Область_печати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r.saipova</dc:creator>
  <cp:lastModifiedBy>Admin</cp:lastModifiedBy>
  <cp:lastPrinted>2025-03-27T07:58:35Z</cp:lastPrinted>
  <dcterms:created xsi:type="dcterms:W3CDTF">2015-06-05T18:19:34Z</dcterms:created>
  <dcterms:modified xsi:type="dcterms:W3CDTF">2025-04-07T17:22:11Z</dcterms:modified>
</cp:coreProperties>
</file>