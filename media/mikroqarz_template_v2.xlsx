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
    </mc:Choice>
  </mc:AlternateContent>
  <xr:revisionPtr revIDLastSave="0" documentId="13_ncr:1_{FA5CAF6E-57CD-4F22-9BB7-E7ED8CBA0752}" xr6:coauthVersionLast="47" xr6:coauthVersionMax="47" xr10:uidLastSave="{00000000-0000-0000-0000-000000000000}"/>
  <bookViews>
    <workbookView xWindow="-120" yWindow="-120" windowWidth="29040" windowHeight="15840" tabRatio="915" firstSheet="3" activeTab="21"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grafik" sheetId="16" r:id="rId9"/>
    <sheet name="dalolatnoma" sheetId="7" r:id="rId10"/>
    <sheet name="ariza" sheetId="30" r:id="rId11"/>
    <sheet name="muqova" sheetId="9" r:id="rId12"/>
    <sheet name="mijoz_anketasi" sheetId="4" r:id="rId13"/>
    <sheet name="majburiyatnoma" sheetId="24" r:id="rId14"/>
    <sheet name="kredit_ariza" sheetId="2" r:id="rId15"/>
    <sheet name="garov_ariza" sheetId="13" r:id="rId16"/>
    <sheet name="Письмо" sheetId="20" state="hidden" r:id="rId17"/>
    <sheet name="akt_monitoring_1" sheetId="26" r:id="rId18"/>
    <sheet name="akt_monitoring_2" sheetId="27" r:id="rId19"/>
    <sheet name="akt_monitoring_3" sheetId="28" r:id="rId20"/>
    <sheet name="akt_monitoring_4" sheetId="29" r:id="rId21"/>
    <sheet name="notarius" sheetId="32" r:id="rId22"/>
    <sheet name="Анкета 2" sheetId="22" r:id="rId23"/>
  </sheets>
  <externalReferences>
    <externalReference r:id="rId24"/>
  </externalReferences>
  <definedNames>
    <definedName name="mos">'[1]Общие данные'!$C$23:$D$23</definedName>
    <definedName name="mulk">'[1]Общие данные'!$C$24:$W$24</definedName>
    <definedName name="_xlnm.Print_Area" localSheetId="17">akt_monitoring_1!$A$1:$H$33</definedName>
    <definedName name="_xlnm.Print_Area" localSheetId="18">akt_monitoring_2!$A$1:$H$33</definedName>
    <definedName name="_xlnm.Print_Area" localSheetId="19">akt_monitoring_3!$A$1:$H$33</definedName>
    <definedName name="_xlnm.Print_Area" localSheetId="20">akt_monitoring_4!$A$1:$H$33</definedName>
    <definedName name="_xlnm.Print_Area" localSheetId="10">ariza!$A$1:$D$25</definedName>
    <definedName name="_xlnm.Print_Area" localSheetId="3">bayonnoma!$A$1:$E$52</definedName>
    <definedName name="_xlnm.Print_Area" localSheetId="2">buyruq!$A$1:$E$29</definedName>
    <definedName name="_xlnm.Print_Area" localSheetId="9">dalolatnoma!$A$1:$E$64</definedName>
    <definedName name="_xlnm.Print_Area" localSheetId="15">garov_ariza!$A$5:$C$25</definedName>
    <definedName name="_xlnm.Print_Area" localSheetId="8">grafik!$A$1:$F$63</definedName>
    <definedName name="_xlnm.Print_Area" localSheetId="14">kredit_ariza!$A$1:$D$45</definedName>
    <definedName name="_xlnm.Print_Area" localSheetId="12">mijoz_anketasi!$A$1:$F$36</definedName>
    <definedName name="_xlnm.Print_Area" localSheetId="11">muqova!$A$1:$F$40</definedName>
    <definedName name="_xlnm.Print_Area" localSheetId="21">notarius!$A$1:$D$31</definedName>
    <definedName name="_xlnm.Print_Area" localSheetId="1">shartnoma!$A$1:$B$130</definedName>
    <definedName name="_xlnm.Print_Area" localSheetId="7">xulosa!$A$1:$E$70</definedName>
    <definedName name="_xlnm.Print_Area" localSheetId="6">'График аннуитет.'!$A$1:$F$63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32" l="1"/>
  <c r="A6" i="32"/>
  <c r="A16" i="32"/>
  <c r="A15" i="32"/>
  <c r="A14" i="32"/>
  <c r="A12" i="32"/>
  <c r="A21" i="7"/>
  <c r="D11" i="32"/>
  <c r="C11" i="32"/>
  <c r="B11" i="32"/>
  <c r="B20" i="7"/>
  <c r="D62" i="7"/>
  <c r="C23" i="13" l="1"/>
  <c r="A23" i="13"/>
  <c r="D43" i="2"/>
  <c r="A43" i="2"/>
  <c r="D63" i="3"/>
  <c r="D59" i="3"/>
  <c r="D55" i="3"/>
  <c r="A63" i="3"/>
  <c r="A59" i="3"/>
  <c r="A55" i="3"/>
  <c r="D45" i="23"/>
  <c r="D49" i="23"/>
  <c r="A49" i="23"/>
  <c r="A45" i="23"/>
  <c r="A41" i="23"/>
  <c r="C4" i="30"/>
  <c r="A20" i="30"/>
  <c r="B120" i="19"/>
  <c r="B60" i="16"/>
  <c r="B59" i="16"/>
  <c r="E52" i="7"/>
  <c r="A10" i="30"/>
  <c r="B10" i="30"/>
  <c r="A11" i="30"/>
  <c r="B11" i="30"/>
  <c r="A12" i="30"/>
  <c r="B12" i="30"/>
  <c r="A13" i="30"/>
  <c r="B13" i="30"/>
  <c r="A14" i="30"/>
  <c r="B14" i="30"/>
  <c r="C5" i="30"/>
  <c r="C1" i="30"/>
  <c r="A16" i="30"/>
  <c r="A126" i="19"/>
  <c r="B141" i="1" l="1"/>
  <c r="D12" i="32" s="1"/>
  <c r="B135" i="1" l="1"/>
  <c r="B12" i="32" s="1"/>
  <c r="B65" i="1" l="1"/>
  <c r="F27" i="4"/>
  <c r="A21" i="3" s="1"/>
  <c r="D59" i="7"/>
  <c r="A124" i="19"/>
  <c r="B125" i="19"/>
  <c r="A52" i="7"/>
  <c r="C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24" i="1"/>
  <c r="C130" i="1" s="1"/>
  <c r="C122" i="1"/>
  <c r="C128" i="1" s="1"/>
  <c r="C121" i="1"/>
  <c r="C127" i="1" s="1"/>
  <c r="C120" i="1"/>
  <c r="C126" i="1" s="1"/>
  <c r="C119" i="1"/>
  <c r="C125" i="1" s="1"/>
  <c r="A62" i="7"/>
  <c r="A61" i="7"/>
  <c r="F61" i="7"/>
  <c r="A25" i="7"/>
  <c r="A23" i="7"/>
  <c r="H27" i="27" l="1"/>
  <c r="A9" i="26"/>
  <c r="A9" i="29" s="1"/>
  <c r="A9" i="27" l="1"/>
  <c r="A9" i="28"/>
  <c r="I134" i="1"/>
  <c r="A48" i="3"/>
  <c r="A35" i="3"/>
  <c r="E30" i="3"/>
  <c r="A30" i="3"/>
  <c r="A33" i="3"/>
  <c r="D29" i="7" l="1"/>
  <c r="D30" i="3" s="1"/>
  <c r="F138" i="1"/>
  <c r="E141" i="1"/>
  <c r="E138" i="1"/>
  <c r="D20" i="7"/>
  <c r="E20" i="7"/>
  <c r="G9" i="26" s="1"/>
  <c r="G9" i="28" l="1"/>
  <c r="G9" i="27"/>
  <c r="G9" i="29"/>
  <c r="B29" i="7"/>
  <c r="B30" i="3" s="1"/>
  <c r="C9" i="26"/>
  <c r="C29" i="7"/>
  <c r="C30" i="3" s="1"/>
  <c r="E9" i="26"/>
  <c r="E9" i="29" l="1"/>
  <c r="E9" i="28"/>
  <c r="E9" i="27"/>
  <c r="C9" i="29"/>
  <c r="C9" i="28"/>
  <c r="C9" i="27"/>
  <c r="B76" i="1"/>
  <c r="A9" i="30" s="1"/>
  <c r="H27" i="29" l="1"/>
  <c r="H27" i="28"/>
  <c r="A22" i="26"/>
  <c r="H27" i="26"/>
  <c r="A51" i="3"/>
  <c r="A37" i="3"/>
  <c r="A1" i="3"/>
  <c r="D17" i="23"/>
  <c r="E17" i="23" s="1"/>
  <c r="A1" i="23"/>
  <c r="D58" i="16"/>
  <c r="A118" i="1" l="1"/>
  <c r="A117" i="1"/>
  <c r="A116" i="1"/>
  <c r="A115" i="1"/>
  <c r="C22" i="1"/>
  <c r="H9" i="23"/>
  <c r="A57" i="16"/>
  <c r="A18" i="23" l="1"/>
  <c r="A7" i="23"/>
  <c r="B49" i="1"/>
  <c r="B59" i="1" s="1"/>
  <c r="A16" i="4" l="1"/>
  <c r="A17" i="4"/>
  <c r="A7" i="24"/>
  <c r="B27" i="1"/>
  <c r="B117" i="19" s="1"/>
  <c r="B34" i="1"/>
  <c r="B124" i="1"/>
  <c r="B130" i="1" s="1"/>
  <c r="B122" i="1"/>
  <c r="B121" i="1"/>
  <c r="B120" i="1"/>
  <c r="B119" i="1"/>
  <c r="C8" i="13" s="1"/>
  <c r="A24" i="7" l="1"/>
  <c r="A34" i="3" s="1"/>
  <c r="A19" i="13"/>
  <c r="B45" i="1"/>
  <c r="B58" i="1"/>
  <c r="A63" i="7"/>
  <c r="A51" i="7"/>
  <c r="C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25" i="1"/>
  <c r="B126" i="1"/>
  <c r="A22" i="7" l="1"/>
  <c r="A13" i="32"/>
  <c r="A18" i="8"/>
  <c r="A32" i="3"/>
  <c r="H7" i="23"/>
  <c r="A2" i="23" s="1"/>
  <c r="B128" i="1" l="1"/>
  <c r="B127" i="1"/>
  <c r="A118" i="19" l="1"/>
  <c r="A53" i="16" s="1"/>
  <c r="A30" i="4"/>
  <c r="D55" i="16"/>
  <c r="A15" i="4"/>
  <c r="A14" i="4"/>
  <c r="A13" i="4"/>
  <c r="A7" i="3"/>
  <c r="C8" i="15"/>
  <c r="J12" i="15"/>
  <c r="A10" i="4" l="1"/>
  <c r="A9" i="4" s="1"/>
  <c r="D59" i="16"/>
  <c r="B122" i="19"/>
  <c r="D57" i="16" s="1"/>
  <c r="B121" i="19"/>
  <c r="D56" i="16" s="1"/>
  <c r="D52" i="16"/>
  <c r="B116" i="19"/>
  <c r="D51" i="16" s="1"/>
  <c r="A121" i="19" l="1"/>
  <c r="A56" i="16" s="1"/>
  <c r="A120" i="19"/>
  <c r="A55" i="16" s="1"/>
  <c r="A119" i="19"/>
  <c r="A54" i="16" s="1"/>
  <c r="A117" i="19"/>
  <c r="A52" i="16" s="1"/>
  <c r="B24" i="9" l="1"/>
  <c r="B2" i="9"/>
  <c r="A22" i="29"/>
  <c r="A22" i="28"/>
  <c r="H5" i="29"/>
  <c r="H5" i="28"/>
  <c r="H5" i="27"/>
  <c r="A22" i="27"/>
  <c r="H22" i="26"/>
  <c r="D2" i="1"/>
  <c r="H5" i="26" s="1"/>
  <c r="A28" i="13"/>
  <c r="A26" i="13"/>
  <c r="A34" i="2"/>
  <c r="A29" i="4"/>
  <c r="A28" i="4"/>
  <c r="A20" i="4"/>
  <c r="A7" i="4"/>
  <c r="A11" i="24"/>
  <c r="A14" i="7"/>
  <c r="A13" i="7"/>
  <c r="A2" i="7"/>
  <c r="A8" i="3"/>
  <c r="A5" i="3"/>
  <c r="A4" i="3"/>
  <c r="A11" i="8"/>
  <c r="A10" i="8"/>
  <c r="A9" i="8"/>
  <c r="A12" i="2"/>
  <c r="A11" i="2"/>
  <c r="A7" i="2"/>
  <c r="B172" i="1"/>
  <c r="H134" i="1"/>
  <c r="I133" i="1"/>
  <c r="F133" i="1" s="1"/>
  <c r="H133" i="1"/>
  <c r="C133" i="1"/>
  <c r="B9" i="1"/>
  <c r="B8" i="1"/>
  <c r="B144" i="1"/>
  <c r="B145" i="1" s="1"/>
  <c r="E21" i="7"/>
  <c r="B138" i="1"/>
  <c r="B21" i="7"/>
  <c r="C10" i="26" s="1"/>
  <c r="D21" i="7" l="1"/>
  <c r="E10" i="26" s="1"/>
  <c r="E10" i="28" s="1"/>
  <c r="C12" i="32"/>
  <c r="B11" i="1"/>
  <c r="B13" i="1" s="1"/>
  <c r="G10" i="26"/>
  <c r="D30" i="7"/>
  <c r="D31" i="3" s="1"/>
  <c r="C10" i="28"/>
  <c r="C10" i="27"/>
  <c r="C10" i="29"/>
  <c r="C134" i="1"/>
  <c r="A17" i="7" s="1"/>
  <c r="A10" i="26"/>
  <c r="C145" i="1"/>
  <c r="B146" i="1"/>
  <c r="A6" i="2"/>
  <c r="E30" i="7"/>
  <c r="E31" i="3" s="1"/>
  <c r="A48" i="7"/>
  <c r="A15" i="7"/>
  <c r="E133" i="1"/>
  <c r="A27" i="3"/>
  <c r="C9" i="13"/>
  <c r="A20" i="3"/>
  <c r="A27" i="2"/>
  <c r="A28" i="2"/>
  <c r="F134" i="1"/>
  <c r="E134" i="1"/>
  <c r="B10" i="1"/>
  <c r="A8" i="8" s="1"/>
  <c r="E10" i="29" l="1"/>
  <c r="E10" i="27"/>
  <c r="A28" i="3"/>
  <c r="A29" i="3" s="1"/>
  <c r="A26" i="23" s="1"/>
  <c r="A24" i="2"/>
  <c r="A17" i="8"/>
  <c r="G10" i="28"/>
  <c r="G10" i="29"/>
  <c r="G10" i="27"/>
  <c r="A16" i="8"/>
  <c r="A25" i="2"/>
  <c r="A16" i="7"/>
  <c r="A18" i="7" s="1"/>
  <c r="A19" i="7" s="1"/>
  <c r="A10" i="27"/>
  <c r="A10" i="28"/>
  <c r="A10" i="29"/>
  <c r="A38" i="3"/>
  <c r="B12" i="1"/>
  <c r="A15" i="13" l="1"/>
  <c r="A14" i="13"/>
  <c r="A21" i="4"/>
  <c r="A10" i="2"/>
  <c r="A9" i="2"/>
  <c r="A19" i="4"/>
  <c r="A13" i="13" l="1"/>
  <c r="B66" i="1"/>
  <c r="A1" i="19" s="1"/>
  <c r="H31" i="29"/>
  <c r="H31" i="28"/>
  <c r="H31" i="27"/>
  <c r="H22" i="29"/>
  <c r="H22" i="28"/>
  <c r="H22" i="27"/>
  <c r="H31" i="26"/>
  <c r="D56" i="7" l="1"/>
  <c r="A56" i="7"/>
  <c r="A129" i="19"/>
  <c r="B108" i="1"/>
  <c r="R132" i="1" l="1"/>
  <c r="R133" i="1" s="1"/>
  <c r="N134" i="1" s="1"/>
  <c r="A29" i="13"/>
  <c r="A30" i="13" s="1"/>
  <c r="A32" i="13" s="1"/>
  <c r="A20" i="13" s="1"/>
  <c r="C63" i="7" s="1"/>
  <c r="Q132" i="1"/>
  <c r="Q133" i="1" s="1"/>
  <c r="N133" i="1" s="1"/>
  <c r="B24" i="4" l="1"/>
  <c r="B67" i="1" l="1"/>
  <c r="C78" i="1" s="1"/>
  <c r="C79" i="1" s="1"/>
  <c r="C80" i="1" s="1"/>
  <c r="B79" i="1" s="1"/>
  <c r="B80" i="1" s="1"/>
  <c r="B153" i="1" l="1"/>
  <c r="B151" i="1"/>
  <c r="C18" i="1" l="1"/>
  <c r="B20" i="1" l="1"/>
  <c r="A9" i="32" s="1"/>
  <c r="C20" i="1"/>
  <c r="A5" i="19" s="1"/>
  <c r="C123" i="1" l="1"/>
  <c r="B119" i="19"/>
  <c r="D53" i="16" s="1"/>
  <c r="C6" i="30"/>
  <c r="B123" i="1"/>
  <c r="B129" i="1" s="1"/>
  <c r="C129" i="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4"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6" i="19" l="1"/>
  <c r="A51" i="16" s="1"/>
  <c r="F67" i="1" l="1"/>
  <c r="E67" i="1"/>
  <c r="A20" i="2" s="1"/>
  <c r="C67" i="1"/>
  <c r="C65" i="1"/>
  <c r="C66" i="1" l="1"/>
  <c r="I66" i="1"/>
  <c r="G66" i="1"/>
  <c r="D67" i="1"/>
  <c r="B152" i="1" s="1"/>
  <c r="A26" i="19" s="1"/>
  <c r="H67" i="1"/>
  <c r="B69" i="1" s="1"/>
  <c r="E66" i="1"/>
  <c r="F66" i="1"/>
  <c r="A4" i="24" l="1"/>
  <c r="B173" i="1"/>
  <c r="A30" i="19"/>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A4" i="8"/>
  <c r="B150"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C19" i="13" l="1"/>
  <c r="C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34" i="20"/>
  <c r="A35" i="20"/>
  <c r="C150" i="1"/>
  <c r="A9" i="20" l="1"/>
  <c r="N131" i="1"/>
  <c r="E44" i="7"/>
  <c r="E31" i="20" s="1"/>
  <c r="A23" i="2" l="1"/>
  <c r="A32" i="20"/>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B90" i="1" l="1"/>
  <c r="F8" i="12" s="1"/>
  <c r="F45" i="16"/>
  <c r="D45" i="16"/>
  <c r="E45" i="16"/>
  <c r="C63" i="1"/>
  <c r="C60" i="1" s="1"/>
  <c r="A23" i="3" l="1"/>
  <c r="A22" i="3" s="1"/>
  <c r="A24" i="3"/>
  <c r="D8" i="12"/>
  <c r="F9" i="12"/>
  <c r="F10" i="12" l="1"/>
  <c r="C9" i="12"/>
  <c r="E9" i="12" l="1"/>
  <c r="F11" i="12"/>
  <c r="F12" i="12" l="1"/>
  <c r="D9" i="12"/>
  <c r="C10" i="12" l="1"/>
  <c r="F13" i="12"/>
  <c r="F14" i="12" l="1"/>
  <c r="E10" i="12"/>
  <c r="D10" i="12" l="1"/>
  <c r="F15" i="12"/>
  <c r="F16" i="12" l="1"/>
  <c r="C11" i="12"/>
  <c r="E11" i="12" l="1"/>
  <c r="F17" i="12"/>
  <c r="F18" i="12" l="1"/>
  <c r="D11" i="12"/>
  <c r="C12" i="12" l="1"/>
  <c r="F19" i="12"/>
  <c r="F20" i="12" l="1"/>
  <c r="E12" i="12"/>
  <c r="D12" i="12" l="1"/>
  <c r="F21" i="12"/>
  <c r="F22" i="12" l="1"/>
  <c r="C13" i="12"/>
  <c r="E13" i="12" l="1"/>
  <c r="F2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E19" i="12" l="1"/>
  <c r="D19" i="12" s="1"/>
  <c r="C20" i="12" s="1"/>
  <c r="F30" i="12"/>
  <c r="E20" i="12" l="1"/>
  <c r="D20" i="12" s="1"/>
  <c r="C21" i="12" s="1"/>
  <c r="F31" i="12"/>
  <c r="E21" i="12" l="1"/>
  <c r="D21" i="12" s="1"/>
  <c r="C22" i="12" s="1"/>
  <c r="F32" i="12"/>
  <c r="E22" i="12" l="1"/>
  <c r="D22" i="12" s="1"/>
  <c r="C23" i="12" s="1"/>
  <c r="F33" i="12"/>
  <c r="F34" i="12" l="1"/>
  <c r="E23" i="12"/>
  <c r="D23" i="12" s="1"/>
  <c r="C24" i="12" s="1"/>
  <c r="E24" i="12" l="1"/>
  <c r="D24" i="12" s="1"/>
  <c r="C25" i="12" s="1"/>
  <c r="F35" i="12"/>
  <c r="E25" i="12" l="1"/>
  <c r="D25" i="12" s="1"/>
  <c r="C26" i="12" s="1"/>
  <c r="F36" i="12"/>
  <c r="F37" i="12" l="1"/>
  <c r="E26" i="12"/>
  <c r="D26" i="12" s="1"/>
  <c r="C27" i="12" s="1"/>
  <c r="E27" i="12" l="1"/>
  <c r="D27" i="12" s="1"/>
  <c r="C28" i="12" s="1"/>
  <c r="F38" i="12"/>
  <c r="E28" i="12" l="1"/>
  <c r="D28" i="12" s="1"/>
  <c r="C29" i="12" s="1"/>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l="1"/>
  <c r="F39" i="12"/>
  <c r="E40" i="12"/>
  <c r="D40" i="12" s="1"/>
  <c r="C41" i="12" l="1"/>
  <c r="F40" i="12"/>
  <c r="E41" i="12"/>
  <c r="D41" i="12" s="1"/>
  <c r="C42" i="12" l="1"/>
  <c r="F41" i="12"/>
  <c r="E42" i="12"/>
  <c r="D42" i="12" s="1"/>
  <c r="C43" i="12" l="1"/>
  <c r="F42" i="12"/>
  <c r="E43" i="12"/>
  <c r="E44" i="12" s="1"/>
  <c r="D43" i="12"/>
  <c r="F43" i="12" l="1"/>
  <c r="F44" i="12" s="1"/>
  <c r="D44" i="12"/>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<sst xmlns="http://schemas.openxmlformats.org/spreadsheetml/2006/main" count="637" uniqueCount="469">
  <si>
    <t>служебная</t>
  </si>
  <si>
    <t>другое</t>
  </si>
  <si>
    <t>Г.В. Тян</t>
  </si>
  <si>
    <t>-</t>
  </si>
  <si>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</si>
  <si>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</si>
  <si>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</si>
  <si>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</si>
  <si>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</si>
  <si>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</si>
  <si>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</si>
  <si>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</si>
  <si>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</si>
  <si>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</si>
  <si>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</si>
  <si>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</si>
  <si>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</si>
  <si>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</si>
  <si>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</si>
  <si>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</si>
  <si>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</si>
  <si>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</si>
  <si>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</si>
  <si>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</si>
  <si>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</si>
  <si>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</si>
  <si>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</si>
  <si>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</si>
  <si>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</si>
  <si>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</si>
  <si>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</si>
  <si>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</si>
  <si>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</si>
  <si>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</si>
  <si>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</si>
  <si>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</si>
  <si>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</si>
  <si>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</si>
  <si>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</si>
  <si>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</si>
  <si>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</si>
  <si>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</si>
  <si>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</si>
  <si>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</si>
  <si>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</si>
  <si>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</si>
  <si>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</si>
  <si>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</si>
  <si>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</si>
  <si>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</si>
  <si>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</si>
  <si>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</si>
  <si>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</si>
  <si>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</si>
  <si>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</si>
  <si>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</si>
  <si>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</si>
  <si>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</si>
  <si>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</si>
  <si>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</si>
  <si>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</si>
  <si>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</si>
  <si>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</si>
  <si>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</si>
  <si>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</si>
  <si>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</si>
  <si>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</si>
  <si>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</si>
  <si>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</si>
  <si>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</si>
  <si>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</si>
  <si>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</si>
  <si>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</si>
  <si>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</si>
  <si>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</si>
  <si>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</si>
  <si>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</si>
  <si>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</si>
  <si>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</si>
  <si>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</si>
  <si>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</si>
  <si>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</si>
  <si>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</si>
  <si>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</si>
  <si>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</si>
  <si>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</si>
  <si>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</si>
  <si>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</si>
  <si>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</si>
  <si>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</si>
  <si>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</si>
  <si>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</si>
  <si>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</si>
  <si>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</si>
  <si>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</si>
  <si>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</si>
  <si>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</si>
  <si>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</si>
  <si>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</si>
  <si>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</si>
  <si>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</si>
  <si>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</si>
  <si>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</si>
  <si>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</si>
  <si>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</si>
  <si>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</si>
  <si>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</si>
  <si>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</si>
  <si>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</si>
  <si>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</si>
  <si>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</si>
  <si>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</si>
  <si>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</si>
  <si>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</si>
  <si>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</si>
  <si>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</si>
  <si>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</si>
  <si>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</si>
  <si>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</si>
  <si>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</si>
  <si>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</si>
  <si>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</si>
  <si>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</si>
  <si>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</si>
  <si>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</si>
  <si>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</si>
  <si>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</si>
  <si>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</si>
  <si>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</si>
  <si>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</si>
  <si>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</si>
  <si>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</si>
  <si>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</si>
  <si>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</si>
  <si>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</si>
  <si>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</si>
  <si>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</si>
  <si>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</si>
  <si>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</si>
  <si>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</si>
  <si>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</si>
  <si>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</si>
  <si>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</si>
  <si>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</si>
  <si>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</si>
  <si>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</si>
  <si>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</si>
  <si>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</si>
  <si>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</si>
  <si>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</si>
  <si>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</si>
  <si>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</si>
  <si>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</si>
  <si>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</si>
  <si>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</si>
  <si>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</si>
  <si>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</si>
  <si>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</si>
  <si>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</si>
  <si>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</si>
  <si>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</si>
  <si>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</si>
  <si>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</si>
  <si>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</si>
  <si>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</si>
  <si>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</si>
  <si>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</si>
  <si>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</si>
  <si>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</si>
  <si>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</si>
  <si>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</si>
  <si>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</si>
  <si>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</si>
  <si>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</si>
  <si>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</si>
  <si>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</si>
  <si>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</si>
  <si>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</si>
  <si>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</si>
  <si>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</si>
  <si>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</si>
  <si>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</si>
  <si>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</si>
  <si>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</si>
  <si>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</si>
  <si>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</si>
  <si>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</si>
  <si>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</si>
  <si>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</si>
  <si>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</si>
  <si>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</si>
  <si>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</si>
  <si>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</si>
  <si>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</si>
  <si>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</si>
  <si>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</si>
  <si>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</si>
  <si>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</si>
  <si>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</si>
  <si>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</si>
  <si>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</si>
  <si>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</si>
  <si>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</si>
  <si>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</si>
  <si>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</si>
  <si>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</si>
  <si>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</si>
  <si>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</si>
  <si>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</si>
  <si>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</si>
  <si>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</si>
  <si>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</si>
  <si>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</si>
  <si>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</si>
  <si>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</si>
  <si>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</si>
  <si>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</si>
  <si>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</si>
  <si>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</si>
  <si>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</si>
  <si>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</si>
  <si>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</si>
  <si>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</si>
  <si>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</si>
  <si>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</si>
  <si>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</si>
  <si>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</si>
  <si>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</si>
  <si>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</si>
  <si>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</si>
  <si>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</si>
  <si>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</si>
  <si>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</si>
  <si>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</si>
  <si>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</si>
  <si>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</si>
  <si>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</si>
  <si>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</si>
  <si>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</si>
  <si>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</si>
  <si>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</si>
  <si>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</si>
  <si>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</si>
  <si>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</si>
  <si>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</si>
  <si>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</si>
  <si>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</si>
  <si>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</si>
  <si>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</si>
  <si>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</si>
  <si>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</si>
  <si>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</si>
  <si>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</si>
  <si>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</si>
  <si>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</si>
  <si>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</si>
  <si>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</si>
  <si>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</si>
  <si>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</si>
  <si>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</si>
  <si>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</si>
  <si>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</si>
  <si>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</si>
  <si>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</si>
  <si>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</si>
  <si>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</si>
  <si>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</si>
  <si>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</si>
  <si>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</si>
  <si>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</si>
  <si>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</si>
  <si>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</si>
  <si>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</si>
  <si>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</si>
  <si>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</si>
  <si>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</si>
  <si>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</si>
  <si>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</si>
  <si>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</si>
  <si>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</si>
  <si>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</si>
  <si>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</si>
  <si>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</si>
  <si>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</si>
  <si>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</si>
  <si>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</si>
  <si>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</si>
  <si>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</si>
  <si>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</si>
  <si>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</si>
  <si>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</si>
  <si>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</si>
  <si>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</si>
  <si>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</si>
  <si>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</si>
  <si>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</si>
  <si>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</si>
  <si>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</si>
  <si>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</si>
  <si>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</si>
  <si>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</si>
  <si>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</si>
  <si>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</si>
  <si>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</si>
  <si>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</si>
  <si>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</si>
  <si>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</si>
  <si>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</si>
  <si>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</si>
  <si>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</si>
  <si>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</si>
  <si>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</si>
  <si>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</si>
  <si>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</si>
  <si>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</si>
  <si>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</si>
  <si>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</si>
  <si>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</si>
  <si>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</si>
  <si>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</si>
  <si>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</si>
  <si>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</si>
  <si>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</si>
  <si>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</si>
  <si>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</si>
  <si>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</si>
  <si>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</si>
  <si>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</si>
  <si>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</si>
  <si>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</si>
  <si>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</si>
  <si>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</si>
  <si>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</si>
  <si>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</si>
  <si>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</si>
  <si>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</si>
  <si>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</si>
  <si>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</si>
  <si>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</si>
  <si>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</si>
  <si>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</si>
  <si>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</si>
  <si>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</si>
  <si>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</si>
  <si>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</si>
  <si>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</si>
  <si>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</si>
  <si>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</si>
  <si>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</si>
  <si>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</si>
  <si>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</si>
  <si>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</si>
  <si>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</si>
  <si>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</si>
  <si>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</si>
  <si>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</si>
  <si>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</si>
  <si>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</si>
  <si>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</si>
  <si>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</si>
  <si>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</si>
  <si>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</si>
  <si>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</si>
  <si>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</si>
  <si>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</si>
  <si>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</si>
  <si>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</si>
  <si>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</si>
  <si>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</si>
  <si>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</si>
  <si>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</si>
  <si>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</si>
  <si>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</si>
  <si>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</si>
  <si>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</si>
  <si>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</si>
  <si>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</si>
  <si>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</si>
  <si>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</si>
  <si>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</si>
  <si>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</si>
  <si>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</si>
  <si>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</si>
  <si>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</si>
  <si>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</si>
  <si>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</si>
  <si>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</si>
  <si>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</si>
  <si>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</si>
  <si>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</si>
  <si>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BUXORO SHAHRI</t>
  </si>
  <si>
    <t>Kreditlash bo’limi boshlig’i</t>
  </si>
  <si>
    <t>B. Mominov</t>
  </si>
  <si>
    <t>N. Abduraximov</t>
  </si>
  <si>
    <t>Imzolaganlar ro'yxati:</t>
  </si>
  <si>
    <t>N.Abduraximovga</t>
  </si>
  <si>
    <t>ARIZA</t>
  </si>
  <si>
    <t xml:space="preserve"> Mikroqarz shartnomasining bir nusxasini oldim ____________</t>
  </si>
  <si>
    <t>Mijoz plastik kartasi parametrlari</t>
  </si>
  <si>
    <t xml:space="preserve">2312 0000 7000 1200 0000 </t>
  </si>
  <si>
    <t>Karta raqami:</t>
  </si>
  <si>
    <t>Bank nomi:</t>
  </si>
  <si>
    <t>H/r:</t>
  </si>
  <si>
    <t>MFO:</t>
  </si>
  <si>
    <t>STIR:</t>
  </si>
  <si>
    <t>________________</t>
  </si>
  <si>
    <t>sana</t>
  </si>
  <si>
    <t>_____________</t>
  </si>
  <si>
    <r>
      <t xml:space="preserve">Qancha yurgan </t>
    </r>
    <r>
      <rPr>
        <b/>
        <sz val="11"/>
        <color rgb="FFFF0000"/>
        <rFont val="Arial"/>
        <family val="2"/>
        <charset val="204"/>
      </rPr>
      <t>ANIQ KIRITING</t>
    </r>
  </si>
  <si>
    <r>
      <rPr>
        <b/>
        <sz val="11"/>
        <color theme="1"/>
        <rFont val="Times New Roman"/>
        <family val="1"/>
        <charset val="204"/>
      </rPr>
      <t>B</t>
    </r>
    <r>
      <rPr>
        <sz val="11"/>
        <color theme="1"/>
        <rFont val="Times New Roman"/>
        <family val="1"/>
        <charset val="204"/>
      </rPr>
      <t>irinchi</t>
    </r>
  </si>
  <si>
    <t>Ijrochi direktor</t>
  </si>
  <si>
    <t>«CLEVER MIKROMOLIYA TASHKILOTI» MChJ ijrochi direktori</t>
  </si>
  <si>
    <t>XAYATOV OTABEK KURBANOVICH</t>
  </si>
  <si>
    <t>XAYATOV O.K.</t>
  </si>
  <si>
    <t>22.08.1982 y</t>
  </si>
  <si>
    <t>AB 7858443</t>
  </si>
  <si>
    <t>BUXORO VILOYATI KOGON TUMAN IIB</t>
  </si>
  <si>
    <t>BUXORO VILOYATI KOGON TUMANI NIYOZ HOJI QISHLOG'I</t>
  </si>
  <si>
    <t>97 305 82 83 UZI</t>
  </si>
  <si>
    <t>25-MAKTAB, 3-BOG'CHA, XOKIMIYAT</t>
  </si>
  <si>
    <t>88 305 82 89 AYOLI</t>
  </si>
  <si>
    <t>97 705 05 17 O'G'LI</t>
  </si>
  <si>
    <t>o'ttiz ikki</t>
  </si>
  <si>
    <t>01.04.2025</t>
  </si>
  <si>
    <t xml:space="preserve">«Kapital bank» </t>
  </si>
  <si>
    <t>01158</t>
  </si>
  <si>
    <t>207275139</t>
  </si>
  <si>
    <t>5614 6822 1468 2009</t>
  </si>
  <si>
    <t>BUXORO VILOYATI BUXORO SHAHRI ASHXOBOD KO'CHASI 1/3-UY</t>
  </si>
  <si>
    <t>SHARIPOV ZAFAR JO'RABOYEVICH</t>
  </si>
  <si>
    <t>202502386001856</t>
  </si>
  <si>
    <t>BUXORO VILOYATI RO' VA IOB</t>
  </si>
  <si>
    <t>AAG   4517617  20.08.2024y</t>
  </si>
  <si>
    <t>SPARK</t>
  </si>
  <si>
    <t>80Y320AB</t>
  </si>
  <si>
    <t>YENGIL SEDAN</t>
  </si>
  <si>
    <t>XWBMF481EBA580791</t>
  </si>
  <si>
    <t>B10D1606437KC3</t>
  </si>
  <si>
    <t>RAKAMSIZ</t>
  </si>
  <si>
    <t>OQ BELAYA "KASABLANKA"</t>
  </si>
  <si>
    <t>2011</t>
  </si>
  <si>
    <t>A.Xudayberdiyev</t>
  </si>
  <si>
    <t>Xudayberdiyev Alijon Ravshanovich</t>
  </si>
  <si>
    <t>J.Karimov</t>
  </si>
  <si>
    <t>Buxoro filiali boshlig'i</t>
  </si>
  <si>
    <t>№ 687-BR</t>
  </si>
  <si>
    <t>FAYZIYEV JAMSHID KURBONOVICH</t>
  </si>
  <si>
    <t>FAYZIYEV J.K.</t>
  </si>
  <si>
    <t>19.12.1979 y</t>
  </si>
  <si>
    <t>AD 8379834</t>
  </si>
  <si>
    <t>BUXORO VILOYATI BUXORO TUMANI IIB tomonidan 26.08.2024 yilda berilgan</t>
  </si>
  <si>
    <t>BUXORO VILOYATI BUXORO TUMANI XONOBOD MFY XONOBOD QISHLOG'I</t>
  </si>
  <si>
    <t>Mijoz quyidagi majburiyatlarga ega : TOShKENT Sh., "UZSANOATKURILIShBANKI" ATB BOSh OFISI 676 618.00 so`m. Ayni paytda muddati o'tgan qarzdorligi mavjud emas. O‘rtacha oylik to‘lov 175 091.58 so‘mni tashkil qiladi.</t>
  </si>
  <si>
    <t>“CLEVER MIKROMOLIYA TASHKILOTI” MChJ</t>
  </si>
  <si>
    <t>Toshkent sh, Olmazor tumani, Sag’bon ko’chasi 30-tup., 6-uy</t>
  </si>
  <si>
    <t>h/r: 2021 6000 7050 6838 0001, STIR: 306 365 847, MFO: 01042,</t>
  </si>
  <si>
    <t>“Kapitalbank” AKB Sergeli filiali</t>
  </si>
  <si>
    <t>Notarial idoralariga</t>
  </si>
  <si>
    <t>O‘zbekiston Respublikasi</t>
  </si>
  <si>
    <r>
      <t xml:space="preserve">“CLEVER mikromoliya tashkiloti” MChJ </t>
    </r>
    <r>
      <rPr>
        <sz val="11"/>
        <color rgb="FF8C0101"/>
        <rFont val="Times New Roman"/>
        <family val="1"/>
        <charset val="204"/>
      </rPr>
      <t xml:space="preserve">20.03.2025 </t>
    </r>
    <r>
      <rPr>
        <sz val="11"/>
        <color theme="1"/>
        <rFont val="Times New Roman"/>
        <family val="1"/>
        <charset val="204"/>
      </rPr>
      <t xml:space="preserve">yildagi № </t>
    </r>
    <r>
      <rPr>
        <sz val="11"/>
        <color rgb="FF8C0101"/>
        <rFont val="Times New Roman"/>
        <family val="1"/>
        <charset val="204"/>
      </rPr>
      <t>647</t>
    </r>
    <r>
      <rPr>
        <sz val="11"/>
        <color theme="1"/>
        <rFont val="Times New Roman"/>
        <family val="1"/>
        <charset val="204"/>
      </rPr>
      <t>-son mikrokredit shartnomasi bo‘yicha Qarz oluvchi tomonidan majburiyatlarini to‘liq to‘laganligini hisobga olib, yuqorida ko‘rsatilgan mol-mulkni garov ta’minotidan ozod qilishga roziligini beradi.</t>
    </r>
  </si>
  <si>
    <t xml:space="preserve">          «CLEVER MIKROMOLIYA</t>
  </si>
  <si>
    <t xml:space="preserve">     Ijrochi: B.T.Jumanazarov </t>
  </si>
  <si>
    <t xml:space="preserve">     Tel: (78) 113 31 33</t>
  </si>
  <si>
    <t xml:space="preserve">     Hujjat elektron raqamli imzo bilan tasdiqlangan. "Elektron raqamli imzo to‘g‘risida"gi Qonunning 7-moddasiga asosan elektron raqamli imzo va qo‘lda qo‘yilgan imzo bir xil ahamiyatga ega. Hujjatning haqqoniyligini tekshirish uchun QR-kodni skanerlang.</t>
  </si>
  <si>
    <t>05.04.2025 yildagi</t>
  </si>
  <si>
    <t>Xat raqami</t>
  </si>
  <si>
    <t>Xat sanasi</t>
  </si>
  <si>
    <t>№ 02/04-001</t>
  </si>
  <si>
    <t xml:space="preserve">          TASHKILOTI» MChJ rahbari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</si>
</sst>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55">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b/>
      <i/>
      <sz val="11"/>
      <name val="Times New Roman"/>
      <family val="1"/>
      <charset val="204"/>
    </font>
    <font>
      <sz val="12"/>
      <color theme="0"/>
      <name val="Times New Roman"/>
      <family val="1"/>
      <charset val="204"/>
    </font>
    <font>
      <sz val="10"/>
      <color theme="0"/>
      <name val="Times New Roman"/>
      <family val="1"/>
      <charset val="204"/>
    </font>
    <font>
      <sz val="48"/>
      <color rgb="FFFF0000"/>
      <name val="Times New Roman"/>
      <family val="1"/>
      <charset val="204"/>
    </font>
    <font>
      <sz val="11"/>
      <name val="Calibri"/>
      <family val="2"/>
      <charset val="204"/>
    </font>
    <font>
      <i/>
      <sz val="11"/>
      <color rgb="FFFF0000"/>
      <name val="Arial"/>
      <family val="2"/>
      <charset val="204"/>
    </font>
    <font>
      <sz val="11"/>
      <color theme="1"/>
      <name val="Calibri"/>
      <charset val="134"/>
      <scheme val="minor"/>
    </font>
    <font>
      <sz val="11"/>
      <color theme="1"/>
      <name val="Calibri"/>
      <charset val="204"/>
      <scheme val="minor"/>
    </font>
    <font>
      <sz val="11"/>
      <name val="Calibri"/>
      <charset val="204"/>
    </font>
    <font>
      <sz val="8"/>
      <name val="Calibri"/>
      <family val="2"/>
      <scheme val="minor"/>
    </font>
    <font>
      <b/>
      <u/>
      <sz val="12"/>
      <name val="Times New Roman"/>
      <family val="1"/>
      <charset val="204"/>
    </font>
    <font>
      <b/>
      <sz val="12"/>
      <name val="Times New Roman"/>
      <family val="1"/>
      <charset val="204"/>
    </font>
    <font>
      <b/>
      <sz val="14"/>
      <color theme="1"/>
      <name val="Arial"/>
      <family val="2"/>
      <charset val="204"/>
    </font>
    <font>
      <b/>
      <u/>
      <sz val="12"/>
      <color theme="1"/>
      <name val="Times New Roman"/>
      <family val="1"/>
      <charset val="204"/>
    </font>
    <font>
      <sz val="9"/>
      <color theme="1"/>
      <name val="Times New Roman"/>
      <family val="1"/>
      <charset val="204"/>
    </font>
    <font>
      <sz val="11"/>
      <color rgb="FF8C0101"/>
      <name val="Times New Roman"/>
      <family val="1"/>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theme="9"/>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1786">
    <xf numFmtId="0" fontId="0"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43" fillId="0" borderId="0">
      <alignment vertical="center"/>
    </xf>
    <xf numFmtId="0" fontId="43" fillId="0" borderId="0">
      <alignment vertical="center"/>
    </xf>
    <xf numFmtId="43" fontId="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41"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46" fillId="0" borderId="0"/>
    <xf numFmtId="170" fontId="45" fillId="0" borderId="0" applyFont="0" applyFill="0" applyBorder="0" applyAlignment="0" applyProtection="0"/>
    <xf numFmtId="170" fontId="45" fillId="0" borderId="0" applyFont="0" applyFill="0" applyBorder="0" applyAlignment="0" applyProtection="0"/>
    <xf numFmtId="0" fontId="46" fillId="0" borderId="0"/>
    <xf numFmtId="170" fontId="45" fillId="0" borderId="0" applyFont="0" applyFill="0" applyBorder="0" applyAlignment="0" applyProtection="0"/>
    <xf numFmtId="170" fontId="45" fillId="0" borderId="0" applyFont="0" applyFill="0" applyBorder="0" applyAlignment="0" applyProtection="0"/>
    <xf numFmtId="0" fontId="47" fillId="0" borderId="0">
      <alignment vertical="center"/>
    </xf>
    <xf numFmtId="0" fontId="46" fillId="0" borderId="0"/>
    <xf numFmtId="170" fontId="45" fillId="0" borderId="0" applyFont="0" applyFill="0" applyBorder="0" applyAlignment="0" applyProtection="0"/>
    <xf numFmtId="0" fontId="46" fillId="0" borderId="0"/>
    <xf numFmtId="0" fontId="46" fillId="0" borderId="0"/>
    <xf numFmtId="0" fontId="46" fillId="0" borderId="0"/>
    <xf numFmtId="0" fontId="46" fillId="0" borderId="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0" fontId="47" fillId="0" borderId="0">
      <alignment vertical="center"/>
    </xf>
    <xf numFmtId="170" fontId="45" fillId="0" borderId="0" applyFont="0" applyFill="0" applyBorder="0" applyAlignment="0" applyProtection="0"/>
    <xf numFmtId="0" fontId="46" fillId="0" borderId="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9"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cellStyleXfs>
  <cellXfs count="393">
    <xf numFmtId="0" fontId="0" fillId="0" borderId="0" xfId="0"/>
    <xf numFmtId="49" fontId="6" fillId="0" borderId="1" xfId="0" applyNumberFormat="1" applyFont="1" applyBorder="1" applyAlignment="1">
      <alignment vertical="center" wrapText="1"/>
    </xf>
    <xf numFmtId="165" fontId="6" fillId="0" borderId="1" xfId="0" applyNumberFormat="1" applyFont="1" applyBorder="1" applyAlignment="1">
      <alignment vertical="center" wrapText="1"/>
    </xf>
    <xf numFmtId="43" fontId="6" fillId="0" borderId="1" xfId="1" applyFont="1" applyBorder="1" applyAlignment="1">
      <alignment vertical="center" wrapText="1"/>
    </xf>
    <xf numFmtId="0" fontId="8" fillId="0" borderId="0" xfId="0" applyFont="1"/>
    <xf numFmtId="0" fontId="8" fillId="0" borderId="0" xfId="0" applyFont="1" applyAlignment="1">
      <alignment horizontal="right"/>
    </xf>
    <xf numFmtId="0" fontId="11" fillId="0" borderId="0" xfId="0" applyFont="1" applyAlignment="1" applyProtection="1">
      <alignment horizontal="center" vertical="top"/>
      <protection hidden="1"/>
    </xf>
    <xf numFmtId="0" fontId="11" fillId="0" borderId="0" xfId="0" applyFont="1" applyAlignment="1" applyProtection="1">
      <alignment horizontal="center" vertical="center"/>
      <protection hidden="1"/>
    </xf>
    <xf numFmtId="0" fontId="9" fillId="0" borderId="0" xfId="0" applyFont="1"/>
    <xf numFmtId="0" fontId="9" fillId="0" borderId="0" xfId="0" applyFont="1" applyAlignment="1">
      <alignment horizontal="right"/>
    </xf>
    <xf numFmtId="0" fontId="12" fillId="0" borderId="0" xfId="0" applyFont="1"/>
    <xf numFmtId="0" fontId="12" fillId="0" borderId="0" xfId="0" applyFont="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xf numFmtId="0" fontId="12" fillId="0" borderId="0" xfId="0" applyFont="1" applyAlignment="1">
      <alignment horizontal="justify" vertical="top" wrapText="1"/>
    </xf>
    <xf numFmtId="0" fontId="12" fillId="0" borderId="0" xfId="0" applyFont="1" applyAlignment="1">
      <alignment wrapText="1"/>
    </xf>
    <xf numFmtId="164" fontId="6" fillId="0" borderId="1" xfId="0" applyNumberFormat="1" applyFont="1" applyBorder="1" applyAlignment="1">
      <alignment vertical="center" wrapText="1"/>
    </xf>
    <xf numFmtId="0" fontId="12" fillId="0" borderId="0" xfId="0" applyFont="1" applyAlignment="1">
      <alignment vertical="top" wrapText="1"/>
    </xf>
    <xf numFmtId="0" fontId="12" fillId="0" borderId="0" xfId="0" applyFont="1" applyAlignment="1">
      <alignment vertical="center" wrapText="1"/>
    </xf>
    <xf numFmtId="0" fontId="15" fillId="0" borderId="0" xfId="0" applyFont="1"/>
    <xf numFmtId="0" fontId="14" fillId="0" borderId="1" xfId="0" applyFont="1" applyBorder="1" applyAlignment="1">
      <alignment horizontal="center" vertical="center" wrapText="1"/>
    </xf>
    <xf numFmtId="0" fontId="14" fillId="0" borderId="0" xfId="0" applyFont="1" applyAlignment="1">
      <alignment horizontal="center" vertical="center" wrapText="1"/>
    </xf>
    <xf numFmtId="0" fontId="15" fillId="0" borderId="1" xfId="0" applyFont="1" applyBorder="1" applyAlignment="1">
      <alignment horizontal="center" vertical="top" wrapText="1"/>
    </xf>
    <xf numFmtId="43" fontId="15" fillId="0" borderId="1" xfId="1" applyFont="1" applyBorder="1" applyAlignment="1">
      <alignment horizontal="center" vertical="top" wrapText="1"/>
    </xf>
    <xf numFmtId="0" fontId="14" fillId="0" borderId="1" xfId="0" applyFont="1" applyBorder="1" applyAlignment="1">
      <alignment horizontal="center" vertical="top" wrapText="1"/>
    </xf>
    <xf numFmtId="43" fontId="14" fillId="0" borderId="1" xfId="0" applyNumberFormat="1" applyFont="1" applyBorder="1" applyAlignment="1">
      <alignment horizontal="center" vertical="top" wrapText="1"/>
    </xf>
    <xf numFmtId="0" fontId="14" fillId="0" borderId="0" xfId="0" applyFont="1"/>
    <xf numFmtId="14" fontId="12" fillId="0" borderId="1" xfId="0" applyNumberFormat="1" applyFont="1" applyBorder="1"/>
    <xf numFmtId="43" fontId="12" fillId="0" borderId="1" xfId="1" applyFont="1" applyBorder="1"/>
    <xf numFmtId="14" fontId="12" fillId="0" borderId="0" xfId="0" applyNumberFormat="1" applyFont="1"/>
    <xf numFmtId="43" fontId="12" fillId="0" borderId="0" xfId="1" applyFont="1" applyBorder="1"/>
    <xf numFmtId="0" fontId="13" fillId="0" borderId="0" xfId="0" applyFont="1"/>
    <xf numFmtId="0" fontId="13" fillId="0" borderId="0" xfId="0" applyFont="1" applyAlignment="1">
      <alignment horizontal="right"/>
    </xf>
    <xf numFmtId="0" fontId="13" fillId="0" borderId="1" xfId="0" applyFont="1" applyBorder="1" applyAlignment="1">
      <alignment horizontal="center" vertical="center" wrapText="1"/>
    </xf>
    <xf numFmtId="0" fontId="13" fillId="0" borderId="0" xfId="0" applyFont="1" applyAlignment="1">
      <alignment horizontal="center"/>
    </xf>
    <xf numFmtId="0" fontId="19" fillId="0" borderId="0" xfId="0" applyFont="1" applyAlignment="1">
      <alignment horizontal="center" wrapText="1"/>
    </xf>
    <xf numFmtId="0" fontId="12" fillId="0" borderId="0" xfId="0" applyFont="1" applyAlignment="1">
      <alignment horizontal="center" wrapText="1"/>
    </xf>
    <xf numFmtId="0" fontId="18" fillId="0" borderId="0" xfId="0" applyFont="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3" fillId="0" borderId="1" xfId="0" applyFont="1" applyBorder="1"/>
    <xf numFmtId="14" fontId="13" fillId="0" borderId="1" xfId="0" applyNumberFormat="1" applyFont="1" applyBorder="1"/>
    <xf numFmtId="43" fontId="13" fillId="0" borderId="1" xfId="1" applyFont="1" applyBorder="1"/>
    <xf numFmtId="0" fontId="6" fillId="4" borderId="1" xfId="0" applyFont="1" applyFill="1" applyBorder="1" applyAlignment="1">
      <alignment vertical="center" wrapText="1"/>
    </xf>
    <xf numFmtId="43" fontId="24" fillId="0" borderId="1" xfId="1" applyFont="1" applyBorder="1"/>
    <xf numFmtId="43" fontId="6" fillId="4" borderId="1" xfId="1" applyFont="1" applyFill="1" applyBorder="1" applyAlignment="1">
      <alignment vertical="center" wrapText="1"/>
    </xf>
    <xf numFmtId="0" fontId="12" fillId="0" borderId="0" xfId="0" applyFont="1" applyAlignment="1">
      <alignment horizontal="left" vertical="top" wrapText="1"/>
    </xf>
    <xf numFmtId="0" fontId="12" fillId="0" borderId="8" xfId="0" applyFont="1" applyBorder="1" applyAlignment="1">
      <alignment wrapText="1"/>
    </xf>
    <xf numFmtId="0" fontId="12" fillId="0" borderId="9" xfId="0" applyFont="1" applyBorder="1" applyAlignment="1">
      <alignment wrapText="1"/>
    </xf>
    <xf numFmtId="49" fontId="8" fillId="0" borderId="0" xfId="0" applyNumberFormat="1" applyFont="1" applyAlignment="1">
      <alignment horizontal="right"/>
    </xf>
    <xf numFmtId="49" fontId="6" fillId="4" borderId="1" xfId="0" applyNumberFormat="1" applyFont="1" applyFill="1" applyBorder="1" applyAlignment="1">
      <alignment vertical="center" wrapText="1"/>
    </xf>
    <xf numFmtId="165" fontId="23" fillId="2" borderId="1" xfId="0" applyNumberFormat="1" applyFont="1" applyFill="1" applyBorder="1" applyAlignment="1">
      <alignment vertical="center" wrapText="1"/>
    </xf>
    <xf numFmtId="165" fontId="6" fillId="2" borderId="1" xfId="0" applyNumberFormat="1" applyFont="1" applyFill="1" applyBorder="1" applyAlignment="1">
      <alignment vertical="center" wrapText="1"/>
    </xf>
    <xf numFmtId="0" fontId="6" fillId="2" borderId="1" xfId="0" applyFont="1" applyFill="1" applyBorder="1" applyAlignment="1">
      <alignment vertical="center" wrapText="1"/>
    </xf>
    <xf numFmtId="0" fontId="0" fillId="0" borderId="0" xfId="0" applyAlignment="1">
      <alignment wrapText="1"/>
    </xf>
    <xf numFmtId="0" fontId="9" fillId="0" borderId="0" xfId="0" applyFont="1" applyAlignment="1">
      <alignment horizontal="center" vertical="center" wrapText="1"/>
    </xf>
    <xf numFmtId="0" fontId="9" fillId="0" borderId="0" xfId="0" applyFont="1" applyAlignment="1">
      <alignment horizontal="center"/>
    </xf>
    <xf numFmtId="43" fontId="6" fillId="4" borderId="3" xfId="1" applyFont="1" applyFill="1" applyBorder="1" applyAlignment="1">
      <alignment vertical="center" wrapText="1"/>
    </xf>
    <xf numFmtId="0" fontId="7" fillId="2" borderId="1" xfId="0" applyFont="1" applyFill="1" applyBorder="1" applyAlignment="1">
      <alignment horizontal="right" vertical="center" wrapText="1"/>
    </xf>
    <xf numFmtId="0" fontId="9" fillId="0" borderId="0" xfId="0" applyFont="1" applyAlignment="1">
      <alignment horizontal="center" wrapText="1"/>
    </xf>
    <xf numFmtId="0" fontId="8" fillId="0" borderId="0" xfId="0" applyFont="1" applyAlignment="1">
      <alignment vertical="top"/>
    </xf>
    <xf numFmtId="0" fontId="6" fillId="6" borderId="1" xfId="0" applyFont="1" applyFill="1" applyBorder="1" applyAlignment="1">
      <alignment vertical="center" wrapText="1"/>
    </xf>
    <xf numFmtId="165" fontId="6" fillId="2" borderId="1" xfId="0" applyNumberFormat="1" applyFont="1" applyFill="1" applyBorder="1" applyAlignment="1">
      <alignment horizontal="left" vertical="center" wrapText="1"/>
    </xf>
    <xf numFmtId="14" fontId="6" fillId="6" borderId="1" xfId="0" applyNumberFormat="1" applyFont="1" applyFill="1" applyBorder="1" applyAlignment="1">
      <alignment vertical="center" wrapText="1"/>
    </xf>
    <xf numFmtId="165" fontId="6" fillId="6" borderId="1" xfId="0" applyNumberFormat="1" applyFont="1" applyFill="1" applyBorder="1" applyAlignment="1">
      <alignment vertical="center" wrapText="1"/>
    </xf>
    <xf numFmtId="0" fontId="6" fillId="7" borderId="1" xfId="0" applyFont="1" applyFill="1" applyBorder="1" applyAlignment="1">
      <alignment vertical="center" wrapText="1"/>
    </xf>
    <xf numFmtId="9" fontId="6" fillId="7" borderId="1" xfId="0" applyNumberFormat="1" applyFont="1" applyFill="1" applyBorder="1" applyAlignment="1">
      <alignment vertical="center" wrapText="1"/>
    </xf>
    <xf numFmtId="49" fontId="6" fillId="7" borderId="1" xfId="1" applyNumberFormat="1" applyFont="1" applyFill="1" applyBorder="1" applyAlignment="1">
      <alignment vertical="center" wrapText="1"/>
    </xf>
    <xf numFmtId="40" fontId="6" fillId="7" borderId="1" xfId="1" applyNumberFormat="1" applyFont="1" applyFill="1" applyBorder="1" applyAlignment="1">
      <alignment vertical="center" wrapText="1"/>
    </xf>
    <xf numFmtId="49" fontId="6" fillId="4" borderId="1" xfId="0" applyNumberFormat="1" applyFont="1" applyFill="1" applyBorder="1" applyAlignment="1">
      <alignment horizontal="left" vertical="center" wrapText="1"/>
    </xf>
    <xf numFmtId="0" fontId="30" fillId="0" borderId="0" xfId="0" applyFont="1"/>
    <xf numFmtId="0" fontId="24" fillId="0" borderId="0" xfId="0" applyFont="1"/>
    <xf numFmtId="0" fontId="30" fillId="0" borderId="0" xfId="0" applyFont="1" applyAlignment="1">
      <alignment horizontal="right"/>
    </xf>
    <xf numFmtId="164" fontId="24" fillId="0" borderId="0" xfId="0" applyNumberFormat="1" applyFont="1"/>
    <xf numFmtId="166" fontId="24" fillId="0" borderId="0" xfId="0" applyNumberFormat="1" applyFont="1"/>
    <xf numFmtId="0" fontId="24" fillId="0" borderId="1" xfId="0" applyFont="1" applyBorder="1" applyAlignment="1">
      <alignment horizontal="center" vertical="center" wrapText="1"/>
    </xf>
    <xf numFmtId="0" fontId="24" fillId="0" borderId="0" xfId="0" applyFont="1" applyAlignment="1">
      <alignment horizontal="center" vertical="center" wrapText="1"/>
    </xf>
    <xf numFmtId="0" fontId="24" fillId="0" borderId="1" xfId="0" applyFont="1" applyBorder="1"/>
    <xf numFmtId="14" fontId="24" fillId="0" borderId="1" xfId="0" applyNumberFormat="1" applyFont="1" applyBorder="1"/>
    <xf numFmtId="167" fontId="24" fillId="0" borderId="0" xfId="0" applyNumberFormat="1" applyFont="1"/>
    <xf numFmtId="0" fontId="30" fillId="0" borderId="1" xfId="0" applyFont="1" applyBorder="1"/>
    <xf numFmtId="14" fontId="30" fillId="0" borderId="1" xfId="0" applyNumberFormat="1" applyFont="1" applyBorder="1"/>
    <xf numFmtId="43" fontId="30" fillId="0" borderId="1" xfId="1" applyFont="1" applyBorder="1"/>
    <xf numFmtId="14" fontId="24" fillId="0" borderId="0" xfId="0" applyNumberFormat="1" applyFont="1"/>
    <xf numFmtId="43" fontId="24" fillId="0" borderId="0" xfId="1" applyFont="1" applyBorder="1"/>
    <xf numFmtId="14" fontId="23" fillId="5" borderId="0" xfId="0" applyNumberFormat="1" applyFont="1" applyFill="1"/>
    <xf numFmtId="0" fontId="23" fillId="5" borderId="0" xfId="0" applyFont="1" applyFill="1"/>
    <xf numFmtId="0" fontId="23" fillId="0" borderId="0" xfId="0" applyFont="1"/>
    <xf numFmtId="168" fontId="33" fillId="5" borderId="0" xfId="0" applyNumberFormat="1" applyFont="1" applyFill="1"/>
    <xf numFmtId="0" fontId="23" fillId="4" borderId="0" xfId="0" applyFont="1" applyFill="1"/>
    <xf numFmtId="1" fontId="23" fillId="5" borderId="0" xfId="0" applyNumberFormat="1" applyFont="1" applyFill="1"/>
    <xf numFmtId="49" fontId="24" fillId="0" borderId="0" xfId="0" applyNumberFormat="1" applyFont="1" applyAlignment="1">
      <alignment horizontal="right"/>
    </xf>
    <xf numFmtId="0" fontId="34" fillId="0" borderId="0" xfId="0" applyFont="1" applyAlignment="1">
      <alignment vertical="center"/>
    </xf>
    <xf numFmtId="0" fontId="35" fillId="0" borderId="0" xfId="0" applyFont="1" applyAlignment="1">
      <alignment horizontal="right" vertical="center"/>
    </xf>
    <xf numFmtId="0" fontId="35" fillId="0" borderId="0" xfId="0" applyFont="1" applyAlignment="1">
      <alignment horizontal="right" vertical="center" wrapText="1"/>
    </xf>
    <xf numFmtId="43" fontId="12" fillId="0" borderId="1" xfId="1" applyFont="1" applyBorder="1" applyAlignment="1">
      <alignment horizontal="center" vertical="top" wrapText="1"/>
    </xf>
    <xf numFmtId="0" fontId="36" fillId="7" borderId="1" xfId="0" applyFont="1" applyFill="1" applyBorder="1"/>
    <xf numFmtId="0" fontId="36"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3" fillId="4" borderId="1" xfId="0" applyFont="1" applyFill="1" applyBorder="1"/>
    <xf numFmtId="0" fontId="36"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5" fillId="0" borderId="0" xfId="0" applyFont="1" applyAlignment="1">
      <alignment horizontal="right"/>
    </xf>
    <xf numFmtId="0" fontId="25" fillId="0" borderId="0" xfId="0" applyFont="1" applyAlignment="1">
      <alignment horizontal="justify"/>
    </xf>
    <xf numFmtId="0" fontId="25" fillId="0" borderId="0" xfId="0" applyFont="1" applyAlignment="1">
      <alignment horizontal="justify" vertical="center"/>
    </xf>
    <xf numFmtId="0" fontId="25" fillId="0" borderId="1" xfId="0" applyFont="1" applyBorder="1" applyAlignment="1">
      <alignment horizontal="justify"/>
    </xf>
    <xf numFmtId="0" fontId="25" fillId="0" borderId="0" xfId="0" applyFont="1" applyAlignment="1">
      <alignment horizontal="justify" vertical="center" wrapText="1"/>
    </xf>
    <xf numFmtId="0" fontId="25" fillId="0" borderId="0" xfId="0" applyFont="1" applyAlignment="1">
      <alignment horizontal="left"/>
    </xf>
    <xf numFmtId="0" fontId="25" fillId="0" borderId="11" xfId="0" applyFont="1" applyBorder="1" applyAlignment="1">
      <alignment horizontal="center"/>
    </xf>
    <xf numFmtId="0" fontId="25" fillId="0" borderId="0" xfId="0" applyFont="1" applyAlignment="1">
      <alignment horizontal="center"/>
    </xf>
    <xf numFmtId="0" fontId="6" fillId="3" borderId="1" xfId="0" applyFont="1" applyFill="1" applyBorder="1" applyAlignment="1">
      <alignment horizontal="center" vertical="center" wrapText="1"/>
    </xf>
    <xf numFmtId="0" fontId="12" fillId="0" borderId="0" xfId="0" applyFont="1" applyAlignment="1">
      <alignment vertical="top"/>
    </xf>
    <xf numFmtId="0" fontId="13" fillId="0" borderId="0" xfId="0" applyFont="1" applyAlignment="1">
      <alignment horizontal="left" vertical="center" wrapText="1"/>
    </xf>
    <xf numFmtId="0" fontId="12" fillId="0" borderId="0" xfId="0" applyFont="1" applyAlignment="1">
      <alignment horizontal="right"/>
    </xf>
    <xf numFmtId="0" fontId="7" fillId="6" borderId="1" xfId="0" applyFont="1" applyFill="1" applyBorder="1" applyAlignment="1">
      <alignment horizontal="left" vertical="center" wrapText="1"/>
    </xf>
    <xf numFmtId="0" fontId="7" fillId="6" borderId="1" xfId="0" applyFont="1" applyFill="1" applyBorder="1" applyAlignment="1">
      <alignment vertical="center" wrapText="1"/>
    </xf>
    <xf numFmtId="0" fontId="15" fillId="0" borderId="0" xfId="0" applyFont="1" applyAlignment="1">
      <alignment wrapText="1"/>
    </xf>
    <xf numFmtId="165" fontId="15" fillId="0" borderId="0" xfId="0" applyNumberFormat="1" applyFont="1"/>
    <xf numFmtId="0" fontId="14" fillId="0" borderId="0" xfId="0" applyFont="1" applyAlignment="1">
      <alignment vertical="center" wrapText="1"/>
    </xf>
    <xf numFmtId="0" fontId="14" fillId="0" borderId="0" xfId="0" applyFont="1" applyAlignment="1">
      <alignment horizontal="left"/>
    </xf>
    <xf numFmtId="0" fontId="9" fillId="0" borderId="0" xfId="0" applyFont="1" applyAlignment="1">
      <alignment horizontal="left"/>
    </xf>
    <xf numFmtId="0" fontId="6" fillId="4" borderId="3" xfId="0" applyFont="1" applyFill="1" applyBorder="1" applyAlignment="1">
      <alignment vertical="center" wrapText="1"/>
    </xf>
    <xf numFmtId="164" fontId="6" fillId="4" borderId="1" xfId="0" applyNumberFormat="1" applyFont="1" applyFill="1" applyBorder="1" applyAlignment="1">
      <alignment vertical="center" wrapText="1"/>
    </xf>
    <xf numFmtId="0" fontId="15" fillId="0" borderId="0" xfId="0" applyFont="1" applyAlignment="1">
      <alignment horizontal="center" vertical="top" wrapText="1"/>
    </xf>
    <xf numFmtId="0" fontId="38" fillId="2" borderId="1" xfId="0" applyFont="1" applyFill="1" applyBorder="1" applyAlignment="1">
      <alignment vertical="center" wrapText="1"/>
    </xf>
    <xf numFmtId="0" fontId="6" fillId="9" borderId="1" xfId="0" applyFont="1" applyFill="1" applyBorder="1" applyAlignment="1">
      <alignment vertical="center" wrapText="1"/>
    </xf>
    <xf numFmtId="0" fontId="8" fillId="0" borderId="0" xfId="0" applyFont="1" applyAlignment="1">
      <alignment wrapText="1"/>
    </xf>
    <xf numFmtId="0" fontId="40" fillId="0" borderId="0" xfId="0" applyFont="1"/>
    <xf numFmtId="0" fontId="41" fillId="0" borderId="0" xfId="0" applyFont="1"/>
    <xf numFmtId="0" fontId="9" fillId="0" borderId="0" xfId="0" applyFont="1" applyAlignment="1">
      <alignment horizontal="left" vertical="center" wrapText="1"/>
    </xf>
    <xf numFmtId="0" fontId="8" fillId="0" borderId="0" xfId="0" applyFont="1" applyAlignment="1">
      <alignment horizontal="left" vertical="top" wrapText="1"/>
    </xf>
    <xf numFmtId="0" fontId="28" fillId="0" borderId="0" xfId="0" applyFont="1" applyAlignment="1">
      <alignment horizontal="left"/>
    </xf>
    <xf numFmtId="0" fontId="9" fillId="0" borderId="0" xfId="0" applyFont="1" applyAlignment="1">
      <alignment horizontal="left" vertical="top" wrapText="1"/>
    </xf>
    <xf numFmtId="49" fontId="8" fillId="0" borderId="0" xfId="0" applyNumberFormat="1" applyFont="1" applyAlignment="1">
      <alignment horizontal="left" vertical="top" wrapText="1"/>
    </xf>
    <xf numFmtId="0" fontId="6" fillId="5" borderId="1" xfId="0" applyFont="1" applyFill="1" applyBorder="1" applyAlignment="1">
      <alignment vertical="center" wrapText="1"/>
    </xf>
    <xf numFmtId="0" fontId="12" fillId="0" borderId="0" xfId="0" applyFont="1" applyAlignment="1">
      <alignment horizontal="left"/>
    </xf>
    <xf numFmtId="0" fontId="9" fillId="0" borderId="0" xfId="0" applyFont="1" applyAlignment="1">
      <alignment horizontal="right" wrapText="1"/>
    </xf>
    <xf numFmtId="14" fontId="6" fillId="3" borderId="1" xfId="0" applyNumberFormat="1" applyFont="1" applyFill="1" applyBorder="1" applyAlignment="1">
      <alignment horizontal="center" vertical="center" wrapText="1"/>
    </xf>
    <xf numFmtId="0" fontId="8" fillId="0" borderId="0" xfId="0" applyFont="1" applyAlignment="1">
      <alignment horizontal="center"/>
    </xf>
    <xf numFmtId="0" fontId="26" fillId="4" borderId="1" xfId="0" applyFont="1" applyFill="1" applyBorder="1" applyAlignment="1">
      <alignment vertical="center" wrapText="1"/>
    </xf>
    <xf numFmtId="0" fontId="9" fillId="0" borderId="0" xfId="0" applyFont="1" applyAlignment="1">
      <alignment wrapText="1"/>
    </xf>
    <xf numFmtId="0" fontId="12" fillId="11" borderId="0" xfId="0" applyFont="1" applyFill="1"/>
    <xf numFmtId="0" fontId="6" fillId="10" borderId="0" xfId="0" applyFont="1" applyFill="1"/>
    <xf numFmtId="164" fontId="6" fillId="10" borderId="3" xfId="0" applyNumberFormat="1" applyFont="1" applyFill="1" applyBorder="1" applyAlignment="1">
      <alignment horizontal="left" vertical="top" wrapText="1"/>
    </xf>
    <xf numFmtId="14" fontId="6" fillId="10" borderId="0" xfId="0" applyNumberFormat="1" applyFont="1" applyFill="1"/>
    <xf numFmtId="168" fontId="7" fillId="10" borderId="0" xfId="0" applyNumberFormat="1" applyFont="1" applyFill="1"/>
    <xf numFmtId="0" fontId="6" fillId="10" borderId="19" xfId="0" applyFont="1" applyFill="1" applyBorder="1"/>
    <xf numFmtId="0" fontId="6" fillId="10" borderId="20" xfId="0" applyFont="1" applyFill="1" applyBorder="1"/>
    <xf numFmtId="0" fontId="22" fillId="0" borderId="0" xfId="0" applyFont="1" applyAlignment="1">
      <alignment horizontal="left" vertical="top" wrapText="1"/>
    </xf>
    <xf numFmtId="0" fontId="7" fillId="10" borderId="0" xfId="0" applyFont="1" applyFill="1" applyAlignment="1">
      <alignment vertical="center" wrapText="1"/>
    </xf>
    <xf numFmtId="49" fontId="6" fillId="10" borderId="0" xfId="0" applyNumberFormat="1" applyFont="1" applyFill="1"/>
    <xf numFmtId="0" fontId="6" fillId="10" borderId="0" xfId="0" applyFont="1" applyFill="1" applyAlignment="1">
      <alignment vertical="center" wrapText="1"/>
    </xf>
    <xf numFmtId="49" fontId="44" fillId="4" borderId="1" xfId="0" applyNumberFormat="1" applyFont="1" applyFill="1" applyBorder="1" applyAlignment="1">
      <alignment vertical="center" wrapText="1"/>
    </xf>
    <xf numFmtId="0" fontId="26" fillId="10" borderId="0" xfId="0" applyFont="1" applyFill="1"/>
    <xf numFmtId="43" fontId="6" fillId="10" borderId="0" xfId="0" applyNumberFormat="1" applyFont="1" applyFill="1"/>
    <xf numFmtId="10" fontId="26" fillId="10" borderId="0" xfId="559" applyNumberFormat="1" applyFont="1" applyFill="1" applyAlignment="1">
      <alignment horizontal="center" vertical="center"/>
    </xf>
    <xf numFmtId="0" fontId="26" fillId="10" borderId="0" xfId="0" applyFont="1" applyFill="1" applyAlignment="1">
      <alignment horizontal="center" vertical="center"/>
    </xf>
    <xf numFmtId="11" fontId="6" fillId="4" borderId="1" xfId="0" applyNumberFormat="1" applyFont="1" applyFill="1" applyBorder="1" applyAlignment="1">
      <alignment vertical="center" wrapText="1"/>
    </xf>
    <xf numFmtId="0" fontId="6" fillId="10" borderId="1" xfId="0" applyFont="1" applyFill="1" applyBorder="1"/>
    <xf numFmtId="0" fontId="6" fillId="10" borderId="1" xfId="0" applyFont="1" applyFill="1" applyBorder="1" applyAlignment="1">
      <alignment wrapText="1"/>
    </xf>
    <xf numFmtId="0" fontId="6" fillId="10" borderId="1" xfId="0" applyFont="1" applyFill="1" applyBorder="1" applyAlignment="1">
      <alignment horizontal="center" vertical="center"/>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xf>
    <xf numFmtId="0" fontId="6" fillId="10" borderId="1" xfId="0" applyFont="1" applyFill="1" applyBorder="1" applyAlignment="1">
      <alignment horizontal="left" vertical="center" wrapText="1"/>
    </xf>
    <xf numFmtId="0" fontId="6" fillId="10" borderId="1" xfId="0" applyFont="1" applyFill="1" applyBorder="1" applyAlignment="1">
      <alignment vertical="center" wrapText="1"/>
    </xf>
    <xf numFmtId="0" fontId="7" fillId="10" borderId="0" xfId="0" applyFont="1" applyFill="1" applyAlignment="1">
      <alignment vertical="center"/>
    </xf>
    <xf numFmtId="0" fontId="6" fillId="10" borderId="13" xfId="0" applyFont="1" applyFill="1" applyBorder="1" applyAlignment="1">
      <alignment vertical="center"/>
    </xf>
    <xf numFmtId="0" fontId="6" fillId="10" borderId="15" xfId="0" applyFont="1" applyFill="1" applyBorder="1" applyAlignment="1">
      <alignment vertical="center"/>
    </xf>
    <xf numFmtId="14" fontId="6" fillId="10" borderId="1" xfId="0" applyNumberFormat="1" applyFont="1" applyFill="1" applyBorder="1"/>
    <xf numFmtId="0" fontId="7" fillId="10" borderId="0" xfId="0" applyFont="1" applyFill="1"/>
    <xf numFmtId="49" fontId="6" fillId="10" borderId="1" xfId="0" applyNumberFormat="1" applyFont="1" applyFill="1" applyBorder="1"/>
    <xf numFmtId="0" fontId="7" fillId="10" borderId="0" xfId="0" applyFont="1" applyFill="1" applyAlignment="1">
      <alignment wrapText="1"/>
    </xf>
    <xf numFmtId="164" fontId="6" fillId="10" borderId="1" xfId="0" applyNumberFormat="1" applyFont="1" applyFill="1" applyBorder="1" applyAlignment="1">
      <alignment vertical="center" wrapText="1"/>
    </xf>
    <xf numFmtId="164" fontId="6" fillId="10" borderId="0" xfId="0" applyNumberFormat="1" applyFont="1" applyFill="1" applyAlignment="1">
      <alignment vertical="center" wrapText="1"/>
    </xf>
    <xf numFmtId="169" fontId="6" fillId="4" borderId="1" xfId="0" applyNumberFormat="1" applyFont="1" applyFill="1" applyBorder="1" applyAlignment="1">
      <alignment horizontal="left" vertical="top" wrapText="1"/>
    </xf>
    <xf numFmtId="49" fontId="26" fillId="4" borderId="1" xfId="0" applyNumberFormat="1" applyFont="1" applyFill="1" applyBorder="1" applyAlignment="1">
      <alignment vertical="center"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13" fillId="0" borderId="0" xfId="0" applyFont="1" applyAlignment="1">
      <alignment horizontal="center" vertical="center" wrapText="1"/>
    </xf>
    <xf numFmtId="0" fontId="12" fillId="0" borderId="0" xfId="0" applyFont="1" applyAlignment="1">
      <alignment horizontal="left" vertical="center" wrapText="1"/>
    </xf>
    <xf numFmtId="0" fontId="13" fillId="0" borderId="0" xfId="0" applyFont="1" applyAlignment="1">
      <alignment wrapText="1"/>
    </xf>
    <xf numFmtId="0" fontId="7" fillId="2" borderId="1" xfId="0" applyFont="1" applyFill="1" applyBorder="1" applyAlignment="1">
      <alignment vertical="center"/>
    </xf>
    <xf numFmtId="0" fontId="12" fillId="0" borderId="0" xfId="0" applyFont="1" applyAlignment="1">
      <alignment vertical="center"/>
    </xf>
    <xf numFmtId="0" fontId="13" fillId="0" borderId="0" xfId="0" applyFont="1" applyAlignment="1">
      <alignment vertical="top"/>
    </xf>
    <xf numFmtId="0" fontId="7" fillId="2" borderId="1" xfId="0" applyFont="1" applyFill="1" applyBorder="1" applyAlignment="1">
      <alignment horizontal="left"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49" fillId="0" borderId="0" xfId="0" applyFont="1" applyAlignment="1" applyProtection="1">
      <alignment horizontal="center" vertical="center"/>
      <protection hidden="1"/>
    </xf>
    <xf numFmtId="0" fontId="50" fillId="0" borderId="0" xfId="0" applyFont="1" applyAlignment="1" applyProtection="1">
      <alignment horizontal="center" vertical="top"/>
      <protection hidden="1"/>
    </xf>
    <xf numFmtId="0" fontId="50" fillId="0" borderId="0" xfId="0" applyFont="1" applyAlignment="1" applyProtection="1">
      <alignment horizontal="center" vertical="center"/>
      <protection hidden="1"/>
    </xf>
    <xf numFmtId="0" fontId="13" fillId="0" borderId="0" xfId="0" applyFont="1" applyAlignment="1">
      <alignment vertical="center"/>
    </xf>
    <xf numFmtId="0" fontId="39" fillId="0" borderId="0" xfId="0" applyFont="1" applyAlignment="1">
      <alignment horizontal="center" wrapText="1"/>
    </xf>
    <xf numFmtId="0" fontId="27" fillId="0" borderId="0" xfId="0" applyFont="1" applyAlignment="1">
      <alignment horizontal="center" wrapText="1"/>
    </xf>
    <xf numFmtId="0" fontId="13" fillId="0" borderId="0" xfId="0" applyFont="1" applyAlignment="1">
      <alignment horizontal="left" vertical="top" wrapText="1"/>
    </xf>
    <xf numFmtId="0" fontId="13" fillId="0" borderId="0" xfId="0" applyFont="1" applyAlignment="1">
      <alignment vertical="top" wrapText="1"/>
    </xf>
    <xf numFmtId="0" fontId="6" fillId="12" borderId="0" xfId="0" applyFont="1" applyFill="1"/>
    <xf numFmtId="0" fontId="6" fillId="12" borderId="1" xfId="0" applyFont="1" applyFill="1" applyBorder="1"/>
    <xf numFmtId="0" fontId="13" fillId="0" borderId="0" xfId="0" applyFont="1" applyAlignment="1">
      <alignment horizontal="center" vertical="center"/>
    </xf>
    <xf numFmtId="0" fontId="8" fillId="0" borderId="0" xfId="0" applyFont="1" applyAlignment="1">
      <alignment horizontal="center" vertical="top" wrapText="1"/>
    </xf>
    <xf numFmtId="0" fontId="7" fillId="2" borderId="1" xfId="0" applyFont="1" applyFill="1" applyBorder="1" applyAlignment="1">
      <alignment horizontal="center" vertical="center" wrapText="1"/>
    </xf>
    <xf numFmtId="0" fontId="10" fillId="0" borderId="0" xfId="0" applyFont="1" applyAlignment="1" applyProtection="1">
      <alignment horizontal="center" vertical="center"/>
      <protection hidden="1"/>
    </xf>
    <xf numFmtId="169" fontId="6" fillId="4" borderId="1" xfId="0" applyNumberFormat="1" applyFont="1" applyFill="1" applyBorder="1" applyAlignment="1">
      <alignment vertical="center" wrapText="1"/>
    </xf>
    <xf numFmtId="43" fontId="26" fillId="4" borderId="1" xfId="1" applyFont="1" applyFill="1" applyBorder="1" applyAlignment="1">
      <alignment vertical="center" wrapText="1"/>
    </xf>
    <xf numFmtId="0" fontId="6" fillId="10" borderId="16" xfId="0" applyFont="1" applyFill="1" applyBorder="1"/>
    <xf numFmtId="0" fontId="7" fillId="4" borderId="1" xfId="0" applyFont="1" applyFill="1" applyBorder="1" applyAlignment="1">
      <alignment horizontal="center" vertical="center" wrapText="1"/>
    </xf>
    <xf numFmtId="0" fontId="38" fillId="10" borderId="24" xfId="0" applyFont="1" applyFill="1" applyBorder="1" applyAlignment="1">
      <alignment horizontal="left" vertical="center" wrapText="1"/>
    </xf>
    <xf numFmtId="0" fontId="38" fillId="10" borderId="2" xfId="0" applyFont="1" applyFill="1" applyBorder="1" applyAlignment="1">
      <alignment horizontal="left" vertical="center" wrapText="1"/>
    </xf>
    <xf numFmtId="0" fontId="7" fillId="10" borderId="1" xfId="0" applyFont="1" applyFill="1" applyBorder="1" applyAlignment="1">
      <alignment horizontal="center" vertical="center" wrapText="1"/>
    </xf>
    <xf numFmtId="0" fontId="38" fillId="2" borderId="1" xfId="0" applyFont="1" applyFill="1" applyBorder="1" applyAlignment="1">
      <alignment horizontal="left" vertical="center" wrapText="1"/>
    </xf>
    <xf numFmtId="0" fontId="13" fillId="0" borderId="0" xfId="0" applyFont="1" applyAlignment="1">
      <alignment horizontal="right" vertical="center" wrapText="1"/>
    </xf>
    <xf numFmtId="0" fontId="13" fillId="0" borderId="0" xfId="0" applyFont="1" applyAlignment="1">
      <alignment horizontal="left" vertical="top"/>
    </xf>
    <xf numFmtId="0" fontId="12" fillId="6" borderId="1" xfId="0" applyFont="1" applyFill="1" applyBorder="1"/>
    <xf numFmtId="0" fontId="22" fillId="0" borderId="0" xfId="0" applyFont="1" applyAlignment="1">
      <alignment wrapText="1"/>
    </xf>
    <xf numFmtId="0" fontId="12" fillId="0" borderId="0" xfId="0" applyFont="1" applyAlignment="1">
      <alignment horizontal="left" vertical="center"/>
    </xf>
    <xf numFmtId="0" fontId="13" fillId="4" borderId="1" xfId="0" applyFont="1" applyFill="1" applyBorder="1"/>
    <xf numFmtId="0" fontId="24" fillId="0" borderId="0" xfId="0" applyFont="1" applyAlignment="1">
      <alignment wrapText="1"/>
    </xf>
    <xf numFmtId="0" fontId="13" fillId="0" borderId="0" xfId="0" applyFont="1" applyAlignment="1">
      <alignment horizontal="left"/>
    </xf>
    <xf numFmtId="0" fontId="30" fillId="0" borderId="0" xfId="0" applyFont="1" applyAlignment="1">
      <alignment horizontal="left" wrapText="1"/>
    </xf>
    <xf numFmtId="0" fontId="13" fillId="0" borderId="0" xfId="0" applyFont="1" applyAlignment="1">
      <alignment horizontal="left" wrapText="1"/>
    </xf>
    <xf numFmtId="0" fontId="39" fillId="0" borderId="0" xfId="0" applyFont="1" applyAlignment="1">
      <alignment horizontal="justify" vertical="top" wrapText="1"/>
    </xf>
    <xf numFmtId="0" fontId="9" fillId="0" borderId="0" xfId="0" applyFont="1" applyAlignment="1">
      <alignment vertical="center" wrapText="1"/>
    </xf>
    <xf numFmtId="0" fontId="7" fillId="4" borderId="1" xfId="0" applyFont="1" applyFill="1" applyBorder="1" applyAlignment="1">
      <alignment horizontal="left" vertical="center" wrapText="1"/>
    </xf>
    <xf numFmtId="49" fontId="7" fillId="4" borderId="1" xfId="0" applyNumberFormat="1" applyFont="1" applyFill="1" applyBorder="1" applyAlignment="1">
      <alignment vertical="center" wrapText="1"/>
    </xf>
    <xf numFmtId="49" fontId="7" fillId="4" borderId="1" xfId="0" applyNumberFormat="1" applyFont="1" applyFill="1" applyBorder="1" applyAlignment="1">
      <alignment horizontal="left" vertical="center" wrapText="1"/>
    </xf>
    <xf numFmtId="0" fontId="51" fillId="4" borderId="1" xfId="0" applyFont="1" applyFill="1" applyBorder="1" applyAlignment="1">
      <alignment horizontal="center" vertical="center" wrapText="1"/>
    </xf>
    <xf numFmtId="49" fontId="51" fillId="4" borderId="1" xfId="0" applyNumberFormat="1" applyFont="1" applyFill="1" applyBorder="1" applyAlignment="1">
      <alignment horizontal="center" vertical="center" wrapText="1"/>
    </xf>
    <xf numFmtId="0" fontId="51" fillId="2" borderId="1" xfId="0" applyFont="1" applyFill="1" applyBorder="1" applyAlignment="1">
      <alignment horizontal="center" vertical="center" wrapText="1"/>
    </xf>
    <xf numFmtId="169" fontId="51" fillId="2" borderId="1" xfId="0" applyNumberFormat="1" applyFont="1" applyFill="1" applyBorder="1" applyAlignment="1">
      <alignment horizontal="center" vertical="center" wrapText="1"/>
    </xf>
    <xf numFmtId="0" fontId="8" fillId="0" borderId="0" xfId="0" applyFont="1" applyAlignment="1">
      <alignment horizontal="left" vertical="top" wrapText="1"/>
    </xf>
    <xf numFmtId="0" fontId="8" fillId="0" borderId="0" xfId="0" applyFont="1" applyAlignment="1">
      <alignment horizontal="center" vertical="center"/>
    </xf>
    <xf numFmtId="0" fontId="8" fillId="0" borderId="0" xfId="0" applyFont="1" applyAlignment="1">
      <alignment horizontal="left"/>
    </xf>
    <xf numFmtId="0" fontId="8" fillId="0" borderId="0" xfId="0" applyFont="1" applyAlignment="1">
      <alignment vertical="top" wrapText="1"/>
    </xf>
    <xf numFmtId="0" fontId="52" fillId="0" borderId="14" xfId="0" applyFont="1" applyBorder="1" applyAlignment="1">
      <alignment horizontal="center"/>
    </xf>
    <xf numFmtId="0" fontId="52" fillId="0" borderId="25" xfId="0" applyFont="1" applyBorder="1" applyAlignment="1">
      <alignment horizontal="center"/>
    </xf>
    <xf numFmtId="0" fontId="8" fillId="0" borderId="25" xfId="0" applyFont="1" applyBorder="1"/>
    <xf numFmtId="0" fontId="9" fillId="0" borderId="14" xfId="0" applyFont="1" applyBorder="1" applyAlignment="1">
      <alignment horizontal="center" wrapText="1"/>
    </xf>
    <xf numFmtId="0" fontId="9" fillId="0" borderId="25" xfId="0" applyFont="1" applyBorder="1" applyAlignment="1">
      <alignment horizontal="center" vertical="center"/>
    </xf>
    <xf numFmtId="0" fontId="8" fillId="0" borderId="14" xfId="0" applyFont="1" applyBorder="1" applyAlignment="1">
      <alignment horizontal="left" vertical="center" wrapText="1"/>
    </xf>
    <xf numFmtId="0" fontId="8" fillId="0" borderId="25" xfId="0" applyFont="1" applyBorder="1" applyAlignment="1">
      <alignment horizontal="left" vertical="center" wrapText="1"/>
    </xf>
    <xf numFmtId="0" fontId="8" fillId="0" borderId="14" xfId="0" applyFont="1" applyBorder="1" applyAlignment="1">
      <alignment horizontal="left" wrapText="1"/>
    </xf>
    <xf numFmtId="0" fontId="8" fillId="0" borderId="25" xfId="0" applyFont="1" applyBorder="1" applyAlignment="1">
      <alignment horizontal="left"/>
    </xf>
    <xf numFmtId="0" fontId="8" fillId="0" borderId="25" xfId="0" applyFont="1" applyBorder="1" applyAlignment="1">
      <alignment horizontal="left" vertical="center"/>
    </xf>
    <xf numFmtId="0" fontId="8" fillId="5" borderId="14" xfId="0" applyFont="1" applyFill="1" applyBorder="1" applyAlignment="1">
      <alignment horizontal="left" wrapText="1"/>
    </xf>
    <xf numFmtId="0" fontId="8" fillId="0" borderId="14" xfId="0" applyFont="1" applyBorder="1" applyAlignment="1">
      <alignment horizontal="left"/>
    </xf>
    <xf numFmtId="0" fontId="9" fillId="0" borderId="25" xfId="0" applyFont="1" applyBorder="1" applyAlignment="1">
      <alignment horizontal="center"/>
    </xf>
    <xf numFmtId="0" fontId="9" fillId="0" borderId="14" xfId="0" applyFont="1" applyBorder="1" applyAlignment="1">
      <alignment horizontal="right"/>
    </xf>
    <xf numFmtId="0" fontId="8" fillId="0" borderId="25" xfId="0" applyFont="1" applyBorder="1" applyAlignment="1">
      <alignment horizontal="center"/>
    </xf>
    <xf numFmtId="0" fontId="8" fillId="0" borderId="15" xfId="0" applyFont="1" applyBorder="1"/>
    <xf numFmtId="0" fontId="8" fillId="0" borderId="23" xfId="0" applyFont="1" applyBorder="1"/>
    <xf numFmtId="0" fontId="13" fillId="0" borderId="0" xfId="0" applyFont="1" applyAlignment="1">
      <alignment horizontal="center"/>
    </xf>
    <xf numFmtId="0" fontId="12" fillId="0" borderId="1" xfId="0" applyFont="1" applyBorder="1" applyAlignment="1">
      <alignment horizontal="center" vertical="center" wrapText="1"/>
    </xf>
    <xf numFmtId="0" fontId="12" fillId="0" borderId="0" xfId="0" applyFont="1" applyAlignment="1"/>
    <xf numFmtId="0" fontId="53" fillId="0" borderId="0" xfId="0" applyFont="1" applyAlignment="1">
      <alignment vertical="center"/>
    </xf>
    <xf numFmtId="0" fontId="53" fillId="0" borderId="0" xfId="0" applyFont="1" applyAlignment="1"/>
    <xf numFmtId="0" fontId="12" fillId="0" borderId="0" xfId="0" applyNumberFormat="1" applyFont="1" applyBorder="1" applyAlignment="1">
      <alignment horizontal="center" wrapText="1"/>
    </xf>
    <xf numFmtId="0" fontId="12" fillId="0" borderId="0" xfId="0" applyNumberFormat="1" applyFont="1"/>
    <xf numFmtId="0" fontId="12" fillId="0" borderId="0" xfId="0" applyNumberFormat="1" applyFont="1" applyBorder="1" applyAlignment="1">
      <alignment horizontal="left"/>
    </xf>
    <xf numFmtId="14" fontId="7" fillId="4" borderId="1" xfId="0" applyNumberFormat="1" applyFont="1" applyFill="1" applyBorder="1" applyAlignment="1">
      <alignment horizontal="center" vertical="center" wrapText="1"/>
    </xf>
    <xf numFmtId="0" fontId="12" fillId="0" borderId="0" xfId="0" applyFont="1" applyFill="1"/>
    <xf numFmtId="14" fontId="12" fillId="0" borderId="0" xfId="0" applyNumberFormat="1" applyFont="1" applyFill="1"/>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0" borderId="14" xfId="0" applyFont="1" applyBorder="1" applyAlignment="1">
      <alignment horizontal="right" wrapText="1"/>
    </xf>
    <xf numFmtId="0" fontId="9" fillId="0" borderId="0" xfId="0" applyFont="1" applyAlignment="1">
      <alignment horizontal="center" wrapText="1"/>
    </xf>
    <xf numFmtId="0" fontId="8" fillId="0" borderId="0" xfId="0" applyFont="1" applyAlignment="1">
      <alignment horizontal="left" vertical="top" wrapText="1"/>
    </xf>
    <xf numFmtId="0" fontId="9" fillId="0" borderId="0" xfId="0" applyFont="1" applyAlignment="1">
      <alignment horizontal="center"/>
    </xf>
    <xf numFmtId="0" fontId="9" fillId="0" borderId="0" xfId="0" applyFont="1" applyAlignment="1">
      <alignment horizontal="center" vertical="center" wrapText="1"/>
    </xf>
    <xf numFmtId="0" fontId="9" fillId="0" borderId="0" xfId="0" applyFont="1" applyAlignment="1">
      <alignment horizontal="center" vertical="top" wrapText="1"/>
    </xf>
    <xf numFmtId="49" fontId="8" fillId="0" borderId="0" xfId="0" applyNumberFormat="1" applyFont="1" applyAlignment="1">
      <alignment horizontal="left" vertical="top" wrapText="1"/>
    </xf>
    <xf numFmtId="0" fontId="8" fillId="0" borderId="0" xfId="0" applyFont="1" applyAlignment="1">
      <alignment horizontal="left"/>
    </xf>
    <xf numFmtId="0" fontId="8" fillId="0" borderId="0" xfId="0" applyFont="1" applyAlignment="1">
      <alignment vertical="top" wrapText="1"/>
    </xf>
    <xf numFmtId="0" fontId="25" fillId="0" borderId="0" xfId="0" applyFont="1" applyAlignment="1">
      <alignment horizontal="left" vertical="top" wrapText="1"/>
    </xf>
    <xf numFmtId="0" fontId="25" fillId="5" borderId="0" xfId="0" applyFont="1" applyFill="1" applyAlignment="1">
      <alignment horizontal="left" vertical="top" wrapText="1"/>
    </xf>
    <xf numFmtId="0" fontId="8" fillId="0" borderId="0" xfId="0" applyFont="1" applyAlignment="1">
      <alignment horizontal="left" wrapText="1"/>
    </xf>
    <xf numFmtId="0" fontId="9" fillId="0" borderId="0" xfId="0" applyFont="1" applyAlignment="1">
      <alignment horizontal="center" vertical="center"/>
    </xf>
    <xf numFmtId="0" fontId="12" fillId="0" borderId="0" xfId="0" applyFont="1" applyAlignment="1">
      <alignment horizontal="left" vertical="top" wrapText="1"/>
    </xf>
    <xf numFmtId="0" fontId="12" fillId="0" borderId="0" xfId="0" applyFont="1" applyAlignment="1">
      <alignment horizontal="justify" vertical="top" wrapText="1"/>
    </xf>
    <xf numFmtId="0" fontId="13" fillId="0" borderId="0" xfId="0" applyFont="1" applyAlignment="1">
      <alignment horizontal="center" vertical="top" wrapText="1"/>
    </xf>
    <xf numFmtId="0" fontId="13" fillId="0" borderId="0" xfId="0" applyFont="1" applyAlignment="1">
      <alignment horizontal="left" wrapText="1"/>
    </xf>
    <xf numFmtId="0" fontId="12" fillId="0" borderId="0" xfId="0" applyFont="1" applyAlignment="1">
      <alignment horizontal="left" vertical="center" wrapText="1"/>
    </xf>
    <xf numFmtId="0" fontId="13" fillId="0" borderId="0" xfId="0" applyFont="1" applyAlignment="1">
      <alignment horizontal="center" vertical="center" wrapText="1"/>
    </xf>
    <xf numFmtId="0" fontId="30" fillId="0" borderId="0" xfId="0" applyFont="1" applyAlignment="1">
      <alignment horizontal="center" vertical="center" wrapText="1"/>
    </xf>
    <xf numFmtId="0" fontId="39" fillId="0" borderId="0" xfId="0" applyFont="1" applyAlignment="1">
      <alignment horizontal="justify" vertical="top" wrapText="1"/>
    </xf>
    <xf numFmtId="0" fontId="30" fillId="0" borderId="0" xfId="0" applyFont="1" applyAlignment="1">
      <alignment horizontal="right"/>
    </xf>
    <xf numFmtId="0" fontId="30" fillId="0" borderId="0" xfId="0" applyFont="1" applyAlignment="1">
      <alignment horizontal="center"/>
    </xf>
    <xf numFmtId="0" fontId="24" fillId="0" borderId="1" xfId="0" applyFont="1" applyBorder="1" applyAlignment="1">
      <alignment horizontal="center" vertical="center"/>
    </xf>
    <xf numFmtId="0" fontId="24" fillId="0" borderId="1" xfId="0" applyFont="1" applyBorder="1" applyAlignment="1">
      <alignment horizontal="center" vertical="center" wrapText="1"/>
    </xf>
    <xf numFmtId="0" fontId="24" fillId="0" borderId="1" xfId="0" applyFont="1" applyBorder="1" applyAlignment="1">
      <alignment horizontal="center"/>
    </xf>
    <xf numFmtId="0" fontId="24" fillId="0" borderId="0" xfId="0" applyFont="1" applyAlignment="1">
      <alignment horizontal="center" vertical="top" wrapText="1"/>
    </xf>
    <xf numFmtId="0" fontId="24" fillId="0" borderId="0" xfId="0" applyFont="1" applyAlignment="1">
      <alignment horizontal="justify" vertical="top" wrapText="1"/>
    </xf>
    <xf numFmtId="0" fontId="31" fillId="0" borderId="0" xfId="0" applyFont="1" applyAlignment="1">
      <alignment horizontal="center" vertical="center" wrapText="1"/>
    </xf>
    <xf numFmtId="0" fontId="30" fillId="0" borderId="0" xfId="0" applyFont="1" applyAlignment="1">
      <alignment horizontal="center" wrapText="1"/>
    </xf>
    <xf numFmtId="0" fontId="30" fillId="0" borderId="0" xfId="0" applyFont="1" applyAlignment="1">
      <alignment horizontal="center" vertical="top" wrapText="1"/>
    </xf>
    <xf numFmtId="0" fontId="24" fillId="0" borderId="0" xfId="0" applyFont="1" applyAlignment="1">
      <alignment horizontal="center"/>
    </xf>
    <xf numFmtId="0" fontId="24" fillId="0" borderId="0" xfId="0" applyFont="1" applyAlignment="1">
      <alignment horizontal="left" wrapText="1"/>
    </xf>
    <xf numFmtId="0" fontId="32" fillId="0" borderId="0" xfId="0" applyFont="1" applyAlignment="1">
      <alignment horizontal="center" vertical="top" wrapText="1"/>
    </xf>
    <xf numFmtId="0" fontId="24" fillId="0" borderId="0" xfId="0" applyFont="1" applyAlignment="1">
      <alignment horizontal="center" wrapText="1"/>
    </xf>
    <xf numFmtId="0" fontId="13" fillId="0" borderId="0" xfId="0" applyFont="1" applyAlignment="1">
      <alignment horizontal="right"/>
    </xf>
    <xf numFmtId="0" fontId="13" fillId="0" borderId="0" xfId="0" applyFont="1" applyAlignment="1">
      <alignment horizont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xf>
    <xf numFmtId="0" fontId="12" fillId="0" borderId="0" xfId="0" applyFont="1" applyAlignment="1">
      <alignment horizontal="center" vertical="top" wrapText="1"/>
    </xf>
    <xf numFmtId="0" fontId="17" fillId="0" borderId="0" xfId="0" applyFont="1" applyAlignment="1">
      <alignment horizontal="center" vertical="center" wrapText="1"/>
    </xf>
    <xf numFmtId="0" fontId="13" fillId="0" borderId="0" xfId="0" applyFont="1" applyAlignment="1">
      <alignment horizontal="center" wrapText="1"/>
    </xf>
    <xf numFmtId="0" fontId="12" fillId="0" borderId="0" xfId="0" applyFont="1" applyAlignment="1">
      <alignment horizontal="center"/>
    </xf>
    <xf numFmtId="0" fontId="12" fillId="0" borderId="0" xfId="0" applyFont="1" applyAlignment="1">
      <alignment horizontal="left" wrapText="1"/>
    </xf>
    <xf numFmtId="0" fontId="16" fillId="0" borderId="0" xfId="0" applyFont="1" applyAlignment="1">
      <alignment horizontal="center" vertical="top" wrapText="1"/>
    </xf>
    <xf numFmtId="0" fontId="12" fillId="0" borderId="0" xfId="0" applyFont="1" applyAlignment="1">
      <alignment horizontal="center" wrapText="1"/>
    </xf>
    <xf numFmtId="0" fontId="13" fillId="0" borderId="0" xfId="0" applyFont="1" applyAlignment="1">
      <alignment horizontal="left" vertical="top"/>
    </xf>
    <xf numFmtId="0" fontId="13" fillId="0" borderId="0" xfId="0" applyFont="1" applyAlignment="1">
      <alignment horizontal="right" vertical="center" wrapText="1"/>
    </xf>
    <xf numFmtId="0" fontId="9" fillId="0" borderId="0" xfId="0" applyFont="1" applyAlignment="1">
      <alignment horizontal="right" vertical="center" wrapText="1"/>
    </xf>
    <xf numFmtId="0" fontId="42" fillId="0" borderId="0" xfId="0" applyFont="1" applyAlignment="1">
      <alignment horizontal="center" wrapText="1"/>
    </xf>
    <xf numFmtId="0" fontId="13" fillId="0" borderId="0" xfId="0" applyFont="1" applyAlignment="1">
      <alignment horizontal="left" vertical="top"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22" fillId="0" borderId="0" xfId="0" applyFont="1" applyAlignment="1">
      <alignment horizontal="right" vertical="top" wrapText="1"/>
    </xf>
    <xf numFmtId="0" fontId="1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8" fillId="0" borderId="0" xfId="0" applyFont="1" applyAlignment="1">
      <alignment horizontal="justify" wrapText="1"/>
    </xf>
    <xf numFmtId="0" fontId="9" fillId="0" borderId="0" xfId="0" applyFont="1" applyAlignment="1">
      <alignment horizontal="left" vertical="center" wrapText="1"/>
    </xf>
    <xf numFmtId="0" fontId="9" fillId="0" borderId="0" xfId="0" applyFont="1" applyAlignment="1">
      <alignment horizontal="left" vertical="top" wrapText="1"/>
    </xf>
    <xf numFmtId="0" fontId="9" fillId="0" borderId="0" xfId="0" applyFont="1" applyAlignment="1">
      <alignment horizontal="right" vertical="center"/>
    </xf>
    <xf numFmtId="0" fontId="8" fillId="0" borderId="0" xfId="0" applyFont="1" applyAlignment="1">
      <alignment horizontal="left" vertic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20" fillId="0" borderId="8" xfId="0" applyFont="1" applyBorder="1" applyAlignment="1">
      <alignment horizontal="center" wrapText="1"/>
    </xf>
    <xf numFmtId="0" fontId="20" fillId="0" borderId="0" xfId="0" applyFont="1" applyAlignment="1">
      <alignment horizontal="center" wrapText="1"/>
    </xf>
    <xf numFmtId="0" fontId="20" fillId="0" borderId="9" xfId="0" applyFont="1" applyBorder="1" applyAlignment="1">
      <alignment horizontal="center" wrapText="1"/>
    </xf>
    <xf numFmtId="0" fontId="21" fillId="0" borderId="5" xfId="0" applyFont="1" applyBorder="1" applyAlignment="1">
      <alignment horizontal="center" wrapText="1"/>
    </xf>
    <xf numFmtId="0" fontId="21" fillId="0" borderId="6" xfId="0" applyFont="1" applyBorder="1" applyAlignment="1">
      <alignment horizontal="center" wrapText="1"/>
    </xf>
    <xf numFmtId="0" fontId="21" fillId="0" borderId="7" xfId="0" applyFont="1" applyBorder="1" applyAlignment="1">
      <alignment horizontal="center" wrapText="1"/>
    </xf>
    <xf numFmtId="0" fontId="29" fillId="0" borderId="8" xfId="0" applyFont="1" applyBorder="1" applyAlignment="1">
      <alignment horizontal="center" wrapText="1"/>
    </xf>
    <xf numFmtId="0" fontId="29" fillId="0" borderId="0" xfId="0" applyFont="1" applyAlignment="1">
      <alignment horizontal="center" wrapText="1"/>
    </xf>
    <xf numFmtId="0" fontId="29" fillId="0" borderId="9" xfId="0" applyFont="1" applyBorder="1" applyAlignment="1">
      <alignment horizontal="center" wrapText="1"/>
    </xf>
    <xf numFmtId="0" fontId="13" fillId="0" borderId="10" xfId="0" applyFont="1" applyBorder="1" applyAlignment="1">
      <alignment horizontal="center" wrapText="1"/>
    </xf>
    <xf numFmtId="0" fontId="13" fillId="0" borderId="11" xfId="0" applyFont="1" applyBorder="1" applyAlignment="1">
      <alignment horizontal="center" wrapText="1"/>
    </xf>
    <xf numFmtId="0" fontId="13" fillId="0" borderId="12" xfId="0" applyFont="1" applyBorder="1" applyAlignment="1">
      <alignment horizontal="center" wrapText="1"/>
    </xf>
    <xf numFmtId="0" fontId="13" fillId="0" borderId="8" xfId="0" applyFont="1" applyBorder="1" applyAlignment="1">
      <alignment horizontal="left" wrapText="1"/>
    </xf>
    <xf numFmtId="0" fontId="13" fillId="0" borderId="9" xfId="0" applyFont="1" applyBorder="1" applyAlignment="1">
      <alignment horizontal="left" wrapText="1"/>
    </xf>
    <xf numFmtId="0" fontId="15" fillId="0" borderId="0" xfId="0" applyFont="1" applyAlignment="1">
      <alignment horizontal="justify" vertical="top" wrapText="1"/>
    </xf>
    <xf numFmtId="0" fontId="15" fillId="0" borderId="0" xfId="0" applyFont="1" applyAlignment="1">
      <alignment horizontal="center" vertical="top" wrapText="1"/>
    </xf>
    <xf numFmtId="0" fontId="15" fillId="0" borderId="4" xfId="0" applyFont="1" applyBorder="1" applyAlignment="1">
      <alignment horizontal="center" vertical="top" wrapText="1"/>
    </xf>
    <xf numFmtId="49" fontId="15" fillId="0" borderId="0" xfId="0" applyNumberFormat="1" applyFont="1" applyAlignment="1">
      <alignment horizontal="center" vertical="center" wrapText="1"/>
    </xf>
    <xf numFmtId="0" fontId="14" fillId="0" borderId="0" xfId="0" applyFont="1" applyAlignment="1">
      <alignment horizontal="center" vertical="top" wrapText="1"/>
    </xf>
    <xf numFmtId="0" fontId="15" fillId="0" borderId="0" xfId="0" applyFont="1" applyAlignment="1">
      <alignment horizontal="left" vertical="top" wrapText="1"/>
    </xf>
    <xf numFmtId="0" fontId="12" fillId="0" borderId="0" xfId="0" applyFont="1" applyAlignment="1">
      <alignment horizontal="center" vertical="center"/>
    </xf>
    <xf numFmtId="49" fontId="12" fillId="0" borderId="0" xfId="0" applyNumberFormat="1" applyFont="1" applyAlignment="1">
      <alignment horizontal="justify" vertical="top" wrapText="1"/>
    </xf>
    <xf numFmtId="0" fontId="8" fillId="0" borderId="0" xfId="0" applyFont="1" applyAlignment="1">
      <alignment horizontal="center" vertical="center" wrapText="1"/>
    </xf>
    <xf numFmtId="0" fontId="8" fillId="0" borderId="0" xfId="0" applyFont="1" applyAlignment="1">
      <alignment horizontal="justify" vertical="top" wrapText="1"/>
    </xf>
    <xf numFmtId="0" fontId="9" fillId="0" borderId="0" xfId="0" applyFont="1" applyAlignment="1">
      <alignment horizontal="right" vertical="top" wrapText="1"/>
    </xf>
    <xf numFmtId="0" fontId="34" fillId="0" borderId="0" xfId="0" applyFont="1" applyAlignment="1">
      <alignment horizontal="justify" vertical="top" wrapText="1"/>
    </xf>
    <xf numFmtId="0" fontId="34" fillId="0" borderId="0" xfId="0" applyFont="1" applyAlignment="1">
      <alignment horizontal="justify" vertical="center" wrapText="1"/>
    </xf>
    <xf numFmtId="0" fontId="12" fillId="0" borderId="0" xfId="0" applyFont="1" applyAlignment="1">
      <alignment horizontal="left"/>
    </xf>
    <xf numFmtId="0" fontId="35" fillId="0" borderId="0" xfId="0" applyFont="1" applyAlignment="1">
      <alignment vertical="center" wrapText="1"/>
    </xf>
    <xf numFmtId="0" fontId="12" fillId="0" borderId="0" xfId="0" applyFont="1" applyAlignment="1">
      <alignment vertical="top" wrapText="1"/>
    </xf>
    <xf numFmtId="0" fontId="35" fillId="0" borderId="0" xfId="0" applyFont="1" applyAlignment="1">
      <alignment horizontal="justify" vertical="center" wrapText="1"/>
    </xf>
    <xf numFmtId="0" fontId="15" fillId="0" borderId="0" xfId="0" applyFont="1" applyAlignment="1">
      <alignment horizontal="left"/>
    </xf>
    <xf numFmtId="0" fontId="15" fillId="0" borderId="0" xfId="0" applyFont="1" applyAlignment="1">
      <alignment horizontal="justify" vertical="top" wrapText="1" readingOrder="1"/>
    </xf>
    <xf numFmtId="0" fontId="14" fillId="0" borderId="0" xfId="0" applyFont="1" applyAlignment="1">
      <alignment horizontal="center" wrapText="1"/>
    </xf>
    <xf numFmtId="0" fontId="37" fillId="0" borderId="0" xfId="0" applyFont="1" applyAlignment="1">
      <alignment horizontal="left" vertical="center" wrapText="1" readingOrder="1"/>
    </xf>
    <xf numFmtId="0" fontId="15" fillId="0" borderId="0" xfId="0" applyFont="1" applyAlignment="1">
      <alignment horizontal="left" wrapText="1"/>
    </xf>
    <xf numFmtId="0" fontId="14" fillId="0" borderId="4" xfId="0" applyFont="1" applyBorder="1" applyAlignment="1">
      <alignment horizontal="left" vertical="top"/>
    </xf>
    <xf numFmtId="0" fontId="14" fillId="8" borderId="3"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12" fillId="0" borderId="0" xfId="0" applyFont="1" applyBorder="1" applyAlignment="1">
      <alignment horizontal="left" vertical="center"/>
    </xf>
    <xf numFmtId="0" fontId="12" fillId="0" borderId="0" xfId="0" applyFont="1" applyBorder="1" applyAlignment="1">
      <alignment horizontal="left" vertical="center" wrapText="1"/>
    </xf>
    <xf numFmtId="0" fontId="12" fillId="0" borderId="17" xfId="0" applyFont="1" applyBorder="1" applyAlignment="1">
      <alignment horizontal="left" vertical="center"/>
    </xf>
    <xf numFmtId="0" fontId="25" fillId="0" borderId="0" xfId="0" applyFont="1" applyAlignment="1">
      <alignment horizontal="center"/>
    </xf>
    <xf numFmtId="0" fontId="25" fillId="0" borderId="3" xfId="0" applyFont="1" applyBorder="1" applyAlignment="1">
      <alignment horizontal="justify" vertical="center" wrapText="1"/>
    </xf>
    <xf numFmtId="0" fontId="25" fillId="0" borderId="18" xfId="0" applyFont="1" applyBorder="1" applyAlignment="1">
      <alignment horizontal="justify" vertical="center" wrapText="1"/>
    </xf>
    <xf numFmtId="0" fontId="25" fillId="0" borderId="2" xfId="0" applyFont="1" applyBorder="1" applyAlignment="1">
      <alignment horizontal="justify" vertical="center" wrapText="1"/>
    </xf>
    <xf numFmtId="0" fontId="25" fillId="0" borderId="3" xfId="0" applyFont="1" applyBorder="1" applyAlignment="1">
      <alignment horizontal="justify" vertical="center"/>
    </xf>
    <xf numFmtId="0" fontId="25" fillId="0" borderId="2" xfId="0" applyFont="1" applyBorder="1" applyAlignment="1">
      <alignment horizontal="justify" vertical="center"/>
    </xf>
    <xf numFmtId="0" fontId="25" fillId="0" borderId="21" xfId="0" applyFont="1" applyBorder="1" applyAlignment="1">
      <alignment horizontal="justify" vertical="center"/>
    </xf>
    <xf numFmtId="0" fontId="25" fillId="0" borderId="17" xfId="0" applyFont="1" applyBorder="1" applyAlignment="1">
      <alignment horizontal="justify" vertical="center"/>
    </xf>
    <xf numFmtId="0" fontId="25" fillId="0" borderId="22" xfId="0" applyFont="1" applyBorder="1" applyAlignment="1">
      <alignment horizontal="justify" vertical="center"/>
    </xf>
    <xf numFmtId="0" fontId="25" fillId="0" borderId="20" xfId="0" applyFont="1" applyBorder="1" applyAlignment="1">
      <alignment horizontal="justify" vertical="center"/>
    </xf>
    <xf numFmtId="0" fontId="25" fillId="0" borderId="4" xfId="0" applyFont="1" applyBorder="1" applyAlignment="1">
      <alignment horizontal="justify" vertical="center"/>
    </xf>
    <xf numFmtId="0" fontId="25" fillId="0" borderId="23" xfId="0" applyFont="1" applyBorder="1" applyAlignment="1">
      <alignment horizontal="justify" vertical="center"/>
    </xf>
    <xf numFmtId="0" fontId="25" fillId="0" borderId="1" xfId="0" applyFont="1" applyBorder="1" applyAlignment="1">
      <alignment horizontal="justify" vertical="center" wrapText="1"/>
    </xf>
    <xf numFmtId="0" fontId="25" fillId="0" borderId="17" xfId="0" applyFont="1" applyBorder="1" applyAlignment="1">
      <alignment horizontal="justify" vertical="center" wrapText="1"/>
    </xf>
    <xf numFmtId="0" fontId="25" fillId="0" borderId="11" xfId="0" applyFont="1" applyBorder="1" applyAlignment="1">
      <alignment horizontal="justify"/>
    </xf>
    <xf numFmtId="0" fontId="25" fillId="0" borderId="0" xfId="0" applyFont="1" applyAlignment="1">
      <alignment horizontal="justify" vertical="center" wrapText="1"/>
    </xf>
    <xf numFmtId="0" fontId="12" fillId="0" borderId="0" xfId="0" applyFont="1" applyAlignment="1">
      <alignment horizontal="right" vertical="center"/>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26276</xdr:colOff>
      <xdr:row>0</xdr:row>
      <xdr:rowOff>0</xdr:rowOff>
    </xdr:from>
    <xdr:to>
      <xdr:col>0</xdr:col>
      <xdr:colOff>780586</xdr:colOff>
      <xdr:row>3</xdr:row>
      <xdr:rowOff>184042</xdr:rowOff>
    </xdr:to>
    <xdr:pic>
      <xdr:nvPicPr>
        <xdr:cNvPr id="2" name="Image 1">
          <a:extLst>
            <a:ext uri="{FF2B5EF4-FFF2-40B4-BE49-F238E27FC236}">
              <a16:creationId xmlns:a16="http://schemas.microsoft.com/office/drawing/2014/main" id="{7B7C8D8B-B89E-44FA-A4C4-E928BF9C57AA}"/>
            </a:ext>
          </a:extLst>
        </xdr:cNvPr>
        <xdr:cNvPicPr/>
      </xdr:nvPicPr>
      <xdr:blipFill>
        <a:blip xmlns:r="http://schemas.openxmlformats.org/officeDocument/2006/relationships" r:embed="rId1" cstate="print"/>
        <a:stretch>
          <a:fillRect/>
        </a:stretch>
      </xdr:blipFill>
      <xdr:spPr>
        <a:xfrm>
          <a:off x="26276" y="0"/>
          <a:ext cx="754310" cy="755542"/>
        </a:xfrm>
        <a:prstGeom prst="rect">
          <a:avLst/>
        </a:prstGeom>
      </xdr:spPr>
    </xdr:pic>
    <xdr:clientData/>
  </xdr:twoCellAnchor>
  <xdr:twoCellAnchor editAs="oneCell">
    <xdr:from>
      <xdr:col>3</xdr:col>
      <xdr:colOff>648686</xdr:colOff>
      <xdr:row>0</xdr:row>
      <xdr:rowOff>0</xdr:rowOff>
    </xdr:from>
    <xdr:to>
      <xdr:col>3</xdr:col>
      <xdr:colOff>1728012</xdr:colOff>
      <xdr:row>3</xdr:row>
      <xdr:rowOff>178975</xdr:rowOff>
    </xdr:to>
    <xdr:pic>
      <xdr:nvPicPr>
        <xdr:cNvPr id="3" name="Image 2">
          <a:extLst>
            <a:ext uri="{FF2B5EF4-FFF2-40B4-BE49-F238E27FC236}">
              <a16:creationId xmlns:a16="http://schemas.microsoft.com/office/drawing/2014/main" id="{6B72BFE4-1A69-44C8-B17C-3466E226BBC8}"/>
            </a:ext>
          </a:extLst>
        </xdr:cNvPr>
        <xdr:cNvPicPr/>
      </xdr:nvPicPr>
      <xdr:blipFill>
        <a:blip xmlns:r="http://schemas.openxmlformats.org/officeDocument/2006/relationships" r:embed="rId2" cstate="print"/>
        <a:stretch>
          <a:fillRect/>
        </a:stretch>
      </xdr:blipFill>
      <xdr:spPr>
        <a:xfrm>
          <a:off x="4619878" y="0"/>
          <a:ext cx="1079326" cy="750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
    <tabColor rgb="FF00B050"/>
  </sheetPr>
  <dimension ref="A1:BK177"/>
  <sheetViews>
    <sheetView view="pageBreakPreview" topLeftCell="A84" zoomScale="85" zoomScaleNormal="100" zoomScaleSheetLayoutView="85" workbookViewId="0">
      <selection activeCell="B110" sqref="B110"/>
    </sheetView>
  </sheetViews>
  <sheetFormatPr defaultColWidth="0" defaultRowHeight="15" zeroHeight="1"/>
  <cols>
    <col min="1" max="1" width="50" style="152" customWidth="1"/>
    <col min="2" max="2" width="61.85546875" style="154" customWidth="1"/>
    <col min="3" max="3" width="63.85546875" style="145" customWidth="1"/>
    <col min="4" max="4" width="29.7109375" style="145" customWidth="1"/>
    <col min="5" max="7" width="9.140625" style="145" hidden="1" customWidth="1"/>
    <col min="8" max="8" width="62.5703125" style="145" hidden="1" customWidth="1"/>
    <col min="9" max="13" width="9.140625" style="145" hidden="1" customWidth="1"/>
    <col min="14" max="14" width="70.7109375" style="145" hidden="1" customWidth="1"/>
    <col min="15" max="16" width="9.140625" style="145" hidden="1" customWidth="1"/>
    <col min="17" max="17" width="59.7109375" style="145" hidden="1" customWidth="1"/>
    <col min="18" max="18" width="49.85546875" style="145" hidden="1" customWidth="1"/>
    <col min="19" max="16384" width="9.140625" style="145" hidden="1"/>
  </cols>
  <sheetData>
    <row r="1" spans="1:4">
      <c r="A1" s="180" t="str">
        <f>CONCATENATE(B65," olish uchun ariza")</f>
        <v>mikroqarz olish uchun ariza</v>
      </c>
      <c r="B1" s="43" t="s">
        <v>445</v>
      </c>
      <c r="C1" s="198"/>
    </row>
    <row r="2" spans="1:4" ht="15" customHeight="1">
      <c r="A2" s="180" t="str">
        <f>CONCATENATE(B65," olish uchun ariza sanasi QO’L BILAN KIRITILADI")</f>
        <v>mikroqarz olish uchun ariza sanasi QO’L BILAN KIRITILADI</v>
      </c>
      <c r="B2" s="50" t="s">
        <v>423</v>
      </c>
      <c r="C2" s="198"/>
      <c r="D2" s="145">
        <f>180+B2</f>
        <v>45928</v>
      </c>
    </row>
    <row r="3" spans="1:4">
      <c r="A3" s="180"/>
      <c r="B3" s="179"/>
    </row>
    <row r="4" spans="1:4">
      <c r="A4" s="263" t="s">
        <v>52</v>
      </c>
      <c r="B4" s="263"/>
    </row>
    <row r="5" spans="1:4" ht="30">
      <c r="A5" s="180" t="s">
        <v>53</v>
      </c>
      <c r="B5" s="43" t="s">
        <v>412</v>
      </c>
      <c r="C5" s="198" t="s">
        <v>383</v>
      </c>
    </row>
    <row r="6" spans="1:4" ht="30">
      <c r="A6" s="180" t="s">
        <v>54</v>
      </c>
      <c r="B6" s="43" t="s">
        <v>133</v>
      </c>
      <c r="C6" s="145" t="s">
        <v>254</v>
      </c>
      <c r="D6" s="145" t="s">
        <v>133</v>
      </c>
    </row>
    <row r="7" spans="1:4" ht="30">
      <c r="A7" s="180" t="s">
        <v>55</v>
      </c>
      <c r="B7" s="43" t="s">
        <v>413</v>
      </c>
      <c r="C7" s="198"/>
    </row>
    <row r="8" spans="1:4" ht="30" hidden="1">
      <c r="A8" s="180" t="s">
        <v>56</v>
      </c>
      <c r="B8" s="61" t="str">
        <f>B5</f>
        <v>XAYATOV OTABEK KURBANOVICH</v>
      </c>
    </row>
    <row r="9" spans="1:4" hidden="1">
      <c r="A9" s="180" t="s">
        <v>57</v>
      </c>
      <c r="B9" s="61" t="str">
        <f>B7</f>
        <v>XAYATOV O.K.</v>
      </c>
    </row>
    <row r="10" spans="1:4" ht="30" hidden="1">
      <c r="A10" s="180" t="s">
        <v>58</v>
      </c>
      <c r="B10" s="61" t="str">
        <f>B8</f>
        <v>XAYATOV OTABEK KURBANOVICH</v>
      </c>
    </row>
    <row r="11" spans="1:4" hidden="1">
      <c r="A11" s="180" t="s">
        <v>59</v>
      </c>
      <c r="B11" s="61" t="str">
        <f>B9</f>
        <v>XAYATOV O.K.</v>
      </c>
    </row>
    <row r="12" spans="1:4" ht="30" hidden="1">
      <c r="A12" s="180" t="s">
        <v>60</v>
      </c>
      <c r="B12" s="61" t="str">
        <f>B10</f>
        <v>XAYATOV OTABEK KURBANOVICH</v>
      </c>
    </row>
    <row r="13" spans="1:4" hidden="1">
      <c r="A13" s="180" t="s">
        <v>61</v>
      </c>
      <c r="B13" s="61" t="str">
        <f>B11</f>
        <v>XAYATOV O.K.</v>
      </c>
    </row>
    <row r="14" spans="1:4" hidden="1">
      <c r="A14" s="180" t="s">
        <v>62</v>
      </c>
      <c r="B14" s="61" t="s">
        <v>65</v>
      </c>
    </row>
    <row r="15" spans="1:4">
      <c r="A15" s="180" t="s">
        <v>63</v>
      </c>
      <c r="B15" s="177" t="s">
        <v>414</v>
      </c>
      <c r="C15" s="198"/>
    </row>
    <row r="16" spans="1:4">
      <c r="A16" s="180" t="s">
        <v>64</v>
      </c>
      <c r="B16" s="43" t="s">
        <v>415</v>
      </c>
      <c r="C16" s="198"/>
    </row>
    <row r="17" spans="1:7">
      <c r="A17" s="180"/>
      <c r="B17" s="43" t="s">
        <v>416</v>
      </c>
      <c r="C17" s="198"/>
      <c r="D17" s="145" t="str">
        <f>TEXT(C17,"ДД.ММ.ГГГГ")</f>
        <v>00.01.1900</v>
      </c>
    </row>
    <row r="18" spans="1:7">
      <c r="A18" s="180"/>
      <c r="B18" s="204">
        <v>43014</v>
      </c>
      <c r="C18" s="199" t="str">
        <f>TEXT(B18,"ДД.ММ.ГГГГ")</f>
        <v>06.10.2017</v>
      </c>
    </row>
    <row r="19" spans="1:7">
      <c r="A19" s="180"/>
      <c r="B19" s="204">
        <v>46665</v>
      </c>
      <c r="C19" s="199" t="str">
        <f>TEXT(B19,"ДД.ММ.ГГГГ")</f>
        <v>05.10.2027</v>
      </c>
    </row>
    <row r="20" spans="1:7" ht="60">
      <c r="A20" s="180" t="s">
        <v>67</v>
      </c>
      <c r="B20" s="53" t="str">
        <f>""&amp;B17&amp;" tomonidan "&amp;C18&amp;" yilda berilgan"</f>
        <v>BUXORO VILOYATI KOGON TUMAN IIB tomonidan 06.10.2017 yilda berilgan</v>
      </c>
      <c r="C20" s="162" t="str">
        <f>""&amp;B17&amp;" tomonidan "&amp;C18&amp;" yilda berilgan"</f>
        <v>BUXORO VILOYATI KOGON TUMAN IIB tomonidan 06.10.2017 yilda berilgan</v>
      </c>
    </row>
    <row r="21" spans="1:7" ht="45">
      <c r="A21" s="180" t="s">
        <v>68</v>
      </c>
      <c r="B21" s="53" t="str">
        <f>""&amp;C19&amp;" y."</f>
        <v>05.10.2027 y.</v>
      </c>
      <c r="C21" s="161" t="str">
        <f>""&amp;C19&amp;" yilgacha"</f>
        <v>05.10.2027 yilgacha</v>
      </c>
    </row>
    <row r="22" spans="1:7" ht="57.75" customHeight="1">
      <c r="A22" s="180" t="s">
        <v>69</v>
      </c>
      <c r="B22" s="43" t="s">
        <v>417</v>
      </c>
      <c r="C22" s="199" t="str">
        <f>TEXT(B19,"ДД.ММ.ГГГГ")</f>
        <v>05.10.2027</v>
      </c>
    </row>
    <row r="23" spans="1:7" ht="30">
      <c r="A23" s="180" t="s">
        <v>70</v>
      </c>
      <c r="B23" s="43" t="s">
        <v>94</v>
      </c>
      <c r="C23" s="198" t="s">
        <v>94</v>
      </c>
      <c r="D23" s="145" t="s">
        <v>95</v>
      </c>
    </row>
    <row r="24" spans="1:7" ht="30" hidden="1">
      <c r="A24" s="180" t="s">
        <v>71</v>
      </c>
      <c r="B24" s="61" t="s">
        <v>92</v>
      </c>
      <c r="C24" s="198" t="s">
        <v>92</v>
      </c>
      <c r="D24" s="145" t="s">
        <v>93</v>
      </c>
      <c r="E24" s="145" t="s">
        <v>0</v>
      </c>
      <c r="F24" s="145" t="s">
        <v>1</v>
      </c>
      <c r="G24" s="145" t="s">
        <v>3</v>
      </c>
    </row>
    <row r="25" spans="1:7">
      <c r="A25" s="180" t="s">
        <v>72</v>
      </c>
      <c r="B25" s="43" t="s">
        <v>418</v>
      </c>
      <c r="C25" s="198"/>
    </row>
    <row r="26" spans="1:7" ht="44.25" customHeight="1">
      <c r="A26" s="180" t="s">
        <v>73</v>
      </c>
      <c r="B26" s="43" t="s">
        <v>419</v>
      </c>
      <c r="C26" s="198" t="s">
        <v>26</v>
      </c>
    </row>
    <row r="27" spans="1:7" ht="44.25" hidden="1" customHeight="1">
      <c r="A27" s="180"/>
      <c r="B27" s="43" t="str">
        <f>IF(B23="mos keladi",B22,B28)</f>
        <v>BUXORO VILOYATI KOGON TUMANI NIYOZ HOJI QISHLOG'I</v>
      </c>
      <c r="C27" s="198"/>
    </row>
    <row r="28" spans="1:7" ht="45">
      <c r="A28" s="180" t="s">
        <v>74</v>
      </c>
      <c r="B28" s="43" t="s">
        <v>417</v>
      </c>
      <c r="C28" s="198"/>
    </row>
    <row r="29" spans="1:7">
      <c r="A29" s="180" t="s">
        <v>75</v>
      </c>
      <c r="B29" s="43" t="s">
        <v>92</v>
      </c>
      <c r="C29" s="198" t="s">
        <v>92</v>
      </c>
      <c r="D29" s="145" t="s">
        <v>93</v>
      </c>
      <c r="E29" s="145" t="s">
        <v>325</v>
      </c>
      <c r="F29" s="145" t="s">
        <v>326</v>
      </c>
      <c r="G29" s="145" t="s">
        <v>3</v>
      </c>
    </row>
    <row r="30" spans="1:7">
      <c r="A30" s="180" t="s">
        <v>76</v>
      </c>
      <c r="B30" s="142" t="s">
        <v>147</v>
      </c>
      <c r="C30" s="198" t="s">
        <v>147</v>
      </c>
      <c r="D30" s="145" t="s">
        <v>329</v>
      </c>
    </row>
    <row r="31" spans="1:7">
      <c r="A31" s="180" t="s">
        <v>77</v>
      </c>
      <c r="B31" s="43" t="s">
        <v>390</v>
      </c>
      <c r="C31" s="198" t="s">
        <v>382</v>
      </c>
    </row>
    <row r="32" spans="1:7">
      <c r="A32" s="180" t="s">
        <v>62</v>
      </c>
      <c r="B32" s="43" t="s">
        <v>65</v>
      </c>
      <c r="C32" s="198"/>
    </row>
    <row r="33" spans="1:4">
      <c r="A33" s="180" t="s">
        <v>72</v>
      </c>
      <c r="B33" s="43" t="s">
        <v>418</v>
      </c>
      <c r="C33" s="198"/>
    </row>
    <row r="34" spans="1:4" hidden="1">
      <c r="A34" s="180"/>
      <c r="B34" s="43" t="str">
        <f>IF(B23="mos keladi",B26,B35)</f>
        <v>25-MAKTAB, 3-BOG'CHA, XOKIMIYAT</v>
      </c>
    </row>
    <row r="35" spans="1:4">
      <c r="A35" s="180" t="s">
        <v>73</v>
      </c>
      <c r="B35" s="43"/>
    </row>
    <row r="36" spans="1:4">
      <c r="A36" s="180" t="s">
        <v>78</v>
      </c>
      <c r="B36" s="43"/>
    </row>
    <row r="37" spans="1:4">
      <c r="A37" s="180" t="s">
        <v>79</v>
      </c>
      <c r="B37" s="43"/>
    </row>
    <row r="38" spans="1:4">
      <c r="A38" s="180" t="s">
        <v>80</v>
      </c>
      <c r="B38" s="43"/>
    </row>
    <row r="39" spans="1:4">
      <c r="A39" s="180" t="s">
        <v>81</v>
      </c>
      <c r="B39" s="43" t="str" cm="1">
        <f t="array" aca="1" ref="B39" ca="1">+A39:B102</f>
        <v>Mutaxassisligi</v>
      </c>
    </row>
    <row r="40" spans="1:4" ht="24.75" customHeight="1">
      <c r="A40" s="180" t="s">
        <v>82</v>
      </c>
      <c r="B40" s="43" t="s">
        <v>418</v>
      </c>
    </row>
    <row r="41" spans="1:4" ht="24.75" customHeight="1">
      <c r="A41" s="180" t="s">
        <v>83</v>
      </c>
      <c r="B41" s="43" t="s">
        <v>420</v>
      </c>
    </row>
    <row r="42" spans="1:4" ht="24.75" customHeight="1">
      <c r="A42" s="180" t="s">
        <v>82</v>
      </c>
      <c r="B42" s="43" t="s">
        <v>421</v>
      </c>
    </row>
    <row r="43" spans="1:4" ht="30">
      <c r="A43" s="180" t="s">
        <v>83</v>
      </c>
      <c r="B43" s="43"/>
    </row>
    <row r="44" spans="1:4">
      <c r="A44" s="127" t="s">
        <v>84</v>
      </c>
      <c r="B44" s="142" t="s">
        <v>341</v>
      </c>
      <c r="C44" s="145" t="s">
        <v>341</v>
      </c>
      <c r="D44" s="145" t="s">
        <v>347</v>
      </c>
    </row>
    <row r="45" spans="1:4" hidden="1">
      <c r="A45" s="180"/>
      <c r="B45" s="142" t="str">
        <f>IF(B44=D44,CONCATENATE("MA'LUMOTNOMA ",B47,B46),C44)</f>
        <v>Yakka tartibdagi tadbirkor</v>
      </c>
    </row>
    <row r="46" spans="1:4" ht="30">
      <c r="A46" s="127" t="s">
        <v>348</v>
      </c>
      <c r="B46" s="178"/>
    </row>
    <row r="47" spans="1:4">
      <c r="A47" s="127"/>
      <c r="B47" s="155"/>
      <c r="C47" s="145" t="s">
        <v>14</v>
      </c>
    </row>
    <row r="48" spans="1:4" ht="30">
      <c r="A48" s="127" t="s">
        <v>349</v>
      </c>
      <c r="B48" s="142"/>
    </row>
    <row r="49" spans="1:4" hidden="1">
      <c r="A49" s="180" t="s">
        <v>85</v>
      </c>
      <c r="B49" s="43" t="str">
        <f>IF(B44=C44,C44,B48)</f>
        <v>Yakka tartibdagi tadbirkor</v>
      </c>
    </row>
    <row r="50" spans="1:4" ht="45">
      <c r="A50" s="180" t="s">
        <v>86</v>
      </c>
      <c r="B50" s="43"/>
    </row>
    <row r="51" spans="1:4">
      <c r="A51" s="180" t="s">
        <v>73</v>
      </c>
      <c r="B51" s="43"/>
    </row>
    <row r="52" spans="1:4">
      <c r="A52" s="180" t="s">
        <v>87</v>
      </c>
      <c r="B52" s="43"/>
    </row>
    <row r="53" spans="1:4">
      <c r="A53" s="180" t="s">
        <v>88</v>
      </c>
      <c r="B53" s="43"/>
    </row>
    <row r="54" spans="1:4">
      <c r="A54" s="180" t="s">
        <v>89</v>
      </c>
      <c r="B54" s="43"/>
    </row>
    <row r="55" spans="1:4">
      <c r="A55" s="180" t="s">
        <v>90</v>
      </c>
      <c r="B55" s="50"/>
    </row>
    <row r="56" spans="1:4">
      <c r="A56" s="180" t="s">
        <v>91</v>
      </c>
      <c r="B56" s="1" t="s">
        <v>21</v>
      </c>
    </row>
    <row r="57" spans="1:4" ht="30" customHeight="1">
      <c r="A57" s="264" t="s">
        <v>96</v>
      </c>
      <c r="B57" s="265"/>
    </row>
    <row r="58" spans="1:4" ht="20.25" hidden="1" customHeight="1">
      <c r="A58" s="180" t="s">
        <v>97</v>
      </c>
      <c r="B58" s="43" t="str">
        <f>IF(B44=C44,C44,CONCATENATE(B44," ",B47))</f>
        <v>Yakka tartibdagi tadbirkor</v>
      </c>
    </row>
    <row r="59" spans="1:4" ht="31.5" hidden="1" customHeight="1">
      <c r="A59" s="180" t="s">
        <v>85</v>
      </c>
      <c r="B59" s="43" t="str">
        <f>B49</f>
        <v>Yakka tartibdagi tadbirkor</v>
      </c>
    </row>
    <row r="60" spans="1:4">
      <c r="A60" s="127" t="s">
        <v>98</v>
      </c>
      <c r="B60" s="205">
        <v>10000000</v>
      </c>
      <c r="C60" s="158">
        <f>C63/B75</f>
        <v>0.49741438730769233</v>
      </c>
    </row>
    <row r="61" spans="1:4">
      <c r="A61" s="180" t="s">
        <v>99</v>
      </c>
      <c r="B61" s="3">
        <v>0</v>
      </c>
      <c r="C61" s="159" t="s">
        <v>387</v>
      </c>
    </row>
    <row r="62" spans="1:4" hidden="1">
      <c r="A62" s="180" t="s">
        <v>100</v>
      </c>
      <c r="B62" s="43">
        <f>B53</f>
        <v>0</v>
      </c>
      <c r="C62" s="156"/>
    </row>
    <row r="63" spans="1:4">
      <c r="A63" s="180" t="s">
        <v>101</v>
      </c>
      <c r="B63" s="43"/>
      <c r="C63" s="157">
        <f>SUM(grafik!E9:E20)</f>
        <v>12932774.07</v>
      </c>
    </row>
    <row r="64" spans="1:4">
      <c r="A64" s="263" t="s">
        <v>102</v>
      </c>
      <c r="B64" s="263"/>
      <c r="C64" s="145" t="str">
        <f>PROPER(B65)</f>
        <v>Mikroqarz</v>
      </c>
      <c r="D64" s="145" t="str">
        <f>UPPER(B65)</f>
        <v>MIKROQARZ</v>
      </c>
    </row>
    <row r="65" spans="1:14" ht="15.75" thickBot="1">
      <c r="A65" s="180" t="s">
        <v>103</v>
      </c>
      <c r="B65" s="179" t="str">
        <f>IF(B75&gt;100000001,"mikrokredit",IF(B75&lt;100000001,"mikroqarz",0))</f>
        <v>mikroqarz</v>
      </c>
      <c r="C65" s="147">
        <f>DATE(YEAR(B67),MONTH(B67)+B81,DAY(B67))</f>
        <v>46722</v>
      </c>
    </row>
    <row r="66" spans="1:14" hidden="1">
      <c r="A66" s="180" t="s">
        <v>104</v>
      </c>
      <c r="B66" s="43" t="str">
        <f>B1</f>
        <v>№ 687-BR</v>
      </c>
      <c r="C66" s="145">
        <f>MONTH(C65)</f>
        <v>12</v>
      </c>
      <c r="D66" s="145" t="str">
        <f>IF(C66=C68,C70,IF(C66=D68,D70,IF(C66=E68,E70,IF(C66=F68,F70,IF(C66=G68,G70,IF(C66=H68,H70,IF(C66=I68,I70,IF(C66=J68,J70,IF(C66=K68,K70,IF(C66=L68,L70,IF(C66=M68,M70,IF(C66=N68,N70,))))))))))))</f>
        <v>dekabr</v>
      </c>
      <c r="E66" s="145">
        <f>DAY(C65)</f>
        <v>1</v>
      </c>
      <c r="F66" s="145">
        <f>YEAR(C65)</f>
        <v>2027</v>
      </c>
      <c r="G66" s="145">
        <f>MONTH(C65)</f>
        <v>12</v>
      </c>
      <c r="H66" s="145" t="str">
        <f>IF(C66=C68,C71,IF(C66=D68,D71,IF(C66=E68,E71,IF(C66=F68,F71,IF(C66=G68,G71,IF(C66=H68,H71,IF(C66=I68,I71,IF(C66=J68,J71,IF(C66=K68,K71,IF(C66=L68,L71,IF(C66=M68,M71,IF(C66=N68,N71,))))))))))))</f>
        <v>dekabr</v>
      </c>
      <c r="I66" s="145">
        <f>YEAR(C65)</f>
        <v>2027</v>
      </c>
    </row>
    <row r="67" spans="1:14" hidden="1">
      <c r="A67" s="180" t="s">
        <v>105</v>
      </c>
      <c r="B67" s="69" t="str">
        <f>B2</f>
        <v>01.04.2025</v>
      </c>
      <c r="C67" s="145">
        <f>MONTH(B67)</f>
        <v>4</v>
      </c>
      <c r="D67" s="145" t="str">
        <f>IF(C67=C68,C70,IF(C67=D68,D70,IF(C67=E68,E70,IF(C67=F68,F70,IF(C67=G68,G70,IF(C67=H68,H70,IF(C67=I68,I70,IF(C67=J68,J70,IF(C67=K68,K70,IF(C67=L68,L70,IF(C67=M68,M70,IF(C67=N68,N70,))))))))))))</f>
        <v>aprel</v>
      </c>
      <c r="E67" s="145">
        <f>DAY(B67)</f>
        <v>1</v>
      </c>
      <c r="F67" s="145">
        <f>YEAR(B67)</f>
        <v>2025</v>
      </c>
      <c r="G67" s="145">
        <f>MONTH(B67)</f>
        <v>4</v>
      </c>
      <c r="H67" s="145" t="str">
        <f>IF(C67=C68,C71,IF(C67=D68,D71,IF(C67=E68,E71,IF(C67=F68,F71,IF(C67=G68,G71,IF(C67=H68,H71,IF(C67=I68,I71,IF(C67=J68,J71,IF(C67=K68,K71,IF(C67=L68,L71,IF(C67=M68,M71,IF(C67=N68,N71,))))))))))))</f>
        <v>aprel</v>
      </c>
      <c r="I67" s="145">
        <f>YEAR(B67)</f>
        <v>2025</v>
      </c>
    </row>
    <row r="68" spans="1:14" hidden="1">
      <c r="A68" s="180" t="s">
        <v>106</v>
      </c>
      <c r="B68" s="62" t="str">
        <f>""&amp;E67&amp;" "&amp;D67&amp;" "&amp;F67&amp;" y."</f>
        <v>1 aprel 2025 y.</v>
      </c>
      <c r="C68" s="145">
        <v>1</v>
      </c>
      <c r="D68" s="145">
        <v>2</v>
      </c>
      <c r="E68" s="145">
        <v>3</v>
      </c>
      <c r="F68" s="145">
        <v>4</v>
      </c>
      <c r="G68" s="145">
        <v>5</v>
      </c>
      <c r="H68" s="145">
        <v>6</v>
      </c>
      <c r="I68" s="145">
        <v>7</v>
      </c>
      <c r="J68" s="145">
        <v>8</v>
      </c>
      <c r="K68" s="145">
        <v>9</v>
      </c>
      <c r="L68" s="145">
        <v>10</v>
      </c>
      <c r="M68" s="145">
        <v>11</v>
      </c>
      <c r="N68" s="145">
        <v>12</v>
      </c>
    </row>
    <row r="69" spans="1:14" hidden="1">
      <c r="A69" s="180"/>
      <c r="B69" s="62" t="str">
        <f>""&amp;E67&amp;" "&amp;H67&amp;" "&amp;F67&amp;" y."</f>
        <v>1 aprel 2025 y.</v>
      </c>
    </row>
    <row r="70" spans="1:14" hidden="1">
      <c r="A70" s="180"/>
      <c r="B70" s="52" t="str">
        <f>B68</f>
        <v>1 aprel 2025 y.</v>
      </c>
      <c r="C70" s="145" t="s">
        <v>118</v>
      </c>
      <c r="D70" s="145" t="s">
        <v>119</v>
      </c>
      <c r="E70" s="145" t="s">
        <v>108</v>
      </c>
      <c r="F70" s="145" t="s">
        <v>109</v>
      </c>
      <c r="G70" s="145" t="s">
        <v>110</v>
      </c>
      <c r="H70" s="145" t="s">
        <v>111</v>
      </c>
      <c r="I70" s="145" t="s">
        <v>112</v>
      </c>
      <c r="J70" s="145" t="s">
        <v>113</v>
      </c>
      <c r="K70" s="145" t="s">
        <v>114</v>
      </c>
      <c r="L70" s="145" t="s">
        <v>115</v>
      </c>
      <c r="M70" s="145" t="s">
        <v>116</v>
      </c>
      <c r="N70" s="145" t="s">
        <v>117</v>
      </c>
    </row>
    <row r="71" spans="1:14" hidden="1">
      <c r="A71" s="180"/>
      <c r="B71" s="52" t="str">
        <f>B69</f>
        <v>1 aprel 2025 y.</v>
      </c>
      <c r="C71" s="145" t="s">
        <v>118</v>
      </c>
      <c r="D71" s="145" t="s">
        <v>119</v>
      </c>
      <c r="E71" s="145" t="s">
        <v>108</v>
      </c>
      <c r="F71" s="145" t="s">
        <v>109</v>
      </c>
      <c r="G71" s="145" t="s">
        <v>110</v>
      </c>
      <c r="H71" s="145" t="s">
        <v>111</v>
      </c>
      <c r="I71" s="145" t="s">
        <v>112</v>
      </c>
      <c r="J71" s="145" t="s">
        <v>113</v>
      </c>
      <c r="K71" s="145" t="s">
        <v>114</v>
      </c>
      <c r="L71" s="145" t="s">
        <v>115</v>
      </c>
      <c r="M71" s="145" t="s">
        <v>116</v>
      </c>
      <c r="N71" s="145" t="s">
        <v>117</v>
      </c>
    </row>
    <row r="72" spans="1:14" hidden="1">
      <c r="A72" s="180" t="s">
        <v>107</v>
      </c>
      <c r="B72" s="51" t="str">
        <f>""&amp;E66&amp;" "&amp;D66&amp;" "&amp;F66&amp;" y."</f>
        <v>1 dekabr 2027 y.</v>
      </c>
    </row>
    <row r="73" spans="1:14" hidden="1">
      <c r="A73" s="180"/>
      <c r="B73" s="51" t="str">
        <f>""&amp;E66&amp;" "&amp;H66&amp;" "&amp;F66&amp;" y."</f>
        <v>1 dekabr 2027 y.</v>
      </c>
    </row>
    <row r="74" spans="1:14" ht="15.75" hidden="1" thickBot="1">
      <c r="A74" s="180" t="s">
        <v>120</v>
      </c>
      <c r="B74" s="179" t="str">
        <f>""&amp;B68&amp;"dan "&amp;B66&amp;""</f>
        <v>1 aprel 2025 y.dan № 687-BR</v>
      </c>
    </row>
    <row r="75" spans="1:14">
      <c r="A75" s="180" t="str">
        <f>CONCATENATE(B65," miqdori (summasi)")</f>
        <v>mikroqarz miqdori (summasi)</v>
      </c>
      <c r="B75" s="57">
        <v>26000000</v>
      </c>
      <c r="C75" s="206" t="s">
        <v>126</v>
      </c>
    </row>
    <row r="76" spans="1:14">
      <c r="A76" s="127" t="s">
        <v>121</v>
      </c>
      <c r="B76" s="4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olti million so'm</v>
      </c>
      <c r="C76" s="146"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olti million so'm</v>
      </c>
    </row>
    <row r="77" spans="1:14">
      <c r="A77" s="180" t="s">
        <v>122</v>
      </c>
      <c r="B77" s="43" t="s">
        <v>128</v>
      </c>
      <c r="C77" s="145" t="s">
        <v>128</v>
      </c>
      <c r="D77" s="145" t="s">
        <v>127</v>
      </c>
    </row>
    <row r="78" spans="1:14">
      <c r="A78" s="180" t="str">
        <f>CONCATENATE(B65,"ni to'lash sanasi (14.10.2011)")</f>
        <v>mikroqarzni to'lash sanasi (14.10.2011)</v>
      </c>
      <c r="B78" s="43">
        <v>1</v>
      </c>
      <c r="C78" s="147">
        <f>DATE(YEAR(B67),MONTH(B67)+1,DAY(B78))</f>
        <v>45778</v>
      </c>
      <c r="D78" s="145" t="s">
        <v>28</v>
      </c>
      <c r="E78" s="145" t="s">
        <v>29</v>
      </c>
      <c r="F78" s="145" t="s">
        <v>30</v>
      </c>
      <c r="G78" s="145" t="s">
        <v>31</v>
      </c>
      <c r="H78" s="145" t="s">
        <v>32</v>
      </c>
      <c r="I78" s="145" t="s">
        <v>33</v>
      </c>
      <c r="J78" s="145" t="s">
        <v>34</v>
      </c>
    </row>
    <row r="79" spans="1:14" ht="30" hidden="1">
      <c r="A79" s="180" t="str">
        <f>CONCATENATE(B65,"ni to'lash sanasi (14.10.2011 y.) QO’L BILAN KIRITILADI")</f>
        <v>mikroqarzni to'lash sanasi (14.10.2011 y.) QO’L BILAN KIRITILADI</v>
      </c>
      <c r="B79" s="63">
        <f>DATE(YEAR(B67),MONTH(B67)+1,DAY(B78+C80))</f>
        <v>45778</v>
      </c>
      <c r="C79" s="148" t="str">
        <f>TEXT(C78,"ддд")</f>
        <v>Чт</v>
      </c>
      <c r="D79" s="145" t="s">
        <v>28</v>
      </c>
      <c r="E79" s="145" t="s">
        <v>29</v>
      </c>
      <c r="F79" s="145" t="s">
        <v>30</v>
      </c>
      <c r="G79" s="145" t="s">
        <v>31</v>
      </c>
      <c r="H79" s="145" t="s">
        <v>32</v>
      </c>
      <c r="I79" s="145" t="s">
        <v>33</v>
      </c>
      <c r="J79" s="145" t="s">
        <v>34</v>
      </c>
    </row>
    <row r="80" spans="1:14" ht="30" hidden="1">
      <c r="A80" s="180" t="s">
        <v>123</v>
      </c>
      <c r="B80" s="64">
        <f>B79</f>
        <v>45778</v>
      </c>
      <c r="C80" s="145">
        <f>IF(C79=I79,2,IF(C79=J79,1,0))</f>
        <v>0</v>
      </c>
    </row>
    <row r="81" spans="1:63">
      <c r="A81" s="180" t="str">
        <f>CONCATENATE(B65," muddati")</f>
        <v>mikroqarz muddati</v>
      </c>
      <c r="B81" s="43">
        <v>32</v>
      </c>
      <c r="C81" s="145">
        <v>6</v>
      </c>
      <c r="D81" s="145">
        <v>12</v>
      </c>
      <c r="E81" s="145">
        <v>18</v>
      </c>
      <c r="F81" s="145">
        <v>24</v>
      </c>
      <c r="G81" s="145">
        <v>36</v>
      </c>
    </row>
    <row r="82" spans="1:63">
      <c r="A82" s="180" t="str">
        <f>CONCATENATE(B65," muddati QO’L BILAN KIRITILADI")</f>
        <v>mikroqarz muddati QO’L BILAN KIRITILADI</v>
      </c>
      <c r="B82" s="124" t="s">
        <v>422</v>
      </c>
    </row>
    <row r="83" spans="1:63">
      <c r="A83" s="127" t="s">
        <v>344</v>
      </c>
      <c r="B83" s="124">
        <v>0</v>
      </c>
      <c r="BJ83" s="145">
        <v>1</v>
      </c>
      <c r="BK83" s="145">
        <v>0</v>
      </c>
    </row>
    <row r="84" spans="1:63">
      <c r="A84" s="180" t="str">
        <f>CONCATENATE(B65," stavkasi")</f>
        <v>mikroqarz stavkasi</v>
      </c>
      <c r="B84" s="66">
        <v>0.6</v>
      </c>
    </row>
    <row r="85" spans="1:63">
      <c r="A85" s="180" t="str">
        <f>CONCATENATE(B65," stavkasi")</f>
        <v>mikroqarz stavkasi</v>
      </c>
      <c r="B85" s="67" t="s">
        <v>385</v>
      </c>
    </row>
    <row r="86" spans="1:63">
      <c r="A86" s="180" t="str">
        <f>CONCATENATE(B65," stavkasi (so’z bilan)")</f>
        <v>mikroqarz stavkasi (so’z bilan)</v>
      </c>
      <c r="B86" s="65" t="s">
        <v>386</v>
      </c>
      <c r="C86" s="145" t="s">
        <v>386</v>
      </c>
    </row>
    <row r="87" spans="1:63">
      <c r="A87" s="180" t="str">
        <f>CONCATENATE("Muddati o'tgan ",B65," bo’yicha stavka")</f>
        <v>Muddati o'tgan mikroqarz bo’yicha stavka</v>
      </c>
      <c r="B87" s="66">
        <v>1</v>
      </c>
    </row>
    <row r="88" spans="1:63">
      <c r="A88" s="127" t="s">
        <v>121</v>
      </c>
      <c r="B88" s="67" t="s">
        <v>388</v>
      </c>
    </row>
    <row r="89" spans="1:63">
      <c r="A89" s="180" t="str">
        <f>CONCATENATE("Muddati o'tgan ",B65," bo’yicha stavka")</f>
        <v>Muddati o'tgan mikroqarz bo’yicha stavka</v>
      </c>
      <c r="B89" s="65" t="s">
        <v>389</v>
      </c>
      <c r="C89" s="145" t="s">
        <v>389</v>
      </c>
    </row>
    <row r="90" spans="1:63">
      <c r="A90" s="180" t="s">
        <v>124</v>
      </c>
      <c r="B90" s="68">
        <f>IF(B77=C77,LARGE(grafik!F9:F26,1),ROUND(PMT(B84/12,B81,-B75,0),-3))</f>
        <v>2137431.52</v>
      </c>
    </row>
    <row r="91" spans="1:63">
      <c r="A91" s="263" t="s">
        <v>398</v>
      </c>
      <c r="B91" s="263"/>
    </row>
    <row r="92" spans="1:63">
      <c r="A92" s="187" t="s">
        <v>401</v>
      </c>
      <c r="B92" s="224" t="s">
        <v>424</v>
      </c>
    </row>
    <row r="93" spans="1:63">
      <c r="A93" s="187" t="s">
        <v>402</v>
      </c>
      <c r="B93" s="50" t="s">
        <v>399</v>
      </c>
    </row>
    <row r="94" spans="1:63">
      <c r="A94" s="187" t="s">
        <v>403</v>
      </c>
      <c r="B94" s="226" t="s">
        <v>425</v>
      </c>
    </row>
    <row r="95" spans="1:63">
      <c r="A95" s="187" t="s">
        <v>404</v>
      </c>
      <c r="B95" s="226" t="s">
        <v>426</v>
      </c>
    </row>
    <row r="96" spans="1:63">
      <c r="A96" s="187" t="s">
        <v>400</v>
      </c>
      <c r="B96" s="225" t="s">
        <v>427</v>
      </c>
    </row>
    <row r="97" spans="1:4">
      <c r="A97" s="263" t="s">
        <v>125</v>
      </c>
      <c r="B97" s="263"/>
    </row>
    <row r="98" spans="1:4">
      <c r="A98" s="202"/>
      <c r="B98" s="207" t="s">
        <v>130</v>
      </c>
      <c r="C98" s="149" t="s">
        <v>130</v>
      </c>
      <c r="D98" s="145" t="s">
        <v>131</v>
      </c>
    </row>
    <row r="99" spans="1:4">
      <c r="A99" s="187" t="s">
        <v>136</v>
      </c>
      <c r="B99" s="207" t="s">
        <v>133</v>
      </c>
      <c r="C99" s="150" t="s">
        <v>132</v>
      </c>
      <c r="D99" s="145" t="s">
        <v>133</v>
      </c>
    </row>
    <row r="100" spans="1:4" ht="30">
      <c r="A100" s="187" t="s">
        <v>137</v>
      </c>
      <c r="B100" s="207" t="s">
        <v>135</v>
      </c>
      <c r="C100" s="145" t="s">
        <v>134</v>
      </c>
      <c r="D100" s="145" t="s">
        <v>135</v>
      </c>
    </row>
    <row r="101" spans="1:4" ht="30">
      <c r="A101" s="187" t="s">
        <v>138</v>
      </c>
      <c r="B101" s="227" t="s">
        <v>412</v>
      </c>
    </row>
    <row r="102" spans="1:4" ht="30">
      <c r="A102" s="187" t="s">
        <v>139</v>
      </c>
      <c r="B102" s="227" t="s">
        <v>413</v>
      </c>
    </row>
    <row r="103" spans="1:4">
      <c r="A103" s="263"/>
      <c r="B103" s="263"/>
    </row>
    <row r="104" spans="1:4" ht="36">
      <c r="A104" s="187" t="s">
        <v>140</v>
      </c>
      <c r="B104" s="227" t="s">
        <v>428</v>
      </c>
    </row>
    <row r="105" spans="1:4" ht="30">
      <c r="A105" s="187" t="s">
        <v>141</v>
      </c>
      <c r="B105" s="227" t="s">
        <v>429</v>
      </c>
    </row>
    <row r="106" spans="1:4" ht="18">
      <c r="A106" s="187" t="s">
        <v>142</v>
      </c>
      <c r="B106" s="228" t="s">
        <v>430</v>
      </c>
    </row>
    <row r="107" spans="1:4" ht="18">
      <c r="A107" s="187" t="s">
        <v>143</v>
      </c>
      <c r="B107" s="228" t="s">
        <v>423</v>
      </c>
    </row>
    <row r="108" spans="1:4" ht="15" customHeight="1">
      <c r="A108" s="187"/>
      <c r="B108" s="207" t="str">
        <f>TEXT(B107,"ДД.ММ.ГГГГ")</f>
        <v>01.04.2025</v>
      </c>
    </row>
    <row r="109" spans="1:4" ht="15" customHeight="1">
      <c r="A109" s="187" t="s">
        <v>466</v>
      </c>
      <c r="B109" s="260" t="s">
        <v>464</v>
      </c>
    </row>
    <row r="110" spans="1:4" ht="15" customHeight="1">
      <c r="A110" s="187" t="s">
        <v>465</v>
      </c>
      <c r="B110" s="207" t="s">
        <v>467</v>
      </c>
    </row>
    <row r="111" spans="1:4">
      <c r="A111" s="187"/>
      <c r="B111" s="202" t="s">
        <v>144</v>
      </c>
      <c r="C111" s="145" t="s">
        <v>144</v>
      </c>
      <c r="D111" s="145" t="s">
        <v>145</v>
      </c>
    </row>
    <row r="112" spans="1:4">
      <c r="A112" s="208" t="s">
        <v>346</v>
      </c>
      <c r="B112" s="209" t="s">
        <v>345</v>
      </c>
      <c r="C112" s="210" t="s">
        <v>145</v>
      </c>
    </row>
    <row r="113" spans="1:4" ht="18">
      <c r="A113" s="211" t="s">
        <v>367</v>
      </c>
      <c r="B113" s="229" t="s">
        <v>446</v>
      </c>
      <c r="C113" s="210"/>
    </row>
    <row r="114" spans="1:4" ht="18">
      <c r="A114" s="211" t="s">
        <v>368</v>
      </c>
      <c r="B114" s="229" t="s">
        <v>447</v>
      </c>
      <c r="C114" s="210"/>
    </row>
    <row r="115" spans="1:4" ht="18">
      <c r="A115" s="211" t="str">
        <f>A121</f>
        <v>Tug’ilgan sanasi (01.10.2011 y.)</v>
      </c>
      <c r="B115" s="230" t="s">
        <v>448</v>
      </c>
      <c r="C115" s="210"/>
    </row>
    <row r="116" spans="1:4" ht="18">
      <c r="A116" s="211" t="str">
        <f>A122</f>
        <v>Pasport seriyasi (СА №1234567)</v>
      </c>
      <c r="B116" s="229" t="s">
        <v>449</v>
      </c>
      <c r="C116" s="210"/>
    </row>
    <row r="117" spans="1:4" ht="60">
      <c r="A117" s="211" t="str">
        <f>A123</f>
        <v xml:space="preserve">Kim va qachon berilgan
(Toshkent shahri Chilonzor IIB tomonidan 2011 yil __.____)
</v>
      </c>
      <c r="B117" s="229" t="s">
        <v>450</v>
      </c>
      <c r="C117" s="210"/>
    </row>
    <row r="118" spans="1:4" ht="60">
      <c r="A118" s="211" t="str">
        <f>A124</f>
        <v xml:space="preserve">doimiy ro’yhatdan o’tgan joyi
(Toshkent sh., Mirobod tumani, Nukus ko’chasi, 1 uy, 1 honadon)
</v>
      </c>
      <c r="B118" s="229" t="s">
        <v>451</v>
      </c>
      <c r="C118" s="210"/>
    </row>
    <row r="119" spans="1:4" hidden="1">
      <c r="A119" s="117" t="s">
        <v>157</v>
      </c>
      <c r="B119" s="113" t="str">
        <f>IF(B99="HA",B5,B113)</f>
        <v>FAYZIYEV JAMSHID KURBONOVICH</v>
      </c>
      <c r="C119" s="163">
        <f>IF(B99="HA",B5,C113)</f>
        <v>0</v>
      </c>
    </row>
    <row r="120" spans="1:4" hidden="1">
      <c r="A120" s="117"/>
      <c r="B120" s="113" t="str">
        <f>IF(B99="HA",B7,B114)</f>
        <v>FAYZIYEV J.K.</v>
      </c>
      <c r="C120" s="163">
        <f>IF(B99="HA",B7,C114)</f>
        <v>0</v>
      </c>
    </row>
    <row r="121" spans="1:4" hidden="1">
      <c r="A121" s="118" t="s">
        <v>158</v>
      </c>
      <c r="B121" s="140" t="str">
        <f>IF(B99="HA",B15,B115)</f>
        <v>19.12.1979 y</v>
      </c>
      <c r="C121" s="163">
        <f>IF(B99="HA",B15,C115)</f>
        <v>0</v>
      </c>
    </row>
    <row r="122" spans="1:4" hidden="1">
      <c r="A122" s="118" t="s">
        <v>64</v>
      </c>
      <c r="B122" s="140" t="str">
        <f>IF(B99="HA",B16,B116)</f>
        <v>AD 8379834</v>
      </c>
      <c r="C122" s="163">
        <f>IF(B99="HA",B16,C116)</f>
        <v>0</v>
      </c>
    </row>
    <row r="123" spans="1:4" ht="30" hidden="1" customHeight="1">
      <c r="A123" s="118" t="s">
        <v>67</v>
      </c>
      <c r="B123" s="113" t="str">
        <f>IF(B99="HA",B20,B117)</f>
        <v>BUXORO VILOYATI BUXORO TUMANI IIB tomonidan 26.08.2024 yilda berilgan</v>
      </c>
      <c r="C123" s="163">
        <f>IF(B99="HA",B20,C117)</f>
        <v>0</v>
      </c>
      <c r="D123" s="145">
        <v>493193762</v>
      </c>
    </row>
    <row r="124" spans="1:4" ht="53.25" hidden="1" customHeight="1">
      <c r="A124" s="118" t="s">
        <v>69</v>
      </c>
      <c r="B124" s="113" t="str">
        <f>IF(B99="HA",B22,B118)</f>
        <v>BUXORO VILOYATI BUXORO TUMANI XONOBOD MFY XONOBOD QISHLOG'I</v>
      </c>
      <c r="C124" s="164">
        <f>IF(B99="HA",B22,C118)</f>
        <v>0</v>
      </c>
    </row>
    <row r="125" spans="1:4" hidden="1">
      <c r="A125" s="118" t="s">
        <v>159</v>
      </c>
      <c r="B125" s="179" t="str">
        <f>IF(B99="ha",B5,B119)</f>
        <v>FAYZIYEV JAMSHID KURBONOVICH</v>
      </c>
      <c r="C125" s="165">
        <f>IF(B99="ha",B5,C119)</f>
        <v>0</v>
      </c>
    </row>
    <row r="126" spans="1:4" hidden="1">
      <c r="A126" s="118"/>
      <c r="B126" s="179" t="str">
        <f>IF(B99="ha",B7,B120)</f>
        <v>FAYZIYEV J.K.</v>
      </c>
      <c r="C126" s="165">
        <f>IF(B99="ha",B7,C120)</f>
        <v>0</v>
      </c>
    </row>
    <row r="127" spans="1:4" hidden="1">
      <c r="A127" s="180" t="s">
        <v>158</v>
      </c>
      <c r="B127" s="179" t="str">
        <f>IF(B99="ha",B15,B121)</f>
        <v>19.12.1979 y</v>
      </c>
      <c r="C127" s="165">
        <f>IF(B99="ha",B15,C121)</f>
        <v>0</v>
      </c>
    </row>
    <row r="128" spans="1:4" hidden="1">
      <c r="A128" s="180" t="s">
        <v>64</v>
      </c>
      <c r="B128" s="179" t="str">
        <f>IF(B99="ha",B16,B122)</f>
        <v>AD 8379834</v>
      </c>
      <c r="C128" s="165">
        <f>IF(B99="ha",B16,C122)</f>
        <v>0</v>
      </c>
    </row>
    <row r="129" spans="1:18" ht="60" hidden="1">
      <c r="A129" s="180" t="s">
        <v>67</v>
      </c>
      <c r="B129" s="179" t="str">
        <f>IF(B99="ha",B20,B123)</f>
        <v>BUXORO VILOYATI BUXORO TUMANI IIB tomonidan 26.08.2024 yilda berilgan</v>
      </c>
      <c r="C129" s="165">
        <f>IF(B99="ha",B20,C123)</f>
        <v>0</v>
      </c>
    </row>
    <row r="130" spans="1:18" ht="60" hidden="1">
      <c r="A130" s="180" t="s">
        <v>69</v>
      </c>
      <c r="B130" s="137" t="str">
        <f>IF(B99="ha",B22,B124)</f>
        <v>BUXORO VILOYATI BUXORO TUMANI XONOBOD MFY XONOBOD QISHLOG'I</v>
      </c>
      <c r="C130" s="166">
        <f>IF(B99="ha",B22,C124)</f>
        <v>0</v>
      </c>
    </row>
    <row r="131" spans="1:18" ht="42.75">
      <c r="A131" s="180" t="s">
        <v>160</v>
      </c>
      <c r="B131" s="43" t="s">
        <v>431</v>
      </c>
      <c r="C131" s="167" t="s">
        <v>47</v>
      </c>
      <c r="N131" s="145" t="str">
        <f>IF(B111=C111,B125,IF(B111=D111,C125,0))</f>
        <v>FAYZIYEV JAMSHID KURBONOVICH</v>
      </c>
    </row>
    <row r="132" spans="1:18" ht="45">
      <c r="A132" s="180" t="s">
        <v>161</v>
      </c>
      <c r="B132" s="43" t="s">
        <v>432</v>
      </c>
      <c r="C132" s="165" t="s">
        <v>377</v>
      </c>
      <c r="D132" s="168" t="s">
        <v>150</v>
      </c>
      <c r="Q132" s="145" t="str">
        <f>""&amp;B101&amp;" (по генеральному доверенестью №"&amp;B106&amp;" от "&amp;B108&amp;")"</f>
        <v>XAYATOV OTABEK KURBANOVICH (по генеральному доверенестью №202502386001856 от 01.04.2025)</v>
      </c>
      <c r="R132" s="145" t="str">
        <f>""&amp;B101&amp;" ("&amp;B108&amp;"y. sanasidagi reestr raqami №"&amp;B106&amp;" bo'lgan Ishonchnomaga asosan)"</f>
        <v>XAYATOV OTABEK KURBANOVICH (01.04.2025y. sanasidagi reestr raqami №202502386001856 bo'lgan Ishonchnomaga asosan)</v>
      </c>
    </row>
    <row r="133" spans="1:18" ht="45">
      <c r="A133" s="180" t="s">
        <v>162</v>
      </c>
      <c r="B133" s="43" t="s">
        <v>433</v>
      </c>
      <c r="C133" s="166" t="str">
        <f>""&amp;D134&amp;" "&amp;IF(C137=D137,"- xonali yakka tartibdagi uy-joy", IF(C137=E137,"-  xonali ko'p qavatli uydagi xonadon",0))&amp;""</f>
        <v>3 - xonali yakka tartibdagi uy-joy</v>
      </c>
      <c r="D133" s="169" t="s">
        <v>148</v>
      </c>
      <c r="E133" s="145" t="str">
        <f>IF($C$137=$D$137,I133,IF($C$137=$E$137,H133,0))</f>
        <v>3 - xonali yakka tartibdagi uy-joy</v>
      </c>
      <c r="F133" s="145" t="str">
        <f>IF($C$137=$D$137,I133,IF($C$137=$E$137,H133,0))</f>
        <v>3 - xonali yakka tartibdagi uy-joy</v>
      </c>
      <c r="H133" s="145" t="str">
        <f>"Ko'p qavatli uydagi "&amp;D134&amp;" - xonali xonadon"</f>
        <v>Ko'p qavatli uydagi 3 - xonali xonadon</v>
      </c>
      <c r="I133" s="145" t="str">
        <f>""&amp;D134&amp;" - xonali yakka tartibdagi uy-joy"</f>
        <v>3 - xonali yakka tartibdagi uy-joy</v>
      </c>
      <c r="N133" s="145" t="str">
        <f>IF(B99=C99,Q134,IF(B99=D99,Q133,0))</f>
        <v>Микрофинансовой организацией, Заемщиком и XAYATOV OTABEK KURBANOVICH (по генеральному доверенестью №202502386001856 от 01.04.2025)</v>
      </c>
      <c r="Q133" s="145" t="str">
        <f>"Микрофинансовой организацией, Заемщиком и "&amp;IF(B100=D100,Q132,IF(B100=C100,B119,0))&amp;""</f>
        <v>Микрофинансовой организацией, Заемщиком и XAYATOV OTABEK KURBANOVICH (по генеральному доверенестью №202502386001856 от 01.04.2025)</v>
      </c>
      <c r="R133" s="145" t="str">
        <f>"Mikromoliya tashkiloti, Qarz oluvchi va "&amp;IF(B100=D100,R132,IF(B100=C100,B119))&amp;""</f>
        <v>Mikromoliya tashkiloti, Qarz oluvchi va XAYATOV OTABEK KURBANOVICH (01.04.2025y. sanasidagi reestr raqami №202502386001856 bo'lgan Ishonchnomaga asosan)</v>
      </c>
    </row>
    <row r="134" spans="1:18" ht="30">
      <c r="A134" s="180" t="s">
        <v>163</v>
      </c>
      <c r="B134" s="160" t="s">
        <v>434</v>
      </c>
      <c r="C134" s="166" t="str">
        <f>C133</f>
        <v>3 - xonali yakka tartibdagi uy-joy</v>
      </c>
      <c r="D134" s="170">
        <v>3</v>
      </c>
      <c r="E134" s="145" t="str">
        <f>IF($C$137=$D$137,I134,IF($C$137=$E$137,H134,0))</f>
        <v>yer uchastkasi maydoni - , umumiy maydoni - 72,13, yashash maydoni - 37,39</v>
      </c>
      <c r="F134" s="145" t="str">
        <f>IF($C$137=$D$137,I134,IF($C$137=$E$137,H134,0))</f>
        <v>yer uchastkasi maydoni - , umumiy maydoni - 72,13, yashash maydoni - 37,39</v>
      </c>
      <c r="H134" s="145" t="str">
        <f>"umumiy maydoni - "&amp;C138&amp;", yashash maydoni - "&amp;C141&amp;""</f>
        <v>umumiy maydoni - 72,13, yashash maydoni - 37,39</v>
      </c>
      <c r="I134" s="145" t="str">
        <f>"yer uchastkasi maydoni - "&amp;C139&amp;", umumiy maydoni - "&amp;C138&amp;", yashash maydoni - "&amp;C141&amp;""</f>
        <v>yer uchastkasi maydoni - , umumiy maydoni - 72,13, yashash maydoni - 37,39</v>
      </c>
      <c r="N134" s="145" t="str">
        <f>IF(B99=C99,R134,IF(B99=D99,R133,0))</f>
        <v>Mikromoliya tashkiloti, Qarz oluvchi va XAYATOV OTABEK KURBANOVICH (01.04.2025y. sanasidagi reestr raqami №202502386001856 bo'lgan Ishonchnomaga asosan)</v>
      </c>
      <c r="Q134" s="145" t="s">
        <v>51</v>
      </c>
      <c r="R134" s="145" t="s">
        <v>149</v>
      </c>
    </row>
    <row r="135" spans="1:18" ht="27" customHeight="1">
      <c r="A135" s="180" t="s">
        <v>164</v>
      </c>
      <c r="B135" s="61" t="str">
        <f>"kuzov turi - "&amp;B136&amp;", kuzov raqami "&amp;B137&amp;""</f>
        <v>kuzov turi - YENGIL SEDAN, kuzov raqami XWBMF481EBA580791</v>
      </c>
      <c r="C135" s="165" t="s">
        <v>376</v>
      </c>
      <c r="D135" s="168" t="s">
        <v>378</v>
      </c>
    </row>
    <row r="136" spans="1:18">
      <c r="A136" s="58" t="s">
        <v>165</v>
      </c>
      <c r="B136" s="43" t="s">
        <v>435</v>
      </c>
      <c r="C136" s="171"/>
    </row>
    <row r="137" spans="1:18">
      <c r="A137" s="58" t="s">
        <v>166</v>
      </c>
      <c r="B137" s="43" t="s">
        <v>436</v>
      </c>
      <c r="C137" s="161" t="s">
        <v>151</v>
      </c>
      <c r="D137" s="145" t="s">
        <v>151</v>
      </c>
      <c r="E137" s="145" t="s">
        <v>152</v>
      </c>
    </row>
    <row r="138" spans="1:18" ht="27" customHeight="1">
      <c r="A138" s="180" t="s">
        <v>167</v>
      </c>
      <c r="B138" s="61" t="str">
        <f>"dvigatel raqami "&amp;B139&amp;", shassi raqami - "&amp;B140&amp;""</f>
        <v>dvigatel raqami B10D1606437KC3, shassi raqami - RAKAMSIZ</v>
      </c>
      <c r="C138" s="161">
        <v>72.13</v>
      </c>
      <c r="D138" s="172" t="s">
        <v>153</v>
      </c>
      <c r="E138" s="145" t="str">
        <f>CONCATENATE(C138," ","kv.m")</f>
        <v>72,13 kv.m</v>
      </c>
      <c r="F138" s="153">
        <f>C138-C141</f>
        <v>34.739999999999995</v>
      </c>
    </row>
    <row r="139" spans="1:18">
      <c r="A139" s="58" t="s">
        <v>168</v>
      </c>
      <c r="B139" s="50" t="s">
        <v>437</v>
      </c>
      <c r="C139" s="161"/>
      <c r="D139" s="172" t="s">
        <v>154</v>
      </c>
    </row>
    <row r="140" spans="1:18">
      <c r="A140" s="58" t="s">
        <v>169</v>
      </c>
      <c r="B140" s="43" t="s">
        <v>438</v>
      </c>
      <c r="C140" s="161"/>
    </row>
    <row r="141" spans="1:18" ht="25.5" customHeight="1">
      <c r="A141" s="180" t="s">
        <v>170</v>
      </c>
      <c r="B141" s="61" t="str">
        <f>"rangi -  "&amp;B142&amp;", ishlab chiqarilgan yili - "&amp;B143&amp;""</f>
        <v>rangi -  OQ BELAYA "KASABLANKA", ishlab chiqarilgan yili - 2011</v>
      </c>
      <c r="C141" s="173" t="s">
        <v>375</v>
      </c>
      <c r="D141" s="172" t="s">
        <v>250</v>
      </c>
      <c r="E141" s="145" t="str">
        <f>CONCATENATE(C141," ","kv.m")</f>
        <v>37,39 kv.m</v>
      </c>
    </row>
    <row r="142" spans="1:18">
      <c r="A142" s="58" t="s">
        <v>171</v>
      </c>
      <c r="B142" s="43" t="s">
        <v>439</v>
      </c>
      <c r="C142" s="161"/>
    </row>
    <row r="143" spans="1:18" ht="30">
      <c r="A143" s="58" t="s">
        <v>172</v>
      </c>
      <c r="B143" s="50" t="s">
        <v>440</v>
      </c>
      <c r="C143" s="171">
        <v>44181</v>
      </c>
      <c r="D143" s="174" t="s">
        <v>379</v>
      </c>
    </row>
    <row r="144" spans="1:18" hidden="1">
      <c r="A144" s="180" t="s">
        <v>173</v>
      </c>
      <c r="B144" s="16">
        <f>B75*1.5</f>
        <v>39000000</v>
      </c>
      <c r="C144" s="175">
        <f>B144</f>
        <v>39000000</v>
      </c>
      <c r="D144" s="172" t="s">
        <v>173</v>
      </c>
    </row>
    <row r="145" spans="1:3" ht="27.75" hidden="1" customHeight="1">
      <c r="A145" s="127"/>
      <c r="B145" s="4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144))&gt;6,ROMAN(MID(INT(B144),1,LEN(INT(B144))-6)+0)&amp;" million "&amp;ROMAN(MID(INT(B144),LEN(INT(B144))-5,3)+0)&amp;" ming "&amp;ROMAN(MID(INT(B144),LEN(INT(B144))-2,3)+0),IF(LEN(INT(B144))&gt;3,ROMAN(MID(INT(B144),1,LEN(INT(B144))-3)+0)&amp;" ming "&amp;ROMAN(MID(INT(B144),LEN(INT(B144))-2,3)+0),ROMAN(INT(B144)))),"DCCC","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o'ttiz to'qqiz million so'm</v>
      </c>
      <c r="C145" s="175" t="str">
        <f>B145</f>
        <v>o'ttiz to'qqiz million so'm</v>
      </c>
    </row>
    <row r="146" spans="1:3" ht="27.75" hidden="1" customHeight="1">
      <c r="A146" s="180"/>
      <c r="B146" s="125" t="str">
        <f>B145</f>
        <v>o'ttiz to'qqiz million so'm</v>
      </c>
      <c r="C146" s="176"/>
    </row>
    <row r="147" spans="1:3">
      <c r="A147" s="180" t="s">
        <v>408</v>
      </c>
      <c r="B147" s="45">
        <v>158581</v>
      </c>
      <c r="C147" s="145" t="s">
        <v>381</v>
      </c>
    </row>
    <row r="148" spans="1:3">
      <c r="A148" s="180" t="s">
        <v>369</v>
      </c>
      <c r="B148" s="43">
        <v>1</v>
      </c>
    </row>
    <row r="149" spans="1:3">
      <c r="A149" s="180" t="s">
        <v>155</v>
      </c>
      <c r="B149" s="1" t="s">
        <v>146</v>
      </c>
      <c r="C149" s="145">
        <v>1</v>
      </c>
    </row>
    <row r="150" spans="1:3" hidden="1">
      <c r="A150" s="180" t="s">
        <v>156</v>
      </c>
      <c r="B150" s="2" t="str">
        <f>B70</f>
        <v>1 aprel 2025 y.</v>
      </c>
      <c r="C150" s="145" t="str">
        <f>B70</f>
        <v>1 aprel 2025 y.</v>
      </c>
    </row>
    <row r="151" spans="1:3" hidden="1">
      <c r="A151" s="180"/>
      <c r="B151" s="179">
        <f>YEAR(B67)</f>
        <v>2025</v>
      </c>
    </row>
    <row r="152" spans="1:3" hidden="1">
      <c r="A152" s="180"/>
      <c r="B152" s="128" t="str">
        <f>D67</f>
        <v>aprel</v>
      </c>
    </row>
    <row r="153" spans="1:3" hidden="1">
      <c r="A153" s="180"/>
      <c r="B153" s="179">
        <f>DAY(B67)</f>
        <v>1</v>
      </c>
    </row>
    <row r="154" spans="1:3">
      <c r="A154" s="263" t="s">
        <v>350</v>
      </c>
      <c r="B154" s="263"/>
    </row>
    <row r="155" spans="1:3">
      <c r="A155" s="180" t="s">
        <v>174</v>
      </c>
      <c r="B155" s="179" t="s">
        <v>374</v>
      </c>
    </row>
    <row r="156" spans="1:3">
      <c r="A156" s="180"/>
      <c r="B156" s="179" t="s">
        <v>374</v>
      </c>
    </row>
    <row r="157" spans="1:3">
      <c r="A157" s="180"/>
      <c r="B157" s="179" t="s">
        <v>374</v>
      </c>
    </row>
    <row r="158" spans="1:3">
      <c r="A158" s="180" t="s">
        <v>444</v>
      </c>
      <c r="B158" s="179" t="s">
        <v>441</v>
      </c>
    </row>
    <row r="159" spans="1:3">
      <c r="A159" s="180"/>
      <c r="B159" s="179" t="s">
        <v>442</v>
      </c>
    </row>
    <row r="160" spans="1:3" hidden="1">
      <c r="A160" s="180" t="s">
        <v>178</v>
      </c>
      <c r="B160" s="179" t="s">
        <v>175</v>
      </c>
    </row>
    <row r="161" spans="1:2" ht="28.5" hidden="1">
      <c r="A161" s="180" t="s">
        <v>179</v>
      </c>
      <c r="B161" s="179" t="s">
        <v>176</v>
      </c>
    </row>
    <row r="162" spans="1:2" hidden="1">
      <c r="A162" s="180" t="s">
        <v>180</v>
      </c>
      <c r="B162" s="179" t="s">
        <v>24</v>
      </c>
    </row>
    <row r="163" spans="1:2" hidden="1">
      <c r="A163" s="180" t="s">
        <v>181</v>
      </c>
      <c r="B163" s="179" t="s">
        <v>22</v>
      </c>
    </row>
    <row r="164" spans="1:2" hidden="1">
      <c r="A164" s="180" t="s">
        <v>182</v>
      </c>
      <c r="B164" s="179" t="s">
        <v>177</v>
      </c>
    </row>
    <row r="165" spans="1:2" hidden="1">
      <c r="A165" s="180" t="s">
        <v>183</v>
      </c>
      <c r="B165" s="1" t="s">
        <v>25</v>
      </c>
    </row>
    <row r="166" spans="1:2" hidden="1">
      <c r="A166" s="180" t="s">
        <v>184</v>
      </c>
      <c r="B166" s="179" t="s">
        <v>330</v>
      </c>
    </row>
    <row r="167" spans="1:2">
      <c r="A167" s="180" t="s">
        <v>391</v>
      </c>
      <c r="B167" s="179" t="s">
        <v>392</v>
      </c>
    </row>
    <row r="168" spans="1:2">
      <c r="A168" s="184" t="s">
        <v>372</v>
      </c>
      <c r="B168" s="179" t="s">
        <v>443</v>
      </c>
    </row>
    <row r="169" spans="1:2">
      <c r="A169" s="180" t="s">
        <v>444</v>
      </c>
      <c r="B169" s="179" t="s">
        <v>441</v>
      </c>
    </row>
    <row r="170" spans="1:2">
      <c r="A170" s="180" t="s">
        <v>185</v>
      </c>
      <c r="B170" s="1" t="s">
        <v>342</v>
      </c>
    </row>
    <row r="171" spans="1:2">
      <c r="A171" s="180" t="s">
        <v>186</v>
      </c>
      <c r="B171" s="1" t="s">
        <v>343</v>
      </c>
    </row>
    <row r="172" spans="1:2">
      <c r="A172" s="180" t="s">
        <v>187</v>
      </c>
      <c r="B172" s="179" t="str">
        <f>B1</f>
        <v>№ 687-BR</v>
      </c>
    </row>
    <row r="173" spans="1:2">
      <c r="A173" s="180" t="s">
        <v>188</v>
      </c>
      <c r="B173" s="2" t="str">
        <f>B69</f>
        <v>1 aprel 2025 y.</v>
      </c>
    </row>
    <row r="174" spans="1:2">
      <c r="A174" s="263" t="s">
        <v>350</v>
      </c>
      <c r="B174" s="263"/>
    </row>
    <row r="175" spans="1:2">
      <c r="A175" s="180"/>
      <c r="B175" s="2"/>
    </row>
    <row r="176" spans="1:2">
      <c r="A176" s="180"/>
      <c r="B176" s="2"/>
    </row>
    <row r="177" spans="1:2">
      <c r="A177" s="180"/>
      <c r="B177" s="2"/>
    </row>
  </sheetData>
  <mergeCells count="8">
    <mergeCell ref="A174:B174"/>
    <mergeCell ref="A154:B154"/>
    <mergeCell ref="A103:B103"/>
    <mergeCell ref="A4:B4"/>
    <mergeCell ref="A57:B57"/>
    <mergeCell ref="A64:B64"/>
    <mergeCell ref="A97:B97"/>
    <mergeCell ref="A91:B91"/>
  </mergeCells>
  <phoneticPr fontId="48" type="noConversion"/>
  <dataValidations count="13">
    <dataValidation type="list" allowBlank="1" showInputMessage="1" showErrorMessage="1" sqref="B30" xr:uid="{00000000-0002-0000-0000-000000000000}">
      <formula1>$C$30:$D$30</formula1>
    </dataValidation>
    <dataValidation type="list" allowBlank="1" showInputMessage="1" showErrorMessage="1" sqref="B99" xr:uid="{00000000-0002-0000-0000-000001000000}">
      <formula1>$C$99:$D$99</formula1>
    </dataValidation>
    <dataValidation type="list" allowBlank="1" showInputMessage="1" showErrorMessage="1" sqref="B111" xr:uid="{00000000-0002-0000-0000-000002000000}">
      <formula1>$C$111:$D$111</formula1>
    </dataValidation>
    <dataValidation type="list" allowBlank="1" showInputMessage="1" showErrorMessage="1" sqref="B77" xr:uid="{00000000-0002-0000-0000-000003000000}">
      <formula1>$C$77:$D$77</formula1>
    </dataValidation>
    <dataValidation type="list" allowBlank="1" showInputMessage="1" showErrorMessage="1" sqref="C137" xr:uid="{00000000-0002-0000-0000-000004000000}">
      <formula1>$D$137:$E$137</formula1>
    </dataValidation>
    <dataValidation type="list" allowBlank="1" showInputMessage="1" showErrorMessage="1" sqref="B98" xr:uid="{00000000-0002-0000-0000-000005000000}">
      <formula1>$C$98:$D$98</formula1>
    </dataValidation>
    <dataValidation type="list" allowBlank="1" showInputMessage="1" showErrorMessage="1" sqref="B100" xr:uid="{00000000-0002-0000-0000-000006000000}">
      <formula1>$C$100:$D$100</formula1>
    </dataValidation>
    <dataValidation type="list" allowBlank="1" showInputMessage="1" showErrorMessage="1" sqref="B23" xr:uid="{00000000-0002-0000-0000-000007000000}">
      <formula1>$C$23:$D$23</formula1>
    </dataValidation>
    <dataValidation type="list" allowBlank="1" showInputMessage="1" showErrorMessage="1" sqref="B29" xr:uid="{00000000-0002-0000-0000-000008000000}">
      <formula1>$C$29:$F$29</formula1>
    </dataValidation>
    <dataValidation type="list" allowBlank="1" showInputMessage="1" showErrorMessage="1" sqref="B24" xr:uid="{00000000-0002-0000-0000-000009000000}">
      <formula1>$C$24:$D$24</formula1>
    </dataValidation>
    <dataValidation type="list" allowBlank="1" showInputMessage="1" showErrorMessage="1" sqref="B83" xr:uid="{00000000-0002-0000-0000-00000A000000}">
      <formula1>$BJ$83:$BK$83</formula1>
    </dataValidation>
    <dataValidation type="list" allowBlank="1" showInputMessage="1" showErrorMessage="1" sqref="B6" xr:uid="{00000000-0002-0000-0000-00000B000000}">
      <formula1>$C$6:$D$6</formula1>
    </dataValidation>
    <dataValidation type="list" allowBlank="1" showInputMessage="1" showErrorMessage="1" sqref="B44" xr:uid="{00000000-0002-0000-0000-00000C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3">
    <tabColor rgb="FF00B050"/>
  </sheetPr>
  <dimension ref="A1:K129"/>
  <sheetViews>
    <sheetView view="pageBreakPreview" topLeftCell="A121" zoomScale="160" zoomScaleNormal="55" zoomScaleSheetLayoutView="160" workbookViewId="0">
      <selection activeCell="A119" sqref="A119"/>
    </sheetView>
  </sheetViews>
  <sheetFormatPr defaultColWidth="9.140625" defaultRowHeight="15.75"/>
  <cols>
    <col min="1" max="1" width="50.140625" style="4" customWidth="1"/>
    <col min="2" max="2" width="58.85546875" style="4" customWidth="1"/>
    <col min="3" max="3" width="93.28515625" style="4" customWidth="1"/>
    <col min="4" max="7" width="9.140625" style="4" customWidth="1"/>
    <col min="8" max="8" width="111.5703125" style="4" customWidth="1"/>
    <col min="9" max="16" width="9.140625" style="4" customWidth="1"/>
    <col min="17" max="16384" width="9.140625" style="4"/>
  </cols>
  <sheetData>
    <row r="1" spans="1:3">
      <c r="A1" s="278" t="str">
        <f>""&amp;malumot!C64&amp;" shartnoma "&amp;malumot!B66&amp;""</f>
        <v>Mikroqarz shartnoma № 687-BR</v>
      </c>
      <c r="B1" s="278"/>
    </row>
    <row r="3" spans="1:3">
      <c r="A3" s="278" t="str">
        <f>"Toshkent shahri                                                                               "&amp;malumot!B70&amp;""</f>
        <v>Toshkent shahri                                                                               1 aprel 2025 y.</v>
      </c>
      <c r="B3" s="278"/>
    </row>
    <row r="4" spans="1:3">
      <c r="A4" s="232"/>
    </row>
    <row r="5" spans="1:3" ht="113.25" customHeight="1">
      <c r="A5" s="268" t="str">
        <f>""&amp;malumot!B155&amp;", bundan buyon «Mikromoliya tashkiloti» deb nomlanuvchi, ishonchnoma asosida xarakat qiluvchi "&amp;malumot!A158&amp;" "&amp;malumot!B158&amp;"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Buxoro filiali boshlig'i A.Xudayberdiyev  bir tomondan va o‘z manfaati yo‘lida hamda o‘z nomidan harakat qiluvchi O‘zbekiston Respublikasi fuqarosi XAYATOV OTABEK KURBANOVICH  (pasport raqami AB 7858443, BUXORO VILOYATI KOGON TUMAN IIB tomonidan 06.10.2017 yilda berilgan ), bundan buyon «Qarz oluvchi» deb nomlanuvchi, boshqa tomondan, birgalikda “Tomonlar” yoki alohida “Tomon” deb nomlanuvchilar, Qarz oluvchi tomonidan 01.04.2025 yil,mikroqarz olish uchun ariza berilganligini hisobga olib, ushbu Mikroqarz shartnomasini (bundan keyin – «Shartnoma») quyidagilar haqida tuzdilar:</v>
      </c>
      <c r="B5" s="268"/>
    </row>
    <row r="6" spans="1:3" ht="9" customHeight="1"/>
    <row r="7" spans="1:3">
      <c r="A7" s="278" t="s">
        <v>260</v>
      </c>
      <c r="B7" s="278"/>
    </row>
    <row r="8" spans="1:3" ht="49.5" customHeight="1">
      <c r="A8" s="268" t="str">
        <f>"1.1. Mikromoliya tashkiloti Qarz oluvchiga umumiy miqdori "&amp;FIXED(malumot!B75,2)&amp;" ("&amp;malumot!C76&amp;") bo‘lgan "&amp;malumot!B65&amp;"ni "&amp;malumot!B71&amp;" dan "&amp;malumot!B73&amp;" gacha bo'lgan muddatga naqd pul va/yoki o'tkazmasi shaklida ajratadi."</f>
        <v>1.1. Mikromoliya tashkiloti Qarz oluvchiga umumiy miqdori 26 000 000,00 (Yigirma olti million so'm) bo‘lgan mikroqarzni 1 aprel 2025 y. dan 1 dekabr 2027 y. gacha bo'lgan muddatga naqd pul va/yoki o'tkazmasi shaklida ajratadi.</v>
      </c>
      <c r="B8" s="268"/>
    </row>
    <row r="9" spans="1:3" ht="36" customHeight="1">
      <c r="A9" s="268"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68"/>
    </row>
    <row r="10" spans="1:3">
      <c r="A10" s="233"/>
    </row>
    <row r="11" spans="1:3">
      <c r="A11" s="270" t="str">
        <f>"2. "&amp;malumot!D64&amp;" BERISH VA QAYTARISH TARTIBI"</f>
        <v>2. MIKROQARZ BERISH VA QAYTARISH TARTIBI</v>
      </c>
      <c r="B11" s="270"/>
      <c r="C11" s="55"/>
    </row>
    <row r="12" spans="1:3" ht="36" customHeight="1">
      <c r="A12" s="268"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68"/>
    </row>
    <row r="13" spans="1:3" ht="35.25" customHeight="1">
      <c r="A13" s="268"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68"/>
    </row>
    <row r="14" spans="1:3" ht="35.25" customHeight="1">
      <c r="A14" s="268"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68"/>
    </row>
    <row r="15" spans="1:3" ht="69.75" customHeight="1">
      <c r="A15" s="268" t="str">
        <f>"2.4. Mikromoliya tashkiloti, "&amp;malumot!B65&amp;" berilgan vaqtdan boshlab, "&amp;malumot!B65&amp;" miqdorining qoldiq summasiga "&amp;malumot!B85&amp;"% ("&amp;malumot!C86&amp;") foiz yillik va yiliga 365/366 kunlik hisobidan foizlar hisoblaydi. To'lov jadvaliga muvofiq asosiy qarz bo'yicha navbatdagi to'lov buzilgan hollarda, "&amp;"foiz stavkasi oshiriladi va  Mikromoliya tashkiloti "&amp;malumot!B65&amp;"ning muddati o'tgan asosiy qarz summasiga yillik "&amp;malumot!B88&amp;" ("&amp;malumot!B89&amp;")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68"/>
    </row>
    <row r="16" spans="1:3" ht="160.5" customHeight="1">
      <c r="A16" s="268" t="s">
        <v>327</v>
      </c>
      <c r="B16" s="268"/>
    </row>
    <row r="17" spans="1:11" ht="150.75" customHeight="1">
      <c r="A17" s="268"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68"/>
      <c r="C17" s="129" t="s">
        <v>331</v>
      </c>
      <c r="H17" s="4" t="str">
        <f>malumot!B65</f>
        <v>mikroqarz</v>
      </c>
      <c r="I17" s="4" t="s">
        <v>332</v>
      </c>
    </row>
    <row r="18" spans="1:11" ht="100.5" customHeight="1">
      <c r="A18" s="272" t="s">
        <v>370</v>
      </c>
      <c r="B18" s="272"/>
    </row>
    <row r="19" spans="1:11" ht="36" customHeight="1">
      <c r="A19" s="268"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68"/>
    </row>
    <row r="20" spans="1:11" ht="48.75" customHeight="1">
      <c r="A20" s="268"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68"/>
    </row>
    <row r="21" spans="1:11" ht="93.75" customHeight="1">
      <c r="A21" s="277"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77"/>
      <c r="C21" s="4"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4"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4"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ht="27.75" customHeight="1">
      <c r="A22" s="270" t="str">
        <f>"3. "&amp;malumot!D64&amp;" TA'MINOTI BO‘YICHA "</f>
        <v xml:space="preserve">3. MIKROQARZ TA'MINOTI BO‘YICHA </v>
      </c>
      <c r="B22" s="270"/>
    </row>
    <row r="23" spans="1:11" ht="19.5" customHeight="1">
      <c r="A23" s="268" t="str">
        <f>"3.1. Ushbu Shartnoma bo‘yicha taqdim etilgan "&amp;malumot!C64&amp;" quyidagi garov bilan ta'minlanadi:"</f>
        <v>3.1. Ushbu Shartnoma bo‘yicha taqdim etilgan Mikroqarz quyidagi garov bilan ta'minlanadi:</v>
      </c>
      <c r="B23" s="268"/>
    </row>
    <row r="24" spans="1:11" ht="147.75" customHeight="1">
      <c r="A24" s="275" t="str">
        <f>IF(malumot!B111=malumot!C111,shartnoma!A28,IF(malumot!B111=malumot!D111,shartnoma!A25,0))</f>
        <v>3.1.1. Mikromoliya tashkiloti, Qarz oluvchi va XAYATOV OTABEK KURBANOVICH (01.04.2025y. sanasidagi reestr raqami №202502386001856 bo'lgan Ishonchnomaga asosan) tomonidan 2025 yil 1 aprelda imzolangan 1-sonli garov predmeti qiymatini tasdiqlash dalolatnomasiga muvofiq OQ BELAYA "KASABLANKA" rangli, ishlab chiqarilgan yili – 2011 yil,  dvigatel raqami B10D1606437KC3, shassi - RAKAMSIZ,  kuzov turi - YENGIL SEDAN, kuzov raqami №XWBMF481EBA580791, davlat raqam belgisi 80Y320AB bo'lgan SPARK rusumli avtomashinasi (bundan keyin “Garov predmeti”), egalik huquqiga ega  FAYZIYEV JAMSHID KURBONOVICHga tegishli va kelishilgan garov qiymati 2025 yil 1 aprelda imzolangan 1-sonli Garov predmeti qiymatini tasdiqlash dalolatnomasiga muvifiq 39 000 000,00 (o'ttiz to'qqiz million so'm) so'mni tashkil qiladi. Garov garovining aniq shartlari tegishli notarial rasmiylashtirilgan garov shartnomasi bilan belgilanadi.</v>
      </c>
      <c r="B24" s="275"/>
    </row>
    <row r="25" spans="1:11" ht="129" hidden="1" customHeight="1">
      <c r="A25" s="268" t="str">
        <f>IF(malumot!B98=malumot!C98,shartnoma!A27,IF(malumot!B98=malumot!D98,shartnoma!A26,0))</f>
        <v>3.1.1. Mikromoliya tashkiloti, Qarz oluvchi va XAYATOV OTABEK KURBANOVICH (01.04.2025y. sanasidagi reestr raqami №202502386001856 bo'lgan Ishonchnomaga asosan) tomonidan 2025 yil 1 aprelda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1 aprelda imzolangan 1-sonli Garov predmeti qiymatini tasdiqlash dalolatnomasiga muvofiq 39 000 000,00 (o'ttiz to'qqiz million so'm) so'mni tashkil qiladi. Garovning aniq shartlari tegishli tarzda notarial tasdiqlangan garov shartnomasi bilan belgilangan.</v>
      </c>
      <c r="B25" s="268"/>
    </row>
    <row r="26" spans="1:11" ht="129.75" hidden="1" customHeight="1">
      <c r="A26" s="275" t="str">
        <f>"3.1.1. "&amp;malumot!N134&amp;" tomonidan "&amp;malumot!B151&amp;" yil "&amp;malumot!B153&amp;" "&amp;malumot!B152&amp;"da imzolangan 1-sonli navbatdagi garov predmeti qiymatini tasdiqlash dalolatnomasiga muvofiq "&amp;malumot!C131&amp;" manzilida joylashgan, "&amp;malumot!E134&amp;" bo'lgan, "&amp;malumot!E133&amp;" ko'rinishidagi ko'chmas mulk (bundan keyin “navbatdagi garov predmeti”), egalik huquqiga ko'ra  "&amp;malumot!C125&amp;"ga tegishli va kelishilgan garov qiymati "&amp;malumot!B151&amp;" yil "&amp;malumot!B153&amp;" "&amp;malumot!B152&amp;"da imzolangan 1-sonli Garov predmeti qiymatini tasdiqlash dalolatnomasiga muvofiq "&amp;FIXED(malumot!B144,2)&amp;" ("&amp;malumot!B146&amp;") so'mni tashkil qiladi. Garovning aniq shartlari tegishli tarzda notarial tasdiqlangan garov shartnomasi bilan belgilangan."</f>
        <v>3.1.1. Mikromoliya tashkiloti, Qarz oluvchi va XAYATOV OTABEK KURBANOVICH (01.04.2025y. sanasidagi reestr raqami №202502386001856 bo'lgan Ishonchnomaga asosan) tomonidan 2025 yil 1 aprelda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0ga tegishli va kelishilgan garov qiymati 2025 yil 1 aprelda imzolangan 1-sonli Garov predmeti qiymatini tasdiqlash dalolatnomasiga muvofiq 39 000 000,00 (o'ttiz to'qqiz million so'm) so'mni tashkil qiladi. Garovning aniq shartlari tegishli tarzda notarial tasdiqlangan garov shartnomasi bilan belgilangan.</v>
      </c>
      <c r="B26" s="275"/>
    </row>
    <row r="27" spans="1:11" ht="131.25" hidden="1" customHeight="1">
      <c r="A27" s="268" t="str">
        <f>"3.1.1. "&amp;malumot!N134&amp;" tomonidan "&amp;malumot!B151&amp;" yil "&amp;malumot!B153&amp;" "&amp;malumot!B152&amp;"da imzolangan 1-sonli Garov predmeti qiymatini tasdiqlash dalolatnomasiga muvofiq "&amp;malumot!C131&amp;" manzilida joylashgan, "&amp;malumot!E134&amp;" bo'lgan, "&amp;malumot!E133&amp;" ko'rinishidagi ko'chmas mulk (bundan keyin “Garov predmeti”), egalik huquqiga ko'ra  "&amp;malumot!C125&amp;"ga tegishli va kelishilgan garov qiymati "&amp;malumot!B151&amp;" yil "&amp;malumot!B153&amp;" "&amp;malumot!B152&amp;"da imzolangan 1-sonli Garov predmeti qiymatini tasdiqlash dalolatnomasiga muvofiq "&amp;FIXED(malumot!B144,2)&amp;" ("&amp;malumot!B146&amp;") so'mni tashkil qiladi. Garovning aniq shartlari tegishli tarzda notarial tasdiqlangan garov shartnomasi bilan belgilangan."</f>
        <v>3.1.1. Mikromoliya tashkiloti, Qarz oluvchi va XAYATOV OTABEK KURBANOVICH (01.04.2025y. sanasidagi reestr raqami №202502386001856 bo'lgan Ishonchnomaga asosan) tomonidan 2025 yil 1 aprelda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1 aprelda imzolangan 1-sonli Garov predmeti qiymatini tasdiqlash dalolatnomasiga muvofiq 39 000 000,00 (o'ttiz to'qqiz million so'm) so'mni tashkil qiladi. Garovning aniq shartlari tegishli tarzda notarial tasdiqlangan garov shartnomasi bilan belgilangan.</v>
      </c>
      <c r="B27" s="268"/>
    </row>
    <row r="28" spans="1:11" ht="114" hidden="1" customHeight="1">
      <c r="A28" s="275" t="str">
        <f>IF(malumot!B98=malumot!C98,A29,IF(malumot!B98=malumot!D98,A30,0))</f>
        <v>3.1.1. Mikromoliya tashkiloti, Qarz oluvchi va XAYATOV OTABEK KURBANOVICH (01.04.2025y. sanasidagi reestr raqami №202502386001856 bo'lgan Ishonchnomaga asosan) tomonidan 2025 yil 1 aprelda imzolangan 1-sonli garov predmeti qiymatini tasdiqlash dalolatnomasiga muvofiq OQ BELAYA "KASABLANKA" rangli, ishlab chiqarilgan yili – 2011 yil,  dvigatel raqami B10D1606437KC3, shassi - RAKAMSIZ,  kuzov turi - YENGIL SEDAN, kuzov raqami №XWBMF481EBA580791, davlat raqam belgisi 80Y320AB bo'lgan SPARK rusumli avtomashinasi (bundan keyin “Garov predmeti”), egalik huquqiga ega  FAYZIYEV JAMSHID KURBONOVICHga tegishli va kelishilgan garov qiymati 2025 yil 1 aprelda imzolangan 1-sonli Garov predmeti qiymatini tasdiqlash dalolatnomasiga muvifiq 39 000 000,00 (o'ttiz to'qqiz million so'm) so'mni tashkil qiladi. Garov garovining aniq shartlari tegishli notarial rasmiylashtirilgan garov shartnomasi bilan belgilanadi.</v>
      </c>
      <c r="B28" s="275"/>
      <c r="K28" s="4" t="s">
        <v>324</v>
      </c>
    </row>
    <row r="29" spans="1:11" ht="114.75" hidden="1" customHeight="1">
      <c r="A29" s="275" t="str">
        <f>"3.1.1. "&amp;malumot!N134&amp;" tomonidan "&amp;malumot!B151&amp;" yil "&amp;malumot!B153&amp;" "&amp;malumot!B152&amp;"da imzolangan 1-sonli garov predmeti qiymatini tasdiqlash dalolatnomasiga muvofiq "&amp;malumot!B142&amp;" rangli, ishlab chiqarilgan yili – "&amp;malumot!B143&amp;" yil,  dvigatel raqami "&amp;malumot!B139&amp;", shassi - "&amp;malumot!B140&amp;",  kuzov turi - "&amp;malumot!B136&amp;", kuzov raqami №"&amp;malumot!B137&amp;", davlat raqam belgisi "&amp;malumot!B134&amp;" bo'lgan "&amp;malumot!B133&amp;" rusumli avtomashinasi (bundan keyin “Garov predmeti”), egalik huquqiga ega  "&amp;malumot!B125&amp;"ga tegishli va kelishilgan garov qiymati "&amp;malumot!B151&amp;" yil "&amp;malumot!B153&amp;" "&amp;malumot!B152&amp;"da imzolangan 1-sonli Garov predmeti qiymatini tasdiqlash dalolatnomasiga muvifiq "&amp;FIXED(malumot!B144,2)&amp;" ("&amp;malumot!B146&amp;") so'mni tashkil qiladi. Garov garovining aniq shartlari tegishli notarial rasmiylashtirilgan garov shartnomasi bilan belgilanadi."</f>
        <v>3.1.1. Mikromoliya tashkiloti, Qarz oluvchi va XAYATOV OTABEK KURBANOVICH (01.04.2025y. sanasidagi reestr raqami №202502386001856 bo'lgan Ishonchnomaga asosan) tomonidan 2025 yil 1 aprelda imzolangan 1-sonli garov predmeti qiymatini tasdiqlash dalolatnomasiga muvofiq OQ BELAYA "KASABLANKA" rangli, ishlab chiqarilgan yili – 2011 yil,  dvigatel raqami B10D1606437KC3, shassi - RAKAMSIZ,  kuzov turi - YENGIL SEDAN, kuzov raqami №XWBMF481EBA580791, davlat raqam belgisi 80Y320AB bo'lgan SPARK rusumli avtomashinasi (bundan keyin “Garov predmeti”), egalik huquqiga ega  FAYZIYEV JAMSHID KURBONOVICHga tegishli va kelishilgan garov qiymati 2025 yil 1 aprelda imzolangan 1-sonli Garov predmeti qiymatini tasdiqlash dalolatnomasiga muvifiq 39 000 000,00 (o'ttiz to'qqiz million so'm) so'mni tashkil qiladi. Garov garovining aniq shartlari tegishli notarial rasmiylashtirilgan garov shartnomasi bilan belgilanadi.</v>
      </c>
      <c r="B29" s="275"/>
    </row>
    <row r="30" spans="1:11" ht="20.25" hidden="1" customHeight="1">
      <c r="A30" s="276" t="str">
        <f>"3.1.1. "&amp;malumot!N134&amp;" tomonidan "&amp;malumot!B151&amp;" yil "&amp;malumot!B153&amp;" "&amp;malumot!B152&amp;"da imzolangan 1-sonli navbatdagi garov predmeti qiymatini tasdiqlash dalolatnomasiga muvofiq "&amp;malumot!B142&amp;" rangli, ishlab chiqarilgan yili – "&amp;malumot!B143&amp;" yil,  dvigatel raqami "&amp;malumot!B139&amp;", shassi - "&amp;malumot!B140&amp;",  kuzov turi - "&amp;malumot!B136&amp;", kuzov raqami №"&amp;malumot!B137&amp;", davlat raqam belgisi "&amp;malumot!B134&amp;" bo'lgan "&amp;malumot!B133&amp;" rusumli avtomashinasi (bundan keyin “navbatdagi garov predmeti”), egalik huquqiga ega  "&amp;malumot!B125&amp;"ga tegishli va kelishilgan garov qiymati "&amp;malumot!B151&amp;" yil "&amp;malumot!B153&amp;" "&amp;malumot!B152&amp;"da imzolangan 1-sonli Garov predmeti qiymatini tasdiqlash dalolatnomasiga muvifiq "&amp;FIXED(malumot!B144,2)&amp;" ("&amp;malumot!B146&amp;") so'mni tashkil qiladi. Garov garovining aniq shartlari tegishli notarial rasmiylashtirilgan garov shartnomasi bilan belgilanadi."</f>
        <v>3.1.1. Mikromoliya tashkiloti, Qarz oluvchi va XAYATOV OTABEK KURBANOVICH (01.04.2025y. sanasidagi reestr raqami №202502386001856 bo'lgan Ishonchnomaga asosan) tomonidan 2025 yil 1 aprelda imzolangan 1-sonli navbatdagi garov predmeti qiymatini tasdiqlash dalolatnomasiga muvofiq OQ BELAYA "KASABLANKA" rangli, ishlab chiqarilgan yili – 2011 yil,  dvigatel raqami B10D1606437KC3, shassi - RAKAMSIZ,  kuzov turi - YENGIL SEDAN, kuzov raqami №XWBMF481EBA580791, davlat raqam belgisi 80Y320AB bo'lgan SPARK rusumli avtomashinasi (bundan keyin “navbatdagi garov predmeti”), egalik huquqiga ega  FAYZIYEV JAMSHID KURBONOVICHga tegishli va kelishilgan garov qiymati 2025 yil 1 aprelda imzolangan 1-sonli Garov predmeti qiymatini tasdiqlash dalolatnomasiga muvifiq 39 000 000,00 (o'ttiz to'qqiz million so'm) so'mni tashkil qiladi. Garov garovining aniq shartlari tegishli notarial rasmiylashtirilgan garov shartnomasi bilan belgilanadi.</v>
      </c>
      <c r="B30" s="276"/>
    </row>
    <row r="31" spans="1:11" ht="117" customHeight="1">
      <c r="A31" s="274"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74"/>
    </row>
    <row r="32" spans="1:11" ht="94.5" hidden="1">
      <c r="A32" s="231" t="s">
        <v>352</v>
      </c>
      <c r="B32" s="233"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63" hidden="1">
      <c r="A33" s="231"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3" s="233" t="s">
        <v>334</v>
      </c>
    </row>
    <row r="34" spans="1:8" ht="73.5" customHeight="1">
      <c r="A34" s="274" t="s">
        <v>261</v>
      </c>
      <c r="B34" s="274"/>
    </row>
    <row r="35" spans="1:8" ht="84" customHeight="1">
      <c r="A35" s="274" t="s">
        <v>312</v>
      </c>
      <c r="B35" s="274"/>
    </row>
    <row r="37" spans="1:8">
      <c r="A37" s="271" t="s">
        <v>311</v>
      </c>
      <c r="B37" s="271"/>
      <c r="C37" s="60"/>
    </row>
    <row r="38" spans="1:8">
      <c r="A38" s="268" t="s">
        <v>310</v>
      </c>
      <c r="B38" s="268"/>
    </row>
    <row r="39" spans="1:8" ht="114" customHeight="1">
      <c r="A39" s="274"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74"/>
      <c r="C39" s="4" t="str">
        <f>"4.1.1. Ushbu Shartnomada ko‘rsatilgan asoslar bo‘yicha Qarz oluvchiga Shartnomada ko‘zda tutilgan "&amp;malumot!B65&amp;""</f>
        <v>4.1.1. Ushbu Shartnomada ko‘rsatilgan asoslar bo‘yicha Qarz oluvchiga Shartnomada ko‘zda tutilgan mikroqarz</v>
      </c>
      <c r="H39" s="129" t="s">
        <v>384</v>
      </c>
    </row>
    <row r="40" spans="1:8" ht="39" customHeight="1">
      <c r="A40" s="274"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74"/>
    </row>
    <row r="41" spans="1:8">
      <c r="A41" s="274" t="s">
        <v>313</v>
      </c>
      <c r="B41" s="274"/>
    </row>
    <row r="42" spans="1:8" ht="33" customHeight="1">
      <c r="A42" s="274" t="str">
        <f>"b) "&amp;malumot!B65&amp;" summasiga hisoblanadigan asosiy qarz bo‘yicha muddati o‘tgan qarzdorlik va/yoki foizlarning yuzaga kelishi;"</f>
        <v>b) mikroqarz summasiga hisoblanadigan asosiy qarz bo‘yicha muddati o‘tgan qarzdorlik va/yoki foizlarning yuzaga kelishi;</v>
      </c>
      <c r="B42" s="274"/>
    </row>
    <row r="43" spans="1:8" ht="37.5" customHeight="1">
      <c r="A43" s="274" t="s">
        <v>314</v>
      </c>
      <c r="B43" s="274"/>
    </row>
    <row r="44" spans="1:8" ht="52.5" customHeight="1">
      <c r="A44" s="274" t="s">
        <v>315</v>
      </c>
      <c r="B44" s="274"/>
    </row>
    <row r="45" spans="1:8" ht="19.5" customHeight="1">
      <c r="A45" s="274" t="s">
        <v>316</v>
      </c>
      <c r="B45" s="274"/>
    </row>
    <row r="46" spans="1:8" ht="51.75" customHeight="1">
      <c r="A46" s="274"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74"/>
    </row>
    <row r="47" spans="1:8" ht="33.75" customHeight="1">
      <c r="A47" s="274" t="s">
        <v>309</v>
      </c>
      <c r="B47" s="274"/>
    </row>
    <row r="48" spans="1:8" ht="36.75" customHeight="1">
      <c r="A48" s="274" t="s">
        <v>308</v>
      </c>
      <c r="B48" s="274"/>
      <c r="C48" s="133"/>
    </row>
    <row r="49" spans="1:8" ht="84.75" customHeight="1">
      <c r="A49" s="268" t="s">
        <v>307</v>
      </c>
      <c r="B49" s="268"/>
      <c r="C49" s="133"/>
    </row>
    <row r="50" spans="1:8" ht="70.5" customHeight="1">
      <c r="A50" s="268" t="s">
        <v>306</v>
      </c>
      <c r="B50" s="268"/>
      <c r="C50" s="133"/>
    </row>
    <row r="51" spans="1:8" ht="39.75" customHeight="1">
      <c r="A51" s="268"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1" s="268"/>
      <c r="C51" s="133"/>
    </row>
    <row r="52" spans="1:8" ht="33" customHeight="1">
      <c r="A52" s="268" t="s">
        <v>317</v>
      </c>
      <c r="B52" s="268"/>
      <c r="C52" s="133"/>
    </row>
    <row r="53" spans="1:8" ht="39.75" customHeight="1">
      <c r="A53" s="268" t="s">
        <v>305</v>
      </c>
      <c r="B53" s="268"/>
      <c r="C53" s="133"/>
    </row>
    <row r="54" spans="1:8" ht="50.25" customHeight="1">
      <c r="A54" s="268"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68"/>
      <c r="C54" s="133" t="str">
        <f>"4.1.10. Qarz oluvchi taqdim etilgan "&amp;malumot!B65&amp;"dan Shartnoma tuzilgan kundan boshlab 1 (bir) oy davomida foydalanmagan"</f>
        <v>4.1.10. Qarz oluvchi taqdim etilgan mikroqarzdan Shartnoma tuzilgan kundan boshlab 1 (bir) oy davomida foydalanmagan</v>
      </c>
      <c r="H54" s="4" t="s">
        <v>335</v>
      </c>
    </row>
    <row r="55" spans="1:8" ht="19.5" customHeight="1">
      <c r="A55" s="268" t="str">
        <f>"4.1.11. Oldingi "&amp;malumot!B65&amp;" to‘liq to‘lanmagunga qadar yangi "&amp;malumot!B65&amp;" berishni rad etish."</f>
        <v>4.1.11. Oldingi mikroqarz to‘liq to‘lanmagunga qadar yangi mikroqarz berishni rad etish.</v>
      </c>
      <c r="B55" s="268"/>
      <c r="C55" s="133"/>
    </row>
    <row r="57" spans="1:8">
      <c r="A57" s="270" t="s">
        <v>304</v>
      </c>
      <c r="B57" s="270"/>
      <c r="C57" s="132"/>
    </row>
    <row r="58" spans="1:8">
      <c r="A58" s="273" t="s">
        <v>303</v>
      </c>
      <c r="B58" s="273"/>
      <c r="C58" s="134"/>
    </row>
    <row r="59" spans="1:8" ht="36" customHeight="1">
      <c r="A59" s="268"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68"/>
      <c r="C59" s="133"/>
    </row>
    <row r="60" spans="1:8" ht="36.75" customHeight="1">
      <c r="A60" s="268"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0" s="268"/>
      <c r="C60" s="133"/>
    </row>
    <row r="61" spans="1:8" ht="17.25" customHeight="1">
      <c r="A61" s="268" t="str">
        <f>"5.1.3. "&amp;malumot!C64&amp;" xizmatlari ko‘rsatish qoidalari bilan tanishish."</f>
        <v>5.1.3. Mikroqarz xizmatlari ko‘rsatish qoidalari bilan tanishish.</v>
      </c>
      <c r="B61" s="268"/>
      <c r="C61" s="133"/>
    </row>
    <row r="62" spans="1:8" ht="36" customHeight="1">
      <c r="A62" s="268"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2" s="268"/>
      <c r="C62" s="133"/>
    </row>
    <row r="63" spans="1:8" ht="33.75" customHeight="1">
      <c r="A63" s="268" t="s">
        <v>318</v>
      </c>
      <c r="B63" s="268"/>
      <c r="C63" s="133"/>
    </row>
    <row r="64" spans="1:8">
      <c r="A64" s="273" t="s">
        <v>302</v>
      </c>
      <c r="B64" s="273"/>
      <c r="C64" s="134"/>
    </row>
    <row r="65" spans="1:8" ht="37.5" customHeight="1">
      <c r="A65" s="268"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68"/>
      <c r="C65" s="133"/>
    </row>
    <row r="66" spans="1:8" ht="39.75" customHeight="1">
      <c r="A66" s="268" t="s">
        <v>319</v>
      </c>
      <c r="B66" s="268"/>
      <c r="C66" s="133"/>
    </row>
    <row r="67" spans="1:8" ht="27" customHeight="1">
      <c r="A67" s="268" t="str">
        <f>"5.2.3. To‘lov jadvaliga muvofiq "&amp;malumot!B65&amp;", shuningdek hisoblangan foizlar to‘lovlarini amalga oshirish."</f>
        <v>5.2.3. To‘lov jadvaliga muvofiq mikroqarz, shuningdek hisoblangan foizlar to‘lovlarini amalga oshirish.</v>
      </c>
      <c r="B67" s="268"/>
      <c r="C67" s="133"/>
    </row>
    <row r="68" spans="1:8" ht="84" customHeight="1">
      <c r="A68" s="268"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68"/>
      <c r="C68" s="133" t="s">
        <v>336</v>
      </c>
      <c r="H68" s="4"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68" t="s">
        <v>320</v>
      </c>
      <c r="B69" s="268"/>
      <c r="C69" s="133"/>
    </row>
    <row r="70" spans="1:8" ht="36" customHeight="1">
      <c r="A70" s="268"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0" s="268"/>
      <c r="C70" s="133"/>
    </row>
    <row r="71" spans="1:8" ht="51.75" customHeight="1">
      <c r="A71" s="272" t="s">
        <v>337</v>
      </c>
      <c r="B71" s="272"/>
      <c r="C71" s="136"/>
    </row>
    <row r="72" spans="1:8" ht="71.25" customHeight="1">
      <c r="A72" s="268"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68"/>
      <c r="C72" s="133"/>
    </row>
    <row r="73" spans="1:8" ht="33.75" customHeight="1">
      <c r="A73" s="268"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68"/>
      <c r="C73" s="133"/>
      <c r="H73" s="4" t="s">
        <v>333</v>
      </c>
    </row>
    <row r="74" spans="1:8" ht="68.25" customHeight="1">
      <c r="A74" s="268"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68"/>
      <c r="C74" s="133"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4" s="4" t="s">
        <v>338</v>
      </c>
    </row>
    <row r="75" spans="1:8">
      <c r="A75" s="234"/>
    </row>
    <row r="76" spans="1:8">
      <c r="A76" s="271" t="s">
        <v>301</v>
      </c>
      <c r="B76" s="271"/>
      <c r="C76" s="135"/>
    </row>
    <row r="77" spans="1:8" ht="98.25" customHeight="1">
      <c r="A77" s="268"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68"/>
      <c r="C77" s="133" t="s">
        <v>339</v>
      </c>
      <c r="H77" s="4"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68" t="s">
        <v>300</v>
      </c>
      <c r="B78" s="268"/>
      <c r="C78" s="133"/>
    </row>
    <row r="79" spans="1:8" ht="35.25" customHeight="1">
      <c r="A79" s="268" t="s">
        <v>299</v>
      </c>
      <c r="B79" s="268"/>
      <c r="C79" s="133"/>
    </row>
    <row r="80" spans="1:8" ht="33" customHeight="1">
      <c r="A80" s="268" t="s">
        <v>298</v>
      </c>
      <c r="B80" s="268"/>
      <c r="C80" s="133"/>
    </row>
    <row r="82" spans="1:3">
      <c r="A82" s="269" t="s">
        <v>297</v>
      </c>
      <c r="B82" s="269"/>
      <c r="C82" s="56"/>
    </row>
    <row r="83" spans="1:3" ht="145.5" customHeight="1">
      <c r="A83" s="268" t="s">
        <v>296</v>
      </c>
      <c r="B83" s="268"/>
      <c r="C83" s="133"/>
    </row>
    <row r="84" spans="1:3" ht="33.75" customHeight="1">
      <c r="A84" s="268" t="s">
        <v>340</v>
      </c>
      <c r="B84" s="268"/>
      <c r="C84" s="133"/>
    </row>
    <row r="85" spans="1:3" ht="34.5" customHeight="1">
      <c r="A85" s="268" t="s">
        <v>295</v>
      </c>
      <c r="B85" s="268"/>
      <c r="C85" s="133"/>
    </row>
    <row r="86" spans="1:3" ht="36" customHeight="1">
      <c r="A86" s="268" t="s">
        <v>294</v>
      </c>
      <c r="B86" s="268"/>
      <c r="C86" s="133"/>
    </row>
    <row r="88" spans="1:3">
      <c r="A88" s="269" t="s">
        <v>293</v>
      </c>
      <c r="B88" s="269"/>
      <c r="C88" s="56"/>
    </row>
    <row r="89" spans="1:3" ht="99.75" customHeight="1">
      <c r="A89" s="268" t="s">
        <v>353</v>
      </c>
      <c r="B89" s="268"/>
      <c r="C89" s="133"/>
    </row>
    <row r="90" spans="1:3" ht="36.75" customHeight="1">
      <c r="A90" s="268" t="s">
        <v>321</v>
      </c>
      <c r="B90" s="268"/>
      <c r="C90" s="133"/>
    </row>
    <row r="91" spans="1:3" ht="52.5" customHeight="1">
      <c r="A91" s="268"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68"/>
      <c r="C91" s="133"/>
    </row>
    <row r="93" spans="1:3">
      <c r="A93" s="267" t="s">
        <v>292</v>
      </c>
      <c r="B93" s="267"/>
      <c r="C93" s="59"/>
    </row>
    <row r="94" spans="1:3" ht="20.25" customHeight="1">
      <c r="A94" s="268" t="s">
        <v>291</v>
      </c>
      <c r="B94" s="268"/>
      <c r="C94" s="133"/>
    </row>
    <row r="95" spans="1:3" ht="33.75" customHeight="1">
      <c r="A95" s="268"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68"/>
      <c r="C95" s="133"/>
    </row>
    <row r="96" spans="1:3" ht="37.5" customHeight="1">
      <c r="A96" s="268" t="s">
        <v>290</v>
      </c>
      <c r="B96" s="268"/>
      <c r="C96" s="133"/>
    </row>
    <row r="98" spans="1:3">
      <c r="A98" s="270" t="s">
        <v>289</v>
      </c>
      <c r="B98" s="270"/>
      <c r="C98" s="55"/>
    </row>
    <row r="99" spans="1:3" ht="82.5" customHeight="1">
      <c r="A99" s="268" t="s">
        <v>288</v>
      </c>
      <c r="B99" s="268"/>
      <c r="C99" s="133"/>
    </row>
    <row r="100" spans="1:3" ht="66" customHeight="1">
      <c r="A100" s="268" t="s">
        <v>287</v>
      </c>
      <c r="B100" s="268"/>
      <c r="C100" s="133"/>
    </row>
    <row r="101" spans="1:3" ht="48" customHeight="1">
      <c r="A101" s="268" t="s">
        <v>286</v>
      </c>
      <c r="B101" s="268"/>
      <c r="C101" s="133"/>
    </row>
    <row r="103" spans="1:3">
      <c r="A103" s="269" t="s">
        <v>285</v>
      </c>
      <c r="B103" s="269"/>
      <c r="C103" s="123"/>
    </row>
    <row r="104" spans="1:3" ht="37.5" customHeight="1">
      <c r="A104" s="268" t="s">
        <v>284</v>
      </c>
      <c r="B104" s="268"/>
      <c r="C104" s="133"/>
    </row>
    <row r="105" spans="1:3" ht="34.5" customHeight="1">
      <c r="A105" s="268" t="s">
        <v>283</v>
      </c>
      <c r="B105" s="268"/>
      <c r="C105" s="133"/>
    </row>
    <row r="106" spans="1:3" ht="66.75" customHeight="1">
      <c r="A106" s="268" t="s">
        <v>282</v>
      </c>
      <c r="B106" s="268"/>
      <c r="C106" s="133"/>
    </row>
    <row r="107" spans="1:3" ht="51" customHeight="1">
      <c r="A107" s="268" t="s">
        <v>281</v>
      </c>
      <c r="B107" s="268"/>
      <c r="C107" s="133"/>
    </row>
    <row r="108" spans="1:3" ht="37.5" customHeight="1">
      <c r="A108" s="268" t="s">
        <v>280</v>
      </c>
      <c r="B108" s="268"/>
      <c r="C108" s="133"/>
    </row>
    <row r="109" spans="1:3" ht="38.25" customHeight="1">
      <c r="A109" s="268" t="s">
        <v>279</v>
      </c>
      <c r="B109" s="268"/>
      <c r="C109" s="133"/>
    </row>
    <row r="110" spans="1:3" ht="21" customHeight="1">
      <c r="A110" s="268" t="s">
        <v>278</v>
      </c>
      <c r="B110" s="268"/>
      <c r="C110" s="133"/>
    </row>
    <row r="111" spans="1:3" ht="4.5" customHeight="1">
      <c r="A111" s="268"/>
      <c r="B111" s="268"/>
      <c r="C111" s="133"/>
    </row>
    <row r="112" spans="1:3" ht="3.75" customHeight="1"/>
    <row r="113" spans="1:3">
      <c r="A113" s="267" t="s">
        <v>322</v>
      </c>
      <c r="B113" s="267"/>
      <c r="C113" s="59"/>
    </row>
    <row r="114" spans="1:3" ht="7.5" customHeight="1"/>
    <row r="115" spans="1:3">
      <c r="A115" s="235" t="s">
        <v>277</v>
      </c>
      <c r="B115" s="236" t="s">
        <v>276</v>
      </c>
    </row>
    <row r="116" spans="1:3" ht="31.5">
      <c r="A116" s="238" t="str">
        <f>malumot!B156</f>
        <v>«CLEVER MIKROMOLIYA TASHKILOTI» MChJ</v>
      </c>
      <c r="B116" s="239" t="str">
        <f>malumot!B5</f>
        <v>XAYATOV OTABEK KURBANOVICH</v>
      </c>
    </row>
    <row r="117" spans="1:3" ht="31.5">
      <c r="A117" s="240" t="str">
        <f>"Manzil: "&amp;malumot!B161&amp;""</f>
        <v>Manzil: Toshkent shahri, Olmazor tumani, Sagbon ko'chasi, 30 boshi berk, 6-uy</v>
      </c>
      <c r="B117" s="241" t="str">
        <f>"Manzil: "&amp;malumot!B27&amp;""</f>
        <v>Manzil: BUXORO VILOYATI KOGON TUMANI NIYOZ HOJI QISHLOG'I</v>
      </c>
    </row>
    <row r="118" spans="1:3">
      <c r="A118" s="242" t="str">
        <f>"h/r: "&amp;malumot!B162&amp;""</f>
        <v>h/r: №20216000705068380001</v>
      </c>
      <c r="B118" s="243"/>
    </row>
    <row r="119" spans="1:3" ht="31.5">
      <c r="A119" s="240" t="str">
        <f>"MFO: "&amp;malumot!B163&amp;" в "&amp;malumot!B164&amp;""</f>
        <v>MFO: №01042 в ATB “Kapitalbank” Sergeli filiali</v>
      </c>
      <c r="B119" s="241" t="str">
        <f>"Pasport: "&amp;malumot!B16&amp;", "&amp;malumot!B20&amp;""</f>
        <v>Pasport: AB 7858443, BUXORO VILOYATI KOGON TUMAN IIB tomonidan 06.10.2017 yilda berilgan</v>
      </c>
    </row>
    <row r="120" spans="1:3">
      <c r="A120" s="240" t="str">
        <f>"STIR: "&amp;malumot!B165&amp;""</f>
        <v>STIR: 306365847</v>
      </c>
      <c r="B120" s="244" t="str">
        <f>"Tel: "&amp;malumot!B40&amp;""</f>
        <v>Tel: 97 305 82 83 UZI</v>
      </c>
    </row>
    <row r="121" spans="1:3">
      <c r="A121" s="245" t="str">
        <f>"Tel: (78) 113 31 33"</f>
        <v>Tel: (78) 113 31 33</v>
      </c>
      <c r="B121" s="244" t="str">
        <f>malumot!B41</f>
        <v>88 305 82 89 AYOLI</v>
      </c>
    </row>
    <row r="122" spans="1:3">
      <c r="A122" s="245" t="s">
        <v>7</v>
      </c>
      <c r="B122" s="244" t="str">
        <f>malumot!B42</f>
        <v>97 705 05 17 O'G'LI</v>
      </c>
    </row>
    <row r="123" spans="1:3">
      <c r="A123" s="246"/>
      <c r="B123" s="243"/>
    </row>
    <row r="124" spans="1:3">
      <c r="A124" s="266" t="str">
        <f>malumot!A169</f>
        <v>Buxoro filiali boshlig'i</v>
      </c>
      <c r="B124" s="237"/>
    </row>
    <row r="125" spans="1:3">
      <c r="A125" s="266"/>
      <c r="B125" s="247" t="str">
        <f>""&amp;malumot!B7&amp;"     __________________"</f>
        <v>XAYATOV O.K.     __________________</v>
      </c>
    </row>
    <row r="126" spans="1:3">
      <c r="A126" s="248" t="str">
        <f>malumot!B158</f>
        <v>A.Xudayberdiyev</v>
      </c>
      <c r="B126" s="237"/>
    </row>
    <row r="127" spans="1:3">
      <c r="A127" s="248"/>
      <c r="B127" s="249"/>
    </row>
    <row r="128" spans="1:3">
      <c r="A128" s="250"/>
      <c r="B128" s="251" t="s">
        <v>397</v>
      </c>
    </row>
    <row r="129" spans="1:1" ht="24.75" hidden="1" customHeight="1">
      <c r="A129" s="4" t="str">
        <f>"менеджер :   "&amp;malumot!B169&amp;"______________"</f>
        <v>менеджер :   A.Xudayberdiyev______________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4:A125"/>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1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14">
    <tabColor rgb="FF00B050"/>
  </sheetPr>
  <dimension ref="A3:E28"/>
  <sheetViews>
    <sheetView view="pageBreakPreview" topLeftCell="A6" zoomScaleSheetLayoutView="100" workbookViewId="0">
      <selection activeCell="D27" sqref="D27"/>
    </sheetView>
  </sheetViews>
  <sheetFormatPr defaultColWidth="9.140625" defaultRowHeight="15" outlineLevelRow="1"/>
  <cols>
    <col min="1" max="1" width="23.85546875" style="10" customWidth="1"/>
    <col min="2" max="2" width="23.28515625" style="10" customWidth="1"/>
    <col min="3" max="3" width="17" style="10" customWidth="1"/>
    <col min="4" max="4" width="17.5703125" style="10" customWidth="1"/>
    <col min="5" max="5" width="19.7109375" style="10" customWidth="1"/>
    <col min="6" max="16384" width="9.140625" style="10"/>
  </cols>
  <sheetData>
    <row r="3" spans="1:5" ht="16.5" customHeight="1"/>
    <row r="4" spans="1:5" ht="17.25" customHeight="1">
      <c r="A4" s="281" t="str">
        <f>""&amp;malumot!B155&amp;" ijrochi direktorining
"&amp;malumot!B177&amp;"dagi "&amp;malumot!B172&amp;"-sonli buyrug‘i"</f>
        <v>«CLEVER MIKROMOLIYA TASHKILOTI» MChJ ijrochi direktorining
dagi № 687-BR-sonli buyrug‘i</v>
      </c>
      <c r="B4" s="281"/>
      <c r="C4" s="281"/>
      <c r="D4" s="281"/>
      <c r="E4" s="281"/>
    </row>
    <row r="5" spans="1:5">
      <c r="A5" s="281"/>
      <c r="B5" s="281"/>
      <c r="C5" s="281"/>
      <c r="D5" s="281"/>
      <c r="E5" s="281"/>
    </row>
    <row r="6" spans="1:5">
      <c r="A6" s="281"/>
      <c r="B6" s="281"/>
      <c r="C6" s="281"/>
      <c r="D6" s="281"/>
      <c r="E6" s="281"/>
    </row>
    <row r="7" spans="1:5">
      <c r="A7" s="280"/>
      <c r="B7" s="280"/>
      <c r="C7" s="280"/>
      <c r="D7" s="280"/>
      <c r="E7" s="280"/>
    </row>
    <row r="8" spans="1:5" ht="44.25" customHeight="1">
      <c r="A8" s="280" t="str">
        <f>"Men, Abduraximov Nadirbek Kamilevich "&amp;malumot!B155&amp;" ijrochi direktori, jismoniy shaxs "&amp;malumot!B10&amp;"ga quyidagi shartlarda "&amp;malumot!B65&amp;" berishni buyuraman:"</f>
        <v>Men, Abduraximov Nadirbek Kamilevich «CLEVER MIKROMOLIYA TASHKILOTI» MChJ ijrochi direktori, jismoniy shaxs XAYATOV OTABEK KURBANOVICHga quyidagi shartlarda mikroqarz berishni buyuraman:</v>
      </c>
      <c r="B8" s="280"/>
      <c r="C8" s="280"/>
      <c r="D8" s="280"/>
      <c r="E8" s="280"/>
    </row>
    <row r="9" spans="1:5" ht="26.25" customHeight="1">
      <c r="A9" s="280" t="str">
        <f>kredit_ariza!A13:D13</f>
        <v>Mikroqarz summasi: 26 000 000,00 (yigirma olti million so'm) so'm.</v>
      </c>
      <c r="B9" s="280"/>
      <c r="C9" s="280"/>
      <c r="D9" s="280"/>
      <c r="E9" s="280"/>
    </row>
    <row r="10" spans="1:5" ht="21" customHeight="1">
      <c r="A10" s="280" t="str">
        <f>kredit_ariza!A14:D14</f>
        <v>Mikroqarz muddati: 32 (o'ttiz ikki) oy.</v>
      </c>
      <c r="B10" s="280"/>
      <c r="C10" s="280"/>
      <c r="D10" s="280"/>
      <c r="E10" s="280"/>
    </row>
    <row r="11" spans="1:5" ht="27" customHeight="1">
      <c r="A11" s="280" t="str">
        <f>kredit_ariza!A15:D15</f>
        <v>Mikroqarzdan foydalanganlik uchun foiz stavkasi: yillik  60% (Oltmish) foiz</v>
      </c>
      <c r="B11" s="280"/>
      <c r="C11" s="280"/>
      <c r="D11" s="280"/>
      <c r="E11" s="280"/>
    </row>
    <row r="12" spans="1:5" ht="26.25" customHeight="1">
      <c r="A12" s="280" t="str">
        <f>kredit_ariza!A16:D16</f>
        <v>Mikroqarz bo'yicha asosiy qarz va foizlarni to'lash:</v>
      </c>
      <c r="B12" s="280"/>
      <c r="C12" s="280"/>
      <c r="D12" s="280"/>
      <c r="E12" s="280"/>
    </row>
    <row r="13" spans="1:5" ht="21.75" hidden="1" customHeight="1">
      <c r="A13" s="280" t="str">
        <f>kredit_ariza!A17:D17</f>
        <v xml:space="preserve"> - mikroqarz shartnomasi bo'yicha har oy differensial to'lovlari amalga oshiriladi</v>
      </c>
      <c r="B13" s="280"/>
      <c r="C13" s="280"/>
      <c r="D13" s="280"/>
      <c r="E13" s="280"/>
    </row>
    <row r="14" spans="1:5" hidden="1">
      <c r="A14" s="280" t="str">
        <f>kredit_ariza!A19:D19</f>
        <v xml:space="preserve"> - mikroqarz shartnomasi bo'yicha har oy differensial to'lovlari amalga oshiriladi</v>
      </c>
      <c r="B14" s="280"/>
      <c r="C14" s="280"/>
      <c r="D14" s="280"/>
      <c r="E14" s="280"/>
    </row>
    <row r="15" spans="1:5" ht="23.25" customHeight="1">
      <c r="A15" s="280" t="str">
        <f>IF(malumot!B111="Avtotransport",buyruq!A14:E14,buyruq!A13:E13)</f>
        <v xml:space="preserve"> - mikroqarz shartnomasi bo'yicha har oy differensial to'lovlari amalga oshiriladi</v>
      </c>
      <c r="B15" s="280"/>
      <c r="C15" s="280"/>
      <c r="D15" s="280"/>
      <c r="E15" s="280"/>
    </row>
    <row r="16" spans="1:5" ht="45.75" customHeight="1">
      <c r="A16" s="279" t="str">
        <f>IF(malumot!B111=malumot!D111,""&amp;malumot!C125&amp;"ga tegishli "&amp;malumot!C134&amp;" ko'rinishidagi ko'chmas mulkni quyidagi ma'lumotlarga muvofiq  garovga qabul qilinsin:",""&amp;malumot!B125&amp;"ga tegishli "&amp;malumot!B133&amp;" ko'rinishidagi transport vositasini quyidagi ma'lumotlarga muvofiq garovga qabul qilinsin:")</f>
        <v>FAYZIYEV JAMSHID KURBONOVICHga tegishli SPARK ko'rinishidagi transport vositasini quyidagi ma'lumotlarga muvofiq garovga qabul qilinsin:</v>
      </c>
      <c r="B16" s="279"/>
      <c r="C16" s="279"/>
      <c r="D16" s="279"/>
      <c r="E16" s="279"/>
    </row>
    <row r="17" spans="1:5" ht="50.25" hidden="1" customHeight="1">
      <c r="A17" s="280" t="str">
        <f>""&amp;malumot!C125&amp;"ga tegishli "&amp;malumot!C134&amp;" ko'rinishidagi ko'chmas mulkni quyidagi ma'lumotlarga muvofiq  garovga qabul qilinsin:"</f>
        <v>0ga tegishli 3 - xonali yakka tartibdagi uy-joy ko'rinishidagi ko'chmas mulkni quyidagi ma'lumotlarga muvofiq  garovga qabul qilinsin:</v>
      </c>
      <c r="B17" s="280"/>
      <c r="C17" s="280"/>
      <c r="D17" s="280"/>
      <c r="E17" s="280"/>
    </row>
    <row r="18" spans="1:5" ht="47.25" hidden="1" customHeight="1">
      <c r="A18" s="280" t="str">
        <f>""&amp;malumot!B125&amp;"ga tegishli "&amp;malumot!B133&amp;" ko'rinishidagi transport vositasini quyidagi ma'lumotlarga muvofiq garovga qabul qilinsin:"</f>
        <v>FAYZIYEV JAMSHID KURBONOVICHga tegishli SPARK ko'rinishidagi transport vositasini quyidagi ma'lumotlarga muvofiq garovga qabul qilinsin:</v>
      </c>
      <c r="B18" s="280"/>
      <c r="C18" s="280"/>
      <c r="D18" s="280"/>
      <c r="E18" s="280"/>
    </row>
    <row r="19" spans="1:5" s="31" customFormat="1" ht="60" customHeight="1" outlineLevel="1">
      <c r="A19" s="33" t="str">
        <f>dalolatnoma!A29</f>
        <v>Nomi</v>
      </c>
      <c r="B19" s="33" t="str">
        <f>dalolatnoma!B29</f>
        <v>Kuzov turi  va kuzov raqami*</v>
      </c>
      <c r="C19" s="33" t="str">
        <f>dalolatnoma!C29</f>
        <v>Dvigatel va shassi raqami*</v>
      </c>
      <c r="D19" s="33" t="str">
        <f>dalolatnoma!D29</f>
        <v>Ishlab chiqarilgan yili va rangi*</v>
      </c>
      <c r="E19" s="33" t="str">
        <f>dalolatnoma!E29</f>
        <v>Kelishilgan garov qiymati, so'm</v>
      </c>
    </row>
    <row r="20" spans="1:5" ht="94.5" customHeight="1" outlineLevel="1">
      <c r="A20" s="12" t="str">
        <f>dalolatnoma!A30</f>
        <v>SPARK</v>
      </c>
      <c r="B20" s="12" t="str">
        <f>dalolatnoma!B30</f>
        <v>kuzov turi - YENGIL SEDAN, kuzov raqami XWBMF481EBA580791</v>
      </c>
      <c r="C20" s="12" t="str">
        <f>dalolatnoma!C30</f>
        <v>dvigatel raqami B10D1606437KC3, shassi raqami - RAKAMSIZ</v>
      </c>
      <c r="D20" s="12" t="str">
        <f>dalolatnoma!D30</f>
        <v>rangi -  OQ BELAYA "KASABLANKA", ishlab chiqarilgan yili - 2011</v>
      </c>
      <c r="E20" s="12" t="str">
        <f>dalolatnoma!E30</f>
        <v>39 000 000,00 
(o'ttiz to'qqiz million so'm)</v>
      </c>
    </row>
    <row r="21" spans="1:5" ht="20.25" customHeight="1" outlineLevel="1">
      <c r="A21" s="280" t="str">
        <f>dalolatnoma!A22:E22</f>
        <v>-* avtotransport egasi: FAYZIYEV JAMSHID KURBONOVICH</v>
      </c>
      <c r="B21" s="280"/>
      <c r="C21" s="280"/>
      <c r="D21" s="280"/>
      <c r="E21" s="280"/>
    </row>
    <row r="22" spans="1:5" ht="20.25" customHeight="1" outlineLevel="1">
      <c r="A22" s="280" t="str">
        <f>dalolatnoma!A23:E23</f>
        <v>-* texnik pasport: AAG   4517617  20.08.2024y</v>
      </c>
      <c r="B22" s="280"/>
      <c r="C22" s="280"/>
      <c r="D22" s="280"/>
      <c r="E22" s="280"/>
    </row>
    <row r="23" spans="1:5" ht="36" customHeight="1" outlineLevel="1">
      <c r="A23" s="280" t="str">
        <f>dalolatnoma!A24:E24</f>
        <v>-* roʻyxatdan oʻtgan manzili/garaj manzili: BUXORO VILOYATI BUXORO TUMANI XONOBOD MFY XONOBOD QISHLOG'I</v>
      </c>
      <c r="B23" s="280"/>
      <c r="C23" s="280"/>
      <c r="D23" s="280"/>
      <c r="E23" s="280"/>
    </row>
    <row r="24" spans="1:5" ht="31.5" customHeight="1" outlineLevel="1">
      <c r="A24" s="280" t="str">
        <f>dalolatnoma!A25:E25</f>
        <v>-* davlat raqami: 80Y320AB</v>
      </c>
      <c r="B24" s="280"/>
      <c r="C24" s="280"/>
      <c r="D24" s="280"/>
      <c r="E24" s="280"/>
    </row>
    <row r="25" spans="1:5">
      <c r="B25" s="186"/>
      <c r="D25" s="186"/>
      <c r="E25" s="17"/>
    </row>
    <row r="26" spans="1:5">
      <c r="B26" s="186"/>
      <c r="D26" s="186"/>
      <c r="E26" s="17"/>
    </row>
    <row r="27" spans="1:5" ht="57">
      <c r="A27" s="197" t="s">
        <v>411</v>
      </c>
      <c r="D27" s="31" t="s">
        <v>393</v>
      </c>
      <c r="E27" s="17"/>
    </row>
    <row r="28" spans="1:5">
      <c r="A28" s="186"/>
      <c r="E28" s="186"/>
    </row>
  </sheetData>
  <mergeCells count="17">
    <mergeCell ref="A17:E17"/>
    <mergeCell ref="A16:E16"/>
    <mergeCell ref="A23:E23"/>
    <mergeCell ref="A24:E24"/>
    <mergeCell ref="A4:E6"/>
    <mergeCell ref="A22:E22"/>
    <mergeCell ref="A14:E14"/>
    <mergeCell ref="A18:E18"/>
    <mergeCell ref="A7:E7"/>
    <mergeCell ref="A8:E8"/>
    <mergeCell ref="A13:E13"/>
    <mergeCell ref="A9:E9"/>
    <mergeCell ref="A10:E10"/>
    <mergeCell ref="A11:E11"/>
    <mergeCell ref="A12:E12"/>
    <mergeCell ref="A21:E21"/>
    <mergeCell ref="A15:E15"/>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
    <tabColor rgb="FF00B050"/>
  </sheetPr>
  <dimension ref="A1:AH49"/>
  <sheetViews>
    <sheetView view="pageBreakPreview" zoomScaleNormal="100" zoomScaleSheetLayoutView="100" workbookViewId="0">
      <selection activeCell="A7" sqref="A7:E12"/>
    </sheetView>
  </sheetViews>
  <sheetFormatPr defaultRowHeight="15"/>
  <cols>
    <col min="1" max="1" width="24.7109375" style="15" customWidth="1"/>
    <col min="2" max="2" width="24.28515625" style="15" customWidth="1"/>
    <col min="3" max="3" width="20.7109375" style="15" customWidth="1"/>
    <col min="4" max="4" width="18" style="15" customWidth="1"/>
    <col min="5" max="5" width="25.140625" style="15" customWidth="1"/>
    <col min="6" max="6" width="9.140625" style="10" customWidth="1"/>
    <col min="7" max="7" width="24.42578125" style="10" customWidth="1"/>
    <col min="8" max="8" width="17.140625" style="10" customWidth="1"/>
    <col min="9" max="34" width="9.140625" style="10" hidden="1" customWidth="1"/>
    <col min="35" max="35" width="8.7109375" style="10" customWidth="1"/>
    <col min="36" max="16384" width="9.140625" style="10"/>
  </cols>
  <sheetData>
    <row r="1" spans="1:33" ht="63.75" customHeight="1">
      <c r="A1" s="284" t="str">
        <f>""&amp;malumot!B155&amp;"
mikromoliya tashkiloti
Kredit qo‘mitasining yig‘ilishi"</f>
        <v>«CLEVER MIKROMOLIYA TASHKILOTI» MChJ
mikromoliya tashkiloti
Kredit qo‘mitasining yig‘ilishi</v>
      </c>
      <c r="B1" s="284"/>
      <c r="C1" s="284"/>
      <c r="D1" s="284"/>
      <c r="E1" s="284"/>
    </row>
    <row r="2" spans="1:33" ht="29.25" customHeight="1">
      <c r="A2" s="284" t="str">
        <f>""&amp;H7&amp;" protokolidan ko'chirma"</f>
        <v>№ 687-BR protokolidan ko'chirma</v>
      </c>
      <c r="B2" s="284"/>
      <c r="C2" s="284"/>
      <c r="D2" s="284"/>
      <c r="E2" s="284"/>
    </row>
    <row r="3" spans="1:33" ht="29.25" customHeight="1">
      <c r="A3" s="115" t="s">
        <v>201</v>
      </c>
      <c r="B3" s="181"/>
      <c r="C3" s="181"/>
      <c r="D3" s="181"/>
      <c r="E3" s="212" t="str">
        <f>malumot!B68</f>
        <v>1 aprel 2025 y.</v>
      </c>
    </row>
    <row r="4" spans="1:33" ht="29.25" customHeight="1">
      <c r="A4" s="181"/>
      <c r="B4" s="284" t="s">
        <v>200</v>
      </c>
      <c r="C4" s="284"/>
      <c r="D4" s="284"/>
      <c r="E4" s="181"/>
    </row>
    <row r="5" spans="1:33" ht="36" customHeight="1">
      <c r="A5" s="283" t="str">
        <f>"         "&amp;H8&amp;"."&amp;malumot!B5&amp;" ga "&amp;malumot!B65&amp;" berish masalasini ko‘rib chiqish to‘g‘risida."</f>
        <v xml:space="preserve">         1.XAYATOV OTABEK KURBANOVICH ga mikroqarz berish masalasini ko‘rib chiqish to‘g‘risida.</v>
      </c>
      <c r="B5" s="283"/>
      <c r="C5" s="283"/>
      <c r="D5" s="283"/>
      <c r="E5" s="283"/>
    </row>
    <row r="7" spans="1:33" ht="21" customHeight="1">
      <c r="A7" s="280" t="str">
        <f>"      "&amp;H9&amp;" masala yuzasidan: «Clever Mikromoliya Tashkiloti» MChJ mikromoliya tashkiloti kredit bo‘yicha menejeri  "&amp;malumot!B5&amp;"ga "&amp;FIXED(malumot!B75)&amp;" ("&amp;malumot!B76&amp;") so‘m miqdorida, muddati "&amp;malumot!B81&amp;" ("&amp;malumot!B82&amp;") oyga va yillik 60 (Oltmish) foiz miqdorida "&amp;malumot!B65&amp;" berich bo‘yicha "&amp;malumot!B5&amp;"ning kredit arizasi va "&amp;malumot!B155&amp;"ning xulosasi bilan ishtirokchilarni tanishtirdi."</f>
        <v xml:space="preserve">      Birinchi masala yuzasidan: «Clever Mikromoliya Tashkiloti» MChJ mikromoliya tashkiloti kredit bo‘yicha menejeri  XAYATOV OTABEK KURBANOVICHga 26 000 000,00 (yigirma olti million so'm) so‘m miqdorida, muddati 32 (o'ttiz ikki) oyga va yillik 60 (Oltmish) foiz miqdorida mikroqarz berich bo‘yicha XAYATOV OTABEK KURBANOVICHning kredit arizasi va «CLEVER MIKROMOLIYA TASHKILOTI» MChJning xulosasi bilan ishtirokchilarni tanishtirdi.</v>
      </c>
      <c r="B7" s="280"/>
      <c r="C7" s="280"/>
      <c r="D7" s="280"/>
      <c r="E7" s="280"/>
      <c r="G7" s="214" t="s">
        <v>255</v>
      </c>
      <c r="H7" s="217" t="str">
        <f>malumot!B1</f>
        <v>№ 687-BR</v>
      </c>
    </row>
    <row r="8" spans="1:33">
      <c r="A8" s="280"/>
      <c r="B8" s="280"/>
      <c r="C8" s="280"/>
      <c r="D8" s="280"/>
      <c r="E8" s="280"/>
      <c r="G8" s="214" t="s">
        <v>256</v>
      </c>
      <c r="H8" s="217">
        <v>1</v>
      </c>
      <c r="I8" s="10">
        <v>1</v>
      </c>
      <c r="J8" s="10">
        <v>2</v>
      </c>
      <c r="K8" s="10">
        <v>3</v>
      </c>
      <c r="L8" s="10">
        <v>4</v>
      </c>
      <c r="M8" s="10">
        <v>5</v>
      </c>
      <c r="N8" s="10">
        <v>6</v>
      </c>
      <c r="O8" s="10">
        <v>7</v>
      </c>
      <c r="P8" s="10">
        <v>8</v>
      </c>
      <c r="Q8" s="10">
        <v>9</v>
      </c>
      <c r="R8" s="10">
        <v>10</v>
      </c>
      <c r="S8" s="10">
        <v>11</v>
      </c>
      <c r="T8" s="10">
        <v>12</v>
      </c>
      <c r="U8" s="10">
        <v>13</v>
      </c>
      <c r="V8" s="10">
        <v>14</v>
      </c>
      <c r="W8" s="10">
        <v>15</v>
      </c>
      <c r="X8" s="10">
        <v>16</v>
      </c>
      <c r="Y8" s="10">
        <v>17</v>
      </c>
      <c r="Z8" s="10">
        <v>18</v>
      </c>
      <c r="AA8" s="10">
        <v>19</v>
      </c>
      <c r="AB8" s="10">
        <v>20</v>
      </c>
      <c r="AC8" s="10">
        <v>21</v>
      </c>
      <c r="AD8" s="10">
        <v>22</v>
      </c>
      <c r="AE8" s="10">
        <v>23</v>
      </c>
      <c r="AF8" s="10">
        <v>24</v>
      </c>
      <c r="AG8" s="10">
        <v>25</v>
      </c>
    </row>
    <row r="9" spans="1:33" ht="24" customHeight="1">
      <c r="A9" s="280"/>
      <c r="B9" s="280"/>
      <c r="C9" s="280"/>
      <c r="D9" s="280"/>
      <c r="E9" s="280"/>
      <c r="G9" s="214" t="s">
        <v>257</v>
      </c>
      <c r="H9" s="217" t="str">
        <f>IF(H8=I8,I9,IF(H8=J8,J9,IF(H8=K8,K9,IF(H8=L8,L9,IF(H8=M8,M9,IF(H8=N8,N9,IF(H8=O8,O9,IF(H8=P8,P9,IF(H8=Q8,Q9,IF(H8=R8,R9,IF(H8=S8,S9,IF(H8=T8,T9,IF(H8=U8,U9,IF(H8=V8,V9,IF(H8=W8,W9,IF(H8=X8,X9,IF(H8=Y8,Y9,IF(H8=Z8,Z9,IF(H8=AA8,AA9,IF(H8=AB8,AB9,IF(H8=AC8,AC9,IF(H8=AD8,AD9,IF(H8=AE8,AE9,IF(H8=AF8,AF9,IF(H8=AG8,AG9)))))))))))))))))))))))))</f>
        <v>Birinchi</v>
      </c>
      <c r="I9" s="10" t="s">
        <v>409</v>
      </c>
      <c r="J9" s="92" t="s">
        <v>189</v>
      </c>
      <c r="K9" s="92" t="s">
        <v>190</v>
      </c>
      <c r="L9" s="92" t="s">
        <v>364</v>
      </c>
      <c r="M9" s="92" t="s">
        <v>191</v>
      </c>
      <c r="N9" s="92" t="s">
        <v>365</v>
      </c>
      <c r="O9" s="92" t="s">
        <v>192</v>
      </c>
      <c r="P9" s="92" t="s">
        <v>193</v>
      </c>
      <c r="Q9" s="92" t="s">
        <v>194</v>
      </c>
      <c r="R9" s="92" t="s">
        <v>354</v>
      </c>
      <c r="S9" s="92" t="s">
        <v>355</v>
      </c>
      <c r="T9" s="92" t="s">
        <v>356</v>
      </c>
      <c r="U9" s="92" t="s">
        <v>357</v>
      </c>
      <c r="V9" s="92" t="s">
        <v>366</v>
      </c>
      <c r="W9" s="92" t="s">
        <v>358</v>
      </c>
      <c r="X9" s="92" t="s">
        <v>359</v>
      </c>
      <c r="Y9" s="92" t="s">
        <v>360</v>
      </c>
      <c r="Z9" s="92" t="s">
        <v>361</v>
      </c>
      <c r="AA9" s="92" t="s">
        <v>362</v>
      </c>
      <c r="AB9" s="92" t="s">
        <v>195</v>
      </c>
      <c r="AC9" s="92" t="s">
        <v>196</v>
      </c>
      <c r="AD9" s="92" t="s">
        <v>197</v>
      </c>
      <c r="AE9" s="92" t="s">
        <v>198</v>
      </c>
      <c r="AF9" s="92" t="s">
        <v>363</v>
      </c>
      <c r="AG9" s="92" t="s">
        <v>199</v>
      </c>
    </row>
    <row r="10" spans="1:33" ht="10.5" hidden="1" customHeight="1">
      <c r="A10" s="280"/>
      <c r="B10" s="280"/>
      <c r="C10" s="280"/>
      <c r="D10" s="280"/>
      <c r="E10" s="280"/>
    </row>
    <row r="11" spans="1:33" ht="9" hidden="1" customHeight="1">
      <c r="A11" s="280"/>
      <c r="B11" s="280"/>
      <c r="C11" s="280"/>
      <c r="D11" s="280"/>
      <c r="E11" s="280"/>
    </row>
    <row r="12" spans="1:33" ht="3" hidden="1" customHeight="1">
      <c r="A12" s="280"/>
      <c r="B12" s="280"/>
      <c r="C12" s="280"/>
      <c r="D12" s="280"/>
      <c r="E12" s="280"/>
    </row>
    <row r="13" spans="1:33" ht="7.5" customHeight="1"/>
    <row r="14" spans="1:33" ht="15.75" customHeight="1">
      <c r="A14" s="279" t="str">
        <f>""&amp;malumot!C64&amp;" ta’minoti:"</f>
        <v>Mikroqarz ta’minoti:</v>
      </c>
      <c r="B14" s="279"/>
      <c r="C14" s="279"/>
      <c r="D14" s="279"/>
      <c r="E14" s="279"/>
    </row>
    <row r="15" spans="1:33" ht="7.5" customHeight="1"/>
    <row r="16" spans="1:33" ht="57" customHeight="1">
      <c r="A16" s="280" t="str">
        <f>xulosa!A18:E18</f>
        <v xml:space="preserve">  Egalik huquqi FAYZIYEV JAMSHID KURBONOVICHga tegishli bo'lgan garovga olingan avtomobil markasi   SPARK, rangi -  OQ BELAYA "KASABLANKA", ishlab chiqarilgan yili - 2011, davlat raqam belgisi 80Y320AB, kuzov turi - YENGIL SEDAN, kuzov raqami XWBMF481EBA580791, dvigatel raqami B10D1606437KC3, shassi raqami - RAKAMSIZ</v>
      </c>
      <c r="B16" s="280"/>
      <c r="C16" s="280"/>
      <c r="D16" s="280"/>
      <c r="E16" s="280"/>
    </row>
    <row r="17" spans="1:5" ht="17.25" customHeight="1">
      <c r="C17" s="215" t="s">
        <v>373</v>
      </c>
      <c r="D17" s="215" t="str">
        <f>""&amp;malumot!B155&amp;" kredit qo‘mitasi"</f>
        <v>«CLEVER MIKROMOLIYA TASHKILOTI» MChJ kredit qo‘mitasi</v>
      </c>
      <c r="E17" s="215"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80"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80"/>
      <c r="C18" s="280"/>
      <c r="D18" s="280"/>
      <c r="E18" s="280"/>
    </row>
    <row r="19" spans="1:5" ht="24" customHeight="1">
      <c r="A19" s="285" t="s">
        <v>258</v>
      </c>
      <c r="B19" s="285"/>
      <c r="C19" s="285"/>
      <c r="D19" s="285"/>
      <c r="E19" s="285"/>
    </row>
    <row r="20" spans="1:5" ht="32.25" customHeight="1">
      <c r="A20" s="280" t="str">
        <f>"       "&amp;malumot!B5&amp;"ga quyidagi shartlarda "&amp;malumot!B65&amp;" berish masalasi ma’qullansin:"</f>
        <v xml:space="preserve">       XAYATOV OTABEK KURBANOVICHga quyidagi shartlarda mikroqarz berish masalasi ma’qullansin:</v>
      </c>
      <c r="B20" s="280"/>
      <c r="C20" s="280"/>
      <c r="D20" s="280"/>
      <c r="E20" s="280"/>
    </row>
    <row r="21" spans="1:5" s="216" customFormat="1" ht="18.75" customHeight="1">
      <c r="A21" s="283" t="str">
        <f>"1. "&amp;malumot!C64&amp;" summasi: "&amp;FIXED(malumot!B75)&amp;" ("&amp;malumot!B76&amp;") so'm."</f>
        <v>1. Mikroqarz summasi: 26 000 000,00 (yigirma olti million so'm) so'm.</v>
      </c>
      <c r="B21" s="283"/>
      <c r="C21" s="283"/>
      <c r="D21" s="283"/>
      <c r="E21" s="283"/>
    </row>
    <row r="22" spans="1:5" s="216" customFormat="1" ht="18.75" customHeight="1">
      <c r="A22" s="283" t="str">
        <f>"2. "&amp;malumot!C64&amp;" muddati: "&amp;malumot!B81&amp;" ("&amp;malumot!B82&amp;") oy "</f>
        <v xml:space="preserve">2. Mikroqarz muddati: 32 (o'ttiz ikki) oy </v>
      </c>
      <c r="B22" s="283"/>
      <c r="C22" s="283"/>
      <c r="D22" s="283"/>
      <c r="E22" s="283"/>
    </row>
    <row r="23" spans="1:5" s="216" customFormat="1" ht="18.75" customHeight="1">
      <c r="A23" s="283" t="str">
        <f>"3. "&amp;malumot!C64&amp;"dan foydalanganlik uchun foiz stavkasi:yillik "&amp;malumot!B85&amp;"% ("&amp;malumot!B86&amp;") foiz."</f>
        <v>3. Mikroqarzdan foydalanganlik uchun foiz stavkasi:yillik 60% (Oltmish) foiz.</v>
      </c>
      <c r="B23" s="283"/>
      <c r="C23" s="283"/>
      <c r="D23" s="283"/>
      <c r="E23" s="283"/>
    </row>
    <row r="24" spans="1:5" s="216" customFormat="1" ht="18.75" customHeight="1">
      <c r="A24" s="283" t="str">
        <f>"4. "&amp;malumot!C64&amp;" bo‘yicha asosiy qarz va foizlarni to‘lash:"</f>
        <v>4. Mikroqarz bo‘yicha asosiy qarz va foizlarni to‘lash:</v>
      </c>
      <c r="B24" s="283"/>
      <c r="C24" s="283"/>
      <c r="D24" s="283"/>
      <c r="E24" s="283"/>
    </row>
    <row r="25" spans="1:5" s="216" customFormat="1" ht="18.75" customHeight="1">
      <c r="A25" s="283" t="str">
        <f>kredit_ariza!A19:D19</f>
        <v xml:space="preserve"> - mikroqarz shartnomasi bo'yicha har oy differensial to'lovlari amalga oshiriladi</v>
      </c>
      <c r="B25" s="283"/>
      <c r="C25" s="283"/>
      <c r="D25" s="283"/>
      <c r="E25" s="283"/>
    </row>
    <row r="26" spans="1:5" ht="48" customHeight="1">
      <c r="A26" s="280" t="str">
        <f>"5. "&amp;malumot!C64&amp;" bo‘yicha garov  "&amp;xulosa!A29:E29&amp;""</f>
        <v>5. Mikroqarz bo‘yicha garov   - FAYZIYEV JAMSHID KURBONOVICH ga mulk huquqi asosida tegishli avtotransport vositasi SPARK , quyidagi tafsilotlarga muvofiq:</v>
      </c>
      <c r="B26" s="280"/>
      <c r="C26" s="280"/>
      <c r="D26" s="280"/>
      <c r="E26" s="280"/>
    </row>
    <row r="27" spans="1:5" ht="40.5" customHeight="1">
      <c r="A27" s="12" t="str">
        <f>dalolatnoma!A29</f>
        <v>Nomi</v>
      </c>
      <c r="B27" s="12" t="str">
        <f>dalolatnoma!B29</f>
        <v>Kuzov turi  va kuzov raqami*</v>
      </c>
      <c r="C27" s="12" t="str">
        <f>dalolatnoma!C29</f>
        <v>Dvigatel va shassi raqami*</v>
      </c>
      <c r="D27" s="12" t="str">
        <f>dalolatnoma!D29</f>
        <v>Ishlab chiqarilgan yili va rangi*</v>
      </c>
      <c r="E27" s="12" t="str">
        <f>dalolatnoma!E29</f>
        <v>Kelishilgan garov qiymati, so'm</v>
      </c>
    </row>
    <row r="28" spans="1:5" ht="84" customHeight="1">
      <c r="A28" s="12" t="str">
        <f>dalolatnoma!A30</f>
        <v>SPARK</v>
      </c>
      <c r="B28" s="12" t="str">
        <f>dalolatnoma!B30</f>
        <v>kuzov turi - YENGIL SEDAN, kuzov raqami XWBMF481EBA580791</v>
      </c>
      <c r="C28" s="12" t="str">
        <f>dalolatnoma!C30</f>
        <v>dvigatel raqami B10D1606437KC3, shassi raqami - RAKAMSIZ</v>
      </c>
      <c r="D28" s="12" t="str">
        <f>dalolatnoma!D30</f>
        <v>rangi -  OQ BELAYA "KASABLANKA", ishlab chiqarilgan yili - 2011</v>
      </c>
      <c r="E28" s="12" t="str">
        <f>dalolatnoma!E30</f>
        <v>39 000 000,00 
(o'ttiz to'qqiz million so'm)</v>
      </c>
    </row>
    <row r="29" spans="1:5" ht="20.25" customHeight="1">
      <c r="A29" s="280" t="str">
        <f>dalolatnoma!A22:E22</f>
        <v>-* avtotransport egasi: FAYZIYEV JAMSHID KURBONOVICH</v>
      </c>
      <c r="B29" s="280"/>
      <c r="C29" s="280"/>
      <c r="D29" s="280"/>
      <c r="E29" s="280"/>
    </row>
    <row r="30" spans="1:5" ht="20.25" customHeight="1">
      <c r="A30" s="280" t="str">
        <f>dalolatnoma!A23:E23</f>
        <v>-* texnik pasport: AAG   4517617  20.08.2024y</v>
      </c>
      <c r="B30" s="280"/>
      <c r="C30" s="280"/>
      <c r="D30" s="280"/>
      <c r="E30" s="280"/>
    </row>
    <row r="31" spans="1:5" ht="22.5" customHeight="1">
      <c r="A31" s="280" t="str">
        <f>dalolatnoma!A24:E24</f>
        <v>-* roʻyxatdan oʻtgan manzili/garaj manzili: BUXORO VILOYATI BUXORO TUMANI XONOBOD MFY XONOBOD QISHLOG'I</v>
      </c>
      <c r="B31" s="280"/>
      <c r="C31" s="280"/>
      <c r="D31" s="280"/>
      <c r="E31" s="280"/>
    </row>
    <row r="32" spans="1:5" ht="25.5" customHeight="1">
      <c r="A32" s="280" t="str">
        <f>dalolatnoma!A25:E25</f>
        <v>-* davlat raqami: 80Y320AB</v>
      </c>
      <c r="B32" s="280"/>
      <c r="C32" s="280"/>
      <c r="D32" s="280"/>
      <c r="E32" s="280"/>
    </row>
    <row r="33" spans="1:5" ht="12" customHeight="1">
      <c r="A33" s="182"/>
      <c r="B33" s="182"/>
      <c r="C33" s="182"/>
      <c r="D33" s="182"/>
      <c r="E33" s="182"/>
    </row>
    <row r="34" spans="1:5" ht="20.25" customHeight="1">
      <c r="A34" s="280" t="str">
        <f>"6. Boshqa shartlar – "&amp;IF(malumot!B111=malumot!B112,"avtotransport vositasi",IF(malumot!B111=malumot!C112,"ko'chmas mulk",0))&amp;" shaklida garov ta'minlangandan keyin "&amp;malumot!B65&amp;" berish."</f>
        <v>6. Boshqa shartlar – 0 shaklida garov ta'minlangandan keyin mikroqarz berish.</v>
      </c>
      <c r="B34" s="280"/>
      <c r="C34" s="280"/>
      <c r="D34" s="280"/>
      <c r="E34" s="280"/>
    </row>
    <row r="35" spans="1:5">
      <c r="A35" s="14"/>
      <c r="B35" s="14"/>
      <c r="C35" s="14"/>
      <c r="D35" s="14"/>
      <c r="E35" s="14"/>
    </row>
    <row r="36" spans="1:5">
      <c r="A36" s="14"/>
      <c r="B36" s="14"/>
      <c r="C36" s="14"/>
      <c r="D36" s="14"/>
      <c r="E36" s="14"/>
    </row>
    <row r="37" spans="1:5">
      <c r="A37" s="14"/>
      <c r="B37" s="14"/>
      <c r="C37" s="14"/>
      <c r="D37" s="14"/>
      <c r="E37" s="14"/>
    </row>
    <row r="39" spans="1:5" ht="29.25" customHeight="1">
      <c r="A39" s="286" t="s">
        <v>259</v>
      </c>
      <c r="B39" s="286"/>
      <c r="C39" s="286"/>
      <c r="D39" s="286"/>
      <c r="E39" s="286"/>
    </row>
    <row r="40" spans="1:5">
      <c r="A40" s="222"/>
      <c r="B40" s="222"/>
      <c r="C40" s="222"/>
      <c r="D40" s="222"/>
      <c r="E40" s="222"/>
    </row>
    <row r="41" spans="1:5" ht="37.5" customHeight="1">
      <c r="A41" s="282" t="str">
        <f>malumot!B155&amp;" ijrochi direktori"</f>
        <v>«CLEVER MIKROMOLIYA TASHKILOTI» MChJ ijrochi direktori</v>
      </c>
      <c r="B41" s="282"/>
      <c r="C41" s="218"/>
      <c r="D41" s="219" t="s">
        <v>393</v>
      </c>
      <c r="E41" s="193"/>
    </row>
    <row r="42" spans="1:5">
      <c r="A42" s="221"/>
      <c r="B42" s="221"/>
      <c r="C42" s="218"/>
      <c r="D42" s="219"/>
      <c r="E42" s="193"/>
    </row>
    <row r="43" spans="1:5">
      <c r="A43" s="221"/>
      <c r="B43" s="221"/>
      <c r="C43" s="218"/>
      <c r="D43" s="219"/>
      <c r="E43" s="193"/>
    </row>
    <row r="44" spans="1:5">
      <c r="A44" s="183"/>
      <c r="B44" s="218"/>
      <c r="C44" s="218"/>
      <c r="D44" s="220"/>
      <c r="E44" s="194"/>
    </row>
    <row r="45" spans="1:5" ht="29.25">
      <c r="A45" s="183" t="str">
        <f>malumot!A167</f>
        <v>Kreditlash bo’limi boshlig’i</v>
      </c>
      <c r="D45" s="221" t="str">
        <f>malumot!B167</f>
        <v>B. Mominov</v>
      </c>
      <c r="E45" s="195"/>
    </row>
    <row r="46" spans="1:5">
      <c r="A46" s="31"/>
      <c r="D46" s="221"/>
      <c r="E46" s="195"/>
    </row>
    <row r="47" spans="1:5">
      <c r="A47" s="31"/>
      <c r="D47" s="221"/>
      <c r="E47" s="195"/>
    </row>
    <row r="49" spans="1:4" ht="29.25">
      <c r="A49" s="183" t="str">
        <f>malumot!A168</f>
        <v>Monitoring bo’limi boshlig’i</v>
      </c>
      <c r="D49" s="183" t="str">
        <f>malumot!B168</f>
        <v>J.Karimov</v>
      </c>
    </row>
  </sheetData>
  <mergeCells count="23">
    <mergeCell ref="A39:E39"/>
    <mergeCell ref="A32:E32"/>
    <mergeCell ref="A26:E26"/>
    <mergeCell ref="A29:E29"/>
    <mergeCell ref="A30:E30"/>
    <mergeCell ref="A31:E31"/>
    <mergeCell ref="A34:E34"/>
    <mergeCell ref="A41:B41"/>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71"/>
    <col min="2" max="2" width="12.28515625" style="71" customWidth="1"/>
    <col min="3" max="3" width="16.5703125" style="71" customWidth="1"/>
    <col min="4" max="4" width="16.7109375" style="71" customWidth="1"/>
    <col min="5" max="5" width="16.5703125" style="71" customWidth="1"/>
    <col min="6" max="6" width="20.85546875" style="71" customWidth="1"/>
    <col min="7" max="7" width="10.140625" style="71" customWidth="1" outlineLevel="1"/>
    <col min="8" max="8" width="19.140625" style="71" customWidth="1"/>
    <col min="9" max="9" width="21.42578125" style="71" customWidth="1"/>
    <col min="10" max="10" width="20.85546875" style="71" customWidth="1"/>
    <col min="11" max="11" width="20.140625" style="71" customWidth="1"/>
    <col min="12" max="12" width="21.42578125" style="71" customWidth="1"/>
    <col min="13" max="13" width="25.42578125" style="71" customWidth="1"/>
    <col min="14" max="14" width="18.28515625" style="71" customWidth="1"/>
    <col min="15" max="17" width="9.140625" style="10"/>
    <col min="18" max="18" width="24.42578125" style="10" customWidth="1"/>
    <col min="19" max="16384" width="9.140625" style="10"/>
  </cols>
  <sheetData>
    <row r="1" spans="1:22">
      <c r="A1" s="70"/>
      <c r="B1" s="70"/>
      <c r="C1" s="70"/>
      <c r="D1" s="70"/>
      <c r="E1" s="287" t="s">
        <v>15</v>
      </c>
      <c r="F1" s="287"/>
    </row>
    <row r="2" spans="1:22">
      <c r="A2" s="70"/>
      <c r="B2" s="70"/>
      <c r="C2" s="70"/>
      <c r="D2" s="70"/>
      <c r="E2" s="70"/>
      <c r="F2" s="72" t="str">
        <f>"к договору микрозайма "&amp;malumot!B74&amp;""</f>
        <v>к договору микрозайма 1 aprel 2025 y.dan № 687-BR</v>
      </c>
    </row>
    <row r="3" spans="1:22" ht="19.5" customHeight="1">
      <c r="A3" s="70"/>
      <c r="B3" s="70"/>
      <c r="C3" s="70"/>
      <c r="D3" s="70"/>
      <c r="E3" s="70"/>
      <c r="F3" s="70"/>
      <c r="H3" s="73"/>
      <c r="I3" s="73"/>
      <c r="J3" s="74"/>
      <c r="K3" s="74"/>
    </row>
    <row r="4" spans="1:22" ht="19.5" customHeight="1">
      <c r="A4" s="288" t="s">
        <v>16</v>
      </c>
      <c r="B4" s="288"/>
      <c r="C4" s="288"/>
      <c r="D4" s="288"/>
      <c r="E4" s="288"/>
      <c r="F4" s="288"/>
      <c r="H4" s="73"/>
      <c r="I4" s="73"/>
      <c r="J4" s="73"/>
      <c r="K4" s="73"/>
    </row>
    <row r="5" spans="1:22" ht="19.5" customHeight="1">
      <c r="L5" s="71">
        <f>malumot!B81</f>
        <v>32</v>
      </c>
    </row>
    <row r="6" spans="1:22">
      <c r="A6" s="289" t="s">
        <v>14</v>
      </c>
      <c r="B6" s="290" t="s">
        <v>8</v>
      </c>
      <c r="C6" s="290" t="s">
        <v>9</v>
      </c>
      <c r="D6" s="291" t="s">
        <v>10</v>
      </c>
      <c r="E6" s="291"/>
      <c r="F6" s="291"/>
    </row>
    <row r="7" spans="1:22" s="11" customFormat="1">
      <c r="A7" s="289"/>
      <c r="B7" s="290"/>
      <c r="C7" s="290"/>
      <c r="D7" s="75" t="s">
        <v>11</v>
      </c>
      <c r="E7" s="75" t="s">
        <v>12</v>
      </c>
      <c r="F7" s="75" t="s">
        <v>13</v>
      </c>
      <c r="G7" s="76"/>
      <c r="H7" s="76"/>
      <c r="I7" s="76"/>
      <c r="J7" s="76"/>
      <c r="K7" s="76"/>
      <c r="L7" s="76"/>
      <c r="M7" s="76"/>
      <c r="N7" s="76"/>
    </row>
    <row r="8" spans="1:22">
      <c r="A8" s="77">
        <v>1</v>
      </c>
      <c r="B8" s="78">
        <f>malumot!B79</f>
        <v>45778</v>
      </c>
      <c r="C8" s="44">
        <f>malumot!B75</f>
        <v>26000000</v>
      </c>
      <c r="D8" s="44">
        <f>IF(IF(C8=0,L8,IF(C8&gt;1,I8))="",0,(IF(C8=0,L8,IF(C8&gt;1,I8))))</f>
        <v>812500</v>
      </c>
      <c r="E8" s="44">
        <f>IF(C8=0,N6,IF(C8&gt;1,L8))</f>
        <v>1282191.9000000001</v>
      </c>
      <c r="F8" s="44">
        <f>IF(C8=0,O6,IF(C8&gt;1,M8))</f>
        <v>2094691.9000000001</v>
      </c>
      <c r="G8" s="91">
        <f>B8-malumot!B67</f>
        <v>30</v>
      </c>
      <c r="H8" s="71">
        <f>DATE(YEAR(B8),12,31)-DATE(YEAR(B8),1,1)+1</f>
        <v>365</v>
      </c>
      <c r="I8" s="79">
        <f>IF(malumot!B83=0,ROUND(C8/L5,2),"")</f>
        <v>812500</v>
      </c>
      <c r="J8" s="79"/>
      <c r="K8" s="79"/>
      <c r="L8" s="73">
        <f>ROUND(C8*malumot!$B$84/H8,2)*G8</f>
        <v>1282191.9000000001</v>
      </c>
      <c r="M8" s="73">
        <f t="shared" ref="M8:M31" si="0">D8+E8</f>
        <v>2094691.9000000001</v>
      </c>
      <c r="N8" s="73"/>
      <c r="O8" s="88" t="str">
        <f>TEXT(B8,"ддд")</f>
        <v>Чт</v>
      </c>
      <c r="P8" s="90">
        <f>IF(O8=$U$8,2,IF(O8=$V$8,1,0))</f>
        <v>0</v>
      </c>
      <c r="Q8" s="90">
        <f>DAY(malumot!$B$78)+P8</f>
        <v>1</v>
      </c>
      <c r="R8" s="85"/>
      <c r="S8" s="86" t="s">
        <v>31</v>
      </c>
      <c r="T8" s="86" t="s">
        <v>32</v>
      </c>
      <c r="U8" s="86" t="s">
        <v>33</v>
      </c>
      <c r="V8" s="87" t="s">
        <v>34</v>
      </c>
    </row>
    <row r="9" spans="1:22">
      <c r="A9" s="77">
        <v>2</v>
      </c>
      <c r="B9" s="78">
        <f>IF(A9&lt;=malumot!$B$81,DATE(YEAR(R9),MONTH(R9),DAY(IF(A9=malumot!$B$81,malumot!$B$67,IF(A9&lt;malumot!$B$81,(Q9),IF(A9&gt;malumot!$B$81,$H$44,0))))))</f>
        <v>45810</v>
      </c>
      <c r="C9" s="44">
        <f t="shared" ref="C9:C30" si="1">C8-D8</f>
        <v>25187500</v>
      </c>
      <c r="D9" s="44">
        <f t="shared" ref="D9:D30" si="2">IF(C9=0,L9,IF(C9&gt;1,I9))</f>
        <v>812500</v>
      </c>
      <c r="E9" s="44">
        <f t="shared" ref="E9:E30" si="3">IF(C9=0,N8,IF(C9&gt;1,L9))</f>
        <v>1324931.52</v>
      </c>
      <c r="F9" s="44">
        <f t="shared" ref="F9:F30" si="4">IF(C9=0,N8,IF(C9&gt;1,M9))</f>
        <v>2137431.52</v>
      </c>
      <c r="G9" s="71">
        <f>B9-B8</f>
        <v>32</v>
      </c>
      <c r="H9" s="71">
        <f t="shared" ref="H9:H31" si="5">DATE(YEAR(B9),12,31)-DATE(YEAR(B9),1,1)+1</f>
        <v>365</v>
      </c>
      <c r="I9" s="79">
        <f>IF(I8="",ROUND(C8/(L5-1),2),I8)</f>
        <v>812500</v>
      </c>
      <c r="J9" s="79"/>
      <c r="K9" s="79"/>
      <c r="L9" s="73">
        <f>ROUND(C9*malumot!$B$84/H9,2)*G9</f>
        <v>1324931.52</v>
      </c>
      <c r="M9" s="73">
        <f t="shared" si="0"/>
        <v>2137431.52</v>
      </c>
      <c r="N9" s="73"/>
      <c r="O9" s="88" t="str">
        <f>TEXT(R9,"ддд")</f>
        <v>Вс</v>
      </c>
      <c r="P9" s="90">
        <f t="shared" ref="P9:P31" si="6">IF(O9=$U$8,2,IF(O9=$V$8,1,0))</f>
        <v>1</v>
      </c>
      <c r="Q9" s="90">
        <f>DAY(malumot!$B$78)+P9</f>
        <v>2</v>
      </c>
      <c r="R9" s="85">
        <f>IF(A9&lt;=malumot!$B$81,DATE(YEAR($B$8),MONTH($B$8)+A8,DAY(malumot!$B$78)),0)</f>
        <v>45809</v>
      </c>
      <c r="S9" s="71"/>
      <c r="T9" s="71"/>
      <c r="U9" s="71"/>
      <c r="V9" s="71"/>
    </row>
    <row r="10" spans="1:22">
      <c r="A10" s="77">
        <v>3</v>
      </c>
      <c r="B10" s="78">
        <f>IF(A10&lt;=malumot!$B$81,DATE(YEAR(R10),MONTH(R10),DAY(IF(A10=malumot!$B$81,malumot!$B$67,IF(A10&lt;malumot!$B$81,(Q10),IF(A10&gt;malumot!$B$81,$H$44,0))))))</f>
        <v>45839</v>
      </c>
      <c r="C10" s="44">
        <f t="shared" si="1"/>
        <v>24375000</v>
      </c>
      <c r="D10" s="44">
        <f t="shared" si="2"/>
        <v>812500</v>
      </c>
      <c r="E10" s="44">
        <f t="shared" si="3"/>
        <v>1161986.21</v>
      </c>
      <c r="F10" s="44">
        <f t="shared" si="4"/>
        <v>1974486.21</v>
      </c>
      <c r="G10" s="71">
        <f t="shared" ref="G10:G31" si="7">B10-B9</f>
        <v>29</v>
      </c>
      <c r="H10" s="71">
        <f t="shared" si="5"/>
        <v>365</v>
      </c>
      <c r="I10" s="79">
        <f>I9</f>
        <v>812500</v>
      </c>
      <c r="J10" s="79"/>
      <c r="K10" s="79"/>
      <c r="L10" s="73">
        <f>ROUND(C10*malumot!$B$84/H10,2)*G10</f>
        <v>1161986.21</v>
      </c>
      <c r="M10" s="73">
        <f t="shared" si="0"/>
        <v>1974486.21</v>
      </c>
      <c r="N10" s="73"/>
      <c r="O10" s="88" t="str">
        <f t="shared" ref="O10:O31" si="8">TEXT(R10,"ддд")</f>
        <v>Вт</v>
      </c>
      <c r="P10" s="90">
        <f t="shared" si="6"/>
        <v>0</v>
      </c>
      <c r="Q10" s="90">
        <f>DAY(malumot!$B$78)+P10</f>
        <v>1</v>
      </c>
      <c r="R10" s="85">
        <f>IF(A10&lt;=malumot!$B$81,DATE(YEAR($B$8),MONTH($B$8)+A9,DAY(malumot!$B$78)),0)</f>
        <v>45839</v>
      </c>
      <c r="S10" s="71"/>
      <c r="T10" s="71"/>
      <c r="U10" s="71"/>
      <c r="V10" s="71"/>
    </row>
    <row r="11" spans="1:22">
      <c r="A11" s="77">
        <v>4</v>
      </c>
      <c r="B11" s="78">
        <f>IF(A11&lt;=malumot!$B$81,DATE(YEAR(R11),MONTH(R11),DAY(IF(A11=malumot!$B$81,malumot!$B$67,IF(A11&lt;malumot!$B$81,(Q11),IF(A11&gt;malumot!$B$81,$H$44,0))))))</f>
        <v>45870</v>
      </c>
      <c r="C11" s="44">
        <f t="shared" si="1"/>
        <v>23562500</v>
      </c>
      <c r="D11" s="44">
        <f t="shared" si="2"/>
        <v>812500</v>
      </c>
      <c r="E11" s="44">
        <f t="shared" si="3"/>
        <v>1200719.28</v>
      </c>
      <c r="F11" s="44">
        <f t="shared" si="4"/>
        <v>2013219.28</v>
      </c>
      <c r="G11" s="71">
        <f t="shared" si="7"/>
        <v>31</v>
      </c>
      <c r="H11" s="71">
        <f t="shared" si="5"/>
        <v>365</v>
      </c>
      <c r="I11" s="79">
        <f>I10</f>
        <v>812500</v>
      </c>
      <c r="J11" s="79"/>
      <c r="K11" s="79"/>
      <c r="L11" s="73">
        <f>ROUND(C11*malumot!$B$84/H11,2)*G11</f>
        <v>1200719.28</v>
      </c>
      <c r="M11" s="73">
        <f t="shared" si="0"/>
        <v>2013219.28</v>
      </c>
      <c r="N11" s="73"/>
      <c r="O11" s="88" t="str">
        <f t="shared" si="8"/>
        <v>Пт</v>
      </c>
      <c r="P11" s="90">
        <f t="shared" si="6"/>
        <v>0</v>
      </c>
      <c r="Q11" s="90">
        <f>DAY(malumot!$B$78)+P11</f>
        <v>1</v>
      </c>
      <c r="R11" s="85">
        <f>IF(A11&lt;=malumot!$B$81,DATE(YEAR($B$8),MONTH($B$8)+A10,DAY(malumot!$B$78)),0)</f>
        <v>45870</v>
      </c>
      <c r="S11" s="71"/>
      <c r="T11" s="71"/>
      <c r="U11" s="71"/>
      <c r="V11" s="71"/>
    </row>
    <row r="12" spans="1:22">
      <c r="A12" s="77">
        <v>5</v>
      </c>
      <c r="B12" s="78">
        <f>IF(A12&lt;=malumot!$B$81,DATE(YEAR(R12),MONTH(R12),DAY(IF(A12=malumot!$B$81,malumot!$B$67,IF(A12&lt;malumot!$B$81,(Q12),IF(A12&gt;malumot!$B$81,$H$44,0))))))</f>
        <v>45901</v>
      </c>
      <c r="C12" s="44">
        <f t="shared" si="1"/>
        <v>22750000</v>
      </c>
      <c r="D12" s="44">
        <f t="shared" si="2"/>
        <v>812500</v>
      </c>
      <c r="E12" s="44">
        <f t="shared" si="3"/>
        <v>1159315.06</v>
      </c>
      <c r="F12" s="44">
        <f t="shared" si="4"/>
        <v>1971815.06</v>
      </c>
      <c r="G12" s="71">
        <f t="shared" si="7"/>
        <v>31</v>
      </c>
      <c r="H12" s="71">
        <f t="shared" si="5"/>
        <v>365</v>
      </c>
      <c r="I12" s="79">
        <f>I11</f>
        <v>812500</v>
      </c>
      <c r="J12" s="79">
        <f>malumot!B75</f>
        <v>26000000</v>
      </c>
      <c r="K12" s="79"/>
      <c r="L12" s="73">
        <f>ROUND(C12*malumot!$B$84/H12,2)*G12</f>
        <v>1159315.06</v>
      </c>
      <c r="M12" s="73">
        <f t="shared" si="0"/>
        <v>1971815.06</v>
      </c>
      <c r="N12" s="73"/>
      <c r="O12" s="88" t="str">
        <f t="shared" si="8"/>
        <v>Пн</v>
      </c>
      <c r="P12" s="90">
        <f t="shared" si="6"/>
        <v>0</v>
      </c>
      <c r="Q12" s="90">
        <f>DAY(malumot!$B$78)+P12</f>
        <v>1</v>
      </c>
      <c r="R12" s="85">
        <f>IF(A12&lt;=malumot!$B$81,DATE(YEAR($B$8),MONTH($B$8)+A11,DAY(malumot!$B$78)),0)</f>
        <v>45901</v>
      </c>
      <c r="S12" s="71"/>
      <c r="T12" s="71"/>
      <c r="U12" s="71"/>
      <c r="V12" s="71"/>
    </row>
    <row r="13" spans="1:22">
      <c r="A13" s="77">
        <v>6</v>
      </c>
      <c r="B13" s="78">
        <f>IF(A13&lt;=malumot!$B$81,DATE(YEAR(R13),MONTH(R13),DAY(IF(A13=malumot!$B$81,malumot!$B$67,IF(A13&lt;malumot!$B$81,(Q13),IF(A13&gt;malumot!$B$81,$H$44,0))))))</f>
        <v>45931</v>
      </c>
      <c r="C13" s="44">
        <f t="shared" si="1"/>
        <v>21937500</v>
      </c>
      <c r="D13" s="44">
        <f t="shared" si="2"/>
        <v>812500</v>
      </c>
      <c r="E13" s="44">
        <f t="shared" si="3"/>
        <v>1081849.2</v>
      </c>
      <c r="F13" s="44">
        <f t="shared" si="4"/>
        <v>1894349.2</v>
      </c>
      <c r="G13" s="71">
        <f t="shared" si="7"/>
        <v>30</v>
      </c>
      <c r="H13" s="71">
        <f t="shared" si="5"/>
        <v>365</v>
      </c>
      <c r="I13" s="79">
        <f>IF(L5=H1,K13,IF(L5&gt;H1,I12))</f>
        <v>812500</v>
      </c>
      <c r="J13" s="79">
        <f>SUM($I$8:I12)</f>
        <v>4062500</v>
      </c>
      <c r="K13" s="79">
        <f>$J$12-J13</f>
        <v>21937500</v>
      </c>
      <c r="L13" s="73">
        <f>ROUND(C13*malumot!$B$84/H13,2)*G13</f>
        <v>1081849.2</v>
      </c>
      <c r="M13" s="73">
        <f t="shared" si="0"/>
        <v>1894349.2</v>
      </c>
      <c r="N13" s="73"/>
      <c r="O13" s="88" t="str">
        <f t="shared" si="8"/>
        <v>Ср</v>
      </c>
      <c r="P13" s="90">
        <f t="shared" si="6"/>
        <v>0</v>
      </c>
      <c r="Q13" s="90">
        <f>DAY(malumot!$B$78)+P13</f>
        <v>1</v>
      </c>
      <c r="R13" s="85">
        <f>IF(A13&lt;=malumot!$B$81,DATE(YEAR($B$8),MONTH($B$8)+A12,DAY(malumot!$B$78)),0)</f>
        <v>45931</v>
      </c>
      <c r="S13" s="71"/>
      <c r="T13" s="71"/>
      <c r="U13" s="71"/>
      <c r="V13" s="71"/>
    </row>
    <row r="14" spans="1:22">
      <c r="A14" s="77">
        <v>7</v>
      </c>
      <c r="B14" s="78">
        <f>IF(A14&lt;=malumot!$B$81,DATE(YEAR(R14),MONTH(R14),DAY(IF(A14=malumot!$B$81,malumot!$B$67,IF(A14&lt;malumot!$B$81,(Q14),IF(A14&gt;malumot!$B$81,$H$44,0))))))</f>
        <v>45964</v>
      </c>
      <c r="C14" s="44">
        <f t="shared" si="1"/>
        <v>21125000</v>
      </c>
      <c r="D14" s="44">
        <f t="shared" si="2"/>
        <v>812500</v>
      </c>
      <c r="E14" s="44">
        <f t="shared" si="3"/>
        <v>1145958.99</v>
      </c>
      <c r="F14" s="44">
        <f t="shared" si="4"/>
        <v>1958458.99</v>
      </c>
      <c r="G14" s="71">
        <f t="shared" si="7"/>
        <v>33</v>
      </c>
      <c r="H14" s="71">
        <f t="shared" si="5"/>
        <v>365</v>
      </c>
      <c r="I14" s="79">
        <f>IF($L$5=A14,K14,IF($L$5&gt;A14,I13))</f>
        <v>812500</v>
      </c>
      <c r="J14" s="79">
        <f>SUM($I$8:I13)</f>
        <v>4875000</v>
      </c>
      <c r="K14" s="79">
        <f t="shared" ref="K14:K31" si="9">$J$12-J14</f>
        <v>21125000</v>
      </c>
      <c r="L14" s="73">
        <f>ROUND(C14*malumot!$B$84/H14,2)*G14</f>
        <v>1145958.99</v>
      </c>
      <c r="M14" s="73">
        <f t="shared" si="0"/>
        <v>1958458.99</v>
      </c>
      <c r="N14" s="73"/>
      <c r="O14" s="88" t="str">
        <f t="shared" si="8"/>
        <v>Сб</v>
      </c>
      <c r="P14" s="90">
        <f t="shared" si="6"/>
        <v>2</v>
      </c>
      <c r="Q14" s="90">
        <f>DAY(malumot!$B$78)+P14</f>
        <v>3</v>
      </c>
      <c r="R14" s="85">
        <f>IF(A14&lt;=malumot!$B$81,DATE(YEAR($B$8),MONTH($B$8)+A13,DAY(malumot!$B$78)),0)</f>
        <v>45962</v>
      </c>
      <c r="S14" s="71"/>
      <c r="T14" s="71"/>
      <c r="U14" s="71"/>
      <c r="V14" s="71"/>
    </row>
    <row r="15" spans="1:22">
      <c r="A15" s="77">
        <v>8</v>
      </c>
      <c r="B15" s="78">
        <f>IF(A15&lt;=malumot!$B$81,DATE(YEAR(R15),MONTH(R15),DAY(IF(A15=malumot!$B$81,malumot!$B$67,IF(A15&lt;malumot!$B$81,(Q15),IF(A15&gt;malumot!$B$81,$H$44,0))))))</f>
        <v>45992</v>
      </c>
      <c r="C15" s="44">
        <f t="shared" si="1"/>
        <v>20312500</v>
      </c>
      <c r="D15" s="44">
        <f t="shared" si="2"/>
        <v>812500</v>
      </c>
      <c r="E15" s="44">
        <f t="shared" si="3"/>
        <v>934931.4800000001</v>
      </c>
      <c r="F15" s="44">
        <f t="shared" si="4"/>
        <v>1747431.48</v>
      </c>
      <c r="G15" s="71">
        <f t="shared" si="7"/>
        <v>28</v>
      </c>
      <c r="H15" s="71">
        <f t="shared" si="5"/>
        <v>365</v>
      </c>
      <c r="I15" s="79">
        <f t="shared" ref="I15:I31" si="10">IF($L$5=A15,K15,IF($L$5&gt;A15,I14))</f>
        <v>812500</v>
      </c>
      <c r="J15" s="79">
        <f>SUM($I$8:I14)</f>
        <v>5687500</v>
      </c>
      <c r="K15" s="79">
        <f t="shared" si="9"/>
        <v>20312500</v>
      </c>
      <c r="L15" s="73">
        <f>ROUND(C15*malumot!$B$84/H15,2)*G15</f>
        <v>934931.4800000001</v>
      </c>
      <c r="M15" s="73">
        <f t="shared" si="0"/>
        <v>1747431.48</v>
      </c>
      <c r="N15" s="73"/>
      <c r="O15" s="88" t="str">
        <f t="shared" si="8"/>
        <v>Пн</v>
      </c>
      <c r="P15" s="90">
        <f t="shared" si="6"/>
        <v>0</v>
      </c>
      <c r="Q15" s="90">
        <f>DAY(malumot!$B$78)+P15</f>
        <v>1</v>
      </c>
      <c r="R15" s="85">
        <f>IF(A15&lt;=malumot!$B$81,DATE(YEAR($B$8),MONTH($B$8)+A14,DAY(malumot!$B$78)),0)</f>
        <v>45992</v>
      </c>
      <c r="S15" s="71"/>
      <c r="T15" s="71"/>
      <c r="U15" s="71"/>
      <c r="V15" s="71"/>
    </row>
    <row r="16" spans="1:22">
      <c r="A16" s="77">
        <v>9</v>
      </c>
      <c r="B16" s="78">
        <f>IF(A16&lt;=malumot!$B$81,DATE(YEAR(R16),MONTH(R16),DAY(IF(A16=malumot!$B$81,malumot!$B$67,IF(A16&lt;malumot!$B$81,(Q16),IF(A16&gt;malumot!$B$81,$H$44,0))))))</f>
        <v>46023</v>
      </c>
      <c r="C16" s="44">
        <f t="shared" si="1"/>
        <v>19500000</v>
      </c>
      <c r="D16" s="44">
        <f t="shared" si="2"/>
        <v>812500</v>
      </c>
      <c r="E16" s="44">
        <f t="shared" si="3"/>
        <v>993698.49</v>
      </c>
      <c r="F16" s="44">
        <f t="shared" si="4"/>
        <v>1806198.49</v>
      </c>
      <c r="G16" s="71">
        <f t="shared" si="7"/>
        <v>31</v>
      </c>
      <c r="H16" s="71">
        <f t="shared" si="5"/>
        <v>365</v>
      </c>
      <c r="I16" s="79">
        <f t="shared" si="10"/>
        <v>812500</v>
      </c>
      <c r="J16" s="79">
        <f>SUM($I$8:I15)</f>
        <v>6500000</v>
      </c>
      <c r="K16" s="79">
        <f t="shared" si="9"/>
        <v>19500000</v>
      </c>
      <c r="L16" s="73">
        <f>ROUND(C16*malumot!$B$84/H16,2)*G16</f>
        <v>993698.49</v>
      </c>
      <c r="M16" s="73">
        <f t="shared" si="0"/>
        <v>1806198.49</v>
      </c>
      <c r="N16" s="73"/>
      <c r="O16" s="88" t="str">
        <f t="shared" si="8"/>
        <v>Чт</v>
      </c>
      <c r="P16" s="90">
        <f t="shared" si="6"/>
        <v>0</v>
      </c>
      <c r="Q16" s="90">
        <f>DAY(malumot!$B$78)+P16</f>
        <v>1</v>
      </c>
      <c r="R16" s="85">
        <f>IF(A16&lt;=malumot!$B$81,DATE(YEAR($B$8),MONTH($B$8)+A15,DAY(malumot!$B$78)),0)</f>
        <v>46023</v>
      </c>
      <c r="S16" s="71"/>
      <c r="T16" s="71"/>
      <c r="U16" s="71"/>
      <c r="V16" s="71"/>
    </row>
    <row r="17" spans="1:22">
      <c r="A17" s="77">
        <v>10</v>
      </c>
      <c r="B17" s="78">
        <f>IF(A17&lt;=malumot!$B$81,DATE(YEAR(R17),MONTH(R17),DAY(IF(A17=malumot!$B$81,malumot!$B$67,IF(A17&lt;malumot!$B$81,(Q17),IF(A17&gt;malumot!$B$81,$H$44,0))))))</f>
        <v>46055</v>
      </c>
      <c r="C17" s="44">
        <f t="shared" si="1"/>
        <v>18687500</v>
      </c>
      <c r="D17" s="44">
        <f t="shared" si="2"/>
        <v>812500</v>
      </c>
      <c r="E17" s="44">
        <f t="shared" si="3"/>
        <v>983013.76</v>
      </c>
      <c r="F17" s="44">
        <f t="shared" si="4"/>
        <v>1795513.76</v>
      </c>
      <c r="G17" s="71">
        <f t="shared" si="7"/>
        <v>32</v>
      </c>
      <c r="H17" s="71">
        <f t="shared" si="5"/>
        <v>365</v>
      </c>
      <c r="I17" s="79">
        <f t="shared" si="10"/>
        <v>812500</v>
      </c>
      <c r="J17" s="79">
        <f>SUM($I$8:I16)</f>
        <v>7312500</v>
      </c>
      <c r="K17" s="79">
        <f>$J$12-J17</f>
        <v>18687500</v>
      </c>
      <c r="L17" s="73">
        <f>ROUND(C17*malumot!$B$84/H17,2)*G17</f>
        <v>983013.76</v>
      </c>
      <c r="M17" s="73">
        <f t="shared" si="0"/>
        <v>1795513.76</v>
      </c>
      <c r="N17" s="73"/>
      <c r="O17" s="88" t="str">
        <f t="shared" si="8"/>
        <v>Вс</v>
      </c>
      <c r="P17" s="90">
        <f t="shared" si="6"/>
        <v>1</v>
      </c>
      <c r="Q17" s="90">
        <f>DAY(malumot!$B$78)+P17</f>
        <v>2</v>
      </c>
      <c r="R17" s="85">
        <f>IF(A17&lt;=malumot!$B$81,DATE(YEAR($B$8),MONTH($B$8)+A16,DAY(malumot!$B$78)),0)</f>
        <v>46054</v>
      </c>
      <c r="S17" s="71"/>
      <c r="T17" s="71"/>
      <c r="U17" s="71"/>
      <c r="V17" s="71"/>
    </row>
    <row r="18" spans="1:22">
      <c r="A18" s="77">
        <v>11</v>
      </c>
      <c r="B18" s="78">
        <f>IF(A18&lt;=malumot!$B$81,DATE(YEAR(R18),MONTH(R18),DAY(IF(A18=malumot!$B$81,malumot!$B$67,IF(A18&lt;malumot!$B$81,(Q18),IF(A18&gt;malumot!$B$81,$H$44,0))))))</f>
        <v>46083</v>
      </c>
      <c r="C18" s="44">
        <f t="shared" si="1"/>
        <v>17875000</v>
      </c>
      <c r="D18" s="44">
        <f t="shared" si="2"/>
        <v>812500</v>
      </c>
      <c r="E18" s="44">
        <f t="shared" si="3"/>
        <v>822739.68</v>
      </c>
      <c r="F18" s="44">
        <f t="shared" si="4"/>
        <v>1635239.6800000002</v>
      </c>
      <c r="G18" s="71">
        <f t="shared" si="7"/>
        <v>28</v>
      </c>
      <c r="H18" s="71">
        <f t="shared" si="5"/>
        <v>365</v>
      </c>
      <c r="I18" s="79">
        <f t="shared" si="10"/>
        <v>812500</v>
      </c>
      <c r="J18" s="79">
        <f>SUM($I$8:I17)</f>
        <v>8125000</v>
      </c>
      <c r="K18" s="79">
        <f t="shared" si="9"/>
        <v>17875000</v>
      </c>
      <c r="L18" s="73">
        <f>ROUND(C18*malumot!$B$84/H18,2)*G18</f>
        <v>822739.68</v>
      </c>
      <c r="M18" s="73">
        <f t="shared" si="0"/>
        <v>1635239.6800000002</v>
      </c>
      <c r="N18" s="73"/>
      <c r="O18" s="88" t="str">
        <f t="shared" si="8"/>
        <v>Вс</v>
      </c>
      <c r="P18" s="90">
        <f t="shared" si="6"/>
        <v>1</v>
      </c>
      <c r="Q18" s="90">
        <f>DAY(malumot!$B$78)+P18</f>
        <v>2</v>
      </c>
      <c r="R18" s="85">
        <f>IF(A18&lt;=malumot!$B$81,DATE(YEAR($B$8),MONTH($B$8)+A17,DAY(malumot!$B$78)),0)</f>
        <v>46082</v>
      </c>
      <c r="S18" s="71"/>
      <c r="T18" s="71"/>
      <c r="U18" s="71"/>
      <c r="V18" s="71"/>
    </row>
    <row r="19" spans="1:22">
      <c r="A19" s="77">
        <v>12</v>
      </c>
      <c r="B19" s="78">
        <f>IF(A19&lt;=malumot!$B$81,DATE(YEAR(R19),MONTH(R19),DAY(IF(A19=malumot!$B$81,malumot!$B$67,IF(A19&lt;malumot!$B$81,(Q19),IF(A19&gt;malumot!$B$81,$H$44,0))))))</f>
        <v>46113</v>
      </c>
      <c r="C19" s="44">
        <f t="shared" si="1"/>
        <v>17062500</v>
      </c>
      <c r="D19" s="44">
        <f t="shared" si="2"/>
        <v>812500</v>
      </c>
      <c r="E19" s="44">
        <f t="shared" si="3"/>
        <v>841438.5</v>
      </c>
      <c r="F19" s="44">
        <f t="shared" si="4"/>
        <v>1653938.5</v>
      </c>
      <c r="G19" s="71">
        <f t="shared" si="7"/>
        <v>30</v>
      </c>
      <c r="H19" s="71">
        <f t="shared" si="5"/>
        <v>365</v>
      </c>
      <c r="I19" s="79">
        <f t="shared" si="10"/>
        <v>812500</v>
      </c>
      <c r="J19" s="79">
        <f>SUM($I$8:I18)</f>
        <v>8937500</v>
      </c>
      <c r="K19" s="79">
        <f t="shared" si="9"/>
        <v>17062500</v>
      </c>
      <c r="L19" s="73">
        <f>ROUND(C19*malumot!$B$84/H19,2)*G19</f>
        <v>841438.5</v>
      </c>
      <c r="M19" s="73">
        <f t="shared" si="0"/>
        <v>1653938.5</v>
      </c>
      <c r="N19" s="73"/>
      <c r="O19" s="88" t="str">
        <f t="shared" si="8"/>
        <v>Ср</v>
      </c>
      <c r="P19" s="90">
        <f t="shared" si="6"/>
        <v>0</v>
      </c>
      <c r="Q19" s="90">
        <f>DAY(malumot!$B$78)+P19</f>
        <v>1</v>
      </c>
      <c r="R19" s="85">
        <f>IF(A19&lt;=malumot!$B$81,DATE(YEAR($B$8),MONTH($B$8)+A18,DAY(malumot!$B$78)),0)</f>
        <v>46113</v>
      </c>
      <c r="S19" s="71"/>
      <c r="T19" s="71"/>
      <c r="U19" s="71"/>
      <c r="V19" s="71"/>
    </row>
    <row r="20" spans="1:22">
      <c r="A20" s="77">
        <v>13</v>
      </c>
      <c r="B20" s="78">
        <f>IF(A20&lt;=malumot!$B$81,DATE(YEAR(R20),MONTH(R20),DAY(IF(A20=malumot!$B$81,malumot!$B$67,IF(A20&lt;malumot!$B$81,(Q20),IF(A20&gt;malumot!$B$81,$H$44,0))))))</f>
        <v>46143</v>
      </c>
      <c r="C20" s="44">
        <f t="shared" si="1"/>
        <v>16250000</v>
      </c>
      <c r="D20" s="44">
        <f t="shared" si="2"/>
        <v>812500</v>
      </c>
      <c r="E20" s="44">
        <f t="shared" si="3"/>
        <v>801369.9</v>
      </c>
      <c r="F20" s="44">
        <f t="shared" si="4"/>
        <v>1613869.9</v>
      </c>
      <c r="G20" s="71">
        <f t="shared" si="7"/>
        <v>30</v>
      </c>
      <c r="H20" s="71">
        <f t="shared" si="5"/>
        <v>365</v>
      </c>
      <c r="I20" s="79">
        <f t="shared" si="10"/>
        <v>812500</v>
      </c>
      <c r="J20" s="79">
        <f>SUM($I$8:I19)</f>
        <v>9750000</v>
      </c>
      <c r="K20" s="79">
        <f>$J$12-J20</f>
        <v>16250000</v>
      </c>
      <c r="L20" s="73">
        <f>ROUND(C20*malumot!$B$84/H20,2)*G20</f>
        <v>801369.9</v>
      </c>
      <c r="M20" s="73">
        <f t="shared" si="0"/>
        <v>1613869.9</v>
      </c>
      <c r="N20" s="73"/>
      <c r="O20" s="88" t="str">
        <f t="shared" si="8"/>
        <v>Пт</v>
      </c>
      <c r="P20" s="90">
        <f t="shared" si="6"/>
        <v>0</v>
      </c>
      <c r="Q20" s="90">
        <f>DAY(malumot!$B$78)+P20</f>
        <v>1</v>
      </c>
      <c r="R20" s="85">
        <f>IF(A20&lt;=malumot!$B$81,DATE(YEAR($B$8),MONTH($B$8)+A19,DAY(malumot!$B$78)),0)</f>
        <v>46143</v>
      </c>
      <c r="S20" s="71"/>
      <c r="T20" s="71"/>
      <c r="U20" s="71"/>
      <c r="V20" s="71"/>
    </row>
    <row r="21" spans="1:22">
      <c r="A21" s="77">
        <v>14</v>
      </c>
      <c r="B21" s="78">
        <f>IF(A21&lt;=malumot!$B$81,DATE(YEAR(R21),MONTH(R21),DAY(IF(A21=malumot!$B$81,malumot!$B$67,IF(A21&lt;malumot!$B$81,(Q21),IF(A21&gt;malumot!$B$81,$H$44,0))))))</f>
        <v>46174</v>
      </c>
      <c r="C21" s="44">
        <f t="shared" si="1"/>
        <v>15437500</v>
      </c>
      <c r="D21" s="44">
        <f t="shared" si="2"/>
        <v>812500</v>
      </c>
      <c r="E21" s="44">
        <f t="shared" si="3"/>
        <v>786678.01</v>
      </c>
      <c r="F21" s="44">
        <f t="shared" si="4"/>
        <v>1599178.01</v>
      </c>
      <c r="G21" s="71">
        <f t="shared" si="7"/>
        <v>31</v>
      </c>
      <c r="H21" s="71">
        <f t="shared" si="5"/>
        <v>365</v>
      </c>
      <c r="I21" s="79">
        <f t="shared" si="10"/>
        <v>812500</v>
      </c>
      <c r="J21" s="79">
        <f>SUM($I$8:I20)</f>
        <v>10562500</v>
      </c>
      <c r="K21" s="79">
        <f t="shared" si="9"/>
        <v>15437500</v>
      </c>
      <c r="L21" s="73">
        <f>ROUND(C21*malumot!$B$84/H21,2)*G21</f>
        <v>786678.01</v>
      </c>
      <c r="M21" s="73">
        <f t="shared" si="0"/>
        <v>1599178.01</v>
      </c>
      <c r="N21" s="73"/>
      <c r="O21" s="88" t="str">
        <f t="shared" si="8"/>
        <v>Пн</v>
      </c>
      <c r="P21" s="90">
        <f t="shared" si="6"/>
        <v>0</v>
      </c>
      <c r="Q21" s="90">
        <f>DAY(malumot!$B$78)+P21</f>
        <v>1</v>
      </c>
      <c r="R21" s="85">
        <f>IF(A21&lt;=malumot!$B$81,DATE(YEAR($B$8),MONTH($B$8)+A20,DAY(malumot!$B$78)),0)</f>
        <v>46174</v>
      </c>
      <c r="S21" s="71"/>
      <c r="T21" s="71"/>
      <c r="U21" s="71"/>
      <c r="V21" s="71"/>
    </row>
    <row r="22" spans="1:22">
      <c r="A22" s="77">
        <v>15</v>
      </c>
      <c r="B22" s="78">
        <f>IF(A22&lt;=malumot!$B$81,DATE(YEAR(R22),MONTH(R22),DAY(IF(A22=malumot!$B$81,malumot!$B$67,IF(A22&lt;malumot!$B$81,(Q22),IF(A22&gt;malumot!$B$81,$H$44,0))))))</f>
        <v>46204</v>
      </c>
      <c r="C22" s="44">
        <f t="shared" si="1"/>
        <v>14625000</v>
      </c>
      <c r="D22" s="44">
        <f t="shared" si="2"/>
        <v>812500</v>
      </c>
      <c r="E22" s="44">
        <f t="shared" si="3"/>
        <v>721233</v>
      </c>
      <c r="F22" s="44">
        <f t="shared" si="4"/>
        <v>1533733</v>
      </c>
      <c r="G22" s="71">
        <f t="shared" si="7"/>
        <v>30</v>
      </c>
      <c r="H22" s="71">
        <f t="shared" si="5"/>
        <v>365</v>
      </c>
      <c r="I22" s="79">
        <f t="shared" si="10"/>
        <v>812500</v>
      </c>
      <c r="J22" s="79">
        <f>SUM($I$8:I21)</f>
        <v>11375000</v>
      </c>
      <c r="K22" s="79">
        <f t="shared" si="9"/>
        <v>14625000</v>
      </c>
      <c r="L22" s="73">
        <f>ROUND(C22*malumot!$B$84/H22,2)*G22</f>
        <v>721233</v>
      </c>
      <c r="M22" s="73">
        <f t="shared" si="0"/>
        <v>1533733</v>
      </c>
      <c r="N22" s="73"/>
      <c r="O22" s="88" t="str">
        <f t="shared" si="8"/>
        <v>Ср</v>
      </c>
      <c r="P22" s="90">
        <f t="shared" si="6"/>
        <v>0</v>
      </c>
      <c r="Q22" s="90">
        <f>DAY(malumot!$B$78)+P22</f>
        <v>1</v>
      </c>
      <c r="R22" s="85">
        <f>IF(A22&lt;=malumot!$B$81,DATE(YEAR($B$8),MONTH($B$8)+A21,DAY(malumot!$B$78)),0)</f>
        <v>46204</v>
      </c>
      <c r="S22" s="71"/>
      <c r="T22" s="71"/>
      <c r="U22" s="71"/>
      <c r="V22" s="71"/>
    </row>
    <row r="23" spans="1:22">
      <c r="A23" s="77">
        <v>16</v>
      </c>
      <c r="B23" s="78">
        <f>IF(A23&lt;=malumot!$B$81,DATE(YEAR(R23),MONTH(R23),DAY(IF(A23=malumot!$B$81,malumot!$B$67,IF(A23&lt;malumot!$B$81,(Q23),IF(A23&gt;malumot!$B$81,$H$44,0))))))</f>
        <v>46237</v>
      </c>
      <c r="C23" s="44">
        <f t="shared" si="1"/>
        <v>13812500</v>
      </c>
      <c r="D23" s="44">
        <f t="shared" si="2"/>
        <v>812500</v>
      </c>
      <c r="E23" s="44">
        <f t="shared" si="3"/>
        <v>749280.84</v>
      </c>
      <c r="F23" s="44">
        <f t="shared" si="4"/>
        <v>1561780.8399999999</v>
      </c>
      <c r="G23" s="71">
        <f t="shared" si="7"/>
        <v>33</v>
      </c>
      <c r="H23" s="71">
        <f t="shared" si="5"/>
        <v>365</v>
      </c>
      <c r="I23" s="79">
        <f t="shared" si="10"/>
        <v>812500</v>
      </c>
      <c r="J23" s="79">
        <f>SUM($I$8:I22)</f>
        <v>12187500</v>
      </c>
      <c r="K23" s="79">
        <f t="shared" si="9"/>
        <v>13812500</v>
      </c>
      <c r="L23" s="73">
        <f>ROUND(C23*malumot!$B$84/H23,2)*G23</f>
        <v>749280.84</v>
      </c>
      <c r="M23" s="73">
        <f t="shared" si="0"/>
        <v>1561780.8399999999</v>
      </c>
      <c r="N23" s="73"/>
      <c r="O23" s="88" t="str">
        <f t="shared" si="8"/>
        <v>Сб</v>
      </c>
      <c r="P23" s="90">
        <f t="shared" si="6"/>
        <v>2</v>
      </c>
      <c r="Q23" s="90">
        <f>DAY(malumot!$B$78)+P23</f>
        <v>3</v>
      </c>
      <c r="R23" s="85">
        <f>IF(A23&lt;=malumot!$B$81,DATE(YEAR($B$8),MONTH($B$8)+A22,DAY(malumot!$B$78)),0)</f>
        <v>46235</v>
      </c>
      <c r="S23" s="71"/>
      <c r="T23" s="71"/>
      <c r="U23" s="71"/>
      <c r="V23" s="71"/>
    </row>
    <row r="24" spans="1:22">
      <c r="A24" s="77">
        <v>17</v>
      </c>
      <c r="B24" s="78">
        <f>IF(A24&lt;=malumot!$B$81,DATE(YEAR(R24),MONTH(R24),DAY(IF(A24=malumot!$B$81,malumot!$B$67,IF(A24&lt;malumot!$B$81,(Q24),IF(A24&gt;malumot!$B$81,$H$44,0))))))</f>
        <v>46266</v>
      </c>
      <c r="C24" s="44">
        <f t="shared" si="1"/>
        <v>13000000</v>
      </c>
      <c r="D24" s="44">
        <f t="shared" si="2"/>
        <v>812500</v>
      </c>
      <c r="E24" s="44">
        <f t="shared" si="3"/>
        <v>619725.94000000006</v>
      </c>
      <c r="F24" s="44">
        <f t="shared" si="4"/>
        <v>1432225.94</v>
      </c>
      <c r="G24" s="71">
        <f t="shared" si="7"/>
        <v>29</v>
      </c>
      <c r="H24" s="71">
        <f t="shared" si="5"/>
        <v>365</v>
      </c>
      <c r="I24" s="79">
        <f t="shared" si="10"/>
        <v>812500</v>
      </c>
      <c r="J24" s="79">
        <f>SUM($I$8:I23)</f>
        <v>13000000</v>
      </c>
      <c r="K24" s="79">
        <f t="shared" si="9"/>
        <v>13000000</v>
      </c>
      <c r="L24" s="73">
        <f>ROUND(C24*malumot!$B$84/H24,2)*G24</f>
        <v>619725.94000000006</v>
      </c>
      <c r="M24" s="73">
        <f t="shared" si="0"/>
        <v>1432225.94</v>
      </c>
      <c r="N24" s="73"/>
      <c r="O24" s="88" t="str">
        <f t="shared" si="8"/>
        <v>Вт</v>
      </c>
      <c r="P24" s="90">
        <f t="shared" si="6"/>
        <v>0</v>
      </c>
      <c r="Q24" s="90">
        <f>DAY(malumot!$B$78)+P24</f>
        <v>1</v>
      </c>
      <c r="R24" s="85">
        <f>IF(A24&lt;=malumot!$B$81,DATE(YEAR($B$8),MONTH($B$8)+A23,DAY(malumot!$B$78)),0)</f>
        <v>46266</v>
      </c>
      <c r="S24" s="71"/>
      <c r="T24" s="71"/>
      <c r="U24" s="71"/>
      <c r="V24" s="71"/>
    </row>
    <row r="25" spans="1:22">
      <c r="A25" s="77">
        <v>18</v>
      </c>
      <c r="B25" s="78">
        <f>IF(A25&lt;=malumot!$B$81,DATE(YEAR(R25),MONTH(R25),DAY(IF(A25=malumot!$B$81,malumot!$B$67,IF(A25&lt;malumot!$B$81,(Q25),IF(A25&gt;malumot!$B$81,$H$44,0))))))</f>
        <v>46296</v>
      </c>
      <c r="C25" s="44">
        <f t="shared" si="1"/>
        <v>12187500</v>
      </c>
      <c r="D25" s="44">
        <f t="shared" si="2"/>
        <v>812500</v>
      </c>
      <c r="E25" s="44">
        <f t="shared" si="3"/>
        <v>601027.5</v>
      </c>
      <c r="F25" s="44">
        <f t="shared" si="4"/>
        <v>1413527.5</v>
      </c>
      <c r="G25" s="71">
        <f t="shared" si="7"/>
        <v>30</v>
      </c>
      <c r="H25" s="71">
        <f t="shared" si="5"/>
        <v>365</v>
      </c>
      <c r="I25" s="79">
        <f t="shared" si="10"/>
        <v>812500</v>
      </c>
      <c r="J25" s="79">
        <f>SUM($I$8:I24)</f>
        <v>13812500</v>
      </c>
      <c r="K25" s="79">
        <f t="shared" si="9"/>
        <v>12187500</v>
      </c>
      <c r="L25" s="73">
        <f>ROUND(C25*malumot!$B$84/H25,2)*G25</f>
        <v>601027.5</v>
      </c>
      <c r="M25" s="73">
        <f t="shared" si="0"/>
        <v>1413527.5</v>
      </c>
      <c r="N25" s="73"/>
      <c r="O25" s="88" t="str">
        <f t="shared" si="8"/>
        <v>Чт</v>
      </c>
      <c r="P25" s="90">
        <f t="shared" si="6"/>
        <v>0</v>
      </c>
      <c r="Q25" s="90">
        <f>DAY(malumot!$B$78)+P25</f>
        <v>1</v>
      </c>
      <c r="R25" s="85">
        <f>IF(A25&lt;=malumot!$B$81,DATE(YEAR($B$8),MONTH($B$8)+A24,DAY(malumot!$B$78)),0)</f>
        <v>46296</v>
      </c>
      <c r="S25" s="71"/>
      <c r="T25" s="71"/>
      <c r="U25" s="71"/>
      <c r="V25" s="71"/>
    </row>
    <row r="26" spans="1:22">
      <c r="A26" s="77">
        <v>19</v>
      </c>
      <c r="B26" s="78">
        <f>IF(A26&lt;=malumot!$B$81,DATE(YEAR(R26),MONTH(R26),DAY(IF(A26=malumot!$B$81,malumot!$B$67,IF(A26&lt;malumot!$B$81,(Q26),IF(A26&gt;malumot!$B$81,$H$44,0))))))</f>
        <v>46328</v>
      </c>
      <c r="C26" s="44">
        <f t="shared" si="1"/>
        <v>11375000</v>
      </c>
      <c r="D26" s="44">
        <f t="shared" si="2"/>
        <v>812500</v>
      </c>
      <c r="E26" s="44">
        <f t="shared" si="3"/>
        <v>598356.16</v>
      </c>
      <c r="F26" s="44">
        <f t="shared" si="4"/>
        <v>1410856.1600000001</v>
      </c>
      <c r="G26" s="71">
        <f t="shared" si="7"/>
        <v>32</v>
      </c>
      <c r="H26" s="71">
        <f t="shared" si="5"/>
        <v>365</v>
      </c>
      <c r="I26" s="79">
        <f t="shared" si="10"/>
        <v>812500</v>
      </c>
      <c r="J26" s="79">
        <f>SUM($I$8:I25)</f>
        <v>14625000</v>
      </c>
      <c r="K26" s="79">
        <f t="shared" si="9"/>
        <v>11375000</v>
      </c>
      <c r="L26" s="73">
        <f>ROUND(C26*malumot!$B$84/H26,2)*G26</f>
        <v>598356.16</v>
      </c>
      <c r="M26" s="73">
        <f t="shared" si="0"/>
        <v>1410856.1600000001</v>
      </c>
      <c r="N26" s="73"/>
      <c r="O26" s="88" t="str">
        <f t="shared" si="8"/>
        <v>Вс</v>
      </c>
      <c r="P26" s="90">
        <f t="shared" si="6"/>
        <v>1</v>
      </c>
      <c r="Q26" s="90">
        <f>DAY(malumot!$B$78)+P26</f>
        <v>2</v>
      </c>
      <c r="R26" s="85">
        <f>IF(A26&lt;=malumot!$B$81,DATE(YEAR($B$8),MONTH($B$8)+A25,DAY(malumot!$B$78)),0)</f>
        <v>46327</v>
      </c>
      <c r="S26" s="71"/>
      <c r="T26" s="71"/>
      <c r="U26" s="71"/>
      <c r="V26" s="71"/>
    </row>
    <row r="27" spans="1:22">
      <c r="A27" s="77">
        <v>20</v>
      </c>
      <c r="B27" s="78">
        <f>IF(A27&lt;=malumot!$B$81,DATE(YEAR(R27),MONTH(R27),DAY(IF(A27=malumot!$B$81,malumot!$B$67,IF(A27&lt;malumot!$B$81,(Q27),IF(A27&gt;malumot!$B$81,$H$44,0))))))</f>
        <v>46357</v>
      </c>
      <c r="C27" s="44">
        <f t="shared" si="1"/>
        <v>10562500</v>
      </c>
      <c r="D27" s="44">
        <f t="shared" si="2"/>
        <v>812500</v>
      </c>
      <c r="E27" s="44">
        <f t="shared" si="3"/>
        <v>503527.29</v>
      </c>
      <c r="F27" s="44">
        <f t="shared" si="4"/>
        <v>1316027.29</v>
      </c>
      <c r="G27" s="71">
        <f t="shared" si="7"/>
        <v>29</v>
      </c>
      <c r="H27" s="71">
        <f t="shared" si="5"/>
        <v>365</v>
      </c>
      <c r="I27" s="79">
        <f t="shared" si="10"/>
        <v>812500</v>
      </c>
      <c r="J27" s="79">
        <f>SUM($I$8:I26)</f>
        <v>15437500</v>
      </c>
      <c r="K27" s="79">
        <f t="shared" si="9"/>
        <v>10562500</v>
      </c>
      <c r="L27" s="73">
        <f>ROUND(C27*malumot!$B$84/H27,2)*G27</f>
        <v>503527.29</v>
      </c>
      <c r="M27" s="73">
        <f t="shared" si="0"/>
        <v>1316027.29</v>
      </c>
      <c r="N27" s="73"/>
      <c r="O27" s="88" t="str">
        <f t="shared" si="8"/>
        <v>Вт</v>
      </c>
      <c r="P27" s="90">
        <f t="shared" si="6"/>
        <v>0</v>
      </c>
      <c r="Q27" s="90">
        <f>DAY(malumot!$B$78)+P27</f>
        <v>1</v>
      </c>
      <c r="R27" s="85">
        <f>IF(A27&lt;=malumot!$B$81,DATE(YEAR($B$8),MONTH($B$8)+A26,DAY(malumot!$B$78)),0)</f>
        <v>46357</v>
      </c>
      <c r="S27" s="71"/>
      <c r="T27" s="71"/>
      <c r="U27" s="71"/>
      <c r="V27" s="71"/>
    </row>
    <row r="28" spans="1:22">
      <c r="A28" s="77">
        <v>21</v>
      </c>
      <c r="B28" s="78">
        <f>IF(A28&lt;=malumot!$B$81,DATE(YEAR(R28),MONTH(R28),DAY(IF(A28=malumot!$B$81,malumot!$B$67,IF(A28&lt;malumot!$B$81,(Q28),IF(A28&gt;malumot!$B$81,$H$44,0))))))</f>
        <v>46388</v>
      </c>
      <c r="C28" s="44">
        <f t="shared" si="1"/>
        <v>9750000</v>
      </c>
      <c r="D28" s="44">
        <f t="shared" si="2"/>
        <v>812500</v>
      </c>
      <c r="E28" s="44">
        <f t="shared" si="3"/>
        <v>496849.39999999997</v>
      </c>
      <c r="F28" s="44">
        <f t="shared" si="4"/>
        <v>1309349.3999999999</v>
      </c>
      <c r="G28" s="71">
        <f t="shared" si="7"/>
        <v>31</v>
      </c>
      <c r="H28" s="71">
        <f t="shared" si="5"/>
        <v>365</v>
      </c>
      <c r="I28" s="79">
        <f t="shared" si="10"/>
        <v>812500</v>
      </c>
      <c r="J28" s="79">
        <f>SUM($I$8:I27)</f>
        <v>16250000</v>
      </c>
      <c r="K28" s="79">
        <f t="shared" si="9"/>
        <v>9750000</v>
      </c>
      <c r="L28" s="73">
        <f>ROUND(C28*malumot!$B$84/H28,2)*G28</f>
        <v>496849.39999999997</v>
      </c>
      <c r="M28" s="73">
        <f t="shared" si="0"/>
        <v>1309349.3999999999</v>
      </c>
      <c r="N28" s="73"/>
      <c r="O28" s="88" t="str">
        <f t="shared" si="8"/>
        <v>Пт</v>
      </c>
      <c r="P28" s="90">
        <f t="shared" si="6"/>
        <v>0</v>
      </c>
      <c r="Q28" s="90">
        <f>DAY(malumot!$B$78)+P28</f>
        <v>1</v>
      </c>
      <c r="R28" s="85">
        <f>IF(A28&lt;=malumot!$B$81,DATE(YEAR($B$8),MONTH($B$8)+A27,DAY(malumot!$B$78)),0)</f>
        <v>46388</v>
      </c>
      <c r="S28" s="71"/>
      <c r="T28" s="71"/>
      <c r="U28" s="71"/>
      <c r="V28" s="71"/>
    </row>
    <row r="29" spans="1:22">
      <c r="A29" s="77">
        <v>22</v>
      </c>
      <c r="B29" s="78">
        <f>IF(A29&lt;=malumot!$B$81,DATE(YEAR(R29),MONTH(R29),DAY(IF(A29=malumot!$B$81,malumot!$B$67,IF(A29&lt;malumot!$B$81,(Q29),IF(A29&gt;malumot!$B$81,$H$44,0))))))</f>
        <v>46419</v>
      </c>
      <c r="C29" s="44">
        <f t="shared" si="1"/>
        <v>8937500</v>
      </c>
      <c r="D29" s="44">
        <f t="shared" si="2"/>
        <v>812500</v>
      </c>
      <c r="E29" s="44">
        <f t="shared" si="3"/>
        <v>455445.18</v>
      </c>
      <c r="F29" s="44">
        <f t="shared" si="4"/>
        <v>1267945.18</v>
      </c>
      <c r="G29" s="71">
        <f t="shared" si="7"/>
        <v>31</v>
      </c>
      <c r="H29" s="71">
        <f t="shared" si="5"/>
        <v>365</v>
      </c>
      <c r="I29" s="79">
        <f t="shared" si="10"/>
        <v>812500</v>
      </c>
      <c r="J29" s="79">
        <f>SUM($I$8:I28)</f>
        <v>17062500</v>
      </c>
      <c r="K29" s="79">
        <f t="shared" si="9"/>
        <v>8937500</v>
      </c>
      <c r="L29" s="73">
        <f>ROUND(C29*malumot!$B$84/H29,2)*G29</f>
        <v>455445.18</v>
      </c>
      <c r="M29" s="73">
        <f t="shared" si="0"/>
        <v>1267945.18</v>
      </c>
      <c r="N29" s="73"/>
      <c r="O29" s="88" t="str">
        <f t="shared" si="8"/>
        <v>Пн</v>
      </c>
      <c r="P29" s="90">
        <f t="shared" si="6"/>
        <v>0</v>
      </c>
      <c r="Q29" s="90">
        <f>DAY(malumot!$B$78)+P29</f>
        <v>1</v>
      </c>
      <c r="R29" s="85">
        <f>IF(A29&lt;=malumot!$B$81,DATE(YEAR($B$8),MONTH($B$8)+A28,DAY(malumot!$B$78)),0)</f>
        <v>46419</v>
      </c>
      <c r="S29" s="71"/>
      <c r="T29" s="71"/>
      <c r="U29" s="71"/>
      <c r="V29" s="71"/>
    </row>
    <row r="30" spans="1:22">
      <c r="A30" s="77">
        <v>23</v>
      </c>
      <c r="B30" s="78">
        <f>IF(A30&lt;=malumot!$B$81,DATE(YEAR(R30),MONTH(R30),DAY(IF(A30=malumot!$B$81,malumot!$B$67,IF(A30&lt;malumot!$B$81,(Q30),IF(A30&gt;malumot!$B$81,$H$44,0))))))</f>
        <v>46447</v>
      </c>
      <c r="C30" s="44">
        <f t="shared" si="1"/>
        <v>8125000</v>
      </c>
      <c r="D30" s="44">
        <f t="shared" si="2"/>
        <v>812500</v>
      </c>
      <c r="E30" s="44">
        <f t="shared" si="3"/>
        <v>373972.47999999998</v>
      </c>
      <c r="F30" s="44">
        <f t="shared" si="4"/>
        <v>1186472.48</v>
      </c>
      <c r="G30" s="71">
        <f t="shared" si="7"/>
        <v>28</v>
      </c>
      <c r="H30" s="71">
        <f t="shared" si="5"/>
        <v>365</v>
      </c>
      <c r="I30" s="79">
        <f t="shared" si="10"/>
        <v>812500</v>
      </c>
      <c r="J30" s="79">
        <f>SUM($I$8:I29)</f>
        <v>17875000</v>
      </c>
      <c r="K30" s="79">
        <f t="shared" si="9"/>
        <v>8125000</v>
      </c>
      <c r="L30" s="73">
        <f>ROUND(C30*malumot!$B$84/H30,2)*G30</f>
        <v>373972.47999999998</v>
      </c>
      <c r="M30" s="73">
        <f t="shared" si="0"/>
        <v>1186472.48</v>
      </c>
      <c r="N30" s="73"/>
      <c r="O30" s="88" t="str">
        <f t="shared" si="8"/>
        <v>Пн</v>
      </c>
      <c r="P30" s="90">
        <f t="shared" si="6"/>
        <v>0</v>
      </c>
      <c r="Q30" s="90">
        <f>DAY(malumot!$B$78)+P30</f>
        <v>1</v>
      </c>
      <c r="R30" s="85">
        <f>IF(A30&lt;=malumot!$B$81,DATE(YEAR($B$8),MONTH($B$8)+A29,DAY(malumot!$B$78)),0)</f>
        <v>46447</v>
      </c>
      <c r="S30" s="71"/>
      <c r="T30" s="71"/>
      <c r="U30" s="71"/>
      <c r="V30" s="71"/>
    </row>
    <row r="31" spans="1:22">
      <c r="A31" s="77">
        <v>24</v>
      </c>
      <c r="B31" s="78">
        <f>IF(A31&lt;=malumot!$B$81,DATE(YEAR(R31),MONTH(R31),DAY(IF(A31=malumot!$B$81,malumot!$B$67,IF(A31&lt;malumot!$B$81,(Q31),IF(A31&gt;malumot!$B$81,$H$44,0))))))</f>
        <v>46478</v>
      </c>
      <c r="C31" s="44">
        <f t="shared" ref="C31" si="11">C30-D30</f>
        <v>7312500</v>
      </c>
      <c r="D31" s="44">
        <f t="shared" ref="D31" si="12">IF(C31=0,L31,IF(C31&gt;1,I31))</f>
        <v>812500</v>
      </c>
      <c r="E31" s="44">
        <f t="shared" ref="E31" si="13">IF(C31=0,N30,IF(C31&gt;1,L31))</f>
        <v>372637.05</v>
      </c>
      <c r="F31" s="44">
        <f t="shared" ref="F31" si="14">IF(C31=0,N30,IF(C31&gt;1,M31))</f>
        <v>1185137.05</v>
      </c>
      <c r="G31" s="71">
        <f t="shared" si="7"/>
        <v>31</v>
      </c>
      <c r="H31" s="71">
        <f t="shared" si="5"/>
        <v>365</v>
      </c>
      <c r="I31" s="79">
        <f t="shared" si="10"/>
        <v>812500</v>
      </c>
      <c r="J31" s="79">
        <f>SUM($I$8:I30)</f>
        <v>18687500</v>
      </c>
      <c r="K31" s="79">
        <f t="shared" si="9"/>
        <v>7312500</v>
      </c>
      <c r="L31" s="73">
        <f>ROUND(C31*malumot!$B$84/H31,2)*G31</f>
        <v>372637.05</v>
      </c>
      <c r="M31" s="73">
        <f t="shared" si="0"/>
        <v>1185137.05</v>
      </c>
      <c r="N31" s="73"/>
      <c r="O31" s="88" t="str">
        <f t="shared" si="8"/>
        <v>Чт</v>
      </c>
      <c r="P31" s="90">
        <f t="shared" si="6"/>
        <v>0</v>
      </c>
      <c r="Q31" s="90">
        <f>DAY(malumot!$B$78)+P31</f>
        <v>1</v>
      </c>
      <c r="R31" s="85">
        <f>IF(A31&lt;=malumot!$B$81,DATE(YEAR($B$8),MONTH($B$8)+A30,DAY(malumot!$B$78)),0)</f>
        <v>46478</v>
      </c>
      <c r="S31" s="71"/>
      <c r="T31" s="71"/>
      <c r="U31" s="71"/>
      <c r="V31" s="71"/>
    </row>
    <row r="32" spans="1:22">
      <c r="A32" s="77">
        <f>1+A31</f>
        <v>25</v>
      </c>
      <c r="B32" s="78">
        <f>IF(A32&lt;=malumot!$B$81,DATE(YEAR(R32),MONTH(R32),DAY(IF(A32=malumot!$B$81,malumot!$B$67,IF(A32&lt;malumot!$B$81,(Q32),IF(A32&gt;malumot!$B$81,$H$44,0))))))</f>
        <v>46510</v>
      </c>
      <c r="C32" s="44">
        <f t="shared" ref="C32:C42" si="15">C31-D31</f>
        <v>6500000</v>
      </c>
      <c r="D32" s="44">
        <f t="shared" ref="D32:D42" si="16">IF(C32=0,L32,IF(C32&gt;1,I32))</f>
        <v>812500</v>
      </c>
      <c r="E32" s="44">
        <f t="shared" ref="E32:E42" si="17">IF(C32=0,N31,IF(C32&gt;1,L32))</f>
        <v>341917.76</v>
      </c>
      <c r="F32" s="44">
        <f t="shared" ref="F32:F42" si="18">IF(C32=0,N31,IF(C32&gt;1,M32))</f>
        <v>1154417.76</v>
      </c>
      <c r="G32" s="71">
        <f t="shared" ref="G32:G42" si="19">B32-B31</f>
        <v>32</v>
      </c>
      <c r="H32" s="71">
        <f t="shared" ref="H32:H42" si="20">DATE(YEAR(B32),12,31)-DATE(YEAR(B32),1,1)+1</f>
        <v>365</v>
      </c>
      <c r="I32" s="79">
        <f t="shared" ref="I32:I42" si="21">IF($L$5=A32,K32,IF($L$5&gt;A32,I31))</f>
        <v>812500</v>
      </c>
      <c r="J32" s="79">
        <f>SUM($I$8:I31)</f>
        <v>19500000</v>
      </c>
      <c r="K32" s="79">
        <f t="shared" ref="K32:K42" si="22">$J$12-J32</f>
        <v>6500000</v>
      </c>
      <c r="L32" s="73">
        <f>ROUND(C32*malumot!$B$84/H32,2)*G32</f>
        <v>341917.76</v>
      </c>
      <c r="M32" s="73">
        <f t="shared" ref="M32:M42" si="23">D32+E32</f>
        <v>1154417.76</v>
      </c>
      <c r="N32" s="73"/>
      <c r="O32" s="88" t="str">
        <f t="shared" ref="O32:O42" si="24">TEXT(R32,"ддд")</f>
        <v>Сб</v>
      </c>
      <c r="P32" s="90">
        <f t="shared" ref="P32:P42" si="25">IF(O32=$U$8,2,IF(O32=$V$8,1,0))</f>
        <v>2</v>
      </c>
      <c r="Q32" s="90">
        <f>DAY(malumot!$B$78)+P32</f>
        <v>3</v>
      </c>
      <c r="R32" s="85">
        <f>IF(A32&lt;=malumot!$B$81,DATE(YEAR($B$8),MONTH($B$8)+A31,DAY(malumot!$B$78)),0)</f>
        <v>46508</v>
      </c>
      <c r="S32" s="71"/>
      <c r="T32" s="71"/>
      <c r="U32" s="71"/>
      <c r="V32" s="71"/>
    </row>
    <row r="33" spans="1:22">
      <c r="A33" s="77">
        <f t="shared" ref="A33:A42" si="26">1+A32</f>
        <v>26</v>
      </c>
      <c r="B33" s="78">
        <f>IF(A33&lt;=malumot!$B$81,DATE(YEAR(R33),MONTH(R33),DAY(IF(A33=malumot!$B$81,malumot!$B$67,IF(A33&lt;malumot!$B$81,(Q33),IF(A33&gt;malumot!$B$81,$H$44,0))))))</f>
        <v>46539</v>
      </c>
      <c r="C33" s="44">
        <f t="shared" si="15"/>
        <v>5687500</v>
      </c>
      <c r="D33" s="44">
        <f t="shared" si="16"/>
        <v>812500</v>
      </c>
      <c r="E33" s="44">
        <f t="shared" si="17"/>
        <v>271130.27999999997</v>
      </c>
      <c r="F33" s="44">
        <f t="shared" si="18"/>
        <v>1083630.28</v>
      </c>
      <c r="G33" s="71">
        <f t="shared" si="19"/>
        <v>29</v>
      </c>
      <c r="H33" s="71">
        <f t="shared" si="20"/>
        <v>365</v>
      </c>
      <c r="I33" s="79">
        <f t="shared" si="21"/>
        <v>812500</v>
      </c>
      <c r="J33" s="79">
        <f>SUM($I$8:I32)</f>
        <v>20312500</v>
      </c>
      <c r="K33" s="79">
        <f t="shared" si="22"/>
        <v>5687500</v>
      </c>
      <c r="L33" s="73">
        <f>ROUND(C33*malumot!$B$84/H33,2)*G33</f>
        <v>271130.27999999997</v>
      </c>
      <c r="M33" s="73">
        <f t="shared" si="23"/>
        <v>1083630.28</v>
      </c>
      <c r="N33" s="73"/>
      <c r="O33" s="88" t="str">
        <f t="shared" si="24"/>
        <v>Вт</v>
      </c>
      <c r="P33" s="90">
        <f t="shared" si="25"/>
        <v>0</v>
      </c>
      <c r="Q33" s="90">
        <f>DAY(malumot!$B$78)+P33</f>
        <v>1</v>
      </c>
      <c r="R33" s="85">
        <f>IF(A33&lt;=malumot!$B$81,DATE(YEAR($B$8),MONTH($B$8)+A32,DAY(malumot!$B$78)),0)</f>
        <v>46539</v>
      </c>
      <c r="S33" s="71"/>
      <c r="T33" s="71"/>
      <c r="U33" s="71"/>
      <c r="V33" s="71"/>
    </row>
    <row r="34" spans="1:22">
      <c r="A34" s="77">
        <f t="shared" si="26"/>
        <v>27</v>
      </c>
      <c r="B34" s="78">
        <f>IF(A34&lt;=malumot!$B$81,DATE(YEAR(R34),MONTH(R34),DAY(IF(A34=malumot!$B$81,malumot!$B$67,IF(A34&lt;malumot!$B$81,(Q34),IF(A34&gt;malumot!$B$81,$H$44,0))))))</f>
        <v>46569</v>
      </c>
      <c r="C34" s="44">
        <f t="shared" si="15"/>
        <v>4875000</v>
      </c>
      <c r="D34" s="44">
        <f t="shared" si="16"/>
        <v>812500</v>
      </c>
      <c r="E34" s="44">
        <f t="shared" si="17"/>
        <v>240411</v>
      </c>
      <c r="F34" s="44">
        <f t="shared" si="18"/>
        <v>1052911</v>
      </c>
      <c r="G34" s="71">
        <f t="shared" si="19"/>
        <v>30</v>
      </c>
      <c r="H34" s="71">
        <f t="shared" si="20"/>
        <v>365</v>
      </c>
      <c r="I34" s="79">
        <f t="shared" si="21"/>
        <v>812500</v>
      </c>
      <c r="J34" s="79">
        <f>SUM($I$8:I33)</f>
        <v>21125000</v>
      </c>
      <c r="K34" s="79">
        <f t="shared" si="22"/>
        <v>4875000</v>
      </c>
      <c r="L34" s="73">
        <f>ROUND(C34*malumot!$B$84/H34,2)*G34</f>
        <v>240411</v>
      </c>
      <c r="M34" s="73">
        <f t="shared" si="23"/>
        <v>1052911</v>
      </c>
      <c r="N34" s="73"/>
      <c r="O34" s="88" t="str">
        <f t="shared" si="24"/>
        <v>Чт</v>
      </c>
      <c r="P34" s="90">
        <f t="shared" si="25"/>
        <v>0</v>
      </c>
      <c r="Q34" s="90">
        <f>DAY(malumot!$B$78)+P34</f>
        <v>1</v>
      </c>
      <c r="R34" s="85">
        <f>IF(A34&lt;=malumot!$B$81,DATE(YEAR($B$8),MONTH($B$8)+A33,DAY(malumot!$B$78)),0)</f>
        <v>46569</v>
      </c>
      <c r="S34" s="71"/>
      <c r="T34" s="71"/>
      <c r="U34" s="71"/>
      <c r="V34" s="71"/>
    </row>
    <row r="35" spans="1:22">
      <c r="A35" s="77">
        <f t="shared" si="26"/>
        <v>28</v>
      </c>
      <c r="B35" s="78">
        <f>IF(A35&lt;=malumot!$B$81,DATE(YEAR(R35),MONTH(R35),DAY(IF(A35=malumot!$B$81,malumot!$B$67,IF(A35&lt;malumot!$B$81,(Q35),IF(A35&gt;malumot!$B$81,$H$44,0))))))</f>
        <v>46601</v>
      </c>
      <c r="C35" s="44">
        <f t="shared" si="15"/>
        <v>4062500</v>
      </c>
      <c r="D35" s="44">
        <f t="shared" si="16"/>
        <v>812500</v>
      </c>
      <c r="E35" s="44">
        <f t="shared" si="17"/>
        <v>213698.56</v>
      </c>
      <c r="F35" s="44">
        <f t="shared" si="18"/>
        <v>1026198.56</v>
      </c>
      <c r="G35" s="71">
        <f t="shared" si="19"/>
        <v>32</v>
      </c>
      <c r="H35" s="71">
        <f t="shared" si="20"/>
        <v>365</v>
      </c>
      <c r="I35" s="79">
        <f t="shared" si="21"/>
        <v>812500</v>
      </c>
      <c r="J35" s="79">
        <f>SUM($I$8:I34)</f>
        <v>21937500</v>
      </c>
      <c r="K35" s="79">
        <f t="shared" si="22"/>
        <v>4062500</v>
      </c>
      <c r="L35" s="73">
        <f>ROUND(C35*malumot!$B$84/H35,2)*G35</f>
        <v>213698.56</v>
      </c>
      <c r="M35" s="73">
        <f t="shared" si="23"/>
        <v>1026198.56</v>
      </c>
      <c r="N35" s="73"/>
      <c r="O35" s="88" t="str">
        <f t="shared" si="24"/>
        <v>Вс</v>
      </c>
      <c r="P35" s="90">
        <f t="shared" si="25"/>
        <v>1</v>
      </c>
      <c r="Q35" s="90">
        <f>DAY(malumot!$B$78)+P35</f>
        <v>2</v>
      </c>
      <c r="R35" s="85">
        <f>IF(A35&lt;=malumot!$B$81,DATE(YEAR($B$8),MONTH($B$8)+A34,DAY(malumot!$B$78)),0)</f>
        <v>46600</v>
      </c>
      <c r="S35" s="71"/>
      <c r="T35" s="71"/>
      <c r="U35" s="71"/>
      <c r="V35" s="71"/>
    </row>
    <row r="36" spans="1:22">
      <c r="A36" s="77">
        <f t="shared" si="26"/>
        <v>29</v>
      </c>
      <c r="B36" s="78">
        <f>IF(A36&lt;=malumot!$B$81,DATE(YEAR(R36),MONTH(R36),DAY(IF(A36=malumot!$B$81,malumot!$B$67,IF(A36&lt;malumot!$B$81,(Q36),IF(A36&gt;malumot!$B$81,$H$44,0))))))</f>
        <v>46631</v>
      </c>
      <c r="C36" s="44">
        <f t="shared" si="15"/>
        <v>3250000</v>
      </c>
      <c r="D36" s="44">
        <f t="shared" si="16"/>
        <v>812500</v>
      </c>
      <c r="E36" s="44">
        <f t="shared" si="17"/>
        <v>160274.1</v>
      </c>
      <c r="F36" s="44">
        <f t="shared" si="18"/>
        <v>972774.1</v>
      </c>
      <c r="G36" s="71">
        <f t="shared" si="19"/>
        <v>30</v>
      </c>
      <c r="H36" s="71">
        <f t="shared" si="20"/>
        <v>365</v>
      </c>
      <c r="I36" s="79">
        <f t="shared" si="21"/>
        <v>812500</v>
      </c>
      <c r="J36" s="79">
        <f>SUM($I$8:I35)</f>
        <v>22750000</v>
      </c>
      <c r="K36" s="79">
        <f t="shared" si="22"/>
        <v>3250000</v>
      </c>
      <c r="L36" s="73">
        <f>ROUND(C36*malumot!$B$84/H36,2)*G36</f>
        <v>160274.1</v>
      </c>
      <c r="M36" s="73">
        <f t="shared" si="23"/>
        <v>972774.1</v>
      </c>
      <c r="N36" s="73"/>
      <c r="O36" s="88" t="str">
        <f t="shared" si="24"/>
        <v>Ср</v>
      </c>
      <c r="P36" s="90">
        <f t="shared" si="25"/>
        <v>0</v>
      </c>
      <c r="Q36" s="90">
        <f>DAY(malumot!$B$78)+P36</f>
        <v>1</v>
      </c>
      <c r="R36" s="85">
        <f>IF(A36&lt;=malumot!$B$81,DATE(YEAR($B$8),MONTH($B$8)+A35,DAY(malumot!$B$78)),0)</f>
        <v>46631</v>
      </c>
      <c r="S36" s="71"/>
      <c r="T36" s="71"/>
      <c r="U36" s="71"/>
      <c r="V36" s="71"/>
    </row>
    <row r="37" spans="1:22">
      <c r="A37" s="77">
        <f t="shared" si="26"/>
        <v>30</v>
      </c>
      <c r="B37" s="78">
        <f>IF(A37&lt;=malumot!$B$81,DATE(YEAR(R37),MONTH(R37),DAY(IF(A37=malumot!$B$81,malumot!$B$67,IF(A37&lt;malumot!$B$81,(Q37),IF(A37&gt;malumot!$B$81,$H$44,0))))))</f>
        <v>46661</v>
      </c>
      <c r="C37" s="44">
        <f t="shared" si="15"/>
        <v>2437500</v>
      </c>
      <c r="D37" s="44">
        <f t="shared" si="16"/>
        <v>812500</v>
      </c>
      <c r="E37" s="44">
        <f t="shared" si="17"/>
        <v>120205.5</v>
      </c>
      <c r="F37" s="44">
        <f t="shared" si="18"/>
        <v>932705.5</v>
      </c>
      <c r="G37" s="71">
        <f t="shared" si="19"/>
        <v>30</v>
      </c>
      <c r="H37" s="71">
        <f t="shared" si="20"/>
        <v>365</v>
      </c>
      <c r="I37" s="79">
        <f t="shared" si="21"/>
        <v>812500</v>
      </c>
      <c r="J37" s="79">
        <f>SUM($I$8:I36)</f>
        <v>23562500</v>
      </c>
      <c r="K37" s="79">
        <f t="shared" si="22"/>
        <v>2437500</v>
      </c>
      <c r="L37" s="73">
        <f>ROUND(C37*malumot!$B$84/H37,2)*G37</f>
        <v>120205.5</v>
      </c>
      <c r="M37" s="73">
        <f t="shared" si="23"/>
        <v>932705.5</v>
      </c>
      <c r="N37" s="73"/>
      <c r="O37" s="88" t="str">
        <f t="shared" si="24"/>
        <v>Пт</v>
      </c>
      <c r="P37" s="90">
        <f t="shared" si="25"/>
        <v>0</v>
      </c>
      <c r="Q37" s="90">
        <f>DAY(malumot!$B$78)+P37</f>
        <v>1</v>
      </c>
      <c r="R37" s="85">
        <f>IF(A37&lt;=malumot!$B$81,DATE(YEAR($B$8),MONTH($B$8)+A36,DAY(malumot!$B$78)),0)</f>
        <v>46661</v>
      </c>
      <c r="S37" s="71"/>
      <c r="T37" s="71"/>
      <c r="U37" s="71"/>
      <c r="V37" s="71"/>
    </row>
    <row r="38" spans="1:22">
      <c r="A38" s="77">
        <f t="shared" si="26"/>
        <v>31</v>
      </c>
      <c r="B38" s="78">
        <f>IF(A38&lt;=malumot!$B$81,DATE(YEAR(R38),MONTH(R38),DAY(IF(A38=malumot!$B$81,malumot!$B$67,IF(A38&lt;malumot!$B$81,(Q38),IF(A38&gt;malumot!$B$81,$H$44,0))))))</f>
        <v>46692</v>
      </c>
      <c r="C38" s="44">
        <f t="shared" si="15"/>
        <v>1625000</v>
      </c>
      <c r="D38" s="44">
        <f t="shared" si="16"/>
        <v>812500</v>
      </c>
      <c r="E38" s="44">
        <f t="shared" si="17"/>
        <v>82808.13</v>
      </c>
      <c r="F38" s="44">
        <f t="shared" si="18"/>
        <v>895308.13</v>
      </c>
      <c r="G38" s="71">
        <f t="shared" si="19"/>
        <v>31</v>
      </c>
      <c r="H38" s="71">
        <f t="shared" si="20"/>
        <v>365</v>
      </c>
      <c r="I38" s="79">
        <f t="shared" si="21"/>
        <v>812500</v>
      </c>
      <c r="J38" s="79">
        <f>SUM($I$8:I37)</f>
        <v>24375000</v>
      </c>
      <c r="K38" s="79">
        <f t="shared" si="22"/>
        <v>1625000</v>
      </c>
      <c r="L38" s="73">
        <f>ROUND(C38*malumot!$B$84/H38,2)*G38</f>
        <v>82808.13</v>
      </c>
      <c r="M38" s="73">
        <f t="shared" si="23"/>
        <v>895308.13</v>
      </c>
      <c r="N38" s="73"/>
      <c r="O38" s="88" t="str">
        <f t="shared" si="24"/>
        <v>Пн</v>
      </c>
      <c r="P38" s="90">
        <f t="shared" si="25"/>
        <v>0</v>
      </c>
      <c r="Q38" s="90">
        <f>DAY(malumot!$B$78)+P38</f>
        <v>1</v>
      </c>
      <c r="R38" s="85">
        <f>IF(A38&lt;=malumot!$B$81,DATE(YEAR($B$8),MONTH($B$8)+A37,DAY(malumot!$B$78)),0)</f>
        <v>46692</v>
      </c>
      <c r="S38" s="71"/>
      <c r="T38" s="71"/>
      <c r="U38" s="71"/>
      <c r="V38" s="71"/>
    </row>
    <row r="39" spans="1:22">
      <c r="A39" s="77">
        <f t="shared" si="26"/>
        <v>32</v>
      </c>
      <c r="B39" s="78">
        <f>IF(A39&lt;=malumot!$B$81,DATE(YEAR(R39),MONTH(R39),DAY(IF(A39=malumot!$B$81,malumot!$B$67,IF(A39&lt;malumot!$B$81,(Q39),IF(A39&gt;malumot!$B$81,$H$44,0))))))</f>
        <v>46722</v>
      </c>
      <c r="C39" s="44">
        <f t="shared" si="15"/>
        <v>812500</v>
      </c>
      <c r="D39" s="44">
        <f t="shared" si="16"/>
        <v>812500</v>
      </c>
      <c r="E39" s="44">
        <f t="shared" si="17"/>
        <v>40068.6</v>
      </c>
      <c r="F39" s="44">
        <f t="shared" si="18"/>
        <v>852568.6</v>
      </c>
      <c r="G39" s="71">
        <f t="shared" si="19"/>
        <v>30</v>
      </c>
      <c r="H39" s="71">
        <f t="shared" si="20"/>
        <v>365</v>
      </c>
      <c r="I39" s="79">
        <f t="shared" si="21"/>
        <v>812500</v>
      </c>
      <c r="J39" s="79">
        <f>SUM($I$8:I38)</f>
        <v>25187500</v>
      </c>
      <c r="K39" s="79">
        <f t="shared" si="22"/>
        <v>812500</v>
      </c>
      <c r="L39" s="73">
        <f>ROUND(C39*malumot!$B$84/H39,2)*G39</f>
        <v>40068.6</v>
      </c>
      <c r="M39" s="73">
        <f t="shared" si="23"/>
        <v>852568.6</v>
      </c>
      <c r="N39" s="73"/>
      <c r="O39" s="88" t="str">
        <f t="shared" si="24"/>
        <v>Ср</v>
      </c>
      <c r="P39" s="90">
        <f t="shared" si="25"/>
        <v>0</v>
      </c>
      <c r="Q39" s="90">
        <f>DAY(malumot!$B$78)+P39</f>
        <v>1</v>
      </c>
      <c r="R39" s="85">
        <f>IF(A39&lt;=malumot!$B$81,DATE(YEAR($B$8),MONTH($B$8)+A38,DAY(malumot!$B$78)),0)</f>
        <v>46722</v>
      </c>
      <c r="S39" s="71"/>
      <c r="T39" s="71"/>
      <c r="U39" s="71"/>
      <c r="V39" s="71"/>
    </row>
    <row r="40" spans="1:22">
      <c r="A40" s="77">
        <f t="shared" si="26"/>
        <v>33</v>
      </c>
      <c r="B40" s="78" t="b">
        <f>IF(A40&lt;=malumot!$B$81,DATE(YEAR(R40),MONTH(R40),DAY(IF(A40=malumot!$B$81,malumot!$B$67,IF(A40&lt;malumot!$B$81,(Q40),IF(A40&gt;malumot!$B$81,$H$44,0))))))</f>
        <v>0</v>
      </c>
      <c r="C40" s="44">
        <f t="shared" si="15"/>
        <v>0</v>
      </c>
      <c r="D40" s="44">
        <f t="shared" si="16"/>
        <v>0</v>
      </c>
      <c r="E40" s="44">
        <f t="shared" si="17"/>
        <v>0</v>
      </c>
      <c r="F40" s="44">
        <f t="shared" si="18"/>
        <v>0</v>
      </c>
      <c r="G40" s="71">
        <f t="shared" si="19"/>
        <v>-46722</v>
      </c>
      <c r="H40" s="71">
        <f t="shared" si="20"/>
        <v>366</v>
      </c>
      <c r="I40" s="79" t="b">
        <f t="shared" si="21"/>
        <v>0</v>
      </c>
      <c r="J40" s="79">
        <f>SUM($I$8:I39)</f>
        <v>26000000</v>
      </c>
      <c r="K40" s="79">
        <f t="shared" si="22"/>
        <v>0</v>
      </c>
      <c r="L40" s="73">
        <f>ROUND(C40*malumot!$B$84/H40,2)*G40</f>
        <v>0</v>
      </c>
      <c r="M40" s="73">
        <f t="shared" si="23"/>
        <v>0</v>
      </c>
      <c r="N40" s="73"/>
      <c r="O40" s="88" t="str">
        <f t="shared" si="24"/>
        <v>Сб</v>
      </c>
      <c r="P40" s="90">
        <f t="shared" si="25"/>
        <v>2</v>
      </c>
      <c r="Q40" s="90">
        <f>DAY(malumot!$B$78)+P40</f>
        <v>3</v>
      </c>
      <c r="R40" s="85">
        <f>IF(A40&lt;=malumot!$B$81,DATE(YEAR($B$8),MONTH($B$8)+A39,DAY(malumot!$B$78)),0)</f>
        <v>0</v>
      </c>
      <c r="S40" s="71"/>
      <c r="T40" s="71"/>
      <c r="U40" s="71"/>
      <c r="V40" s="71"/>
    </row>
    <row r="41" spans="1:22">
      <c r="A41" s="77">
        <f t="shared" si="26"/>
        <v>34</v>
      </c>
      <c r="B41" s="78" t="b">
        <f>IF(A41&lt;=malumot!$B$81,DATE(YEAR(R41),MONTH(R41),DAY(IF(A41=malumot!$B$81,malumot!$B$67,IF(A41&lt;malumot!$B$81,(Q41),IF(A41&gt;malumot!$B$81,$H$44,0))))))</f>
        <v>0</v>
      </c>
      <c r="C41" s="44">
        <f t="shared" si="15"/>
        <v>0</v>
      </c>
      <c r="D41" s="44">
        <f t="shared" si="16"/>
        <v>0</v>
      </c>
      <c r="E41" s="44">
        <f t="shared" si="17"/>
        <v>0</v>
      </c>
      <c r="F41" s="44">
        <f t="shared" si="18"/>
        <v>0</v>
      </c>
      <c r="G41" s="71">
        <f t="shared" si="19"/>
        <v>0</v>
      </c>
      <c r="H41" s="71">
        <f t="shared" si="20"/>
        <v>366</v>
      </c>
      <c r="I41" s="79" t="b">
        <f t="shared" si="21"/>
        <v>0</v>
      </c>
      <c r="J41" s="79">
        <f>SUM($I$8:I40)</f>
        <v>26000000</v>
      </c>
      <c r="K41" s="79">
        <f t="shared" si="22"/>
        <v>0</v>
      </c>
      <c r="L41" s="73">
        <f>ROUND(C41*malumot!$B$84/H41,2)*G41</f>
        <v>0</v>
      </c>
      <c r="M41" s="73">
        <f t="shared" si="23"/>
        <v>0</v>
      </c>
      <c r="N41" s="73"/>
      <c r="O41" s="88" t="str">
        <f t="shared" si="24"/>
        <v>Сб</v>
      </c>
      <c r="P41" s="90">
        <f t="shared" si="25"/>
        <v>2</v>
      </c>
      <c r="Q41" s="90">
        <f>DAY(malumot!$B$78)+P41</f>
        <v>3</v>
      </c>
      <c r="R41" s="85">
        <f>IF(A41&lt;=malumot!$B$81,DATE(YEAR($B$8),MONTH($B$8)+A40,DAY(malumot!$B$78)),0)</f>
        <v>0</v>
      </c>
      <c r="S41" s="71"/>
      <c r="T41" s="71"/>
      <c r="U41" s="71"/>
      <c r="V41" s="71"/>
    </row>
    <row r="42" spans="1:22">
      <c r="A42" s="77">
        <f t="shared" si="26"/>
        <v>35</v>
      </c>
      <c r="B42" s="78" t="b">
        <f>IF(A42&lt;=malumot!$B$81,DATE(YEAR(R42),MONTH(R42),DAY(IF(A42=malumot!$B$81,malumot!$B$67,IF(A42&lt;malumot!$B$81,(Q42),IF(A42&gt;malumot!$B$81,$H$44,0))))))</f>
        <v>0</v>
      </c>
      <c r="C42" s="44">
        <f t="shared" si="15"/>
        <v>0</v>
      </c>
      <c r="D42" s="44">
        <f t="shared" si="16"/>
        <v>0</v>
      </c>
      <c r="E42" s="44">
        <f t="shared" si="17"/>
        <v>0</v>
      </c>
      <c r="F42" s="44">
        <f t="shared" si="18"/>
        <v>0</v>
      </c>
      <c r="G42" s="71">
        <f t="shared" si="19"/>
        <v>0</v>
      </c>
      <c r="H42" s="71">
        <f t="shared" si="20"/>
        <v>366</v>
      </c>
      <c r="I42" s="79" t="b">
        <f t="shared" si="21"/>
        <v>0</v>
      </c>
      <c r="J42" s="79">
        <f>SUM($I$8:I41)</f>
        <v>26000000</v>
      </c>
      <c r="K42" s="79">
        <f t="shared" si="22"/>
        <v>0</v>
      </c>
      <c r="L42" s="73">
        <f>ROUND(C42*malumot!$B$84/H42,2)*G42</f>
        <v>0</v>
      </c>
      <c r="M42" s="73">
        <f t="shared" si="23"/>
        <v>0</v>
      </c>
      <c r="N42" s="73"/>
      <c r="O42" s="88" t="str">
        <f t="shared" si="24"/>
        <v>Сб</v>
      </c>
      <c r="P42" s="90">
        <f t="shared" si="25"/>
        <v>2</v>
      </c>
      <c r="Q42" s="90">
        <f>DAY(malumot!$B$78)+P42</f>
        <v>3</v>
      </c>
      <c r="R42" s="85">
        <f>IF(A42&lt;=malumot!$B$81,DATE(YEAR($B$8),MONTH($B$8)+A41,DAY(malumot!$B$78)),0)</f>
        <v>0</v>
      </c>
      <c r="S42" s="71"/>
      <c r="T42" s="71"/>
      <c r="U42" s="71"/>
      <c r="V42" s="71"/>
    </row>
    <row r="43" spans="1:22">
      <c r="A43" s="77">
        <f t="shared" ref="A43" si="27">1+A42</f>
        <v>36</v>
      </c>
      <c r="B43" s="78" t="b">
        <f>IF(A43&lt;=malumot!$B$81,DATE(YEAR(R43),MONTH(R43),DAY(IF(A43=malumot!$B$81,malumot!$B$67,IF(A43&lt;malumot!$B$81,(Q43),IF(A43&gt;malumot!$B$81,$H$44,0))))))</f>
        <v>0</v>
      </c>
      <c r="C43" s="44">
        <f t="shared" ref="C43" si="28">C42-D42</f>
        <v>0</v>
      </c>
      <c r="D43" s="44">
        <f t="shared" ref="D43" si="29">IF(C43=0,L43,IF(C43&gt;1,I43))</f>
        <v>0</v>
      </c>
      <c r="E43" s="44">
        <f t="shared" ref="E43" si="30">IF(C43=0,N42,IF(C43&gt;1,L43))</f>
        <v>0</v>
      </c>
      <c r="F43" s="44">
        <f t="shared" ref="F43" si="31">IF(C43=0,N42,IF(C43&gt;1,M43))</f>
        <v>0</v>
      </c>
      <c r="G43" s="71">
        <f t="shared" ref="G43" si="32">B43-B42</f>
        <v>0</v>
      </c>
      <c r="H43" s="71">
        <f t="shared" ref="H43" si="33">DATE(YEAR(B43),12,31)-DATE(YEAR(B43),1,1)+1</f>
        <v>366</v>
      </c>
      <c r="I43" s="79" t="b">
        <f t="shared" ref="I43" si="34">IF($L$5=A43,K43,IF($L$5&gt;A43,I42))</f>
        <v>0</v>
      </c>
      <c r="J43" s="79">
        <f>SUM($I$8:I42)</f>
        <v>26000000</v>
      </c>
      <c r="K43" s="79">
        <f t="shared" ref="K43" si="35">$J$12-J43</f>
        <v>0</v>
      </c>
      <c r="L43" s="73">
        <f>ROUND(C43*malumot!$B$84/H43,2)*G43</f>
        <v>0</v>
      </c>
      <c r="M43" s="73">
        <f t="shared" ref="M43" si="36">D43+E43</f>
        <v>0</v>
      </c>
      <c r="N43" s="73"/>
      <c r="O43" s="88" t="str">
        <f t="shared" ref="O43" si="37">TEXT(R43,"ддд")</f>
        <v>Сб</v>
      </c>
      <c r="P43" s="90">
        <f t="shared" ref="P43" si="38">IF(O43=$U$8,2,IF(O43=$V$8,1,0))</f>
        <v>2</v>
      </c>
      <c r="Q43" s="90">
        <f>DAY(malumot!$B$78)+P43</f>
        <v>3</v>
      </c>
      <c r="R43" s="85">
        <f>IF(A43&lt;=malumot!$B$81,DATE(YEAR($B$8),MONTH($B$8)+A42,DAY(malumot!$B$78)),0)</f>
        <v>0</v>
      </c>
      <c r="S43" s="71"/>
      <c r="T43" s="71"/>
      <c r="U43" s="71"/>
      <c r="V43" s="71"/>
    </row>
    <row r="44" spans="1:22">
      <c r="A44" s="80"/>
      <c r="B44" s="81" t="s">
        <v>6</v>
      </c>
      <c r="C44" s="82"/>
      <c r="D44" s="82">
        <f>SUM(D8:D43)</f>
        <v>26000000</v>
      </c>
      <c r="E44" s="82">
        <f t="shared" ref="E44:F44" si="39">SUM(E8:E43)</f>
        <v>21483390.75</v>
      </c>
      <c r="F44" s="82">
        <f t="shared" si="39"/>
        <v>47483390.75</v>
      </c>
    </row>
    <row r="45" spans="1:22" ht="9" customHeight="1">
      <c r="B45" s="83"/>
      <c r="C45" s="84"/>
      <c r="D45" s="84"/>
      <c r="E45" s="84"/>
      <c r="F45" s="84"/>
    </row>
    <row r="46" spans="1:22" ht="47.25" customHeight="1">
      <c r="A46" s="293" t="s">
        <v>17</v>
      </c>
      <c r="B46" s="293"/>
      <c r="C46" s="293"/>
      <c r="D46" s="293"/>
      <c r="E46" s="293"/>
      <c r="F46" s="293"/>
    </row>
    <row r="47" spans="1:22" ht="7.5" customHeight="1"/>
    <row r="48" spans="1:22">
      <c r="A48" s="294" t="e">
        <f>#REF!</f>
        <v>#REF!</v>
      </c>
      <c r="B48" s="294"/>
      <c r="C48" s="294"/>
      <c r="D48" s="294" t="e">
        <f>#REF!</f>
        <v>#REF!</v>
      </c>
      <c r="E48" s="294"/>
      <c r="F48" s="294"/>
    </row>
    <row r="49" spans="1:6" ht="11.25" customHeight="1">
      <c r="A49" s="295"/>
      <c r="B49" s="295"/>
      <c r="C49" s="295"/>
      <c r="D49" s="295"/>
      <c r="E49" s="295"/>
      <c r="F49" s="295"/>
    </row>
    <row r="50" spans="1:6" ht="30" customHeight="1">
      <c r="A50" s="296" t="e">
        <f>#REF!</f>
        <v>#REF!</v>
      </c>
      <c r="B50" s="296"/>
      <c r="C50" s="296"/>
      <c r="D50" s="296" t="e">
        <f>#REF!</f>
        <v>#REF!</v>
      </c>
      <c r="E50" s="296"/>
      <c r="F50" s="296"/>
    </row>
    <row r="51" spans="1:6" ht="32.25" customHeight="1">
      <c r="A51" s="292" t="e">
        <f>#REF!</f>
        <v>#REF!</v>
      </c>
      <c r="B51" s="292"/>
      <c r="C51" s="292"/>
      <c r="D51" s="292" t="e">
        <f>#REF!</f>
        <v>#REF!</v>
      </c>
      <c r="E51" s="292"/>
      <c r="F51" s="292"/>
    </row>
    <row r="52" spans="1:6">
      <c r="A52" s="292" t="e">
        <f>#REF!</f>
        <v>#REF!</v>
      </c>
      <c r="B52" s="292"/>
      <c r="C52" s="292"/>
      <c r="D52" s="292" t="str">
        <f>"паспорт серии "&amp;malumot!B16&amp;", "&amp;malumot!B20&amp;""</f>
        <v>паспорт серии AB 7858443, BUXORO VILOYATI KOGON TUMAN IIB tomonidan 06.10.2017 yilda berilgan</v>
      </c>
      <c r="E52" s="292"/>
      <c r="F52" s="292"/>
    </row>
    <row r="53" spans="1:6" ht="32.25" customHeight="1">
      <c r="A53" s="292" t="e">
        <f>#REF!</f>
        <v>#REF!</v>
      </c>
      <c r="B53" s="292"/>
      <c r="C53" s="292"/>
      <c r="D53" s="292"/>
      <c r="E53" s="292"/>
      <c r="F53" s="292"/>
    </row>
    <row r="54" spans="1:6">
      <c r="A54" s="292" t="e">
        <f>#REF!</f>
        <v>#REF!</v>
      </c>
      <c r="B54" s="292"/>
      <c r="C54" s="292"/>
      <c r="D54" s="292" t="e">
        <f>#REF!</f>
        <v>#REF!</v>
      </c>
      <c r="E54" s="292"/>
      <c r="F54" s="292"/>
    </row>
    <row r="55" spans="1:6">
      <c r="A55" s="292" t="e">
        <f>#REF!</f>
        <v>#REF!</v>
      </c>
      <c r="B55" s="292"/>
      <c r="C55" s="292"/>
      <c r="D55" s="292" t="e">
        <f>#REF!</f>
        <v>#REF!</v>
      </c>
      <c r="E55" s="292"/>
      <c r="F55" s="292"/>
    </row>
    <row r="56" spans="1:6">
      <c r="A56" s="292" t="e">
        <f>#REF!</f>
        <v>#REF!</v>
      </c>
      <c r="B56" s="292"/>
      <c r="C56" s="292"/>
      <c r="D56" s="292" t="e">
        <f>#REF!</f>
        <v>#REF!</v>
      </c>
      <c r="E56" s="292"/>
      <c r="F56" s="292"/>
    </row>
    <row r="57" spans="1:6" ht="8.25" customHeight="1">
      <c r="A57" s="292"/>
      <c r="B57" s="292"/>
      <c r="C57" s="292"/>
      <c r="D57" s="292"/>
      <c r="E57" s="292"/>
      <c r="F57" s="292"/>
    </row>
    <row r="58" spans="1:6">
      <c r="A58" s="296" t="e">
        <f>#REF!</f>
        <v>#REF!</v>
      </c>
      <c r="B58" s="296"/>
      <c r="C58" s="296"/>
      <c r="D58" s="296" t="e">
        <f>#REF!</f>
        <v>#REF!</v>
      </c>
      <c r="E58" s="296"/>
      <c r="F58" s="296"/>
    </row>
    <row r="59" spans="1:6" ht="7.5" customHeight="1">
      <c r="A59" s="296"/>
      <c r="B59" s="296"/>
      <c r="C59" s="296"/>
      <c r="D59" s="296"/>
      <c r="E59" s="296"/>
      <c r="F59" s="296"/>
    </row>
    <row r="60" spans="1:6">
      <c r="A60" s="296" t="e">
        <f>#REF!</f>
        <v>#REF!</v>
      </c>
      <c r="B60" s="296"/>
      <c r="C60" s="296"/>
      <c r="D60" s="296" t="e">
        <f>#REF!</f>
        <v>#REF!</v>
      </c>
      <c r="E60" s="296"/>
      <c r="F60" s="296"/>
    </row>
    <row r="61" spans="1:6" ht="8.25" customHeight="1">
      <c r="A61" s="292"/>
      <c r="B61" s="292"/>
      <c r="C61" s="292"/>
      <c r="D61" s="292"/>
      <c r="E61" s="292"/>
      <c r="F61" s="292"/>
    </row>
    <row r="62" spans="1:6" ht="30" customHeight="1">
      <c r="A62" s="298"/>
      <c r="B62" s="298"/>
      <c r="C62" s="298"/>
      <c r="D62" s="299" t="e">
        <f>#REF!</f>
        <v>#REF!</v>
      </c>
      <c r="E62" s="299"/>
      <c r="F62" s="299"/>
    </row>
    <row r="63" spans="1:6">
      <c r="A63" s="300"/>
      <c r="B63" s="300"/>
      <c r="C63" s="300"/>
      <c r="D63" s="300"/>
      <c r="E63" s="300"/>
      <c r="F63" s="300"/>
    </row>
    <row r="64" spans="1:6">
      <c r="A64" s="297"/>
      <c r="B64" s="297"/>
      <c r="C64" s="297"/>
      <c r="D64" s="297"/>
      <c r="E64" s="297"/>
      <c r="F64" s="297"/>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97"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03" customFormat="1" ht="36.75" customHeight="1">
      <c r="A1" s="102" t="s">
        <v>14</v>
      </c>
      <c r="B1" s="103" t="s">
        <v>3</v>
      </c>
      <c r="D1" s="102"/>
      <c r="E1" s="102" t="s">
        <v>39</v>
      </c>
      <c r="F1" s="102" t="s">
        <v>40</v>
      </c>
      <c r="G1" s="102"/>
      <c r="H1" s="102"/>
      <c r="I1" s="102"/>
      <c r="J1" s="102"/>
      <c r="K1" s="102"/>
      <c r="L1" s="102" t="s">
        <v>41</v>
      </c>
      <c r="M1" s="102" t="s">
        <v>43</v>
      </c>
      <c r="N1" s="102" t="s">
        <v>42</v>
      </c>
    </row>
    <row r="2" spans="1:23" ht="15" customHeight="1">
      <c r="A2" s="96">
        <v>1</v>
      </c>
      <c r="B2" t="s">
        <v>254</v>
      </c>
      <c r="C2" t="s">
        <v>66</v>
      </c>
      <c r="D2" s="98" t="s">
        <v>254</v>
      </c>
      <c r="E2" s="98" t="s">
        <v>45</v>
      </c>
      <c r="F2" s="99">
        <v>44207</v>
      </c>
      <c r="G2" s="89">
        <f>MONTH(F2)</f>
        <v>1</v>
      </c>
      <c r="H2" s="99" t="str">
        <f>IF(G2=$A$26,$A$28,IF(G2=$B$26,$B$28,IF(G2=$C$26,$C$28,IF(G2=$D$26,$D$28,IF(G2=$E$26,$E$28,IF(G2=$F$26,$F$28,IF(G2=$K$26,$K$28,IF(G2=$L$26,$L$28,IF(G2=$M$26,$M$28,IF(G2=$N$26,$N$28,IF(G2=$O$26,$O$28,IF(G2=$P$26,$P$28,0))))))))))))</f>
        <v>yanvar</v>
      </c>
      <c r="I2" s="89">
        <f>DAY(F2)</f>
        <v>11</v>
      </c>
      <c r="J2" s="101">
        <f>YEAR(F2)</f>
        <v>2021</v>
      </c>
      <c r="K2" s="99" t="str">
        <f>""&amp;I2&amp;" "&amp;H2&amp;" "&amp;J2&amp;" г."</f>
        <v>11 yanvar 2021 г.</v>
      </c>
      <c r="L2" s="98">
        <v>5</v>
      </c>
      <c r="M2" s="100">
        <v>15000000</v>
      </c>
      <c r="N2" s="98" t="s">
        <v>129</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54"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96">
        <v>2</v>
      </c>
      <c r="D3" s="98" t="s">
        <v>254</v>
      </c>
      <c r="E3" s="98" t="s">
        <v>44</v>
      </c>
      <c r="F3" s="99">
        <v>43775</v>
      </c>
      <c r="G3" s="89">
        <f>MONTH(F3)</f>
        <v>11</v>
      </c>
      <c r="H3" s="99" t="str">
        <f>IF(G3=$A$26,$A$28,IF(G3=$B$26,$B$28,IF(G3=$C$26,$C$28,IF(G3=$D$26,$D$28,IF(G3=$E$26,$E$28,IF(G3=$F$26,$F$28,IF(G3=$K$26,$K$28,IF(G3=$L$26,$L$28,IF(G3=$M$26,$M$28,IF(G3=$N$26,$N$28,IF(G3=$O$26,$O$28,IF(G3=$P$26,$P$28,0))))))))))))</f>
        <v>noyabr</v>
      </c>
      <c r="I3" s="89">
        <f>DAY(F3)</f>
        <v>6</v>
      </c>
      <c r="J3" s="101">
        <f>YEAR(F3)</f>
        <v>2019</v>
      </c>
      <c r="K3" s="99" t="str">
        <f>""&amp;I3&amp;" "&amp;H3&amp;" "&amp;J3&amp;" г."</f>
        <v>6 noyabr 2019 г.</v>
      </c>
      <c r="L3" s="98">
        <v>386</v>
      </c>
      <c r="M3" s="100">
        <v>15000000</v>
      </c>
      <c r="N3" s="98" t="s">
        <v>129</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96">
        <v>3</v>
      </c>
      <c r="D4" s="98" t="s">
        <v>254</v>
      </c>
      <c r="E4" s="98" t="s">
        <v>44</v>
      </c>
      <c r="F4" s="99">
        <v>44217</v>
      </c>
      <c r="G4" s="89">
        <f>MONTH(F4)</f>
        <v>1</v>
      </c>
      <c r="H4" s="99" t="str">
        <f>IF(G4=$A$26,$A$28,IF(G4=$B$26,$B$28,IF(G4=$C$26,$C$28,IF(G4=$D$26,$D$28,IF(G4=$E$26,$E$28,IF(G4=$F$26,$F$28,IF(G4=$K$26,$K$28,IF(G4=$L$26,$L$28,IF(G4=$M$26,$M$28,IF(G4=$N$26,$N$28,IF(G4=$O$26,$O$28,IF(G4=$P$26,$P$28,0))))))))))))</f>
        <v>yanvar</v>
      </c>
      <c r="I4" s="89">
        <f>DAY(F4)</f>
        <v>21</v>
      </c>
      <c r="J4" s="101">
        <f>YEAR(F4)</f>
        <v>2021</v>
      </c>
      <c r="K4" s="99" t="str">
        <f>""&amp;I4&amp;" "&amp;H4&amp;" "&amp;J4&amp;" г."</f>
        <v>21 yanvar 2021 г.</v>
      </c>
      <c r="L4" s="98">
        <v>33</v>
      </c>
      <c r="M4" s="100">
        <v>15000000</v>
      </c>
      <c r="N4" s="98" t="s">
        <v>129</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96">
        <v>4</v>
      </c>
      <c r="D5" s="98" t="s">
        <v>254</v>
      </c>
      <c r="E5" s="98"/>
      <c r="F5" s="99"/>
      <c r="G5" s="89">
        <f t="shared" ref="G5:G21" si="2">MONTH(F5)</f>
        <v>1</v>
      </c>
      <c r="H5" s="99" t="str">
        <f t="shared" ref="H5:H21" si="3">IF(G5=$A$26,$A$28,IF(G5=$B$26,$B$28,IF(G5=$C$26,$C$28,IF(G5=$D$26,$D$28,IF(G5=$E$26,$E$28,IF(G5=$F$26,$F$28,IF(G5=$K$26,$K$28,IF(G5=$L$26,$L$28,IF(G5=$M$26,$M$28,IF(G5=$N$26,$N$28,IF(G5=$O$26,$O$28,IF(G5=$P$26,$P$28,0))))))))))))</f>
        <v>yanvar</v>
      </c>
      <c r="I5" s="89">
        <f t="shared" ref="I5:I21" si="4">DAY(F5)</f>
        <v>0</v>
      </c>
      <c r="J5" s="101">
        <f t="shared" ref="J5:J21" si="5">YEAR(F5)</f>
        <v>1900</v>
      </c>
      <c r="K5" s="99" t="str">
        <f t="shared" ref="K5:K21" si="6">""&amp;I5&amp;" "&amp;H5&amp;" "&amp;J5&amp;" г."</f>
        <v>0 yanvar 1900 г.</v>
      </c>
      <c r="L5" s="98"/>
      <c r="M5" s="100"/>
      <c r="N5" s="98"/>
      <c r="P5">
        <f t="shared" si="1"/>
        <v>0</v>
      </c>
    </row>
    <row r="6" spans="1:23" ht="15" customHeight="1">
      <c r="A6" s="96">
        <v>5</v>
      </c>
      <c r="D6" s="98" t="s">
        <v>254</v>
      </c>
      <c r="E6" s="98"/>
      <c r="F6" s="99"/>
      <c r="G6" s="89">
        <f t="shared" si="2"/>
        <v>1</v>
      </c>
      <c r="H6" s="99" t="str">
        <f t="shared" si="3"/>
        <v>yanvar</v>
      </c>
      <c r="I6" s="89">
        <f t="shared" si="4"/>
        <v>0</v>
      </c>
      <c r="J6" s="101">
        <f t="shared" si="5"/>
        <v>1900</v>
      </c>
      <c r="K6" s="99" t="str">
        <f t="shared" si="6"/>
        <v>0 yanvar 1900 г.</v>
      </c>
      <c r="L6" s="98"/>
      <c r="M6" s="100"/>
      <c r="N6" s="98"/>
      <c r="P6">
        <f t="shared" si="1"/>
        <v>0</v>
      </c>
    </row>
    <row r="7" spans="1:23" ht="15" customHeight="1">
      <c r="A7" s="96">
        <v>6</v>
      </c>
      <c r="D7" s="98" t="s">
        <v>254</v>
      </c>
      <c r="E7" s="98"/>
      <c r="F7" s="99"/>
      <c r="G7" s="89">
        <f t="shared" si="2"/>
        <v>1</v>
      </c>
      <c r="H7" s="99" t="str">
        <f t="shared" si="3"/>
        <v>yanvar</v>
      </c>
      <c r="I7" s="89">
        <f t="shared" si="4"/>
        <v>0</v>
      </c>
      <c r="J7" s="101">
        <f t="shared" si="5"/>
        <v>1900</v>
      </c>
      <c r="K7" s="99" t="str">
        <f t="shared" si="6"/>
        <v>0 yanvar 1900 г.</v>
      </c>
      <c r="L7" s="98"/>
      <c r="M7" s="100"/>
      <c r="N7" s="98"/>
      <c r="P7">
        <f t="shared" si="1"/>
        <v>0</v>
      </c>
    </row>
    <row r="8" spans="1:23" ht="15" customHeight="1">
      <c r="A8" s="96">
        <v>7</v>
      </c>
      <c r="D8" s="98" t="s">
        <v>254</v>
      </c>
      <c r="E8" s="98"/>
      <c r="F8" s="99"/>
      <c r="G8" s="89">
        <f t="shared" si="2"/>
        <v>1</v>
      </c>
      <c r="H8" s="99" t="str">
        <f t="shared" si="3"/>
        <v>yanvar</v>
      </c>
      <c r="I8" s="89">
        <f t="shared" si="4"/>
        <v>0</v>
      </c>
      <c r="J8" s="101">
        <f t="shared" si="5"/>
        <v>1900</v>
      </c>
      <c r="K8" s="99" t="str">
        <f t="shared" si="6"/>
        <v>0 yanvar 1900 г.</v>
      </c>
      <c r="L8" s="98"/>
      <c r="M8" s="100"/>
      <c r="N8" s="98"/>
      <c r="P8">
        <f t="shared" si="1"/>
        <v>0</v>
      </c>
    </row>
    <row r="9" spans="1:23" ht="15" customHeight="1">
      <c r="A9" s="96">
        <v>8</v>
      </c>
      <c r="D9" s="98" t="s">
        <v>254</v>
      </c>
      <c r="E9" s="98"/>
      <c r="F9" s="99"/>
      <c r="G9" s="89">
        <f t="shared" si="2"/>
        <v>1</v>
      </c>
      <c r="H9" s="99" t="str">
        <f t="shared" si="3"/>
        <v>yanvar</v>
      </c>
      <c r="I9" s="89">
        <f t="shared" si="4"/>
        <v>0</v>
      </c>
      <c r="J9" s="101">
        <f t="shared" si="5"/>
        <v>1900</v>
      </c>
      <c r="K9" s="99" t="str">
        <f t="shared" si="6"/>
        <v>0 yanvar 1900 г.</v>
      </c>
      <c r="L9" s="98"/>
      <c r="M9" s="100"/>
      <c r="N9" s="98"/>
      <c r="P9">
        <f t="shared" si="1"/>
        <v>0</v>
      </c>
    </row>
    <row r="10" spans="1:23" ht="15" customHeight="1">
      <c r="A10" s="96">
        <v>9</v>
      </c>
      <c r="D10" s="98" t="s">
        <v>254</v>
      </c>
      <c r="E10" s="98"/>
      <c r="F10" s="99"/>
      <c r="G10" s="89">
        <f t="shared" si="2"/>
        <v>1</v>
      </c>
      <c r="H10" s="99" t="str">
        <f t="shared" si="3"/>
        <v>yanvar</v>
      </c>
      <c r="I10" s="89">
        <f t="shared" si="4"/>
        <v>0</v>
      </c>
      <c r="J10" s="101">
        <f t="shared" si="5"/>
        <v>1900</v>
      </c>
      <c r="K10" s="99" t="str">
        <f t="shared" si="6"/>
        <v>0 yanvar 1900 г.</v>
      </c>
      <c r="L10" s="98"/>
      <c r="M10" s="100"/>
      <c r="N10" s="98"/>
      <c r="P10">
        <f t="shared" si="1"/>
        <v>0</v>
      </c>
    </row>
    <row r="11" spans="1:23" ht="15" customHeight="1">
      <c r="A11" s="96">
        <v>10</v>
      </c>
      <c r="D11" s="98" t="s">
        <v>254</v>
      </c>
      <c r="E11" s="98"/>
      <c r="F11" s="99"/>
      <c r="G11" s="89">
        <f t="shared" si="2"/>
        <v>1</v>
      </c>
      <c r="H11" s="99" t="str">
        <f t="shared" si="3"/>
        <v>yanvar</v>
      </c>
      <c r="I11" s="89">
        <f t="shared" si="4"/>
        <v>0</v>
      </c>
      <c r="J11" s="101">
        <f t="shared" si="5"/>
        <v>1900</v>
      </c>
      <c r="K11" s="99" t="str">
        <f t="shared" si="6"/>
        <v>0 yanvar 1900 г.</v>
      </c>
      <c r="L11" s="98"/>
      <c r="M11" s="100"/>
      <c r="N11" s="98"/>
      <c r="P11">
        <f t="shared" si="1"/>
        <v>0</v>
      </c>
    </row>
    <row r="12" spans="1:23" ht="15" customHeight="1">
      <c r="A12" s="96">
        <v>11</v>
      </c>
      <c r="D12" s="98" t="s">
        <v>254</v>
      </c>
      <c r="E12" s="98"/>
      <c r="F12" s="99"/>
      <c r="G12" s="89">
        <f t="shared" si="2"/>
        <v>1</v>
      </c>
      <c r="H12" s="99" t="str">
        <f t="shared" si="3"/>
        <v>yanvar</v>
      </c>
      <c r="I12" s="89">
        <f t="shared" si="4"/>
        <v>0</v>
      </c>
      <c r="J12" s="101">
        <f t="shared" si="5"/>
        <v>1900</v>
      </c>
      <c r="K12" s="99" t="str">
        <f t="shared" si="6"/>
        <v>0 yanvar 1900 г.</v>
      </c>
      <c r="L12" s="98"/>
      <c r="M12" s="100"/>
      <c r="N12" s="98"/>
      <c r="P12">
        <f t="shared" si="1"/>
        <v>0</v>
      </c>
    </row>
    <row r="13" spans="1:23" ht="15" customHeight="1">
      <c r="A13" s="96">
        <v>12</v>
      </c>
      <c r="D13" s="98" t="s">
        <v>254</v>
      </c>
      <c r="E13" s="98"/>
      <c r="F13" s="99"/>
      <c r="G13" s="89">
        <f t="shared" si="2"/>
        <v>1</v>
      </c>
      <c r="H13" s="99" t="str">
        <f t="shared" si="3"/>
        <v>yanvar</v>
      </c>
      <c r="I13" s="89">
        <f t="shared" si="4"/>
        <v>0</v>
      </c>
      <c r="J13" s="101">
        <f t="shared" si="5"/>
        <v>1900</v>
      </c>
      <c r="K13" s="99" t="str">
        <f t="shared" si="6"/>
        <v>0 yanvar 1900 г.</v>
      </c>
      <c r="L13" s="98"/>
      <c r="M13" s="100"/>
      <c r="N13" s="98"/>
      <c r="P13">
        <f t="shared" si="1"/>
        <v>0</v>
      </c>
    </row>
    <row r="14" spans="1:23" ht="15" customHeight="1">
      <c r="A14" s="96">
        <v>13</v>
      </c>
      <c r="D14" s="98" t="s">
        <v>254</v>
      </c>
      <c r="E14" s="98"/>
      <c r="F14" s="99"/>
      <c r="G14" s="89">
        <f t="shared" si="2"/>
        <v>1</v>
      </c>
      <c r="H14" s="99" t="str">
        <f t="shared" si="3"/>
        <v>yanvar</v>
      </c>
      <c r="I14" s="89">
        <f t="shared" si="4"/>
        <v>0</v>
      </c>
      <c r="J14" s="101">
        <f t="shared" si="5"/>
        <v>1900</v>
      </c>
      <c r="K14" s="99" t="str">
        <f t="shared" si="6"/>
        <v>0 yanvar 1900 г.</v>
      </c>
      <c r="L14" s="98"/>
      <c r="M14" s="100"/>
      <c r="N14" s="98"/>
      <c r="P14">
        <f t="shared" si="1"/>
        <v>0</v>
      </c>
    </row>
    <row r="15" spans="1:23" ht="15" customHeight="1">
      <c r="A15" s="96">
        <v>14</v>
      </c>
      <c r="D15" s="98" t="s">
        <v>254</v>
      </c>
      <c r="E15" s="98"/>
      <c r="F15" s="99"/>
      <c r="G15" s="89">
        <f t="shared" si="2"/>
        <v>1</v>
      </c>
      <c r="H15" s="99" t="str">
        <f t="shared" si="3"/>
        <v>yanvar</v>
      </c>
      <c r="I15" s="89">
        <f t="shared" si="4"/>
        <v>0</v>
      </c>
      <c r="J15" s="101">
        <f t="shared" si="5"/>
        <v>1900</v>
      </c>
      <c r="K15" s="99" t="str">
        <f t="shared" si="6"/>
        <v>0 yanvar 1900 г.</v>
      </c>
      <c r="L15" s="98"/>
      <c r="M15" s="100"/>
      <c r="N15" s="98"/>
      <c r="P15">
        <f t="shared" si="1"/>
        <v>0</v>
      </c>
    </row>
    <row r="16" spans="1:23" ht="15" customHeight="1">
      <c r="A16" s="96">
        <v>15</v>
      </c>
      <c r="D16" s="98" t="s">
        <v>254</v>
      </c>
      <c r="E16" s="98"/>
      <c r="F16" s="99"/>
      <c r="G16" s="89">
        <f t="shared" si="2"/>
        <v>1</v>
      </c>
      <c r="H16" s="99" t="str">
        <f t="shared" si="3"/>
        <v>yanvar</v>
      </c>
      <c r="I16" s="89">
        <f t="shared" si="4"/>
        <v>0</v>
      </c>
      <c r="J16" s="101">
        <f t="shared" si="5"/>
        <v>1900</v>
      </c>
      <c r="K16" s="99" t="str">
        <f t="shared" si="6"/>
        <v>0 yanvar 1900 г.</v>
      </c>
      <c r="L16" s="98"/>
      <c r="M16" s="100"/>
      <c r="N16" s="98"/>
      <c r="P16">
        <f t="shared" si="1"/>
        <v>0</v>
      </c>
    </row>
    <row r="17" spans="1:17" ht="15" customHeight="1">
      <c r="A17" s="96">
        <v>16</v>
      </c>
      <c r="D17" s="98" t="s">
        <v>254</v>
      </c>
      <c r="E17" s="98"/>
      <c r="F17" s="99"/>
      <c r="G17" s="89">
        <f t="shared" si="2"/>
        <v>1</v>
      </c>
      <c r="H17" s="99" t="str">
        <f t="shared" si="3"/>
        <v>yanvar</v>
      </c>
      <c r="I17" s="89">
        <f t="shared" si="4"/>
        <v>0</v>
      </c>
      <c r="J17" s="101">
        <f t="shared" si="5"/>
        <v>1900</v>
      </c>
      <c r="K17" s="99" t="str">
        <f t="shared" si="6"/>
        <v>0 yanvar 1900 г.</v>
      </c>
      <c r="L17" s="98"/>
      <c r="M17" s="100"/>
      <c r="N17" s="98"/>
      <c r="P17">
        <f t="shared" si="1"/>
        <v>0</v>
      </c>
    </row>
    <row r="18" spans="1:17" ht="15" customHeight="1">
      <c r="A18" s="96">
        <v>17</v>
      </c>
      <c r="D18" s="98" t="s">
        <v>254</v>
      </c>
      <c r="E18" s="98"/>
      <c r="F18" s="99"/>
      <c r="G18" s="89">
        <f t="shared" si="2"/>
        <v>1</v>
      </c>
      <c r="H18" s="99" t="str">
        <f t="shared" si="3"/>
        <v>yanvar</v>
      </c>
      <c r="I18" s="89">
        <f t="shared" si="4"/>
        <v>0</v>
      </c>
      <c r="J18" s="101">
        <f t="shared" si="5"/>
        <v>1900</v>
      </c>
      <c r="K18" s="99" t="str">
        <f t="shared" si="6"/>
        <v>0 yanvar 1900 г.</v>
      </c>
      <c r="L18" s="98"/>
      <c r="M18" s="100"/>
      <c r="N18" s="98"/>
      <c r="P18">
        <f t="shared" si="1"/>
        <v>0</v>
      </c>
    </row>
    <row r="19" spans="1:17" ht="15" customHeight="1">
      <c r="A19" s="96">
        <v>18</v>
      </c>
      <c r="D19" s="98" t="s">
        <v>254</v>
      </c>
      <c r="E19" s="98"/>
      <c r="F19" s="99"/>
      <c r="G19" s="89">
        <f t="shared" si="2"/>
        <v>1</v>
      </c>
      <c r="H19" s="99" t="str">
        <f t="shared" si="3"/>
        <v>yanvar</v>
      </c>
      <c r="I19" s="89">
        <f t="shared" si="4"/>
        <v>0</v>
      </c>
      <c r="J19" s="101">
        <f t="shared" si="5"/>
        <v>1900</v>
      </c>
      <c r="K19" s="99" t="str">
        <f t="shared" si="6"/>
        <v>0 yanvar 1900 г.</v>
      </c>
      <c r="L19" s="98"/>
      <c r="M19" s="100"/>
      <c r="N19" s="98"/>
      <c r="P19">
        <f t="shared" si="1"/>
        <v>0</v>
      </c>
    </row>
    <row r="20" spans="1:17" ht="15" customHeight="1">
      <c r="A20" s="96">
        <v>19</v>
      </c>
      <c r="D20" s="98" t="s">
        <v>254</v>
      </c>
      <c r="E20" s="98"/>
      <c r="F20" s="99"/>
      <c r="G20" s="89">
        <f t="shared" si="2"/>
        <v>1</v>
      </c>
      <c r="H20" s="99" t="str">
        <f t="shared" si="3"/>
        <v>yanvar</v>
      </c>
      <c r="I20" s="89">
        <f t="shared" si="4"/>
        <v>0</v>
      </c>
      <c r="J20" s="101">
        <f t="shared" si="5"/>
        <v>1900</v>
      </c>
      <c r="K20" s="99" t="str">
        <f t="shared" si="6"/>
        <v>0 yanvar 1900 г.</v>
      </c>
      <c r="L20" s="98"/>
      <c r="M20" s="100"/>
      <c r="N20" s="98"/>
      <c r="P20">
        <f t="shared" si="1"/>
        <v>0</v>
      </c>
    </row>
    <row r="21" spans="1:17" ht="15" customHeight="1">
      <c r="A21" s="96">
        <v>20</v>
      </c>
      <c r="D21" s="98" t="s">
        <v>254</v>
      </c>
      <c r="E21" s="98"/>
      <c r="F21" s="99"/>
      <c r="G21" s="89">
        <f t="shared" si="2"/>
        <v>1</v>
      </c>
      <c r="H21" s="99" t="str">
        <f t="shared" si="3"/>
        <v>yanvar</v>
      </c>
      <c r="I21" s="89">
        <f t="shared" si="4"/>
        <v>0</v>
      </c>
      <c r="J21" s="101">
        <f t="shared" si="5"/>
        <v>1900</v>
      </c>
      <c r="K21" s="99" t="str">
        <f t="shared" si="6"/>
        <v>0 yanvar 1900 г.</v>
      </c>
      <c r="L21" s="98"/>
      <c r="M21" s="100"/>
      <c r="N21" s="98"/>
      <c r="P21">
        <f t="shared" si="1"/>
        <v>0</v>
      </c>
    </row>
    <row r="22" spans="1:17">
      <c r="M22" s="104">
        <f>SUM(M2:M21)+malumot!B144</f>
        <v>84000000</v>
      </c>
      <c r="Q22" t="s">
        <v>253</v>
      </c>
    </row>
    <row r="23" spans="1:17">
      <c r="A23" s="85"/>
      <c r="B23" s="86"/>
      <c r="C23" s="86"/>
      <c r="D23" s="86"/>
      <c r="E23" s="86"/>
      <c r="F23" s="86"/>
      <c r="G23" s="86"/>
      <c r="H23" s="86"/>
      <c r="I23" s="86"/>
      <c r="J23" s="86"/>
      <c r="K23" s="86"/>
      <c r="L23" s="86"/>
      <c r="M23" s="86"/>
      <c r="N23" s="86"/>
      <c r="O23" s="86"/>
    </row>
    <row r="24" spans="1:17">
      <c r="A24" s="86"/>
      <c r="B24" s="86"/>
      <c r="C24" s="86"/>
      <c r="D24" s="86"/>
      <c r="E24" s="86"/>
      <c r="F24" s="86"/>
      <c r="G24" s="86"/>
      <c r="H24" s="86"/>
      <c r="I24" s="86"/>
      <c r="J24" s="86"/>
      <c r="K24" s="86"/>
      <c r="L24" s="86"/>
      <c r="M24" s="86"/>
      <c r="N24" s="86"/>
      <c r="O24" s="86"/>
    </row>
    <row r="25" spans="1:17">
      <c r="A25" s="86">
        <f>MONTH(F2)</f>
        <v>1</v>
      </c>
      <c r="B25" s="86" t="str">
        <f>IF(A25=A26,A28,IF(A25=B26,B28,IF(A25=C26,C28,IF(A25=D26,D28,IF(A25=E26,E28,IF(A25=F26,F28,IF(A25=K26,K28,IF(A25=L26,L28,IF(A25=M26,M28,IF(A25=N26,N28,IF(A25=O26,O28,IF(A25=#REF!,#REF!,))))))))))))</f>
        <v>yanvar</v>
      </c>
      <c r="C25" s="86">
        <f>DAY(F2)</f>
        <v>11</v>
      </c>
      <c r="D25" s="86">
        <f>YEAR(F2)</f>
        <v>2021</v>
      </c>
      <c r="E25" s="86"/>
      <c r="F25" s="86"/>
      <c r="G25" s="86"/>
      <c r="H25" s="86"/>
      <c r="I25" s="86"/>
      <c r="J25" s="86"/>
      <c r="K25" s="86"/>
      <c r="L25" s="86"/>
      <c r="M25" s="86"/>
      <c r="N25" s="86"/>
      <c r="O25" s="86"/>
    </row>
    <row r="26" spans="1:17">
      <c r="A26" s="86">
        <v>1</v>
      </c>
      <c r="B26" s="86">
        <v>2</v>
      </c>
      <c r="C26" s="86">
        <v>3</v>
      </c>
      <c r="D26" s="86">
        <v>4</v>
      </c>
      <c r="E26" s="86">
        <v>5</v>
      </c>
      <c r="F26" s="86">
        <v>6</v>
      </c>
      <c r="G26" s="86"/>
      <c r="H26" s="86"/>
      <c r="I26" s="86"/>
      <c r="J26" s="86"/>
      <c r="K26" s="86">
        <v>7</v>
      </c>
      <c r="L26" s="86">
        <v>8</v>
      </c>
      <c r="M26" s="86">
        <v>9</v>
      </c>
      <c r="N26" s="86">
        <v>10</v>
      </c>
      <c r="O26" s="86">
        <v>11</v>
      </c>
      <c r="P26" s="86">
        <v>12</v>
      </c>
    </row>
    <row r="27" spans="1:17">
      <c r="A27" s="86"/>
      <c r="B27" s="86"/>
      <c r="C27" s="86"/>
      <c r="D27" s="86"/>
      <c r="E27" s="86"/>
      <c r="F27" s="86"/>
      <c r="G27" s="86"/>
      <c r="H27" s="86"/>
      <c r="I27" s="86"/>
      <c r="J27" s="86"/>
      <c r="K27" s="86"/>
      <c r="L27" s="86"/>
      <c r="M27" s="86"/>
      <c r="N27" s="86"/>
      <c r="O27" s="86"/>
    </row>
    <row r="28" spans="1:17">
      <c r="A28" s="86" t="s">
        <v>118</v>
      </c>
      <c r="B28" s="86" t="s">
        <v>119</v>
      </c>
      <c r="C28" s="86" t="s">
        <v>108</v>
      </c>
      <c r="D28" s="86" t="s">
        <v>109</v>
      </c>
      <c r="E28" s="86" t="s">
        <v>110</v>
      </c>
      <c r="F28" s="86" t="s">
        <v>111</v>
      </c>
      <c r="G28" s="86"/>
      <c r="H28" s="86"/>
      <c r="I28" s="86"/>
      <c r="J28" s="86"/>
      <c r="K28" s="86" t="s">
        <v>23</v>
      </c>
      <c r="L28" s="86" t="s">
        <v>113</v>
      </c>
      <c r="M28" s="86" t="s">
        <v>252</v>
      </c>
      <c r="N28" s="86" t="s">
        <v>251</v>
      </c>
      <c r="O28" s="86" t="s">
        <v>116</v>
      </c>
      <c r="P28" s="86" t="s">
        <v>117</v>
      </c>
    </row>
    <row r="29" spans="1:17">
      <c r="A29" s="86" t="s">
        <v>118</v>
      </c>
      <c r="B29" s="86" t="s">
        <v>119</v>
      </c>
      <c r="C29" s="86" t="s">
        <v>108</v>
      </c>
      <c r="D29" s="86" t="s">
        <v>109</v>
      </c>
      <c r="E29" s="86" t="s">
        <v>110</v>
      </c>
      <c r="F29" s="86" t="s">
        <v>111</v>
      </c>
      <c r="G29" s="86"/>
      <c r="H29" s="86"/>
      <c r="I29" s="86"/>
      <c r="J29" s="86"/>
      <c r="K29" s="86" t="s">
        <v>27</v>
      </c>
      <c r="L29" s="86" t="s">
        <v>113</v>
      </c>
      <c r="M29" s="86" t="s">
        <v>252</v>
      </c>
      <c r="N29" s="86" t="s">
        <v>251</v>
      </c>
      <c r="O29" s="86" t="s">
        <v>116</v>
      </c>
      <c r="P29" s="86" t="s">
        <v>117</v>
      </c>
    </row>
    <row r="30" spans="1:17">
      <c r="A30" s="86"/>
      <c r="B30" s="86"/>
      <c r="C30" s="86"/>
      <c r="D30" s="86"/>
      <c r="E30" s="86"/>
      <c r="F30" s="86"/>
      <c r="G30" s="86"/>
      <c r="H30" s="86"/>
      <c r="I30" s="86"/>
      <c r="J30" s="86"/>
      <c r="K30" s="86"/>
      <c r="L30" s="87"/>
      <c r="M30" s="87"/>
      <c r="N30" s="87"/>
      <c r="O30" s="87"/>
    </row>
  </sheetData>
  <dataValidations count="1">
    <dataValidation type="list" allowBlank="1" showInputMessage="1" showErrorMessage="1" sqref="D2:D21" xr:uid="{00000000-0002-0000-05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0"/>
    <col min="2" max="2" width="10.140625" style="10" bestFit="1" customWidth="1"/>
    <col min="3" max="3" width="16.5703125" style="10" customWidth="1"/>
    <col min="4" max="4" width="17.140625" style="10" customWidth="1"/>
    <col min="5" max="5" width="17.85546875" style="10" customWidth="1"/>
    <col min="6" max="6" width="20.85546875" style="10" customWidth="1"/>
    <col min="7" max="7" width="10.140625" style="10" customWidth="1" outlineLevel="1"/>
    <col min="8" max="16384" width="9.140625" style="10"/>
  </cols>
  <sheetData>
    <row r="1" spans="1:8">
      <c r="A1" s="31"/>
      <c r="B1" s="31"/>
      <c r="C1" s="31"/>
      <c r="D1" s="31"/>
      <c r="E1" s="301" t="s">
        <v>15</v>
      </c>
      <c r="F1" s="301"/>
    </row>
    <row r="2" spans="1:8">
      <c r="A2" s="31"/>
      <c r="B2" s="31"/>
      <c r="C2" s="31"/>
      <c r="D2" s="31"/>
      <c r="E2" s="31"/>
      <c r="F2" s="32" t="str">
        <f>"к договору микрозайма "&amp;malumot!B74&amp;""</f>
        <v>к договору микрозайма 1 aprel 2025 y.dan № 687-BR</v>
      </c>
    </row>
    <row r="3" spans="1:8" ht="6.75" customHeight="1">
      <c r="A3" s="31"/>
      <c r="B3" s="31"/>
      <c r="C3" s="31"/>
      <c r="D3" s="31"/>
      <c r="E3" s="31"/>
      <c r="F3" s="31"/>
    </row>
    <row r="4" spans="1:8">
      <c r="A4" s="302" t="s">
        <v>16</v>
      </c>
      <c r="B4" s="302"/>
      <c r="C4" s="302"/>
      <c r="D4" s="302"/>
      <c r="E4" s="302"/>
      <c r="F4" s="302"/>
    </row>
    <row r="5" spans="1:8" ht="7.5" customHeight="1"/>
    <row r="6" spans="1:8">
      <c r="A6" s="303" t="s">
        <v>14</v>
      </c>
      <c r="B6" s="304" t="s">
        <v>8</v>
      </c>
      <c r="C6" s="304" t="s">
        <v>9</v>
      </c>
      <c r="D6" s="305" t="s">
        <v>10</v>
      </c>
      <c r="E6" s="305"/>
      <c r="F6" s="305"/>
    </row>
    <row r="7" spans="1:8" s="11" customFormat="1">
      <c r="A7" s="303"/>
      <c r="B7" s="304"/>
      <c r="C7" s="304"/>
      <c r="D7" s="12" t="s">
        <v>11</v>
      </c>
      <c r="E7" s="12" t="s">
        <v>12</v>
      </c>
      <c r="F7" s="12" t="s">
        <v>13</v>
      </c>
    </row>
    <row r="8" spans="1:8">
      <c r="A8" s="13">
        <v>1</v>
      </c>
      <c r="B8" s="27">
        <f>'График дифференц'!B8</f>
        <v>45778</v>
      </c>
      <c r="C8" s="28">
        <f>malumot!B75</f>
        <v>26000000</v>
      </c>
      <c r="D8" s="28">
        <f>IF(A8&lt;malumot!$B$81,'График аннуитет.'!F8-'График аннуитет.'!E8,'График аннуитет.'!C8)</f>
        <v>855239.61999999988</v>
      </c>
      <c r="E8" s="28">
        <f>ROUND(C8*malumot!$B$84/H8,2)*'График аннуитет.'!G8</f>
        <v>1282191.9000000001</v>
      </c>
      <c r="F8" s="28">
        <f>malumot!B90</f>
        <v>2137431.52</v>
      </c>
      <c r="G8" s="10">
        <f>B8-malumot!B67</f>
        <v>30</v>
      </c>
      <c r="H8" s="10">
        <f>DATE(YEAR(B8),12,31)-DATE(YEAR(B8),1,1)+1</f>
        <v>365</v>
      </c>
    </row>
    <row r="9" spans="1:8">
      <c r="A9" s="13">
        <v>2</v>
      </c>
      <c r="B9" s="27">
        <f>'График дифференц'!B9</f>
        <v>45810</v>
      </c>
      <c r="C9" s="28">
        <f t="shared" ref="C9:C30" si="0">C8-D8</f>
        <v>25144760.379999999</v>
      </c>
      <c r="D9" s="28">
        <f>IF(A9&lt;malumot!$B$81,'График аннуитет.'!F9-'График аннуитет.'!E9,'График аннуитет.'!C9)</f>
        <v>814748.32000000007</v>
      </c>
      <c r="E9" s="28">
        <f>ROUND(C9*malumot!$B$84/H9,2)*'График аннуитет.'!G9</f>
        <v>1322683.2</v>
      </c>
      <c r="F9" s="28">
        <f>IF(A9&lt;malumot!$B$81,'График аннуитет.'!F8,'График аннуитет.'!D9+'График аннуитет.'!E9)</f>
        <v>2137431.52</v>
      </c>
      <c r="G9" s="10">
        <f>B9-B8</f>
        <v>32</v>
      </c>
      <c r="H9" s="10">
        <f t="shared" ref="H9:H31" si="1">DATE(YEAR(B9),12,31)-DATE(YEAR(B9),1,1)+1</f>
        <v>365</v>
      </c>
    </row>
    <row r="10" spans="1:8">
      <c r="A10" s="13">
        <v>3</v>
      </c>
      <c r="B10" s="27">
        <f>'График дифференц'!B10</f>
        <v>45839</v>
      </c>
      <c r="C10" s="28">
        <f t="shared" si="0"/>
        <v>24330012.059999999</v>
      </c>
      <c r="D10" s="28">
        <f>IF(A10&lt;malumot!$B$81,'График аннуитет.'!F10-'График аннуитет.'!E10,'График аннуитет.'!C10)</f>
        <v>977589.8600000001</v>
      </c>
      <c r="E10" s="28">
        <f>ROUND(C10*malumot!$B$84/H10,2)*'График аннуитет.'!G10</f>
        <v>1159841.6599999999</v>
      </c>
      <c r="F10" s="28">
        <f>IF(A10&lt;malumot!$B$81,'График аннуитет.'!F9,'График аннуитет.'!D10+'График аннуитет.'!E10)</f>
        <v>2137431.52</v>
      </c>
      <c r="G10" s="10">
        <f t="shared" ref="G10:G24" si="2">B10-B9</f>
        <v>29</v>
      </c>
      <c r="H10" s="10">
        <f t="shared" si="1"/>
        <v>365</v>
      </c>
    </row>
    <row r="11" spans="1:8">
      <c r="A11" s="13">
        <v>4</v>
      </c>
      <c r="B11" s="27">
        <f>'График дифференц'!B11</f>
        <v>45870</v>
      </c>
      <c r="C11" s="28">
        <f t="shared" si="0"/>
        <v>23352422.199999999</v>
      </c>
      <c r="D11" s="28">
        <f>IF(A11&lt;malumot!$B$81,'График аннуитет.'!F11-'График аннуитет.'!E11,'График аннуитет.'!C11)</f>
        <v>947417.78</v>
      </c>
      <c r="E11" s="28">
        <f>ROUND(C11*malumot!$B$84/H11,2)*'График аннуитет.'!G11</f>
        <v>1190013.74</v>
      </c>
      <c r="F11" s="28">
        <f>IF(A11&lt;malumot!$B$81,'График аннуитет.'!F10,'График аннуитет.'!D11+'График аннуитет.'!E11)</f>
        <v>2137431.52</v>
      </c>
      <c r="G11" s="10">
        <f t="shared" si="2"/>
        <v>31</v>
      </c>
      <c r="H11" s="10">
        <f t="shared" si="1"/>
        <v>365</v>
      </c>
    </row>
    <row r="12" spans="1:8">
      <c r="A12" s="13">
        <v>5</v>
      </c>
      <c r="B12" s="27">
        <f>'График дифференц'!B12</f>
        <v>45901</v>
      </c>
      <c r="C12" s="28">
        <f t="shared" si="0"/>
        <v>22405004.419999998</v>
      </c>
      <c r="D12" s="28">
        <f>IF(A12&lt;malumot!$B$81,'График аннуитет.'!F12-'График аннуитет.'!E12,'График аннуитет.'!C12)</f>
        <v>995697.17999999993</v>
      </c>
      <c r="E12" s="28">
        <f>ROUND(C12*malumot!$B$84/H12,2)*'График аннуитет.'!G12</f>
        <v>1141734.3400000001</v>
      </c>
      <c r="F12" s="28">
        <f>IF(A12&lt;malumot!$B$81,'График аннуитет.'!F11,'График аннуитет.'!D12+'График аннуитет.'!E12)</f>
        <v>2137431.52</v>
      </c>
      <c r="G12" s="10">
        <f t="shared" si="2"/>
        <v>31</v>
      </c>
      <c r="H12" s="10">
        <f t="shared" si="1"/>
        <v>365</v>
      </c>
    </row>
    <row r="13" spans="1:8">
      <c r="A13" s="13">
        <v>6</v>
      </c>
      <c r="B13" s="27">
        <f>'График дифференц'!B13</f>
        <v>45931</v>
      </c>
      <c r="C13" s="28">
        <f t="shared" si="0"/>
        <v>21409307.239999998</v>
      </c>
      <c r="D13" s="28">
        <f>IF(A13&lt;malumot!$B$81,'График аннуитет.'!F13-'График аннуитет.'!E13,'График аннуитет.'!C13)</f>
        <v>1081630.1200000001</v>
      </c>
      <c r="E13" s="28">
        <f>ROUND(C13*malumot!$B$84/H13,2)*'График аннуитет.'!G13</f>
        <v>1055801.3999999999</v>
      </c>
      <c r="F13" s="28">
        <f>IF(A13&lt;malumot!$B$81,'График аннуитет.'!F12,'График аннуитет.'!D13+'График аннуитет.'!E13)</f>
        <v>2137431.52</v>
      </c>
      <c r="G13" s="10">
        <f t="shared" si="2"/>
        <v>30</v>
      </c>
      <c r="H13" s="10">
        <f t="shared" si="1"/>
        <v>365</v>
      </c>
    </row>
    <row r="14" spans="1:8">
      <c r="A14" s="13">
        <v>7</v>
      </c>
      <c r="B14" s="27">
        <f>'График дифференц'!B14</f>
        <v>45964</v>
      </c>
      <c r="C14" s="28">
        <f t="shared" si="0"/>
        <v>20327677.119999997</v>
      </c>
      <c r="D14" s="28">
        <f>IF(A14&lt;malumot!$B$81,'График аннуитет.'!F14-'График аннуитет.'!E14,'График аннуитет.'!C14)</f>
        <v>1034724.6399999999</v>
      </c>
      <c r="E14" s="28">
        <f>ROUND(C14*malumot!$B$84/H14,2)*'График аннуитет.'!G14</f>
        <v>1102706.8800000001</v>
      </c>
      <c r="F14" s="28">
        <f>IF(A14&lt;malumot!$B$81,'График аннуитет.'!F13,'График аннуитет.'!D14+'График аннуитет.'!E14)</f>
        <v>2137431.52</v>
      </c>
      <c r="G14" s="10">
        <f t="shared" si="2"/>
        <v>33</v>
      </c>
      <c r="H14" s="10">
        <f t="shared" si="1"/>
        <v>365</v>
      </c>
    </row>
    <row r="15" spans="1:8">
      <c r="A15" s="13">
        <v>8</v>
      </c>
      <c r="B15" s="27">
        <f>'График дифференц'!B15</f>
        <v>45992</v>
      </c>
      <c r="C15" s="28">
        <f t="shared" si="0"/>
        <v>19292952.479999997</v>
      </c>
      <c r="D15" s="28">
        <f>IF(A15&lt;malumot!$B$81,'График аннуитет.'!F15-'График аннуитет.'!E15,'График аннуитет.'!C15)</f>
        <v>1249427.2000000002</v>
      </c>
      <c r="E15" s="28">
        <f>ROUND(C15*malumot!$B$84/H15,2)*'График аннуитет.'!G15</f>
        <v>888004.32</v>
      </c>
      <c r="F15" s="28">
        <f>IF(A15&lt;malumot!$B$81,'График аннуитет.'!F14,'График аннуитет.'!D15+'График аннуитет.'!E15)</f>
        <v>2137431.52</v>
      </c>
      <c r="G15" s="10">
        <f t="shared" si="2"/>
        <v>28</v>
      </c>
      <c r="H15" s="10">
        <f t="shared" si="1"/>
        <v>365</v>
      </c>
    </row>
    <row r="16" spans="1:8">
      <c r="A16" s="13">
        <v>9</v>
      </c>
      <c r="B16" s="27">
        <f>'График дифференц'!B16</f>
        <v>46023</v>
      </c>
      <c r="C16" s="28">
        <f t="shared" si="0"/>
        <v>18043525.279999997</v>
      </c>
      <c r="D16" s="28">
        <f>IF(A16&lt;malumot!$B$81,'График аннуитет.'!F16-'График аннуитет.'!E16,'График аннуитет.'!C16)</f>
        <v>1217953.23</v>
      </c>
      <c r="E16" s="28">
        <f>ROUND(C16*malumot!$B$84/H16,2)*'График аннуитет.'!G16</f>
        <v>919478.29</v>
      </c>
      <c r="F16" s="28">
        <f>IF(A16&lt;malumot!$B$81,'График аннуитет.'!F15,'График аннуитет.'!D16+'График аннуитет.'!E16)</f>
        <v>2137431.52</v>
      </c>
      <c r="G16" s="10">
        <f t="shared" si="2"/>
        <v>31</v>
      </c>
      <c r="H16" s="10">
        <f t="shared" si="1"/>
        <v>365</v>
      </c>
    </row>
    <row r="17" spans="1:8">
      <c r="A17" s="13">
        <v>10</v>
      </c>
      <c r="B17" s="27">
        <f>'График дифференц'!B17</f>
        <v>46055</v>
      </c>
      <c r="C17" s="28">
        <f t="shared" si="0"/>
        <v>16825572.049999997</v>
      </c>
      <c r="D17" s="28">
        <f>IF(A17&lt;malumot!$B$81,'График аннуитет.'!F17-'График аннуитет.'!E17,'График аннуитет.'!C17)</f>
        <v>1252360.48</v>
      </c>
      <c r="E17" s="28">
        <f>ROUND(C17*malumot!$B$84/H17,2)*'График аннуитет.'!G17</f>
        <v>885071.04</v>
      </c>
      <c r="F17" s="28">
        <f>IF(A17&lt;malumot!$B$81,'График аннуитет.'!F16,'График аннуитет.'!D17+'График аннуитет.'!E17)</f>
        <v>2137431.52</v>
      </c>
      <c r="G17" s="10">
        <f t="shared" si="2"/>
        <v>32</v>
      </c>
      <c r="H17" s="10">
        <f t="shared" si="1"/>
        <v>365</v>
      </c>
    </row>
    <row r="18" spans="1:8">
      <c r="A18" s="13">
        <v>11</v>
      </c>
      <c r="B18" s="27">
        <f>'График дифференц'!B18</f>
        <v>46083</v>
      </c>
      <c r="C18" s="28">
        <f t="shared" si="0"/>
        <v>15573211.569999997</v>
      </c>
      <c r="D18" s="28">
        <f>IF(A18&lt;malumot!$B$81,'График аннуитет.'!F18-'График аннуитет.'!E18,'График аннуитет.'!C18)</f>
        <v>1420637.12</v>
      </c>
      <c r="E18" s="28">
        <f>ROUND(C18*malumot!$B$84/H18,2)*'График аннуитет.'!G18</f>
        <v>716794.4</v>
      </c>
      <c r="F18" s="28">
        <f>IF(A18&lt;malumot!$B$81,'График аннуитет.'!F17,'График аннуитет.'!D18+'График аннуитет.'!E18)</f>
        <v>2137431.52</v>
      </c>
      <c r="G18" s="10">
        <f t="shared" si="2"/>
        <v>28</v>
      </c>
      <c r="H18" s="10">
        <f t="shared" si="1"/>
        <v>365</v>
      </c>
    </row>
    <row r="19" spans="1:8">
      <c r="A19" s="13">
        <v>12</v>
      </c>
      <c r="B19" s="27">
        <f>'График дифференц'!B19</f>
        <v>46113</v>
      </c>
      <c r="C19" s="28">
        <f t="shared" si="0"/>
        <v>14152574.449999996</v>
      </c>
      <c r="D19" s="28">
        <f>IF(A19&lt;malumot!$B$81,'График аннуитет.'!F19-'График аннуитет.'!E19,'График аннуитет.'!C19)</f>
        <v>1439496.2200000002</v>
      </c>
      <c r="E19" s="28">
        <f>ROUND(C19*malumot!$B$84/H19,2)*'График аннуитет.'!G19</f>
        <v>697935.29999999993</v>
      </c>
      <c r="F19" s="28">
        <f>IF(A19&lt;malumot!$B$81,'График аннуитет.'!F18,'График аннуитет.'!D19+'График аннуитет.'!E19)</f>
        <v>2137431.52</v>
      </c>
      <c r="G19" s="10">
        <f>B19-B18</f>
        <v>30</v>
      </c>
      <c r="H19" s="10">
        <f t="shared" si="1"/>
        <v>365</v>
      </c>
    </row>
    <row r="20" spans="1:8">
      <c r="A20" s="13">
        <v>13</v>
      </c>
      <c r="B20" s="27">
        <f>'График дифференц'!B20</f>
        <v>46143</v>
      </c>
      <c r="C20" s="28">
        <f t="shared" si="0"/>
        <v>12713078.229999995</v>
      </c>
      <c r="D20" s="28">
        <f>IF(A20&lt;malumot!$B$81,'График аннуитет.'!F20-'График аннуитет.'!E20,'График аннуитет.'!C20)</f>
        <v>1510485.2200000002</v>
      </c>
      <c r="E20" s="28">
        <f>ROUND(C20*malumot!$B$84/H20,2)*'График аннуитет.'!G20</f>
        <v>626946.29999999993</v>
      </c>
      <c r="F20" s="28">
        <f>IF(A20&lt;malumot!$B$81,'График аннуитет.'!F19,'График аннуитет.'!D20+'График аннуитет.'!E20)</f>
        <v>2137431.52</v>
      </c>
      <c r="G20" s="10">
        <f t="shared" si="2"/>
        <v>30</v>
      </c>
      <c r="H20" s="10">
        <f t="shared" si="1"/>
        <v>365</v>
      </c>
    </row>
    <row r="21" spans="1:8">
      <c r="A21" s="13">
        <v>14</v>
      </c>
      <c r="B21" s="27">
        <f>'График дифференц'!B21</f>
        <v>46174</v>
      </c>
      <c r="C21" s="28">
        <f t="shared" si="0"/>
        <v>11202593.009999994</v>
      </c>
      <c r="D21" s="28">
        <f>IF(A21&lt;malumot!$B$81,'График аннуитет.'!F21-'График аннуитет.'!E21,'График аннуитет.'!C21)</f>
        <v>1566559.7</v>
      </c>
      <c r="E21" s="28">
        <f>ROUND(C21*malumot!$B$84/H21,2)*'График аннуитет.'!G21</f>
        <v>570871.82000000007</v>
      </c>
      <c r="F21" s="28">
        <f>IF(A21&lt;malumot!$B$81,'График аннуитет.'!F20,'График аннуитет.'!D21+'График аннуитет.'!E21)</f>
        <v>2137431.52</v>
      </c>
      <c r="G21" s="10">
        <f t="shared" si="2"/>
        <v>31</v>
      </c>
      <c r="H21" s="10">
        <f t="shared" si="1"/>
        <v>365</v>
      </c>
    </row>
    <row r="22" spans="1:8">
      <c r="A22" s="13">
        <v>15</v>
      </c>
      <c r="B22" s="27">
        <f>'График дифференц'!B22</f>
        <v>46204</v>
      </c>
      <c r="C22" s="28">
        <f t="shared" si="0"/>
        <v>9636033.3099999949</v>
      </c>
      <c r="D22" s="28">
        <f>IF(A22&lt;malumot!$B$81,'График аннуитет.'!F22-'График аннуитет.'!E22,'График аннуитет.'!C22)</f>
        <v>1662230.02</v>
      </c>
      <c r="E22" s="28">
        <f>ROUND(C22*malumot!$B$84/H22,2)*'График аннуитет.'!G22</f>
        <v>475201.5</v>
      </c>
      <c r="F22" s="28">
        <f>IF(A22&lt;malumot!$B$81,'График аннуитет.'!F21,'График аннуитет.'!D22+'График аннуитет.'!E22)</f>
        <v>2137431.52</v>
      </c>
      <c r="G22" s="10">
        <f t="shared" si="2"/>
        <v>30</v>
      </c>
      <c r="H22" s="10">
        <f t="shared" si="1"/>
        <v>365</v>
      </c>
    </row>
    <row r="23" spans="1:8">
      <c r="A23" s="13">
        <v>16</v>
      </c>
      <c r="B23" s="27">
        <f>'График дифференц'!B23</f>
        <v>46237</v>
      </c>
      <c r="C23" s="28">
        <f t="shared" si="0"/>
        <v>7973803.2899999954</v>
      </c>
      <c r="D23" s="28">
        <f>IF(A23&lt;malumot!$B$81,'График аннуитет.'!F23-'График аннуитет.'!E23,'График аннуитет.'!C23)</f>
        <v>1704880.06</v>
      </c>
      <c r="E23" s="28">
        <f>ROUND(C23*malumot!$B$84/H23,2)*'График аннуитет.'!G23</f>
        <v>432551.46</v>
      </c>
      <c r="F23" s="28">
        <f>IF(A23&lt;malumot!$B$81,'График аннуитет.'!F22,'График аннуитет.'!D23+'График аннуитет.'!E23)</f>
        <v>2137431.52</v>
      </c>
      <c r="G23" s="10">
        <f t="shared" si="2"/>
        <v>33</v>
      </c>
      <c r="H23" s="10">
        <f t="shared" si="1"/>
        <v>365</v>
      </c>
    </row>
    <row r="24" spans="1:8">
      <c r="A24" s="13">
        <v>17</v>
      </c>
      <c r="B24" s="27">
        <f>'График дифференц'!B24</f>
        <v>46266</v>
      </c>
      <c r="C24" s="28">
        <f t="shared" si="0"/>
        <v>6268923.2299999949</v>
      </c>
      <c r="D24" s="28">
        <f>IF(A24&lt;malumot!$B$81,'График аннуитет.'!F24-'График аннуитет.'!E24,'График аннуитет.'!C24)</f>
        <v>1838584.2</v>
      </c>
      <c r="E24" s="28">
        <f>ROUND(C24*malumot!$B$84/H24,2)*'График аннуитет.'!G24</f>
        <v>298847.32</v>
      </c>
      <c r="F24" s="28">
        <f>IF(A24&lt;malumot!$B$81,'График аннуитет.'!F23,'График аннуитет.'!D24+'График аннуитет.'!E24)</f>
        <v>2137431.52</v>
      </c>
      <c r="G24" s="10">
        <f t="shared" si="2"/>
        <v>29</v>
      </c>
      <c r="H24" s="10">
        <f t="shared" si="1"/>
        <v>365</v>
      </c>
    </row>
    <row r="25" spans="1:8">
      <c r="A25" s="13">
        <v>18</v>
      </c>
      <c r="B25" s="27">
        <f>'График дифференц'!B25</f>
        <v>46296</v>
      </c>
      <c r="C25" s="28">
        <f t="shared" si="0"/>
        <v>4430339.0299999947</v>
      </c>
      <c r="D25" s="28">
        <f>IF(A25&lt;malumot!$B$81,'График аннуитет.'!F25-'График аннуитет.'!E25,'График аннуитет.'!C25)</f>
        <v>1918949.02</v>
      </c>
      <c r="E25" s="28">
        <f>ROUND(C25*malumot!$B$84/H25,2)*'График аннуитет.'!G25</f>
        <v>218482.5</v>
      </c>
      <c r="F25" s="28">
        <f>IF(A25&lt;malumot!$B$81,'График аннуитет.'!F24,'График аннуитет.'!D25+'График аннуитет.'!E25)</f>
        <v>2137431.52</v>
      </c>
      <c r="G25" s="10">
        <f>B25-B24</f>
        <v>30</v>
      </c>
      <c r="H25" s="10">
        <f t="shared" si="1"/>
        <v>365</v>
      </c>
    </row>
    <row r="26" spans="1:8">
      <c r="A26" s="13">
        <v>19</v>
      </c>
      <c r="B26" s="27">
        <f>'График дифференц'!B26</f>
        <v>46328</v>
      </c>
      <c r="C26" s="28">
        <f t="shared" si="0"/>
        <v>2511390.0099999947</v>
      </c>
      <c r="D26" s="28">
        <f>IF(A26&lt;malumot!$B$81,'График аннуитет.'!F26-'График аннуитет.'!E26,'График аннуитет.'!C26)</f>
        <v>2005325.6</v>
      </c>
      <c r="E26" s="28">
        <f>ROUND(C26*malumot!$B$84/H26,2)*'График аннуитет.'!G26</f>
        <v>132105.92000000001</v>
      </c>
      <c r="F26" s="28">
        <f>IF(A26&lt;malumot!$B$81,'График аннуитет.'!F25,'График аннуитет.'!D26+'График аннуитет.'!E26)</f>
        <v>2137431.52</v>
      </c>
      <c r="G26" s="10">
        <f t="shared" ref="G26:G30" si="3">B26-B25</f>
        <v>32</v>
      </c>
      <c r="H26" s="10">
        <f t="shared" si="1"/>
        <v>365</v>
      </c>
    </row>
    <row r="27" spans="1:8">
      <c r="A27" s="13">
        <v>20</v>
      </c>
      <c r="B27" s="27">
        <f>'График дифференц'!B27</f>
        <v>46357</v>
      </c>
      <c r="C27" s="28">
        <f t="shared" si="0"/>
        <v>506064.40999999456</v>
      </c>
      <c r="D27" s="28">
        <f>IF(A27&lt;malumot!$B$81,'График аннуитет.'!F27-'График аннуитет.'!E27,'График аннуитет.'!C27)</f>
        <v>2113306.71</v>
      </c>
      <c r="E27" s="28">
        <f>ROUND(C27*malumot!$B$84/H27,2)*'График аннуитет.'!G27</f>
        <v>24124.81</v>
      </c>
      <c r="F27" s="28">
        <f>IF(A27&lt;malumot!$B$81,'График аннуитет.'!F26,'График аннуитет.'!D27+'График аннуитет.'!E27)</f>
        <v>2137431.52</v>
      </c>
      <c r="G27" s="10">
        <f t="shared" si="3"/>
        <v>29</v>
      </c>
      <c r="H27" s="10">
        <f t="shared" si="1"/>
        <v>365</v>
      </c>
    </row>
    <row r="28" spans="1:8">
      <c r="A28" s="13">
        <v>21</v>
      </c>
      <c r="B28" s="27">
        <f>'График дифференц'!B28</f>
        <v>46388</v>
      </c>
      <c r="C28" s="28">
        <f t="shared" si="0"/>
        <v>-1607242.3000000054</v>
      </c>
      <c r="D28" s="28">
        <f>IF(A28&lt;malumot!$B$81,'График аннуитет.'!F28-'График аннуитет.'!E28,'График аннуитет.'!C28)</f>
        <v>2219334.7600000002</v>
      </c>
      <c r="E28" s="28">
        <f>ROUND(C28*malumot!$B$84/H28,2)*'График аннуитет.'!G28</f>
        <v>-81903.240000000005</v>
      </c>
      <c r="F28" s="28">
        <f>IF(A28&lt;malumot!$B$81,'График аннуитет.'!F27,'График аннуитет.'!D28+'График аннуитет.'!E28)</f>
        <v>2137431.52</v>
      </c>
      <c r="G28" s="10">
        <f t="shared" si="3"/>
        <v>31</v>
      </c>
      <c r="H28" s="10">
        <f t="shared" si="1"/>
        <v>365</v>
      </c>
    </row>
    <row r="29" spans="1:8">
      <c r="A29" s="13">
        <v>22</v>
      </c>
      <c r="B29" s="27">
        <f>'График дифференц'!B29</f>
        <v>46419</v>
      </c>
      <c r="C29" s="28">
        <f t="shared" si="0"/>
        <v>-3826577.0600000056</v>
      </c>
      <c r="D29" s="28">
        <f>IF(A29&lt;malumot!$B$81,'График аннуитет.'!F29-'График аннуитет.'!E29,'График аннуитет.'!C29)</f>
        <v>2332429.58</v>
      </c>
      <c r="E29" s="28">
        <f>ROUND(C29*malumot!$B$84/H29,2)*'График аннуитет.'!G29</f>
        <v>-194998.06</v>
      </c>
      <c r="F29" s="28">
        <f>IF(A29&lt;malumot!$B$81,'График аннуитет.'!F28,'График аннуитет.'!D29+'График аннуитет.'!E29)</f>
        <v>2137431.52</v>
      </c>
      <c r="G29" s="10">
        <f t="shared" si="3"/>
        <v>31</v>
      </c>
      <c r="H29" s="10">
        <f t="shared" si="1"/>
        <v>365</v>
      </c>
    </row>
    <row r="30" spans="1:8">
      <c r="A30" s="13">
        <v>23</v>
      </c>
      <c r="B30" s="27">
        <f>'График дифференц'!B30</f>
        <v>46447</v>
      </c>
      <c r="C30" s="28">
        <f t="shared" si="0"/>
        <v>-6159006.6400000062</v>
      </c>
      <c r="D30" s="28">
        <f>IF(A30&lt;malumot!$B$81,'График аннуитет.'!F30-'График аннуитет.'!E30,'График аннуитет.'!C30)</f>
        <v>2420914.44</v>
      </c>
      <c r="E30" s="28">
        <f>ROUND(C30*malumot!$B$84/H30,2)*'График аннуитет.'!G30</f>
        <v>-283482.92</v>
      </c>
      <c r="F30" s="28">
        <f>IF(A30&lt;malumot!$B$81,'График аннуитет.'!F29,'График аннуитет.'!D30+'График аннуитет.'!E30)</f>
        <v>2137431.52</v>
      </c>
      <c r="G30" s="10">
        <f t="shared" si="3"/>
        <v>28</v>
      </c>
      <c r="H30" s="10">
        <f t="shared" si="1"/>
        <v>365</v>
      </c>
    </row>
    <row r="31" spans="1:8">
      <c r="A31" s="13">
        <v>24</v>
      </c>
      <c r="B31" s="27">
        <f>'График дифференц'!B31</f>
        <v>46478</v>
      </c>
      <c r="C31" s="28">
        <f t="shared" ref="C31" si="4">C30-D30</f>
        <v>-8579921.0800000057</v>
      </c>
      <c r="D31" s="28">
        <f>IF(A31&lt;malumot!$B$81,'График аннуитет.'!F31-'График аннуитет.'!E31,'График аннуитет.'!C31)</f>
        <v>2574654.9</v>
      </c>
      <c r="E31" s="28">
        <f>ROUND(C31*malumot!$B$84/H31,2)*'График аннуитет.'!G31</f>
        <v>-437223.38</v>
      </c>
      <c r="F31" s="28">
        <f>IF(A31&lt;malumot!$B$81,'График аннуитет.'!F30,'График аннуитет.'!D31+'График аннуитет.'!E31)</f>
        <v>2137431.52</v>
      </c>
      <c r="G31" s="10">
        <f>B31-B30</f>
        <v>31</v>
      </c>
      <c r="H31" s="10">
        <f t="shared" si="1"/>
        <v>365</v>
      </c>
    </row>
    <row r="32" spans="1:8">
      <c r="A32" s="13">
        <f>1+A31</f>
        <v>25</v>
      </c>
      <c r="B32" s="27">
        <f>'График дифференц'!B32</f>
        <v>46510</v>
      </c>
      <c r="C32" s="28">
        <f t="shared" ref="C32:C43" si="5">C31-D31</f>
        <v>-11154575.980000006</v>
      </c>
      <c r="D32" s="28">
        <f>IF(A32&lt;malumot!$B$81,'График аннуитет.'!F32-'График аннуитет.'!E32,'График аннуитет.'!C32)</f>
        <v>2724192.8</v>
      </c>
      <c r="E32" s="28">
        <f>ROUND(C32*malumot!$B$84/H32,2)*'График аннуитет.'!G32</f>
        <v>-586761.28</v>
      </c>
      <c r="F32" s="28">
        <f>IF(A32&lt;malumot!$B$81,'График аннуитет.'!F31,'График аннуитет.'!D32+'График аннуитет.'!E32)</f>
        <v>2137431.52</v>
      </c>
      <c r="G32" s="10">
        <f t="shared" ref="G32:G43" si="6">B32-B31</f>
        <v>32</v>
      </c>
      <c r="H32" s="10">
        <f t="shared" ref="H32:H43" si="7">DATE(YEAR(B32),12,31)-DATE(YEAR(B32),1,1)+1</f>
        <v>365</v>
      </c>
    </row>
    <row r="33" spans="1:8">
      <c r="A33" s="13">
        <f t="shared" ref="A33:A43" si="8">1+A32</f>
        <v>26</v>
      </c>
      <c r="B33" s="27">
        <f>'График дифференц'!B33</f>
        <v>46539</v>
      </c>
      <c r="C33" s="28">
        <f t="shared" si="5"/>
        <v>-13878768.780000005</v>
      </c>
      <c r="D33" s="28">
        <f>IF(A33&lt;malumot!$B$81,'График аннуитет.'!F33-'График аннуитет.'!E33,'График аннуитет.'!C33)</f>
        <v>2799049.41</v>
      </c>
      <c r="E33" s="28">
        <f>ROUND(C33*malumot!$B$84/H33,2)*'График аннуитет.'!G33</f>
        <v>-661617.89</v>
      </c>
      <c r="F33" s="28">
        <f>IF(A33&lt;malumot!$B$81,'График аннуитет.'!F32,'График аннуитет.'!D33+'График аннуитет.'!E33)</f>
        <v>2137431.52</v>
      </c>
      <c r="G33" s="10">
        <f t="shared" si="6"/>
        <v>29</v>
      </c>
      <c r="H33" s="10">
        <f t="shared" si="7"/>
        <v>365</v>
      </c>
    </row>
    <row r="34" spans="1:8">
      <c r="A34" s="13">
        <f t="shared" si="8"/>
        <v>27</v>
      </c>
      <c r="B34" s="27">
        <f>'График дифференц'!B34</f>
        <v>46569</v>
      </c>
      <c r="C34" s="28">
        <f t="shared" si="5"/>
        <v>-16677818.190000005</v>
      </c>
      <c r="D34" s="28">
        <f>IF(A34&lt;malumot!$B$81,'График аннуитет.'!F34-'График аннуитет.'!E34,'График аннуитет.'!C34)</f>
        <v>2959899.2199999997</v>
      </c>
      <c r="E34" s="28">
        <f>ROUND(C34*malumot!$B$84/H34,2)*'График аннуитет.'!G34</f>
        <v>-822467.7</v>
      </c>
      <c r="F34" s="28">
        <f>IF(A34&lt;malumot!$B$81,'График аннуитет.'!F33,'График аннуитет.'!D34+'График аннуитет.'!E34)</f>
        <v>2137431.52</v>
      </c>
      <c r="G34" s="10">
        <f t="shared" si="6"/>
        <v>30</v>
      </c>
      <c r="H34" s="10">
        <f t="shared" si="7"/>
        <v>365</v>
      </c>
    </row>
    <row r="35" spans="1:8">
      <c r="A35" s="13">
        <f t="shared" si="8"/>
        <v>28</v>
      </c>
      <c r="B35" s="27">
        <f>'График дифференц'!B35</f>
        <v>46601</v>
      </c>
      <c r="C35" s="28">
        <f t="shared" si="5"/>
        <v>-19637717.410000004</v>
      </c>
      <c r="D35" s="28">
        <f>IF(A35&lt;malumot!$B$81,'График аннуитет.'!F35-'График аннуитет.'!E35,'График аннуитет.'!C35)</f>
        <v>3170429.2800000003</v>
      </c>
      <c r="E35" s="28">
        <f>ROUND(C35*malumot!$B$84/H35,2)*'График аннуитет.'!G35</f>
        <v>-1032997.76</v>
      </c>
      <c r="F35" s="28">
        <f>IF(A35&lt;malumot!$B$81,'График аннуитет.'!F34,'График аннуитет.'!D35+'График аннуитет.'!E35)</f>
        <v>2137431.52</v>
      </c>
      <c r="G35" s="10">
        <f t="shared" si="6"/>
        <v>32</v>
      </c>
      <c r="H35" s="10">
        <f t="shared" si="7"/>
        <v>365</v>
      </c>
    </row>
    <row r="36" spans="1:8">
      <c r="A36" s="13">
        <f t="shared" si="8"/>
        <v>29</v>
      </c>
      <c r="B36" s="27">
        <f>'График дифференц'!B36</f>
        <v>46631</v>
      </c>
      <c r="C36" s="28">
        <f t="shared" si="5"/>
        <v>-22808146.690000005</v>
      </c>
      <c r="D36" s="28">
        <f>IF(A36&lt;malumot!$B$81,'График аннуитет.'!F36-'График аннуитет.'!E36,'График аннуитет.'!C36)</f>
        <v>3262216.7199999997</v>
      </c>
      <c r="E36" s="28">
        <f>ROUND(C36*malumot!$B$84/H36,2)*'График аннуитет.'!G36</f>
        <v>-1124785.2</v>
      </c>
      <c r="F36" s="28">
        <f>IF(A36&lt;malumot!$B$81,'График аннуитет.'!F35,'График аннуитет.'!D36+'График аннуитет.'!E36)</f>
        <v>2137431.52</v>
      </c>
      <c r="G36" s="10">
        <f t="shared" si="6"/>
        <v>30</v>
      </c>
      <c r="H36" s="10">
        <f t="shared" si="7"/>
        <v>365</v>
      </c>
    </row>
    <row r="37" spans="1:8">
      <c r="A37" s="13">
        <f t="shared" si="8"/>
        <v>30</v>
      </c>
      <c r="B37" s="27">
        <f>'График дифференц'!B37</f>
        <v>46661</v>
      </c>
      <c r="C37" s="28">
        <f t="shared" si="5"/>
        <v>-26070363.410000004</v>
      </c>
      <c r="D37" s="28">
        <f>IF(A37&lt;malumot!$B$81,'График аннуитет.'!F37-'График аннуитет.'!E37,'График аннуитет.'!C37)</f>
        <v>3423093.2199999997</v>
      </c>
      <c r="E37" s="28">
        <f>ROUND(C37*malumot!$B$84/H37,2)*'График аннуитет.'!G37</f>
        <v>-1285661.7</v>
      </c>
      <c r="F37" s="28">
        <f>IF(A37&lt;malumot!$B$81,'График аннуитет.'!F36,'График аннуитет.'!D37+'График аннуитет.'!E37)</f>
        <v>2137431.52</v>
      </c>
      <c r="G37" s="10">
        <f t="shared" si="6"/>
        <v>30</v>
      </c>
      <c r="H37" s="10">
        <f t="shared" si="7"/>
        <v>365</v>
      </c>
    </row>
    <row r="38" spans="1:8">
      <c r="A38" s="13">
        <f t="shared" si="8"/>
        <v>31</v>
      </c>
      <c r="B38" s="27">
        <f>'График дифференц'!B38</f>
        <v>46692</v>
      </c>
      <c r="C38" s="28">
        <f t="shared" si="5"/>
        <v>-29493456.630000003</v>
      </c>
      <c r="D38" s="28">
        <f>IF(A38&lt;malumot!$B$81,'График аннуитет.'!F38-'График аннуитет.'!E38,'График аннуитет.'!C38)</f>
        <v>3640385.6100000003</v>
      </c>
      <c r="E38" s="28">
        <f>ROUND(C38*malumot!$B$84/H38,2)*'График аннуитет.'!G38</f>
        <v>-1502954.09</v>
      </c>
      <c r="F38" s="28">
        <f>IF(A38&lt;malumot!$B$81,'График аннуитет.'!F37,'График аннуитет.'!D38+'График аннуитет.'!E38)</f>
        <v>2137431.52</v>
      </c>
      <c r="G38" s="10">
        <f t="shared" si="6"/>
        <v>31</v>
      </c>
      <c r="H38" s="10">
        <f t="shared" si="7"/>
        <v>365</v>
      </c>
    </row>
    <row r="39" spans="1:8">
      <c r="A39" s="13">
        <f t="shared" si="8"/>
        <v>32</v>
      </c>
      <c r="B39" s="27">
        <f>'График дифференц'!B39</f>
        <v>46722</v>
      </c>
      <c r="C39" s="28">
        <f t="shared" si="5"/>
        <v>-33133842.240000002</v>
      </c>
      <c r="D39" s="28">
        <f>IF(A39&lt;malumot!$B$81,'График аннуитет.'!F39-'График аннуитет.'!E39,'График аннуитет.'!C39)</f>
        <v>-33133842.240000002</v>
      </c>
      <c r="E39" s="28">
        <f>ROUND(C39*malumot!$B$84/H39,2)*'График аннуитет.'!G39</f>
        <v>-1633997.7</v>
      </c>
      <c r="F39" s="28">
        <f>IF(A39&lt;malumot!$B$81,'График аннуитет.'!F38,'График аннуитет.'!D39+'График аннуитет.'!E39)</f>
        <v>-34767839.940000005</v>
      </c>
      <c r="G39" s="10">
        <f t="shared" si="6"/>
        <v>30</v>
      </c>
      <c r="H39" s="10">
        <f t="shared" si="7"/>
        <v>365</v>
      </c>
    </row>
    <row r="40" spans="1:8">
      <c r="A40" s="13">
        <f t="shared" si="8"/>
        <v>33</v>
      </c>
      <c r="B40" s="27" t="b">
        <f>'График дифференц'!B40</f>
        <v>0</v>
      </c>
      <c r="C40" s="28">
        <f t="shared" si="5"/>
        <v>0</v>
      </c>
      <c r="D40" s="28">
        <f>IF(A40&lt;malumot!$B$81,'График аннуитет.'!F40-'График аннуитет.'!E40,'График аннуитет.'!C40)</f>
        <v>0</v>
      </c>
      <c r="E40" s="28">
        <f>ROUND(C40*malumot!$B$84/H40,2)*'График аннуитет.'!G40</f>
        <v>0</v>
      </c>
      <c r="F40" s="28">
        <f>IF(A40&lt;malumot!$B$81,'График аннуитет.'!F39,'График аннуитет.'!D40+'График аннуитет.'!E40)</f>
        <v>0</v>
      </c>
      <c r="G40" s="10">
        <f t="shared" si="6"/>
        <v>-46722</v>
      </c>
      <c r="H40" s="10">
        <f t="shared" si="7"/>
        <v>366</v>
      </c>
    </row>
    <row r="41" spans="1:8">
      <c r="A41" s="13">
        <f t="shared" si="8"/>
        <v>34</v>
      </c>
      <c r="B41" s="27" t="b">
        <f>'График дифференц'!B41</f>
        <v>0</v>
      </c>
      <c r="C41" s="28">
        <f t="shared" si="5"/>
        <v>0</v>
      </c>
      <c r="D41" s="28">
        <f>IF(A41&lt;malumot!$B$81,'График аннуитет.'!F41-'График аннуитет.'!E41,'График аннуитет.'!C41)</f>
        <v>0</v>
      </c>
      <c r="E41" s="28">
        <f>ROUND(C41*malumot!$B$84/H41,2)*'График аннуитет.'!G41</f>
        <v>0</v>
      </c>
      <c r="F41" s="28">
        <f>IF(A41&lt;malumot!$B$81,'График аннуитет.'!F40,'График аннуитет.'!D41+'График аннуитет.'!E41)</f>
        <v>0</v>
      </c>
      <c r="G41" s="10">
        <f t="shared" si="6"/>
        <v>0</v>
      </c>
      <c r="H41" s="10">
        <f t="shared" si="7"/>
        <v>366</v>
      </c>
    </row>
    <row r="42" spans="1:8">
      <c r="A42" s="13">
        <f t="shared" si="8"/>
        <v>35</v>
      </c>
      <c r="B42" s="27" t="b">
        <f>'График дифференц'!B42</f>
        <v>0</v>
      </c>
      <c r="C42" s="28">
        <f t="shared" si="5"/>
        <v>0</v>
      </c>
      <c r="D42" s="28">
        <f>IF(A42&lt;malumot!$B$81,'График аннуитет.'!F42-'График аннуитет.'!E42,'График аннуитет.'!C42)</f>
        <v>0</v>
      </c>
      <c r="E42" s="28">
        <f>ROUND(C42*malumot!$B$84/H42,2)*'График аннуитет.'!G42</f>
        <v>0</v>
      </c>
      <c r="F42" s="28">
        <f>IF(A42&lt;malumot!$B$81,'График аннуитет.'!F41,'График аннуитет.'!D42+'График аннуитет.'!E42)</f>
        <v>0</v>
      </c>
      <c r="G42" s="10">
        <f t="shared" si="6"/>
        <v>0</v>
      </c>
      <c r="H42" s="10">
        <f t="shared" si="7"/>
        <v>366</v>
      </c>
    </row>
    <row r="43" spans="1:8">
      <c r="A43" s="13">
        <f t="shared" si="8"/>
        <v>36</v>
      </c>
      <c r="B43" s="27" t="b">
        <f>'График дифференц'!B43</f>
        <v>0</v>
      </c>
      <c r="C43" s="28">
        <f t="shared" si="5"/>
        <v>0</v>
      </c>
      <c r="D43" s="28">
        <f>IF(A43&lt;malumot!$B$81,'График аннуитет.'!F43-'График аннуитет.'!E43,'График аннуитет.'!C43)</f>
        <v>0</v>
      </c>
      <c r="E43" s="28">
        <f>ROUND(C43*malumot!$B$84/H43,2)*'График аннуитет.'!G43</f>
        <v>0</v>
      </c>
      <c r="F43" s="28">
        <f>IF(A43&lt;malumot!$B$81,'График аннуитет.'!F42,'График аннуитет.'!D43+'График аннуитет.'!E43)</f>
        <v>0</v>
      </c>
      <c r="G43" s="10">
        <f t="shared" si="6"/>
        <v>0</v>
      </c>
      <c r="H43" s="10">
        <f t="shared" si="7"/>
        <v>366</v>
      </c>
    </row>
    <row r="44" spans="1:8">
      <c r="A44" s="40"/>
      <c r="B44" s="41" t="s">
        <v>6</v>
      </c>
      <c r="C44" s="42"/>
      <c r="D44" s="42">
        <f>SUM(D8:D43)</f>
        <v>25999999.999999993</v>
      </c>
      <c r="E44" s="42">
        <f t="shared" ref="E44:F44" si="9">SUM(E8:E43)</f>
        <v>5492537.1800000044</v>
      </c>
      <c r="F44" s="42">
        <f t="shared" si="9"/>
        <v>31492537.180000044</v>
      </c>
    </row>
    <row r="45" spans="1:8" ht="9" customHeight="1">
      <c r="B45" s="29"/>
      <c r="C45" s="30"/>
      <c r="D45" s="30"/>
      <c r="E45" s="30"/>
      <c r="F45" s="30"/>
    </row>
    <row r="46" spans="1:8" ht="47.25" customHeight="1">
      <c r="A46" s="280" t="s">
        <v>17</v>
      </c>
      <c r="B46" s="280"/>
      <c r="C46" s="280"/>
      <c r="D46" s="280"/>
      <c r="E46" s="280"/>
      <c r="F46" s="280"/>
    </row>
    <row r="47" spans="1:8" ht="7.5" customHeight="1"/>
    <row r="48" spans="1:8">
      <c r="A48" s="307" t="e">
        <f>#REF!</f>
        <v>#REF!</v>
      </c>
      <c r="B48" s="307"/>
      <c r="C48" s="307"/>
      <c r="D48" s="307" t="e">
        <f>#REF!</f>
        <v>#REF!</v>
      </c>
      <c r="E48" s="307"/>
      <c r="F48" s="307"/>
    </row>
    <row r="49" spans="1:6" ht="11.25" customHeight="1">
      <c r="A49" s="308"/>
      <c r="B49" s="308"/>
      <c r="C49" s="308"/>
      <c r="D49" s="308"/>
      <c r="E49" s="308"/>
      <c r="F49" s="308"/>
    </row>
    <row r="50" spans="1:6" ht="30" customHeight="1">
      <c r="A50" s="281" t="e">
        <f>#REF!</f>
        <v>#REF!</v>
      </c>
      <c r="B50" s="281"/>
      <c r="C50" s="281"/>
      <c r="D50" s="281" t="e">
        <f>#REF!</f>
        <v>#REF!</v>
      </c>
      <c r="E50" s="281"/>
      <c r="F50" s="281"/>
    </row>
    <row r="51" spans="1:6" ht="32.25" customHeight="1">
      <c r="A51" s="306" t="e">
        <f>#REF!</f>
        <v>#REF!</v>
      </c>
      <c r="B51" s="306"/>
      <c r="C51" s="306"/>
      <c r="D51" s="306" t="e">
        <f>#REF!</f>
        <v>#REF!</v>
      </c>
      <c r="E51" s="306"/>
      <c r="F51" s="306"/>
    </row>
    <row r="52" spans="1:6">
      <c r="A52" s="306" t="e">
        <f>#REF!</f>
        <v>#REF!</v>
      </c>
      <c r="B52" s="306"/>
      <c r="C52" s="306"/>
      <c r="D52" s="306" t="str">
        <f>"паспорт серии "&amp;malumot!B16&amp;", "&amp;malumot!B20&amp;""</f>
        <v>паспорт серии AB 7858443, BUXORO VILOYATI KOGON TUMAN IIB tomonidan 06.10.2017 yilda berilgan</v>
      </c>
      <c r="E52" s="306"/>
      <c r="F52" s="306"/>
    </row>
    <row r="53" spans="1:6" ht="32.25" customHeight="1">
      <c r="A53" s="306" t="e">
        <f>#REF!</f>
        <v>#REF!</v>
      </c>
      <c r="B53" s="306"/>
      <c r="C53" s="306"/>
      <c r="D53" s="306"/>
      <c r="E53" s="306"/>
      <c r="F53" s="306"/>
    </row>
    <row r="54" spans="1:6">
      <c r="A54" s="306" t="e">
        <f>#REF!</f>
        <v>#REF!</v>
      </c>
      <c r="B54" s="306"/>
      <c r="C54" s="306"/>
      <c r="D54" s="306" t="e">
        <f>#REF!</f>
        <v>#REF!</v>
      </c>
      <c r="E54" s="306"/>
      <c r="F54" s="306"/>
    </row>
    <row r="55" spans="1:6">
      <c r="A55" s="306" t="e">
        <f>#REF!</f>
        <v>#REF!</v>
      </c>
      <c r="B55" s="306"/>
      <c r="C55" s="306"/>
      <c r="D55" s="306" t="e">
        <f>#REF!</f>
        <v>#REF!</v>
      </c>
      <c r="E55" s="306"/>
      <c r="F55" s="306"/>
    </row>
    <row r="56" spans="1:6">
      <c r="A56" s="306" t="e">
        <f>#REF!</f>
        <v>#REF!</v>
      </c>
      <c r="B56" s="306"/>
      <c r="C56" s="306"/>
      <c r="D56" s="306" t="e">
        <f>#REF!</f>
        <v>#REF!</v>
      </c>
      <c r="E56" s="306"/>
      <c r="F56" s="306"/>
    </row>
    <row r="57" spans="1:6" ht="8.25" customHeight="1">
      <c r="A57" s="306"/>
      <c r="B57" s="306"/>
      <c r="C57" s="306"/>
      <c r="D57" s="306"/>
      <c r="E57" s="306"/>
      <c r="F57" s="306"/>
    </row>
    <row r="58" spans="1:6">
      <c r="A58" s="281" t="e">
        <f>#REF!</f>
        <v>#REF!</v>
      </c>
      <c r="B58" s="281"/>
      <c r="C58" s="281"/>
      <c r="D58" s="281" t="e">
        <f>#REF!</f>
        <v>#REF!</v>
      </c>
      <c r="E58" s="281"/>
      <c r="F58" s="281"/>
    </row>
    <row r="59" spans="1:6" ht="7.5" customHeight="1">
      <c r="A59" s="281"/>
      <c r="B59" s="281"/>
      <c r="C59" s="281"/>
      <c r="D59" s="281"/>
      <c r="E59" s="281"/>
      <c r="F59" s="281"/>
    </row>
    <row r="60" spans="1:6">
      <c r="A60" s="281" t="e">
        <f>#REF!</f>
        <v>#REF!</v>
      </c>
      <c r="B60" s="281"/>
      <c r="C60" s="281"/>
      <c r="D60" s="281" t="e">
        <f>#REF!</f>
        <v>#REF!</v>
      </c>
      <c r="E60" s="281"/>
      <c r="F60" s="281"/>
    </row>
    <row r="61" spans="1:6" ht="8.25" customHeight="1">
      <c r="A61" s="306"/>
      <c r="B61" s="306"/>
      <c r="C61" s="306"/>
      <c r="D61" s="306"/>
      <c r="E61" s="306"/>
      <c r="F61" s="306"/>
    </row>
    <row r="62" spans="1:6" ht="30" customHeight="1">
      <c r="A62" s="310"/>
      <c r="B62" s="310"/>
      <c r="C62" s="310"/>
      <c r="D62" s="311"/>
      <c r="E62" s="311"/>
      <c r="F62" s="311"/>
    </row>
    <row r="63" spans="1:6">
      <c r="A63" s="312"/>
      <c r="B63" s="312"/>
      <c r="C63" s="312"/>
      <c r="D63" s="312"/>
      <c r="E63" s="312"/>
      <c r="F63" s="312"/>
    </row>
    <row r="64" spans="1:6">
      <c r="A64" s="309"/>
      <c r="B64" s="309"/>
      <c r="C64" s="309"/>
      <c r="D64" s="309"/>
      <c r="E64" s="309"/>
      <c r="F64" s="309"/>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7">
    <tabColor rgb="FF00B050"/>
  </sheetPr>
  <dimension ref="A1:E67"/>
  <sheetViews>
    <sheetView view="pageBreakPreview" topLeftCell="A47" zoomScaleSheetLayoutView="100" workbookViewId="0">
      <selection activeCell="A25" sqref="A25:E25"/>
    </sheetView>
  </sheetViews>
  <sheetFormatPr defaultColWidth="9.140625" defaultRowHeight="15" outlineLevelRow="1"/>
  <cols>
    <col min="1" max="1" width="19.5703125" style="10" customWidth="1"/>
    <col min="2" max="2" width="21.42578125" style="10" customWidth="1"/>
    <col min="3" max="5" width="17" style="10" customWidth="1"/>
    <col min="6" max="16384" width="9.140625" style="10"/>
  </cols>
  <sheetData>
    <row r="1" spans="1:5" ht="36" customHeight="1">
      <c r="A1" s="281" t="str">
        <f>""&amp;malumot!B155&amp;"
mikromoliya tashkilotining Xulosasi"</f>
        <v>«CLEVER MIKROMOLIYA TASHKILOTI» MChJ
mikromoliya tashkilotining Xulosasi</v>
      </c>
      <c r="B1" s="281"/>
      <c r="C1" s="281"/>
      <c r="D1" s="281"/>
      <c r="E1" s="281"/>
    </row>
    <row r="2" spans="1:5">
      <c r="A2" s="280"/>
      <c r="B2" s="280"/>
      <c r="C2" s="280"/>
      <c r="D2" s="280"/>
      <c r="E2" s="280"/>
    </row>
    <row r="3" spans="1:5">
      <c r="A3" s="281" t="s">
        <v>202</v>
      </c>
      <c r="B3" s="281"/>
      <c r="C3" s="281"/>
      <c r="D3" s="281"/>
      <c r="E3" s="281"/>
    </row>
    <row r="4" spans="1:5" ht="19.5" customHeight="1">
      <c r="A4" s="280" t="str">
        <f>"Mijozning to'liq ismi sharifi: "&amp;malumot!B5&amp;""</f>
        <v>Mijozning to'liq ismi sharifi: XAYATOV OTABEK KURBANOVICH</v>
      </c>
      <c r="B4" s="280"/>
      <c r="C4" s="280"/>
      <c r="D4" s="280"/>
      <c r="E4" s="280"/>
    </row>
    <row r="5" spans="1:5">
      <c r="A5" s="280" t="str">
        <f>"Tug'ilgan sanasi: "&amp;malumot!B15&amp;""</f>
        <v>Tug'ilgan sanasi: 22.08.1982 y</v>
      </c>
      <c r="B5" s="280"/>
      <c r="C5" s="280"/>
      <c r="D5" s="280"/>
      <c r="E5" s="280"/>
    </row>
    <row r="6" spans="1:5" ht="31.5" customHeight="1">
      <c r="A6" s="280" t="str">
        <f>"Pasport seriyasi "&amp;malumot!B16&amp;" "&amp;malumot!B20&amp;", amal qilish muddati - "&amp;malumot!B21&amp;""</f>
        <v>Pasport seriyasi AB 7858443 BUXORO VILOYATI KOGON TUMAN IIB tomonidan 06.10.2017 yilda berilgan, amal qilish muddati - 05.10.2027 y.</v>
      </c>
      <c r="B6" s="280"/>
      <c r="C6" s="280"/>
      <c r="D6" s="280"/>
      <c r="E6" s="280"/>
    </row>
    <row r="7" spans="1:5" ht="39.75" customHeight="1">
      <c r="A7" s="280" t="str">
        <f>"Ro‘yxatdan o‘tgan manzili: "&amp;malumot!B28&amp;", mo'ljal: "&amp;malumot!B26&amp;""</f>
        <v>Ro‘yxatdan o‘tgan manzili: BUXORO VILOYATI KOGON TUMANI NIYOZ HOJI QISHLOG'I, mo'ljal: 25-MAKTAB, 3-BOG'CHA, XOKIMIYAT</v>
      </c>
      <c r="B7" s="280"/>
      <c r="C7" s="280"/>
      <c r="D7" s="280"/>
      <c r="E7" s="280"/>
    </row>
    <row r="8" spans="1:5" ht="26.25" customHeight="1">
      <c r="A8" s="280" t="str">
        <f>"Ish joyi: "&amp;malumot!B52&amp;" lavozimi "&amp;malumot!B49&amp;"da "&amp;malumot!B44&amp;""</f>
        <v>Ish joyi:  lavozimi Yakka tartibdagi tadbirkorda Yakka tartibdagi tadbirkor</v>
      </c>
      <c r="B8" s="280"/>
      <c r="C8" s="280"/>
      <c r="D8" s="280"/>
      <c r="E8" s="280"/>
    </row>
    <row r="9" spans="1:5">
      <c r="A9" s="280"/>
      <c r="B9" s="280"/>
      <c r="C9" s="280"/>
      <c r="D9" s="280"/>
      <c r="E9" s="280"/>
    </row>
    <row r="10" spans="1:5">
      <c r="A10" s="281" t="str">
        <f>"Mijoz tomonidan so’ralgan "&amp;malumot!B65&amp;" shartlari:"</f>
        <v>Mijoz tomonidan so’ralgan mikroqarz shartlari:</v>
      </c>
      <c r="B10" s="281"/>
      <c r="C10" s="281"/>
      <c r="D10" s="281"/>
      <c r="E10" s="281"/>
    </row>
    <row r="11" spans="1:5">
      <c r="A11" s="280" t="str">
        <f>kredit_ariza!A13:D13</f>
        <v>Mikroqarz summasi: 26 000 000,00 (yigirma olti million so'm) so'm.</v>
      </c>
      <c r="B11" s="280"/>
      <c r="C11" s="280"/>
      <c r="D11" s="280"/>
      <c r="E11" s="280"/>
    </row>
    <row r="12" spans="1:5">
      <c r="A12" s="280" t="str">
        <f>kredit_ariza!A14:D14</f>
        <v>Mikroqarz muddati: 32 (o'ttiz ikki) oy.</v>
      </c>
      <c r="B12" s="280"/>
      <c r="C12" s="280"/>
      <c r="D12" s="280"/>
      <c r="E12" s="280"/>
    </row>
    <row r="13" spans="1:5">
      <c r="A13" s="280" t="str">
        <f>kredit_ariza!A15:D15</f>
        <v>Mikroqarzdan foydalanganlik uchun foiz stavkasi: yillik  60% (Oltmish) foiz</v>
      </c>
      <c r="B13" s="280"/>
      <c r="C13" s="280"/>
      <c r="D13" s="280"/>
      <c r="E13" s="280"/>
    </row>
    <row r="14" spans="1:5">
      <c r="A14" s="280" t="str">
        <f>kredit_ariza!A16:D16</f>
        <v>Mikroqarz bo'yicha asosiy qarz va foizlarni to'lash:</v>
      </c>
      <c r="B14" s="280"/>
      <c r="C14" s="280"/>
      <c r="D14" s="280"/>
      <c r="E14" s="280"/>
    </row>
    <row r="15" spans="1:5" ht="18.75" customHeight="1">
      <c r="A15" s="280" t="str">
        <f>kredit_ariza!A19:D19</f>
        <v xml:space="preserve"> - mikroqarz shartnomasi bo'yicha har oy differensial to'lovlari amalga oshiriladi</v>
      </c>
      <c r="B15" s="280"/>
      <c r="C15" s="280"/>
      <c r="D15" s="280"/>
      <c r="E15" s="280"/>
    </row>
    <row r="16" spans="1:5" ht="14.25" customHeight="1">
      <c r="A16" s="279" t="str">
        <f>kredit_ariza!A20:D20</f>
        <v xml:space="preserve">   </v>
      </c>
      <c r="B16" s="279"/>
      <c r="C16" s="279"/>
      <c r="D16" s="279"/>
      <c r="E16" s="279"/>
    </row>
    <row r="17" spans="1:5">
      <c r="A17" s="280" t="str">
        <f>kredit_ariza!A21:D21</f>
        <v>Mikroqarz ta’minoti::</v>
      </c>
      <c r="B17" s="280"/>
      <c r="C17" s="280"/>
      <c r="D17" s="280"/>
      <c r="E17" s="280"/>
    </row>
    <row r="18" spans="1:5" ht="83.25" customHeight="1">
      <c r="A18" s="280" t="str">
        <f>kredit_ariza!A22:D22</f>
        <v xml:space="preserve">  Egalik huquqi FAYZIYEV JAMSHID KURBONOVICHga tegishli bo'lgan garovga olingan avtomobil markasi   SPARK, rangi -  OQ BELAYA "KASABLANKA", ishlab chiqarilgan yili - 2011, davlat raqam belgisi 80Y320AB, kuzov turi - YENGIL SEDAN, kuzov raqami XWBMF481EBA580791, dvigatel raqami B10D1606437KC3, shassi raqami - RAKAMSIZ</v>
      </c>
      <c r="B18" s="280"/>
      <c r="C18" s="280"/>
      <c r="D18" s="280"/>
      <c r="E18" s="280"/>
    </row>
    <row r="19" spans="1:5">
      <c r="A19" s="281" t="s">
        <v>203</v>
      </c>
      <c r="B19" s="281"/>
      <c r="C19" s="281"/>
      <c r="D19" s="281"/>
      <c r="E19" s="281"/>
    </row>
    <row r="20" spans="1:5" ht="21" customHeight="1">
      <c r="A20" s="280" t="str">
        <f>"Anketaga muvofiq "&amp;malumot!B9&amp;"ning o‘rtacha oylik daromadi  "&amp;FIXED(malumot!B60)&amp;" so‘mni tashkil etdi."</f>
        <v>Anketaga muvofiq XAYATOV O.K.ning o‘rtacha oylik daromadi  10 000 000,00 so‘mni tashkil etdi.</v>
      </c>
      <c r="B20" s="280"/>
      <c r="C20" s="280"/>
      <c r="D20" s="280"/>
      <c r="E20" s="280"/>
    </row>
    <row r="21" spans="1:5" ht="27" customHeight="1">
      <c r="A21" s="280" t="str">
        <f>"Mijozning o'rtacha oylik xarajatlari "&amp;FIXED(mijoz_anketasi!F27)&amp;" so'mni tashkil etdi"</f>
        <v>Mijozning o'rtacha oylik xarajatlari 1 650 000,00 so'mni tashkil etdi</v>
      </c>
      <c r="B21" s="280"/>
      <c r="C21" s="280"/>
      <c r="D21" s="280"/>
      <c r="E21" s="280"/>
    </row>
    <row r="22" spans="1:5" ht="24.75" customHeight="1">
      <c r="A22" s="280" t="str">
        <f>IF(malumot!B77=malumot!C77,xulosa!A23:E23,xulosa!A24:E24)</f>
        <v>Mikroqarz shartnomasi bo'yicha birinchi oy uchun to'lov 2 137 431,52 so'mni tashkil etadi.</v>
      </c>
      <c r="B22" s="280"/>
      <c r="C22" s="280"/>
      <c r="D22" s="280"/>
      <c r="E22" s="280"/>
    </row>
    <row r="23" spans="1:5" ht="19.5" hidden="1" customHeight="1">
      <c r="A23" s="280" t="str">
        <f>""&amp;malumot!C64&amp;" shartnomasi bo'yicha birinchi oy uchun to'lov "&amp;FIXED(malumot!B90)&amp;" so'mni tashkil etadi."</f>
        <v>Mikroqarz shartnomasi bo'yicha birinchi oy uchun to'lov 2 137 431,52 so'mni tashkil etadi.</v>
      </c>
      <c r="B23" s="280"/>
      <c r="C23" s="280"/>
      <c r="D23" s="280"/>
      <c r="E23" s="280"/>
    </row>
    <row r="24" spans="1:5" ht="19.5" hidden="1" customHeight="1">
      <c r="A24" s="280" t="str">
        <f>""&amp;malumot!C64&amp;" bo‘yicha oylik "&amp;malumot!B77&amp;" to‘lovi miqdori "&amp;FIXED(malumot!B90)&amp;" so‘mni tashkil etadi."</f>
        <v>Mikroqarz bo‘yicha oylik differensial to‘lovi miqdori 2 137 431,52 so‘mni tashkil etadi.</v>
      </c>
      <c r="B24" s="280"/>
      <c r="C24" s="280"/>
      <c r="D24" s="280"/>
      <c r="E24" s="280"/>
    </row>
    <row r="25" spans="1:5" ht="56.25" customHeight="1">
      <c r="A25" s="279" t="s">
        <v>452</v>
      </c>
      <c r="B25" s="279"/>
      <c r="C25" s="279"/>
      <c r="D25" s="279"/>
      <c r="E25" s="279"/>
    </row>
    <row r="26" spans="1:5">
      <c r="A26" s="281" t="str">
        <f>""&amp;malumot!C64&amp;" bo’yicha ta’minot:"</f>
        <v>Mikroqarz bo’yicha ta’minot:</v>
      </c>
      <c r="B26" s="281"/>
      <c r="C26" s="281"/>
      <c r="D26" s="281"/>
      <c r="E26" s="281"/>
    </row>
    <row r="27" spans="1:5" ht="31.5" hidden="1" customHeight="1">
      <c r="A27" s="280" t="str">
        <f>" - "&amp;malumot!B125&amp;" ga mulk huquqi asosida tegishli avtotransport vositasi "&amp;malumot!B133&amp;" , quyidagi tafsilotlarga muvofiq:"</f>
        <v xml:space="preserve"> - FAYZIYEV JAMSHID KURBONOVICH ga mulk huquqi asosida tegishli avtotransport vositasi SPARK , quyidagi tafsilotlarga muvofiq:</v>
      </c>
      <c r="B27" s="280"/>
      <c r="C27" s="280"/>
      <c r="D27" s="280"/>
      <c r="E27" s="280"/>
    </row>
    <row r="28" spans="1:5" ht="67.5" hidden="1" customHeight="1">
      <c r="A28" s="280" t="str">
        <f>" -   "&amp;malumot!C125&amp;" ga mulk huquqi asosida tegishli ko'chmas mulk shaklida "&amp;malumot!C134&amp;", manzili: "&amp;malumot!C131&amp;", quyidagi tafsilotlarga muvofiq:"</f>
        <v xml:space="preserve"> -   0 ga mulk huquqi asosida tegishli ko'chmas mulk shaklida 3 - xonali yakka tartibdagi uy-joy, manzili: SAMARQAND VILOYATI TAYLOQ TUMANI CHAROG'BON MFY YANGI TAYLOQ QISHLOG'I 6 TURAR JOY 12 QAVAT 58 XONADON, quyidagi tafsilotlarga muvofiq:</v>
      </c>
      <c r="B28" s="280"/>
      <c r="C28" s="280"/>
      <c r="D28" s="280"/>
      <c r="E28" s="280"/>
    </row>
    <row r="29" spans="1:5" ht="44.25" customHeight="1">
      <c r="A29" s="280" t="str">
        <f>IF(malumot!B111="Avtotransport",xulosa!A27:E27,xulosa!A28:E28)</f>
        <v xml:space="preserve"> - FAYZIYEV JAMSHID KURBONOVICH ga mulk huquqi asosida tegishli avtotransport vositasi SPARK , quyidagi tafsilotlarga muvofiq:</v>
      </c>
      <c r="B29" s="280"/>
      <c r="C29" s="280"/>
      <c r="D29" s="280"/>
      <c r="E29" s="280"/>
    </row>
    <row r="30" spans="1:5" s="11" customFormat="1" ht="47.25" customHeight="1" outlineLevel="1">
      <c r="A30" s="33" t="str">
        <f>dalolatnoma!A29</f>
        <v>Nomi</v>
      </c>
      <c r="B30" s="33" t="str">
        <f>dalolatnoma!B29</f>
        <v>Kuzov turi  va kuzov raqami*</v>
      </c>
      <c r="C30" s="33" t="str">
        <f>dalolatnoma!C29</f>
        <v>Dvigatel va shassi raqami*</v>
      </c>
      <c r="D30" s="33" t="str">
        <f>dalolatnoma!D29</f>
        <v>Ishlab chiqarilgan yili va rangi*</v>
      </c>
      <c r="E30" s="33" t="str">
        <f>dalolatnoma!E29</f>
        <v>Kelishilgan garov qiymati, so'm</v>
      </c>
    </row>
    <row r="31" spans="1:5" s="15" customFormat="1" ht="92.25" customHeight="1" outlineLevel="1">
      <c r="A31" s="12" t="str">
        <f>dalolatnoma!A30</f>
        <v>SPARK</v>
      </c>
      <c r="B31" s="12" t="str">
        <f>dalolatnoma!B30</f>
        <v>kuzov turi - YENGIL SEDAN, kuzov raqami XWBMF481EBA580791</v>
      </c>
      <c r="C31" s="12" t="str">
        <f>dalolatnoma!C30</f>
        <v>dvigatel raqami B10D1606437KC3, shassi raqami - RAKAMSIZ</v>
      </c>
      <c r="D31" s="12" t="str">
        <f>dalolatnoma!D30</f>
        <v>rangi -  OQ BELAYA "KASABLANKA", ishlab chiqarilgan yili - 2011</v>
      </c>
      <c r="E31" s="12" t="str">
        <f>dalolatnoma!E30</f>
        <v>39 000 000,00 
(o'ttiz to'qqiz million so'm)</v>
      </c>
    </row>
    <row r="32" spans="1:5" ht="17.25" customHeight="1" outlineLevel="1">
      <c r="A32" s="280" t="str">
        <f>dalolatnoma!A22</f>
        <v>-* avtotransport egasi: FAYZIYEV JAMSHID KURBONOVICH</v>
      </c>
      <c r="B32" s="280"/>
      <c r="C32" s="280"/>
      <c r="D32" s="280"/>
      <c r="E32" s="280"/>
    </row>
    <row r="33" spans="1:5" ht="15" customHeight="1" outlineLevel="1">
      <c r="A33" s="280" t="str">
        <f>dalolatnoma!A23</f>
        <v>-* texnik pasport: AAG   4517617  20.08.2024y</v>
      </c>
      <c r="B33" s="280"/>
      <c r="C33" s="280"/>
      <c r="D33" s="280"/>
      <c r="E33" s="280"/>
    </row>
    <row r="34" spans="1:5" ht="33" customHeight="1" outlineLevel="1">
      <c r="A34" s="280" t="str">
        <f>dalolatnoma!A24</f>
        <v>-* roʻyxatdan oʻtgan manzili/garaj manzili: BUXORO VILOYATI BUXORO TUMANI XONOBOD MFY XONOBOD QISHLOG'I</v>
      </c>
      <c r="B34" s="280"/>
      <c r="C34" s="280"/>
      <c r="D34" s="280"/>
      <c r="E34" s="280"/>
    </row>
    <row r="35" spans="1:5" ht="15" customHeight="1" outlineLevel="1">
      <c r="A35" s="280" t="str">
        <f>dalolatnoma!A25</f>
        <v>-* davlat raqami: 80Y320AB</v>
      </c>
      <c r="B35" s="280"/>
      <c r="C35" s="280"/>
      <c r="D35" s="280"/>
      <c r="E35" s="280"/>
    </row>
    <row r="36" spans="1:5" ht="9" customHeight="1">
      <c r="A36" s="280"/>
      <c r="B36" s="280"/>
      <c r="C36" s="280"/>
      <c r="D36" s="280"/>
      <c r="E36" s="280"/>
    </row>
    <row r="37" spans="1:5" ht="39" customHeight="1">
      <c r="A37" s="281" t="str">
        <f>""&amp;malumot!B155&amp;"
mikromoliya tashkilotining Xulosasi"</f>
        <v>«CLEVER MIKROMOLIYA TASHKILOTI» MChJ
mikromoliya tashkilotining Xulosasi</v>
      </c>
      <c r="B37" s="281"/>
      <c r="C37" s="281"/>
      <c r="D37" s="281"/>
      <c r="E37" s="281"/>
    </row>
    <row r="38" spans="1:5" ht="48" customHeight="1">
      <c r="A38" s="280" t="str">
        <f>""&amp;malumot!B155&amp;" kredit qo‘mitasining xulosasiga quyidagi shartlarda "&amp;malumot!B10&amp;"ga "&amp;malumot!B65&amp;" berish masalasi kiritiladi:"</f>
        <v>«CLEVER MIKROMOLIYA TASHKILOTI» MChJ kredit qo‘mitasining xulosasiga quyidagi shartlarda XAYATOV OTABEK KURBANOVICHga mikroqarz berish masalasi kiritiladi:</v>
      </c>
      <c r="B38" s="280"/>
      <c r="C38" s="280"/>
      <c r="D38" s="280"/>
      <c r="E38" s="280"/>
    </row>
    <row r="39" spans="1:5">
      <c r="A39" s="280" t="str">
        <f>A11</f>
        <v>Mikroqarz summasi: 26 000 000,00 (yigirma olti million so'm) so'm.</v>
      </c>
      <c r="B39" s="280"/>
      <c r="C39" s="280"/>
      <c r="D39" s="280"/>
      <c r="E39" s="280"/>
    </row>
    <row r="40" spans="1:5">
      <c r="A40" s="280" t="str">
        <f t="shared" ref="A40:A46" si="0">A12</f>
        <v>Mikroqarz muddati: 32 (o'ttiz ikki) oy.</v>
      </c>
      <c r="B40" s="280"/>
      <c r="C40" s="280"/>
      <c r="D40" s="280"/>
      <c r="E40" s="280"/>
    </row>
    <row r="41" spans="1:5">
      <c r="A41" s="280" t="str">
        <f t="shared" si="0"/>
        <v>Mikroqarzdan foydalanganlik uchun foiz stavkasi: yillik  60% (Oltmish) foiz</v>
      </c>
      <c r="B41" s="280"/>
      <c r="C41" s="280"/>
      <c r="D41" s="280"/>
      <c r="E41" s="280"/>
    </row>
    <row r="42" spans="1:5">
      <c r="A42" s="280" t="str">
        <f t="shared" si="0"/>
        <v>Mikroqarz bo'yicha asosiy qarz va foizlarni to'lash:</v>
      </c>
      <c r="B42" s="280"/>
      <c r="C42" s="280"/>
      <c r="D42" s="280"/>
      <c r="E42" s="280"/>
    </row>
    <row r="43" spans="1:5" ht="20.25" customHeight="1">
      <c r="A43" s="280" t="str">
        <f t="shared" si="0"/>
        <v xml:space="preserve"> - mikroqarz shartnomasi bo'yicha har oy differensial to'lovlari amalga oshiriladi</v>
      </c>
      <c r="B43" s="280"/>
      <c r="C43" s="280"/>
      <c r="D43" s="280"/>
      <c r="E43" s="280"/>
    </row>
    <row r="44" spans="1:5" ht="26.25" customHeight="1">
      <c r="A44" s="280" t="str">
        <f t="shared" si="0"/>
        <v xml:space="preserve">   </v>
      </c>
      <c r="B44" s="280"/>
      <c r="C44" s="280"/>
      <c r="D44" s="280"/>
      <c r="E44" s="280"/>
    </row>
    <row r="45" spans="1:5">
      <c r="A45" s="280" t="str">
        <f t="shared" si="0"/>
        <v>Mikroqarz ta’minoti::</v>
      </c>
      <c r="B45" s="280"/>
      <c r="C45" s="280"/>
      <c r="D45" s="280"/>
      <c r="E45" s="280"/>
    </row>
    <row r="46" spans="1:5" ht="72" customHeight="1">
      <c r="A46" s="280" t="str">
        <f t="shared" si="0"/>
        <v xml:space="preserve">  Egalik huquqi FAYZIYEV JAMSHID KURBONOVICHga tegishli bo'lgan garovga olingan avtomobil markasi   SPARK, rangi -  OQ BELAYA "KASABLANKA", ishlab chiqarilgan yili - 2011, davlat raqam belgisi 80Y320AB, kuzov turi - YENGIL SEDAN, kuzov raqami XWBMF481EBA580791, dvigatel raqami B10D1606437KC3, shassi raqami - RAKAMSIZ</v>
      </c>
      <c r="B46" s="280"/>
      <c r="C46" s="280"/>
      <c r="D46" s="280"/>
      <c r="E46" s="280"/>
    </row>
    <row r="47" spans="1:5">
      <c r="A47" s="280"/>
      <c r="B47" s="280"/>
      <c r="C47" s="280"/>
      <c r="D47" s="280"/>
      <c r="E47" s="280"/>
    </row>
    <row r="48" spans="1:5" ht="36.75" customHeight="1">
      <c r="A48" s="280" t="str">
        <f>""&amp;malumot!B155&amp;" mikromoliya tashkilotining xulosasi  "&amp;TEXT(malumot!B2,"ДД.ММ.ГГГГ")&amp;" y. tayyorlangan"</f>
        <v>«CLEVER MIKROMOLIYA TASHKILOTI» MChJ mikromoliya tashkilotining xulosasi  01.04.2025 y. tayyorlangan</v>
      </c>
      <c r="B48" s="280"/>
      <c r="C48" s="280"/>
      <c r="D48" s="280"/>
      <c r="E48" s="280"/>
    </row>
    <row r="49" spans="1:5">
      <c r="A49" s="115"/>
      <c r="B49" s="181"/>
      <c r="C49" s="181"/>
      <c r="D49" s="115"/>
      <c r="E49" s="18"/>
    </row>
    <row r="50" spans="1:5">
      <c r="A50" s="280"/>
      <c r="B50" s="280"/>
      <c r="C50" s="280"/>
      <c r="D50" s="280"/>
      <c r="E50" s="280"/>
    </row>
    <row r="51" spans="1:5" ht="47.25" customHeight="1">
      <c r="A51" s="280" t="str">
        <f>""&amp;malumot!B155&amp;" mikromoliya tashkilotining Kredit qo‘mitasi a’zolari "&amp;malumot!B155&amp;"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80"/>
      <c r="C51" s="280"/>
      <c r="D51" s="280"/>
      <c r="E51" s="280"/>
    </row>
    <row r="52" spans="1:5">
      <c r="A52" s="14"/>
      <c r="B52" s="14"/>
      <c r="C52" s="14"/>
      <c r="D52" s="14"/>
      <c r="E52" s="14"/>
    </row>
    <row r="53" spans="1:5">
      <c r="A53" s="14" t="s">
        <v>394</v>
      </c>
      <c r="B53" s="313"/>
      <c r="C53" s="313"/>
      <c r="D53" s="313"/>
      <c r="E53" s="14"/>
    </row>
    <row r="54" spans="1:5">
      <c r="A54" s="14"/>
      <c r="B54" s="213"/>
      <c r="C54" s="213"/>
      <c r="D54" s="213"/>
      <c r="E54" s="14"/>
    </row>
    <row r="55" spans="1:5" ht="29.25">
      <c r="A55" s="183" t="str">
        <f>malumot!A158</f>
        <v>Buxoro filiali boshlig'i</v>
      </c>
      <c r="B55" s="185"/>
      <c r="C55" s="31"/>
      <c r="D55" s="183" t="str">
        <f>malumot!B158</f>
        <v>A.Xudayberdiyev</v>
      </c>
      <c r="E55" s="183"/>
    </row>
    <row r="56" spans="1:5">
      <c r="A56" s="183"/>
      <c r="B56" s="185"/>
      <c r="C56" s="31"/>
      <c r="D56" s="183"/>
      <c r="E56" s="183"/>
    </row>
    <row r="57" spans="1:5">
      <c r="A57" s="183"/>
      <c r="B57" s="185"/>
      <c r="C57" s="31"/>
      <c r="D57" s="183"/>
      <c r="E57" s="183"/>
    </row>
    <row r="58" spans="1:5">
      <c r="A58" s="183"/>
      <c r="B58" s="185"/>
      <c r="C58" s="31"/>
      <c r="D58" s="183"/>
      <c r="E58" s="183"/>
    </row>
    <row r="59" spans="1:5" ht="30" customHeight="1">
      <c r="A59" s="183" t="str">
        <f>malumot!A167</f>
        <v>Kreditlash bo’limi boshlig’i</v>
      </c>
      <c r="B59" s="114"/>
      <c r="C59" s="196"/>
      <c r="D59" s="115" t="str">
        <f>malumot!B167</f>
        <v>B. Mominov</v>
      </c>
      <c r="E59" s="17"/>
    </row>
    <row r="60" spans="1:5">
      <c r="A60" s="183"/>
      <c r="B60" s="114"/>
      <c r="C60" s="196"/>
      <c r="D60" s="115"/>
      <c r="E60" s="17"/>
    </row>
    <row r="61" spans="1:5">
      <c r="A61" s="183"/>
      <c r="B61" s="17"/>
      <c r="C61" s="196"/>
      <c r="D61" s="115"/>
      <c r="E61" s="17"/>
    </row>
    <row r="62" spans="1:5">
      <c r="A62" s="183"/>
      <c r="B62" s="182"/>
      <c r="C62" s="31"/>
      <c r="D62" s="183"/>
      <c r="E62" s="17"/>
    </row>
    <row r="63" spans="1:5" ht="29.25">
      <c r="A63" s="183" t="str">
        <f>malumot!A168</f>
        <v>Monitoring bo’limi boshlig’i</v>
      </c>
      <c r="D63" s="31" t="str">
        <f>malumot!B168</f>
        <v>J.Karimov</v>
      </c>
    </row>
    <row r="64" spans="1:5">
      <c r="A64" s="183"/>
      <c r="D64" s="31"/>
    </row>
    <row r="65" spans="1:4">
      <c r="A65" s="183"/>
      <c r="D65" s="31"/>
    </row>
    <row r="66" spans="1:4" ht="35.25" customHeight="1">
      <c r="A66" s="183"/>
      <c r="D66" s="31"/>
    </row>
    <row r="67" spans="1:4">
      <c r="A67" s="115" t="s">
        <v>410</v>
      </c>
      <c r="D67" s="31" t="s">
        <v>393</v>
      </c>
    </row>
  </sheetData>
  <mergeCells count="49">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37:E37"/>
    <mergeCell ref="B53:D53"/>
    <mergeCell ref="A51:E51"/>
    <mergeCell ref="A38:E38"/>
    <mergeCell ref="A39:E39"/>
    <mergeCell ref="A40:E40"/>
    <mergeCell ref="A41:E41"/>
    <mergeCell ref="A42:E42"/>
    <mergeCell ref="A43:E43"/>
    <mergeCell ref="A44:E44"/>
    <mergeCell ref="A45:E45"/>
    <mergeCell ref="A46:E46"/>
    <mergeCell ref="A47:E47"/>
    <mergeCell ref="A48:E48"/>
    <mergeCell ref="A50:E50"/>
  </mergeCells>
  <pageMargins left="0.7" right="0.7" top="0.75" bottom="0.75" header="0.3" footer="0.3"/>
  <pageSetup paperSize="9" scale="84" orientation="portrait" r:id="rId1"/>
  <rowBreaks count="1" manualBreakCount="1">
    <brk id="3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2">
    <tabColor rgb="FF00B050"/>
  </sheetPr>
  <dimension ref="A1:P65"/>
  <sheetViews>
    <sheetView view="pageBreakPreview" topLeftCell="A22" zoomScaleNormal="100" zoomScaleSheetLayoutView="100" workbookViewId="0">
      <selection activeCell="A44" sqref="A41:XFD44"/>
    </sheetView>
  </sheetViews>
  <sheetFormatPr defaultColWidth="9.140625" defaultRowHeight="15" outlineLevelCol="1"/>
  <cols>
    <col min="1" max="1" width="9.140625" style="10"/>
    <col min="2" max="2" width="13.7109375" style="10" customWidth="1"/>
    <col min="3" max="3" width="20.140625" style="10" customWidth="1"/>
    <col min="4" max="4" width="20.28515625" style="10" customWidth="1"/>
    <col min="5" max="5" width="19.5703125" style="10" customWidth="1"/>
    <col min="6" max="6" width="18.28515625" style="10" customWidth="1"/>
    <col min="7" max="7" width="10.140625" style="10" customWidth="1" outlineLevel="1"/>
    <col min="8" max="8" width="19.7109375" style="10" customWidth="1"/>
    <col min="9" max="10" width="9.140625" style="10" customWidth="1"/>
    <col min="11" max="16384" width="9.140625" style="10"/>
  </cols>
  <sheetData>
    <row r="1" spans="1:16" ht="9" customHeight="1"/>
    <row r="2" spans="1:16" ht="6" customHeight="1">
      <c r="A2" s="31"/>
      <c r="B2" s="31"/>
      <c r="C2" s="31"/>
      <c r="D2" s="31"/>
      <c r="E2" s="301"/>
      <c r="F2" s="301"/>
      <c r="G2" s="15"/>
    </row>
    <row r="3" spans="1:16" ht="77.25" customHeight="1">
      <c r="A3" s="31"/>
      <c r="B3" s="31"/>
      <c r="C3" s="31"/>
      <c r="D3" s="31"/>
      <c r="E3" s="314" t="str">
        <f>""&amp;malumot!B74&amp;" 
"&amp;malumot!B65&amp;" shartnomasiga 
1 sonli ilova"</f>
        <v>1 aprel 2025 y.dan № 687-BR 
mikroqarz shartnomasiga 
1 sonli ilova</v>
      </c>
      <c r="F3" s="314"/>
      <c r="G3" s="15"/>
    </row>
    <row r="4" spans="1:16" ht="6.75" customHeight="1">
      <c r="A4" s="31"/>
      <c r="B4" s="31"/>
      <c r="C4" s="31"/>
      <c r="D4" s="31"/>
      <c r="E4" s="31"/>
      <c r="F4" s="31"/>
    </row>
    <row r="5" spans="1:16">
      <c r="A5" s="302" t="s">
        <v>262</v>
      </c>
      <c r="B5" s="302"/>
      <c r="C5" s="302"/>
      <c r="D5" s="302"/>
      <c r="E5" s="302"/>
      <c r="F5" s="302"/>
    </row>
    <row r="6" spans="1:16" ht="7.5" customHeight="1"/>
    <row r="7" spans="1:16" ht="15" customHeight="1">
      <c r="A7" s="303" t="s">
        <v>14</v>
      </c>
      <c r="B7" s="304" t="s">
        <v>263</v>
      </c>
      <c r="C7" s="304" t="s">
        <v>264</v>
      </c>
      <c r="D7" s="305" t="s">
        <v>265</v>
      </c>
      <c r="E7" s="305"/>
      <c r="F7" s="305"/>
    </row>
    <row r="8" spans="1:16" s="11" customFormat="1">
      <c r="A8" s="303"/>
      <c r="B8" s="304"/>
      <c r="C8" s="304"/>
      <c r="D8" s="12" t="s">
        <v>266</v>
      </c>
      <c r="E8" s="12" t="s">
        <v>267</v>
      </c>
      <c r="F8" s="12" t="s">
        <v>268</v>
      </c>
    </row>
    <row r="9" spans="1:16">
      <c r="A9" s="13">
        <v>1</v>
      </c>
      <c r="B9" s="27">
        <f>'График аннуитет.'!B8</f>
        <v>45778</v>
      </c>
      <c r="C9" s="28">
        <f>IF(malumot!$B$77=malumot!$C$77,'График дифференц'!C8,IF(malumot!$B$77=malumot!$D$77,'График аннуитет.'!C8))</f>
        <v>26000000</v>
      </c>
      <c r="D9" s="28">
        <f>IF(malumot!$B$77=malumot!$C$77,'График дифференц'!D8,IF(malumot!$B$77=malumot!$D$77,'График аннуитет.'!D8))</f>
        <v>812500</v>
      </c>
      <c r="E9" s="28">
        <f>IF(malumot!$B$77=malumot!$C$77,'График дифференц'!E8,IF(malumot!$B$77=malumot!$D$77,'График аннуитет.'!E8))</f>
        <v>1282191.9000000001</v>
      </c>
      <c r="F9" s="28">
        <f>IF(malumot!$B$77=malumot!$C$77,'График дифференц'!F8,IF(malumot!$B$77=malumot!$D$77,'График аннуитет.'!F8))</f>
        <v>2094691.9000000001</v>
      </c>
    </row>
    <row r="10" spans="1:16">
      <c r="A10" s="13">
        <v>2</v>
      </c>
      <c r="B10" s="27">
        <f>'График аннуитет.'!B9</f>
        <v>45810</v>
      </c>
      <c r="C10" s="28">
        <f>IF(malumot!$B$77=malumot!$C$77,'График дифференц'!C9,IF(malumot!$B$77=malumot!$D$77,'График аннуитет.'!C9))</f>
        <v>25187500</v>
      </c>
      <c r="D10" s="28">
        <f>IF(malumot!$B$77=malumot!$C$77,'График дифференц'!D9,IF(malumot!$B$77=malumot!$D$77,'График аннуитет.'!D9))</f>
        <v>812500</v>
      </c>
      <c r="E10" s="28">
        <f>IF(malumot!$B$77=malumot!$C$77,'График дифференц'!E9,IF(malumot!$B$77=malumot!$D$77,'График аннуитет.'!E9))</f>
        <v>1324931.52</v>
      </c>
      <c r="F10" s="28">
        <f>IF(malumot!$B$77=malumot!$C$77,'График дифференц'!F9,IF(malumot!$B$77=malumot!$D$77,'График аннуитет.'!F9))</f>
        <v>2137431.52</v>
      </c>
    </row>
    <row r="11" spans="1:16">
      <c r="A11" s="13">
        <v>3</v>
      </c>
      <c r="B11" s="27">
        <f>'График аннуитет.'!B10</f>
        <v>45839</v>
      </c>
      <c r="C11" s="28">
        <f>IF(malumot!$B$77=malumot!$C$77,'График дифференц'!C10,IF(malumot!$B$77=malumot!$D$77,'График аннуитет.'!C10))</f>
        <v>24375000</v>
      </c>
      <c r="D11" s="28">
        <f>IF(malumot!$B$77=malumot!$C$77,'График дифференц'!D10,IF(malumot!$B$77=malumot!$D$77,'График аннуитет.'!D10))</f>
        <v>812500</v>
      </c>
      <c r="E11" s="28">
        <f>IF(malumot!$B$77=malumot!$C$77,'График дифференц'!E10,IF(malumot!$B$77=malumot!$D$77,'График аннуитет.'!E10))</f>
        <v>1161986.21</v>
      </c>
      <c r="F11" s="28">
        <f>IF(malumot!$B$77=malumot!$C$77,'График дифференц'!F10,IF(malumot!$B$77=malumot!$D$77,'График аннуитет.'!F10))</f>
        <v>1974486.21</v>
      </c>
    </row>
    <row r="12" spans="1:16">
      <c r="A12" s="13">
        <v>4</v>
      </c>
      <c r="B12" s="27">
        <f>'График аннуитет.'!B11</f>
        <v>45870</v>
      </c>
      <c r="C12" s="28">
        <f>IF(malumot!$B$77=malumot!$C$77,'График дифференц'!C11,IF(malumot!$B$77=malumot!$D$77,'График аннуитет.'!C11))</f>
        <v>23562500</v>
      </c>
      <c r="D12" s="28">
        <f>IF(malumot!$B$77=malumot!$C$77,'График дифференц'!D11,IF(malumot!$B$77=malumot!$D$77,'График аннуитет.'!D11))</f>
        <v>812500</v>
      </c>
      <c r="E12" s="28">
        <f>IF(malumot!$B$77=malumot!$C$77,'График дифференц'!E11,IF(malumot!$B$77=malumot!$D$77,'График аннуитет.'!E11))</f>
        <v>1200719.28</v>
      </c>
      <c r="F12" s="28">
        <f>IF(malumot!$B$77=malumot!$C$77,'График дифференц'!F11,IF(malumot!$B$77=malumot!$D$77,'График аннуитет.'!F11))</f>
        <v>2013219.28</v>
      </c>
      <c r="H12" s="316" t="s">
        <v>371</v>
      </c>
      <c r="I12" s="316"/>
      <c r="J12" s="316"/>
      <c r="K12" s="316"/>
      <c r="L12" s="316"/>
      <c r="M12" s="316"/>
      <c r="N12" s="316"/>
      <c r="O12" s="316"/>
      <c r="P12" s="316"/>
    </row>
    <row r="13" spans="1:16">
      <c r="A13" s="13">
        <v>5</v>
      </c>
      <c r="B13" s="27">
        <f>'График аннуитет.'!B12</f>
        <v>45901</v>
      </c>
      <c r="C13" s="28">
        <f>IF(malumot!$B$77=malumot!$C$77,'График дифференц'!C12,IF(malumot!$B$77=malumot!$D$77,'График аннуитет.'!C12))</f>
        <v>22750000</v>
      </c>
      <c r="D13" s="28">
        <f>IF(malumot!$B$77=malumot!$C$77,'График дифференц'!D12,IF(malumot!$B$77=malumot!$D$77,'График аннуитет.'!D12))</f>
        <v>812500</v>
      </c>
      <c r="E13" s="28">
        <f>IF(malumot!$B$77=malumot!$C$77,'График дифференц'!E12,IF(malumot!$B$77=malumot!$D$77,'График аннуитет.'!E12))</f>
        <v>1159315.06</v>
      </c>
      <c r="F13" s="28">
        <f>IF(malumot!$B$77=malumot!$C$77,'График дифференц'!F12,IF(malumot!$B$77=malumot!$D$77,'График аннуитет.'!F12))</f>
        <v>1971815.06</v>
      </c>
      <c r="H13" s="316"/>
      <c r="I13" s="316"/>
      <c r="J13" s="316"/>
      <c r="K13" s="316"/>
      <c r="L13" s="316"/>
      <c r="M13" s="316"/>
      <c r="N13" s="316"/>
      <c r="O13" s="316"/>
      <c r="P13" s="316"/>
    </row>
    <row r="14" spans="1:16">
      <c r="A14" s="13">
        <v>6</v>
      </c>
      <c r="B14" s="27">
        <f>'График аннуитет.'!B13</f>
        <v>45931</v>
      </c>
      <c r="C14" s="28">
        <f>IF(malumot!$B$77=malumot!$C$77,'График дифференц'!C13,IF(malumot!$B$77=malumot!$D$77,'График аннуитет.'!C13))</f>
        <v>21937500</v>
      </c>
      <c r="D14" s="28">
        <f>IF(malumot!$B$77=malumot!$C$77,'График дифференц'!D13,IF(malumot!$B$77=malumot!$D$77,'График аннуитет.'!D13))</f>
        <v>812500</v>
      </c>
      <c r="E14" s="28">
        <f>IF(malumot!$B$77=malumot!$C$77,'График дифференц'!E13,IF(malumot!$B$77=malumot!$D$77,'График аннуитет.'!E13))</f>
        <v>1081849.2</v>
      </c>
      <c r="F14" s="28">
        <f>IF(malumot!$B$77=malumot!$C$77,'График дифференц'!F13,IF(malumot!$B$77=malumot!$D$77,'График аннуитет.'!F13))</f>
        <v>1894349.2</v>
      </c>
      <c r="H14" s="316"/>
      <c r="I14" s="316"/>
      <c r="J14" s="316"/>
      <c r="K14" s="316"/>
      <c r="L14" s="316"/>
      <c r="M14" s="316"/>
      <c r="N14" s="316"/>
      <c r="O14" s="316"/>
      <c r="P14" s="316"/>
    </row>
    <row r="15" spans="1:16">
      <c r="A15" s="13">
        <v>7</v>
      </c>
      <c r="B15" s="27">
        <f>'График аннуитет.'!B14</f>
        <v>45964</v>
      </c>
      <c r="C15" s="28">
        <f>IF(malumot!$B$77=malumot!$C$77,'График дифференц'!C14,IF(malumot!$B$77=malumot!$D$77,'График аннуитет.'!C14))</f>
        <v>21125000</v>
      </c>
      <c r="D15" s="28">
        <f>IF(malumot!$B$77=malumot!$C$77,'График дифференц'!D14,IF(malumot!$B$77=malumot!$D$77,'График аннуитет.'!D14))</f>
        <v>812500</v>
      </c>
      <c r="E15" s="28">
        <f>IF(malumot!$B$77=malumot!$C$77,'График дифференц'!E14,IF(malumot!$B$77=malumot!$D$77,'График аннуитет.'!E14))</f>
        <v>1145958.99</v>
      </c>
      <c r="F15" s="28">
        <f>IF(malumot!$B$77=malumot!$C$77,'График дифференц'!F14,IF(malumot!$B$77=malumot!$D$77,'График аннуитет.'!F14))</f>
        <v>1958458.99</v>
      </c>
      <c r="H15" s="316"/>
      <c r="I15" s="316"/>
      <c r="J15" s="316"/>
      <c r="K15" s="316"/>
      <c r="L15" s="316"/>
      <c r="M15" s="316"/>
      <c r="N15" s="316"/>
      <c r="O15" s="316"/>
      <c r="P15" s="316"/>
    </row>
    <row r="16" spans="1:16">
      <c r="A16" s="13">
        <v>8</v>
      </c>
      <c r="B16" s="27">
        <f>'График аннуитет.'!B15</f>
        <v>45992</v>
      </c>
      <c r="C16" s="28">
        <f>IF(malumot!$B$77=malumot!$C$77,'График дифференц'!C15,IF(malumot!$B$77=malumot!$D$77,'График аннуитет.'!C15))</f>
        <v>20312500</v>
      </c>
      <c r="D16" s="28">
        <f>IF(malumot!$B$77=malumot!$C$77,'График дифференц'!D15,IF(malumot!$B$77=malumot!$D$77,'График аннуитет.'!D15))</f>
        <v>812500</v>
      </c>
      <c r="E16" s="28">
        <f>IF(malumot!$B$77=malumot!$C$77,'График дифференц'!E15,IF(malumot!$B$77=malumot!$D$77,'График аннуитет.'!E15))</f>
        <v>934931.4800000001</v>
      </c>
      <c r="F16" s="28">
        <f>IF(malumot!$B$77=malumot!$C$77,'График дифференц'!F15,IF(malumot!$B$77=malumot!$D$77,'График аннуитет.'!F15))</f>
        <v>1747431.48</v>
      </c>
      <c r="H16" s="316"/>
      <c r="I16" s="316"/>
      <c r="J16" s="316"/>
      <c r="K16" s="316"/>
      <c r="L16" s="316"/>
      <c r="M16" s="316"/>
      <c r="N16" s="316"/>
      <c r="O16" s="316"/>
      <c r="P16" s="316"/>
    </row>
    <row r="17" spans="1:16">
      <c r="A17" s="13">
        <v>9</v>
      </c>
      <c r="B17" s="27">
        <f>'График аннуитет.'!B16</f>
        <v>46023</v>
      </c>
      <c r="C17" s="28">
        <f>IF(malumot!$B$77=malumot!$C$77,'График дифференц'!C16,IF(malumot!$B$77=malumot!$D$77,'График аннуитет.'!C16))</f>
        <v>19500000</v>
      </c>
      <c r="D17" s="28">
        <f>IF(malumot!$B$77=malumot!$C$77,'График дифференц'!D16,IF(malumot!$B$77=malumot!$D$77,'График аннуитет.'!D16))</f>
        <v>812500</v>
      </c>
      <c r="E17" s="28">
        <f>IF(malumot!$B$77=malumot!$C$77,'График дифференц'!E16,IF(malumot!$B$77=malumot!$D$77,'График аннуитет.'!E16))</f>
        <v>993698.49</v>
      </c>
      <c r="F17" s="28">
        <f>IF(malumot!$B$77=malumot!$C$77,'График дифференц'!F16,IF(malumot!$B$77=malumot!$D$77,'График аннуитет.'!F16))</f>
        <v>1806198.49</v>
      </c>
      <c r="H17" s="316"/>
      <c r="I17" s="316"/>
      <c r="J17" s="316"/>
      <c r="K17" s="316"/>
      <c r="L17" s="316"/>
      <c r="M17" s="316"/>
      <c r="N17" s="316"/>
      <c r="O17" s="316"/>
      <c r="P17" s="316"/>
    </row>
    <row r="18" spans="1:16">
      <c r="A18" s="13">
        <v>10</v>
      </c>
      <c r="B18" s="27">
        <f>'График аннуитет.'!B17</f>
        <v>46055</v>
      </c>
      <c r="C18" s="28">
        <f>IF(malumot!$B$77=malumot!$C$77,'График дифференц'!C17,IF(malumot!$B$77=malumot!$D$77,'График аннуитет.'!C17))</f>
        <v>18687500</v>
      </c>
      <c r="D18" s="28">
        <f>IF(malumot!$B$77=malumot!$C$77,'График дифференц'!D17,IF(malumot!$B$77=malumot!$D$77,'График аннуитет.'!D17))</f>
        <v>812500</v>
      </c>
      <c r="E18" s="28">
        <f>IF(malumot!$B$77=malumot!$C$77,'График дифференц'!E17,IF(malumot!$B$77=malumot!$D$77,'График аннуитет.'!E17))</f>
        <v>983013.76</v>
      </c>
      <c r="F18" s="28">
        <f>IF(malumot!$B$77=malumot!$C$77,'График дифференц'!F17,IF(malumot!$B$77=malumot!$D$77,'График аннуитет.'!F17))</f>
        <v>1795513.76</v>
      </c>
      <c r="H18" s="316"/>
      <c r="I18" s="316"/>
      <c r="J18" s="316"/>
      <c r="K18" s="316"/>
      <c r="L18" s="316"/>
      <c r="M18" s="316"/>
      <c r="N18" s="316"/>
      <c r="O18" s="316"/>
      <c r="P18" s="316"/>
    </row>
    <row r="19" spans="1:16">
      <c r="A19" s="13">
        <v>11</v>
      </c>
      <c r="B19" s="27">
        <f>'График аннуитет.'!B18</f>
        <v>46083</v>
      </c>
      <c r="C19" s="28">
        <f>IF(malumot!$B$77=malumot!$C$77,'График дифференц'!C18,IF(malumot!$B$77=malumot!$D$77,'График аннуитет.'!C18))</f>
        <v>17875000</v>
      </c>
      <c r="D19" s="28">
        <f>IF(malumot!$B$77=malumot!$C$77,'График дифференц'!D18,IF(malumot!$B$77=malumot!$D$77,'График аннуитет.'!D18))</f>
        <v>812500</v>
      </c>
      <c r="E19" s="28">
        <f>IF(malumot!$B$77=malumot!$C$77,'График дифференц'!E18,IF(malumot!$B$77=malumot!$D$77,'График аннуитет.'!E18))</f>
        <v>822739.68</v>
      </c>
      <c r="F19" s="28">
        <f>IF(malumot!$B$77=malumot!$C$77,'График дифференц'!F18,IF(malumot!$B$77=malumot!$D$77,'График аннуитет.'!F18))</f>
        <v>1635239.6800000002</v>
      </c>
      <c r="H19" s="316"/>
      <c r="I19" s="316"/>
      <c r="J19" s="316"/>
      <c r="K19" s="316"/>
      <c r="L19" s="316"/>
      <c r="M19" s="316"/>
      <c r="N19" s="316"/>
      <c r="O19" s="316"/>
      <c r="P19" s="316"/>
    </row>
    <row r="20" spans="1:16">
      <c r="A20" s="13">
        <v>12</v>
      </c>
      <c r="B20" s="27">
        <f>'График аннуитет.'!B19</f>
        <v>46113</v>
      </c>
      <c r="C20" s="28">
        <f>IF(malumot!$B$77=malumot!$C$77,'График дифференц'!C19,IF(malumot!$B$77=malumot!$D$77,'График аннуитет.'!C19))</f>
        <v>17062500</v>
      </c>
      <c r="D20" s="28">
        <f>IF(malumot!$B$77=malumot!$C$77,'График дифференц'!D19,IF(malumot!$B$77=malumot!$D$77,'График аннуитет.'!D19))</f>
        <v>812500</v>
      </c>
      <c r="E20" s="28">
        <f>IF(malumot!$B$77=malumot!$C$77,'График дифференц'!E19,IF(malumot!$B$77=malumot!$D$77,'График аннуитет.'!E19))</f>
        <v>841438.5</v>
      </c>
      <c r="F20" s="28">
        <f>IF(malumot!$B$77=malumot!$C$77,'График дифференц'!F19,IF(malumot!$B$77=malumot!$D$77,'График аннуитет.'!F19))</f>
        <v>1653938.5</v>
      </c>
      <c r="H20" s="316"/>
      <c r="I20" s="316"/>
      <c r="J20" s="316"/>
      <c r="K20" s="316"/>
      <c r="L20" s="316"/>
      <c r="M20" s="316"/>
      <c r="N20" s="316"/>
      <c r="O20" s="316"/>
      <c r="P20" s="316"/>
    </row>
    <row r="21" spans="1:16">
      <c r="A21" s="13">
        <v>13</v>
      </c>
      <c r="B21" s="27">
        <f>'График аннуитет.'!B20</f>
        <v>46143</v>
      </c>
      <c r="C21" s="28">
        <f>IF(malumot!$B$77=malumot!$C$77,'График дифференц'!C20,IF(malumot!$B$77=malumot!$D$77,'График аннуитет.'!C20))</f>
        <v>16250000</v>
      </c>
      <c r="D21" s="28">
        <f>IF(malumot!$B$77=malumot!$C$77,'График дифференц'!D20,IF(malumot!$B$77=malumot!$D$77,'График аннуитет.'!D20))</f>
        <v>812500</v>
      </c>
      <c r="E21" s="28">
        <f>IF(malumot!$B$77=malumot!$C$77,'График дифференц'!E20,IF(malumot!$B$77=malumot!$D$77,'График аннуитет.'!E20))</f>
        <v>801369.9</v>
      </c>
      <c r="F21" s="28">
        <f>IF(malumot!$B$77=malumot!$C$77,'График дифференц'!F20,IF(malumot!$B$77=malumot!$D$77,'График аннуитет.'!F20))</f>
        <v>1613869.9</v>
      </c>
      <c r="H21" s="316"/>
      <c r="I21" s="316"/>
      <c r="J21" s="316"/>
      <c r="K21" s="316"/>
      <c r="L21" s="316"/>
      <c r="M21" s="316"/>
      <c r="N21" s="316"/>
      <c r="O21" s="316"/>
      <c r="P21" s="316"/>
    </row>
    <row r="22" spans="1:16">
      <c r="A22" s="13">
        <v>14</v>
      </c>
      <c r="B22" s="27">
        <f>'График аннуитет.'!B21</f>
        <v>46174</v>
      </c>
      <c r="C22" s="28">
        <f>IF(malumot!$B$77=malumot!$C$77,'График дифференц'!C21,IF(malumot!$B$77=malumot!$D$77,'График аннуитет.'!C21))</f>
        <v>15437500</v>
      </c>
      <c r="D22" s="28">
        <f>IF(malumot!$B$77=malumot!$C$77,'График дифференц'!D21,IF(malumot!$B$77=malumot!$D$77,'График аннуитет.'!D21))</f>
        <v>812500</v>
      </c>
      <c r="E22" s="28">
        <f>IF(malumot!$B$77=malumot!$C$77,'График дифференц'!E21,IF(malumot!$B$77=malumot!$D$77,'График аннуитет.'!E21))</f>
        <v>786678.01</v>
      </c>
      <c r="F22" s="28">
        <f>IF(malumot!$B$77=malumot!$C$77,'График дифференц'!F21,IF(malumot!$B$77=malumot!$D$77,'График аннуитет.'!F21))</f>
        <v>1599178.01</v>
      </c>
      <c r="H22" s="316"/>
      <c r="I22" s="316"/>
      <c r="J22" s="316"/>
      <c r="K22" s="316"/>
      <c r="L22" s="316"/>
      <c r="M22" s="316"/>
      <c r="N22" s="316"/>
      <c r="O22" s="316"/>
      <c r="P22" s="316"/>
    </row>
    <row r="23" spans="1:16">
      <c r="A23" s="13">
        <v>15</v>
      </c>
      <c r="B23" s="27">
        <f>'График аннуитет.'!B22</f>
        <v>46204</v>
      </c>
      <c r="C23" s="28">
        <f>IF(malumot!$B$77=malumot!$C$77,'График дифференц'!C22,IF(malumot!$B$77=malumot!$D$77,'График аннуитет.'!C22))</f>
        <v>14625000</v>
      </c>
      <c r="D23" s="28">
        <f>IF(malumot!$B$77=malumot!$C$77,'График дифференц'!D22,IF(malumot!$B$77=malumot!$D$77,'График аннуитет.'!D22))</f>
        <v>812500</v>
      </c>
      <c r="E23" s="28">
        <f>IF(malumot!$B$77=malumot!$C$77,'График дифференц'!E22,IF(malumot!$B$77=malumot!$D$77,'График аннуитет.'!E22))</f>
        <v>721233</v>
      </c>
      <c r="F23" s="28">
        <f>IF(malumot!$B$77=malumot!$C$77,'График дифференц'!F22,IF(malumot!$B$77=malumot!$D$77,'График аннуитет.'!F22))</f>
        <v>1533733</v>
      </c>
      <c r="H23" s="316"/>
      <c r="I23" s="316"/>
      <c r="J23" s="316"/>
      <c r="K23" s="316"/>
      <c r="L23" s="316"/>
      <c r="M23" s="316"/>
      <c r="N23" s="316"/>
      <c r="O23" s="316"/>
      <c r="P23" s="316"/>
    </row>
    <row r="24" spans="1:16">
      <c r="A24" s="13">
        <v>16</v>
      </c>
      <c r="B24" s="27">
        <f>'График аннуитет.'!B23</f>
        <v>46237</v>
      </c>
      <c r="C24" s="28">
        <f>IF(malumot!$B$77=malumot!$C$77,'График дифференц'!C23,IF(malumot!$B$77=malumot!$D$77,'График аннуитет.'!C23))</f>
        <v>13812500</v>
      </c>
      <c r="D24" s="28">
        <f>IF(malumot!$B$77=malumot!$C$77,'График дифференц'!D23,IF(malumot!$B$77=malumot!$D$77,'График аннуитет.'!D23))</f>
        <v>812500</v>
      </c>
      <c r="E24" s="28">
        <f>IF(malumot!$B$77=malumot!$C$77,'График дифференц'!E23,IF(malumot!$B$77=malumot!$D$77,'График аннуитет.'!E23))</f>
        <v>749280.84</v>
      </c>
      <c r="F24" s="28">
        <f>IF(malumot!$B$77=malumot!$C$77,'График дифференц'!F23,IF(malumot!$B$77=malumot!$D$77,'График аннуитет.'!F23))</f>
        <v>1561780.8399999999</v>
      </c>
      <c r="H24" s="316"/>
      <c r="I24" s="316"/>
      <c r="J24" s="316"/>
      <c r="K24" s="316"/>
      <c r="L24" s="316"/>
      <c r="M24" s="316"/>
      <c r="N24" s="316"/>
      <c r="O24" s="316"/>
      <c r="P24" s="316"/>
    </row>
    <row r="25" spans="1:16" ht="16.5" customHeight="1">
      <c r="A25" s="13">
        <v>17</v>
      </c>
      <c r="B25" s="27">
        <f>'График аннуитет.'!B24</f>
        <v>46266</v>
      </c>
      <c r="C25" s="28">
        <f>IF(malumot!$B$77=malumot!$C$77,'График дифференц'!C24,IF(malumot!$B$77=malumot!$D$77,'График аннуитет.'!C24))</f>
        <v>13000000</v>
      </c>
      <c r="D25" s="28">
        <f>IF(malumot!$B$77=malumot!$C$77,'График дифференц'!D24,IF(malumot!$B$77=malumot!$D$77,'График аннуитет.'!D24))</f>
        <v>812500</v>
      </c>
      <c r="E25" s="28">
        <f>IF(malumot!$B$77=malumot!$C$77,'График дифференц'!E24,IF(malumot!$B$77=malumot!$D$77,'График аннуитет.'!E24))</f>
        <v>619725.94000000006</v>
      </c>
      <c r="F25" s="28">
        <f>IF(malumot!$B$77=malumot!$C$77,'График дифференц'!F24,IF(malumot!$B$77=malumot!$D$77,'График аннуитет.'!F24))</f>
        <v>1432225.94</v>
      </c>
    </row>
    <row r="26" spans="1:16">
      <c r="A26" s="13">
        <v>18</v>
      </c>
      <c r="B26" s="27">
        <f>'График аннуитет.'!B25</f>
        <v>46296</v>
      </c>
      <c r="C26" s="28">
        <f>IF(malumot!$B$77=malumot!$C$77,'График дифференц'!C25,IF(malumot!$B$77=malumot!$D$77,'График аннуитет.'!C25))</f>
        <v>12187500</v>
      </c>
      <c r="D26" s="28">
        <f>IF(malumot!$B$77=malumot!$C$77,'График дифференц'!D25,IF(malumot!$B$77=malumot!$D$77,'График аннуитет.'!D25))</f>
        <v>812500</v>
      </c>
      <c r="E26" s="28">
        <f>IF(malumot!$B$77=malumot!$C$77,'График дифференц'!E25,IF(malumot!$B$77=malumot!$D$77,'График аннуитет.'!E25))</f>
        <v>601027.5</v>
      </c>
      <c r="F26" s="28">
        <f>IF(malumot!$B$77=malumot!$C$77,'График дифференц'!F25,IF(malumot!$B$77=malumot!$D$77,'График аннуитет.'!F25))</f>
        <v>1413527.5</v>
      </c>
    </row>
    <row r="27" spans="1:16">
      <c r="A27" s="13">
        <f>1+A26</f>
        <v>19</v>
      </c>
      <c r="B27" s="27">
        <f>'График аннуитет.'!B26</f>
        <v>46328</v>
      </c>
      <c r="C27" s="28">
        <f>IF(malumot!$B$77=malumot!$C$77,'График дифференц'!C26,IF(malumot!$B$77=malumot!$D$77,'График аннуитет.'!C26))</f>
        <v>11375000</v>
      </c>
      <c r="D27" s="28">
        <f>IF(malumot!$B$77=malumot!$C$77,'График дифференц'!D26,IF(malumot!$B$77=malumot!$D$77,'График аннуитет.'!D26))</f>
        <v>812500</v>
      </c>
      <c r="E27" s="28">
        <f>IF(malumot!$B$77=malumot!$C$77,'График дифференц'!E26,IF(malumot!$B$77=malumot!$D$77,'График аннуитет.'!E26))</f>
        <v>598356.16</v>
      </c>
      <c r="F27" s="28">
        <f>IF(malumot!$B$77=malumot!$C$77,'График дифференц'!F26,IF(malumot!$B$77=malumot!$D$77,'График аннуитет.'!F26))</f>
        <v>1410856.1600000001</v>
      </c>
    </row>
    <row r="28" spans="1:16">
      <c r="A28" s="13">
        <f t="shared" ref="A28:A43" si="0">1+A27</f>
        <v>20</v>
      </c>
      <c r="B28" s="27">
        <f>'График аннуитет.'!B27</f>
        <v>46357</v>
      </c>
      <c r="C28" s="28">
        <f>IF(malumot!$B$77=malumot!$C$77,'График дифференц'!C27,IF(malumot!$B$77=malumot!$D$77,'График аннуитет.'!C27))</f>
        <v>10562500</v>
      </c>
      <c r="D28" s="28">
        <f>IF(malumot!$B$77=malumot!$C$77,'График дифференц'!D27,IF(malumot!$B$77=malumot!$D$77,'График аннуитет.'!D27))</f>
        <v>812500</v>
      </c>
      <c r="E28" s="28">
        <f>IF(malumot!$B$77=malumot!$C$77,'График дифференц'!E27,IF(malumot!$B$77=malumot!$D$77,'График аннуитет.'!E27))</f>
        <v>503527.29</v>
      </c>
      <c r="F28" s="28">
        <f>IF(malumot!$B$77=malumot!$C$77,'График дифференц'!F27,IF(malumot!$B$77=malumot!$D$77,'График аннуитет.'!F27))</f>
        <v>1316027.29</v>
      </c>
    </row>
    <row r="29" spans="1:16">
      <c r="A29" s="13">
        <f t="shared" si="0"/>
        <v>21</v>
      </c>
      <c r="B29" s="27">
        <f>'График аннуитет.'!B28</f>
        <v>46388</v>
      </c>
      <c r="C29" s="28">
        <f>IF(malumot!$B$77=malumot!$C$77,'График дифференц'!C28,IF(malumot!$B$77=malumot!$D$77,'График аннуитет.'!C28))</f>
        <v>9750000</v>
      </c>
      <c r="D29" s="28">
        <f>IF(malumot!$B$77=malumot!$C$77,'График дифференц'!D28,IF(malumot!$B$77=malumot!$D$77,'График аннуитет.'!D28))</f>
        <v>812500</v>
      </c>
      <c r="E29" s="28">
        <f>IF(malumot!$B$77=malumot!$C$77,'График дифференц'!E28,IF(malumot!$B$77=malumot!$D$77,'График аннуитет.'!E28))</f>
        <v>496849.39999999997</v>
      </c>
      <c r="F29" s="28">
        <f>IF(malumot!$B$77=malumot!$C$77,'График дифференц'!F28,IF(malumot!$B$77=malumot!$D$77,'График аннуитет.'!F28))</f>
        <v>1309349.3999999999</v>
      </c>
    </row>
    <row r="30" spans="1:16">
      <c r="A30" s="13">
        <f t="shared" si="0"/>
        <v>22</v>
      </c>
      <c r="B30" s="27">
        <f>'График аннуитет.'!B29</f>
        <v>46419</v>
      </c>
      <c r="C30" s="28">
        <f>IF(malumot!$B$77=malumot!$C$77,'График дифференц'!C29,IF(malumot!$B$77=malumot!$D$77,'График аннуитет.'!C29))</f>
        <v>8937500</v>
      </c>
      <c r="D30" s="28">
        <f>IF(malumot!$B$77=malumot!$C$77,'График дифференц'!D29,IF(malumot!$B$77=malumot!$D$77,'График аннуитет.'!D29))</f>
        <v>812500</v>
      </c>
      <c r="E30" s="28">
        <f>IF(malumot!$B$77=malumot!$C$77,'График дифференц'!E29,IF(malumot!$B$77=malumot!$D$77,'График аннуитет.'!E29))</f>
        <v>455445.18</v>
      </c>
      <c r="F30" s="28">
        <f>IF(malumot!$B$77=malumot!$C$77,'График дифференц'!F29,IF(malumot!$B$77=malumot!$D$77,'График аннуитет.'!F29))</f>
        <v>1267945.18</v>
      </c>
    </row>
    <row r="31" spans="1:16">
      <c r="A31" s="13">
        <f t="shared" si="0"/>
        <v>23</v>
      </c>
      <c r="B31" s="27">
        <f>'График аннуитет.'!B30</f>
        <v>46447</v>
      </c>
      <c r="C31" s="28">
        <f>IF(malumot!$B$77=malumot!$C$77,'График дифференц'!C30,IF(malumot!$B$77=malumot!$D$77,'График аннуитет.'!C30))</f>
        <v>8125000</v>
      </c>
      <c r="D31" s="28">
        <f>IF(malumot!$B$77=malumot!$C$77,'График дифференц'!D30,IF(malumot!$B$77=malumot!$D$77,'График аннуитет.'!D30))</f>
        <v>812500</v>
      </c>
      <c r="E31" s="28">
        <f>IF(malumot!$B$77=malumot!$C$77,'График дифференц'!E30,IF(malumot!$B$77=malumot!$D$77,'График аннуитет.'!E30))</f>
        <v>373972.47999999998</v>
      </c>
      <c r="F31" s="28">
        <f>IF(malumot!$B$77=malumot!$C$77,'График дифференц'!F30,IF(malumot!$B$77=malumot!$D$77,'График аннуитет.'!F30))</f>
        <v>1186472.48</v>
      </c>
    </row>
    <row r="32" spans="1:16">
      <c r="A32" s="13">
        <f t="shared" si="0"/>
        <v>24</v>
      </c>
      <c r="B32" s="27">
        <f>'График аннуитет.'!B31</f>
        <v>46478</v>
      </c>
      <c r="C32" s="28">
        <f>IF(malumot!$B$77=malumot!$C$77,'График дифференц'!C31,IF(malumot!$B$77=malumot!$D$77,'График аннуитет.'!C31))</f>
        <v>7312500</v>
      </c>
      <c r="D32" s="28">
        <f>IF(malumot!$B$77=malumot!$C$77,'График дифференц'!D31,IF(malumot!$B$77=malumot!$D$77,'График аннуитет.'!D31))</f>
        <v>812500</v>
      </c>
      <c r="E32" s="28">
        <f>IF(malumot!$B$77=malumot!$C$77,'График дифференц'!E31,IF(malumot!$B$77=malumot!$D$77,'График аннуитет.'!E31))</f>
        <v>372637.05</v>
      </c>
      <c r="F32" s="28">
        <f>IF(malumot!$B$77=malumot!$C$77,'График дифференц'!F31,IF(malumot!$B$77=malumot!$D$77,'График аннуитет.'!F31))</f>
        <v>1185137.05</v>
      </c>
    </row>
    <row r="33" spans="1:6">
      <c r="A33" s="13">
        <f t="shared" si="0"/>
        <v>25</v>
      </c>
      <c r="B33" s="27">
        <f>IF('График аннуитет.'!B32=FALSE,"",'График аннуитет.'!B32)</f>
        <v>46510</v>
      </c>
      <c r="C33" s="28">
        <f>IF(malumot!$B$77=malumot!$C$77,'График дифференц'!C32,IF(malumot!$B$77=malumot!$D$77,'График аннуитет.'!C32))</f>
        <v>6500000</v>
      </c>
      <c r="D33" s="28">
        <f>IF(malumot!$B$77=malumot!$C$77,'График дифференц'!D32,IF(malumot!$B$77=malumot!$D$77,'График аннуитет.'!D32))</f>
        <v>812500</v>
      </c>
      <c r="E33" s="28">
        <f>IF(malumot!$B$77=malumot!$C$77,'График дифференц'!E32,IF(malumot!$B$77=malumot!$D$77,'График аннуитет.'!E32))</f>
        <v>341917.76</v>
      </c>
      <c r="F33" s="28">
        <f>IF(malumot!$B$77=malumot!$C$77,'График дифференц'!F32,IF(malumot!$B$77=malumot!$D$77,'График аннуитет.'!F32))</f>
        <v>1154417.76</v>
      </c>
    </row>
    <row r="34" spans="1:6">
      <c r="A34" s="13">
        <f t="shared" si="0"/>
        <v>26</v>
      </c>
      <c r="B34" s="27">
        <f>IF('График аннуитет.'!B33=FALSE,"",'График аннуитет.'!B33)</f>
        <v>46539</v>
      </c>
      <c r="C34" s="28">
        <f>IF(malumot!$B$77=malumot!$C$77,'График дифференц'!C33,IF(malumot!$B$77=malumot!$D$77,'График аннуитет.'!C33))</f>
        <v>5687500</v>
      </c>
      <c r="D34" s="28">
        <f>IF(malumot!$B$77=malumot!$C$77,'График дифференц'!D33,IF(malumot!$B$77=malumot!$D$77,'График аннуитет.'!D33))</f>
        <v>812500</v>
      </c>
      <c r="E34" s="28">
        <f>IF(malumot!$B$77=malumot!$C$77,'График дифференц'!E33,IF(malumot!$B$77=malumot!$D$77,'График аннуитет.'!E33))</f>
        <v>271130.27999999997</v>
      </c>
      <c r="F34" s="28">
        <f>IF(malumot!$B$77=malumot!$C$77,'График дифференц'!F33,IF(malumot!$B$77=malumot!$D$77,'График аннуитет.'!F33))</f>
        <v>1083630.28</v>
      </c>
    </row>
    <row r="35" spans="1:6">
      <c r="A35" s="13">
        <f t="shared" si="0"/>
        <v>27</v>
      </c>
      <c r="B35" s="27">
        <f>IF('График аннуитет.'!B34=FALSE,"",'График аннуитет.'!B34)</f>
        <v>46569</v>
      </c>
      <c r="C35" s="28">
        <f>IF(malumot!$B$77=malumot!$C$77,'График дифференц'!C34,IF(malumot!$B$77=malumot!$D$77,'График аннуитет.'!C34))</f>
        <v>4875000</v>
      </c>
      <c r="D35" s="28">
        <f>IF(malumot!$B$77=malumot!$C$77,'График дифференц'!D34,IF(malumot!$B$77=malumot!$D$77,'График аннуитет.'!D34))</f>
        <v>812500</v>
      </c>
      <c r="E35" s="28">
        <f>IF(malumot!$B$77=malumot!$C$77,'График дифференц'!E34,IF(malumot!$B$77=malumot!$D$77,'График аннуитет.'!E34))</f>
        <v>240411</v>
      </c>
      <c r="F35" s="28">
        <f>IF(malumot!$B$77=malumot!$C$77,'График дифференц'!F34,IF(malumot!$B$77=malumot!$D$77,'График аннуитет.'!F34))</f>
        <v>1052911</v>
      </c>
    </row>
    <row r="36" spans="1:6">
      <c r="A36" s="13">
        <f t="shared" si="0"/>
        <v>28</v>
      </c>
      <c r="B36" s="27">
        <f>IF('График аннуитет.'!B35=FALSE,"",'График аннуитет.'!B35)</f>
        <v>46601</v>
      </c>
      <c r="C36" s="28">
        <f>IF(malumot!$B$77=malumot!$C$77,'График дифференц'!C35,IF(malumot!$B$77=malumot!$D$77,'График аннуитет.'!C35))</f>
        <v>4062500</v>
      </c>
      <c r="D36" s="28">
        <f>IF(malumot!$B$77=malumot!$C$77,'График дифференц'!D35,IF(malumot!$B$77=malumot!$D$77,'График аннуитет.'!D35))</f>
        <v>812500</v>
      </c>
      <c r="E36" s="28">
        <f>IF(malumot!$B$77=malumot!$C$77,'График дифференц'!E35,IF(malumot!$B$77=malumot!$D$77,'График аннуитет.'!E35))</f>
        <v>213698.56</v>
      </c>
      <c r="F36" s="28">
        <f>IF(malumot!$B$77=malumot!$C$77,'График дифференц'!F35,IF(malumot!$B$77=malumot!$D$77,'График аннуитет.'!F35))</f>
        <v>1026198.56</v>
      </c>
    </row>
    <row r="37" spans="1:6">
      <c r="A37" s="13">
        <f t="shared" si="0"/>
        <v>29</v>
      </c>
      <c r="B37" s="27">
        <f>IF('График аннуитет.'!B36=FALSE,"",'График аннуитет.'!B36)</f>
        <v>46631</v>
      </c>
      <c r="C37" s="28">
        <f>IF(malumot!$B$77=malumot!$C$77,'График дифференц'!C36,IF(malumot!$B$77=malumot!$D$77,'График аннуитет.'!C36))</f>
        <v>3250000</v>
      </c>
      <c r="D37" s="28">
        <f>IF(malumot!$B$77=malumot!$C$77,'График дифференц'!D36,IF(malumot!$B$77=malumot!$D$77,'График аннуитет.'!D36))</f>
        <v>812500</v>
      </c>
      <c r="E37" s="28">
        <f>IF(malumot!$B$77=malumot!$C$77,'График дифференц'!E36,IF(malumot!$B$77=malumot!$D$77,'График аннуитет.'!E36))</f>
        <v>160274.1</v>
      </c>
      <c r="F37" s="28">
        <f>IF(malumot!$B$77=malumot!$C$77,'График дифференц'!F36,IF(malumot!$B$77=malumot!$D$77,'График аннуитет.'!F36))</f>
        <v>972774.1</v>
      </c>
    </row>
    <row r="38" spans="1:6">
      <c r="A38" s="13">
        <f t="shared" si="0"/>
        <v>30</v>
      </c>
      <c r="B38" s="27">
        <f>IF('График аннуитет.'!B37=FALSE,"",'График аннуитет.'!B37)</f>
        <v>46661</v>
      </c>
      <c r="C38" s="28">
        <f>IF(malumot!$B$77=malumot!$C$77,'График дифференц'!C37,IF(malumot!$B$77=malumot!$D$77,'График аннуитет.'!C37))</f>
        <v>2437500</v>
      </c>
      <c r="D38" s="28">
        <f>IF(malumot!$B$77=malumot!$C$77,'График дифференц'!D37,IF(malumot!$B$77=malumot!$D$77,'График аннуитет.'!D37))</f>
        <v>812500</v>
      </c>
      <c r="E38" s="28">
        <f>IF(malumot!$B$77=malumot!$C$77,'График дифференц'!E37,IF(malumot!$B$77=malumot!$D$77,'График аннуитет.'!E37))</f>
        <v>120205.5</v>
      </c>
      <c r="F38" s="28">
        <f>IF(malumot!$B$77=malumot!$C$77,'График дифференц'!F37,IF(malumot!$B$77=malumot!$D$77,'График аннуитет.'!F37))</f>
        <v>932705.5</v>
      </c>
    </row>
    <row r="39" spans="1:6">
      <c r="A39" s="13">
        <f t="shared" si="0"/>
        <v>31</v>
      </c>
      <c r="B39" s="27">
        <f>IF('График аннуитет.'!B38=FALSE,"",'График аннуитет.'!B38)</f>
        <v>46692</v>
      </c>
      <c r="C39" s="28">
        <f>IF(malumot!$B$77=malumot!$C$77,'График дифференц'!C38,IF(malumot!$B$77=malumot!$D$77,'График аннуитет.'!C38))</f>
        <v>1625000</v>
      </c>
      <c r="D39" s="28">
        <f>IF(malumot!$B$77=malumot!$C$77,'График дифференц'!D38,IF(malumot!$B$77=malumot!$D$77,'График аннуитет.'!D38))</f>
        <v>812500</v>
      </c>
      <c r="E39" s="28">
        <f>IF(malumot!$B$77=malumot!$C$77,'График дифференц'!E38,IF(malumot!$B$77=malumot!$D$77,'График аннуитет.'!E38))</f>
        <v>82808.13</v>
      </c>
      <c r="F39" s="28">
        <f>IF(malumot!$B$77=malumot!$C$77,'График дифференц'!F38,IF(malumot!$B$77=malumot!$D$77,'График аннуитет.'!F38))</f>
        <v>895308.13</v>
      </c>
    </row>
    <row r="40" spans="1:6">
      <c r="A40" s="13">
        <f t="shared" si="0"/>
        <v>32</v>
      </c>
      <c r="B40" s="27">
        <f>IF('График аннуитет.'!B39=FALSE,"",'График аннуитет.'!B39)</f>
        <v>46722</v>
      </c>
      <c r="C40" s="28">
        <f>IF(malumot!$B$77=malumot!$C$77,'График дифференц'!C39,IF(malumot!$B$77=malumot!$D$77,'График аннуитет.'!C39))</f>
        <v>812500</v>
      </c>
      <c r="D40" s="28">
        <f>IF(malumot!$B$77=malumot!$C$77,'График дифференц'!D39,IF(malumot!$B$77=malumot!$D$77,'График аннуитет.'!D39))</f>
        <v>812500</v>
      </c>
      <c r="E40" s="28">
        <f>IF(malumot!$B$77=malumot!$C$77,'График дифференц'!E39,IF(malumot!$B$77=malumot!$D$77,'График аннуитет.'!E39))</f>
        <v>40068.6</v>
      </c>
      <c r="F40" s="28">
        <f>IF(malumot!$B$77=malumot!$C$77,'График дифференц'!F39,IF(malumot!$B$77=malumot!$D$77,'График аннуитет.'!F39))</f>
        <v>852568.6</v>
      </c>
    </row>
    <row r="41" spans="1:6" hidden="1">
      <c r="A41" s="13">
        <f t="shared" si="0"/>
        <v>33</v>
      </c>
      <c r="B41" s="27" t="str">
        <f>IF('График аннуитет.'!B40=FALSE,"",'График аннуитет.'!B40)</f>
        <v/>
      </c>
      <c r="C41" s="28">
        <f>IF(malumot!$B$77=malumot!$C$77,'График дифференц'!C40,IF(malumot!$B$77=malumot!$D$77,'График аннуитет.'!C40))</f>
        <v>0</v>
      </c>
      <c r="D41" s="28">
        <f>IF(malumot!$B$77=malumot!$C$77,'График дифференц'!D40,IF(malumot!$B$77=malumot!$D$77,'График аннуитет.'!D40))</f>
        <v>0</v>
      </c>
      <c r="E41" s="28">
        <f>IF(malumot!$B$77=malumot!$C$77,'График дифференц'!E40,IF(malumot!$B$77=malumot!$D$77,'График аннуитет.'!E40))</f>
        <v>0</v>
      </c>
      <c r="F41" s="28">
        <f>IF(malumot!$B$77=malumot!$C$77,'График дифференц'!F40,IF(malumot!$B$77=malumot!$D$77,'График аннуитет.'!F40))</f>
        <v>0</v>
      </c>
    </row>
    <row r="42" spans="1:6" hidden="1">
      <c r="A42" s="13">
        <f t="shared" si="0"/>
        <v>34</v>
      </c>
      <c r="B42" s="27" t="str">
        <f>IF('График аннуитет.'!B41=FALSE,"",'График аннуитет.'!B41)</f>
        <v/>
      </c>
      <c r="C42" s="28">
        <f>IF(malumot!$B$77=malumot!$C$77,'График дифференц'!C41,IF(malumot!$B$77=malumot!$D$77,'График аннуитет.'!C41))</f>
        <v>0</v>
      </c>
      <c r="D42" s="28">
        <f>IF(malumot!$B$77=malumot!$C$77,'График дифференц'!D41,IF(malumot!$B$77=malumot!$D$77,'График аннуитет.'!D41))</f>
        <v>0</v>
      </c>
      <c r="E42" s="28">
        <f>IF(malumot!$B$77=malumot!$C$77,'График дифференц'!E41,IF(malumot!$B$77=malumot!$D$77,'График аннуитет.'!E41))</f>
        <v>0</v>
      </c>
      <c r="F42" s="28">
        <f>IF(malumot!$B$77=malumot!$C$77,'График дифференц'!F41,IF(malumot!$B$77=malumot!$D$77,'График аннуитет.'!F41))</f>
        <v>0</v>
      </c>
    </row>
    <row r="43" spans="1:6" ht="13.5" hidden="1" customHeight="1">
      <c r="A43" s="13">
        <f t="shared" si="0"/>
        <v>35</v>
      </c>
      <c r="B43" s="27" t="str">
        <f>IF('График аннуитет.'!B42=FALSE,"",'График аннуитет.'!B42)</f>
        <v/>
      </c>
      <c r="C43" s="28">
        <f>IF(malumot!$B$77=malumot!$C$77,'График дифференц'!C42,IF(malumot!$B$77=malumot!$D$77,'График аннуитет.'!C42))</f>
        <v>0</v>
      </c>
      <c r="D43" s="28">
        <f>IF(malumot!$B$77=malumot!$C$77,'График дифференц'!D42,IF(malumot!$B$77=malumot!$D$77,'График аннуитет.'!D42))</f>
        <v>0</v>
      </c>
      <c r="E43" s="28">
        <f>IF(malumot!$B$77=malumot!$C$77,'График дифференц'!E42,IF(malumot!$B$77=malumot!$D$77,'График аннуитет.'!E42))</f>
        <v>0</v>
      </c>
      <c r="F43" s="28">
        <f>IF(malumot!$B$77=malumot!$C$77,'График дифференц'!F42,IF(malumot!$B$77=malumot!$D$77,'График аннуитет.'!F42))</f>
        <v>0</v>
      </c>
    </row>
    <row r="44" spans="1:6" ht="15.75" hidden="1" customHeight="1">
      <c r="A44" s="13">
        <f>1+A43</f>
        <v>36</v>
      </c>
      <c r="B44" s="27" t="str">
        <f>IF('График аннуитет.'!B43=FALSE,"",'График аннуитет.'!B43)</f>
        <v/>
      </c>
      <c r="C44" s="28">
        <f>IF(malumot!$B$77=malumot!$C$77,'График дифференц'!C43,IF(malumot!$B$77=malumot!$D$77,'График аннуитет.'!C43))</f>
        <v>0</v>
      </c>
      <c r="D44" s="28">
        <f>IF(malumot!$B$77=malumot!$C$77,'График дифференц'!D43,IF(malumot!$B$77=malumot!$D$77,'График аннуитет.'!D43))</f>
        <v>0</v>
      </c>
      <c r="E44" s="28">
        <f>IF(malumot!$B$77=malumot!$C$77,'График дифференц'!E43,IF(malumot!$B$77=malumot!$D$77,'График аннуитет.'!E43))</f>
        <v>0</v>
      </c>
      <c r="F44" s="28">
        <f>IF(malumot!$B$77=malumot!$C$77,'График дифференц'!F43,IF(malumot!$B$77=malumot!$D$77,'График аннуитет.'!F43))</f>
        <v>0</v>
      </c>
    </row>
    <row r="45" spans="1:6" ht="15" customHeight="1">
      <c r="A45" s="40"/>
      <c r="B45" s="41" t="s">
        <v>207</v>
      </c>
      <c r="C45" s="42"/>
      <c r="D45" s="42">
        <f>SUM(D9:D44)</f>
        <v>26000000</v>
      </c>
      <c r="E45" s="42">
        <f t="shared" ref="E45:F45" si="1">SUM(E9:E44)</f>
        <v>21483390.75</v>
      </c>
      <c r="F45" s="42">
        <f t="shared" si="1"/>
        <v>47483390.75</v>
      </c>
    </row>
    <row r="46" spans="1:6" ht="14.25" customHeight="1">
      <c r="B46" s="29"/>
      <c r="C46" s="30"/>
      <c r="D46" s="30"/>
      <c r="E46" s="30"/>
      <c r="F46" s="30"/>
    </row>
    <row r="47" spans="1:6" ht="47.25" customHeight="1">
      <c r="A47" s="280"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80"/>
      <c r="C47" s="280"/>
      <c r="D47" s="280"/>
      <c r="E47" s="280"/>
      <c r="F47" s="280"/>
    </row>
    <row r="48" spans="1:6" ht="7.5" customHeight="1"/>
    <row r="49" spans="1:6" ht="15" customHeight="1">
      <c r="A49" s="307" t="s">
        <v>269</v>
      </c>
      <c r="B49" s="307"/>
      <c r="C49" s="307"/>
      <c r="D49" s="307" t="s">
        <v>276</v>
      </c>
      <c r="E49" s="307"/>
      <c r="F49" s="307"/>
    </row>
    <row r="50" spans="1:6" ht="11.25" customHeight="1">
      <c r="A50" s="308"/>
      <c r="B50" s="308"/>
      <c r="C50" s="308"/>
      <c r="D50" s="308"/>
      <c r="E50" s="308"/>
      <c r="F50" s="308"/>
    </row>
    <row r="51" spans="1:6" ht="30" customHeight="1">
      <c r="A51" s="281" t="str">
        <f>shartnoma!A116</f>
        <v>«CLEVER MIKROMOLIYA TASHKILOTI» MChJ</v>
      </c>
      <c r="B51" s="281"/>
      <c r="C51" s="281"/>
      <c r="D51" s="281" t="str">
        <f>shartnoma!B116</f>
        <v>XAYATOV OTABEK KURBANOVICH</v>
      </c>
      <c r="E51" s="281"/>
      <c r="F51" s="281"/>
    </row>
    <row r="52" spans="1:6" ht="39" customHeight="1">
      <c r="A52" s="306" t="str">
        <f>shartnoma!A117</f>
        <v>Manzil: Toshkent shahri, Olmazor tumani, Sagbon ko'chasi, 30 boshi berk, 6-uy</v>
      </c>
      <c r="B52" s="306"/>
      <c r="C52" s="306"/>
      <c r="D52" s="306" t="str">
        <f>shartnoma!B117</f>
        <v>Manzil: BUXORO VILOYATI KOGON TUMANI NIYOZ HOJI QISHLOG'I</v>
      </c>
      <c r="E52" s="306"/>
      <c r="F52" s="306"/>
    </row>
    <row r="53" spans="1:6" ht="15" customHeight="1">
      <c r="A53" s="306" t="str">
        <f>shartnoma!A118</f>
        <v>h/r: №20216000705068380001</v>
      </c>
      <c r="B53" s="306"/>
      <c r="C53" s="306"/>
      <c r="D53" s="306" t="str">
        <f>shartnoma!B119</f>
        <v>Pasport: AB 7858443, BUXORO VILOYATI KOGON TUMAN IIB tomonidan 06.10.2017 yilda berilgan</v>
      </c>
      <c r="E53" s="306"/>
      <c r="F53" s="306"/>
    </row>
    <row r="54" spans="1:6" ht="32.25" customHeight="1">
      <c r="A54" s="306" t="str">
        <f>shartnoma!A119</f>
        <v>MFO: №01042 в ATB “Kapitalbank” Sergeli filiali</v>
      </c>
      <c r="B54" s="306"/>
      <c r="C54" s="306"/>
      <c r="D54" s="306"/>
      <c r="E54" s="306"/>
      <c r="F54" s="306"/>
    </row>
    <row r="55" spans="1:6" ht="15" customHeight="1">
      <c r="A55" s="306" t="str">
        <f>shartnoma!A120</f>
        <v>STIR: 306365847</v>
      </c>
      <c r="B55" s="306"/>
      <c r="C55" s="306"/>
      <c r="D55" s="306" t="str">
        <f>shartnoma!B120</f>
        <v>Tel: 97 305 82 83 UZI</v>
      </c>
      <c r="E55" s="306"/>
      <c r="F55" s="306"/>
    </row>
    <row r="56" spans="1:6" ht="15" customHeight="1">
      <c r="A56" s="306" t="str">
        <f>shartnoma!A121</f>
        <v>Tel: (78) 113 31 33</v>
      </c>
      <c r="B56" s="306"/>
      <c r="C56" s="306"/>
      <c r="D56" s="306" t="str">
        <f>shartnoma!B121</f>
        <v>88 305 82 89 AYOLI</v>
      </c>
      <c r="E56" s="306"/>
      <c r="F56" s="306"/>
    </row>
    <row r="57" spans="1:6" ht="15" customHeight="1">
      <c r="A57" s="306" t="str">
        <f>shartnoma!A122</f>
        <v>(78) 113 31 34</v>
      </c>
      <c r="B57" s="306"/>
      <c r="C57" s="306"/>
      <c r="D57" s="306" t="str">
        <f>shartnoma!B122</f>
        <v>97 705 05 17 O'G'LI</v>
      </c>
      <c r="E57" s="306"/>
      <c r="F57" s="306"/>
    </row>
    <row r="58" spans="1:6" ht="23.25" customHeight="1">
      <c r="A58" s="306"/>
      <c r="B58" s="306"/>
      <c r="C58" s="306"/>
      <c r="D58" s="306" t="str">
        <f>IF(shartnoma!B123=0,"",shartnoma!B123)</f>
        <v/>
      </c>
      <c r="E58" s="306"/>
      <c r="F58" s="306"/>
    </row>
    <row r="59" spans="1:6" ht="29.25" customHeight="1">
      <c r="A59" s="143"/>
      <c r="B59" s="315" t="str">
        <f>malumot!A158</f>
        <v>Buxoro filiali boshlig'i</v>
      </c>
      <c r="C59" s="315"/>
      <c r="D59" s="281" t="str">
        <f>shartnoma!B125</f>
        <v>XAYATOV O.K.     __________________</v>
      </c>
      <c r="E59" s="281"/>
      <c r="F59" s="281"/>
    </row>
    <row r="60" spans="1:6" ht="15" customHeight="1">
      <c r="A60" s="143"/>
      <c r="B60" s="315" t="str">
        <f>malumot!B158</f>
        <v>A.Xudayberdiyev</v>
      </c>
      <c r="C60" s="315"/>
      <c r="D60" s="281"/>
      <c r="E60" s="281"/>
      <c r="F60" s="281"/>
    </row>
    <row r="61" spans="1:6" ht="15.75">
      <c r="A61" s="9"/>
      <c r="B61" s="9"/>
      <c r="C61" s="9"/>
      <c r="D61" s="281"/>
      <c r="E61" s="281"/>
      <c r="F61" s="281"/>
    </row>
    <row r="62" spans="1:6">
      <c r="A62" s="306"/>
      <c r="B62" s="306"/>
      <c r="C62" s="306"/>
      <c r="D62" s="306"/>
      <c r="E62" s="306"/>
      <c r="F62" s="306"/>
    </row>
    <row r="63" spans="1:6">
      <c r="A63" s="310"/>
      <c r="B63" s="310"/>
      <c r="C63" s="310"/>
      <c r="D63" s="311"/>
      <c r="E63" s="311"/>
      <c r="F63" s="311"/>
    </row>
    <row r="64" spans="1:6">
      <c r="A64" s="312"/>
      <c r="B64" s="312"/>
      <c r="C64" s="312"/>
      <c r="D64" s="312"/>
      <c r="E64" s="312"/>
      <c r="F64" s="312"/>
    </row>
    <row r="65" spans="1:6">
      <c r="A65" s="309"/>
      <c r="B65" s="309"/>
      <c r="C65" s="309"/>
      <c r="D65" s="309"/>
      <c r="E65" s="309"/>
      <c r="F65" s="309"/>
    </row>
  </sheetData>
  <mergeCells count="41">
    <mergeCell ref="B59:C59"/>
    <mergeCell ref="B60:C60"/>
    <mergeCell ref="H12:P24"/>
    <mergeCell ref="A65:C65"/>
    <mergeCell ref="D65:F65"/>
    <mergeCell ref="A62:C62"/>
    <mergeCell ref="D62:F62"/>
    <mergeCell ref="A63:C63"/>
    <mergeCell ref="D63:F63"/>
    <mergeCell ref="A64:C64"/>
    <mergeCell ref="D64:F64"/>
    <mergeCell ref="D59:F59"/>
    <mergeCell ref="D60:F60"/>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1"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3">
    <tabColor rgb="FF00B050"/>
  </sheetPr>
  <dimension ref="A2:F64"/>
  <sheetViews>
    <sheetView view="pageBreakPreview" zoomScaleNormal="100" zoomScaleSheetLayoutView="100" workbookViewId="0">
      <selection activeCell="A24" sqref="A24:E24"/>
    </sheetView>
  </sheetViews>
  <sheetFormatPr defaultColWidth="9.140625" defaultRowHeight="15" outlineLevelRow="1"/>
  <cols>
    <col min="1" max="1" width="28.42578125" style="10" customWidth="1"/>
    <col min="2" max="2" width="22.85546875" style="10" customWidth="1"/>
    <col min="3" max="3" width="22.42578125" style="10" customWidth="1"/>
    <col min="4" max="4" width="21.42578125" style="10" customWidth="1"/>
    <col min="5" max="5" width="25.140625" style="10" customWidth="1"/>
    <col min="6" max="16384" width="9.140625" style="10"/>
  </cols>
  <sheetData>
    <row r="2" spans="1:5">
      <c r="A2" s="302" t="str">
        <f>"GAROV PREDMETI QIYMATINI KELISHISH 
№"&amp;malumot!B149&amp;" SONLI DALOLATNOMASI
 "</f>
        <v xml:space="preserve">GAROV PREDMETI QIYMATINI KELISHISH 
№1 SONLI DALOLATNOMASI
 </v>
      </c>
      <c r="B2" s="302"/>
      <c r="C2" s="302"/>
      <c r="D2" s="302"/>
      <c r="E2" s="302"/>
    </row>
    <row r="3" spans="1:5">
      <c r="A3" s="34"/>
      <c r="B3" s="34"/>
      <c r="C3" s="34"/>
      <c r="D3" s="34"/>
      <c r="E3" s="34"/>
    </row>
    <row r="4" spans="1:5">
      <c r="A4" s="31" t="s">
        <v>206</v>
      </c>
      <c r="B4" s="31"/>
      <c r="C4" s="31"/>
      <c r="D4" s="31"/>
      <c r="E4" s="31" t="str">
        <f>malumot!B150</f>
        <v>1 aprel 2025 y.</v>
      </c>
    </row>
    <row r="5" spans="1:5" ht="9" customHeight="1">
      <c r="A5" s="280"/>
      <c r="B5" s="280"/>
      <c r="C5" s="280"/>
      <c r="D5" s="280"/>
      <c r="E5" s="280"/>
    </row>
    <row r="6" spans="1:5" ht="76.5" customHeight="1">
      <c r="A6" s="280" t="str">
        <f>IF(malumot!B111="avtotransport",dalolatnoma!A10:E10,dalolatnoma!A7:E7)</f>
        <v>«CLEVER MIKROMOLIYA TASHKILOTI» MChJning (1-tomon) vakili bo‘lgan  Buxoro filiali boshlig'i A.Xudayberdiyev, O‘zbekiston Respublikasi fuqarosi XAYATOV OTABEK KURBANOVICH (2-tomon) va garovga beruvchi O‘zbekiston Respublikasi fuqarosi FAYZIYEV JAMSHID KURBONOVICH (3-tomon) o’rtalarida, 1 aprel 2025 y.dan № 687-BR-sonli Mikroqarz shartnomasiga muvofiq 1-tomon 2-tomonga berilgan mikroqarz bo‘yicha ta’minot sifatida taqdim etilgan, 3-tomonga mulk huquqi asosida tegishli bo‘lgan mulkning garov qiymatini kelishish muzokaralari o’tkazildi.</v>
      </c>
      <c r="B6" s="280"/>
      <c r="C6" s="280"/>
      <c r="D6" s="280"/>
      <c r="E6" s="280"/>
    </row>
    <row r="7" spans="1:5" ht="88.5" hidden="1" customHeight="1">
      <c r="A7" s="280" t="str">
        <f>IF(malumot!B99="ha",dalolatnoma!A9:E9,dalolatnoma!A8:E8)</f>
        <v xml:space="preserve">«CLEVER MIKROMOLIYA TASHKILOTI» MChJning (1-tomon) vakili bo‘lgan  Buxoro filiali boshlig'i A.Xudayberdiyev, va O‘zbekiston Respublikasi fuqarosi  XAYATOV OTABEK KURBANOVICH (2-tomon) va garov egasi 0 (3-tomon) 1 aprel 2025 y.dan № 687-BR Mikroqarz shartnomasiga muvofiq 1-tomon 2-tomonga berilgan mikroqarz bo‘yicha ta’minot sifatida taqdim etilgan, 2-tomonga mulk huquqi asosida tegishli bo‘lgan mulkning garov qiymatini kelishish muzokaralari o’tkazildi. </v>
      </c>
      <c r="B7" s="280"/>
      <c r="C7" s="280"/>
      <c r="D7" s="280"/>
      <c r="E7" s="280"/>
    </row>
    <row r="8" spans="1:5" ht="88.5" hidden="1" customHeight="1">
      <c r="A8" s="280" t="str">
        <f>""&amp;malumot!B155&amp;"ning (1-tomon) vakili bo‘lgan  "&amp;malumot!A158&amp;" "&amp;malumot!B158&amp;", va O‘zbekiston Respublikasi fuqarosi  "&amp;malumot!B5&amp;" (2-tomon) va garov egasi "&amp;malumot!C125&amp;"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Buxoro filiali boshlig'i A.Xudayberdiyev, va O‘zbekiston Respublikasi fuqarosi  XAYATOV OTABEK KURBANOVICH (2-tomon) va garov egasi 0 (3-tomon) 1 aprel 2025 y.dan № 687-BR Mikroqarz shartnomasiga muvofiq 1-tomon 2-tomonga berilgan mikroqarz bo‘yicha ta’minot sifatida taqdim etilgan, 2-tomonga mulk huquqi asosida tegishli bo‘lgan mulkning garov qiymatini kelishish muzokaralari o’tkazildi. </v>
      </c>
      <c r="B8" s="280"/>
      <c r="C8" s="280"/>
      <c r="D8" s="280"/>
      <c r="E8" s="280"/>
    </row>
    <row r="9" spans="1:5" ht="88.5" hidden="1" customHeight="1">
      <c r="A9" s="280" t="str">
        <f>""&amp;malumot!B155&amp;"ning (1-tomon) vakili bo‘lgan  "&amp;malumot!A158&amp;" "&amp;malumot!B158&amp;", va O‘zbekiston Respublikasi fuqarosi  "&amp;malumot!B5&amp;" (2-tomon) va garov egasi "&amp;malumot!C125&amp;"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Buxoro filiali boshlig'i A.Xudayberdiyev, va O‘zbekiston Respublikasi fuqarosi  XAYATOV OTABEK KURBANOVICH (2-tomon) va garov egasi 0 (3-tomon) 1 aprel 2025 y.dan № 687-BR Mikroqarz shartnomasiga muvofiq 1-tomon 2-tomonga berilgan mikroqarz bo‘yicha ta’minot sifatida taqdim etilgan, 2-tomonga mulk huquqi asosida tegishli bo‘lgan mulkning garov qiymatini kelishish muzokaralari o’tkazildi. </v>
      </c>
      <c r="B9" s="280"/>
      <c r="C9" s="280"/>
      <c r="D9" s="280"/>
      <c r="E9" s="280"/>
    </row>
    <row r="10" spans="1:5" ht="88.5" hidden="1" customHeight="1">
      <c r="A10" s="280" t="str">
        <f>IF(malumot!B99="ha",dalolatnoma!A12:E12,dalolatnoma!A11:E11)</f>
        <v>«CLEVER MIKROMOLIYA TASHKILOTI» MChJning (1-tomon) vakili bo‘lgan  Buxoro filiali boshlig'i A.Xudayberdiyev, O‘zbekiston Respublikasi fuqarosi XAYATOV OTABEK KURBANOVICH (2-tomon) va garovga beruvchi O‘zbekiston Respublikasi fuqarosi FAYZIYEV JAMSHID KURBONOVICH (3-tomon) o’rtalarida, 1 aprel 2025 y.dan № 687-BR-sonli Mikroqarz shartnomasiga muvofiq 1-tomon 2-tomonga berilgan mikroqarz bo‘yicha ta’minot sifatida taqdim etilgan, 3-tomonga mulk huquqi asosida tegishli bo‘lgan mulkning garov qiymatini kelishish muzokaralari o’tkazildi.</v>
      </c>
      <c r="B10" s="280"/>
      <c r="C10" s="280"/>
      <c r="D10" s="280"/>
      <c r="E10" s="280"/>
    </row>
    <row r="11" spans="1:5" ht="88.5" hidden="1" customHeight="1">
      <c r="A11" s="280" t="str">
        <f>""&amp;malumot!B155&amp;"ning (1-tomon) vakili bo‘lgan  "&amp;malumot!A158&amp;" "&amp;malumot!B158&amp;", O‘zbekiston Respublikasi fuqarosi "&amp;malumot!B5&amp;" (2-tomon) va garovga beruvchi O‘zbekiston Respublikasi fuqarosi "&amp;malumot!B125&amp;"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Buxoro filiali boshlig'i A.Xudayberdiyev, O‘zbekiston Respublikasi fuqarosi XAYATOV OTABEK KURBANOVICH (2-tomon) va garovga beruvchi O‘zbekiston Respublikasi fuqarosi FAYZIYEV JAMSHID KURBONOVICH (3-tomon) o’rtalarida, 1 aprel 2025 y.dan № 687-BR-sonli Mikroqarz shartnomasiga muvofiq 1-tomon 2-tomonga berilgan mikroqarz bo‘yicha ta’minot sifatida taqdim etilgan, 3-tomonga mulk huquqi asosida tegishli bo‘lgan mulkning garov qiymatini kelishish muzokaralari o’tkazildi.</v>
      </c>
      <c r="B11" s="280"/>
      <c r="C11" s="280"/>
      <c r="D11" s="280"/>
      <c r="E11" s="280"/>
    </row>
    <row r="12" spans="1:5" ht="88.5" hidden="1" customHeight="1">
      <c r="A12" s="280" t="str">
        <f>""&amp;malumot!B155&amp;"ning (1-tomon) vakili bo‘lgan  "&amp;malumot!A158&amp;" "&amp;malumot!B158&amp;",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Buxoro filiali boshlig'i A.Xudayberdiyev, O‘zbekiston Respublikasi fuqarosi va garovga beruvchi XAYATOV OTABEK KURBANOVICH (2-tomon) o’rtalarida, 1 aprel 2025 y.dan № 687-BR-sonli Mikroqarz shartnomasiga muvofiq 1-tomon 2-tomonga berilgan mikroqarz bo‘yicha ta’minot sifatida taqdim etilgan, 2-tomonga mulk huquqi asosida tegishli bo‘lgan mulkning garov qiymatini kelishish muzokaralari o’tkazildi.</v>
      </c>
      <c r="B12" s="280"/>
      <c r="C12" s="280"/>
      <c r="D12" s="280"/>
      <c r="E12" s="280"/>
    </row>
    <row r="13" spans="1:5" ht="88.5" hidden="1" customHeight="1">
      <c r="A13" s="280" t="str">
        <f>"Garov predmeti sifatida "&amp;malumot!B133&amp;", 3-tomonga egalik huquqi tegishli bo'lgan, quyidagi tafsilotlarga ega avtotransport vositasi taqdim etiladi:"</f>
        <v>Garov predmeti sifatida SPARK, 3-tomonga egalik huquqi tegishli bo'lgan, quyidagi tafsilotlarga ega avtotransport vositasi taqdim etiladi:</v>
      </c>
      <c r="B13" s="280"/>
      <c r="C13" s="280"/>
      <c r="D13" s="280"/>
      <c r="E13" s="280"/>
    </row>
    <row r="14" spans="1:5" ht="88.5" hidden="1" customHeight="1">
      <c r="A14" s="280" t="str">
        <f>"Garov predmeti sifatida "&amp;malumot!B133&amp;", 2-tomonga egalik huquqi tegishli bo'lgan, quyidagi tafsilotlarga ega avtotransport vositasi taqdim etiladi:"</f>
        <v>Garov predmeti sifatida SPARK, 2-tomonga egalik huquqi tegishli bo'lgan, quyidagi tafsilotlarga ega avtotransport vositasi taqdim etiladi:</v>
      </c>
      <c r="B14" s="280"/>
      <c r="C14" s="280"/>
      <c r="D14" s="280"/>
      <c r="E14" s="280"/>
    </row>
    <row r="15" spans="1:5" ht="88.5" hidden="1" customHeight="1">
      <c r="A15" s="280" t="str">
        <f>IF(malumot!B99="ha",dalolatnoma!A14:E14,dalolatnoma!A13:E13)</f>
        <v>Garov predmeti sifatida SPARK, 3-tomonga egalik huquqi tegishli bo'lgan, quyidagi tafsilotlarga ega avtotransport vositasi taqdim etiladi:</v>
      </c>
      <c r="B15" s="280"/>
      <c r="C15" s="280"/>
      <c r="D15" s="280"/>
      <c r="E15" s="280"/>
    </row>
    <row r="16" spans="1:5" ht="88.5" hidden="1" customHeight="1">
      <c r="A16" s="280" t="str">
        <f>"Garov predmeti sifatida "&amp;malumot!C134&amp;", 2-tomonga egalik huquqi tegishli bo'lgan, quyidagi tafsilotlarga ega ko'chmas mulk taqdim etiladi:"</f>
        <v>Garov predmeti sifatida 3 - xonali yakka tartibdagi uy-joy, 2-tomonga egalik huquqi tegishli bo'lgan, quyidagi tafsilotlarga ega ko'chmas mulk taqdim etiladi:</v>
      </c>
      <c r="B16" s="280"/>
      <c r="C16" s="280"/>
      <c r="D16" s="280"/>
      <c r="E16" s="280"/>
    </row>
    <row r="17" spans="1:5" ht="13.5" hidden="1" customHeight="1">
      <c r="A17" s="280" t="str">
        <f>"Garov predmeti sifatida "&amp;malumot!C134&amp;", 3-tomonga egalik huquqi tegishli bo'lgan, quyidagi tafsilotlarga ega ko'chmas mulk taqdim etiladi:"</f>
        <v>Garov predmeti sifatida 3 - xonali yakka tartibdagi uy-joy, 3-tomonga egalik huquqi tegishli bo'lgan, quyidagi tafsilotlarga ega ko'chmas mulk taqdim etiladi:</v>
      </c>
      <c r="B17" s="280"/>
      <c r="C17" s="280"/>
      <c r="D17" s="280"/>
      <c r="E17" s="280"/>
    </row>
    <row r="18" spans="1:5" ht="11.25" hidden="1" customHeight="1">
      <c r="A18" s="280" t="str">
        <f>IF(malumot!B99="ha",dalolatnoma!A16:E16,dalolatnoma!A17:E17)</f>
        <v>Garov predmeti sifatida 3 - xonali yakka tartibdagi uy-joy, 3-tomonga egalik huquqi tegishli bo'lgan, quyidagi tafsilotlarga ega ko'chmas mulk taqdim etiladi:</v>
      </c>
      <c r="B18" s="280"/>
      <c r="C18" s="280"/>
      <c r="D18" s="280"/>
      <c r="E18" s="280"/>
    </row>
    <row r="19" spans="1:5" ht="32.25" customHeight="1">
      <c r="A19" s="280" t="str">
        <f>IF(malumot!B111="Avtotransport",dalolatnoma!A15:E15,dalolatnoma!A18:E18)</f>
        <v>Garov predmeti sifatida SPARK, 3-tomonga egalik huquqi tegishli bo'lgan, quyidagi tafsilotlarga ega avtotransport vositasi taqdim etiladi:</v>
      </c>
      <c r="B19" s="280"/>
      <c r="C19" s="280"/>
      <c r="D19" s="280"/>
      <c r="E19" s="280"/>
    </row>
    <row r="20" spans="1:5" ht="48" customHeight="1" outlineLevel="1">
      <c r="A20" s="33" t="s">
        <v>204</v>
      </c>
      <c r="B20" s="322" t="str">
        <f>IF(malumot!B111=malumot!C111,"Kuzov turi  va kuzov raqami*","Foydali maydoni")</f>
        <v>Kuzov turi  va kuzov raqami*</v>
      </c>
      <c r="C20" s="323"/>
      <c r="D20" s="33" t="str">
        <f>IF(malumot!B111=malumot!C111,"Dvigatel va shassi raqami*","Yashash maydoni")</f>
        <v>Dvigatel va shassi raqami*</v>
      </c>
      <c r="E20" s="33" t="str">
        <f>IF(malumot!B111=malumot!C111,"Ishlab chiqarilgan yili va rangi**","Umumiy maydoni")</f>
        <v>Ishlab chiqarilgan yili va rangi**</v>
      </c>
    </row>
    <row r="21" spans="1:5" ht="84" customHeight="1" outlineLevel="1">
      <c r="A21" s="12" t="str">
        <f>IF(malumot!B111=malumot!C111,malumot!B133,malumot!C133)</f>
        <v>SPARK</v>
      </c>
      <c r="B21" s="304" t="str">
        <f>IF(malumot!B111=malumot!C111,malumot!B135,CONCATENATE(malumot!F138," ","kv.m"))</f>
        <v>kuzov turi - YENGIL SEDAN, kuzov raqami XWBMF481EBA580791</v>
      </c>
      <c r="C21" s="304"/>
      <c r="D21" s="12" t="str">
        <f>IF(malumot!B111=malumot!C111,malumot!B138,malumot!E141)</f>
        <v>dvigatel raqami B10D1606437KC3, shassi raqami - RAKAMSIZ</v>
      </c>
      <c r="E21" s="12" t="str">
        <f>IF(malumot!B111=malumot!C111,malumot!B141,malumot!E138)</f>
        <v>rangi -  OQ BELAYA "KASABLANKA", ishlab chiqarilgan yili - 2011</v>
      </c>
    </row>
    <row r="22" spans="1:5" ht="17.25" customHeight="1" outlineLevel="1">
      <c r="A22" s="280" t="str">
        <f>"-* "&amp;IF(malumot!B111=malumot!C111,"avtotransport "&amp;"egasi: "&amp;malumot!B125&amp;"","ko'chmas mulk"&amp;" egasi: "&amp;malumot!B125&amp;"")</f>
        <v>-* avtotransport egasi: FAYZIYEV JAMSHID KURBONOVICH</v>
      </c>
      <c r="B22" s="280"/>
      <c r="C22" s="280"/>
      <c r="D22" s="280"/>
      <c r="E22" s="280"/>
    </row>
    <row r="23" spans="1:5" outlineLevel="1">
      <c r="A23" s="280" t="str">
        <f>IF(malumot!B111=malumot!C111,"-* texnik pasport: "&amp;malumot!B132&amp;"","-* reest raqami: "&amp;malumot!C132&amp;"")</f>
        <v>-* texnik pasport: AAG   4517617  20.08.2024y</v>
      </c>
      <c r="B23" s="280"/>
      <c r="C23" s="280"/>
      <c r="D23" s="280"/>
      <c r="E23" s="280"/>
    </row>
    <row r="24" spans="1:5" s="144" customFormat="1" outlineLevel="1">
      <c r="A24" s="280" t="str">
        <f>IF(malumot!B111=malumot!C111,"-* roʻyxatdan oʻtgan manzili/garaj manzili: "&amp;malumot!B130&amp;"","-*  kadastr raqami: "&amp;malumot!C135&amp;"")</f>
        <v>-* roʻyxatdan oʻtgan manzili/garaj manzili: BUXORO VILOYATI BUXORO TUMANI XONOBOD MFY XONOBOD QISHLOG'I</v>
      </c>
      <c r="B24" s="280"/>
      <c r="C24" s="280"/>
      <c r="D24" s="280"/>
      <c r="E24" s="280"/>
    </row>
    <row r="25" spans="1:5" ht="27" customHeight="1" outlineLevel="1">
      <c r="A25" s="280" t="str">
        <f>IF(malumot!B111=malumot!C111,"-* davlat raqami: "&amp;malumot!B134&amp;"","-* manzili: "&amp;malumot!C131&amp;"")</f>
        <v>-* davlat raqami: 80Y320AB</v>
      </c>
      <c r="B25" s="280"/>
      <c r="C25" s="280"/>
      <c r="D25" s="280"/>
      <c r="E25" s="280"/>
    </row>
    <row r="26" spans="1:5" ht="65.25" customHeight="1">
      <c r="A26" s="280" t="str">
        <f>IF(malumot!B99="ha",dalolatnoma!A28:E28,dalolatnoma!A27:E27)</f>
        <v>Tomonlar o’rtasida o’tkazilgan muzokaralar natijalariga ko‘ra, 2-tomon ta’minot sifatida quyidagi tafsilotlarga ega bo’lgan garov predmetini taqdim etadi, 1-tomon esa ushbu garov predmetini  1 aprel 2025 y.dan № 687-BR mikroqarz shartnomasi bo‘yicha berilgan mikroqarz bo‘yicha  
39 000 000,00 (o'ttiz to'qqiz million so'm) so’m bo‘lgan kelishilgan garov qiymatida qabul qiladi::</v>
      </c>
      <c r="B26" s="280"/>
      <c r="C26" s="280"/>
      <c r="D26" s="280"/>
      <c r="E26" s="280"/>
    </row>
    <row r="27" spans="1:5" ht="66" hidden="1" customHeight="1">
      <c r="A27" s="280"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"&amp;FIXED(malumot!B144,2)&amp;" ("&amp;malumot!B145&amp;") so’m bo‘lgan kelishilgan garov qiymatida qabul qiladi::"</f>
        <v>Tomonlar o’rtasida o’tkazilgan muzokaralar natijalariga ko‘ra, 2-tomon ta’minot sifatida quyidagi tafsilotlarga ega bo’lgan garov predmetini taqdim etadi, 1-tomon esa ushbu garov predmetini  1 aprel 2025 y.dan № 687-BR mikroqarz shartnomasi bo‘yicha berilgan mikroqarz bo‘yicha  
39 000 000,00 (o'ttiz to'qqiz million so'm) so’m bo‘lgan kelishilgan garov qiymatida qabul qiladi::</v>
      </c>
      <c r="B27" s="280"/>
      <c r="C27" s="280"/>
      <c r="D27" s="280"/>
      <c r="E27" s="280"/>
    </row>
    <row r="28" spans="1:5" ht="58.5" hidden="1" customHeight="1">
      <c r="A28" s="280"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"&amp;FIXED(malumot!B144,2)&amp;" ("&amp;malumot!B145&amp;") so’m bo‘lgan kelishilgan garov qiymatida qabul qiladi::"</f>
        <v>Tomonlar o’rtasida o’tkazilgan muzokaralar natijalariga ko‘ra, 2-tomon ta’minot sifatida quyidagi tafsilotlarga ega bo’lgan garov predmetini taqdim etadi, 1-tomon esa ushbu garov predmetini  1 aprel 2025 y.dan № 687-BR Mikroqarz shartnomasi bo‘yicha berilgan mikroqarz bo‘yicha  
39 000 000,00 (o'ttiz to'qqiz million so'm) so’m bo‘lgan kelishilgan garov qiymatida qabul qiladi::</v>
      </c>
      <c r="B28" s="280"/>
      <c r="C28" s="280"/>
      <c r="D28" s="280"/>
      <c r="E28" s="280"/>
    </row>
    <row r="29" spans="1:5" ht="51.75" customHeight="1" outlineLevel="1">
      <c r="A29" s="33" t="s">
        <v>204</v>
      </c>
      <c r="B29" s="33" t="str">
        <f>B20</f>
        <v>Kuzov turi  va kuzov raqami*</v>
      </c>
      <c r="C29" s="33" t="str">
        <f>D20</f>
        <v>Dvigatel va shassi raqami*</v>
      </c>
      <c r="D29" s="33" t="str">
        <f>IF(malumot!B111=malumot!C111,"Ishlab chiqarilgan yili va rangi*","Foydalanishga topshirilgan sanasi")</f>
        <v>Ishlab chiqarilgan yili va rangi*</v>
      </c>
      <c r="E29" s="33" t="s">
        <v>205</v>
      </c>
    </row>
    <row r="30" spans="1:5" ht="76.5" customHeight="1" outlineLevel="1">
      <c r="A30" s="12" t="str">
        <f>A21</f>
        <v>SPARK</v>
      </c>
      <c r="B30" s="12" t="str">
        <f>B21</f>
        <v>kuzov turi - YENGIL SEDAN, kuzov raqami XWBMF481EBA580791</v>
      </c>
      <c r="C30" s="12" t="str">
        <f>D21</f>
        <v>dvigatel raqami B10D1606437KC3, shassi raqami - RAKAMSIZ</v>
      </c>
      <c r="D30" s="12" t="str">
        <f>IF(malumot!B111=malumot!C111,E21,TEXT(malumot!C143,"ДД.ММ.ГГГГ"))</f>
        <v>rangi -  OQ BELAYA "KASABLANKA", ishlab chiqarilgan yili - 2011</v>
      </c>
      <c r="E30" s="12" t="str">
        <f>""&amp;FIXED(malumot!B144,2)&amp;" 
("&amp;malumot!B145&amp;")"</f>
        <v>39 000 000,00 
(o'ttiz to'qqiz million so'm)</v>
      </c>
    </row>
    <row r="31" spans="1:5" ht="16.5" customHeight="1">
      <c r="A31" s="11"/>
      <c r="B31" s="11"/>
      <c r="C31" s="11"/>
      <c r="D31" s="11"/>
      <c r="E31" s="11"/>
    </row>
    <row r="32" spans="1:5" ht="56.25" hidden="1" customHeight="1" outlineLevel="1">
      <c r="A32" s="33" t="s">
        <v>4</v>
      </c>
      <c r="B32" s="33" t="s">
        <v>18</v>
      </c>
      <c r="C32" s="33" t="s">
        <v>19</v>
      </c>
      <c r="D32" s="33" t="s">
        <v>20</v>
      </c>
      <c r="E32" s="33" t="s">
        <v>5</v>
      </c>
    </row>
    <row r="33" spans="1:5" ht="15.75" hidden="1" customHeight="1" outlineLevel="1">
      <c r="A33" s="12" t="e">
        <f>#REF!</f>
        <v>#REF!</v>
      </c>
      <c r="B33" s="95" t="e">
        <f>#REF!</f>
        <v>#REF!</v>
      </c>
      <c r="C33" s="95" t="e">
        <f>#REF!</f>
        <v>#REF!</v>
      </c>
      <c r="D33" s="95" t="e">
        <f>#REF!</f>
        <v>#REF!</v>
      </c>
      <c r="E33" s="318" t="str">
        <f>""&amp;FIXED(malumot!C144,2)&amp;" ("&amp;malumot!B145&amp;")"</f>
        <v>39 000 000,00 (o'ttiz to'qqiz million so'm)</v>
      </c>
    </row>
    <row r="34" spans="1:5" ht="15.75" hidden="1" customHeight="1" outlineLevel="1">
      <c r="A34" s="12"/>
      <c r="B34" s="95"/>
      <c r="C34" s="95"/>
      <c r="D34" s="95"/>
      <c r="E34" s="319"/>
    </row>
    <row r="35" spans="1:5" ht="15.75" hidden="1" customHeight="1" outlineLevel="1">
      <c r="A35" s="12" t="e">
        <f>#REF!</f>
        <v>#REF!</v>
      </c>
      <c r="B35" s="95" t="e">
        <f>#REF!</f>
        <v>#REF!</v>
      </c>
      <c r="C35" s="95" t="e">
        <f>#REF!</f>
        <v>#REF!</v>
      </c>
      <c r="D35" s="95" t="e">
        <f>#REF!</f>
        <v>#REF!</v>
      </c>
      <c r="E35" s="319"/>
    </row>
    <row r="36" spans="1:5" ht="15.75" hidden="1" customHeight="1" outlineLevel="1">
      <c r="A36" s="12" t="e">
        <f>#REF!</f>
        <v>#REF!</v>
      </c>
      <c r="B36" s="95" t="e">
        <f>#REF!</f>
        <v>#REF!</v>
      </c>
      <c r="C36" s="95" t="e">
        <f>#REF!</f>
        <v>#REF!</v>
      </c>
      <c r="D36" s="95" t="e">
        <f>#REF!</f>
        <v>#REF!</v>
      </c>
      <c r="E36" s="319"/>
    </row>
    <row r="37" spans="1:5" ht="15.75" hidden="1" customHeight="1" outlineLevel="1">
      <c r="A37" s="12" t="e">
        <f>#REF!</f>
        <v>#REF!</v>
      </c>
      <c r="B37" s="95" t="e">
        <f>#REF!</f>
        <v>#REF!</v>
      </c>
      <c r="C37" s="95" t="e">
        <f>#REF!</f>
        <v>#REF!</v>
      </c>
      <c r="D37" s="95" t="e">
        <f>#REF!</f>
        <v>#REF!</v>
      </c>
      <c r="E37" s="319"/>
    </row>
    <row r="38" spans="1:5" ht="15.75" hidden="1" customHeight="1" outlineLevel="1">
      <c r="A38" s="12" t="e">
        <f>#REF!</f>
        <v>#REF!</v>
      </c>
      <c r="B38" s="95" t="e">
        <f>#REF!</f>
        <v>#REF!</v>
      </c>
      <c r="C38" s="95" t="e">
        <f>#REF!</f>
        <v>#REF!</v>
      </c>
      <c r="D38" s="95" t="e">
        <f>#REF!</f>
        <v>#REF!</v>
      </c>
      <c r="E38" s="319"/>
    </row>
    <row r="39" spans="1:5" ht="15.75" hidden="1" customHeight="1" outlineLevel="1">
      <c r="A39" s="12" t="e">
        <f>#REF!</f>
        <v>#REF!</v>
      </c>
      <c r="B39" s="95" t="e">
        <f>#REF!</f>
        <v>#REF!</v>
      </c>
      <c r="C39" s="95" t="e">
        <f>#REF!</f>
        <v>#REF!</v>
      </c>
      <c r="D39" s="95" t="e">
        <f>#REF!</f>
        <v>#REF!</v>
      </c>
      <c r="E39" s="319"/>
    </row>
    <row r="40" spans="1:5" ht="15.75" hidden="1" customHeight="1" outlineLevel="1">
      <c r="A40" s="12" t="e">
        <f>#REF!</f>
        <v>#REF!</v>
      </c>
      <c r="B40" s="95" t="e">
        <f>#REF!</f>
        <v>#REF!</v>
      </c>
      <c r="C40" s="95" t="e">
        <f>#REF!</f>
        <v>#REF!</v>
      </c>
      <c r="D40" s="95" t="e">
        <f>#REF!</f>
        <v>#REF!</v>
      </c>
      <c r="E40" s="319"/>
    </row>
    <row r="41" spans="1:5" ht="15.75" hidden="1" customHeight="1" outlineLevel="1">
      <c r="A41" s="12" t="e">
        <f>#REF!</f>
        <v>#REF!</v>
      </c>
      <c r="B41" s="95" t="e">
        <f>#REF!</f>
        <v>#REF!</v>
      </c>
      <c r="C41" s="95" t="e">
        <f>#REF!</f>
        <v>#REF!</v>
      </c>
      <c r="D41" s="95" t="e">
        <f>#REF!</f>
        <v>#REF!</v>
      </c>
      <c r="E41" s="319"/>
    </row>
    <row r="42" spans="1:5" ht="15.75" hidden="1" customHeight="1" outlineLevel="1">
      <c r="A42" s="12" t="e">
        <f>#REF!</f>
        <v>#REF!</v>
      </c>
      <c r="B42" s="95" t="e">
        <f>#REF!</f>
        <v>#REF!</v>
      </c>
      <c r="C42" s="95" t="e">
        <f>#REF!</f>
        <v>#REF!</v>
      </c>
      <c r="D42" s="95" t="e">
        <f>#REF!</f>
        <v>#REF!</v>
      </c>
      <c r="E42" s="319"/>
    </row>
    <row r="43" spans="1:5" ht="15.75" hidden="1" customHeight="1" outlineLevel="1">
      <c r="A43" s="12" t="e">
        <f>#REF!</f>
        <v>#REF!</v>
      </c>
      <c r="B43" s="12" t="e">
        <f>#REF!</f>
        <v>#REF!</v>
      </c>
      <c r="C43" s="12" t="e">
        <f>#REF!</f>
        <v>#REF!</v>
      </c>
      <c r="D43" s="12" t="e">
        <f>#REF!</f>
        <v>#REF!</v>
      </c>
      <c r="E43" s="320"/>
    </row>
    <row r="44" spans="1:5" s="31" customFormat="1" ht="15.75" hidden="1" customHeight="1" outlineLevel="1">
      <c r="A44" s="33" t="e">
        <f>#REF!</f>
        <v>#REF!</v>
      </c>
      <c r="B44" s="33" t="e">
        <f>#REF!</f>
        <v>#REF!</v>
      </c>
      <c r="C44" s="33" t="e">
        <f>#REF!</f>
        <v>#REF!</v>
      </c>
      <c r="D44" s="33" t="e">
        <f>#REF!</f>
        <v>#REF!</v>
      </c>
      <c r="E44" s="33" t="str">
        <f>FIXED(malumot!C144,2)</f>
        <v>39 000 000,00</v>
      </c>
    </row>
    <row r="45" spans="1:5" ht="12.75" customHeight="1" collapsed="1">
      <c r="A45" s="11"/>
      <c r="B45" s="11"/>
      <c r="C45" s="11"/>
      <c r="D45" s="11"/>
      <c r="E45" s="11"/>
    </row>
    <row r="46" spans="1:5" ht="93.75" hidden="1" customHeight="1">
      <c r="A46" s="280"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80"/>
      <c r="C46" s="280"/>
      <c r="D46" s="280"/>
      <c r="E46" s="280"/>
    </row>
    <row r="47" spans="1:5" ht="42" customHeight="1">
      <c r="A47" s="280" t="s">
        <v>208</v>
      </c>
      <c r="B47" s="280"/>
      <c r="C47" s="280"/>
      <c r="D47" s="280"/>
      <c r="E47" s="280"/>
    </row>
    <row r="48" spans="1:5" ht="35.25" customHeight="1">
      <c r="A48" s="280" t="str">
        <f>"Shunday qilib, garov predmetining kelishilgan garov qiymati  "&amp;FIXED(malumot!B144)&amp;" ("&amp;malumot!B145&amp;") so‘mni tashkil etadi."</f>
        <v>Shunday qilib, garov predmetining kelishilgan garov qiymati  39 000 000,00 (o'ttiz to'qqiz million so'm) so‘mni tashkil etadi.</v>
      </c>
      <c r="B48" s="280"/>
      <c r="C48" s="280"/>
      <c r="D48" s="280"/>
      <c r="E48" s="280"/>
    </row>
    <row r="49" spans="1:6" ht="35.25" hidden="1" customHeight="1">
      <c r="A49" s="14"/>
      <c r="B49" s="14"/>
      <c r="C49" s="14"/>
      <c r="D49" s="14">
        <f>IF(malumot!B98=malumot!C98,malumot!C144,IF(malumot!B98=malumot!D98,'Данные для послед. Залога'!M22,0))</f>
        <v>39000000</v>
      </c>
      <c r="E49" s="14" t="str">
        <f>IF(malumot!B98=malumot!C98,malumot!B145,IF(malumot!B98=malumot!D98,'Данные для послед. Залога'!Q22,0))</f>
        <v>o'ttiz to'qqiz million so'm</v>
      </c>
    </row>
    <row r="50" spans="1:6">
      <c r="A50" s="317" t="s">
        <v>209</v>
      </c>
      <c r="B50" s="317"/>
      <c r="C50" s="317"/>
      <c r="D50" s="17"/>
      <c r="E50" s="17"/>
    </row>
    <row r="51" spans="1:6" ht="15" customHeight="1">
      <c r="A51" s="186" t="str">
        <f>malumot!B156</f>
        <v>«CLEVER MIKROMOLIYA TASHKILOTI» MChJ</v>
      </c>
      <c r="B51" s="17"/>
      <c r="C51" s="17"/>
      <c r="D51" s="138"/>
      <c r="E51" s="138"/>
    </row>
    <row r="52" spans="1:6" ht="15" customHeight="1">
      <c r="A52" s="197" t="str">
        <f>""&amp;malumot!A158&amp;""</f>
        <v>Buxoro filiali boshlig'i</v>
      </c>
      <c r="B52" s="17"/>
      <c r="C52" s="17"/>
      <c r="D52" s="197"/>
      <c r="E52" s="197" t="str">
        <f>malumot!B158</f>
        <v>A.Xudayberdiyev</v>
      </c>
    </row>
    <row r="53" spans="1:6">
      <c r="A53" s="46"/>
      <c r="B53" s="46"/>
      <c r="C53" s="46"/>
      <c r="D53" s="46"/>
      <c r="E53" s="46"/>
    </row>
    <row r="54" spans="1:6">
      <c r="A54" s="317"/>
      <c r="B54" s="317"/>
      <c r="C54" s="317"/>
      <c r="D54" s="46"/>
      <c r="E54" s="46"/>
    </row>
    <row r="55" spans="1:6" hidden="1">
      <c r="A55" s="279" t="s">
        <v>46</v>
      </c>
      <c r="B55" s="279"/>
      <c r="C55" s="279"/>
      <c r="D55" s="46"/>
      <c r="E55" s="46"/>
    </row>
    <row r="56" spans="1:6" hidden="1">
      <c r="A56" s="279" t="str">
        <f>malumot!B156</f>
        <v>«CLEVER MIKROMOLIYA TASHKILOTI» MChJ</v>
      </c>
      <c r="B56" s="279"/>
      <c r="C56" s="279"/>
      <c r="D56" s="279" t="str">
        <f>"_______________   "&amp;malumot!B167&amp;""</f>
        <v>_______________   B. Mominov</v>
      </c>
      <c r="E56" s="279"/>
    </row>
    <row r="57" spans="1:6" ht="12.75" customHeight="1">
      <c r="A57" s="279"/>
      <c r="B57" s="279"/>
      <c r="C57" s="279"/>
      <c r="D57" s="279"/>
      <c r="E57" s="279"/>
    </row>
    <row r="58" spans="1:6">
      <c r="A58" s="317" t="s">
        <v>210</v>
      </c>
      <c r="B58" s="317"/>
      <c r="C58" s="317"/>
      <c r="D58" s="279"/>
      <c r="E58" s="279"/>
    </row>
    <row r="59" spans="1:6" ht="31.5" customHeight="1">
      <c r="A59" s="317" t="s">
        <v>211</v>
      </c>
      <c r="B59" s="317"/>
      <c r="C59" s="317"/>
      <c r="D59" s="317" t="str">
        <f>"_______________  "&amp;malumot!B7&amp;""</f>
        <v>_______________  XAYATOV O.K.</v>
      </c>
      <c r="E59" s="317"/>
    </row>
    <row r="60" spans="1:6" ht="12.75" customHeight="1">
      <c r="A60" s="279"/>
      <c r="B60" s="279"/>
      <c r="C60" s="279"/>
      <c r="D60" s="321" t="str">
        <f>IF(malumot!B99="да","",malumot!B126)</f>
        <v>FAYZIYEV J.K.</v>
      </c>
      <c r="E60" s="321"/>
    </row>
    <row r="61" spans="1:6" ht="17.25" customHeight="1">
      <c r="A61" s="317" t="str">
        <f>+IF(malumot!B99="ha"," ","3-tomondan:")</f>
        <v>3-tomondan:</v>
      </c>
      <c r="B61" s="317"/>
      <c r="C61" s="317"/>
      <c r="D61" s="317"/>
      <c r="E61" s="317"/>
      <c r="F61" s="10">
        <f>IF(malumot!B100=malumot!D100,B7,"")</f>
        <v>0</v>
      </c>
    </row>
    <row r="62" spans="1:6" ht="17.25" customHeight="1">
      <c r="A62" s="279" t="str">
        <f>+IF(malumot!B99="ha"," ","O'zbekiston Respublikasi fuqarosi")</f>
        <v>O'zbekiston Respublikasi fuqarosi</v>
      </c>
      <c r="B62" s="279"/>
      <c r="C62" s="279"/>
      <c r="D62" s="317" t="str">
        <f>"_______________  "&amp;malumot!B7&amp;""</f>
        <v>_______________  XAYATOV O.K.</v>
      </c>
      <c r="E62" s="317"/>
    </row>
    <row r="63" spans="1:6" ht="63.75" customHeight="1">
      <c r="A63" s="151" t="str">
        <f>IF(malumot!B100=malumot!C100,"_______________  "&amp;malumot!B120&amp;"","_______________  "&amp;malumot!B7&amp;"")</f>
        <v>_______________  XAYATOV O.K.</v>
      </c>
      <c r="B63" s="46"/>
      <c r="C63" s="279" t="str">
        <f>garov_ariza!A20</f>
        <v xml:space="preserve">№202502386001856 01.04.2025 sanasidan xususiy faoliyat ko'rsatuvchi notarius tomonidan BUXORO VILOYATI BUXORO SHAHRI ASHXOBOD KO'CHASI 1/3-UY SHARIPOV ZAFAR JO'RABOYEVICH berilgan ishonchnomaga asosan </v>
      </c>
      <c r="D63" s="279"/>
      <c r="E63" s="279"/>
    </row>
    <row r="64" spans="1:6" ht="6.75" customHeight="1">
      <c r="D64" s="310"/>
      <c r="E64" s="310"/>
    </row>
  </sheetData>
  <mergeCells count="48">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D54"/>
  <sheetViews>
    <sheetView view="pageBreakPreview" topLeftCell="A6" zoomScale="85" zoomScaleSheetLayoutView="85" workbookViewId="0">
      <selection activeCell="B23" sqref="B23"/>
    </sheetView>
  </sheetViews>
  <sheetFormatPr defaultColWidth="9.140625" defaultRowHeight="15.75"/>
  <cols>
    <col min="1" max="1" width="20.140625" style="4" customWidth="1"/>
    <col min="2" max="2" width="18.7109375" style="4" customWidth="1"/>
    <col min="3" max="3" width="18.42578125" style="4" customWidth="1"/>
    <col min="4" max="4" width="28.7109375" style="4" customWidth="1"/>
    <col min="5" max="16384" width="9.140625" style="4"/>
  </cols>
  <sheetData>
    <row r="1" spans="1:4" ht="36.75" customHeight="1">
      <c r="C1" s="326" t="str">
        <f>malumot!B155&amp;" Ijrochi direktori"</f>
        <v>«CLEVER MIKROMOLIYA TASHKILOTI» MChJ Ijrochi direktori</v>
      </c>
      <c r="D1" s="326"/>
    </row>
    <row r="2" spans="1:4">
      <c r="C2" s="327" t="s">
        <v>395</v>
      </c>
      <c r="D2" s="327"/>
    </row>
    <row r="3" spans="1:4">
      <c r="C3" s="8"/>
      <c r="D3" s="9"/>
    </row>
    <row r="4" spans="1:4" ht="43.5" customHeight="1">
      <c r="C4" s="325" t="str">
        <f>malumot!B22&amp;" manzilida istiqomat qiluvchi"</f>
        <v>BUXORO VILOYATI KOGON TUMANI NIYOZ HOJI QISHLOG'I manzilida istiqomat qiluvchi</v>
      </c>
      <c r="D4" s="325"/>
    </row>
    <row r="5" spans="1:4" ht="36" customHeight="1">
      <c r="C5" s="325" t="str">
        <f>malumot!B5&amp;" tomonidan"</f>
        <v>XAYATOV OTABEK KURBANOVICH tomonidan</v>
      </c>
      <c r="D5" s="325"/>
    </row>
    <row r="6" spans="1:4" ht="51" customHeight="1">
      <c r="C6" s="268" t="str">
        <f>"Pasport: "&amp;malumot!B16&amp;", "&amp;malumot!B20</f>
        <v>Pasport: AB 7858443, BUXORO VILOYATI KOGON TUMAN IIB tomonidan 06.10.2017 yilda berilgan</v>
      </c>
      <c r="D6" s="268"/>
    </row>
    <row r="7" spans="1:4">
      <c r="C7" s="8"/>
      <c r="D7" s="9"/>
    </row>
    <row r="8" spans="1:4">
      <c r="A8" s="269" t="s">
        <v>396</v>
      </c>
      <c r="B8" s="269"/>
      <c r="C8" s="269"/>
      <c r="D8" s="269"/>
    </row>
    <row r="9" spans="1:4" ht="67.5" customHeight="1">
      <c r="A9" s="328" t="str">
        <f>"       Men, " &amp; malumot!B5 &amp; " sizdan " &amp; malumot!B2 &amp; " yildagi " &amp; malumot!B1 &amp; "-sonli kredit shartnomasiga asosan " &amp; malumot!B75  &amp; "(" &amp; malumot!B76 &amp; ")"  &amp; "so'm pul mablag'larini quyidagi rekvizitlar asosida o'tkazib berishingizni so'rayman: "</f>
        <v xml:space="preserve">       Men, XAYATOV OTABEK KURBANOVICH sizdan 01.04.2025 yildagi № 687-BR-sonli kredit shartnomasiga asosan 26000000(yigirma olti million so'm)so'm pul mablag'larini quyidagi rekvizitlar asosida o'tkazib berishingizni so'rayman: </v>
      </c>
      <c r="B9" s="328"/>
      <c r="C9" s="328"/>
      <c r="D9" s="328"/>
    </row>
    <row r="10" spans="1:4">
      <c r="A10" s="188" t="str">
        <f>malumot!A92</f>
        <v>Bank nomi:</v>
      </c>
      <c r="B10" s="328" t="str">
        <f>malumot!B92</f>
        <v xml:space="preserve">«Kapital bank» </v>
      </c>
      <c r="C10" s="328"/>
      <c r="D10" s="189"/>
    </row>
    <row r="11" spans="1:4">
      <c r="A11" s="188" t="str">
        <f>malumot!A93</f>
        <v>H/r:</v>
      </c>
      <c r="B11" s="328" t="str">
        <f>malumot!B93</f>
        <v xml:space="preserve">2312 0000 7000 1200 0000 </v>
      </c>
      <c r="C11" s="328"/>
      <c r="D11" s="189"/>
    </row>
    <row r="12" spans="1:4">
      <c r="A12" s="188" t="str">
        <f>malumot!A94</f>
        <v>MFO:</v>
      </c>
      <c r="B12" s="328" t="str">
        <f>malumot!B94</f>
        <v>01158</v>
      </c>
      <c r="C12" s="328"/>
      <c r="D12" s="141"/>
    </row>
    <row r="13" spans="1:4">
      <c r="A13" s="188" t="str">
        <f>malumot!A95</f>
        <v>STIR:</v>
      </c>
      <c r="B13" s="328" t="str">
        <f>malumot!B95</f>
        <v>207275139</v>
      </c>
      <c r="C13" s="328"/>
      <c r="D13" s="141"/>
    </row>
    <row r="14" spans="1:4">
      <c r="A14" s="188" t="str">
        <f>malumot!A96</f>
        <v>Karta raqami:</v>
      </c>
      <c r="B14" s="328" t="str">
        <f>malumot!B96</f>
        <v>5614 6822 1468 2009</v>
      </c>
      <c r="C14" s="328"/>
      <c r="D14" s="141"/>
    </row>
    <row r="15" spans="1:4">
      <c r="A15" s="324"/>
      <c r="B15" s="324"/>
      <c r="C15" s="324"/>
      <c r="D15" s="324"/>
    </row>
    <row r="16" spans="1:4" ht="15.75" customHeight="1">
      <c r="A16" s="325" t="str">
        <f>malumot!B5</f>
        <v>XAYATOV OTABEK KURBANOVICH</v>
      </c>
      <c r="B16" s="325"/>
      <c r="C16" s="325"/>
      <c r="D16" s="190" t="s">
        <v>405</v>
      </c>
    </row>
    <row r="17" spans="1:4">
      <c r="A17" s="191"/>
      <c r="B17" s="191"/>
      <c r="D17" s="192" t="s">
        <v>328</v>
      </c>
    </row>
    <row r="18" spans="1:4">
      <c r="A18" s="129"/>
      <c r="B18" s="129"/>
      <c r="C18" s="129"/>
      <c r="D18" s="129"/>
    </row>
    <row r="19" spans="1:4">
      <c r="A19" s="129"/>
      <c r="B19" s="129"/>
      <c r="C19" s="129"/>
      <c r="D19" s="129"/>
    </row>
    <row r="20" spans="1:4" ht="15.75" customHeight="1">
      <c r="A20" s="325" t="str">
        <f>malumot!B155&amp;" ijrochi direktori"</f>
        <v>«CLEVER MIKROMOLIYA TASHKILOTI» MChJ ijrochi direktori</v>
      </c>
      <c r="B20" s="325"/>
      <c r="C20" s="201"/>
      <c r="D20" s="31"/>
    </row>
    <row r="21" spans="1:4" ht="39" customHeight="1">
      <c r="A21" s="325"/>
      <c r="B21" s="325"/>
      <c r="C21" s="129"/>
      <c r="D21" s="200" t="s">
        <v>393</v>
      </c>
    </row>
    <row r="22" spans="1:4">
      <c r="A22" s="129"/>
      <c r="B22" s="129"/>
      <c r="C22" s="129"/>
      <c r="D22" s="129"/>
    </row>
    <row r="23" spans="1:4">
      <c r="A23" s="129" t="s">
        <v>406</v>
      </c>
      <c r="B23" s="129" t="s">
        <v>407</v>
      </c>
      <c r="C23" s="129"/>
      <c r="D23" s="129"/>
    </row>
    <row r="24" spans="1:4">
      <c r="A24" s="129"/>
      <c r="B24" s="129"/>
      <c r="C24" s="129"/>
    </row>
    <row r="25" spans="1:4">
      <c r="A25" s="129"/>
      <c r="B25" s="129"/>
      <c r="C25" s="129"/>
      <c r="D25" s="129"/>
    </row>
    <row r="26" spans="1:4">
      <c r="A26" s="324"/>
      <c r="B26" s="324"/>
      <c r="C26" s="324"/>
      <c r="D26" s="324"/>
    </row>
    <row r="27" spans="1:4">
      <c r="A27" s="324"/>
      <c r="B27" s="324"/>
      <c r="C27" s="324"/>
      <c r="D27" s="324"/>
    </row>
    <row r="28" spans="1:4">
      <c r="A28" s="324"/>
      <c r="B28" s="324"/>
      <c r="C28" s="324"/>
      <c r="D28" s="324"/>
    </row>
    <row r="29" spans="1:4">
      <c r="A29" s="324"/>
      <c r="B29" s="324"/>
      <c r="C29" s="324"/>
      <c r="D29" s="324"/>
    </row>
    <row r="30" spans="1:4">
      <c r="A30" s="324"/>
      <c r="B30" s="324"/>
      <c r="C30" s="324"/>
      <c r="D30" s="324"/>
    </row>
    <row r="31" spans="1:4">
      <c r="A31" s="324"/>
      <c r="B31" s="324"/>
      <c r="C31" s="324"/>
      <c r="D31" s="324"/>
    </row>
    <row r="32" spans="1:4">
      <c r="A32" s="324"/>
      <c r="B32" s="324"/>
      <c r="C32" s="324"/>
      <c r="D32" s="324"/>
    </row>
    <row r="33" spans="1:4">
      <c r="A33" s="324"/>
      <c r="B33" s="324"/>
      <c r="C33" s="324"/>
      <c r="D33" s="324"/>
    </row>
    <row r="34" spans="1:4">
      <c r="A34" s="324"/>
      <c r="B34" s="324"/>
      <c r="C34" s="324"/>
      <c r="D34" s="324"/>
    </row>
    <row r="35" spans="1:4">
      <c r="A35" s="324"/>
      <c r="B35" s="324"/>
      <c r="C35" s="324"/>
      <c r="D35" s="324"/>
    </row>
    <row r="36" spans="1:4">
      <c r="A36" s="324"/>
      <c r="B36" s="324"/>
      <c r="C36" s="324"/>
      <c r="D36" s="324"/>
    </row>
    <row r="37" spans="1:4">
      <c r="A37" s="324"/>
      <c r="B37" s="324"/>
      <c r="C37" s="324"/>
      <c r="D37" s="324"/>
    </row>
    <row r="38" spans="1:4">
      <c r="A38" s="324"/>
      <c r="B38" s="324"/>
      <c r="C38" s="324"/>
      <c r="D38" s="324"/>
    </row>
    <row r="39" spans="1:4">
      <c r="A39" s="324"/>
      <c r="B39" s="324"/>
      <c r="C39" s="324"/>
      <c r="D39" s="324"/>
    </row>
    <row r="40" spans="1:4">
      <c r="A40" s="324"/>
      <c r="B40" s="324"/>
      <c r="C40" s="324"/>
      <c r="D40" s="324"/>
    </row>
    <row r="41" spans="1:4">
      <c r="A41" s="324"/>
      <c r="B41" s="324"/>
      <c r="C41" s="324"/>
      <c r="D41" s="324"/>
    </row>
    <row r="42" spans="1:4">
      <c r="A42" s="324"/>
      <c r="B42" s="324"/>
      <c r="C42" s="324"/>
      <c r="D42" s="324"/>
    </row>
    <row r="43" spans="1:4">
      <c r="A43" s="324"/>
      <c r="B43" s="324"/>
      <c r="C43" s="324"/>
      <c r="D43" s="324"/>
    </row>
    <row r="44" spans="1:4">
      <c r="A44" s="324"/>
      <c r="B44" s="324"/>
      <c r="C44" s="324"/>
      <c r="D44" s="324"/>
    </row>
    <row r="45" spans="1:4">
      <c r="A45" s="324"/>
      <c r="B45" s="324"/>
      <c r="C45" s="324"/>
      <c r="D45" s="324"/>
    </row>
    <row r="46" spans="1:4">
      <c r="A46" s="324"/>
      <c r="B46" s="324"/>
      <c r="C46" s="324"/>
      <c r="D46" s="324"/>
    </row>
    <row r="47" spans="1:4">
      <c r="A47" s="324"/>
      <c r="B47" s="324"/>
      <c r="C47" s="324"/>
      <c r="D47" s="324"/>
    </row>
    <row r="48" spans="1:4">
      <c r="A48" s="324"/>
      <c r="B48" s="324"/>
      <c r="C48" s="324"/>
      <c r="D48" s="324"/>
    </row>
    <row r="49" spans="1:4">
      <c r="A49" s="324"/>
      <c r="B49" s="324"/>
      <c r="C49" s="324"/>
      <c r="D49" s="324"/>
    </row>
    <row r="50" spans="1:4">
      <c r="A50" s="324"/>
      <c r="B50" s="324"/>
      <c r="C50" s="324"/>
      <c r="D50" s="324"/>
    </row>
    <row r="51" spans="1:4">
      <c r="A51" s="324"/>
      <c r="B51" s="324"/>
      <c r="C51" s="324"/>
      <c r="D51" s="324"/>
    </row>
    <row r="52" spans="1:4">
      <c r="A52" s="324"/>
      <c r="B52" s="324"/>
      <c r="C52" s="324"/>
      <c r="D52" s="324"/>
    </row>
    <row r="53" spans="1:4">
      <c r="A53" s="324"/>
      <c r="B53" s="324"/>
      <c r="C53" s="324"/>
      <c r="D53" s="324"/>
    </row>
    <row r="54" spans="1:4">
      <c r="A54" s="324"/>
      <c r="B54" s="324"/>
      <c r="C54" s="324"/>
      <c r="D54" s="324"/>
    </row>
  </sheetData>
  <mergeCells count="44">
    <mergeCell ref="A20:B21"/>
    <mergeCell ref="A15:D15"/>
    <mergeCell ref="C1:D1"/>
    <mergeCell ref="A16:C16"/>
    <mergeCell ref="C2:D2"/>
    <mergeCell ref="B10:C10"/>
    <mergeCell ref="B11:C11"/>
    <mergeCell ref="B12:C12"/>
    <mergeCell ref="B13:C13"/>
    <mergeCell ref="B14:C14"/>
    <mergeCell ref="A9:D9"/>
    <mergeCell ref="A34:D34"/>
    <mergeCell ref="A26:D26"/>
    <mergeCell ref="A27:D27"/>
    <mergeCell ref="A28:D28"/>
    <mergeCell ref="A29:D29"/>
    <mergeCell ref="A30:D30"/>
    <mergeCell ref="A31:D31"/>
    <mergeCell ref="A32:D32"/>
    <mergeCell ref="A33:D33"/>
    <mergeCell ref="A45:D45"/>
    <mergeCell ref="A46:D46"/>
    <mergeCell ref="A35:D35"/>
    <mergeCell ref="A36:D36"/>
    <mergeCell ref="A37:D37"/>
    <mergeCell ref="A38:D38"/>
    <mergeCell ref="A39:D39"/>
    <mergeCell ref="A40:D40"/>
    <mergeCell ref="A53:D53"/>
    <mergeCell ref="A54:D54"/>
    <mergeCell ref="C4:D4"/>
    <mergeCell ref="C6:D6"/>
    <mergeCell ref="C5:D5"/>
    <mergeCell ref="A8:D8"/>
    <mergeCell ref="A47:D47"/>
    <mergeCell ref="A48:D48"/>
    <mergeCell ref="A49:D49"/>
    <mergeCell ref="A50:D50"/>
    <mergeCell ref="A51:D51"/>
    <mergeCell ref="A52:D52"/>
    <mergeCell ref="A41:D41"/>
    <mergeCell ref="A42:D42"/>
    <mergeCell ref="A43:D43"/>
    <mergeCell ref="A44:D44"/>
  </mergeCells>
  <pageMargins left="0.7" right="0.7" top="0.75" bottom="0.75" header="0.3" footer="0.3"/>
  <pageSetup paperSize="9" scale="8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7">
    <tabColor rgb="FF00B050"/>
  </sheetPr>
  <dimension ref="B1:G42"/>
  <sheetViews>
    <sheetView view="pageBreakPreview" zoomScaleSheetLayoutView="100" workbookViewId="0">
      <selection activeCell="B40" sqref="B40:F40"/>
    </sheetView>
  </sheetViews>
  <sheetFormatPr defaultColWidth="9.140625" defaultRowHeight="15"/>
  <cols>
    <col min="1" max="1" width="3.42578125" style="10" customWidth="1"/>
    <col min="2" max="3" width="17.85546875" style="15" customWidth="1"/>
    <col min="4" max="4" width="15" style="15" customWidth="1"/>
    <col min="5" max="5" width="17.85546875" style="15" customWidth="1"/>
    <col min="6" max="6" width="9" style="15" customWidth="1"/>
    <col min="7" max="7" width="4.7109375" style="15" customWidth="1"/>
    <col min="8" max="16384" width="9.140625" style="10"/>
  </cols>
  <sheetData>
    <row r="1" spans="2:7" ht="15.75" thickBot="1"/>
    <row r="2" spans="2:7" ht="62.25" customHeight="1">
      <c r="B2" s="334" t="str">
        <f>malumot!B156</f>
        <v>«CLEVER MIKROMOLIYA TASHKILOTI» MChJ</v>
      </c>
      <c r="C2" s="335"/>
      <c r="D2" s="335"/>
      <c r="E2" s="335"/>
      <c r="F2" s="336"/>
      <c r="G2" s="35"/>
    </row>
    <row r="3" spans="2:7">
      <c r="B3" s="329"/>
      <c r="C3" s="312"/>
      <c r="D3" s="312"/>
      <c r="E3" s="312"/>
      <c r="F3" s="330"/>
      <c r="G3" s="36"/>
    </row>
    <row r="4" spans="2:7" ht="8.25" customHeight="1">
      <c r="B4" s="47"/>
      <c r="F4" s="48"/>
      <c r="G4" s="36"/>
    </row>
    <row r="5" spans="2:7" ht="12" customHeight="1">
      <c r="B5" s="38"/>
      <c r="C5" s="36"/>
      <c r="D5" s="36"/>
      <c r="E5" s="36"/>
      <c r="F5" s="39"/>
      <c r="G5" s="36"/>
    </row>
    <row r="6" spans="2:7" ht="6.75" customHeight="1">
      <c r="B6" s="38"/>
      <c r="C6" s="36"/>
      <c r="D6" s="36"/>
      <c r="E6" s="36"/>
      <c r="F6" s="39"/>
      <c r="G6" s="36"/>
    </row>
    <row r="7" spans="2:7" ht="6.75" customHeight="1">
      <c r="B7" s="38"/>
      <c r="C7" s="36"/>
      <c r="D7" s="36"/>
      <c r="E7" s="36"/>
      <c r="F7" s="39"/>
      <c r="G7" s="36"/>
    </row>
    <row r="8" spans="2:7">
      <c r="B8" s="38"/>
      <c r="C8" s="36"/>
      <c r="D8" s="36"/>
      <c r="E8" s="36"/>
      <c r="F8" s="39"/>
      <c r="G8" s="36"/>
    </row>
    <row r="9" spans="2:7">
      <c r="B9" s="38"/>
      <c r="C9" s="36"/>
      <c r="D9" s="36"/>
      <c r="E9" s="36"/>
      <c r="F9" s="39"/>
      <c r="G9" s="36"/>
    </row>
    <row r="10" spans="2:7">
      <c r="B10" s="329" t="s">
        <v>26</v>
      </c>
      <c r="C10" s="312"/>
      <c r="D10" s="312"/>
      <c r="E10" s="312"/>
      <c r="F10" s="330"/>
      <c r="G10" s="36"/>
    </row>
    <row r="11" spans="2:7">
      <c r="B11" s="329" t="s">
        <v>26</v>
      </c>
      <c r="C11" s="312"/>
      <c r="D11" s="312"/>
      <c r="E11" s="312"/>
      <c r="F11" s="330"/>
      <c r="G11" s="36"/>
    </row>
    <row r="12" spans="2:7" ht="135" customHeight="1">
      <c r="B12" s="337" t="str">
        <f>malumot!B5</f>
        <v>XAYATOV OTABEK KURBANOVICH</v>
      </c>
      <c r="C12" s="338"/>
      <c r="D12" s="338"/>
      <c r="E12" s="338"/>
      <c r="F12" s="339"/>
      <c r="G12" s="37"/>
    </row>
    <row r="13" spans="2:7">
      <c r="B13" s="329"/>
      <c r="C13" s="312"/>
      <c r="D13" s="312"/>
      <c r="E13" s="312"/>
      <c r="F13" s="330"/>
      <c r="G13" s="36"/>
    </row>
    <row r="14" spans="2:7">
      <c r="B14" s="38"/>
      <c r="C14" s="36"/>
      <c r="D14" s="36"/>
      <c r="E14" s="36"/>
      <c r="F14" s="39"/>
      <c r="G14" s="36"/>
    </row>
    <row r="15" spans="2:7">
      <c r="B15" s="38"/>
      <c r="C15" s="36"/>
      <c r="D15" s="36"/>
      <c r="E15" s="36"/>
      <c r="F15" s="39"/>
      <c r="G15" s="36"/>
    </row>
    <row r="16" spans="2:7">
      <c r="B16" s="38"/>
      <c r="C16" s="36"/>
      <c r="D16" s="36"/>
      <c r="E16" s="36"/>
      <c r="F16" s="39"/>
      <c r="G16" s="36"/>
    </row>
    <row r="17" spans="2:7">
      <c r="B17" s="38"/>
      <c r="C17" s="36"/>
      <c r="D17" s="36"/>
      <c r="E17" s="36"/>
      <c r="F17" s="39"/>
      <c r="G17" s="36"/>
    </row>
    <row r="18" spans="2:7">
      <c r="B18" s="329"/>
      <c r="C18" s="312"/>
      <c r="D18" s="312"/>
      <c r="E18" s="312"/>
      <c r="F18" s="330"/>
      <c r="G18" s="36"/>
    </row>
    <row r="19" spans="2:7" ht="20.25">
      <c r="B19" s="331" t="str">
        <f>""&amp;malumot!C64&amp;" shartnoma "&amp;malumot!B74&amp;""</f>
        <v>Mikroqarz shartnoma 1 aprel 2025 y.dan № 687-BR</v>
      </c>
      <c r="C19" s="332"/>
      <c r="D19" s="332"/>
      <c r="E19" s="332"/>
      <c r="F19" s="333"/>
      <c r="G19" s="36"/>
    </row>
    <row r="20" spans="2:7">
      <c r="B20" s="329"/>
      <c r="C20" s="312"/>
      <c r="D20" s="312"/>
      <c r="E20" s="312"/>
      <c r="F20" s="330"/>
      <c r="G20" s="36"/>
    </row>
    <row r="21" spans="2:7">
      <c r="B21" s="329"/>
      <c r="C21" s="312"/>
      <c r="D21" s="312"/>
      <c r="E21" s="312"/>
      <c r="F21" s="330"/>
      <c r="G21" s="36"/>
    </row>
    <row r="22" spans="2:7">
      <c r="B22" s="329"/>
      <c r="C22" s="312"/>
      <c r="D22" s="312"/>
      <c r="E22" s="312"/>
      <c r="F22" s="330"/>
      <c r="G22" s="36"/>
    </row>
    <row r="23" spans="2:7">
      <c r="B23" s="329"/>
      <c r="C23" s="312"/>
      <c r="D23" s="312"/>
      <c r="E23" s="312"/>
      <c r="F23" s="330"/>
      <c r="G23" s="36"/>
    </row>
    <row r="24" spans="2:7">
      <c r="B24" s="343" t="str">
        <f>" Foiz stavkasi: "&amp;malumot!B85&amp;"%"</f>
        <v xml:space="preserve"> Foiz stavkasi: 60%</v>
      </c>
      <c r="C24" s="282"/>
      <c r="D24" s="282"/>
      <c r="E24" s="282"/>
      <c r="F24" s="344"/>
      <c r="G24" s="36"/>
    </row>
    <row r="25" spans="2:7" ht="15" customHeight="1">
      <c r="B25" s="343" t="str">
        <f>" "&amp;malumot!C64&amp;" muddati: "&amp;malumot!B81&amp;" oy"</f>
        <v xml:space="preserve"> Mikroqarz muddati: 32 oy</v>
      </c>
      <c r="C25" s="282"/>
      <c r="D25" s="282"/>
      <c r="E25" s="282"/>
      <c r="F25" s="344"/>
      <c r="G25" s="36"/>
    </row>
    <row r="26" spans="2:7">
      <c r="B26" s="343" t="str">
        <f>" "&amp;malumot!C64&amp;" miqdori: "&amp;FIXED(malumot!B75,2)&amp;" so'm"</f>
        <v xml:space="preserve"> Mikroqarz miqdori: 26 000 000,00 so'm</v>
      </c>
      <c r="C26" s="282"/>
      <c r="D26" s="282"/>
      <c r="E26" s="282"/>
      <c r="F26" s="344"/>
      <c r="G26" s="36"/>
    </row>
    <row r="27" spans="2:7">
      <c r="B27" s="329"/>
      <c r="C27" s="312"/>
      <c r="D27" s="312"/>
      <c r="E27" s="312"/>
      <c r="F27" s="330"/>
      <c r="G27" s="36"/>
    </row>
    <row r="28" spans="2:7" hidden="1">
      <c r="G28" s="36"/>
    </row>
    <row r="29" spans="2:7">
      <c r="B29" s="329"/>
      <c r="C29" s="312"/>
      <c r="D29" s="312"/>
      <c r="E29" s="312"/>
      <c r="F29" s="330"/>
      <c r="G29" s="36"/>
    </row>
    <row r="30" spans="2:7" ht="12.75" customHeight="1">
      <c r="B30" s="38"/>
      <c r="C30" s="36"/>
      <c r="D30" s="36"/>
      <c r="E30" s="36"/>
      <c r="F30" s="39"/>
      <c r="G30" s="36"/>
    </row>
    <row r="31" spans="2:7">
      <c r="B31" s="38"/>
      <c r="C31" s="36"/>
      <c r="D31" s="36"/>
      <c r="E31" s="36"/>
      <c r="F31" s="39"/>
      <c r="G31" s="36"/>
    </row>
    <row r="32" spans="2:7" ht="2.25" customHeight="1">
      <c r="B32" s="38"/>
      <c r="C32" s="36"/>
      <c r="D32" s="36"/>
      <c r="E32" s="36"/>
      <c r="F32" s="39"/>
      <c r="G32" s="36"/>
    </row>
    <row r="33" spans="2:7">
      <c r="B33" s="38"/>
      <c r="C33" s="36"/>
      <c r="D33" s="36"/>
      <c r="E33" s="36"/>
      <c r="F33" s="39"/>
      <c r="G33" s="36"/>
    </row>
    <row r="34" spans="2:7">
      <c r="B34" s="38"/>
      <c r="C34" s="36"/>
      <c r="D34" s="36"/>
      <c r="E34" s="36"/>
      <c r="F34" s="39"/>
      <c r="G34" s="36"/>
    </row>
    <row r="35" spans="2:7">
      <c r="B35" s="38"/>
      <c r="C35" s="36"/>
      <c r="D35" s="36"/>
      <c r="E35" s="36"/>
      <c r="F35" s="39"/>
      <c r="G35" s="36"/>
    </row>
    <row r="36" spans="2:7">
      <c r="B36" s="38"/>
      <c r="C36" s="36"/>
      <c r="D36" s="36"/>
      <c r="E36" s="36"/>
      <c r="F36" s="39"/>
      <c r="G36" s="36"/>
    </row>
    <row r="37" spans="2:7">
      <c r="B37" s="38"/>
      <c r="C37" s="36"/>
      <c r="D37" s="36"/>
      <c r="E37" s="36"/>
      <c r="F37" s="39"/>
      <c r="G37" s="36"/>
    </row>
    <row r="38" spans="2:7">
      <c r="B38" s="38"/>
      <c r="C38" s="36"/>
      <c r="D38" s="36"/>
      <c r="E38" s="36"/>
      <c r="F38" s="39"/>
      <c r="G38" s="36"/>
    </row>
    <row r="39" spans="2:7">
      <c r="B39" s="38"/>
      <c r="C39" s="36"/>
      <c r="D39" s="36"/>
      <c r="E39" s="36"/>
      <c r="F39" s="39"/>
      <c r="G39" s="36"/>
    </row>
    <row r="40" spans="2:7" ht="15.75" thickBot="1">
      <c r="B40" s="340" t="str">
        <f>"Toshkent sh., "&amp;malumot!B70&amp;""</f>
        <v>Toshkent sh., 1 aprel 2025 y.</v>
      </c>
      <c r="C40" s="341"/>
      <c r="D40" s="341"/>
      <c r="E40" s="341"/>
      <c r="F40" s="342"/>
      <c r="G40" s="36"/>
    </row>
    <row r="41" spans="2:7">
      <c r="B41" s="312"/>
      <c r="C41" s="312"/>
      <c r="D41" s="312"/>
      <c r="E41" s="312"/>
      <c r="F41" s="312"/>
      <c r="G41" s="36"/>
    </row>
    <row r="42" spans="2:7">
      <c r="B42" s="312"/>
      <c r="C42" s="312"/>
      <c r="D42" s="312"/>
      <c r="E42" s="312"/>
      <c r="F42" s="312"/>
      <c r="G42" s="36"/>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5">
    <tabColor rgb="FF00B050"/>
  </sheetPr>
  <dimension ref="A1:F43"/>
  <sheetViews>
    <sheetView view="pageBreakPreview" topLeftCell="A6" zoomScaleSheetLayoutView="100" workbookViewId="0">
      <selection activeCell="F26" sqref="F26"/>
    </sheetView>
  </sheetViews>
  <sheetFormatPr defaultColWidth="9.140625" defaultRowHeight="12.75"/>
  <cols>
    <col min="1" max="6" width="14.28515625" style="19" customWidth="1"/>
    <col min="7" max="16384" width="9.140625" style="19"/>
  </cols>
  <sheetData>
    <row r="1" spans="1:6">
      <c r="A1" s="349" t="s">
        <v>215</v>
      </c>
      <c r="B1" s="349"/>
      <c r="C1" s="349"/>
      <c r="D1" s="349"/>
      <c r="E1" s="349"/>
      <c r="F1" s="349"/>
    </row>
    <row r="2" spans="1:6" ht="35.25" customHeight="1">
      <c r="A2" s="350" t="s">
        <v>323</v>
      </c>
      <c r="B2" s="350"/>
      <c r="C2" s="350"/>
      <c r="D2" s="350"/>
      <c r="E2" s="350"/>
      <c r="F2" s="350"/>
    </row>
    <row r="3" spans="1:6">
      <c r="A3" s="349" t="s">
        <v>216</v>
      </c>
      <c r="B3" s="349"/>
      <c r="C3" s="349"/>
      <c r="D3" s="349"/>
      <c r="E3" s="349"/>
      <c r="F3" s="349"/>
    </row>
    <row r="4" spans="1:6">
      <c r="A4" s="345" t="str">
        <f>xulosa!A4:E4</f>
        <v>Mijozning to'liq ismi sharifi: XAYATOV OTABEK KURBANOVICH</v>
      </c>
      <c r="B4" s="345"/>
      <c r="C4" s="345"/>
      <c r="D4" s="345"/>
      <c r="E4" s="345"/>
      <c r="F4" s="345"/>
    </row>
    <row r="5" spans="1:6">
      <c r="A5" s="345" t="str">
        <f>xulosa!A5:E5</f>
        <v>Tug'ilgan sanasi: 22.08.1982 y</v>
      </c>
      <c r="B5" s="345"/>
      <c r="C5" s="345"/>
      <c r="D5" s="345"/>
      <c r="E5" s="345"/>
      <c r="F5" s="345"/>
    </row>
    <row r="6" spans="1:6" ht="32.25" customHeight="1">
      <c r="A6" s="345" t="str">
        <f>xulosa!A6:E6</f>
        <v>Pasport seriyasi AB 7858443 BUXORO VILOYATI KOGON TUMAN IIB tomonidan 06.10.2017 yilda berilgan, amal qilish muddati - 05.10.2027 y.</v>
      </c>
      <c r="B6" s="345"/>
      <c r="C6" s="345"/>
      <c r="D6" s="345"/>
      <c r="E6" s="345"/>
      <c r="F6" s="345"/>
    </row>
    <row r="7" spans="1:6">
      <c r="A7" s="345" t="str">
        <f>"Fuqaroligi: "&amp;malumot!B32&amp;""</f>
        <v>Fuqaroligi: O’zbekiston Respublikasi</v>
      </c>
      <c r="B7" s="345"/>
      <c r="C7" s="345"/>
      <c r="D7" s="345"/>
      <c r="E7" s="345"/>
      <c r="F7" s="345"/>
    </row>
    <row r="8" spans="1:6" ht="26.25" customHeight="1">
      <c r="A8" s="345" t="str">
        <f>xulosa!A7:E7</f>
        <v>Ro‘yxatdan o‘tgan manzili: BUXORO VILOYATI KOGON TUMANI NIYOZ HOJI QISHLOG'I, mo'ljal: 25-MAKTAB, 3-BOG'CHA, XOKIMIYAT</v>
      </c>
      <c r="B8" s="345"/>
      <c r="C8" s="345"/>
      <c r="D8" s="345"/>
      <c r="E8" s="345"/>
      <c r="F8" s="345"/>
    </row>
    <row r="9" spans="1:6">
      <c r="A9" s="345" t="str">
        <f>IF(malumot!B23="mos keladi"," ",mijoz_anketasi!A10:F10)</f>
        <v xml:space="preserve"> </v>
      </c>
      <c r="B9" s="345"/>
      <c r="C9" s="345"/>
      <c r="D9" s="345"/>
      <c r="E9" s="345"/>
      <c r="F9" s="345"/>
    </row>
    <row r="10" spans="1:6" ht="31.5" hidden="1" customHeight="1">
      <c r="A10" s="345" t="str">
        <f>"Haqiqatdan yashash joy manzili: "&amp;malumot!B28&amp;""</f>
        <v>Haqiqatdan yashash joy manzili: BUXORO VILOYATI KOGON TUMANI NIYOZ HOJI QISHLOG'I</v>
      </c>
      <c r="B10" s="345"/>
      <c r="C10" s="345"/>
      <c r="D10" s="345"/>
      <c r="E10" s="345"/>
      <c r="F10" s="345"/>
    </row>
    <row r="11" spans="1:6" ht="16.5" hidden="1" customHeight="1">
      <c r="A11" s="345" t="str">
        <f>xulosa!A8:E8</f>
        <v>Ish joyi:  lavozimi Yakka tartibdagi tadbirkorda Yakka tartibdagi tadbirkor</v>
      </c>
      <c r="B11" s="345"/>
      <c r="C11" s="345"/>
      <c r="D11" s="345"/>
      <c r="E11" s="345"/>
      <c r="F11" s="345"/>
    </row>
    <row r="12" spans="1:6">
      <c r="A12" s="349" t="s">
        <v>217</v>
      </c>
      <c r="B12" s="349"/>
      <c r="C12" s="349"/>
      <c r="D12" s="349"/>
      <c r="E12" s="349"/>
      <c r="F12" s="349"/>
    </row>
    <row r="13" spans="1:6">
      <c r="A13" s="345" t="str">
        <f>"Uy telefoni raqami: "&amp;malumot!B40&amp;""</f>
        <v>Uy telefoni raqami: 97 305 82 83 UZI</v>
      </c>
      <c r="B13" s="345"/>
      <c r="C13" s="345"/>
      <c r="D13" s="345"/>
      <c r="E13" s="345"/>
      <c r="F13" s="345"/>
    </row>
    <row r="14" spans="1:6">
      <c r="A14" s="345" t="str">
        <f>"Uyali telefon raqami: "&amp;malumot!B41&amp;""</f>
        <v>Uyali telefon raqami: 88 305 82 89 AYOLI</v>
      </c>
      <c r="B14" s="345"/>
      <c r="C14" s="345"/>
      <c r="D14" s="345"/>
      <c r="E14" s="345"/>
      <c r="F14" s="345"/>
    </row>
    <row r="15" spans="1:6">
      <c r="A15" s="345" t="str">
        <f>"Uyali telefon raqami: "&amp;malumot!B42&amp;""</f>
        <v>Uyali telefon raqami: 97 705 05 17 O'G'LI</v>
      </c>
      <c r="B15" s="345"/>
      <c r="C15" s="345"/>
      <c r="D15" s="345"/>
      <c r="E15" s="345"/>
      <c r="F15" s="345"/>
    </row>
    <row r="16" spans="1:6" hidden="1">
      <c r="A16" s="345" t="str">
        <f>"Uyali telefon raqami: "&amp;malumot!B42&amp;""</f>
        <v>Uyali telefon raqami: 97 705 05 17 O'G'LI</v>
      </c>
      <c r="B16" s="345"/>
      <c r="C16" s="345"/>
      <c r="D16" s="345"/>
      <c r="E16" s="345"/>
      <c r="F16" s="345"/>
    </row>
    <row r="17" spans="1:6">
      <c r="A17" s="345" t="str">
        <f>"Ish telefoni raqami: "&amp;malumot!B43&amp;""</f>
        <v xml:space="preserve">Ish telefoni raqami: </v>
      </c>
      <c r="B17" s="345"/>
      <c r="C17" s="345"/>
      <c r="D17" s="345"/>
      <c r="E17" s="345"/>
      <c r="F17" s="345"/>
    </row>
    <row r="18" spans="1:6">
      <c r="A18" s="349" t="s">
        <v>218</v>
      </c>
      <c r="B18" s="349"/>
      <c r="C18" s="349"/>
      <c r="D18" s="349"/>
      <c r="E18" s="349"/>
      <c r="F18" s="349"/>
    </row>
    <row r="19" spans="1:6">
      <c r="A19" s="345" t="str">
        <f>"Muassasa nomlanishi:"&amp;malumot!B58&amp;""</f>
        <v>Muassasa nomlanishi:Yakka tartibdagi tadbirkor</v>
      </c>
      <c r="B19" s="345"/>
      <c r="C19" s="345"/>
      <c r="D19" s="345"/>
      <c r="E19" s="345"/>
      <c r="F19" s="345"/>
    </row>
    <row r="20" spans="1:6">
      <c r="A20" s="345" t="str">
        <f>"Ro‘yxatdan o‘tish manzili:"&amp;malumot!B50&amp;""</f>
        <v>Ro‘yxatdan o‘tish manzili:</v>
      </c>
      <c r="B20" s="345"/>
      <c r="C20" s="345"/>
      <c r="D20" s="345"/>
      <c r="E20" s="345"/>
      <c r="F20" s="345"/>
    </row>
    <row r="21" spans="1:6">
      <c r="A21" s="345" t="str">
        <f>"Lavozimi: "&amp;malumot!B59&amp;""</f>
        <v>Lavozimi: Yakka tartibdagi tadbirkor</v>
      </c>
      <c r="B21" s="345"/>
      <c r="C21" s="345"/>
      <c r="D21" s="345"/>
      <c r="E21" s="345"/>
      <c r="F21" s="345"/>
    </row>
    <row r="22" spans="1:6">
      <c r="A22" s="349" t="s">
        <v>219</v>
      </c>
      <c r="B22" s="346"/>
      <c r="C22" s="346"/>
      <c r="D22" s="346"/>
      <c r="E22" s="346"/>
      <c r="F22" s="346"/>
    </row>
    <row r="23" spans="1:6" s="21" customFormat="1" ht="25.5">
      <c r="A23" s="20" t="s">
        <v>220</v>
      </c>
      <c r="B23" s="20" t="s">
        <v>221</v>
      </c>
      <c r="C23" s="20" t="s">
        <v>222</v>
      </c>
      <c r="D23" s="20" t="s">
        <v>223</v>
      </c>
      <c r="E23" s="20" t="s">
        <v>224</v>
      </c>
      <c r="F23" s="20" t="s">
        <v>225</v>
      </c>
    </row>
    <row r="24" spans="1:6" ht="51">
      <c r="A24" s="22" t="s">
        <v>226</v>
      </c>
      <c r="B24" s="23">
        <f>malumot!B60</f>
        <v>10000000</v>
      </c>
      <c r="C24" s="23">
        <v>0</v>
      </c>
      <c r="D24" s="23">
        <v>0</v>
      </c>
      <c r="E24" s="22" t="s">
        <v>229</v>
      </c>
      <c r="F24" s="23">
        <v>700000</v>
      </c>
    </row>
    <row r="25" spans="1:6" ht="25.5">
      <c r="A25" s="22" t="s">
        <v>227</v>
      </c>
      <c r="B25" s="23">
        <v>0</v>
      </c>
      <c r="C25" s="23">
        <v>0</v>
      </c>
      <c r="D25" s="23">
        <v>0</v>
      </c>
      <c r="E25" s="22" t="s">
        <v>230</v>
      </c>
      <c r="F25" s="23">
        <v>450000</v>
      </c>
    </row>
    <row r="26" spans="1:6" ht="28.5" customHeight="1">
      <c r="A26" s="22" t="s">
        <v>228</v>
      </c>
      <c r="B26" s="23">
        <f>malumot!B61</f>
        <v>0</v>
      </c>
      <c r="C26" s="23">
        <v>0</v>
      </c>
      <c r="D26" s="23">
        <v>0</v>
      </c>
      <c r="E26" s="22" t="s">
        <v>231</v>
      </c>
      <c r="F26" s="23">
        <v>500000</v>
      </c>
    </row>
    <row r="27" spans="1:6" s="26" customFormat="1">
      <c r="A27" s="24" t="s">
        <v>207</v>
      </c>
      <c r="B27" s="25">
        <f>B24+B25+B26</f>
        <v>10000000</v>
      </c>
      <c r="C27" s="25">
        <f t="shared" ref="C27:D27" si="0">SUM(C24:C26)</f>
        <v>0</v>
      </c>
      <c r="D27" s="25">
        <f t="shared" si="0"/>
        <v>0</v>
      </c>
      <c r="E27" s="24"/>
      <c r="F27" s="25">
        <f>F24+F25+F26</f>
        <v>1650000</v>
      </c>
    </row>
    <row r="28" spans="1:6" ht="31.5" customHeight="1">
      <c r="A28" s="345" t="str">
        <f>"Men, "&amp;malumot!B5&amp;", ushbu anketada ko‘rsatilgan barcha ma'lumotlar anketa to'ldirilgan sanada  to'g'ri va aniq ekanligini tasdiqlayman."</f>
        <v>Men, XAYATOV OTABEK KURBANOVICH, ushbu anketada ko‘rsatilgan barcha ma'lumotlar anketa to'ldirilgan sanada  to'g'ri va aniq ekanligini tasdiqlayman.</v>
      </c>
      <c r="B28" s="345"/>
      <c r="C28" s="345"/>
      <c r="D28" s="345"/>
      <c r="E28" s="345"/>
      <c r="F28" s="345"/>
    </row>
    <row r="29" spans="1:6">
      <c r="A29" s="345" t="str">
        <f>"Men,  "&amp;malumot!B5&amp;", quyidagilarni tan olaman va roziman::"</f>
        <v>Men,  XAYATOV OTABEK KURBANOVICH, quyidagilarni tan olaman va roziman::</v>
      </c>
      <c r="B29" s="345"/>
      <c r="C29" s="345"/>
      <c r="D29" s="345"/>
      <c r="E29" s="345"/>
      <c r="F29" s="345"/>
    </row>
    <row r="30" spans="1:6" ht="45.75" customHeight="1">
      <c r="A30" s="345" t="str">
        <f>"1.  Ushbu anketada ko‘rsatilgan har qanday ma’lumot  "&amp;malumot!B155&amp;",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45"/>
      <c r="C30" s="345"/>
      <c r="D30" s="345"/>
      <c r="E30" s="345"/>
      <c r="F30" s="345"/>
    </row>
    <row r="31" spans="1:6" ht="42.75" customHeight="1">
      <c r="A31" s="345" t="str">
        <f>"2. Mazkur anketaning "&amp;malumot!B155&amp;"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45"/>
      <c r="C31" s="345"/>
      <c r="D31" s="345"/>
      <c r="E31" s="345"/>
      <c r="F31" s="345"/>
    </row>
    <row r="32" spans="1:6" ht="71.25" customHeight="1">
      <c r="A32" s="345" t="s">
        <v>232</v>
      </c>
      <c r="B32" s="345"/>
      <c r="C32" s="345"/>
      <c r="D32" s="345"/>
      <c r="E32" s="345"/>
      <c r="F32" s="345"/>
    </row>
    <row r="33" spans="1:6">
      <c r="A33" s="345"/>
      <c r="B33" s="345"/>
      <c r="C33" s="345"/>
      <c r="D33" s="345"/>
      <c r="E33" s="345"/>
      <c r="F33" s="345"/>
    </row>
    <row r="34" spans="1:6" ht="12.75" customHeight="1">
      <c r="A34" s="346" t="s">
        <v>233</v>
      </c>
      <c r="B34" s="346"/>
      <c r="C34" s="346"/>
      <c r="D34" s="126" t="s">
        <v>156</v>
      </c>
      <c r="E34" s="346" t="s">
        <v>234</v>
      </c>
      <c r="F34" s="346"/>
    </row>
    <row r="35" spans="1:6" ht="25.5" customHeight="1">
      <c r="A35" s="347"/>
      <c r="B35" s="347"/>
      <c r="C35" s="347"/>
      <c r="D35" s="348" t="str">
        <f>malumot!B2</f>
        <v>01.04.2025</v>
      </c>
      <c r="E35" s="347"/>
      <c r="F35" s="347"/>
    </row>
    <row r="36" spans="1:6" ht="25.5" customHeight="1">
      <c r="A36" s="347"/>
      <c r="B36" s="347"/>
      <c r="C36" s="347"/>
      <c r="D36" s="348"/>
      <c r="E36" s="347"/>
      <c r="F36" s="347"/>
    </row>
    <row r="37" spans="1:6">
      <c r="A37" s="345"/>
      <c r="B37" s="345"/>
      <c r="C37" s="345"/>
      <c r="D37" s="345"/>
      <c r="E37" s="345"/>
      <c r="F37" s="345"/>
    </row>
    <row r="38" spans="1:6">
      <c r="A38" s="345"/>
      <c r="B38" s="345"/>
      <c r="C38" s="345"/>
      <c r="D38" s="345"/>
      <c r="E38" s="345"/>
      <c r="F38" s="345"/>
    </row>
    <row r="39" spans="1:6">
      <c r="A39" s="345"/>
      <c r="B39" s="345"/>
      <c r="C39" s="345"/>
      <c r="D39" s="345"/>
      <c r="E39" s="345"/>
      <c r="F39" s="345"/>
    </row>
    <row r="40" spans="1:6">
      <c r="A40" s="345"/>
      <c r="B40" s="345"/>
      <c r="C40" s="345"/>
      <c r="D40" s="345"/>
      <c r="E40" s="345"/>
      <c r="F40" s="345"/>
    </row>
    <row r="41" spans="1:6">
      <c r="A41" s="345"/>
      <c r="B41" s="345"/>
      <c r="C41" s="345"/>
      <c r="D41" s="345"/>
      <c r="E41" s="345"/>
      <c r="F41" s="345"/>
    </row>
    <row r="42" spans="1:6">
      <c r="A42" s="345"/>
      <c r="B42" s="345"/>
      <c r="C42" s="345"/>
      <c r="D42" s="345"/>
      <c r="E42" s="345"/>
      <c r="F42" s="345"/>
    </row>
    <row r="43" spans="1:6">
      <c r="A43" s="345"/>
      <c r="B43" s="345"/>
      <c r="C43" s="345"/>
      <c r="D43" s="345"/>
      <c r="E43" s="345"/>
      <c r="F43" s="345"/>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22">
    <tabColor rgb="FF00B050"/>
  </sheetPr>
  <dimension ref="A3:B11"/>
  <sheetViews>
    <sheetView view="pageBreakPreview" zoomScale="85" zoomScaleNormal="100" zoomScaleSheetLayoutView="85" workbookViewId="0">
      <selection activeCell="B24" sqref="B24"/>
    </sheetView>
  </sheetViews>
  <sheetFormatPr defaultRowHeight="15"/>
  <cols>
    <col min="1" max="1" width="54.42578125" style="10" customWidth="1"/>
    <col min="2" max="2" width="32.28515625" style="10" customWidth="1"/>
  </cols>
  <sheetData>
    <row r="3" spans="1:2" ht="35.25" customHeight="1">
      <c r="A3" s="351" t="s">
        <v>212</v>
      </c>
      <c r="B3" s="351"/>
    </row>
    <row r="4" spans="1:2" ht="92.25" customHeight="1">
      <c r="A4" s="280" t="str">
        <f>"     Men, fuqaro "&amp;malumot!B5&amp;" "&amp;malumot!B157&amp;" bilan "&amp;malumot!B69&amp;" sanasidagi "&amp;malumot!B66&amp;"-sonli shartnomaning garov ta'minoti sifatida taqdim etilayotgan mulk "&amp;malumot!B133&amp;" rusumli avtotransport vositasini qonunga xilof ravishda o‘zlashtirmaslikka, yashirmaslikka, nobud qilmaslikka yoki unga shikast yetkazmaslik majburiyatini olaman."</f>
        <v xml:space="preserve">     Men, fuqaro XAYATOV OTABEK KURBANOVICH «CLEVER MIKROMOLIYA TASHKILOTI» MChJ bilan 1 aprel 2025 y. sanasidagi № 687-BR-sonli shartnomaning garov ta'minoti sifatida taqdim etilayotgan mulk SPARK rusumli avtotransport vositasini qonunga xilof ravishda o‘zlashtirmaslikka, yashirmaslikka, nobud qilmaslikka yoki unga shikast yetkazmaslik majburiyatini olaman.</v>
      </c>
      <c r="B4" s="280"/>
    </row>
    <row r="5" spans="1:2" ht="56.25" customHeight="1">
      <c r="A5" s="352" t="s">
        <v>213</v>
      </c>
      <c r="B5" s="352"/>
    </row>
    <row r="6" spans="1:2" ht="42.75" customHeight="1"/>
    <row r="7" spans="1:2">
      <c r="A7" s="10" t="str">
        <f>malumot!B5</f>
        <v>XAYATOV OTABEK KURBANOVICH</v>
      </c>
      <c r="B7" s="116" t="s">
        <v>214</v>
      </c>
    </row>
    <row r="8" spans="1:2" ht="26.25" customHeight="1"/>
    <row r="9" spans="1:2" ht="26.25" customHeight="1"/>
    <row r="10" spans="1:2" ht="26.25" customHeight="1"/>
    <row r="11" spans="1:2">
      <c r="A11" s="10" t="str">
        <f>"sana:   "&amp;TEXT(malumot!B2,"ДД.ММ.ГГГГ")&amp;" y."</f>
        <v>sana:   01.04.2025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6">
    <tabColor rgb="FF00B050"/>
  </sheetPr>
  <dimension ref="A1:E78"/>
  <sheetViews>
    <sheetView view="pageBreakPreview" topLeftCell="A19" zoomScaleSheetLayoutView="100" workbookViewId="0">
      <selection activeCell="A43" sqref="A43"/>
    </sheetView>
  </sheetViews>
  <sheetFormatPr defaultColWidth="9.140625" defaultRowHeight="15.75"/>
  <cols>
    <col min="1" max="1" width="20.140625" style="4" customWidth="1"/>
    <col min="2" max="2" width="18.7109375" style="4" customWidth="1"/>
    <col min="3" max="3" width="19.7109375" style="4" customWidth="1"/>
    <col min="4" max="4" width="20.140625" style="4" bestFit="1" customWidth="1"/>
    <col min="5" max="16384" width="9.140625" style="4"/>
  </cols>
  <sheetData>
    <row r="1" spans="1:4" ht="66.75" customHeight="1">
      <c r="C1" s="355" t="str">
        <f>""&amp;malumot!B155&amp;"ning
"&amp;malumot!A158&amp;""</f>
        <v>«CLEVER MIKROMOLIYA TASHKILOTI» MChJning
Buxoro filiali boshlig'i</v>
      </c>
      <c r="D1" s="355"/>
    </row>
    <row r="2" spans="1:4">
      <c r="C2" s="8"/>
      <c r="D2" s="9" t="str">
        <f>""&amp;malumot!B158&amp;"ga"</f>
        <v>A.Xudayberdiyevga</v>
      </c>
    </row>
    <row r="4" spans="1:4">
      <c r="A4" s="269" t="str">
        <f>""&amp;malumot!C64&amp;" olish uchun Ariza"</f>
        <v>Mikroqarz olish uchun Ariza</v>
      </c>
      <c r="B4" s="269"/>
      <c r="C4" s="269"/>
      <c r="D4" s="269"/>
    </row>
    <row r="5" spans="1:4">
      <c r="A5" s="269"/>
      <c r="B5" s="269"/>
      <c r="C5" s="269"/>
      <c r="D5" s="269"/>
    </row>
    <row r="6" spans="1:4" ht="36" customHeight="1">
      <c r="A6" s="324" t="str">
        <f>""&amp;malumot!B28&amp;".-da yashovchi O‘zbekiston Respublikasi fuqarosi "&amp;malumot!B8&amp;"dan. "</f>
        <v xml:space="preserve">BUXORO VILOYATI KOGON TUMANI NIYOZ HOJI QISHLOG'I.-da yashovchi O‘zbekiston Respublikasi fuqarosi XAYATOV OTABEK KURBANOVICHdan. </v>
      </c>
      <c r="B6" s="324"/>
      <c r="C6" s="324"/>
      <c r="D6" s="324"/>
    </row>
    <row r="7" spans="1:4" ht="15.75" customHeight="1">
      <c r="A7" s="324" t="str">
        <f>"Tug'ilgan kuni: "&amp;malumot!B15&amp;""</f>
        <v>Tug'ilgan kuni: 22.08.1982 y</v>
      </c>
      <c r="B7" s="324"/>
      <c r="C7" s="324"/>
      <c r="D7" s="324"/>
    </row>
    <row r="8" spans="1:4" ht="33" customHeight="1">
      <c r="A8" s="324" t="str">
        <f>"Pasport seriyasi: "&amp;malumot!B16&amp;" "&amp;malumot!B20&amp;""</f>
        <v>Pasport seriyasi: AB 7858443 BUXORO VILOYATI KOGON TUMAN IIB tomonidan 06.10.2017 yilda berilgan</v>
      </c>
      <c r="B8" s="324"/>
      <c r="C8" s="324"/>
      <c r="D8" s="324"/>
    </row>
    <row r="9" spans="1:4" ht="16.5" customHeight="1">
      <c r="A9" s="324" t="str">
        <f>"Asosiy ish joyi : "&amp;malumot!B58&amp;""</f>
        <v>Asosiy ish joyi : Yakka tartibdagi tadbirkor</v>
      </c>
      <c r="B9" s="324"/>
      <c r="C9" s="324"/>
      <c r="D9" s="324"/>
    </row>
    <row r="10" spans="1:4" ht="15.75" customHeight="1">
      <c r="A10" s="324" t="str">
        <f>"Lavozimi: "&amp;malumot!B59&amp;""</f>
        <v>Lavozimi: Yakka tartibdagi tadbirkor</v>
      </c>
      <c r="B10" s="324"/>
      <c r="C10" s="324"/>
      <c r="D10" s="324"/>
    </row>
    <row r="11" spans="1:4">
      <c r="A11" s="324" t="str">
        <f>"O’rtacha oylik daromadi: "&amp;FIXED(malumot!B60,2)&amp;" so'm."</f>
        <v>O’rtacha oylik daromadi: 10 000 000,00 so'm.</v>
      </c>
      <c r="B11" s="324"/>
      <c r="C11" s="324"/>
      <c r="D11" s="324"/>
    </row>
    <row r="12" spans="1:4">
      <c r="A12" s="324" t="str">
        <f>"Menga quyidagi shartlarda "&amp;malumot!B65&amp;" berishingizni so’rayman:"</f>
        <v>Menga quyidagi shartlarda mikroqarz berishingizni so’rayman:</v>
      </c>
      <c r="B12" s="324"/>
      <c r="C12" s="324"/>
      <c r="D12" s="324"/>
    </row>
    <row r="13" spans="1:4">
      <c r="A13" s="324" t="str">
        <f>""&amp;malumot!C64&amp;" summasi: "&amp;FIXED(malumot!B75,2)&amp;" ("&amp;malumot!B76&amp;") so'm."</f>
        <v>Mikroqarz summasi: 26 000 000,00 (yigirma olti million so'm) so'm.</v>
      </c>
      <c r="B13" s="324"/>
      <c r="C13" s="324"/>
      <c r="D13" s="324"/>
    </row>
    <row r="14" spans="1:4">
      <c r="A14" s="324" t="str">
        <f>""&amp;malumot!C64&amp;" muddati: "&amp;malumot!B81&amp;" ("&amp;malumot!B82&amp;") oy."</f>
        <v>Mikroqarz muddati: 32 (o'ttiz ikki) oy.</v>
      </c>
      <c r="B14" s="324"/>
      <c r="C14" s="324"/>
      <c r="D14" s="324"/>
    </row>
    <row r="15" spans="1:4" ht="17.25" customHeight="1">
      <c r="A15" s="324" t="str">
        <f>""&amp;malumot!C64&amp;"dan foydalanganlik uchun foiz stavkasi: yillik  "&amp;malumot!B85&amp;"% ("&amp;malumot!B86&amp;") foiz"</f>
        <v>Mikroqarzdan foydalanganlik uchun foiz stavkasi: yillik  60% (Oltmish) foiz</v>
      </c>
      <c r="B15" s="324"/>
      <c r="C15" s="324"/>
      <c r="D15" s="324"/>
    </row>
    <row r="16" spans="1:4">
      <c r="A16" s="324" t="str">
        <f>""&amp;malumot!C64&amp;" bo'yicha asosiy qarz va foizlarni to'lash:"</f>
        <v>Mikroqarz bo'yicha asosiy qarz va foizlarni to'lash:</v>
      </c>
      <c r="B16" s="324"/>
      <c r="C16" s="324"/>
      <c r="D16" s="324"/>
    </row>
    <row r="17" spans="1:5" ht="20.25" hidden="1" customHeight="1">
      <c r="A17" s="354" t="str">
        <f>" - "&amp;malumot!B65&amp;" shartnomasi bo'yicha har oy differensial to'lovlari amalga oshiriladi"</f>
        <v xml:space="preserve"> - mikroqarz shartnomasi bo'yicha har oy differensial to'lovlari amalga oshiriladi</v>
      </c>
      <c r="B17" s="354"/>
      <c r="C17" s="354"/>
      <c r="D17" s="354"/>
    </row>
    <row r="18" spans="1:5" ht="33.75" hidden="1" customHeight="1">
      <c r="A18" s="354" t="str">
        <f>" - "&amp;malumot!B65&amp;" shartnomasi bo'yicha har oy annuitet to'lovlari amalga oshiriladi"</f>
        <v xml:space="preserve"> - mikroqarz shartnomasi bo'yicha har oy annuitet to'lovlari amalga oshiriladi</v>
      </c>
      <c r="B18" s="354"/>
      <c r="C18" s="354"/>
      <c r="D18" s="354"/>
    </row>
    <row r="19" spans="1:5" ht="33.75" customHeight="1">
      <c r="A19" s="354" t="str">
        <f>IF(malumot!B77=malumot!C77,kredit_ariza!A17:D17,IF(malumot!B77=malumot!D77,kredit_ariza!A18:D18))</f>
        <v xml:space="preserve"> - mikroqarz shartnomasi bo'yicha har oy differensial to'lovlari amalga oshiriladi</v>
      </c>
      <c r="B19" s="354"/>
      <c r="C19" s="354"/>
      <c r="D19" s="354"/>
    </row>
    <row r="20" spans="1:5" ht="33.75" hidden="1" customHeight="1">
      <c r="A20" s="324" t="str">
        <f>IF(DAY(malumot!E67)&lt;15,"   ","  Oxirgi yakuniy to'lov "&amp;malumot!B65&amp;" shartnomasi tuzilgan kundan boshlab oxirgi oyning oxirgi kunida amalga oshiriladi")</f>
        <v xml:space="preserve">   </v>
      </c>
      <c r="B20" s="324"/>
      <c r="C20" s="324"/>
      <c r="D20" s="324"/>
    </row>
    <row r="21" spans="1:5">
      <c r="A21" s="324" t="str">
        <f>""&amp;malumot!C64&amp;" ta’minoti::"</f>
        <v>Mikroqarz ta’minoti::</v>
      </c>
      <c r="B21" s="324"/>
      <c r="C21" s="324"/>
      <c r="D21" s="324"/>
    </row>
    <row r="22" spans="1:5" ht="72.75" customHeight="1">
      <c r="A22" s="354" t="str">
        <f>IF(malumot!B111="Avtotransport",A26,A23)</f>
        <v xml:space="preserve">  Egalik huquqi FAYZIYEV JAMSHID KURBONOVICHga tegishli bo'lgan garovga olingan avtomobil markasi   SPARK, rangi -  OQ BELAYA "KASABLANKA", ishlab chiqarilgan yili - 2011, davlat raqam belgisi 80Y320AB, kuzov turi - YENGIL SEDAN, kuzov raqami XWBMF481EBA580791, dvigatel raqami B10D1606437KC3, shassi raqami - RAKAMSIZ</v>
      </c>
      <c r="B22" s="354"/>
      <c r="C22" s="354"/>
      <c r="D22" s="354"/>
    </row>
    <row r="23" spans="1:5" ht="79.5" hidden="1" customHeight="1">
      <c r="A23" s="354" t="str">
        <f>IF(malumot!B98=malumot!C98,A25,IF(malumot!B98=malumot!D98,A24,0))</f>
        <v xml:space="preserve"> Egalik huquqi 0ga tegishli bo'lgan umumiy maydoni - 72,13  va yashash maydoni - 37,39 3 - xonali yakka tartibdagi uy-joy, SAMARQAND VILOYATI TAYLOQ TUMANI CHAROG'BON MFY YANGI TAYLOQ QISHLOG'I 6 TURAR JOY 12 QAVAT 58 XONADON </v>
      </c>
      <c r="B23" s="354"/>
      <c r="C23" s="354"/>
      <c r="D23" s="354"/>
    </row>
    <row r="24" spans="1:5" ht="96.75" hidden="1" customHeight="1">
      <c r="A24" s="354" t="str">
        <f>" - Navbatdagi garov (ipoteka) Egalik huquqi asosida  "&amp;malumot!C125&amp;"ga "&amp;malumot!C134&amp;", umumiy maydoni - "&amp;malumot!C138&amp;" va yashash maydoni - "&amp;malumot!C141&amp;", manzili: "&amp;malumot!C131&amp;"."</f>
        <v xml:space="preserve"> - Navbatdagi garov (ipoteka) Egalik huquqi asosida  0ga 3 - xonali yakka tartibdagi uy-joy, umumiy maydoni - 72,13 va yashash maydoni - 37,39, manzili: SAMARQAND VILOYATI TAYLOQ TUMANI CHAROG'BON MFY YANGI TAYLOQ QISHLOG'I 6 TURAR JOY 12 QAVAT 58 XONADON.</v>
      </c>
      <c r="B24" s="354"/>
      <c r="C24" s="354"/>
      <c r="D24" s="354"/>
      <c r="E24" s="129"/>
    </row>
    <row r="25" spans="1:5" ht="92.25" hidden="1" customHeight="1">
      <c r="A25" s="354" t="str">
        <f>" Egalik huquqi "&amp;malumot!C125&amp;"ga tegishli bo'lgan umumiy maydoni - "&amp;malumot!C138&amp;"  va yashash maydoni - "&amp;malumot!C141&amp;" "&amp;malumot!C134&amp;", "&amp;malumot!C131&amp;" "</f>
        <v xml:space="preserve"> Egalik huquqi 0ga tegishli bo'lgan umumiy maydoni - 72,13  va yashash maydoni - 37,39 3 - xonali yakka tartibdagi uy-joy, SAMARQAND VILOYATI TAYLOQ TUMANI CHAROG'BON MFY YANGI TAYLOQ QISHLOG'I 6 TURAR JOY 12 QAVAT 58 XONADON </v>
      </c>
      <c r="B25" s="354"/>
      <c r="C25" s="354"/>
      <c r="D25" s="354"/>
    </row>
    <row r="26" spans="1:5" ht="78" hidden="1" customHeight="1">
      <c r="A26" s="354" t="str">
        <f>IF(malumot!B98=malumot!C98,kredit_ariza!A28:D28,IF(malumot!B98=malumot!D98,kredit_ariza!A27:D27,0))</f>
        <v xml:space="preserve">  Egalik huquqi FAYZIYEV JAMSHID KURBONOVICHga tegishli bo'lgan garovga olingan avtomobil markasi   SPARK, rangi -  OQ BELAYA "KASABLANKA", ishlab chiqarilgan yili - 2011, davlat raqam belgisi 80Y320AB, kuzov turi - YENGIL SEDAN, kuzov raqami XWBMF481EBA580791, dvigatel raqami B10D1606437KC3, shassi raqami - RAKAMSIZ</v>
      </c>
      <c r="B26" s="354"/>
      <c r="C26" s="354"/>
      <c r="D26" s="354"/>
    </row>
    <row r="27" spans="1:5" ht="93" hidden="1" customHeight="1">
      <c r="A27" s="354" t="str">
        <f>" Egalik huquqi "&amp;malumot!B125&amp;"ga tegishli bo'lgan "&amp;malumot!B133&amp;", "&amp;malumot!B141&amp;", davlat raqam belgisi "&amp;malumot!B134&amp;", "&amp;malumot!B135&amp;", "&amp;malumot!B138&amp;" avtotransport vositasi "</f>
        <v xml:space="preserve"> Egalik huquqi FAYZIYEV JAMSHID KURBONOVICHga tegishli bo'lgan SPARK, rangi -  OQ BELAYA "KASABLANKA", ishlab chiqarilgan yili - 2011, davlat raqam belgisi 80Y320AB, kuzov turi - YENGIL SEDAN, kuzov raqami XWBMF481EBA580791, dvigatel raqami B10D1606437KC3, shassi raqami - RAKAMSIZ avtotransport vositasi </v>
      </c>
      <c r="B27" s="354"/>
      <c r="C27" s="354"/>
      <c r="D27" s="354"/>
    </row>
    <row r="28" spans="1:5" ht="93.75" hidden="1" customHeight="1">
      <c r="A28" s="354" t="str">
        <f>"  Egalik huquqi "&amp;malumot!B125&amp;"ga tegishli bo'lgan garovga olingan avtomobil markasi   "&amp;malumot!B133&amp;", "&amp;malumot!B141&amp;", davlat raqam belgisi "&amp;malumot!B134&amp;", "&amp;malumot!B135&amp;", "&amp;malumot!B138&amp;""</f>
        <v xml:space="preserve">  Egalik huquqi FAYZIYEV JAMSHID KURBONOVICHga tegishli bo'lgan garovga olingan avtomobil markasi   SPARK, rangi -  OQ BELAYA "KASABLANKA", ishlab chiqarilgan yili - 2011, davlat raqam belgisi 80Y320AB, kuzov turi - YENGIL SEDAN, kuzov raqami XWBMF481EBA580791, dvigatel raqami B10D1606437KC3, shassi raqami - RAKAMSIZ</v>
      </c>
      <c r="B28" s="354"/>
      <c r="C28" s="354"/>
      <c r="D28" s="354"/>
    </row>
    <row r="29" spans="1:5" ht="10.5" customHeight="1">
      <c r="A29" s="324"/>
      <c r="B29" s="324"/>
      <c r="C29" s="324"/>
      <c r="D29" s="324"/>
    </row>
    <row r="30" spans="1:5" ht="53.25" customHeight="1">
      <c r="A30" s="354" t="str">
        <f>"Mazkur ariza bilan "&amp;malumot!B155&amp;"ga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354"/>
      <c r="C30" s="354"/>
      <c r="D30" s="354"/>
    </row>
    <row r="31" spans="1:5" ht="15.75" customHeight="1">
      <c r="A31" s="354" t="s">
        <v>246</v>
      </c>
      <c r="B31" s="354"/>
      <c r="C31" s="354"/>
      <c r="D31" s="354"/>
    </row>
    <row r="32" spans="1:5">
      <c r="A32" s="354" t="s">
        <v>247</v>
      </c>
      <c r="B32" s="354"/>
      <c r="C32" s="354"/>
      <c r="D32" s="354"/>
    </row>
    <row r="33" spans="1:4">
      <c r="A33" s="354" t="s">
        <v>248</v>
      </c>
      <c r="B33" s="354"/>
      <c r="C33" s="354"/>
      <c r="D33" s="354"/>
    </row>
    <row r="34" spans="1:4">
      <c r="A34" s="324" t="str">
        <f>"Ariza berilgan sana: "&amp;TEXT(malumot!B2,"ДД.ММ.ГГГГ")&amp;"y."</f>
        <v>Ariza berilgan sana: 01.04.2025y.</v>
      </c>
      <c r="B34" s="324"/>
      <c r="C34" s="324"/>
      <c r="D34" s="324"/>
    </row>
    <row r="35" spans="1:4">
      <c r="A35" s="324"/>
      <c r="B35" s="324"/>
      <c r="C35" s="324"/>
      <c r="D35" s="324"/>
    </row>
    <row r="36" spans="1:4">
      <c r="A36" s="324" t="s">
        <v>249</v>
      </c>
      <c r="B36" s="324"/>
      <c r="C36" s="324"/>
      <c r="D36" s="324"/>
    </row>
    <row r="37" spans="1:4">
      <c r="A37" s="324"/>
      <c r="B37" s="324"/>
      <c r="C37" s="324"/>
      <c r="D37" s="324"/>
    </row>
    <row r="38" spans="1:4">
      <c r="A38" s="324"/>
      <c r="B38" s="324"/>
      <c r="C38" s="324"/>
      <c r="D38" s="324"/>
    </row>
    <row r="39" spans="1:4" ht="15.75" customHeight="1">
      <c r="A39" s="325" t="str">
        <f>malumot!B5</f>
        <v>XAYATOV OTABEK KURBANOVICH</v>
      </c>
      <c r="B39" s="325"/>
      <c r="C39" s="325"/>
      <c r="D39" s="203" t="s">
        <v>405</v>
      </c>
    </row>
    <row r="40" spans="1:4">
      <c r="A40" s="6"/>
      <c r="B40" s="6"/>
      <c r="D40" s="7" t="s">
        <v>328</v>
      </c>
    </row>
    <row r="41" spans="1:4">
      <c r="A41" s="6"/>
      <c r="B41" s="6"/>
      <c r="D41" s="7"/>
    </row>
    <row r="42" spans="1:4">
      <c r="A42" s="129"/>
      <c r="B42" s="129"/>
      <c r="C42" s="129"/>
      <c r="D42" s="129"/>
    </row>
    <row r="43" spans="1:4" ht="31.5">
      <c r="A43" s="223" t="str">
        <f>malumot!A158</f>
        <v>Buxoro filiali boshlig'i</v>
      </c>
      <c r="B43" s="189"/>
      <c r="C43" s="189"/>
      <c r="D43" s="223" t="str">
        <f>malumot!B158</f>
        <v>A.Xudayberdiyev</v>
      </c>
    </row>
    <row r="44" spans="1:4">
      <c r="A44" s="189"/>
      <c r="B44" s="189"/>
      <c r="C44" s="189"/>
      <c r="D44" s="189"/>
    </row>
    <row r="45" spans="1:4">
      <c r="A45" s="189"/>
      <c r="B45" s="189"/>
      <c r="C45" s="189"/>
      <c r="D45" s="189"/>
    </row>
    <row r="46" spans="1:4">
      <c r="A46" s="353"/>
      <c r="B46" s="353"/>
      <c r="C46" s="353"/>
      <c r="D46" s="353"/>
    </row>
    <row r="47" spans="1:4">
      <c r="A47" s="353"/>
      <c r="B47" s="353"/>
      <c r="C47" s="353"/>
      <c r="D47" s="353"/>
    </row>
    <row r="48" spans="1:4">
      <c r="A48" s="353"/>
      <c r="B48" s="353"/>
      <c r="C48" s="353"/>
      <c r="D48" s="353"/>
    </row>
    <row r="49" spans="1:4">
      <c r="A49" s="353"/>
      <c r="B49" s="353"/>
      <c r="C49" s="353"/>
      <c r="D49" s="353"/>
    </row>
    <row r="50" spans="1:4">
      <c r="A50" s="324"/>
      <c r="B50" s="324"/>
      <c r="C50" s="324"/>
      <c r="D50" s="324"/>
    </row>
    <row r="51" spans="1:4">
      <c r="A51" s="324"/>
      <c r="B51" s="324"/>
      <c r="C51" s="324"/>
      <c r="D51" s="324"/>
    </row>
    <row r="52" spans="1:4">
      <c r="A52" s="324"/>
      <c r="B52" s="324"/>
      <c r="C52" s="324"/>
      <c r="D52" s="324"/>
    </row>
    <row r="53" spans="1:4">
      <c r="A53" s="324"/>
      <c r="B53" s="324"/>
      <c r="C53" s="324"/>
      <c r="D53" s="324"/>
    </row>
    <row r="54" spans="1:4">
      <c r="A54" s="324"/>
      <c r="B54" s="324"/>
      <c r="C54" s="324"/>
      <c r="D54" s="324"/>
    </row>
    <row r="55" spans="1:4">
      <c r="A55" s="324"/>
      <c r="B55" s="324"/>
      <c r="C55" s="324"/>
      <c r="D55" s="324"/>
    </row>
    <row r="56" spans="1:4">
      <c r="A56" s="324"/>
      <c r="B56" s="324"/>
      <c r="C56" s="324"/>
      <c r="D56" s="324"/>
    </row>
    <row r="57" spans="1:4">
      <c r="A57" s="324"/>
      <c r="B57" s="324"/>
      <c r="C57" s="324"/>
      <c r="D57" s="324"/>
    </row>
    <row r="58" spans="1:4">
      <c r="A58" s="324"/>
      <c r="B58" s="324"/>
      <c r="C58" s="324"/>
      <c r="D58" s="324"/>
    </row>
    <row r="59" spans="1:4">
      <c r="A59" s="324"/>
      <c r="B59" s="324"/>
      <c r="C59" s="324"/>
      <c r="D59" s="324"/>
    </row>
    <row r="60" spans="1:4">
      <c r="A60" s="324"/>
      <c r="B60" s="324"/>
      <c r="C60" s="324"/>
      <c r="D60" s="324"/>
    </row>
    <row r="61" spans="1:4">
      <c r="A61" s="324"/>
      <c r="B61" s="324"/>
      <c r="C61" s="324"/>
      <c r="D61" s="324"/>
    </row>
    <row r="62" spans="1:4">
      <c r="A62" s="324"/>
      <c r="B62" s="324"/>
      <c r="C62" s="324"/>
      <c r="D62" s="324"/>
    </row>
    <row r="63" spans="1:4">
      <c r="A63" s="324"/>
      <c r="B63" s="324"/>
      <c r="C63" s="324"/>
      <c r="D63" s="324"/>
    </row>
    <row r="64" spans="1:4">
      <c r="A64" s="324"/>
      <c r="B64" s="324"/>
      <c r="C64" s="324"/>
      <c r="D64" s="324"/>
    </row>
    <row r="65" spans="1:4">
      <c r="A65" s="324"/>
      <c r="B65" s="324"/>
      <c r="C65" s="324"/>
      <c r="D65" s="324"/>
    </row>
    <row r="66" spans="1:4">
      <c r="A66" s="324"/>
      <c r="B66" s="324"/>
      <c r="C66" s="324"/>
      <c r="D66" s="324"/>
    </row>
    <row r="67" spans="1:4">
      <c r="A67" s="324"/>
      <c r="B67" s="324"/>
      <c r="C67" s="324"/>
      <c r="D67" s="324"/>
    </row>
    <row r="68" spans="1:4">
      <c r="A68" s="324"/>
      <c r="B68" s="324"/>
      <c r="C68" s="324"/>
      <c r="D68" s="324"/>
    </row>
    <row r="69" spans="1:4">
      <c r="A69" s="324"/>
      <c r="B69" s="324"/>
      <c r="C69" s="324"/>
      <c r="D69" s="324"/>
    </row>
    <row r="70" spans="1:4">
      <c r="A70" s="324"/>
      <c r="B70" s="324"/>
      <c r="C70" s="324"/>
      <c r="D70" s="324"/>
    </row>
    <row r="71" spans="1:4">
      <c r="A71" s="324"/>
      <c r="B71" s="324"/>
      <c r="C71" s="324"/>
      <c r="D71" s="324"/>
    </row>
    <row r="72" spans="1:4">
      <c r="A72" s="324"/>
      <c r="B72" s="324"/>
      <c r="C72" s="324"/>
      <c r="D72" s="324"/>
    </row>
    <row r="73" spans="1:4">
      <c r="A73" s="324"/>
      <c r="B73" s="324"/>
      <c r="C73" s="324"/>
      <c r="D73" s="324"/>
    </row>
    <row r="74" spans="1:4">
      <c r="A74" s="324"/>
      <c r="B74" s="324"/>
      <c r="C74" s="324"/>
      <c r="D74" s="324"/>
    </row>
    <row r="75" spans="1:4">
      <c r="A75" s="324"/>
      <c r="B75" s="324"/>
      <c r="C75" s="324"/>
      <c r="D75" s="324"/>
    </row>
    <row r="76" spans="1:4">
      <c r="A76" s="324"/>
      <c r="B76" s="324"/>
      <c r="C76" s="324"/>
      <c r="D76" s="324"/>
    </row>
    <row r="77" spans="1:4">
      <c r="A77" s="324"/>
      <c r="B77" s="324"/>
      <c r="C77" s="324"/>
      <c r="D77" s="324"/>
    </row>
    <row r="78" spans="1:4">
      <c r="A78" s="324"/>
      <c r="B78" s="324"/>
      <c r="C78" s="324"/>
      <c r="D78" s="324"/>
    </row>
  </sheetData>
  <mergeCells count="70">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35:D35"/>
    <mergeCell ref="A36:D36"/>
    <mergeCell ref="A37:D37"/>
    <mergeCell ref="A38:D38"/>
    <mergeCell ref="A46:D46"/>
    <mergeCell ref="A47:D47"/>
    <mergeCell ref="A48:D48"/>
    <mergeCell ref="A49:D49"/>
    <mergeCell ref="A50:D50"/>
    <mergeCell ref="A51:D51"/>
    <mergeCell ref="A52:D52"/>
    <mergeCell ref="A53:D53"/>
    <mergeCell ref="A54:D54"/>
    <mergeCell ref="A55:D55"/>
    <mergeCell ref="A63:D63"/>
    <mergeCell ref="A64:D64"/>
    <mergeCell ref="A65:D65"/>
    <mergeCell ref="A56:D56"/>
    <mergeCell ref="A57:D57"/>
    <mergeCell ref="A58:D58"/>
    <mergeCell ref="A59:D59"/>
    <mergeCell ref="A60:D60"/>
    <mergeCell ref="A76:D76"/>
    <mergeCell ref="A77:D77"/>
    <mergeCell ref="A78:D78"/>
    <mergeCell ref="A39:C39"/>
    <mergeCell ref="A71:D71"/>
    <mergeCell ref="A72:D72"/>
    <mergeCell ref="A73:D73"/>
    <mergeCell ref="A74:D74"/>
    <mergeCell ref="A75:D75"/>
    <mergeCell ref="A66:D66"/>
    <mergeCell ref="A67:D67"/>
    <mergeCell ref="A68:D68"/>
    <mergeCell ref="A69:D69"/>
    <mergeCell ref="A70:D70"/>
    <mergeCell ref="A61:D61"/>
    <mergeCell ref="A62:D62"/>
  </mergeCells>
  <pageMargins left="0.7" right="0.7" top="0.75" bottom="0.75" header="0.3" footer="0.3"/>
  <pageSetup paperSize="9" scale="8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8">
    <tabColor rgb="FF00B050"/>
  </sheetPr>
  <dimension ref="A5:C32"/>
  <sheetViews>
    <sheetView view="pageBreakPreview" topLeftCell="A19" zoomScale="160" zoomScaleNormal="100" zoomScaleSheetLayoutView="160" workbookViewId="0">
      <selection activeCell="C25" sqref="C25"/>
    </sheetView>
  </sheetViews>
  <sheetFormatPr defaultColWidth="0" defaultRowHeight="15.75" zeroHeight="1"/>
  <cols>
    <col min="1" max="1" width="26" style="4" customWidth="1"/>
    <col min="2" max="2" width="15.28515625" style="4" customWidth="1"/>
    <col min="3" max="3" width="34.5703125" style="4" customWidth="1"/>
    <col min="4" max="16384" width="9.140625" style="4" hidden="1"/>
  </cols>
  <sheetData>
    <row r="5" spans="1:3"/>
    <row r="6" spans="1:3" ht="17.25" customHeight="1">
      <c r="C6" s="9" t="str">
        <f>malumot!B156</f>
        <v>«CLEVER MIKROMOLIYA TASHKILOTI» MChJ</v>
      </c>
    </row>
    <row r="7" spans="1:3" ht="33" customHeight="1">
      <c r="A7" s="143"/>
      <c r="B7" s="143"/>
      <c r="C7" s="139" t="str">
        <f>""&amp;malumot!A158&amp;" "&amp;malumot!B158&amp;"ga"</f>
        <v>Buxoro filiali boshlig'i A.Xudayberdiyevga</v>
      </c>
    </row>
    <row r="8" spans="1:3" ht="31.5">
      <c r="A8" s="130"/>
      <c r="B8" s="130"/>
      <c r="C8" s="139" t="str">
        <f>""&amp;malumot!B119&amp;"dan"</f>
        <v>FAYZIYEV JAMSHID KURBONOVICHdan</v>
      </c>
    </row>
    <row r="9" spans="1:3" ht="15.75" hidden="1" customHeight="1">
      <c r="C9" s="5" t="str">
        <f>malumot!B119</f>
        <v>FAYZIYEV JAMSHID KURBONOVICH</v>
      </c>
    </row>
    <row r="10" spans="1:3" ht="15.75" hidden="1" customHeight="1">
      <c r="C10" s="5">
        <f>malumot!C119</f>
        <v>0</v>
      </c>
    </row>
    <row r="11" spans="1:3" ht="15.75" hidden="1" customHeight="1">
      <c r="C11" s="130" t="s">
        <v>271</v>
      </c>
    </row>
    <row r="12" spans="1:3"/>
    <row r="13" spans="1:3" ht="115.5" customHeight="1">
      <c r="A13" s="354" t="str">
        <f>IF(malumot!B111="Avtotransport",A14,A15)</f>
        <v>XAYATOV OTABEK KURBANOVICH tomonidan so’ralayotgan 32 (o'ttiz ikki) oy muddatga, 26 000 000 (yigirma olti million so'm) miqdoridagi mikroqarzning ta’minoti sifatida menga mulk huquqi asosida tegishli bo’lgan  SPARK, kuzov turi - YENGIL SEDAN, kuzov raqami XWBMF481EBA580791, dvigatel raqami B10D1606437KC3, shassi raqami - RAKAMSIZ, rangi -  OQ BELAYA "KASABLANKA", ishlab chiqarilgan yili - 2011, avtotransport vositasini qabul qilishingizni so’rayman:</v>
      </c>
      <c r="B13" s="354"/>
      <c r="C13" s="354"/>
    </row>
    <row r="14" spans="1:3" ht="124.5" hidden="1" customHeight="1">
      <c r="A14" s="354" t="str">
        <f>""&amp;malumot!B12&amp;" tomonidan so’ralayotgan "&amp;malumot!B81&amp;" ("&amp;malumot!B82&amp;") oy muddatga, "&amp;FIXED(malumot!B75,0)&amp;" ("&amp;malumot!B76&amp;") miqdoridagi "&amp;malumot!B65&amp;"ning ta’minoti sifatida menga mulk huquqi asosida tegishli bo’lgan  "&amp;malumot!B133&amp;", "&amp;malumot!B135&amp;", "&amp;malumot!B138&amp;", "&amp;malumot!B141&amp;", avtotransport vositasini qabul qilishingizni so’rayman:"</f>
        <v>XAYATOV OTABEK KURBANOVICH tomonidan so’ralayotgan 32 (o'ttiz ikki) oy muddatga, 26 000 000 (yigirma olti million so'm) miqdoridagi mikroqarzning ta’minoti sifatida menga mulk huquqi asosida tegishli bo’lgan  SPARK, kuzov turi - YENGIL SEDAN, kuzov raqami XWBMF481EBA580791, dvigatel raqami B10D1606437KC3, shassi raqami - RAKAMSIZ, rangi -  OQ BELAYA "KASABLANKA", ishlab chiqarilgan yili - 2011, avtotransport vositasini qabul qilishingizni so’rayman:</v>
      </c>
      <c r="B14" s="354"/>
      <c r="C14" s="354"/>
    </row>
    <row r="15" spans="1:3" ht="116.25" hidden="1" customHeight="1">
      <c r="A15" s="354" t="str">
        <f>""&amp;malumot!B12&amp;" tomonidan so’ralayotgan "&amp;malumot!B81&amp;" ("&amp;malumot!B82&amp;") oy muddatga, "&amp;FIXED(malumot!B75,0)&amp;" ("&amp;malumot!B76&amp;") miqdoridagi "&amp;malumot!B65&amp;"ning ta’minoti sifatida menga mulk huquqi asosida tegishli bo’lgan  "&amp;malumot!C134&amp;", umumiy maydoni "&amp;malumot!C138&amp;" va yashash maydoni "&amp;malumot!C141&amp;"  "&amp;malumot!C131&amp;" manzilda joylashgan ko'chmas mulkni qabul qilishingizni so’rayman:"</f>
        <v>XAYATOV OTABEK KURBANOVICH tomonidan so’ralayotgan 32 (o'ttiz ikki) oy muddatga, 26 000 000 (yigirma olti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54"/>
      <c r="C15" s="354"/>
    </row>
    <row r="16" spans="1:3"/>
    <row r="17" spans="1:3"/>
    <row r="18" spans="1:3">
      <c r="C18" s="5" t="s">
        <v>270</v>
      </c>
    </row>
    <row r="19" spans="1:3" ht="18.75" customHeight="1">
      <c r="A19" s="4" t="str">
        <f>IF(malumot!B100=malumot!C100,malumot!B120,malumot!B7)</f>
        <v>XAYATOV O.K.</v>
      </c>
      <c r="C19" s="49" t="str">
        <f>malumot!B2</f>
        <v>01.04.2025</v>
      </c>
    </row>
    <row r="20" spans="1:3" ht="173.25">
      <c r="A20" s="189" t="str">
        <f>IF(malumot!B100=malumot!D100,CONCATENATE(A28," ",A32,A26),"")</f>
        <v xml:space="preserve">№202502386001856 01.04.2025 sanasidan xususiy faoliyat ko'rsatuvchi notarius tomonidan BUXORO VILOYATI BUXORO SHAHRI ASHXOBOD KO'CHASI 1/3-UY SHARIPOV ZAFAR JO'RABOYEVICH berilgan ishonchnomaga asosan </v>
      </c>
      <c r="B20" s="189"/>
      <c r="C20" s="189"/>
    </row>
    <row r="21" spans="1:3">
      <c r="A21" s="188"/>
      <c r="B21" s="188"/>
      <c r="C21" s="188"/>
    </row>
    <row r="22" spans="1:3">
      <c r="A22" s="188"/>
      <c r="B22" s="188"/>
      <c r="C22" s="188"/>
    </row>
    <row r="23" spans="1:3">
      <c r="A23" s="132" t="str">
        <f>malumot!A158</f>
        <v>Buxoro filiali boshlig'i</v>
      </c>
      <c r="B23" s="132"/>
      <c r="C23" s="139" t="str">
        <f>malumot!B158</f>
        <v>A.Xudayberdiyev</v>
      </c>
    </row>
    <row r="24" spans="1:3">
      <c r="A24" s="132"/>
      <c r="B24" s="132"/>
      <c r="C24" s="139"/>
    </row>
    <row r="25" spans="1:3">
      <c r="A25" s="4" t="s">
        <v>26</v>
      </c>
    </row>
    <row r="26" spans="1:3" hidden="1">
      <c r="A26" s="4" t="str">
        <f>" xususiy faoliyat ko'rsatuvchi notarius tomonidan "&amp;malumot!B104&amp;" "&amp;malumot!B105&amp;" berilgan ishonchnomaga asosan "</f>
        <v xml:space="preserve"> xususiy faoliyat ko'rsatuvchi notarius tomonidan BUXORO VILOYATI BUXORO SHAHRI ASHXOBOD KO'CHASI 1/3-UY SHARIPOV ZAFAR JO'RABOYEVICH berilgan ishonchnomaga asosan </v>
      </c>
    </row>
    <row r="28" spans="1:3" hidden="1">
      <c r="A28" s="4" t="str">
        <f>"№"&amp;malumot!B106&amp; ""</f>
        <v>№202502386001856</v>
      </c>
    </row>
    <row r="29" spans="1:3" hidden="1">
      <c r="A29" s="4" t="str">
        <f>malumot!B108</f>
        <v>01.04.2025</v>
      </c>
    </row>
    <row r="30" spans="1:3" hidden="1">
      <c r="A30" s="4" t="str">
        <f>TEXT(A29,"ДД.ММ.ГГГГ")</f>
        <v>01.04.2025</v>
      </c>
    </row>
    <row r="31" spans="1:3" hidden="1">
      <c r="A31" s="4" t="s">
        <v>380</v>
      </c>
    </row>
    <row r="32" spans="1:3" hidden="1">
      <c r="A32" s="4" t="str">
        <f>CONCATENATE(A30,A31)</f>
        <v>01.04.2025 sanasidan</v>
      </c>
    </row>
  </sheetData>
  <mergeCells count="3">
    <mergeCell ref="A13:C13"/>
    <mergeCell ref="A14:C14"/>
    <mergeCell ref="A15:C15"/>
  </mergeCells>
  <pageMargins left="0.7" right="0.7" top="0.75" bottom="0.75" header="0.3" footer="0.3"/>
  <pageSetup paperSize="9" orientation="portrait"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0" customWidth="1"/>
    <col min="2" max="2" width="21.28515625" style="10" customWidth="1"/>
    <col min="3" max="3" width="19.140625" style="10" customWidth="1"/>
    <col min="4" max="5" width="21.28515625" style="10" customWidth="1"/>
    <col min="6" max="16384" width="9.140625" style="10"/>
  </cols>
  <sheetData>
    <row r="2" spans="1:5">
      <c r="A2" s="92" t="s">
        <v>48</v>
      </c>
    </row>
    <row r="3" spans="1:5">
      <c r="A3" s="92" t="s">
        <v>49</v>
      </c>
    </row>
    <row r="6" spans="1:5" ht="20.25" customHeight="1">
      <c r="E6" s="93" t="s">
        <v>35</v>
      </c>
    </row>
    <row r="7" spans="1:5">
      <c r="E7" s="93" t="s">
        <v>50</v>
      </c>
    </row>
    <row r="9" spans="1:5" ht="107.25" customHeight="1">
      <c r="A9" s="357" t="str">
        <f>"          Между ООО «Clever Mikrokredit Tashkiloti» и "&amp;malumot!B5&amp;"  (паспорт: "&amp;malumot!B16&amp;" "&amp;malumot!B20&amp;") заключен договор микрозайма "&amp;malumot!B74&amp;", на сумму "&amp;FIXED(malumot!B75)&amp;" ("&amp;malumot!B76&amp;") сум, сроком на "&amp;malumot!B81&amp;" ("&amp;malumot!B82&amp;") месяцев. В качестве своевременного исполнения обязательств по договору Микрозайма "&amp;malumot!B74&amp;" планирует предоставить нижеследующее "&amp;IF(malumot!B111=malumot!C111,"автотранспортного средство марки "&amp;malumot!B133&amp;" принадлежащее на правах собственности "&amp;malumot!B125&amp;"","недвижимого имущества в виде "&amp;malumot!C134&amp;", общей площадью - "&amp;malumot!C138&amp;" и жилой площадью - "&amp;malumot!C141&amp;", расположенного по адресу: "&amp;malumot!C131&amp;", принадлежащее на правах собственности "&amp;malumot!C125&amp;".")</f>
        <v xml:space="preserve">          Между ООО «Clever Mikrokredit Tashkiloti» и XAYATOV OTABEK KURBANOVICH  (паспорт: AB 7858443 BUXORO VILOYATI KOGON TUMAN IIB tomonidan 06.10.2017 yilda berilgan) заключен договор микрозайма 1 aprel 2025 y.dan № 687-BR, на сумму 26 000 000,00 (yigirma olti million so'm) сум, сроком на 32 (o'ttiz ikki) месяцев. В качестве своевременного исполнения обязательств по договору Микрозайма 1 aprel 2025 y.dan № 687-BR планирует предоставить нижеследующее автотранспортного средство марки SPARK принадлежащее на правах собственности FAYZIYEV JAMSHID KURBONOVICH</v>
      </c>
      <c r="B9" s="357"/>
      <c r="C9" s="357"/>
      <c r="D9" s="357"/>
      <c r="E9" s="357"/>
    </row>
    <row r="11" spans="1:5" ht="28.5">
      <c r="A11" s="33" t="str">
        <f>buyruq!A19</f>
        <v>Nomi</v>
      </c>
      <c r="B11" s="33" t="str">
        <f>buyruq!B19</f>
        <v>Kuzov turi  va kuzov raqami*</v>
      </c>
      <c r="C11" s="33" t="str">
        <f>buyruq!C19</f>
        <v>Dvigatel va shassi raqami*</v>
      </c>
      <c r="D11" s="33" t="str">
        <f>buyruq!D19</f>
        <v>Ishlab chiqarilgan yili va rangi*</v>
      </c>
      <c r="E11" s="33" t="str">
        <f>buyruq!E19</f>
        <v>Kelishilgan garov qiymati, so'm</v>
      </c>
    </row>
    <row r="12" spans="1:5" ht="73.5" customHeight="1">
      <c r="A12" s="33" t="str">
        <f>buyruq!A20</f>
        <v>SPARK</v>
      </c>
      <c r="B12" s="33" t="str">
        <f>buyruq!B20</f>
        <v>kuzov turi - YENGIL SEDAN, kuzov raqami XWBMF481EBA580791</v>
      </c>
      <c r="C12" s="33" t="str">
        <f>buyruq!C20</f>
        <v>dvigatel raqami B10D1606437KC3, shassi raqami - RAKAMSIZ</v>
      </c>
      <c r="D12" s="33" t="str">
        <f>buyruq!D20</f>
        <v>rangi -  OQ BELAYA "KASABLANKA", ishlab chiqarilgan yili - 2011</v>
      </c>
      <c r="E12" s="33" t="str">
        <f>buyruq!E20</f>
        <v>39 000 000,00 
(o'ttiz to'qqiz million so'm)</v>
      </c>
    </row>
    <row r="13" spans="1:5">
      <c r="A13" s="358" t="str">
        <f>buyruq!A21:E21</f>
        <v>-* avtotransport egasi: FAYZIYEV JAMSHID KURBONOVICH</v>
      </c>
      <c r="B13" s="358"/>
      <c r="C13" s="358"/>
      <c r="D13" s="358"/>
      <c r="E13" s="358"/>
    </row>
    <row r="14" spans="1:5">
      <c r="A14" s="358" t="str">
        <f>buyruq!A22:E22</f>
        <v>-* texnik pasport: AAG   4517617  20.08.2024y</v>
      </c>
      <c r="B14" s="358"/>
      <c r="C14" s="358"/>
      <c r="D14" s="358"/>
      <c r="E14" s="358"/>
    </row>
    <row r="15" spans="1:5">
      <c r="A15" s="358" t="str">
        <f>buyruq!A23:E23</f>
        <v>-* roʻyxatdan oʻtgan manzili/garaj manzili: BUXORO VILOYATI BUXORO TUMANI XONOBOD MFY XONOBOD QISHLOG'I</v>
      </c>
      <c r="B15" s="358"/>
      <c r="C15" s="358"/>
      <c r="D15" s="358"/>
      <c r="E15" s="358"/>
    </row>
    <row r="16" spans="1:5">
      <c r="A16" s="358" t="str">
        <f>buyruq!A24:E24</f>
        <v>-* davlat raqami: 80Y320AB</v>
      </c>
      <c r="B16" s="358"/>
      <c r="C16" s="358"/>
      <c r="D16" s="358"/>
      <c r="E16" s="358"/>
    </row>
    <row r="17" spans="1:5" ht="3" customHeight="1"/>
    <row r="19" spans="1:5" ht="59.25" hidden="1" customHeight="1">
      <c r="A19" s="33" t="str">
        <f>dalolatnoma!A32</f>
        <v>Наименование</v>
      </c>
      <c r="B19" s="33" t="str">
        <f>dalolatnoma!B32</f>
        <v>Полезная площадь</v>
      </c>
      <c r="C19" s="33" t="str">
        <f>dalolatnoma!C32</f>
        <v>Жилая площадь</v>
      </c>
      <c r="D19" s="33" t="str">
        <f>dalolatnoma!D32</f>
        <v>Общая площадь</v>
      </c>
      <c r="E19" s="33" t="str">
        <f>dalolatnoma!E32</f>
        <v>Согласованная залоговая стоимость, сум</v>
      </c>
    </row>
    <row r="20" spans="1:5" ht="17.25" hidden="1" customHeight="1">
      <c r="A20" s="12" t="e">
        <f>dalolatnoma!A33</f>
        <v>#REF!</v>
      </c>
      <c r="B20" s="12" t="e">
        <f>dalolatnoma!B33</f>
        <v>#REF!</v>
      </c>
      <c r="C20" s="12" t="e">
        <f>dalolatnoma!C33</f>
        <v>#REF!</v>
      </c>
      <c r="D20" s="12" t="e">
        <f>dalolatnoma!D33</f>
        <v>#REF!</v>
      </c>
      <c r="E20" s="318" t="str">
        <f>""&amp;FIXED(malumot!C144,2)&amp;" ("&amp;malumot!C145&amp;")"</f>
        <v>39 000 000,00 (o'ttiz to'qqiz million so'm)</v>
      </c>
    </row>
    <row r="21" spans="1:5" ht="17.25" hidden="1" customHeight="1">
      <c r="A21" s="12">
        <f>dalolatnoma!A34</f>
        <v>0</v>
      </c>
      <c r="B21" s="12">
        <f>dalolatnoma!B34</f>
        <v>0</v>
      </c>
      <c r="C21" s="12">
        <f>dalolatnoma!C34</f>
        <v>0</v>
      </c>
      <c r="D21" s="12">
        <f>dalolatnoma!D34</f>
        <v>0</v>
      </c>
      <c r="E21" s="319"/>
    </row>
    <row r="22" spans="1:5" ht="17.25" hidden="1" customHeight="1">
      <c r="A22" s="12" t="e">
        <f>dalolatnoma!A35</f>
        <v>#REF!</v>
      </c>
      <c r="B22" s="12" t="e">
        <f>dalolatnoma!B35</f>
        <v>#REF!</v>
      </c>
      <c r="C22" s="12" t="e">
        <f>dalolatnoma!C35</f>
        <v>#REF!</v>
      </c>
      <c r="D22" s="12" t="e">
        <f>dalolatnoma!D35</f>
        <v>#REF!</v>
      </c>
      <c r="E22" s="319"/>
    </row>
    <row r="23" spans="1:5" ht="17.25" hidden="1" customHeight="1">
      <c r="A23" s="12" t="e">
        <f>dalolatnoma!A36</f>
        <v>#REF!</v>
      </c>
      <c r="B23" s="12" t="e">
        <f>dalolatnoma!B36</f>
        <v>#REF!</v>
      </c>
      <c r="C23" s="12" t="e">
        <f>dalolatnoma!C36</f>
        <v>#REF!</v>
      </c>
      <c r="D23" s="12" t="e">
        <f>dalolatnoma!D36</f>
        <v>#REF!</v>
      </c>
      <c r="E23" s="319"/>
    </row>
    <row r="24" spans="1:5" ht="17.25" hidden="1" customHeight="1">
      <c r="A24" s="12" t="e">
        <f>dalolatnoma!A37</f>
        <v>#REF!</v>
      </c>
      <c r="B24" s="12" t="e">
        <f>dalolatnoma!B37</f>
        <v>#REF!</v>
      </c>
      <c r="C24" s="12" t="e">
        <f>dalolatnoma!C37</f>
        <v>#REF!</v>
      </c>
      <c r="D24" s="12" t="e">
        <f>dalolatnoma!D37</f>
        <v>#REF!</v>
      </c>
      <c r="E24" s="319"/>
    </row>
    <row r="25" spans="1:5" ht="15.75" hidden="1" customHeight="1">
      <c r="A25" s="12" t="e">
        <f>dalolatnoma!A38</f>
        <v>#REF!</v>
      </c>
      <c r="B25" s="12" t="e">
        <f>dalolatnoma!B38</f>
        <v>#REF!</v>
      </c>
      <c r="C25" s="12" t="e">
        <f>dalolatnoma!C38</f>
        <v>#REF!</v>
      </c>
      <c r="D25" s="12" t="e">
        <f>dalolatnoma!D38</f>
        <v>#REF!</v>
      </c>
      <c r="E25" s="319"/>
    </row>
    <row r="26" spans="1:5" ht="17.25" hidden="1" customHeight="1">
      <c r="A26" s="12" t="e">
        <f>dalolatnoma!A39</f>
        <v>#REF!</v>
      </c>
      <c r="B26" s="12" t="e">
        <f>dalolatnoma!B39</f>
        <v>#REF!</v>
      </c>
      <c r="C26" s="12" t="e">
        <f>dalolatnoma!C39</f>
        <v>#REF!</v>
      </c>
      <c r="D26" s="12" t="e">
        <f>dalolatnoma!D39</f>
        <v>#REF!</v>
      </c>
      <c r="E26" s="319"/>
    </row>
    <row r="27" spans="1:5" ht="17.25" hidden="1" customHeight="1">
      <c r="A27" s="12" t="e">
        <f>dalolatnoma!A40</f>
        <v>#REF!</v>
      </c>
      <c r="B27" s="12" t="e">
        <f>dalolatnoma!B40</f>
        <v>#REF!</v>
      </c>
      <c r="C27" s="12" t="e">
        <f>dalolatnoma!C40</f>
        <v>#REF!</v>
      </c>
      <c r="D27" s="12" t="e">
        <f>dalolatnoma!D40</f>
        <v>#REF!</v>
      </c>
      <c r="E27" s="319"/>
    </row>
    <row r="28" spans="1:5" ht="17.25" hidden="1" customHeight="1">
      <c r="A28" s="12" t="e">
        <f>dalolatnoma!A41</f>
        <v>#REF!</v>
      </c>
      <c r="B28" s="12" t="e">
        <f>dalolatnoma!B41</f>
        <v>#REF!</v>
      </c>
      <c r="C28" s="12" t="e">
        <f>dalolatnoma!C41</f>
        <v>#REF!</v>
      </c>
      <c r="D28" s="12" t="e">
        <f>dalolatnoma!D41</f>
        <v>#REF!</v>
      </c>
      <c r="E28" s="319"/>
    </row>
    <row r="29" spans="1:5" ht="17.25" hidden="1" customHeight="1">
      <c r="A29" s="12" t="e">
        <f>dalolatnoma!A42</f>
        <v>#REF!</v>
      </c>
      <c r="B29" s="12" t="e">
        <f>dalolatnoma!B42</f>
        <v>#REF!</v>
      </c>
      <c r="C29" s="12" t="e">
        <f>dalolatnoma!C42</f>
        <v>#REF!</v>
      </c>
      <c r="D29" s="12" t="e">
        <f>dalolatnoma!D42</f>
        <v>#REF!</v>
      </c>
      <c r="E29" s="319"/>
    </row>
    <row r="30" spans="1:5" ht="17.25" hidden="1" customHeight="1">
      <c r="A30" s="12" t="e">
        <f>dalolatnoma!A43</f>
        <v>#REF!</v>
      </c>
      <c r="B30" s="12" t="e">
        <f>dalolatnoma!B43</f>
        <v>#REF!</v>
      </c>
      <c r="C30" s="12" t="e">
        <f>dalolatnoma!C43</f>
        <v>#REF!</v>
      </c>
      <c r="D30" s="12" t="e">
        <f>dalolatnoma!D43</f>
        <v>#REF!</v>
      </c>
      <c r="E30" s="320"/>
    </row>
    <row r="31" spans="1:5" ht="17.25" hidden="1" customHeight="1">
      <c r="A31" s="12" t="e">
        <f>dalolatnoma!A44</f>
        <v>#REF!</v>
      </c>
      <c r="B31" s="12" t="e">
        <f>dalolatnoma!B44</f>
        <v>#REF!</v>
      </c>
      <c r="C31" s="12" t="e">
        <f>dalolatnoma!C44</f>
        <v>#REF!</v>
      </c>
      <c r="D31" s="12" t="e">
        <f>dalolatnoma!D44</f>
        <v>#REF!</v>
      </c>
      <c r="E31" s="12" t="str">
        <f>dalolatnoma!E44</f>
        <v>39 000 000,00</v>
      </c>
    </row>
    <row r="32" spans="1:5" ht="18.75" hidden="1" customHeight="1">
      <c r="A32" s="357" t="e">
        <f>_xlfn.SINGLE(dalolatnoma!#REF!)</f>
        <v>#REF!</v>
      </c>
      <c r="B32" s="357"/>
      <c r="C32" s="357"/>
      <c r="D32" s="357"/>
      <c r="E32" s="357"/>
    </row>
    <row r="33" spans="1:5" ht="24.75" hidden="1" customHeight="1">
      <c r="A33" s="357" t="e">
        <f>_xlfn.SINGLE(dalolatnoma!#REF!)</f>
        <v>#REF!</v>
      </c>
      <c r="B33" s="357"/>
      <c r="C33" s="357"/>
      <c r="D33" s="357"/>
      <c r="E33" s="357"/>
    </row>
    <row r="34" spans="1:5" ht="30.75" hidden="1" customHeight="1">
      <c r="A34" s="357" t="e">
        <f>_xlfn.SINGLE(dalolatnoma!#REF!)</f>
        <v>#REF!</v>
      </c>
      <c r="B34" s="357"/>
      <c r="C34" s="357"/>
      <c r="D34" s="357"/>
      <c r="E34" s="357"/>
    </row>
    <row r="35" spans="1:5" ht="15" hidden="1" customHeight="1">
      <c r="A35" s="357" t="e">
        <f>_xlfn.SINGLE(dalolatnoma!#REF!)</f>
        <v>#REF!</v>
      </c>
      <c r="B35" s="357"/>
      <c r="C35" s="357"/>
      <c r="D35" s="357"/>
      <c r="E35" s="357"/>
    </row>
    <row r="36" spans="1:5">
      <c r="A36" s="17"/>
      <c r="B36" s="17"/>
      <c r="C36" s="17"/>
      <c r="D36" s="17"/>
      <c r="E36" s="17"/>
    </row>
    <row r="37" spans="1:5" s="114" customFormat="1" ht="51" customHeight="1">
      <c r="A37" s="356"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56"/>
      <c r="C37" s="356"/>
      <c r="D37" s="356"/>
      <c r="E37" s="356"/>
    </row>
    <row r="38" spans="1:5" ht="40.5" customHeight="1">
      <c r="A38" s="357" t="str">
        <f>dalolatnoma!A47:E47</f>
        <v>Shu bilan birga, garov predmetining kelishilgan garov qiymati deganda ushbu mulk garov sifatida taqdim etilgan/qabul qilingan qiymati tushuniladi.</v>
      </c>
      <c r="B38" s="357"/>
      <c r="C38" s="357"/>
      <c r="D38" s="357"/>
      <c r="E38" s="357"/>
    </row>
    <row r="39" spans="1:5" ht="39" customHeight="1">
      <c r="A39" s="357"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 aprel 2025 y.dan № 687-BR, при сохранении запрета.</v>
      </c>
      <c r="B39" s="357"/>
      <c r="C39" s="357"/>
      <c r="D39" s="357"/>
      <c r="E39" s="357"/>
    </row>
    <row r="40" spans="1:5">
      <c r="A40" s="360"/>
      <c r="B40" s="360"/>
      <c r="C40" s="360"/>
      <c r="D40" s="360"/>
      <c r="E40" s="360"/>
    </row>
    <row r="41" spans="1:5">
      <c r="A41" s="361" t="s">
        <v>36</v>
      </c>
      <c r="B41" s="361"/>
      <c r="C41" s="361"/>
      <c r="D41" s="361"/>
      <c r="E41" s="361"/>
    </row>
    <row r="42" spans="1:5">
      <c r="A42" s="360"/>
      <c r="B42" s="360"/>
      <c r="C42" s="360"/>
      <c r="D42" s="360"/>
      <c r="E42" s="360"/>
    </row>
    <row r="43" spans="1:5">
      <c r="A43" s="361" t="s">
        <v>37</v>
      </c>
      <c r="B43" s="361"/>
      <c r="C43" s="361"/>
      <c r="D43" s="361"/>
      <c r="E43" s="361"/>
    </row>
    <row r="44" spans="1:5" ht="28.5" customHeight="1">
      <c r="A44" s="359" t="s">
        <v>38</v>
      </c>
      <c r="B44" s="359"/>
      <c r="C44" s="359"/>
      <c r="D44" s="359"/>
      <c r="E44" s="94"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5"/>
  <sheetViews>
    <sheetView view="pageBreakPreview" topLeftCell="A10" zoomScaleNormal="100" zoomScaleSheetLayoutView="100" workbookViewId="0">
      <selection activeCell="A28" sqref="A28:XFD28"/>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9" width="9.140625" style="19" hidden="1" customWidth="1"/>
    <col min="10" max="10" width="9.140625" style="19" customWidth="1"/>
    <col min="11" max="11" width="0.5703125" style="19" customWidth="1"/>
    <col min="12" max="16384" width="9.140625" style="19"/>
  </cols>
  <sheetData>
    <row r="1" spans="1:9">
      <c r="A1" s="26"/>
      <c r="B1" s="26"/>
      <c r="C1" s="26"/>
      <c r="D1" s="26"/>
      <c r="E1" s="26"/>
      <c r="F1" s="26"/>
      <c r="G1" s="26"/>
      <c r="H1" s="26"/>
      <c r="I1" s="26"/>
    </row>
    <row r="2" spans="1:9">
      <c r="A2" s="364" t="str">
        <f>""&amp;" "&amp;malumot!B74&amp;"-sonli "&amp;" "&amp;malumot!C64&amp;" shartnomasi bo‘yicha
 garovga qo‘yilgan mol-mulkni tekshirish bo’yicha "&amp;malumot!B5&amp;" bilan tuzilgan dalolatnomasi"</f>
        <v xml:space="preserve"> 1 aprel 2025 y.dan № 687-BR-sonli  Mikroqarz shartnomasi bo‘yicha
 garovga qo‘yilgan mol-mulkni tekshirish bo’yicha XAYATOV OTABEK KURBANOVICH bilan tuzilgan dalolatnomasi</v>
      </c>
      <c r="B2" s="364"/>
      <c r="C2" s="364"/>
      <c r="D2" s="364"/>
      <c r="E2" s="364"/>
      <c r="F2" s="364"/>
      <c r="G2" s="364"/>
      <c r="H2" s="364"/>
      <c r="I2" s="26"/>
    </row>
    <row r="3" spans="1:9">
      <c r="A3" s="364"/>
      <c r="B3" s="364"/>
      <c r="C3" s="364"/>
      <c r="D3" s="364"/>
      <c r="E3" s="364"/>
      <c r="F3" s="364"/>
      <c r="G3" s="364"/>
      <c r="H3" s="364"/>
      <c r="I3" s="26"/>
    </row>
    <row r="5" spans="1:9">
      <c r="A5" s="19" t="s">
        <v>201</v>
      </c>
      <c r="F5" s="131"/>
      <c r="H5" s="120" t="str">
        <f>TEXT(malumot!D2,"ДД.ММ.ГГГГ")</f>
        <v>28.09.2025</v>
      </c>
    </row>
    <row r="7" spans="1:9" ht="45" customHeight="1">
      <c r="A7" s="363" t="str">
        <f>"      Men, “СLEVER MIKROMOLYA TASHKILOTI” "&amp;malumot!A158&amp;"i "&amp;malumot!B158&amp;", jismoniy shaxs "&amp;" "&amp;malumot!B5&amp;" "&amp;" "&amp;malumot!B74&amp;"-sonli "&amp;malumot!B65&amp;" shartnomasi bo‘yicha garovga qo‘yilgan mol-mulkni ko‘zdan kechirdim"</f>
        <v xml:space="preserve">      Men, “СLEVER MIKROMOLYA TASHKILOTI” Buxoro filiali boshlig'ii A.Xudayberdiyev, jismoniy shaxs  XAYATOV OTABEK KURBANOVICH  1 aprel 2025 y.dan № 687-BR-sonli mikroqarz shartnomasi bo‘yicha garovga qo‘yilgan mol-mulkni ko‘zdan kechirdim</v>
      </c>
      <c r="B7" s="363"/>
      <c r="C7" s="363"/>
      <c r="D7" s="363"/>
      <c r="E7" s="363"/>
      <c r="F7" s="363"/>
      <c r="G7" s="363"/>
      <c r="H7" s="363"/>
    </row>
    <row r="8" spans="1:9" ht="19.5" customHeight="1">
      <c r="A8" s="367" t="s">
        <v>272</v>
      </c>
      <c r="B8" s="367"/>
      <c r="C8" s="367"/>
      <c r="D8" s="367"/>
      <c r="E8" s="367"/>
      <c r="F8" s="367"/>
      <c r="G8" s="367"/>
      <c r="H8" s="367"/>
    </row>
    <row r="9" spans="1:9" s="121" customFormat="1" ht="32.25" customHeight="1">
      <c r="A9" s="368" t="str">
        <f>dalolatnoma!A20</f>
        <v>Nomi</v>
      </c>
      <c r="B9" s="369"/>
      <c r="C9" s="368" t="str">
        <f>dalolatnoma!B20</f>
        <v>Kuzov turi  va kuzov raqami*</v>
      </c>
      <c r="D9" s="369"/>
      <c r="E9" s="368" t="str">
        <f>dalolatnoma!D20</f>
        <v>Dvigatel va shassi raqami*</v>
      </c>
      <c r="F9" s="369"/>
      <c r="G9" s="368" t="str">
        <f>dalolatnoma!E20</f>
        <v>Ishlab chiqarilgan yili va rangi**</v>
      </c>
      <c r="H9" s="369"/>
    </row>
    <row r="10" spans="1:9" s="119" customFormat="1" ht="58.5" customHeight="1">
      <c r="A10" s="370" t="str">
        <f>dalolatnoma!A21</f>
        <v>SPARK</v>
      </c>
      <c r="B10" s="370"/>
      <c r="C10" s="370" t="str">
        <f>dalolatnoma!B21</f>
        <v>kuzov turi - YENGIL SEDAN, kuzov raqami XWBMF481EBA580791</v>
      </c>
      <c r="D10" s="370"/>
      <c r="E10" s="370" t="str">
        <f>dalolatnoma!D21</f>
        <v>dvigatel raqami B10D1606437KC3, shassi raqami - RAKAMSIZ</v>
      </c>
      <c r="F10" s="370"/>
      <c r="G10" s="370" t="str">
        <f>dalolatnoma!E21</f>
        <v>rangi -  OQ BELAYA "KASABLANKA", ishlab chiqarilgan yili - 2011</v>
      </c>
      <c r="H10" s="370"/>
    </row>
    <row r="11" spans="1:9" ht="19.5" customHeight="1">
      <c r="A11" s="362" t="str">
        <f>dalolatnoma!A22:E22</f>
        <v>-* avtotransport egasi: FAYZIYEV JAMSHID KURBONOVICH</v>
      </c>
      <c r="B11" s="362"/>
      <c r="C11" s="362"/>
      <c r="D11" s="362"/>
      <c r="E11" s="362"/>
      <c r="F11" s="362"/>
      <c r="G11" s="362"/>
      <c r="H11" s="362"/>
    </row>
    <row r="12" spans="1:9" ht="19.5" customHeight="1">
      <c r="A12" s="362" t="str">
        <f>dalolatnoma!A23:E23</f>
        <v>-* texnik pasport: AAG   4517617  20.08.2024y</v>
      </c>
      <c r="B12" s="362"/>
      <c r="C12" s="362"/>
      <c r="D12" s="362"/>
      <c r="E12" s="362"/>
      <c r="F12" s="362"/>
      <c r="G12" s="362"/>
      <c r="H12" s="362"/>
    </row>
    <row r="13" spans="1:9" ht="19.5" customHeight="1">
      <c r="A13" s="362" t="str">
        <f>dalolatnoma!A24:E24</f>
        <v>-* roʻyxatdan oʻtgan manzili/garaj manzili: BUXORO VILOYATI BUXORO TUMANI XONOBOD MFY XONOBOD QISHLOG'I</v>
      </c>
      <c r="B13" s="362"/>
      <c r="C13" s="362"/>
      <c r="D13" s="362"/>
      <c r="E13" s="362"/>
      <c r="F13" s="362"/>
      <c r="G13" s="362"/>
      <c r="H13" s="362"/>
    </row>
    <row r="14" spans="1:9" ht="19.5" customHeight="1">
      <c r="A14" s="362" t="str">
        <f>dalolatnoma!A25:E25</f>
        <v>-* davlat raqami: 80Y320AB</v>
      </c>
      <c r="B14" s="362"/>
      <c r="C14" s="362"/>
      <c r="D14" s="362"/>
      <c r="E14" s="362"/>
      <c r="F14" s="362"/>
      <c r="G14" s="362"/>
      <c r="H14" s="362"/>
    </row>
    <row r="15" spans="1:9" ht="33.75" customHeight="1">
      <c r="A15" s="365" t="str">
        <f>+"Shu bilan birga, yuqoridagi mulkning kelishilgan garov qiymati "&amp;dalolatnoma!E30</f>
        <v>Shu bilan birga, yuqoridagi mulkning kelishilgan garov qiymati 39 000 000,00 
(o'ttiz to'qqiz million so'm)</v>
      </c>
      <c r="B15" s="365"/>
      <c r="C15" s="365"/>
      <c r="D15" s="365"/>
      <c r="E15" s="365"/>
      <c r="F15" s="365"/>
      <c r="G15" s="365"/>
      <c r="H15" s="365"/>
    </row>
    <row r="17" spans="1:8" ht="27" customHeight="1">
      <c r="A17" s="366" t="s">
        <v>273</v>
      </c>
      <c r="B17" s="366"/>
      <c r="C17" s="366"/>
      <c r="D17" s="366"/>
      <c r="E17" s="366"/>
      <c r="F17" s="366"/>
      <c r="G17" s="366"/>
      <c r="H17" s="366"/>
    </row>
    <row r="21" spans="1:8" s="26" customFormat="1"/>
    <row r="22" spans="1:8" s="26" customFormat="1">
      <c r="A22" s="26" t="str">
        <f>malumot!A158</f>
        <v>Buxoro filiali boshlig'i</v>
      </c>
      <c r="H22" s="122" t="str">
        <f>malumot!B158</f>
        <v>A.Xudayberdiyev</v>
      </c>
    </row>
    <row r="23" spans="1:8" s="26" customFormat="1">
      <c r="H23" s="122"/>
    </row>
    <row r="24" spans="1:8" s="26" customFormat="1">
      <c r="H24" s="122"/>
    </row>
    <row r="25" spans="1:8" s="26" customFormat="1">
      <c r="H25" s="122"/>
    </row>
    <row r="26" spans="1:8" s="26" customFormat="1">
      <c r="H26" s="122"/>
    </row>
    <row r="27" spans="1:8" s="26" customFormat="1" ht="16.5" customHeight="1">
      <c r="A27" s="26" t="s">
        <v>274</v>
      </c>
      <c r="H27" s="26" t="str">
        <f>malumot!B168</f>
        <v>J.Karimov</v>
      </c>
    </row>
    <row r="28" spans="1:8" s="26" customFormat="1"/>
    <row r="29" spans="1:8" s="26" customFormat="1"/>
    <row r="30" spans="1:8" s="26" customFormat="1"/>
    <row r="31" spans="1:8" s="26" customFormat="1">
      <c r="A31" s="26" t="s">
        <v>275</v>
      </c>
      <c r="H31" s="122" t="str">
        <f>malumot!B7</f>
        <v>XAYATOV O.K.</v>
      </c>
    </row>
    <row r="32" spans="1:8" s="26" customFormat="1"/>
    <row r="33" s="26" customFormat="1"/>
    <row r="34" s="26" customFormat="1"/>
    <row r="35" s="26"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34"/>
  <sheetViews>
    <sheetView view="pageBreakPreview" topLeftCell="A10" zoomScale="115" zoomScaleNormal="100" zoomScaleSheetLayoutView="115" workbookViewId="0">
      <selection activeCell="A25" sqref="A25:XFD25"/>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64" t="str">
        <f>""&amp;" "&amp;malumot!B74&amp;"-sonli "&amp;" "&amp;malumot!C64&amp;" shartnomasi bo‘yicha
 garovga qo‘yilgan mol-mulkni tekshirish bo’yicha "&amp;malumot!B5&amp;" bilan tuzilgan dalolatnomasi"</f>
        <v xml:space="preserve"> 1 aprel 2025 y.dan № 687-BR-sonli  Mikroqarz shartnomasi bo‘yicha
 garovga qo‘yilgan mol-mulkni tekshirish bo’yicha XAYATOV OTABEK KURBANOVICH bilan tuzilgan dalolatnomasi</v>
      </c>
      <c r="B2" s="364"/>
      <c r="C2" s="364"/>
      <c r="D2" s="364"/>
      <c r="E2" s="364"/>
      <c r="F2" s="364"/>
      <c r="G2" s="364"/>
      <c r="H2" s="364"/>
      <c r="I2" s="26"/>
    </row>
    <row r="3" spans="1:9">
      <c r="A3" s="364"/>
      <c r="B3" s="364"/>
      <c r="C3" s="364"/>
      <c r="D3" s="364"/>
      <c r="E3" s="364"/>
      <c r="F3" s="364"/>
      <c r="G3" s="364"/>
      <c r="H3" s="364"/>
      <c r="I3" s="26"/>
    </row>
    <row r="5" spans="1:9">
      <c r="A5" s="19" t="s">
        <v>201</v>
      </c>
      <c r="H5" s="120" t="str">
        <f>TEXT(+malumot!B2+360,"ДД.ММ.ГГГГ")</f>
        <v>27.03.2026</v>
      </c>
    </row>
    <row r="7" spans="1:9" ht="45" customHeight="1">
      <c r="A7" s="363" t="str">
        <f>"      Men, "&amp;malumot!B155&amp;" "&amp;malumot!A158&amp;"i "&amp;malumot!B158&amp;", jismoniy shaxs "&amp;" "&amp;malumot!B5&amp;" "&amp;" "&amp;malumot!B74&amp;"-sonli "&amp;malumot!C64&amp;" shartnomasi bo‘yicha garovga qo‘yilgan mol-mulkni ko‘zdan kechirdim"</f>
        <v xml:space="preserve">      Men, «CLEVER MIKROMOLIYA TASHKILOTI» MChJ Buxoro filiali boshlig'ii A.Xudayberdiyev, jismoniy shaxs  XAYATOV OTABEK KURBANOVICH  1 aprel 2025 y.dan № 687-BR-sonli Mikroqarz shartnomasi bo‘yicha garovga qo‘yilgan mol-mulkni ko‘zdan kechirdim</v>
      </c>
      <c r="B7" s="363"/>
      <c r="C7" s="363"/>
      <c r="D7" s="363"/>
      <c r="E7" s="363"/>
      <c r="F7" s="363"/>
      <c r="G7" s="363"/>
      <c r="H7" s="363"/>
    </row>
    <row r="8" spans="1:9" ht="19.5" customHeight="1">
      <c r="A8" s="367" t="s">
        <v>272</v>
      </c>
      <c r="B8" s="367"/>
      <c r="C8" s="367"/>
      <c r="D8" s="367"/>
      <c r="E8" s="367"/>
      <c r="F8" s="367"/>
      <c r="G8" s="367"/>
      <c r="H8" s="367"/>
    </row>
    <row r="9" spans="1:9" s="121" customFormat="1" ht="32.25" customHeight="1">
      <c r="A9" s="368" t="str">
        <f>akt_monitoring_1!A9</f>
        <v>Nomi</v>
      </c>
      <c r="B9" s="369"/>
      <c r="C9" s="368" t="str">
        <f>akt_monitoring_1!C9</f>
        <v>Kuzov turi  va kuzov raqami*</v>
      </c>
      <c r="D9" s="369"/>
      <c r="E9" s="368" t="str">
        <f>akt_monitoring_1!E9</f>
        <v>Dvigatel va shassi raqami*</v>
      </c>
      <c r="F9" s="369"/>
      <c r="G9" s="368" t="str">
        <f>akt_monitoring_1!G9</f>
        <v>Ishlab chiqarilgan yili va rangi**</v>
      </c>
      <c r="H9" s="369"/>
    </row>
    <row r="10" spans="1:9" s="119" customFormat="1" ht="58.5" customHeight="1">
      <c r="A10" s="370" t="str">
        <f>akt_monitoring_1!A10</f>
        <v>SPARK</v>
      </c>
      <c r="B10" s="370"/>
      <c r="C10" s="370" t="str">
        <f>akt_monitoring_1!C10</f>
        <v>kuzov turi - YENGIL SEDAN, kuzov raqami XWBMF481EBA580791</v>
      </c>
      <c r="D10" s="370"/>
      <c r="E10" s="370" t="str">
        <f>akt_monitoring_1!E10</f>
        <v>dvigatel raqami B10D1606437KC3, shassi raqami - RAKAMSIZ</v>
      </c>
      <c r="F10" s="370"/>
      <c r="G10" s="370" t="str">
        <f>akt_monitoring_1!G10</f>
        <v>rangi -  OQ BELAYA "KASABLANKA", ishlab chiqarilgan yili - 2011</v>
      </c>
      <c r="H10" s="370"/>
    </row>
    <row r="11" spans="1:9" ht="19.5" customHeight="1">
      <c r="A11" s="362" t="str">
        <f>dalolatnoma!A22:E22</f>
        <v>-* avtotransport egasi: FAYZIYEV JAMSHID KURBONOVICH</v>
      </c>
      <c r="B11" s="362"/>
      <c r="C11" s="362"/>
      <c r="D11" s="362"/>
      <c r="E11" s="362"/>
      <c r="F11" s="362"/>
      <c r="G11" s="362"/>
      <c r="H11" s="362"/>
    </row>
    <row r="12" spans="1:9" ht="19.5" customHeight="1">
      <c r="A12" s="362" t="str">
        <f>dalolatnoma!A23:E23</f>
        <v>-* texnik pasport: AAG   4517617  20.08.2024y</v>
      </c>
      <c r="B12" s="362"/>
      <c r="C12" s="362"/>
      <c r="D12" s="362"/>
      <c r="E12" s="362"/>
      <c r="F12" s="362"/>
      <c r="G12" s="362"/>
      <c r="H12" s="362"/>
    </row>
    <row r="13" spans="1:9" ht="19.5" customHeight="1">
      <c r="A13" s="362" t="str">
        <f>dalolatnoma!A24:E24</f>
        <v>-* roʻyxatdan oʻtgan manzili/garaj manzili: BUXORO VILOYATI BUXORO TUMANI XONOBOD MFY XONOBOD QISHLOG'I</v>
      </c>
      <c r="B13" s="362"/>
      <c r="C13" s="362"/>
      <c r="D13" s="362"/>
      <c r="E13" s="362"/>
      <c r="F13" s="362"/>
      <c r="G13" s="362"/>
      <c r="H13" s="362"/>
    </row>
    <row r="14" spans="1:9" ht="19.5" customHeight="1">
      <c r="A14" s="362" t="str">
        <f>dalolatnoma!A25:E25</f>
        <v>-* davlat raqami: 80Y320AB</v>
      </c>
      <c r="B14" s="362"/>
      <c r="C14" s="362"/>
      <c r="D14" s="362"/>
      <c r="E14" s="362"/>
      <c r="F14" s="362"/>
      <c r="G14" s="362"/>
      <c r="H14" s="362"/>
    </row>
    <row r="15" spans="1:9" ht="33.75" customHeight="1">
      <c r="A15" s="365" t="str">
        <f>+"Shu bilan birga, yuqoridagi mulkning kelishilgan garov qiymati "&amp;dalolatnoma!E30</f>
        <v>Shu bilan birga, yuqoridagi mulkning kelishilgan garov qiymati 39 000 000,00 
(o'ttiz to'qqiz million so'm)</v>
      </c>
      <c r="B15" s="365"/>
      <c r="C15" s="365"/>
      <c r="D15" s="365"/>
      <c r="E15" s="365"/>
      <c r="F15" s="365"/>
      <c r="G15" s="365"/>
      <c r="H15" s="365"/>
    </row>
    <row r="17" spans="1:8" ht="35.25" customHeight="1">
      <c r="A17" s="366" t="s">
        <v>273</v>
      </c>
      <c r="B17" s="366"/>
      <c r="C17" s="366"/>
      <c r="D17" s="366"/>
      <c r="E17" s="366"/>
      <c r="F17" s="366"/>
      <c r="G17" s="366"/>
      <c r="H17" s="366"/>
    </row>
    <row r="21" spans="1:8" s="26" customFormat="1"/>
    <row r="22" spans="1:8" s="26" customFormat="1">
      <c r="A22" s="26" t="str">
        <f>malumot!A158</f>
        <v>Buxoro filiali boshlig'i</v>
      </c>
      <c r="H22" s="122" t="str">
        <f>malumot!B158</f>
        <v>A.Xudayberdiyev</v>
      </c>
    </row>
    <row r="23" spans="1:8" s="26" customFormat="1">
      <c r="H23" s="122"/>
    </row>
    <row r="24" spans="1:8" s="26" customFormat="1">
      <c r="H24" s="122"/>
    </row>
    <row r="25" spans="1:8" s="26" customFormat="1">
      <c r="H25" s="122"/>
    </row>
    <row r="26" spans="1:8" s="26" customFormat="1">
      <c r="H26" s="122"/>
    </row>
    <row r="27" spans="1:8" s="26" customFormat="1" ht="16.5" customHeight="1">
      <c r="A27" s="26" t="s">
        <v>274</v>
      </c>
      <c r="H27" s="26" t="str">
        <f>malumot!B168</f>
        <v>J.Karimov</v>
      </c>
    </row>
    <row r="28" spans="1:8" s="26" customFormat="1"/>
    <row r="29" spans="1:8" s="26" customFormat="1"/>
    <row r="30" spans="1:8" s="26" customFormat="1"/>
    <row r="31" spans="1:8" s="26" customFormat="1">
      <c r="A31" s="26" t="s">
        <v>275</v>
      </c>
      <c r="H31" s="122" t="str">
        <f>malumot!B7</f>
        <v>XAYATOV O.K.</v>
      </c>
    </row>
    <row r="32" spans="1:8" s="26" customFormat="1"/>
    <row r="33" s="26" customFormat="1"/>
    <row r="34" s="26"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34"/>
  <sheetViews>
    <sheetView view="pageBreakPreview" topLeftCell="B14" zoomScaleNormal="100" zoomScaleSheetLayoutView="100" workbookViewId="0">
      <selection activeCell="X49" sqref="X49"/>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64" t="str">
        <f>""&amp;" "&amp;malumot!B74&amp;"-sonli "&amp;" "&amp;malumot!C64&amp;" shartnomasi bo‘yicha
 garovga qo‘yilgan mol-mulkni tekshirish bo’yicha "&amp;malumot!B5&amp;" bilan tuzilgan dalolatnomasi"</f>
        <v xml:space="preserve"> 1 aprel 2025 y.dan № 687-BR-sonli  Mikroqarz shartnomasi bo‘yicha
 garovga qo‘yilgan mol-mulkni tekshirish bo’yicha XAYATOV OTABEK KURBANOVICH bilan tuzilgan dalolatnomasi</v>
      </c>
      <c r="B2" s="364"/>
      <c r="C2" s="364"/>
      <c r="D2" s="364"/>
      <c r="E2" s="364"/>
      <c r="F2" s="364"/>
      <c r="G2" s="364"/>
      <c r="H2" s="364"/>
      <c r="I2" s="26"/>
    </row>
    <row r="3" spans="1:9">
      <c r="A3" s="364"/>
      <c r="B3" s="364"/>
      <c r="C3" s="364"/>
      <c r="D3" s="364"/>
      <c r="E3" s="364"/>
      <c r="F3" s="364"/>
      <c r="G3" s="364"/>
      <c r="H3" s="364"/>
      <c r="I3" s="26"/>
    </row>
    <row r="5" spans="1:9">
      <c r="A5" s="19" t="s">
        <v>201</v>
      </c>
      <c r="H5" s="120" t="str">
        <f>TEXT(+malumot!B2+540,"ДД.ММ.ГГГГ")</f>
        <v>23.09.2026</v>
      </c>
    </row>
    <row r="7" spans="1:9" ht="45" customHeight="1">
      <c r="A7" s="363" t="str">
        <f>"      Men, "&amp;malumot!B155&amp;" "&amp;malumot!A158&amp;"i "&amp;malumot!B158&amp;", jismoniy shaxs "&amp;" "&amp;malumot!B5&amp;" "&amp;" "&amp;malumot!B74&amp;"-sonli "&amp;malumot!C64&amp;" shartnomasi bo‘yicha garovga qo‘yilgan mol-mulkni ko‘zdan kechirdim"</f>
        <v xml:space="preserve">      Men, «CLEVER MIKROMOLIYA TASHKILOTI» MChJ Buxoro filiali boshlig'ii A.Xudayberdiyev, jismoniy shaxs  XAYATOV OTABEK KURBANOVICH  1 aprel 2025 y.dan № 687-BR-sonli Mikroqarz shartnomasi bo‘yicha garovga qo‘yilgan mol-mulkni ko‘zdan kechirdim</v>
      </c>
      <c r="B7" s="363"/>
      <c r="C7" s="363"/>
      <c r="D7" s="363"/>
      <c r="E7" s="363"/>
      <c r="F7" s="363"/>
      <c r="G7" s="363"/>
      <c r="H7" s="363"/>
    </row>
    <row r="8" spans="1:9" ht="19.5" customHeight="1">
      <c r="A8" s="367" t="s">
        <v>272</v>
      </c>
      <c r="B8" s="367"/>
      <c r="C8" s="367"/>
      <c r="D8" s="367"/>
      <c r="E8" s="367"/>
      <c r="F8" s="367"/>
      <c r="G8" s="367"/>
      <c r="H8" s="367"/>
    </row>
    <row r="9" spans="1:9" s="121" customFormat="1" ht="32.25" customHeight="1">
      <c r="A9" s="368" t="str">
        <f>akt_monitoring_1!A9</f>
        <v>Nomi</v>
      </c>
      <c r="B9" s="369"/>
      <c r="C9" s="368" t="str">
        <f>akt_monitoring_1!C9</f>
        <v>Kuzov turi  va kuzov raqami*</v>
      </c>
      <c r="D9" s="369"/>
      <c r="E9" s="368" t="str">
        <f>akt_monitoring_1!E9</f>
        <v>Dvigatel va shassi raqami*</v>
      </c>
      <c r="F9" s="369"/>
      <c r="G9" s="368" t="str">
        <f>akt_monitoring_1!G9</f>
        <v>Ishlab chiqarilgan yili va rangi**</v>
      </c>
      <c r="H9" s="369"/>
    </row>
    <row r="10" spans="1:9" s="119" customFormat="1" ht="58.5" customHeight="1">
      <c r="A10" s="371" t="str">
        <f>akt_monitoring_1!A10</f>
        <v>SPARK</v>
      </c>
      <c r="B10" s="372"/>
      <c r="C10" s="371" t="str">
        <f>akt_monitoring_1!C10</f>
        <v>kuzov turi - YENGIL SEDAN, kuzov raqami XWBMF481EBA580791</v>
      </c>
      <c r="D10" s="372"/>
      <c r="E10" s="371" t="str">
        <f>akt_monitoring_1!E10</f>
        <v>dvigatel raqami B10D1606437KC3, shassi raqami - RAKAMSIZ</v>
      </c>
      <c r="F10" s="372"/>
      <c r="G10" s="371" t="str">
        <f>akt_monitoring_1!G10</f>
        <v>rangi -  OQ BELAYA "KASABLANKA", ishlab chiqarilgan yili - 2011</v>
      </c>
      <c r="H10" s="372"/>
    </row>
    <row r="11" spans="1:9" ht="19.5" customHeight="1">
      <c r="A11" s="362" t="str">
        <f>dalolatnoma!A22:E22</f>
        <v>-* avtotransport egasi: FAYZIYEV JAMSHID KURBONOVICH</v>
      </c>
      <c r="B11" s="362"/>
      <c r="C11" s="362"/>
      <c r="D11" s="362"/>
      <c r="E11" s="362"/>
      <c r="F11" s="362"/>
      <c r="G11" s="362"/>
      <c r="H11" s="362"/>
    </row>
    <row r="12" spans="1:9" ht="19.5" customHeight="1">
      <c r="A12" s="362" t="str">
        <f>dalolatnoma!A23:E23</f>
        <v>-* texnik pasport: AAG   4517617  20.08.2024y</v>
      </c>
      <c r="B12" s="362"/>
      <c r="C12" s="362"/>
      <c r="D12" s="362"/>
      <c r="E12" s="362"/>
      <c r="F12" s="362"/>
      <c r="G12" s="362"/>
      <c r="H12" s="362"/>
    </row>
    <row r="13" spans="1:9" ht="19.5" customHeight="1">
      <c r="A13" s="362" t="str">
        <f>dalolatnoma!A24:E24</f>
        <v>-* roʻyxatdan oʻtgan manzili/garaj manzili: BUXORO VILOYATI BUXORO TUMANI XONOBOD MFY XONOBOD QISHLOG'I</v>
      </c>
      <c r="B13" s="362"/>
      <c r="C13" s="362"/>
      <c r="D13" s="362"/>
      <c r="E13" s="362"/>
      <c r="F13" s="362"/>
      <c r="G13" s="362"/>
      <c r="H13" s="362"/>
    </row>
    <row r="14" spans="1:9" ht="19.5" customHeight="1">
      <c r="A14" s="362" t="str">
        <f>dalolatnoma!A25:E25</f>
        <v>-* davlat raqami: 80Y320AB</v>
      </c>
      <c r="B14" s="362"/>
      <c r="C14" s="362"/>
      <c r="D14" s="362"/>
      <c r="E14" s="362"/>
      <c r="F14" s="362"/>
      <c r="G14" s="362"/>
      <c r="H14" s="362"/>
    </row>
    <row r="15" spans="1:9" ht="33.75" customHeight="1">
      <c r="A15" s="365" t="str">
        <f>+"Shu bilan birga, yuqoridagi mulkning kelishilgan garov qiymati "&amp;dalolatnoma!E30</f>
        <v>Shu bilan birga, yuqoridagi mulkning kelishilgan garov qiymati 39 000 000,00 
(o'ttiz to'qqiz million so'm)</v>
      </c>
      <c r="B15" s="365"/>
      <c r="C15" s="365"/>
      <c r="D15" s="365"/>
      <c r="E15" s="365"/>
      <c r="F15" s="365"/>
      <c r="G15" s="365"/>
      <c r="H15" s="365"/>
    </row>
    <row r="17" spans="1:8" s="119" customFormat="1" ht="32.25" customHeight="1">
      <c r="A17" s="366" t="s">
        <v>273</v>
      </c>
      <c r="B17" s="366"/>
      <c r="C17" s="366"/>
      <c r="D17" s="366"/>
      <c r="E17" s="366"/>
      <c r="F17" s="366"/>
      <c r="G17" s="366"/>
      <c r="H17" s="366"/>
    </row>
    <row r="21" spans="1:8" s="26" customFormat="1"/>
    <row r="22" spans="1:8" s="26" customFormat="1">
      <c r="A22" s="26" t="str">
        <f>malumot!A158</f>
        <v>Buxoro filiali boshlig'i</v>
      </c>
      <c r="H22" s="122" t="str">
        <f>malumot!B158</f>
        <v>A.Xudayberdiyev</v>
      </c>
    </row>
    <row r="23" spans="1:8" s="26" customFormat="1">
      <c r="H23" s="122"/>
    </row>
    <row r="24" spans="1:8" s="26" customFormat="1">
      <c r="H24" s="122"/>
    </row>
    <row r="25" spans="1:8" s="26" customFormat="1">
      <c r="H25" s="122"/>
    </row>
    <row r="26" spans="1:8" s="26" customFormat="1">
      <c r="H26" s="122"/>
    </row>
    <row r="27" spans="1:8" s="26" customFormat="1" ht="16.5" customHeight="1">
      <c r="A27" s="26" t="s">
        <v>274</v>
      </c>
      <c r="H27" s="26" t="str">
        <f>malumot!B168</f>
        <v>J.Karimov</v>
      </c>
    </row>
    <row r="28" spans="1:8" s="26" customFormat="1"/>
    <row r="29" spans="1:8" s="26" customFormat="1"/>
    <row r="30" spans="1:8" s="26" customFormat="1"/>
    <row r="31" spans="1:8" s="26" customFormat="1">
      <c r="A31" s="26" t="s">
        <v>275</v>
      </c>
      <c r="H31" s="122" t="str">
        <f>malumot!B7</f>
        <v>XAYATOV O.K.</v>
      </c>
    </row>
    <row r="32" spans="1:8" s="26" customFormat="1"/>
    <row r="33" s="26" customFormat="1"/>
    <row r="34" s="26"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34"/>
  <sheetViews>
    <sheetView view="pageBreakPreview" zoomScaleNormal="100" zoomScaleSheetLayoutView="100" workbookViewId="0">
      <selection activeCell="F39" sqref="F39"/>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64" t="str">
        <f>""&amp;" "&amp;malumot!B74&amp;"-sonli "&amp;" "&amp;malumot!C64&amp;" shartnomasi bo‘yicha
 garovga qo‘yilgan mol-mulkni tekshirish bo’yicha "&amp;malumot!B5&amp;" bilan tuzilgan dalolatnomasi"</f>
        <v xml:space="preserve"> 1 aprel 2025 y.dan № 687-BR-sonli  Mikroqarz shartnomasi bo‘yicha
 garovga qo‘yilgan mol-mulkni tekshirish bo’yicha XAYATOV OTABEK KURBANOVICH bilan tuzilgan dalolatnomasi</v>
      </c>
      <c r="B2" s="364"/>
      <c r="C2" s="364"/>
      <c r="D2" s="364"/>
      <c r="E2" s="364"/>
      <c r="F2" s="364"/>
      <c r="G2" s="364"/>
      <c r="H2" s="364"/>
      <c r="I2" s="26"/>
    </row>
    <row r="3" spans="1:9">
      <c r="A3" s="364"/>
      <c r="B3" s="364"/>
      <c r="C3" s="364"/>
      <c r="D3" s="364"/>
      <c r="E3" s="364"/>
      <c r="F3" s="364"/>
      <c r="G3" s="364"/>
      <c r="H3" s="364"/>
      <c r="I3" s="26"/>
    </row>
    <row r="5" spans="1:9">
      <c r="A5" s="19" t="s">
        <v>201</v>
      </c>
      <c r="H5" s="120" t="str">
        <f>TEXT(+malumot!B2+720,"ДД.ММ.ГГГГ")</f>
        <v>22.03.2027</v>
      </c>
    </row>
    <row r="7" spans="1:9" ht="45" customHeight="1">
      <c r="A7" s="363" t="str">
        <f>"      Men, "&amp;malumot!B155&amp;" "&amp;malumot!A158&amp;"i "&amp;malumot!B158&amp;", jismoniy shaxs "&amp;" "&amp;malumot!B5&amp;" "&amp;" "&amp;malumot!B74&amp;"-sonli "&amp;malumot!C64&amp;" shartnomasi bo‘yicha garovga qo‘yilgan mol-mulkni ko‘zdan kechirdim"</f>
        <v xml:space="preserve">      Men, «CLEVER MIKROMOLIYA TASHKILOTI» MChJ Buxoro filiali boshlig'ii A.Xudayberdiyev, jismoniy shaxs  XAYATOV OTABEK KURBANOVICH  1 aprel 2025 y.dan № 687-BR-sonli Mikroqarz shartnomasi bo‘yicha garovga qo‘yilgan mol-mulkni ko‘zdan kechirdim</v>
      </c>
      <c r="B7" s="363"/>
      <c r="C7" s="363"/>
      <c r="D7" s="363"/>
      <c r="E7" s="363"/>
      <c r="F7" s="363"/>
      <c r="G7" s="363"/>
      <c r="H7" s="363"/>
    </row>
    <row r="8" spans="1:9" ht="19.5" customHeight="1">
      <c r="A8" s="367" t="s">
        <v>272</v>
      </c>
      <c r="B8" s="367"/>
      <c r="C8" s="367"/>
      <c r="D8" s="367"/>
      <c r="E8" s="367"/>
      <c r="F8" s="367"/>
      <c r="G8" s="367"/>
      <c r="H8" s="367"/>
    </row>
    <row r="9" spans="1:9" s="121" customFormat="1" ht="32.25" customHeight="1">
      <c r="A9" s="368" t="str">
        <f>akt_monitoring_1!A9</f>
        <v>Nomi</v>
      </c>
      <c r="B9" s="369"/>
      <c r="C9" s="368" t="str">
        <f>akt_monitoring_1!C9</f>
        <v>Kuzov turi  va kuzov raqami*</v>
      </c>
      <c r="D9" s="369"/>
      <c r="E9" s="368" t="str">
        <f>akt_monitoring_1!E9</f>
        <v>Dvigatel va shassi raqami*</v>
      </c>
      <c r="F9" s="369"/>
      <c r="G9" s="368" t="str">
        <f>akt_monitoring_1!G9</f>
        <v>Ishlab chiqarilgan yili va rangi**</v>
      </c>
      <c r="H9" s="369"/>
    </row>
    <row r="10" spans="1:9" s="119" customFormat="1" ht="58.5" customHeight="1">
      <c r="A10" s="370" t="str">
        <f>akt_monitoring_1!A10</f>
        <v>SPARK</v>
      </c>
      <c r="B10" s="370"/>
      <c r="C10" s="370" t="str">
        <f>akt_monitoring_1!C10</f>
        <v>kuzov turi - YENGIL SEDAN, kuzov raqami XWBMF481EBA580791</v>
      </c>
      <c r="D10" s="370"/>
      <c r="E10" s="370" t="str">
        <f>akt_monitoring_1!E10</f>
        <v>dvigatel raqami B10D1606437KC3, shassi raqami - RAKAMSIZ</v>
      </c>
      <c r="F10" s="370"/>
      <c r="G10" s="370" t="str">
        <f>akt_monitoring_1!G10</f>
        <v>rangi -  OQ BELAYA "KASABLANKA", ishlab chiqarilgan yili - 2011</v>
      </c>
      <c r="H10" s="370"/>
    </row>
    <row r="11" spans="1:9" ht="19.5" customHeight="1">
      <c r="A11" s="362" t="str">
        <f>dalolatnoma!A22:E22</f>
        <v>-* avtotransport egasi: FAYZIYEV JAMSHID KURBONOVICH</v>
      </c>
      <c r="B11" s="362"/>
      <c r="C11" s="362"/>
      <c r="D11" s="362"/>
      <c r="E11" s="362"/>
      <c r="F11" s="362"/>
      <c r="G11" s="362"/>
      <c r="H11" s="362"/>
    </row>
    <row r="12" spans="1:9" ht="19.5" customHeight="1">
      <c r="A12" s="362" t="str">
        <f>dalolatnoma!A23:E23</f>
        <v>-* texnik pasport: AAG   4517617  20.08.2024y</v>
      </c>
      <c r="B12" s="362"/>
      <c r="C12" s="362"/>
      <c r="D12" s="362"/>
      <c r="E12" s="362"/>
      <c r="F12" s="362"/>
      <c r="G12" s="362"/>
      <c r="H12" s="362"/>
    </row>
    <row r="13" spans="1:9" ht="19.5" customHeight="1">
      <c r="A13" s="362" t="str">
        <f>dalolatnoma!A24:E24</f>
        <v>-* roʻyxatdan oʻtgan manzili/garaj manzili: BUXORO VILOYATI BUXORO TUMANI XONOBOD MFY XONOBOD QISHLOG'I</v>
      </c>
      <c r="B13" s="362"/>
      <c r="C13" s="362"/>
      <c r="D13" s="362"/>
      <c r="E13" s="362"/>
      <c r="F13" s="362"/>
      <c r="G13" s="362"/>
      <c r="H13" s="362"/>
    </row>
    <row r="14" spans="1:9" ht="19.5" customHeight="1">
      <c r="A14" s="362" t="str">
        <f>dalolatnoma!A25:E25</f>
        <v>-* davlat raqami: 80Y320AB</v>
      </c>
      <c r="B14" s="362"/>
      <c r="C14" s="362"/>
      <c r="D14" s="362"/>
      <c r="E14" s="362"/>
      <c r="F14" s="362"/>
      <c r="G14" s="362"/>
      <c r="H14" s="362"/>
    </row>
    <row r="15" spans="1:9" ht="33.75" customHeight="1">
      <c r="A15" s="365" t="str">
        <f>+"Shu bilan birga, yuqoridagi mulkning kelishilgan garov qiymati "&amp;dalolatnoma!E30</f>
        <v>Shu bilan birga, yuqoridagi mulkning kelishilgan garov qiymati 39 000 000,00 
(o'ttiz to'qqiz million so'm)</v>
      </c>
      <c r="B15" s="365"/>
      <c r="C15" s="365"/>
      <c r="D15" s="365"/>
      <c r="E15" s="365"/>
      <c r="F15" s="365"/>
      <c r="G15" s="365"/>
      <c r="H15" s="365"/>
    </row>
    <row r="17" spans="1:8" ht="28.5" customHeight="1">
      <c r="A17" s="366" t="s">
        <v>273</v>
      </c>
      <c r="B17" s="366"/>
      <c r="C17" s="366"/>
      <c r="D17" s="366"/>
      <c r="E17" s="366"/>
      <c r="F17" s="366"/>
      <c r="G17" s="366"/>
      <c r="H17" s="366"/>
    </row>
    <row r="21" spans="1:8" s="26" customFormat="1"/>
    <row r="22" spans="1:8" s="26" customFormat="1">
      <c r="A22" s="26" t="str">
        <f>malumot!A158</f>
        <v>Buxoro filiali boshlig'i</v>
      </c>
      <c r="H22" s="122" t="str">
        <f>malumot!B158</f>
        <v>A.Xudayberdiyev</v>
      </c>
    </row>
    <row r="23" spans="1:8" s="26" customFormat="1">
      <c r="H23" s="122"/>
    </row>
    <row r="24" spans="1:8" s="26" customFormat="1">
      <c r="H24" s="122"/>
    </row>
    <row r="25" spans="1:8" s="26" customFormat="1">
      <c r="H25" s="122"/>
    </row>
    <row r="26" spans="1:8" s="26" customFormat="1">
      <c r="H26" s="122"/>
    </row>
    <row r="27" spans="1:8" s="26" customFormat="1" ht="16.5" customHeight="1">
      <c r="A27" s="26" t="s">
        <v>274</v>
      </c>
      <c r="H27" s="26" t="str">
        <f>malumot!B168</f>
        <v>J.Karimov</v>
      </c>
    </row>
    <row r="28" spans="1:8" s="26" customFormat="1"/>
    <row r="29" spans="1:8" s="26" customFormat="1"/>
    <row r="30" spans="1:8" s="26" customFormat="1"/>
    <row r="31" spans="1:8" s="26" customFormat="1">
      <c r="A31" s="26" t="s">
        <v>275</v>
      </c>
      <c r="H31" s="122" t="str">
        <f>malumot!B7</f>
        <v>XAYATOV O.K.</v>
      </c>
    </row>
    <row r="32" spans="1:8" s="26" customFormat="1"/>
    <row r="33" s="26" customFormat="1"/>
    <row r="34" s="26"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730B-6929-4668-B79F-27EFE1BDEA00}">
  <dimension ref="A1:D29"/>
  <sheetViews>
    <sheetView tabSelected="1" topLeftCell="A10" zoomScale="130" zoomScaleNormal="130" workbookViewId="0">
      <selection activeCell="C20" sqref="C20"/>
    </sheetView>
  </sheetViews>
  <sheetFormatPr defaultColWidth="16.85546875" defaultRowHeight="15"/>
  <cols>
    <col min="1" max="1" width="16" style="10" customWidth="1"/>
    <col min="2" max="2" width="21.140625" style="10" customWidth="1"/>
    <col min="3" max="3" width="23.85546875" style="10" customWidth="1"/>
    <col min="4" max="4" width="26" style="10" customWidth="1"/>
    <col min="5" max="16384" width="16.85546875" style="10"/>
  </cols>
  <sheetData>
    <row r="1" spans="1:4">
      <c r="B1" s="256" t="s">
        <v>453</v>
      </c>
      <c r="C1" s="254"/>
      <c r="D1" s="254"/>
    </row>
    <row r="2" spans="1:4">
      <c r="B2" s="255" t="s">
        <v>454</v>
      </c>
      <c r="C2" s="185"/>
      <c r="D2" s="185"/>
    </row>
    <row r="3" spans="1:4">
      <c r="B3" s="255" t="s">
        <v>455</v>
      </c>
      <c r="C3" s="185"/>
      <c r="D3" s="185"/>
    </row>
    <row r="4" spans="1:4">
      <c r="B4" s="255" t="s">
        <v>456</v>
      </c>
      <c r="C4" s="185"/>
      <c r="D4" s="185"/>
    </row>
    <row r="6" spans="1:4">
      <c r="A6" s="262" t="str">
        <f>malumot!B109</f>
        <v>05.04.2025 yildagi</v>
      </c>
      <c r="D6" s="31" t="s">
        <v>458</v>
      </c>
    </row>
    <row r="7" spans="1:4">
      <c r="A7" s="261" t="str">
        <f>malumot!B110</f>
        <v>№ 02/04-001</v>
      </c>
      <c r="D7" s="31" t="s">
        <v>457</v>
      </c>
    </row>
    <row r="8" spans="1:4">
      <c r="A8" s="261"/>
    </row>
    <row r="9" spans="1:4" ht="87.75" customHeight="1">
      <c r="A9" s="283" t="str">
        <f>"      “CLEVER mikromoliya tashkiloti” MCHJ va " &amp; malumot!B5 &amp; " (pasport: " &amp;malumot!B16 &amp; ", " &amp;malumot!B20 &amp;")" &amp; " o‘rtasida " &amp;malumot!B2 &amp; " yildagi " &amp;malumot!B1 &amp; "-sonli" &amp; notarius!B78 &amp; ", "&amp; malumot!B75 &amp; " (" &amp;malumot!B76 &amp;")" &amp; "miqdorida mikroqarz shartnomasi imzolangan. Mikroqarz shartnomasi bo‘yicha majburiyatlarni o‘z vaqtida bajarish uchun Qarz oluvchi quyidagi mulkni taqdim etdi, xususan:"</f>
        <v xml:space="preserve">      “CLEVER mikromoliya tashkiloti” MCHJ va XAYATOV OTABEK KURBANOVICH (pasport: AB 7858443, BUXORO VILOYATI KOGON TUMAN IIB tomonidan 06.10.2017 yilda berilgan) o‘rtasida 01.04.2025 yildagi № 687-BR-sonli, 26000000 (yigirma olti million so'm)miqdorida mikroqarz shartnomasi imzolangan. Mikroqarz shartnomasi bo‘yicha majburiyatlarni o‘z vaqtida bajarish uchun Qarz oluvchi quyidagi mulkni taqdim etdi, xususan:</v>
      </c>
      <c r="B9" s="283"/>
      <c r="C9" s="283"/>
      <c r="D9" s="283"/>
    </row>
    <row r="11" spans="1:4" ht="30" customHeight="1">
      <c r="A11" s="33" t="s">
        <v>204</v>
      </c>
      <c r="B11" s="33" t="str">
        <f>IF(malumot!B111=malumot!C111,"Kuzov turi  va kuzov raqami*","Foydali maydoni")</f>
        <v>Kuzov turi  va kuzov raqami*</v>
      </c>
      <c r="C11" s="33" t="str">
        <f>IF(malumot!B111=malumot!C111,"Dvigatel va shassi raqami*","Yashash maydoni")</f>
        <v>Dvigatel va shassi raqami*</v>
      </c>
      <c r="D11" s="33" t="str">
        <f>IF(malumot!B111=malumot!C111,"Ishlab chiqarilgan yili va rangi**","Umumiy maydoni")</f>
        <v>Ishlab chiqarilgan yili va rangi**</v>
      </c>
    </row>
    <row r="12" spans="1:4" ht="76.5" customHeight="1">
      <c r="A12" s="253" t="str">
        <f>IF(malumot!B111=malumot!C111,malumot!B133,malumot!C133)</f>
        <v>SPARK</v>
      </c>
      <c r="B12" s="253" t="str">
        <f>IF(malumot!B111=malumot!C111,malumot!B135,CONCATENATE(malumot!F138," ","kv.m"))</f>
        <v>kuzov turi - YENGIL SEDAN, kuzov raqami XWBMF481EBA580791</v>
      </c>
      <c r="C12" s="253" t="str">
        <f>IF(malumot!B111=malumot!C111,malumot!B138,malumot!E141)</f>
        <v>dvigatel raqami B10D1606437KC3, shassi raqami - RAKAMSIZ</v>
      </c>
      <c r="D12" s="253" t="str">
        <f>IF(malumot!B111=malumot!C111,malumot!B141,malumot!E138)</f>
        <v>rangi -  OQ BELAYA "KASABLANKA", ishlab chiqarilgan yili - 2011</v>
      </c>
    </row>
    <row r="13" spans="1:4" ht="19.5" customHeight="1">
      <c r="A13" s="375" t="str">
        <f>"-* "&amp;IF(malumot!B111=malumot!C111,"avtotransport "&amp;"egasi: "&amp;malumot!B125&amp;"","ko'chmas mulk"&amp;" egasi: "&amp;malumot!B125&amp;"")</f>
        <v>-* avtotransport egasi: FAYZIYEV JAMSHID KURBONOVICH</v>
      </c>
      <c r="B13" s="375"/>
      <c r="C13" s="375"/>
      <c r="D13" s="375"/>
    </row>
    <row r="14" spans="1:4">
      <c r="A14" s="373" t="str">
        <f>IF(malumot!B111=malumot!C111,"-* texnik pasport: "&amp;malumot!B132&amp;"","-* reest raqami: "&amp;malumot!C132&amp;"")</f>
        <v>-* texnik pasport: AAG   4517617  20.08.2024y</v>
      </c>
      <c r="B14" s="373"/>
      <c r="C14" s="373"/>
      <c r="D14" s="373"/>
    </row>
    <row r="15" spans="1:4">
      <c r="A15" s="373" t="str">
        <f>IF(malumot!B111=malumot!C111,"-* davlat raqami: "&amp;malumot!B134&amp;"","-* manzili: "&amp;malumot!C131&amp;"")</f>
        <v>-* davlat raqami: 80Y320AB</v>
      </c>
      <c r="B15" s="373"/>
      <c r="C15" s="373"/>
      <c r="D15" s="373"/>
    </row>
    <row r="16" spans="1:4" s="258" customFormat="1">
      <c r="A16" s="259" t="str">
        <f>"-* garov shartnomasi bo'yicha (reestr № " &amp;malumot!B106&amp; " , " &amp;malumot!B107&amp; " yil)"</f>
        <v>-* garov shartnomasi bo'yicha (reestr № 202502386001856 , 01.04.2025 yil)</v>
      </c>
      <c r="B16" s="257"/>
      <c r="C16" s="257"/>
      <c r="D16" s="257"/>
    </row>
    <row r="17" spans="1:4" s="258" customFormat="1">
      <c r="A17" s="257"/>
      <c r="B17" s="257"/>
      <c r="C17" s="257"/>
      <c r="D17" s="257"/>
    </row>
    <row r="18" spans="1:4" ht="51.75" customHeight="1">
      <c r="A18" s="374" t="s">
        <v>459</v>
      </c>
      <c r="B18" s="374"/>
      <c r="C18" s="374"/>
      <c r="D18" s="374"/>
    </row>
    <row r="20" spans="1:4">
      <c r="C20" s="392"/>
    </row>
    <row r="21" spans="1:4">
      <c r="A21" s="193" t="s">
        <v>460</v>
      </c>
    </row>
    <row r="22" spans="1:4">
      <c r="A22" s="193" t="s">
        <v>468</v>
      </c>
      <c r="D22" s="252" t="s">
        <v>393</v>
      </c>
    </row>
    <row r="26" spans="1:4">
      <c r="A26" s="10" t="s">
        <v>461</v>
      </c>
    </row>
    <row r="27" spans="1:4">
      <c r="A27" s="10" t="s">
        <v>462</v>
      </c>
    </row>
    <row r="29" spans="1:4" ht="45.75" customHeight="1">
      <c r="A29" s="283" t="s">
        <v>463</v>
      </c>
      <c r="B29" s="283"/>
      <c r="C29" s="283"/>
      <c r="D29" s="283"/>
    </row>
  </sheetData>
  <mergeCells count="6">
    <mergeCell ref="A15:D15"/>
    <mergeCell ref="A29:D29"/>
    <mergeCell ref="A9:D9"/>
    <mergeCell ref="A18:D18"/>
    <mergeCell ref="A13:D13"/>
    <mergeCell ref="A14:D14"/>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1">
    <tabColor rgb="FF00B050"/>
  </sheetPr>
  <dimension ref="A2:H33"/>
  <sheetViews>
    <sheetView view="pageBreakPreview" topLeftCell="A4" zoomScaleNormal="100" zoomScaleSheetLayoutView="100" workbookViewId="0">
      <selection activeCell="C5" sqref="C5:E5"/>
    </sheetView>
  </sheetViews>
  <sheetFormatPr defaultColWidth="9.140625" defaultRowHeight="15.75"/>
  <cols>
    <col min="1" max="2" width="17.42578125" style="106" customWidth="1"/>
    <col min="3" max="3" width="29.85546875" style="106" customWidth="1"/>
    <col min="4" max="4" width="18.140625" style="106" customWidth="1"/>
    <col min="5" max="5" width="6.5703125" style="106" customWidth="1"/>
    <col min="6" max="16384" width="9.140625" style="106"/>
  </cols>
  <sheetData>
    <row r="2" spans="1:5">
      <c r="A2" s="376" t="s">
        <v>235</v>
      </c>
      <c r="B2" s="376"/>
      <c r="C2" s="376"/>
      <c r="D2" s="376"/>
      <c r="E2" s="376"/>
    </row>
    <row r="3" spans="1:5">
      <c r="E3" s="105" t="str">
        <f>malumot!B68</f>
        <v>1 aprel 2025 y.</v>
      </c>
    </row>
    <row r="5" spans="1:5" s="107" customFormat="1" ht="27" customHeight="1">
      <c r="A5" s="380" t="s">
        <v>236</v>
      </c>
      <c r="B5" s="381"/>
      <c r="C5" s="377" t="str">
        <f>malumot!B8</f>
        <v>XAYATOV OTABEK KURBANOVICH</v>
      </c>
      <c r="D5" s="378"/>
      <c r="E5" s="379"/>
    </row>
    <row r="7" spans="1:5" ht="15.75" customHeight="1">
      <c r="A7" s="382" t="s">
        <v>351</v>
      </c>
      <c r="B7" s="383"/>
      <c r="C7" s="384"/>
      <c r="D7" s="108" t="s">
        <v>132</v>
      </c>
      <c r="E7" s="108"/>
    </row>
    <row r="8" spans="1:5">
      <c r="A8" s="385"/>
      <c r="B8" s="386"/>
      <c r="C8" s="387"/>
      <c r="D8" s="108" t="s">
        <v>240</v>
      </c>
      <c r="E8" s="108"/>
    </row>
    <row r="9" spans="1:5" ht="15.75" customHeight="1">
      <c r="A9" s="388" t="s">
        <v>237</v>
      </c>
      <c r="B9" s="388"/>
      <c r="C9" s="388"/>
      <c r="D9" s="108" t="s">
        <v>132</v>
      </c>
      <c r="E9" s="108"/>
    </row>
    <row r="10" spans="1:5">
      <c r="A10" s="388"/>
      <c r="B10" s="388"/>
      <c r="C10" s="388"/>
      <c r="D10" s="108" t="s">
        <v>240</v>
      </c>
      <c r="E10" s="108"/>
    </row>
    <row r="11" spans="1:5" ht="15.75" customHeight="1">
      <c r="A11" s="388" t="s">
        <v>238</v>
      </c>
      <c r="B11" s="388"/>
      <c r="C11" s="388"/>
      <c r="D11" s="108" t="s">
        <v>132</v>
      </c>
      <c r="E11" s="108"/>
    </row>
    <row r="12" spans="1:5">
      <c r="A12" s="388"/>
      <c r="B12" s="388"/>
      <c r="C12" s="388"/>
      <c r="D12" s="108" t="s">
        <v>240</v>
      </c>
      <c r="E12" s="108"/>
    </row>
    <row r="13" spans="1:5" ht="34.5" customHeight="1">
      <c r="A13" s="389" t="s">
        <v>239</v>
      </c>
      <c r="B13" s="389"/>
      <c r="C13" s="389"/>
      <c r="D13" s="389"/>
      <c r="E13" s="389"/>
    </row>
    <row r="14" spans="1:5" ht="16.5" thickBot="1">
      <c r="A14" s="390"/>
      <c r="B14" s="390"/>
      <c r="C14" s="390"/>
      <c r="D14" s="390"/>
      <c r="E14" s="390"/>
    </row>
    <row r="15" spans="1:5" ht="16.5" thickBot="1">
      <c r="A15" s="390"/>
      <c r="B15" s="390"/>
      <c r="C15" s="390"/>
      <c r="D15" s="390"/>
      <c r="E15" s="390"/>
    </row>
    <row r="16" spans="1:5" ht="16.5" thickBot="1">
      <c r="A16" s="390"/>
      <c r="B16" s="390"/>
      <c r="C16" s="390"/>
      <c r="D16" s="390"/>
      <c r="E16" s="390"/>
    </row>
    <row r="18" spans="1:8" ht="18.75" customHeight="1">
      <c r="A18" s="388" t="s">
        <v>241</v>
      </c>
      <c r="B18" s="388"/>
      <c r="C18" s="388"/>
      <c r="D18" s="108" t="s">
        <v>132</v>
      </c>
      <c r="E18" s="108"/>
    </row>
    <row r="19" spans="1:8" ht="18.75" customHeight="1">
      <c r="A19" s="388"/>
      <c r="B19" s="388"/>
      <c r="C19" s="388"/>
      <c r="D19" s="108" t="s">
        <v>240</v>
      </c>
      <c r="E19" s="108"/>
    </row>
    <row r="20" spans="1:8" ht="29.25" customHeight="1">
      <c r="A20" s="388" t="s">
        <v>242</v>
      </c>
      <c r="B20" s="388"/>
      <c r="C20" s="388"/>
      <c r="D20" s="108" t="s">
        <v>132</v>
      </c>
      <c r="E20" s="108"/>
    </row>
    <row r="21" spans="1:8" ht="29.25" customHeight="1">
      <c r="A21" s="388"/>
      <c r="B21" s="388"/>
      <c r="C21" s="388"/>
      <c r="D21" s="108" t="s">
        <v>240</v>
      </c>
      <c r="E21" s="108"/>
    </row>
    <row r="23" spans="1:8" ht="15.75" customHeight="1">
      <c r="A23" s="389" t="s">
        <v>243</v>
      </c>
      <c r="B23" s="389"/>
      <c r="C23" s="389"/>
      <c r="D23" s="389"/>
      <c r="E23" s="389"/>
    </row>
    <row r="24" spans="1:8" ht="16.5" thickBot="1">
      <c r="A24" s="390"/>
      <c r="B24" s="390"/>
      <c r="C24" s="390"/>
      <c r="D24" s="390"/>
      <c r="E24" s="390"/>
    </row>
    <row r="25" spans="1:8" ht="16.5" thickBot="1">
      <c r="A25" s="390"/>
      <c r="B25" s="390"/>
      <c r="C25" s="390"/>
      <c r="D25" s="390"/>
      <c r="E25" s="390"/>
    </row>
    <row r="26" spans="1:8" ht="16.5" thickBot="1">
      <c r="A26" s="390"/>
      <c r="B26" s="390"/>
      <c r="C26" s="390"/>
      <c r="D26" s="390"/>
      <c r="E26" s="390"/>
    </row>
    <row r="28" spans="1:8" ht="78.75" customHeight="1">
      <c r="A28" s="391" t="s">
        <v>244</v>
      </c>
      <c r="B28" s="391"/>
      <c r="C28" s="391"/>
      <c r="D28" s="391"/>
      <c r="E28" s="391"/>
    </row>
    <row r="30" spans="1:8" ht="33" customHeight="1">
      <c r="A30" s="391" t="s">
        <v>245</v>
      </c>
      <c r="B30" s="391"/>
      <c r="C30" s="391"/>
      <c r="D30" s="391"/>
      <c r="E30" s="391"/>
      <c r="F30" s="109"/>
      <c r="G30" s="109"/>
      <c r="H30" s="109"/>
    </row>
    <row r="33" spans="1:5" ht="16.5" thickBot="1">
      <c r="A33" s="110" t="str">
        <f>C5</f>
        <v>XAYATOV OTABEK KURBANOVICH</v>
      </c>
      <c r="D33" s="111"/>
      <c r="E33" s="112"/>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23</vt:i4>
      </vt:variant>
      <vt:variant>
        <vt:lpstr>Именованные диапазоны</vt:lpstr>
      </vt:variant>
      <vt:variant>
        <vt:i4>17</vt:i4>
      </vt:variant>
    </vt:vector>
  </HeadingPairs>
  <TitlesOfParts>
    <vt:vector size="40"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grafik</vt:lpstr>
      <vt:lpstr>dalolatnoma</vt:lpstr>
      <vt:lpstr>ariza</vt:lpstr>
      <vt:lpstr>muqova</vt:lpstr>
      <vt:lpstr>mijoz_anketasi</vt:lpstr>
      <vt:lpstr>majburiyatnoma</vt:lpstr>
      <vt:lpstr>kredit_ariza</vt:lpstr>
      <vt:lpstr>garov_ariza</vt:lpstr>
      <vt:lpstr>Письмо</vt:lpstr>
      <vt:lpstr>akt_monitoring_1</vt:lpstr>
      <vt:lpstr>akt_monitoring_2</vt:lpstr>
      <vt:lpstr>akt_monitoring_3</vt:lpstr>
      <vt:lpstr>akt_monitoring_4</vt:lpstr>
      <vt:lpstr>notarius</vt:lpstr>
      <vt:lpstr>Анкета 2</vt:lpstr>
      <vt:lpstr>akt_monitoring_1!Область_печати</vt:lpstr>
      <vt:lpstr>akt_monitoring_2!Область_печати</vt:lpstr>
      <vt:lpstr>akt_monitoring_3!Область_печати</vt:lpstr>
      <vt:lpstr>akt_monitoring_4!Область_печати</vt:lpstr>
      <vt:lpstr>ariza!Область_печати</vt:lpstr>
      <vt:lpstr>bayonnoma!Область_печати</vt:lpstr>
      <vt:lpstr>buyruq!Область_печати</vt:lpstr>
      <vt:lpstr>dalolatnoma!Область_печати</vt:lpstr>
      <vt:lpstr>garov_ariza!Область_печати</vt:lpstr>
      <vt:lpstr>grafik!Область_печати</vt:lpstr>
      <vt:lpstr>kredit_ariza!Область_печати</vt:lpstr>
      <vt:lpstr>mijoz_anketasi!Область_печати</vt:lpstr>
      <vt:lpstr>muqova!Область_печати</vt:lpstr>
      <vt:lpstr>notarius!Область_печати</vt:lpstr>
      <vt:lpstr>shartnoma!Область_печати</vt:lpstr>
      <vt:lpstr>xulosa!Область_печати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2025-04-05T04:53:56Z</cp:lastPrinted>
  <dcterms:created xsi:type="dcterms:W3CDTF">2015-06-05T18:19:34Z</dcterms:created>
  <dcterms:modified xsi:type="dcterms:W3CDTF">2025-04-05T05:38:28Z</dcterms:modified>
</cp:coreProperties>
</file>