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codeName="ЭтаКнига"/>
  <mc:AlternateContent xmlns:mc="http://schemas.openxmlformats.org/markup-compatibility/2006">
    <mc:Choice Requires="x15">
      <x15ac:absPath xmlns:x15ac="http://schemas.microsoft.com/office/spreadsheetml/2010/11/ac" url="C:\Users\Admin\PycharmProjects\payup\media\"/>
    </mc:Choice>
  </mc:AlternateContent>
  <xr:revisionPtr revIDLastSave="0" documentId="13_ncr:1_{4FECFA49-172E-4769-A9C7-ED3EDBEEDC24}" xr6:coauthVersionLast="47" xr6:coauthVersionMax="47" xr10:uidLastSave="{00000000-0000-0000-0000-000000000000}"/>
  <bookViews>
    <workbookView xWindow="-120" yWindow="-120" windowWidth="29040" windowHeight="15840" tabRatio="915" activeTab="1" xr2:uid="{00000000-000D-0000-FFFF-FFFF00000000}"/>
  </bookViews>
  <sheets>
    <sheet name="malumot" sheetId="1" r:id="rId1"/>
    <sheet name="notarius" sheetId="32" r:id="rId2"/>
    <sheet name="shartnoma" sheetId="19" r:id="rId3"/>
    <sheet name="buyruq" sheetId="8" r:id="rId4"/>
    <sheet name="bayonnoma" sheetId="23" r:id="rId5"/>
    <sheet name="График дифференц" sheetId="15" state="hidden" r:id="rId6"/>
    <sheet name="Данные для послед. Залога" sheetId="21" state="hidden" r:id="rId7"/>
    <sheet name="График аннуитет." sheetId="12" state="hidden" r:id="rId8"/>
    <sheet name="xulosa" sheetId="3" r:id="rId9"/>
    <sheet name="grafik" sheetId="16" r:id="rId10"/>
    <sheet name="dalolatnoma" sheetId="7" r:id="rId11"/>
    <sheet name="ariza" sheetId="30" r:id="rId12"/>
    <sheet name="muqova" sheetId="9" r:id="rId13"/>
    <sheet name="mijoz_anketasi" sheetId="4" r:id="rId14"/>
    <sheet name="majburiyatnoma" sheetId="24" r:id="rId15"/>
    <sheet name="kredit_ariza" sheetId="2" r:id="rId16"/>
    <sheet name="garov_ariza" sheetId="13" r:id="rId17"/>
    <sheet name="Письмо" sheetId="20" state="hidden" r:id="rId18"/>
    <sheet name="akt_monitoring_1" sheetId="26" r:id="rId19"/>
    <sheet name="akt_monitoring_2" sheetId="27" r:id="rId20"/>
    <sheet name="akt_monitoring_3" sheetId="28" r:id="rId21"/>
    <sheet name="akt_monitoring_4" sheetId="29" r:id="rId22"/>
    <sheet name="Анкета 2" sheetId="22" r:id="rId23"/>
  </sheets>
  <externalReferences>
    <externalReference r:id="rId24"/>
  </externalReferences>
  <definedNames>
    <definedName name="mos">'[1]Общие данные'!$C$23:$D$23</definedName>
    <definedName name="mulk">'[1]Общие данные'!$C$24:$W$24</definedName>
    <definedName name="_xlnm.Print_Area" localSheetId="18">akt_monitoring_1!$A$1:$H$33</definedName>
    <definedName name="_xlnm.Print_Area" localSheetId="19">akt_monitoring_2!$A$1:$H$33</definedName>
    <definedName name="_xlnm.Print_Area" localSheetId="20">akt_monitoring_3!$A$1:$H$33</definedName>
    <definedName name="_xlnm.Print_Area" localSheetId="21">akt_monitoring_4!$A$1:$H$33</definedName>
    <definedName name="_xlnm.Print_Area" localSheetId="11">ariza!$A$1:$D$25</definedName>
    <definedName name="_xlnm.Print_Area" localSheetId="4">bayonnoma!$A$1:$E$52</definedName>
    <definedName name="_xlnm.Print_Area" localSheetId="3">buyruq!$A$1:$E$29</definedName>
    <definedName name="_xlnm.Print_Area" localSheetId="10">dalolatnoma!$A$1:$E$64</definedName>
    <definedName name="_xlnm.Print_Area" localSheetId="16">garov_ariza!$A$5:$C$25</definedName>
    <definedName name="_xlnm.Print_Area" localSheetId="9">grafik!$A$1:$F$63</definedName>
    <definedName name="_xlnm.Print_Area" localSheetId="15">kredit_ariza!$A$1:$D$45</definedName>
    <definedName name="_xlnm.Print_Area" localSheetId="13">mijoz_anketasi!$A$1:$F$36</definedName>
    <definedName name="_xlnm.Print_Area" localSheetId="12">muqova!$A$1:$F$40</definedName>
    <definedName name="_xlnm.Print_Area" localSheetId="1">notarius!$A$1:$D$31</definedName>
    <definedName name="_xlnm.Print_Area" localSheetId="2">shartnoma!$A$1:$B$130</definedName>
    <definedName name="_xlnm.Print_Area" localSheetId="8">xulosa!$A$1:$E$70</definedName>
    <definedName name="_xlnm.Print_Area" localSheetId="7">'График аннуитет.'!$A$1:$F$63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7" i="32" l="1"/>
  <c r="A6" i="32"/>
  <c r="A16" i="32"/>
  <c r="A15" i="32"/>
  <c r="A14" i="32"/>
  <c r="A12" i="32"/>
  <c r="A21" i="7"/>
  <c r="D11" i="32"/>
  <c r="C11" i="32"/>
  <c r="B11" i="32"/>
  <c r="B20" i="7"/>
  <c r="D62" i="7"/>
  <c r="C23" i="13" l="1"/>
  <c r="A23" i="13"/>
  <c r="D43" i="2"/>
  <c r="A43" i="2"/>
  <c r="D63" i="3"/>
  <c r="D59" i="3"/>
  <c r="D55" i="3"/>
  <c r="A63" i="3"/>
  <c r="A59" i="3"/>
  <c r="A55" i="3"/>
  <c r="D45" i="23"/>
  <c r="D49" i="23"/>
  <c r="A49" i="23"/>
  <c r="A45" i="23"/>
  <c r="A41" i="23"/>
  <c r="C4" i="30"/>
  <c r="A20" i="30"/>
  <c r="B120" i="19"/>
  <c r="B60" i="16"/>
  <c r="B59" i="16"/>
  <c r="E52" i="7"/>
  <c r="A10" i="30"/>
  <c r="B10" i="30"/>
  <c r="A11" i="30"/>
  <c r="B11" i="30"/>
  <c r="A12" i="30"/>
  <c r="B12" i="30"/>
  <c r="A13" i="30"/>
  <c r="B13" i="30"/>
  <c r="A14" i="30"/>
  <c r="B14" i="30"/>
  <c r="C5" i="30"/>
  <c r="C1" i="30"/>
  <c r="A16" i="30"/>
  <c r="A126" i="19"/>
  <c r="B141" i="1" l="1"/>
  <c r="D12" i="32" s="1"/>
  <c r="B135" i="1" l="1"/>
  <c r="B12" i="32" s="1"/>
  <c r="B65" i="1" l="1"/>
  <c r="F27" i="4"/>
  <c r="A21" i="3" s="1"/>
  <c r="D59" i="7"/>
  <c r="A124" i="19"/>
  <c r="B125" i="19"/>
  <c r="A52" i="7"/>
  <c r="C7" i="13"/>
  <c r="C1" i="2"/>
  <c r="A27" i="16"/>
  <c r="A28" i="16" s="1"/>
  <c r="A29" i="16" s="1"/>
  <c r="A30" i="16" s="1"/>
  <c r="A31" i="16" s="1"/>
  <c r="A32" i="16" s="1"/>
  <c r="A33" i="16" s="1"/>
  <c r="A34" i="16" s="1"/>
  <c r="A35" i="16" s="1"/>
  <c r="A36" i="16" s="1"/>
  <c r="A37" i="16" s="1"/>
  <c r="A38" i="16" s="1"/>
  <c r="A39" i="16" s="1"/>
  <c r="A40" i="16" s="1"/>
  <c r="A41" i="16" s="1"/>
  <c r="A42" i="16" s="1"/>
  <c r="A43" i="16" s="1"/>
  <c r="A44" i="16" s="1"/>
  <c r="A32" i="15"/>
  <c r="A33" i="15" s="1"/>
  <c r="A34" i="15" s="1"/>
  <c r="A35" i="15" s="1"/>
  <c r="A36" i="15" s="1"/>
  <c r="A37" i="15" s="1"/>
  <c r="A38" i="15" s="1"/>
  <c r="A39" i="15" s="1"/>
  <c r="A40" i="15" s="1"/>
  <c r="A41" i="15" s="1"/>
  <c r="A42" i="15" s="1"/>
  <c r="A43" i="15" s="1"/>
  <c r="A32" i="12"/>
  <c r="A33" i="12" s="1"/>
  <c r="A34" i="12" s="1"/>
  <c r="A35" i="12" s="1"/>
  <c r="A36" i="12" s="1"/>
  <c r="A37" i="12" s="1"/>
  <c r="A38" i="12" s="1"/>
  <c r="A39" i="12" s="1"/>
  <c r="A40" i="12" s="1"/>
  <c r="A41" i="12" s="1"/>
  <c r="A42" i="12" s="1"/>
  <c r="A43" i="12" s="1"/>
  <c r="C124" i="1"/>
  <c r="C130" i="1" s="1"/>
  <c r="C122" i="1"/>
  <c r="C128" i="1" s="1"/>
  <c r="C121" i="1"/>
  <c r="C127" i="1" s="1"/>
  <c r="C120" i="1"/>
  <c r="C126" i="1" s="1"/>
  <c r="C119" i="1"/>
  <c r="C125" i="1" s="1"/>
  <c r="A62" i="7"/>
  <c r="A61" i="7"/>
  <c r="F61" i="7"/>
  <c r="A25" i="7"/>
  <c r="A23" i="7"/>
  <c r="H27" i="27" l="1"/>
  <c r="A9" i="26"/>
  <c r="A9" i="29" s="1"/>
  <c r="A9" i="27" l="1"/>
  <c r="A9" i="28"/>
  <c r="I134" i="1"/>
  <c r="A48" i="3"/>
  <c r="A35" i="3"/>
  <c r="E30" i="3"/>
  <c r="A30" i="3"/>
  <c r="A33" i="3"/>
  <c r="D29" i="7" l="1"/>
  <c r="D30" i="3" s="1"/>
  <c r="F138" i="1"/>
  <c r="E141" i="1"/>
  <c r="E138" i="1"/>
  <c r="D20" i="7"/>
  <c r="E20" i="7"/>
  <c r="G9" i="26" s="1"/>
  <c r="G9" i="28" l="1"/>
  <c r="G9" i="27"/>
  <c r="G9" i="29"/>
  <c r="B29" i="7"/>
  <c r="B30" i="3" s="1"/>
  <c r="C9" i="26"/>
  <c r="C29" i="7"/>
  <c r="C30" i="3" s="1"/>
  <c r="E9" i="26"/>
  <c r="E9" i="29" l="1"/>
  <c r="E9" i="28"/>
  <c r="E9" i="27"/>
  <c r="C9" i="29"/>
  <c r="C9" i="28"/>
  <c r="C9" i="27"/>
  <c r="B76" i="1"/>
  <c r="A9" i="30" s="1"/>
  <c r="H27" i="29" l="1"/>
  <c r="H27" i="28"/>
  <c r="A22" i="26"/>
  <c r="H27" i="26"/>
  <c r="A51" i="3"/>
  <c r="A37" i="3"/>
  <c r="A1" i="3"/>
  <c r="D17" i="23"/>
  <c r="E17" i="23" s="1"/>
  <c r="A1" i="23"/>
  <c r="D58" i="16"/>
  <c r="A118" i="1" l="1"/>
  <c r="A117" i="1"/>
  <c r="A116" i="1"/>
  <c r="A115" i="1"/>
  <c r="C22" i="1"/>
  <c r="H9" i="23"/>
  <c r="A57" i="16"/>
  <c r="A18" i="23" l="1"/>
  <c r="A7" i="23"/>
  <c r="B49" i="1"/>
  <c r="B59" i="1" s="1"/>
  <c r="A16" i="4" l="1"/>
  <c r="A17" i="4"/>
  <c r="A7" i="24"/>
  <c r="B27" i="1"/>
  <c r="B117" i="19" s="1"/>
  <c r="B34" i="1"/>
  <c r="B124" i="1"/>
  <c r="B130" i="1" s="1"/>
  <c r="B122" i="1"/>
  <c r="B121" i="1"/>
  <c r="B120" i="1"/>
  <c r="B119" i="1"/>
  <c r="C8" i="13" s="1"/>
  <c r="A24" i="7" l="1"/>
  <c r="A34" i="3" s="1"/>
  <c r="A19" i="13"/>
  <c r="B45" i="1"/>
  <c r="B58" i="1"/>
  <c r="A63" i="7"/>
  <c r="A51" i="7"/>
  <c r="C6" i="13"/>
  <c r="D2" i="2"/>
  <c r="C76" i="1"/>
  <c r="A34" i="23"/>
  <c r="A30" i="2" l="1"/>
  <c r="A31" i="4"/>
  <c r="H77" i="19"/>
  <c r="A77" i="19" s="1"/>
  <c r="H21" i="19"/>
  <c r="A72" i="19"/>
  <c r="H68" i="19"/>
  <c r="A68" i="19" s="1"/>
  <c r="A55" i="19"/>
  <c r="A5" i="23"/>
  <c r="A15" i="19"/>
  <c r="A12" i="19"/>
  <c r="A33" i="19"/>
  <c r="B32" i="19" s="1"/>
  <c r="A31" i="19" s="1"/>
  <c r="A87" i="1"/>
  <c r="A10" i="3"/>
  <c r="A17" i="2"/>
  <c r="A18" i="2"/>
  <c r="A9" i="19"/>
  <c r="A19" i="19"/>
  <c r="A46" i="19"/>
  <c r="A70" i="19"/>
  <c r="A95" i="19"/>
  <c r="C64" i="1"/>
  <c r="C21" i="19"/>
  <c r="A51" i="19"/>
  <c r="A62" i="19"/>
  <c r="A73" i="19"/>
  <c r="C39" i="19"/>
  <c r="A39" i="19" s="1"/>
  <c r="A65" i="19"/>
  <c r="C74" i="19"/>
  <c r="A74" i="19" s="1"/>
  <c r="H17" i="19"/>
  <c r="A17" i="19" s="1"/>
  <c r="I21" i="19"/>
  <c r="A42" i="19"/>
  <c r="A59" i="19"/>
  <c r="A91" i="19"/>
  <c r="A20" i="19"/>
  <c r="C54" i="19"/>
  <c r="A54" i="19" s="1"/>
  <c r="A60" i="19"/>
  <c r="A67" i="19"/>
  <c r="A20" i="23"/>
  <c r="D64" i="1"/>
  <c r="A22" i="19" s="1"/>
  <c r="A1" i="1"/>
  <c r="A79" i="1"/>
  <c r="A85" i="1"/>
  <c r="A2" i="1"/>
  <c r="A81" i="1"/>
  <c r="A86" i="1"/>
  <c r="A75" i="1"/>
  <c r="A82" i="1"/>
  <c r="A89" i="1"/>
  <c r="A78" i="1"/>
  <c r="A84" i="1"/>
  <c r="A47" i="16" l="1"/>
  <c r="A13" i="2"/>
  <c r="A16" i="2"/>
  <c r="A21" i="2"/>
  <c r="A14" i="23"/>
  <c r="A4" i="2"/>
  <c r="B26" i="9"/>
  <c r="A22" i="23"/>
  <c r="A14" i="19"/>
  <c r="A15" i="2"/>
  <c r="A24" i="23"/>
  <c r="A21" i="23"/>
  <c r="A40" i="19"/>
  <c r="A23" i="23"/>
  <c r="B25" i="9"/>
  <c r="A21" i="19"/>
  <c r="A13" i="19"/>
  <c r="A14" i="2"/>
  <c r="A26" i="3"/>
  <c r="A61" i="19"/>
  <c r="A23" i="19"/>
  <c r="A11" i="19"/>
  <c r="B125" i="1"/>
  <c r="B126" i="1"/>
  <c r="A22" i="7" l="1"/>
  <c r="A13" i="32"/>
  <c r="A18" i="8"/>
  <c r="A32" i="3"/>
  <c r="H7" i="23"/>
  <c r="A2" i="23" s="1"/>
  <c r="B128" i="1" l="1"/>
  <c r="B127" i="1"/>
  <c r="A118" i="19" l="1"/>
  <c r="A53" i="16" s="1"/>
  <c r="A30" i="4"/>
  <c r="D55" i="16"/>
  <c r="A15" i="4"/>
  <c r="A14" i="4"/>
  <c r="A13" i="4"/>
  <c r="A7" i="3"/>
  <c r="C8" i="15"/>
  <c r="J12" i="15"/>
  <c r="A10" i="4" l="1"/>
  <c r="A9" i="4" s="1"/>
  <c r="D59" i="16"/>
  <c r="B122" i="19"/>
  <c r="D57" i="16" s="1"/>
  <c r="B121" i="19"/>
  <c r="D56" i="16" s="1"/>
  <c r="D52" i="16"/>
  <c r="B116" i="19"/>
  <c r="D51" i="16" s="1"/>
  <c r="A121" i="19" l="1"/>
  <c r="A56" i="16" s="1"/>
  <c r="A120" i="19"/>
  <c r="A55" i="16" s="1"/>
  <c r="A119" i="19"/>
  <c r="A54" i="16" s="1"/>
  <c r="A117" i="19"/>
  <c r="A52" i="16" s="1"/>
  <c r="B24" i="9" l="1"/>
  <c r="B2" i="9"/>
  <c r="A22" i="29"/>
  <c r="A22" i="28"/>
  <c r="H5" i="29"/>
  <c r="H5" i="28"/>
  <c r="H5" i="27"/>
  <c r="A22" i="27"/>
  <c r="H22" i="26"/>
  <c r="D2" i="1"/>
  <c r="H5" i="26" s="1"/>
  <c r="A28" i="13"/>
  <c r="A26" i="13"/>
  <c r="A34" i="2"/>
  <c r="A29" i="4"/>
  <c r="A28" i="4"/>
  <c r="A20" i="4"/>
  <c r="A7" i="4"/>
  <c r="A11" i="24"/>
  <c r="A14" i="7"/>
  <c r="A13" i="7"/>
  <c r="A2" i="7"/>
  <c r="A8" i="3"/>
  <c r="A5" i="3"/>
  <c r="A4" i="3"/>
  <c r="A11" i="8"/>
  <c r="A10" i="8"/>
  <c r="A9" i="8"/>
  <c r="A12" i="2"/>
  <c r="A11" i="2"/>
  <c r="A7" i="2"/>
  <c r="B172" i="1"/>
  <c r="H134" i="1"/>
  <c r="I133" i="1"/>
  <c r="F133" i="1" s="1"/>
  <c r="H133" i="1"/>
  <c r="C133" i="1"/>
  <c r="B9" i="1"/>
  <c r="B8" i="1"/>
  <c r="B144" i="1"/>
  <c r="B145" i="1" s="1"/>
  <c r="E21" i="7"/>
  <c r="B138" i="1"/>
  <c r="B21" i="7"/>
  <c r="C10" i="26" s="1"/>
  <c r="D21" i="7" l="1"/>
  <c r="E10" i="26" s="1"/>
  <c r="E10" i="28" s="1"/>
  <c r="C12" i="32"/>
  <c r="B11" i="1"/>
  <c r="B13" i="1" s="1"/>
  <c r="G10" i="26"/>
  <c r="D30" i="7"/>
  <c r="D31" i="3" s="1"/>
  <c r="C10" i="28"/>
  <c r="C10" i="27"/>
  <c r="C10" i="29"/>
  <c r="C134" i="1"/>
  <c r="A17" i="7" s="1"/>
  <c r="A10" i="26"/>
  <c r="C145" i="1"/>
  <c r="B146" i="1"/>
  <c r="A6" i="2"/>
  <c r="E30" i="7"/>
  <c r="E31" i="3" s="1"/>
  <c r="A48" i="7"/>
  <c r="A15" i="7"/>
  <c r="E133" i="1"/>
  <c r="A27" i="3"/>
  <c r="C9" i="13"/>
  <c r="A20" i="3"/>
  <c r="A27" i="2"/>
  <c r="A28" i="2"/>
  <c r="F134" i="1"/>
  <c r="E134" i="1"/>
  <c r="B10" i="1"/>
  <c r="A8" i="8" s="1"/>
  <c r="E10" i="29" l="1"/>
  <c r="E10" i="27"/>
  <c r="A28" i="3"/>
  <c r="A29" i="3" s="1"/>
  <c r="A26" i="23" s="1"/>
  <c r="A24" i="2"/>
  <c r="A17" i="8"/>
  <c r="G10" i="28"/>
  <c r="G10" i="29"/>
  <c r="G10" i="27"/>
  <c r="A16" i="8"/>
  <c r="A25" i="2"/>
  <c r="A16" i="7"/>
  <c r="A18" i="7" s="1"/>
  <c r="A19" i="7" s="1"/>
  <c r="A10" i="27"/>
  <c r="A10" i="28"/>
  <c r="A10" i="29"/>
  <c r="A38" i="3"/>
  <c r="B12" i="1"/>
  <c r="A15" i="13" l="1"/>
  <c r="A14" i="13"/>
  <c r="A21" i="4"/>
  <c r="A10" i="2"/>
  <c r="A9" i="2"/>
  <c r="A19" i="4"/>
  <c r="A13" i="13" l="1"/>
  <c r="B66" i="1"/>
  <c r="A1" i="19" s="1"/>
  <c r="H31" i="29"/>
  <c r="H31" i="28"/>
  <c r="H31" i="27"/>
  <c r="H22" i="29"/>
  <c r="H22" i="28"/>
  <c r="H22" i="27"/>
  <c r="H31" i="26"/>
  <c r="D56" i="7" l="1"/>
  <c r="A56" i="7"/>
  <c r="A129" i="19"/>
  <c r="B108" i="1"/>
  <c r="R132" i="1" l="1"/>
  <c r="R133" i="1" s="1"/>
  <c r="N134" i="1" s="1"/>
  <c r="A29" i="13"/>
  <c r="A30" i="13" s="1"/>
  <c r="A32" i="13" s="1"/>
  <c r="A20" i="13" s="1"/>
  <c r="C63" i="7" s="1"/>
  <c r="Q132" i="1"/>
  <c r="Q133" i="1" s="1"/>
  <c r="N133" i="1" s="1"/>
  <c r="B24" i="4" l="1"/>
  <c r="B67" i="1" l="1"/>
  <c r="C78" i="1" s="1"/>
  <c r="C79" i="1" s="1"/>
  <c r="C80" i="1" s="1"/>
  <c r="B79" i="1" s="1"/>
  <c r="B80" i="1" s="1"/>
  <c r="B153" i="1" l="1"/>
  <c r="B151" i="1"/>
  <c r="C18" i="1" l="1"/>
  <c r="B20" i="1" l="1"/>
  <c r="A9" i="32" s="1"/>
  <c r="C20" i="1"/>
  <c r="A5" i="19" s="1"/>
  <c r="C123" i="1" l="1"/>
  <c r="B119" i="19"/>
  <c r="D53" i="16" s="1"/>
  <c r="C6" i="30"/>
  <c r="B123" i="1"/>
  <c r="B129" i="1" s="1"/>
  <c r="C129" i="1"/>
  <c r="A8" i="2"/>
  <c r="B27" i="23"/>
  <c r="C27" i="23"/>
  <c r="D27" i="23"/>
  <c r="E27" i="23"/>
  <c r="A27" i="23"/>
  <c r="J4" i="21" l="1"/>
  <c r="I4" i="21"/>
  <c r="G4" i="21"/>
  <c r="H4" i="21" s="1"/>
  <c r="K4" i="21" l="1"/>
  <c r="J3" i="21"/>
  <c r="I3" i="21"/>
  <c r="G3" i="21"/>
  <c r="H3" i="21" s="1"/>
  <c r="K3" i="21" l="1"/>
  <c r="G5" i="21"/>
  <c r="H5" i="21" s="1"/>
  <c r="I5" i="21"/>
  <c r="J5" i="21"/>
  <c r="G6" i="21"/>
  <c r="H6" i="21" s="1"/>
  <c r="I6" i="21"/>
  <c r="J6" i="21"/>
  <c r="G7" i="21"/>
  <c r="H7" i="21" s="1"/>
  <c r="I7" i="21"/>
  <c r="J7" i="21"/>
  <c r="G8" i="21"/>
  <c r="H8" i="21" s="1"/>
  <c r="I8" i="21"/>
  <c r="J8" i="21"/>
  <c r="G9" i="21"/>
  <c r="H9" i="21" s="1"/>
  <c r="I9" i="21"/>
  <c r="J9" i="21"/>
  <c r="G10" i="21"/>
  <c r="H10" i="21" s="1"/>
  <c r="I10" i="21"/>
  <c r="J10" i="21"/>
  <c r="G11" i="21"/>
  <c r="H11" i="21" s="1"/>
  <c r="I11" i="21"/>
  <c r="J11" i="21"/>
  <c r="G12" i="21"/>
  <c r="H12" i="21" s="1"/>
  <c r="I12" i="21"/>
  <c r="J12" i="21"/>
  <c r="G13" i="21"/>
  <c r="H13" i="21" s="1"/>
  <c r="I13" i="21"/>
  <c r="J13" i="21"/>
  <c r="G14" i="21"/>
  <c r="H14" i="21" s="1"/>
  <c r="I14" i="21"/>
  <c r="J14" i="21"/>
  <c r="G15" i="21"/>
  <c r="H15" i="21" s="1"/>
  <c r="I15" i="21"/>
  <c r="J15" i="21"/>
  <c r="G16" i="21"/>
  <c r="H16" i="21" s="1"/>
  <c r="I16" i="21"/>
  <c r="J16" i="21"/>
  <c r="G17" i="21"/>
  <c r="H17" i="21" s="1"/>
  <c r="I17" i="21"/>
  <c r="J17" i="21"/>
  <c r="G18" i="21"/>
  <c r="H18" i="21" s="1"/>
  <c r="I18" i="21"/>
  <c r="J18" i="21"/>
  <c r="G19" i="21"/>
  <c r="H19" i="21" s="1"/>
  <c r="I19" i="21"/>
  <c r="J19" i="21"/>
  <c r="G20" i="21"/>
  <c r="H20" i="21" s="1"/>
  <c r="I20" i="21"/>
  <c r="J20" i="21"/>
  <c r="G21" i="21"/>
  <c r="H21" i="21" s="1"/>
  <c r="I21" i="21"/>
  <c r="J21" i="21"/>
  <c r="J2" i="21"/>
  <c r="I2" i="21"/>
  <c r="G2" i="21"/>
  <c r="H2" i="21" s="1"/>
  <c r="K14" i="21" l="1"/>
  <c r="K6" i="21"/>
  <c r="K15" i="21"/>
  <c r="K7" i="21"/>
  <c r="K17" i="21"/>
  <c r="K13" i="21"/>
  <c r="K20" i="21"/>
  <c r="K19" i="21"/>
  <c r="K18" i="21"/>
  <c r="K12" i="21"/>
  <c r="K11" i="21"/>
  <c r="K10" i="21"/>
  <c r="K5" i="21"/>
  <c r="K2" i="21"/>
  <c r="K16" i="21"/>
  <c r="K9" i="21"/>
  <c r="K8" i="21"/>
  <c r="K21" i="21"/>
  <c r="D25" i="21" l="1"/>
  <c r="C25" i="21"/>
  <c r="A25" i="21"/>
  <c r="B25" i="21" s="1"/>
  <c r="M22" i="21"/>
  <c r="E49" i="7" l="1"/>
  <c r="O2" i="21"/>
  <c r="P2" i="21" s="1"/>
  <c r="P5" i="21"/>
  <c r="P13" i="21"/>
  <c r="P17" i="21"/>
  <c r="P21" i="21"/>
  <c r="O4" i="21"/>
  <c r="P4" i="21" s="1"/>
  <c r="P15" i="21"/>
  <c r="P16" i="21"/>
  <c r="P20" i="21"/>
  <c r="P7" i="21"/>
  <c r="P8" i="21"/>
  <c r="P9" i="21"/>
  <c r="P10" i="21"/>
  <c r="P18" i="21"/>
  <c r="P6" i="21"/>
  <c r="P14" i="21"/>
  <c r="O3" i="21"/>
  <c r="P3" i="21" s="1"/>
  <c r="P11" i="21"/>
  <c r="P12" i="21"/>
  <c r="P19" i="21"/>
  <c r="B33" i="7"/>
  <c r="A33" i="7"/>
  <c r="W2" i="21" l="1"/>
  <c r="A46" i="7" s="1"/>
  <c r="C144" i="1"/>
  <c r="D49" i="7" l="1"/>
  <c r="E33" i="7"/>
  <c r="A38" i="20"/>
  <c r="A37" i="20"/>
  <c r="B19" i="20"/>
  <c r="C19" i="20"/>
  <c r="D19" i="20"/>
  <c r="E19" i="20"/>
  <c r="A19" i="20"/>
  <c r="L5" i="15" l="1"/>
  <c r="I8" i="15" l="1"/>
  <c r="E20" i="20"/>
  <c r="B26" i="4"/>
  <c r="B27" i="4" s="1"/>
  <c r="A33" i="20" l="1"/>
  <c r="C19" i="1"/>
  <c r="B21" i="1" l="1"/>
  <c r="A6" i="3" s="1"/>
  <c r="C21" i="1"/>
  <c r="B8" i="15"/>
  <c r="R43" i="15" s="1"/>
  <c r="C5" i="22"/>
  <c r="A33" i="22" s="1"/>
  <c r="B43" i="15" l="1"/>
  <c r="O43" i="15"/>
  <c r="P43" i="15" s="1"/>
  <c r="Q43" i="15" s="1"/>
  <c r="R42" i="15"/>
  <c r="O42" i="15" s="1"/>
  <c r="P42" i="15" s="1"/>
  <c r="Q42" i="15" s="1"/>
  <c r="B42" i="15" s="1"/>
  <c r="B42" i="12" s="1"/>
  <c r="B43" i="16" s="1"/>
  <c r="R39" i="15"/>
  <c r="O39" i="15" s="1"/>
  <c r="P39" i="15" s="1"/>
  <c r="Q39" i="15" s="1"/>
  <c r="B39" i="15" s="1"/>
  <c r="B39" i="12" s="1"/>
  <c r="B40" i="16" s="1"/>
  <c r="R33" i="15"/>
  <c r="R32" i="15"/>
  <c r="O32" i="15" s="1"/>
  <c r="P32" i="15" s="1"/>
  <c r="Q32" i="15" s="1"/>
  <c r="B32" i="15" s="1"/>
  <c r="R36" i="15"/>
  <c r="R34" i="15"/>
  <c r="R35" i="15"/>
  <c r="R40" i="15"/>
  <c r="O40" i="15" s="1"/>
  <c r="P40" i="15" s="1"/>
  <c r="Q40" i="15" s="1"/>
  <c r="B40" i="15" s="1"/>
  <c r="B40" i="12" s="1"/>
  <c r="B41" i="16" s="1"/>
  <c r="R38" i="15"/>
  <c r="O38" i="15" s="1"/>
  <c r="P38" i="15" s="1"/>
  <c r="Q38" i="15" s="1"/>
  <c r="B38" i="15" s="1"/>
  <c r="B38" i="12" s="1"/>
  <c r="B39" i="16" s="1"/>
  <c r="R37" i="15"/>
  <c r="O37" i="15" s="1"/>
  <c r="P37" i="15" s="1"/>
  <c r="Q37" i="15" s="1"/>
  <c r="B37" i="15" s="1"/>
  <c r="B37" i="12" s="1"/>
  <c r="B38" i="16" s="1"/>
  <c r="R41" i="15"/>
  <c r="R28" i="15"/>
  <c r="R29" i="15"/>
  <c r="R27" i="15"/>
  <c r="R30" i="15"/>
  <c r="R31" i="15"/>
  <c r="R26" i="15"/>
  <c r="R20" i="15"/>
  <c r="R21" i="15"/>
  <c r="R23" i="15"/>
  <c r="R22" i="15"/>
  <c r="R10" i="15"/>
  <c r="R9" i="15"/>
  <c r="G8" i="15"/>
  <c r="R12" i="15"/>
  <c r="R19" i="15"/>
  <c r="H8" i="15"/>
  <c r="R15" i="15"/>
  <c r="O8" i="15"/>
  <c r="P8" i="15" s="1"/>
  <c r="Q8" i="15" s="1"/>
  <c r="R16" i="15"/>
  <c r="R17" i="15"/>
  <c r="R18" i="15"/>
  <c r="R11" i="15"/>
  <c r="R13" i="15"/>
  <c r="R14" i="15"/>
  <c r="B8" i="12"/>
  <c r="B9" i="16" s="1"/>
  <c r="R24" i="15"/>
  <c r="R25" i="15"/>
  <c r="H42" i="12" l="1"/>
  <c r="H37" i="12"/>
  <c r="H38" i="12"/>
  <c r="G38" i="12"/>
  <c r="H32" i="15"/>
  <c r="B32" i="12"/>
  <c r="B33" i="16" s="1"/>
  <c r="G39" i="12"/>
  <c r="H39" i="12"/>
  <c r="H40" i="12"/>
  <c r="G40" i="12"/>
  <c r="H43" i="15"/>
  <c r="B43" i="12"/>
  <c r="B44" i="16" s="1"/>
  <c r="G43" i="15"/>
  <c r="G40" i="15"/>
  <c r="H40" i="15"/>
  <c r="O41" i="15"/>
  <c r="P41" i="15" s="1"/>
  <c r="Q41" i="15" s="1"/>
  <c r="B41" i="15" s="1"/>
  <c r="O35" i="15"/>
  <c r="P35" i="15" s="1"/>
  <c r="Q35" i="15" s="1"/>
  <c r="B35" i="15" s="1"/>
  <c r="B35" i="12" s="1"/>
  <c r="B36" i="16" s="1"/>
  <c r="O33" i="15"/>
  <c r="P33" i="15" s="1"/>
  <c r="Q33" i="15" s="1"/>
  <c r="B33" i="15" s="1"/>
  <c r="B33" i="12" s="1"/>
  <c r="B34" i="16" s="1"/>
  <c r="H37" i="15"/>
  <c r="O34" i="15"/>
  <c r="P34" i="15" s="1"/>
  <c r="Q34" i="15" s="1"/>
  <c r="B34" i="15" s="1"/>
  <c r="B34" i="12" s="1"/>
  <c r="B35" i="16" s="1"/>
  <c r="H39" i="15"/>
  <c r="G39" i="15"/>
  <c r="H38" i="15"/>
  <c r="G38" i="15"/>
  <c r="O36" i="15"/>
  <c r="P36" i="15" s="1"/>
  <c r="Q36" i="15" s="1"/>
  <c r="B36" i="15" s="1"/>
  <c r="B36" i="12" s="1"/>
  <c r="B37" i="16" s="1"/>
  <c r="H42" i="15"/>
  <c r="O27" i="15"/>
  <c r="P27" i="15" s="1"/>
  <c r="Q27" i="15" s="1"/>
  <c r="B27" i="15" s="1"/>
  <c r="B27" i="12" s="1"/>
  <c r="B28" i="16" s="1"/>
  <c r="O30" i="15"/>
  <c r="P30" i="15" s="1"/>
  <c r="Q30" i="15" s="1"/>
  <c r="B30" i="15" s="1"/>
  <c r="B30" i="12" s="1"/>
  <c r="B31" i="16" s="1"/>
  <c r="O26" i="15"/>
  <c r="P26" i="15" s="1"/>
  <c r="Q26" i="15" s="1"/>
  <c r="B26" i="15" s="1"/>
  <c r="B26" i="12" s="1"/>
  <c r="B27" i="16" s="1"/>
  <c r="O29" i="15"/>
  <c r="P29" i="15" s="1"/>
  <c r="Q29" i="15" s="1"/>
  <c r="B29" i="15" s="1"/>
  <c r="B29" i="12" s="1"/>
  <c r="B30" i="16" s="1"/>
  <c r="O28" i="15"/>
  <c r="P28" i="15" s="1"/>
  <c r="Q28" i="15" s="1"/>
  <c r="B28" i="15" s="1"/>
  <c r="B28" i="12" s="1"/>
  <c r="B29" i="16" s="1"/>
  <c r="O31" i="15"/>
  <c r="P31" i="15" s="1"/>
  <c r="Q31" i="15" s="1"/>
  <c r="B31" i="15" s="1"/>
  <c r="G32" i="15" s="1"/>
  <c r="O18" i="15"/>
  <c r="P18" i="15" s="1"/>
  <c r="Q18" i="15" s="1"/>
  <c r="B18" i="15" s="1"/>
  <c r="B18" i="12" s="1"/>
  <c r="B19" i="16" s="1"/>
  <c r="O24" i="15"/>
  <c r="P24" i="15" s="1"/>
  <c r="Q24" i="15" s="1"/>
  <c r="B24" i="15" s="1"/>
  <c r="B24" i="12" s="1"/>
  <c r="B25" i="16" s="1"/>
  <c r="O15" i="15"/>
  <c r="P15" i="15" s="1"/>
  <c r="Q15" i="15" s="1"/>
  <c r="B15" i="15" s="1"/>
  <c r="B15" i="12" s="1"/>
  <c r="B16" i="16" s="1"/>
  <c r="O13" i="15"/>
  <c r="P13" i="15" s="1"/>
  <c r="Q13" i="15" s="1"/>
  <c r="B13" i="15" s="1"/>
  <c r="B13" i="12" s="1"/>
  <c r="B14" i="16" s="1"/>
  <c r="O17" i="15"/>
  <c r="P17" i="15" s="1"/>
  <c r="Q17" i="15" s="1"/>
  <c r="B17" i="15" s="1"/>
  <c r="B17" i="12" s="1"/>
  <c r="B18" i="16" s="1"/>
  <c r="O16" i="15"/>
  <c r="P16" i="15" s="1"/>
  <c r="Q16" i="15" s="1"/>
  <c r="B16" i="15" s="1"/>
  <c r="B16" i="12" s="1"/>
  <c r="B17" i="16" s="1"/>
  <c r="O22" i="15"/>
  <c r="P22" i="15" s="1"/>
  <c r="Q22" i="15" s="1"/>
  <c r="B22" i="15" s="1"/>
  <c r="B22" i="12" s="1"/>
  <c r="B23" i="16" s="1"/>
  <c r="O23" i="15"/>
  <c r="P23" i="15" s="1"/>
  <c r="Q23" i="15" s="1"/>
  <c r="B23" i="15" s="1"/>
  <c r="B23" i="12" s="1"/>
  <c r="B24" i="16" s="1"/>
  <c r="O21" i="15"/>
  <c r="P21" i="15" s="1"/>
  <c r="Q21" i="15" s="1"/>
  <c r="B21" i="15" s="1"/>
  <c r="B21" i="12" s="1"/>
  <c r="B22" i="16" s="1"/>
  <c r="O20" i="15"/>
  <c r="P20" i="15" s="1"/>
  <c r="Q20" i="15" s="1"/>
  <c r="B20" i="15" s="1"/>
  <c r="B20" i="12" s="1"/>
  <c r="B21" i="16" s="1"/>
  <c r="L8" i="15"/>
  <c r="O11" i="15"/>
  <c r="P11" i="15" s="1"/>
  <c r="Q11" i="15" s="1"/>
  <c r="B11" i="15" s="1"/>
  <c r="B11" i="12" s="1"/>
  <c r="B12" i="16" s="1"/>
  <c r="O10" i="15"/>
  <c r="P10" i="15" s="1"/>
  <c r="Q10" i="15" s="1"/>
  <c r="B10" i="15" s="1"/>
  <c r="B10" i="12" s="1"/>
  <c r="B11" i="16" s="1"/>
  <c r="O9" i="15"/>
  <c r="P9" i="15" s="1"/>
  <c r="Q9" i="15" s="1"/>
  <c r="B9" i="15" s="1"/>
  <c r="B9" i="12" s="1"/>
  <c r="B10" i="16" s="1"/>
  <c r="O19" i="15"/>
  <c r="P19" i="15" s="1"/>
  <c r="Q19" i="15" s="1"/>
  <c r="B19" i="15" s="1"/>
  <c r="B19" i="12" s="1"/>
  <c r="B20" i="16" s="1"/>
  <c r="O14" i="15"/>
  <c r="P14" i="15" s="1"/>
  <c r="Q14" i="15" s="1"/>
  <c r="B14" i="15" s="1"/>
  <c r="B14" i="12" s="1"/>
  <c r="B15" i="16" s="1"/>
  <c r="O12" i="15"/>
  <c r="P12" i="15" s="1"/>
  <c r="Q12" i="15" s="1"/>
  <c r="B12" i="15" s="1"/>
  <c r="B12" i="12" s="1"/>
  <c r="B13" i="16" s="1"/>
  <c r="O25" i="15"/>
  <c r="P25" i="15" s="1"/>
  <c r="Q25" i="15" s="1"/>
  <c r="B25" i="15" s="1"/>
  <c r="B25" i="12" s="1"/>
  <c r="B26" i="16" s="1"/>
  <c r="H32" i="12" l="1"/>
  <c r="B41" i="12"/>
  <c r="B42" i="16" s="1"/>
  <c r="G42" i="15"/>
  <c r="G33" i="12"/>
  <c r="H33" i="12"/>
  <c r="H36" i="12"/>
  <c r="G36" i="12"/>
  <c r="G37" i="12"/>
  <c r="H35" i="12"/>
  <c r="G35" i="12"/>
  <c r="G43" i="12"/>
  <c r="H43" i="12"/>
  <c r="H34" i="12"/>
  <c r="G34" i="12"/>
  <c r="H34" i="15"/>
  <c r="G34" i="15"/>
  <c r="H33" i="15"/>
  <c r="G33" i="15"/>
  <c r="H41" i="15"/>
  <c r="G41" i="15"/>
  <c r="H36" i="15"/>
  <c r="G36" i="15"/>
  <c r="G37" i="15"/>
  <c r="H35" i="15"/>
  <c r="G35" i="15"/>
  <c r="E8" i="15"/>
  <c r="B31" i="12"/>
  <c r="B32" i="16" s="1"/>
  <c r="H31" i="15"/>
  <c r="H25" i="15"/>
  <c r="H16" i="15"/>
  <c r="G16" i="15"/>
  <c r="G17" i="15"/>
  <c r="H17" i="15"/>
  <c r="H15" i="15"/>
  <c r="H18" i="15"/>
  <c r="G18" i="15"/>
  <c r="H13" i="15"/>
  <c r="H20" i="15"/>
  <c r="H21" i="15"/>
  <c r="G21" i="15"/>
  <c r="G23" i="15"/>
  <c r="H23" i="15"/>
  <c r="H22" i="15"/>
  <c r="G22" i="15"/>
  <c r="G14" i="15"/>
  <c r="H14" i="15"/>
  <c r="G15" i="15"/>
  <c r="G9" i="15"/>
  <c r="H19" i="15"/>
  <c r="G20" i="15"/>
  <c r="G19" i="15"/>
  <c r="D17" i="1"/>
  <c r="G32" i="12" l="1"/>
  <c r="H41" i="12"/>
  <c r="G41" i="12"/>
  <c r="G42" i="12"/>
  <c r="G10" i="15"/>
  <c r="H10" i="15"/>
  <c r="H9" i="15"/>
  <c r="G13" i="15"/>
  <c r="G12" i="15"/>
  <c r="H12" i="15"/>
  <c r="H11" i="15"/>
  <c r="G11" i="15"/>
  <c r="I67" i="1"/>
  <c r="G67" i="1"/>
  <c r="A116" i="19" l="1"/>
  <c r="A51" i="16" s="1"/>
  <c r="F67" i="1" l="1"/>
  <c r="E67" i="1"/>
  <c r="A20" i="2" s="1"/>
  <c r="C67" i="1"/>
  <c r="C65" i="1"/>
  <c r="C66" i="1" l="1"/>
  <c r="I66" i="1"/>
  <c r="G66" i="1"/>
  <c r="D67" i="1"/>
  <c r="B152" i="1" s="1"/>
  <c r="A26" i="19" s="1"/>
  <c r="H67" i="1"/>
  <c r="B69" i="1" s="1"/>
  <c r="E66" i="1"/>
  <c r="F66" i="1"/>
  <c r="A4" i="24" l="1"/>
  <c r="B173" i="1"/>
  <c r="A30" i="19"/>
  <c r="A29" i="19"/>
  <c r="A28" i="19" s="1"/>
  <c r="A27" i="19"/>
  <c r="B68" i="1"/>
  <c r="D66" i="1"/>
  <c r="B72" i="1" s="1"/>
  <c r="H66" i="1"/>
  <c r="B73" i="1" s="1"/>
  <c r="E3" i="23" l="1"/>
  <c r="B74" i="1"/>
  <c r="E3" i="16" s="1"/>
  <c r="B70" i="1"/>
  <c r="A3" i="19" s="1"/>
  <c r="E3" i="22"/>
  <c r="B71" i="1"/>
  <c r="A8" i="19" s="1"/>
  <c r="A28" i="7" l="1"/>
  <c r="A27" i="7"/>
  <c r="A7" i="26"/>
  <c r="A7" i="28"/>
  <c r="A7" i="27"/>
  <c r="A12" i="7"/>
  <c r="A7" i="29"/>
  <c r="A11" i="7"/>
  <c r="A9" i="7"/>
  <c r="A8" i="7"/>
  <c r="B19" i="9"/>
  <c r="A2" i="27"/>
  <c r="A2" i="28"/>
  <c r="A2" i="29"/>
  <c r="A2" i="26"/>
  <c r="A4" i="8"/>
  <c r="B150" i="1"/>
  <c r="E4" i="7" s="1"/>
  <c r="A39" i="20"/>
  <c r="B40" i="9"/>
  <c r="A19" i="2"/>
  <c r="D60" i="15"/>
  <c r="A58" i="15"/>
  <c r="A56" i="15"/>
  <c r="D52" i="15"/>
  <c r="D48" i="15"/>
  <c r="A48" i="15"/>
  <c r="A25" i="23" l="1"/>
  <c r="A14" i="8"/>
  <c r="A7" i="7"/>
  <c r="A10" i="7"/>
  <c r="A26" i="7"/>
  <c r="A15" i="3"/>
  <c r="H27" i="15"/>
  <c r="G27" i="15"/>
  <c r="G28" i="15"/>
  <c r="H28" i="15"/>
  <c r="G30" i="15"/>
  <c r="G31" i="15"/>
  <c r="H30" i="15"/>
  <c r="G29" i="15"/>
  <c r="H29" i="15"/>
  <c r="G26" i="15"/>
  <c r="H26" i="15"/>
  <c r="H24" i="15"/>
  <c r="G24" i="15"/>
  <c r="G25" i="15"/>
  <c r="A6" i="7" l="1"/>
  <c r="F2" i="15"/>
  <c r="B62" i="1" l="1"/>
  <c r="D55" i="15" l="1"/>
  <c r="C19" i="13" l="1"/>
  <c r="C10" i="13"/>
  <c r="D56" i="15" l="1"/>
  <c r="D54" i="15" l="1"/>
  <c r="A43" i="7" l="1"/>
  <c r="B43" i="7"/>
  <c r="C43" i="7"/>
  <c r="D43" i="7"/>
  <c r="A44" i="7"/>
  <c r="B35" i="7"/>
  <c r="C35" i="7"/>
  <c r="D35" i="7"/>
  <c r="B36" i="7"/>
  <c r="C36" i="7"/>
  <c r="D36" i="7"/>
  <c r="B37" i="7"/>
  <c r="C37" i="7"/>
  <c r="D37" i="7"/>
  <c r="B38" i="7"/>
  <c r="C38" i="7"/>
  <c r="D38" i="7"/>
  <c r="B39" i="7"/>
  <c r="C39" i="7"/>
  <c r="D39" i="7"/>
  <c r="B40" i="7"/>
  <c r="C40" i="7"/>
  <c r="D40" i="7"/>
  <c r="B41" i="7"/>
  <c r="C41" i="7"/>
  <c r="D41" i="7"/>
  <c r="B42" i="7"/>
  <c r="C42" i="7"/>
  <c r="D42" i="7"/>
  <c r="C33" i="7"/>
  <c r="D33" i="7"/>
  <c r="A35" i="7"/>
  <c r="A36" i="7"/>
  <c r="A37" i="7"/>
  <c r="A38" i="7"/>
  <c r="A39" i="7"/>
  <c r="A40" i="7"/>
  <c r="A41" i="7"/>
  <c r="A42" i="7"/>
  <c r="D44" i="7"/>
  <c r="C44" i="7"/>
  <c r="B44" i="7"/>
  <c r="A30" i="20" l="1"/>
  <c r="B29" i="20"/>
  <c r="B30" i="20"/>
  <c r="D29" i="20"/>
  <c r="D30" i="20"/>
  <c r="A29" i="20"/>
  <c r="C29" i="20"/>
  <c r="C30" i="20"/>
  <c r="A31" i="20"/>
  <c r="A27" i="20"/>
  <c r="D28" i="20"/>
  <c r="C27" i="20"/>
  <c r="C28" i="20"/>
  <c r="B27" i="20"/>
  <c r="D27" i="20"/>
  <c r="A28" i="20"/>
  <c r="B28" i="20"/>
  <c r="A23" i="20"/>
  <c r="D23" i="20"/>
  <c r="D31" i="20"/>
  <c r="A26" i="20"/>
  <c r="A22" i="20"/>
  <c r="C20" i="20"/>
  <c r="B26" i="20"/>
  <c r="D24" i="20"/>
  <c r="C23" i="20"/>
  <c r="B22" i="20"/>
  <c r="A25" i="20"/>
  <c r="A21" i="20"/>
  <c r="D25" i="20"/>
  <c r="C24" i="20"/>
  <c r="B23" i="20"/>
  <c r="D21" i="20"/>
  <c r="C31" i="20"/>
  <c r="D20" i="20"/>
  <c r="C26" i="20"/>
  <c r="B25" i="20"/>
  <c r="C22" i="20"/>
  <c r="B21" i="20"/>
  <c r="A20" i="20"/>
  <c r="B31" i="20"/>
  <c r="A24" i="20"/>
  <c r="B20" i="20"/>
  <c r="D26" i="20"/>
  <c r="C25" i="20"/>
  <c r="B24" i="20"/>
  <c r="D22" i="20"/>
  <c r="C21" i="20"/>
  <c r="A34" i="20"/>
  <c r="A35" i="20"/>
  <c r="C150" i="1"/>
  <c r="A9" i="20" l="1"/>
  <c r="N131" i="1"/>
  <c r="E44" i="7"/>
  <c r="E31" i="20" s="1"/>
  <c r="A23" i="2" l="1"/>
  <c r="A32" i="20"/>
  <c r="D60" i="12"/>
  <c r="A58" i="12"/>
  <c r="A56" i="12"/>
  <c r="D52" i="12"/>
  <c r="D48" i="12"/>
  <c r="A48" i="12"/>
  <c r="C8" i="12"/>
  <c r="C9" i="16" s="1"/>
  <c r="A25" i="19" l="1"/>
  <c r="A24" i="19" l="1"/>
  <c r="B12" i="9"/>
  <c r="A12" i="8"/>
  <c r="E19" i="8"/>
  <c r="E11" i="20" s="1"/>
  <c r="D19" i="8"/>
  <c r="D11" i="20" s="1"/>
  <c r="C19" i="8"/>
  <c r="C11" i="20" s="1"/>
  <c r="B19" i="8"/>
  <c r="B11" i="20" s="1"/>
  <c r="A19" i="8"/>
  <c r="A11" i="20" s="1"/>
  <c r="D60" i="7"/>
  <c r="D28" i="23"/>
  <c r="C30" i="7"/>
  <c r="B30" i="7"/>
  <c r="A30" i="7"/>
  <c r="C28" i="23" l="1"/>
  <c r="C31" i="3"/>
  <c r="A28" i="23"/>
  <c r="A31" i="3"/>
  <c r="B28" i="23"/>
  <c r="B31" i="3"/>
  <c r="A32" i="23"/>
  <c r="A14" i="26"/>
  <c r="A14" i="29"/>
  <c r="A14" i="28"/>
  <c r="A14" i="27"/>
  <c r="A30" i="23"/>
  <c r="A12" i="27"/>
  <c r="A12" i="29"/>
  <c r="A12" i="28"/>
  <c r="A12" i="26"/>
  <c r="D20" i="8"/>
  <c r="D12" i="20" s="1"/>
  <c r="C20" i="8"/>
  <c r="C12" i="20" s="1"/>
  <c r="B20" i="8"/>
  <c r="B12" i="20" s="1"/>
  <c r="A24" i="8"/>
  <c r="A16" i="20" s="1"/>
  <c r="A20" i="8"/>
  <c r="A12" i="20" s="1"/>
  <c r="A22" i="8"/>
  <c r="A14" i="20" s="1"/>
  <c r="D35" i="4"/>
  <c r="D27" i="4"/>
  <c r="C27" i="4"/>
  <c r="A14" i="3"/>
  <c r="A42" i="3" s="1"/>
  <c r="A11" i="4"/>
  <c r="A8" i="4"/>
  <c r="A6" i="4"/>
  <c r="A5" i="4"/>
  <c r="A4" i="4"/>
  <c r="A39" i="2"/>
  <c r="A17" i="3"/>
  <c r="A45" i="3" s="1"/>
  <c r="A12" i="3"/>
  <c r="A51" i="15" l="1"/>
  <c r="A55" i="15"/>
  <c r="A60" i="15"/>
  <c r="D62" i="15"/>
  <c r="A50" i="15"/>
  <c r="A54" i="15"/>
  <c r="A53" i="15"/>
  <c r="A52" i="15"/>
  <c r="D51" i="15"/>
  <c r="D58" i="15"/>
  <c r="D50" i="15"/>
  <c r="A60" i="12"/>
  <c r="A54" i="12"/>
  <c r="A51" i="12"/>
  <c r="A55" i="12"/>
  <c r="A52" i="12"/>
  <c r="A13" i="3"/>
  <c r="A41" i="3" s="1"/>
  <c r="A53" i="12"/>
  <c r="D56" i="12"/>
  <c r="D54" i="12"/>
  <c r="D55" i="12"/>
  <c r="D51" i="12"/>
  <c r="D58" i="12"/>
  <c r="D50" i="12"/>
  <c r="A50" i="12"/>
  <c r="A40" i="3"/>
  <c r="A43" i="3"/>
  <c r="A13" i="8"/>
  <c r="A16" i="3"/>
  <c r="A44" i="3" s="1"/>
  <c r="A15" i="8"/>
  <c r="A11" i="3"/>
  <c r="A39" i="3" s="1"/>
  <c r="A26" i="2"/>
  <c r="A22" i="2" s="1"/>
  <c r="A15" i="27" l="1"/>
  <c r="A15" i="26"/>
  <c r="A15" i="29"/>
  <c r="A15" i="28"/>
  <c r="A31" i="23"/>
  <c r="A13" i="27"/>
  <c r="A13" i="28"/>
  <c r="A13" i="29"/>
  <c r="A13" i="26"/>
  <c r="A29" i="23"/>
  <c r="A11" i="29"/>
  <c r="A11" i="28"/>
  <c r="A11" i="27"/>
  <c r="A11" i="26"/>
  <c r="E28" i="23"/>
  <c r="A23" i="8"/>
  <c r="A15" i="20" s="1"/>
  <c r="A21" i="8"/>
  <c r="A13" i="20" s="1"/>
  <c r="E20" i="8"/>
  <c r="E12" i="20" s="1"/>
  <c r="A18" i="3"/>
  <c r="A16" i="23" s="1"/>
  <c r="F2" i="12"/>
  <c r="A46" i="3" l="1"/>
  <c r="G8" i="12"/>
  <c r="H8" i="12"/>
  <c r="H10" i="12" l="1"/>
  <c r="H12" i="12"/>
  <c r="H13" i="12"/>
  <c r="H15" i="12"/>
  <c r="H16" i="12"/>
  <c r="H9" i="12"/>
  <c r="H18" i="12"/>
  <c r="H11" i="12"/>
  <c r="H17" i="12"/>
  <c r="H14" i="12"/>
  <c r="G13" i="12"/>
  <c r="E8" i="12"/>
  <c r="G17" i="12"/>
  <c r="G11" i="12"/>
  <c r="G9" i="12"/>
  <c r="G15" i="12"/>
  <c r="H19" i="12"/>
  <c r="G12" i="12"/>
  <c r="G18" i="12"/>
  <c r="G10" i="12"/>
  <c r="G16" i="12"/>
  <c r="G14" i="12"/>
  <c r="E9" i="16" l="1"/>
  <c r="G19" i="12"/>
  <c r="H20" i="12" l="1"/>
  <c r="G20" i="12"/>
  <c r="H21" i="12" l="1"/>
  <c r="G21" i="12"/>
  <c r="H22" i="12" l="1"/>
  <c r="G22" i="12"/>
  <c r="H23" i="12" l="1"/>
  <c r="G23" i="12"/>
  <c r="H24" i="12" l="1"/>
  <c r="G24" i="12"/>
  <c r="H25" i="12" l="1"/>
  <c r="G25" i="12"/>
  <c r="H26" i="12" l="1"/>
  <c r="G26" i="12"/>
  <c r="H27" i="12" l="1"/>
  <c r="G27" i="12"/>
  <c r="H28" i="12" l="1"/>
  <c r="G28" i="12"/>
  <c r="H29" i="12" l="1"/>
  <c r="G29" i="12"/>
  <c r="H31" i="12" l="1"/>
  <c r="G31" i="12"/>
  <c r="H30" i="12"/>
  <c r="G30" i="12"/>
  <c r="I9" i="15" l="1"/>
  <c r="D8" i="15"/>
  <c r="C9" i="15" l="1"/>
  <c r="M8" i="15"/>
  <c r="F8" i="15" s="1"/>
  <c r="I10" i="15"/>
  <c r="I11" i="15" s="1"/>
  <c r="I12" i="15" s="1"/>
  <c r="I13" i="15" s="1"/>
  <c r="I14" i="15" s="1"/>
  <c r="I15" i="15" s="1"/>
  <c r="I16" i="15" s="1"/>
  <c r="L9" i="15" l="1"/>
  <c r="E9" i="15" s="1"/>
  <c r="J14" i="15"/>
  <c r="K14" i="15" s="1"/>
  <c r="J13" i="15"/>
  <c r="K13" i="15" s="1"/>
  <c r="J17" i="15"/>
  <c r="K17" i="15" s="1"/>
  <c r="I17" i="15" s="1"/>
  <c r="J18" i="15" s="1"/>
  <c r="K18" i="15" s="1"/>
  <c r="I18" i="15" s="1"/>
  <c r="J19" i="15" s="1"/>
  <c r="K19" i="15" s="1"/>
  <c r="I19" i="15" s="1"/>
  <c r="J16" i="15"/>
  <c r="K16" i="15" s="1"/>
  <c r="J15" i="15"/>
  <c r="K15" i="15" s="1"/>
  <c r="D9" i="15" l="1"/>
  <c r="C10" i="15" s="1"/>
  <c r="I20" i="15"/>
  <c r="J20" i="15"/>
  <c r="K20" i="15" s="1"/>
  <c r="L10" i="15" l="1"/>
  <c r="E10" i="15" s="1"/>
  <c r="M9" i="15"/>
  <c r="F9" i="15" s="1"/>
  <c r="J21" i="15"/>
  <c r="K21" i="15" s="1"/>
  <c r="I21" i="15" s="1"/>
  <c r="J22" i="15" s="1"/>
  <c r="K22" i="15" s="1"/>
  <c r="I22" i="15" l="1"/>
  <c r="I23" i="15" s="1"/>
  <c r="I24" i="15" s="1"/>
  <c r="D10" i="15"/>
  <c r="J25" i="15" l="1"/>
  <c r="K25" i="15" s="1"/>
  <c r="I25" i="15" s="1"/>
  <c r="I26" i="15" s="1"/>
  <c r="I27" i="15" s="1"/>
  <c r="J24" i="15"/>
  <c r="K24" i="15" s="1"/>
  <c r="J23" i="15"/>
  <c r="K23" i="15" s="1"/>
  <c r="M10" i="15"/>
  <c r="F10" i="15" s="1"/>
  <c r="C11" i="15"/>
  <c r="J27" i="15" l="1"/>
  <c r="K27" i="15" s="1"/>
  <c r="J28" i="15"/>
  <c r="K28" i="15" s="1"/>
  <c r="I28" i="15" s="1"/>
  <c r="I29" i="15" s="1"/>
  <c r="I30" i="15" s="1"/>
  <c r="J31" i="15" s="1"/>
  <c r="K31" i="15" s="1"/>
  <c r="I31" i="15" s="1"/>
  <c r="J32" i="15" s="1"/>
  <c r="K32" i="15" s="1"/>
  <c r="J26" i="15"/>
  <c r="K26" i="15" s="1"/>
  <c r="L11" i="15"/>
  <c r="E11" i="15" s="1"/>
  <c r="J29" i="15" l="1"/>
  <c r="K29" i="15" s="1"/>
  <c r="I32" i="15"/>
  <c r="I33" i="15" s="1"/>
  <c r="D11" i="15"/>
  <c r="J30" i="15"/>
  <c r="K30" i="15" s="1"/>
  <c r="J34" i="15" l="1"/>
  <c r="K34" i="15" s="1"/>
  <c r="I34" i="15" s="1"/>
  <c r="J35" i="15" s="1"/>
  <c r="K35" i="15" s="1"/>
  <c r="I35" i="15" s="1"/>
  <c r="J33" i="15"/>
  <c r="K33" i="15" s="1"/>
  <c r="M11" i="15"/>
  <c r="F11" i="15" s="1"/>
  <c r="C12" i="15"/>
  <c r="L12" i="15" l="1"/>
  <c r="E12" i="15" s="1"/>
  <c r="I36" i="15"/>
  <c r="J36" i="15"/>
  <c r="K36" i="15" s="1"/>
  <c r="D12" i="15" l="1"/>
  <c r="J37" i="15"/>
  <c r="K37" i="15" s="1"/>
  <c r="I37" i="15" s="1"/>
  <c r="C13" i="15" l="1"/>
  <c r="M12" i="15"/>
  <c r="F12" i="15" s="1"/>
  <c r="I38" i="15"/>
  <c r="J38" i="15"/>
  <c r="K38" i="15" s="1"/>
  <c r="L13" i="15" l="1"/>
  <c r="E13" i="15" s="1"/>
  <c r="J39" i="15"/>
  <c r="K39" i="15" s="1"/>
  <c r="I39" i="15" s="1"/>
  <c r="D13" i="15" l="1"/>
  <c r="J40" i="15"/>
  <c r="K40" i="15" s="1"/>
  <c r="I40" i="15" s="1"/>
  <c r="C14" i="15" l="1"/>
  <c r="M13" i="15"/>
  <c r="F13" i="15" s="1"/>
  <c r="J41" i="15"/>
  <c r="K41" i="15" s="1"/>
  <c r="I41" i="15" s="1"/>
  <c r="L14" i="15" l="1"/>
  <c r="E14" i="15" s="1"/>
  <c r="D14" i="15"/>
  <c r="J42" i="15"/>
  <c r="K42" i="15" s="1"/>
  <c r="I42" i="15" s="1"/>
  <c r="J43" i="15" s="1"/>
  <c r="K43" i="15" s="1"/>
  <c r="I43" i="15" s="1"/>
  <c r="C15" i="15" l="1"/>
  <c r="M14" i="15"/>
  <c r="F14" i="15" s="1"/>
  <c r="L15" i="15" l="1"/>
  <c r="E15" i="15" s="1"/>
  <c r="D15" i="15" l="1"/>
  <c r="M15" i="15" l="1"/>
  <c r="F15" i="15" s="1"/>
  <c r="C16" i="15"/>
  <c r="L16" i="15" l="1"/>
  <c r="E16" i="15" s="1"/>
  <c r="D16" i="15" l="1"/>
  <c r="M16" i="15" l="1"/>
  <c r="F16" i="15" s="1"/>
  <c r="C17" i="15"/>
  <c r="L17" i="15" l="1"/>
  <c r="E17" i="15" s="1"/>
  <c r="D17" i="15" l="1"/>
  <c r="M17" i="15" l="1"/>
  <c r="F17" i="15" s="1"/>
  <c r="C18" i="15"/>
  <c r="L18" i="15" l="1"/>
  <c r="E18" i="15" s="1"/>
  <c r="D18" i="15" l="1"/>
  <c r="C19" i="15" s="1"/>
  <c r="L19" i="15" s="1"/>
  <c r="E19" i="15" s="1"/>
  <c r="M18" i="15" l="1"/>
  <c r="F18" i="15" s="1"/>
  <c r="D19" i="15"/>
  <c r="M19" i="15" l="1"/>
  <c r="F19" i="15" s="1"/>
  <c r="C20" i="15"/>
  <c r="L20" i="15" l="1"/>
  <c r="E20" i="15" s="1"/>
  <c r="D20" i="15" l="1"/>
  <c r="M20" i="15" l="1"/>
  <c r="F20" i="15" s="1"/>
  <c r="C21" i="15"/>
  <c r="L21" i="15" l="1"/>
  <c r="E21" i="15" s="1"/>
  <c r="D21" i="15" l="1"/>
  <c r="M21" i="15" l="1"/>
  <c r="F21" i="15" s="1"/>
  <c r="C22" i="15"/>
  <c r="L22" i="15" l="1"/>
  <c r="E22" i="15" s="1"/>
  <c r="D22" i="15" l="1"/>
  <c r="M22" i="15" l="1"/>
  <c r="F22" i="15" s="1"/>
  <c r="C23" i="15"/>
  <c r="L23" i="15" l="1"/>
  <c r="E23" i="15" s="1"/>
  <c r="D23" i="15" l="1"/>
  <c r="M23" i="15" l="1"/>
  <c r="F23" i="15" s="1"/>
  <c r="C24" i="15"/>
  <c r="L24" i="15" l="1"/>
  <c r="E24" i="15" s="1"/>
  <c r="D24" i="15" l="1"/>
  <c r="M24" i="15" l="1"/>
  <c r="F24" i="15" s="1"/>
  <c r="C25" i="15"/>
  <c r="L25" i="15" l="1"/>
  <c r="E25" i="15" s="1"/>
  <c r="D25" i="15" l="1"/>
  <c r="M25" i="15" s="1"/>
  <c r="F25" i="15" s="1"/>
  <c r="C26" i="15" l="1"/>
  <c r="L26" i="15" s="1"/>
  <c r="D26" i="15" s="1"/>
  <c r="E26" i="15" l="1"/>
  <c r="M26" i="15" s="1"/>
  <c r="F26" i="15" s="1"/>
  <c r="C27" i="15"/>
  <c r="L27" i="15" l="1"/>
  <c r="D27" i="15" s="1"/>
  <c r="C28" i="15" s="1"/>
  <c r="E27" i="15" l="1"/>
  <c r="M27" i="15" s="1"/>
  <c r="F27" i="15" s="1"/>
  <c r="L28" i="15"/>
  <c r="D28" i="15" s="1"/>
  <c r="C29" i="15" s="1"/>
  <c r="E28" i="15" l="1"/>
  <c r="M28" i="15" s="1"/>
  <c r="F28" i="15" s="1"/>
  <c r="L29" i="15"/>
  <c r="D29" i="15" s="1"/>
  <c r="E29" i="15" l="1"/>
  <c r="M29" i="15" s="1"/>
  <c r="F29" i="15" s="1"/>
  <c r="C30" i="15"/>
  <c r="L30" i="15" l="1"/>
  <c r="D30" i="15" s="1"/>
  <c r="E30" i="15" l="1"/>
  <c r="M30" i="15" s="1"/>
  <c r="F30" i="15" s="1"/>
  <c r="C31" i="15"/>
  <c r="L31" i="15" l="1"/>
  <c r="D31" i="15" s="1"/>
  <c r="E31" i="15" l="1"/>
  <c r="M31" i="15" s="1"/>
  <c r="F31" i="15" s="1"/>
  <c r="C32" i="15"/>
  <c r="L32" i="15" l="1"/>
  <c r="E32" i="15" s="1"/>
  <c r="D32" i="15" l="1"/>
  <c r="M32" i="15" s="1"/>
  <c r="F32" i="15" s="1"/>
  <c r="C33" i="15" l="1"/>
  <c r="L33" i="15" s="1"/>
  <c r="E33" i="15" s="1"/>
  <c r="D33" i="15" l="1"/>
  <c r="M33" i="15" l="1"/>
  <c r="F33" i="15" s="1"/>
  <c r="C34" i="15"/>
  <c r="L34" i="15" l="1"/>
  <c r="E34" i="15" s="1"/>
  <c r="D34" i="15" l="1"/>
  <c r="C35" i="15" s="1"/>
  <c r="L35" i="15" s="1"/>
  <c r="E35" i="15" s="1"/>
  <c r="M34" i="15" l="1"/>
  <c r="F34" i="15" s="1"/>
  <c r="D35" i="15"/>
  <c r="M35" i="15" s="1"/>
  <c r="F35" i="15" s="1"/>
  <c r="C36" i="15" l="1"/>
  <c r="L36" i="15" s="1"/>
  <c r="E36" i="15" s="1"/>
  <c r="D36" i="15" l="1"/>
  <c r="M36" i="15" s="1"/>
  <c r="F36" i="15" s="1"/>
  <c r="C37" i="15" l="1"/>
  <c r="L37" i="15" s="1"/>
  <c r="E37" i="15" s="1"/>
  <c r="D37" i="15" l="1"/>
  <c r="M37" i="15" l="1"/>
  <c r="F37" i="15" s="1"/>
  <c r="C38" i="15"/>
  <c r="L38" i="15" l="1"/>
  <c r="D38" i="15" s="1"/>
  <c r="E38" i="15" l="1"/>
  <c r="M38" i="15" s="1"/>
  <c r="F38" i="15" s="1"/>
  <c r="C39" i="15"/>
  <c r="L39" i="15" l="1"/>
  <c r="E39" i="15" s="1"/>
  <c r="D39" i="15" l="1"/>
  <c r="M39" i="15" l="1"/>
  <c r="F39" i="15" s="1"/>
  <c r="C40" i="15"/>
  <c r="L40" i="15" l="1"/>
  <c r="E40" i="15" s="1"/>
  <c r="D40" i="15" l="1"/>
  <c r="M40" i="15" l="1"/>
  <c r="F40" i="15" s="1"/>
  <c r="C41" i="15"/>
  <c r="L41" i="15" l="1"/>
  <c r="E41" i="15" s="1"/>
  <c r="D41" i="15" l="1"/>
  <c r="C42" i="15" s="1"/>
  <c r="L42" i="15" s="1"/>
  <c r="E42" i="15" s="1"/>
  <c r="M41" i="15" l="1"/>
  <c r="F41" i="15" s="1"/>
  <c r="D42" i="15"/>
  <c r="M42" i="15" s="1"/>
  <c r="F42" i="15" s="1"/>
  <c r="C43" i="15" l="1"/>
  <c r="L43" i="15" s="1"/>
  <c r="E43" i="15" s="1"/>
  <c r="E44" i="15" s="1"/>
  <c r="D43" i="15" l="1"/>
  <c r="M43" i="15" s="1"/>
  <c r="F43" i="15" s="1"/>
  <c r="F44" i="15" s="1"/>
  <c r="D44" i="15" l="1"/>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F9" i="16"/>
  <c r="F10" i="16"/>
  <c r="F11" i="16"/>
  <c r="F12" i="16"/>
  <c r="F13" i="16"/>
  <c r="F14" i="16"/>
  <c r="F15" i="16"/>
  <c r="F16" i="16"/>
  <c r="F17" i="16"/>
  <c r="F18" i="16"/>
  <c r="F19" i="16"/>
  <c r="F20" i="16"/>
  <c r="F21" i="16"/>
  <c r="F22" i="16"/>
  <c r="F23" i="16"/>
  <c r="F24" i="16"/>
  <c r="F25" i="16"/>
  <c r="F26" i="16"/>
  <c r="F27" i="16"/>
  <c r="F28" i="16"/>
  <c r="F29" i="16"/>
  <c r="F30" i="16"/>
  <c r="F31" i="16"/>
  <c r="F32" i="16"/>
  <c r="F33" i="16"/>
  <c r="F34" i="16"/>
  <c r="F35" i="16"/>
  <c r="F36" i="16"/>
  <c r="F37" i="16"/>
  <c r="F38" i="16"/>
  <c r="F39" i="16"/>
  <c r="F40" i="16"/>
  <c r="F41" i="16"/>
  <c r="F42" i="16"/>
  <c r="F43" i="16"/>
  <c r="F44" i="16"/>
  <c r="D9" i="16"/>
  <c r="D10" i="16"/>
  <c r="D11" i="16"/>
  <c r="D12" i="16"/>
  <c r="D13" i="16"/>
  <c r="D14" i="16"/>
  <c r="D15" i="16"/>
  <c r="D16" i="16"/>
  <c r="D17" i="16"/>
  <c r="D18" i="16"/>
  <c r="D19" i="16"/>
  <c r="D20" i="16"/>
  <c r="D21" i="16"/>
  <c r="D22" i="16"/>
  <c r="D23" i="16"/>
  <c r="D24" i="16"/>
  <c r="D25" i="16"/>
  <c r="D26" i="16"/>
  <c r="D27" i="16"/>
  <c r="D28" i="16"/>
  <c r="D29" i="16"/>
  <c r="D30" i="16"/>
  <c r="D31" i="16"/>
  <c r="D32" i="16"/>
  <c r="D33" i="16"/>
  <c r="D34" i="16"/>
  <c r="D35" i="16"/>
  <c r="D36" i="16"/>
  <c r="D37" i="16"/>
  <c r="D38" i="16"/>
  <c r="D39" i="16"/>
  <c r="D40" i="16"/>
  <c r="D41" i="16"/>
  <c r="D42" i="16"/>
  <c r="D43" i="16"/>
  <c r="D44" i="16"/>
  <c r="C44" i="16"/>
  <c r="C43" i="16"/>
  <c r="C42" i="16"/>
  <c r="C41" i="16"/>
  <c r="C40" i="16"/>
  <c r="C39" i="16"/>
  <c r="C38" i="16"/>
  <c r="C37" i="16"/>
  <c r="C36" i="16"/>
  <c r="C35" i="16"/>
  <c r="C34" i="16"/>
  <c r="C33" i="16"/>
  <c r="C32" i="16"/>
  <c r="C31" i="16"/>
  <c r="C30" i="16"/>
  <c r="C29" i="16"/>
  <c r="C28" i="16"/>
  <c r="C27" i="16"/>
  <c r="C26" i="16"/>
  <c r="C25" i="16"/>
  <c r="C24" i="16"/>
  <c r="C23" i="16"/>
  <c r="C22" i="16"/>
  <c r="C21" i="16"/>
  <c r="C20" i="16"/>
  <c r="C19" i="16"/>
  <c r="C18" i="16"/>
  <c r="C17" i="16"/>
  <c r="C16" i="16"/>
  <c r="C15" i="16"/>
  <c r="C14" i="16"/>
  <c r="C13" i="16"/>
  <c r="C12" i="16"/>
  <c r="C11" i="16"/>
  <c r="C10" i="16"/>
  <c r="B90" i="1" l="1"/>
  <c r="F8" i="12" s="1"/>
  <c r="F45" i="16"/>
  <c r="D45" i="16"/>
  <c r="E45" i="16"/>
  <c r="C63" i="1"/>
  <c r="C60" i="1" s="1"/>
  <c r="A23" i="3" l="1"/>
  <c r="A22" i="3" s="1"/>
  <c r="A24" i="3"/>
  <c r="D8" i="12"/>
  <c r="F9" i="12"/>
  <c r="F10" i="12" l="1"/>
  <c r="C9" i="12"/>
  <c r="E9" i="12" l="1"/>
  <c r="F11" i="12"/>
  <c r="F12" i="12" l="1"/>
  <c r="D9" i="12"/>
  <c r="C10" i="12" l="1"/>
  <c r="F13" i="12"/>
  <c r="F14" i="12" l="1"/>
  <c r="E10" i="12"/>
  <c r="D10" i="12" l="1"/>
  <c r="F15" i="12"/>
  <c r="F16" i="12" l="1"/>
  <c r="C11" i="12"/>
  <c r="E11" i="12" l="1"/>
  <c r="F17" i="12"/>
  <c r="F18" i="12" l="1"/>
  <c r="D11" i="12"/>
  <c r="C12" i="12" l="1"/>
  <c r="F19" i="12"/>
  <c r="F20" i="12" l="1"/>
  <c r="E12" i="12"/>
  <c r="D12" i="12" l="1"/>
  <c r="F21" i="12"/>
  <c r="F22" i="12" l="1"/>
  <c r="C13" i="12"/>
  <c r="E13" i="12" l="1"/>
  <c r="F23" i="12"/>
  <c r="F24" i="12" l="1"/>
  <c r="D13" i="12"/>
  <c r="C14" i="12" s="1"/>
  <c r="E14" i="12" l="1"/>
  <c r="D14" i="12" s="1"/>
  <c r="C15" i="12" s="1"/>
  <c r="F25" i="12"/>
  <c r="E15" i="12" l="1"/>
  <c r="D15" i="12" s="1"/>
  <c r="C16" i="12" s="1"/>
  <c r="F26" i="12"/>
  <c r="E16" i="12" l="1"/>
  <c r="D16" i="12" s="1"/>
  <c r="C17" i="12" s="1"/>
  <c r="F27" i="12"/>
  <c r="E17" i="12" l="1"/>
  <c r="D17" i="12" s="1"/>
  <c r="C18" i="12" s="1"/>
  <c r="F28" i="12"/>
  <c r="E18" i="12" l="1"/>
  <c r="D18" i="12" s="1"/>
  <c r="C19" i="12" s="1"/>
  <c r="F29" i="12"/>
  <c r="E19" i="12" l="1"/>
  <c r="D19" i="12" s="1"/>
  <c r="C20" i="12" s="1"/>
  <c r="F30" i="12"/>
  <c r="E20" i="12" l="1"/>
  <c r="D20" i="12" s="1"/>
  <c r="C21" i="12" s="1"/>
  <c r="F31" i="12"/>
  <c r="E21" i="12" l="1"/>
  <c r="D21" i="12" s="1"/>
  <c r="C22" i="12" s="1"/>
  <c r="F32" i="12"/>
  <c r="E22" i="12" l="1"/>
  <c r="D22" i="12" s="1"/>
  <c r="C23" i="12" s="1"/>
  <c r="F33" i="12"/>
  <c r="F34" i="12" l="1"/>
  <c r="E23" i="12"/>
  <c r="D23" i="12" s="1"/>
  <c r="C24" i="12" s="1"/>
  <c r="E24" i="12" l="1"/>
  <c r="D24" i="12" s="1"/>
  <c r="C25" i="12" s="1"/>
  <c r="F35" i="12"/>
  <c r="E25" i="12" l="1"/>
  <c r="D25" i="12" s="1"/>
  <c r="C26" i="12" s="1"/>
  <c r="F36" i="12"/>
  <c r="F37" i="12" l="1"/>
  <c r="E26" i="12"/>
  <c r="D26" i="12" s="1"/>
  <c r="C27" i="12" s="1"/>
  <c r="E27" i="12" l="1"/>
  <c r="D27" i="12" s="1"/>
  <c r="C28" i="12" s="1"/>
  <c r="F38" i="12"/>
  <c r="E28" i="12" l="1"/>
  <c r="D28" i="12" s="1"/>
  <c r="C29" i="12" s="1"/>
  <c r="E29" i="12" l="1"/>
  <c r="D29" i="12" s="1"/>
  <c r="C30" i="12" s="1"/>
  <c r="E30" i="12" l="1"/>
  <c r="D30" i="12" s="1"/>
  <c r="C31" i="12" s="1"/>
  <c r="E31" i="12" l="1"/>
  <c r="D31" i="12" s="1"/>
  <c r="C32" i="12" s="1"/>
  <c r="E32" i="12" l="1"/>
  <c r="D32" i="12" s="1"/>
  <c r="C33" i="12" s="1"/>
  <c r="E33" i="12" l="1"/>
  <c r="D33" i="12" s="1"/>
  <c r="C34" i="12" s="1"/>
  <c r="E34" i="12" l="1"/>
  <c r="D34" i="12" s="1"/>
  <c r="C35" i="12" s="1"/>
  <c r="E35" i="12" l="1"/>
  <c r="D35" i="12" s="1"/>
  <c r="C36" i="12" s="1"/>
  <c r="E36" i="12" l="1"/>
  <c r="D36" i="12" s="1"/>
  <c r="C37" i="12" s="1"/>
  <c r="E37" i="12" l="1"/>
  <c r="D37" i="12" s="1"/>
  <c r="C38" i="12" s="1"/>
  <c r="E38" i="12" l="1"/>
  <c r="D38" i="12" s="1"/>
  <c r="C39" i="12" s="1"/>
  <c r="E39" i="12" l="1"/>
  <c r="D39" i="12" s="1"/>
  <c r="C40" i="12" l="1"/>
  <c r="F39" i="12"/>
  <c r="E40" i="12"/>
  <c r="D40" i="12" s="1"/>
  <c r="C41" i="12" l="1"/>
  <c r="F40" i="12"/>
  <c r="E41" i="12"/>
  <c r="D41" i="12" s="1"/>
  <c r="C42" i="12" l="1"/>
  <c r="F41" i="12"/>
  <c r="E42" i="12"/>
  <c r="D42" i="12" s="1"/>
  <c r="C43" i="12" l="1"/>
  <c r="F42" i="12"/>
  <c r="E43" i="12"/>
  <c r="E44" i="12" s="1"/>
  <c r="D43" i="12"/>
  <c r="F43" i="12" l="1"/>
  <c r="F44" i="12" s="1"/>
  <c r="D44" i="12"/>
  <c r="B39" i="1"/>
  <c r="B39" i="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<sst xmlns="http://schemas.openxmlformats.org/spreadsheetml/2006/main" count="637" uniqueCount="469">
  <si>
    <t>служебная</t>
  </si>
  <si>
    <t>другое</t>
  </si>
  <si>
    <t>Г.В. Тян</t>
  </si>
  <si>
    <t>-</t>
  </si>
  <si>
    <t>Наименование</t>
  </si>
  <si>
    <t>Согласованная залоговая стоимость, сум</t>
  </si>
  <si>
    <t>ИТОГО</t>
  </si>
  <si>
    <t>(78) 113 31 34</t>
  </si>
  <si>
    <t>Дата погашения</t>
  </si>
  <si>
    <t xml:space="preserve"> Остаток основного долга </t>
  </si>
  <si>
    <t>Сумма погашения, сум</t>
  </si>
  <si>
    <t xml:space="preserve"> основного долга</t>
  </si>
  <si>
    <t>процентов*</t>
  </si>
  <si>
    <t>всего*</t>
  </si>
  <si>
    <t>№</t>
  </si>
  <si>
    <t>Приложение №1</t>
  </si>
  <si>
    <t>График погашения</t>
  </si>
  <si>
    <t>*В случае осуществления погашения платежей по кредиту в даты, отличные от указанных в графике погашения, сумма платежа меняется на сумму процентов, которые начисляются на сумму остатка долга по микрозайму в соответствии с п.п. 2.2. настоящего договора.</t>
  </si>
  <si>
    <t>Полезная площадь</t>
  </si>
  <si>
    <t>Жилая площадь</t>
  </si>
  <si>
    <t>Общая площадь</t>
  </si>
  <si>
    <t>990000__</t>
  </si>
  <si>
    <t>№01042</t>
  </si>
  <si>
    <t>июля</t>
  </si>
  <si>
    <t>№20216000705068380001</t>
  </si>
  <si>
    <t>306365847</t>
  </si>
  <si>
    <t xml:space="preserve"> </t>
  </si>
  <si>
    <t>июль</t>
  </si>
  <si>
    <t>Пн</t>
  </si>
  <si>
    <t>Вт</t>
  </si>
  <si>
    <t>Ср</t>
  </si>
  <si>
    <t>Чт</t>
  </si>
  <si>
    <t>Пт</t>
  </si>
  <si>
    <t>Сб</t>
  </si>
  <si>
    <t>Вс</t>
  </si>
  <si>
    <t xml:space="preserve">В НОТАРИАЛЬНУЮ </t>
  </si>
  <si>
    <t>С уважением,</t>
  </si>
  <si>
    <t>Исполнительный директора</t>
  </si>
  <si>
    <t>ООО «Clever Mikrokredit Tashkiloti»</t>
  </si>
  <si>
    <t>ФИО</t>
  </si>
  <si>
    <t>дата</t>
  </si>
  <si>
    <t>№ договора</t>
  </si>
  <si>
    <t>сог. Сумма (пропис.)</t>
  </si>
  <si>
    <t>Сог. Сумма</t>
  </si>
  <si>
    <t>YUNUSOVA ZALOXAT MIRSULTANOVNA</t>
  </si>
  <si>
    <t>TULYAGANOV XODJIAKBAR IRGASHEVICH</t>
  </si>
  <si>
    <t xml:space="preserve">Начальник отдела кредитования </t>
  </si>
  <si>
    <t>SAMARQAND VILOYATI TAYLOQ TUMANI CHAROG'BON MFY YANGI TAYLOQ QISHLOG'I 6 TURAR JOY 12 QAVAT 58 XONADON</t>
  </si>
  <si>
    <t>Исх №15/06-001</t>
  </si>
  <si>
    <t>от 15.06.2021 г.</t>
  </si>
  <si>
    <t>КОНТОРУ Г.САМАРКАНД</t>
  </si>
  <si>
    <t>Микрофинансовой организацией и Заемщиком</t>
  </si>
  <si>
    <t>Qarz oluvchi bo’yicha ma’lumotlar</t>
  </si>
  <si>
    <t>Ariza beruvchining FISh (kim? – Ibragimov Rustam Sadikovich)</t>
  </si>
  <si>
    <t>agar o’zgarishlar bo’lgan bo’lsa oldingi FISh (Sadikov Rustam Sadikovich yoki yo’q)</t>
  </si>
  <si>
    <t>Ariza beruvchining FISh (kim? – Ibragimov R.S.)</t>
  </si>
  <si>
    <t>FISh (ariza kimdan? – Ibragimov Rustam Sadikovichdan)</t>
  </si>
  <si>
    <t>FISh (kimdan? – Ibragimov R.S.dan)</t>
  </si>
  <si>
    <t>FISh (kimga? – Ibragimov Rustam Sadikovichga)</t>
  </si>
  <si>
    <t>FISh (kimga? – Ibragimov R.S.ga)</t>
  </si>
  <si>
    <t>FISh (kim bilan? – Ibragimov Rustam Sadikovich bilan)</t>
  </si>
  <si>
    <t>FISh (kim bilan? – Ibragimov R.S. bilan)</t>
  </si>
  <si>
    <t>Fuqaroligi (O’zbekiston Respublikasi)</t>
  </si>
  <si>
    <t>Tug’ilgan sanasi (01.10.2011 yil)</t>
  </si>
  <si>
    <t>Pasport seriyasi (СА №1234567)</t>
  </si>
  <si>
    <t>O’zbekiston Respublikasi</t>
  </si>
  <si>
    <t>yoq</t>
  </si>
  <si>
    <t xml:space="preserve">Kim va qachon berilgan
(Toshkent shahri Chilonzor IIB tomonidan 2011 yil __.____)
</t>
  </si>
  <si>
    <t xml:space="preserve">Pasportni amal qilish muddati
(01.10.2011 yilgacha / yoki muddatsiz)
</t>
  </si>
  <si>
    <t xml:space="preserve">doimiy ro’yhatdan o’tgan joyi
(Toshkent sh., Mirobod tumani, Nukus ko’chasi, 1 uy, 1 honadon)
</t>
  </si>
  <si>
    <t>doimiy ro’yhatdan o’tgan joyi haqiqatdagi turar joyi bilan mos keladi/mos kelmaydi</t>
  </si>
  <si>
    <t xml:space="preserve">Ro’yhatdan o’tish joyida yashash asosi
</t>
  </si>
  <si>
    <t>Telefon raqami kod bilan ((99871) 277 77 77)</t>
  </si>
  <si>
    <t>Mo’ljal</t>
  </si>
  <si>
    <t>Haqiqatdagi yashash joyi (Toshkent sh., Mirobod tumani, Nukus ko’chasi, 1 uy, 1 honadon)</t>
  </si>
  <si>
    <t>Haqiqatdagi yashash joyida turish asosi</t>
  </si>
  <si>
    <t>Mijozning jinsi</t>
  </si>
  <si>
    <t>Tug’ilgan joyi (Toshkent)</t>
  </si>
  <si>
    <t>Oilaviy ahvoli</t>
  </si>
  <si>
    <t>Oila a'zolari soni (jami):</t>
  </si>
  <si>
    <t>Ma’lumoti</t>
  </si>
  <si>
    <t>Mutaxassisligi</t>
  </si>
  <si>
    <t>Ish telefoni raqami kod bilan ((99890) 3270000)</t>
  </si>
  <si>
    <t>Mobil telefon raqami kod bilan ((99890) 3270000)</t>
  </si>
  <si>
    <t>Asosiy ish joyi</t>
  </si>
  <si>
    <t>Lavozimi</t>
  </si>
  <si>
    <t>Tashkilotning haqiqiy manzili (Toshkent sh., Mirobod tumani, Nukus ko’chasi, 1 uy, 1 honadon)</t>
  </si>
  <si>
    <t>Ish staji, sanasidan (01.10.2011 yildan)</t>
  </si>
  <si>
    <t>Umumiy mehnat staji (3 yil/ 5 yil)</t>
  </si>
  <si>
    <t>Ish joyi telefon raqami</t>
  </si>
  <si>
    <t>Mijozning STIRi</t>
  </si>
  <si>
    <t>Mijozning unikal kodi</t>
  </si>
  <si>
    <t>Mulk huquqi</t>
  </si>
  <si>
    <t>ijara</t>
  </si>
  <si>
    <t>mos keladi</t>
  </si>
  <si>
    <t>mos kelmaydi</t>
  </si>
  <si>
    <t>QARZ OLUVCHINING ISH JOYI, LAVOZIMI VA O'RTACHA OYLIK DAROMADI</t>
  </si>
  <si>
    <t>Ish joyi</t>
  </si>
  <si>
    <t>O’rtacha oylik daromadi</t>
  </si>
  <si>
    <t>Mijozning boshqa daromadlari</t>
  </si>
  <si>
    <t>Ishning davomiyligi</t>
  </si>
  <si>
    <t>Ish joyidan ma’lumotnomaning raqami va sanasi</t>
  </si>
  <si>
    <t>Kredit bo’yicha parametrlar</t>
  </si>
  <si>
    <t>Kredit turi</t>
  </si>
  <si>
    <t>Kredit shartnomasi raqami</t>
  </si>
  <si>
    <t>Kredit shartnomasi sanasi (14.10.2011)</t>
  </si>
  <si>
    <t>Kredit shartnomasi sanasi (14.10.2011 y.)</t>
  </si>
  <si>
    <t>Tugash sanasi QO’L BILAN KIRITILADI</t>
  </si>
  <si>
    <t>mart</t>
  </si>
  <si>
    <t>aprel</t>
  </si>
  <si>
    <t>may</t>
  </si>
  <si>
    <t>iyun</t>
  </si>
  <si>
    <t>iyul</t>
  </si>
  <si>
    <t>avgust</t>
  </si>
  <si>
    <t>sentabr</t>
  </si>
  <si>
    <t>oktabr</t>
  </si>
  <si>
    <t>noyabr</t>
  </si>
  <si>
    <t>dekabr</t>
  </si>
  <si>
    <t>yanvar</t>
  </si>
  <si>
    <t>fevral</t>
  </si>
  <si>
    <t>Kredit shartnomasi raqami va sanasi</t>
  </si>
  <si>
    <t>QO’L BILAN KIRITILADI</t>
  </si>
  <si>
    <t xml:space="preserve">Grafik turi </t>
  </si>
  <si>
    <t>Mikroqarzni to'lash sanasi (14.10.2011 y.) QO’L BILAN KIRITILADI</t>
  </si>
  <si>
    <t>Oylik to'lov</t>
  </si>
  <si>
    <t>GAROV BO’YICHA MA’LUMOTLAR</t>
  </si>
  <si>
    <t>Uzbek tilida</t>
  </si>
  <si>
    <t>annuitet</t>
  </si>
  <si>
    <t>differensial</t>
  </si>
  <si>
    <t>on besh million</t>
  </si>
  <si>
    <t>Birlamchi</t>
  </si>
  <si>
    <t>navbatdagi garov</t>
  </si>
  <si>
    <t>Ha</t>
  </si>
  <si>
    <t>yo’q</t>
  </si>
  <si>
    <t>Garovga beruvchining o’zi</t>
  </si>
  <si>
    <t>Bosh ishonchnoma bo’yicha boshqa shaxs</t>
  </si>
  <si>
    <t>Garovga beruvchi mulkdormi?</t>
  </si>
  <si>
    <t>Agar garovga beruvchi qarz oluvchi bo'lmasa, garovga kim qo'yganligini ko'rsating</t>
  </si>
  <si>
    <t>Bosh ishonchnoma bo’yicha bo’lsa FIShni ko’rsating</t>
  </si>
  <si>
    <t xml:space="preserve">Bosh ishonchnoma bo’yicha bo’lsa FIShni ko’rsating qisqacha </t>
  </si>
  <si>
    <t>Notarius manzili (Toshkent shahri, Olmazor tumani)</t>
  </si>
  <si>
    <t>Kim tomonidan berilgan (Notariusning FISh – Eshkabilov X.B.)</t>
  </si>
  <si>
    <t xml:space="preserve">Ishonchnoma reestr raqami </t>
  </si>
  <si>
    <t>Ishonchnoma berilgan sana</t>
  </si>
  <si>
    <t>Avtotransport</t>
  </si>
  <si>
    <t>Ko’chmas mulk</t>
  </si>
  <si>
    <t>1</t>
  </si>
  <si>
    <t>erkak</t>
  </si>
  <si>
    <t xml:space="preserve"> xonalar soni</t>
  </si>
  <si>
    <t>Mikromoliya tashkiloti va Qarz oluvchi</t>
  </si>
  <si>
    <t>reestr raqami</t>
  </si>
  <si>
    <t>uy</t>
  </si>
  <si>
    <t>xonadon</t>
  </si>
  <si>
    <t>umumiy maydon</t>
  </si>
  <si>
    <t>yer maydoni</t>
  </si>
  <si>
    <t>Kelishish dalolatnomasi raqami</t>
  </si>
  <si>
    <t>Sana</t>
  </si>
  <si>
    <t>Yo’q bo’lsa FIShni ko’rsating</t>
  </si>
  <si>
    <t>Tug’ilgan sanasi (01.10.2011 y.)</t>
  </si>
  <si>
    <t>Garovga beruvchining FISh</t>
  </si>
  <si>
    <t>Avtoni Mijozga ro’yhatga o’tish joyi</t>
  </si>
  <si>
    <t>Mijozni nomidagi Avtomototransport vositasi ro’yhatdan o’tkazilzanligi to’g’risida guvohnoma (ААС №______  __.__.___ y.)</t>
  </si>
  <si>
    <t>Avtomototransport vositasi ro’yhatdan o’tkazilzanligi to’g’risida guvohnomada ko’rsatilganidek nomlanishi</t>
  </si>
  <si>
    <t>Avtomototransport vositasi davlat raqami – Mijozning nomiga</t>
  </si>
  <si>
    <t>Kuzov turi va raqami</t>
  </si>
  <si>
    <t>Kuzov turi</t>
  </si>
  <si>
    <t>Kuzov raqami</t>
  </si>
  <si>
    <t>Dvigatel raqami va shassi raqami</t>
  </si>
  <si>
    <t>Dvigatel</t>
  </si>
  <si>
    <t>shassi</t>
  </si>
  <si>
    <t>Ishlab chiqarilgan yili va rangi</t>
  </si>
  <si>
    <t>rangi</t>
  </si>
  <si>
    <t>Ishlab chiqarilgan yili</t>
  </si>
  <si>
    <t>Kelishilgan garov qiymati</t>
  </si>
  <si>
    <t xml:space="preserve">Tashkilot nomlanishi </t>
  </si>
  <si>
    <t>Ishonchnoma</t>
  </si>
  <si>
    <t>Toshkent shahri, Olmazor tumani, Sagbon ko'chasi, 30 boshi berk, 6-uy</t>
  </si>
  <si>
    <t>ATB “Kapitalbank” Sergeli filiali</t>
  </si>
  <si>
    <t>hujjat asosida</t>
  </si>
  <si>
    <t xml:space="preserve">Manzil </t>
  </si>
  <si>
    <t>h/r</t>
  </si>
  <si>
    <t>Bank MFOsi</t>
  </si>
  <si>
    <t>Bankning nomlanishi</t>
  </si>
  <si>
    <t>STIR</t>
  </si>
  <si>
    <t>Bosh buhgalter FISh</t>
  </si>
  <si>
    <t>Lisenziya raqami</t>
  </si>
  <si>
    <t>Berilgan sanasi</t>
  </si>
  <si>
    <t>Bitimga buyruq raqami</t>
  </si>
  <si>
    <t>Buyruq sanasi</t>
  </si>
  <si>
    <t>Ikkinchi</t>
  </si>
  <si>
    <t>Uchinchi</t>
  </si>
  <si>
    <t>Beshinchi</t>
  </si>
  <si>
    <t>Yettinchi</t>
  </si>
  <si>
    <t>Sakkizinchi</t>
  </si>
  <si>
    <t>Tuqqizinchi</t>
  </si>
  <si>
    <t>Yigirmanchi</t>
  </si>
  <si>
    <t>Yigirma birinchi</t>
  </si>
  <si>
    <t>Yigizma ikkinchi</t>
  </si>
  <si>
    <t>Yigirma uchinchi</t>
  </si>
  <si>
    <t>Yigirma beshinchi</t>
  </si>
  <si>
    <t>KUN TARTIBI:</t>
  </si>
  <si>
    <t>Toshkent shahri</t>
  </si>
  <si>
    <t>MIJOZ HAQIDA MA'LUMOTLAR</t>
  </si>
  <si>
    <t>Mijozning moliyaviy holati</t>
  </si>
  <si>
    <t>Nomi</t>
  </si>
  <si>
    <t>Kelishilgan garov qiymati, so'm</t>
  </si>
  <si>
    <t xml:space="preserve">Toshkent shahri </t>
  </si>
  <si>
    <t>JAMI</t>
  </si>
  <si>
    <t>Shu bilan birga, garov predmetining kelishilgan garov qiymati deganda ushbu mulk garov sifatida taqdim etilgan/qabul qilingan qiymati tushuniladi.</t>
  </si>
  <si>
    <t>1-tomondan:</t>
  </si>
  <si>
    <t>2-tomondan:</t>
  </si>
  <si>
    <t>O'zbekiston Respublikasi fuqarosi</t>
  </si>
  <si>
    <t>MAJBURIYATNOMA</t>
  </si>
  <si>
    <t xml:space="preserve">     Ushbu majburiyatlarimni bajarmagan taqdirimda O'zbekiston Respublikasi jinoyat kodeksining 233-moddasi talablari asosida javobgarlik tog'risida ogohlantrildim. </t>
  </si>
  <si>
    <t>Imzo_____________</t>
  </si>
  <si>
    <t>MIJOZNING ANKETASI</t>
  </si>
  <si>
    <t>1. MIJOZ HAQIDA MA'LUMOTLAR:</t>
  </si>
  <si>
    <t>2. Mijoz bilan ulanich uchun aloqa ma'lumotlari:</t>
  </si>
  <si>
    <t>3. MIJOZNING ISH JOYI HAQIDA MA'LUMOT:</t>
  </si>
  <si>
    <t>4. MIJOZNING OYLIK DAROMADLARI VA XARAJATLARI
HAQIDA MA'LUMOT</t>
  </si>
  <si>
    <t>Daromad manbalari</t>
  </si>
  <si>
    <t>Mijoz</t>
  </si>
  <si>
    <t>Turmush o'rtog'i</t>
  </si>
  <si>
    <t>Boshqa oila a'zolari</t>
  </si>
  <si>
    <t>Xarajatlar</t>
  </si>
  <si>
    <t>Мiqdori</t>
  </si>
  <si>
    <t>ish haqi (asosiy ish)</t>
  </si>
  <si>
    <t>ish haqi (o‘rindoshlik)</t>
  </si>
  <si>
    <t>boshqa daromadlar</t>
  </si>
  <si>
    <t>uy-joy va kommunal xizmatlar uchun to'lov</t>
  </si>
  <si>
    <t>oilaviy xarajatlar</t>
  </si>
  <si>
    <t>boshqa xarajatlar</t>
  </si>
  <si>
    <t>Men, _________________________________________________________________ (to'liq ismi sharifi), ushbu anketadagi barcha ma'lumotlar anketa to'ldirilgan sanada to'g'ri ekanligini tasdiqlayman va ushbu anketaning 1- va 2-bandlarini tan olaman va ularga rozilik bildiraman. 
Mazkur anketaning 4-bo'limida ko'rsatilgan daromadlarim haqidagi ma'lumotlarni qabul qilishingizni va moliyaviy tahlilda foydalanishingizni so’rayman.</t>
  </si>
  <si>
    <t xml:space="preserve">Mijozning to'liq ismi sharifi </t>
  </si>
  <si>
    <t>Imzo</t>
  </si>
  <si>
    <t>ANKETA</t>
  </si>
  <si>
    <t>Mijozning to'liq ismi sharifi</t>
  </si>
  <si>
    <t>Yaqin qarindoshlaringiz orasida ommaviy mansabdor shaxslar bormi?</t>
  </si>
  <si>
    <t>Do'stlaringiz yoki yaqinlaringizdan birontasi ommaviy mansabdor shaxsmi?</t>
  </si>
  <si>
    <t>Yuqoridagi savollardan biriga «Ha» deb javob bergan bo'lsangiz, javobingizni qisqacha tushuntirib bering:</t>
  </si>
  <si>
    <t>Yo'q</t>
  </si>
  <si>
    <t>Siz bank amaliyotlarini amalga oshirishda uchinchi shaxsning manfaatlarini ifodalaysizmi?</t>
  </si>
  <si>
    <t>Agar oldingi savolga «HA» deb javob bergan bo'lsangiz, bank operatsiyalarini bajarich uchun ishonchnomangiz bormi?</t>
  </si>
  <si>
    <t>Agar oldingi savolga «YO'Q» deb javob bergan bo'lsangiz, javobingizni qisqacha tushuntirib bering:</t>
  </si>
  <si>
    <t>Ommaviy mansabdor shaxslar — doimiy, vaqtincha yoki maxsus vakolatli organ tomonidan tayinlangan yoki saylangan, tashkiliy-maʼmuriy funktsiyalarni bajaruvchi hamda xorijiy davlatning qonun chiqaruvchi, ijro etuvchi, maʼmuriy yoki sud organida yoxud xalqaro tashkilotda yuridik ahamiyatga molik harakatlarni amalga oshirishga vakolatli shaxslar, shuningdek xorijiy davlatlar korxonalarining yuqori martabali rahbarlari, taniqli siyosatchilar va xorijiy davlatlar siyosiy partiyalarining taniqli a'zolari.</t>
  </si>
  <si>
    <t>Anketadagi barcha ma'lumotlar to'g'ri, agar o'zgarishlar bo'lsa, men bu haqida xabardor qilish majburiyatini o'z zimmamga olaman.</t>
  </si>
  <si>
    <t>□ O‘zbekiston Respublikasi Markaziy banki huzuridagi kredit axborotining davlat reestri;</t>
  </si>
  <si>
    <t>□ Kredit-axborot tahliliy markazi «O‘zbekiston Respublikasi kredit byurosi» MChJ;</t>
  </si>
  <si>
    <t>□ Garov reestri taqdim etilgan garov mulki haqida.</t>
  </si>
  <si>
    <t>Ariza berilgan kuniga barcha ma'lumotlar ishonchligini tasdiqlab, ushbu arizani imzolayman</t>
  </si>
  <si>
    <t>yashash maydoni</t>
  </si>
  <si>
    <t>oktyabr</t>
  </si>
  <si>
    <t>sentyabr</t>
  </si>
  <si>
    <t xml:space="preserve">ottiz yetti million besh yuz ming </t>
  </si>
  <si>
    <t>ha</t>
  </si>
  <si>
    <t>Protokol raqami</t>
  </si>
  <si>
    <t>Savol raqami</t>
  </si>
  <si>
    <t>Savol raqami qol bilan</t>
  </si>
  <si>
    <t>QAROR QILADI:</t>
  </si>
  <si>
    <t>Qaror bir ovozdan qabul qilindi.</t>
  </si>
  <si>
    <t>1. SHARTNOMA PREDMETI</t>
  </si>
  <si>
    <t>3.3. Asosiy qarzni, foizlar yoki ushbu shartnoma bo‘yicha belgilangan muddatdan kechiktirilganligi bo‘yicha penyalarni qaytarish muddati kechiktirilishi yuzaga kelganda va/yoki ushbu shartnoma bo‘yicha boshqa majburiyatlar buzilishi holatlarida Mikromoliya tashkiloti O‘zbekiston Respublikasining amaldagi qonunchiligiga muvofiq qarzni undirish uchun qaytarib olinmaydigan va muqarrar tartibda unidirishni garov ob'ektiga qaratish huquqiga ega bo‘ladi.</t>
  </si>
  <si>
    <t>To'lov jadvali</t>
  </si>
  <si>
    <t>To'lov muddati</t>
  </si>
  <si>
    <t xml:space="preserve"> Asosiy qarz qoldig'i  </t>
  </si>
  <si>
    <t>To'lov miqdori, so'm</t>
  </si>
  <si>
    <t xml:space="preserve"> asosiy qarz</t>
  </si>
  <si>
    <t>foizlar</t>
  </si>
  <si>
    <t>jami*</t>
  </si>
  <si>
    <t>«Mikromoliya tashkiloti »</t>
  </si>
  <si>
    <t>Sana:</t>
  </si>
  <si>
    <t>dan</t>
  </si>
  <si>
    <t>Garov sifatida quyida ko’rsatilgan mulk qabul qilinadi:</t>
  </si>
  <si>
    <t xml:space="preserve">Garovga qo‘yilgan mol-mulkni ko‘zdan kechirish natijasida ushbu mulk qoniqarli holatda ekanligi ma’lum bo‘ldi va bu haqida mazkur dalolatnoma tuzildi </t>
  </si>
  <si>
    <t>Monitoring bo'limi boshlig'i</t>
  </si>
  <si>
    <t>Jismoniy shaxs, qarzdor</t>
  </si>
  <si>
    <t>«Qarz oluvchi»</t>
  </si>
  <si>
    <t>«Mikromoliya tashkiloti»</t>
  </si>
  <si>
    <t>11.7. Ushbu Shartnoma o’zbek tilida 2 (ikki) nusxada tuzildi va ikkala nusxa xam teng yuridik kuchga ega.</t>
  </si>
  <si>
    <t>11.6. Qarz oluvchi Mikromoliya tashkilotining oldindan yozma roziligini olmasdan turib o‘z majburiyatlari yoki huquqlarini uchinchi shaxslarga o‘tkaza olmaydi.</t>
  </si>
  <si>
    <t>11.5. Ushbu shartnomada ko‘zda tutilmagan holatlarda Tomonlar O‘zbekiston Respublikasining amaldagi qonunchiligiga amal qiladilar.</t>
  </si>
  <si>
    <t>11.4. Ushbu bitimni amalga oshirish bilan, Qarz oluvchi kelishuvning muhimligi va uni tuzishning yuridik oqibatlarini to‘liq tushunib yetishi, shu sababli Shartnomani tuzish yanglishishlar, aldov, zo‘ravonlik, tahdidlar, yomon niyatli bitim yoki murakkab holatlar (tutqinlik) ta'sirida emasligini tasdiqlaydi.</t>
  </si>
  <si>
    <t>11.3. Ushbu shartnomani bajarish uchun zarur bo‘lgan ismi (nomlanishi), ro‘yxatdan o‘tgan joyi, haqiqiy yashash joyi, manzili (joylashgan yeri), bank rekvizitlari va boshqa ma'lumotlar o‘zgargan holatlarda, Tomonlarning har biri bunday o‘zgarishlar amalga oshgan kundan boshlab 5 (besh) kalendar kun ichida boshqa Tomonni bunday o‘zgarishlar haqida yozma ravishda xabardor qilishi shart.</t>
  </si>
  <si>
    <t xml:space="preserve">11.2. Ushbu shartnomani bajarish, o‘zgartirish va bekor qilish bilan bog‘liq barcha yozishma va xabarnomalar Tomonlarning ushbu shartnomaning yakuniy qismida ko‘rsatilgan pochta manzillariga yuboriladi. </t>
  </si>
  <si>
    <t>11.1. Ushbu shartnoma kuchga kirganidan keyin, o‘zaro munosabatlarga aloqador barcha yozishmalar yoki kelishuvlar, o‘z kuchini yo‘qotadi.</t>
  </si>
  <si>
    <t>11. BOSHQA SHARTLAR</t>
  </si>
  <si>
    <t>10.3. Qarz oluvchi, shuningdek, Mikromoliya tashkiloti shartnoma doirasida olingan ma'lumotlarni kredit byurosi va garov reestri, skoring kompaniyasi, uyali aloqa operatori, sug‘urta kompaniyasi, reklama ishlab chiqaruvchilari va tarqatuvchilari, shuningdek Mikromoliya tashkilotining boshqa hamkorlariga taqdim etishga roziligini bildiradi.</t>
  </si>
  <si>
    <t>10.2. Rozilik, shu jumladan shahsiy ma'lumotlar bilan quyidagi harakatlarni amalga oshirishga beriladi: yig‘ish, tizimlashtirish, to‘plash, saqlash, aniqlashtirish (yangilash, o‘zgartirish), foydalanish; O‘zbekiston Respublikasi qonun hujjatlarida nazarda tutilgan hollar va darajada tarqatish, shu jumladan davlat organlari va boshqa tashkilotlarga taqdim etish, shaxsiy ma'lumotlarning egasizlantirish, blokirovka va yo‘q qilish.</t>
  </si>
  <si>
    <t>10.1. Ushbu shartnomani tuzish bilan, Qarz oluvchi Mikromoliya tashkilotiga uning shaxsiy ma'lumotlari, shu jumladan, familiyasi, ismi, otasining ismi, pasport ma'lumotlari (shu jumladan, pasport raqami, berilgan vaqti va sanasi, ro‘yxatdan o‘tgan manzili va boshqalar); aloqaga chiqish uchun ma'lumotlar (shu jumladan, telefon raqami, e-mail, pochta manzili va boshqalar); STIR, ushbu shartnoma maqsadiga tegishli bo‘lgan boshqa ma'lumotlarni har qanday maqsadda ishlov berishga rozilik beradi.</t>
  </si>
  <si>
    <t>10. SHAXSIY MA'LUMOTLARNI QAYTA ISHLASH</t>
  </si>
  <si>
    <t>9.3. Ushbu Shartnomaga kiritiladigan barcha o‘zgartirish va qo‘shimchalar, ushbu Shartnomada kelishilgan holatlardan tashqari, ikkala Tomon tarafidan qo‘shimcha bitimni yozma shaklda imzolagan holda amalga oshiriladi.</t>
  </si>
  <si>
    <t>9.1. Ushbu Shartnoma Tomonlar tarafidan imzolangandan keyin kuchga kiradi.</t>
  </si>
  <si>
    <t>9. SHARTNOMA SHARTLARI VA AMAL QILISH MUDDATI</t>
  </si>
  <si>
    <t>8. NIZOLARNI HAL QILISH TARTIBI</t>
  </si>
  <si>
    <t>7.4. Fors-major holati boshlanganligini vaj qilib ko‘rsatish huquqidan mahrum etilgan Tomon amaldagi qonun hujjatlariga muvofiq javobgar bo‘ladi.</t>
  </si>
  <si>
    <t>7.3. Fors-major holati boshlanganligi to‘g‘risida xabar qilmaslik yoki o‘z vaqtida xabar bermaslik fors-major holati boshlanganda Shartnoma bo‘yicha o‘z majburiyatlarini bajarish imkoniyatiga vaj qilib keltirish huquqiga ega emas.</t>
  </si>
  <si>
    <t>7.1. Agar Tomonlar ular zimmasidagi majburiyatlarni tegishli darajada bajarishi yengib bo‘lmas kuch (fors-major) oqibatida mumkin bo‘lmay qolgan bo‘lsa, ya'ni aniq vaqt davri davomida aniq sharoitlarda favqulodda va oldini olib bo‘lmaydigan holatlar ekanligini isbotlay olmasalar, Shartnoma bo‘yicha o‘z majburiyatlarini bajarmagan yoki tegishli darajada bajarmagan Tomon uning shartlarini bajarishda javobgar hisoblanadi. Ushbu Shartnoma Tomonlari yengilmas kuch holatlariga quyidagilarni kiritadi: tabiiy ofat (zilzila, suv toshqini, chaqmoq chaqishi, vulqon otilishi, sel kelishi, ko‘chki, sunami va hokazo), Shartnoma bo‘yicha majburiyatlar bajarilish joyida temperatura – harorat, shamol kuchi va yog‘ingarchilik darajasining inson hayotiy faoliyati normasidan ortiq bo‘lishi; hokimiyat va boshqaruv organlari moratoriysi; qonuniy belgilangan tartibda tashkil etilgan ish tashlashlar va majburiyatlarning tegishli darajada bajarilishi uchun Shartnoma Tomonlari tarafidan yengib bo‘lmas kuch sifatida belgilangan boshqa holatlar.</t>
  </si>
  <si>
    <t>7. FORS-MAJOR</t>
  </si>
  <si>
    <t>6.4. Tomonlar O‘zbekiston Respublikasi Fuqarolik kodeksining 325-moddasiga muvofiq aybdor tomondan yetkazilgan zararni neustoykadan tashqari to‘la hajmda undirish huquqiga egadirlar.</t>
  </si>
  <si>
    <t>6.3. Tomonlarning ushbu Shartnomada nazarda tutilmagan javobgarligi O‘zbekiston Respublikasining amaldagi qonunchiligiga muvofiq belgilanadi.</t>
  </si>
  <si>
    <t>6.2. Jarima sanksiyalarni to‘lash Tomonlarni ushbu Shartnomada ko‘zda tutilgan zimmalaridagi majburiyatlarini bajarishdan ozod qilmaydi.</t>
  </si>
  <si>
    <t>6. TOMONLARNING JAVOBGARLIGI</t>
  </si>
  <si>
    <t>5.2. Qarz oluvchining majburiyatlari:</t>
  </si>
  <si>
    <t>5.1. Qarz oluvchi quyidagi huquqlarga ega:</t>
  </si>
  <si>
    <t>5. QARZ OLUVCHINING HUQUQ VA MAJBURIYATLARI</t>
  </si>
  <si>
    <t>4.1.9. Istalgan vaqtda Qarz oluvchining avvaldan roziligini olmasdan turib ushbu Shartnoma bo‘yicha uchinchi tomonga da'vo qilish huquqini berish yoki uning foydasiga voz kechish.</t>
  </si>
  <si>
    <t>4.1.6. Qonun hujjatlariga muvofiq, Qarz oluvchi tomonidan ushbu Shartnoma bo‘yicha asosiy qarz, foizlar, penya va boshqa pul majburiyatlarini o‘z vaqtida to‘lamaslik holatlarida Qarz oluvchining bank hisobvaraqlaridagi pul mablag‘larini akseptsiz tartibda yechib olish to‘g‘risida to‘lov talabnomasini berish va bunga Qarz oluvchi qaytarib olinmaydigan va so‘zsiz rozilik bildiradi.</t>
  </si>
  <si>
    <t>4.1.5. Garovga qo‘yuvchi tomonidan garovga qo‘yilgan mol-mulk buzilgan yoki belgilangan maqsadda foydalanish uchun yaroqsiz holga kelganda, bu esa Mikromoliya tashkilotining ushbu Shartnoma bo‘yicha moliyaviy talablarini qondirishga qodir bo‘lgan bozor qiymatiga ma'lum darajada ta'sir ko‘rsatganda, yoki uchinchi shaxsning (kafil) moliyaviy holatining yomonlashuvi sababli ushbu Shartnomadan kelib chiqqan majburiyatlar bo‘yicha javob berish qobiliyatiga ega bo‘lmay qolgan holatlarda Qarz oluvchidan ta'minotning qo‘shimcha turini taqdim etish yoki almashtirishni talab qilish.</t>
  </si>
  <si>
    <t>4.1.4. Qarz oluvchi tomonidan yoki ushbu Shartnoma bo‘yicha uchinchi shaxs tomonidan ta'minot sifatida garovga qo‘yilgan mol-mulkning tegishli holatdaligi va ulardan foydalanish bo‘yicha tekshiruvlar o‘tkazish.</t>
  </si>
  <si>
    <t>4.1.3. Ushbu shartnomaning amal qilish jarayonida Qarz oluvchining moliyaviy holatini tekshirish va Qarz oluvchi tomonidan o‘z zimmasiga olgan majburiyatlarning bajarilishini nazorat qilish.</t>
  </si>
  <si>
    <t>4.1. Mikromoliya tashkiloti quyidagi huquqlarga ega:</t>
  </si>
  <si>
    <t>4. MIKROMOLIYA TASHKILOTINING HUQUQ VA MAJBURIYATLARI</t>
  </si>
  <si>
    <t>3.4. O‘zbekiston Respublikasi "Garov to‘g‘risida" gi Qonunining 27-moddasiga muvofiq Garov predmeti sug‘urtalanmaydi. Lekin Mikromoliya tashkiloti Qarz oluvchidan Mikromoliya tashkiloti foydasiga Garov obʼektini ushbu Shartnomaning to‘liq amal qilish muddatiga har turli xavflardan sug‘urta qilishni talab qilish huquqiga ega. Bunda, sug‘urta xavflari ro‘yxati, shuningdek, sug‘urta kompaniyasi Mikromoliya tashkilotining xohishiga ko‘ra belgilanadi. Sug‘urta hodisasi yuz berganda Foyda oluvchi Mikromoliya tashkiloti bo‘lishi kerak.</t>
  </si>
  <si>
    <t>a) ta'minotisiz qarzdorlik yuzaga kelganda;</t>
  </si>
  <si>
    <t>с) Qarz oluvchini qonun hujjatlarida belgilangan tartibda to‘lov qobiliyatiga ega emas, muomalaga layoqatli emas yoki muomalaga layoqati cheklangan deb e'lon qilish;</t>
  </si>
  <si>
    <t>d) Mikromoliya tashkilotiga ushbu Shartnomaning 3.1.-bandida ko‘zda tutilgan hisobotlar, axborotlar va boshqa ma'lumotlarni o‘z vaqtida taqdim etmaslik, shuningdek, moliya-xo‘jalik faoliyat va daromad to‘g‘risidagi hisobotning ishonchsizligi holatlari aniqlanganda;</t>
  </si>
  <si>
    <t>e) Qarz oluvchi tomonidan ushbu shartnoma shartlariga amal qilmaslik;</t>
  </si>
  <si>
    <t>4.1.8. Ushbu shartnoma doirasida o‘z majburiyatlarini bajarish uchun uchinchi shaxslarga barcha zarur ma'lumotlarni yetkazish.</t>
  </si>
  <si>
    <t>5.1.5. Shartnoma bo‘yicha Mikromoliya tashkilotining majburiyatlarini bajarmaslik yoki tegishli darajada bajarmaslik natijasida yuzaga kelgan zararlarni qoplashni talab qilish.</t>
  </si>
  <si>
    <t>5.2.2. Ushbu shartnomada nazarda tutilgan hollarda garov ta'minotini almashtirish yoki qo‘shimcha ta'minot turini taqdim etish bo‘yicha Mikromoliya tashkiloti talablarini bajarish.</t>
  </si>
  <si>
    <t>5.2.5. Qarz oluvchining moliyaviy ahvoli yomonlashuvi va ushbu shartnoma bo‘yicha Qarz oluvchining Mikromoliya tashkiloti oldidagi majburiyatlarining bajarilmasligi va/yoki tegishli darajada bajarilmaslik xavfi yuzaga kelishiga olib keluvchi hech qanday majburiyat va choralarni o‘z zimmasiga olmaslik;</t>
  </si>
  <si>
    <t>Qarzni undirish va garovdagi mol-mulkiga qaratish ham sud tartibida, ham suddan tashqari tartibda, shu jumladan notariusning ijro yozuvini olish yo‘li bilan amalga oshirilishi mumkin.</t>
  </si>
  <si>
    <t>12. TOMONLARNING YURIDIK MANZILLARI VA REKVIZITLARI:</t>
  </si>
  <si>
    <t xml:space="preserve">                  Anketa kredit menejeri tomonidan mijozning javoblarini kiritish orqali to'ldiriladi, kerak bo'lganda, Mijoz tomonidan tanlangan javob variantlarini belgilash orqali amalga oshiriladi</t>
  </si>
  <si>
    <t xml:space="preserve">     </t>
  </si>
  <si>
    <t>xizmat</t>
  </si>
  <si>
    <t>boshqa</t>
  </si>
  <si>
    <t>2.4.1 Qarz oluvchining xisob raqamlaridan shartnomaning 4.1.2 bandida ko‘rsatilgan tartibda yechib olingan pul mablag‘lari yechib olinganidan so‘ng mijoz tomonidan kredit qarzdorligini so‘ndirish uchun bank kassalari orqali to‘langan pul mablag‘lari yoki mijoz tomonidan kredit qarzdorligini so‘ndirish uchun bank kassalari orqali to‘langandan so‘ng qarz oluvchining xisob raqamlaridan shartnomaning 4.1.2 bandida ko‘rsatilgan tartibda yechib olingan pul mablag‘larining bir oylik kredit to‘lovini so‘ndirishga yo‘naltirilgan miqdoridan ortiqcha qismi qarz oluvchining to‘lov amalga oshirilgan kundan boshlab 3 bank ish kuni ichida yo‘llagan arizasiga asosan qarz oluvchiga qaytarilishi mumkun.
2.5. Foizlar To‘lov jadvaliga muvofiq asosiy qarzni qaytarish uchun belgilangan sanada to‘lanadi.
2.5.1 Qarz oluvchi tomonidan shartnomaning 2.4 bandida ko‘rsatilgan muddatda ortiqcha to‘langan pul mablag‘larini qaytarish to‘g‘risida ariza berilmagan taqdirda to‘langan ortiqcha pul mablag‘lari mijozning asosiy qarzdorligini so‘ndirishga yo‘naltiriladi.</t>
  </si>
  <si>
    <t>(imzo)</t>
  </si>
  <si>
    <t>ayol</t>
  </si>
  <si>
    <t>Irgasheva O.P.</t>
  </si>
  <si>
    <t xml:space="preserve">2.6 Qarz oluvchi tomonidan to‘lov jadvalida ko‘rsatilgan muddatdan oldin xamda to‘lov jadvalida ko‘rsatilgan oylik kredit qarzdorligini so‘ndirish miqdoridan ko‘p miqdorda to‘lovni amalga oshirib, to‘langan pul mablag‘larini asosiy kredit qarzdorligini so‘ndirishga yo‘naltirilishini so‘ralganda qarz oluvchining kredit qarzdorligini so‘ndirish uchun to‘lagan pul mablag‘laridan kredit qarzdorligi to‘langan oy uchun to‘lov jadvali bo‘yicha so‘ndirilishi lozim bo‘lgan foiz qarzdorligi summasi, to‘lov jadvalida foiz qarzdorligi so‘ndirilishi ko‘rsatilgan muddatga qadar tashkilotning xisob raqamida saqlanib to‘lov jadvalida ko‘rsatilgan sanada oylik foiz qarzdorligini so‘ndirishga yo‘naltiriladi.
2.6.1. Qarz oluvchi tomonidan olingan </t>
  </si>
  <si>
    <t>ni va undan foydalanganlik uchun foizlarni qaytarish bo‘yicha muddati o‘tgan qarzdorlik hosil bo‘lganda Qarz oluvchi tomonidan ko‘rsatilgan qarzdorlikni to‘lash hisobiga to‘lanadigan summalar quyidagi tartibda hisobga olinadi:</t>
  </si>
  <si>
    <t>"&amp;'Общие данные'!B59&amp;"</t>
  </si>
  <si>
    <t xml:space="preserve"> berishni rad etish va / yoki ushbu shartnomani bir tomonlama bekor qilish huquqiga egadir. Bunda ushbu shartnoma Qarz oluvchi tomonidan talabnoma olingan vaqtda yoki talabnoma pochta  xizmati orqali yuborilgandan keyin uchinchi kuni bekor qilingan hisoblanadi.</t>
  </si>
  <si>
    <t xml:space="preserve"> holatlarda, bu haqda Qarz oluvchini yozma ravishda xabardor qilib, Shartnoma bir tomonlama bekor qilish. Yozma xabarni jo‘natish sanasi uni taqdim etish yoki pochta orqali jo‘natish sanasi hisoblanadi.</t>
  </si>
  <si>
    <t>5.2.4. Mikromoliya tashkiloti vakillariga o‘zlarining moliyaviy holati, yashash joyini tekshirishga, Mikromoliya tashkiloti foydasiga garovga qo‘yilgan mol-mulk saqlanishini tekshirishga ruxsat berish, shuningdek Qarz oluvchi ob'ektlaridan istalganiga tashrif buyurish va har qanday bino, inshoot, mol-mulk, asbob-uskunalar, tovarlar va xizmatlar, shuningdek ularning</t>
  </si>
  <si>
    <t>- Qarz oluvchining moliyaviy holatining yomonlashuvi;
- Garov ob'ekti va/yoki uning bir qismining yo‘q qilinishi, qiymatining pasayishi, qisman yoki to‘liq yo‘qotilishi;
- qarz qaytarilmaslik xavfini ko‘paytiruvchi boshqa omillarning paydo bo‘lishi;</t>
  </si>
  <si>
    <t xml:space="preserve"> qarzdorlikni majburiy va/yoki muddatidan oldin qaytarish bo‘yicha qabul qilingan choralar bilan bog‘liq bo‘lgan barcha xarajatlari va zararlarni qoplash, shuningdek ushbu shartnoma doirasida unidruvni taqdim etilgan garov ta'minotiga qaratish.</t>
  </si>
  <si>
    <t xml:space="preserve">6.1. Mikromoliya tashkiloti tomonidan Qarz oluvchiga pul mablag‘larini ajratib berish bo‘yicha o‘z zimmasiga olgan majburiyatlarning Shartnomaning 1.1.-bandida keltirilgan summa va muddatlarda bajarilmaslik yoki tegishli tarzda bajarilmaslik holatlarida Mikromoliya tashkiloti muddatidan o‘tgan har bir kalendar kun uchun kechiktirilgan to‘lov summasining 0,1% miqdorida, biroq ushbu Shartnomaning 1.1.-bandida ko‘rsatilgan </t>
  </si>
  <si>
    <t>7.2. Fors-major holati ta'sirida qolgan Tomon, bunday holatlar yuzaga kelgan kundan boshlab 7 (etti) kalendar kundan kechiktirmasdan boshqa Tomonni xabardor qilishi shart.</t>
  </si>
  <si>
    <t>Yakka tartibdagi tadbirkor</t>
  </si>
  <si>
    <t>27-13/555</t>
  </si>
  <si>
    <t>22.07.2022 y.</t>
  </si>
  <si>
    <t>Imtiyozli davr</t>
  </si>
  <si>
    <t>HA BO'LSA TEGMANG</t>
  </si>
  <si>
    <t>FAQAT YO'Q BO'LSA KO'RSATING</t>
  </si>
  <si>
    <t>O'Z O'ZINI BAND QILGAN FUQARO</t>
  </si>
  <si>
    <t>O'Z O'ZINI BAND QILGAN BO'LSA, MA'LUMOTNOMA KIRITING</t>
  </si>
  <si>
    <t>AGAR O'Z O'ZINI BAND QILGAN FUQARO BO'LSA FAOLIYAT TURINI KIRITING</t>
  </si>
  <si>
    <t>MMT BO’YICHA MA’LUMOTLAR</t>
  </si>
  <si>
    <t>Siz ommaviy mansabdor shaxsmisiz?</t>
  </si>
  <si>
    <t>3.2. Qonun hujjatlariga muvofiq rasmiylashtirilgan, “Garov predmeti” hisoblangan notarial tasdiqlangan garov shartnomasi, shu jumladan “Garov predmeti”ga taʼqiq quyilganligi tasdiqlovchi xujjat Qarz oluvchi tomonidan ushbu shartnoma tuzilgandan so‘ng 10 bank kuni mobaynida</t>
  </si>
  <si>
    <t>8.1. Ushbu Shartnomadan kelib chiqadigan tomonlar o‘rtasidagi barcha nizolar va undan kelib chiqadigan majburiyatlar, shu jumladan shartnoma bajarilmasligi oqibatida yuzaga kelgan bajarilishi, o‘zgartirilishi, bekor qilinishi, tugatilishi Mikromoliya tashkilot joylashgan yerdagi taalluqli sudda yoki «CONSILIO» Mas'uliyati cheklangan jamiyat qoshidagi Hakamlik sudida, O‘zbekiston Respublikasining amaldagi qonun hujjatlari va uning reglamentiga muvofiq Hakamlik sudi raisi tomonidan tayinlangan, yakka tartibdagi hakamlik sudyasi tomonidan, sud ishlarini sud majlisi bayonnomasi tuzmasdan ko‘rib chiqilishi kerak bo‘ladi. U yoki bu sudga murojaat qilish huquqi da'vogarda qoladi.</t>
  </si>
  <si>
    <t>O'ninchi</t>
  </si>
  <si>
    <t>O'n birinchi</t>
  </si>
  <si>
    <t>O'n ikkinchi</t>
  </si>
  <si>
    <t>O'n uchinchi</t>
  </si>
  <si>
    <t>O'n beshinchi</t>
  </si>
  <si>
    <t>O'n oltinchi</t>
  </si>
  <si>
    <t>O'n yettinchi</t>
  </si>
  <si>
    <t>O'n sakkizinchi</t>
  </si>
  <si>
    <t>O'n tuqqizinchi</t>
  </si>
  <si>
    <t>Yigirma to'rtinchi</t>
  </si>
  <si>
    <t>To'rtinchi</t>
  </si>
  <si>
    <t>O'ltinchi</t>
  </si>
  <si>
    <t>O'n to'rtinchi</t>
  </si>
  <si>
    <t>F.I.SH.</t>
  </si>
  <si>
    <t>F.I.SH. (QISQA)</t>
  </si>
  <si>
    <t>Pozitsiyasi</t>
  </si>
  <si>
    <t>- jarima sanksiyalarni to‘lash;
- to‘lov muddati o‘tgan foizlarni to‘lash;
- to‘lov muddati o‘tgan asosiy qarzni to‘lash;
- muddatli qarz bo‘yicha hisoblangan foizlarni to‘lash;
- muddatli asosiy qarzni to‘lash;
- Mikromoliya tashkilotning boshqa zararlarini qoplash.</t>
  </si>
  <si>
    <t>GRAFIKTA BO'SH JOY BO'LSA SKRIT' QILIB TASHLANG!!!</t>
  </si>
  <si>
    <t>Monitoring bo’limi boshlig’i</t>
  </si>
  <si>
    <t xml:space="preserve"> masala yuzasidan berilgan ma’lumotlarni muhokama qilib, Kredit qo‘mitasi a’zolariga taqdim etilgan zarur hujjatlarni o‘rganib, majlisda ishtirok etgan Kredit qo‘mitasi a’zolarining taklif va mulohazalarini inobatga olgan holda </t>
  </si>
  <si>
    <t>«CLEVER MIKROMOLIYA TASHKILOTI» MChJ</t>
  </si>
  <si>
    <t>37,39</t>
  </si>
  <si>
    <t>16.12.2020 yildan №14:13:02:01:03:1179:0006:058</t>
  </si>
  <si>
    <t>13.12.2020 yildan 1718238/R-A1419303</t>
  </si>
  <si>
    <t>№ kadastr raqami</t>
  </si>
  <si>
    <t>Foydalanishga topshirilgan yili</t>
  </si>
  <si>
    <t xml:space="preserve"> sanasidan</t>
  </si>
  <si>
    <t>`</t>
  </si>
  <si>
    <t>i</t>
  </si>
  <si>
    <t>yu</t>
  </si>
  <si>
    <t xml:space="preserve"> summasini berilishini to‘liq yoki qisman rad etish.
4.1.2 “Mikromoliya Tashkiloti” qarz oluvchining nomidagi barcha plastik kartalaridan, xozirgi kunda mavjud va bundan so‘ng ochiladigan barcha xisob raqamlaridan (talab qilib olguncha, depozit jamg‘arib boriladigan plastik va boshqa istalgan xisob raqamlaridan) kredit to‘lovini kredit qaytarish jadvaliga asosan oyning kredit qarzdorligi qaytarilishi ko‘rsatilgan kuni akseptsiz tarzda yechib olish xuquqiga ega.Usbu bandda belgilangan harakatlarni amalga oshirish uchun bo‘lgan barcha xarajatlar Qarz oluvchi xisobidan qoplanadi</t>
  </si>
  <si>
    <t>60</t>
  </si>
  <si>
    <t>Oltmish</t>
  </si>
  <si>
    <t>Йиллик фойз 50 фойздан утиб кетмаслиги керак</t>
  </si>
  <si>
    <t>100</t>
  </si>
  <si>
    <t>bir yuz</t>
  </si>
  <si>
    <t>BUXORO SHAHRI</t>
  </si>
  <si>
    <t>Kreditlash bo’limi boshlig’i</t>
  </si>
  <si>
    <t>B. Mominov</t>
  </si>
  <si>
    <t>N. Abduraximov</t>
  </si>
  <si>
    <t>Imzolaganlar ro'yxati:</t>
  </si>
  <si>
    <t>N.Abduraximovga</t>
  </si>
  <si>
    <t>ARIZA</t>
  </si>
  <si>
    <t xml:space="preserve"> Mikroqarz shartnomasining bir nusxasini oldim ____________</t>
  </si>
  <si>
    <t>Mijoz plastik kartasi parametrlari</t>
  </si>
  <si>
    <t xml:space="preserve">2312 0000 7000 1200 0000 </t>
  </si>
  <si>
    <t>Karta raqami:</t>
  </si>
  <si>
    <t>Bank nomi:</t>
  </si>
  <si>
    <t>H/r:</t>
  </si>
  <si>
    <t>MFO:</t>
  </si>
  <si>
    <t>STIR:</t>
  </si>
  <si>
    <t>________________</t>
  </si>
  <si>
    <t>sana</t>
  </si>
  <si>
    <t>_____________</t>
  </si>
  <si>
    <r>
      <t xml:space="preserve">Qancha yurgan </t>
    </r>
    <r>
      <rPr>
        <b/>
        <sz val="11"/>
        <color rgb="FFFF0000"/>
        <rFont val="Arial"/>
        <family val="2"/>
        <charset val="204"/>
      </rPr>
      <t>ANIQ KIRITING</t>
    </r>
  </si>
  <si>
    <r>
      <rPr>
        <b/>
        <sz val="11"/>
        <color theme="1"/>
        <rFont val="Times New Roman"/>
        <family val="1"/>
        <charset val="204"/>
      </rPr>
      <t>B</t>
    </r>
    <r>
      <rPr>
        <sz val="11"/>
        <color theme="1"/>
        <rFont val="Times New Roman"/>
        <family val="1"/>
        <charset val="204"/>
      </rPr>
      <t>irinchi</t>
    </r>
  </si>
  <si>
    <t>Ijrochi direktor</t>
  </si>
  <si>
    <t>«CLEVER MIKROMOLIYA TASHKILOTI» MChJ ijrochi direktori</t>
  </si>
  <si>
    <t>XAYATOV OTABEK KURBANOVICH</t>
  </si>
  <si>
    <t>XAYATOV O.K.</t>
  </si>
  <si>
    <t>22.08.1982 y</t>
  </si>
  <si>
    <t>AB 7858443</t>
  </si>
  <si>
    <t>BUXORO VILOYATI KOGON TUMAN IIB</t>
  </si>
  <si>
    <t>BUXORO VILOYATI KOGON TUMANI NIYOZ HOJI QISHLOG'I</t>
  </si>
  <si>
    <t>97 305 82 83 UZI</t>
  </si>
  <si>
    <t>25-MAKTAB, 3-BOG'CHA, XOKIMIYAT</t>
  </si>
  <si>
    <t>88 305 82 89 AYOLI</t>
  </si>
  <si>
    <t>97 705 05 17 O'G'LI</t>
  </si>
  <si>
    <t>o'ttiz ikki</t>
  </si>
  <si>
    <t>01.04.2025</t>
  </si>
  <si>
    <t xml:space="preserve">«Kapital bank» </t>
  </si>
  <si>
    <t>01158</t>
  </si>
  <si>
    <t>207275139</t>
  </si>
  <si>
    <t>5614 6822 1468 2009</t>
  </si>
  <si>
    <t>BUXORO VILOYATI BUXORO SHAHRI ASHXOBOD KO'CHASI 1/3-UY</t>
  </si>
  <si>
    <t>SHARIPOV ZAFAR JO'RABOYEVICH</t>
  </si>
  <si>
    <t>202502386001856</t>
  </si>
  <si>
    <t>BUXORO VILOYATI RO' VA IOB</t>
  </si>
  <si>
    <t>AAG   4517617  20.08.2024y</t>
  </si>
  <si>
    <t>SPARK</t>
  </si>
  <si>
    <t>80Y320AB</t>
  </si>
  <si>
    <t>YENGIL SEDAN</t>
  </si>
  <si>
    <t>XWBMF481EBA580791</t>
  </si>
  <si>
    <t>B10D1606437KC3</t>
  </si>
  <si>
    <t>RAKAMSIZ</t>
  </si>
  <si>
    <t>OQ BELAYA "KASABLANKA"</t>
  </si>
  <si>
    <t>2011</t>
  </si>
  <si>
    <t>A.Xudayberdiyev</t>
  </si>
  <si>
    <t>Xudayberdiyev Alijon Ravshanovich</t>
  </si>
  <si>
    <t>J.Karimov</t>
  </si>
  <si>
    <t>Buxoro filiali boshlig'i</t>
  </si>
  <si>
    <t>№ 687-BR</t>
  </si>
  <si>
    <t>FAYZIYEV JAMSHID KURBONOVICH</t>
  </si>
  <si>
    <t>FAYZIYEV J.K.</t>
  </si>
  <si>
    <t>19.12.1979 y</t>
  </si>
  <si>
    <t>AD 8379834</t>
  </si>
  <si>
    <t>BUXORO VILOYATI BUXORO TUMANI IIB tomonidan 26.08.2024 yilda berilgan</t>
  </si>
  <si>
    <t>BUXORO VILOYATI BUXORO TUMANI XONOBOD MFY XONOBOD QISHLOG'I</t>
  </si>
  <si>
    <t>Mijoz quyidagi majburiyatlarga ega : TOShKENT Sh., "UZSANOATKURILIShBANKI" ATB BOSh OFISI 676 618.00 so`m. Ayni paytda muddati o'tgan qarzdorligi mavjud emas. O‘rtacha oylik to‘lov 175 091.58 so‘mni tashkil qiladi.</t>
  </si>
  <si>
    <t>“CLEVER MIKROMOLIYA TASHKILOTI” MChJ</t>
  </si>
  <si>
    <t>Toshkent sh, Olmazor tumani, Sag’bon ko’chasi 30-tup., 6-uy</t>
  </si>
  <si>
    <t>h/r: 2021 6000 7050 6838 0001, STIR: 306 365 847, MFO: 01042,</t>
  </si>
  <si>
    <t>“Kapitalbank” AKB Sergeli filiali</t>
  </si>
  <si>
    <t>Notarial idoralariga</t>
  </si>
  <si>
    <t>O‘zbekiston Respublikasi</t>
  </si>
  <si>
    <r>
      <t xml:space="preserve">“CLEVER mikromoliya tashkiloti” MChJ </t>
    </r>
    <r>
      <rPr>
        <sz val="11"/>
        <color rgb="FF8C0101"/>
        <rFont val="Times New Roman"/>
        <family val="1"/>
        <charset val="204"/>
      </rPr>
      <t xml:space="preserve">20.03.2025 </t>
    </r>
    <r>
      <rPr>
        <sz val="11"/>
        <color theme="1"/>
        <rFont val="Times New Roman"/>
        <family val="1"/>
        <charset val="204"/>
      </rPr>
      <t xml:space="preserve">yildagi № </t>
    </r>
    <r>
      <rPr>
        <sz val="11"/>
        <color rgb="FF8C0101"/>
        <rFont val="Times New Roman"/>
        <family val="1"/>
        <charset val="204"/>
      </rPr>
      <t>647</t>
    </r>
    <r>
      <rPr>
        <sz val="11"/>
        <color theme="1"/>
        <rFont val="Times New Roman"/>
        <family val="1"/>
        <charset val="204"/>
      </rPr>
      <t>-son mikrokredit shartnomasi bo‘yicha Qarz oluvchi tomonidan majburiyatlarini to‘liq to‘laganligini hisobga olib, yuqorida ko‘rsatilgan mol-mulkni garov ta’minotidan ozod qilishga roziligini beradi.</t>
    </r>
  </si>
  <si>
    <t xml:space="preserve">          «CLEVER MIKROMOLIYA</t>
  </si>
  <si>
    <t xml:space="preserve">     Ijrochi: B.T.Jumanazarov </t>
  </si>
  <si>
    <t xml:space="preserve">     Tel: (78) 113 31 33</t>
  </si>
  <si>
    <t xml:space="preserve">     Hujjat elektron raqamli imzo bilan tasdiqlangan. "Elektron raqamli imzo to‘g‘risida"gi Qonunning 7-moddasiga asosan elektron raqamli imzo va qo‘lda qo‘yilgan imzo bir xil ahamiyatga ega. Hujjatning haqqoniyligini tekshirish uchun QR-kodni skanerlang.</t>
  </si>
  <si>
    <t xml:space="preserve">          TASHKILOTI» MChJ ijrochi direktori</t>
  </si>
  <si>
    <t>05.04.2025 yildagi</t>
  </si>
  <si>
    <t>Xat raqami</t>
  </si>
  <si>
    <t>Xat sanasi</t>
  </si>
  <si>
    <t>№ 02/04-001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</si>
</sst>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 #,##0_-;_-* &quot;-&quot;_-;_-@_-"/>
    <numFmt numFmtId="43" formatCode="_-* #,##0.00_-;\-* #,##0.00_-;_-* &quot;-&quot;??_-;_-@_-"/>
    <numFmt numFmtId="164" formatCode="_-* #,##0.00\ _₽_-;\-* #,##0.00\ _₽_-;_-* &quot;-&quot;??\ _₽_-;_-@_-"/>
    <numFmt numFmtId="165" formatCode="[$-F800]dddd\,\ mmmm\ dd\,\ yyyy"/>
    <numFmt numFmtId="166" formatCode="_-* #,##0.0000\ _₽_-;\-* #,##0.0000\ _₽_-;_-* &quot;-&quot;??\ _₽_-;_-@_-"/>
    <numFmt numFmtId="167" formatCode="_-* #,##0.000\ _₽_-;\-* #,##0.000\ _₽_-;_-* &quot;-&quot;??\ _₽_-;_-@_-"/>
    <numFmt numFmtId="168" formatCode="ddd"/>
    <numFmt numFmtId="169" formatCode="dd\.mm\.yyyy"/>
    <numFmt numFmtId="170" formatCode="_-* #\ ##0.00_-;\-* #\ ##0.00_-;_-* &quot;-&quot;??_-;_-@_-"/>
  </numFmts>
  <fonts count="55">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scheme val="minor"/>
    </font>
    <font>
      <sz val="11"/>
      <color theme="1"/>
      <name val="Arial"/>
      <family val="2"/>
      <charset val="204"/>
    </font>
    <font>
      <b/>
      <sz val="11"/>
      <color theme="1"/>
      <name val="Arial"/>
      <family val="2"/>
      <charset val="204"/>
    </font>
    <font>
      <sz val="12"/>
      <color theme="1"/>
      <name val="Times New Roman"/>
      <family val="1"/>
      <charset val="204"/>
    </font>
    <font>
      <b/>
      <sz val="12"/>
      <color theme="1"/>
      <name val="Times New Roman"/>
      <family val="1"/>
      <charset val="204"/>
    </font>
    <font>
      <b/>
      <u/>
      <sz val="9"/>
      <name val="Arial"/>
      <family val="2"/>
      <charset val="204"/>
    </font>
    <font>
      <b/>
      <sz val="9"/>
      <name val="Arial"/>
      <family val="2"/>
      <charset val="204"/>
    </font>
    <font>
      <sz val="11"/>
      <color theme="1"/>
      <name val="Times New Roman"/>
      <family val="1"/>
      <charset val="204"/>
    </font>
    <font>
      <b/>
      <sz val="11"/>
      <color theme="1"/>
      <name val="Times New Roman"/>
      <family val="1"/>
      <charset val="204"/>
    </font>
    <font>
      <b/>
      <sz val="10"/>
      <color theme="1"/>
      <name val="Times New Roman"/>
      <family val="1"/>
      <charset val="204"/>
    </font>
    <font>
      <sz val="10"/>
      <color theme="1"/>
      <name val="Times New Roman"/>
      <family val="1"/>
      <charset val="204"/>
    </font>
    <font>
      <i/>
      <sz val="11"/>
      <color theme="1"/>
      <name val="Times New Roman"/>
      <family val="1"/>
      <charset val="204"/>
    </font>
    <font>
      <b/>
      <u/>
      <sz val="11"/>
      <color theme="1"/>
      <name val="Times New Roman"/>
      <family val="1"/>
      <charset val="204"/>
    </font>
    <font>
      <b/>
      <sz val="48"/>
      <color theme="1"/>
      <name val="Times New Roman"/>
      <family val="1"/>
      <charset val="204"/>
    </font>
    <font>
      <b/>
      <u/>
      <sz val="18"/>
      <color theme="1"/>
      <name val="Times New Roman"/>
      <family val="1"/>
      <charset val="204"/>
    </font>
    <font>
      <b/>
      <sz val="16"/>
      <color theme="1"/>
      <name val="Times New Roman"/>
      <family val="1"/>
      <charset val="204"/>
    </font>
    <font>
      <b/>
      <u/>
      <sz val="20"/>
      <color theme="1"/>
      <name val="Times New Roman"/>
      <family val="1"/>
      <charset val="204"/>
    </font>
    <font>
      <sz val="11"/>
      <color theme="0"/>
      <name val="Times New Roman"/>
      <family val="1"/>
      <charset val="204"/>
    </font>
    <font>
      <sz val="11"/>
      <name val="Arial"/>
      <family val="2"/>
      <charset val="204"/>
    </font>
    <font>
      <sz val="11"/>
      <name val="Times New Roman"/>
      <family val="1"/>
      <charset val="204"/>
    </font>
    <font>
      <sz val="12"/>
      <name val="Times New Roman"/>
      <family val="1"/>
      <charset val="204"/>
    </font>
    <font>
      <sz val="11"/>
      <color rgb="FFFF0000"/>
      <name val="Arial"/>
      <family val="2"/>
      <charset val="204"/>
    </font>
    <font>
      <b/>
      <i/>
      <sz val="11"/>
      <color theme="1"/>
      <name val="Times New Roman"/>
      <family val="1"/>
      <charset val="204"/>
    </font>
    <font>
      <b/>
      <i/>
      <sz val="12"/>
      <color theme="1"/>
      <name val="Times New Roman"/>
      <family val="1"/>
      <charset val="204"/>
    </font>
    <font>
      <b/>
      <sz val="36"/>
      <color theme="1"/>
      <name val="Times New Roman"/>
      <family val="1"/>
      <charset val="204"/>
    </font>
    <font>
      <b/>
      <sz val="11"/>
      <name val="Times New Roman"/>
      <family val="1"/>
      <charset val="204"/>
    </font>
    <font>
      <b/>
      <u/>
      <sz val="11"/>
      <name val="Times New Roman"/>
      <family val="1"/>
      <charset val="204"/>
    </font>
    <font>
      <i/>
      <sz val="11"/>
      <name val="Times New Roman"/>
      <family val="1"/>
      <charset val="204"/>
    </font>
    <font>
      <b/>
      <sz val="11"/>
      <name val="Arial"/>
      <family val="2"/>
      <charset val="204"/>
    </font>
    <font>
      <sz val="11"/>
      <color rgb="FF000000"/>
      <name val="Times New Roman"/>
      <family val="1"/>
      <charset val="204"/>
    </font>
    <font>
      <b/>
      <sz val="11"/>
      <color rgb="FF000000"/>
      <name val="Times New Roman"/>
      <family val="1"/>
      <charset val="204"/>
    </font>
    <font>
      <b/>
      <sz val="11"/>
      <color theme="1"/>
      <name val="Calibri"/>
      <family val="2"/>
      <charset val="204"/>
      <scheme val="minor"/>
    </font>
    <font>
      <b/>
      <sz val="9"/>
      <color theme="1"/>
      <name val="Times New Roman"/>
      <family val="1"/>
      <charset val="204"/>
    </font>
    <font>
      <b/>
      <sz val="11"/>
      <color rgb="FFFF0000"/>
      <name val="Arial"/>
      <family val="2"/>
      <charset val="204"/>
    </font>
    <font>
      <b/>
      <i/>
      <sz val="11"/>
      <name val="Times New Roman"/>
      <family val="1"/>
      <charset val="204"/>
    </font>
    <font>
      <sz val="12"/>
      <color theme="0"/>
      <name val="Times New Roman"/>
      <family val="1"/>
      <charset val="204"/>
    </font>
    <font>
      <sz val="10"/>
      <color theme="0"/>
      <name val="Times New Roman"/>
      <family val="1"/>
      <charset val="204"/>
    </font>
    <font>
      <sz val="48"/>
      <color rgb="FFFF0000"/>
      <name val="Times New Roman"/>
      <family val="1"/>
      <charset val="204"/>
    </font>
    <font>
      <sz val="11"/>
      <name val="Calibri"/>
      <family val="2"/>
      <charset val="204"/>
    </font>
    <font>
      <i/>
      <sz val="11"/>
      <color rgb="FFFF0000"/>
      <name val="Arial"/>
      <family val="2"/>
      <charset val="204"/>
    </font>
    <font>
      <sz val="11"/>
      <color theme="1"/>
      <name val="Calibri"/>
      <charset val="134"/>
      <scheme val="minor"/>
    </font>
    <font>
      <sz val="11"/>
      <color theme="1"/>
      <name val="Calibri"/>
      <charset val="204"/>
      <scheme val="minor"/>
    </font>
    <font>
      <sz val="11"/>
      <name val="Calibri"/>
      <charset val="204"/>
    </font>
    <font>
      <sz val="8"/>
      <name val="Calibri"/>
      <family val="2"/>
      <scheme val="minor"/>
    </font>
    <font>
      <b/>
      <u/>
      <sz val="12"/>
      <name val="Times New Roman"/>
      <family val="1"/>
      <charset val="204"/>
    </font>
    <font>
      <b/>
      <sz val="12"/>
      <name val="Times New Roman"/>
      <family val="1"/>
      <charset val="204"/>
    </font>
    <font>
      <b/>
      <sz val="14"/>
      <color theme="1"/>
      <name val="Arial"/>
      <family val="2"/>
      <charset val="204"/>
    </font>
    <font>
      <b/>
      <u/>
      <sz val="12"/>
      <color theme="1"/>
      <name val="Times New Roman"/>
      <family val="1"/>
      <charset val="204"/>
    </font>
    <font>
      <sz val="9"/>
      <color theme="1"/>
      <name val="Times New Roman"/>
      <family val="1"/>
      <charset val="204"/>
    </font>
    <font>
      <sz val="11"/>
      <color rgb="FF8C0101"/>
      <name val="Times New Roman"/>
      <family val="1"/>
      <charset val="204"/>
    </font>
  </fonts>
  <fills count="13">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theme="0" tint="-0.34998626667073579"/>
        <bgColor indexed="64"/>
      </patternFill>
    </fill>
    <fill>
      <patternFill patternType="solid">
        <fgColor theme="0" tint="-0.49998474074526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1"/>
        <bgColor indexed="64"/>
      </patternFill>
    </fill>
    <fill>
      <patternFill patternType="solid">
        <fgColor rgb="FFC00000"/>
        <bgColor indexed="64"/>
      </patternFill>
    </fill>
    <fill>
      <patternFill patternType="solid">
        <fgColor theme="9"/>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theme="0"/>
      </right>
      <top style="thin">
        <color indexed="64"/>
      </top>
      <bottom style="thin">
        <color indexed="64"/>
      </bottom>
      <diagonal/>
    </border>
    <border>
      <left/>
      <right style="thin">
        <color indexed="64"/>
      </right>
      <top/>
      <bottom/>
      <diagonal/>
    </border>
  </borders>
  <cellStyleXfs count="1786">
    <xf numFmtId="0" fontId="0"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43" fillId="0" borderId="0">
      <alignment vertical="center"/>
    </xf>
    <xf numFmtId="0" fontId="43" fillId="0" borderId="0">
      <alignment vertical="center"/>
    </xf>
    <xf numFmtId="43" fontId="5"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9" fontId="5" fillId="0" borderId="0" applyFont="0" applyFill="0" applyBorder="0" applyAlignment="0" applyProtection="0"/>
    <xf numFmtId="41" fontId="5"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45" fillId="0" borderId="0"/>
    <xf numFmtId="0" fontId="46" fillId="0" borderId="0"/>
    <xf numFmtId="170" fontId="45" fillId="0" borderId="0" applyFont="0" applyFill="0" applyBorder="0" applyAlignment="0" applyProtection="0"/>
    <xf numFmtId="170" fontId="45" fillId="0" borderId="0" applyFont="0" applyFill="0" applyBorder="0" applyAlignment="0" applyProtection="0"/>
    <xf numFmtId="0" fontId="46" fillId="0" borderId="0"/>
    <xf numFmtId="170" fontId="45" fillId="0" borderId="0" applyFont="0" applyFill="0" applyBorder="0" applyAlignment="0" applyProtection="0"/>
    <xf numFmtId="170" fontId="45" fillId="0" borderId="0" applyFont="0" applyFill="0" applyBorder="0" applyAlignment="0" applyProtection="0"/>
    <xf numFmtId="0" fontId="47" fillId="0" borderId="0">
      <alignment vertical="center"/>
    </xf>
    <xf numFmtId="0" fontId="46" fillId="0" borderId="0"/>
    <xf numFmtId="170" fontId="45" fillId="0" borderId="0" applyFont="0" applyFill="0" applyBorder="0" applyAlignment="0" applyProtection="0"/>
    <xf numFmtId="0" fontId="46" fillId="0" borderId="0"/>
    <xf numFmtId="0" fontId="46" fillId="0" borderId="0"/>
    <xf numFmtId="0" fontId="46" fillId="0" borderId="0"/>
    <xf numFmtId="0" fontId="46" fillId="0" borderId="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0" fontId="47" fillId="0" borderId="0">
      <alignment vertical="center"/>
    </xf>
    <xf numFmtId="170" fontId="45" fillId="0" borderId="0" applyFont="0" applyFill="0" applyBorder="0" applyAlignment="0" applyProtection="0"/>
    <xf numFmtId="0" fontId="46" fillId="0" borderId="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9" fontId="4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cellStyleXfs>
  <cellXfs count="392">
    <xf numFmtId="0" fontId="0" fillId="0" borderId="0" xfId="0"/>
    <xf numFmtId="49" fontId="6" fillId="0" borderId="1" xfId="0" applyNumberFormat="1" applyFont="1" applyBorder="1" applyAlignment="1">
      <alignment vertical="center" wrapText="1"/>
    </xf>
    <xf numFmtId="165" fontId="6" fillId="0" borderId="1" xfId="0" applyNumberFormat="1" applyFont="1" applyBorder="1" applyAlignment="1">
      <alignment vertical="center" wrapText="1"/>
    </xf>
    <xf numFmtId="43" fontId="6" fillId="0" borderId="1" xfId="1" applyFont="1" applyBorder="1" applyAlignment="1">
      <alignment vertical="center" wrapText="1"/>
    </xf>
    <xf numFmtId="0" fontId="8" fillId="0" borderId="0" xfId="0" applyFont="1"/>
    <xf numFmtId="0" fontId="8" fillId="0" borderId="0" xfId="0" applyFont="1" applyAlignment="1">
      <alignment horizontal="right"/>
    </xf>
    <xf numFmtId="0" fontId="11" fillId="0" borderId="0" xfId="0" applyFont="1" applyAlignment="1" applyProtection="1">
      <alignment horizontal="center" vertical="top"/>
      <protection hidden="1"/>
    </xf>
    <xf numFmtId="0" fontId="11" fillId="0" borderId="0" xfId="0" applyFont="1" applyAlignment="1" applyProtection="1">
      <alignment horizontal="center" vertical="center"/>
      <protection hidden="1"/>
    </xf>
    <xf numFmtId="0" fontId="9" fillId="0" borderId="0" xfId="0" applyFont="1"/>
    <xf numFmtId="0" fontId="9" fillId="0" borderId="0" xfId="0" applyFont="1" applyAlignment="1">
      <alignment horizontal="right"/>
    </xf>
    <xf numFmtId="0" fontId="12" fillId="0" borderId="0" xfId="0" applyFont="1"/>
    <xf numFmtId="0" fontId="12" fillId="0" borderId="0" xfId="0" applyFont="1" applyAlignment="1">
      <alignment horizontal="center" vertical="center" wrapText="1"/>
    </xf>
    <xf numFmtId="0" fontId="12" fillId="0" borderId="1" xfId="0" applyFont="1" applyBorder="1" applyAlignment="1">
      <alignment horizontal="center" vertical="center" wrapText="1"/>
    </xf>
    <xf numFmtId="0" fontId="12" fillId="0" borderId="1" xfId="0" applyFont="1" applyBorder="1"/>
    <xf numFmtId="0" fontId="12" fillId="0" borderId="0" xfId="0" applyFont="1" applyAlignment="1">
      <alignment horizontal="justify" vertical="top" wrapText="1"/>
    </xf>
    <xf numFmtId="0" fontId="12" fillId="0" borderId="0" xfId="0" applyFont="1" applyAlignment="1">
      <alignment wrapText="1"/>
    </xf>
    <xf numFmtId="164" fontId="6" fillId="0" borderId="1" xfId="0" applyNumberFormat="1" applyFont="1" applyBorder="1" applyAlignment="1">
      <alignment vertical="center" wrapText="1"/>
    </xf>
    <xf numFmtId="0" fontId="12" fillId="0" borderId="0" xfId="0" applyFont="1" applyAlignment="1">
      <alignment vertical="top" wrapText="1"/>
    </xf>
    <xf numFmtId="0" fontId="12" fillId="0" borderId="0" xfId="0" applyFont="1" applyAlignment="1">
      <alignment vertical="center" wrapText="1"/>
    </xf>
    <xf numFmtId="0" fontId="15" fillId="0" borderId="0" xfId="0" applyFont="1"/>
    <xf numFmtId="0" fontId="14" fillId="0" borderId="1" xfId="0" applyFont="1" applyBorder="1" applyAlignment="1">
      <alignment horizontal="center" vertical="center" wrapText="1"/>
    </xf>
    <xf numFmtId="0" fontId="14" fillId="0" borderId="0" xfId="0" applyFont="1" applyAlignment="1">
      <alignment horizontal="center" vertical="center" wrapText="1"/>
    </xf>
    <xf numFmtId="0" fontId="15" fillId="0" borderId="1" xfId="0" applyFont="1" applyBorder="1" applyAlignment="1">
      <alignment horizontal="center" vertical="top" wrapText="1"/>
    </xf>
    <xf numFmtId="43" fontId="15" fillId="0" borderId="1" xfId="1" applyFont="1" applyBorder="1" applyAlignment="1">
      <alignment horizontal="center" vertical="top" wrapText="1"/>
    </xf>
    <xf numFmtId="0" fontId="14" fillId="0" borderId="1" xfId="0" applyFont="1" applyBorder="1" applyAlignment="1">
      <alignment horizontal="center" vertical="top" wrapText="1"/>
    </xf>
    <xf numFmtId="43" fontId="14" fillId="0" borderId="1" xfId="0" applyNumberFormat="1" applyFont="1" applyBorder="1" applyAlignment="1">
      <alignment horizontal="center" vertical="top" wrapText="1"/>
    </xf>
    <xf numFmtId="0" fontId="14" fillId="0" borderId="0" xfId="0" applyFont="1"/>
    <xf numFmtId="14" fontId="12" fillId="0" borderId="1" xfId="0" applyNumberFormat="1" applyFont="1" applyBorder="1"/>
    <xf numFmtId="43" fontId="12" fillId="0" borderId="1" xfId="1" applyFont="1" applyBorder="1"/>
    <xf numFmtId="14" fontId="12" fillId="0" borderId="0" xfId="0" applyNumberFormat="1" applyFont="1"/>
    <xf numFmtId="43" fontId="12" fillId="0" borderId="0" xfId="1" applyFont="1" applyBorder="1"/>
    <xf numFmtId="0" fontId="13" fillId="0" borderId="0" xfId="0" applyFont="1"/>
    <xf numFmtId="0" fontId="13" fillId="0" borderId="0" xfId="0" applyFont="1" applyAlignment="1">
      <alignment horizontal="right"/>
    </xf>
    <xf numFmtId="0" fontId="13" fillId="0" borderId="1" xfId="0" applyFont="1" applyBorder="1" applyAlignment="1">
      <alignment horizontal="center" vertical="center" wrapText="1"/>
    </xf>
    <xf numFmtId="0" fontId="13" fillId="0" borderId="0" xfId="0" applyFont="1" applyAlignment="1">
      <alignment horizontal="center"/>
    </xf>
    <xf numFmtId="0" fontId="19" fillId="0" borderId="0" xfId="0" applyFont="1" applyAlignment="1">
      <alignment horizontal="center" wrapText="1"/>
    </xf>
    <xf numFmtId="0" fontId="12" fillId="0" borderId="0" xfId="0" applyFont="1" applyAlignment="1">
      <alignment horizontal="center" wrapText="1"/>
    </xf>
    <xf numFmtId="0" fontId="18" fillId="0" borderId="0" xfId="0" applyFont="1" applyAlignment="1">
      <alignment horizontal="center" wrapText="1"/>
    </xf>
    <xf numFmtId="0" fontId="12" fillId="0" borderId="8" xfId="0" applyFont="1" applyBorder="1" applyAlignment="1">
      <alignment horizontal="center" wrapText="1"/>
    </xf>
    <xf numFmtId="0" fontId="12" fillId="0" borderId="9" xfId="0" applyFont="1" applyBorder="1" applyAlignment="1">
      <alignment horizontal="center" wrapText="1"/>
    </xf>
    <xf numFmtId="0" fontId="13" fillId="0" borderId="1" xfId="0" applyFont="1" applyBorder="1"/>
    <xf numFmtId="14" fontId="13" fillId="0" borderId="1" xfId="0" applyNumberFormat="1" applyFont="1" applyBorder="1"/>
    <xf numFmtId="43" fontId="13" fillId="0" borderId="1" xfId="1" applyFont="1" applyBorder="1"/>
    <xf numFmtId="0" fontId="6" fillId="4" borderId="1" xfId="0" applyFont="1" applyFill="1" applyBorder="1" applyAlignment="1">
      <alignment vertical="center" wrapText="1"/>
    </xf>
    <xf numFmtId="43" fontId="24" fillId="0" borderId="1" xfId="1" applyFont="1" applyBorder="1"/>
    <xf numFmtId="43" fontId="6" fillId="4" borderId="1" xfId="1" applyFont="1" applyFill="1" applyBorder="1" applyAlignment="1">
      <alignment vertical="center" wrapText="1"/>
    </xf>
    <xf numFmtId="0" fontId="12" fillId="0" borderId="0" xfId="0" applyFont="1" applyAlignment="1">
      <alignment horizontal="left" vertical="top" wrapText="1"/>
    </xf>
    <xf numFmtId="0" fontId="12" fillId="0" borderId="8" xfId="0" applyFont="1" applyBorder="1" applyAlignment="1">
      <alignment wrapText="1"/>
    </xf>
    <xf numFmtId="0" fontId="12" fillId="0" borderId="9" xfId="0" applyFont="1" applyBorder="1" applyAlignment="1">
      <alignment wrapText="1"/>
    </xf>
    <xf numFmtId="49" fontId="8" fillId="0" borderId="0" xfId="0" applyNumberFormat="1" applyFont="1" applyAlignment="1">
      <alignment horizontal="right"/>
    </xf>
    <xf numFmtId="49" fontId="6" fillId="4" borderId="1" xfId="0" applyNumberFormat="1" applyFont="1" applyFill="1" applyBorder="1" applyAlignment="1">
      <alignment vertical="center" wrapText="1"/>
    </xf>
    <xf numFmtId="165" fontId="23" fillId="2" borderId="1" xfId="0" applyNumberFormat="1" applyFont="1" applyFill="1" applyBorder="1" applyAlignment="1">
      <alignment vertical="center" wrapText="1"/>
    </xf>
    <xf numFmtId="165" fontId="6" fillId="2" borderId="1" xfId="0" applyNumberFormat="1" applyFont="1" applyFill="1" applyBorder="1" applyAlignment="1">
      <alignment vertical="center" wrapText="1"/>
    </xf>
    <xf numFmtId="0" fontId="6" fillId="2" borderId="1" xfId="0" applyFont="1" applyFill="1" applyBorder="1" applyAlignment="1">
      <alignment vertical="center" wrapText="1"/>
    </xf>
    <xf numFmtId="0" fontId="0" fillId="0" borderId="0" xfId="0" applyAlignment="1">
      <alignment wrapText="1"/>
    </xf>
    <xf numFmtId="0" fontId="9" fillId="0" borderId="0" xfId="0" applyFont="1" applyAlignment="1">
      <alignment horizontal="center" vertical="center" wrapText="1"/>
    </xf>
    <xf numFmtId="0" fontId="9" fillId="0" borderId="0" xfId="0" applyFont="1" applyAlignment="1">
      <alignment horizontal="center"/>
    </xf>
    <xf numFmtId="43" fontId="6" fillId="4" borderId="3" xfId="1" applyFont="1" applyFill="1" applyBorder="1" applyAlignment="1">
      <alignment vertical="center" wrapText="1"/>
    </xf>
    <xf numFmtId="0" fontId="7" fillId="2" borderId="1" xfId="0" applyFont="1" applyFill="1" applyBorder="1" applyAlignment="1">
      <alignment horizontal="right" vertical="center" wrapText="1"/>
    </xf>
    <xf numFmtId="0" fontId="9" fillId="0" borderId="0" xfId="0" applyFont="1" applyAlignment="1">
      <alignment horizontal="center" wrapText="1"/>
    </xf>
    <xf numFmtId="0" fontId="8" fillId="0" borderId="0" xfId="0" applyFont="1" applyAlignment="1">
      <alignment vertical="top"/>
    </xf>
    <xf numFmtId="0" fontId="6" fillId="6" borderId="1" xfId="0" applyFont="1" applyFill="1" applyBorder="1" applyAlignment="1">
      <alignment vertical="center" wrapText="1"/>
    </xf>
    <xf numFmtId="165" fontId="6" fillId="2" borderId="1" xfId="0" applyNumberFormat="1" applyFont="1" applyFill="1" applyBorder="1" applyAlignment="1">
      <alignment horizontal="left" vertical="center" wrapText="1"/>
    </xf>
    <xf numFmtId="14" fontId="6" fillId="6" borderId="1" xfId="0" applyNumberFormat="1" applyFont="1" applyFill="1" applyBorder="1" applyAlignment="1">
      <alignment vertical="center" wrapText="1"/>
    </xf>
    <xf numFmtId="165" fontId="6" fillId="6" borderId="1" xfId="0" applyNumberFormat="1" applyFont="1" applyFill="1" applyBorder="1" applyAlignment="1">
      <alignment vertical="center" wrapText="1"/>
    </xf>
    <xf numFmtId="0" fontId="6" fillId="7" borderId="1" xfId="0" applyFont="1" applyFill="1" applyBorder="1" applyAlignment="1">
      <alignment vertical="center" wrapText="1"/>
    </xf>
    <xf numFmtId="9" fontId="6" fillId="7" borderId="1" xfId="0" applyNumberFormat="1" applyFont="1" applyFill="1" applyBorder="1" applyAlignment="1">
      <alignment vertical="center" wrapText="1"/>
    </xf>
    <xf numFmtId="49" fontId="6" fillId="7" borderId="1" xfId="1" applyNumberFormat="1" applyFont="1" applyFill="1" applyBorder="1" applyAlignment="1">
      <alignment vertical="center" wrapText="1"/>
    </xf>
    <xf numFmtId="40" fontId="6" fillId="7" borderId="1" xfId="1" applyNumberFormat="1" applyFont="1" applyFill="1" applyBorder="1" applyAlignment="1">
      <alignment vertical="center" wrapText="1"/>
    </xf>
    <xf numFmtId="49" fontId="6" fillId="4" borderId="1" xfId="0" applyNumberFormat="1" applyFont="1" applyFill="1" applyBorder="1" applyAlignment="1">
      <alignment horizontal="left" vertical="center" wrapText="1"/>
    </xf>
    <xf numFmtId="0" fontId="30" fillId="0" borderId="0" xfId="0" applyFont="1"/>
    <xf numFmtId="0" fontId="24" fillId="0" borderId="0" xfId="0" applyFont="1"/>
    <xf numFmtId="0" fontId="30" fillId="0" borderId="0" xfId="0" applyFont="1" applyAlignment="1">
      <alignment horizontal="right"/>
    </xf>
    <xf numFmtId="164" fontId="24" fillId="0" borderId="0" xfId="0" applyNumberFormat="1" applyFont="1"/>
    <xf numFmtId="166" fontId="24" fillId="0" borderId="0" xfId="0" applyNumberFormat="1" applyFont="1"/>
    <xf numFmtId="0" fontId="24" fillId="0" borderId="1" xfId="0" applyFont="1" applyBorder="1" applyAlignment="1">
      <alignment horizontal="center" vertical="center" wrapText="1"/>
    </xf>
    <xf numFmtId="0" fontId="24" fillId="0" borderId="0" xfId="0" applyFont="1" applyAlignment="1">
      <alignment horizontal="center" vertical="center" wrapText="1"/>
    </xf>
    <xf numFmtId="0" fontId="24" fillId="0" borderId="1" xfId="0" applyFont="1" applyBorder="1"/>
    <xf numFmtId="14" fontId="24" fillId="0" borderId="1" xfId="0" applyNumberFormat="1" applyFont="1" applyBorder="1"/>
    <xf numFmtId="167" fontId="24" fillId="0" borderId="0" xfId="0" applyNumberFormat="1" applyFont="1"/>
    <xf numFmtId="0" fontId="30" fillId="0" borderId="1" xfId="0" applyFont="1" applyBorder="1"/>
    <xf numFmtId="14" fontId="30" fillId="0" borderId="1" xfId="0" applyNumberFormat="1" applyFont="1" applyBorder="1"/>
    <xf numFmtId="43" fontId="30" fillId="0" borderId="1" xfId="1" applyFont="1" applyBorder="1"/>
    <xf numFmtId="14" fontId="24" fillId="0" borderId="0" xfId="0" applyNumberFormat="1" applyFont="1"/>
    <xf numFmtId="43" fontId="24" fillId="0" borderId="0" xfId="1" applyFont="1" applyBorder="1"/>
    <xf numFmtId="14" fontId="23" fillId="5" borderId="0" xfId="0" applyNumberFormat="1" applyFont="1" applyFill="1"/>
    <xf numFmtId="0" fontId="23" fillId="5" borderId="0" xfId="0" applyFont="1" applyFill="1"/>
    <xf numFmtId="0" fontId="23" fillId="0" borderId="0" xfId="0" applyFont="1"/>
    <xf numFmtId="168" fontId="33" fillId="5" borderId="0" xfId="0" applyNumberFormat="1" applyFont="1" applyFill="1"/>
    <xf numFmtId="0" fontId="23" fillId="4" borderId="0" xfId="0" applyFont="1" applyFill="1"/>
    <xf numFmtId="1" fontId="23" fillId="5" borderId="0" xfId="0" applyNumberFormat="1" applyFont="1" applyFill="1"/>
    <xf numFmtId="49" fontId="24" fillId="0" borderId="0" xfId="0" applyNumberFormat="1" applyFont="1" applyAlignment="1">
      <alignment horizontal="right"/>
    </xf>
    <xf numFmtId="0" fontId="34" fillId="0" borderId="0" xfId="0" applyFont="1" applyAlignment="1">
      <alignment vertical="center"/>
    </xf>
    <xf numFmtId="0" fontId="35" fillId="0" borderId="0" xfId="0" applyFont="1" applyAlignment="1">
      <alignment horizontal="right" vertical="center"/>
    </xf>
    <xf numFmtId="0" fontId="35" fillId="0" borderId="0" xfId="0" applyFont="1" applyAlignment="1">
      <alignment horizontal="right" vertical="center" wrapText="1"/>
    </xf>
    <xf numFmtId="43" fontId="12" fillId="0" borderId="1" xfId="1" applyFont="1" applyBorder="1" applyAlignment="1">
      <alignment horizontal="center" vertical="top" wrapText="1"/>
    </xf>
    <xf numFmtId="0" fontId="36" fillId="7" borderId="1" xfId="0" applyFont="1" applyFill="1" applyBorder="1"/>
    <xf numFmtId="0" fontId="36" fillId="0" borderId="0" xfId="0" applyFont="1"/>
    <xf numFmtId="0" fontId="0" fillId="4" borderId="1" xfId="0" applyFill="1" applyBorder="1"/>
    <xf numFmtId="14" fontId="0" fillId="4" borderId="1" xfId="0" applyNumberFormat="1" applyFill="1" applyBorder="1"/>
    <xf numFmtId="43" fontId="0" fillId="4" borderId="1" xfId="1" applyFont="1" applyFill="1" applyBorder="1"/>
    <xf numFmtId="0" fontId="23" fillId="4" borderId="1" xfId="0" applyFont="1" applyFill="1" applyBorder="1"/>
    <xf numFmtId="0" fontId="36" fillId="7" borderId="1" xfId="0" applyFont="1" applyFill="1" applyBorder="1" applyAlignment="1">
      <alignment horizontal="center" vertical="center" wrapText="1"/>
    </xf>
    <xf numFmtId="0" fontId="0" fillId="0" borderId="0" xfId="0" applyAlignment="1">
      <alignment horizontal="center" vertical="center" wrapText="1"/>
    </xf>
    <xf numFmtId="164" fontId="0" fillId="0" borderId="0" xfId="0" applyNumberFormat="1"/>
    <xf numFmtId="0" fontId="25" fillId="0" borderId="0" xfId="0" applyFont="1" applyAlignment="1">
      <alignment horizontal="right"/>
    </xf>
    <xf numFmtId="0" fontId="25" fillId="0" borderId="0" xfId="0" applyFont="1" applyAlignment="1">
      <alignment horizontal="justify"/>
    </xf>
    <xf numFmtId="0" fontId="25" fillId="0" borderId="0" xfId="0" applyFont="1" applyAlignment="1">
      <alignment horizontal="justify" vertical="center"/>
    </xf>
    <xf numFmtId="0" fontId="25" fillId="0" borderId="1" xfId="0" applyFont="1" applyBorder="1" applyAlignment="1">
      <alignment horizontal="justify"/>
    </xf>
    <xf numFmtId="0" fontId="25" fillId="0" borderId="0" xfId="0" applyFont="1" applyAlignment="1">
      <alignment horizontal="justify" vertical="center" wrapText="1"/>
    </xf>
    <xf numFmtId="0" fontId="25" fillId="0" borderId="0" xfId="0" applyFont="1" applyAlignment="1">
      <alignment horizontal="left"/>
    </xf>
    <xf numFmtId="0" fontId="25" fillId="0" borderId="11" xfId="0" applyFont="1" applyBorder="1" applyAlignment="1">
      <alignment horizontal="center"/>
    </xf>
    <xf numFmtId="0" fontId="25" fillId="0" borderId="0" xfId="0" applyFont="1" applyAlignment="1">
      <alignment horizontal="center"/>
    </xf>
    <xf numFmtId="0" fontId="6" fillId="3" borderId="1" xfId="0" applyFont="1" applyFill="1" applyBorder="1" applyAlignment="1">
      <alignment horizontal="center" vertical="center" wrapText="1"/>
    </xf>
    <xf numFmtId="0" fontId="12" fillId="0" borderId="0" xfId="0" applyFont="1" applyAlignment="1">
      <alignment vertical="top"/>
    </xf>
    <xf numFmtId="0" fontId="13" fillId="0" borderId="0" xfId="0" applyFont="1" applyAlignment="1">
      <alignment horizontal="left" vertical="center" wrapText="1"/>
    </xf>
    <xf numFmtId="0" fontId="12" fillId="0" borderId="0" xfId="0" applyFont="1" applyAlignment="1">
      <alignment horizontal="right"/>
    </xf>
    <xf numFmtId="0" fontId="7" fillId="6" borderId="1" xfId="0" applyFont="1" applyFill="1" applyBorder="1" applyAlignment="1">
      <alignment horizontal="left" vertical="center" wrapText="1"/>
    </xf>
    <xf numFmtId="0" fontId="7" fillId="6" borderId="1" xfId="0" applyFont="1" applyFill="1" applyBorder="1" applyAlignment="1">
      <alignment vertical="center" wrapText="1"/>
    </xf>
    <xf numFmtId="0" fontId="15" fillId="0" borderId="0" xfId="0" applyFont="1" applyAlignment="1">
      <alignment wrapText="1"/>
    </xf>
    <xf numFmtId="165" fontId="15" fillId="0" borderId="0" xfId="0" applyNumberFormat="1" applyFont="1"/>
    <xf numFmtId="0" fontId="14" fillId="0" borderId="0" xfId="0" applyFont="1" applyAlignment="1">
      <alignment vertical="center" wrapText="1"/>
    </xf>
    <xf numFmtId="0" fontId="14" fillId="0" borderId="0" xfId="0" applyFont="1" applyAlignment="1">
      <alignment horizontal="left"/>
    </xf>
    <xf numFmtId="0" fontId="9" fillId="0" borderId="0" xfId="0" applyFont="1" applyAlignment="1">
      <alignment horizontal="left"/>
    </xf>
    <xf numFmtId="0" fontId="6" fillId="4" borderId="3" xfId="0" applyFont="1" applyFill="1" applyBorder="1" applyAlignment="1">
      <alignment vertical="center" wrapText="1"/>
    </xf>
    <xf numFmtId="164" fontId="6" fillId="4" borderId="1" xfId="0" applyNumberFormat="1" applyFont="1" applyFill="1" applyBorder="1" applyAlignment="1">
      <alignment vertical="center" wrapText="1"/>
    </xf>
    <xf numFmtId="0" fontId="15" fillId="0" borderId="0" xfId="0" applyFont="1" applyAlignment="1">
      <alignment horizontal="center" vertical="top" wrapText="1"/>
    </xf>
    <xf numFmtId="0" fontId="38" fillId="2" borderId="1" xfId="0" applyFont="1" applyFill="1" applyBorder="1" applyAlignment="1">
      <alignment vertical="center" wrapText="1"/>
    </xf>
    <xf numFmtId="0" fontId="6" fillId="9" borderId="1" xfId="0" applyFont="1" applyFill="1" applyBorder="1" applyAlignment="1">
      <alignment vertical="center" wrapText="1"/>
    </xf>
    <xf numFmtId="0" fontId="8" fillId="0" borderId="0" xfId="0" applyFont="1" applyAlignment="1">
      <alignment wrapText="1"/>
    </xf>
    <xf numFmtId="0" fontId="40" fillId="0" borderId="0" xfId="0" applyFont="1"/>
    <xf numFmtId="0" fontId="41" fillId="0" borderId="0" xfId="0" applyFont="1"/>
    <xf numFmtId="0" fontId="9" fillId="0" borderId="0" xfId="0" applyFont="1" applyAlignment="1">
      <alignment horizontal="left" vertical="center" wrapText="1"/>
    </xf>
    <xf numFmtId="0" fontId="8" fillId="0" borderId="0" xfId="0" applyFont="1" applyAlignment="1">
      <alignment horizontal="left" vertical="top" wrapText="1"/>
    </xf>
    <xf numFmtId="0" fontId="28" fillId="0" borderId="0" xfId="0" applyFont="1" applyAlignment="1">
      <alignment horizontal="left"/>
    </xf>
    <xf numFmtId="0" fontId="9" fillId="0" borderId="0" xfId="0" applyFont="1" applyAlignment="1">
      <alignment horizontal="left" vertical="top" wrapText="1"/>
    </xf>
    <xf numFmtId="49" fontId="8" fillId="0" borderId="0" xfId="0" applyNumberFormat="1" applyFont="1" applyAlignment="1">
      <alignment horizontal="left" vertical="top" wrapText="1"/>
    </xf>
    <xf numFmtId="0" fontId="6" fillId="5" borderId="1" xfId="0" applyFont="1" applyFill="1" applyBorder="1" applyAlignment="1">
      <alignment vertical="center" wrapText="1"/>
    </xf>
    <xf numFmtId="0" fontId="12" fillId="0" borderId="0" xfId="0" applyFont="1" applyAlignment="1">
      <alignment horizontal="left"/>
    </xf>
    <xf numFmtId="0" fontId="9" fillId="0" borderId="0" xfId="0" applyFont="1" applyAlignment="1">
      <alignment horizontal="right" wrapText="1"/>
    </xf>
    <xf numFmtId="14" fontId="6" fillId="3" borderId="1" xfId="0" applyNumberFormat="1" applyFont="1" applyFill="1" applyBorder="1" applyAlignment="1">
      <alignment horizontal="center" vertical="center" wrapText="1"/>
    </xf>
    <xf numFmtId="0" fontId="8" fillId="0" borderId="0" xfId="0" applyFont="1" applyAlignment="1">
      <alignment horizontal="center"/>
    </xf>
    <xf numFmtId="0" fontId="26" fillId="4" borderId="1" xfId="0" applyFont="1" applyFill="1" applyBorder="1" applyAlignment="1">
      <alignment vertical="center" wrapText="1"/>
    </xf>
    <xf numFmtId="0" fontId="9" fillId="0" borderId="0" xfId="0" applyFont="1" applyAlignment="1">
      <alignment wrapText="1"/>
    </xf>
    <xf numFmtId="0" fontId="12" fillId="11" borderId="0" xfId="0" applyFont="1" applyFill="1"/>
    <xf numFmtId="0" fontId="6" fillId="10" borderId="0" xfId="0" applyFont="1" applyFill="1"/>
    <xf numFmtId="164" fontId="6" fillId="10" borderId="3" xfId="0" applyNumberFormat="1" applyFont="1" applyFill="1" applyBorder="1" applyAlignment="1">
      <alignment horizontal="left" vertical="top" wrapText="1"/>
    </xf>
    <xf numFmtId="14" fontId="6" fillId="10" borderId="0" xfId="0" applyNumberFormat="1" applyFont="1" applyFill="1"/>
    <xf numFmtId="168" fontId="7" fillId="10" borderId="0" xfId="0" applyNumberFormat="1" applyFont="1" applyFill="1"/>
    <xf numFmtId="0" fontId="6" fillId="10" borderId="19" xfId="0" applyFont="1" applyFill="1" applyBorder="1"/>
    <xf numFmtId="0" fontId="6" fillId="10" borderId="20" xfId="0" applyFont="1" applyFill="1" applyBorder="1"/>
    <xf numFmtId="0" fontId="22" fillId="0" borderId="0" xfId="0" applyFont="1" applyAlignment="1">
      <alignment horizontal="left" vertical="top" wrapText="1"/>
    </xf>
    <xf numFmtId="0" fontId="7" fillId="10" borderId="0" xfId="0" applyFont="1" applyFill="1" applyAlignment="1">
      <alignment vertical="center" wrapText="1"/>
    </xf>
    <xf numFmtId="49" fontId="6" fillId="10" borderId="0" xfId="0" applyNumberFormat="1" applyFont="1" applyFill="1"/>
    <xf numFmtId="0" fontId="6" fillId="10" borderId="0" xfId="0" applyFont="1" applyFill="1" applyAlignment="1">
      <alignment vertical="center" wrapText="1"/>
    </xf>
    <xf numFmtId="49" fontId="44" fillId="4" borderId="1" xfId="0" applyNumberFormat="1" applyFont="1" applyFill="1" applyBorder="1" applyAlignment="1">
      <alignment vertical="center" wrapText="1"/>
    </xf>
    <xf numFmtId="0" fontId="26" fillId="10" borderId="0" xfId="0" applyFont="1" applyFill="1"/>
    <xf numFmtId="43" fontId="6" fillId="10" borderId="0" xfId="0" applyNumberFormat="1" applyFont="1" applyFill="1"/>
    <xf numFmtId="10" fontId="26" fillId="10" borderId="0" xfId="559" applyNumberFormat="1" applyFont="1" applyFill="1" applyAlignment="1">
      <alignment horizontal="center" vertical="center"/>
    </xf>
    <xf numFmtId="0" fontId="26" fillId="10" borderId="0" xfId="0" applyFont="1" applyFill="1" applyAlignment="1">
      <alignment horizontal="center" vertical="center"/>
    </xf>
    <xf numFmtId="11" fontId="6" fillId="4" borderId="1" xfId="0" applyNumberFormat="1" applyFont="1" applyFill="1" applyBorder="1" applyAlignment="1">
      <alignment vertical="center" wrapText="1"/>
    </xf>
    <xf numFmtId="0" fontId="6" fillId="10" borderId="1" xfId="0" applyFont="1" applyFill="1" applyBorder="1"/>
    <xf numFmtId="0" fontId="6" fillId="10" borderId="1" xfId="0" applyFont="1" applyFill="1" applyBorder="1" applyAlignment="1">
      <alignment wrapText="1"/>
    </xf>
    <xf numFmtId="0" fontId="6" fillId="10" borderId="1" xfId="0" applyFont="1" applyFill="1" applyBorder="1" applyAlignment="1">
      <alignment horizontal="center" vertical="center"/>
    </xf>
    <xf numFmtId="0" fontId="6" fillId="10" borderId="1" xfId="0" applyFont="1" applyFill="1" applyBorder="1" applyAlignment="1">
      <alignment horizontal="center" vertical="center" wrapText="1"/>
    </xf>
    <xf numFmtId="0" fontId="6" fillId="10" borderId="1" xfId="0" applyFont="1" applyFill="1" applyBorder="1" applyAlignment="1">
      <alignment horizontal="left" vertical="center"/>
    </xf>
    <xf numFmtId="0" fontId="6" fillId="10" borderId="1" xfId="0" applyFont="1" applyFill="1" applyBorder="1" applyAlignment="1">
      <alignment horizontal="left" vertical="center" wrapText="1"/>
    </xf>
    <xf numFmtId="0" fontId="6" fillId="10" borderId="1" xfId="0" applyFont="1" applyFill="1" applyBorder="1" applyAlignment="1">
      <alignment vertical="center" wrapText="1"/>
    </xf>
    <xf numFmtId="0" fontId="7" fillId="10" borderId="0" xfId="0" applyFont="1" applyFill="1" applyAlignment="1">
      <alignment vertical="center"/>
    </xf>
    <xf numFmtId="0" fontId="6" fillId="10" borderId="13" xfId="0" applyFont="1" applyFill="1" applyBorder="1" applyAlignment="1">
      <alignment vertical="center"/>
    </xf>
    <xf numFmtId="0" fontId="6" fillId="10" borderId="15" xfId="0" applyFont="1" applyFill="1" applyBorder="1" applyAlignment="1">
      <alignment vertical="center"/>
    </xf>
    <xf numFmtId="14" fontId="6" fillId="10" borderId="1" xfId="0" applyNumberFormat="1" applyFont="1" applyFill="1" applyBorder="1"/>
    <xf numFmtId="0" fontId="7" fillId="10" borderId="0" xfId="0" applyFont="1" applyFill="1"/>
    <xf numFmtId="49" fontId="6" fillId="10" borderId="1" xfId="0" applyNumberFormat="1" applyFont="1" applyFill="1" applyBorder="1"/>
    <xf numFmtId="0" fontId="7" fillId="10" borderId="0" xfId="0" applyFont="1" applyFill="1" applyAlignment="1">
      <alignment wrapText="1"/>
    </xf>
    <xf numFmtId="164" fontId="6" fillId="10" borderId="1" xfId="0" applyNumberFormat="1" applyFont="1" applyFill="1" applyBorder="1" applyAlignment="1">
      <alignment vertical="center" wrapText="1"/>
    </xf>
    <xf numFmtId="164" fontId="6" fillId="10" borderId="0" xfId="0" applyNumberFormat="1" applyFont="1" applyFill="1" applyAlignment="1">
      <alignment vertical="center" wrapText="1"/>
    </xf>
    <xf numFmtId="169" fontId="6" fillId="4" borderId="1" xfId="0" applyNumberFormat="1" applyFont="1" applyFill="1" applyBorder="1" applyAlignment="1">
      <alignment horizontal="left" vertical="top" wrapText="1"/>
    </xf>
    <xf numFmtId="49" fontId="26" fillId="4" borderId="1" xfId="0" applyNumberFormat="1" applyFont="1" applyFill="1" applyBorder="1" applyAlignment="1">
      <alignment vertical="center" wrapText="1"/>
    </xf>
    <xf numFmtId="0" fontId="6" fillId="0" borderId="1" xfId="0" applyFont="1" applyBorder="1" applyAlignment="1">
      <alignment vertical="center" wrapText="1"/>
    </xf>
    <xf numFmtId="0" fontId="7" fillId="2" borderId="1" xfId="0" applyFont="1" applyFill="1" applyBorder="1" applyAlignment="1">
      <alignment vertical="center" wrapText="1"/>
    </xf>
    <xf numFmtId="0" fontId="13" fillId="0" borderId="0" xfId="0" applyFont="1" applyAlignment="1">
      <alignment horizontal="center" vertical="center" wrapText="1"/>
    </xf>
    <xf numFmtId="0" fontId="12" fillId="0" borderId="0" xfId="0" applyFont="1" applyAlignment="1">
      <alignment horizontal="left" vertical="center" wrapText="1"/>
    </xf>
    <xf numFmtId="0" fontId="13" fillId="0" borderId="0" xfId="0" applyFont="1" applyAlignment="1">
      <alignment wrapText="1"/>
    </xf>
    <xf numFmtId="0" fontId="7" fillId="2" borderId="1" xfId="0" applyFont="1" applyFill="1" applyBorder="1" applyAlignment="1">
      <alignment vertical="center"/>
    </xf>
    <xf numFmtId="0" fontId="12" fillId="0" borderId="0" xfId="0" applyFont="1" applyAlignment="1">
      <alignment vertical="center"/>
    </xf>
    <xf numFmtId="0" fontId="13" fillId="0" borderId="0" xfId="0" applyFont="1" applyAlignment="1">
      <alignment vertical="top"/>
    </xf>
    <xf numFmtId="0" fontId="7" fillId="2" borderId="1" xfId="0" applyFont="1" applyFill="1" applyBorder="1" applyAlignment="1">
      <alignment horizontal="left" vertical="center" wrapText="1"/>
    </xf>
    <xf numFmtId="0" fontId="8" fillId="0" borderId="0" xfId="0" applyFont="1" applyAlignment="1">
      <alignment horizontal="left" vertical="center" wrapText="1"/>
    </xf>
    <xf numFmtId="0" fontId="8" fillId="0" borderId="0" xfId="0" applyFont="1" applyAlignment="1">
      <alignment vertical="center" wrapText="1"/>
    </xf>
    <xf numFmtId="0" fontId="49" fillId="0" borderId="0" xfId="0" applyFont="1" applyAlignment="1" applyProtection="1">
      <alignment horizontal="center" vertical="center"/>
      <protection hidden="1"/>
    </xf>
    <xf numFmtId="0" fontId="50" fillId="0" borderId="0" xfId="0" applyFont="1" applyAlignment="1" applyProtection="1">
      <alignment horizontal="center" vertical="top"/>
      <protection hidden="1"/>
    </xf>
    <xf numFmtId="0" fontId="50" fillId="0" borderId="0" xfId="0" applyFont="1" applyAlignment="1" applyProtection="1">
      <alignment horizontal="center" vertical="center"/>
      <protection hidden="1"/>
    </xf>
    <xf numFmtId="0" fontId="13" fillId="0" borderId="0" xfId="0" applyFont="1" applyAlignment="1">
      <alignment vertical="center"/>
    </xf>
    <xf numFmtId="0" fontId="39" fillId="0" borderId="0" xfId="0" applyFont="1" applyAlignment="1">
      <alignment horizontal="center" wrapText="1"/>
    </xf>
    <xf numFmtId="0" fontId="27" fillId="0" borderId="0" xfId="0" applyFont="1" applyAlignment="1">
      <alignment horizontal="center" wrapText="1"/>
    </xf>
    <xf numFmtId="0" fontId="13" fillId="0" borderId="0" xfId="0" applyFont="1" applyAlignment="1">
      <alignment horizontal="left" vertical="top" wrapText="1"/>
    </xf>
    <xf numFmtId="0" fontId="13" fillId="0" borderId="0" xfId="0" applyFont="1" applyAlignment="1">
      <alignment vertical="top" wrapText="1"/>
    </xf>
    <xf numFmtId="0" fontId="6" fillId="12" borderId="0" xfId="0" applyFont="1" applyFill="1"/>
    <xf numFmtId="0" fontId="6" fillId="12" borderId="1" xfId="0" applyFont="1" applyFill="1" applyBorder="1"/>
    <xf numFmtId="0" fontId="13" fillId="0" borderId="0" xfId="0" applyFont="1" applyAlignment="1">
      <alignment horizontal="center" vertical="center"/>
    </xf>
    <xf numFmtId="0" fontId="8" fillId="0" borderId="0" xfId="0" applyFont="1" applyAlignment="1">
      <alignment horizontal="center" vertical="top" wrapText="1"/>
    </xf>
    <xf numFmtId="0" fontId="7" fillId="2" borderId="1" xfId="0" applyFont="1" applyFill="1" applyBorder="1" applyAlignment="1">
      <alignment horizontal="center" vertical="center" wrapText="1"/>
    </xf>
    <xf numFmtId="0" fontId="10" fillId="0" borderId="0" xfId="0" applyFont="1" applyAlignment="1" applyProtection="1">
      <alignment horizontal="center" vertical="center"/>
      <protection hidden="1"/>
    </xf>
    <xf numFmtId="169" fontId="6" fillId="4" borderId="1" xfId="0" applyNumberFormat="1" applyFont="1" applyFill="1" applyBorder="1" applyAlignment="1">
      <alignment vertical="center" wrapText="1"/>
    </xf>
    <xf numFmtId="43" fontId="26" fillId="4" borderId="1" xfId="1" applyFont="1" applyFill="1" applyBorder="1" applyAlignment="1">
      <alignment vertical="center" wrapText="1"/>
    </xf>
    <xf numFmtId="0" fontId="6" fillId="10" borderId="16" xfId="0" applyFont="1" applyFill="1" applyBorder="1"/>
    <xf numFmtId="0" fontId="7" fillId="4" borderId="1" xfId="0" applyFont="1" applyFill="1" applyBorder="1" applyAlignment="1">
      <alignment horizontal="center" vertical="center" wrapText="1"/>
    </xf>
    <xf numFmtId="0" fontId="38" fillId="10" borderId="24" xfId="0" applyFont="1" applyFill="1" applyBorder="1" applyAlignment="1">
      <alignment horizontal="left" vertical="center" wrapText="1"/>
    </xf>
    <xf numFmtId="0" fontId="38" fillId="10" borderId="2" xfId="0" applyFont="1" applyFill="1" applyBorder="1" applyAlignment="1">
      <alignment horizontal="left" vertical="center" wrapText="1"/>
    </xf>
    <xf numFmtId="0" fontId="7" fillId="10" borderId="1" xfId="0" applyFont="1" applyFill="1" applyBorder="1" applyAlignment="1">
      <alignment horizontal="center" vertical="center" wrapText="1"/>
    </xf>
    <xf numFmtId="0" fontId="38" fillId="2" borderId="1" xfId="0" applyFont="1" applyFill="1" applyBorder="1" applyAlignment="1">
      <alignment horizontal="left" vertical="center" wrapText="1"/>
    </xf>
    <xf numFmtId="0" fontId="13" fillId="0" borderId="0" xfId="0" applyFont="1" applyAlignment="1">
      <alignment horizontal="right" vertical="center" wrapText="1"/>
    </xf>
    <xf numFmtId="0" fontId="13" fillId="0" borderId="0" xfId="0" applyFont="1" applyAlignment="1">
      <alignment horizontal="left" vertical="top"/>
    </xf>
    <xf numFmtId="0" fontId="12" fillId="6" borderId="1" xfId="0" applyFont="1" applyFill="1" applyBorder="1"/>
    <xf numFmtId="0" fontId="22" fillId="0" borderId="0" xfId="0" applyFont="1" applyAlignment="1">
      <alignment wrapText="1"/>
    </xf>
    <xf numFmtId="0" fontId="12" fillId="0" borderId="0" xfId="0" applyFont="1" applyAlignment="1">
      <alignment horizontal="left" vertical="center"/>
    </xf>
    <xf numFmtId="0" fontId="13" fillId="4" borderId="1" xfId="0" applyFont="1" applyFill="1" applyBorder="1"/>
    <xf numFmtId="0" fontId="24" fillId="0" borderId="0" xfId="0" applyFont="1" applyAlignment="1">
      <alignment wrapText="1"/>
    </xf>
    <xf numFmtId="0" fontId="13" fillId="0" borderId="0" xfId="0" applyFont="1" applyAlignment="1">
      <alignment horizontal="left"/>
    </xf>
    <xf numFmtId="0" fontId="30" fillId="0" borderId="0" xfId="0" applyFont="1" applyAlignment="1">
      <alignment horizontal="left" wrapText="1"/>
    </xf>
    <xf numFmtId="0" fontId="13" fillId="0" borderId="0" xfId="0" applyFont="1" applyAlignment="1">
      <alignment horizontal="left" wrapText="1"/>
    </xf>
    <xf numFmtId="0" fontId="39" fillId="0" borderId="0" xfId="0" applyFont="1" applyAlignment="1">
      <alignment horizontal="justify" vertical="top" wrapText="1"/>
    </xf>
    <xf numFmtId="0" fontId="9" fillId="0" borderId="0" xfId="0" applyFont="1" applyAlignment="1">
      <alignment vertical="center" wrapText="1"/>
    </xf>
    <xf numFmtId="0" fontId="7" fillId="4" borderId="1" xfId="0" applyFont="1" applyFill="1" applyBorder="1" applyAlignment="1">
      <alignment horizontal="left" vertical="center" wrapText="1"/>
    </xf>
    <xf numFmtId="49" fontId="7" fillId="4" borderId="1" xfId="0" applyNumberFormat="1" applyFont="1" applyFill="1" applyBorder="1" applyAlignment="1">
      <alignment vertical="center" wrapText="1"/>
    </xf>
    <xf numFmtId="49" fontId="7" fillId="4" borderId="1" xfId="0" applyNumberFormat="1" applyFont="1" applyFill="1" applyBorder="1" applyAlignment="1">
      <alignment horizontal="left" vertical="center" wrapText="1"/>
    </xf>
    <xf numFmtId="0" fontId="51" fillId="4" borderId="1" xfId="0" applyFont="1" applyFill="1" applyBorder="1" applyAlignment="1">
      <alignment horizontal="center" vertical="center" wrapText="1"/>
    </xf>
    <xf numFmtId="49" fontId="51" fillId="4" borderId="1" xfId="0" applyNumberFormat="1" applyFont="1" applyFill="1" applyBorder="1" applyAlignment="1">
      <alignment horizontal="center" vertical="center" wrapText="1"/>
    </xf>
    <xf numFmtId="0" fontId="51" fillId="2" borderId="1" xfId="0" applyFont="1" applyFill="1" applyBorder="1" applyAlignment="1">
      <alignment horizontal="center" vertical="center" wrapText="1"/>
    </xf>
    <xf numFmtId="169" fontId="51" fillId="2" borderId="1" xfId="0" applyNumberFormat="1" applyFont="1" applyFill="1" applyBorder="1" applyAlignment="1">
      <alignment horizontal="center" vertical="center" wrapText="1"/>
    </xf>
    <xf numFmtId="0" fontId="8" fillId="0" borderId="0" xfId="0" applyFont="1" applyAlignment="1">
      <alignment horizontal="left" vertical="top" wrapText="1"/>
    </xf>
    <xf numFmtId="0" fontId="8" fillId="0" borderId="0" xfId="0" applyFont="1" applyAlignment="1">
      <alignment horizontal="center" vertical="center"/>
    </xf>
    <xf numFmtId="0" fontId="8" fillId="0" borderId="0" xfId="0" applyFont="1" applyAlignment="1">
      <alignment horizontal="left"/>
    </xf>
    <xf numFmtId="0" fontId="8" fillId="0" borderId="0" xfId="0" applyFont="1" applyAlignment="1">
      <alignment vertical="top" wrapText="1"/>
    </xf>
    <xf numFmtId="0" fontId="52" fillId="0" borderId="14" xfId="0" applyFont="1" applyBorder="1" applyAlignment="1">
      <alignment horizontal="center"/>
    </xf>
    <xf numFmtId="0" fontId="52" fillId="0" borderId="25" xfId="0" applyFont="1" applyBorder="1" applyAlignment="1">
      <alignment horizontal="center"/>
    </xf>
    <xf numFmtId="0" fontId="8" fillId="0" borderId="25" xfId="0" applyFont="1" applyBorder="1"/>
    <xf numFmtId="0" fontId="9" fillId="0" borderId="14" xfId="0" applyFont="1" applyBorder="1" applyAlignment="1">
      <alignment horizontal="center" wrapText="1"/>
    </xf>
    <xf numFmtId="0" fontId="9" fillId="0" borderId="25" xfId="0" applyFont="1" applyBorder="1" applyAlignment="1">
      <alignment horizontal="center" vertical="center"/>
    </xf>
    <xf numFmtId="0" fontId="8" fillId="0" borderId="14" xfId="0" applyFont="1" applyBorder="1" applyAlignment="1">
      <alignment horizontal="left" vertical="center" wrapText="1"/>
    </xf>
    <xf numFmtId="0" fontId="8" fillId="0" borderId="25" xfId="0" applyFont="1" applyBorder="1" applyAlignment="1">
      <alignment horizontal="left" vertical="center" wrapText="1"/>
    </xf>
    <xf numFmtId="0" fontId="8" fillId="0" borderId="14" xfId="0" applyFont="1" applyBorder="1" applyAlignment="1">
      <alignment horizontal="left" wrapText="1"/>
    </xf>
    <xf numFmtId="0" fontId="8" fillId="0" borderId="25" xfId="0" applyFont="1" applyBorder="1" applyAlignment="1">
      <alignment horizontal="left"/>
    </xf>
    <xf numFmtId="0" fontId="8" fillId="0" borderId="25" xfId="0" applyFont="1" applyBorder="1" applyAlignment="1">
      <alignment horizontal="left" vertical="center"/>
    </xf>
    <xf numFmtId="0" fontId="8" fillId="5" borderId="14" xfId="0" applyFont="1" applyFill="1" applyBorder="1" applyAlignment="1">
      <alignment horizontal="left" wrapText="1"/>
    </xf>
    <xf numFmtId="0" fontId="8" fillId="0" borderId="14" xfId="0" applyFont="1" applyBorder="1" applyAlignment="1">
      <alignment horizontal="left"/>
    </xf>
    <xf numFmtId="0" fontId="9" fillId="0" borderId="25" xfId="0" applyFont="1" applyBorder="1" applyAlignment="1">
      <alignment horizontal="center"/>
    </xf>
    <xf numFmtId="0" fontId="9" fillId="0" borderId="14" xfId="0" applyFont="1" applyBorder="1" applyAlignment="1">
      <alignment horizontal="right"/>
    </xf>
    <xf numFmtId="0" fontId="8" fillId="0" borderId="25" xfId="0" applyFont="1" applyBorder="1" applyAlignment="1">
      <alignment horizontal="center"/>
    </xf>
    <xf numFmtId="0" fontId="8" fillId="0" borderId="15" xfId="0" applyFont="1" applyBorder="1"/>
    <xf numFmtId="0" fontId="8" fillId="0" borderId="23" xfId="0" applyFont="1" applyBorder="1"/>
    <xf numFmtId="0" fontId="13" fillId="0" borderId="0" xfId="0" applyFont="1" applyAlignment="1">
      <alignment horizontal="center"/>
    </xf>
    <xf numFmtId="0" fontId="12" fillId="0" borderId="1" xfId="0" applyFont="1" applyBorder="1" applyAlignment="1">
      <alignment horizontal="center" vertical="center" wrapText="1"/>
    </xf>
    <xf numFmtId="0" fontId="7" fillId="2" borderId="1" xfId="0" applyFont="1" applyFill="1" applyBorder="1" applyAlignment="1">
      <alignment horizontal="center" vertical="center" wrapText="1"/>
    </xf>
    <xf numFmtId="0" fontId="7" fillId="2" borderId="3" xfId="0" applyFont="1" applyFill="1" applyBorder="1" applyAlignment="1">
      <alignment horizontal="center" vertical="center" wrapText="1"/>
    </xf>
    <xf numFmtId="0" fontId="7" fillId="2" borderId="2" xfId="0" applyFont="1" applyFill="1" applyBorder="1" applyAlignment="1">
      <alignment horizontal="center" vertical="center" wrapText="1"/>
    </xf>
    <xf numFmtId="0" fontId="8" fillId="0" borderId="14" xfId="0" applyFont="1" applyBorder="1" applyAlignment="1">
      <alignment horizontal="right" wrapText="1"/>
    </xf>
    <xf numFmtId="0" fontId="9" fillId="0" borderId="0" xfId="0" applyFont="1" applyAlignment="1">
      <alignment horizontal="center" wrapText="1"/>
    </xf>
    <xf numFmtId="0" fontId="8" fillId="0" borderId="0" xfId="0" applyFont="1" applyAlignment="1">
      <alignment horizontal="left" vertical="top" wrapText="1"/>
    </xf>
    <xf numFmtId="0" fontId="9" fillId="0" borderId="0" xfId="0" applyFont="1" applyAlignment="1">
      <alignment horizontal="center"/>
    </xf>
    <xf numFmtId="0" fontId="9" fillId="0" borderId="0" xfId="0" applyFont="1" applyAlignment="1">
      <alignment horizontal="center" vertical="center" wrapText="1"/>
    </xf>
    <xf numFmtId="0" fontId="9" fillId="0" borderId="0" xfId="0" applyFont="1" applyAlignment="1">
      <alignment horizontal="center" vertical="top" wrapText="1"/>
    </xf>
    <xf numFmtId="49" fontId="8" fillId="0" borderId="0" xfId="0" applyNumberFormat="1" applyFont="1" applyAlignment="1">
      <alignment horizontal="left" vertical="top" wrapText="1"/>
    </xf>
    <xf numFmtId="0" fontId="8" fillId="0" borderId="0" xfId="0" applyFont="1" applyAlignment="1">
      <alignment horizontal="left"/>
    </xf>
    <xf numFmtId="0" fontId="8" fillId="0" borderId="0" xfId="0" applyFont="1" applyAlignment="1">
      <alignment vertical="top" wrapText="1"/>
    </xf>
    <xf numFmtId="0" fontId="25" fillId="0" borderId="0" xfId="0" applyFont="1" applyAlignment="1">
      <alignment horizontal="left" vertical="top" wrapText="1"/>
    </xf>
    <xf numFmtId="0" fontId="25" fillId="5" borderId="0" xfId="0" applyFont="1" applyFill="1" applyAlignment="1">
      <alignment horizontal="left" vertical="top" wrapText="1"/>
    </xf>
    <xf numFmtId="0" fontId="8" fillId="0" borderId="0" xfId="0" applyFont="1" applyAlignment="1">
      <alignment horizontal="left" wrapText="1"/>
    </xf>
    <xf numFmtId="0" fontId="9" fillId="0" borderId="0" xfId="0" applyFont="1" applyAlignment="1">
      <alignment horizontal="center" vertical="center"/>
    </xf>
    <xf numFmtId="0" fontId="13" fillId="0" borderId="0" xfId="0" applyFont="1" applyAlignment="1">
      <alignment horizontal="center" vertical="top" wrapText="1"/>
    </xf>
    <xf numFmtId="0" fontId="12" fillId="0" borderId="0" xfId="0" applyFont="1" applyAlignment="1">
      <alignment horizontal="justify" vertical="top" wrapText="1"/>
    </xf>
    <xf numFmtId="0" fontId="12" fillId="0" borderId="0" xfId="0" applyFont="1" applyAlignment="1">
      <alignment horizontal="left" vertical="top" wrapText="1"/>
    </xf>
    <xf numFmtId="0" fontId="13" fillId="0" borderId="0" xfId="0" applyFont="1" applyAlignment="1">
      <alignment horizontal="left" wrapText="1"/>
    </xf>
    <xf numFmtId="0" fontId="12" fillId="0" borderId="0" xfId="0" applyFont="1" applyAlignment="1">
      <alignment horizontal="left" vertical="center" wrapText="1"/>
    </xf>
    <xf numFmtId="0" fontId="13" fillId="0" borderId="0" xfId="0" applyFont="1" applyAlignment="1">
      <alignment horizontal="center" vertical="center" wrapText="1"/>
    </xf>
    <xf numFmtId="0" fontId="30" fillId="0" borderId="0" xfId="0" applyFont="1" applyAlignment="1">
      <alignment horizontal="center" vertical="center" wrapText="1"/>
    </xf>
    <xf numFmtId="0" fontId="39" fillId="0" borderId="0" xfId="0" applyFont="1" applyAlignment="1">
      <alignment horizontal="justify" vertical="top" wrapText="1"/>
    </xf>
    <xf numFmtId="0" fontId="30" fillId="0" borderId="0" xfId="0" applyFont="1" applyAlignment="1">
      <alignment horizontal="right"/>
    </xf>
    <xf numFmtId="0" fontId="30" fillId="0" borderId="0" xfId="0" applyFont="1" applyAlignment="1">
      <alignment horizontal="center"/>
    </xf>
    <xf numFmtId="0" fontId="24" fillId="0" borderId="1" xfId="0" applyFont="1" applyBorder="1" applyAlignment="1">
      <alignment horizontal="center" vertical="center"/>
    </xf>
    <xf numFmtId="0" fontId="24" fillId="0" borderId="1" xfId="0" applyFont="1" applyBorder="1" applyAlignment="1">
      <alignment horizontal="center" vertical="center" wrapText="1"/>
    </xf>
    <xf numFmtId="0" fontId="24" fillId="0" borderId="1" xfId="0" applyFont="1" applyBorder="1" applyAlignment="1">
      <alignment horizontal="center"/>
    </xf>
    <xf numFmtId="0" fontId="24" fillId="0" borderId="0" xfId="0" applyFont="1" applyAlignment="1">
      <alignment horizontal="center" vertical="top" wrapText="1"/>
    </xf>
    <xf numFmtId="0" fontId="24" fillId="0" borderId="0" xfId="0" applyFont="1" applyAlignment="1">
      <alignment horizontal="justify" vertical="top" wrapText="1"/>
    </xf>
    <xf numFmtId="0" fontId="31" fillId="0" borderId="0" xfId="0" applyFont="1" applyAlignment="1">
      <alignment horizontal="center" vertical="center" wrapText="1"/>
    </xf>
    <xf numFmtId="0" fontId="30" fillId="0" borderId="0" xfId="0" applyFont="1" applyAlignment="1">
      <alignment horizontal="center" wrapText="1"/>
    </xf>
    <xf numFmtId="0" fontId="30" fillId="0" borderId="0" xfId="0" applyFont="1" applyAlignment="1">
      <alignment horizontal="center" vertical="top" wrapText="1"/>
    </xf>
    <xf numFmtId="0" fontId="24" fillId="0" borderId="0" xfId="0" applyFont="1" applyAlignment="1">
      <alignment horizontal="center"/>
    </xf>
    <xf numFmtId="0" fontId="24" fillId="0" borderId="0" xfId="0" applyFont="1" applyAlignment="1">
      <alignment horizontal="left" wrapText="1"/>
    </xf>
    <xf numFmtId="0" fontId="32" fillId="0" borderId="0" xfId="0" applyFont="1" applyAlignment="1">
      <alignment horizontal="center" vertical="top" wrapText="1"/>
    </xf>
    <xf numFmtId="0" fontId="24" fillId="0" borderId="0" xfId="0" applyFont="1" applyAlignment="1">
      <alignment horizontal="center" wrapText="1"/>
    </xf>
    <xf numFmtId="0" fontId="13" fillId="0" borderId="0" xfId="0" applyFont="1" applyAlignment="1">
      <alignment horizontal="right"/>
    </xf>
    <xf numFmtId="0" fontId="13" fillId="0" borderId="0" xfId="0" applyFont="1" applyAlignment="1">
      <alignment horizontal="center"/>
    </xf>
    <xf numFmtId="0" fontId="12" fillId="0" borderId="1" xfId="0" applyFont="1" applyBorder="1" applyAlignment="1">
      <alignment horizontal="center" vertical="center"/>
    </xf>
    <xf numFmtId="0" fontId="12" fillId="0" borderId="1" xfId="0" applyFont="1" applyBorder="1" applyAlignment="1">
      <alignment horizontal="center" vertical="center" wrapText="1"/>
    </xf>
    <xf numFmtId="0" fontId="12" fillId="0" borderId="1" xfId="0" applyFont="1" applyBorder="1" applyAlignment="1">
      <alignment horizontal="center"/>
    </xf>
    <xf numFmtId="0" fontId="12" fillId="0" borderId="0" xfId="0" applyFont="1" applyAlignment="1">
      <alignment horizontal="center" vertical="top" wrapText="1"/>
    </xf>
    <xf numFmtId="0" fontId="17" fillId="0" borderId="0" xfId="0" applyFont="1" applyAlignment="1">
      <alignment horizontal="center" vertical="center" wrapText="1"/>
    </xf>
    <xf numFmtId="0" fontId="13" fillId="0" borderId="0" xfId="0" applyFont="1" applyAlignment="1">
      <alignment horizontal="center" wrapText="1"/>
    </xf>
    <xf numFmtId="0" fontId="12" fillId="0" borderId="0" xfId="0" applyFont="1" applyAlignment="1">
      <alignment horizontal="center"/>
    </xf>
    <xf numFmtId="0" fontId="12" fillId="0" borderId="0" xfId="0" applyFont="1" applyAlignment="1">
      <alignment horizontal="left" wrapText="1"/>
    </xf>
    <xf numFmtId="0" fontId="16" fillId="0" borderId="0" xfId="0" applyFont="1" applyAlignment="1">
      <alignment horizontal="center" vertical="top" wrapText="1"/>
    </xf>
    <xf numFmtId="0" fontId="12" fillId="0" borderId="0" xfId="0" applyFont="1" applyAlignment="1">
      <alignment horizontal="center" wrapText="1"/>
    </xf>
    <xf numFmtId="0" fontId="13" fillId="0" borderId="0" xfId="0" applyFont="1" applyAlignment="1">
      <alignment horizontal="left" vertical="top"/>
    </xf>
    <xf numFmtId="0" fontId="13" fillId="0" borderId="0" xfId="0" applyFont="1" applyAlignment="1">
      <alignment horizontal="right" vertical="center" wrapText="1"/>
    </xf>
    <xf numFmtId="0" fontId="9" fillId="0" borderId="0" xfId="0" applyFont="1" applyAlignment="1">
      <alignment horizontal="right" vertical="center" wrapText="1"/>
    </xf>
    <xf numFmtId="0" fontId="42" fillId="0" borderId="0" xfId="0" applyFont="1" applyAlignment="1">
      <alignment horizontal="center" wrapText="1"/>
    </xf>
    <xf numFmtId="0" fontId="13" fillId="0" borderId="0" xfId="0" applyFont="1" applyAlignment="1">
      <alignment horizontal="left" vertical="top" wrapText="1"/>
    </xf>
    <xf numFmtId="0" fontId="12" fillId="0" borderId="13" xfId="0" applyFont="1" applyBorder="1" applyAlignment="1">
      <alignment horizontal="center" vertical="center" wrapText="1"/>
    </xf>
    <xf numFmtId="0" fontId="12" fillId="0" borderId="14" xfId="0" applyFont="1" applyBorder="1" applyAlignment="1">
      <alignment horizontal="center" vertical="center" wrapText="1"/>
    </xf>
    <xf numFmtId="0" fontId="12" fillId="0" borderId="15" xfId="0" applyFont="1" applyBorder="1" applyAlignment="1">
      <alignment horizontal="center" vertical="center" wrapText="1"/>
    </xf>
    <xf numFmtId="0" fontId="22" fillId="0" borderId="0" xfId="0" applyFont="1" applyAlignment="1">
      <alignment horizontal="right" vertical="top" wrapText="1"/>
    </xf>
    <xf numFmtId="0" fontId="13" fillId="0" borderId="3" xfId="0" applyFont="1" applyBorder="1" applyAlignment="1">
      <alignment horizontal="center" vertical="center" wrapText="1"/>
    </xf>
    <xf numFmtId="0" fontId="13" fillId="0" borderId="2" xfId="0" applyFont="1" applyBorder="1" applyAlignment="1">
      <alignment horizontal="center" vertical="center" wrapText="1"/>
    </xf>
    <xf numFmtId="0" fontId="12" fillId="0" borderId="0" xfId="0" applyFont="1" applyAlignment="1">
      <alignment horizontal="center" vertical="center"/>
    </xf>
    <xf numFmtId="0" fontId="8" fillId="0" borderId="0" xfId="0" applyFont="1" applyAlignment="1">
      <alignment horizontal="justify" wrapText="1"/>
    </xf>
    <xf numFmtId="0" fontId="9" fillId="0" borderId="0" xfId="0" applyFont="1" applyAlignment="1">
      <alignment horizontal="left" vertical="center" wrapText="1"/>
    </xf>
    <xf numFmtId="0" fontId="9" fillId="0" borderId="0" xfId="0" applyFont="1" applyAlignment="1">
      <alignment horizontal="left" vertical="top" wrapText="1"/>
    </xf>
    <xf numFmtId="0" fontId="9" fillId="0" borderId="0" xfId="0" applyFont="1" applyAlignment="1">
      <alignment horizontal="right" vertical="center"/>
    </xf>
    <xf numFmtId="0" fontId="8" fillId="0" borderId="0" xfId="0" applyFont="1" applyAlignment="1">
      <alignment horizontal="left" vertical="center" wrapText="1"/>
    </xf>
    <xf numFmtId="0" fontId="12" fillId="0" borderId="8" xfId="0" applyFont="1" applyBorder="1" applyAlignment="1">
      <alignment horizontal="center" wrapText="1"/>
    </xf>
    <xf numFmtId="0" fontId="12" fillId="0" borderId="9" xfId="0" applyFont="1" applyBorder="1" applyAlignment="1">
      <alignment horizontal="center" wrapText="1"/>
    </xf>
    <xf numFmtId="0" fontId="20" fillId="0" borderId="8" xfId="0" applyFont="1" applyBorder="1" applyAlignment="1">
      <alignment horizontal="center" wrapText="1"/>
    </xf>
    <xf numFmtId="0" fontId="20" fillId="0" borderId="0" xfId="0" applyFont="1" applyAlignment="1">
      <alignment horizontal="center" wrapText="1"/>
    </xf>
    <xf numFmtId="0" fontId="20" fillId="0" borderId="9" xfId="0" applyFont="1" applyBorder="1" applyAlignment="1">
      <alignment horizontal="center" wrapText="1"/>
    </xf>
    <xf numFmtId="0" fontId="21" fillId="0" borderId="5" xfId="0" applyFont="1" applyBorder="1" applyAlignment="1">
      <alignment horizontal="center" wrapText="1"/>
    </xf>
    <xf numFmtId="0" fontId="21" fillId="0" borderId="6" xfId="0" applyFont="1" applyBorder="1" applyAlignment="1">
      <alignment horizontal="center" wrapText="1"/>
    </xf>
    <xf numFmtId="0" fontId="21" fillId="0" borderId="7" xfId="0" applyFont="1" applyBorder="1" applyAlignment="1">
      <alignment horizontal="center" wrapText="1"/>
    </xf>
    <xf numFmtId="0" fontId="29" fillId="0" borderId="8" xfId="0" applyFont="1" applyBorder="1" applyAlignment="1">
      <alignment horizontal="center" wrapText="1"/>
    </xf>
    <xf numFmtId="0" fontId="29" fillId="0" borderId="0" xfId="0" applyFont="1" applyAlignment="1">
      <alignment horizontal="center" wrapText="1"/>
    </xf>
    <xf numFmtId="0" fontId="29" fillId="0" borderId="9" xfId="0" applyFont="1" applyBorder="1" applyAlignment="1">
      <alignment horizontal="center" wrapText="1"/>
    </xf>
    <xf numFmtId="0" fontId="13" fillId="0" borderId="10" xfId="0" applyFont="1" applyBorder="1" applyAlignment="1">
      <alignment horizontal="center" wrapText="1"/>
    </xf>
    <xf numFmtId="0" fontId="13" fillId="0" borderId="11" xfId="0" applyFont="1" applyBorder="1" applyAlignment="1">
      <alignment horizontal="center" wrapText="1"/>
    </xf>
    <xf numFmtId="0" fontId="13" fillId="0" borderId="12" xfId="0" applyFont="1" applyBorder="1" applyAlignment="1">
      <alignment horizontal="center" wrapText="1"/>
    </xf>
    <xf numFmtId="0" fontId="13" fillId="0" borderId="8" xfId="0" applyFont="1" applyBorder="1" applyAlignment="1">
      <alignment horizontal="left" wrapText="1"/>
    </xf>
    <xf numFmtId="0" fontId="13" fillId="0" borderId="9" xfId="0" applyFont="1" applyBorder="1" applyAlignment="1">
      <alignment horizontal="left" wrapText="1"/>
    </xf>
    <xf numFmtId="0" fontId="15" fillId="0" borderId="0" xfId="0" applyFont="1" applyAlignment="1">
      <alignment horizontal="justify" vertical="top" wrapText="1"/>
    </xf>
    <xf numFmtId="0" fontId="15" fillId="0" borderId="0" xfId="0" applyFont="1" applyAlignment="1">
      <alignment horizontal="center" vertical="top" wrapText="1"/>
    </xf>
    <xf numFmtId="0" fontId="15" fillId="0" borderId="4" xfId="0" applyFont="1" applyBorder="1" applyAlignment="1">
      <alignment horizontal="center" vertical="top" wrapText="1"/>
    </xf>
    <xf numFmtId="49" fontId="15" fillId="0" borderId="0" xfId="0" applyNumberFormat="1" applyFont="1" applyAlignment="1">
      <alignment horizontal="center" vertical="center" wrapText="1"/>
    </xf>
    <xf numFmtId="0" fontId="14" fillId="0" borderId="0" xfId="0" applyFont="1" applyAlignment="1">
      <alignment horizontal="center" vertical="top" wrapText="1"/>
    </xf>
    <xf numFmtId="0" fontId="15" fillId="0" borderId="0" xfId="0" applyFont="1" applyAlignment="1">
      <alignment horizontal="left" vertical="top" wrapText="1"/>
    </xf>
    <xf numFmtId="49" fontId="12" fillId="0" borderId="0" xfId="0" applyNumberFormat="1" applyFont="1" applyAlignment="1">
      <alignment horizontal="justify" vertical="top" wrapText="1"/>
    </xf>
    <xf numFmtId="0" fontId="8" fillId="0" borderId="0" xfId="0" applyFont="1" applyAlignment="1">
      <alignment horizontal="center" vertical="center" wrapText="1"/>
    </xf>
    <xf numFmtId="0" fontId="8" fillId="0" borderId="0" xfId="0" applyFont="1" applyAlignment="1">
      <alignment horizontal="justify" vertical="top" wrapText="1"/>
    </xf>
    <xf numFmtId="0" fontId="9" fillId="0" borderId="0" xfId="0" applyFont="1" applyAlignment="1">
      <alignment horizontal="right" vertical="top" wrapText="1"/>
    </xf>
    <xf numFmtId="0" fontId="34" fillId="0" borderId="0" xfId="0" applyFont="1" applyAlignment="1">
      <alignment horizontal="justify" vertical="top" wrapText="1"/>
    </xf>
    <xf numFmtId="0" fontId="34" fillId="0" borderId="0" xfId="0" applyFont="1" applyAlignment="1">
      <alignment horizontal="justify" vertical="center" wrapText="1"/>
    </xf>
    <xf numFmtId="0" fontId="12" fillId="0" borderId="0" xfId="0" applyFont="1" applyAlignment="1">
      <alignment horizontal="left"/>
    </xf>
    <xf numFmtId="0" fontId="35" fillId="0" borderId="0" xfId="0" applyFont="1" applyAlignment="1">
      <alignment vertical="center" wrapText="1"/>
    </xf>
    <xf numFmtId="0" fontId="12" fillId="0" borderId="0" xfId="0" applyFont="1" applyAlignment="1">
      <alignment vertical="top" wrapText="1"/>
    </xf>
    <xf numFmtId="0" fontId="35" fillId="0" borderId="0" xfId="0" applyFont="1" applyAlignment="1">
      <alignment horizontal="justify" vertical="center" wrapText="1"/>
    </xf>
    <xf numFmtId="0" fontId="15" fillId="0" borderId="0" xfId="0" applyFont="1" applyAlignment="1">
      <alignment horizontal="justify" vertical="top" wrapText="1" readingOrder="1"/>
    </xf>
    <xf numFmtId="0" fontId="14" fillId="0" borderId="0" xfId="0" applyFont="1" applyAlignment="1">
      <alignment horizontal="center" wrapText="1"/>
    </xf>
    <xf numFmtId="0" fontId="37" fillId="0" borderId="0" xfId="0" applyFont="1" applyAlignment="1">
      <alignment horizontal="left" vertical="center" wrapText="1" readingOrder="1"/>
    </xf>
    <xf numFmtId="0" fontId="15" fillId="0" borderId="0" xfId="0" applyFont="1" applyAlignment="1">
      <alignment horizontal="left" wrapText="1"/>
    </xf>
    <xf numFmtId="0" fontId="14" fillId="0" borderId="4" xfId="0" applyFont="1" applyBorder="1" applyAlignment="1">
      <alignment horizontal="left" vertical="top"/>
    </xf>
    <xf numFmtId="0" fontId="14" fillId="8" borderId="3" xfId="0" applyFont="1" applyFill="1" applyBorder="1" applyAlignment="1">
      <alignment horizontal="center" vertical="center" wrapText="1"/>
    </xf>
    <xf numFmtId="0" fontId="14" fillId="8" borderId="2" xfId="0" applyFont="1" applyFill="1" applyBorder="1" applyAlignment="1">
      <alignment horizontal="center" vertical="center" wrapText="1"/>
    </xf>
    <xf numFmtId="0" fontId="15" fillId="0" borderId="1" xfId="0" applyFont="1" applyBorder="1" applyAlignment="1">
      <alignment horizontal="center" vertical="center" wrapText="1"/>
    </xf>
    <xf numFmtId="0" fontId="15" fillId="0" borderId="0" xfId="0" applyFont="1" applyAlignment="1">
      <alignment horizontal="left"/>
    </xf>
    <xf numFmtId="0" fontId="15" fillId="0" borderId="3" xfId="0" applyFont="1" applyBorder="1" applyAlignment="1">
      <alignment horizontal="center" vertical="center" wrapText="1"/>
    </xf>
    <xf numFmtId="0" fontId="15" fillId="0" borderId="2" xfId="0" applyFont="1" applyBorder="1" applyAlignment="1">
      <alignment horizontal="center" vertical="center" wrapText="1"/>
    </xf>
    <xf numFmtId="0" fontId="25" fillId="0" borderId="0" xfId="0" applyFont="1" applyAlignment="1">
      <alignment horizontal="center"/>
    </xf>
    <xf numFmtId="0" fontId="25" fillId="0" borderId="3" xfId="0" applyFont="1" applyBorder="1" applyAlignment="1">
      <alignment horizontal="justify" vertical="center" wrapText="1"/>
    </xf>
    <xf numFmtId="0" fontId="25" fillId="0" borderId="18" xfId="0" applyFont="1" applyBorder="1" applyAlignment="1">
      <alignment horizontal="justify" vertical="center" wrapText="1"/>
    </xf>
    <xf numFmtId="0" fontId="25" fillId="0" borderId="2" xfId="0" applyFont="1" applyBorder="1" applyAlignment="1">
      <alignment horizontal="justify" vertical="center" wrapText="1"/>
    </xf>
    <xf numFmtId="0" fontId="25" fillId="0" borderId="3" xfId="0" applyFont="1" applyBorder="1" applyAlignment="1">
      <alignment horizontal="justify" vertical="center"/>
    </xf>
    <xf numFmtId="0" fontId="25" fillId="0" borderId="2" xfId="0" applyFont="1" applyBorder="1" applyAlignment="1">
      <alignment horizontal="justify" vertical="center"/>
    </xf>
    <xf numFmtId="0" fontId="25" fillId="0" borderId="21" xfId="0" applyFont="1" applyBorder="1" applyAlignment="1">
      <alignment horizontal="justify" vertical="center"/>
    </xf>
    <xf numFmtId="0" fontId="25" fillId="0" borderId="17" xfId="0" applyFont="1" applyBorder="1" applyAlignment="1">
      <alignment horizontal="justify" vertical="center"/>
    </xf>
    <xf numFmtId="0" fontId="25" fillId="0" borderId="22" xfId="0" applyFont="1" applyBorder="1" applyAlignment="1">
      <alignment horizontal="justify" vertical="center"/>
    </xf>
    <xf numFmtId="0" fontId="25" fillId="0" borderId="20" xfId="0" applyFont="1" applyBorder="1" applyAlignment="1">
      <alignment horizontal="justify" vertical="center"/>
    </xf>
    <xf numFmtId="0" fontId="25" fillId="0" borderId="4" xfId="0" applyFont="1" applyBorder="1" applyAlignment="1">
      <alignment horizontal="justify" vertical="center"/>
    </xf>
    <xf numFmtId="0" fontId="25" fillId="0" borderId="23" xfId="0" applyFont="1" applyBorder="1" applyAlignment="1">
      <alignment horizontal="justify" vertical="center"/>
    </xf>
    <xf numFmtId="0" fontId="25" fillId="0" borderId="1" xfId="0" applyFont="1" applyBorder="1" applyAlignment="1">
      <alignment horizontal="justify" vertical="center" wrapText="1"/>
    </xf>
    <xf numFmtId="0" fontId="25" fillId="0" borderId="17" xfId="0" applyFont="1" applyBorder="1" applyAlignment="1">
      <alignment horizontal="justify" vertical="center" wrapText="1"/>
    </xf>
    <xf numFmtId="0" fontId="25" fillId="0" borderId="11" xfId="0" applyFont="1" applyBorder="1" applyAlignment="1">
      <alignment horizontal="justify"/>
    </xf>
    <xf numFmtId="0" fontId="25" fillId="0" borderId="0" xfId="0" applyFont="1" applyAlignment="1">
      <alignment horizontal="justify" vertical="center" wrapText="1"/>
    </xf>
    <xf numFmtId="0" fontId="12" fillId="0" borderId="0" xfId="0" applyFont="1" applyAlignment="1"/>
    <xf numFmtId="0" fontId="53" fillId="0" borderId="0" xfId="0" applyFont="1" applyAlignment="1">
      <alignment vertical="center"/>
    </xf>
    <xf numFmtId="0" fontId="53" fillId="0" borderId="0" xfId="0" applyFont="1" applyAlignment="1"/>
    <xf numFmtId="0" fontId="12" fillId="0" borderId="0" xfId="0" applyFont="1" applyBorder="1" applyAlignment="1">
      <alignment horizontal="left" vertical="center" wrapText="1"/>
    </xf>
    <xf numFmtId="0" fontId="12" fillId="0" borderId="0" xfId="0" applyNumberFormat="1" applyFont="1" applyBorder="1" applyAlignment="1">
      <alignment horizontal="center" wrapText="1"/>
    </xf>
    <xf numFmtId="0" fontId="12" fillId="0" borderId="0" xfId="0" applyNumberFormat="1" applyFont="1"/>
    <xf numFmtId="0" fontId="12" fillId="0" borderId="0" xfId="0" applyNumberFormat="1" applyFont="1" applyBorder="1" applyAlignment="1">
      <alignment horizontal="left"/>
    </xf>
    <xf numFmtId="0" fontId="12" fillId="0" borderId="17" xfId="0" applyFont="1" applyBorder="1" applyAlignment="1">
      <alignment horizontal="left" vertical="center"/>
    </xf>
    <xf numFmtId="0" fontId="12" fillId="0" borderId="0" xfId="0" applyFont="1" applyBorder="1" applyAlignment="1">
      <alignment horizontal="left" vertical="center"/>
    </xf>
    <xf numFmtId="14" fontId="7" fillId="4" borderId="1" xfId="0" applyNumberFormat="1" applyFont="1" applyFill="1" applyBorder="1" applyAlignment="1">
      <alignment horizontal="center" vertical="center" wrapText="1"/>
    </xf>
    <xf numFmtId="0" fontId="12" fillId="0" borderId="0" xfId="0" applyFont="1" applyFill="1"/>
    <xf numFmtId="14" fontId="12" fillId="0" borderId="0" xfId="0" applyNumberFormat="1" applyFont="1" applyFill="1"/>
  </cellXfs>
  <cellStyles count="1786">
    <cellStyle name="Обычный" xfId="0" builtinId="0"/>
    <cellStyle name="Обычный 10" xfId="72" xr:uid="{00000000-0005-0000-0000-000001000000}"/>
    <cellStyle name="Обычный 10 2" xfId="208" xr:uid="{00000000-0005-0000-0000-000002000000}"/>
    <cellStyle name="Обычный 10 2 2" xfId="480" xr:uid="{00000000-0005-0000-0000-000003000000}"/>
    <cellStyle name="Обычный 10 2 2 2" xfId="591" xr:uid="{00000000-0005-0000-0000-000004000000}"/>
    <cellStyle name="Обычный 10 2 3" xfId="575" xr:uid="{00000000-0005-0000-0000-000005000000}"/>
    <cellStyle name="Обычный 10 2 4" xfId="1712" xr:uid="{00000000-0005-0000-0000-000006000000}"/>
    <cellStyle name="Обычный 10 3" xfId="344" xr:uid="{00000000-0005-0000-0000-000007000000}"/>
    <cellStyle name="Обычный 10 3 2" xfId="583" xr:uid="{00000000-0005-0000-0000-000008000000}"/>
    <cellStyle name="Обычный 10 4" xfId="601" xr:uid="{00000000-0005-0000-0000-000009000000}"/>
    <cellStyle name="Обычный 10 4 2" xfId="1055" xr:uid="{00000000-0005-0000-0000-00000A000000}"/>
    <cellStyle name="Обычный 10 5" xfId="567" xr:uid="{00000000-0005-0000-0000-00000B000000}"/>
    <cellStyle name="Обычный 10 6" xfId="1576" xr:uid="{00000000-0005-0000-0000-00000C000000}"/>
    <cellStyle name="Обычный 10 7" xfId="803" xr:uid="{00000000-0005-0000-0000-00000D000000}"/>
    <cellStyle name="Обычный 11" xfId="73" xr:uid="{00000000-0005-0000-0000-00000E000000}"/>
    <cellStyle name="Обычный 11 2" xfId="209" xr:uid="{00000000-0005-0000-0000-00000F000000}"/>
    <cellStyle name="Обычный 11 2 2" xfId="481" xr:uid="{00000000-0005-0000-0000-000010000000}"/>
    <cellStyle name="Обычный 11 2 2 2" xfId="592" xr:uid="{00000000-0005-0000-0000-000011000000}"/>
    <cellStyle name="Обычный 11 2 3" xfId="576" xr:uid="{00000000-0005-0000-0000-000012000000}"/>
    <cellStyle name="Обычный 11 2 4" xfId="1713" xr:uid="{00000000-0005-0000-0000-000013000000}"/>
    <cellStyle name="Обычный 11 3" xfId="345" xr:uid="{00000000-0005-0000-0000-000014000000}"/>
    <cellStyle name="Обычный 11 3 2" xfId="584" xr:uid="{00000000-0005-0000-0000-000015000000}"/>
    <cellStyle name="Обычный 11 4" xfId="617" xr:uid="{00000000-0005-0000-0000-000016000000}"/>
    <cellStyle name="Обычный 11 4 2" xfId="1056" xr:uid="{00000000-0005-0000-0000-000017000000}"/>
    <cellStyle name="Обычный 11 5" xfId="568" xr:uid="{00000000-0005-0000-0000-000018000000}"/>
    <cellStyle name="Обычный 11 6" xfId="1577" xr:uid="{00000000-0005-0000-0000-000019000000}"/>
    <cellStyle name="Обычный 11 7" xfId="804" xr:uid="{00000000-0005-0000-0000-00001A000000}"/>
    <cellStyle name="Обычный 12" xfId="593" xr:uid="{00000000-0005-0000-0000-00001B000000}"/>
    <cellStyle name="Обычный 2" xfId="63" xr:uid="{00000000-0005-0000-0000-00001C000000}"/>
    <cellStyle name="Обычный 2 2" xfId="615" xr:uid="{00000000-0005-0000-0000-00001D000000}"/>
    <cellStyle name="Обычный 3" xfId="64" xr:uid="{00000000-0005-0000-0000-00001E000000}"/>
    <cellStyle name="Обычный 3 2" xfId="600" xr:uid="{00000000-0005-0000-0000-00001F000000}"/>
    <cellStyle name="Обычный 4" xfId="66" xr:uid="{00000000-0005-0000-0000-000020000000}"/>
    <cellStyle name="Обычный 4 2" xfId="202" xr:uid="{00000000-0005-0000-0000-000021000000}"/>
    <cellStyle name="Обычный 4 2 2" xfId="474" xr:uid="{00000000-0005-0000-0000-000022000000}"/>
    <cellStyle name="Обычный 4 2 2 2" xfId="585" xr:uid="{00000000-0005-0000-0000-000023000000}"/>
    <cellStyle name="Обычный 4 2 3" xfId="569" xr:uid="{00000000-0005-0000-0000-000024000000}"/>
    <cellStyle name="Обычный 4 2 4" xfId="1706" xr:uid="{00000000-0005-0000-0000-000025000000}"/>
    <cellStyle name="Обычный 4 3" xfId="338" xr:uid="{00000000-0005-0000-0000-000026000000}"/>
    <cellStyle name="Обычный 4 3 2" xfId="577" xr:uid="{00000000-0005-0000-0000-000027000000}"/>
    <cellStyle name="Обычный 4 4" xfId="594" xr:uid="{00000000-0005-0000-0000-000028000000}"/>
    <cellStyle name="Обычный 4 4 2" xfId="1049" xr:uid="{00000000-0005-0000-0000-000029000000}"/>
    <cellStyle name="Обычный 4 5" xfId="561" xr:uid="{00000000-0005-0000-0000-00002A000000}"/>
    <cellStyle name="Обычный 4 6" xfId="1570" xr:uid="{00000000-0005-0000-0000-00002B000000}"/>
    <cellStyle name="Обычный 4 7" xfId="797" xr:uid="{00000000-0005-0000-0000-00002C000000}"/>
    <cellStyle name="Обычный 5" xfId="67" xr:uid="{00000000-0005-0000-0000-00002D000000}"/>
    <cellStyle name="Обычный 5 2" xfId="203" xr:uid="{00000000-0005-0000-0000-00002E000000}"/>
    <cellStyle name="Обычный 5 2 2" xfId="475" xr:uid="{00000000-0005-0000-0000-00002F000000}"/>
    <cellStyle name="Обычный 5 2 2 2" xfId="586" xr:uid="{00000000-0005-0000-0000-000030000000}"/>
    <cellStyle name="Обычный 5 2 3" xfId="570" xr:uid="{00000000-0005-0000-0000-000031000000}"/>
    <cellStyle name="Обычный 5 2 4" xfId="1707" xr:uid="{00000000-0005-0000-0000-000032000000}"/>
    <cellStyle name="Обычный 5 3" xfId="339" xr:uid="{00000000-0005-0000-0000-000033000000}"/>
    <cellStyle name="Обычный 5 3 2" xfId="578" xr:uid="{00000000-0005-0000-0000-000034000000}"/>
    <cellStyle name="Обычный 5 4" xfId="597" xr:uid="{00000000-0005-0000-0000-000035000000}"/>
    <cellStyle name="Обычный 5 4 2" xfId="1050" xr:uid="{00000000-0005-0000-0000-000036000000}"/>
    <cellStyle name="Обычный 5 5" xfId="562" xr:uid="{00000000-0005-0000-0000-000037000000}"/>
    <cellStyle name="Обычный 5 6" xfId="1571" xr:uid="{00000000-0005-0000-0000-000038000000}"/>
    <cellStyle name="Обычный 5 7" xfId="798" xr:uid="{00000000-0005-0000-0000-000039000000}"/>
    <cellStyle name="Обычный 6" xfId="68" xr:uid="{00000000-0005-0000-0000-00003A000000}"/>
    <cellStyle name="Обычный 6 2" xfId="204" xr:uid="{00000000-0005-0000-0000-00003B000000}"/>
    <cellStyle name="Обычный 6 2 2" xfId="476" xr:uid="{00000000-0005-0000-0000-00003C000000}"/>
    <cellStyle name="Обычный 6 2 2 2" xfId="587" xr:uid="{00000000-0005-0000-0000-00003D000000}"/>
    <cellStyle name="Обычный 6 2 3" xfId="571" xr:uid="{00000000-0005-0000-0000-00003E000000}"/>
    <cellStyle name="Обычный 6 2 4" xfId="1708" xr:uid="{00000000-0005-0000-0000-00003F000000}"/>
    <cellStyle name="Обычный 6 3" xfId="340" xr:uid="{00000000-0005-0000-0000-000040000000}"/>
    <cellStyle name="Обычный 6 3 2" xfId="579" xr:uid="{00000000-0005-0000-0000-000041000000}"/>
    <cellStyle name="Обычный 6 4" xfId="603" xr:uid="{00000000-0005-0000-0000-000042000000}"/>
    <cellStyle name="Обычный 6 4 2" xfId="1051" xr:uid="{00000000-0005-0000-0000-000043000000}"/>
    <cellStyle name="Обычный 6 5" xfId="563" xr:uid="{00000000-0005-0000-0000-000044000000}"/>
    <cellStyle name="Обычный 6 6" xfId="1572" xr:uid="{00000000-0005-0000-0000-000045000000}"/>
    <cellStyle name="Обычный 6 7" xfId="799" xr:uid="{00000000-0005-0000-0000-000046000000}"/>
    <cellStyle name="Обычный 7" xfId="69" xr:uid="{00000000-0005-0000-0000-000047000000}"/>
    <cellStyle name="Обычный 7 2" xfId="205" xr:uid="{00000000-0005-0000-0000-000048000000}"/>
    <cellStyle name="Обычный 7 2 2" xfId="477" xr:uid="{00000000-0005-0000-0000-000049000000}"/>
    <cellStyle name="Обычный 7 2 2 2" xfId="588" xr:uid="{00000000-0005-0000-0000-00004A000000}"/>
    <cellStyle name="Обычный 7 2 3" xfId="572" xr:uid="{00000000-0005-0000-0000-00004B000000}"/>
    <cellStyle name="Обычный 7 2 4" xfId="1709" xr:uid="{00000000-0005-0000-0000-00004C000000}"/>
    <cellStyle name="Обычный 7 3" xfId="341" xr:uid="{00000000-0005-0000-0000-00004D000000}"/>
    <cellStyle name="Обычный 7 3 2" xfId="580" xr:uid="{00000000-0005-0000-0000-00004E000000}"/>
    <cellStyle name="Обычный 7 4" xfId="604" xr:uid="{00000000-0005-0000-0000-00004F000000}"/>
    <cellStyle name="Обычный 7 4 2" xfId="1052" xr:uid="{00000000-0005-0000-0000-000050000000}"/>
    <cellStyle name="Обычный 7 5" xfId="564" xr:uid="{00000000-0005-0000-0000-000051000000}"/>
    <cellStyle name="Обычный 7 6" xfId="1573" xr:uid="{00000000-0005-0000-0000-000052000000}"/>
    <cellStyle name="Обычный 7 7" xfId="800" xr:uid="{00000000-0005-0000-0000-000053000000}"/>
    <cellStyle name="Обычный 8" xfId="70" xr:uid="{00000000-0005-0000-0000-000054000000}"/>
    <cellStyle name="Обычный 8 2" xfId="206" xr:uid="{00000000-0005-0000-0000-000055000000}"/>
    <cellStyle name="Обычный 8 2 2" xfId="478" xr:uid="{00000000-0005-0000-0000-000056000000}"/>
    <cellStyle name="Обычный 8 2 2 2" xfId="589" xr:uid="{00000000-0005-0000-0000-000057000000}"/>
    <cellStyle name="Обычный 8 2 3" xfId="573" xr:uid="{00000000-0005-0000-0000-000058000000}"/>
    <cellStyle name="Обычный 8 2 4" xfId="1710" xr:uid="{00000000-0005-0000-0000-000059000000}"/>
    <cellStyle name="Обычный 8 3" xfId="342" xr:uid="{00000000-0005-0000-0000-00005A000000}"/>
    <cellStyle name="Обычный 8 3 2" xfId="581" xr:uid="{00000000-0005-0000-0000-00005B000000}"/>
    <cellStyle name="Обычный 8 4" xfId="605" xr:uid="{00000000-0005-0000-0000-00005C000000}"/>
    <cellStyle name="Обычный 8 4 2" xfId="1053" xr:uid="{00000000-0005-0000-0000-00005D000000}"/>
    <cellStyle name="Обычный 8 5" xfId="565" xr:uid="{00000000-0005-0000-0000-00005E000000}"/>
    <cellStyle name="Обычный 8 6" xfId="1574" xr:uid="{00000000-0005-0000-0000-00005F000000}"/>
    <cellStyle name="Обычный 8 7" xfId="801" xr:uid="{00000000-0005-0000-0000-000060000000}"/>
    <cellStyle name="Обычный 9" xfId="71" xr:uid="{00000000-0005-0000-0000-000061000000}"/>
    <cellStyle name="Обычный 9 2" xfId="207" xr:uid="{00000000-0005-0000-0000-000062000000}"/>
    <cellStyle name="Обычный 9 2 2" xfId="479" xr:uid="{00000000-0005-0000-0000-000063000000}"/>
    <cellStyle name="Обычный 9 2 2 2" xfId="590" xr:uid="{00000000-0005-0000-0000-000064000000}"/>
    <cellStyle name="Обычный 9 2 3" xfId="574" xr:uid="{00000000-0005-0000-0000-000065000000}"/>
    <cellStyle name="Обычный 9 2 4" xfId="1711" xr:uid="{00000000-0005-0000-0000-000066000000}"/>
    <cellStyle name="Обычный 9 3" xfId="343" xr:uid="{00000000-0005-0000-0000-000067000000}"/>
    <cellStyle name="Обычный 9 3 2" xfId="582" xr:uid="{00000000-0005-0000-0000-000068000000}"/>
    <cellStyle name="Обычный 9 4" xfId="606" xr:uid="{00000000-0005-0000-0000-000069000000}"/>
    <cellStyle name="Обычный 9 4 2" xfId="1054" xr:uid="{00000000-0005-0000-0000-00006A000000}"/>
    <cellStyle name="Обычный 9 5" xfId="566" xr:uid="{00000000-0005-0000-0000-00006B000000}"/>
    <cellStyle name="Обычный 9 6" xfId="1575" xr:uid="{00000000-0005-0000-0000-00006C000000}"/>
    <cellStyle name="Обычный 9 7" xfId="802" xr:uid="{00000000-0005-0000-0000-00006D000000}"/>
    <cellStyle name="Процентный" xfId="559" builtinId="5"/>
    <cellStyle name="Процентный 2" xfId="732" xr:uid="{00000000-0005-0000-0000-00006F000000}"/>
    <cellStyle name="Финансовый" xfId="1" builtinId="3"/>
    <cellStyle name="Финансовый [0] 2" xfId="560" xr:uid="{00000000-0005-0000-0000-000071000000}"/>
    <cellStyle name="Финансовый 10" xfId="125" xr:uid="{00000000-0005-0000-0000-000072000000}"/>
    <cellStyle name="Финансовый 10 2" xfId="261" xr:uid="{00000000-0005-0000-0000-000073000000}"/>
    <cellStyle name="Финансовый 10 2 2" xfId="533" xr:uid="{00000000-0005-0000-0000-000074000000}"/>
    <cellStyle name="Финансовый 10 2 2 2" xfId="1492" xr:uid="{00000000-0005-0000-0000-000075000000}"/>
    <cellStyle name="Финансовый 10 2 3" xfId="1236" xr:uid="{00000000-0005-0000-0000-000076000000}"/>
    <cellStyle name="Финансовый 10 2 4" xfId="1765" xr:uid="{00000000-0005-0000-0000-000077000000}"/>
    <cellStyle name="Финансовый 10 3" xfId="397" xr:uid="{00000000-0005-0000-0000-000078000000}"/>
    <cellStyle name="Финансовый 10 3 2" xfId="1364" xr:uid="{00000000-0005-0000-0000-000079000000}"/>
    <cellStyle name="Финансовый 10 4" xfId="619" xr:uid="{00000000-0005-0000-0000-00007A000000}"/>
    <cellStyle name="Финансовый 10 4 2" xfId="1108" xr:uid="{00000000-0005-0000-0000-00007B000000}"/>
    <cellStyle name="Финансовый 10 5" xfId="984" xr:uid="{00000000-0005-0000-0000-00007C000000}"/>
    <cellStyle name="Финансовый 10 6" xfId="1629" xr:uid="{00000000-0005-0000-0000-00007D000000}"/>
    <cellStyle name="Финансовый 10 7" xfId="856" xr:uid="{00000000-0005-0000-0000-00007E000000}"/>
    <cellStyle name="Финансовый 11" xfId="61" xr:uid="{00000000-0005-0000-0000-00007F000000}"/>
    <cellStyle name="Финансовый 11 2" xfId="199" xr:uid="{00000000-0005-0000-0000-000080000000}"/>
    <cellStyle name="Финансовый 11 2 2" xfId="471" xr:uid="{00000000-0005-0000-0000-000081000000}"/>
    <cellStyle name="Финансовый 11 2 2 2" xfId="1438" xr:uid="{00000000-0005-0000-0000-000082000000}"/>
    <cellStyle name="Финансовый 11 2 3" xfId="1182" xr:uid="{00000000-0005-0000-0000-000083000000}"/>
    <cellStyle name="Финансовый 11 2 4" xfId="1703" xr:uid="{00000000-0005-0000-0000-000084000000}"/>
    <cellStyle name="Финансовый 11 3" xfId="335" xr:uid="{00000000-0005-0000-0000-000085000000}"/>
    <cellStyle name="Финансовый 11 3 2" xfId="1310" xr:uid="{00000000-0005-0000-0000-000086000000}"/>
    <cellStyle name="Финансовый 11 4" xfId="611" xr:uid="{00000000-0005-0000-0000-000087000000}"/>
    <cellStyle name="Финансовый 11 4 2" xfId="1046" xr:uid="{00000000-0005-0000-0000-000088000000}"/>
    <cellStyle name="Финансовый 11 5" xfId="930" xr:uid="{00000000-0005-0000-0000-000089000000}"/>
    <cellStyle name="Финансовый 11 6" xfId="1566" xr:uid="{00000000-0005-0000-0000-00008A000000}"/>
    <cellStyle name="Финансовый 11 7" xfId="793" xr:uid="{00000000-0005-0000-0000-00008B000000}"/>
    <cellStyle name="Финансовый 12" xfId="49" xr:uid="{00000000-0005-0000-0000-00008C000000}"/>
    <cellStyle name="Финансовый 12 2" xfId="187" xr:uid="{00000000-0005-0000-0000-00008D000000}"/>
    <cellStyle name="Финансовый 12 2 2" xfId="459" xr:uid="{00000000-0005-0000-0000-00008E000000}"/>
    <cellStyle name="Финансовый 12 2 2 2" xfId="1426" xr:uid="{00000000-0005-0000-0000-00008F000000}"/>
    <cellStyle name="Финансовый 12 2 3" xfId="1170" xr:uid="{00000000-0005-0000-0000-000090000000}"/>
    <cellStyle name="Финансовый 12 2 4" xfId="1691" xr:uid="{00000000-0005-0000-0000-000091000000}"/>
    <cellStyle name="Финансовый 12 3" xfId="323" xr:uid="{00000000-0005-0000-0000-000092000000}"/>
    <cellStyle name="Финансовый 12 3 2" xfId="1298" xr:uid="{00000000-0005-0000-0000-000093000000}"/>
    <cellStyle name="Финансовый 12 4" xfId="613" xr:uid="{00000000-0005-0000-0000-000094000000}"/>
    <cellStyle name="Финансовый 12 4 2" xfId="1034" xr:uid="{00000000-0005-0000-0000-000095000000}"/>
    <cellStyle name="Финансовый 12 5" xfId="918" xr:uid="{00000000-0005-0000-0000-000096000000}"/>
    <cellStyle name="Финансовый 12 6" xfId="1554" xr:uid="{00000000-0005-0000-0000-000097000000}"/>
    <cellStyle name="Финансовый 12 7" xfId="781" xr:uid="{00000000-0005-0000-0000-000098000000}"/>
    <cellStyle name="Финансовый 13" xfId="127" xr:uid="{00000000-0005-0000-0000-000099000000}"/>
    <cellStyle name="Финансовый 13 2" xfId="263" xr:uid="{00000000-0005-0000-0000-00009A000000}"/>
    <cellStyle name="Финансовый 13 2 2" xfId="535" xr:uid="{00000000-0005-0000-0000-00009B000000}"/>
    <cellStyle name="Финансовый 13 2 2 2" xfId="1494" xr:uid="{00000000-0005-0000-0000-00009C000000}"/>
    <cellStyle name="Финансовый 13 2 3" xfId="1238" xr:uid="{00000000-0005-0000-0000-00009D000000}"/>
    <cellStyle name="Финансовый 13 2 4" xfId="1767" xr:uid="{00000000-0005-0000-0000-00009E000000}"/>
    <cellStyle name="Финансовый 13 3" xfId="399" xr:uid="{00000000-0005-0000-0000-00009F000000}"/>
    <cellStyle name="Финансовый 13 3 2" xfId="1366" xr:uid="{00000000-0005-0000-0000-0000A0000000}"/>
    <cellStyle name="Финансовый 13 4" xfId="614" xr:uid="{00000000-0005-0000-0000-0000A1000000}"/>
    <cellStyle name="Финансовый 13 4 2" xfId="1110" xr:uid="{00000000-0005-0000-0000-0000A2000000}"/>
    <cellStyle name="Финансовый 13 5" xfId="986" xr:uid="{00000000-0005-0000-0000-0000A3000000}"/>
    <cellStyle name="Финансовый 13 6" xfId="1631" xr:uid="{00000000-0005-0000-0000-0000A4000000}"/>
    <cellStyle name="Финансовый 13 7" xfId="858" xr:uid="{00000000-0005-0000-0000-0000A5000000}"/>
    <cellStyle name="Финансовый 14" xfId="25" xr:uid="{00000000-0005-0000-0000-0000A6000000}"/>
    <cellStyle name="Финансовый 14 2" xfId="163" xr:uid="{00000000-0005-0000-0000-0000A7000000}"/>
    <cellStyle name="Финансовый 14 2 2" xfId="435" xr:uid="{00000000-0005-0000-0000-0000A8000000}"/>
    <cellStyle name="Финансовый 14 2 2 2" xfId="1402" xr:uid="{00000000-0005-0000-0000-0000A9000000}"/>
    <cellStyle name="Финансовый 14 2 3" xfId="1146" xr:uid="{00000000-0005-0000-0000-0000AA000000}"/>
    <cellStyle name="Финансовый 14 2 4" xfId="1667" xr:uid="{00000000-0005-0000-0000-0000AB000000}"/>
    <cellStyle name="Финансовый 14 3" xfId="299" xr:uid="{00000000-0005-0000-0000-0000AC000000}"/>
    <cellStyle name="Финансовый 14 3 2" xfId="1274" xr:uid="{00000000-0005-0000-0000-0000AD000000}"/>
    <cellStyle name="Финансовый 14 4" xfId="616" xr:uid="{00000000-0005-0000-0000-0000AE000000}"/>
    <cellStyle name="Финансовый 14 4 2" xfId="1010" xr:uid="{00000000-0005-0000-0000-0000AF000000}"/>
    <cellStyle name="Финансовый 14 5" xfId="894" xr:uid="{00000000-0005-0000-0000-0000B0000000}"/>
    <cellStyle name="Финансовый 14 6" xfId="1530" xr:uid="{00000000-0005-0000-0000-0000B1000000}"/>
    <cellStyle name="Финансовый 14 7" xfId="757" xr:uid="{00000000-0005-0000-0000-0000B2000000}"/>
    <cellStyle name="Финансовый 15" xfId="13" xr:uid="{00000000-0005-0000-0000-0000B3000000}"/>
    <cellStyle name="Финансовый 15 2" xfId="151" xr:uid="{00000000-0005-0000-0000-0000B4000000}"/>
    <cellStyle name="Финансовый 15 2 2" xfId="423" xr:uid="{00000000-0005-0000-0000-0000B5000000}"/>
    <cellStyle name="Финансовый 15 2 2 2" xfId="1390" xr:uid="{00000000-0005-0000-0000-0000B6000000}"/>
    <cellStyle name="Финансовый 15 2 3" xfId="1134" xr:uid="{00000000-0005-0000-0000-0000B7000000}"/>
    <cellStyle name="Финансовый 15 2 4" xfId="1655" xr:uid="{00000000-0005-0000-0000-0000B8000000}"/>
    <cellStyle name="Финансовый 15 3" xfId="287" xr:uid="{00000000-0005-0000-0000-0000B9000000}"/>
    <cellStyle name="Финансовый 15 3 2" xfId="1262" xr:uid="{00000000-0005-0000-0000-0000BA000000}"/>
    <cellStyle name="Финансовый 15 4" xfId="610" xr:uid="{00000000-0005-0000-0000-0000BB000000}"/>
    <cellStyle name="Финансовый 15 4 2" xfId="998" xr:uid="{00000000-0005-0000-0000-0000BC000000}"/>
    <cellStyle name="Финансовый 15 5" xfId="882" xr:uid="{00000000-0005-0000-0000-0000BD000000}"/>
    <cellStyle name="Финансовый 15 6" xfId="1518" xr:uid="{00000000-0005-0000-0000-0000BE000000}"/>
    <cellStyle name="Финансовый 15 7" xfId="745" xr:uid="{00000000-0005-0000-0000-0000BF000000}"/>
    <cellStyle name="Финансовый 16" xfId="139" xr:uid="{00000000-0005-0000-0000-0000C0000000}"/>
    <cellStyle name="Финансовый 16 2" xfId="411" xr:uid="{00000000-0005-0000-0000-0000C1000000}"/>
    <cellStyle name="Финансовый 16 2 2" xfId="1378" xr:uid="{00000000-0005-0000-0000-0000C2000000}"/>
    <cellStyle name="Финансовый 16 3" xfId="1122" xr:uid="{00000000-0005-0000-0000-0000C3000000}"/>
    <cellStyle name="Финансовый 16 4" xfId="1643" xr:uid="{00000000-0005-0000-0000-0000C4000000}"/>
    <cellStyle name="Финансовый 17" xfId="547" xr:uid="{00000000-0005-0000-0000-0000C5000000}"/>
    <cellStyle name="Финансовый 17 2" xfId="1250" xr:uid="{00000000-0005-0000-0000-0000C6000000}"/>
    <cellStyle name="Финансовый 18" xfId="275" xr:uid="{00000000-0005-0000-0000-0000C7000000}"/>
    <cellStyle name="Финансовый 19" xfId="596" xr:uid="{00000000-0005-0000-0000-0000C8000000}"/>
    <cellStyle name="Финансовый 19 2" xfId="870" xr:uid="{00000000-0005-0000-0000-0000C9000000}"/>
    <cellStyle name="Финансовый 2" xfId="2" xr:uid="{00000000-0005-0000-0000-0000CA000000}"/>
    <cellStyle name="Финансовый 2 10" xfId="62" xr:uid="{00000000-0005-0000-0000-0000CB000000}"/>
    <cellStyle name="Финансовый 2 10 2" xfId="200" xr:uid="{00000000-0005-0000-0000-0000CC000000}"/>
    <cellStyle name="Финансовый 2 10 2 2" xfId="472" xr:uid="{00000000-0005-0000-0000-0000CD000000}"/>
    <cellStyle name="Финансовый 2 10 2 2 2" xfId="1439" xr:uid="{00000000-0005-0000-0000-0000CE000000}"/>
    <cellStyle name="Финансовый 2 10 2 3" xfId="1183" xr:uid="{00000000-0005-0000-0000-0000CF000000}"/>
    <cellStyle name="Финансовый 2 10 2 4" xfId="1704" xr:uid="{00000000-0005-0000-0000-0000D0000000}"/>
    <cellStyle name="Финансовый 2 10 3" xfId="336" xr:uid="{00000000-0005-0000-0000-0000D1000000}"/>
    <cellStyle name="Финансовый 2 10 3 2" xfId="1311" xr:uid="{00000000-0005-0000-0000-0000D2000000}"/>
    <cellStyle name="Финансовый 2 10 4" xfId="623" xr:uid="{00000000-0005-0000-0000-0000D3000000}"/>
    <cellStyle name="Финансовый 2 10 4 2" xfId="1047" xr:uid="{00000000-0005-0000-0000-0000D4000000}"/>
    <cellStyle name="Финансовый 2 10 5" xfId="931" xr:uid="{00000000-0005-0000-0000-0000D5000000}"/>
    <cellStyle name="Финансовый 2 10 6" xfId="1567" xr:uid="{00000000-0005-0000-0000-0000D6000000}"/>
    <cellStyle name="Финансовый 2 10 7" xfId="794" xr:uid="{00000000-0005-0000-0000-0000D7000000}"/>
    <cellStyle name="Финансовый 2 11" xfId="50" xr:uid="{00000000-0005-0000-0000-0000D8000000}"/>
    <cellStyle name="Финансовый 2 11 2" xfId="188" xr:uid="{00000000-0005-0000-0000-0000D9000000}"/>
    <cellStyle name="Финансовый 2 11 2 2" xfId="460" xr:uid="{00000000-0005-0000-0000-0000DA000000}"/>
    <cellStyle name="Финансовый 2 11 2 2 2" xfId="1427" xr:uid="{00000000-0005-0000-0000-0000DB000000}"/>
    <cellStyle name="Финансовый 2 11 2 3" xfId="1171" xr:uid="{00000000-0005-0000-0000-0000DC000000}"/>
    <cellStyle name="Финансовый 2 11 2 4" xfId="1692" xr:uid="{00000000-0005-0000-0000-0000DD000000}"/>
    <cellStyle name="Финансовый 2 11 3" xfId="324" xr:uid="{00000000-0005-0000-0000-0000DE000000}"/>
    <cellStyle name="Финансовый 2 11 3 2" xfId="1299" xr:uid="{00000000-0005-0000-0000-0000DF000000}"/>
    <cellStyle name="Финансовый 2 11 4" xfId="609" xr:uid="{00000000-0005-0000-0000-0000E0000000}"/>
    <cellStyle name="Финансовый 2 11 4 2" xfId="1035" xr:uid="{00000000-0005-0000-0000-0000E1000000}"/>
    <cellStyle name="Финансовый 2 11 5" xfId="919" xr:uid="{00000000-0005-0000-0000-0000E2000000}"/>
    <cellStyle name="Финансовый 2 11 6" xfId="1555" xr:uid="{00000000-0005-0000-0000-0000E3000000}"/>
    <cellStyle name="Финансовый 2 11 7" xfId="782" xr:uid="{00000000-0005-0000-0000-0000E4000000}"/>
    <cellStyle name="Финансовый 2 12" xfId="128" xr:uid="{00000000-0005-0000-0000-0000E5000000}"/>
    <cellStyle name="Финансовый 2 12 2" xfId="264" xr:uid="{00000000-0005-0000-0000-0000E6000000}"/>
    <cellStyle name="Финансовый 2 12 2 2" xfId="536" xr:uid="{00000000-0005-0000-0000-0000E7000000}"/>
    <cellStyle name="Финансовый 2 12 2 2 2" xfId="1495" xr:uid="{00000000-0005-0000-0000-0000E8000000}"/>
    <cellStyle name="Финансовый 2 12 2 3" xfId="1239" xr:uid="{00000000-0005-0000-0000-0000E9000000}"/>
    <cellStyle name="Финансовый 2 12 2 4" xfId="1768" xr:uid="{00000000-0005-0000-0000-0000EA000000}"/>
    <cellStyle name="Финансовый 2 12 3" xfId="400" xr:uid="{00000000-0005-0000-0000-0000EB000000}"/>
    <cellStyle name="Финансовый 2 12 3 2" xfId="1367" xr:uid="{00000000-0005-0000-0000-0000EC000000}"/>
    <cellStyle name="Финансовый 2 12 4" xfId="625" xr:uid="{00000000-0005-0000-0000-0000ED000000}"/>
    <cellStyle name="Финансовый 2 12 4 2" xfId="1111" xr:uid="{00000000-0005-0000-0000-0000EE000000}"/>
    <cellStyle name="Финансовый 2 12 5" xfId="987" xr:uid="{00000000-0005-0000-0000-0000EF000000}"/>
    <cellStyle name="Финансовый 2 12 6" xfId="1632" xr:uid="{00000000-0005-0000-0000-0000F0000000}"/>
    <cellStyle name="Финансовый 2 12 7" xfId="859" xr:uid="{00000000-0005-0000-0000-0000F1000000}"/>
    <cellStyle name="Финансовый 2 13" xfId="26" xr:uid="{00000000-0005-0000-0000-0000F2000000}"/>
    <cellStyle name="Финансовый 2 13 2" xfId="164" xr:uid="{00000000-0005-0000-0000-0000F3000000}"/>
    <cellStyle name="Финансовый 2 13 2 2" xfId="436" xr:uid="{00000000-0005-0000-0000-0000F4000000}"/>
    <cellStyle name="Финансовый 2 13 2 2 2" xfId="1403" xr:uid="{00000000-0005-0000-0000-0000F5000000}"/>
    <cellStyle name="Финансовый 2 13 2 3" xfId="1147" xr:uid="{00000000-0005-0000-0000-0000F6000000}"/>
    <cellStyle name="Финансовый 2 13 2 4" xfId="1668" xr:uid="{00000000-0005-0000-0000-0000F7000000}"/>
    <cellStyle name="Финансовый 2 13 3" xfId="300" xr:uid="{00000000-0005-0000-0000-0000F8000000}"/>
    <cellStyle name="Финансовый 2 13 3 2" xfId="1275" xr:uid="{00000000-0005-0000-0000-0000F9000000}"/>
    <cellStyle name="Финансовый 2 13 4" xfId="626" xr:uid="{00000000-0005-0000-0000-0000FA000000}"/>
    <cellStyle name="Финансовый 2 13 4 2" xfId="1011" xr:uid="{00000000-0005-0000-0000-0000FB000000}"/>
    <cellStyle name="Финансовый 2 13 5" xfId="895" xr:uid="{00000000-0005-0000-0000-0000FC000000}"/>
    <cellStyle name="Финансовый 2 13 6" xfId="1531" xr:uid="{00000000-0005-0000-0000-0000FD000000}"/>
    <cellStyle name="Финансовый 2 13 7" xfId="758" xr:uid="{00000000-0005-0000-0000-0000FE000000}"/>
    <cellStyle name="Финансовый 2 14" xfId="14" xr:uid="{00000000-0005-0000-0000-0000FF000000}"/>
    <cellStyle name="Финансовый 2 14 2" xfId="152" xr:uid="{00000000-0005-0000-0000-000000010000}"/>
    <cellStyle name="Финансовый 2 14 2 2" xfId="424" xr:uid="{00000000-0005-0000-0000-000001010000}"/>
    <cellStyle name="Финансовый 2 14 2 2 2" xfId="1391" xr:uid="{00000000-0005-0000-0000-000002010000}"/>
    <cellStyle name="Финансовый 2 14 2 3" xfId="1135" xr:uid="{00000000-0005-0000-0000-000003010000}"/>
    <cellStyle name="Финансовый 2 14 2 4" xfId="1656" xr:uid="{00000000-0005-0000-0000-000004010000}"/>
    <cellStyle name="Финансовый 2 14 3" xfId="288" xr:uid="{00000000-0005-0000-0000-000005010000}"/>
    <cellStyle name="Финансовый 2 14 3 2" xfId="1263" xr:uid="{00000000-0005-0000-0000-000006010000}"/>
    <cellStyle name="Финансовый 2 14 4" xfId="627" xr:uid="{00000000-0005-0000-0000-000007010000}"/>
    <cellStyle name="Финансовый 2 14 4 2" xfId="999" xr:uid="{00000000-0005-0000-0000-000008010000}"/>
    <cellStyle name="Финансовый 2 14 5" xfId="883" xr:uid="{00000000-0005-0000-0000-000009010000}"/>
    <cellStyle name="Финансовый 2 14 6" xfId="1519" xr:uid="{00000000-0005-0000-0000-00000A010000}"/>
    <cellStyle name="Финансовый 2 14 7" xfId="746" xr:uid="{00000000-0005-0000-0000-00000B010000}"/>
    <cellStyle name="Финансовый 2 15" xfId="140" xr:uid="{00000000-0005-0000-0000-00000C010000}"/>
    <cellStyle name="Финансовый 2 15 2" xfId="412" xr:uid="{00000000-0005-0000-0000-00000D010000}"/>
    <cellStyle name="Финансовый 2 15 2 2" xfId="1379" xr:uid="{00000000-0005-0000-0000-00000E010000}"/>
    <cellStyle name="Финансовый 2 15 3" xfId="1123" xr:uid="{00000000-0005-0000-0000-00000F010000}"/>
    <cellStyle name="Финансовый 2 15 4" xfId="1644" xr:uid="{00000000-0005-0000-0000-000010010000}"/>
    <cellStyle name="Финансовый 2 16" xfId="548" xr:uid="{00000000-0005-0000-0000-000011010000}"/>
    <cellStyle name="Финансовый 2 16 2" xfId="1251" xr:uid="{00000000-0005-0000-0000-000012010000}"/>
    <cellStyle name="Финансовый 2 17" xfId="276" xr:uid="{00000000-0005-0000-0000-000013010000}"/>
    <cellStyle name="Финансовый 2 18" xfId="620" xr:uid="{00000000-0005-0000-0000-000014010000}"/>
    <cellStyle name="Финансовый 2 18 2" xfId="871" xr:uid="{00000000-0005-0000-0000-000015010000}"/>
    <cellStyle name="Финансовый 2 19" xfId="1507" xr:uid="{00000000-0005-0000-0000-000016010000}"/>
    <cellStyle name="Финансовый 2 2" xfId="4" xr:uid="{00000000-0005-0000-0000-000017010000}"/>
    <cellStyle name="Финансовый 2 2 10" xfId="28" xr:uid="{00000000-0005-0000-0000-000018010000}"/>
    <cellStyle name="Финансовый 2 2 10 2" xfId="166" xr:uid="{00000000-0005-0000-0000-000019010000}"/>
    <cellStyle name="Финансовый 2 2 10 2 2" xfId="438" xr:uid="{00000000-0005-0000-0000-00001A010000}"/>
    <cellStyle name="Финансовый 2 2 10 2 2 2" xfId="1405" xr:uid="{00000000-0005-0000-0000-00001B010000}"/>
    <cellStyle name="Финансовый 2 2 10 2 3" xfId="1149" xr:uid="{00000000-0005-0000-0000-00001C010000}"/>
    <cellStyle name="Финансовый 2 2 10 2 4" xfId="1670" xr:uid="{00000000-0005-0000-0000-00001D010000}"/>
    <cellStyle name="Финансовый 2 2 10 3" xfId="302" xr:uid="{00000000-0005-0000-0000-00001E010000}"/>
    <cellStyle name="Финансовый 2 2 10 3 2" xfId="1277" xr:uid="{00000000-0005-0000-0000-00001F010000}"/>
    <cellStyle name="Финансовый 2 2 10 4" xfId="630" xr:uid="{00000000-0005-0000-0000-000020010000}"/>
    <cellStyle name="Финансовый 2 2 10 4 2" xfId="1013" xr:uid="{00000000-0005-0000-0000-000021010000}"/>
    <cellStyle name="Финансовый 2 2 10 5" xfId="897" xr:uid="{00000000-0005-0000-0000-000022010000}"/>
    <cellStyle name="Финансовый 2 2 10 6" xfId="1533" xr:uid="{00000000-0005-0000-0000-000023010000}"/>
    <cellStyle name="Финансовый 2 2 10 7" xfId="760" xr:uid="{00000000-0005-0000-0000-000024010000}"/>
    <cellStyle name="Финансовый 2 2 11" xfId="16" xr:uid="{00000000-0005-0000-0000-000025010000}"/>
    <cellStyle name="Финансовый 2 2 11 2" xfId="154" xr:uid="{00000000-0005-0000-0000-000026010000}"/>
    <cellStyle name="Финансовый 2 2 11 2 2" xfId="426" xr:uid="{00000000-0005-0000-0000-000027010000}"/>
    <cellStyle name="Финансовый 2 2 11 2 2 2" xfId="1393" xr:uid="{00000000-0005-0000-0000-000028010000}"/>
    <cellStyle name="Финансовый 2 2 11 2 3" xfId="1137" xr:uid="{00000000-0005-0000-0000-000029010000}"/>
    <cellStyle name="Финансовый 2 2 11 2 4" xfId="1658" xr:uid="{00000000-0005-0000-0000-00002A010000}"/>
    <cellStyle name="Финансовый 2 2 11 3" xfId="290" xr:uid="{00000000-0005-0000-0000-00002B010000}"/>
    <cellStyle name="Финансовый 2 2 11 3 2" xfId="1265" xr:uid="{00000000-0005-0000-0000-00002C010000}"/>
    <cellStyle name="Финансовый 2 2 11 4" xfId="599" xr:uid="{00000000-0005-0000-0000-00002D010000}"/>
    <cellStyle name="Финансовый 2 2 11 4 2" xfId="1001" xr:uid="{00000000-0005-0000-0000-00002E010000}"/>
    <cellStyle name="Финансовый 2 2 11 5" xfId="885" xr:uid="{00000000-0005-0000-0000-00002F010000}"/>
    <cellStyle name="Финансовый 2 2 11 6" xfId="1521" xr:uid="{00000000-0005-0000-0000-000030010000}"/>
    <cellStyle name="Финансовый 2 2 11 7" xfId="748" xr:uid="{00000000-0005-0000-0000-000031010000}"/>
    <cellStyle name="Финансовый 2 2 12" xfId="142" xr:uid="{00000000-0005-0000-0000-000032010000}"/>
    <cellStyle name="Финансовый 2 2 12 2" xfId="414" xr:uid="{00000000-0005-0000-0000-000033010000}"/>
    <cellStyle name="Финансовый 2 2 12 2 2" xfId="1381" xr:uid="{00000000-0005-0000-0000-000034010000}"/>
    <cellStyle name="Финансовый 2 2 12 3" xfId="1125" xr:uid="{00000000-0005-0000-0000-000035010000}"/>
    <cellStyle name="Финансовый 2 2 12 4" xfId="1646" xr:uid="{00000000-0005-0000-0000-000036010000}"/>
    <cellStyle name="Финансовый 2 2 13" xfId="550" xr:uid="{00000000-0005-0000-0000-000037010000}"/>
    <cellStyle name="Финансовый 2 2 13 2" xfId="1253" xr:uid="{00000000-0005-0000-0000-000038010000}"/>
    <cellStyle name="Финансовый 2 2 14" xfId="278" xr:uid="{00000000-0005-0000-0000-000039010000}"/>
    <cellStyle name="Финансовый 2 2 15" xfId="629" xr:uid="{00000000-0005-0000-0000-00003A010000}"/>
    <cellStyle name="Финансовый 2 2 15 2" xfId="873" xr:uid="{00000000-0005-0000-0000-00003B010000}"/>
    <cellStyle name="Финансовый 2 2 16" xfId="1509" xr:uid="{00000000-0005-0000-0000-00003C010000}"/>
    <cellStyle name="Финансовый 2 2 17" xfId="736" xr:uid="{00000000-0005-0000-0000-00003D010000}"/>
    <cellStyle name="Финансовый 2 2 2" xfId="10" xr:uid="{00000000-0005-0000-0000-00003E010000}"/>
    <cellStyle name="Финансовый 2 2 2 10" xfId="556" xr:uid="{00000000-0005-0000-0000-00003F010000}"/>
    <cellStyle name="Финансовый 2 2 2 10 2" xfId="1259" xr:uid="{00000000-0005-0000-0000-000040010000}"/>
    <cellStyle name="Финансовый 2 2 2 11" xfId="284" xr:uid="{00000000-0005-0000-0000-000041010000}"/>
    <cellStyle name="Финансовый 2 2 2 12" xfId="632" xr:uid="{00000000-0005-0000-0000-000042010000}"/>
    <cellStyle name="Финансовый 2 2 2 12 2" xfId="879" xr:uid="{00000000-0005-0000-0000-000043010000}"/>
    <cellStyle name="Финансовый 2 2 2 13" xfId="1515" xr:uid="{00000000-0005-0000-0000-000044010000}"/>
    <cellStyle name="Финансовый 2 2 2 14" xfId="742" xr:uid="{00000000-0005-0000-0000-000045010000}"/>
    <cellStyle name="Финансовый 2 2 2 2" xfId="46" xr:uid="{00000000-0005-0000-0000-000046010000}"/>
    <cellStyle name="Финансовый 2 2 2 2 2" xfId="104" xr:uid="{00000000-0005-0000-0000-000047010000}"/>
    <cellStyle name="Финансовый 2 2 2 2 2 2" xfId="240" xr:uid="{00000000-0005-0000-0000-000048010000}"/>
    <cellStyle name="Финансовый 2 2 2 2 2 2 2" xfId="512" xr:uid="{00000000-0005-0000-0000-000049010000}"/>
    <cellStyle name="Финансовый 2 2 2 2 2 2 2 2" xfId="1471" xr:uid="{00000000-0005-0000-0000-00004A010000}"/>
    <cellStyle name="Финансовый 2 2 2 2 2 2 3" xfId="1215" xr:uid="{00000000-0005-0000-0000-00004B010000}"/>
    <cellStyle name="Финансовый 2 2 2 2 2 2 4" xfId="1744" xr:uid="{00000000-0005-0000-0000-00004C010000}"/>
    <cellStyle name="Финансовый 2 2 2 2 2 3" xfId="376" xr:uid="{00000000-0005-0000-0000-00004D010000}"/>
    <cellStyle name="Финансовый 2 2 2 2 2 3 2" xfId="1343" xr:uid="{00000000-0005-0000-0000-00004E010000}"/>
    <cellStyle name="Финансовый 2 2 2 2 2 4" xfId="635" xr:uid="{00000000-0005-0000-0000-00004F010000}"/>
    <cellStyle name="Финансовый 2 2 2 2 2 4 2" xfId="1087" xr:uid="{00000000-0005-0000-0000-000050010000}"/>
    <cellStyle name="Финансовый 2 2 2 2 2 5" xfId="963" xr:uid="{00000000-0005-0000-0000-000051010000}"/>
    <cellStyle name="Финансовый 2 2 2 2 2 6" xfId="1608" xr:uid="{00000000-0005-0000-0000-000052010000}"/>
    <cellStyle name="Финансовый 2 2 2 2 2 7" xfId="835" xr:uid="{00000000-0005-0000-0000-000053010000}"/>
    <cellStyle name="Финансовый 2 2 2 2 3" xfId="184" xr:uid="{00000000-0005-0000-0000-000054010000}"/>
    <cellStyle name="Финансовый 2 2 2 2 3 2" xfId="456" xr:uid="{00000000-0005-0000-0000-000055010000}"/>
    <cellStyle name="Финансовый 2 2 2 2 3 2 2" xfId="1423" xr:uid="{00000000-0005-0000-0000-000056010000}"/>
    <cellStyle name="Финансовый 2 2 2 2 3 3" xfId="1167" xr:uid="{00000000-0005-0000-0000-000057010000}"/>
    <cellStyle name="Финансовый 2 2 2 2 3 4" xfId="1688" xr:uid="{00000000-0005-0000-0000-000058010000}"/>
    <cellStyle name="Финансовый 2 2 2 2 4" xfId="320" xr:uid="{00000000-0005-0000-0000-000059010000}"/>
    <cellStyle name="Финансовый 2 2 2 2 4 2" xfId="1295" xr:uid="{00000000-0005-0000-0000-00005A010000}"/>
    <cellStyle name="Финансовый 2 2 2 2 5" xfId="633" xr:uid="{00000000-0005-0000-0000-00005B010000}"/>
    <cellStyle name="Финансовый 2 2 2 2 5 2" xfId="1031" xr:uid="{00000000-0005-0000-0000-00005C010000}"/>
    <cellStyle name="Финансовый 2 2 2 2 6" xfId="915" xr:uid="{00000000-0005-0000-0000-00005D010000}"/>
    <cellStyle name="Финансовый 2 2 2 2 7" xfId="1551" xr:uid="{00000000-0005-0000-0000-00005E010000}"/>
    <cellStyle name="Финансовый 2 2 2 2 8" xfId="778" xr:uid="{00000000-0005-0000-0000-00005F010000}"/>
    <cellStyle name="Финансовый 2 2 2 3" xfId="116" xr:uid="{00000000-0005-0000-0000-000060010000}"/>
    <cellStyle name="Финансовый 2 2 2 3 2" xfId="252" xr:uid="{00000000-0005-0000-0000-000061010000}"/>
    <cellStyle name="Финансовый 2 2 2 3 2 2" xfId="524" xr:uid="{00000000-0005-0000-0000-000062010000}"/>
    <cellStyle name="Финансовый 2 2 2 3 2 2 2" xfId="1483" xr:uid="{00000000-0005-0000-0000-000063010000}"/>
    <cellStyle name="Финансовый 2 2 2 3 2 3" xfId="1227" xr:uid="{00000000-0005-0000-0000-000064010000}"/>
    <cellStyle name="Финансовый 2 2 2 3 2 4" xfId="1756" xr:uid="{00000000-0005-0000-0000-000065010000}"/>
    <cellStyle name="Финансовый 2 2 2 3 3" xfId="388" xr:uid="{00000000-0005-0000-0000-000066010000}"/>
    <cellStyle name="Финансовый 2 2 2 3 3 2" xfId="1355" xr:uid="{00000000-0005-0000-0000-000067010000}"/>
    <cellStyle name="Финансовый 2 2 2 3 4" xfId="636" xr:uid="{00000000-0005-0000-0000-000068010000}"/>
    <cellStyle name="Финансовый 2 2 2 3 4 2" xfId="1099" xr:uid="{00000000-0005-0000-0000-000069010000}"/>
    <cellStyle name="Финансовый 2 2 2 3 5" xfId="975" xr:uid="{00000000-0005-0000-0000-00006A010000}"/>
    <cellStyle name="Финансовый 2 2 2 3 6" xfId="1620" xr:uid="{00000000-0005-0000-0000-00006B010000}"/>
    <cellStyle name="Финансовый 2 2 2 3 7" xfId="847" xr:uid="{00000000-0005-0000-0000-00006C010000}"/>
    <cellStyle name="Финансовый 2 2 2 4" xfId="80" xr:uid="{00000000-0005-0000-0000-00006D010000}"/>
    <cellStyle name="Финансовый 2 2 2 4 2" xfId="216" xr:uid="{00000000-0005-0000-0000-00006E010000}"/>
    <cellStyle name="Финансовый 2 2 2 4 2 2" xfId="488" xr:uid="{00000000-0005-0000-0000-00006F010000}"/>
    <cellStyle name="Финансовый 2 2 2 4 2 2 2" xfId="1447" xr:uid="{00000000-0005-0000-0000-000070010000}"/>
    <cellStyle name="Финансовый 2 2 2 4 2 3" xfId="1191" xr:uid="{00000000-0005-0000-0000-000071010000}"/>
    <cellStyle name="Финансовый 2 2 2 4 2 4" xfId="1720" xr:uid="{00000000-0005-0000-0000-000072010000}"/>
    <cellStyle name="Финансовый 2 2 2 4 3" xfId="352" xr:uid="{00000000-0005-0000-0000-000073010000}"/>
    <cellStyle name="Финансовый 2 2 2 4 3 2" xfId="1319" xr:uid="{00000000-0005-0000-0000-000074010000}"/>
    <cellStyle name="Финансовый 2 2 2 4 4" xfId="637" xr:uid="{00000000-0005-0000-0000-000075010000}"/>
    <cellStyle name="Финансовый 2 2 2 4 4 2" xfId="1063" xr:uid="{00000000-0005-0000-0000-000076010000}"/>
    <cellStyle name="Финансовый 2 2 2 4 5" xfId="939" xr:uid="{00000000-0005-0000-0000-000077010000}"/>
    <cellStyle name="Финансовый 2 2 2 4 6" xfId="1584" xr:uid="{00000000-0005-0000-0000-000078010000}"/>
    <cellStyle name="Финансовый 2 2 2 4 7" xfId="811" xr:uid="{00000000-0005-0000-0000-000079010000}"/>
    <cellStyle name="Финансовый 2 2 2 5" xfId="58" xr:uid="{00000000-0005-0000-0000-00007A010000}"/>
    <cellStyle name="Финансовый 2 2 2 5 2" xfId="196" xr:uid="{00000000-0005-0000-0000-00007B010000}"/>
    <cellStyle name="Финансовый 2 2 2 5 2 2" xfId="468" xr:uid="{00000000-0005-0000-0000-00007C010000}"/>
    <cellStyle name="Финансовый 2 2 2 5 2 2 2" xfId="1435" xr:uid="{00000000-0005-0000-0000-00007D010000}"/>
    <cellStyle name="Финансовый 2 2 2 5 2 3" xfId="1179" xr:uid="{00000000-0005-0000-0000-00007E010000}"/>
    <cellStyle name="Финансовый 2 2 2 5 2 4" xfId="1700" xr:uid="{00000000-0005-0000-0000-00007F010000}"/>
    <cellStyle name="Финансовый 2 2 2 5 3" xfId="332" xr:uid="{00000000-0005-0000-0000-000080010000}"/>
    <cellStyle name="Финансовый 2 2 2 5 3 2" xfId="1307" xr:uid="{00000000-0005-0000-0000-000081010000}"/>
    <cellStyle name="Финансовый 2 2 2 5 4" xfId="638" xr:uid="{00000000-0005-0000-0000-000082010000}"/>
    <cellStyle name="Финансовый 2 2 2 5 4 2" xfId="1043" xr:uid="{00000000-0005-0000-0000-000083010000}"/>
    <cellStyle name="Финансовый 2 2 2 5 5" xfId="927" xr:uid="{00000000-0005-0000-0000-000084010000}"/>
    <cellStyle name="Финансовый 2 2 2 5 6" xfId="1563" xr:uid="{00000000-0005-0000-0000-000085010000}"/>
    <cellStyle name="Финансовый 2 2 2 5 7" xfId="790" xr:uid="{00000000-0005-0000-0000-000086010000}"/>
    <cellStyle name="Финансовый 2 2 2 6" xfId="136" xr:uid="{00000000-0005-0000-0000-000087010000}"/>
    <cellStyle name="Финансовый 2 2 2 6 2" xfId="272" xr:uid="{00000000-0005-0000-0000-000088010000}"/>
    <cellStyle name="Финансовый 2 2 2 6 2 2" xfId="544" xr:uid="{00000000-0005-0000-0000-000089010000}"/>
    <cellStyle name="Финансовый 2 2 2 6 2 2 2" xfId="1503" xr:uid="{00000000-0005-0000-0000-00008A010000}"/>
    <cellStyle name="Финансовый 2 2 2 6 2 3" xfId="1247" xr:uid="{00000000-0005-0000-0000-00008B010000}"/>
    <cellStyle name="Финансовый 2 2 2 6 2 4" xfId="1776" xr:uid="{00000000-0005-0000-0000-00008C010000}"/>
    <cellStyle name="Финансовый 2 2 2 6 3" xfId="408" xr:uid="{00000000-0005-0000-0000-00008D010000}"/>
    <cellStyle name="Финансовый 2 2 2 6 3 2" xfId="1375" xr:uid="{00000000-0005-0000-0000-00008E010000}"/>
    <cellStyle name="Финансовый 2 2 2 6 4" xfId="639" xr:uid="{00000000-0005-0000-0000-00008F010000}"/>
    <cellStyle name="Финансовый 2 2 2 6 4 2" xfId="1119" xr:uid="{00000000-0005-0000-0000-000090010000}"/>
    <cellStyle name="Финансовый 2 2 2 6 5" xfId="995" xr:uid="{00000000-0005-0000-0000-000091010000}"/>
    <cellStyle name="Финансовый 2 2 2 6 6" xfId="1640" xr:uid="{00000000-0005-0000-0000-000092010000}"/>
    <cellStyle name="Финансовый 2 2 2 6 7" xfId="867" xr:uid="{00000000-0005-0000-0000-000093010000}"/>
    <cellStyle name="Финансовый 2 2 2 7" xfId="34" xr:uid="{00000000-0005-0000-0000-000094010000}"/>
    <cellStyle name="Финансовый 2 2 2 7 2" xfId="172" xr:uid="{00000000-0005-0000-0000-000095010000}"/>
    <cellStyle name="Финансовый 2 2 2 7 2 2" xfId="444" xr:uid="{00000000-0005-0000-0000-000096010000}"/>
    <cellStyle name="Финансовый 2 2 2 7 2 2 2" xfId="1411" xr:uid="{00000000-0005-0000-0000-000097010000}"/>
    <cellStyle name="Финансовый 2 2 2 7 2 3" xfId="1155" xr:uid="{00000000-0005-0000-0000-000098010000}"/>
    <cellStyle name="Финансовый 2 2 2 7 2 4" xfId="1676" xr:uid="{00000000-0005-0000-0000-000099010000}"/>
    <cellStyle name="Финансовый 2 2 2 7 3" xfId="308" xr:uid="{00000000-0005-0000-0000-00009A010000}"/>
    <cellStyle name="Финансовый 2 2 2 7 3 2" xfId="1283" xr:uid="{00000000-0005-0000-0000-00009B010000}"/>
    <cellStyle name="Финансовый 2 2 2 7 4" xfId="640" xr:uid="{00000000-0005-0000-0000-00009C010000}"/>
    <cellStyle name="Финансовый 2 2 2 7 4 2" xfId="1019" xr:uid="{00000000-0005-0000-0000-00009D010000}"/>
    <cellStyle name="Финансовый 2 2 2 7 5" xfId="903" xr:uid="{00000000-0005-0000-0000-00009E010000}"/>
    <cellStyle name="Финансовый 2 2 2 7 6" xfId="1539" xr:uid="{00000000-0005-0000-0000-00009F010000}"/>
    <cellStyle name="Финансовый 2 2 2 7 7" xfId="766" xr:uid="{00000000-0005-0000-0000-0000A0010000}"/>
    <cellStyle name="Финансовый 2 2 2 8" xfId="22" xr:uid="{00000000-0005-0000-0000-0000A1010000}"/>
    <cellStyle name="Финансовый 2 2 2 8 2" xfId="160" xr:uid="{00000000-0005-0000-0000-0000A2010000}"/>
    <cellStyle name="Финансовый 2 2 2 8 2 2" xfId="432" xr:uid="{00000000-0005-0000-0000-0000A3010000}"/>
    <cellStyle name="Финансовый 2 2 2 8 2 2 2" xfId="1399" xr:uid="{00000000-0005-0000-0000-0000A4010000}"/>
    <cellStyle name="Финансовый 2 2 2 8 2 3" xfId="1143" xr:uid="{00000000-0005-0000-0000-0000A5010000}"/>
    <cellStyle name="Финансовый 2 2 2 8 2 4" xfId="1664" xr:uid="{00000000-0005-0000-0000-0000A6010000}"/>
    <cellStyle name="Финансовый 2 2 2 8 3" xfId="296" xr:uid="{00000000-0005-0000-0000-0000A7010000}"/>
    <cellStyle name="Финансовый 2 2 2 8 3 2" xfId="1271" xr:uid="{00000000-0005-0000-0000-0000A8010000}"/>
    <cellStyle name="Финансовый 2 2 2 8 4" xfId="641" xr:uid="{00000000-0005-0000-0000-0000A9010000}"/>
    <cellStyle name="Финансовый 2 2 2 8 4 2" xfId="1007" xr:uid="{00000000-0005-0000-0000-0000AA010000}"/>
    <cellStyle name="Финансовый 2 2 2 8 5" xfId="891" xr:uid="{00000000-0005-0000-0000-0000AB010000}"/>
    <cellStyle name="Финансовый 2 2 2 8 6" xfId="1527" xr:uid="{00000000-0005-0000-0000-0000AC010000}"/>
    <cellStyle name="Финансовый 2 2 2 8 7" xfId="754" xr:uid="{00000000-0005-0000-0000-0000AD010000}"/>
    <cellStyle name="Финансовый 2 2 2 9" xfId="148" xr:uid="{00000000-0005-0000-0000-0000AE010000}"/>
    <cellStyle name="Финансовый 2 2 2 9 2" xfId="420" xr:uid="{00000000-0005-0000-0000-0000AF010000}"/>
    <cellStyle name="Финансовый 2 2 2 9 2 2" xfId="1387" xr:uid="{00000000-0005-0000-0000-0000B0010000}"/>
    <cellStyle name="Финансовый 2 2 2 9 3" xfId="1131" xr:uid="{00000000-0005-0000-0000-0000B1010000}"/>
    <cellStyle name="Финансовый 2 2 2 9 4" xfId="1652" xr:uid="{00000000-0005-0000-0000-0000B2010000}"/>
    <cellStyle name="Финансовый 2 2 3" xfId="40" xr:uid="{00000000-0005-0000-0000-0000B3010000}"/>
    <cellStyle name="Финансовый 2 2 3 2" xfId="122" xr:uid="{00000000-0005-0000-0000-0000B4010000}"/>
    <cellStyle name="Финансовый 2 2 3 2 2" xfId="258" xr:uid="{00000000-0005-0000-0000-0000B5010000}"/>
    <cellStyle name="Финансовый 2 2 3 2 2 2" xfId="530" xr:uid="{00000000-0005-0000-0000-0000B6010000}"/>
    <cellStyle name="Финансовый 2 2 3 2 2 2 2" xfId="1489" xr:uid="{00000000-0005-0000-0000-0000B7010000}"/>
    <cellStyle name="Финансовый 2 2 3 2 2 3" xfId="1233" xr:uid="{00000000-0005-0000-0000-0000B8010000}"/>
    <cellStyle name="Финансовый 2 2 3 2 2 4" xfId="1762" xr:uid="{00000000-0005-0000-0000-0000B9010000}"/>
    <cellStyle name="Финансовый 2 2 3 2 3" xfId="394" xr:uid="{00000000-0005-0000-0000-0000BA010000}"/>
    <cellStyle name="Финансовый 2 2 3 2 3 2" xfId="1361" xr:uid="{00000000-0005-0000-0000-0000BB010000}"/>
    <cellStyle name="Финансовый 2 2 3 2 4" xfId="644" xr:uid="{00000000-0005-0000-0000-0000BC010000}"/>
    <cellStyle name="Финансовый 2 2 3 2 4 2" xfId="1105" xr:uid="{00000000-0005-0000-0000-0000BD010000}"/>
    <cellStyle name="Финансовый 2 2 3 2 5" xfId="981" xr:uid="{00000000-0005-0000-0000-0000BE010000}"/>
    <cellStyle name="Финансовый 2 2 3 2 6" xfId="1626" xr:uid="{00000000-0005-0000-0000-0000BF010000}"/>
    <cellStyle name="Финансовый 2 2 3 2 7" xfId="853" xr:uid="{00000000-0005-0000-0000-0000C0010000}"/>
    <cellStyle name="Финансовый 2 2 3 3" xfId="86" xr:uid="{00000000-0005-0000-0000-0000C1010000}"/>
    <cellStyle name="Финансовый 2 2 3 3 2" xfId="222" xr:uid="{00000000-0005-0000-0000-0000C2010000}"/>
    <cellStyle name="Финансовый 2 2 3 3 2 2" xfId="494" xr:uid="{00000000-0005-0000-0000-0000C3010000}"/>
    <cellStyle name="Финансовый 2 2 3 3 2 2 2" xfId="1453" xr:uid="{00000000-0005-0000-0000-0000C4010000}"/>
    <cellStyle name="Финансовый 2 2 3 3 2 3" xfId="1197" xr:uid="{00000000-0005-0000-0000-0000C5010000}"/>
    <cellStyle name="Финансовый 2 2 3 3 2 4" xfId="1726" xr:uid="{00000000-0005-0000-0000-0000C6010000}"/>
    <cellStyle name="Финансовый 2 2 3 3 3" xfId="358" xr:uid="{00000000-0005-0000-0000-0000C7010000}"/>
    <cellStyle name="Финансовый 2 2 3 3 3 2" xfId="1325" xr:uid="{00000000-0005-0000-0000-0000C8010000}"/>
    <cellStyle name="Финансовый 2 2 3 3 4" xfId="645" xr:uid="{00000000-0005-0000-0000-0000C9010000}"/>
    <cellStyle name="Финансовый 2 2 3 3 4 2" xfId="1069" xr:uid="{00000000-0005-0000-0000-0000CA010000}"/>
    <cellStyle name="Финансовый 2 2 3 3 5" xfId="945" xr:uid="{00000000-0005-0000-0000-0000CB010000}"/>
    <cellStyle name="Финансовый 2 2 3 3 6" xfId="1590" xr:uid="{00000000-0005-0000-0000-0000CC010000}"/>
    <cellStyle name="Финансовый 2 2 3 3 7" xfId="817" xr:uid="{00000000-0005-0000-0000-0000CD010000}"/>
    <cellStyle name="Финансовый 2 2 3 4" xfId="178" xr:uid="{00000000-0005-0000-0000-0000CE010000}"/>
    <cellStyle name="Финансовый 2 2 3 4 2" xfId="450" xr:uid="{00000000-0005-0000-0000-0000CF010000}"/>
    <cellStyle name="Финансовый 2 2 3 4 2 2" xfId="1417" xr:uid="{00000000-0005-0000-0000-0000D0010000}"/>
    <cellStyle name="Финансовый 2 2 3 4 3" xfId="1161" xr:uid="{00000000-0005-0000-0000-0000D1010000}"/>
    <cellStyle name="Финансовый 2 2 3 4 4" xfId="1682" xr:uid="{00000000-0005-0000-0000-0000D2010000}"/>
    <cellStyle name="Финансовый 2 2 3 5" xfId="314" xr:uid="{00000000-0005-0000-0000-0000D3010000}"/>
    <cellStyle name="Финансовый 2 2 3 5 2" xfId="1289" xr:uid="{00000000-0005-0000-0000-0000D4010000}"/>
    <cellStyle name="Финансовый 2 2 3 6" xfId="643" xr:uid="{00000000-0005-0000-0000-0000D5010000}"/>
    <cellStyle name="Финансовый 2 2 3 6 2" xfId="1025" xr:uid="{00000000-0005-0000-0000-0000D6010000}"/>
    <cellStyle name="Финансовый 2 2 3 7" xfId="909" xr:uid="{00000000-0005-0000-0000-0000D7010000}"/>
    <cellStyle name="Финансовый 2 2 3 8" xfId="1545" xr:uid="{00000000-0005-0000-0000-0000D8010000}"/>
    <cellStyle name="Финансовый 2 2 3 9" xfId="772" xr:uid="{00000000-0005-0000-0000-0000D9010000}"/>
    <cellStyle name="Финансовый 2 2 4" xfId="92" xr:uid="{00000000-0005-0000-0000-0000DA010000}"/>
    <cellStyle name="Финансовый 2 2 4 2" xfId="228" xr:uid="{00000000-0005-0000-0000-0000DB010000}"/>
    <cellStyle name="Финансовый 2 2 4 2 2" xfId="500" xr:uid="{00000000-0005-0000-0000-0000DC010000}"/>
    <cellStyle name="Финансовый 2 2 4 2 2 2" xfId="1459" xr:uid="{00000000-0005-0000-0000-0000DD010000}"/>
    <cellStyle name="Финансовый 2 2 4 2 3" xfId="1203" xr:uid="{00000000-0005-0000-0000-0000DE010000}"/>
    <cellStyle name="Финансовый 2 2 4 2 4" xfId="1732" xr:uid="{00000000-0005-0000-0000-0000DF010000}"/>
    <cellStyle name="Финансовый 2 2 4 3" xfId="364" xr:uid="{00000000-0005-0000-0000-0000E0010000}"/>
    <cellStyle name="Финансовый 2 2 4 3 2" xfId="1331" xr:uid="{00000000-0005-0000-0000-0000E1010000}"/>
    <cellStyle name="Финансовый 2 2 4 4" xfId="646" xr:uid="{00000000-0005-0000-0000-0000E2010000}"/>
    <cellStyle name="Финансовый 2 2 4 4 2" xfId="1075" xr:uid="{00000000-0005-0000-0000-0000E3010000}"/>
    <cellStyle name="Финансовый 2 2 4 5" xfId="951" xr:uid="{00000000-0005-0000-0000-0000E4010000}"/>
    <cellStyle name="Финансовый 2 2 4 6" xfId="1596" xr:uid="{00000000-0005-0000-0000-0000E5010000}"/>
    <cellStyle name="Финансовый 2 2 4 7" xfId="823" xr:uid="{00000000-0005-0000-0000-0000E6010000}"/>
    <cellStyle name="Финансовый 2 2 5" xfId="98" xr:uid="{00000000-0005-0000-0000-0000E7010000}"/>
    <cellStyle name="Финансовый 2 2 5 2" xfId="234" xr:uid="{00000000-0005-0000-0000-0000E8010000}"/>
    <cellStyle name="Финансовый 2 2 5 2 2" xfId="506" xr:uid="{00000000-0005-0000-0000-0000E9010000}"/>
    <cellStyle name="Финансовый 2 2 5 2 2 2" xfId="1465" xr:uid="{00000000-0005-0000-0000-0000EA010000}"/>
    <cellStyle name="Финансовый 2 2 5 2 3" xfId="1209" xr:uid="{00000000-0005-0000-0000-0000EB010000}"/>
    <cellStyle name="Финансовый 2 2 5 2 4" xfId="1738" xr:uid="{00000000-0005-0000-0000-0000EC010000}"/>
    <cellStyle name="Финансовый 2 2 5 3" xfId="370" xr:uid="{00000000-0005-0000-0000-0000ED010000}"/>
    <cellStyle name="Финансовый 2 2 5 3 2" xfId="1337" xr:uid="{00000000-0005-0000-0000-0000EE010000}"/>
    <cellStyle name="Финансовый 2 2 5 4" xfId="647" xr:uid="{00000000-0005-0000-0000-0000EF010000}"/>
    <cellStyle name="Финансовый 2 2 5 4 2" xfId="1081" xr:uid="{00000000-0005-0000-0000-0000F0010000}"/>
    <cellStyle name="Финансовый 2 2 5 5" xfId="957" xr:uid="{00000000-0005-0000-0000-0000F1010000}"/>
    <cellStyle name="Финансовый 2 2 5 6" xfId="1602" xr:uid="{00000000-0005-0000-0000-0000F2010000}"/>
    <cellStyle name="Финансовый 2 2 5 7" xfId="829" xr:uid="{00000000-0005-0000-0000-0000F3010000}"/>
    <cellStyle name="Финансовый 2 2 6" xfId="110" xr:uid="{00000000-0005-0000-0000-0000F4010000}"/>
    <cellStyle name="Финансовый 2 2 6 2" xfId="246" xr:uid="{00000000-0005-0000-0000-0000F5010000}"/>
    <cellStyle name="Финансовый 2 2 6 2 2" xfId="518" xr:uid="{00000000-0005-0000-0000-0000F6010000}"/>
    <cellStyle name="Финансовый 2 2 6 2 2 2" xfId="1477" xr:uid="{00000000-0005-0000-0000-0000F7010000}"/>
    <cellStyle name="Финансовый 2 2 6 2 3" xfId="1221" xr:uid="{00000000-0005-0000-0000-0000F8010000}"/>
    <cellStyle name="Финансовый 2 2 6 2 4" xfId="1750" xr:uid="{00000000-0005-0000-0000-0000F9010000}"/>
    <cellStyle name="Финансовый 2 2 6 3" xfId="382" xr:uid="{00000000-0005-0000-0000-0000FA010000}"/>
    <cellStyle name="Финансовый 2 2 6 3 2" xfId="1349" xr:uid="{00000000-0005-0000-0000-0000FB010000}"/>
    <cellStyle name="Финансовый 2 2 6 4" xfId="634" xr:uid="{00000000-0005-0000-0000-0000FC010000}"/>
    <cellStyle name="Финансовый 2 2 6 4 2" xfId="1093" xr:uid="{00000000-0005-0000-0000-0000FD010000}"/>
    <cellStyle name="Финансовый 2 2 6 5" xfId="969" xr:uid="{00000000-0005-0000-0000-0000FE010000}"/>
    <cellStyle name="Финансовый 2 2 6 6" xfId="1614" xr:uid="{00000000-0005-0000-0000-0000FF010000}"/>
    <cellStyle name="Финансовый 2 2 6 7" xfId="841" xr:uid="{00000000-0005-0000-0000-000000020000}"/>
    <cellStyle name="Финансовый 2 2 7" xfId="65" xr:uid="{00000000-0005-0000-0000-000001020000}"/>
    <cellStyle name="Финансовый 2 2 7 2" xfId="201" xr:uid="{00000000-0005-0000-0000-000002020000}"/>
    <cellStyle name="Финансовый 2 2 7 2 2" xfId="473" xr:uid="{00000000-0005-0000-0000-000003020000}"/>
    <cellStyle name="Финансовый 2 2 7 2 2 2" xfId="1440" xr:uid="{00000000-0005-0000-0000-000004020000}"/>
    <cellStyle name="Финансовый 2 2 7 2 3" xfId="1184" xr:uid="{00000000-0005-0000-0000-000005020000}"/>
    <cellStyle name="Финансовый 2 2 7 2 4" xfId="1705" xr:uid="{00000000-0005-0000-0000-000006020000}"/>
    <cellStyle name="Финансовый 2 2 7 3" xfId="337" xr:uid="{00000000-0005-0000-0000-000007020000}"/>
    <cellStyle name="Финансовый 2 2 7 3 2" xfId="1312" xr:uid="{00000000-0005-0000-0000-000008020000}"/>
    <cellStyle name="Финансовый 2 2 7 4" xfId="648" xr:uid="{00000000-0005-0000-0000-000009020000}"/>
    <cellStyle name="Финансовый 2 2 7 4 2" xfId="1048" xr:uid="{00000000-0005-0000-0000-00000A020000}"/>
    <cellStyle name="Финансовый 2 2 7 5" xfId="932" xr:uid="{00000000-0005-0000-0000-00000B020000}"/>
    <cellStyle name="Финансовый 2 2 7 6" xfId="1569" xr:uid="{00000000-0005-0000-0000-00000C020000}"/>
    <cellStyle name="Финансовый 2 2 7 7" xfId="796" xr:uid="{00000000-0005-0000-0000-00000D020000}"/>
    <cellStyle name="Финансовый 2 2 8" xfId="52" xr:uid="{00000000-0005-0000-0000-00000E020000}"/>
    <cellStyle name="Финансовый 2 2 8 2" xfId="190" xr:uid="{00000000-0005-0000-0000-00000F020000}"/>
    <cellStyle name="Финансовый 2 2 8 2 2" xfId="462" xr:uid="{00000000-0005-0000-0000-000010020000}"/>
    <cellStyle name="Финансовый 2 2 8 2 2 2" xfId="1429" xr:uid="{00000000-0005-0000-0000-000011020000}"/>
    <cellStyle name="Финансовый 2 2 8 2 3" xfId="1173" xr:uid="{00000000-0005-0000-0000-000012020000}"/>
    <cellStyle name="Финансовый 2 2 8 2 4" xfId="1694" xr:uid="{00000000-0005-0000-0000-000013020000}"/>
    <cellStyle name="Финансовый 2 2 8 3" xfId="326" xr:uid="{00000000-0005-0000-0000-000014020000}"/>
    <cellStyle name="Финансовый 2 2 8 3 2" xfId="1301" xr:uid="{00000000-0005-0000-0000-000015020000}"/>
    <cellStyle name="Финансовый 2 2 8 4" xfId="649" xr:uid="{00000000-0005-0000-0000-000016020000}"/>
    <cellStyle name="Финансовый 2 2 8 4 2" xfId="1037" xr:uid="{00000000-0005-0000-0000-000017020000}"/>
    <cellStyle name="Финансовый 2 2 8 5" xfId="921" xr:uid="{00000000-0005-0000-0000-000018020000}"/>
    <cellStyle name="Финансовый 2 2 8 6" xfId="1557" xr:uid="{00000000-0005-0000-0000-000019020000}"/>
    <cellStyle name="Финансовый 2 2 8 7" xfId="784" xr:uid="{00000000-0005-0000-0000-00001A020000}"/>
    <cellStyle name="Финансовый 2 2 9" xfId="130" xr:uid="{00000000-0005-0000-0000-00001B020000}"/>
    <cellStyle name="Финансовый 2 2 9 2" xfId="266" xr:uid="{00000000-0005-0000-0000-00001C020000}"/>
    <cellStyle name="Финансовый 2 2 9 2 2" xfId="538" xr:uid="{00000000-0005-0000-0000-00001D020000}"/>
    <cellStyle name="Финансовый 2 2 9 2 2 2" xfId="1497" xr:uid="{00000000-0005-0000-0000-00001E020000}"/>
    <cellStyle name="Финансовый 2 2 9 2 3" xfId="1241" xr:uid="{00000000-0005-0000-0000-00001F020000}"/>
    <cellStyle name="Финансовый 2 2 9 2 4" xfId="1770" xr:uid="{00000000-0005-0000-0000-000020020000}"/>
    <cellStyle name="Финансовый 2 2 9 3" xfId="402" xr:uid="{00000000-0005-0000-0000-000021020000}"/>
    <cellStyle name="Финансовый 2 2 9 3 2" xfId="1369" xr:uid="{00000000-0005-0000-0000-000022020000}"/>
    <cellStyle name="Финансовый 2 2 9 4" xfId="650" xr:uid="{00000000-0005-0000-0000-000023020000}"/>
    <cellStyle name="Финансовый 2 2 9 4 2" xfId="1113" xr:uid="{00000000-0005-0000-0000-000024020000}"/>
    <cellStyle name="Финансовый 2 2 9 5" xfId="989" xr:uid="{00000000-0005-0000-0000-000025020000}"/>
    <cellStyle name="Финансовый 2 2 9 6" xfId="1634" xr:uid="{00000000-0005-0000-0000-000026020000}"/>
    <cellStyle name="Финансовый 2 2 9 7" xfId="861" xr:uid="{00000000-0005-0000-0000-000027020000}"/>
    <cellStyle name="Финансовый 2 20" xfId="734" xr:uid="{00000000-0005-0000-0000-000028020000}"/>
    <cellStyle name="Финансовый 2 3" xfId="6" xr:uid="{00000000-0005-0000-0000-000029020000}"/>
    <cellStyle name="Финансовый 2 3 10" xfId="30" xr:uid="{00000000-0005-0000-0000-00002A020000}"/>
    <cellStyle name="Финансовый 2 3 10 2" xfId="168" xr:uid="{00000000-0005-0000-0000-00002B020000}"/>
    <cellStyle name="Финансовый 2 3 10 2 2" xfId="440" xr:uid="{00000000-0005-0000-0000-00002C020000}"/>
    <cellStyle name="Финансовый 2 3 10 2 2 2" xfId="1407" xr:uid="{00000000-0005-0000-0000-00002D020000}"/>
    <cellStyle name="Финансовый 2 3 10 2 3" xfId="1151" xr:uid="{00000000-0005-0000-0000-00002E020000}"/>
    <cellStyle name="Финансовый 2 3 10 2 4" xfId="1672" xr:uid="{00000000-0005-0000-0000-00002F020000}"/>
    <cellStyle name="Финансовый 2 3 10 3" xfId="304" xr:uid="{00000000-0005-0000-0000-000030020000}"/>
    <cellStyle name="Финансовый 2 3 10 3 2" xfId="1279" xr:uid="{00000000-0005-0000-0000-000031020000}"/>
    <cellStyle name="Финансовый 2 3 10 4" xfId="654" xr:uid="{00000000-0005-0000-0000-000032020000}"/>
    <cellStyle name="Финансовый 2 3 10 4 2" xfId="1015" xr:uid="{00000000-0005-0000-0000-000033020000}"/>
    <cellStyle name="Финансовый 2 3 10 5" xfId="899" xr:uid="{00000000-0005-0000-0000-000034020000}"/>
    <cellStyle name="Финансовый 2 3 10 6" xfId="1535" xr:uid="{00000000-0005-0000-0000-000035020000}"/>
    <cellStyle name="Финансовый 2 3 10 7" xfId="762" xr:uid="{00000000-0005-0000-0000-000036020000}"/>
    <cellStyle name="Финансовый 2 3 11" xfId="18" xr:uid="{00000000-0005-0000-0000-000037020000}"/>
    <cellStyle name="Финансовый 2 3 11 2" xfId="156" xr:uid="{00000000-0005-0000-0000-000038020000}"/>
    <cellStyle name="Финансовый 2 3 11 2 2" xfId="428" xr:uid="{00000000-0005-0000-0000-000039020000}"/>
    <cellStyle name="Финансовый 2 3 11 2 2 2" xfId="1395" xr:uid="{00000000-0005-0000-0000-00003A020000}"/>
    <cellStyle name="Финансовый 2 3 11 2 3" xfId="1139" xr:uid="{00000000-0005-0000-0000-00003B020000}"/>
    <cellStyle name="Финансовый 2 3 11 2 4" xfId="1660" xr:uid="{00000000-0005-0000-0000-00003C020000}"/>
    <cellStyle name="Финансовый 2 3 11 3" xfId="292" xr:uid="{00000000-0005-0000-0000-00003D020000}"/>
    <cellStyle name="Финансовый 2 3 11 3 2" xfId="1267" xr:uid="{00000000-0005-0000-0000-00003E020000}"/>
    <cellStyle name="Финансовый 2 3 11 4" xfId="622" xr:uid="{00000000-0005-0000-0000-00003F020000}"/>
    <cellStyle name="Финансовый 2 3 11 4 2" xfId="1003" xr:uid="{00000000-0005-0000-0000-000040020000}"/>
    <cellStyle name="Финансовый 2 3 11 5" xfId="887" xr:uid="{00000000-0005-0000-0000-000041020000}"/>
    <cellStyle name="Финансовый 2 3 11 6" xfId="1523" xr:uid="{00000000-0005-0000-0000-000042020000}"/>
    <cellStyle name="Финансовый 2 3 11 7" xfId="750" xr:uid="{00000000-0005-0000-0000-000043020000}"/>
    <cellStyle name="Финансовый 2 3 12" xfId="144" xr:uid="{00000000-0005-0000-0000-000044020000}"/>
    <cellStyle name="Финансовый 2 3 12 2" xfId="416" xr:uid="{00000000-0005-0000-0000-000045020000}"/>
    <cellStyle name="Финансовый 2 3 12 2 2" xfId="1383" xr:uid="{00000000-0005-0000-0000-000046020000}"/>
    <cellStyle name="Финансовый 2 3 12 3" xfId="1127" xr:uid="{00000000-0005-0000-0000-000047020000}"/>
    <cellStyle name="Финансовый 2 3 12 4" xfId="1648" xr:uid="{00000000-0005-0000-0000-000048020000}"/>
    <cellStyle name="Финансовый 2 3 13" xfId="552" xr:uid="{00000000-0005-0000-0000-000049020000}"/>
    <cellStyle name="Финансовый 2 3 13 2" xfId="1255" xr:uid="{00000000-0005-0000-0000-00004A020000}"/>
    <cellStyle name="Финансовый 2 3 14" xfId="280" xr:uid="{00000000-0005-0000-0000-00004B020000}"/>
    <cellStyle name="Финансовый 2 3 15" xfId="652" xr:uid="{00000000-0005-0000-0000-00004C020000}"/>
    <cellStyle name="Финансовый 2 3 15 2" xfId="875" xr:uid="{00000000-0005-0000-0000-00004D020000}"/>
    <cellStyle name="Финансовый 2 3 16" xfId="1511" xr:uid="{00000000-0005-0000-0000-00004E020000}"/>
    <cellStyle name="Финансовый 2 3 17" xfId="738" xr:uid="{00000000-0005-0000-0000-00004F020000}"/>
    <cellStyle name="Финансовый 2 3 2" xfId="12" xr:uid="{00000000-0005-0000-0000-000050020000}"/>
    <cellStyle name="Финансовый 2 3 2 10" xfId="558" xr:uid="{00000000-0005-0000-0000-000051020000}"/>
    <cellStyle name="Финансовый 2 3 2 10 2" xfId="1261" xr:uid="{00000000-0005-0000-0000-000052020000}"/>
    <cellStyle name="Финансовый 2 3 2 11" xfId="286" xr:uid="{00000000-0005-0000-0000-000053020000}"/>
    <cellStyle name="Финансовый 2 3 2 12" xfId="655" xr:uid="{00000000-0005-0000-0000-000054020000}"/>
    <cellStyle name="Финансовый 2 3 2 12 2" xfId="881" xr:uid="{00000000-0005-0000-0000-000055020000}"/>
    <cellStyle name="Финансовый 2 3 2 13" xfId="1517" xr:uid="{00000000-0005-0000-0000-000056020000}"/>
    <cellStyle name="Финансовый 2 3 2 14" xfId="744" xr:uid="{00000000-0005-0000-0000-000057020000}"/>
    <cellStyle name="Финансовый 2 3 2 2" xfId="48" xr:uid="{00000000-0005-0000-0000-000058020000}"/>
    <cellStyle name="Финансовый 2 3 2 2 2" xfId="106" xr:uid="{00000000-0005-0000-0000-000059020000}"/>
    <cellStyle name="Финансовый 2 3 2 2 2 2" xfId="242" xr:uid="{00000000-0005-0000-0000-00005A020000}"/>
    <cellStyle name="Финансовый 2 3 2 2 2 2 2" xfId="514" xr:uid="{00000000-0005-0000-0000-00005B020000}"/>
    <cellStyle name="Финансовый 2 3 2 2 2 2 2 2" xfId="1473" xr:uid="{00000000-0005-0000-0000-00005C020000}"/>
    <cellStyle name="Финансовый 2 3 2 2 2 2 3" xfId="1217" xr:uid="{00000000-0005-0000-0000-00005D020000}"/>
    <cellStyle name="Финансовый 2 3 2 2 2 2 4" xfId="1746" xr:uid="{00000000-0005-0000-0000-00005E020000}"/>
    <cellStyle name="Финансовый 2 3 2 2 2 3" xfId="378" xr:uid="{00000000-0005-0000-0000-00005F020000}"/>
    <cellStyle name="Финансовый 2 3 2 2 2 3 2" xfId="1345" xr:uid="{00000000-0005-0000-0000-000060020000}"/>
    <cellStyle name="Финансовый 2 3 2 2 2 4" xfId="657" xr:uid="{00000000-0005-0000-0000-000061020000}"/>
    <cellStyle name="Финансовый 2 3 2 2 2 4 2" xfId="1089" xr:uid="{00000000-0005-0000-0000-000062020000}"/>
    <cellStyle name="Финансовый 2 3 2 2 2 5" xfId="965" xr:uid="{00000000-0005-0000-0000-000063020000}"/>
    <cellStyle name="Финансовый 2 3 2 2 2 6" xfId="1610" xr:uid="{00000000-0005-0000-0000-000064020000}"/>
    <cellStyle name="Финансовый 2 3 2 2 2 7" xfId="837" xr:uid="{00000000-0005-0000-0000-000065020000}"/>
    <cellStyle name="Финансовый 2 3 2 2 3" xfId="186" xr:uid="{00000000-0005-0000-0000-000066020000}"/>
    <cellStyle name="Финансовый 2 3 2 2 3 2" xfId="458" xr:uid="{00000000-0005-0000-0000-000067020000}"/>
    <cellStyle name="Финансовый 2 3 2 2 3 2 2" xfId="1425" xr:uid="{00000000-0005-0000-0000-000068020000}"/>
    <cellStyle name="Финансовый 2 3 2 2 3 3" xfId="1169" xr:uid="{00000000-0005-0000-0000-000069020000}"/>
    <cellStyle name="Финансовый 2 3 2 2 3 4" xfId="1690" xr:uid="{00000000-0005-0000-0000-00006A020000}"/>
    <cellStyle name="Финансовый 2 3 2 2 4" xfId="322" xr:uid="{00000000-0005-0000-0000-00006B020000}"/>
    <cellStyle name="Финансовый 2 3 2 2 4 2" xfId="1297" xr:uid="{00000000-0005-0000-0000-00006C020000}"/>
    <cellStyle name="Финансовый 2 3 2 2 5" xfId="656" xr:uid="{00000000-0005-0000-0000-00006D020000}"/>
    <cellStyle name="Финансовый 2 3 2 2 5 2" xfId="1033" xr:uid="{00000000-0005-0000-0000-00006E020000}"/>
    <cellStyle name="Финансовый 2 3 2 2 6" xfId="917" xr:uid="{00000000-0005-0000-0000-00006F020000}"/>
    <cellStyle name="Финансовый 2 3 2 2 7" xfId="1553" xr:uid="{00000000-0005-0000-0000-000070020000}"/>
    <cellStyle name="Финансовый 2 3 2 2 8" xfId="780" xr:uid="{00000000-0005-0000-0000-000071020000}"/>
    <cellStyle name="Финансовый 2 3 2 3" xfId="118" xr:uid="{00000000-0005-0000-0000-000072020000}"/>
    <cellStyle name="Финансовый 2 3 2 3 2" xfId="254" xr:uid="{00000000-0005-0000-0000-000073020000}"/>
    <cellStyle name="Финансовый 2 3 2 3 2 2" xfId="526" xr:uid="{00000000-0005-0000-0000-000074020000}"/>
    <cellStyle name="Финансовый 2 3 2 3 2 2 2" xfId="1485" xr:uid="{00000000-0005-0000-0000-000075020000}"/>
    <cellStyle name="Финансовый 2 3 2 3 2 3" xfId="1229" xr:uid="{00000000-0005-0000-0000-000076020000}"/>
    <cellStyle name="Финансовый 2 3 2 3 2 4" xfId="1758" xr:uid="{00000000-0005-0000-0000-000077020000}"/>
    <cellStyle name="Финансовый 2 3 2 3 3" xfId="390" xr:uid="{00000000-0005-0000-0000-000078020000}"/>
    <cellStyle name="Финансовый 2 3 2 3 3 2" xfId="1357" xr:uid="{00000000-0005-0000-0000-000079020000}"/>
    <cellStyle name="Финансовый 2 3 2 3 4" xfId="658" xr:uid="{00000000-0005-0000-0000-00007A020000}"/>
    <cellStyle name="Финансовый 2 3 2 3 4 2" xfId="1101" xr:uid="{00000000-0005-0000-0000-00007B020000}"/>
    <cellStyle name="Финансовый 2 3 2 3 5" xfId="977" xr:uid="{00000000-0005-0000-0000-00007C020000}"/>
    <cellStyle name="Финансовый 2 3 2 3 6" xfId="1622" xr:uid="{00000000-0005-0000-0000-00007D020000}"/>
    <cellStyle name="Финансовый 2 3 2 3 7" xfId="849" xr:uid="{00000000-0005-0000-0000-00007E020000}"/>
    <cellStyle name="Финансовый 2 3 2 4" xfId="82" xr:uid="{00000000-0005-0000-0000-00007F020000}"/>
    <cellStyle name="Финансовый 2 3 2 4 2" xfId="218" xr:uid="{00000000-0005-0000-0000-000080020000}"/>
    <cellStyle name="Финансовый 2 3 2 4 2 2" xfId="490" xr:uid="{00000000-0005-0000-0000-000081020000}"/>
    <cellStyle name="Финансовый 2 3 2 4 2 2 2" xfId="1449" xr:uid="{00000000-0005-0000-0000-000082020000}"/>
    <cellStyle name="Финансовый 2 3 2 4 2 3" xfId="1193" xr:uid="{00000000-0005-0000-0000-000083020000}"/>
    <cellStyle name="Финансовый 2 3 2 4 2 4" xfId="1722" xr:uid="{00000000-0005-0000-0000-000084020000}"/>
    <cellStyle name="Финансовый 2 3 2 4 3" xfId="354" xr:uid="{00000000-0005-0000-0000-000085020000}"/>
    <cellStyle name="Финансовый 2 3 2 4 3 2" xfId="1321" xr:uid="{00000000-0005-0000-0000-000086020000}"/>
    <cellStyle name="Финансовый 2 3 2 4 4" xfId="659" xr:uid="{00000000-0005-0000-0000-000087020000}"/>
    <cellStyle name="Финансовый 2 3 2 4 4 2" xfId="1065" xr:uid="{00000000-0005-0000-0000-000088020000}"/>
    <cellStyle name="Финансовый 2 3 2 4 5" xfId="941" xr:uid="{00000000-0005-0000-0000-000089020000}"/>
    <cellStyle name="Финансовый 2 3 2 4 6" xfId="1586" xr:uid="{00000000-0005-0000-0000-00008A020000}"/>
    <cellStyle name="Финансовый 2 3 2 4 7" xfId="813" xr:uid="{00000000-0005-0000-0000-00008B020000}"/>
    <cellStyle name="Финансовый 2 3 2 5" xfId="60" xr:uid="{00000000-0005-0000-0000-00008C020000}"/>
    <cellStyle name="Финансовый 2 3 2 5 2" xfId="198" xr:uid="{00000000-0005-0000-0000-00008D020000}"/>
    <cellStyle name="Финансовый 2 3 2 5 2 2" xfId="470" xr:uid="{00000000-0005-0000-0000-00008E020000}"/>
    <cellStyle name="Финансовый 2 3 2 5 2 2 2" xfId="1437" xr:uid="{00000000-0005-0000-0000-00008F020000}"/>
    <cellStyle name="Финансовый 2 3 2 5 2 3" xfId="1181" xr:uid="{00000000-0005-0000-0000-000090020000}"/>
    <cellStyle name="Финансовый 2 3 2 5 2 4" xfId="1702" xr:uid="{00000000-0005-0000-0000-000091020000}"/>
    <cellStyle name="Финансовый 2 3 2 5 3" xfId="334" xr:uid="{00000000-0005-0000-0000-000092020000}"/>
    <cellStyle name="Финансовый 2 3 2 5 3 2" xfId="1309" xr:uid="{00000000-0005-0000-0000-000093020000}"/>
    <cellStyle name="Финансовый 2 3 2 5 4" xfId="660" xr:uid="{00000000-0005-0000-0000-000094020000}"/>
    <cellStyle name="Финансовый 2 3 2 5 4 2" xfId="1045" xr:uid="{00000000-0005-0000-0000-000095020000}"/>
    <cellStyle name="Финансовый 2 3 2 5 5" xfId="929" xr:uid="{00000000-0005-0000-0000-000096020000}"/>
    <cellStyle name="Финансовый 2 3 2 5 6" xfId="1565" xr:uid="{00000000-0005-0000-0000-000097020000}"/>
    <cellStyle name="Финансовый 2 3 2 5 7" xfId="792" xr:uid="{00000000-0005-0000-0000-000098020000}"/>
    <cellStyle name="Финансовый 2 3 2 6" xfId="138" xr:uid="{00000000-0005-0000-0000-000099020000}"/>
    <cellStyle name="Финансовый 2 3 2 6 2" xfId="274" xr:uid="{00000000-0005-0000-0000-00009A020000}"/>
    <cellStyle name="Финансовый 2 3 2 6 2 2" xfId="546" xr:uid="{00000000-0005-0000-0000-00009B020000}"/>
    <cellStyle name="Финансовый 2 3 2 6 2 2 2" xfId="1505" xr:uid="{00000000-0005-0000-0000-00009C020000}"/>
    <cellStyle name="Финансовый 2 3 2 6 2 3" xfId="1249" xr:uid="{00000000-0005-0000-0000-00009D020000}"/>
    <cellStyle name="Финансовый 2 3 2 6 2 4" xfId="1778" xr:uid="{00000000-0005-0000-0000-00009E020000}"/>
    <cellStyle name="Финансовый 2 3 2 6 3" xfId="410" xr:uid="{00000000-0005-0000-0000-00009F020000}"/>
    <cellStyle name="Финансовый 2 3 2 6 3 2" xfId="1377" xr:uid="{00000000-0005-0000-0000-0000A0020000}"/>
    <cellStyle name="Финансовый 2 3 2 6 4" xfId="661" xr:uid="{00000000-0005-0000-0000-0000A1020000}"/>
    <cellStyle name="Финансовый 2 3 2 6 4 2" xfId="1121" xr:uid="{00000000-0005-0000-0000-0000A2020000}"/>
    <cellStyle name="Финансовый 2 3 2 6 5" xfId="997" xr:uid="{00000000-0005-0000-0000-0000A3020000}"/>
    <cellStyle name="Финансовый 2 3 2 6 6" xfId="1642" xr:uid="{00000000-0005-0000-0000-0000A4020000}"/>
    <cellStyle name="Финансовый 2 3 2 6 7" xfId="869" xr:uid="{00000000-0005-0000-0000-0000A5020000}"/>
    <cellStyle name="Финансовый 2 3 2 7" xfId="36" xr:uid="{00000000-0005-0000-0000-0000A6020000}"/>
    <cellStyle name="Финансовый 2 3 2 7 2" xfId="174" xr:uid="{00000000-0005-0000-0000-0000A7020000}"/>
    <cellStyle name="Финансовый 2 3 2 7 2 2" xfId="446" xr:uid="{00000000-0005-0000-0000-0000A8020000}"/>
    <cellStyle name="Финансовый 2 3 2 7 2 2 2" xfId="1413" xr:uid="{00000000-0005-0000-0000-0000A9020000}"/>
    <cellStyle name="Финансовый 2 3 2 7 2 3" xfId="1157" xr:uid="{00000000-0005-0000-0000-0000AA020000}"/>
    <cellStyle name="Финансовый 2 3 2 7 2 4" xfId="1678" xr:uid="{00000000-0005-0000-0000-0000AB020000}"/>
    <cellStyle name="Финансовый 2 3 2 7 3" xfId="310" xr:uid="{00000000-0005-0000-0000-0000AC020000}"/>
    <cellStyle name="Финансовый 2 3 2 7 3 2" xfId="1285" xr:uid="{00000000-0005-0000-0000-0000AD020000}"/>
    <cellStyle name="Финансовый 2 3 2 7 4" xfId="631" xr:uid="{00000000-0005-0000-0000-0000AE020000}"/>
    <cellStyle name="Финансовый 2 3 2 7 4 2" xfId="1021" xr:uid="{00000000-0005-0000-0000-0000AF020000}"/>
    <cellStyle name="Финансовый 2 3 2 7 5" xfId="905" xr:uid="{00000000-0005-0000-0000-0000B0020000}"/>
    <cellStyle name="Финансовый 2 3 2 7 6" xfId="1541" xr:uid="{00000000-0005-0000-0000-0000B1020000}"/>
    <cellStyle name="Финансовый 2 3 2 7 7" xfId="768" xr:uid="{00000000-0005-0000-0000-0000B2020000}"/>
    <cellStyle name="Финансовый 2 3 2 8" xfId="24" xr:uid="{00000000-0005-0000-0000-0000B3020000}"/>
    <cellStyle name="Финансовый 2 3 2 8 2" xfId="162" xr:uid="{00000000-0005-0000-0000-0000B4020000}"/>
    <cellStyle name="Финансовый 2 3 2 8 2 2" xfId="434" xr:uid="{00000000-0005-0000-0000-0000B5020000}"/>
    <cellStyle name="Финансовый 2 3 2 8 2 2 2" xfId="1401" xr:uid="{00000000-0005-0000-0000-0000B6020000}"/>
    <cellStyle name="Финансовый 2 3 2 8 2 3" xfId="1145" xr:uid="{00000000-0005-0000-0000-0000B7020000}"/>
    <cellStyle name="Финансовый 2 3 2 8 2 4" xfId="1666" xr:uid="{00000000-0005-0000-0000-0000B8020000}"/>
    <cellStyle name="Финансовый 2 3 2 8 3" xfId="298" xr:uid="{00000000-0005-0000-0000-0000B9020000}"/>
    <cellStyle name="Финансовый 2 3 2 8 3 2" xfId="1273" xr:uid="{00000000-0005-0000-0000-0000BA020000}"/>
    <cellStyle name="Финансовый 2 3 2 8 4" xfId="642" xr:uid="{00000000-0005-0000-0000-0000BB020000}"/>
    <cellStyle name="Финансовый 2 3 2 8 4 2" xfId="1009" xr:uid="{00000000-0005-0000-0000-0000BC020000}"/>
    <cellStyle name="Финансовый 2 3 2 8 5" xfId="893" xr:uid="{00000000-0005-0000-0000-0000BD020000}"/>
    <cellStyle name="Финансовый 2 3 2 8 6" xfId="1529" xr:uid="{00000000-0005-0000-0000-0000BE020000}"/>
    <cellStyle name="Финансовый 2 3 2 8 7" xfId="756" xr:uid="{00000000-0005-0000-0000-0000BF020000}"/>
    <cellStyle name="Финансовый 2 3 2 9" xfId="150" xr:uid="{00000000-0005-0000-0000-0000C0020000}"/>
    <cellStyle name="Финансовый 2 3 2 9 2" xfId="422" xr:uid="{00000000-0005-0000-0000-0000C1020000}"/>
    <cellStyle name="Финансовый 2 3 2 9 2 2" xfId="1389" xr:uid="{00000000-0005-0000-0000-0000C2020000}"/>
    <cellStyle name="Финансовый 2 3 2 9 3" xfId="1133" xr:uid="{00000000-0005-0000-0000-0000C3020000}"/>
    <cellStyle name="Финансовый 2 3 2 9 4" xfId="1654" xr:uid="{00000000-0005-0000-0000-0000C4020000}"/>
    <cellStyle name="Финансовый 2 3 3" xfId="42" xr:uid="{00000000-0005-0000-0000-0000C5020000}"/>
    <cellStyle name="Финансовый 2 3 3 2" xfId="124" xr:uid="{00000000-0005-0000-0000-0000C6020000}"/>
    <cellStyle name="Финансовый 2 3 3 2 2" xfId="260" xr:uid="{00000000-0005-0000-0000-0000C7020000}"/>
    <cellStyle name="Финансовый 2 3 3 2 2 2" xfId="532" xr:uid="{00000000-0005-0000-0000-0000C8020000}"/>
    <cellStyle name="Финансовый 2 3 3 2 2 2 2" xfId="1491" xr:uid="{00000000-0005-0000-0000-0000C9020000}"/>
    <cellStyle name="Финансовый 2 3 3 2 2 3" xfId="1235" xr:uid="{00000000-0005-0000-0000-0000CA020000}"/>
    <cellStyle name="Финансовый 2 3 3 2 2 4" xfId="1764" xr:uid="{00000000-0005-0000-0000-0000CB020000}"/>
    <cellStyle name="Финансовый 2 3 3 2 3" xfId="396" xr:uid="{00000000-0005-0000-0000-0000CC020000}"/>
    <cellStyle name="Финансовый 2 3 3 2 3 2" xfId="1363" xr:uid="{00000000-0005-0000-0000-0000CD020000}"/>
    <cellStyle name="Финансовый 2 3 3 2 4" xfId="663" xr:uid="{00000000-0005-0000-0000-0000CE020000}"/>
    <cellStyle name="Финансовый 2 3 3 2 4 2" xfId="1107" xr:uid="{00000000-0005-0000-0000-0000CF020000}"/>
    <cellStyle name="Финансовый 2 3 3 2 5" xfId="983" xr:uid="{00000000-0005-0000-0000-0000D0020000}"/>
    <cellStyle name="Финансовый 2 3 3 2 6" xfId="1628" xr:uid="{00000000-0005-0000-0000-0000D1020000}"/>
    <cellStyle name="Финансовый 2 3 3 2 7" xfId="855" xr:uid="{00000000-0005-0000-0000-0000D2020000}"/>
    <cellStyle name="Финансовый 2 3 3 3" xfId="88" xr:uid="{00000000-0005-0000-0000-0000D3020000}"/>
    <cellStyle name="Финансовый 2 3 3 3 2" xfId="224" xr:uid="{00000000-0005-0000-0000-0000D4020000}"/>
    <cellStyle name="Финансовый 2 3 3 3 2 2" xfId="496" xr:uid="{00000000-0005-0000-0000-0000D5020000}"/>
    <cellStyle name="Финансовый 2 3 3 3 2 2 2" xfId="1455" xr:uid="{00000000-0005-0000-0000-0000D6020000}"/>
    <cellStyle name="Финансовый 2 3 3 3 2 3" xfId="1199" xr:uid="{00000000-0005-0000-0000-0000D7020000}"/>
    <cellStyle name="Финансовый 2 3 3 3 2 4" xfId="1728" xr:uid="{00000000-0005-0000-0000-0000D8020000}"/>
    <cellStyle name="Финансовый 2 3 3 3 3" xfId="360" xr:uid="{00000000-0005-0000-0000-0000D9020000}"/>
    <cellStyle name="Финансовый 2 3 3 3 3 2" xfId="1327" xr:uid="{00000000-0005-0000-0000-0000DA020000}"/>
    <cellStyle name="Финансовый 2 3 3 3 4" xfId="664" xr:uid="{00000000-0005-0000-0000-0000DB020000}"/>
    <cellStyle name="Финансовый 2 3 3 3 4 2" xfId="1071" xr:uid="{00000000-0005-0000-0000-0000DC020000}"/>
    <cellStyle name="Финансовый 2 3 3 3 5" xfId="947" xr:uid="{00000000-0005-0000-0000-0000DD020000}"/>
    <cellStyle name="Финансовый 2 3 3 3 6" xfId="1592" xr:uid="{00000000-0005-0000-0000-0000DE020000}"/>
    <cellStyle name="Финансовый 2 3 3 3 7" xfId="819" xr:uid="{00000000-0005-0000-0000-0000DF020000}"/>
    <cellStyle name="Финансовый 2 3 3 4" xfId="180" xr:uid="{00000000-0005-0000-0000-0000E0020000}"/>
    <cellStyle name="Финансовый 2 3 3 4 2" xfId="452" xr:uid="{00000000-0005-0000-0000-0000E1020000}"/>
    <cellStyle name="Финансовый 2 3 3 4 2 2" xfId="1419" xr:uid="{00000000-0005-0000-0000-0000E2020000}"/>
    <cellStyle name="Финансовый 2 3 3 4 3" xfId="1163" xr:uid="{00000000-0005-0000-0000-0000E3020000}"/>
    <cellStyle name="Финансовый 2 3 3 4 4" xfId="1684" xr:uid="{00000000-0005-0000-0000-0000E4020000}"/>
    <cellStyle name="Финансовый 2 3 3 5" xfId="316" xr:uid="{00000000-0005-0000-0000-0000E5020000}"/>
    <cellStyle name="Финансовый 2 3 3 5 2" xfId="1291" xr:uid="{00000000-0005-0000-0000-0000E6020000}"/>
    <cellStyle name="Финансовый 2 3 3 6" xfId="662" xr:uid="{00000000-0005-0000-0000-0000E7020000}"/>
    <cellStyle name="Финансовый 2 3 3 6 2" xfId="1027" xr:uid="{00000000-0005-0000-0000-0000E8020000}"/>
    <cellStyle name="Финансовый 2 3 3 7" xfId="911" xr:uid="{00000000-0005-0000-0000-0000E9020000}"/>
    <cellStyle name="Финансовый 2 3 3 8" xfId="1547" xr:uid="{00000000-0005-0000-0000-0000EA020000}"/>
    <cellStyle name="Финансовый 2 3 3 9" xfId="774" xr:uid="{00000000-0005-0000-0000-0000EB020000}"/>
    <cellStyle name="Финансовый 2 3 4" xfId="94" xr:uid="{00000000-0005-0000-0000-0000EC020000}"/>
    <cellStyle name="Финансовый 2 3 4 2" xfId="230" xr:uid="{00000000-0005-0000-0000-0000ED020000}"/>
    <cellStyle name="Финансовый 2 3 4 2 2" xfId="502" xr:uid="{00000000-0005-0000-0000-0000EE020000}"/>
    <cellStyle name="Финансовый 2 3 4 2 2 2" xfId="1461" xr:uid="{00000000-0005-0000-0000-0000EF020000}"/>
    <cellStyle name="Финансовый 2 3 4 2 3" xfId="1205" xr:uid="{00000000-0005-0000-0000-0000F0020000}"/>
    <cellStyle name="Финансовый 2 3 4 2 4" xfId="1734" xr:uid="{00000000-0005-0000-0000-0000F1020000}"/>
    <cellStyle name="Финансовый 2 3 4 3" xfId="366" xr:uid="{00000000-0005-0000-0000-0000F2020000}"/>
    <cellStyle name="Финансовый 2 3 4 3 2" xfId="1333" xr:uid="{00000000-0005-0000-0000-0000F3020000}"/>
    <cellStyle name="Финансовый 2 3 4 4" xfId="665" xr:uid="{00000000-0005-0000-0000-0000F4020000}"/>
    <cellStyle name="Финансовый 2 3 4 4 2" xfId="1077" xr:uid="{00000000-0005-0000-0000-0000F5020000}"/>
    <cellStyle name="Финансовый 2 3 4 5" xfId="953" xr:uid="{00000000-0005-0000-0000-0000F6020000}"/>
    <cellStyle name="Финансовый 2 3 4 6" xfId="1598" xr:uid="{00000000-0005-0000-0000-0000F7020000}"/>
    <cellStyle name="Финансовый 2 3 4 7" xfId="825" xr:uid="{00000000-0005-0000-0000-0000F8020000}"/>
    <cellStyle name="Финансовый 2 3 5" xfId="100" xr:uid="{00000000-0005-0000-0000-0000F9020000}"/>
    <cellStyle name="Финансовый 2 3 5 2" xfId="236" xr:uid="{00000000-0005-0000-0000-0000FA020000}"/>
    <cellStyle name="Финансовый 2 3 5 2 2" xfId="508" xr:uid="{00000000-0005-0000-0000-0000FB020000}"/>
    <cellStyle name="Финансовый 2 3 5 2 2 2" xfId="1467" xr:uid="{00000000-0005-0000-0000-0000FC020000}"/>
    <cellStyle name="Финансовый 2 3 5 2 3" xfId="1211" xr:uid="{00000000-0005-0000-0000-0000FD020000}"/>
    <cellStyle name="Финансовый 2 3 5 2 4" xfId="1740" xr:uid="{00000000-0005-0000-0000-0000FE020000}"/>
    <cellStyle name="Финансовый 2 3 5 3" xfId="372" xr:uid="{00000000-0005-0000-0000-0000FF020000}"/>
    <cellStyle name="Финансовый 2 3 5 3 2" xfId="1339" xr:uid="{00000000-0005-0000-0000-000000030000}"/>
    <cellStyle name="Финансовый 2 3 5 4" xfId="666" xr:uid="{00000000-0005-0000-0000-000001030000}"/>
    <cellStyle name="Финансовый 2 3 5 4 2" xfId="1083" xr:uid="{00000000-0005-0000-0000-000002030000}"/>
    <cellStyle name="Финансовый 2 3 5 5" xfId="959" xr:uid="{00000000-0005-0000-0000-000003030000}"/>
    <cellStyle name="Финансовый 2 3 5 6" xfId="1604" xr:uid="{00000000-0005-0000-0000-000004030000}"/>
    <cellStyle name="Финансовый 2 3 5 7" xfId="831" xr:uid="{00000000-0005-0000-0000-000005030000}"/>
    <cellStyle name="Финансовый 2 3 6" xfId="112" xr:uid="{00000000-0005-0000-0000-000006030000}"/>
    <cellStyle name="Финансовый 2 3 6 2" xfId="248" xr:uid="{00000000-0005-0000-0000-000007030000}"/>
    <cellStyle name="Финансовый 2 3 6 2 2" xfId="520" xr:uid="{00000000-0005-0000-0000-000008030000}"/>
    <cellStyle name="Финансовый 2 3 6 2 2 2" xfId="1479" xr:uid="{00000000-0005-0000-0000-000009030000}"/>
    <cellStyle name="Финансовый 2 3 6 2 3" xfId="1223" xr:uid="{00000000-0005-0000-0000-00000A030000}"/>
    <cellStyle name="Финансовый 2 3 6 2 4" xfId="1752" xr:uid="{00000000-0005-0000-0000-00000B030000}"/>
    <cellStyle name="Финансовый 2 3 6 3" xfId="384" xr:uid="{00000000-0005-0000-0000-00000C030000}"/>
    <cellStyle name="Финансовый 2 3 6 3 2" xfId="1351" xr:uid="{00000000-0005-0000-0000-00000D030000}"/>
    <cellStyle name="Финансовый 2 3 6 4" xfId="667" xr:uid="{00000000-0005-0000-0000-00000E030000}"/>
    <cellStyle name="Финансовый 2 3 6 4 2" xfId="1095" xr:uid="{00000000-0005-0000-0000-00000F030000}"/>
    <cellStyle name="Финансовый 2 3 6 5" xfId="971" xr:uid="{00000000-0005-0000-0000-000010030000}"/>
    <cellStyle name="Финансовый 2 3 6 6" xfId="1616" xr:uid="{00000000-0005-0000-0000-000011030000}"/>
    <cellStyle name="Финансовый 2 3 6 7" xfId="843" xr:uid="{00000000-0005-0000-0000-000012030000}"/>
    <cellStyle name="Финансовый 2 3 7" xfId="76" xr:uid="{00000000-0005-0000-0000-000013030000}"/>
    <cellStyle name="Финансовый 2 3 7 2" xfId="212" xr:uid="{00000000-0005-0000-0000-000014030000}"/>
    <cellStyle name="Финансовый 2 3 7 2 2" xfId="484" xr:uid="{00000000-0005-0000-0000-000015030000}"/>
    <cellStyle name="Финансовый 2 3 7 2 2 2" xfId="1443" xr:uid="{00000000-0005-0000-0000-000016030000}"/>
    <cellStyle name="Финансовый 2 3 7 2 3" xfId="1187" xr:uid="{00000000-0005-0000-0000-000017030000}"/>
    <cellStyle name="Финансовый 2 3 7 2 4" xfId="1716" xr:uid="{00000000-0005-0000-0000-000018030000}"/>
    <cellStyle name="Финансовый 2 3 7 3" xfId="348" xr:uid="{00000000-0005-0000-0000-000019030000}"/>
    <cellStyle name="Финансовый 2 3 7 3 2" xfId="1315" xr:uid="{00000000-0005-0000-0000-00001A030000}"/>
    <cellStyle name="Финансовый 2 3 7 4" xfId="668" xr:uid="{00000000-0005-0000-0000-00001B030000}"/>
    <cellStyle name="Финансовый 2 3 7 4 2" xfId="1059" xr:uid="{00000000-0005-0000-0000-00001C030000}"/>
    <cellStyle name="Финансовый 2 3 7 5" xfId="935" xr:uid="{00000000-0005-0000-0000-00001D030000}"/>
    <cellStyle name="Финансовый 2 3 7 6" xfId="1580" xr:uid="{00000000-0005-0000-0000-00001E030000}"/>
    <cellStyle name="Финансовый 2 3 7 7" xfId="807" xr:uid="{00000000-0005-0000-0000-00001F030000}"/>
    <cellStyle name="Финансовый 2 3 8" xfId="54" xr:uid="{00000000-0005-0000-0000-000020030000}"/>
    <cellStyle name="Финансовый 2 3 8 2" xfId="192" xr:uid="{00000000-0005-0000-0000-000021030000}"/>
    <cellStyle name="Финансовый 2 3 8 2 2" xfId="464" xr:uid="{00000000-0005-0000-0000-000022030000}"/>
    <cellStyle name="Финансовый 2 3 8 2 2 2" xfId="1431" xr:uid="{00000000-0005-0000-0000-000023030000}"/>
    <cellStyle name="Финансовый 2 3 8 2 3" xfId="1175" xr:uid="{00000000-0005-0000-0000-000024030000}"/>
    <cellStyle name="Финансовый 2 3 8 2 4" xfId="1696" xr:uid="{00000000-0005-0000-0000-000025030000}"/>
    <cellStyle name="Финансовый 2 3 8 3" xfId="328" xr:uid="{00000000-0005-0000-0000-000026030000}"/>
    <cellStyle name="Финансовый 2 3 8 3 2" xfId="1303" xr:uid="{00000000-0005-0000-0000-000027030000}"/>
    <cellStyle name="Финансовый 2 3 8 4" xfId="669" xr:uid="{00000000-0005-0000-0000-000028030000}"/>
    <cellStyle name="Финансовый 2 3 8 4 2" xfId="1039" xr:uid="{00000000-0005-0000-0000-000029030000}"/>
    <cellStyle name="Финансовый 2 3 8 5" xfId="923" xr:uid="{00000000-0005-0000-0000-00002A030000}"/>
    <cellStyle name="Финансовый 2 3 8 6" xfId="1559" xr:uid="{00000000-0005-0000-0000-00002B030000}"/>
    <cellStyle name="Финансовый 2 3 8 7" xfId="786" xr:uid="{00000000-0005-0000-0000-00002C030000}"/>
    <cellStyle name="Финансовый 2 3 9" xfId="132" xr:uid="{00000000-0005-0000-0000-00002D030000}"/>
    <cellStyle name="Финансовый 2 3 9 2" xfId="268" xr:uid="{00000000-0005-0000-0000-00002E030000}"/>
    <cellStyle name="Финансовый 2 3 9 2 2" xfId="540" xr:uid="{00000000-0005-0000-0000-00002F030000}"/>
    <cellStyle name="Финансовый 2 3 9 2 2 2" xfId="1499" xr:uid="{00000000-0005-0000-0000-000030030000}"/>
    <cellStyle name="Финансовый 2 3 9 2 3" xfId="1243" xr:uid="{00000000-0005-0000-0000-000031030000}"/>
    <cellStyle name="Финансовый 2 3 9 2 4" xfId="1772" xr:uid="{00000000-0005-0000-0000-000032030000}"/>
    <cellStyle name="Финансовый 2 3 9 3" xfId="404" xr:uid="{00000000-0005-0000-0000-000033030000}"/>
    <cellStyle name="Финансовый 2 3 9 3 2" xfId="1371" xr:uid="{00000000-0005-0000-0000-000034030000}"/>
    <cellStyle name="Финансовый 2 3 9 4" xfId="670" xr:uid="{00000000-0005-0000-0000-000035030000}"/>
    <cellStyle name="Финансовый 2 3 9 4 2" xfId="1115" xr:uid="{00000000-0005-0000-0000-000036030000}"/>
    <cellStyle name="Финансовый 2 3 9 5" xfId="991" xr:uid="{00000000-0005-0000-0000-000037030000}"/>
    <cellStyle name="Финансовый 2 3 9 6" xfId="1636" xr:uid="{00000000-0005-0000-0000-000038030000}"/>
    <cellStyle name="Финансовый 2 3 9 7" xfId="863" xr:uid="{00000000-0005-0000-0000-000039030000}"/>
    <cellStyle name="Финансовый 2 4" xfId="8" xr:uid="{00000000-0005-0000-0000-00003A030000}"/>
    <cellStyle name="Финансовый 2 4 10" xfId="554" xr:uid="{00000000-0005-0000-0000-00003B030000}"/>
    <cellStyle name="Финансовый 2 4 10 2" xfId="1257" xr:uid="{00000000-0005-0000-0000-00003C030000}"/>
    <cellStyle name="Финансовый 2 4 11" xfId="282" xr:uid="{00000000-0005-0000-0000-00003D030000}"/>
    <cellStyle name="Финансовый 2 4 12" xfId="672" xr:uid="{00000000-0005-0000-0000-00003E030000}"/>
    <cellStyle name="Финансовый 2 4 12 2" xfId="877" xr:uid="{00000000-0005-0000-0000-00003F030000}"/>
    <cellStyle name="Финансовый 2 4 13" xfId="1513" xr:uid="{00000000-0005-0000-0000-000040030000}"/>
    <cellStyle name="Финансовый 2 4 14" xfId="740" xr:uid="{00000000-0005-0000-0000-000041030000}"/>
    <cellStyle name="Финансовый 2 4 2" xfId="44" xr:uid="{00000000-0005-0000-0000-000042030000}"/>
    <cellStyle name="Финансовый 2 4 2 2" xfId="102" xr:uid="{00000000-0005-0000-0000-000043030000}"/>
    <cellStyle name="Финансовый 2 4 2 2 2" xfId="238" xr:uid="{00000000-0005-0000-0000-000044030000}"/>
    <cellStyle name="Финансовый 2 4 2 2 2 2" xfId="510" xr:uid="{00000000-0005-0000-0000-000045030000}"/>
    <cellStyle name="Финансовый 2 4 2 2 2 2 2" xfId="1469" xr:uid="{00000000-0005-0000-0000-000046030000}"/>
    <cellStyle name="Финансовый 2 4 2 2 2 3" xfId="1213" xr:uid="{00000000-0005-0000-0000-000047030000}"/>
    <cellStyle name="Финансовый 2 4 2 2 2 4" xfId="1742" xr:uid="{00000000-0005-0000-0000-000048030000}"/>
    <cellStyle name="Финансовый 2 4 2 2 3" xfId="374" xr:uid="{00000000-0005-0000-0000-000049030000}"/>
    <cellStyle name="Финансовый 2 4 2 2 3 2" xfId="1341" xr:uid="{00000000-0005-0000-0000-00004A030000}"/>
    <cellStyle name="Финансовый 2 4 2 2 4" xfId="674" xr:uid="{00000000-0005-0000-0000-00004B030000}"/>
    <cellStyle name="Финансовый 2 4 2 2 4 2" xfId="1085" xr:uid="{00000000-0005-0000-0000-00004C030000}"/>
    <cellStyle name="Финансовый 2 4 2 2 5" xfId="961" xr:uid="{00000000-0005-0000-0000-00004D030000}"/>
    <cellStyle name="Финансовый 2 4 2 2 6" xfId="1606" xr:uid="{00000000-0005-0000-0000-00004E030000}"/>
    <cellStyle name="Финансовый 2 4 2 2 7" xfId="833" xr:uid="{00000000-0005-0000-0000-00004F030000}"/>
    <cellStyle name="Финансовый 2 4 2 3" xfId="182" xr:uid="{00000000-0005-0000-0000-000050030000}"/>
    <cellStyle name="Финансовый 2 4 2 3 2" xfId="454" xr:uid="{00000000-0005-0000-0000-000051030000}"/>
    <cellStyle name="Финансовый 2 4 2 3 2 2" xfId="1421" xr:uid="{00000000-0005-0000-0000-000052030000}"/>
    <cellStyle name="Финансовый 2 4 2 3 3" xfId="1165" xr:uid="{00000000-0005-0000-0000-000053030000}"/>
    <cellStyle name="Финансовый 2 4 2 3 4" xfId="1686" xr:uid="{00000000-0005-0000-0000-000054030000}"/>
    <cellStyle name="Финансовый 2 4 2 4" xfId="318" xr:uid="{00000000-0005-0000-0000-000055030000}"/>
    <cellStyle name="Финансовый 2 4 2 4 2" xfId="1293" xr:uid="{00000000-0005-0000-0000-000056030000}"/>
    <cellStyle name="Финансовый 2 4 2 5" xfId="673" xr:uid="{00000000-0005-0000-0000-000057030000}"/>
    <cellStyle name="Финансовый 2 4 2 5 2" xfId="1029" xr:uid="{00000000-0005-0000-0000-000058030000}"/>
    <cellStyle name="Финансовый 2 4 2 6" xfId="913" xr:uid="{00000000-0005-0000-0000-000059030000}"/>
    <cellStyle name="Финансовый 2 4 2 7" xfId="1549" xr:uid="{00000000-0005-0000-0000-00005A030000}"/>
    <cellStyle name="Финансовый 2 4 2 8" xfId="776" xr:uid="{00000000-0005-0000-0000-00005B030000}"/>
    <cellStyle name="Финансовый 2 4 3" xfId="114" xr:uid="{00000000-0005-0000-0000-00005C030000}"/>
    <cellStyle name="Финансовый 2 4 3 2" xfId="250" xr:uid="{00000000-0005-0000-0000-00005D030000}"/>
    <cellStyle name="Финансовый 2 4 3 2 2" xfId="522" xr:uid="{00000000-0005-0000-0000-00005E030000}"/>
    <cellStyle name="Финансовый 2 4 3 2 2 2" xfId="1481" xr:uid="{00000000-0005-0000-0000-00005F030000}"/>
    <cellStyle name="Финансовый 2 4 3 2 3" xfId="1225" xr:uid="{00000000-0005-0000-0000-000060030000}"/>
    <cellStyle name="Финансовый 2 4 3 2 4" xfId="1754" xr:uid="{00000000-0005-0000-0000-000061030000}"/>
    <cellStyle name="Финансовый 2 4 3 3" xfId="386" xr:uid="{00000000-0005-0000-0000-000062030000}"/>
    <cellStyle name="Финансовый 2 4 3 3 2" xfId="1353" xr:uid="{00000000-0005-0000-0000-000063030000}"/>
    <cellStyle name="Финансовый 2 4 3 4" xfId="675" xr:uid="{00000000-0005-0000-0000-000064030000}"/>
    <cellStyle name="Финансовый 2 4 3 4 2" xfId="1097" xr:uid="{00000000-0005-0000-0000-000065030000}"/>
    <cellStyle name="Финансовый 2 4 3 5" xfId="973" xr:uid="{00000000-0005-0000-0000-000066030000}"/>
    <cellStyle name="Финансовый 2 4 3 6" xfId="1618" xr:uid="{00000000-0005-0000-0000-000067030000}"/>
    <cellStyle name="Финансовый 2 4 3 7" xfId="845" xr:uid="{00000000-0005-0000-0000-000068030000}"/>
    <cellStyle name="Финансовый 2 4 4" xfId="78" xr:uid="{00000000-0005-0000-0000-000069030000}"/>
    <cellStyle name="Финансовый 2 4 4 2" xfId="214" xr:uid="{00000000-0005-0000-0000-00006A030000}"/>
    <cellStyle name="Финансовый 2 4 4 2 2" xfId="486" xr:uid="{00000000-0005-0000-0000-00006B030000}"/>
    <cellStyle name="Финансовый 2 4 4 2 2 2" xfId="1445" xr:uid="{00000000-0005-0000-0000-00006C030000}"/>
    <cellStyle name="Финансовый 2 4 4 2 3" xfId="1189" xr:uid="{00000000-0005-0000-0000-00006D030000}"/>
    <cellStyle name="Финансовый 2 4 4 2 4" xfId="1718" xr:uid="{00000000-0005-0000-0000-00006E030000}"/>
    <cellStyle name="Финансовый 2 4 4 3" xfId="350" xr:uid="{00000000-0005-0000-0000-00006F030000}"/>
    <cellStyle name="Финансовый 2 4 4 3 2" xfId="1317" xr:uid="{00000000-0005-0000-0000-000070030000}"/>
    <cellStyle name="Финансовый 2 4 4 4" xfId="676" xr:uid="{00000000-0005-0000-0000-000071030000}"/>
    <cellStyle name="Финансовый 2 4 4 4 2" xfId="1061" xr:uid="{00000000-0005-0000-0000-000072030000}"/>
    <cellStyle name="Финансовый 2 4 4 5" xfId="937" xr:uid="{00000000-0005-0000-0000-000073030000}"/>
    <cellStyle name="Финансовый 2 4 4 6" xfId="1582" xr:uid="{00000000-0005-0000-0000-000074030000}"/>
    <cellStyle name="Финансовый 2 4 4 7" xfId="809" xr:uid="{00000000-0005-0000-0000-000075030000}"/>
    <cellStyle name="Финансовый 2 4 5" xfId="56" xr:uid="{00000000-0005-0000-0000-000076030000}"/>
    <cellStyle name="Финансовый 2 4 5 2" xfId="194" xr:uid="{00000000-0005-0000-0000-000077030000}"/>
    <cellStyle name="Финансовый 2 4 5 2 2" xfId="466" xr:uid="{00000000-0005-0000-0000-000078030000}"/>
    <cellStyle name="Финансовый 2 4 5 2 2 2" xfId="1433" xr:uid="{00000000-0005-0000-0000-000079030000}"/>
    <cellStyle name="Финансовый 2 4 5 2 3" xfId="1177" xr:uid="{00000000-0005-0000-0000-00007A030000}"/>
    <cellStyle name="Финансовый 2 4 5 2 4" xfId="1698" xr:uid="{00000000-0005-0000-0000-00007B030000}"/>
    <cellStyle name="Финансовый 2 4 5 3" xfId="330" xr:uid="{00000000-0005-0000-0000-00007C030000}"/>
    <cellStyle name="Финансовый 2 4 5 3 2" xfId="1305" xr:uid="{00000000-0005-0000-0000-00007D030000}"/>
    <cellStyle name="Финансовый 2 4 5 4" xfId="677" xr:uid="{00000000-0005-0000-0000-00007E030000}"/>
    <cellStyle name="Финансовый 2 4 5 4 2" xfId="1041" xr:uid="{00000000-0005-0000-0000-00007F030000}"/>
    <cellStyle name="Финансовый 2 4 5 5" xfId="925" xr:uid="{00000000-0005-0000-0000-000080030000}"/>
    <cellStyle name="Финансовый 2 4 5 6" xfId="1561" xr:uid="{00000000-0005-0000-0000-000081030000}"/>
    <cellStyle name="Финансовый 2 4 5 7" xfId="788" xr:uid="{00000000-0005-0000-0000-000082030000}"/>
    <cellStyle name="Финансовый 2 4 6" xfId="134" xr:uid="{00000000-0005-0000-0000-000083030000}"/>
    <cellStyle name="Финансовый 2 4 6 2" xfId="270" xr:uid="{00000000-0005-0000-0000-000084030000}"/>
    <cellStyle name="Финансовый 2 4 6 2 2" xfId="542" xr:uid="{00000000-0005-0000-0000-000085030000}"/>
    <cellStyle name="Финансовый 2 4 6 2 2 2" xfId="1501" xr:uid="{00000000-0005-0000-0000-000086030000}"/>
    <cellStyle name="Финансовый 2 4 6 2 3" xfId="1245" xr:uid="{00000000-0005-0000-0000-000087030000}"/>
    <cellStyle name="Финансовый 2 4 6 2 4" xfId="1774" xr:uid="{00000000-0005-0000-0000-000088030000}"/>
    <cellStyle name="Финансовый 2 4 6 3" xfId="406" xr:uid="{00000000-0005-0000-0000-000089030000}"/>
    <cellStyle name="Финансовый 2 4 6 3 2" xfId="1373" xr:uid="{00000000-0005-0000-0000-00008A030000}"/>
    <cellStyle name="Финансовый 2 4 6 4" xfId="678" xr:uid="{00000000-0005-0000-0000-00008B030000}"/>
    <cellStyle name="Финансовый 2 4 6 4 2" xfId="1117" xr:uid="{00000000-0005-0000-0000-00008C030000}"/>
    <cellStyle name="Финансовый 2 4 6 5" xfId="993" xr:uid="{00000000-0005-0000-0000-00008D030000}"/>
    <cellStyle name="Финансовый 2 4 6 6" xfId="1638" xr:uid="{00000000-0005-0000-0000-00008E030000}"/>
    <cellStyle name="Финансовый 2 4 6 7" xfId="865" xr:uid="{00000000-0005-0000-0000-00008F030000}"/>
    <cellStyle name="Финансовый 2 4 7" xfId="32" xr:uid="{00000000-0005-0000-0000-000090030000}"/>
    <cellStyle name="Финансовый 2 4 7 2" xfId="170" xr:uid="{00000000-0005-0000-0000-000091030000}"/>
    <cellStyle name="Финансовый 2 4 7 2 2" xfId="442" xr:uid="{00000000-0005-0000-0000-000092030000}"/>
    <cellStyle name="Финансовый 2 4 7 2 2 2" xfId="1409" xr:uid="{00000000-0005-0000-0000-000093030000}"/>
    <cellStyle name="Финансовый 2 4 7 2 3" xfId="1153" xr:uid="{00000000-0005-0000-0000-000094030000}"/>
    <cellStyle name="Финансовый 2 4 7 2 4" xfId="1674" xr:uid="{00000000-0005-0000-0000-000095030000}"/>
    <cellStyle name="Финансовый 2 4 7 3" xfId="306" xr:uid="{00000000-0005-0000-0000-000096030000}"/>
    <cellStyle name="Финансовый 2 4 7 3 2" xfId="1281" xr:uid="{00000000-0005-0000-0000-000097030000}"/>
    <cellStyle name="Финансовый 2 4 7 4" xfId="679" xr:uid="{00000000-0005-0000-0000-000098030000}"/>
    <cellStyle name="Финансовый 2 4 7 4 2" xfId="1017" xr:uid="{00000000-0005-0000-0000-000099030000}"/>
    <cellStyle name="Финансовый 2 4 7 5" xfId="901" xr:uid="{00000000-0005-0000-0000-00009A030000}"/>
    <cellStyle name="Финансовый 2 4 7 6" xfId="1537" xr:uid="{00000000-0005-0000-0000-00009B030000}"/>
    <cellStyle name="Финансовый 2 4 7 7" xfId="764" xr:uid="{00000000-0005-0000-0000-00009C030000}"/>
    <cellStyle name="Финансовый 2 4 8" xfId="20" xr:uid="{00000000-0005-0000-0000-00009D030000}"/>
    <cellStyle name="Финансовый 2 4 8 2" xfId="158" xr:uid="{00000000-0005-0000-0000-00009E030000}"/>
    <cellStyle name="Финансовый 2 4 8 2 2" xfId="430" xr:uid="{00000000-0005-0000-0000-00009F030000}"/>
    <cellStyle name="Финансовый 2 4 8 2 2 2" xfId="1397" xr:uid="{00000000-0005-0000-0000-0000A0030000}"/>
    <cellStyle name="Финансовый 2 4 8 2 3" xfId="1141" xr:uid="{00000000-0005-0000-0000-0000A1030000}"/>
    <cellStyle name="Финансовый 2 4 8 2 4" xfId="1662" xr:uid="{00000000-0005-0000-0000-0000A2030000}"/>
    <cellStyle name="Финансовый 2 4 8 3" xfId="294" xr:uid="{00000000-0005-0000-0000-0000A3030000}"/>
    <cellStyle name="Финансовый 2 4 8 3 2" xfId="1269" xr:uid="{00000000-0005-0000-0000-0000A4030000}"/>
    <cellStyle name="Финансовый 2 4 8 4" xfId="680" xr:uid="{00000000-0005-0000-0000-0000A5030000}"/>
    <cellStyle name="Финансовый 2 4 8 4 2" xfId="1005" xr:uid="{00000000-0005-0000-0000-0000A6030000}"/>
    <cellStyle name="Финансовый 2 4 8 5" xfId="889" xr:uid="{00000000-0005-0000-0000-0000A7030000}"/>
    <cellStyle name="Финансовый 2 4 8 6" xfId="1525" xr:uid="{00000000-0005-0000-0000-0000A8030000}"/>
    <cellStyle name="Финансовый 2 4 8 7" xfId="752" xr:uid="{00000000-0005-0000-0000-0000A9030000}"/>
    <cellStyle name="Финансовый 2 4 9" xfId="146" xr:uid="{00000000-0005-0000-0000-0000AA030000}"/>
    <cellStyle name="Финансовый 2 4 9 2" xfId="418" xr:uid="{00000000-0005-0000-0000-0000AB030000}"/>
    <cellStyle name="Финансовый 2 4 9 2 2" xfId="1385" xr:uid="{00000000-0005-0000-0000-0000AC030000}"/>
    <cellStyle name="Финансовый 2 4 9 3" xfId="1129" xr:uid="{00000000-0005-0000-0000-0000AD030000}"/>
    <cellStyle name="Финансовый 2 4 9 4" xfId="1650" xr:uid="{00000000-0005-0000-0000-0000AE030000}"/>
    <cellStyle name="Финансовый 2 5" xfId="38" xr:uid="{00000000-0005-0000-0000-0000AF030000}"/>
    <cellStyle name="Финансовый 2 5 2" xfId="120" xr:uid="{00000000-0005-0000-0000-0000B0030000}"/>
    <cellStyle name="Финансовый 2 5 2 2" xfId="256" xr:uid="{00000000-0005-0000-0000-0000B1030000}"/>
    <cellStyle name="Финансовый 2 5 2 2 2" xfId="528" xr:uid="{00000000-0005-0000-0000-0000B2030000}"/>
    <cellStyle name="Финансовый 2 5 2 2 2 2" xfId="1487" xr:uid="{00000000-0005-0000-0000-0000B3030000}"/>
    <cellStyle name="Финансовый 2 5 2 2 3" xfId="1231" xr:uid="{00000000-0005-0000-0000-0000B4030000}"/>
    <cellStyle name="Финансовый 2 5 2 2 4" xfId="1760" xr:uid="{00000000-0005-0000-0000-0000B5030000}"/>
    <cellStyle name="Финансовый 2 5 2 3" xfId="392" xr:uid="{00000000-0005-0000-0000-0000B6030000}"/>
    <cellStyle name="Финансовый 2 5 2 3 2" xfId="1359" xr:uid="{00000000-0005-0000-0000-0000B7030000}"/>
    <cellStyle name="Финансовый 2 5 2 4" xfId="682" xr:uid="{00000000-0005-0000-0000-0000B8030000}"/>
    <cellStyle name="Финансовый 2 5 2 4 2" xfId="1103" xr:uid="{00000000-0005-0000-0000-0000B9030000}"/>
    <cellStyle name="Финансовый 2 5 2 5" xfId="979" xr:uid="{00000000-0005-0000-0000-0000BA030000}"/>
    <cellStyle name="Финансовый 2 5 2 6" xfId="1624" xr:uid="{00000000-0005-0000-0000-0000BB030000}"/>
    <cellStyle name="Финансовый 2 5 2 7" xfId="851" xr:uid="{00000000-0005-0000-0000-0000BC030000}"/>
    <cellStyle name="Финансовый 2 5 3" xfId="84" xr:uid="{00000000-0005-0000-0000-0000BD030000}"/>
    <cellStyle name="Финансовый 2 5 3 2" xfId="220" xr:uid="{00000000-0005-0000-0000-0000BE030000}"/>
    <cellStyle name="Финансовый 2 5 3 2 2" xfId="492" xr:uid="{00000000-0005-0000-0000-0000BF030000}"/>
    <cellStyle name="Финансовый 2 5 3 2 2 2" xfId="1451" xr:uid="{00000000-0005-0000-0000-0000C0030000}"/>
    <cellStyle name="Финансовый 2 5 3 2 3" xfId="1195" xr:uid="{00000000-0005-0000-0000-0000C1030000}"/>
    <cellStyle name="Финансовый 2 5 3 2 4" xfId="1724" xr:uid="{00000000-0005-0000-0000-0000C2030000}"/>
    <cellStyle name="Финансовый 2 5 3 3" xfId="356" xr:uid="{00000000-0005-0000-0000-0000C3030000}"/>
    <cellStyle name="Финансовый 2 5 3 3 2" xfId="1323" xr:uid="{00000000-0005-0000-0000-0000C4030000}"/>
    <cellStyle name="Финансовый 2 5 3 4" xfId="612" xr:uid="{00000000-0005-0000-0000-0000C5030000}"/>
    <cellStyle name="Финансовый 2 5 3 4 2" xfId="1067" xr:uid="{00000000-0005-0000-0000-0000C6030000}"/>
    <cellStyle name="Финансовый 2 5 3 5" xfId="943" xr:uid="{00000000-0005-0000-0000-0000C7030000}"/>
    <cellStyle name="Финансовый 2 5 3 6" xfId="1588" xr:uid="{00000000-0005-0000-0000-0000C8030000}"/>
    <cellStyle name="Финансовый 2 5 3 7" xfId="815" xr:uid="{00000000-0005-0000-0000-0000C9030000}"/>
    <cellStyle name="Финансовый 2 5 4" xfId="176" xr:uid="{00000000-0005-0000-0000-0000CA030000}"/>
    <cellStyle name="Финансовый 2 5 4 2" xfId="448" xr:uid="{00000000-0005-0000-0000-0000CB030000}"/>
    <cellStyle name="Финансовый 2 5 4 2 2" xfId="1415" xr:uid="{00000000-0005-0000-0000-0000CC030000}"/>
    <cellStyle name="Финансовый 2 5 4 3" xfId="1159" xr:uid="{00000000-0005-0000-0000-0000CD030000}"/>
    <cellStyle name="Финансовый 2 5 4 4" xfId="1680" xr:uid="{00000000-0005-0000-0000-0000CE030000}"/>
    <cellStyle name="Финансовый 2 5 5" xfId="312" xr:uid="{00000000-0005-0000-0000-0000CF030000}"/>
    <cellStyle name="Финансовый 2 5 5 2" xfId="1287" xr:uid="{00000000-0005-0000-0000-0000D0030000}"/>
    <cellStyle name="Финансовый 2 5 6" xfId="681" xr:uid="{00000000-0005-0000-0000-0000D1030000}"/>
    <cellStyle name="Финансовый 2 5 6 2" xfId="1023" xr:uid="{00000000-0005-0000-0000-0000D2030000}"/>
    <cellStyle name="Финансовый 2 5 7" xfId="907" xr:uid="{00000000-0005-0000-0000-0000D3030000}"/>
    <cellStyle name="Финансовый 2 5 8" xfId="1543" xr:uid="{00000000-0005-0000-0000-0000D4030000}"/>
    <cellStyle name="Финансовый 2 5 9" xfId="770" xr:uid="{00000000-0005-0000-0000-0000D5030000}"/>
    <cellStyle name="Финансовый 2 6" xfId="90" xr:uid="{00000000-0005-0000-0000-0000D6030000}"/>
    <cellStyle name="Финансовый 2 6 2" xfId="226" xr:uid="{00000000-0005-0000-0000-0000D7030000}"/>
    <cellStyle name="Финансовый 2 6 2 2" xfId="498" xr:uid="{00000000-0005-0000-0000-0000D8030000}"/>
    <cellStyle name="Финансовый 2 6 2 2 2" xfId="1457" xr:uid="{00000000-0005-0000-0000-0000D9030000}"/>
    <cellStyle name="Финансовый 2 6 2 3" xfId="1201" xr:uid="{00000000-0005-0000-0000-0000DA030000}"/>
    <cellStyle name="Финансовый 2 6 2 4" xfId="1730" xr:uid="{00000000-0005-0000-0000-0000DB030000}"/>
    <cellStyle name="Финансовый 2 6 3" xfId="362" xr:uid="{00000000-0005-0000-0000-0000DC030000}"/>
    <cellStyle name="Финансовый 2 6 3 2" xfId="1329" xr:uid="{00000000-0005-0000-0000-0000DD030000}"/>
    <cellStyle name="Финансовый 2 6 4" xfId="683" xr:uid="{00000000-0005-0000-0000-0000DE030000}"/>
    <cellStyle name="Финансовый 2 6 4 2" xfId="1073" xr:uid="{00000000-0005-0000-0000-0000DF030000}"/>
    <cellStyle name="Финансовый 2 6 5" xfId="949" xr:uid="{00000000-0005-0000-0000-0000E0030000}"/>
    <cellStyle name="Финансовый 2 6 6" xfId="1594" xr:uid="{00000000-0005-0000-0000-0000E1030000}"/>
    <cellStyle name="Финансовый 2 6 7" xfId="821" xr:uid="{00000000-0005-0000-0000-0000E2030000}"/>
    <cellStyle name="Финансовый 2 7" xfId="96" xr:uid="{00000000-0005-0000-0000-0000E3030000}"/>
    <cellStyle name="Финансовый 2 7 2" xfId="232" xr:uid="{00000000-0005-0000-0000-0000E4030000}"/>
    <cellStyle name="Финансовый 2 7 2 2" xfId="504" xr:uid="{00000000-0005-0000-0000-0000E5030000}"/>
    <cellStyle name="Финансовый 2 7 2 2 2" xfId="1463" xr:uid="{00000000-0005-0000-0000-0000E6030000}"/>
    <cellStyle name="Финансовый 2 7 2 3" xfId="1207" xr:uid="{00000000-0005-0000-0000-0000E7030000}"/>
    <cellStyle name="Финансовый 2 7 2 4" xfId="1736" xr:uid="{00000000-0005-0000-0000-0000E8030000}"/>
    <cellStyle name="Финансовый 2 7 3" xfId="368" xr:uid="{00000000-0005-0000-0000-0000E9030000}"/>
    <cellStyle name="Финансовый 2 7 3 2" xfId="1335" xr:uid="{00000000-0005-0000-0000-0000EA030000}"/>
    <cellStyle name="Финансовый 2 7 4" xfId="684" xr:uid="{00000000-0005-0000-0000-0000EB030000}"/>
    <cellStyle name="Финансовый 2 7 4 2" xfId="1079" xr:uid="{00000000-0005-0000-0000-0000EC030000}"/>
    <cellStyle name="Финансовый 2 7 5" xfId="955" xr:uid="{00000000-0005-0000-0000-0000ED030000}"/>
    <cellStyle name="Финансовый 2 7 6" xfId="1600" xr:uid="{00000000-0005-0000-0000-0000EE030000}"/>
    <cellStyle name="Финансовый 2 7 7" xfId="827" xr:uid="{00000000-0005-0000-0000-0000EF030000}"/>
    <cellStyle name="Финансовый 2 8" xfId="108" xr:uid="{00000000-0005-0000-0000-0000F0030000}"/>
    <cellStyle name="Финансовый 2 8 2" xfId="244" xr:uid="{00000000-0005-0000-0000-0000F1030000}"/>
    <cellStyle name="Финансовый 2 8 2 2" xfId="516" xr:uid="{00000000-0005-0000-0000-0000F2030000}"/>
    <cellStyle name="Финансовый 2 8 2 2 2" xfId="1475" xr:uid="{00000000-0005-0000-0000-0000F3030000}"/>
    <cellStyle name="Финансовый 2 8 2 3" xfId="1219" xr:uid="{00000000-0005-0000-0000-0000F4030000}"/>
    <cellStyle name="Финансовый 2 8 2 4" xfId="1748" xr:uid="{00000000-0005-0000-0000-0000F5030000}"/>
    <cellStyle name="Финансовый 2 8 3" xfId="380" xr:uid="{00000000-0005-0000-0000-0000F6030000}"/>
    <cellStyle name="Финансовый 2 8 3 2" xfId="1347" xr:uid="{00000000-0005-0000-0000-0000F7030000}"/>
    <cellStyle name="Финансовый 2 8 4" xfId="685" xr:uid="{00000000-0005-0000-0000-0000F8030000}"/>
    <cellStyle name="Финансовый 2 8 4 2" xfId="1091" xr:uid="{00000000-0005-0000-0000-0000F9030000}"/>
    <cellStyle name="Финансовый 2 8 5" xfId="967" xr:uid="{00000000-0005-0000-0000-0000FA030000}"/>
    <cellStyle name="Финансовый 2 8 6" xfId="1612" xr:uid="{00000000-0005-0000-0000-0000FB030000}"/>
    <cellStyle name="Финансовый 2 8 7" xfId="839" xr:uid="{00000000-0005-0000-0000-0000FC030000}"/>
    <cellStyle name="Финансовый 2 9" xfId="126" xr:uid="{00000000-0005-0000-0000-0000FD030000}"/>
    <cellStyle name="Финансовый 2 9 2" xfId="262" xr:uid="{00000000-0005-0000-0000-0000FE030000}"/>
    <cellStyle name="Финансовый 2 9 2 2" xfId="534" xr:uid="{00000000-0005-0000-0000-0000FF030000}"/>
    <cellStyle name="Финансовый 2 9 2 2 2" xfId="1493" xr:uid="{00000000-0005-0000-0000-000000040000}"/>
    <cellStyle name="Финансовый 2 9 2 3" xfId="1237" xr:uid="{00000000-0005-0000-0000-000001040000}"/>
    <cellStyle name="Финансовый 2 9 2 4" xfId="1766" xr:uid="{00000000-0005-0000-0000-000002040000}"/>
    <cellStyle name="Финансовый 2 9 3" xfId="398" xr:uid="{00000000-0005-0000-0000-000003040000}"/>
    <cellStyle name="Финансовый 2 9 3 2" xfId="1365" xr:uid="{00000000-0005-0000-0000-000004040000}"/>
    <cellStyle name="Финансовый 2 9 4" xfId="686" xr:uid="{00000000-0005-0000-0000-000005040000}"/>
    <cellStyle name="Финансовый 2 9 4 2" xfId="1109" xr:uid="{00000000-0005-0000-0000-000006040000}"/>
    <cellStyle name="Финансовый 2 9 5" xfId="985" xr:uid="{00000000-0005-0000-0000-000007040000}"/>
    <cellStyle name="Финансовый 2 9 6" xfId="1630" xr:uid="{00000000-0005-0000-0000-000008040000}"/>
    <cellStyle name="Финансовый 2 9 7" xfId="857" xr:uid="{00000000-0005-0000-0000-000009040000}"/>
    <cellStyle name="Финансовый 20" xfId="1506" xr:uid="{00000000-0005-0000-0000-00000A040000}"/>
    <cellStyle name="Финансовый 21" xfId="1568" xr:uid="{00000000-0005-0000-0000-00000B040000}"/>
    <cellStyle name="Финансовый 22" xfId="1781" xr:uid="{00000000-0005-0000-0000-00000C040000}"/>
    <cellStyle name="Финансовый 23" xfId="1779" xr:uid="{00000000-0005-0000-0000-00000D040000}"/>
    <cellStyle name="Финансовый 24" xfId="1785" xr:uid="{00000000-0005-0000-0000-00000E040000}"/>
    <cellStyle name="Финансовый 25" xfId="1783" xr:uid="{00000000-0005-0000-0000-00000F040000}"/>
    <cellStyle name="Финансовый 26" xfId="1782" xr:uid="{00000000-0005-0000-0000-000010040000}"/>
    <cellStyle name="Финансовый 27" xfId="1780" xr:uid="{00000000-0005-0000-0000-000011040000}"/>
    <cellStyle name="Финансовый 28" xfId="1784" xr:uid="{00000000-0005-0000-0000-000012040000}"/>
    <cellStyle name="Финансовый 29" xfId="733" xr:uid="{00000000-0005-0000-0000-000013040000}"/>
    <cellStyle name="Финансовый 3" xfId="3" xr:uid="{00000000-0005-0000-0000-000014040000}"/>
    <cellStyle name="Финансовый 3 10" xfId="27" xr:uid="{00000000-0005-0000-0000-000015040000}"/>
    <cellStyle name="Финансовый 3 10 2" xfId="165" xr:uid="{00000000-0005-0000-0000-000016040000}"/>
    <cellStyle name="Финансовый 3 10 2 2" xfId="437" xr:uid="{00000000-0005-0000-0000-000017040000}"/>
    <cellStyle name="Финансовый 3 10 2 2 2" xfId="1404" xr:uid="{00000000-0005-0000-0000-000018040000}"/>
    <cellStyle name="Финансовый 3 10 2 3" xfId="1148" xr:uid="{00000000-0005-0000-0000-000019040000}"/>
    <cellStyle name="Финансовый 3 10 2 4" xfId="1669" xr:uid="{00000000-0005-0000-0000-00001A040000}"/>
    <cellStyle name="Финансовый 3 10 3" xfId="301" xr:uid="{00000000-0005-0000-0000-00001B040000}"/>
    <cellStyle name="Финансовый 3 10 3 2" xfId="1276" xr:uid="{00000000-0005-0000-0000-00001C040000}"/>
    <cellStyle name="Финансовый 3 10 4" xfId="688" xr:uid="{00000000-0005-0000-0000-00001D040000}"/>
    <cellStyle name="Финансовый 3 10 4 2" xfId="1012" xr:uid="{00000000-0005-0000-0000-00001E040000}"/>
    <cellStyle name="Финансовый 3 10 5" xfId="896" xr:uid="{00000000-0005-0000-0000-00001F040000}"/>
    <cellStyle name="Финансовый 3 10 6" xfId="1532" xr:uid="{00000000-0005-0000-0000-000020040000}"/>
    <cellStyle name="Финансовый 3 10 7" xfId="759" xr:uid="{00000000-0005-0000-0000-000021040000}"/>
    <cellStyle name="Финансовый 3 11" xfId="15" xr:uid="{00000000-0005-0000-0000-000022040000}"/>
    <cellStyle name="Финансовый 3 11 2" xfId="153" xr:uid="{00000000-0005-0000-0000-000023040000}"/>
    <cellStyle name="Финансовый 3 11 2 2" xfId="425" xr:uid="{00000000-0005-0000-0000-000024040000}"/>
    <cellStyle name="Финансовый 3 11 2 2 2" xfId="1392" xr:uid="{00000000-0005-0000-0000-000025040000}"/>
    <cellStyle name="Финансовый 3 11 2 3" xfId="1136" xr:uid="{00000000-0005-0000-0000-000026040000}"/>
    <cellStyle name="Финансовый 3 11 2 4" xfId="1657" xr:uid="{00000000-0005-0000-0000-000027040000}"/>
    <cellStyle name="Финансовый 3 11 3" xfId="289" xr:uid="{00000000-0005-0000-0000-000028040000}"/>
    <cellStyle name="Финансовый 3 11 3 2" xfId="1264" xr:uid="{00000000-0005-0000-0000-000029040000}"/>
    <cellStyle name="Финансовый 3 11 4" xfId="689" xr:uid="{00000000-0005-0000-0000-00002A040000}"/>
    <cellStyle name="Финансовый 3 11 4 2" xfId="1000" xr:uid="{00000000-0005-0000-0000-00002B040000}"/>
    <cellStyle name="Финансовый 3 11 5" xfId="884" xr:uid="{00000000-0005-0000-0000-00002C040000}"/>
    <cellStyle name="Финансовый 3 11 6" xfId="1520" xr:uid="{00000000-0005-0000-0000-00002D040000}"/>
    <cellStyle name="Финансовый 3 11 7" xfId="747" xr:uid="{00000000-0005-0000-0000-00002E040000}"/>
    <cellStyle name="Финансовый 3 12" xfId="141" xr:uid="{00000000-0005-0000-0000-00002F040000}"/>
    <cellStyle name="Финансовый 3 12 2" xfId="413" xr:uid="{00000000-0005-0000-0000-000030040000}"/>
    <cellStyle name="Финансовый 3 12 2 2" xfId="1380" xr:uid="{00000000-0005-0000-0000-000031040000}"/>
    <cellStyle name="Финансовый 3 12 3" xfId="1124" xr:uid="{00000000-0005-0000-0000-000032040000}"/>
    <cellStyle name="Финансовый 3 12 4" xfId="1645" xr:uid="{00000000-0005-0000-0000-000033040000}"/>
    <cellStyle name="Финансовый 3 13" xfId="549" xr:uid="{00000000-0005-0000-0000-000034040000}"/>
    <cellStyle name="Финансовый 3 13 2" xfId="1252" xr:uid="{00000000-0005-0000-0000-000035040000}"/>
    <cellStyle name="Финансовый 3 14" xfId="277" xr:uid="{00000000-0005-0000-0000-000036040000}"/>
    <cellStyle name="Финансовый 3 15" xfId="687" xr:uid="{00000000-0005-0000-0000-000037040000}"/>
    <cellStyle name="Финансовый 3 15 2" xfId="872" xr:uid="{00000000-0005-0000-0000-000038040000}"/>
    <cellStyle name="Финансовый 3 16" xfId="1508" xr:uid="{00000000-0005-0000-0000-000039040000}"/>
    <cellStyle name="Финансовый 3 17" xfId="735" xr:uid="{00000000-0005-0000-0000-00003A040000}"/>
    <cellStyle name="Финансовый 3 2" xfId="9" xr:uid="{00000000-0005-0000-0000-00003B040000}"/>
    <cellStyle name="Финансовый 3 2 10" xfId="555" xr:uid="{00000000-0005-0000-0000-00003C040000}"/>
    <cellStyle name="Финансовый 3 2 10 2" xfId="1258" xr:uid="{00000000-0005-0000-0000-00003D040000}"/>
    <cellStyle name="Финансовый 3 2 11" xfId="283" xr:uid="{00000000-0005-0000-0000-00003E040000}"/>
    <cellStyle name="Финансовый 3 2 12" xfId="690" xr:uid="{00000000-0005-0000-0000-00003F040000}"/>
    <cellStyle name="Финансовый 3 2 12 2" xfId="878" xr:uid="{00000000-0005-0000-0000-000040040000}"/>
    <cellStyle name="Финансовый 3 2 13" xfId="1514" xr:uid="{00000000-0005-0000-0000-000041040000}"/>
    <cellStyle name="Финансовый 3 2 14" xfId="741" xr:uid="{00000000-0005-0000-0000-000042040000}"/>
    <cellStyle name="Финансовый 3 2 2" xfId="45" xr:uid="{00000000-0005-0000-0000-000043040000}"/>
    <cellStyle name="Финансовый 3 2 2 2" xfId="103" xr:uid="{00000000-0005-0000-0000-000044040000}"/>
    <cellStyle name="Финансовый 3 2 2 2 2" xfId="239" xr:uid="{00000000-0005-0000-0000-000045040000}"/>
    <cellStyle name="Финансовый 3 2 2 2 2 2" xfId="511" xr:uid="{00000000-0005-0000-0000-000046040000}"/>
    <cellStyle name="Финансовый 3 2 2 2 2 2 2" xfId="1470" xr:uid="{00000000-0005-0000-0000-000047040000}"/>
    <cellStyle name="Финансовый 3 2 2 2 2 3" xfId="1214" xr:uid="{00000000-0005-0000-0000-000048040000}"/>
    <cellStyle name="Финансовый 3 2 2 2 2 4" xfId="1743" xr:uid="{00000000-0005-0000-0000-000049040000}"/>
    <cellStyle name="Финансовый 3 2 2 2 3" xfId="375" xr:uid="{00000000-0005-0000-0000-00004A040000}"/>
    <cellStyle name="Финансовый 3 2 2 2 3 2" xfId="1342" xr:uid="{00000000-0005-0000-0000-00004B040000}"/>
    <cellStyle name="Финансовый 3 2 2 2 4" xfId="692" xr:uid="{00000000-0005-0000-0000-00004C040000}"/>
    <cellStyle name="Финансовый 3 2 2 2 4 2" xfId="1086" xr:uid="{00000000-0005-0000-0000-00004D040000}"/>
    <cellStyle name="Финансовый 3 2 2 2 5" xfId="962" xr:uid="{00000000-0005-0000-0000-00004E040000}"/>
    <cellStyle name="Финансовый 3 2 2 2 6" xfId="1607" xr:uid="{00000000-0005-0000-0000-00004F040000}"/>
    <cellStyle name="Финансовый 3 2 2 2 7" xfId="834" xr:uid="{00000000-0005-0000-0000-000050040000}"/>
    <cellStyle name="Финансовый 3 2 2 3" xfId="183" xr:uid="{00000000-0005-0000-0000-000051040000}"/>
    <cellStyle name="Финансовый 3 2 2 3 2" xfId="455" xr:uid="{00000000-0005-0000-0000-000052040000}"/>
    <cellStyle name="Финансовый 3 2 2 3 2 2" xfId="1422" xr:uid="{00000000-0005-0000-0000-000053040000}"/>
    <cellStyle name="Финансовый 3 2 2 3 3" xfId="1166" xr:uid="{00000000-0005-0000-0000-000054040000}"/>
    <cellStyle name="Финансовый 3 2 2 3 4" xfId="1687" xr:uid="{00000000-0005-0000-0000-000055040000}"/>
    <cellStyle name="Финансовый 3 2 2 4" xfId="319" xr:uid="{00000000-0005-0000-0000-000056040000}"/>
    <cellStyle name="Финансовый 3 2 2 4 2" xfId="1294" xr:uid="{00000000-0005-0000-0000-000057040000}"/>
    <cellStyle name="Финансовый 3 2 2 5" xfId="691" xr:uid="{00000000-0005-0000-0000-000058040000}"/>
    <cellStyle name="Финансовый 3 2 2 5 2" xfId="1030" xr:uid="{00000000-0005-0000-0000-000059040000}"/>
    <cellStyle name="Финансовый 3 2 2 6" xfId="914" xr:uid="{00000000-0005-0000-0000-00005A040000}"/>
    <cellStyle name="Финансовый 3 2 2 7" xfId="1550" xr:uid="{00000000-0005-0000-0000-00005B040000}"/>
    <cellStyle name="Финансовый 3 2 2 8" xfId="777" xr:uid="{00000000-0005-0000-0000-00005C040000}"/>
    <cellStyle name="Финансовый 3 2 3" xfId="115" xr:uid="{00000000-0005-0000-0000-00005D040000}"/>
    <cellStyle name="Финансовый 3 2 3 2" xfId="251" xr:uid="{00000000-0005-0000-0000-00005E040000}"/>
    <cellStyle name="Финансовый 3 2 3 2 2" xfId="523" xr:uid="{00000000-0005-0000-0000-00005F040000}"/>
    <cellStyle name="Финансовый 3 2 3 2 2 2" xfId="1482" xr:uid="{00000000-0005-0000-0000-000060040000}"/>
    <cellStyle name="Финансовый 3 2 3 2 3" xfId="1226" xr:uid="{00000000-0005-0000-0000-000061040000}"/>
    <cellStyle name="Финансовый 3 2 3 2 4" xfId="1755" xr:uid="{00000000-0005-0000-0000-000062040000}"/>
    <cellStyle name="Финансовый 3 2 3 3" xfId="387" xr:uid="{00000000-0005-0000-0000-000063040000}"/>
    <cellStyle name="Финансовый 3 2 3 3 2" xfId="1354" xr:uid="{00000000-0005-0000-0000-000064040000}"/>
    <cellStyle name="Финансовый 3 2 3 4" xfId="693" xr:uid="{00000000-0005-0000-0000-000065040000}"/>
    <cellStyle name="Финансовый 3 2 3 4 2" xfId="1098" xr:uid="{00000000-0005-0000-0000-000066040000}"/>
    <cellStyle name="Финансовый 3 2 3 5" xfId="974" xr:uid="{00000000-0005-0000-0000-000067040000}"/>
    <cellStyle name="Финансовый 3 2 3 6" xfId="1619" xr:uid="{00000000-0005-0000-0000-000068040000}"/>
    <cellStyle name="Финансовый 3 2 3 7" xfId="846" xr:uid="{00000000-0005-0000-0000-000069040000}"/>
    <cellStyle name="Финансовый 3 2 4" xfId="79" xr:uid="{00000000-0005-0000-0000-00006A040000}"/>
    <cellStyle name="Финансовый 3 2 4 2" xfId="215" xr:uid="{00000000-0005-0000-0000-00006B040000}"/>
    <cellStyle name="Финансовый 3 2 4 2 2" xfId="487" xr:uid="{00000000-0005-0000-0000-00006C040000}"/>
    <cellStyle name="Финансовый 3 2 4 2 2 2" xfId="1446" xr:uid="{00000000-0005-0000-0000-00006D040000}"/>
    <cellStyle name="Финансовый 3 2 4 2 3" xfId="1190" xr:uid="{00000000-0005-0000-0000-00006E040000}"/>
    <cellStyle name="Финансовый 3 2 4 2 4" xfId="1719" xr:uid="{00000000-0005-0000-0000-00006F040000}"/>
    <cellStyle name="Финансовый 3 2 4 3" xfId="351" xr:uid="{00000000-0005-0000-0000-000070040000}"/>
    <cellStyle name="Финансовый 3 2 4 3 2" xfId="1318" xr:uid="{00000000-0005-0000-0000-000071040000}"/>
    <cellStyle name="Финансовый 3 2 4 4" xfId="694" xr:uid="{00000000-0005-0000-0000-000072040000}"/>
    <cellStyle name="Финансовый 3 2 4 4 2" xfId="1062" xr:uid="{00000000-0005-0000-0000-000073040000}"/>
    <cellStyle name="Финансовый 3 2 4 5" xfId="938" xr:uid="{00000000-0005-0000-0000-000074040000}"/>
    <cellStyle name="Финансовый 3 2 4 6" xfId="1583" xr:uid="{00000000-0005-0000-0000-000075040000}"/>
    <cellStyle name="Финансовый 3 2 4 7" xfId="810" xr:uid="{00000000-0005-0000-0000-000076040000}"/>
    <cellStyle name="Финансовый 3 2 5" xfId="57" xr:uid="{00000000-0005-0000-0000-000077040000}"/>
    <cellStyle name="Финансовый 3 2 5 2" xfId="195" xr:uid="{00000000-0005-0000-0000-000078040000}"/>
    <cellStyle name="Финансовый 3 2 5 2 2" xfId="467" xr:uid="{00000000-0005-0000-0000-000079040000}"/>
    <cellStyle name="Финансовый 3 2 5 2 2 2" xfId="1434" xr:uid="{00000000-0005-0000-0000-00007A040000}"/>
    <cellStyle name="Финансовый 3 2 5 2 3" xfId="1178" xr:uid="{00000000-0005-0000-0000-00007B040000}"/>
    <cellStyle name="Финансовый 3 2 5 2 4" xfId="1699" xr:uid="{00000000-0005-0000-0000-00007C040000}"/>
    <cellStyle name="Финансовый 3 2 5 3" xfId="331" xr:uid="{00000000-0005-0000-0000-00007D040000}"/>
    <cellStyle name="Финансовый 3 2 5 3 2" xfId="1306" xr:uid="{00000000-0005-0000-0000-00007E040000}"/>
    <cellStyle name="Финансовый 3 2 5 4" xfId="695" xr:uid="{00000000-0005-0000-0000-00007F040000}"/>
    <cellStyle name="Финансовый 3 2 5 4 2" xfId="1042" xr:uid="{00000000-0005-0000-0000-000080040000}"/>
    <cellStyle name="Финансовый 3 2 5 5" xfId="926" xr:uid="{00000000-0005-0000-0000-000081040000}"/>
    <cellStyle name="Финансовый 3 2 5 6" xfId="1562" xr:uid="{00000000-0005-0000-0000-000082040000}"/>
    <cellStyle name="Финансовый 3 2 5 7" xfId="789" xr:uid="{00000000-0005-0000-0000-000083040000}"/>
    <cellStyle name="Финансовый 3 2 6" xfId="135" xr:uid="{00000000-0005-0000-0000-000084040000}"/>
    <cellStyle name="Финансовый 3 2 6 2" xfId="271" xr:uid="{00000000-0005-0000-0000-000085040000}"/>
    <cellStyle name="Финансовый 3 2 6 2 2" xfId="543" xr:uid="{00000000-0005-0000-0000-000086040000}"/>
    <cellStyle name="Финансовый 3 2 6 2 2 2" xfId="1502" xr:uid="{00000000-0005-0000-0000-000087040000}"/>
    <cellStyle name="Финансовый 3 2 6 2 3" xfId="1246" xr:uid="{00000000-0005-0000-0000-000088040000}"/>
    <cellStyle name="Финансовый 3 2 6 2 4" xfId="1775" xr:uid="{00000000-0005-0000-0000-000089040000}"/>
    <cellStyle name="Финансовый 3 2 6 3" xfId="407" xr:uid="{00000000-0005-0000-0000-00008A040000}"/>
    <cellStyle name="Финансовый 3 2 6 3 2" xfId="1374" xr:uid="{00000000-0005-0000-0000-00008B040000}"/>
    <cellStyle name="Финансовый 3 2 6 4" xfId="696" xr:uid="{00000000-0005-0000-0000-00008C040000}"/>
    <cellStyle name="Финансовый 3 2 6 4 2" xfId="1118" xr:uid="{00000000-0005-0000-0000-00008D040000}"/>
    <cellStyle name="Финансовый 3 2 6 5" xfId="994" xr:uid="{00000000-0005-0000-0000-00008E040000}"/>
    <cellStyle name="Финансовый 3 2 6 6" xfId="1639" xr:uid="{00000000-0005-0000-0000-00008F040000}"/>
    <cellStyle name="Финансовый 3 2 6 7" xfId="866" xr:uid="{00000000-0005-0000-0000-000090040000}"/>
    <cellStyle name="Финансовый 3 2 7" xfId="33" xr:uid="{00000000-0005-0000-0000-000091040000}"/>
    <cellStyle name="Финансовый 3 2 7 2" xfId="171" xr:uid="{00000000-0005-0000-0000-000092040000}"/>
    <cellStyle name="Финансовый 3 2 7 2 2" xfId="443" xr:uid="{00000000-0005-0000-0000-000093040000}"/>
    <cellStyle name="Финансовый 3 2 7 2 2 2" xfId="1410" xr:uid="{00000000-0005-0000-0000-000094040000}"/>
    <cellStyle name="Финансовый 3 2 7 2 3" xfId="1154" xr:uid="{00000000-0005-0000-0000-000095040000}"/>
    <cellStyle name="Финансовый 3 2 7 2 4" xfId="1675" xr:uid="{00000000-0005-0000-0000-000096040000}"/>
    <cellStyle name="Финансовый 3 2 7 3" xfId="307" xr:uid="{00000000-0005-0000-0000-000097040000}"/>
    <cellStyle name="Финансовый 3 2 7 3 2" xfId="1282" xr:uid="{00000000-0005-0000-0000-000098040000}"/>
    <cellStyle name="Финансовый 3 2 7 4" xfId="697" xr:uid="{00000000-0005-0000-0000-000099040000}"/>
    <cellStyle name="Финансовый 3 2 7 4 2" xfId="1018" xr:uid="{00000000-0005-0000-0000-00009A040000}"/>
    <cellStyle name="Финансовый 3 2 7 5" xfId="902" xr:uid="{00000000-0005-0000-0000-00009B040000}"/>
    <cellStyle name="Финансовый 3 2 7 6" xfId="1538" xr:uid="{00000000-0005-0000-0000-00009C040000}"/>
    <cellStyle name="Финансовый 3 2 7 7" xfId="765" xr:uid="{00000000-0005-0000-0000-00009D040000}"/>
    <cellStyle name="Финансовый 3 2 8" xfId="21" xr:uid="{00000000-0005-0000-0000-00009E040000}"/>
    <cellStyle name="Финансовый 3 2 8 2" xfId="159" xr:uid="{00000000-0005-0000-0000-00009F040000}"/>
    <cellStyle name="Финансовый 3 2 8 2 2" xfId="431" xr:uid="{00000000-0005-0000-0000-0000A0040000}"/>
    <cellStyle name="Финансовый 3 2 8 2 2 2" xfId="1398" xr:uid="{00000000-0005-0000-0000-0000A1040000}"/>
    <cellStyle name="Финансовый 3 2 8 2 3" xfId="1142" xr:uid="{00000000-0005-0000-0000-0000A2040000}"/>
    <cellStyle name="Финансовый 3 2 8 2 4" xfId="1663" xr:uid="{00000000-0005-0000-0000-0000A3040000}"/>
    <cellStyle name="Финансовый 3 2 8 3" xfId="295" xr:uid="{00000000-0005-0000-0000-0000A4040000}"/>
    <cellStyle name="Финансовый 3 2 8 3 2" xfId="1270" xr:uid="{00000000-0005-0000-0000-0000A5040000}"/>
    <cellStyle name="Финансовый 3 2 8 4" xfId="698" xr:uid="{00000000-0005-0000-0000-0000A6040000}"/>
    <cellStyle name="Финансовый 3 2 8 4 2" xfId="1006" xr:uid="{00000000-0005-0000-0000-0000A7040000}"/>
    <cellStyle name="Финансовый 3 2 8 5" xfId="890" xr:uid="{00000000-0005-0000-0000-0000A8040000}"/>
    <cellStyle name="Финансовый 3 2 8 6" xfId="1526" xr:uid="{00000000-0005-0000-0000-0000A9040000}"/>
    <cellStyle name="Финансовый 3 2 8 7" xfId="753" xr:uid="{00000000-0005-0000-0000-0000AA040000}"/>
    <cellStyle name="Финансовый 3 2 9" xfId="147" xr:uid="{00000000-0005-0000-0000-0000AB040000}"/>
    <cellStyle name="Финансовый 3 2 9 2" xfId="419" xr:uid="{00000000-0005-0000-0000-0000AC040000}"/>
    <cellStyle name="Финансовый 3 2 9 2 2" xfId="1386" xr:uid="{00000000-0005-0000-0000-0000AD040000}"/>
    <cellStyle name="Финансовый 3 2 9 3" xfId="1130" xr:uid="{00000000-0005-0000-0000-0000AE040000}"/>
    <cellStyle name="Финансовый 3 2 9 4" xfId="1651" xr:uid="{00000000-0005-0000-0000-0000AF040000}"/>
    <cellStyle name="Финансовый 3 3" xfId="39" xr:uid="{00000000-0005-0000-0000-0000B0040000}"/>
    <cellStyle name="Финансовый 3 3 2" xfId="121" xr:uid="{00000000-0005-0000-0000-0000B1040000}"/>
    <cellStyle name="Финансовый 3 3 2 2" xfId="257" xr:uid="{00000000-0005-0000-0000-0000B2040000}"/>
    <cellStyle name="Финансовый 3 3 2 2 2" xfId="529" xr:uid="{00000000-0005-0000-0000-0000B3040000}"/>
    <cellStyle name="Финансовый 3 3 2 2 2 2" xfId="1488" xr:uid="{00000000-0005-0000-0000-0000B4040000}"/>
    <cellStyle name="Финансовый 3 3 2 2 3" xfId="1232" xr:uid="{00000000-0005-0000-0000-0000B5040000}"/>
    <cellStyle name="Финансовый 3 3 2 2 4" xfId="1761" xr:uid="{00000000-0005-0000-0000-0000B6040000}"/>
    <cellStyle name="Финансовый 3 3 2 3" xfId="393" xr:uid="{00000000-0005-0000-0000-0000B7040000}"/>
    <cellStyle name="Финансовый 3 3 2 3 2" xfId="1360" xr:uid="{00000000-0005-0000-0000-0000B8040000}"/>
    <cellStyle name="Финансовый 3 3 2 4" xfId="700" xr:uid="{00000000-0005-0000-0000-0000B9040000}"/>
    <cellStyle name="Финансовый 3 3 2 4 2" xfId="1104" xr:uid="{00000000-0005-0000-0000-0000BA040000}"/>
    <cellStyle name="Финансовый 3 3 2 5" xfId="980" xr:uid="{00000000-0005-0000-0000-0000BB040000}"/>
    <cellStyle name="Финансовый 3 3 2 6" xfId="1625" xr:uid="{00000000-0005-0000-0000-0000BC040000}"/>
    <cellStyle name="Финансовый 3 3 2 7" xfId="852" xr:uid="{00000000-0005-0000-0000-0000BD040000}"/>
    <cellStyle name="Финансовый 3 3 3" xfId="85" xr:uid="{00000000-0005-0000-0000-0000BE040000}"/>
    <cellStyle name="Финансовый 3 3 3 2" xfId="221" xr:uid="{00000000-0005-0000-0000-0000BF040000}"/>
    <cellStyle name="Финансовый 3 3 3 2 2" xfId="493" xr:uid="{00000000-0005-0000-0000-0000C0040000}"/>
    <cellStyle name="Финансовый 3 3 3 2 2 2" xfId="1452" xr:uid="{00000000-0005-0000-0000-0000C1040000}"/>
    <cellStyle name="Финансовый 3 3 3 2 3" xfId="1196" xr:uid="{00000000-0005-0000-0000-0000C2040000}"/>
    <cellStyle name="Финансовый 3 3 3 2 4" xfId="1725" xr:uid="{00000000-0005-0000-0000-0000C3040000}"/>
    <cellStyle name="Финансовый 3 3 3 3" xfId="357" xr:uid="{00000000-0005-0000-0000-0000C4040000}"/>
    <cellStyle name="Финансовый 3 3 3 3 2" xfId="1324" xr:uid="{00000000-0005-0000-0000-0000C5040000}"/>
    <cellStyle name="Финансовый 3 3 3 4" xfId="701" xr:uid="{00000000-0005-0000-0000-0000C6040000}"/>
    <cellStyle name="Финансовый 3 3 3 4 2" xfId="1068" xr:uid="{00000000-0005-0000-0000-0000C7040000}"/>
    <cellStyle name="Финансовый 3 3 3 5" xfId="944" xr:uid="{00000000-0005-0000-0000-0000C8040000}"/>
    <cellStyle name="Финансовый 3 3 3 6" xfId="1589" xr:uid="{00000000-0005-0000-0000-0000C9040000}"/>
    <cellStyle name="Финансовый 3 3 3 7" xfId="816" xr:uid="{00000000-0005-0000-0000-0000CA040000}"/>
    <cellStyle name="Финансовый 3 3 4" xfId="177" xr:uid="{00000000-0005-0000-0000-0000CB040000}"/>
    <cellStyle name="Финансовый 3 3 4 2" xfId="449" xr:uid="{00000000-0005-0000-0000-0000CC040000}"/>
    <cellStyle name="Финансовый 3 3 4 2 2" xfId="1416" xr:uid="{00000000-0005-0000-0000-0000CD040000}"/>
    <cellStyle name="Финансовый 3 3 4 3" xfId="1160" xr:uid="{00000000-0005-0000-0000-0000CE040000}"/>
    <cellStyle name="Финансовый 3 3 4 4" xfId="1681" xr:uid="{00000000-0005-0000-0000-0000CF040000}"/>
    <cellStyle name="Финансовый 3 3 5" xfId="313" xr:uid="{00000000-0005-0000-0000-0000D0040000}"/>
    <cellStyle name="Финансовый 3 3 5 2" xfId="1288" xr:uid="{00000000-0005-0000-0000-0000D1040000}"/>
    <cellStyle name="Финансовый 3 3 6" xfId="699" xr:uid="{00000000-0005-0000-0000-0000D2040000}"/>
    <cellStyle name="Финансовый 3 3 6 2" xfId="1024" xr:uid="{00000000-0005-0000-0000-0000D3040000}"/>
    <cellStyle name="Финансовый 3 3 7" xfId="908" xr:uid="{00000000-0005-0000-0000-0000D4040000}"/>
    <cellStyle name="Финансовый 3 3 8" xfId="1544" xr:uid="{00000000-0005-0000-0000-0000D5040000}"/>
    <cellStyle name="Финансовый 3 3 9" xfId="771" xr:uid="{00000000-0005-0000-0000-0000D6040000}"/>
    <cellStyle name="Финансовый 3 4" xfId="91" xr:uid="{00000000-0005-0000-0000-0000D7040000}"/>
    <cellStyle name="Финансовый 3 4 2" xfId="227" xr:uid="{00000000-0005-0000-0000-0000D8040000}"/>
    <cellStyle name="Финансовый 3 4 2 2" xfId="499" xr:uid="{00000000-0005-0000-0000-0000D9040000}"/>
    <cellStyle name="Финансовый 3 4 2 2 2" xfId="1458" xr:uid="{00000000-0005-0000-0000-0000DA040000}"/>
    <cellStyle name="Финансовый 3 4 2 3" xfId="1202" xr:uid="{00000000-0005-0000-0000-0000DB040000}"/>
    <cellStyle name="Финансовый 3 4 2 4" xfId="1731" xr:uid="{00000000-0005-0000-0000-0000DC040000}"/>
    <cellStyle name="Финансовый 3 4 3" xfId="363" xr:uid="{00000000-0005-0000-0000-0000DD040000}"/>
    <cellStyle name="Финансовый 3 4 3 2" xfId="1330" xr:uid="{00000000-0005-0000-0000-0000DE040000}"/>
    <cellStyle name="Финансовый 3 4 4" xfId="702" xr:uid="{00000000-0005-0000-0000-0000DF040000}"/>
    <cellStyle name="Финансовый 3 4 4 2" xfId="1074" xr:uid="{00000000-0005-0000-0000-0000E0040000}"/>
    <cellStyle name="Финансовый 3 4 5" xfId="950" xr:uid="{00000000-0005-0000-0000-0000E1040000}"/>
    <cellStyle name="Финансовый 3 4 6" xfId="1595" xr:uid="{00000000-0005-0000-0000-0000E2040000}"/>
    <cellStyle name="Финансовый 3 4 7" xfId="822" xr:uid="{00000000-0005-0000-0000-0000E3040000}"/>
    <cellStyle name="Финансовый 3 5" xfId="97" xr:uid="{00000000-0005-0000-0000-0000E4040000}"/>
    <cellStyle name="Финансовый 3 5 2" xfId="233" xr:uid="{00000000-0005-0000-0000-0000E5040000}"/>
    <cellStyle name="Финансовый 3 5 2 2" xfId="505" xr:uid="{00000000-0005-0000-0000-0000E6040000}"/>
    <cellStyle name="Финансовый 3 5 2 2 2" xfId="1464" xr:uid="{00000000-0005-0000-0000-0000E7040000}"/>
    <cellStyle name="Финансовый 3 5 2 3" xfId="1208" xr:uid="{00000000-0005-0000-0000-0000E8040000}"/>
    <cellStyle name="Финансовый 3 5 2 4" xfId="1737" xr:uid="{00000000-0005-0000-0000-0000E9040000}"/>
    <cellStyle name="Финансовый 3 5 3" xfId="369" xr:uid="{00000000-0005-0000-0000-0000EA040000}"/>
    <cellStyle name="Финансовый 3 5 3 2" xfId="1336" xr:uid="{00000000-0005-0000-0000-0000EB040000}"/>
    <cellStyle name="Финансовый 3 5 4" xfId="703" xr:uid="{00000000-0005-0000-0000-0000EC040000}"/>
    <cellStyle name="Финансовый 3 5 4 2" xfId="1080" xr:uid="{00000000-0005-0000-0000-0000ED040000}"/>
    <cellStyle name="Финансовый 3 5 5" xfId="956" xr:uid="{00000000-0005-0000-0000-0000EE040000}"/>
    <cellStyle name="Финансовый 3 5 6" xfId="1601" xr:uid="{00000000-0005-0000-0000-0000EF040000}"/>
    <cellStyle name="Финансовый 3 5 7" xfId="828" xr:uid="{00000000-0005-0000-0000-0000F0040000}"/>
    <cellStyle name="Финансовый 3 6" xfId="109" xr:uid="{00000000-0005-0000-0000-0000F1040000}"/>
    <cellStyle name="Финансовый 3 6 2" xfId="245" xr:uid="{00000000-0005-0000-0000-0000F2040000}"/>
    <cellStyle name="Финансовый 3 6 2 2" xfId="517" xr:uid="{00000000-0005-0000-0000-0000F3040000}"/>
    <cellStyle name="Финансовый 3 6 2 2 2" xfId="1476" xr:uid="{00000000-0005-0000-0000-0000F4040000}"/>
    <cellStyle name="Финансовый 3 6 2 3" xfId="1220" xr:uid="{00000000-0005-0000-0000-0000F5040000}"/>
    <cellStyle name="Финансовый 3 6 2 4" xfId="1749" xr:uid="{00000000-0005-0000-0000-0000F6040000}"/>
    <cellStyle name="Финансовый 3 6 3" xfId="381" xr:uid="{00000000-0005-0000-0000-0000F7040000}"/>
    <cellStyle name="Финансовый 3 6 3 2" xfId="1348" xr:uid="{00000000-0005-0000-0000-0000F8040000}"/>
    <cellStyle name="Финансовый 3 6 4" xfId="704" xr:uid="{00000000-0005-0000-0000-0000F9040000}"/>
    <cellStyle name="Финансовый 3 6 4 2" xfId="1092" xr:uid="{00000000-0005-0000-0000-0000FA040000}"/>
    <cellStyle name="Финансовый 3 6 5" xfId="968" xr:uid="{00000000-0005-0000-0000-0000FB040000}"/>
    <cellStyle name="Финансовый 3 6 6" xfId="1613" xr:uid="{00000000-0005-0000-0000-0000FC040000}"/>
    <cellStyle name="Финансовый 3 6 7" xfId="840" xr:uid="{00000000-0005-0000-0000-0000FD040000}"/>
    <cellStyle name="Финансовый 3 7" xfId="74" xr:uid="{00000000-0005-0000-0000-0000FE040000}"/>
    <cellStyle name="Финансовый 3 7 2" xfId="210" xr:uid="{00000000-0005-0000-0000-0000FF040000}"/>
    <cellStyle name="Финансовый 3 7 2 2" xfId="482" xr:uid="{00000000-0005-0000-0000-000000050000}"/>
    <cellStyle name="Финансовый 3 7 2 2 2" xfId="1441" xr:uid="{00000000-0005-0000-0000-000001050000}"/>
    <cellStyle name="Финансовый 3 7 2 3" xfId="1185" xr:uid="{00000000-0005-0000-0000-000002050000}"/>
    <cellStyle name="Финансовый 3 7 2 4" xfId="1714" xr:uid="{00000000-0005-0000-0000-000003050000}"/>
    <cellStyle name="Финансовый 3 7 3" xfId="346" xr:uid="{00000000-0005-0000-0000-000004050000}"/>
    <cellStyle name="Финансовый 3 7 3 2" xfId="1313" xr:uid="{00000000-0005-0000-0000-000005050000}"/>
    <cellStyle name="Финансовый 3 7 4" xfId="705" xr:uid="{00000000-0005-0000-0000-000006050000}"/>
    <cellStyle name="Финансовый 3 7 4 2" xfId="1057" xr:uid="{00000000-0005-0000-0000-000007050000}"/>
    <cellStyle name="Финансовый 3 7 5" xfId="933" xr:uid="{00000000-0005-0000-0000-000008050000}"/>
    <cellStyle name="Финансовый 3 7 6" xfId="1578" xr:uid="{00000000-0005-0000-0000-000009050000}"/>
    <cellStyle name="Финансовый 3 7 7" xfId="805" xr:uid="{00000000-0005-0000-0000-00000A050000}"/>
    <cellStyle name="Финансовый 3 8" xfId="51" xr:uid="{00000000-0005-0000-0000-00000B050000}"/>
    <cellStyle name="Финансовый 3 8 2" xfId="189" xr:uid="{00000000-0005-0000-0000-00000C050000}"/>
    <cellStyle name="Финансовый 3 8 2 2" xfId="461" xr:uid="{00000000-0005-0000-0000-00000D050000}"/>
    <cellStyle name="Финансовый 3 8 2 2 2" xfId="1428" xr:uid="{00000000-0005-0000-0000-00000E050000}"/>
    <cellStyle name="Финансовый 3 8 2 3" xfId="1172" xr:uid="{00000000-0005-0000-0000-00000F050000}"/>
    <cellStyle name="Финансовый 3 8 2 4" xfId="1693" xr:uid="{00000000-0005-0000-0000-000010050000}"/>
    <cellStyle name="Финансовый 3 8 3" xfId="325" xr:uid="{00000000-0005-0000-0000-000011050000}"/>
    <cellStyle name="Финансовый 3 8 3 2" xfId="1300" xr:uid="{00000000-0005-0000-0000-000012050000}"/>
    <cellStyle name="Финансовый 3 8 4" xfId="595" xr:uid="{00000000-0005-0000-0000-000013050000}"/>
    <cellStyle name="Финансовый 3 8 4 2" xfId="1036" xr:uid="{00000000-0005-0000-0000-000014050000}"/>
    <cellStyle name="Финансовый 3 8 5" xfId="920" xr:uid="{00000000-0005-0000-0000-000015050000}"/>
    <cellStyle name="Финансовый 3 8 6" xfId="1556" xr:uid="{00000000-0005-0000-0000-000016050000}"/>
    <cellStyle name="Финансовый 3 8 7" xfId="783" xr:uid="{00000000-0005-0000-0000-000017050000}"/>
    <cellStyle name="Финансовый 3 9" xfId="129" xr:uid="{00000000-0005-0000-0000-000018050000}"/>
    <cellStyle name="Финансовый 3 9 2" xfId="265" xr:uid="{00000000-0005-0000-0000-000019050000}"/>
    <cellStyle name="Финансовый 3 9 2 2" xfId="537" xr:uid="{00000000-0005-0000-0000-00001A050000}"/>
    <cellStyle name="Финансовый 3 9 2 2 2" xfId="1496" xr:uid="{00000000-0005-0000-0000-00001B050000}"/>
    <cellStyle name="Финансовый 3 9 2 3" xfId="1240" xr:uid="{00000000-0005-0000-0000-00001C050000}"/>
    <cellStyle name="Финансовый 3 9 2 4" xfId="1769" xr:uid="{00000000-0005-0000-0000-00001D050000}"/>
    <cellStyle name="Финансовый 3 9 3" xfId="401" xr:uid="{00000000-0005-0000-0000-00001E050000}"/>
    <cellStyle name="Финансовый 3 9 3 2" xfId="1368" xr:uid="{00000000-0005-0000-0000-00001F050000}"/>
    <cellStyle name="Финансовый 3 9 4" xfId="598" xr:uid="{00000000-0005-0000-0000-000020050000}"/>
    <cellStyle name="Финансовый 3 9 4 2" xfId="1112" xr:uid="{00000000-0005-0000-0000-000021050000}"/>
    <cellStyle name="Финансовый 3 9 5" xfId="988" xr:uid="{00000000-0005-0000-0000-000022050000}"/>
    <cellStyle name="Финансовый 3 9 6" xfId="1633" xr:uid="{00000000-0005-0000-0000-000023050000}"/>
    <cellStyle name="Финансовый 3 9 7" xfId="860" xr:uid="{00000000-0005-0000-0000-000024050000}"/>
    <cellStyle name="Финансовый 30" xfId="795" xr:uid="{00000000-0005-0000-0000-000025050000}"/>
    <cellStyle name="Финансовый 4" xfId="5" xr:uid="{00000000-0005-0000-0000-000026050000}"/>
    <cellStyle name="Финансовый 4 10" xfId="29" xr:uid="{00000000-0005-0000-0000-000027050000}"/>
    <cellStyle name="Финансовый 4 10 2" xfId="167" xr:uid="{00000000-0005-0000-0000-000028050000}"/>
    <cellStyle name="Финансовый 4 10 2 2" xfId="439" xr:uid="{00000000-0005-0000-0000-000029050000}"/>
    <cellStyle name="Финансовый 4 10 2 2 2" xfId="1406" xr:uid="{00000000-0005-0000-0000-00002A050000}"/>
    <cellStyle name="Финансовый 4 10 2 3" xfId="1150" xr:uid="{00000000-0005-0000-0000-00002B050000}"/>
    <cellStyle name="Финансовый 4 10 2 4" xfId="1671" xr:uid="{00000000-0005-0000-0000-00002C050000}"/>
    <cellStyle name="Финансовый 4 10 3" xfId="303" xr:uid="{00000000-0005-0000-0000-00002D050000}"/>
    <cellStyle name="Финансовый 4 10 3 2" xfId="1278" xr:uid="{00000000-0005-0000-0000-00002E050000}"/>
    <cellStyle name="Финансовый 4 10 4" xfId="707" xr:uid="{00000000-0005-0000-0000-00002F050000}"/>
    <cellStyle name="Финансовый 4 10 4 2" xfId="1014" xr:uid="{00000000-0005-0000-0000-000030050000}"/>
    <cellStyle name="Финансовый 4 10 5" xfId="898" xr:uid="{00000000-0005-0000-0000-000031050000}"/>
    <cellStyle name="Финансовый 4 10 6" xfId="1534" xr:uid="{00000000-0005-0000-0000-000032050000}"/>
    <cellStyle name="Финансовый 4 10 7" xfId="761" xr:uid="{00000000-0005-0000-0000-000033050000}"/>
    <cellStyle name="Финансовый 4 11" xfId="17" xr:uid="{00000000-0005-0000-0000-000034050000}"/>
    <cellStyle name="Финансовый 4 11 2" xfId="155" xr:uid="{00000000-0005-0000-0000-000035050000}"/>
    <cellStyle name="Финансовый 4 11 2 2" xfId="427" xr:uid="{00000000-0005-0000-0000-000036050000}"/>
    <cellStyle name="Финансовый 4 11 2 2 2" xfId="1394" xr:uid="{00000000-0005-0000-0000-000037050000}"/>
    <cellStyle name="Финансовый 4 11 2 3" xfId="1138" xr:uid="{00000000-0005-0000-0000-000038050000}"/>
    <cellStyle name="Финансовый 4 11 2 4" xfId="1659" xr:uid="{00000000-0005-0000-0000-000039050000}"/>
    <cellStyle name="Финансовый 4 11 3" xfId="291" xr:uid="{00000000-0005-0000-0000-00003A050000}"/>
    <cellStyle name="Финансовый 4 11 3 2" xfId="1266" xr:uid="{00000000-0005-0000-0000-00003B050000}"/>
    <cellStyle name="Финансовый 4 11 4" xfId="708" xr:uid="{00000000-0005-0000-0000-00003C050000}"/>
    <cellStyle name="Финансовый 4 11 4 2" xfId="1002" xr:uid="{00000000-0005-0000-0000-00003D050000}"/>
    <cellStyle name="Финансовый 4 11 5" xfId="886" xr:uid="{00000000-0005-0000-0000-00003E050000}"/>
    <cellStyle name="Финансовый 4 11 6" xfId="1522" xr:uid="{00000000-0005-0000-0000-00003F050000}"/>
    <cellStyle name="Финансовый 4 11 7" xfId="749" xr:uid="{00000000-0005-0000-0000-000040050000}"/>
    <cellStyle name="Финансовый 4 12" xfId="143" xr:uid="{00000000-0005-0000-0000-000041050000}"/>
    <cellStyle name="Финансовый 4 12 2" xfId="415" xr:uid="{00000000-0005-0000-0000-000042050000}"/>
    <cellStyle name="Финансовый 4 12 2 2" xfId="1382" xr:uid="{00000000-0005-0000-0000-000043050000}"/>
    <cellStyle name="Финансовый 4 12 3" xfId="1126" xr:uid="{00000000-0005-0000-0000-000044050000}"/>
    <cellStyle name="Финансовый 4 12 4" xfId="1647" xr:uid="{00000000-0005-0000-0000-000045050000}"/>
    <cellStyle name="Финансовый 4 13" xfId="551" xr:uid="{00000000-0005-0000-0000-000046050000}"/>
    <cellStyle name="Финансовый 4 13 2" xfId="1254" xr:uid="{00000000-0005-0000-0000-000047050000}"/>
    <cellStyle name="Финансовый 4 14" xfId="279" xr:uid="{00000000-0005-0000-0000-000048050000}"/>
    <cellStyle name="Финансовый 4 15" xfId="706" xr:uid="{00000000-0005-0000-0000-000049050000}"/>
    <cellStyle name="Финансовый 4 15 2" xfId="874" xr:uid="{00000000-0005-0000-0000-00004A050000}"/>
    <cellStyle name="Финансовый 4 16" xfId="1510" xr:uid="{00000000-0005-0000-0000-00004B050000}"/>
    <cellStyle name="Финансовый 4 17" xfId="737" xr:uid="{00000000-0005-0000-0000-00004C050000}"/>
    <cellStyle name="Финансовый 4 2" xfId="11" xr:uid="{00000000-0005-0000-0000-00004D050000}"/>
    <cellStyle name="Финансовый 4 2 10" xfId="557" xr:uid="{00000000-0005-0000-0000-00004E050000}"/>
    <cellStyle name="Финансовый 4 2 10 2" xfId="1260" xr:uid="{00000000-0005-0000-0000-00004F050000}"/>
    <cellStyle name="Финансовый 4 2 11" xfId="285" xr:uid="{00000000-0005-0000-0000-000050050000}"/>
    <cellStyle name="Финансовый 4 2 12" xfId="709" xr:uid="{00000000-0005-0000-0000-000051050000}"/>
    <cellStyle name="Финансовый 4 2 12 2" xfId="880" xr:uid="{00000000-0005-0000-0000-000052050000}"/>
    <cellStyle name="Финансовый 4 2 13" xfId="1516" xr:uid="{00000000-0005-0000-0000-000053050000}"/>
    <cellStyle name="Финансовый 4 2 14" xfId="743" xr:uid="{00000000-0005-0000-0000-000054050000}"/>
    <cellStyle name="Финансовый 4 2 2" xfId="47" xr:uid="{00000000-0005-0000-0000-000055050000}"/>
    <cellStyle name="Финансовый 4 2 2 2" xfId="105" xr:uid="{00000000-0005-0000-0000-000056050000}"/>
    <cellStyle name="Финансовый 4 2 2 2 2" xfId="241" xr:uid="{00000000-0005-0000-0000-000057050000}"/>
    <cellStyle name="Финансовый 4 2 2 2 2 2" xfId="513" xr:uid="{00000000-0005-0000-0000-000058050000}"/>
    <cellStyle name="Финансовый 4 2 2 2 2 2 2" xfId="1472" xr:uid="{00000000-0005-0000-0000-000059050000}"/>
    <cellStyle name="Финансовый 4 2 2 2 2 3" xfId="1216" xr:uid="{00000000-0005-0000-0000-00005A050000}"/>
    <cellStyle name="Финансовый 4 2 2 2 2 4" xfId="1745" xr:uid="{00000000-0005-0000-0000-00005B050000}"/>
    <cellStyle name="Финансовый 4 2 2 2 3" xfId="377" xr:uid="{00000000-0005-0000-0000-00005C050000}"/>
    <cellStyle name="Финансовый 4 2 2 2 3 2" xfId="1344" xr:uid="{00000000-0005-0000-0000-00005D050000}"/>
    <cellStyle name="Финансовый 4 2 2 2 4" xfId="602" xr:uid="{00000000-0005-0000-0000-00005E050000}"/>
    <cellStyle name="Финансовый 4 2 2 2 4 2" xfId="1088" xr:uid="{00000000-0005-0000-0000-00005F050000}"/>
    <cellStyle name="Финансовый 4 2 2 2 5" xfId="964" xr:uid="{00000000-0005-0000-0000-000060050000}"/>
    <cellStyle name="Финансовый 4 2 2 2 6" xfId="1609" xr:uid="{00000000-0005-0000-0000-000061050000}"/>
    <cellStyle name="Финансовый 4 2 2 2 7" xfId="836" xr:uid="{00000000-0005-0000-0000-000062050000}"/>
    <cellStyle name="Финансовый 4 2 2 3" xfId="185" xr:uid="{00000000-0005-0000-0000-000063050000}"/>
    <cellStyle name="Финансовый 4 2 2 3 2" xfId="457" xr:uid="{00000000-0005-0000-0000-000064050000}"/>
    <cellStyle name="Финансовый 4 2 2 3 2 2" xfId="1424" xr:uid="{00000000-0005-0000-0000-000065050000}"/>
    <cellStyle name="Финансовый 4 2 2 3 3" xfId="1168" xr:uid="{00000000-0005-0000-0000-000066050000}"/>
    <cellStyle name="Финансовый 4 2 2 3 4" xfId="1689" xr:uid="{00000000-0005-0000-0000-000067050000}"/>
    <cellStyle name="Финансовый 4 2 2 4" xfId="321" xr:uid="{00000000-0005-0000-0000-000068050000}"/>
    <cellStyle name="Финансовый 4 2 2 4 2" xfId="1296" xr:uid="{00000000-0005-0000-0000-000069050000}"/>
    <cellStyle name="Финансовый 4 2 2 5" xfId="710" xr:uid="{00000000-0005-0000-0000-00006A050000}"/>
    <cellStyle name="Финансовый 4 2 2 5 2" xfId="1032" xr:uid="{00000000-0005-0000-0000-00006B050000}"/>
    <cellStyle name="Финансовый 4 2 2 6" xfId="916" xr:uid="{00000000-0005-0000-0000-00006C050000}"/>
    <cellStyle name="Финансовый 4 2 2 7" xfId="1552" xr:uid="{00000000-0005-0000-0000-00006D050000}"/>
    <cellStyle name="Финансовый 4 2 2 8" xfId="779" xr:uid="{00000000-0005-0000-0000-00006E050000}"/>
    <cellStyle name="Финансовый 4 2 3" xfId="117" xr:uid="{00000000-0005-0000-0000-00006F050000}"/>
    <cellStyle name="Финансовый 4 2 3 2" xfId="253" xr:uid="{00000000-0005-0000-0000-000070050000}"/>
    <cellStyle name="Финансовый 4 2 3 2 2" xfId="525" xr:uid="{00000000-0005-0000-0000-000071050000}"/>
    <cellStyle name="Финансовый 4 2 3 2 2 2" xfId="1484" xr:uid="{00000000-0005-0000-0000-000072050000}"/>
    <cellStyle name="Финансовый 4 2 3 2 3" xfId="1228" xr:uid="{00000000-0005-0000-0000-000073050000}"/>
    <cellStyle name="Финансовый 4 2 3 2 4" xfId="1757" xr:uid="{00000000-0005-0000-0000-000074050000}"/>
    <cellStyle name="Финансовый 4 2 3 3" xfId="389" xr:uid="{00000000-0005-0000-0000-000075050000}"/>
    <cellStyle name="Финансовый 4 2 3 3 2" xfId="1356" xr:uid="{00000000-0005-0000-0000-000076050000}"/>
    <cellStyle name="Финансовый 4 2 3 4" xfId="711" xr:uid="{00000000-0005-0000-0000-000077050000}"/>
    <cellStyle name="Финансовый 4 2 3 4 2" xfId="1100" xr:uid="{00000000-0005-0000-0000-000078050000}"/>
    <cellStyle name="Финансовый 4 2 3 5" xfId="976" xr:uid="{00000000-0005-0000-0000-000079050000}"/>
    <cellStyle name="Финансовый 4 2 3 6" xfId="1621" xr:uid="{00000000-0005-0000-0000-00007A050000}"/>
    <cellStyle name="Финансовый 4 2 3 7" xfId="848" xr:uid="{00000000-0005-0000-0000-00007B050000}"/>
    <cellStyle name="Финансовый 4 2 4" xfId="81" xr:uid="{00000000-0005-0000-0000-00007C050000}"/>
    <cellStyle name="Финансовый 4 2 4 2" xfId="217" xr:uid="{00000000-0005-0000-0000-00007D050000}"/>
    <cellStyle name="Финансовый 4 2 4 2 2" xfId="489" xr:uid="{00000000-0005-0000-0000-00007E050000}"/>
    <cellStyle name="Финансовый 4 2 4 2 2 2" xfId="1448" xr:uid="{00000000-0005-0000-0000-00007F050000}"/>
    <cellStyle name="Финансовый 4 2 4 2 3" xfId="1192" xr:uid="{00000000-0005-0000-0000-000080050000}"/>
    <cellStyle name="Финансовый 4 2 4 2 4" xfId="1721" xr:uid="{00000000-0005-0000-0000-000081050000}"/>
    <cellStyle name="Финансовый 4 2 4 3" xfId="353" xr:uid="{00000000-0005-0000-0000-000082050000}"/>
    <cellStyle name="Финансовый 4 2 4 3 2" xfId="1320" xr:uid="{00000000-0005-0000-0000-000083050000}"/>
    <cellStyle name="Финансовый 4 2 4 4" xfId="712" xr:uid="{00000000-0005-0000-0000-000084050000}"/>
    <cellStyle name="Финансовый 4 2 4 4 2" xfId="1064" xr:uid="{00000000-0005-0000-0000-000085050000}"/>
    <cellStyle name="Финансовый 4 2 4 5" xfId="940" xr:uid="{00000000-0005-0000-0000-000086050000}"/>
    <cellStyle name="Финансовый 4 2 4 6" xfId="1585" xr:uid="{00000000-0005-0000-0000-000087050000}"/>
    <cellStyle name="Финансовый 4 2 4 7" xfId="812" xr:uid="{00000000-0005-0000-0000-000088050000}"/>
    <cellStyle name="Финансовый 4 2 5" xfId="59" xr:uid="{00000000-0005-0000-0000-000089050000}"/>
    <cellStyle name="Финансовый 4 2 5 2" xfId="197" xr:uid="{00000000-0005-0000-0000-00008A050000}"/>
    <cellStyle name="Финансовый 4 2 5 2 2" xfId="469" xr:uid="{00000000-0005-0000-0000-00008B050000}"/>
    <cellStyle name="Финансовый 4 2 5 2 2 2" xfId="1436" xr:uid="{00000000-0005-0000-0000-00008C050000}"/>
    <cellStyle name="Финансовый 4 2 5 2 3" xfId="1180" xr:uid="{00000000-0005-0000-0000-00008D050000}"/>
    <cellStyle name="Финансовый 4 2 5 2 4" xfId="1701" xr:uid="{00000000-0005-0000-0000-00008E050000}"/>
    <cellStyle name="Финансовый 4 2 5 3" xfId="333" xr:uid="{00000000-0005-0000-0000-00008F050000}"/>
    <cellStyle name="Финансовый 4 2 5 3 2" xfId="1308" xr:uid="{00000000-0005-0000-0000-000090050000}"/>
    <cellStyle name="Финансовый 4 2 5 4" xfId="713" xr:uid="{00000000-0005-0000-0000-000091050000}"/>
    <cellStyle name="Финансовый 4 2 5 4 2" xfId="1044" xr:uid="{00000000-0005-0000-0000-000092050000}"/>
    <cellStyle name="Финансовый 4 2 5 5" xfId="928" xr:uid="{00000000-0005-0000-0000-000093050000}"/>
    <cellStyle name="Финансовый 4 2 5 6" xfId="1564" xr:uid="{00000000-0005-0000-0000-000094050000}"/>
    <cellStyle name="Финансовый 4 2 5 7" xfId="791" xr:uid="{00000000-0005-0000-0000-000095050000}"/>
    <cellStyle name="Финансовый 4 2 6" xfId="137" xr:uid="{00000000-0005-0000-0000-000096050000}"/>
    <cellStyle name="Финансовый 4 2 6 2" xfId="273" xr:uid="{00000000-0005-0000-0000-000097050000}"/>
    <cellStyle name="Финансовый 4 2 6 2 2" xfId="545" xr:uid="{00000000-0005-0000-0000-000098050000}"/>
    <cellStyle name="Финансовый 4 2 6 2 2 2" xfId="1504" xr:uid="{00000000-0005-0000-0000-000099050000}"/>
    <cellStyle name="Финансовый 4 2 6 2 3" xfId="1248" xr:uid="{00000000-0005-0000-0000-00009A050000}"/>
    <cellStyle name="Финансовый 4 2 6 2 4" xfId="1777" xr:uid="{00000000-0005-0000-0000-00009B050000}"/>
    <cellStyle name="Финансовый 4 2 6 3" xfId="409" xr:uid="{00000000-0005-0000-0000-00009C050000}"/>
    <cellStyle name="Финансовый 4 2 6 3 2" xfId="1376" xr:uid="{00000000-0005-0000-0000-00009D050000}"/>
    <cellStyle name="Финансовый 4 2 6 4" xfId="628" xr:uid="{00000000-0005-0000-0000-00009E050000}"/>
    <cellStyle name="Финансовый 4 2 6 4 2" xfId="1120" xr:uid="{00000000-0005-0000-0000-00009F050000}"/>
    <cellStyle name="Финансовый 4 2 6 5" xfId="996" xr:uid="{00000000-0005-0000-0000-0000A0050000}"/>
    <cellStyle name="Финансовый 4 2 6 6" xfId="1641" xr:uid="{00000000-0005-0000-0000-0000A1050000}"/>
    <cellStyle name="Финансовый 4 2 6 7" xfId="868" xr:uid="{00000000-0005-0000-0000-0000A2050000}"/>
    <cellStyle name="Финансовый 4 2 7" xfId="35" xr:uid="{00000000-0005-0000-0000-0000A3050000}"/>
    <cellStyle name="Финансовый 4 2 7 2" xfId="173" xr:uid="{00000000-0005-0000-0000-0000A4050000}"/>
    <cellStyle name="Финансовый 4 2 7 2 2" xfId="445" xr:uid="{00000000-0005-0000-0000-0000A5050000}"/>
    <cellStyle name="Финансовый 4 2 7 2 2 2" xfId="1412" xr:uid="{00000000-0005-0000-0000-0000A6050000}"/>
    <cellStyle name="Финансовый 4 2 7 2 3" xfId="1156" xr:uid="{00000000-0005-0000-0000-0000A7050000}"/>
    <cellStyle name="Финансовый 4 2 7 2 4" xfId="1677" xr:uid="{00000000-0005-0000-0000-0000A8050000}"/>
    <cellStyle name="Финансовый 4 2 7 3" xfId="309" xr:uid="{00000000-0005-0000-0000-0000A9050000}"/>
    <cellStyle name="Финансовый 4 2 7 3 2" xfId="1284" xr:uid="{00000000-0005-0000-0000-0000AA050000}"/>
    <cellStyle name="Финансовый 4 2 7 4" xfId="651" xr:uid="{00000000-0005-0000-0000-0000AB050000}"/>
    <cellStyle name="Финансовый 4 2 7 4 2" xfId="1020" xr:uid="{00000000-0005-0000-0000-0000AC050000}"/>
    <cellStyle name="Финансовый 4 2 7 5" xfId="904" xr:uid="{00000000-0005-0000-0000-0000AD050000}"/>
    <cellStyle name="Финансовый 4 2 7 6" xfId="1540" xr:uid="{00000000-0005-0000-0000-0000AE050000}"/>
    <cellStyle name="Финансовый 4 2 7 7" xfId="767" xr:uid="{00000000-0005-0000-0000-0000AF050000}"/>
    <cellStyle name="Финансовый 4 2 8" xfId="23" xr:uid="{00000000-0005-0000-0000-0000B0050000}"/>
    <cellStyle name="Финансовый 4 2 8 2" xfId="161" xr:uid="{00000000-0005-0000-0000-0000B1050000}"/>
    <cellStyle name="Финансовый 4 2 8 2 2" xfId="433" xr:uid="{00000000-0005-0000-0000-0000B2050000}"/>
    <cellStyle name="Финансовый 4 2 8 2 2 2" xfId="1400" xr:uid="{00000000-0005-0000-0000-0000B3050000}"/>
    <cellStyle name="Финансовый 4 2 8 2 3" xfId="1144" xr:uid="{00000000-0005-0000-0000-0000B4050000}"/>
    <cellStyle name="Финансовый 4 2 8 2 4" xfId="1665" xr:uid="{00000000-0005-0000-0000-0000B5050000}"/>
    <cellStyle name="Финансовый 4 2 8 3" xfId="297" xr:uid="{00000000-0005-0000-0000-0000B6050000}"/>
    <cellStyle name="Финансовый 4 2 8 3 2" xfId="1272" xr:uid="{00000000-0005-0000-0000-0000B7050000}"/>
    <cellStyle name="Финансовый 4 2 8 4" xfId="671" xr:uid="{00000000-0005-0000-0000-0000B8050000}"/>
    <cellStyle name="Финансовый 4 2 8 4 2" xfId="1008" xr:uid="{00000000-0005-0000-0000-0000B9050000}"/>
    <cellStyle name="Финансовый 4 2 8 5" xfId="892" xr:uid="{00000000-0005-0000-0000-0000BA050000}"/>
    <cellStyle name="Финансовый 4 2 8 6" xfId="1528" xr:uid="{00000000-0005-0000-0000-0000BB050000}"/>
    <cellStyle name="Финансовый 4 2 8 7" xfId="755" xr:uid="{00000000-0005-0000-0000-0000BC050000}"/>
    <cellStyle name="Финансовый 4 2 9" xfId="149" xr:uid="{00000000-0005-0000-0000-0000BD050000}"/>
    <cellStyle name="Финансовый 4 2 9 2" xfId="421" xr:uid="{00000000-0005-0000-0000-0000BE050000}"/>
    <cellStyle name="Финансовый 4 2 9 2 2" xfId="1388" xr:uid="{00000000-0005-0000-0000-0000BF050000}"/>
    <cellStyle name="Финансовый 4 2 9 3" xfId="1132" xr:uid="{00000000-0005-0000-0000-0000C0050000}"/>
    <cellStyle name="Финансовый 4 2 9 4" xfId="1653" xr:uid="{00000000-0005-0000-0000-0000C1050000}"/>
    <cellStyle name="Финансовый 4 3" xfId="41" xr:uid="{00000000-0005-0000-0000-0000C2050000}"/>
    <cellStyle name="Финансовый 4 3 2" xfId="123" xr:uid="{00000000-0005-0000-0000-0000C3050000}"/>
    <cellStyle name="Финансовый 4 3 2 2" xfId="259" xr:uid="{00000000-0005-0000-0000-0000C4050000}"/>
    <cellStyle name="Финансовый 4 3 2 2 2" xfId="531" xr:uid="{00000000-0005-0000-0000-0000C5050000}"/>
    <cellStyle name="Финансовый 4 3 2 2 2 2" xfId="1490" xr:uid="{00000000-0005-0000-0000-0000C6050000}"/>
    <cellStyle name="Финансовый 4 3 2 2 3" xfId="1234" xr:uid="{00000000-0005-0000-0000-0000C7050000}"/>
    <cellStyle name="Финансовый 4 3 2 2 4" xfId="1763" xr:uid="{00000000-0005-0000-0000-0000C8050000}"/>
    <cellStyle name="Финансовый 4 3 2 3" xfId="395" xr:uid="{00000000-0005-0000-0000-0000C9050000}"/>
    <cellStyle name="Финансовый 4 3 2 3 2" xfId="1362" xr:uid="{00000000-0005-0000-0000-0000CA050000}"/>
    <cellStyle name="Финансовый 4 3 2 4" xfId="714" xr:uid="{00000000-0005-0000-0000-0000CB050000}"/>
    <cellStyle name="Финансовый 4 3 2 4 2" xfId="1106" xr:uid="{00000000-0005-0000-0000-0000CC050000}"/>
    <cellStyle name="Финансовый 4 3 2 5" xfId="982" xr:uid="{00000000-0005-0000-0000-0000CD050000}"/>
    <cellStyle name="Финансовый 4 3 2 6" xfId="1627" xr:uid="{00000000-0005-0000-0000-0000CE050000}"/>
    <cellStyle name="Финансовый 4 3 2 7" xfId="854" xr:uid="{00000000-0005-0000-0000-0000CF050000}"/>
    <cellStyle name="Финансовый 4 3 3" xfId="87" xr:uid="{00000000-0005-0000-0000-0000D0050000}"/>
    <cellStyle name="Финансовый 4 3 3 2" xfId="223" xr:uid="{00000000-0005-0000-0000-0000D1050000}"/>
    <cellStyle name="Финансовый 4 3 3 2 2" xfId="495" xr:uid="{00000000-0005-0000-0000-0000D2050000}"/>
    <cellStyle name="Финансовый 4 3 3 2 2 2" xfId="1454" xr:uid="{00000000-0005-0000-0000-0000D3050000}"/>
    <cellStyle name="Финансовый 4 3 3 2 3" xfId="1198" xr:uid="{00000000-0005-0000-0000-0000D4050000}"/>
    <cellStyle name="Финансовый 4 3 3 2 4" xfId="1727" xr:uid="{00000000-0005-0000-0000-0000D5050000}"/>
    <cellStyle name="Финансовый 4 3 3 3" xfId="359" xr:uid="{00000000-0005-0000-0000-0000D6050000}"/>
    <cellStyle name="Финансовый 4 3 3 3 2" xfId="1326" xr:uid="{00000000-0005-0000-0000-0000D7050000}"/>
    <cellStyle name="Финансовый 4 3 3 4" xfId="715" xr:uid="{00000000-0005-0000-0000-0000D8050000}"/>
    <cellStyle name="Финансовый 4 3 3 4 2" xfId="1070" xr:uid="{00000000-0005-0000-0000-0000D9050000}"/>
    <cellStyle name="Финансовый 4 3 3 5" xfId="946" xr:uid="{00000000-0005-0000-0000-0000DA050000}"/>
    <cellStyle name="Финансовый 4 3 3 6" xfId="1591" xr:uid="{00000000-0005-0000-0000-0000DB050000}"/>
    <cellStyle name="Финансовый 4 3 3 7" xfId="818" xr:uid="{00000000-0005-0000-0000-0000DC050000}"/>
    <cellStyle name="Финансовый 4 3 4" xfId="179" xr:uid="{00000000-0005-0000-0000-0000DD050000}"/>
    <cellStyle name="Финансовый 4 3 4 2" xfId="451" xr:uid="{00000000-0005-0000-0000-0000DE050000}"/>
    <cellStyle name="Финансовый 4 3 4 2 2" xfId="1418" xr:uid="{00000000-0005-0000-0000-0000DF050000}"/>
    <cellStyle name="Финансовый 4 3 4 3" xfId="1162" xr:uid="{00000000-0005-0000-0000-0000E0050000}"/>
    <cellStyle name="Финансовый 4 3 4 4" xfId="1683" xr:uid="{00000000-0005-0000-0000-0000E1050000}"/>
    <cellStyle name="Финансовый 4 3 5" xfId="315" xr:uid="{00000000-0005-0000-0000-0000E2050000}"/>
    <cellStyle name="Финансовый 4 3 5 2" xfId="1290" xr:uid="{00000000-0005-0000-0000-0000E3050000}"/>
    <cellStyle name="Финансовый 4 3 6" xfId="607" xr:uid="{00000000-0005-0000-0000-0000E4050000}"/>
    <cellStyle name="Финансовый 4 3 6 2" xfId="1026" xr:uid="{00000000-0005-0000-0000-0000E5050000}"/>
    <cellStyle name="Финансовый 4 3 7" xfId="910" xr:uid="{00000000-0005-0000-0000-0000E6050000}"/>
    <cellStyle name="Финансовый 4 3 8" xfId="1546" xr:uid="{00000000-0005-0000-0000-0000E7050000}"/>
    <cellStyle name="Финансовый 4 3 9" xfId="773" xr:uid="{00000000-0005-0000-0000-0000E8050000}"/>
    <cellStyle name="Финансовый 4 4" xfId="93" xr:uid="{00000000-0005-0000-0000-0000E9050000}"/>
    <cellStyle name="Финансовый 4 4 2" xfId="229" xr:uid="{00000000-0005-0000-0000-0000EA050000}"/>
    <cellStyle name="Финансовый 4 4 2 2" xfId="501" xr:uid="{00000000-0005-0000-0000-0000EB050000}"/>
    <cellStyle name="Финансовый 4 4 2 2 2" xfId="1460" xr:uid="{00000000-0005-0000-0000-0000EC050000}"/>
    <cellStyle name="Финансовый 4 4 2 3" xfId="1204" xr:uid="{00000000-0005-0000-0000-0000ED050000}"/>
    <cellStyle name="Финансовый 4 4 2 4" xfId="1733" xr:uid="{00000000-0005-0000-0000-0000EE050000}"/>
    <cellStyle name="Финансовый 4 4 3" xfId="365" xr:uid="{00000000-0005-0000-0000-0000EF050000}"/>
    <cellStyle name="Финансовый 4 4 3 2" xfId="1332" xr:uid="{00000000-0005-0000-0000-0000F0050000}"/>
    <cellStyle name="Финансовый 4 4 4" xfId="716" xr:uid="{00000000-0005-0000-0000-0000F1050000}"/>
    <cellStyle name="Финансовый 4 4 4 2" xfId="1076" xr:uid="{00000000-0005-0000-0000-0000F2050000}"/>
    <cellStyle name="Финансовый 4 4 5" xfId="952" xr:uid="{00000000-0005-0000-0000-0000F3050000}"/>
    <cellStyle name="Финансовый 4 4 6" xfId="1597" xr:uid="{00000000-0005-0000-0000-0000F4050000}"/>
    <cellStyle name="Финансовый 4 4 7" xfId="824" xr:uid="{00000000-0005-0000-0000-0000F5050000}"/>
    <cellStyle name="Финансовый 4 5" xfId="99" xr:uid="{00000000-0005-0000-0000-0000F6050000}"/>
    <cellStyle name="Финансовый 4 5 2" xfId="235" xr:uid="{00000000-0005-0000-0000-0000F7050000}"/>
    <cellStyle name="Финансовый 4 5 2 2" xfId="507" xr:uid="{00000000-0005-0000-0000-0000F8050000}"/>
    <cellStyle name="Финансовый 4 5 2 2 2" xfId="1466" xr:uid="{00000000-0005-0000-0000-0000F9050000}"/>
    <cellStyle name="Финансовый 4 5 2 3" xfId="1210" xr:uid="{00000000-0005-0000-0000-0000FA050000}"/>
    <cellStyle name="Финансовый 4 5 2 4" xfId="1739" xr:uid="{00000000-0005-0000-0000-0000FB050000}"/>
    <cellStyle name="Финансовый 4 5 3" xfId="371" xr:uid="{00000000-0005-0000-0000-0000FC050000}"/>
    <cellStyle name="Финансовый 4 5 3 2" xfId="1338" xr:uid="{00000000-0005-0000-0000-0000FD050000}"/>
    <cellStyle name="Финансовый 4 5 4" xfId="717" xr:uid="{00000000-0005-0000-0000-0000FE050000}"/>
    <cellStyle name="Финансовый 4 5 4 2" xfId="1082" xr:uid="{00000000-0005-0000-0000-0000FF050000}"/>
    <cellStyle name="Финансовый 4 5 5" xfId="958" xr:uid="{00000000-0005-0000-0000-000000060000}"/>
    <cellStyle name="Финансовый 4 5 6" xfId="1603" xr:uid="{00000000-0005-0000-0000-000001060000}"/>
    <cellStyle name="Финансовый 4 5 7" xfId="830" xr:uid="{00000000-0005-0000-0000-000002060000}"/>
    <cellStyle name="Финансовый 4 6" xfId="111" xr:uid="{00000000-0005-0000-0000-000003060000}"/>
    <cellStyle name="Финансовый 4 6 2" xfId="247" xr:uid="{00000000-0005-0000-0000-000004060000}"/>
    <cellStyle name="Финансовый 4 6 2 2" xfId="519" xr:uid="{00000000-0005-0000-0000-000005060000}"/>
    <cellStyle name="Финансовый 4 6 2 2 2" xfId="1478" xr:uid="{00000000-0005-0000-0000-000006060000}"/>
    <cellStyle name="Финансовый 4 6 2 3" xfId="1222" xr:uid="{00000000-0005-0000-0000-000007060000}"/>
    <cellStyle name="Финансовый 4 6 2 4" xfId="1751" xr:uid="{00000000-0005-0000-0000-000008060000}"/>
    <cellStyle name="Финансовый 4 6 3" xfId="383" xr:uid="{00000000-0005-0000-0000-000009060000}"/>
    <cellStyle name="Финансовый 4 6 3 2" xfId="1350" xr:uid="{00000000-0005-0000-0000-00000A060000}"/>
    <cellStyle name="Финансовый 4 6 4" xfId="653" xr:uid="{00000000-0005-0000-0000-00000B060000}"/>
    <cellStyle name="Финансовый 4 6 4 2" xfId="1094" xr:uid="{00000000-0005-0000-0000-00000C060000}"/>
    <cellStyle name="Финансовый 4 6 5" xfId="970" xr:uid="{00000000-0005-0000-0000-00000D060000}"/>
    <cellStyle name="Финансовый 4 6 6" xfId="1615" xr:uid="{00000000-0005-0000-0000-00000E060000}"/>
    <cellStyle name="Финансовый 4 6 7" xfId="842" xr:uid="{00000000-0005-0000-0000-00000F060000}"/>
    <cellStyle name="Финансовый 4 7" xfId="75" xr:uid="{00000000-0005-0000-0000-000010060000}"/>
    <cellStyle name="Финансовый 4 7 2" xfId="211" xr:uid="{00000000-0005-0000-0000-000011060000}"/>
    <cellStyle name="Финансовый 4 7 2 2" xfId="483" xr:uid="{00000000-0005-0000-0000-000012060000}"/>
    <cellStyle name="Финансовый 4 7 2 2 2" xfId="1442" xr:uid="{00000000-0005-0000-0000-000013060000}"/>
    <cellStyle name="Финансовый 4 7 2 3" xfId="1186" xr:uid="{00000000-0005-0000-0000-000014060000}"/>
    <cellStyle name="Финансовый 4 7 2 4" xfId="1715" xr:uid="{00000000-0005-0000-0000-000015060000}"/>
    <cellStyle name="Финансовый 4 7 3" xfId="347" xr:uid="{00000000-0005-0000-0000-000016060000}"/>
    <cellStyle name="Финансовый 4 7 3 2" xfId="1314" xr:uid="{00000000-0005-0000-0000-000017060000}"/>
    <cellStyle name="Финансовый 4 7 4" xfId="621" xr:uid="{00000000-0005-0000-0000-000018060000}"/>
    <cellStyle name="Финансовый 4 7 4 2" xfId="1058" xr:uid="{00000000-0005-0000-0000-000019060000}"/>
    <cellStyle name="Финансовый 4 7 5" xfId="934" xr:uid="{00000000-0005-0000-0000-00001A060000}"/>
    <cellStyle name="Финансовый 4 7 6" xfId="1579" xr:uid="{00000000-0005-0000-0000-00001B060000}"/>
    <cellStyle name="Финансовый 4 7 7" xfId="806" xr:uid="{00000000-0005-0000-0000-00001C060000}"/>
    <cellStyle name="Финансовый 4 8" xfId="53" xr:uid="{00000000-0005-0000-0000-00001D060000}"/>
    <cellStyle name="Финансовый 4 8 2" xfId="191" xr:uid="{00000000-0005-0000-0000-00001E060000}"/>
    <cellStyle name="Финансовый 4 8 2 2" xfId="463" xr:uid="{00000000-0005-0000-0000-00001F060000}"/>
    <cellStyle name="Финансовый 4 8 2 2 2" xfId="1430" xr:uid="{00000000-0005-0000-0000-000020060000}"/>
    <cellStyle name="Финансовый 4 8 2 3" xfId="1174" xr:uid="{00000000-0005-0000-0000-000021060000}"/>
    <cellStyle name="Финансовый 4 8 2 4" xfId="1695" xr:uid="{00000000-0005-0000-0000-000022060000}"/>
    <cellStyle name="Финансовый 4 8 3" xfId="327" xr:uid="{00000000-0005-0000-0000-000023060000}"/>
    <cellStyle name="Финансовый 4 8 3 2" xfId="1302" xr:uid="{00000000-0005-0000-0000-000024060000}"/>
    <cellStyle name="Финансовый 4 8 4" xfId="608" xr:uid="{00000000-0005-0000-0000-000025060000}"/>
    <cellStyle name="Финансовый 4 8 4 2" xfId="1038" xr:uid="{00000000-0005-0000-0000-000026060000}"/>
    <cellStyle name="Финансовый 4 8 5" xfId="922" xr:uid="{00000000-0005-0000-0000-000027060000}"/>
    <cellStyle name="Финансовый 4 8 6" xfId="1558" xr:uid="{00000000-0005-0000-0000-000028060000}"/>
    <cellStyle name="Финансовый 4 8 7" xfId="785" xr:uid="{00000000-0005-0000-0000-000029060000}"/>
    <cellStyle name="Финансовый 4 9" xfId="131" xr:uid="{00000000-0005-0000-0000-00002A060000}"/>
    <cellStyle name="Финансовый 4 9 2" xfId="267" xr:uid="{00000000-0005-0000-0000-00002B060000}"/>
    <cellStyle name="Финансовый 4 9 2 2" xfId="539" xr:uid="{00000000-0005-0000-0000-00002C060000}"/>
    <cellStyle name="Финансовый 4 9 2 2 2" xfId="1498" xr:uid="{00000000-0005-0000-0000-00002D060000}"/>
    <cellStyle name="Финансовый 4 9 2 3" xfId="1242" xr:uid="{00000000-0005-0000-0000-00002E060000}"/>
    <cellStyle name="Финансовый 4 9 2 4" xfId="1771" xr:uid="{00000000-0005-0000-0000-00002F060000}"/>
    <cellStyle name="Финансовый 4 9 3" xfId="403" xr:uid="{00000000-0005-0000-0000-000030060000}"/>
    <cellStyle name="Финансовый 4 9 3 2" xfId="1370" xr:uid="{00000000-0005-0000-0000-000031060000}"/>
    <cellStyle name="Финансовый 4 9 4" xfId="624" xr:uid="{00000000-0005-0000-0000-000032060000}"/>
    <cellStyle name="Финансовый 4 9 4 2" xfId="1114" xr:uid="{00000000-0005-0000-0000-000033060000}"/>
    <cellStyle name="Финансовый 4 9 5" xfId="990" xr:uid="{00000000-0005-0000-0000-000034060000}"/>
    <cellStyle name="Финансовый 4 9 6" xfId="1635" xr:uid="{00000000-0005-0000-0000-000035060000}"/>
    <cellStyle name="Финансовый 4 9 7" xfId="862" xr:uid="{00000000-0005-0000-0000-000036060000}"/>
    <cellStyle name="Финансовый 5" xfId="7" xr:uid="{00000000-0005-0000-0000-000037060000}"/>
    <cellStyle name="Финансовый 5 10" xfId="553" xr:uid="{00000000-0005-0000-0000-000038060000}"/>
    <cellStyle name="Финансовый 5 10 2" xfId="1256" xr:uid="{00000000-0005-0000-0000-000039060000}"/>
    <cellStyle name="Финансовый 5 11" xfId="281" xr:uid="{00000000-0005-0000-0000-00003A060000}"/>
    <cellStyle name="Финансовый 5 12" xfId="718" xr:uid="{00000000-0005-0000-0000-00003B060000}"/>
    <cellStyle name="Финансовый 5 12 2" xfId="876" xr:uid="{00000000-0005-0000-0000-00003C060000}"/>
    <cellStyle name="Финансовый 5 13" xfId="1512" xr:uid="{00000000-0005-0000-0000-00003D060000}"/>
    <cellStyle name="Финансовый 5 14" xfId="739" xr:uid="{00000000-0005-0000-0000-00003E060000}"/>
    <cellStyle name="Финансовый 5 2" xfId="43" xr:uid="{00000000-0005-0000-0000-00003F060000}"/>
    <cellStyle name="Финансовый 5 2 2" xfId="101" xr:uid="{00000000-0005-0000-0000-000040060000}"/>
    <cellStyle name="Финансовый 5 2 2 2" xfId="237" xr:uid="{00000000-0005-0000-0000-000041060000}"/>
    <cellStyle name="Финансовый 5 2 2 2 2" xfId="509" xr:uid="{00000000-0005-0000-0000-000042060000}"/>
    <cellStyle name="Финансовый 5 2 2 2 2 2" xfId="1468" xr:uid="{00000000-0005-0000-0000-000043060000}"/>
    <cellStyle name="Финансовый 5 2 2 2 3" xfId="1212" xr:uid="{00000000-0005-0000-0000-000044060000}"/>
    <cellStyle name="Финансовый 5 2 2 2 4" xfId="1741" xr:uid="{00000000-0005-0000-0000-000045060000}"/>
    <cellStyle name="Финансовый 5 2 2 3" xfId="373" xr:uid="{00000000-0005-0000-0000-000046060000}"/>
    <cellStyle name="Финансовый 5 2 2 3 2" xfId="1340" xr:uid="{00000000-0005-0000-0000-000047060000}"/>
    <cellStyle name="Финансовый 5 2 2 4" xfId="720" xr:uid="{00000000-0005-0000-0000-000048060000}"/>
    <cellStyle name="Финансовый 5 2 2 4 2" xfId="1084" xr:uid="{00000000-0005-0000-0000-000049060000}"/>
    <cellStyle name="Финансовый 5 2 2 5" xfId="960" xr:uid="{00000000-0005-0000-0000-00004A060000}"/>
    <cellStyle name="Финансовый 5 2 2 6" xfId="1605" xr:uid="{00000000-0005-0000-0000-00004B060000}"/>
    <cellStyle name="Финансовый 5 2 2 7" xfId="832" xr:uid="{00000000-0005-0000-0000-00004C060000}"/>
    <cellStyle name="Финансовый 5 2 3" xfId="181" xr:uid="{00000000-0005-0000-0000-00004D060000}"/>
    <cellStyle name="Финансовый 5 2 3 2" xfId="453" xr:uid="{00000000-0005-0000-0000-00004E060000}"/>
    <cellStyle name="Финансовый 5 2 3 2 2" xfId="1420" xr:uid="{00000000-0005-0000-0000-00004F060000}"/>
    <cellStyle name="Финансовый 5 2 3 3" xfId="1164" xr:uid="{00000000-0005-0000-0000-000050060000}"/>
    <cellStyle name="Финансовый 5 2 3 4" xfId="1685" xr:uid="{00000000-0005-0000-0000-000051060000}"/>
    <cellStyle name="Финансовый 5 2 4" xfId="317" xr:uid="{00000000-0005-0000-0000-000052060000}"/>
    <cellStyle name="Финансовый 5 2 4 2" xfId="1292" xr:uid="{00000000-0005-0000-0000-000053060000}"/>
    <cellStyle name="Финансовый 5 2 5" xfId="719" xr:uid="{00000000-0005-0000-0000-000054060000}"/>
    <cellStyle name="Финансовый 5 2 5 2" xfId="1028" xr:uid="{00000000-0005-0000-0000-000055060000}"/>
    <cellStyle name="Финансовый 5 2 6" xfId="912" xr:uid="{00000000-0005-0000-0000-000056060000}"/>
    <cellStyle name="Финансовый 5 2 7" xfId="1548" xr:uid="{00000000-0005-0000-0000-000057060000}"/>
    <cellStyle name="Финансовый 5 2 8" xfId="775" xr:uid="{00000000-0005-0000-0000-000058060000}"/>
    <cellStyle name="Финансовый 5 3" xfId="113" xr:uid="{00000000-0005-0000-0000-000059060000}"/>
    <cellStyle name="Финансовый 5 3 2" xfId="249" xr:uid="{00000000-0005-0000-0000-00005A060000}"/>
    <cellStyle name="Финансовый 5 3 2 2" xfId="521" xr:uid="{00000000-0005-0000-0000-00005B060000}"/>
    <cellStyle name="Финансовый 5 3 2 2 2" xfId="1480" xr:uid="{00000000-0005-0000-0000-00005C060000}"/>
    <cellStyle name="Финансовый 5 3 2 3" xfId="1224" xr:uid="{00000000-0005-0000-0000-00005D060000}"/>
    <cellStyle name="Финансовый 5 3 2 4" xfId="1753" xr:uid="{00000000-0005-0000-0000-00005E060000}"/>
    <cellStyle name="Финансовый 5 3 3" xfId="385" xr:uid="{00000000-0005-0000-0000-00005F060000}"/>
    <cellStyle name="Финансовый 5 3 3 2" xfId="1352" xr:uid="{00000000-0005-0000-0000-000060060000}"/>
    <cellStyle name="Финансовый 5 3 4" xfId="721" xr:uid="{00000000-0005-0000-0000-000061060000}"/>
    <cellStyle name="Финансовый 5 3 4 2" xfId="1096" xr:uid="{00000000-0005-0000-0000-000062060000}"/>
    <cellStyle name="Финансовый 5 3 5" xfId="972" xr:uid="{00000000-0005-0000-0000-000063060000}"/>
    <cellStyle name="Финансовый 5 3 6" xfId="1617" xr:uid="{00000000-0005-0000-0000-000064060000}"/>
    <cellStyle name="Финансовый 5 3 7" xfId="844" xr:uid="{00000000-0005-0000-0000-000065060000}"/>
    <cellStyle name="Финансовый 5 4" xfId="77" xr:uid="{00000000-0005-0000-0000-000066060000}"/>
    <cellStyle name="Финансовый 5 4 2" xfId="213" xr:uid="{00000000-0005-0000-0000-000067060000}"/>
    <cellStyle name="Финансовый 5 4 2 2" xfId="485" xr:uid="{00000000-0005-0000-0000-000068060000}"/>
    <cellStyle name="Финансовый 5 4 2 2 2" xfId="1444" xr:uid="{00000000-0005-0000-0000-000069060000}"/>
    <cellStyle name="Финансовый 5 4 2 3" xfId="1188" xr:uid="{00000000-0005-0000-0000-00006A060000}"/>
    <cellStyle name="Финансовый 5 4 2 4" xfId="1717" xr:uid="{00000000-0005-0000-0000-00006B060000}"/>
    <cellStyle name="Финансовый 5 4 3" xfId="349" xr:uid="{00000000-0005-0000-0000-00006C060000}"/>
    <cellStyle name="Финансовый 5 4 3 2" xfId="1316" xr:uid="{00000000-0005-0000-0000-00006D060000}"/>
    <cellStyle name="Финансовый 5 4 4" xfId="722" xr:uid="{00000000-0005-0000-0000-00006E060000}"/>
    <cellStyle name="Финансовый 5 4 4 2" xfId="1060" xr:uid="{00000000-0005-0000-0000-00006F060000}"/>
    <cellStyle name="Финансовый 5 4 5" xfId="936" xr:uid="{00000000-0005-0000-0000-000070060000}"/>
    <cellStyle name="Финансовый 5 4 6" xfId="1581" xr:uid="{00000000-0005-0000-0000-000071060000}"/>
    <cellStyle name="Финансовый 5 4 7" xfId="808" xr:uid="{00000000-0005-0000-0000-000072060000}"/>
    <cellStyle name="Финансовый 5 5" xfId="55" xr:uid="{00000000-0005-0000-0000-000073060000}"/>
    <cellStyle name="Финансовый 5 5 2" xfId="193" xr:uid="{00000000-0005-0000-0000-000074060000}"/>
    <cellStyle name="Финансовый 5 5 2 2" xfId="465" xr:uid="{00000000-0005-0000-0000-000075060000}"/>
    <cellStyle name="Финансовый 5 5 2 2 2" xfId="1432" xr:uid="{00000000-0005-0000-0000-000076060000}"/>
    <cellStyle name="Финансовый 5 5 2 3" xfId="1176" xr:uid="{00000000-0005-0000-0000-000077060000}"/>
    <cellStyle name="Финансовый 5 5 2 4" xfId="1697" xr:uid="{00000000-0005-0000-0000-000078060000}"/>
    <cellStyle name="Финансовый 5 5 3" xfId="329" xr:uid="{00000000-0005-0000-0000-000079060000}"/>
    <cellStyle name="Финансовый 5 5 3 2" xfId="1304" xr:uid="{00000000-0005-0000-0000-00007A060000}"/>
    <cellStyle name="Финансовый 5 5 4" xfId="723" xr:uid="{00000000-0005-0000-0000-00007B060000}"/>
    <cellStyle name="Финансовый 5 5 4 2" xfId="1040" xr:uid="{00000000-0005-0000-0000-00007C060000}"/>
    <cellStyle name="Финансовый 5 5 5" xfId="924" xr:uid="{00000000-0005-0000-0000-00007D060000}"/>
    <cellStyle name="Финансовый 5 5 6" xfId="1560" xr:uid="{00000000-0005-0000-0000-00007E060000}"/>
    <cellStyle name="Финансовый 5 5 7" xfId="787" xr:uid="{00000000-0005-0000-0000-00007F060000}"/>
    <cellStyle name="Финансовый 5 6" xfId="133" xr:uid="{00000000-0005-0000-0000-000080060000}"/>
    <cellStyle name="Финансовый 5 6 2" xfId="269" xr:uid="{00000000-0005-0000-0000-000081060000}"/>
    <cellStyle name="Финансовый 5 6 2 2" xfId="541" xr:uid="{00000000-0005-0000-0000-000082060000}"/>
    <cellStyle name="Финансовый 5 6 2 2 2" xfId="1500" xr:uid="{00000000-0005-0000-0000-000083060000}"/>
    <cellStyle name="Финансовый 5 6 2 3" xfId="1244" xr:uid="{00000000-0005-0000-0000-000084060000}"/>
    <cellStyle name="Финансовый 5 6 2 4" xfId="1773" xr:uid="{00000000-0005-0000-0000-000085060000}"/>
    <cellStyle name="Финансовый 5 6 3" xfId="405" xr:uid="{00000000-0005-0000-0000-000086060000}"/>
    <cellStyle name="Финансовый 5 6 3 2" xfId="1372" xr:uid="{00000000-0005-0000-0000-000087060000}"/>
    <cellStyle name="Финансовый 5 6 4" xfId="724" xr:uid="{00000000-0005-0000-0000-000088060000}"/>
    <cellStyle name="Финансовый 5 6 4 2" xfId="1116" xr:uid="{00000000-0005-0000-0000-000089060000}"/>
    <cellStyle name="Финансовый 5 6 5" xfId="992" xr:uid="{00000000-0005-0000-0000-00008A060000}"/>
    <cellStyle name="Финансовый 5 6 6" xfId="1637" xr:uid="{00000000-0005-0000-0000-00008B060000}"/>
    <cellStyle name="Финансовый 5 6 7" xfId="864" xr:uid="{00000000-0005-0000-0000-00008C060000}"/>
    <cellStyle name="Финансовый 5 7" xfId="31" xr:uid="{00000000-0005-0000-0000-00008D060000}"/>
    <cellStyle name="Финансовый 5 7 2" xfId="169" xr:uid="{00000000-0005-0000-0000-00008E060000}"/>
    <cellStyle name="Финансовый 5 7 2 2" xfId="441" xr:uid="{00000000-0005-0000-0000-00008F060000}"/>
    <cellStyle name="Финансовый 5 7 2 2 2" xfId="1408" xr:uid="{00000000-0005-0000-0000-000090060000}"/>
    <cellStyle name="Финансовый 5 7 2 3" xfId="1152" xr:uid="{00000000-0005-0000-0000-000091060000}"/>
    <cellStyle name="Финансовый 5 7 2 4" xfId="1673" xr:uid="{00000000-0005-0000-0000-000092060000}"/>
    <cellStyle name="Финансовый 5 7 3" xfId="305" xr:uid="{00000000-0005-0000-0000-000093060000}"/>
    <cellStyle name="Финансовый 5 7 3 2" xfId="1280" xr:uid="{00000000-0005-0000-0000-000094060000}"/>
    <cellStyle name="Финансовый 5 7 4" xfId="725" xr:uid="{00000000-0005-0000-0000-000095060000}"/>
    <cellStyle name="Финансовый 5 7 4 2" xfId="1016" xr:uid="{00000000-0005-0000-0000-000096060000}"/>
    <cellStyle name="Финансовый 5 7 5" xfId="900" xr:uid="{00000000-0005-0000-0000-000097060000}"/>
    <cellStyle name="Финансовый 5 7 6" xfId="1536" xr:uid="{00000000-0005-0000-0000-000098060000}"/>
    <cellStyle name="Финансовый 5 7 7" xfId="763" xr:uid="{00000000-0005-0000-0000-000099060000}"/>
    <cellStyle name="Финансовый 5 8" xfId="19" xr:uid="{00000000-0005-0000-0000-00009A060000}"/>
    <cellStyle name="Финансовый 5 8 2" xfId="157" xr:uid="{00000000-0005-0000-0000-00009B060000}"/>
    <cellStyle name="Финансовый 5 8 2 2" xfId="429" xr:uid="{00000000-0005-0000-0000-00009C060000}"/>
    <cellStyle name="Финансовый 5 8 2 2 2" xfId="1396" xr:uid="{00000000-0005-0000-0000-00009D060000}"/>
    <cellStyle name="Финансовый 5 8 2 3" xfId="1140" xr:uid="{00000000-0005-0000-0000-00009E060000}"/>
    <cellStyle name="Финансовый 5 8 2 4" xfId="1661" xr:uid="{00000000-0005-0000-0000-00009F060000}"/>
    <cellStyle name="Финансовый 5 8 3" xfId="293" xr:uid="{00000000-0005-0000-0000-0000A0060000}"/>
    <cellStyle name="Финансовый 5 8 3 2" xfId="1268" xr:uid="{00000000-0005-0000-0000-0000A1060000}"/>
    <cellStyle name="Финансовый 5 8 4" xfId="726" xr:uid="{00000000-0005-0000-0000-0000A2060000}"/>
    <cellStyle name="Финансовый 5 8 4 2" xfId="1004" xr:uid="{00000000-0005-0000-0000-0000A3060000}"/>
    <cellStyle name="Финансовый 5 8 5" xfId="888" xr:uid="{00000000-0005-0000-0000-0000A4060000}"/>
    <cellStyle name="Финансовый 5 8 6" xfId="1524" xr:uid="{00000000-0005-0000-0000-0000A5060000}"/>
    <cellStyle name="Финансовый 5 8 7" xfId="751" xr:uid="{00000000-0005-0000-0000-0000A6060000}"/>
    <cellStyle name="Финансовый 5 9" xfId="145" xr:uid="{00000000-0005-0000-0000-0000A7060000}"/>
    <cellStyle name="Финансовый 5 9 2" xfId="417" xr:uid="{00000000-0005-0000-0000-0000A8060000}"/>
    <cellStyle name="Финансовый 5 9 2 2" xfId="1384" xr:uid="{00000000-0005-0000-0000-0000A9060000}"/>
    <cellStyle name="Финансовый 5 9 3" xfId="1128" xr:uid="{00000000-0005-0000-0000-0000AA060000}"/>
    <cellStyle name="Финансовый 5 9 4" xfId="1649" xr:uid="{00000000-0005-0000-0000-0000AB060000}"/>
    <cellStyle name="Финансовый 6" xfId="37" xr:uid="{00000000-0005-0000-0000-0000AC060000}"/>
    <cellStyle name="Финансовый 6 2" xfId="119" xr:uid="{00000000-0005-0000-0000-0000AD060000}"/>
    <cellStyle name="Финансовый 6 2 2" xfId="255" xr:uid="{00000000-0005-0000-0000-0000AE060000}"/>
    <cellStyle name="Финансовый 6 2 2 2" xfId="527" xr:uid="{00000000-0005-0000-0000-0000AF060000}"/>
    <cellStyle name="Финансовый 6 2 2 2 2" xfId="1486" xr:uid="{00000000-0005-0000-0000-0000B0060000}"/>
    <cellStyle name="Финансовый 6 2 2 3" xfId="1230" xr:uid="{00000000-0005-0000-0000-0000B1060000}"/>
    <cellStyle name="Финансовый 6 2 2 4" xfId="1759" xr:uid="{00000000-0005-0000-0000-0000B2060000}"/>
    <cellStyle name="Финансовый 6 2 3" xfId="391" xr:uid="{00000000-0005-0000-0000-0000B3060000}"/>
    <cellStyle name="Финансовый 6 2 3 2" xfId="1358" xr:uid="{00000000-0005-0000-0000-0000B4060000}"/>
    <cellStyle name="Финансовый 6 2 4" xfId="728" xr:uid="{00000000-0005-0000-0000-0000B5060000}"/>
    <cellStyle name="Финансовый 6 2 4 2" xfId="1102" xr:uid="{00000000-0005-0000-0000-0000B6060000}"/>
    <cellStyle name="Финансовый 6 2 5" xfId="978" xr:uid="{00000000-0005-0000-0000-0000B7060000}"/>
    <cellStyle name="Финансовый 6 2 6" xfId="1623" xr:uid="{00000000-0005-0000-0000-0000B8060000}"/>
    <cellStyle name="Финансовый 6 2 7" xfId="850" xr:uid="{00000000-0005-0000-0000-0000B9060000}"/>
    <cellStyle name="Финансовый 6 3" xfId="83" xr:uid="{00000000-0005-0000-0000-0000BA060000}"/>
    <cellStyle name="Финансовый 6 3 2" xfId="219" xr:uid="{00000000-0005-0000-0000-0000BB060000}"/>
    <cellStyle name="Финансовый 6 3 2 2" xfId="491" xr:uid="{00000000-0005-0000-0000-0000BC060000}"/>
    <cellStyle name="Финансовый 6 3 2 2 2" xfId="1450" xr:uid="{00000000-0005-0000-0000-0000BD060000}"/>
    <cellStyle name="Финансовый 6 3 2 3" xfId="1194" xr:uid="{00000000-0005-0000-0000-0000BE060000}"/>
    <cellStyle name="Финансовый 6 3 2 4" xfId="1723" xr:uid="{00000000-0005-0000-0000-0000BF060000}"/>
    <cellStyle name="Финансовый 6 3 3" xfId="355" xr:uid="{00000000-0005-0000-0000-0000C0060000}"/>
    <cellStyle name="Финансовый 6 3 3 2" xfId="1322" xr:uid="{00000000-0005-0000-0000-0000C1060000}"/>
    <cellStyle name="Финансовый 6 3 4" xfId="618" xr:uid="{00000000-0005-0000-0000-0000C2060000}"/>
    <cellStyle name="Финансовый 6 3 4 2" xfId="1066" xr:uid="{00000000-0005-0000-0000-0000C3060000}"/>
    <cellStyle name="Финансовый 6 3 5" xfId="942" xr:uid="{00000000-0005-0000-0000-0000C4060000}"/>
    <cellStyle name="Финансовый 6 3 6" xfId="1587" xr:uid="{00000000-0005-0000-0000-0000C5060000}"/>
    <cellStyle name="Финансовый 6 3 7" xfId="814" xr:uid="{00000000-0005-0000-0000-0000C6060000}"/>
    <cellStyle name="Финансовый 6 4" xfId="175" xr:uid="{00000000-0005-0000-0000-0000C7060000}"/>
    <cellStyle name="Финансовый 6 4 2" xfId="447" xr:uid="{00000000-0005-0000-0000-0000C8060000}"/>
    <cellStyle name="Финансовый 6 4 2 2" xfId="1414" xr:uid="{00000000-0005-0000-0000-0000C9060000}"/>
    <cellStyle name="Финансовый 6 4 3" xfId="1158" xr:uid="{00000000-0005-0000-0000-0000CA060000}"/>
    <cellStyle name="Финансовый 6 4 4" xfId="1679" xr:uid="{00000000-0005-0000-0000-0000CB060000}"/>
    <cellStyle name="Финансовый 6 5" xfId="311" xr:uid="{00000000-0005-0000-0000-0000CC060000}"/>
    <cellStyle name="Финансовый 6 5 2" xfId="1286" xr:uid="{00000000-0005-0000-0000-0000CD060000}"/>
    <cellStyle name="Финансовый 6 6" xfId="727" xr:uid="{00000000-0005-0000-0000-0000CE060000}"/>
    <cellStyle name="Финансовый 6 6 2" xfId="1022" xr:uid="{00000000-0005-0000-0000-0000CF060000}"/>
    <cellStyle name="Финансовый 6 7" xfId="906" xr:uid="{00000000-0005-0000-0000-0000D0060000}"/>
    <cellStyle name="Финансовый 6 8" xfId="1542" xr:uid="{00000000-0005-0000-0000-0000D1060000}"/>
    <cellStyle name="Финансовый 6 9" xfId="769" xr:uid="{00000000-0005-0000-0000-0000D2060000}"/>
    <cellStyle name="Финансовый 7" xfId="89" xr:uid="{00000000-0005-0000-0000-0000D3060000}"/>
    <cellStyle name="Финансовый 7 2" xfId="225" xr:uid="{00000000-0005-0000-0000-0000D4060000}"/>
    <cellStyle name="Финансовый 7 2 2" xfId="497" xr:uid="{00000000-0005-0000-0000-0000D5060000}"/>
    <cellStyle name="Финансовый 7 2 2 2" xfId="1456" xr:uid="{00000000-0005-0000-0000-0000D6060000}"/>
    <cellStyle name="Финансовый 7 2 3" xfId="1200" xr:uid="{00000000-0005-0000-0000-0000D7060000}"/>
    <cellStyle name="Финансовый 7 2 4" xfId="1729" xr:uid="{00000000-0005-0000-0000-0000D8060000}"/>
    <cellStyle name="Финансовый 7 3" xfId="361" xr:uid="{00000000-0005-0000-0000-0000D9060000}"/>
    <cellStyle name="Финансовый 7 3 2" xfId="1328" xr:uid="{00000000-0005-0000-0000-0000DA060000}"/>
    <cellStyle name="Финансовый 7 4" xfId="729" xr:uid="{00000000-0005-0000-0000-0000DB060000}"/>
    <cellStyle name="Финансовый 7 4 2" xfId="1072" xr:uid="{00000000-0005-0000-0000-0000DC060000}"/>
    <cellStyle name="Финансовый 7 5" xfId="948" xr:uid="{00000000-0005-0000-0000-0000DD060000}"/>
    <cellStyle name="Финансовый 7 6" xfId="1593" xr:uid="{00000000-0005-0000-0000-0000DE060000}"/>
    <cellStyle name="Финансовый 7 7" xfId="820" xr:uid="{00000000-0005-0000-0000-0000DF060000}"/>
    <cellStyle name="Финансовый 8" xfId="95" xr:uid="{00000000-0005-0000-0000-0000E0060000}"/>
    <cellStyle name="Финансовый 8 2" xfId="231" xr:uid="{00000000-0005-0000-0000-0000E1060000}"/>
    <cellStyle name="Финансовый 8 2 2" xfId="503" xr:uid="{00000000-0005-0000-0000-0000E2060000}"/>
    <cellStyle name="Финансовый 8 2 2 2" xfId="1462" xr:uid="{00000000-0005-0000-0000-0000E3060000}"/>
    <cellStyle name="Финансовый 8 2 3" xfId="1206" xr:uid="{00000000-0005-0000-0000-0000E4060000}"/>
    <cellStyle name="Финансовый 8 2 4" xfId="1735" xr:uid="{00000000-0005-0000-0000-0000E5060000}"/>
    <cellStyle name="Финансовый 8 3" xfId="367" xr:uid="{00000000-0005-0000-0000-0000E6060000}"/>
    <cellStyle name="Финансовый 8 3 2" xfId="1334" xr:uid="{00000000-0005-0000-0000-0000E7060000}"/>
    <cellStyle name="Финансовый 8 4" xfId="730" xr:uid="{00000000-0005-0000-0000-0000E8060000}"/>
    <cellStyle name="Финансовый 8 4 2" xfId="1078" xr:uid="{00000000-0005-0000-0000-0000E9060000}"/>
    <cellStyle name="Финансовый 8 5" xfId="954" xr:uid="{00000000-0005-0000-0000-0000EA060000}"/>
    <cellStyle name="Финансовый 8 6" xfId="1599" xr:uid="{00000000-0005-0000-0000-0000EB060000}"/>
    <cellStyle name="Финансовый 8 7" xfId="826" xr:uid="{00000000-0005-0000-0000-0000EC060000}"/>
    <cellStyle name="Финансовый 9" xfId="107" xr:uid="{00000000-0005-0000-0000-0000ED060000}"/>
    <cellStyle name="Финансовый 9 2" xfId="243" xr:uid="{00000000-0005-0000-0000-0000EE060000}"/>
    <cellStyle name="Финансовый 9 2 2" xfId="515" xr:uid="{00000000-0005-0000-0000-0000EF060000}"/>
    <cellStyle name="Финансовый 9 2 2 2" xfId="1474" xr:uid="{00000000-0005-0000-0000-0000F0060000}"/>
    <cellStyle name="Финансовый 9 2 3" xfId="1218" xr:uid="{00000000-0005-0000-0000-0000F1060000}"/>
    <cellStyle name="Финансовый 9 2 4" xfId="1747" xr:uid="{00000000-0005-0000-0000-0000F2060000}"/>
    <cellStyle name="Финансовый 9 3" xfId="379" xr:uid="{00000000-0005-0000-0000-0000F3060000}"/>
    <cellStyle name="Финансовый 9 3 2" xfId="1346" xr:uid="{00000000-0005-0000-0000-0000F4060000}"/>
    <cellStyle name="Финансовый 9 4" xfId="731" xr:uid="{00000000-0005-0000-0000-0000F5060000}"/>
    <cellStyle name="Финансовый 9 4 2" xfId="1090" xr:uid="{00000000-0005-0000-0000-0000F6060000}"/>
    <cellStyle name="Финансовый 9 5" xfId="966" xr:uid="{00000000-0005-0000-0000-0000F7060000}"/>
    <cellStyle name="Финансовый 9 6" xfId="1611" xr:uid="{00000000-0005-0000-0000-0000F8060000}"/>
    <cellStyle name="Финансовый 9 7" xfId="838" xr:uid="{00000000-0005-0000-0000-0000F9060000}"/>
  </cellStyles>
  <dxfs count="8">
    <dxf>
      <font>
        <color theme="0"/>
      </font>
    </dxf>
    <dxf>
      <font>
        <color theme="0"/>
      </font>
    </dxf>
    <dxf>
      <font>
        <color theme="0"/>
      </font>
    </dxf>
    <dxf>
      <font>
        <color theme="0"/>
      </font>
    </dxf>
    <dxf>
      <font>
        <color theme="0"/>
      </font>
    </dxf>
    <dxf>
      <font>
        <color theme="0"/>
      </font>
    </dxf>
    <dxf>
      <font>
        <color theme="0"/>
      </font>
    </dxf>
    <dxf>
      <font>
        <color theme="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26276</xdr:colOff>
      <xdr:row>0</xdr:row>
      <xdr:rowOff>0</xdr:rowOff>
    </xdr:from>
    <xdr:to>
      <xdr:col>0</xdr:col>
      <xdr:colOff>780586</xdr:colOff>
      <xdr:row>3</xdr:row>
      <xdr:rowOff>184042</xdr:rowOff>
    </xdr:to>
    <xdr:pic>
      <xdr:nvPicPr>
        <xdr:cNvPr id="2" name="Image 1">
          <a:extLst>
            <a:ext uri="{FF2B5EF4-FFF2-40B4-BE49-F238E27FC236}">
              <a16:creationId xmlns:a16="http://schemas.microsoft.com/office/drawing/2014/main" id="{7B7C8D8B-B89E-44FA-A4C4-E928BF9C57AA}"/>
            </a:ext>
          </a:extLst>
        </xdr:cNvPr>
        <xdr:cNvPicPr/>
      </xdr:nvPicPr>
      <xdr:blipFill>
        <a:blip xmlns:r="http://schemas.openxmlformats.org/officeDocument/2006/relationships" r:embed="rId1" cstate="print"/>
        <a:stretch>
          <a:fillRect/>
        </a:stretch>
      </xdr:blipFill>
      <xdr:spPr>
        <a:xfrm>
          <a:off x="26276" y="0"/>
          <a:ext cx="754310" cy="755542"/>
        </a:xfrm>
        <a:prstGeom prst="rect">
          <a:avLst/>
        </a:prstGeom>
      </xdr:spPr>
    </xdr:pic>
    <xdr:clientData/>
  </xdr:twoCellAnchor>
  <xdr:twoCellAnchor editAs="oneCell">
    <xdr:from>
      <xdr:col>3</xdr:col>
      <xdr:colOff>648686</xdr:colOff>
      <xdr:row>0</xdr:row>
      <xdr:rowOff>0</xdr:rowOff>
    </xdr:from>
    <xdr:to>
      <xdr:col>3</xdr:col>
      <xdr:colOff>1728012</xdr:colOff>
      <xdr:row>3</xdr:row>
      <xdr:rowOff>178975</xdr:rowOff>
    </xdr:to>
    <xdr:pic>
      <xdr:nvPicPr>
        <xdr:cNvPr id="3" name="Image 2">
          <a:extLst>
            <a:ext uri="{FF2B5EF4-FFF2-40B4-BE49-F238E27FC236}">
              <a16:creationId xmlns:a16="http://schemas.microsoft.com/office/drawing/2014/main" id="{6B72BFE4-1A69-44C8-B17C-3466E226BBC8}"/>
            </a:ext>
          </a:extLst>
        </xdr:cNvPr>
        <xdr:cNvPicPr/>
      </xdr:nvPicPr>
      <xdr:blipFill>
        <a:blip xmlns:r="http://schemas.openxmlformats.org/officeDocument/2006/relationships" r:embed="rId2" cstate="print"/>
        <a:stretch>
          <a:fillRect/>
        </a:stretch>
      </xdr:blipFill>
      <xdr:spPr>
        <a:xfrm>
          <a:off x="4619878" y="0"/>
          <a:ext cx="1079326" cy="75047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1056;&#1072;&#1073;&#1086;&#1095;&#1080;&#1081;%20&#1089;&#1090;&#1086;&#1083;\123123\22_12_2022_KALBAYEV_AYBEK_MAKSETOVICH_1974_&#1089;&#1087;&#1072;&#1088;&#1082;_30_2_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ротокол  (2)"/>
      <sheetName val="График дифференц"/>
      <sheetName val="Данные для послед. Залога"/>
      <sheetName val="Общие данные"/>
      <sheetName val="Анкета Клиента"/>
      <sheetName val="Анкета 2"/>
      <sheetName val="Кредитная заявка"/>
      <sheetName val="Мажбуриятнома "/>
      <sheetName val="Заключение КК"/>
      <sheetName val="договор (рус-узб)"/>
      <sheetName val="График"/>
      <sheetName val="заявление залогодателя"/>
      <sheetName val="Акт согласования"/>
      <sheetName val="Договор займа"/>
      <sheetName val="График 6"/>
      <sheetName val="График 12"/>
      <sheetName val="График 18"/>
      <sheetName val="Лист2"/>
      <sheetName val="Лист1"/>
      <sheetName val="Приказ на сделку"/>
      <sheetName val="обложка"/>
      <sheetName val="Письмо"/>
      <sheetName val=" Акт мониторинга 1"/>
      <sheetName val=" Акт мониторинга 2"/>
      <sheetName val=" Акт мониторинга 3"/>
      <sheetName val=" Акт мониторинга 4"/>
      <sheetName val="Лист4"/>
      <sheetName val="График аннуитет."/>
    </sheetNames>
    <sheetDataSet>
      <sheetData sheetId="0"/>
      <sheetData sheetId="1"/>
      <sheetData sheetId="2"/>
      <sheetData sheetId="3">
        <row r="23">
          <cell r="C23" t="str">
            <v>mos keladi</v>
          </cell>
          <cell r="D23" t="str">
            <v>mos kelmaydi</v>
          </cell>
        </row>
        <row r="24">
          <cell r="C24" t="str">
            <v>Mulk huquqi</v>
          </cell>
          <cell r="D24" t="str">
            <v>ijara</v>
          </cell>
          <cell r="E24" t="str">
            <v>служебная</v>
          </cell>
          <cell r="F24" t="str">
            <v>другое</v>
          </cell>
          <cell r="G24" t="str">
            <v>-</v>
          </cell>
          <cell r="V24" t="str">
            <v>xizmat</v>
          </cell>
          <cell r="W24" t="str">
            <v>boshqa</v>
          </cell>
        </row>
      </sheetData>
      <sheetData sheetId="4"/>
      <sheetData sheetId="5"/>
      <sheetData sheetId="6"/>
      <sheetData sheetId="7"/>
      <sheetData sheetId="8"/>
      <sheetData sheetId="9"/>
      <sheetData sheetId="10"/>
      <sheetData sheetId="11"/>
      <sheetData sheetId="12"/>
      <sheetData sheetId="13">
        <row r="91">
          <cell r="B91" t="str">
            <v>«Qarz oluvchi»</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Лист2">
    <tabColor rgb="FF00B050"/>
  </sheetPr>
  <dimension ref="A1:BK177"/>
  <sheetViews>
    <sheetView view="pageBreakPreview" topLeftCell="A84" zoomScale="85" zoomScaleNormal="100" zoomScaleSheetLayoutView="85" workbookViewId="0">
      <selection activeCell="B110" sqref="B110"/>
    </sheetView>
  </sheetViews>
  <sheetFormatPr defaultColWidth="0" defaultRowHeight="15" zeroHeight="1"/>
  <cols>
    <col min="1" max="1" width="50" style="152" customWidth="1"/>
    <col min="2" max="2" width="61.85546875" style="154" customWidth="1"/>
    <col min="3" max="3" width="63.85546875" style="145" customWidth="1"/>
    <col min="4" max="4" width="29.7109375" style="145" customWidth="1"/>
    <col min="5" max="7" width="9.140625" style="145" hidden="1" customWidth="1"/>
    <col min="8" max="8" width="62.5703125" style="145" hidden="1" customWidth="1"/>
    <col min="9" max="13" width="9.140625" style="145" hidden="1" customWidth="1"/>
    <col min="14" max="14" width="70.7109375" style="145" hidden="1" customWidth="1"/>
    <col min="15" max="16" width="9.140625" style="145" hidden="1" customWidth="1"/>
    <col min="17" max="17" width="59.7109375" style="145" hidden="1" customWidth="1"/>
    <col min="18" max="18" width="49.85546875" style="145" hidden="1" customWidth="1"/>
    <col min="19" max="16384" width="9.140625" style="145" hidden="1"/>
  </cols>
  <sheetData>
    <row r="1" spans="1:4">
      <c r="A1" s="180" t="str">
        <f>CONCATENATE(B65," olish uchun ariza")</f>
        <v>mikroqarz olish uchun ariza</v>
      </c>
      <c r="B1" s="43" t="s">
        <v>445</v>
      </c>
      <c r="C1" s="198"/>
    </row>
    <row r="2" spans="1:4" ht="15" customHeight="1">
      <c r="A2" s="180" t="str">
        <f>CONCATENATE(B65," olish uchun ariza sanasi QO’L BILAN KIRITILADI")</f>
        <v>mikroqarz olish uchun ariza sanasi QO’L BILAN KIRITILADI</v>
      </c>
      <c r="B2" s="50" t="s">
        <v>423</v>
      </c>
      <c r="C2" s="198"/>
      <c r="D2" s="145">
        <f>180+B2</f>
        <v>45928</v>
      </c>
    </row>
    <row r="3" spans="1:4">
      <c r="A3" s="180"/>
      <c r="B3" s="179"/>
    </row>
    <row r="4" spans="1:4">
      <c r="A4" s="254" t="s">
        <v>52</v>
      </c>
      <c r="B4" s="254"/>
    </row>
    <row r="5" spans="1:4" ht="30">
      <c r="A5" s="180" t="s">
        <v>53</v>
      </c>
      <c r="B5" s="43" t="s">
        <v>412</v>
      </c>
      <c r="C5" s="198" t="s">
        <v>383</v>
      </c>
    </row>
    <row r="6" spans="1:4" ht="30">
      <c r="A6" s="180" t="s">
        <v>54</v>
      </c>
      <c r="B6" s="43" t="s">
        <v>133</v>
      </c>
      <c r="C6" s="145" t="s">
        <v>254</v>
      </c>
      <c r="D6" s="145" t="s">
        <v>133</v>
      </c>
    </row>
    <row r="7" spans="1:4" ht="30">
      <c r="A7" s="180" t="s">
        <v>55</v>
      </c>
      <c r="B7" s="43" t="s">
        <v>413</v>
      </c>
      <c r="C7" s="198"/>
    </row>
    <row r="8" spans="1:4" ht="30" hidden="1">
      <c r="A8" s="180" t="s">
        <v>56</v>
      </c>
      <c r="B8" s="61" t="str">
        <f>B5</f>
        <v>XAYATOV OTABEK KURBANOVICH</v>
      </c>
    </row>
    <row r="9" spans="1:4" hidden="1">
      <c r="A9" s="180" t="s">
        <v>57</v>
      </c>
      <c r="B9" s="61" t="str">
        <f>B7</f>
        <v>XAYATOV O.K.</v>
      </c>
    </row>
    <row r="10" spans="1:4" ht="30" hidden="1">
      <c r="A10" s="180" t="s">
        <v>58</v>
      </c>
      <c r="B10" s="61" t="str">
        <f>B8</f>
        <v>XAYATOV OTABEK KURBANOVICH</v>
      </c>
    </row>
    <row r="11" spans="1:4" hidden="1">
      <c r="A11" s="180" t="s">
        <v>59</v>
      </c>
      <c r="B11" s="61" t="str">
        <f>B9</f>
        <v>XAYATOV O.K.</v>
      </c>
    </row>
    <row r="12" spans="1:4" ht="30" hidden="1">
      <c r="A12" s="180" t="s">
        <v>60</v>
      </c>
      <c r="B12" s="61" t="str">
        <f>B10</f>
        <v>XAYATOV OTABEK KURBANOVICH</v>
      </c>
    </row>
    <row r="13" spans="1:4" hidden="1">
      <c r="A13" s="180" t="s">
        <v>61</v>
      </c>
      <c r="B13" s="61" t="str">
        <f>B11</f>
        <v>XAYATOV O.K.</v>
      </c>
    </row>
    <row r="14" spans="1:4" hidden="1">
      <c r="A14" s="180" t="s">
        <v>62</v>
      </c>
      <c r="B14" s="61" t="s">
        <v>65</v>
      </c>
    </row>
    <row r="15" spans="1:4">
      <c r="A15" s="180" t="s">
        <v>63</v>
      </c>
      <c r="B15" s="177" t="s">
        <v>414</v>
      </c>
      <c r="C15" s="198"/>
    </row>
    <row r="16" spans="1:4">
      <c r="A16" s="180" t="s">
        <v>64</v>
      </c>
      <c r="B16" s="43" t="s">
        <v>415</v>
      </c>
      <c r="C16" s="198"/>
    </row>
    <row r="17" spans="1:7">
      <c r="A17" s="180"/>
      <c r="B17" s="43" t="s">
        <v>416</v>
      </c>
      <c r="C17" s="198"/>
      <c r="D17" s="145" t="str">
        <f>TEXT(C17,"ДД.ММ.ГГГГ")</f>
        <v>00.01.1900</v>
      </c>
    </row>
    <row r="18" spans="1:7">
      <c r="A18" s="180"/>
      <c r="B18" s="204">
        <v>43014</v>
      </c>
      <c r="C18" s="199" t="str">
        <f>TEXT(B18,"ДД.ММ.ГГГГ")</f>
        <v>06.10.2017</v>
      </c>
    </row>
    <row r="19" spans="1:7">
      <c r="A19" s="180"/>
      <c r="B19" s="204">
        <v>46665</v>
      </c>
      <c r="C19" s="199" t="str">
        <f>TEXT(B19,"ДД.ММ.ГГГГ")</f>
        <v>05.10.2027</v>
      </c>
    </row>
    <row r="20" spans="1:7" ht="60">
      <c r="A20" s="180" t="s">
        <v>67</v>
      </c>
      <c r="B20" s="53" t="str">
        <f>""&amp;B17&amp;" tomonidan "&amp;C18&amp;" yilda berilgan"</f>
        <v>BUXORO VILOYATI KOGON TUMAN IIB tomonidan 06.10.2017 yilda berilgan</v>
      </c>
      <c r="C20" s="162" t="str">
        <f>""&amp;B17&amp;" tomonidan "&amp;C18&amp;" yilda berilgan"</f>
        <v>BUXORO VILOYATI KOGON TUMAN IIB tomonidan 06.10.2017 yilda berilgan</v>
      </c>
    </row>
    <row r="21" spans="1:7" ht="45">
      <c r="A21" s="180" t="s">
        <v>68</v>
      </c>
      <c r="B21" s="53" t="str">
        <f>""&amp;C19&amp;" y."</f>
        <v>05.10.2027 y.</v>
      </c>
      <c r="C21" s="161" t="str">
        <f>""&amp;C19&amp;" yilgacha"</f>
        <v>05.10.2027 yilgacha</v>
      </c>
    </row>
    <row r="22" spans="1:7" ht="57.75" customHeight="1">
      <c r="A22" s="180" t="s">
        <v>69</v>
      </c>
      <c r="B22" s="43" t="s">
        <v>417</v>
      </c>
      <c r="C22" s="199" t="str">
        <f>TEXT(B19,"ДД.ММ.ГГГГ")</f>
        <v>05.10.2027</v>
      </c>
    </row>
    <row r="23" spans="1:7" ht="30">
      <c r="A23" s="180" t="s">
        <v>70</v>
      </c>
      <c r="B23" s="43" t="s">
        <v>94</v>
      </c>
      <c r="C23" s="198" t="s">
        <v>94</v>
      </c>
      <c r="D23" s="145" t="s">
        <v>95</v>
      </c>
    </row>
    <row r="24" spans="1:7" ht="30" hidden="1">
      <c r="A24" s="180" t="s">
        <v>71</v>
      </c>
      <c r="B24" s="61" t="s">
        <v>92</v>
      </c>
      <c r="C24" s="198" t="s">
        <v>92</v>
      </c>
      <c r="D24" s="145" t="s">
        <v>93</v>
      </c>
      <c r="E24" s="145" t="s">
        <v>0</v>
      </c>
      <c r="F24" s="145" t="s">
        <v>1</v>
      </c>
      <c r="G24" s="145" t="s">
        <v>3</v>
      </c>
    </row>
    <row r="25" spans="1:7">
      <c r="A25" s="180" t="s">
        <v>72</v>
      </c>
      <c r="B25" s="43" t="s">
        <v>418</v>
      </c>
      <c r="C25" s="198"/>
    </row>
    <row r="26" spans="1:7" ht="44.25" customHeight="1">
      <c r="A26" s="180" t="s">
        <v>73</v>
      </c>
      <c r="B26" s="43" t="s">
        <v>419</v>
      </c>
      <c r="C26" s="198" t="s">
        <v>26</v>
      </c>
    </row>
    <row r="27" spans="1:7" ht="44.25" hidden="1" customHeight="1">
      <c r="A27" s="180"/>
      <c r="B27" s="43" t="str">
        <f>IF(B23="mos keladi",B22,B28)</f>
        <v>BUXORO VILOYATI KOGON TUMANI NIYOZ HOJI QISHLOG'I</v>
      </c>
      <c r="C27" s="198"/>
    </row>
    <row r="28" spans="1:7" ht="45">
      <c r="A28" s="180" t="s">
        <v>74</v>
      </c>
      <c r="B28" s="43" t="s">
        <v>417</v>
      </c>
      <c r="C28" s="198"/>
    </row>
    <row r="29" spans="1:7">
      <c r="A29" s="180" t="s">
        <v>75</v>
      </c>
      <c r="B29" s="43" t="s">
        <v>92</v>
      </c>
      <c r="C29" s="198" t="s">
        <v>92</v>
      </c>
      <c r="D29" s="145" t="s">
        <v>93</v>
      </c>
      <c r="E29" s="145" t="s">
        <v>325</v>
      </c>
      <c r="F29" s="145" t="s">
        <v>326</v>
      </c>
      <c r="G29" s="145" t="s">
        <v>3</v>
      </c>
    </row>
    <row r="30" spans="1:7">
      <c r="A30" s="180" t="s">
        <v>76</v>
      </c>
      <c r="B30" s="142" t="s">
        <v>147</v>
      </c>
      <c r="C30" s="198" t="s">
        <v>147</v>
      </c>
      <c r="D30" s="145" t="s">
        <v>329</v>
      </c>
    </row>
    <row r="31" spans="1:7">
      <c r="A31" s="180" t="s">
        <v>77</v>
      </c>
      <c r="B31" s="43" t="s">
        <v>390</v>
      </c>
      <c r="C31" s="198" t="s">
        <v>382</v>
      </c>
    </row>
    <row r="32" spans="1:7">
      <c r="A32" s="180" t="s">
        <v>62</v>
      </c>
      <c r="B32" s="43" t="s">
        <v>65</v>
      </c>
      <c r="C32" s="198"/>
    </row>
    <row r="33" spans="1:4">
      <c r="A33" s="180" t="s">
        <v>72</v>
      </c>
      <c r="B33" s="43" t="s">
        <v>418</v>
      </c>
      <c r="C33" s="198"/>
    </row>
    <row r="34" spans="1:4" hidden="1">
      <c r="A34" s="180"/>
      <c r="B34" s="43" t="str">
        <f>IF(B23="mos keladi",B26,B35)</f>
        <v>25-MAKTAB, 3-BOG'CHA, XOKIMIYAT</v>
      </c>
    </row>
    <row r="35" spans="1:4">
      <c r="A35" s="180" t="s">
        <v>73</v>
      </c>
      <c r="B35" s="43"/>
    </row>
    <row r="36" spans="1:4">
      <c r="A36" s="180" t="s">
        <v>78</v>
      </c>
      <c r="B36" s="43"/>
    </row>
    <row r="37" spans="1:4">
      <c r="A37" s="180" t="s">
        <v>79</v>
      </c>
      <c r="B37" s="43"/>
    </row>
    <row r="38" spans="1:4">
      <c r="A38" s="180" t="s">
        <v>80</v>
      </c>
      <c r="B38" s="43"/>
    </row>
    <row r="39" spans="1:4">
      <c r="A39" s="180" t="s">
        <v>81</v>
      </c>
      <c r="B39" s="43" t="str" cm="1">
        <f t="array" aca="1" ref="B39" ca="1">+A39:B102</f>
        <v>Mutaxassisligi</v>
      </c>
    </row>
    <row r="40" spans="1:4" ht="24.75" customHeight="1">
      <c r="A40" s="180" t="s">
        <v>82</v>
      </c>
      <c r="B40" s="43" t="s">
        <v>418</v>
      </c>
    </row>
    <row r="41" spans="1:4" ht="24.75" customHeight="1">
      <c r="A41" s="180" t="s">
        <v>83</v>
      </c>
      <c r="B41" s="43" t="s">
        <v>420</v>
      </c>
    </row>
    <row r="42" spans="1:4" ht="24.75" customHeight="1">
      <c r="A42" s="180" t="s">
        <v>82</v>
      </c>
      <c r="B42" s="43" t="s">
        <v>421</v>
      </c>
    </row>
    <row r="43" spans="1:4">
      <c r="A43" s="180" t="s">
        <v>83</v>
      </c>
      <c r="B43" s="43"/>
    </row>
    <row r="44" spans="1:4">
      <c r="A44" s="127" t="s">
        <v>84</v>
      </c>
      <c r="B44" s="142" t="s">
        <v>341</v>
      </c>
      <c r="C44" s="145" t="s">
        <v>341</v>
      </c>
      <c r="D44" s="145" t="s">
        <v>347</v>
      </c>
    </row>
    <row r="45" spans="1:4" hidden="1">
      <c r="A45" s="180"/>
      <c r="B45" s="142" t="str">
        <f>IF(B44=D44,CONCATENATE("MA'LUMOTNOMA ",B47,B46),C44)</f>
        <v>Yakka tartibdagi tadbirkor</v>
      </c>
    </row>
    <row r="46" spans="1:4" ht="30">
      <c r="A46" s="127" t="s">
        <v>348</v>
      </c>
      <c r="B46" s="178"/>
    </row>
    <row r="47" spans="1:4">
      <c r="A47" s="127"/>
      <c r="B47" s="155"/>
      <c r="C47" s="145" t="s">
        <v>14</v>
      </c>
    </row>
    <row r="48" spans="1:4" ht="30">
      <c r="A48" s="127" t="s">
        <v>349</v>
      </c>
      <c r="B48" s="142"/>
    </row>
    <row r="49" spans="1:4" hidden="1">
      <c r="A49" s="180" t="s">
        <v>85</v>
      </c>
      <c r="B49" s="43" t="str">
        <f>IF(B44=C44,C44,B48)</f>
        <v>Yakka tartibdagi tadbirkor</v>
      </c>
    </row>
    <row r="50" spans="1:4" ht="45">
      <c r="A50" s="180" t="s">
        <v>86</v>
      </c>
      <c r="B50" s="43"/>
    </row>
    <row r="51" spans="1:4">
      <c r="A51" s="180" t="s">
        <v>73</v>
      </c>
      <c r="B51" s="43"/>
    </row>
    <row r="52" spans="1:4">
      <c r="A52" s="180" t="s">
        <v>87</v>
      </c>
      <c r="B52" s="43"/>
    </row>
    <row r="53" spans="1:4">
      <c r="A53" s="180" t="s">
        <v>88</v>
      </c>
      <c r="B53" s="43"/>
    </row>
    <row r="54" spans="1:4">
      <c r="A54" s="180" t="s">
        <v>89</v>
      </c>
      <c r="B54" s="43"/>
    </row>
    <row r="55" spans="1:4">
      <c r="A55" s="180" t="s">
        <v>90</v>
      </c>
      <c r="B55" s="50"/>
    </row>
    <row r="56" spans="1:4">
      <c r="A56" s="180" t="s">
        <v>91</v>
      </c>
      <c r="B56" s="1" t="s">
        <v>21</v>
      </c>
    </row>
    <row r="57" spans="1:4" ht="30" customHeight="1">
      <c r="A57" s="255" t="s">
        <v>96</v>
      </c>
      <c r="B57" s="256"/>
    </row>
    <row r="58" spans="1:4" ht="20.25" hidden="1" customHeight="1">
      <c r="A58" s="180" t="s">
        <v>97</v>
      </c>
      <c r="B58" s="43" t="str">
        <f>IF(B44=C44,C44,CONCATENATE(B44," ",B47))</f>
        <v>Yakka tartibdagi tadbirkor</v>
      </c>
    </row>
    <row r="59" spans="1:4" ht="31.5" hidden="1" customHeight="1">
      <c r="A59" s="180" t="s">
        <v>85</v>
      </c>
      <c r="B59" s="43" t="str">
        <f>B49</f>
        <v>Yakka tartibdagi tadbirkor</v>
      </c>
    </row>
    <row r="60" spans="1:4">
      <c r="A60" s="127" t="s">
        <v>98</v>
      </c>
      <c r="B60" s="205">
        <v>10000000</v>
      </c>
      <c r="C60" s="158">
        <f>C63/B75</f>
        <v>0.49741438730769233</v>
      </c>
    </row>
    <row r="61" spans="1:4">
      <c r="A61" s="180" t="s">
        <v>99</v>
      </c>
      <c r="B61" s="3">
        <v>0</v>
      </c>
      <c r="C61" s="159" t="s">
        <v>387</v>
      </c>
    </row>
    <row r="62" spans="1:4" hidden="1">
      <c r="A62" s="180" t="s">
        <v>100</v>
      </c>
      <c r="B62" s="43">
        <f>B53</f>
        <v>0</v>
      </c>
      <c r="C62" s="156"/>
    </row>
    <row r="63" spans="1:4">
      <c r="A63" s="180" t="s">
        <v>101</v>
      </c>
      <c r="B63" s="43"/>
      <c r="C63" s="157">
        <f>SUM(grafik!E9:E20)</f>
        <v>12932774.07</v>
      </c>
    </row>
    <row r="64" spans="1:4">
      <c r="A64" s="254" t="s">
        <v>102</v>
      </c>
      <c r="B64" s="254"/>
      <c r="C64" s="145" t="str">
        <f>PROPER(B65)</f>
        <v>Mikroqarz</v>
      </c>
      <c r="D64" s="145" t="str">
        <f>UPPER(B65)</f>
        <v>MIKROQARZ</v>
      </c>
    </row>
    <row r="65" spans="1:14" ht="15.75" thickBot="1">
      <c r="A65" s="180" t="s">
        <v>103</v>
      </c>
      <c r="B65" s="179" t="str">
        <f>IF(B75&gt;100000001,"mikrokredit",IF(B75&lt;100000001,"mikroqarz",0))</f>
        <v>mikroqarz</v>
      </c>
      <c r="C65" s="147">
        <f>DATE(YEAR(B67),MONTH(B67)+B81,DAY(B67))</f>
        <v>46722</v>
      </c>
    </row>
    <row r="66" spans="1:14" hidden="1">
      <c r="A66" s="180" t="s">
        <v>104</v>
      </c>
      <c r="B66" s="43" t="str">
        <f>B1</f>
        <v>№ 687-BR</v>
      </c>
      <c r="C66" s="145">
        <f>MONTH(C65)</f>
        <v>12</v>
      </c>
      <c r="D66" s="145" t="str">
        <f>IF(C66=C68,C70,IF(C66=D68,D70,IF(C66=E68,E70,IF(C66=F68,F70,IF(C66=G68,G70,IF(C66=H68,H70,IF(C66=I68,I70,IF(C66=J68,J70,IF(C66=K68,K70,IF(C66=L68,L70,IF(C66=M68,M70,IF(C66=N68,N70,))))))))))))</f>
        <v>dekabr</v>
      </c>
      <c r="E66" s="145">
        <f>DAY(C65)</f>
        <v>1</v>
      </c>
      <c r="F66" s="145">
        <f>YEAR(C65)</f>
        <v>2027</v>
      </c>
      <c r="G66" s="145">
        <f>MONTH(C65)</f>
        <v>12</v>
      </c>
      <c r="H66" s="145" t="str">
        <f>IF(C66=C68,C71,IF(C66=D68,D71,IF(C66=E68,E71,IF(C66=F68,F71,IF(C66=G68,G71,IF(C66=H68,H71,IF(C66=I68,I71,IF(C66=J68,J71,IF(C66=K68,K71,IF(C66=L68,L71,IF(C66=M68,M71,IF(C66=N68,N71,))))))))))))</f>
        <v>dekabr</v>
      </c>
      <c r="I66" s="145">
        <f>YEAR(C65)</f>
        <v>2027</v>
      </c>
    </row>
    <row r="67" spans="1:14" hidden="1">
      <c r="A67" s="180" t="s">
        <v>105</v>
      </c>
      <c r="B67" s="69" t="str">
        <f>B2</f>
        <v>01.04.2025</v>
      </c>
      <c r="C67" s="145">
        <f>MONTH(B67)</f>
        <v>4</v>
      </c>
      <c r="D67" s="145" t="str">
        <f>IF(C67=C68,C70,IF(C67=D68,D70,IF(C67=E68,E70,IF(C67=F68,F70,IF(C67=G68,G70,IF(C67=H68,H70,IF(C67=I68,I70,IF(C67=J68,J70,IF(C67=K68,K70,IF(C67=L68,L70,IF(C67=M68,M70,IF(C67=N68,N70,))))))))))))</f>
        <v>aprel</v>
      </c>
      <c r="E67" s="145">
        <f>DAY(B67)</f>
        <v>1</v>
      </c>
      <c r="F67" s="145">
        <f>YEAR(B67)</f>
        <v>2025</v>
      </c>
      <c r="G67" s="145">
        <f>MONTH(B67)</f>
        <v>4</v>
      </c>
      <c r="H67" s="145" t="str">
        <f>IF(C67=C68,C71,IF(C67=D68,D71,IF(C67=E68,E71,IF(C67=F68,F71,IF(C67=G68,G71,IF(C67=H68,H71,IF(C67=I68,I71,IF(C67=J68,J71,IF(C67=K68,K71,IF(C67=L68,L71,IF(C67=M68,M71,IF(C67=N68,N71,))))))))))))</f>
        <v>aprel</v>
      </c>
      <c r="I67" s="145">
        <f>YEAR(B67)</f>
        <v>2025</v>
      </c>
    </row>
    <row r="68" spans="1:14" hidden="1">
      <c r="A68" s="180" t="s">
        <v>106</v>
      </c>
      <c r="B68" s="62" t="str">
        <f>""&amp;E67&amp;" "&amp;D67&amp;" "&amp;F67&amp;" y."</f>
        <v>1 aprel 2025 y.</v>
      </c>
      <c r="C68" s="145">
        <v>1</v>
      </c>
      <c r="D68" s="145">
        <v>2</v>
      </c>
      <c r="E68" s="145">
        <v>3</v>
      </c>
      <c r="F68" s="145">
        <v>4</v>
      </c>
      <c r="G68" s="145">
        <v>5</v>
      </c>
      <c r="H68" s="145">
        <v>6</v>
      </c>
      <c r="I68" s="145">
        <v>7</v>
      </c>
      <c r="J68" s="145">
        <v>8</v>
      </c>
      <c r="K68" s="145">
        <v>9</v>
      </c>
      <c r="L68" s="145">
        <v>10</v>
      </c>
      <c r="M68" s="145">
        <v>11</v>
      </c>
      <c r="N68" s="145">
        <v>12</v>
      </c>
    </row>
    <row r="69" spans="1:14" hidden="1">
      <c r="A69" s="180"/>
      <c r="B69" s="62" t="str">
        <f>""&amp;E67&amp;" "&amp;H67&amp;" "&amp;F67&amp;" y."</f>
        <v>1 aprel 2025 y.</v>
      </c>
    </row>
    <row r="70" spans="1:14" hidden="1">
      <c r="A70" s="180"/>
      <c r="B70" s="52" t="str">
        <f>B68</f>
        <v>1 aprel 2025 y.</v>
      </c>
      <c r="C70" s="145" t="s">
        <v>118</v>
      </c>
      <c r="D70" s="145" t="s">
        <v>119</v>
      </c>
      <c r="E70" s="145" t="s">
        <v>108</v>
      </c>
      <c r="F70" s="145" t="s">
        <v>109</v>
      </c>
      <c r="G70" s="145" t="s">
        <v>110</v>
      </c>
      <c r="H70" s="145" t="s">
        <v>111</v>
      </c>
      <c r="I70" s="145" t="s">
        <v>112</v>
      </c>
      <c r="J70" s="145" t="s">
        <v>113</v>
      </c>
      <c r="K70" s="145" t="s">
        <v>114</v>
      </c>
      <c r="L70" s="145" t="s">
        <v>115</v>
      </c>
      <c r="M70" s="145" t="s">
        <v>116</v>
      </c>
      <c r="N70" s="145" t="s">
        <v>117</v>
      </c>
    </row>
    <row r="71" spans="1:14" hidden="1">
      <c r="A71" s="180"/>
      <c r="B71" s="52" t="str">
        <f>B69</f>
        <v>1 aprel 2025 y.</v>
      </c>
      <c r="C71" s="145" t="s">
        <v>118</v>
      </c>
      <c r="D71" s="145" t="s">
        <v>119</v>
      </c>
      <c r="E71" s="145" t="s">
        <v>108</v>
      </c>
      <c r="F71" s="145" t="s">
        <v>109</v>
      </c>
      <c r="G71" s="145" t="s">
        <v>110</v>
      </c>
      <c r="H71" s="145" t="s">
        <v>111</v>
      </c>
      <c r="I71" s="145" t="s">
        <v>112</v>
      </c>
      <c r="J71" s="145" t="s">
        <v>113</v>
      </c>
      <c r="K71" s="145" t="s">
        <v>114</v>
      </c>
      <c r="L71" s="145" t="s">
        <v>115</v>
      </c>
      <c r="M71" s="145" t="s">
        <v>116</v>
      </c>
      <c r="N71" s="145" t="s">
        <v>117</v>
      </c>
    </row>
    <row r="72" spans="1:14" hidden="1">
      <c r="A72" s="180" t="s">
        <v>107</v>
      </c>
      <c r="B72" s="51" t="str">
        <f>""&amp;E66&amp;" "&amp;D66&amp;" "&amp;F66&amp;" y."</f>
        <v>1 dekabr 2027 y.</v>
      </c>
    </row>
    <row r="73" spans="1:14" hidden="1">
      <c r="A73" s="180"/>
      <c r="B73" s="51" t="str">
        <f>""&amp;E66&amp;" "&amp;H66&amp;" "&amp;F66&amp;" y."</f>
        <v>1 dekabr 2027 y.</v>
      </c>
    </row>
    <row r="74" spans="1:14" ht="15.75" hidden="1" thickBot="1">
      <c r="A74" s="180" t="s">
        <v>120</v>
      </c>
      <c r="B74" s="179" t="str">
        <f>""&amp;B68&amp;"dan "&amp;B66&amp;""</f>
        <v>1 aprel 2025 y.dan № 687-BR</v>
      </c>
    </row>
    <row r="75" spans="1:14">
      <c r="A75" s="180" t="str">
        <f>CONCATENATE(B65," miqdori (summasi)")</f>
        <v>mikroqarz miqdori (summasi)</v>
      </c>
      <c r="B75" s="57">
        <v>26000000</v>
      </c>
      <c r="C75" s="206" t="s">
        <v>126</v>
      </c>
    </row>
    <row r="76" spans="1:14">
      <c r="A76" s="127" t="s">
        <v>121</v>
      </c>
      <c r="B76" s="45" t="str">
        <f>""&amp;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INT(B75))&gt;6,ROMAN(MID(INT(B75),1,LEN(INT(B75))-6)+0)&amp;" million "&amp;ROMAN(MID(INT(B75),LEN(INT(B75))-5,3)+0)&amp;" ming "&amp;ROMAN(MID(INT(B75),LEN(INT(B75))-2,3)+0),IF(LEN(INT(B75))&gt;3,ROMAN(MID(INT(B75),1,LEN(INT(B75))-3)+0)&amp;" ming "&amp;ROMAN(MID(INT(B75),LEN(INT(B75))-2,3)+0),ROMAN(INT(B75)))),"DCCC","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million")),"million ming","million"),"million ming","million"),"million ming","million")&amp;" so'm"</f>
        <v>yigirma olti million so'm</v>
      </c>
      <c r="C76" s="146" t="str">
        <f>UPPER(LEFT(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ROUNDDOWN(B75,0))&gt;6,ROMAN(MID(ROUNDDOWN(B75,0),1,LEN(ROUNDDOWN(B75,0))-6)+0)&amp;" million "&amp;ROMAN(MID(ROUNDDOWN(B75,0),LEN(ROUNDDOWN(B75,0))-5,3)+0)&amp;" ming "&amp;ROMAN(MID(ROUNDDOWN(B75,0),LEN(ROUNDDOWN(B75,0))-2,3)+0)&amp;" so'm",IF(LEN(ROUNDDOWN(B75,0))&gt;3,ROMAN(MID(ROUNDDOWN(B75,0),1,LEN(ROUNDDOWN(B75,0))-3)+0)&amp;" ming "&amp;ROMAN(MID(ROUNDDOWN(B75,0),LEN(ROUNDDOWN(B75,0))-2,3)+0)&amp;" so'm",ROMAN(ROUNDDOWN(B75,0))&amp;" so'm")),"DCCC"," sakkiz yuz"),"DCC"," yetti yuz"),"DC"," olti yuz"),"CD"," to'rt yuz"),"XC"," to'qson"),"CCC"," uch yuz"),"CC"," ikki yuz"),"D"," besh yuz"),"CM"," to'qqiz yuz"),"C"," yuz"),"XL"," qiriq"),"LXXX"," sakson"),"LXX"," yetmish"),"LX"," oltmish"),"L"," ellik"),"XXX"," o'ttiz"),"XX"," yigirma"),"XIX"," o'n tiqqiz"),"XVIII","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million"),"bir so'm","bir so'm"),"ikki so'm","ikki so'm"),"uch so'm","uch so'm"),"to'rt so'm","to'rt so'm")),"ming million","million"),"ming million","million"),"ming million","million"),1))&amp;MID(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ROUNDDOWN(B75,0))&gt;6,ROMAN(MID(ROUNDDOWN(B75,0),1,LEN(ROUNDDOWN(B75,0))-6)+0)&amp;" million "&amp;ROMAN(MID(ROUNDDOWN(B75,0),LEN(ROUNDDOWN(B75,0))-5,3)+0)&amp;" "&amp;ROMAN(MID(ROUNDDOWN(B75,0),LEN(ROUNDDOWN(B75,0))-2,3)+0)&amp;" so'm",IF(LEN(ROUNDDOWN(B75,0))&gt;3,ROMAN(MID(ROUNDDOWN(B75,0),1,LEN(ROUNDDOWN(B75,0))-3)+0)&amp;" ming "&amp;ROMAN(MID(ROUNDDOWN(B75,0),LEN(ROUNDDOWN(B75,0))-2,3)+0)&amp;" so'm",ROMAN(ROUNDDOWN(B75,0))&amp;" so'm")),"DCCC","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million"),"bir so'm","bir so'm"),"ikki so'm","ikki so'm"),"uch so'm","uch so'm"),"to'rt so'm","to'rt so'm")),"ming million","million"),"ming million","million"),"ming million","million"),2,200)&amp;""</f>
        <v>Yigirma olti million so'm</v>
      </c>
    </row>
    <row r="77" spans="1:14">
      <c r="A77" s="180" t="s">
        <v>122</v>
      </c>
      <c r="B77" s="43" t="s">
        <v>128</v>
      </c>
      <c r="C77" s="145" t="s">
        <v>128</v>
      </c>
      <c r="D77" s="145" t="s">
        <v>127</v>
      </c>
    </row>
    <row r="78" spans="1:14">
      <c r="A78" s="180" t="str">
        <f>CONCATENATE(B65,"ni to'lash sanasi (14.10.2011)")</f>
        <v>mikroqarzni to'lash sanasi (14.10.2011)</v>
      </c>
      <c r="B78" s="43">
        <v>1</v>
      </c>
      <c r="C78" s="147">
        <f>DATE(YEAR(B67),MONTH(B67)+1,DAY(B78))</f>
        <v>45778</v>
      </c>
      <c r="D78" s="145" t="s">
        <v>28</v>
      </c>
      <c r="E78" s="145" t="s">
        <v>29</v>
      </c>
      <c r="F78" s="145" t="s">
        <v>30</v>
      </c>
      <c r="G78" s="145" t="s">
        <v>31</v>
      </c>
      <c r="H78" s="145" t="s">
        <v>32</v>
      </c>
      <c r="I78" s="145" t="s">
        <v>33</v>
      </c>
      <c r="J78" s="145" t="s">
        <v>34</v>
      </c>
    </row>
    <row r="79" spans="1:14" ht="30" hidden="1">
      <c r="A79" s="180" t="str">
        <f>CONCATENATE(B65,"ni to'lash sanasi (14.10.2011 y.) QO’L BILAN KIRITILADI")</f>
        <v>mikroqarzni to'lash sanasi (14.10.2011 y.) QO’L BILAN KIRITILADI</v>
      </c>
      <c r="B79" s="63">
        <f>DATE(YEAR(B67),MONTH(B67)+1,DAY(B78+C80))</f>
        <v>45778</v>
      </c>
      <c r="C79" s="148" t="str">
        <f>TEXT(C78,"ддд")</f>
        <v>Чт</v>
      </c>
      <c r="D79" s="145" t="s">
        <v>28</v>
      </c>
      <c r="E79" s="145" t="s">
        <v>29</v>
      </c>
      <c r="F79" s="145" t="s">
        <v>30</v>
      </c>
      <c r="G79" s="145" t="s">
        <v>31</v>
      </c>
      <c r="H79" s="145" t="s">
        <v>32</v>
      </c>
      <c r="I79" s="145" t="s">
        <v>33</v>
      </c>
      <c r="J79" s="145" t="s">
        <v>34</v>
      </c>
    </row>
    <row r="80" spans="1:14" ht="30" hidden="1">
      <c r="A80" s="180" t="s">
        <v>123</v>
      </c>
      <c r="B80" s="64">
        <f>B79</f>
        <v>45778</v>
      </c>
      <c r="C80" s="145">
        <f>IF(C79=I79,2,IF(C79=J79,1,0))</f>
        <v>0</v>
      </c>
    </row>
    <row r="81" spans="1:63">
      <c r="A81" s="180" t="str">
        <f>CONCATENATE(B65," muddati")</f>
        <v>mikroqarz muddati</v>
      </c>
      <c r="B81" s="43">
        <v>32</v>
      </c>
      <c r="C81" s="145">
        <v>6</v>
      </c>
      <c r="D81" s="145">
        <v>12</v>
      </c>
      <c r="E81" s="145">
        <v>18</v>
      </c>
      <c r="F81" s="145">
        <v>24</v>
      </c>
      <c r="G81" s="145">
        <v>36</v>
      </c>
    </row>
    <row r="82" spans="1:63">
      <c r="A82" s="180" t="str">
        <f>CONCATENATE(B65," muddati QO’L BILAN KIRITILADI")</f>
        <v>mikroqarz muddati QO’L BILAN KIRITILADI</v>
      </c>
      <c r="B82" s="124" t="s">
        <v>422</v>
      </c>
    </row>
    <row r="83" spans="1:63">
      <c r="A83" s="127" t="s">
        <v>344</v>
      </c>
      <c r="B83" s="124">
        <v>0</v>
      </c>
      <c r="BJ83" s="145">
        <v>1</v>
      </c>
      <c r="BK83" s="145">
        <v>0</v>
      </c>
    </row>
    <row r="84" spans="1:63">
      <c r="A84" s="180" t="str">
        <f>CONCATENATE(B65," stavkasi")</f>
        <v>mikroqarz stavkasi</v>
      </c>
      <c r="B84" s="66">
        <v>0.6</v>
      </c>
    </row>
    <row r="85" spans="1:63">
      <c r="A85" s="180" t="str">
        <f>CONCATENATE(B65," stavkasi")</f>
        <v>mikroqarz stavkasi</v>
      </c>
      <c r="B85" s="67" t="s">
        <v>385</v>
      </c>
    </row>
    <row r="86" spans="1:63">
      <c r="A86" s="180" t="str">
        <f>CONCATENATE(B65," stavkasi (so’z bilan)")</f>
        <v>mikroqarz stavkasi (so’z bilan)</v>
      </c>
      <c r="B86" s="65" t="s">
        <v>386</v>
      </c>
      <c r="C86" s="145" t="s">
        <v>386</v>
      </c>
    </row>
    <row r="87" spans="1:63">
      <c r="A87" s="180" t="str">
        <f>CONCATENATE("Muddati o'tgan ",B65," bo’yicha stavka")</f>
        <v>Muddati o'tgan mikroqarz bo’yicha stavka</v>
      </c>
      <c r="B87" s="66">
        <v>1</v>
      </c>
    </row>
    <row r="88" spans="1:63">
      <c r="A88" s="127" t="s">
        <v>121</v>
      </c>
      <c r="B88" s="67" t="s">
        <v>388</v>
      </c>
    </row>
    <row r="89" spans="1:63">
      <c r="A89" s="180" t="str">
        <f>CONCATENATE("Muddati o'tgan ",B65," bo’yicha stavka")</f>
        <v>Muddati o'tgan mikroqarz bo’yicha stavka</v>
      </c>
      <c r="B89" s="65" t="s">
        <v>389</v>
      </c>
      <c r="C89" s="145" t="s">
        <v>389</v>
      </c>
    </row>
    <row r="90" spans="1:63">
      <c r="A90" s="180" t="s">
        <v>124</v>
      </c>
      <c r="B90" s="68">
        <f>IF(B77=C77,LARGE(grafik!F9:F26,1),ROUND(PMT(B84/12,B81,-B75,0),-3))</f>
        <v>2137431.52</v>
      </c>
    </row>
    <row r="91" spans="1:63">
      <c r="A91" s="254" t="s">
        <v>398</v>
      </c>
      <c r="B91" s="254"/>
    </row>
    <row r="92" spans="1:63">
      <c r="A92" s="187" t="s">
        <v>401</v>
      </c>
      <c r="B92" s="224" t="s">
        <v>424</v>
      </c>
    </row>
    <row r="93" spans="1:63">
      <c r="A93" s="187" t="s">
        <v>402</v>
      </c>
      <c r="B93" s="50" t="s">
        <v>399</v>
      </c>
    </row>
    <row r="94" spans="1:63">
      <c r="A94" s="187" t="s">
        <v>403</v>
      </c>
      <c r="B94" s="226" t="s">
        <v>425</v>
      </c>
    </row>
    <row r="95" spans="1:63">
      <c r="A95" s="187" t="s">
        <v>404</v>
      </c>
      <c r="B95" s="226" t="s">
        <v>426</v>
      </c>
    </row>
    <row r="96" spans="1:63">
      <c r="A96" s="187" t="s">
        <v>400</v>
      </c>
      <c r="B96" s="225" t="s">
        <v>427</v>
      </c>
    </row>
    <row r="97" spans="1:4">
      <c r="A97" s="254" t="s">
        <v>125</v>
      </c>
      <c r="B97" s="254"/>
    </row>
    <row r="98" spans="1:4">
      <c r="A98" s="202"/>
      <c r="B98" s="207" t="s">
        <v>130</v>
      </c>
      <c r="C98" s="149" t="s">
        <v>130</v>
      </c>
      <c r="D98" s="145" t="s">
        <v>131</v>
      </c>
    </row>
    <row r="99" spans="1:4">
      <c r="A99" s="187" t="s">
        <v>136</v>
      </c>
      <c r="B99" s="207" t="s">
        <v>133</v>
      </c>
      <c r="C99" s="150" t="s">
        <v>132</v>
      </c>
      <c r="D99" s="145" t="s">
        <v>133</v>
      </c>
    </row>
    <row r="100" spans="1:4" ht="30">
      <c r="A100" s="187" t="s">
        <v>137</v>
      </c>
      <c r="B100" s="207" t="s">
        <v>135</v>
      </c>
      <c r="C100" s="145" t="s">
        <v>134</v>
      </c>
      <c r="D100" s="145" t="s">
        <v>135</v>
      </c>
    </row>
    <row r="101" spans="1:4" ht="30">
      <c r="A101" s="187" t="s">
        <v>138</v>
      </c>
      <c r="B101" s="227" t="s">
        <v>412</v>
      </c>
    </row>
    <row r="102" spans="1:4" ht="30">
      <c r="A102" s="187" t="s">
        <v>139</v>
      </c>
      <c r="B102" s="227" t="s">
        <v>413</v>
      </c>
    </row>
    <row r="103" spans="1:4">
      <c r="A103" s="254"/>
      <c r="B103" s="254"/>
    </row>
    <row r="104" spans="1:4" ht="36">
      <c r="A104" s="187" t="s">
        <v>140</v>
      </c>
      <c r="B104" s="227" t="s">
        <v>428</v>
      </c>
    </row>
    <row r="105" spans="1:4" ht="30">
      <c r="A105" s="187" t="s">
        <v>141</v>
      </c>
      <c r="B105" s="227" t="s">
        <v>429</v>
      </c>
    </row>
    <row r="106" spans="1:4" ht="18">
      <c r="A106" s="187" t="s">
        <v>142</v>
      </c>
      <c r="B106" s="228" t="s">
        <v>430</v>
      </c>
    </row>
    <row r="107" spans="1:4" ht="18">
      <c r="A107" s="187" t="s">
        <v>143</v>
      </c>
      <c r="B107" s="228" t="s">
        <v>423</v>
      </c>
    </row>
    <row r="108" spans="1:4" ht="15" customHeight="1">
      <c r="A108" s="187"/>
      <c r="B108" s="207" t="str">
        <f>TEXT(B107,"ДД.ММ.ГГГГ")</f>
        <v>01.04.2025</v>
      </c>
    </row>
    <row r="109" spans="1:4" ht="15" customHeight="1">
      <c r="A109" s="187" t="s">
        <v>467</v>
      </c>
      <c r="B109" s="389" t="s">
        <v>465</v>
      </c>
    </row>
    <row r="110" spans="1:4" ht="15" customHeight="1">
      <c r="A110" s="187" t="s">
        <v>466</v>
      </c>
      <c r="B110" s="207" t="s">
        <v>468</v>
      </c>
    </row>
    <row r="111" spans="1:4">
      <c r="A111" s="187"/>
      <c r="B111" s="202" t="s">
        <v>144</v>
      </c>
      <c r="C111" s="145" t="s">
        <v>144</v>
      </c>
      <c r="D111" s="145" t="s">
        <v>145</v>
      </c>
    </row>
    <row r="112" spans="1:4">
      <c r="A112" s="208" t="s">
        <v>346</v>
      </c>
      <c r="B112" s="209" t="s">
        <v>345</v>
      </c>
      <c r="C112" s="210" t="s">
        <v>145</v>
      </c>
    </row>
    <row r="113" spans="1:4" ht="18">
      <c r="A113" s="211" t="s">
        <v>367</v>
      </c>
      <c r="B113" s="229" t="s">
        <v>446</v>
      </c>
      <c r="C113" s="210"/>
    </row>
    <row r="114" spans="1:4" ht="18">
      <c r="A114" s="211" t="s">
        <v>368</v>
      </c>
      <c r="B114" s="229" t="s">
        <v>447</v>
      </c>
      <c r="C114" s="210"/>
    </row>
    <row r="115" spans="1:4" ht="18">
      <c r="A115" s="211" t="str">
        <f>A121</f>
        <v>Tug’ilgan sanasi (01.10.2011 y.)</v>
      </c>
      <c r="B115" s="230" t="s">
        <v>448</v>
      </c>
      <c r="C115" s="210"/>
    </row>
    <row r="116" spans="1:4" ht="18">
      <c r="A116" s="211" t="str">
        <f>A122</f>
        <v>Pasport seriyasi (СА №1234567)</v>
      </c>
      <c r="B116" s="229" t="s">
        <v>449</v>
      </c>
      <c r="C116" s="210"/>
    </row>
    <row r="117" spans="1:4" ht="60">
      <c r="A117" s="211" t="str">
        <f>A123</f>
        <v xml:space="preserve">Kim va qachon berilgan
(Toshkent shahri Chilonzor IIB tomonidan 2011 yil __.____)
</v>
      </c>
      <c r="B117" s="229" t="s">
        <v>450</v>
      </c>
      <c r="C117" s="210"/>
    </row>
    <row r="118" spans="1:4" ht="60">
      <c r="A118" s="211" t="str">
        <f>A124</f>
        <v xml:space="preserve">doimiy ro’yhatdan o’tgan joyi
(Toshkent sh., Mirobod tumani, Nukus ko’chasi, 1 uy, 1 honadon)
</v>
      </c>
      <c r="B118" s="229" t="s">
        <v>451</v>
      </c>
      <c r="C118" s="210"/>
    </row>
    <row r="119" spans="1:4" hidden="1">
      <c r="A119" s="117" t="s">
        <v>157</v>
      </c>
      <c r="B119" s="113" t="str">
        <f>IF(B99="HA",B5,B113)</f>
        <v>FAYZIYEV JAMSHID KURBONOVICH</v>
      </c>
      <c r="C119" s="163">
        <f>IF(B99="HA",B5,C113)</f>
        <v>0</v>
      </c>
    </row>
    <row r="120" spans="1:4" hidden="1">
      <c r="A120" s="117"/>
      <c r="B120" s="113" t="str">
        <f>IF(B99="HA",B7,B114)</f>
        <v>FAYZIYEV J.K.</v>
      </c>
      <c r="C120" s="163">
        <f>IF(B99="HA",B7,C114)</f>
        <v>0</v>
      </c>
    </row>
    <row r="121" spans="1:4" hidden="1">
      <c r="A121" s="118" t="s">
        <v>158</v>
      </c>
      <c r="B121" s="140" t="str">
        <f>IF(B99="HA",B15,B115)</f>
        <v>19.12.1979 y</v>
      </c>
      <c r="C121" s="163">
        <f>IF(B99="HA",B15,C115)</f>
        <v>0</v>
      </c>
    </row>
    <row r="122" spans="1:4" hidden="1">
      <c r="A122" s="118" t="s">
        <v>64</v>
      </c>
      <c r="B122" s="140" t="str">
        <f>IF(B99="HA",B16,B116)</f>
        <v>AD 8379834</v>
      </c>
      <c r="C122" s="163">
        <f>IF(B99="HA",B16,C116)</f>
        <v>0</v>
      </c>
    </row>
    <row r="123" spans="1:4" ht="30" hidden="1" customHeight="1">
      <c r="A123" s="118" t="s">
        <v>67</v>
      </c>
      <c r="B123" s="113" t="str">
        <f>IF(B99="HA",B20,B117)</f>
        <v>BUXORO VILOYATI BUXORO TUMANI IIB tomonidan 26.08.2024 yilda berilgan</v>
      </c>
      <c r="C123" s="163">
        <f>IF(B99="HA",B20,C117)</f>
        <v>0</v>
      </c>
      <c r="D123" s="145">
        <v>493193762</v>
      </c>
    </row>
    <row r="124" spans="1:4" ht="53.25" hidden="1" customHeight="1">
      <c r="A124" s="118" t="s">
        <v>69</v>
      </c>
      <c r="B124" s="113" t="str">
        <f>IF(B99="HA",B22,B118)</f>
        <v>BUXORO VILOYATI BUXORO TUMANI XONOBOD MFY XONOBOD QISHLOG'I</v>
      </c>
      <c r="C124" s="164">
        <f>IF(B99="HA",B22,C118)</f>
        <v>0</v>
      </c>
    </row>
    <row r="125" spans="1:4" hidden="1">
      <c r="A125" s="118" t="s">
        <v>159</v>
      </c>
      <c r="B125" s="179" t="str">
        <f>IF(B99="ha",B5,B119)</f>
        <v>FAYZIYEV JAMSHID KURBONOVICH</v>
      </c>
      <c r="C125" s="165">
        <f>IF(B99="ha",B5,C119)</f>
        <v>0</v>
      </c>
    </row>
    <row r="126" spans="1:4" hidden="1">
      <c r="A126" s="118"/>
      <c r="B126" s="179" t="str">
        <f>IF(B99="ha",B7,B120)</f>
        <v>FAYZIYEV J.K.</v>
      </c>
      <c r="C126" s="165">
        <f>IF(B99="ha",B7,C120)</f>
        <v>0</v>
      </c>
    </row>
    <row r="127" spans="1:4" hidden="1">
      <c r="A127" s="180" t="s">
        <v>158</v>
      </c>
      <c r="B127" s="179" t="str">
        <f>IF(B99="ha",B15,B121)</f>
        <v>19.12.1979 y</v>
      </c>
      <c r="C127" s="165">
        <f>IF(B99="ha",B15,C121)</f>
        <v>0</v>
      </c>
    </row>
    <row r="128" spans="1:4" hidden="1">
      <c r="A128" s="180" t="s">
        <v>64</v>
      </c>
      <c r="B128" s="179" t="str">
        <f>IF(B99="ha",B16,B122)</f>
        <v>AD 8379834</v>
      </c>
      <c r="C128" s="165">
        <f>IF(B99="ha",B16,C122)</f>
        <v>0</v>
      </c>
    </row>
    <row r="129" spans="1:18" ht="60" hidden="1">
      <c r="A129" s="180" t="s">
        <v>67</v>
      </c>
      <c r="B129" s="179" t="str">
        <f>IF(B99="ha",B20,B123)</f>
        <v>BUXORO VILOYATI BUXORO TUMANI IIB tomonidan 26.08.2024 yilda berilgan</v>
      </c>
      <c r="C129" s="165">
        <f>IF(B99="ha",B20,C123)</f>
        <v>0</v>
      </c>
    </row>
    <row r="130" spans="1:18" ht="60" hidden="1">
      <c r="A130" s="180" t="s">
        <v>69</v>
      </c>
      <c r="B130" s="137" t="str">
        <f>IF(B99="ha",B22,B124)</f>
        <v>BUXORO VILOYATI BUXORO TUMANI XONOBOD MFY XONOBOD QISHLOG'I</v>
      </c>
      <c r="C130" s="166">
        <f>IF(B99="ha",B22,C124)</f>
        <v>0</v>
      </c>
    </row>
    <row r="131" spans="1:18" ht="42.75">
      <c r="A131" s="180" t="s">
        <v>160</v>
      </c>
      <c r="B131" s="43" t="s">
        <v>431</v>
      </c>
      <c r="C131" s="167" t="s">
        <v>47</v>
      </c>
      <c r="N131" s="145" t="str">
        <f>IF(B111=C111,B125,IF(B111=D111,C125,0))</f>
        <v>FAYZIYEV JAMSHID KURBONOVICH</v>
      </c>
    </row>
    <row r="132" spans="1:18" ht="45">
      <c r="A132" s="180" t="s">
        <v>161</v>
      </c>
      <c r="B132" s="43" t="s">
        <v>432</v>
      </c>
      <c r="C132" s="165" t="s">
        <v>377</v>
      </c>
      <c r="D132" s="168" t="s">
        <v>150</v>
      </c>
      <c r="Q132" s="145" t="str">
        <f>""&amp;B101&amp;" (по генеральному доверенестью №"&amp;B106&amp;" от "&amp;B108&amp;")"</f>
        <v>XAYATOV OTABEK KURBANOVICH (по генеральному доверенестью №202502386001856 от 01.04.2025)</v>
      </c>
      <c r="R132" s="145" t="str">
        <f>""&amp;B101&amp;" ("&amp;B108&amp;"y. sanasidagi reestr raqami №"&amp;B106&amp;" bo'lgan Ishonchnomaga asosan)"</f>
        <v>XAYATOV OTABEK KURBANOVICH (01.04.2025y. sanasidagi reestr raqami №202502386001856 bo'lgan Ishonchnomaga asosan)</v>
      </c>
    </row>
    <row r="133" spans="1:18" ht="45">
      <c r="A133" s="180" t="s">
        <v>162</v>
      </c>
      <c r="B133" s="43" t="s">
        <v>433</v>
      </c>
      <c r="C133" s="166" t="str">
        <f>""&amp;D134&amp;" "&amp;IF(C137=D137,"- xonali yakka tartibdagi uy-joy", IF(C137=E137,"-  xonali ko'p qavatli uydagi xonadon",0))&amp;""</f>
        <v>3 - xonali yakka tartibdagi uy-joy</v>
      </c>
      <c r="D133" s="169" t="s">
        <v>148</v>
      </c>
      <c r="E133" s="145" t="str">
        <f>IF($C$137=$D$137,I133,IF($C$137=$E$137,H133,0))</f>
        <v>3 - xonali yakka tartibdagi uy-joy</v>
      </c>
      <c r="F133" s="145" t="str">
        <f>IF($C$137=$D$137,I133,IF($C$137=$E$137,H133,0))</f>
        <v>3 - xonali yakka tartibdagi uy-joy</v>
      </c>
      <c r="H133" s="145" t="str">
        <f>"Ko'p qavatli uydagi "&amp;D134&amp;" - xonali xonadon"</f>
        <v>Ko'p qavatli uydagi 3 - xonali xonadon</v>
      </c>
      <c r="I133" s="145" t="str">
        <f>""&amp;D134&amp;" - xonali yakka tartibdagi uy-joy"</f>
        <v>3 - xonali yakka tartibdagi uy-joy</v>
      </c>
      <c r="N133" s="145" t="str">
        <f>IF(B99=C99,Q134,IF(B99=D99,Q133,0))</f>
        <v>Микрофинансовой организацией, Заемщиком и XAYATOV OTABEK KURBANOVICH (по генеральному доверенестью №202502386001856 от 01.04.2025)</v>
      </c>
      <c r="Q133" s="145" t="str">
        <f>"Микрофинансовой организацией, Заемщиком и "&amp;IF(B100=D100,Q132,IF(B100=C100,B119,0))&amp;""</f>
        <v>Микрофинансовой организацией, Заемщиком и XAYATOV OTABEK KURBANOVICH (по генеральному доверенестью №202502386001856 от 01.04.2025)</v>
      </c>
      <c r="R133" s="145" t="str">
        <f>"Mikromoliya tashkiloti, Qarz oluvchi va "&amp;IF(B100=D100,R132,IF(B100=C100,B119))&amp;""</f>
        <v>Mikromoliya tashkiloti, Qarz oluvchi va XAYATOV OTABEK KURBANOVICH (01.04.2025y. sanasidagi reestr raqami №202502386001856 bo'lgan Ishonchnomaga asosan)</v>
      </c>
    </row>
    <row r="134" spans="1:18" ht="30">
      <c r="A134" s="180" t="s">
        <v>163</v>
      </c>
      <c r="B134" s="160" t="s">
        <v>434</v>
      </c>
      <c r="C134" s="166" t="str">
        <f>C133</f>
        <v>3 - xonali yakka tartibdagi uy-joy</v>
      </c>
      <c r="D134" s="170">
        <v>3</v>
      </c>
      <c r="E134" s="145" t="str">
        <f>IF($C$137=$D$137,I134,IF($C$137=$E$137,H134,0))</f>
        <v>yer uchastkasi maydoni - , umumiy maydoni - 72,13, yashash maydoni - 37,39</v>
      </c>
      <c r="F134" s="145" t="str">
        <f>IF($C$137=$D$137,I134,IF($C$137=$E$137,H134,0))</f>
        <v>yer uchastkasi maydoni - , umumiy maydoni - 72,13, yashash maydoni - 37,39</v>
      </c>
      <c r="H134" s="145" t="str">
        <f>"umumiy maydoni - "&amp;C138&amp;", yashash maydoni - "&amp;C141&amp;""</f>
        <v>umumiy maydoni - 72,13, yashash maydoni - 37,39</v>
      </c>
      <c r="I134" s="145" t="str">
        <f>"yer uchastkasi maydoni - "&amp;C139&amp;", umumiy maydoni - "&amp;C138&amp;", yashash maydoni - "&amp;C141&amp;""</f>
        <v>yer uchastkasi maydoni - , umumiy maydoni - 72,13, yashash maydoni - 37,39</v>
      </c>
      <c r="N134" s="145" t="str">
        <f>IF(B99=C99,R134,IF(B99=D99,R133,0))</f>
        <v>Mikromoliya tashkiloti, Qarz oluvchi va XAYATOV OTABEK KURBANOVICH (01.04.2025y. sanasidagi reestr raqami №202502386001856 bo'lgan Ishonchnomaga asosan)</v>
      </c>
      <c r="Q134" s="145" t="s">
        <v>51</v>
      </c>
      <c r="R134" s="145" t="s">
        <v>149</v>
      </c>
    </row>
    <row r="135" spans="1:18" ht="27" customHeight="1">
      <c r="A135" s="180" t="s">
        <v>164</v>
      </c>
      <c r="B135" s="61" t="str">
        <f>"kuzov turi - "&amp;B136&amp;", kuzov raqami "&amp;B137&amp;""</f>
        <v>kuzov turi - YENGIL SEDAN, kuzov raqami XWBMF481EBA580791</v>
      </c>
      <c r="C135" s="165" t="s">
        <v>376</v>
      </c>
      <c r="D135" s="168" t="s">
        <v>378</v>
      </c>
    </row>
    <row r="136" spans="1:18">
      <c r="A136" s="58" t="s">
        <v>165</v>
      </c>
      <c r="B136" s="43" t="s">
        <v>435</v>
      </c>
      <c r="C136" s="171"/>
    </row>
    <row r="137" spans="1:18">
      <c r="A137" s="58" t="s">
        <v>166</v>
      </c>
      <c r="B137" s="43" t="s">
        <v>436</v>
      </c>
      <c r="C137" s="161" t="s">
        <v>151</v>
      </c>
      <c r="D137" s="145" t="s">
        <v>151</v>
      </c>
      <c r="E137" s="145" t="s">
        <v>152</v>
      </c>
    </row>
    <row r="138" spans="1:18" ht="27" customHeight="1">
      <c r="A138" s="180" t="s">
        <v>167</v>
      </c>
      <c r="B138" s="61" t="str">
        <f>"dvigatel raqami "&amp;B139&amp;", shassi raqami - "&amp;B140&amp;""</f>
        <v>dvigatel raqami B10D1606437KC3, shassi raqami - RAKAMSIZ</v>
      </c>
      <c r="C138" s="161">
        <v>72.13</v>
      </c>
      <c r="D138" s="172" t="s">
        <v>153</v>
      </c>
      <c r="E138" s="145" t="str">
        <f>CONCATENATE(C138," ","kv.m")</f>
        <v>72,13 kv.m</v>
      </c>
      <c r="F138" s="153">
        <f>C138-C141</f>
        <v>34.739999999999995</v>
      </c>
    </row>
    <row r="139" spans="1:18">
      <c r="A139" s="58" t="s">
        <v>168</v>
      </c>
      <c r="B139" s="50" t="s">
        <v>437</v>
      </c>
      <c r="C139" s="161"/>
      <c r="D139" s="172" t="s">
        <v>154</v>
      </c>
    </row>
    <row r="140" spans="1:18">
      <c r="A140" s="58" t="s">
        <v>169</v>
      </c>
      <c r="B140" s="43" t="s">
        <v>438</v>
      </c>
      <c r="C140" s="161"/>
    </row>
    <row r="141" spans="1:18" ht="25.5" customHeight="1">
      <c r="A141" s="180" t="s">
        <v>170</v>
      </c>
      <c r="B141" s="61" t="str">
        <f>"rangi -  "&amp;B142&amp;", ishlab chiqarilgan yili - "&amp;B143&amp;""</f>
        <v>rangi -  OQ BELAYA "KASABLANKA", ishlab chiqarilgan yili - 2011</v>
      </c>
      <c r="C141" s="173" t="s">
        <v>375</v>
      </c>
      <c r="D141" s="172" t="s">
        <v>250</v>
      </c>
      <c r="E141" s="145" t="str">
        <f>CONCATENATE(C141," ","kv.m")</f>
        <v>37,39 kv.m</v>
      </c>
    </row>
    <row r="142" spans="1:18">
      <c r="A142" s="58" t="s">
        <v>171</v>
      </c>
      <c r="B142" s="43" t="s">
        <v>439</v>
      </c>
      <c r="C142" s="161"/>
    </row>
    <row r="143" spans="1:18" ht="30">
      <c r="A143" s="58" t="s">
        <v>172</v>
      </c>
      <c r="B143" s="50" t="s">
        <v>440</v>
      </c>
      <c r="C143" s="171">
        <v>44181</v>
      </c>
      <c r="D143" s="174" t="s">
        <v>379</v>
      </c>
    </row>
    <row r="144" spans="1:18" hidden="1">
      <c r="A144" s="180" t="s">
        <v>173</v>
      </c>
      <c r="B144" s="16">
        <f>B75*1.5</f>
        <v>39000000</v>
      </c>
      <c r="C144" s="175">
        <f>B144</f>
        <v>39000000</v>
      </c>
      <c r="D144" s="172" t="s">
        <v>173</v>
      </c>
    </row>
    <row r="145" spans="1:3" ht="27.75" hidden="1" customHeight="1">
      <c r="A145" s="127"/>
      <c r="B145" s="45" t="str">
        <f>""&amp;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INT(B144))&gt;6,ROMAN(MID(INT(B144),1,LEN(INT(B144))-6)+0)&amp;" million "&amp;ROMAN(MID(INT(B144),LEN(INT(B144))-5,3)+0)&amp;" ming "&amp;ROMAN(MID(INT(B144),LEN(INT(B144))-2,3)+0),IF(LEN(INT(B144))&gt;3,ROMAN(MID(INT(B144),1,LEN(INT(B144))-3)+0)&amp;" ming "&amp;ROMAN(MID(INT(B144),LEN(INT(B144))-2,3)+0),ROMAN(INT(B144)))),"DCCC","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million")),"million ming","million"),"million ming","million"),"million ming","million")&amp;" so'm"</f>
        <v>o'ttiz to'qqiz million so'm</v>
      </c>
      <c r="C145" s="175" t="str">
        <f>B145</f>
        <v>o'ttiz to'qqiz million so'm</v>
      </c>
    </row>
    <row r="146" spans="1:3" ht="27.75" hidden="1" customHeight="1">
      <c r="A146" s="180"/>
      <c r="B146" s="125" t="str">
        <f>B145</f>
        <v>o'ttiz to'qqiz million so'm</v>
      </c>
      <c r="C146" s="176"/>
    </row>
    <row r="147" spans="1:3">
      <c r="A147" s="180" t="s">
        <v>408</v>
      </c>
      <c r="B147" s="45">
        <v>158581</v>
      </c>
      <c r="C147" s="145" t="s">
        <v>381</v>
      </c>
    </row>
    <row r="148" spans="1:3">
      <c r="A148" s="180" t="s">
        <v>369</v>
      </c>
      <c r="B148" s="43">
        <v>1</v>
      </c>
    </row>
    <row r="149" spans="1:3">
      <c r="A149" s="180" t="s">
        <v>155</v>
      </c>
      <c r="B149" s="1" t="s">
        <v>146</v>
      </c>
      <c r="C149" s="145">
        <v>1</v>
      </c>
    </row>
    <row r="150" spans="1:3" hidden="1">
      <c r="A150" s="180" t="s">
        <v>156</v>
      </c>
      <c r="B150" s="2" t="str">
        <f>B70</f>
        <v>1 aprel 2025 y.</v>
      </c>
      <c r="C150" s="145" t="str">
        <f>B70</f>
        <v>1 aprel 2025 y.</v>
      </c>
    </row>
    <row r="151" spans="1:3" hidden="1">
      <c r="A151" s="180"/>
      <c r="B151" s="179">
        <f>YEAR(B67)</f>
        <v>2025</v>
      </c>
    </row>
    <row r="152" spans="1:3" hidden="1">
      <c r="A152" s="180"/>
      <c r="B152" s="128" t="str">
        <f>D67</f>
        <v>aprel</v>
      </c>
    </row>
    <row r="153" spans="1:3" hidden="1">
      <c r="A153" s="180"/>
      <c r="B153" s="179">
        <f>DAY(B67)</f>
        <v>1</v>
      </c>
    </row>
    <row r="154" spans="1:3">
      <c r="A154" s="254" t="s">
        <v>350</v>
      </c>
      <c r="B154" s="254"/>
    </row>
    <row r="155" spans="1:3">
      <c r="A155" s="180" t="s">
        <v>174</v>
      </c>
      <c r="B155" s="179" t="s">
        <v>374</v>
      </c>
    </row>
    <row r="156" spans="1:3">
      <c r="A156" s="180"/>
      <c r="B156" s="179" t="s">
        <v>374</v>
      </c>
    </row>
    <row r="157" spans="1:3">
      <c r="A157" s="180"/>
      <c r="B157" s="179" t="s">
        <v>374</v>
      </c>
    </row>
    <row r="158" spans="1:3">
      <c r="A158" s="180" t="s">
        <v>444</v>
      </c>
      <c r="B158" s="179" t="s">
        <v>441</v>
      </c>
    </row>
    <row r="159" spans="1:3">
      <c r="A159" s="180"/>
      <c r="B159" s="179" t="s">
        <v>442</v>
      </c>
    </row>
    <row r="160" spans="1:3" hidden="1">
      <c r="A160" s="180" t="s">
        <v>178</v>
      </c>
      <c r="B160" s="179" t="s">
        <v>175</v>
      </c>
    </row>
    <row r="161" spans="1:2" ht="28.5" hidden="1">
      <c r="A161" s="180" t="s">
        <v>179</v>
      </c>
      <c r="B161" s="179" t="s">
        <v>176</v>
      </c>
    </row>
    <row r="162" spans="1:2" hidden="1">
      <c r="A162" s="180" t="s">
        <v>180</v>
      </c>
      <c r="B162" s="179" t="s">
        <v>24</v>
      </c>
    </row>
    <row r="163" spans="1:2" hidden="1">
      <c r="A163" s="180" t="s">
        <v>181</v>
      </c>
      <c r="B163" s="179" t="s">
        <v>22</v>
      </c>
    </row>
    <row r="164" spans="1:2" hidden="1">
      <c r="A164" s="180" t="s">
        <v>182</v>
      </c>
      <c r="B164" s="179" t="s">
        <v>177</v>
      </c>
    </row>
    <row r="165" spans="1:2" hidden="1">
      <c r="A165" s="180" t="s">
        <v>183</v>
      </c>
      <c r="B165" s="1" t="s">
        <v>25</v>
      </c>
    </row>
    <row r="166" spans="1:2" hidden="1">
      <c r="A166" s="180" t="s">
        <v>184</v>
      </c>
      <c r="B166" s="179" t="s">
        <v>330</v>
      </c>
    </row>
    <row r="167" spans="1:2">
      <c r="A167" s="180" t="s">
        <v>391</v>
      </c>
      <c r="B167" s="179" t="s">
        <v>392</v>
      </c>
    </row>
    <row r="168" spans="1:2">
      <c r="A168" s="184" t="s">
        <v>372</v>
      </c>
      <c r="B168" s="179" t="s">
        <v>443</v>
      </c>
    </row>
    <row r="169" spans="1:2">
      <c r="A169" s="180" t="s">
        <v>444</v>
      </c>
      <c r="B169" s="179" t="s">
        <v>441</v>
      </c>
    </row>
    <row r="170" spans="1:2">
      <c r="A170" s="180" t="s">
        <v>185</v>
      </c>
      <c r="B170" s="1" t="s">
        <v>342</v>
      </c>
    </row>
    <row r="171" spans="1:2">
      <c r="A171" s="180" t="s">
        <v>186</v>
      </c>
      <c r="B171" s="1" t="s">
        <v>343</v>
      </c>
    </row>
    <row r="172" spans="1:2">
      <c r="A172" s="180" t="s">
        <v>187</v>
      </c>
      <c r="B172" s="179" t="str">
        <f>B1</f>
        <v>№ 687-BR</v>
      </c>
    </row>
    <row r="173" spans="1:2">
      <c r="A173" s="180" t="s">
        <v>188</v>
      </c>
      <c r="B173" s="2" t="str">
        <f>B69</f>
        <v>1 aprel 2025 y.</v>
      </c>
    </row>
    <row r="174" spans="1:2">
      <c r="A174" s="254" t="s">
        <v>350</v>
      </c>
      <c r="B174" s="254"/>
    </row>
    <row r="175" spans="1:2">
      <c r="A175" s="180"/>
      <c r="B175" s="2"/>
    </row>
    <row r="176" spans="1:2">
      <c r="A176" s="180"/>
      <c r="B176" s="2"/>
    </row>
    <row r="177" spans="1:2">
      <c r="A177" s="180"/>
      <c r="B177" s="2"/>
    </row>
  </sheetData>
  <mergeCells count="8">
    <mergeCell ref="A174:B174"/>
    <mergeCell ref="A154:B154"/>
    <mergeCell ref="A103:B103"/>
    <mergeCell ref="A4:B4"/>
    <mergeCell ref="A57:B57"/>
    <mergeCell ref="A64:B64"/>
    <mergeCell ref="A97:B97"/>
    <mergeCell ref="A91:B91"/>
  </mergeCells>
  <phoneticPr fontId="48" type="noConversion"/>
  <dataValidations count="13">
    <dataValidation type="list" allowBlank="1" showInputMessage="1" showErrorMessage="1" sqref="B30" xr:uid="{00000000-0002-0000-0000-000000000000}">
      <formula1>$C$30:$D$30</formula1>
    </dataValidation>
    <dataValidation type="list" allowBlank="1" showInputMessage="1" showErrorMessage="1" sqref="B99" xr:uid="{00000000-0002-0000-0000-000001000000}">
      <formula1>$C$99:$D$99</formula1>
    </dataValidation>
    <dataValidation type="list" allowBlank="1" showInputMessage="1" showErrorMessage="1" sqref="B111" xr:uid="{00000000-0002-0000-0000-000002000000}">
      <formula1>$C$111:$D$111</formula1>
    </dataValidation>
    <dataValidation type="list" allowBlank="1" showInputMessage="1" showErrorMessage="1" sqref="B77" xr:uid="{00000000-0002-0000-0000-000003000000}">
      <formula1>$C$77:$D$77</formula1>
    </dataValidation>
    <dataValidation type="list" allowBlank="1" showInputMessage="1" showErrorMessage="1" sqref="C137" xr:uid="{00000000-0002-0000-0000-000004000000}">
      <formula1>$D$137:$E$137</formula1>
    </dataValidation>
    <dataValidation type="list" allowBlank="1" showInputMessage="1" showErrorMessage="1" sqref="B98" xr:uid="{00000000-0002-0000-0000-000005000000}">
      <formula1>$C$98:$D$98</formula1>
    </dataValidation>
    <dataValidation type="list" allowBlank="1" showInputMessage="1" showErrorMessage="1" sqref="B100" xr:uid="{00000000-0002-0000-0000-000006000000}">
      <formula1>$C$100:$D$100</formula1>
    </dataValidation>
    <dataValidation type="list" allowBlank="1" showInputMessage="1" showErrorMessage="1" sqref="B23" xr:uid="{00000000-0002-0000-0000-000007000000}">
      <formula1>$C$23:$D$23</formula1>
    </dataValidation>
    <dataValidation type="list" allowBlank="1" showInputMessage="1" showErrorMessage="1" sqref="B29" xr:uid="{00000000-0002-0000-0000-000008000000}">
      <formula1>$C$29:$F$29</formula1>
    </dataValidation>
    <dataValidation type="list" allowBlank="1" showInputMessage="1" showErrorMessage="1" sqref="B24" xr:uid="{00000000-0002-0000-0000-000009000000}">
      <formula1>$C$24:$D$24</formula1>
    </dataValidation>
    <dataValidation type="list" allowBlank="1" showInputMessage="1" showErrorMessage="1" sqref="B83" xr:uid="{00000000-0002-0000-0000-00000A000000}">
      <formula1>$BJ$83:$BK$83</formula1>
    </dataValidation>
    <dataValidation type="list" allowBlank="1" showInputMessage="1" showErrorMessage="1" sqref="B6" xr:uid="{00000000-0002-0000-0000-00000B000000}">
      <formula1>$C$6:$D$6</formula1>
    </dataValidation>
    <dataValidation type="list" allowBlank="1" showInputMessage="1" showErrorMessage="1" sqref="B44" xr:uid="{00000000-0002-0000-0000-00000C000000}">
      <formula1>$C$44:$D$44</formula1>
    </dataValidation>
  </dataValidations>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4730B-6929-4668-B79F-27EFE1BDEA00}">
  <dimension ref="A1:D29"/>
  <sheetViews>
    <sheetView tabSelected="1" topLeftCell="A10" zoomScale="130" zoomScaleNormal="130" workbookViewId="0">
      <selection activeCell="A18" sqref="A18:D18"/>
    </sheetView>
  </sheetViews>
  <sheetFormatPr defaultColWidth="16.85546875" defaultRowHeight="15"/>
  <cols>
    <col min="1" max="1" width="16" style="10" customWidth="1"/>
    <col min="2" max="2" width="21.140625" style="10" customWidth="1"/>
    <col min="3" max="3" width="23.85546875" style="10" customWidth="1"/>
    <col min="4" max="4" width="26" style="10" customWidth="1"/>
    <col min="5" max="16384" width="16.85546875" style="10"/>
  </cols>
  <sheetData>
    <row r="1" spans="1:4">
      <c r="B1" s="382" t="s">
        <v>453</v>
      </c>
      <c r="C1" s="380"/>
      <c r="D1" s="380"/>
    </row>
    <row r="2" spans="1:4">
      <c r="B2" s="381" t="s">
        <v>454</v>
      </c>
      <c r="C2" s="185"/>
      <c r="D2" s="185"/>
    </row>
    <row r="3" spans="1:4">
      <c r="B3" s="381" t="s">
        <v>455</v>
      </c>
      <c r="C3" s="185"/>
      <c r="D3" s="185"/>
    </row>
    <row r="4" spans="1:4">
      <c r="B4" s="381" t="s">
        <v>456</v>
      </c>
      <c r="C4" s="185"/>
      <c r="D4" s="185"/>
    </row>
    <row r="6" spans="1:4">
      <c r="A6" s="391" t="str">
        <f>malumot!B109</f>
        <v>05.04.2025 yildagi</v>
      </c>
      <c r="D6" s="31" t="s">
        <v>458</v>
      </c>
    </row>
    <row r="7" spans="1:4">
      <c r="A7" s="390" t="str">
        <f>malumot!B110</f>
        <v>№ 02/04-001</v>
      </c>
      <c r="D7" s="31" t="s">
        <v>457</v>
      </c>
    </row>
    <row r="8" spans="1:4">
      <c r="A8" s="390"/>
    </row>
    <row r="9" spans="1:4" ht="87.75" customHeight="1">
      <c r="A9" s="274" t="str">
        <f>"      “CLEVER mikromoliya tashkiloti” MCHJ va " &amp; malumot!B5 &amp; " (pasport: " &amp;malumot!B16 &amp; ", " &amp;malumot!B20 &amp;")" &amp; " o‘rtasida " &amp;malumot!B2 &amp; " yildagi " &amp;malumot!B1 &amp; "-sonli" &amp; notarius!B78 &amp; ", "&amp; malumot!B75 &amp; " (" &amp;malumot!B76 &amp;")" &amp; "miqdorida mikroqarz shartnomasi imzolangan. Mikroqarz shartnomasi bo‘yicha majburiyatlarni o‘z vaqtida bajarish uchun Qarz oluvchi quyidagi mulkni taqdim etdi, xususan:"</f>
        <v xml:space="preserve">      “CLEVER mikromoliya tashkiloti” MCHJ va XAYATOV OTABEK KURBANOVICH (pasport: AB 7858443, BUXORO VILOYATI KOGON TUMAN IIB tomonidan 06.10.2017 yilda berilgan) o‘rtasida 01.04.2025 yildagi № 687-BR-sonli, 26000000 (yigirma olti million so'm)miqdorida mikroqarz shartnomasi imzolangan. Mikroqarz shartnomasi bo‘yicha majburiyatlarni o‘z vaqtida bajarish uchun Qarz oluvchi quyidagi mulkni taqdim etdi, xususan:</v>
      </c>
      <c r="B9" s="274"/>
      <c r="C9" s="274"/>
      <c r="D9" s="274"/>
    </row>
    <row r="11" spans="1:4" ht="30" customHeight="1">
      <c r="A11" s="33" t="s">
        <v>204</v>
      </c>
      <c r="B11" s="33" t="str">
        <f>IF(malumot!B111=malumot!C111,"Kuzov turi  va kuzov raqami*","Foydali maydoni")</f>
        <v>Kuzov turi  va kuzov raqami*</v>
      </c>
      <c r="C11" s="33" t="str">
        <f>IF(malumot!B111=malumot!C111,"Dvigatel va shassi raqami*","Yashash maydoni")</f>
        <v>Dvigatel va shassi raqami*</v>
      </c>
      <c r="D11" s="33" t="str">
        <f>IF(malumot!B111=malumot!C111,"Ishlab chiqarilgan yili va rangi**","Umumiy maydoni")</f>
        <v>Ishlab chiqarilgan yili va rangi**</v>
      </c>
    </row>
    <row r="12" spans="1:4" ht="76.5" customHeight="1">
      <c r="A12" s="253" t="str">
        <f>IF(malumot!B111=malumot!C111,malumot!B133,malumot!C133)</f>
        <v>SPARK</v>
      </c>
      <c r="B12" s="253" t="str">
        <f>IF(malumot!B111=malumot!C111,malumot!B135,CONCATENATE(malumot!F138," ","kv.m"))</f>
        <v>kuzov turi - YENGIL SEDAN, kuzov raqami XWBMF481EBA580791</v>
      </c>
      <c r="C12" s="253" t="str">
        <f>IF(malumot!B111=malumot!C111,malumot!B138,malumot!E141)</f>
        <v>dvigatel raqami B10D1606437KC3, shassi raqami - RAKAMSIZ</v>
      </c>
      <c r="D12" s="253" t="str">
        <f>IF(malumot!B111=malumot!C111,malumot!B141,malumot!E138)</f>
        <v>rangi -  OQ BELAYA "KASABLANKA", ishlab chiqarilgan yili - 2011</v>
      </c>
    </row>
    <row r="13" spans="1:4" ht="19.5" customHeight="1">
      <c r="A13" s="387" t="str">
        <f>"-* "&amp;IF(malumot!B111=malumot!C111,"avtotransport "&amp;"egasi: "&amp;malumot!B125&amp;"","ko'chmas mulk"&amp;" egasi: "&amp;malumot!B125&amp;"")</f>
        <v>-* avtotransport egasi: FAYZIYEV JAMSHID KURBONOVICH</v>
      </c>
      <c r="B13" s="387"/>
      <c r="C13" s="387"/>
      <c r="D13" s="387"/>
    </row>
    <row r="14" spans="1:4">
      <c r="A14" s="388" t="str">
        <f>IF(malumot!B111=malumot!C111,"-* texnik pasport: "&amp;malumot!B132&amp;"","-* reest raqami: "&amp;malumot!C132&amp;"")</f>
        <v>-* texnik pasport: AAG   4517617  20.08.2024y</v>
      </c>
      <c r="B14" s="388"/>
      <c r="C14" s="388"/>
      <c r="D14" s="388"/>
    </row>
    <row r="15" spans="1:4">
      <c r="A15" s="388" t="str">
        <f>IF(malumot!B111=malumot!C111,"-* davlat raqami: "&amp;malumot!B134&amp;"","-* manzili: "&amp;malumot!C131&amp;"")</f>
        <v>-* davlat raqami: 80Y320AB</v>
      </c>
      <c r="B15" s="388"/>
      <c r="C15" s="388"/>
      <c r="D15" s="388"/>
    </row>
    <row r="16" spans="1:4" s="385" customFormat="1">
      <c r="A16" s="386" t="str">
        <f>"-* garov shartnomasi bo'yicha (reestr № " &amp;malumot!B106&amp; " , " &amp;malumot!B107&amp; " yil)"</f>
        <v>-* garov shartnomasi bo'yicha (reestr № 202502386001856 , 01.04.2025 yil)</v>
      </c>
      <c r="B16" s="384"/>
      <c r="C16" s="384"/>
      <c r="D16" s="384"/>
    </row>
    <row r="17" spans="1:4" s="385" customFormat="1">
      <c r="A17" s="384"/>
      <c r="B17" s="384"/>
      <c r="C17" s="384"/>
      <c r="D17" s="384"/>
    </row>
    <row r="18" spans="1:4" ht="51.75" customHeight="1">
      <c r="A18" s="383" t="s">
        <v>459</v>
      </c>
      <c r="B18" s="383"/>
      <c r="C18" s="383"/>
      <c r="D18" s="383"/>
    </row>
    <row r="21" spans="1:4">
      <c r="A21" s="193" t="s">
        <v>460</v>
      </c>
    </row>
    <row r="22" spans="1:4">
      <c r="A22" s="193" t="s">
        <v>464</v>
      </c>
      <c r="D22" s="252" t="s">
        <v>393</v>
      </c>
    </row>
    <row r="26" spans="1:4">
      <c r="A26" s="10" t="s">
        <v>461</v>
      </c>
    </row>
    <row r="27" spans="1:4">
      <c r="A27" s="10" t="s">
        <v>462</v>
      </c>
    </row>
    <row r="29" spans="1:4" ht="45.75" customHeight="1">
      <c r="A29" s="274" t="s">
        <v>463</v>
      </c>
      <c r="B29" s="274"/>
      <c r="C29" s="274"/>
      <c r="D29" s="274"/>
    </row>
  </sheetData>
  <mergeCells count="6">
    <mergeCell ref="A15:D15"/>
    <mergeCell ref="A29:D29"/>
    <mergeCell ref="A9:D9"/>
    <mergeCell ref="A18:D18"/>
    <mergeCell ref="A13:D13"/>
    <mergeCell ref="A14:D14"/>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Лист3">
    <tabColor rgb="FF00B050"/>
  </sheetPr>
  <dimension ref="A1:K129"/>
  <sheetViews>
    <sheetView view="pageBreakPreview" topLeftCell="A121" zoomScale="160" zoomScaleNormal="55" zoomScaleSheetLayoutView="160" workbookViewId="0">
      <selection activeCell="A119" sqref="A119"/>
    </sheetView>
  </sheetViews>
  <sheetFormatPr defaultColWidth="9.140625" defaultRowHeight="15.75"/>
  <cols>
    <col min="1" max="1" width="50.140625" style="4" customWidth="1"/>
    <col min="2" max="2" width="58.85546875" style="4" customWidth="1"/>
    <col min="3" max="3" width="93.28515625" style="4" customWidth="1"/>
    <col min="4" max="7" width="9.140625" style="4" customWidth="1"/>
    <col min="8" max="8" width="111.5703125" style="4" customWidth="1"/>
    <col min="9" max="16" width="9.140625" style="4" customWidth="1"/>
    <col min="17" max="16384" width="9.140625" style="4"/>
  </cols>
  <sheetData>
    <row r="1" spans="1:3">
      <c r="A1" s="269" t="str">
        <f>""&amp;malumot!C64&amp;" shartnoma "&amp;malumot!B66&amp;""</f>
        <v>Mikroqarz shartnoma № 687-BR</v>
      </c>
      <c r="B1" s="269"/>
    </row>
    <row r="3" spans="1:3">
      <c r="A3" s="269" t="str">
        <f>"Toshkent shahri                                                                               "&amp;malumot!B70&amp;""</f>
        <v>Toshkent shahri                                                                               1 aprel 2025 y.</v>
      </c>
      <c r="B3" s="269"/>
    </row>
    <row r="4" spans="1:3">
      <c r="A4" s="232"/>
    </row>
    <row r="5" spans="1:3" ht="113.25" customHeight="1">
      <c r="A5" s="259" t="str">
        <f>""&amp;malumot!B155&amp;", bundan buyon «Mikromoliya tashkiloti» deb nomlanuvchi, ishonchnoma asosida xarakat qiluvchi "&amp;malumot!A158&amp;" "&amp;malumot!B158&amp;"  bir tomondan va o‘z manfaati yo‘lida hamda o‘z nomidan harakat qiluvchi O‘zbekiston Respublikasi fuqarosi "&amp;malumot!B5&amp;"  (pasport raqami "&amp;malumot!B16&amp;", "&amp;malumot!C20&amp;" ), bundan buyon «Qarz oluvchi» deb nomlanuvchi, boshqa tomondan, birgalikda “Tomonlar” yoki alohida “Tomon” deb nomlanuvchilar, Qarz oluvchi tomonidan "&amp;TEXT(malumot!B2,"ДД.ММ.ГГГГ")&amp;" yil,"&amp;malumot!B65&amp;" olish uchun ariza berilganligini hisobga olib, ushbu "&amp;malumot!C64&amp;" shartnomasini (bundan keyin – «Shartnoma») quyidagilar haqida tuzdilar:"</f>
        <v>«CLEVER MIKROMOLIYA TASHKILOTI» MChJ, bundan buyon «Mikromoliya tashkiloti» deb nomlanuvchi, ishonchnoma asosida xarakat qiluvchi Buxoro filiali boshlig'i A.Xudayberdiyev  bir tomondan va o‘z manfaati yo‘lida hamda o‘z nomidan harakat qiluvchi O‘zbekiston Respublikasi fuqarosi XAYATOV OTABEK KURBANOVICH  (pasport raqami AB 7858443, BUXORO VILOYATI KOGON TUMAN IIB tomonidan 06.10.2017 yilda berilgan ), bundan buyon «Qarz oluvchi» deb nomlanuvchi, boshqa tomondan, birgalikda “Tomonlar” yoki alohida “Tomon” deb nomlanuvchilar, Qarz oluvchi tomonidan 01.04.2025 yil,mikroqarz olish uchun ariza berilganligini hisobga olib, ushbu Mikroqarz shartnomasini (bundan keyin – «Shartnoma») quyidagilar haqida tuzdilar:</v>
      </c>
      <c r="B5" s="259"/>
    </row>
    <row r="6" spans="1:3" ht="9" customHeight="1"/>
    <row r="7" spans="1:3">
      <c r="A7" s="269" t="s">
        <v>260</v>
      </c>
      <c r="B7" s="269"/>
    </row>
    <row r="8" spans="1:3" ht="49.5" customHeight="1">
      <c r="A8" s="259" t="str">
        <f>"1.1. Mikromoliya tashkiloti Qarz oluvchiga umumiy miqdori "&amp;FIXED(malumot!B75,2)&amp;" ("&amp;malumot!C76&amp;") bo‘lgan "&amp;malumot!B65&amp;"ni "&amp;malumot!B71&amp;" dan "&amp;malumot!B73&amp;" gacha bo'lgan muddatga naqd pul va/yoki o'tkazmasi shaklida ajratadi."</f>
        <v>1.1. Mikromoliya tashkiloti Qarz oluvchiga umumiy miqdori 26 000 000,00 (Yigirma olti million so'm) bo‘lgan mikroqarzni 1 aprel 2025 y. dan 1 dekabr 2027 y. gacha bo'lgan muddatga naqd pul va/yoki o'tkazmasi shaklida ajratadi.</v>
      </c>
      <c r="B8" s="259"/>
    </row>
    <row r="9" spans="1:3" ht="36" customHeight="1">
      <c r="A9" s="259" t="str">
        <f>"1.2. Qarz oluvchi to‘lovlilik, muddatlilik va ta’minlanganlik tamoyillariga amal qilgan holda "&amp;malumot!B65&amp;"dan foydalanish majburiyatini o‘z zimmasiga oladi."</f>
        <v>1.2. Qarz oluvchi to‘lovlilik, muddatlilik va ta’minlanganlik tamoyillariga amal qilgan holda mikroqarzdan foydalanish majburiyatini o‘z zimmasiga oladi.</v>
      </c>
      <c r="B9" s="259"/>
    </row>
    <row r="10" spans="1:3">
      <c r="A10" s="233"/>
    </row>
    <row r="11" spans="1:3">
      <c r="A11" s="261" t="str">
        <f>"2. "&amp;malumot!D64&amp;" BERISH VA QAYTARISH TARTIBI"</f>
        <v>2. MIKROQARZ BERISH VA QAYTARISH TARTIBI</v>
      </c>
      <c r="B11" s="261"/>
      <c r="C11" s="55"/>
    </row>
    <row r="12" spans="1:3" ht="36" customHeight="1">
      <c r="A12" s="259" t="str">
        <f>"2.1. Ushbu Shartnomaning 1.1.-bandida ko‘rsatilgan summa miqdoridagi "&amp;malumot!B65&amp;" Mikromoliya tashkiloti kassasidan naqd pul shaklida va/yoki plastik kartaga o‘tkazish yuli bilan beriladi."</f>
        <v>2.1. Ushbu Shartnomaning 1.1.-bandida ko‘rsatilgan summa miqdoridagi mikroqarz Mikromoliya tashkiloti kassasidan naqd pul shaklida va/yoki plastik kartaga o‘tkazish yuli bilan beriladi.</v>
      </c>
      <c r="B12" s="259"/>
    </row>
    <row r="13" spans="1:3" ht="35.25" customHeight="1">
      <c r="A13" s="259" t="str">
        <f>"2.2. "&amp;malumot!C64&amp;" berish ushbu Shartnoma tuzilgan va Qarz oluvchi tomonidan ushbu shartnomaning 3-bo‘limiga muvofiq garov ta'minoti ta'minlangandan so‘ng 10 kalendar kundan kechiktirmay amalga oshiriladi."</f>
        <v>2.2. Mikroqarz berish ushbu Shartnoma tuzilgan va Qarz oluvchi tomonidan ushbu shartnomaning 3-bo‘limiga muvofiq garov ta'minoti ta'minlangandan so‘ng 10 kalendar kundan kechiktirmay amalga oshiriladi.</v>
      </c>
      <c r="B13" s="259"/>
    </row>
    <row r="14" spans="1:3" ht="35.25" customHeight="1">
      <c r="A14" s="259" t="str">
        <f>"2.3. "&amp;malumot!C64&amp;" Qarz oluvchi tomonidan ushbu Shartnomaning ajralmas qismi hisoblanadigan 1-ilovasida ko‘rsatilgan to‘lov jadvalida (bundan keyin - To‘lov jadvali) belgilangan miqdor, tartib va muddatlarda qaytariladi."</f>
        <v>2.3. Mikroqarz Qarz oluvchi tomonidan ushbu Shartnomaning ajralmas qismi hisoblanadigan 1-ilovasida ko‘rsatilgan to‘lov jadvalida (bundan keyin - To‘lov jadvali) belgilangan miqdor, tartib va muddatlarda qaytariladi.</v>
      </c>
      <c r="B14" s="259"/>
    </row>
    <row r="15" spans="1:3" ht="69.75" customHeight="1">
      <c r="A15" s="259" t="str">
        <f>"2.4. Mikromoliya tashkiloti, "&amp;malumot!B65&amp;" berilgan vaqtdan boshlab, "&amp;malumot!B65&amp;" miqdorining qoldiq summasiga "&amp;malumot!B85&amp;"% ("&amp;malumot!C86&amp;") foiz yillik va yiliga 365/366 kunlik hisobidan foizlar hisoblaydi. To'lov jadvaliga muvofiq asosiy qarz bo'yicha navbatdagi to'lov buzilgan hollarda, "&amp;"foiz stavkasi oshiriladi va  Mikromoliya tashkiloti "&amp;malumot!B65&amp;"ning muddati o'tgan asosiy qarz summasiga yillik "&amp;malumot!B88&amp;" ("&amp;malumot!B89&amp;") foiz miqdorida foizlar hisoblaydi."</f>
        <v>2.4. Mikromoliya tashkiloti, mikroqarz berilgan vaqtdan boshlab, mikroqarz miqdorining qoldiq summasiga 60% (Oltmish) foiz yillik va yiliga 365/366 kunlik hisobidan foizlar hisoblaydi. To'lov jadvaliga muvofiq asosiy qarz bo'yicha navbatdagi to'lov buzilgan hollarda, foiz stavkasi oshiriladi va  Mikromoliya tashkiloti mikroqarzning muddati o'tgan asosiy qarz summasiga yillik 100 (bir yuz) foiz miqdorida foizlar hisoblaydi.</v>
      </c>
      <c r="B15" s="259"/>
    </row>
    <row r="16" spans="1:3" ht="160.5" customHeight="1">
      <c r="A16" s="259" t="s">
        <v>327</v>
      </c>
      <c r="B16" s="259"/>
    </row>
    <row r="17" spans="1:11" ht="150.75" customHeight="1">
      <c r="A17" s="259" t="str">
        <f>CONCATENATE(C17,H17,I17)</f>
        <v>2.6 Qarz oluvchi tomonidan to‘lov jadvalida ko‘rsatilgan muddatdan oldin xamda to‘lov jadvalida ko‘rsatilgan oylik kredit qarzdorligini so‘ndirish miqdoridan ko‘p miqdorda to‘lovni amalga oshirib, to‘langan pul mablag‘larini asosiy kredit qarzdorligini so‘ndirishga yo‘naltirilishini so‘ralganda qarz oluvchining kredit qarzdorligini so‘ndirish uchun to‘lagan pul mablag‘laridan kredit qarzdorligi to‘langan oy uchun to‘lov jadvali bo‘yicha so‘ndirilishi lozim bo‘lgan foiz qarzdorligi summasi, to‘lov jadvalida foiz qarzdorligi so‘ndirilishi ko‘rsatilgan muddatga qadar tashkilotning xisob raqamida saqlanib to‘lov jadvalida ko‘rsatilgan sanada oylik foiz qarzdorligini so‘ndirishga yo‘naltiriladi.
2.6.1. Qarz oluvchi tomonidan olingan mikroqarzni va undan foydalanganlik uchun foizlarni qaytarish bo‘yicha muddati o‘tgan qarzdorlik hosil bo‘lganda Qarz oluvchi tomonidan ko‘rsatilgan qarzdorlikni to‘lash hisobiga to‘lanadigan summalar quyidagi tartibda hisobga olinadi:</v>
      </c>
      <c r="B17" s="259"/>
      <c r="C17" s="129" t="s">
        <v>331</v>
      </c>
      <c r="H17" s="4" t="str">
        <f>malumot!B65</f>
        <v>mikroqarz</v>
      </c>
      <c r="I17" s="4" t="s">
        <v>332</v>
      </c>
    </row>
    <row r="18" spans="1:11" ht="100.5" customHeight="1">
      <c r="A18" s="263" t="s">
        <v>370</v>
      </c>
      <c r="B18" s="263"/>
    </row>
    <row r="19" spans="1:11" ht="36" customHeight="1">
      <c r="A19" s="259" t="str">
        <f>"2.7. Qarz oluvchi Mikromoliya tashkilotining "&amp;malumot!B65&amp;" bo‘yicha asosiy summasi, hisoblangan foizlarni, penya va boshqa moliyaviy talablarini ham naqd pul shaklida, ham naqdsiz shaklda qaytarib beradi."</f>
        <v>2.7. Qarz oluvchi Mikromoliya tashkilotining mikroqarz bo‘yicha asosiy summasi, hisoblangan foizlarni, penya va boshqa moliyaviy talablarini ham naqd pul shaklida, ham naqdsiz shaklda qaytarib beradi.</v>
      </c>
      <c r="B19" s="259"/>
    </row>
    <row r="20" spans="1:11" ht="48.75" customHeight="1">
      <c r="A20" s="259" t="str">
        <f>"2.8. Qarz oluvchi "&amp;malumot!B65&amp;" miqdorini muddatidan oldin qaytarish, shuningdek, bu haqida Mikromoliya tashkilotini albatta ogohlantirgan holda ulardan aniq foydalangan muddat uchun hisoblangan foizlarni to‘lash huquqiga ega."</f>
        <v>2.8. Qarz oluvchi mikroqarz miqdorini muddatidan oldin qaytarish, shuningdek, bu haqida Mikromoliya tashkilotini albatta ogohlantirgan holda ulardan aniq foydalangan muddat uchun hisoblangan foizlarni to‘lash huquqiga ega.</v>
      </c>
      <c r="B20" s="259"/>
    </row>
    <row r="21" spans="1:11" ht="93.75" customHeight="1">
      <c r="A21" s="268" t="str">
        <f>CONCATENATE(C21,H21,I21)</f>
        <v>2.9. Qarz oluvchi jismoniy shaxslarning kreditlar (mikroqarzlar) bo‘yicha qarz yukini hisoblash tartibi, qarz yukining ruxsat etilgan miqdori, shuningdek qarz yuki o‘sishini cheklash to‘g‘risidagi Nizomga muvofiq (O’zbekiston Respublikasi Adliya vazirligi tomonidan 19.12.2019 y. 3205-son bilan ro‘yxatga olingan Markaziy bank Boshqaruvining 28.09.2019 y. 24/5-son qarori bilan tasdiqlangan), qarz yuki ko‘rsatkichi har bir qarz oluvchiga qarz beruvchi tomonidan mikroqarz ajratishda uning summasi va qarz oluvchining amaldagi kredit (mikroqarz) shartnomalari bo‘yicha asosiy qarz qoldig‘i yig‘indisi bazaviy hisoblash miqdorining 50 baravaridan oshganda hisoblanadi.</v>
      </c>
      <c r="B21" s="268"/>
      <c r="C21" s="4" t="str">
        <f>"2.9. Qarz oluvchi jismoniy shaxslarning kreditlar ("&amp;malumot!B65&amp;"lar) bo‘yicha qarz yukini hisoblash tartibi, qarz yukining ruxsat etilgan miqdori, shuningdek qarz yuki o‘sishini cheklash to‘g‘risidagi Nizomga muvofiq (O’zbekiston Respublikasi Adliya vazirligi tomonidan 19.12.2019 y. 3205-son bilan ro‘yxatga "</f>
        <v xml:space="preserve">2.9. Qarz oluvchi jismoniy shaxslarning kreditlar (mikroqarzlar) bo‘yicha qarz yukini hisoblash tartibi, qarz yukining ruxsat etilgan miqdori, shuningdek qarz yuki o‘sishini cheklash to‘g‘risidagi Nizomga muvofiq (O’zbekiston Respublikasi Adliya vazirligi tomonidan 19.12.2019 y. 3205-son bilan ro‘yxatga </v>
      </c>
      <c r="H21" s="4" t="str">
        <f>"olingan Markaziy bank Boshqaruvining 28.09.2019 y. 24/5-son qarori bilan tasdiqlangan), qarz yuki ko‘rsatkichi har bir qarz oluvchiga qarz beruvchi tomonidan "&amp;malumot!B65&amp;" ajratishda uning summasi va "</f>
        <v xml:space="preserve">olingan Markaziy bank Boshqaruvining 28.09.2019 y. 24/5-son qarori bilan tasdiqlangan), qarz yuki ko‘rsatkichi har bir qarz oluvchiga qarz beruvchi tomonidan mikroqarz ajratishda uning summasi va </v>
      </c>
      <c r="I21" s="4" t="str">
        <f>"qarz oluvchining amaldagi kredit ("&amp;malumot!B65&amp;") shartnomalari bo‘yicha asosiy qarz qoldig‘i yig‘indisi bazaviy hisoblash miqdorining 50 baravaridan oshganda hisoblanadi."</f>
        <v>qarz oluvchining amaldagi kredit (mikroqarz) shartnomalari bo‘yicha asosiy qarz qoldig‘i yig‘indisi bazaviy hisoblash miqdorining 50 baravaridan oshganda hisoblanadi.</v>
      </c>
    </row>
    <row r="22" spans="1:11" ht="27.75" customHeight="1">
      <c r="A22" s="261" t="str">
        <f>"3. "&amp;malumot!D64&amp;" TA'MINOTI BO‘YICHA "</f>
        <v xml:space="preserve">3. MIKROQARZ TA'MINOTI BO‘YICHA </v>
      </c>
      <c r="B22" s="261"/>
    </row>
    <row r="23" spans="1:11" ht="19.5" customHeight="1">
      <c r="A23" s="259" t="str">
        <f>"3.1. Ushbu Shartnoma bo‘yicha taqdim etilgan "&amp;malumot!C64&amp;" quyidagi garov bilan ta'minlanadi:"</f>
        <v>3.1. Ushbu Shartnoma bo‘yicha taqdim etilgan Mikroqarz quyidagi garov bilan ta'minlanadi:</v>
      </c>
      <c r="B23" s="259"/>
    </row>
    <row r="24" spans="1:11" ht="147.75" customHeight="1">
      <c r="A24" s="266" t="str">
        <f>IF(malumot!B111=malumot!C111,shartnoma!A28,IF(malumot!B111=malumot!D111,shartnoma!A25,0))</f>
        <v>3.1.1. Mikromoliya tashkiloti, Qarz oluvchi va XAYATOV OTABEK KURBANOVICH (01.04.2025y. sanasidagi reestr raqami №202502386001856 bo'lgan Ishonchnomaga asosan) tomonidan 2025 yil 1 aprelda imzolangan 1-sonli garov predmeti qiymatini tasdiqlash dalolatnomasiga muvofiq OQ BELAYA "KASABLANKA" rangli, ishlab chiqarilgan yili – 2011 yil,  dvigatel raqami B10D1606437KC3, shassi - RAKAMSIZ,  kuzov turi - YENGIL SEDAN, kuzov raqami №XWBMF481EBA580791, davlat raqam belgisi 80Y320AB bo'lgan SPARK rusumli avtomashinasi (bundan keyin “Garov predmeti”), egalik huquqiga ega  FAYZIYEV JAMSHID KURBONOVICHga tegishli va kelishilgan garov qiymati 2025 yil 1 aprelda imzolangan 1-sonli Garov predmeti qiymatini tasdiqlash dalolatnomasiga muvifiq 39 000 000,00 (o'ttiz to'qqiz million so'm) so'mni tashkil qiladi. Garov garovining aniq shartlari tegishli notarial rasmiylashtirilgan garov shartnomasi bilan belgilanadi.</v>
      </c>
      <c r="B24" s="266"/>
    </row>
    <row r="25" spans="1:11" ht="129" hidden="1" customHeight="1">
      <c r="A25" s="259" t="str">
        <f>IF(malumot!B98=malumot!C98,shartnoma!A27,IF(malumot!B98=malumot!D98,shartnoma!A26,0))</f>
        <v>3.1.1. Mikromoliya tashkiloti, Qarz oluvchi va XAYATOV OTABEK KURBANOVICH (01.04.2025y. sanasidagi reestr raqami №202502386001856 bo'lgan Ishonchnomaga asosan) tomonidan 2025 yil 1 aprelda imzolangan 1-sonli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“Garov predmeti”), egalik huquqiga ko'ra  0ga tegishli va kelishilgan garov qiymati 2025 yil 1 aprelda imzolangan 1-sonli Garov predmeti qiymatini tasdiqlash dalolatnomasiga muvofiq 39 000 000,00 (o'ttiz to'qqiz million so'm) so'mni tashkil qiladi. Garovning aniq shartlari tegishli tarzda notarial tasdiqlangan garov shartnomasi bilan belgilangan.</v>
      </c>
      <c r="B25" s="259"/>
    </row>
    <row r="26" spans="1:11" ht="129.75" hidden="1" customHeight="1">
      <c r="A26" s="266" t="str">
        <f>"3.1.1. "&amp;malumot!N134&amp;" tomonidan "&amp;malumot!B151&amp;" yil "&amp;malumot!B153&amp;" "&amp;malumot!B152&amp;"da imzolangan 1-sonli navbatdagi garov predmeti qiymatini tasdiqlash dalolatnomasiga muvofiq "&amp;malumot!C131&amp;" manzilida joylashgan, "&amp;malumot!E134&amp;" bo'lgan, "&amp;malumot!E133&amp;" ko'rinishidagi ko'chmas mulk (bundan keyin “navbatdagi garov predmeti”), egalik huquqiga ko'ra  "&amp;malumot!C125&amp;"ga tegishli va kelishilgan garov qiymati "&amp;malumot!B151&amp;" yil "&amp;malumot!B153&amp;" "&amp;malumot!B152&amp;"da imzolangan 1-sonli Garov predmeti qiymatini tasdiqlash dalolatnomasiga muvofiq "&amp;FIXED(malumot!B144,2)&amp;" ("&amp;malumot!B146&amp;") so'mni tashkil qiladi. Garovning aniq shartlari tegishli tarzda notarial tasdiqlangan garov shartnomasi bilan belgilangan."</f>
        <v>3.1.1. Mikromoliya tashkiloti, Qarz oluvchi va XAYATOV OTABEK KURBANOVICH (01.04.2025y. sanasidagi reestr raqami №202502386001856 bo'lgan Ishonchnomaga asosan) tomonidan 2025 yil 1 aprelda imzolangan 1-sonli navbatdagi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“navbatdagi garov predmeti”), egalik huquqiga ko'ra  0ga tegishli va kelishilgan garov qiymati 2025 yil 1 aprelda imzolangan 1-sonli Garov predmeti qiymatini tasdiqlash dalolatnomasiga muvofiq 39 000 000,00 (o'ttiz to'qqiz million so'm) so'mni tashkil qiladi. Garovning aniq shartlari tegishli tarzda notarial tasdiqlangan garov shartnomasi bilan belgilangan.</v>
      </c>
      <c r="B26" s="266"/>
    </row>
    <row r="27" spans="1:11" ht="131.25" hidden="1" customHeight="1">
      <c r="A27" s="259" t="str">
        <f>"3.1.1. "&amp;malumot!N134&amp;" tomonidan "&amp;malumot!B151&amp;" yil "&amp;malumot!B153&amp;" "&amp;malumot!B152&amp;"da imzolangan 1-sonli Garov predmeti qiymatini tasdiqlash dalolatnomasiga muvofiq "&amp;malumot!C131&amp;" manzilida joylashgan, "&amp;malumot!E134&amp;" bo'lgan, "&amp;malumot!E133&amp;" ko'rinishidagi ko'chmas mulk (bundan keyin “Garov predmeti”), egalik huquqiga ko'ra  "&amp;malumot!C125&amp;"ga tegishli va kelishilgan garov qiymati "&amp;malumot!B151&amp;" yil "&amp;malumot!B153&amp;" "&amp;malumot!B152&amp;"da imzolangan 1-sonli Garov predmeti qiymatini tasdiqlash dalolatnomasiga muvofiq "&amp;FIXED(malumot!B144,2)&amp;" ("&amp;malumot!B146&amp;") so'mni tashkil qiladi. Garovning aniq shartlari tegishli tarzda notarial tasdiqlangan garov shartnomasi bilan belgilangan."</f>
        <v>3.1.1. Mikromoliya tashkiloti, Qarz oluvchi va XAYATOV OTABEK KURBANOVICH (01.04.2025y. sanasidagi reestr raqami №202502386001856 bo'lgan Ishonchnomaga asosan) tomonidan 2025 yil 1 aprelda imzolangan 1-sonli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“Garov predmeti”), egalik huquqiga ko'ra  0ga tegishli va kelishilgan garov qiymati 2025 yil 1 aprelda imzolangan 1-sonli Garov predmeti qiymatini tasdiqlash dalolatnomasiga muvofiq 39 000 000,00 (o'ttiz to'qqiz million so'm) so'mni tashkil qiladi. Garovning aniq shartlari tegishli tarzda notarial tasdiqlangan garov shartnomasi bilan belgilangan.</v>
      </c>
      <c r="B27" s="259"/>
    </row>
    <row r="28" spans="1:11" ht="114" hidden="1" customHeight="1">
      <c r="A28" s="266" t="str">
        <f>IF(malumot!B98=malumot!C98,A29,IF(malumot!B98=malumot!D98,A30,0))</f>
        <v>3.1.1. Mikromoliya tashkiloti, Qarz oluvchi va XAYATOV OTABEK KURBANOVICH (01.04.2025y. sanasidagi reestr raqami №202502386001856 bo'lgan Ishonchnomaga asosan) tomonidan 2025 yil 1 aprelda imzolangan 1-sonli garov predmeti qiymatini tasdiqlash dalolatnomasiga muvofiq OQ BELAYA "KASABLANKA" rangli, ishlab chiqarilgan yili – 2011 yil,  dvigatel raqami B10D1606437KC3, shassi - RAKAMSIZ,  kuzov turi - YENGIL SEDAN, kuzov raqami №XWBMF481EBA580791, davlat raqam belgisi 80Y320AB bo'lgan SPARK rusumli avtomashinasi (bundan keyin “Garov predmeti”), egalik huquqiga ega  FAYZIYEV JAMSHID KURBONOVICHga tegishli va kelishilgan garov qiymati 2025 yil 1 aprelda imzolangan 1-sonli Garov predmeti qiymatini tasdiqlash dalolatnomasiga muvifiq 39 000 000,00 (o'ttiz to'qqiz million so'm) so'mni tashkil qiladi. Garov garovining aniq shartlari tegishli notarial rasmiylashtirilgan garov shartnomasi bilan belgilanadi.</v>
      </c>
      <c r="B28" s="266"/>
      <c r="K28" s="4" t="s">
        <v>324</v>
      </c>
    </row>
    <row r="29" spans="1:11" ht="114.75" hidden="1" customHeight="1">
      <c r="A29" s="266" t="str">
        <f>"3.1.1. "&amp;malumot!N134&amp;" tomonidan "&amp;malumot!B151&amp;" yil "&amp;malumot!B153&amp;" "&amp;malumot!B152&amp;"da imzolangan 1-sonli garov predmeti qiymatini tasdiqlash dalolatnomasiga muvofiq "&amp;malumot!B142&amp;" rangli, ishlab chiqarilgan yili – "&amp;malumot!B143&amp;" yil,  dvigatel raqami "&amp;malumot!B139&amp;", shassi - "&amp;malumot!B140&amp;",  kuzov turi - "&amp;malumot!B136&amp;", kuzov raqami №"&amp;malumot!B137&amp;", davlat raqam belgisi "&amp;malumot!B134&amp;" bo'lgan "&amp;malumot!B133&amp;" rusumli avtomashinasi (bundan keyin “Garov predmeti”), egalik huquqiga ega  "&amp;malumot!B125&amp;"ga tegishli va kelishilgan garov qiymati "&amp;malumot!B151&amp;" yil "&amp;malumot!B153&amp;" "&amp;malumot!B152&amp;"da imzolangan 1-sonli Garov predmeti qiymatini tasdiqlash dalolatnomasiga muvifiq "&amp;FIXED(malumot!B144,2)&amp;" ("&amp;malumot!B146&amp;") so'mni tashkil qiladi. Garov garovining aniq shartlari tegishli notarial rasmiylashtirilgan garov shartnomasi bilan belgilanadi."</f>
        <v>3.1.1. Mikromoliya tashkiloti, Qarz oluvchi va XAYATOV OTABEK KURBANOVICH (01.04.2025y. sanasidagi reestr raqami №202502386001856 bo'lgan Ishonchnomaga asosan) tomonidan 2025 yil 1 aprelda imzolangan 1-sonli garov predmeti qiymatini tasdiqlash dalolatnomasiga muvofiq OQ BELAYA "KASABLANKA" rangli, ishlab chiqarilgan yili – 2011 yil,  dvigatel raqami B10D1606437KC3, shassi - RAKAMSIZ,  kuzov turi - YENGIL SEDAN, kuzov raqami №XWBMF481EBA580791, davlat raqam belgisi 80Y320AB bo'lgan SPARK rusumli avtomashinasi (bundan keyin “Garov predmeti”), egalik huquqiga ega  FAYZIYEV JAMSHID KURBONOVICHga tegishli va kelishilgan garov qiymati 2025 yil 1 aprelda imzolangan 1-sonli Garov predmeti qiymatini tasdiqlash dalolatnomasiga muvifiq 39 000 000,00 (o'ttiz to'qqiz million so'm) so'mni tashkil qiladi. Garov garovining aniq shartlari tegishli notarial rasmiylashtirilgan garov shartnomasi bilan belgilanadi.</v>
      </c>
      <c r="B29" s="266"/>
    </row>
    <row r="30" spans="1:11" ht="20.25" hidden="1" customHeight="1">
      <c r="A30" s="267" t="str">
        <f>"3.1.1. "&amp;malumot!N134&amp;" tomonidan "&amp;malumot!B151&amp;" yil "&amp;malumot!B153&amp;" "&amp;malumot!B152&amp;"da imzolangan 1-sonli navbatdagi garov predmeti qiymatini tasdiqlash dalolatnomasiga muvofiq "&amp;malumot!B142&amp;" rangli, ishlab chiqarilgan yili – "&amp;malumot!B143&amp;" yil,  dvigatel raqami "&amp;malumot!B139&amp;", shassi - "&amp;malumot!B140&amp;",  kuzov turi - "&amp;malumot!B136&amp;", kuzov raqami №"&amp;malumot!B137&amp;", davlat raqam belgisi "&amp;malumot!B134&amp;" bo'lgan "&amp;malumot!B133&amp;" rusumli avtomashinasi (bundan keyin “navbatdagi garov predmeti”), egalik huquqiga ega  "&amp;malumot!B125&amp;"ga tegishli va kelishilgan garov qiymati "&amp;malumot!B151&amp;" yil "&amp;malumot!B153&amp;" "&amp;malumot!B152&amp;"da imzolangan 1-sonli Garov predmeti qiymatini tasdiqlash dalolatnomasiga muvifiq "&amp;FIXED(malumot!B144,2)&amp;" ("&amp;malumot!B146&amp;") so'mni tashkil qiladi. Garov garovining aniq shartlari tegishli notarial rasmiylashtirilgan garov shartnomasi bilan belgilanadi."</f>
        <v>3.1.1. Mikromoliya tashkiloti, Qarz oluvchi va XAYATOV OTABEK KURBANOVICH (01.04.2025y. sanasidagi reestr raqami №202502386001856 bo'lgan Ishonchnomaga asosan) tomonidan 2025 yil 1 aprelda imzolangan 1-sonli navbatdagi garov predmeti qiymatini tasdiqlash dalolatnomasiga muvofiq OQ BELAYA "KASABLANKA" rangli, ishlab chiqarilgan yili – 2011 yil,  dvigatel raqami B10D1606437KC3, shassi - RAKAMSIZ,  kuzov turi - YENGIL SEDAN, kuzov raqami №XWBMF481EBA580791, davlat raqam belgisi 80Y320AB bo'lgan SPARK rusumli avtomashinasi (bundan keyin “navbatdagi garov predmeti”), egalik huquqiga ega  FAYZIYEV JAMSHID KURBONOVICHga tegishli va kelishilgan garov qiymati 2025 yil 1 aprelda imzolangan 1-sonli Garov predmeti qiymatini tasdiqlash dalolatnomasiga muvifiq 39 000 000,00 (o'ttiz to'qqiz million so'm) so'mni tashkil qiladi. Garov garovining aniq shartlari tegishli notarial rasmiylashtirilgan garov shartnomasi bilan belgilanadi.</v>
      </c>
      <c r="B30" s="267"/>
    </row>
    <row r="31" spans="1:11" ht="117" customHeight="1">
      <c r="A31" s="265" t="str">
        <f>CONCATENATE(A32,B32)</f>
        <v>3.2. Qonun hujjatlariga muvofiq rasmiylashtirilgan, “Garov predmeti” hisoblangan notarial tasdiqlangan garov shartnomasi, shu jumladan “Garov predmeti”ga taʼqiq quyilganligi tasdiqlovchi xujjat Qarz oluvchi tomonidan ushbu shartnoma tuzilgandan so‘ng 10 bank kuni mobaynida Mikromoliya tashkilotiga taqdim etilishi lozim. Garov shartnomasi belgilangan muddatda taqdim etilmagan hollarda, Mikromoliya tashkiloti Qarz oluvchining manziliga yozma bildirishnoma yuborish orqali mikroqarz berishni rad etish va / yoki ushbu shartnomani bir tomonlama bekor qilish huquqiga egadir. Bunda ushbu shartnoma Qarz oluvchi tomonidan talabnoma olingan vaqtda yoki talabnoma pochta  xizmati orqali yuborilgandan keyin uchinchi kuni bekor qilingan hisoblanadi.</v>
      </c>
      <c r="B31" s="265"/>
    </row>
    <row r="32" spans="1:11" ht="94.5" hidden="1">
      <c r="A32" s="231" t="s">
        <v>352</v>
      </c>
      <c r="B32" s="233" t="str">
        <f>CONCATENATE(A33,B33)</f>
        <v xml:space="preserve"> Mikromoliya tashkilotiga taqdim etilishi lozim. Garov shartnomasi belgilangan muddatda taqdim etilmagan hollarda, Mikromoliya tashkiloti Qarz oluvchining manziliga yozma bildirishnoma yuborish orqali mikroqarz berishni rad etish va / yoki ushbu shartnomani bir tomonlama bekor qilish huquqiga egadir. Bunda ushbu shartnoma Qarz oluvchi tomonidan talabnoma olingan vaqtda yoki talabnoma pochta  xizmati orqali yuborilgandan keyin uchinchi kuni bekor qilingan hisoblanadi.</v>
      </c>
    </row>
    <row r="33" spans="1:8" ht="63" hidden="1">
      <c r="A33" s="231" t="str">
        <f>" Mikromoliya tashkilotiga taqdim etilishi lozim. Garov shartnomasi belgilangan muddatda taqdim etilmagan hollarda, Mikromoliya tashkiloti Qarz oluvchining manziliga yozma bildirishnoma yuborish orqali "&amp;malumot!B65&amp;""</f>
        <v xml:space="preserve"> Mikromoliya tashkilotiga taqdim etilishi lozim. Garov shartnomasi belgilangan muddatda taqdim etilmagan hollarda, Mikromoliya tashkiloti Qarz oluvchining manziliga yozma bildirishnoma yuborish orqali mikroqarz</v>
      </c>
      <c r="B33" s="233" t="s">
        <v>334</v>
      </c>
    </row>
    <row r="34" spans="1:8" ht="73.5" customHeight="1">
      <c r="A34" s="265" t="s">
        <v>261</v>
      </c>
      <c r="B34" s="265"/>
    </row>
    <row r="35" spans="1:8" ht="84" customHeight="1">
      <c r="A35" s="265" t="s">
        <v>312</v>
      </c>
      <c r="B35" s="265"/>
    </row>
    <row r="37" spans="1:8">
      <c r="A37" s="262" t="s">
        <v>311</v>
      </c>
      <c r="B37" s="262"/>
      <c r="C37" s="60"/>
    </row>
    <row r="38" spans="1:8">
      <c r="A38" s="259" t="s">
        <v>310</v>
      </c>
      <c r="B38" s="259"/>
    </row>
    <row r="39" spans="1:8" ht="114" customHeight="1">
      <c r="A39" s="265" t="str">
        <f>CONCATENATE(C39,H39)</f>
        <v>4.1.1. Ushbu Shartnomada ko‘rsatilgan asoslar bo‘yicha Qarz oluvchiga Shartnomada ko‘zda tutilgan mikroqarz summasini berilishini to‘liq yoki qisman rad etish.
4.1.2 “Mikromoliya Tashkiloti” qarz oluvchining nomidagi barcha plastik kartalaridan, xozirgi kunda mavjud va bundan so‘ng ochiladigan barcha xisob raqamlaridan (talab qilib olguncha, depozit jamg‘arib boriladigan plastik va boshqa istalgan xisob raqamlaridan) kredit to‘lovini kredit qaytarish jadvaliga asosan oyning kredit qarzdorligi qaytarilishi ko‘rsatilgan kuni akseptsiz tarzda yechib olish xuquqiga ega.Usbu bandda belgilangan harakatlarni amalga oshirish uchun bo‘lgan barcha xarajatlar Qarz oluvchi xisobidan qoplanadi</v>
      </c>
      <c r="B39" s="265"/>
      <c r="C39" s="4" t="str">
        <f>"4.1.1. Ushbu Shartnomada ko‘rsatilgan asoslar bo‘yicha Qarz oluvchiga Shartnomada ko‘zda tutilgan "&amp;malumot!B65&amp;""</f>
        <v>4.1.1. Ushbu Shartnomada ko‘rsatilgan asoslar bo‘yicha Qarz oluvchiga Shartnomada ko‘zda tutilgan mikroqarz</v>
      </c>
      <c r="H39" s="129" t="s">
        <v>384</v>
      </c>
    </row>
    <row r="40" spans="1:8" ht="39" customHeight="1">
      <c r="A40" s="265" t="str">
        <f>"4.1.2.1. "&amp;malumot!C64&amp;" bo‘yicha qolgan barcha qarzdorlik, foiz to‘lovlarining muddatidan oldin qaytarilishini talab qilish, shuningdek, quyidagi holatlardan biri yuzaga kelganda undirishni garov ta'minotiga qaratish:"</f>
        <v>4.1.2.1. Mikroqarz bo‘yicha qolgan barcha qarzdorlik, foiz to‘lovlarining muddatidan oldin qaytarilishini talab qilish, shuningdek, quyidagi holatlardan biri yuzaga kelganda undirishni garov ta'minotiga qaratish:</v>
      </c>
      <c r="B40" s="265"/>
    </row>
    <row r="41" spans="1:8">
      <c r="A41" s="265" t="s">
        <v>313</v>
      </c>
      <c r="B41" s="265"/>
    </row>
    <row r="42" spans="1:8" ht="33" customHeight="1">
      <c r="A42" s="265" t="str">
        <f>"b) "&amp;malumot!B65&amp;" summasiga hisoblanadigan asosiy qarz bo‘yicha muddati o‘tgan qarzdorlik va/yoki foizlarning yuzaga kelishi;"</f>
        <v>b) mikroqarz summasiga hisoblanadigan asosiy qarz bo‘yicha muddati o‘tgan qarzdorlik va/yoki foizlarning yuzaga kelishi;</v>
      </c>
      <c r="B42" s="265"/>
    </row>
    <row r="43" spans="1:8" ht="37.5" customHeight="1">
      <c r="A43" s="265" t="s">
        <v>314</v>
      </c>
      <c r="B43" s="265"/>
    </row>
    <row r="44" spans="1:8" ht="52.5" customHeight="1">
      <c r="A44" s="265" t="s">
        <v>315</v>
      </c>
      <c r="B44" s="265"/>
    </row>
    <row r="45" spans="1:8" ht="19.5" customHeight="1">
      <c r="A45" s="265" t="s">
        <v>316</v>
      </c>
      <c r="B45" s="265"/>
    </row>
    <row r="46" spans="1:8" ht="51.75" customHeight="1">
      <c r="A46" s="265" t="str">
        <f>"f) Qarz oluvchi "&amp;malumot!B65&amp;" summasini olish uchun Mikromoliya tashkilotiga "&amp;malumot!B65&amp;" taqdim etilishi to‘g‘risida ijobiy qaror qabul qilinishi uchun muhim hisoblangan masalalar bo‘yicha yolg‘on yoki to‘liq bo‘lmagan ma'lumotlarni taqdim etganligi aniqlanganda."</f>
        <v>f) Qarz oluvchi mikroqarz summasini olish uchun Mikromoliya tashkilotiga mikroqarz taqdim etilishi to‘g‘risida ijobiy qaror qabul qilinishi uchun muhim hisoblangan masalalar bo‘yicha yolg‘on yoki to‘liq bo‘lmagan ma'lumotlarni taqdim etganligi aniqlanganda.</v>
      </c>
      <c r="B46" s="265"/>
    </row>
    <row r="47" spans="1:8" ht="33.75" customHeight="1">
      <c r="A47" s="265" t="s">
        <v>309</v>
      </c>
      <c r="B47" s="265"/>
    </row>
    <row r="48" spans="1:8" ht="36.75" customHeight="1">
      <c r="A48" s="265" t="s">
        <v>308</v>
      </c>
      <c r="B48" s="265"/>
      <c r="C48" s="133"/>
    </row>
    <row r="49" spans="1:8" ht="84.75" customHeight="1">
      <c r="A49" s="259" t="s">
        <v>307</v>
      </c>
      <c r="B49" s="259"/>
      <c r="C49" s="133"/>
    </row>
    <row r="50" spans="1:8" ht="70.5" customHeight="1">
      <c r="A50" s="259" t="s">
        <v>306</v>
      </c>
      <c r="B50" s="259"/>
      <c r="C50" s="133"/>
    </row>
    <row r="51" spans="1:8" ht="39.75" customHeight="1">
      <c r="A51" s="259" t="str">
        <f>"4.1.7. Qarz oluvchini oldindan ogohlantirmasdan "&amp;malumot!B65&amp;"ni qaytarish uchun haqiqatdan ham garov ta'minoti mavjudligini tekshirishni amalga oshirish."</f>
        <v>4.1.7. Qarz oluvchini oldindan ogohlantirmasdan mikroqarzni qaytarish uchun haqiqatdan ham garov ta'minoti mavjudligini tekshirishni amalga oshirish.</v>
      </c>
      <c r="B51" s="259"/>
      <c r="C51" s="133"/>
    </row>
    <row r="52" spans="1:8" ht="33" customHeight="1">
      <c r="A52" s="259" t="s">
        <v>317</v>
      </c>
      <c r="B52" s="259"/>
      <c r="C52" s="133"/>
    </row>
    <row r="53" spans="1:8" ht="39.75" customHeight="1">
      <c r="A53" s="259" t="s">
        <v>305</v>
      </c>
      <c r="B53" s="259"/>
      <c r="C53" s="133"/>
    </row>
    <row r="54" spans="1:8" ht="50.25" customHeight="1">
      <c r="A54" s="259" t="str">
        <f>CONCATENATE(C54,H54)</f>
        <v>4.1.10. Qarz oluvchi taqdim etilgan mikroqarzdan Shartnoma tuzilgan kundan boshlab 1 (bir) oy davomida foydalanmagan holatlarda, bu haqda Qarz oluvchini yozma ravishda xabardor qilib, Shartnoma bir tomonlama bekor qilish. Yozma xabarni jo‘natish sanasi uni taqdim etish yoki pochta orqali jo‘natish sanasi hisoblanadi.</v>
      </c>
      <c r="B54" s="259"/>
      <c r="C54" s="133" t="str">
        <f>"4.1.10. Qarz oluvchi taqdim etilgan "&amp;malumot!B65&amp;"dan Shartnoma tuzilgan kundan boshlab 1 (bir) oy davomida foydalanmagan"</f>
        <v>4.1.10. Qarz oluvchi taqdim etilgan mikroqarzdan Shartnoma tuzilgan kundan boshlab 1 (bir) oy davomida foydalanmagan</v>
      </c>
      <c r="H54" s="4" t="s">
        <v>335</v>
      </c>
    </row>
    <row r="55" spans="1:8" ht="19.5" customHeight="1">
      <c r="A55" s="259" t="str">
        <f>"4.1.11. Oldingi "&amp;malumot!B65&amp;" to‘liq to‘lanmagunga qadar yangi "&amp;malumot!B65&amp;" berishni rad etish."</f>
        <v>4.1.11. Oldingi mikroqarz to‘liq to‘lanmagunga qadar yangi mikroqarz berishni rad etish.</v>
      </c>
      <c r="B55" s="259"/>
      <c r="C55" s="133"/>
    </row>
    <row r="57" spans="1:8">
      <c r="A57" s="261" t="s">
        <v>304</v>
      </c>
      <c r="B57" s="261"/>
      <c r="C57" s="132"/>
    </row>
    <row r="58" spans="1:8">
      <c r="A58" s="264" t="s">
        <v>303</v>
      </c>
      <c r="B58" s="264"/>
      <c r="C58" s="134"/>
    </row>
    <row r="59" spans="1:8" ht="36" customHeight="1">
      <c r="A59" s="259" t="str">
        <f>"5.1.1. Ushbu shartnomada nazarda tutilgan shartlar bo‘yicha "&amp;malumot!B65&amp;" olish, shuningdek, Mikromoliya tashkiloti tomonidan ko‘rsatiladigan pullik xizmatlardan foydalanish."</f>
        <v>5.1.1. Ushbu shartnomada nazarda tutilgan shartlar bo‘yicha mikroqarz olish, shuningdek, Mikromoliya tashkiloti tomonidan ko‘rsatiladigan pullik xizmatlardan foydalanish.</v>
      </c>
      <c r="B59" s="259"/>
      <c r="C59" s="133"/>
    </row>
    <row r="60" spans="1:8" ht="36.75" customHeight="1">
      <c r="A60" s="259" t="str">
        <f>"5.1.2. Shartnoma tuzilgan kundan boshlab 2 (ikki) hafta mobaynida Mikromoliya tashkilotiga bu haqda yozma xabarnoma yo‘llash orqali "&amp;malumot!B65&amp;"ning foydalanilmagan summasidan voz kechish."</f>
        <v>5.1.2. Shartnoma tuzilgan kundan boshlab 2 (ikki) hafta mobaynida Mikromoliya tashkilotiga bu haqda yozma xabarnoma yo‘llash orqali mikroqarzning foydalanilmagan summasidan voz kechish.</v>
      </c>
      <c r="B60" s="259"/>
      <c r="C60" s="133"/>
    </row>
    <row r="61" spans="1:8" ht="17.25" customHeight="1">
      <c r="A61" s="259" t="str">
        <f>"5.1.3. "&amp;malumot!C64&amp;" xizmatlari ko‘rsatish qoidalari bilan tanishish."</f>
        <v>5.1.3. Mikroqarz xizmatlari ko‘rsatish qoidalari bilan tanishish.</v>
      </c>
      <c r="B61" s="259"/>
      <c r="C61" s="133"/>
    </row>
    <row r="62" spans="1:8" ht="36" customHeight="1">
      <c r="A62" s="259" t="str">
        <f>"5.1.4. O‘z huquq va majburiyatlari, shu jumladan "&amp;malumot!B65&amp;" xizmatlari ko‘rsatish bilan bog‘liq barcha xarajatlar haqida aniq va to‘liq ma'lumot olish."</f>
        <v>5.1.4. O‘z huquq va majburiyatlari, shu jumladan mikroqarz xizmatlari ko‘rsatish bilan bog‘liq barcha xarajatlar haqida aniq va to‘liq ma'lumot olish.</v>
      </c>
      <c r="B62" s="259"/>
      <c r="C62" s="133"/>
    </row>
    <row r="63" spans="1:8" ht="33.75" customHeight="1">
      <c r="A63" s="259" t="s">
        <v>318</v>
      </c>
      <c r="B63" s="259"/>
      <c r="C63" s="133"/>
    </row>
    <row r="64" spans="1:8">
      <c r="A64" s="264" t="s">
        <v>302</v>
      </c>
      <c r="B64" s="264"/>
      <c r="C64" s="134"/>
    </row>
    <row r="65" spans="1:8" ht="37.5" customHeight="1">
      <c r="A65" s="259" t="str">
        <f>"5.2.1. Mikromoliya tashkilotining birinchi talabi bilan zarur hujjatlar, shuningdek "&amp;malumot!B65&amp;"dan foydalanishning butun davri davomida uning moliyaviy holati va to‘lash qobiliyatiga tegishli bo‘lgan ma'lumotlarni taqdim etish."</f>
        <v>5.2.1. Mikromoliya tashkilotining birinchi talabi bilan zarur hujjatlar, shuningdek mikroqarzdan foydalanishning butun davri davomida uning moliyaviy holati va to‘lash qobiliyatiga tegishli bo‘lgan ma'lumotlarni taqdim etish.</v>
      </c>
      <c r="B65" s="259"/>
      <c r="C65" s="133"/>
    </row>
    <row r="66" spans="1:8" ht="39.75" customHeight="1">
      <c r="A66" s="259" t="s">
        <v>319</v>
      </c>
      <c r="B66" s="259"/>
      <c r="C66" s="133"/>
    </row>
    <row r="67" spans="1:8" ht="27" customHeight="1">
      <c r="A67" s="259" t="str">
        <f>"5.2.3. To‘lov jadvaliga muvofiq "&amp;malumot!B65&amp;", shuningdek hisoblangan foizlar to‘lovlarini amalga oshirish."</f>
        <v>5.2.3. To‘lov jadvaliga muvofiq mikroqarz, shuningdek hisoblangan foizlar to‘lovlarini amalga oshirish.</v>
      </c>
      <c r="B67" s="259"/>
      <c r="C67" s="133"/>
    </row>
    <row r="68" spans="1:8" ht="84" customHeight="1">
      <c r="A68" s="259" t="str">
        <f>CONCATENATE(C68,H68)</f>
        <v>5.2.4. Mikromoliya tashkiloti vakillariga o‘zlarining moliyaviy holati, yashash joyini tekshirishga, Mikromoliya tashkiloti foydasiga garovga qo‘yilgan mol-mulk saqlanishini tekshirishga ruxsat berish, shuningdek Qarz oluvchi ob'ektlaridan istalganiga tashrif buyurish va har qanday bino, inshoot, mol-mulk, asbob-uskunalar, tovarlar va xizmatlar, shuningdek ularning mikroqarz mablag‘lari hisobiga moliyalashtirilgan hujjatlarni ko‘zdan kechirish va Mikromoliya tashkiloti tomonidan ushbu huquqni amalga oshirishga to‘sqinlik qilmaslik majburiyatini oladi.</v>
      </c>
      <c r="B68" s="259"/>
      <c r="C68" s="133" t="s">
        <v>336</v>
      </c>
      <c r="H68" s="4" t="str">
        <f>" "&amp;malumot!B65&amp;" mablag‘lari hisobiga moliyalashtirilgan hujjatlarni ko‘zdan kechirish va Mikromoliya tashkiloti tomonidan ushbu huquqni amalga oshirishga to‘sqinlik qilmaslik majburiyatini oladi."</f>
        <v xml:space="preserve"> mikroqarz mablag‘lari hisobiga moliyalashtirilgan hujjatlarni ko‘zdan kechirish va Mikromoliya tashkiloti tomonidan ushbu huquqni amalga oshirishga to‘sqinlik qilmaslik majburiyatini oladi.</v>
      </c>
    </row>
    <row r="69" spans="1:8" ht="49.5" customHeight="1">
      <c r="A69" s="259" t="s">
        <v>320</v>
      </c>
      <c r="B69" s="259"/>
      <c r="C69" s="133"/>
    </row>
    <row r="70" spans="1:8" ht="36" customHeight="1">
      <c r="A70" s="259" t="str">
        <f>"5.2.6. Quyidagi holatlarda Mikromoliya tashkilotning birinchi talabi bilan "&amp;malumot!B65&amp;" qaytarilishi bo‘yicha qo‘shimcha garov ta'minotini taqdim etish: "</f>
        <v xml:space="preserve">5.2.6. Quyidagi holatlarda Mikromoliya tashkilotning birinchi talabi bilan mikroqarz qaytarilishi bo‘yicha qo‘shimcha garov ta'minotini taqdim etish: </v>
      </c>
      <c r="B70" s="259"/>
      <c r="C70" s="133"/>
    </row>
    <row r="71" spans="1:8" ht="51.75" customHeight="1">
      <c r="A71" s="263" t="s">
        <v>337</v>
      </c>
      <c r="B71" s="263"/>
      <c r="C71" s="136"/>
    </row>
    <row r="72" spans="1:8" ht="71.25" customHeight="1">
      <c r="A72" s="259" t="str">
        <f>"5.2.7. Sud qarori asosida Qarz oluvchi – jismoniy shaxsning muomalaga layoqatsizligi yoki muomalaga layoqati cheklangan yoxud to‘lash qobiliyatiga ega emasligi (bankrotligi) tan olinganda, uning vasiysi yoki homiysi "&amp;malumot!B65&amp;"ning asosiy summa bo‘yicha qarzdorlikni "&amp;malumot!B65&amp;"dan aniq foydalanish muddati uchun foizlar bilan kechiktirmasdan to‘liq to‘lashi shart."</f>
        <v>5.2.7. Sud qarori asosida Qarz oluvchi – jismoniy shaxsning muomalaga layoqatsizligi yoki muomalaga layoqati cheklangan yoxud to‘lash qobiliyatiga ega emasligi (bankrotligi) tan olinganda, uning vasiysi yoki homiysi mikroqarzning asosiy summa bo‘yicha qarzdorlikni mikroqarzdan aniq foydalanish muddati uchun foizlar bilan kechiktirmasdan to‘liq to‘lashi shart.</v>
      </c>
      <c r="B72" s="259"/>
      <c r="C72" s="133"/>
    </row>
    <row r="73" spans="1:8" ht="33.75" customHeight="1">
      <c r="A73" s="259" t="str">
        <f>"5.2.8. Mikromoliya tashkilotining "&amp;malumot!B65&amp;" umumiy summasi va hisoblangan foizlarni muddatidan oldin qaytarish to‘g‘risidagi talabini kechiktirmasdan bajarish."</f>
        <v>5.2.8. Mikromoliya tashkilotining mikroqarz umumiy summasi va hisoblangan foizlarni muddatidan oldin qaytarish to‘g‘risidagi talabini kechiktirmasdan bajarish.</v>
      </c>
      <c r="B73" s="259"/>
      <c r="C73" s="133"/>
      <c r="H73" s="4" t="s">
        <v>333</v>
      </c>
    </row>
    <row r="74" spans="1:8" ht="68.25" customHeight="1">
      <c r="A74" s="259" t="str">
        <f>CONCATENATE(C74,H74)</f>
        <v>5.2.9. Mikromoliya tashkilotining talabi bo‘yicha Mikromoliya tashkiloti ko‘rgan, shu jumladan mikroqarz bo‘yicha (asosiy qarz, foizlar va boshqalar) qarzdorlikni majburiy va/yoki muddatidan oldin qaytarish bo‘yicha qabul qilingan choralar bilan bog‘liq bo‘lgan barcha xarajatlari va zararlarni qoplash, shuningdek ushbu shartnoma doirasida unidruvni taqdim etilgan garov ta'minotiga qaratish.</v>
      </c>
      <c r="B74" s="259"/>
      <c r="C74" s="133" t="str">
        <f>"5.2.9. Mikromoliya tashkilotining talabi bo‘yicha Mikromoliya tashkiloti ko‘rgan, shu jumladan "&amp;malumot!B65&amp;" bo‘yicha (asosiy qarz, foizlar va boshqalar)"</f>
        <v>5.2.9. Mikromoliya tashkilotining talabi bo‘yicha Mikromoliya tashkiloti ko‘rgan, shu jumladan mikroqarz bo‘yicha (asosiy qarz, foizlar va boshqalar)</v>
      </c>
      <c r="H74" s="4" t="s">
        <v>338</v>
      </c>
    </row>
    <row r="75" spans="1:8">
      <c r="A75" s="234"/>
    </row>
    <row r="76" spans="1:8">
      <c r="A76" s="262" t="s">
        <v>301</v>
      </c>
      <c r="B76" s="262"/>
      <c r="C76" s="135"/>
    </row>
    <row r="77" spans="1:8" ht="98.25" customHeight="1">
      <c r="A77" s="259" t="str">
        <f>CONCATENATE(C77,H77)</f>
        <v>6.1. Mikromoliya tashkiloti tomonidan Qarz oluvchiga pul mablag‘larini ajratib berish bo‘yicha o‘z zimmasiga olgan majburiyatlarning Shartnomaning 1.1.-bandida keltirilgan summa va muddatlarda bajarilmaslik yoki tegishli tarzda bajarilmaslik holatlarida Mikromoliya tashkiloti muddatidan o‘tgan har bir kalendar kun uchun kechiktirilgan to‘lov summasining 0,1% miqdorida, biroq ushbu Shartnomaning 1.1.-bandida ko‘rsatilgan mikroqarz miqdori umumiy summasining 50% dan ko‘p bo‘lmagan miqdorda penya ko‘rinishidagi neustoyka to‘lash majburiyatini o‘z zimmasiga oladi.</v>
      </c>
      <c r="B77" s="259"/>
      <c r="C77" s="133" t="s">
        <v>339</v>
      </c>
      <c r="H77" s="4" t="str">
        <f>""&amp;malumot!B65&amp;" miqdori umumiy summasining 50% dan ko‘p bo‘lmagan miqdorda penya ko‘rinishidagi neustoyka to‘lash majburiyatini o‘z zimmasiga oladi."</f>
        <v>mikroqarz miqdori umumiy summasining 50% dan ko‘p bo‘lmagan miqdorda penya ko‘rinishidagi neustoyka to‘lash majburiyatini o‘z zimmasiga oladi.</v>
      </c>
    </row>
    <row r="78" spans="1:8" ht="37.5" customHeight="1">
      <c r="A78" s="259" t="s">
        <v>300</v>
      </c>
      <c r="B78" s="259"/>
      <c r="C78" s="133"/>
    </row>
    <row r="79" spans="1:8" ht="35.25" customHeight="1">
      <c r="A79" s="259" t="s">
        <v>299</v>
      </c>
      <c r="B79" s="259"/>
      <c r="C79" s="133"/>
    </row>
    <row r="80" spans="1:8" ht="33" customHeight="1">
      <c r="A80" s="259" t="s">
        <v>298</v>
      </c>
      <c r="B80" s="259"/>
      <c r="C80" s="133"/>
    </row>
    <row r="82" spans="1:3">
      <c r="A82" s="260" t="s">
        <v>297</v>
      </c>
      <c r="B82" s="260"/>
      <c r="C82" s="56"/>
    </row>
    <row r="83" spans="1:3" ht="145.5" customHeight="1">
      <c r="A83" s="259" t="s">
        <v>296</v>
      </c>
      <c r="B83" s="259"/>
      <c r="C83" s="133"/>
    </row>
    <row r="84" spans="1:3" ht="33.75" customHeight="1">
      <c r="A84" s="259" t="s">
        <v>340</v>
      </c>
      <c r="B84" s="259"/>
      <c r="C84" s="133"/>
    </row>
    <row r="85" spans="1:3" ht="34.5" customHeight="1">
      <c r="A85" s="259" t="s">
        <v>295</v>
      </c>
      <c r="B85" s="259"/>
      <c r="C85" s="133"/>
    </row>
    <row r="86" spans="1:3" ht="36" customHeight="1">
      <c r="A86" s="259" t="s">
        <v>294</v>
      </c>
      <c r="B86" s="259"/>
      <c r="C86" s="133"/>
    </row>
    <row r="88" spans="1:3">
      <c r="A88" s="260" t="s">
        <v>293</v>
      </c>
      <c r="B88" s="260"/>
      <c r="C88" s="56"/>
    </row>
    <row r="89" spans="1:3" ht="99.75" customHeight="1">
      <c r="A89" s="259" t="s">
        <v>353</v>
      </c>
      <c r="B89" s="259"/>
      <c r="C89" s="133"/>
    </row>
    <row r="90" spans="1:3" ht="36.75" customHeight="1">
      <c r="A90" s="259" t="s">
        <v>321</v>
      </c>
      <c r="B90" s="259"/>
      <c r="C90" s="133"/>
    </row>
    <row r="91" spans="1:3" ht="52.5" customHeight="1">
      <c r="A91" s="259" t="str">
        <f>"8.2. Mikromoliya tashkiloti sud organlariga murojaat qilganidan keyin Qarz oluvchi tomonidan "&amp;malumot!B65&amp;" bo‘yicha muddati o‘tgan qarzdorlikning to‘lanishi Mikromoliya tashkilotning "&amp;malumot!B65&amp;" bo‘yicha qarzdorlikni muddatidan avval undirish, shu jumladan undiruvni garovdagi mol-mulkka qaratish yo‘li bilan undirish huquqidan mahrum qilmaydi."</f>
        <v>8.2. Mikromoliya tashkiloti sud organlariga murojaat qilganidan keyin Qarz oluvchi tomonidan mikroqarz bo‘yicha muddati o‘tgan qarzdorlikning to‘lanishi Mikromoliya tashkilotning mikroqarz bo‘yicha qarzdorlikni muddatidan avval undirish, shu jumladan undiruvni garovdagi mol-mulkka qaratish yo‘li bilan undirish huquqidan mahrum qilmaydi.</v>
      </c>
      <c r="B91" s="259"/>
      <c r="C91" s="133"/>
    </row>
    <row r="93" spans="1:3">
      <c r="A93" s="258" t="s">
        <v>292</v>
      </c>
      <c r="B93" s="258"/>
      <c r="C93" s="59"/>
    </row>
    <row r="94" spans="1:3" ht="20.25" customHeight="1">
      <c r="A94" s="259" t="s">
        <v>291</v>
      </c>
      <c r="B94" s="259"/>
      <c r="C94" s="133"/>
    </row>
    <row r="95" spans="1:3" ht="33.75" customHeight="1">
      <c r="A95" s="259" t="str">
        <f>"9.2. Shartnomaning amal qilish muddati Qarz oluvchi "&amp;malumot!B65&amp;"ni to‘liq qaytargan, hisoblangan foizlar, penya va boshqa pul majburiyatlarini to‘lagan kunda yakunlanadi."</f>
        <v>9.2. Shartnomaning amal qilish muddati Qarz oluvchi mikroqarzni to‘liq qaytargan, hisoblangan foizlar, penya va boshqa pul majburiyatlarini to‘lagan kunda yakunlanadi.</v>
      </c>
      <c r="B95" s="259"/>
      <c r="C95" s="133"/>
    </row>
    <row r="96" spans="1:3" ht="37.5" customHeight="1">
      <c r="A96" s="259" t="s">
        <v>290</v>
      </c>
      <c r="B96" s="259"/>
      <c r="C96" s="133"/>
    </row>
    <row r="98" spans="1:3">
      <c r="A98" s="261" t="s">
        <v>289</v>
      </c>
      <c r="B98" s="261"/>
      <c r="C98" s="55"/>
    </row>
    <row r="99" spans="1:3" ht="82.5" customHeight="1">
      <c r="A99" s="259" t="s">
        <v>288</v>
      </c>
      <c r="B99" s="259"/>
      <c r="C99" s="133"/>
    </row>
    <row r="100" spans="1:3" ht="66" customHeight="1">
      <c r="A100" s="259" t="s">
        <v>287</v>
      </c>
      <c r="B100" s="259"/>
      <c r="C100" s="133"/>
    </row>
    <row r="101" spans="1:3" ht="48" customHeight="1">
      <c r="A101" s="259" t="s">
        <v>286</v>
      </c>
      <c r="B101" s="259"/>
      <c r="C101" s="133"/>
    </row>
    <row r="103" spans="1:3">
      <c r="A103" s="260" t="s">
        <v>285</v>
      </c>
      <c r="B103" s="260"/>
      <c r="C103" s="123"/>
    </row>
    <row r="104" spans="1:3" ht="37.5" customHeight="1">
      <c r="A104" s="259" t="s">
        <v>284</v>
      </c>
      <c r="B104" s="259"/>
      <c r="C104" s="133"/>
    </row>
    <row r="105" spans="1:3" ht="34.5" customHeight="1">
      <c r="A105" s="259" t="s">
        <v>283</v>
      </c>
      <c r="B105" s="259"/>
      <c r="C105" s="133"/>
    </row>
    <row r="106" spans="1:3" ht="66.75" customHeight="1">
      <c r="A106" s="259" t="s">
        <v>282</v>
      </c>
      <c r="B106" s="259"/>
      <c r="C106" s="133"/>
    </row>
    <row r="107" spans="1:3" ht="51" customHeight="1">
      <c r="A107" s="259" t="s">
        <v>281</v>
      </c>
      <c r="B107" s="259"/>
      <c r="C107" s="133"/>
    </row>
    <row r="108" spans="1:3" ht="37.5" customHeight="1">
      <c r="A108" s="259" t="s">
        <v>280</v>
      </c>
      <c r="B108" s="259"/>
      <c r="C108" s="133"/>
    </row>
    <row r="109" spans="1:3" ht="38.25" customHeight="1">
      <c r="A109" s="259" t="s">
        <v>279</v>
      </c>
      <c r="B109" s="259"/>
      <c r="C109" s="133"/>
    </row>
    <row r="110" spans="1:3" ht="21" customHeight="1">
      <c r="A110" s="259" t="s">
        <v>278</v>
      </c>
      <c r="B110" s="259"/>
      <c r="C110" s="133"/>
    </row>
    <row r="111" spans="1:3" ht="4.5" customHeight="1">
      <c r="A111" s="259"/>
      <c r="B111" s="259"/>
      <c r="C111" s="133"/>
    </row>
    <row r="112" spans="1:3" ht="3.75" customHeight="1"/>
    <row r="113" spans="1:3">
      <c r="A113" s="258" t="s">
        <v>322</v>
      </c>
      <c r="B113" s="258"/>
      <c r="C113" s="59"/>
    </row>
    <row r="114" spans="1:3" ht="7.5" customHeight="1"/>
    <row r="115" spans="1:3">
      <c r="A115" s="235" t="s">
        <v>277</v>
      </c>
      <c r="B115" s="236" t="s">
        <v>276</v>
      </c>
    </row>
    <row r="116" spans="1:3" ht="31.5">
      <c r="A116" s="238" t="str">
        <f>malumot!B156</f>
        <v>«CLEVER MIKROMOLIYA TASHKILOTI» MChJ</v>
      </c>
      <c r="B116" s="239" t="str">
        <f>malumot!B5</f>
        <v>XAYATOV OTABEK KURBANOVICH</v>
      </c>
    </row>
    <row r="117" spans="1:3" ht="31.5">
      <c r="A117" s="240" t="str">
        <f>"Manzil: "&amp;malumot!B161&amp;""</f>
        <v>Manzil: Toshkent shahri, Olmazor tumani, Sagbon ko'chasi, 30 boshi berk, 6-uy</v>
      </c>
      <c r="B117" s="241" t="str">
        <f>"Manzil: "&amp;malumot!B27&amp;""</f>
        <v>Manzil: BUXORO VILOYATI KOGON TUMANI NIYOZ HOJI QISHLOG'I</v>
      </c>
    </row>
    <row r="118" spans="1:3">
      <c r="A118" s="242" t="str">
        <f>"h/r: "&amp;malumot!B162&amp;""</f>
        <v>h/r: №20216000705068380001</v>
      </c>
      <c r="B118" s="243"/>
    </row>
    <row r="119" spans="1:3" ht="31.5">
      <c r="A119" s="240" t="str">
        <f>"MFO: "&amp;malumot!B163&amp;" в "&amp;malumot!B164&amp;""</f>
        <v>MFO: №01042 в ATB “Kapitalbank” Sergeli filiali</v>
      </c>
      <c r="B119" s="241" t="str">
        <f>"Pasport: "&amp;malumot!B16&amp;", "&amp;malumot!B20&amp;""</f>
        <v>Pasport: AB 7858443, BUXORO VILOYATI KOGON TUMAN IIB tomonidan 06.10.2017 yilda berilgan</v>
      </c>
    </row>
    <row r="120" spans="1:3">
      <c r="A120" s="240" t="str">
        <f>"STIR: "&amp;malumot!B165&amp;""</f>
        <v>STIR: 306365847</v>
      </c>
      <c r="B120" s="244" t="str">
        <f>"Tel: "&amp;malumot!B40&amp;""</f>
        <v>Tel: 97 305 82 83 UZI</v>
      </c>
    </row>
    <row r="121" spans="1:3">
      <c r="A121" s="245" t="str">
        <f>"Tel: (78) 113 31 33"</f>
        <v>Tel: (78) 113 31 33</v>
      </c>
      <c r="B121" s="244" t="str">
        <f>malumot!B41</f>
        <v>88 305 82 89 AYOLI</v>
      </c>
    </row>
    <row r="122" spans="1:3">
      <c r="A122" s="245" t="s">
        <v>7</v>
      </c>
      <c r="B122" s="244" t="str">
        <f>malumot!B42</f>
        <v>97 705 05 17 O'G'LI</v>
      </c>
    </row>
    <row r="123" spans="1:3">
      <c r="A123" s="246"/>
      <c r="B123" s="243"/>
    </row>
    <row r="124" spans="1:3">
      <c r="A124" s="257" t="str">
        <f>malumot!A169</f>
        <v>Buxoro filiali boshlig'i</v>
      </c>
      <c r="B124" s="237"/>
    </row>
    <row r="125" spans="1:3">
      <c r="A125" s="257"/>
      <c r="B125" s="247" t="str">
        <f>""&amp;malumot!B7&amp;"     __________________"</f>
        <v>XAYATOV O.K.     __________________</v>
      </c>
    </row>
    <row r="126" spans="1:3">
      <c r="A126" s="248" t="str">
        <f>malumot!B158</f>
        <v>A.Xudayberdiyev</v>
      </c>
      <c r="B126" s="237"/>
    </row>
    <row r="127" spans="1:3">
      <c r="A127" s="248"/>
      <c r="B127" s="249"/>
    </row>
    <row r="128" spans="1:3">
      <c r="A128" s="250"/>
      <c r="B128" s="251" t="s">
        <v>397</v>
      </c>
    </row>
    <row r="129" spans="1:1" ht="24.75" hidden="1" customHeight="1">
      <c r="A129" s="4" t="str">
        <f>"менеджер :   "&amp;malumot!B169&amp;"______________"</f>
        <v>менеджер :   A.Xudayberdiyev______________</v>
      </c>
    </row>
  </sheetData>
  <mergeCells count="99">
    <mergeCell ref="A3:B3"/>
    <mergeCell ref="A1:B1"/>
    <mergeCell ref="A25:B25"/>
    <mergeCell ref="A26:B26"/>
    <mergeCell ref="A27:B27"/>
    <mergeCell ref="A13:B13"/>
    <mergeCell ref="A12:B12"/>
    <mergeCell ref="A9:B9"/>
    <mergeCell ref="A8:B8"/>
    <mergeCell ref="A5:B5"/>
    <mergeCell ref="A7:B7"/>
    <mergeCell ref="A18:B18"/>
    <mergeCell ref="A17:B17"/>
    <mergeCell ref="A16:B16"/>
    <mergeCell ref="A15:B15"/>
    <mergeCell ref="A14:B14"/>
    <mergeCell ref="A23:B23"/>
    <mergeCell ref="A22:B22"/>
    <mergeCell ref="A21:B21"/>
    <mergeCell ref="A20:B20"/>
    <mergeCell ref="A19:B19"/>
    <mergeCell ref="A35:B35"/>
    <mergeCell ref="A34:B34"/>
    <mergeCell ref="A31:B31"/>
    <mergeCell ref="A24:B24"/>
    <mergeCell ref="A28:B28"/>
    <mergeCell ref="A29:B29"/>
    <mergeCell ref="A30:B30"/>
    <mergeCell ref="A11:B11"/>
    <mergeCell ref="A48:B48"/>
    <mergeCell ref="A49:B49"/>
    <mergeCell ref="A50:B50"/>
    <mergeCell ref="A51:B51"/>
    <mergeCell ref="A47:B47"/>
    <mergeCell ref="A46:B46"/>
    <mergeCell ref="A45:B45"/>
    <mergeCell ref="A44:B44"/>
    <mergeCell ref="A43:B43"/>
    <mergeCell ref="A42:B42"/>
    <mergeCell ref="A41:B41"/>
    <mergeCell ref="A40:B40"/>
    <mergeCell ref="A39:B39"/>
    <mergeCell ref="A38:B38"/>
    <mergeCell ref="A37:B37"/>
    <mergeCell ref="A52:B52"/>
    <mergeCell ref="A53:B53"/>
    <mergeCell ref="A54:B54"/>
    <mergeCell ref="A55:B55"/>
    <mergeCell ref="A57:B57"/>
    <mergeCell ref="A58:B58"/>
    <mergeCell ref="A59:B59"/>
    <mergeCell ref="A60:B60"/>
    <mergeCell ref="A61:B61"/>
    <mergeCell ref="A62:B62"/>
    <mergeCell ref="A63:B63"/>
    <mergeCell ref="A64:B64"/>
    <mergeCell ref="A65:B65"/>
    <mergeCell ref="A66:B66"/>
    <mergeCell ref="A67:B67"/>
    <mergeCell ref="A73:B73"/>
    <mergeCell ref="A74:B74"/>
    <mergeCell ref="A76:B76"/>
    <mergeCell ref="A77:B77"/>
    <mergeCell ref="A68:B68"/>
    <mergeCell ref="A69:B69"/>
    <mergeCell ref="A70:B70"/>
    <mergeCell ref="A71:B71"/>
    <mergeCell ref="A72:B72"/>
    <mergeCell ref="A78:B78"/>
    <mergeCell ref="A79:B79"/>
    <mergeCell ref="A80:B80"/>
    <mergeCell ref="A82:B82"/>
    <mergeCell ref="A83:B83"/>
    <mergeCell ref="A90:B90"/>
    <mergeCell ref="A91:B91"/>
    <mergeCell ref="A93:B93"/>
    <mergeCell ref="A94:B94"/>
    <mergeCell ref="A84:B84"/>
    <mergeCell ref="A85:B85"/>
    <mergeCell ref="A86:B86"/>
    <mergeCell ref="A88:B88"/>
    <mergeCell ref="A89:B89"/>
    <mergeCell ref="A95:B95"/>
    <mergeCell ref="A96:B96"/>
    <mergeCell ref="A98:B98"/>
    <mergeCell ref="A99:B99"/>
    <mergeCell ref="A100:B100"/>
    <mergeCell ref="A101:B101"/>
    <mergeCell ref="A103:B103"/>
    <mergeCell ref="A104:B104"/>
    <mergeCell ref="A105:B105"/>
    <mergeCell ref="A106:B106"/>
    <mergeCell ref="A124:A125"/>
    <mergeCell ref="A113:B113"/>
    <mergeCell ref="A107:B107"/>
    <mergeCell ref="A108:B108"/>
    <mergeCell ref="A109:B109"/>
    <mergeCell ref="A110:B110"/>
    <mergeCell ref="A111:B111"/>
  </mergeCells>
  <printOptions horizontalCentered="1"/>
  <pageMargins left="0.70866141732283472" right="0.70866141732283472" top="0.51181102362204722" bottom="0.43307086614173229" header="0.31496062992125984" footer="0.31496062992125984"/>
  <pageSetup paperSize="9" scale="16"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Лист14">
    <tabColor rgb="FF00B050"/>
  </sheetPr>
  <dimension ref="A3:E28"/>
  <sheetViews>
    <sheetView view="pageBreakPreview" topLeftCell="A6" zoomScaleSheetLayoutView="100" workbookViewId="0">
      <selection activeCell="D27" sqref="D27"/>
    </sheetView>
  </sheetViews>
  <sheetFormatPr defaultColWidth="9.140625" defaultRowHeight="15" outlineLevelRow="1"/>
  <cols>
    <col min="1" max="1" width="23.85546875" style="10" customWidth="1"/>
    <col min="2" max="2" width="23.28515625" style="10" customWidth="1"/>
    <col min="3" max="3" width="17" style="10" customWidth="1"/>
    <col min="4" max="4" width="17.5703125" style="10" customWidth="1"/>
    <col min="5" max="5" width="19.7109375" style="10" customWidth="1"/>
    <col min="6" max="16384" width="9.140625" style="10"/>
  </cols>
  <sheetData>
    <row r="3" spans="1:5" ht="16.5" customHeight="1"/>
    <row r="4" spans="1:5" ht="17.25" customHeight="1">
      <c r="A4" s="270" t="str">
        <f>""&amp;malumot!B155&amp;" ijrochi direktorining
"&amp;malumot!B177&amp;"dagi "&amp;malumot!B172&amp;"-sonli buyrug‘i"</f>
        <v>«CLEVER MIKROMOLIYA TASHKILOTI» MChJ ijrochi direktorining
dagi № 687-BR-sonli buyrug‘i</v>
      </c>
      <c r="B4" s="270"/>
      <c r="C4" s="270"/>
      <c r="D4" s="270"/>
      <c r="E4" s="270"/>
    </row>
    <row r="5" spans="1:5">
      <c r="A5" s="270"/>
      <c r="B5" s="270"/>
      <c r="C5" s="270"/>
      <c r="D5" s="270"/>
      <c r="E5" s="270"/>
    </row>
    <row r="6" spans="1:5">
      <c r="A6" s="270"/>
      <c r="B6" s="270"/>
      <c r="C6" s="270"/>
      <c r="D6" s="270"/>
      <c r="E6" s="270"/>
    </row>
    <row r="7" spans="1:5">
      <c r="A7" s="271"/>
      <c r="B7" s="271"/>
      <c r="C7" s="271"/>
      <c r="D7" s="271"/>
      <c r="E7" s="271"/>
    </row>
    <row r="8" spans="1:5" ht="44.25" customHeight="1">
      <c r="A8" s="271" t="str">
        <f>"Men, Abduraximov Nadirbek Kamilevich "&amp;malumot!B155&amp;" ijrochi direktori, jismoniy shaxs "&amp;malumot!B10&amp;"ga quyidagi shartlarda "&amp;malumot!B65&amp;" berishni buyuraman:"</f>
        <v>Men, Abduraximov Nadirbek Kamilevich «CLEVER MIKROMOLIYA TASHKILOTI» MChJ ijrochi direktori, jismoniy shaxs XAYATOV OTABEK KURBANOVICHga quyidagi shartlarda mikroqarz berishni buyuraman:</v>
      </c>
      <c r="B8" s="271"/>
      <c r="C8" s="271"/>
      <c r="D8" s="271"/>
      <c r="E8" s="271"/>
    </row>
    <row r="9" spans="1:5" ht="26.25" customHeight="1">
      <c r="A9" s="271" t="str">
        <f>kredit_ariza!A13:D13</f>
        <v>Mikroqarz summasi: 26 000 000,00 (yigirma olti million so'm) so'm.</v>
      </c>
      <c r="B9" s="271"/>
      <c r="C9" s="271"/>
      <c r="D9" s="271"/>
      <c r="E9" s="271"/>
    </row>
    <row r="10" spans="1:5" ht="21" customHeight="1">
      <c r="A10" s="271" t="str">
        <f>kredit_ariza!A14:D14</f>
        <v>Mikroqarz muddati: 32 (o'ttiz ikki) oy.</v>
      </c>
      <c r="B10" s="271"/>
      <c r="C10" s="271"/>
      <c r="D10" s="271"/>
      <c r="E10" s="271"/>
    </row>
    <row r="11" spans="1:5" ht="27" customHeight="1">
      <c r="A11" s="271" t="str">
        <f>kredit_ariza!A15:D15</f>
        <v>Mikroqarzdan foydalanganlik uchun foiz stavkasi: yillik  60% (Oltmish) foiz</v>
      </c>
      <c r="B11" s="271"/>
      <c r="C11" s="271"/>
      <c r="D11" s="271"/>
      <c r="E11" s="271"/>
    </row>
    <row r="12" spans="1:5" ht="26.25" customHeight="1">
      <c r="A12" s="271" t="str">
        <f>kredit_ariza!A16:D16</f>
        <v>Mikroqarz bo'yicha asosiy qarz va foizlarni to'lash:</v>
      </c>
      <c r="B12" s="271"/>
      <c r="C12" s="271"/>
      <c r="D12" s="271"/>
      <c r="E12" s="271"/>
    </row>
    <row r="13" spans="1:5" ht="21.75" hidden="1" customHeight="1">
      <c r="A13" s="271" t="str">
        <f>kredit_ariza!A17:D17</f>
        <v xml:space="preserve"> - mikroqarz shartnomasi bo'yicha har oy differensial to'lovlari amalga oshiriladi</v>
      </c>
      <c r="B13" s="271"/>
      <c r="C13" s="271"/>
      <c r="D13" s="271"/>
      <c r="E13" s="271"/>
    </row>
    <row r="14" spans="1:5" hidden="1">
      <c r="A14" s="271" t="str">
        <f>kredit_ariza!A19:D19</f>
        <v xml:space="preserve"> - mikroqarz shartnomasi bo'yicha har oy differensial to'lovlari amalga oshiriladi</v>
      </c>
      <c r="B14" s="271"/>
      <c r="C14" s="271"/>
      <c r="D14" s="271"/>
      <c r="E14" s="271"/>
    </row>
    <row r="15" spans="1:5" ht="23.25" customHeight="1">
      <c r="A15" s="271" t="str">
        <f>IF(malumot!B111="Avtotransport",buyruq!A14:E14,buyruq!A13:E13)</f>
        <v xml:space="preserve"> - mikroqarz shartnomasi bo'yicha har oy differensial to'lovlari amalga oshiriladi</v>
      </c>
      <c r="B15" s="271"/>
      <c r="C15" s="271"/>
      <c r="D15" s="271"/>
      <c r="E15" s="271"/>
    </row>
    <row r="16" spans="1:5" ht="45.75" customHeight="1">
      <c r="A16" s="272" t="str">
        <f>IF(malumot!B111=malumot!D111,""&amp;malumot!C125&amp;"ga tegishli "&amp;malumot!C134&amp;" ko'rinishidagi ko'chmas mulkni quyidagi ma'lumotlarga muvofiq  garovga qabul qilinsin:",""&amp;malumot!B125&amp;"ga tegishli "&amp;malumot!B133&amp;" ko'rinishidagi transport vositasini quyidagi ma'lumotlarga muvofiq garovga qabul qilinsin:")</f>
        <v>FAYZIYEV JAMSHID KURBONOVICHga tegishli SPARK ko'rinishidagi transport vositasini quyidagi ma'lumotlarga muvofiq garovga qabul qilinsin:</v>
      </c>
      <c r="B16" s="272"/>
      <c r="C16" s="272"/>
      <c r="D16" s="272"/>
      <c r="E16" s="272"/>
    </row>
    <row r="17" spans="1:5" ht="50.25" hidden="1" customHeight="1">
      <c r="A17" s="271" t="str">
        <f>""&amp;malumot!C125&amp;"ga tegishli "&amp;malumot!C134&amp;" ko'rinishidagi ko'chmas mulkni quyidagi ma'lumotlarga muvofiq  garovga qabul qilinsin:"</f>
        <v>0ga tegishli 3 - xonali yakka tartibdagi uy-joy ko'rinishidagi ko'chmas mulkni quyidagi ma'lumotlarga muvofiq  garovga qabul qilinsin:</v>
      </c>
      <c r="B17" s="271"/>
      <c r="C17" s="271"/>
      <c r="D17" s="271"/>
      <c r="E17" s="271"/>
    </row>
    <row r="18" spans="1:5" ht="47.25" hidden="1" customHeight="1">
      <c r="A18" s="271" t="str">
        <f>""&amp;malumot!B125&amp;"ga tegishli "&amp;malumot!B133&amp;" ko'rinishidagi transport vositasini quyidagi ma'lumotlarga muvofiq garovga qabul qilinsin:"</f>
        <v>FAYZIYEV JAMSHID KURBONOVICHga tegishli SPARK ko'rinishidagi transport vositasini quyidagi ma'lumotlarga muvofiq garovga qabul qilinsin:</v>
      </c>
      <c r="B18" s="271"/>
      <c r="C18" s="271"/>
      <c r="D18" s="271"/>
      <c r="E18" s="271"/>
    </row>
    <row r="19" spans="1:5" s="31" customFormat="1" ht="60" customHeight="1" outlineLevel="1">
      <c r="A19" s="33" t="str">
        <f>dalolatnoma!A29</f>
        <v>Nomi</v>
      </c>
      <c r="B19" s="33" t="str">
        <f>dalolatnoma!B29</f>
        <v>Kuzov turi  va kuzov raqami*</v>
      </c>
      <c r="C19" s="33" t="str">
        <f>dalolatnoma!C29</f>
        <v>Dvigatel va shassi raqami*</v>
      </c>
      <c r="D19" s="33" t="str">
        <f>dalolatnoma!D29</f>
        <v>Ishlab chiqarilgan yili va rangi*</v>
      </c>
      <c r="E19" s="33" t="str">
        <f>dalolatnoma!E29</f>
        <v>Kelishilgan garov qiymati, so'm</v>
      </c>
    </row>
    <row r="20" spans="1:5" ht="94.5" customHeight="1" outlineLevel="1">
      <c r="A20" s="12" t="str">
        <f>dalolatnoma!A30</f>
        <v>SPARK</v>
      </c>
      <c r="B20" s="12" t="str">
        <f>dalolatnoma!B30</f>
        <v>kuzov turi - YENGIL SEDAN, kuzov raqami XWBMF481EBA580791</v>
      </c>
      <c r="C20" s="12" t="str">
        <f>dalolatnoma!C30</f>
        <v>dvigatel raqami B10D1606437KC3, shassi raqami - RAKAMSIZ</v>
      </c>
      <c r="D20" s="12" t="str">
        <f>dalolatnoma!D30</f>
        <v>rangi -  OQ BELAYA "KASABLANKA", ishlab chiqarilgan yili - 2011</v>
      </c>
      <c r="E20" s="12" t="str">
        <f>dalolatnoma!E30</f>
        <v>39 000 000,00 
(o'ttiz to'qqiz million so'm)</v>
      </c>
    </row>
    <row r="21" spans="1:5" ht="20.25" customHeight="1" outlineLevel="1">
      <c r="A21" s="271" t="str">
        <f>dalolatnoma!A22:E22</f>
        <v>-* avtotransport egasi: FAYZIYEV JAMSHID KURBONOVICH</v>
      </c>
      <c r="B21" s="271"/>
      <c r="C21" s="271"/>
      <c r="D21" s="271"/>
      <c r="E21" s="271"/>
    </row>
    <row r="22" spans="1:5" ht="20.25" customHeight="1" outlineLevel="1">
      <c r="A22" s="271" t="str">
        <f>dalolatnoma!A23:E23</f>
        <v>-* texnik pasport: AAG   4517617  20.08.2024y</v>
      </c>
      <c r="B22" s="271"/>
      <c r="C22" s="271"/>
      <c r="D22" s="271"/>
      <c r="E22" s="271"/>
    </row>
    <row r="23" spans="1:5" ht="36" customHeight="1" outlineLevel="1">
      <c r="A23" s="271" t="str">
        <f>dalolatnoma!A24:E24</f>
        <v>-* roʻyxatdan oʻtgan manzili/garaj manzili: BUXORO VILOYATI BUXORO TUMANI XONOBOD MFY XONOBOD QISHLOG'I</v>
      </c>
      <c r="B23" s="271"/>
      <c r="C23" s="271"/>
      <c r="D23" s="271"/>
      <c r="E23" s="271"/>
    </row>
    <row r="24" spans="1:5" ht="31.5" customHeight="1" outlineLevel="1">
      <c r="A24" s="271" t="str">
        <f>dalolatnoma!A25:E25</f>
        <v>-* davlat raqami: 80Y320AB</v>
      </c>
      <c r="B24" s="271"/>
      <c r="C24" s="271"/>
      <c r="D24" s="271"/>
      <c r="E24" s="271"/>
    </row>
    <row r="25" spans="1:5">
      <c r="B25" s="186"/>
      <c r="D25" s="186"/>
      <c r="E25" s="17"/>
    </row>
    <row r="26" spans="1:5">
      <c r="B26" s="186"/>
      <c r="D26" s="186"/>
      <c r="E26" s="17"/>
    </row>
    <row r="27" spans="1:5" ht="57">
      <c r="A27" s="197" t="s">
        <v>411</v>
      </c>
      <c r="D27" s="31" t="s">
        <v>393</v>
      </c>
      <c r="E27" s="17"/>
    </row>
    <row r="28" spans="1:5">
      <c r="A28" s="186"/>
      <c r="E28" s="186"/>
    </row>
  </sheetData>
  <mergeCells count="17">
    <mergeCell ref="A23:E23"/>
    <mergeCell ref="A24:E24"/>
    <mergeCell ref="A4:E6"/>
    <mergeCell ref="A22:E22"/>
    <mergeCell ref="A14:E14"/>
    <mergeCell ref="A18:E18"/>
    <mergeCell ref="A7:E7"/>
    <mergeCell ref="A8:E8"/>
    <mergeCell ref="A13:E13"/>
    <mergeCell ref="A9:E9"/>
    <mergeCell ref="A10:E10"/>
    <mergeCell ref="A11:E11"/>
    <mergeCell ref="A12:E12"/>
    <mergeCell ref="A21:E21"/>
    <mergeCell ref="A15:E15"/>
    <mergeCell ref="A17:E17"/>
    <mergeCell ref="A16:E16"/>
  </mergeCells>
  <pageMargins left="0.70866141732283472" right="0.70866141732283472" top="0.74803149606299213" bottom="0.74803149606299213" header="0.31496062992125984" footer="0.31496062992125984"/>
  <pageSetup paperSize="9" scale="83"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Лист1">
    <tabColor rgb="FF00B050"/>
  </sheetPr>
  <dimension ref="A1:AH49"/>
  <sheetViews>
    <sheetView view="pageBreakPreview" zoomScaleNormal="100" zoomScaleSheetLayoutView="100" workbookViewId="0">
      <selection activeCell="A7" sqref="A7:E12"/>
    </sheetView>
  </sheetViews>
  <sheetFormatPr defaultRowHeight="15"/>
  <cols>
    <col min="1" max="1" width="24.7109375" style="15" customWidth="1"/>
    <col min="2" max="2" width="24.28515625" style="15" customWidth="1"/>
    <col min="3" max="3" width="20.7109375" style="15" customWidth="1"/>
    <col min="4" max="4" width="18" style="15" customWidth="1"/>
    <col min="5" max="5" width="25.140625" style="15" customWidth="1"/>
    <col min="6" max="6" width="9.140625" style="10" customWidth="1"/>
    <col min="7" max="7" width="24.42578125" style="10" customWidth="1"/>
    <col min="8" max="8" width="17.140625" style="10" customWidth="1"/>
    <col min="9" max="34" width="9.140625" style="10" hidden="1" customWidth="1"/>
    <col min="35" max="35" width="8.7109375" style="10" customWidth="1"/>
    <col min="36" max="16384" width="9.140625" style="10"/>
  </cols>
  <sheetData>
    <row r="1" spans="1:33" ht="63.75" customHeight="1">
      <c r="A1" s="275" t="str">
        <f>""&amp;malumot!B155&amp;"
mikromoliya tashkiloti
Kredit qo‘mitasining yig‘ilishi"</f>
        <v>«CLEVER MIKROMOLIYA TASHKILOTI» MChJ
mikromoliya tashkiloti
Kredit qo‘mitasining yig‘ilishi</v>
      </c>
      <c r="B1" s="275"/>
      <c r="C1" s="275"/>
      <c r="D1" s="275"/>
      <c r="E1" s="275"/>
    </row>
    <row r="2" spans="1:33" ht="29.25" customHeight="1">
      <c r="A2" s="275" t="str">
        <f>""&amp;H7&amp;" protokolidan ko'chirma"</f>
        <v>№ 687-BR protokolidan ko'chirma</v>
      </c>
      <c r="B2" s="275"/>
      <c r="C2" s="275"/>
      <c r="D2" s="275"/>
      <c r="E2" s="275"/>
    </row>
    <row r="3" spans="1:33" ht="29.25" customHeight="1">
      <c r="A3" s="115" t="s">
        <v>201</v>
      </c>
      <c r="B3" s="181"/>
      <c r="C3" s="181"/>
      <c r="D3" s="181"/>
      <c r="E3" s="212" t="str">
        <f>malumot!B68</f>
        <v>1 aprel 2025 y.</v>
      </c>
    </row>
    <row r="4" spans="1:33" ht="29.25" customHeight="1">
      <c r="A4" s="181"/>
      <c r="B4" s="275" t="s">
        <v>200</v>
      </c>
      <c r="C4" s="275"/>
      <c r="D4" s="275"/>
      <c r="E4" s="181"/>
    </row>
    <row r="5" spans="1:33" ht="36" customHeight="1">
      <c r="A5" s="274" t="str">
        <f>"         "&amp;H8&amp;"."&amp;malumot!B5&amp;" ga "&amp;malumot!B65&amp;" berish masalasini ko‘rib chiqish to‘g‘risida."</f>
        <v xml:space="preserve">         1.XAYATOV OTABEK KURBANOVICH ga mikroqarz berish masalasini ko‘rib chiqish to‘g‘risida.</v>
      </c>
      <c r="B5" s="274"/>
      <c r="C5" s="274"/>
      <c r="D5" s="274"/>
      <c r="E5" s="274"/>
    </row>
    <row r="7" spans="1:33" ht="21" customHeight="1">
      <c r="A7" s="271" t="str">
        <f>"      "&amp;H9&amp;" masala yuzasidan: «Clever Mikromoliya Tashkiloti» MChJ mikromoliya tashkiloti kredit bo‘yicha menejeri  "&amp;malumot!B5&amp;"ga "&amp;FIXED(malumot!B75)&amp;" ("&amp;malumot!B76&amp;") so‘m miqdorida, muddati "&amp;malumot!B81&amp;" ("&amp;malumot!B82&amp;") oyga va yillik 60 (Oltmish) foiz miqdorida "&amp;malumot!B65&amp;" berich bo‘yicha "&amp;malumot!B5&amp;"ning kredit arizasi va "&amp;malumot!B155&amp;"ning xulosasi bilan ishtirokchilarni tanishtirdi."</f>
        <v xml:space="preserve">      Birinchi masala yuzasidan: «Clever Mikromoliya Tashkiloti» MChJ mikromoliya tashkiloti kredit bo‘yicha menejeri  XAYATOV OTABEK KURBANOVICHga 26 000 000,00 (yigirma olti million so'm) so‘m miqdorida, muddati 32 (o'ttiz ikki) oyga va yillik 60 (Oltmish) foiz miqdorida mikroqarz berich bo‘yicha XAYATOV OTABEK KURBANOVICHning kredit arizasi va «CLEVER MIKROMOLIYA TASHKILOTI» MChJning xulosasi bilan ishtirokchilarni tanishtirdi.</v>
      </c>
      <c r="B7" s="271"/>
      <c r="C7" s="271"/>
      <c r="D7" s="271"/>
      <c r="E7" s="271"/>
      <c r="G7" s="214" t="s">
        <v>255</v>
      </c>
      <c r="H7" s="217" t="str">
        <f>malumot!B1</f>
        <v>№ 687-BR</v>
      </c>
    </row>
    <row r="8" spans="1:33">
      <c r="A8" s="271"/>
      <c r="B8" s="271"/>
      <c r="C8" s="271"/>
      <c r="D8" s="271"/>
      <c r="E8" s="271"/>
      <c r="G8" s="214" t="s">
        <v>256</v>
      </c>
      <c r="H8" s="217">
        <v>1</v>
      </c>
      <c r="I8" s="10">
        <v>1</v>
      </c>
      <c r="J8" s="10">
        <v>2</v>
      </c>
      <c r="K8" s="10">
        <v>3</v>
      </c>
      <c r="L8" s="10">
        <v>4</v>
      </c>
      <c r="M8" s="10">
        <v>5</v>
      </c>
      <c r="N8" s="10">
        <v>6</v>
      </c>
      <c r="O8" s="10">
        <v>7</v>
      </c>
      <c r="P8" s="10">
        <v>8</v>
      </c>
      <c r="Q8" s="10">
        <v>9</v>
      </c>
      <c r="R8" s="10">
        <v>10</v>
      </c>
      <c r="S8" s="10">
        <v>11</v>
      </c>
      <c r="T8" s="10">
        <v>12</v>
      </c>
      <c r="U8" s="10">
        <v>13</v>
      </c>
      <c r="V8" s="10">
        <v>14</v>
      </c>
      <c r="W8" s="10">
        <v>15</v>
      </c>
      <c r="X8" s="10">
        <v>16</v>
      </c>
      <c r="Y8" s="10">
        <v>17</v>
      </c>
      <c r="Z8" s="10">
        <v>18</v>
      </c>
      <c r="AA8" s="10">
        <v>19</v>
      </c>
      <c r="AB8" s="10">
        <v>20</v>
      </c>
      <c r="AC8" s="10">
        <v>21</v>
      </c>
      <c r="AD8" s="10">
        <v>22</v>
      </c>
      <c r="AE8" s="10">
        <v>23</v>
      </c>
      <c r="AF8" s="10">
        <v>24</v>
      </c>
      <c r="AG8" s="10">
        <v>25</v>
      </c>
    </row>
    <row r="9" spans="1:33" ht="24" customHeight="1">
      <c r="A9" s="271"/>
      <c r="B9" s="271"/>
      <c r="C9" s="271"/>
      <c r="D9" s="271"/>
      <c r="E9" s="271"/>
      <c r="G9" s="214" t="s">
        <v>257</v>
      </c>
      <c r="H9" s="217" t="str">
        <f>IF(H8=I8,I9,IF(H8=J8,J9,IF(H8=K8,K9,IF(H8=L8,L9,IF(H8=M8,M9,IF(H8=N8,N9,IF(H8=O8,O9,IF(H8=P8,P9,IF(H8=Q8,Q9,IF(H8=R8,R9,IF(H8=S8,S9,IF(H8=T8,T9,IF(H8=U8,U9,IF(H8=V8,V9,IF(H8=W8,W9,IF(H8=X8,X9,IF(H8=Y8,Y9,IF(H8=Z8,Z9,IF(H8=AA8,AA9,IF(H8=AB8,AB9,IF(H8=AC8,AC9,IF(H8=AD8,AD9,IF(H8=AE8,AE9,IF(H8=AF8,AF9,IF(H8=AG8,AG9)))))))))))))))))))))))))</f>
        <v>Birinchi</v>
      </c>
      <c r="I9" s="10" t="s">
        <v>409</v>
      </c>
      <c r="J9" s="92" t="s">
        <v>189</v>
      </c>
      <c r="K9" s="92" t="s">
        <v>190</v>
      </c>
      <c r="L9" s="92" t="s">
        <v>364</v>
      </c>
      <c r="M9" s="92" t="s">
        <v>191</v>
      </c>
      <c r="N9" s="92" t="s">
        <v>365</v>
      </c>
      <c r="O9" s="92" t="s">
        <v>192</v>
      </c>
      <c r="P9" s="92" t="s">
        <v>193</v>
      </c>
      <c r="Q9" s="92" t="s">
        <v>194</v>
      </c>
      <c r="R9" s="92" t="s">
        <v>354</v>
      </c>
      <c r="S9" s="92" t="s">
        <v>355</v>
      </c>
      <c r="T9" s="92" t="s">
        <v>356</v>
      </c>
      <c r="U9" s="92" t="s">
        <v>357</v>
      </c>
      <c r="V9" s="92" t="s">
        <v>366</v>
      </c>
      <c r="W9" s="92" t="s">
        <v>358</v>
      </c>
      <c r="X9" s="92" t="s">
        <v>359</v>
      </c>
      <c r="Y9" s="92" t="s">
        <v>360</v>
      </c>
      <c r="Z9" s="92" t="s">
        <v>361</v>
      </c>
      <c r="AA9" s="92" t="s">
        <v>362</v>
      </c>
      <c r="AB9" s="92" t="s">
        <v>195</v>
      </c>
      <c r="AC9" s="92" t="s">
        <v>196</v>
      </c>
      <c r="AD9" s="92" t="s">
        <v>197</v>
      </c>
      <c r="AE9" s="92" t="s">
        <v>198</v>
      </c>
      <c r="AF9" s="92" t="s">
        <v>363</v>
      </c>
      <c r="AG9" s="92" t="s">
        <v>199</v>
      </c>
    </row>
    <row r="10" spans="1:33" ht="10.5" hidden="1" customHeight="1">
      <c r="A10" s="271"/>
      <c r="B10" s="271"/>
      <c r="C10" s="271"/>
      <c r="D10" s="271"/>
      <c r="E10" s="271"/>
    </row>
    <row r="11" spans="1:33" ht="9" hidden="1" customHeight="1">
      <c r="A11" s="271"/>
      <c r="B11" s="271"/>
      <c r="C11" s="271"/>
      <c r="D11" s="271"/>
      <c r="E11" s="271"/>
    </row>
    <row r="12" spans="1:33" ht="3" hidden="1" customHeight="1">
      <c r="A12" s="271"/>
      <c r="B12" s="271"/>
      <c r="C12" s="271"/>
      <c r="D12" s="271"/>
      <c r="E12" s="271"/>
    </row>
    <row r="13" spans="1:33" ht="7.5" customHeight="1"/>
    <row r="14" spans="1:33" ht="15.75" customHeight="1">
      <c r="A14" s="272" t="str">
        <f>""&amp;malumot!C64&amp;" ta’minoti:"</f>
        <v>Mikroqarz ta’minoti:</v>
      </c>
      <c r="B14" s="272"/>
      <c r="C14" s="272"/>
      <c r="D14" s="272"/>
      <c r="E14" s="272"/>
    </row>
    <row r="15" spans="1:33" ht="7.5" customHeight="1"/>
    <row r="16" spans="1:33" ht="57" customHeight="1">
      <c r="A16" s="271" t="str">
        <f>xulosa!A18:E18</f>
        <v xml:space="preserve">  Egalik huquqi FAYZIYEV JAMSHID KURBONOVICHga tegishli bo'lgan garovga olingan avtomobil markasi   SPARK, rangi -  OQ BELAYA "KASABLANKA", ishlab chiqarilgan yili - 2011, davlat raqam belgisi 80Y320AB, kuzov turi - YENGIL SEDAN, kuzov raqami XWBMF481EBA580791, dvigatel raqami B10D1606437KC3, shassi raqami - RAKAMSIZ</v>
      </c>
      <c r="B16" s="271"/>
      <c r="C16" s="271"/>
      <c r="D16" s="271"/>
      <c r="E16" s="271"/>
    </row>
    <row r="17" spans="1:5" ht="17.25" customHeight="1">
      <c r="C17" s="215" t="s">
        <v>373</v>
      </c>
      <c r="D17" s="215" t="str">
        <f>""&amp;malumot!B155&amp;" kredit qo‘mitasi"</f>
        <v>«CLEVER MIKROMOLIYA TASHKILOTI» MChJ kredit qo‘mitasi</v>
      </c>
      <c r="E17" s="215" t="str">
        <f>CONCATENATE(C17,D17)</f>
        <v xml:space="preserve"> masala yuzasidan berilgan ma’lumotlarni muhokama qilib, Kredit qo‘mitasi a’zolariga taqdim etilgan zarur hujjatlarni o‘rganib, majlisda ishtirok etgan Kredit qo‘mitasi a’zolarining taklif va mulohazalarini inobatga olgan holda «CLEVER MIKROMOLIYA TASHKILOTI» MChJ kredit qo‘mitasi</v>
      </c>
    </row>
    <row r="18" spans="1:5" ht="54" customHeight="1">
      <c r="A18" s="271" t="str">
        <f>CONCATENATE(H9,E17)</f>
        <v>Birinchi masala yuzasidan berilgan ma’lumotlarni muhokama qilib, Kredit qo‘mitasi a’zolariga taqdim etilgan zarur hujjatlarni o‘rganib, majlisda ishtirok etgan Kredit qo‘mitasi a’zolarining taklif va mulohazalarini inobatga olgan holda «CLEVER MIKROMOLIYA TASHKILOTI» MChJ kredit qo‘mitasi</v>
      </c>
      <c r="B18" s="271"/>
      <c r="C18" s="271"/>
      <c r="D18" s="271"/>
      <c r="E18" s="271"/>
    </row>
    <row r="19" spans="1:5" ht="24" customHeight="1">
      <c r="A19" s="276" t="s">
        <v>258</v>
      </c>
      <c r="B19" s="276"/>
      <c r="C19" s="276"/>
      <c r="D19" s="276"/>
      <c r="E19" s="276"/>
    </row>
    <row r="20" spans="1:5" ht="32.25" customHeight="1">
      <c r="A20" s="271" t="str">
        <f>"       "&amp;malumot!B5&amp;"ga quyidagi shartlarda "&amp;malumot!B65&amp;" berish masalasi ma’qullansin:"</f>
        <v xml:space="preserve">       XAYATOV OTABEK KURBANOVICHga quyidagi shartlarda mikroqarz berish masalasi ma’qullansin:</v>
      </c>
      <c r="B20" s="271"/>
      <c r="C20" s="271"/>
      <c r="D20" s="271"/>
      <c r="E20" s="271"/>
    </row>
    <row r="21" spans="1:5" s="216" customFormat="1" ht="18.75" customHeight="1">
      <c r="A21" s="274" t="str">
        <f>"1. "&amp;malumot!C64&amp;" summasi: "&amp;FIXED(malumot!B75)&amp;" ("&amp;malumot!B76&amp;") so'm."</f>
        <v>1. Mikroqarz summasi: 26 000 000,00 (yigirma olti million so'm) so'm.</v>
      </c>
      <c r="B21" s="274"/>
      <c r="C21" s="274"/>
      <c r="D21" s="274"/>
      <c r="E21" s="274"/>
    </row>
    <row r="22" spans="1:5" s="216" customFormat="1" ht="18.75" customHeight="1">
      <c r="A22" s="274" t="str">
        <f>"2. "&amp;malumot!C64&amp;" muddati: "&amp;malumot!B81&amp;" ("&amp;malumot!B82&amp;") oy "</f>
        <v xml:space="preserve">2. Mikroqarz muddati: 32 (o'ttiz ikki) oy </v>
      </c>
      <c r="B22" s="274"/>
      <c r="C22" s="274"/>
      <c r="D22" s="274"/>
      <c r="E22" s="274"/>
    </row>
    <row r="23" spans="1:5" s="216" customFormat="1" ht="18.75" customHeight="1">
      <c r="A23" s="274" t="str">
        <f>"3. "&amp;malumot!C64&amp;"dan foydalanganlik uchun foiz stavkasi:yillik "&amp;malumot!B85&amp;"% ("&amp;malumot!B86&amp;") foiz."</f>
        <v>3. Mikroqarzdan foydalanganlik uchun foiz stavkasi:yillik 60% (Oltmish) foiz.</v>
      </c>
      <c r="B23" s="274"/>
      <c r="C23" s="274"/>
      <c r="D23" s="274"/>
      <c r="E23" s="274"/>
    </row>
    <row r="24" spans="1:5" s="216" customFormat="1" ht="18.75" customHeight="1">
      <c r="A24" s="274" t="str">
        <f>"4. "&amp;malumot!C64&amp;" bo‘yicha asosiy qarz va foizlarni to‘lash:"</f>
        <v>4. Mikroqarz bo‘yicha asosiy qarz va foizlarni to‘lash:</v>
      </c>
      <c r="B24" s="274"/>
      <c r="C24" s="274"/>
      <c r="D24" s="274"/>
      <c r="E24" s="274"/>
    </row>
    <row r="25" spans="1:5" s="216" customFormat="1" ht="18.75" customHeight="1">
      <c r="A25" s="274" t="str">
        <f>kredit_ariza!A19:D19</f>
        <v xml:space="preserve"> - mikroqarz shartnomasi bo'yicha har oy differensial to'lovlari amalga oshiriladi</v>
      </c>
      <c r="B25" s="274"/>
      <c r="C25" s="274"/>
      <c r="D25" s="274"/>
      <c r="E25" s="274"/>
    </row>
    <row r="26" spans="1:5" ht="48" customHeight="1">
      <c r="A26" s="271" t="str">
        <f>"5. "&amp;malumot!C64&amp;" bo‘yicha garov  "&amp;xulosa!A29:E29&amp;""</f>
        <v>5. Mikroqarz bo‘yicha garov   - FAYZIYEV JAMSHID KURBONOVICH ga mulk huquqi asosida tegishli avtotransport vositasi SPARK , quyidagi tafsilotlarga muvofiq:</v>
      </c>
      <c r="B26" s="271"/>
      <c r="C26" s="271"/>
      <c r="D26" s="271"/>
      <c r="E26" s="271"/>
    </row>
    <row r="27" spans="1:5" ht="40.5" customHeight="1">
      <c r="A27" s="12" t="str">
        <f>dalolatnoma!A29</f>
        <v>Nomi</v>
      </c>
      <c r="B27" s="12" t="str">
        <f>dalolatnoma!B29</f>
        <v>Kuzov turi  va kuzov raqami*</v>
      </c>
      <c r="C27" s="12" t="str">
        <f>dalolatnoma!C29</f>
        <v>Dvigatel va shassi raqami*</v>
      </c>
      <c r="D27" s="12" t="str">
        <f>dalolatnoma!D29</f>
        <v>Ishlab chiqarilgan yili va rangi*</v>
      </c>
      <c r="E27" s="12" t="str">
        <f>dalolatnoma!E29</f>
        <v>Kelishilgan garov qiymati, so'm</v>
      </c>
    </row>
    <row r="28" spans="1:5" ht="84" customHeight="1">
      <c r="A28" s="12" t="str">
        <f>dalolatnoma!A30</f>
        <v>SPARK</v>
      </c>
      <c r="B28" s="12" t="str">
        <f>dalolatnoma!B30</f>
        <v>kuzov turi - YENGIL SEDAN, kuzov raqami XWBMF481EBA580791</v>
      </c>
      <c r="C28" s="12" t="str">
        <f>dalolatnoma!C30</f>
        <v>dvigatel raqami B10D1606437KC3, shassi raqami - RAKAMSIZ</v>
      </c>
      <c r="D28" s="12" t="str">
        <f>dalolatnoma!D30</f>
        <v>rangi -  OQ BELAYA "KASABLANKA", ishlab chiqarilgan yili - 2011</v>
      </c>
      <c r="E28" s="12" t="str">
        <f>dalolatnoma!E30</f>
        <v>39 000 000,00 
(o'ttiz to'qqiz million so'm)</v>
      </c>
    </row>
    <row r="29" spans="1:5" ht="20.25" customHeight="1">
      <c r="A29" s="271" t="str">
        <f>dalolatnoma!A22:E22</f>
        <v>-* avtotransport egasi: FAYZIYEV JAMSHID KURBONOVICH</v>
      </c>
      <c r="B29" s="271"/>
      <c r="C29" s="271"/>
      <c r="D29" s="271"/>
      <c r="E29" s="271"/>
    </row>
    <row r="30" spans="1:5" ht="20.25" customHeight="1">
      <c r="A30" s="271" t="str">
        <f>dalolatnoma!A23:E23</f>
        <v>-* texnik pasport: AAG   4517617  20.08.2024y</v>
      </c>
      <c r="B30" s="271"/>
      <c r="C30" s="271"/>
      <c r="D30" s="271"/>
      <c r="E30" s="271"/>
    </row>
    <row r="31" spans="1:5" ht="22.5" customHeight="1">
      <c r="A31" s="271" t="str">
        <f>dalolatnoma!A24:E24</f>
        <v>-* roʻyxatdan oʻtgan manzili/garaj manzili: BUXORO VILOYATI BUXORO TUMANI XONOBOD MFY XONOBOD QISHLOG'I</v>
      </c>
      <c r="B31" s="271"/>
      <c r="C31" s="271"/>
      <c r="D31" s="271"/>
      <c r="E31" s="271"/>
    </row>
    <row r="32" spans="1:5" ht="25.5" customHeight="1">
      <c r="A32" s="271" t="str">
        <f>dalolatnoma!A25:E25</f>
        <v>-* davlat raqami: 80Y320AB</v>
      </c>
      <c r="B32" s="271"/>
      <c r="C32" s="271"/>
      <c r="D32" s="271"/>
      <c r="E32" s="271"/>
    </row>
    <row r="33" spans="1:5" ht="12" customHeight="1">
      <c r="A33" s="182"/>
      <c r="B33" s="182"/>
      <c r="C33" s="182"/>
      <c r="D33" s="182"/>
      <c r="E33" s="182"/>
    </row>
    <row r="34" spans="1:5" ht="20.25" customHeight="1">
      <c r="A34" s="271" t="str">
        <f>"6. Boshqa shartlar – "&amp;IF(malumot!B111=malumot!B112,"avtotransport vositasi",IF(malumot!B111=malumot!C112,"ko'chmas mulk",0))&amp;" shaklida garov ta'minlangandan keyin "&amp;malumot!B65&amp;" berish."</f>
        <v>6. Boshqa shartlar – 0 shaklida garov ta'minlangandan keyin mikroqarz berish.</v>
      </c>
      <c r="B34" s="271"/>
      <c r="C34" s="271"/>
      <c r="D34" s="271"/>
      <c r="E34" s="271"/>
    </row>
    <row r="35" spans="1:5">
      <c r="A35" s="14"/>
      <c r="B35" s="14"/>
      <c r="C35" s="14"/>
      <c r="D35" s="14"/>
      <c r="E35" s="14"/>
    </row>
    <row r="36" spans="1:5">
      <c r="A36" s="14"/>
      <c r="B36" s="14"/>
      <c r="C36" s="14"/>
      <c r="D36" s="14"/>
      <c r="E36" s="14"/>
    </row>
    <row r="37" spans="1:5">
      <c r="A37" s="14"/>
      <c r="B37" s="14"/>
      <c r="C37" s="14"/>
      <c r="D37" s="14"/>
      <c r="E37" s="14"/>
    </row>
    <row r="39" spans="1:5" ht="29.25" customHeight="1">
      <c r="A39" s="277" t="s">
        <v>259</v>
      </c>
      <c r="B39" s="277"/>
      <c r="C39" s="277"/>
      <c r="D39" s="277"/>
      <c r="E39" s="277"/>
    </row>
    <row r="40" spans="1:5">
      <c r="A40" s="222"/>
      <c r="B40" s="222"/>
      <c r="C40" s="222"/>
      <c r="D40" s="222"/>
      <c r="E40" s="222"/>
    </row>
    <row r="41" spans="1:5" ht="37.5" customHeight="1">
      <c r="A41" s="273" t="str">
        <f>malumot!B155&amp;" ijrochi direktori"</f>
        <v>«CLEVER MIKROMOLIYA TASHKILOTI» MChJ ijrochi direktori</v>
      </c>
      <c r="B41" s="273"/>
      <c r="C41" s="218"/>
      <c r="D41" s="219" t="s">
        <v>393</v>
      </c>
      <c r="E41" s="193"/>
    </row>
    <row r="42" spans="1:5">
      <c r="A42" s="221"/>
      <c r="B42" s="221"/>
      <c r="C42" s="218"/>
      <c r="D42" s="219"/>
      <c r="E42" s="193"/>
    </row>
    <row r="43" spans="1:5">
      <c r="A43" s="221"/>
      <c r="B43" s="221"/>
      <c r="C43" s="218"/>
      <c r="D43" s="219"/>
      <c r="E43" s="193"/>
    </row>
    <row r="44" spans="1:5">
      <c r="A44" s="183"/>
      <c r="B44" s="218"/>
      <c r="C44" s="218"/>
      <c r="D44" s="220"/>
      <c r="E44" s="194"/>
    </row>
    <row r="45" spans="1:5" ht="29.25">
      <c r="A45" s="183" t="str">
        <f>malumot!A167</f>
        <v>Kreditlash bo’limi boshlig’i</v>
      </c>
      <c r="D45" s="221" t="str">
        <f>malumot!B167</f>
        <v>B. Mominov</v>
      </c>
      <c r="E45" s="195"/>
    </row>
    <row r="46" spans="1:5">
      <c r="A46" s="31"/>
      <c r="D46" s="221"/>
      <c r="E46" s="195"/>
    </row>
    <row r="47" spans="1:5">
      <c r="A47" s="31"/>
      <c r="D47" s="221"/>
      <c r="E47" s="195"/>
    </row>
    <row r="49" spans="1:4" ht="29.25">
      <c r="A49" s="183" t="str">
        <f>malumot!A168</f>
        <v>Monitoring bo’limi boshlig’i</v>
      </c>
      <c r="D49" s="183" t="str">
        <f>malumot!B168</f>
        <v>J.Karimov</v>
      </c>
    </row>
  </sheetData>
  <mergeCells count="23">
    <mergeCell ref="A39:E39"/>
    <mergeCell ref="A32:E32"/>
    <mergeCell ref="A26:E26"/>
    <mergeCell ref="A29:E29"/>
    <mergeCell ref="A30:E30"/>
    <mergeCell ref="A31:E31"/>
    <mergeCell ref="A34:E34"/>
    <mergeCell ref="A41:B41"/>
    <mergeCell ref="A22:E22"/>
    <mergeCell ref="A1:E1"/>
    <mergeCell ref="A2:E2"/>
    <mergeCell ref="B4:D4"/>
    <mergeCell ref="A5:E5"/>
    <mergeCell ref="A7:E12"/>
    <mergeCell ref="A14:E14"/>
    <mergeCell ref="A16:E16"/>
    <mergeCell ref="A18:E18"/>
    <mergeCell ref="A19:E19"/>
    <mergeCell ref="A20:E20"/>
    <mergeCell ref="A21:E21"/>
    <mergeCell ref="A23:E23"/>
    <mergeCell ref="A24:E24"/>
    <mergeCell ref="A25:E25"/>
  </mergeCells>
  <pageMargins left="0.70866141732283472" right="0.70866141732283472" top="0.74803149606299213" bottom="0.74803149606299213" header="0.31496062992125984" footer="0.31496062992125984"/>
  <pageSetup paperSize="9" scale="72" orientation="portrait" verticalDpi="300" r:id="rId1"/>
  <colBreaks count="1" manualBreakCount="1">
    <brk id="5" max="1048575" man="1"/>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Лист19">
    <tabColor theme="1"/>
  </sheetPr>
  <dimension ref="A1:V64"/>
  <sheetViews>
    <sheetView zoomScale="70" zoomScaleNormal="70" zoomScaleSheetLayoutView="70" workbookViewId="0">
      <selection activeCell="D43" sqref="D43"/>
    </sheetView>
  </sheetViews>
  <sheetFormatPr defaultColWidth="9.140625" defaultRowHeight="15" outlineLevelCol="1"/>
  <cols>
    <col min="1" max="1" width="9.140625" style="71"/>
    <col min="2" max="2" width="12.28515625" style="71" customWidth="1"/>
    <col min="3" max="3" width="16.5703125" style="71" customWidth="1"/>
    <col min="4" max="4" width="16.7109375" style="71" customWidth="1"/>
    <col min="5" max="5" width="16.5703125" style="71" customWidth="1"/>
    <col min="6" max="6" width="20.85546875" style="71" customWidth="1"/>
    <col min="7" max="7" width="10.140625" style="71" customWidth="1" outlineLevel="1"/>
    <col min="8" max="8" width="19.140625" style="71" customWidth="1"/>
    <col min="9" max="9" width="21.42578125" style="71" customWidth="1"/>
    <col min="10" max="10" width="20.85546875" style="71" customWidth="1"/>
    <col min="11" max="11" width="20.140625" style="71" customWidth="1"/>
    <col min="12" max="12" width="21.42578125" style="71" customWidth="1"/>
    <col min="13" max="13" width="25.42578125" style="71" customWidth="1"/>
    <col min="14" max="14" width="18.28515625" style="71" customWidth="1"/>
    <col min="15" max="17" width="9.140625" style="10"/>
    <col min="18" max="18" width="24.42578125" style="10" customWidth="1"/>
    <col min="19" max="16384" width="9.140625" style="10"/>
  </cols>
  <sheetData>
    <row r="1" spans="1:22">
      <c r="A1" s="70"/>
      <c r="B1" s="70"/>
      <c r="C1" s="70"/>
      <c r="D1" s="70"/>
      <c r="E1" s="278" t="s">
        <v>15</v>
      </c>
      <c r="F1" s="278"/>
    </row>
    <row r="2" spans="1:22">
      <c r="A2" s="70"/>
      <c r="B2" s="70"/>
      <c r="C2" s="70"/>
      <c r="D2" s="70"/>
      <c r="E2" s="70"/>
      <c r="F2" s="72" t="str">
        <f>"к договору микрозайма "&amp;malumot!B74&amp;""</f>
        <v>к договору микрозайма 1 aprel 2025 y.dan № 687-BR</v>
      </c>
    </row>
    <row r="3" spans="1:22" ht="19.5" customHeight="1">
      <c r="A3" s="70"/>
      <c r="B3" s="70"/>
      <c r="C3" s="70"/>
      <c r="D3" s="70"/>
      <c r="E3" s="70"/>
      <c r="F3" s="70"/>
      <c r="H3" s="73"/>
      <c r="I3" s="73"/>
      <c r="J3" s="74"/>
      <c r="K3" s="74"/>
    </row>
    <row r="4" spans="1:22" ht="19.5" customHeight="1">
      <c r="A4" s="279" t="s">
        <v>16</v>
      </c>
      <c r="B4" s="279"/>
      <c r="C4" s="279"/>
      <c r="D4" s="279"/>
      <c r="E4" s="279"/>
      <c r="F4" s="279"/>
      <c r="H4" s="73"/>
      <c r="I4" s="73"/>
      <c r="J4" s="73"/>
      <c r="K4" s="73"/>
    </row>
    <row r="5" spans="1:22" ht="19.5" customHeight="1">
      <c r="L5" s="71">
        <f>malumot!B81</f>
        <v>32</v>
      </c>
    </row>
    <row r="6" spans="1:22">
      <c r="A6" s="280" t="s">
        <v>14</v>
      </c>
      <c r="B6" s="281" t="s">
        <v>8</v>
      </c>
      <c r="C6" s="281" t="s">
        <v>9</v>
      </c>
      <c r="D6" s="282" t="s">
        <v>10</v>
      </c>
      <c r="E6" s="282"/>
      <c r="F6" s="282"/>
    </row>
    <row r="7" spans="1:22" s="11" customFormat="1">
      <c r="A7" s="280"/>
      <c r="B7" s="281"/>
      <c r="C7" s="281"/>
      <c r="D7" s="75" t="s">
        <v>11</v>
      </c>
      <c r="E7" s="75" t="s">
        <v>12</v>
      </c>
      <c r="F7" s="75" t="s">
        <v>13</v>
      </c>
      <c r="G7" s="76"/>
      <c r="H7" s="76"/>
      <c r="I7" s="76"/>
      <c r="J7" s="76"/>
      <c r="K7" s="76"/>
      <c r="L7" s="76"/>
      <c r="M7" s="76"/>
      <c r="N7" s="76"/>
    </row>
    <row r="8" spans="1:22">
      <c r="A8" s="77">
        <v>1</v>
      </c>
      <c r="B8" s="78">
        <f>malumot!B79</f>
        <v>45778</v>
      </c>
      <c r="C8" s="44">
        <f>malumot!B75</f>
        <v>26000000</v>
      </c>
      <c r="D8" s="44">
        <f>IF(IF(C8=0,L8,IF(C8&gt;1,I8))="",0,(IF(C8=0,L8,IF(C8&gt;1,I8))))</f>
        <v>812500</v>
      </c>
      <c r="E8" s="44">
        <f>IF(C8=0,N6,IF(C8&gt;1,L8))</f>
        <v>1282191.9000000001</v>
      </c>
      <c r="F8" s="44">
        <f>IF(C8=0,O6,IF(C8&gt;1,M8))</f>
        <v>2094691.9000000001</v>
      </c>
      <c r="G8" s="91">
        <f>B8-malumot!B67</f>
        <v>30</v>
      </c>
      <c r="H8" s="71">
        <f>DATE(YEAR(B8),12,31)-DATE(YEAR(B8),1,1)+1</f>
        <v>365</v>
      </c>
      <c r="I8" s="79">
        <f>IF(malumot!B83=0,ROUND(C8/L5,2),"")</f>
        <v>812500</v>
      </c>
      <c r="J8" s="79"/>
      <c r="K8" s="79"/>
      <c r="L8" s="73">
        <f>ROUND(C8*malumot!$B$84/H8,2)*G8</f>
        <v>1282191.9000000001</v>
      </c>
      <c r="M8" s="73">
        <f t="shared" ref="M8:M31" si="0">D8+E8</f>
        <v>2094691.9000000001</v>
      </c>
      <c r="N8" s="73"/>
      <c r="O8" s="88" t="str">
        <f>TEXT(B8,"ддд")</f>
        <v>Чт</v>
      </c>
      <c r="P8" s="90">
        <f>IF(O8=$U$8,2,IF(O8=$V$8,1,0))</f>
        <v>0</v>
      </c>
      <c r="Q8" s="90">
        <f>DAY(malumot!$B$78)+P8</f>
        <v>1</v>
      </c>
      <c r="R8" s="85"/>
      <c r="S8" s="86" t="s">
        <v>31</v>
      </c>
      <c r="T8" s="86" t="s">
        <v>32</v>
      </c>
      <c r="U8" s="86" t="s">
        <v>33</v>
      </c>
      <c r="V8" s="87" t="s">
        <v>34</v>
      </c>
    </row>
    <row r="9" spans="1:22">
      <c r="A9" s="77">
        <v>2</v>
      </c>
      <c r="B9" s="78">
        <f>IF(A9&lt;=malumot!$B$81,DATE(YEAR(R9),MONTH(R9),DAY(IF(A9=malumot!$B$81,malumot!$B$67,IF(A9&lt;malumot!$B$81,(Q9),IF(A9&gt;malumot!$B$81,$H$44,0))))))</f>
        <v>45810</v>
      </c>
      <c r="C9" s="44">
        <f t="shared" ref="C9:C30" si="1">C8-D8</f>
        <v>25187500</v>
      </c>
      <c r="D9" s="44">
        <f t="shared" ref="D9:D30" si="2">IF(C9=0,L9,IF(C9&gt;1,I9))</f>
        <v>812500</v>
      </c>
      <c r="E9" s="44">
        <f t="shared" ref="E9:E30" si="3">IF(C9=0,N8,IF(C9&gt;1,L9))</f>
        <v>1324931.52</v>
      </c>
      <c r="F9" s="44">
        <f t="shared" ref="F9:F30" si="4">IF(C9=0,N8,IF(C9&gt;1,M9))</f>
        <v>2137431.52</v>
      </c>
      <c r="G9" s="71">
        <f>B9-B8</f>
        <v>32</v>
      </c>
      <c r="H9" s="71">
        <f t="shared" ref="H9:H31" si="5">DATE(YEAR(B9),12,31)-DATE(YEAR(B9),1,1)+1</f>
        <v>365</v>
      </c>
      <c r="I9" s="79">
        <f>IF(I8="",ROUND(C8/(L5-1),2),I8)</f>
        <v>812500</v>
      </c>
      <c r="J9" s="79"/>
      <c r="K9" s="79"/>
      <c r="L9" s="73">
        <f>ROUND(C9*malumot!$B$84/H9,2)*G9</f>
        <v>1324931.52</v>
      </c>
      <c r="M9" s="73">
        <f t="shared" si="0"/>
        <v>2137431.52</v>
      </c>
      <c r="N9" s="73"/>
      <c r="O9" s="88" t="str">
        <f>TEXT(R9,"ддд")</f>
        <v>Вс</v>
      </c>
      <c r="P9" s="90">
        <f t="shared" ref="P9:P31" si="6">IF(O9=$U$8,2,IF(O9=$V$8,1,0))</f>
        <v>1</v>
      </c>
      <c r="Q9" s="90">
        <f>DAY(malumot!$B$78)+P9</f>
        <v>2</v>
      </c>
      <c r="R9" s="85">
        <f>IF(A9&lt;=malumot!$B$81,DATE(YEAR($B$8),MONTH($B$8)+A8,DAY(malumot!$B$78)),0)</f>
        <v>45809</v>
      </c>
      <c r="S9" s="71"/>
      <c r="T9" s="71"/>
      <c r="U9" s="71"/>
      <c r="V9" s="71"/>
    </row>
    <row r="10" spans="1:22">
      <c r="A10" s="77">
        <v>3</v>
      </c>
      <c r="B10" s="78">
        <f>IF(A10&lt;=malumot!$B$81,DATE(YEAR(R10),MONTH(R10),DAY(IF(A10=malumot!$B$81,malumot!$B$67,IF(A10&lt;malumot!$B$81,(Q10),IF(A10&gt;malumot!$B$81,$H$44,0))))))</f>
        <v>45839</v>
      </c>
      <c r="C10" s="44">
        <f t="shared" si="1"/>
        <v>24375000</v>
      </c>
      <c r="D10" s="44">
        <f t="shared" si="2"/>
        <v>812500</v>
      </c>
      <c r="E10" s="44">
        <f t="shared" si="3"/>
        <v>1161986.21</v>
      </c>
      <c r="F10" s="44">
        <f t="shared" si="4"/>
        <v>1974486.21</v>
      </c>
      <c r="G10" s="71">
        <f t="shared" ref="G10:G31" si="7">B10-B9</f>
        <v>29</v>
      </c>
      <c r="H10" s="71">
        <f t="shared" si="5"/>
        <v>365</v>
      </c>
      <c r="I10" s="79">
        <f>I9</f>
        <v>812500</v>
      </c>
      <c r="J10" s="79"/>
      <c r="K10" s="79"/>
      <c r="L10" s="73">
        <f>ROUND(C10*malumot!$B$84/H10,2)*G10</f>
        <v>1161986.21</v>
      </c>
      <c r="M10" s="73">
        <f t="shared" si="0"/>
        <v>1974486.21</v>
      </c>
      <c r="N10" s="73"/>
      <c r="O10" s="88" t="str">
        <f t="shared" ref="O10:O31" si="8">TEXT(R10,"ддд")</f>
        <v>Вт</v>
      </c>
      <c r="P10" s="90">
        <f t="shared" si="6"/>
        <v>0</v>
      </c>
      <c r="Q10" s="90">
        <f>DAY(malumot!$B$78)+P10</f>
        <v>1</v>
      </c>
      <c r="R10" s="85">
        <f>IF(A10&lt;=malumot!$B$81,DATE(YEAR($B$8),MONTH($B$8)+A9,DAY(malumot!$B$78)),0)</f>
        <v>45839</v>
      </c>
      <c r="S10" s="71"/>
      <c r="T10" s="71"/>
      <c r="U10" s="71"/>
      <c r="V10" s="71"/>
    </row>
    <row r="11" spans="1:22">
      <c r="A11" s="77">
        <v>4</v>
      </c>
      <c r="B11" s="78">
        <f>IF(A11&lt;=malumot!$B$81,DATE(YEAR(R11),MONTH(R11),DAY(IF(A11=malumot!$B$81,malumot!$B$67,IF(A11&lt;malumot!$B$81,(Q11),IF(A11&gt;malumot!$B$81,$H$44,0))))))</f>
        <v>45870</v>
      </c>
      <c r="C11" s="44">
        <f t="shared" si="1"/>
        <v>23562500</v>
      </c>
      <c r="D11" s="44">
        <f t="shared" si="2"/>
        <v>812500</v>
      </c>
      <c r="E11" s="44">
        <f t="shared" si="3"/>
        <v>1200719.28</v>
      </c>
      <c r="F11" s="44">
        <f t="shared" si="4"/>
        <v>2013219.28</v>
      </c>
      <c r="G11" s="71">
        <f t="shared" si="7"/>
        <v>31</v>
      </c>
      <c r="H11" s="71">
        <f t="shared" si="5"/>
        <v>365</v>
      </c>
      <c r="I11" s="79">
        <f>I10</f>
        <v>812500</v>
      </c>
      <c r="J11" s="79"/>
      <c r="K11" s="79"/>
      <c r="L11" s="73">
        <f>ROUND(C11*malumot!$B$84/H11,2)*G11</f>
        <v>1200719.28</v>
      </c>
      <c r="M11" s="73">
        <f t="shared" si="0"/>
        <v>2013219.28</v>
      </c>
      <c r="N11" s="73"/>
      <c r="O11" s="88" t="str">
        <f t="shared" si="8"/>
        <v>Пт</v>
      </c>
      <c r="P11" s="90">
        <f t="shared" si="6"/>
        <v>0</v>
      </c>
      <c r="Q11" s="90">
        <f>DAY(malumot!$B$78)+P11</f>
        <v>1</v>
      </c>
      <c r="R11" s="85">
        <f>IF(A11&lt;=malumot!$B$81,DATE(YEAR($B$8),MONTH($B$8)+A10,DAY(malumot!$B$78)),0)</f>
        <v>45870</v>
      </c>
      <c r="S11" s="71"/>
      <c r="T11" s="71"/>
      <c r="U11" s="71"/>
      <c r="V11" s="71"/>
    </row>
    <row r="12" spans="1:22">
      <c r="A12" s="77">
        <v>5</v>
      </c>
      <c r="B12" s="78">
        <f>IF(A12&lt;=malumot!$B$81,DATE(YEAR(R12),MONTH(R12),DAY(IF(A12=malumot!$B$81,malumot!$B$67,IF(A12&lt;malumot!$B$81,(Q12),IF(A12&gt;malumot!$B$81,$H$44,0))))))</f>
        <v>45901</v>
      </c>
      <c r="C12" s="44">
        <f t="shared" si="1"/>
        <v>22750000</v>
      </c>
      <c r="D12" s="44">
        <f t="shared" si="2"/>
        <v>812500</v>
      </c>
      <c r="E12" s="44">
        <f t="shared" si="3"/>
        <v>1159315.06</v>
      </c>
      <c r="F12" s="44">
        <f t="shared" si="4"/>
        <v>1971815.06</v>
      </c>
      <c r="G12" s="71">
        <f t="shared" si="7"/>
        <v>31</v>
      </c>
      <c r="H12" s="71">
        <f t="shared" si="5"/>
        <v>365</v>
      </c>
      <c r="I12" s="79">
        <f>I11</f>
        <v>812500</v>
      </c>
      <c r="J12" s="79">
        <f>malumot!B75</f>
        <v>26000000</v>
      </c>
      <c r="K12" s="79"/>
      <c r="L12" s="73">
        <f>ROUND(C12*malumot!$B$84/H12,2)*G12</f>
        <v>1159315.06</v>
      </c>
      <c r="M12" s="73">
        <f t="shared" si="0"/>
        <v>1971815.06</v>
      </c>
      <c r="N12" s="73"/>
      <c r="O12" s="88" t="str">
        <f t="shared" si="8"/>
        <v>Пн</v>
      </c>
      <c r="P12" s="90">
        <f t="shared" si="6"/>
        <v>0</v>
      </c>
      <c r="Q12" s="90">
        <f>DAY(malumot!$B$78)+P12</f>
        <v>1</v>
      </c>
      <c r="R12" s="85">
        <f>IF(A12&lt;=malumot!$B$81,DATE(YEAR($B$8),MONTH($B$8)+A11,DAY(malumot!$B$78)),0)</f>
        <v>45901</v>
      </c>
      <c r="S12" s="71"/>
      <c r="T12" s="71"/>
      <c r="U12" s="71"/>
      <c r="V12" s="71"/>
    </row>
    <row r="13" spans="1:22">
      <c r="A13" s="77">
        <v>6</v>
      </c>
      <c r="B13" s="78">
        <f>IF(A13&lt;=malumot!$B$81,DATE(YEAR(R13),MONTH(R13),DAY(IF(A13=malumot!$B$81,malumot!$B$67,IF(A13&lt;malumot!$B$81,(Q13),IF(A13&gt;malumot!$B$81,$H$44,0))))))</f>
        <v>45931</v>
      </c>
      <c r="C13" s="44">
        <f t="shared" si="1"/>
        <v>21937500</v>
      </c>
      <c r="D13" s="44">
        <f t="shared" si="2"/>
        <v>812500</v>
      </c>
      <c r="E13" s="44">
        <f t="shared" si="3"/>
        <v>1081849.2</v>
      </c>
      <c r="F13" s="44">
        <f t="shared" si="4"/>
        <v>1894349.2</v>
      </c>
      <c r="G13" s="71">
        <f t="shared" si="7"/>
        <v>30</v>
      </c>
      <c r="H13" s="71">
        <f t="shared" si="5"/>
        <v>365</v>
      </c>
      <c r="I13" s="79">
        <f>IF(L5=H1,K13,IF(L5&gt;H1,I12))</f>
        <v>812500</v>
      </c>
      <c r="J13" s="79">
        <f>SUM($I$8:I12)</f>
        <v>4062500</v>
      </c>
      <c r="K13" s="79">
        <f>$J$12-J13</f>
        <v>21937500</v>
      </c>
      <c r="L13" s="73">
        <f>ROUND(C13*malumot!$B$84/H13,2)*G13</f>
        <v>1081849.2</v>
      </c>
      <c r="M13" s="73">
        <f t="shared" si="0"/>
        <v>1894349.2</v>
      </c>
      <c r="N13" s="73"/>
      <c r="O13" s="88" t="str">
        <f t="shared" si="8"/>
        <v>Ср</v>
      </c>
      <c r="P13" s="90">
        <f t="shared" si="6"/>
        <v>0</v>
      </c>
      <c r="Q13" s="90">
        <f>DAY(malumot!$B$78)+P13</f>
        <v>1</v>
      </c>
      <c r="R13" s="85">
        <f>IF(A13&lt;=malumot!$B$81,DATE(YEAR($B$8),MONTH($B$8)+A12,DAY(malumot!$B$78)),0)</f>
        <v>45931</v>
      </c>
      <c r="S13" s="71"/>
      <c r="T13" s="71"/>
      <c r="U13" s="71"/>
      <c r="V13" s="71"/>
    </row>
    <row r="14" spans="1:22">
      <c r="A14" s="77">
        <v>7</v>
      </c>
      <c r="B14" s="78">
        <f>IF(A14&lt;=malumot!$B$81,DATE(YEAR(R14),MONTH(R14),DAY(IF(A14=malumot!$B$81,malumot!$B$67,IF(A14&lt;malumot!$B$81,(Q14),IF(A14&gt;malumot!$B$81,$H$44,0))))))</f>
        <v>45964</v>
      </c>
      <c r="C14" s="44">
        <f t="shared" si="1"/>
        <v>21125000</v>
      </c>
      <c r="D14" s="44">
        <f t="shared" si="2"/>
        <v>812500</v>
      </c>
      <c r="E14" s="44">
        <f t="shared" si="3"/>
        <v>1145958.99</v>
      </c>
      <c r="F14" s="44">
        <f t="shared" si="4"/>
        <v>1958458.99</v>
      </c>
      <c r="G14" s="71">
        <f t="shared" si="7"/>
        <v>33</v>
      </c>
      <c r="H14" s="71">
        <f t="shared" si="5"/>
        <v>365</v>
      </c>
      <c r="I14" s="79">
        <f>IF($L$5=A14,K14,IF($L$5&gt;A14,I13))</f>
        <v>812500</v>
      </c>
      <c r="J14" s="79">
        <f>SUM($I$8:I13)</f>
        <v>4875000</v>
      </c>
      <c r="K14" s="79">
        <f t="shared" ref="K14:K31" si="9">$J$12-J14</f>
        <v>21125000</v>
      </c>
      <c r="L14" s="73">
        <f>ROUND(C14*malumot!$B$84/H14,2)*G14</f>
        <v>1145958.99</v>
      </c>
      <c r="M14" s="73">
        <f t="shared" si="0"/>
        <v>1958458.99</v>
      </c>
      <c r="N14" s="73"/>
      <c r="O14" s="88" t="str">
        <f t="shared" si="8"/>
        <v>Сб</v>
      </c>
      <c r="P14" s="90">
        <f t="shared" si="6"/>
        <v>2</v>
      </c>
      <c r="Q14" s="90">
        <f>DAY(malumot!$B$78)+P14</f>
        <v>3</v>
      </c>
      <c r="R14" s="85">
        <f>IF(A14&lt;=malumot!$B$81,DATE(YEAR($B$8),MONTH($B$8)+A13,DAY(malumot!$B$78)),0)</f>
        <v>45962</v>
      </c>
      <c r="S14" s="71"/>
      <c r="T14" s="71"/>
      <c r="U14" s="71"/>
      <c r="V14" s="71"/>
    </row>
    <row r="15" spans="1:22">
      <c r="A15" s="77">
        <v>8</v>
      </c>
      <c r="B15" s="78">
        <f>IF(A15&lt;=malumot!$B$81,DATE(YEAR(R15),MONTH(R15),DAY(IF(A15=malumot!$B$81,malumot!$B$67,IF(A15&lt;malumot!$B$81,(Q15),IF(A15&gt;malumot!$B$81,$H$44,0))))))</f>
        <v>45992</v>
      </c>
      <c r="C15" s="44">
        <f t="shared" si="1"/>
        <v>20312500</v>
      </c>
      <c r="D15" s="44">
        <f t="shared" si="2"/>
        <v>812500</v>
      </c>
      <c r="E15" s="44">
        <f t="shared" si="3"/>
        <v>934931.4800000001</v>
      </c>
      <c r="F15" s="44">
        <f t="shared" si="4"/>
        <v>1747431.48</v>
      </c>
      <c r="G15" s="71">
        <f t="shared" si="7"/>
        <v>28</v>
      </c>
      <c r="H15" s="71">
        <f t="shared" si="5"/>
        <v>365</v>
      </c>
      <c r="I15" s="79">
        <f t="shared" ref="I15:I31" si="10">IF($L$5=A15,K15,IF($L$5&gt;A15,I14))</f>
        <v>812500</v>
      </c>
      <c r="J15" s="79">
        <f>SUM($I$8:I14)</f>
        <v>5687500</v>
      </c>
      <c r="K15" s="79">
        <f t="shared" si="9"/>
        <v>20312500</v>
      </c>
      <c r="L15" s="73">
        <f>ROUND(C15*malumot!$B$84/H15,2)*G15</f>
        <v>934931.4800000001</v>
      </c>
      <c r="M15" s="73">
        <f t="shared" si="0"/>
        <v>1747431.48</v>
      </c>
      <c r="N15" s="73"/>
      <c r="O15" s="88" t="str">
        <f t="shared" si="8"/>
        <v>Пн</v>
      </c>
      <c r="P15" s="90">
        <f t="shared" si="6"/>
        <v>0</v>
      </c>
      <c r="Q15" s="90">
        <f>DAY(malumot!$B$78)+P15</f>
        <v>1</v>
      </c>
      <c r="R15" s="85">
        <f>IF(A15&lt;=malumot!$B$81,DATE(YEAR($B$8),MONTH($B$8)+A14,DAY(malumot!$B$78)),0)</f>
        <v>45992</v>
      </c>
      <c r="S15" s="71"/>
      <c r="T15" s="71"/>
      <c r="U15" s="71"/>
      <c r="V15" s="71"/>
    </row>
    <row r="16" spans="1:22">
      <c r="A16" s="77">
        <v>9</v>
      </c>
      <c r="B16" s="78">
        <f>IF(A16&lt;=malumot!$B$81,DATE(YEAR(R16),MONTH(R16),DAY(IF(A16=malumot!$B$81,malumot!$B$67,IF(A16&lt;malumot!$B$81,(Q16),IF(A16&gt;malumot!$B$81,$H$44,0))))))</f>
        <v>46023</v>
      </c>
      <c r="C16" s="44">
        <f t="shared" si="1"/>
        <v>19500000</v>
      </c>
      <c r="D16" s="44">
        <f t="shared" si="2"/>
        <v>812500</v>
      </c>
      <c r="E16" s="44">
        <f t="shared" si="3"/>
        <v>993698.49</v>
      </c>
      <c r="F16" s="44">
        <f t="shared" si="4"/>
        <v>1806198.49</v>
      </c>
      <c r="G16" s="71">
        <f t="shared" si="7"/>
        <v>31</v>
      </c>
      <c r="H16" s="71">
        <f t="shared" si="5"/>
        <v>365</v>
      </c>
      <c r="I16" s="79">
        <f t="shared" si="10"/>
        <v>812500</v>
      </c>
      <c r="J16" s="79">
        <f>SUM($I$8:I15)</f>
        <v>6500000</v>
      </c>
      <c r="K16" s="79">
        <f t="shared" si="9"/>
        <v>19500000</v>
      </c>
      <c r="L16" s="73">
        <f>ROUND(C16*malumot!$B$84/H16,2)*G16</f>
        <v>993698.49</v>
      </c>
      <c r="M16" s="73">
        <f t="shared" si="0"/>
        <v>1806198.49</v>
      </c>
      <c r="N16" s="73"/>
      <c r="O16" s="88" t="str">
        <f t="shared" si="8"/>
        <v>Чт</v>
      </c>
      <c r="P16" s="90">
        <f t="shared" si="6"/>
        <v>0</v>
      </c>
      <c r="Q16" s="90">
        <f>DAY(malumot!$B$78)+P16</f>
        <v>1</v>
      </c>
      <c r="R16" s="85">
        <f>IF(A16&lt;=malumot!$B$81,DATE(YEAR($B$8),MONTH($B$8)+A15,DAY(malumot!$B$78)),0)</f>
        <v>46023</v>
      </c>
      <c r="S16" s="71"/>
      <c r="T16" s="71"/>
      <c r="U16" s="71"/>
      <c r="V16" s="71"/>
    </row>
    <row r="17" spans="1:22">
      <c r="A17" s="77">
        <v>10</v>
      </c>
      <c r="B17" s="78">
        <f>IF(A17&lt;=malumot!$B$81,DATE(YEAR(R17),MONTH(R17),DAY(IF(A17=malumot!$B$81,malumot!$B$67,IF(A17&lt;malumot!$B$81,(Q17),IF(A17&gt;malumot!$B$81,$H$44,0))))))</f>
        <v>46055</v>
      </c>
      <c r="C17" s="44">
        <f t="shared" si="1"/>
        <v>18687500</v>
      </c>
      <c r="D17" s="44">
        <f t="shared" si="2"/>
        <v>812500</v>
      </c>
      <c r="E17" s="44">
        <f t="shared" si="3"/>
        <v>983013.76</v>
      </c>
      <c r="F17" s="44">
        <f t="shared" si="4"/>
        <v>1795513.76</v>
      </c>
      <c r="G17" s="71">
        <f t="shared" si="7"/>
        <v>32</v>
      </c>
      <c r="H17" s="71">
        <f t="shared" si="5"/>
        <v>365</v>
      </c>
      <c r="I17" s="79">
        <f t="shared" si="10"/>
        <v>812500</v>
      </c>
      <c r="J17" s="79">
        <f>SUM($I$8:I16)</f>
        <v>7312500</v>
      </c>
      <c r="K17" s="79">
        <f>$J$12-J17</f>
        <v>18687500</v>
      </c>
      <c r="L17" s="73">
        <f>ROUND(C17*malumot!$B$84/H17,2)*G17</f>
        <v>983013.76</v>
      </c>
      <c r="M17" s="73">
        <f t="shared" si="0"/>
        <v>1795513.76</v>
      </c>
      <c r="N17" s="73"/>
      <c r="O17" s="88" t="str">
        <f t="shared" si="8"/>
        <v>Вс</v>
      </c>
      <c r="P17" s="90">
        <f t="shared" si="6"/>
        <v>1</v>
      </c>
      <c r="Q17" s="90">
        <f>DAY(malumot!$B$78)+P17</f>
        <v>2</v>
      </c>
      <c r="R17" s="85">
        <f>IF(A17&lt;=malumot!$B$81,DATE(YEAR($B$8),MONTH($B$8)+A16,DAY(malumot!$B$78)),0)</f>
        <v>46054</v>
      </c>
      <c r="S17" s="71"/>
      <c r="T17" s="71"/>
      <c r="U17" s="71"/>
      <c r="V17" s="71"/>
    </row>
    <row r="18" spans="1:22">
      <c r="A18" s="77">
        <v>11</v>
      </c>
      <c r="B18" s="78">
        <f>IF(A18&lt;=malumot!$B$81,DATE(YEAR(R18),MONTH(R18),DAY(IF(A18=malumot!$B$81,malumot!$B$67,IF(A18&lt;malumot!$B$81,(Q18),IF(A18&gt;malumot!$B$81,$H$44,0))))))</f>
        <v>46083</v>
      </c>
      <c r="C18" s="44">
        <f t="shared" si="1"/>
        <v>17875000</v>
      </c>
      <c r="D18" s="44">
        <f t="shared" si="2"/>
        <v>812500</v>
      </c>
      <c r="E18" s="44">
        <f t="shared" si="3"/>
        <v>822739.68</v>
      </c>
      <c r="F18" s="44">
        <f t="shared" si="4"/>
        <v>1635239.6800000002</v>
      </c>
      <c r="G18" s="71">
        <f t="shared" si="7"/>
        <v>28</v>
      </c>
      <c r="H18" s="71">
        <f t="shared" si="5"/>
        <v>365</v>
      </c>
      <c r="I18" s="79">
        <f t="shared" si="10"/>
        <v>812500</v>
      </c>
      <c r="J18" s="79">
        <f>SUM($I$8:I17)</f>
        <v>8125000</v>
      </c>
      <c r="K18" s="79">
        <f t="shared" si="9"/>
        <v>17875000</v>
      </c>
      <c r="L18" s="73">
        <f>ROUND(C18*malumot!$B$84/H18,2)*G18</f>
        <v>822739.68</v>
      </c>
      <c r="M18" s="73">
        <f t="shared" si="0"/>
        <v>1635239.6800000002</v>
      </c>
      <c r="N18" s="73"/>
      <c r="O18" s="88" t="str">
        <f t="shared" si="8"/>
        <v>Вс</v>
      </c>
      <c r="P18" s="90">
        <f t="shared" si="6"/>
        <v>1</v>
      </c>
      <c r="Q18" s="90">
        <f>DAY(malumot!$B$78)+P18</f>
        <v>2</v>
      </c>
      <c r="R18" s="85">
        <f>IF(A18&lt;=malumot!$B$81,DATE(YEAR($B$8),MONTH($B$8)+A17,DAY(malumot!$B$78)),0)</f>
        <v>46082</v>
      </c>
      <c r="S18" s="71"/>
      <c r="T18" s="71"/>
      <c r="U18" s="71"/>
      <c r="V18" s="71"/>
    </row>
    <row r="19" spans="1:22">
      <c r="A19" s="77">
        <v>12</v>
      </c>
      <c r="B19" s="78">
        <f>IF(A19&lt;=malumot!$B$81,DATE(YEAR(R19),MONTH(R19),DAY(IF(A19=malumot!$B$81,malumot!$B$67,IF(A19&lt;malumot!$B$81,(Q19),IF(A19&gt;malumot!$B$81,$H$44,0))))))</f>
        <v>46113</v>
      </c>
      <c r="C19" s="44">
        <f t="shared" si="1"/>
        <v>17062500</v>
      </c>
      <c r="D19" s="44">
        <f t="shared" si="2"/>
        <v>812500</v>
      </c>
      <c r="E19" s="44">
        <f t="shared" si="3"/>
        <v>841438.5</v>
      </c>
      <c r="F19" s="44">
        <f t="shared" si="4"/>
        <v>1653938.5</v>
      </c>
      <c r="G19" s="71">
        <f t="shared" si="7"/>
        <v>30</v>
      </c>
      <c r="H19" s="71">
        <f t="shared" si="5"/>
        <v>365</v>
      </c>
      <c r="I19" s="79">
        <f t="shared" si="10"/>
        <v>812500</v>
      </c>
      <c r="J19" s="79">
        <f>SUM($I$8:I18)</f>
        <v>8937500</v>
      </c>
      <c r="K19" s="79">
        <f t="shared" si="9"/>
        <v>17062500</v>
      </c>
      <c r="L19" s="73">
        <f>ROUND(C19*malumot!$B$84/H19,2)*G19</f>
        <v>841438.5</v>
      </c>
      <c r="M19" s="73">
        <f t="shared" si="0"/>
        <v>1653938.5</v>
      </c>
      <c r="N19" s="73"/>
      <c r="O19" s="88" t="str">
        <f t="shared" si="8"/>
        <v>Ср</v>
      </c>
      <c r="P19" s="90">
        <f t="shared" si="6"/>
        <v>0</v>
      </c>
      <c r="Q19" s="90">
        <f>DAY(malumot!$B$78)+P19</f>
        <v>1</v>
      </c>
      <c r="R19" s="85">
        <f>IF(A19&lt;=malumot!$B$81,DATE(YEAR($B$8),MONTH($B$8)+A18,DAY(malumot!$B$78)),0)</f>
        <v>46113</v>
      </c>
      <c r="S19" s="71"/>
      <c r="T19" s="71"/>
      <c r="U19" s="71"/>
      <c r="V19" s="71"/>
    </row>
    <row r="20" spans="1:22">
      <c r="A20" s="77">
        <v>13</v>
      </c>
      <c r="B20" s="78">
        <f>IF(A20&lt;=malumot!$B$81,DATE(YEAR(R20),MONTH(R20),DAY(IF(A20=malumot!$B$81,malumot!$B$67,IF(A20&lt;malumot!$B$81,(Q20),IF(A20&gt;malumot!$B$81,$H$44,0))))))</f>
        <v>46143</v>
      </c>
      <c r="C20" s="44">
        <f t="shared" si="1"/>
        <v>16250000</v>
      </c>
      <c r="D20" s="44">
        <f t="shared" si="2"/>
        <v>812500</v>
      </c>
      <c r="E20" s="44">
        <f t="shared" si="3"/>
        <v>801369.9</v>
      </c>
      <c r="F20" s="44">
        <f t="shared" si="4"/>
        <v>1613869.9</v>
      </c>
      <c r="G20" s="71">
        <f t="shared" si="7"/>
        <v>30</v>
      </c>
      <c r="H20" s="71">
        <f t="shared" si="5"/>
        <v>365</v>
      </c>
      <c r="I20" s="79">
        <f t="shared" si="10"/>
        <v>812500</v>
      </c>
      <c r="J20" s="79">
        <f>SUM($I$8:I19)</f>
        <v>9750000</v>
      </c>
      <c r="K20" s="79">
        <f>$J$12-J20</f>
        <v>16250000</v>
      </c>
      <c r="L20" s="73">
        <f>ROUND(C20*malumot!$B$84/H20,2)*G20</f>
        <v>801369.9</v>
      </c>
      <c r="M20" s="73">
        <f t="shared" si="0"/>
        <v>1613869.9</v>
      </c>
      <c r="N20" s="73"/>
      <c r="O20" s="88" t="str">
        <f t="shared" si="8"/>
        <v>Пт</v>
      </c>
      <c r="P20" s="90">
        <f t="shared" si="6"/>
        <v>0</v>
      </c>
      <c r="Q20" s="90">
        <f>DAY(malumot!$B$78)+P20</f>
        <v>1</v>
      </c>
      <c r="R20" s="85">
        <f>IF(A20&lt;=malumot!$B$81,DATE(YEAR($B$8),MONTH($B$8)+A19,DAY(malumot!$B$78)),0)</f>
        <v>46143</v>
      </c>
      <c r="S20" s="71"/>
      <c r="T20" s="71"/>
      <c r="U20" s="71"/>
      <c r="V20" s="71"/>
    </row>
    <row r="21" spans="1:22">
      <c r="A21" s="77">
        <v>14</v>
      </c>
      <c r="B21" s="78">
        <f>IF(A21&lt;=malumot!$B$81,DATE(YEAR(R21),MONTH(R21),DAY(IF(A21=malumot!$B$81,malumot!$B$67,IF(A21&lt;malumot!$B$81,(Q21),IF(A21&gt;malumot!$B$81,$H$44,0))))))</f>
        <v>46174</v>
      </c>
      <c r="C21" s="44">
        <f t="shared" si="1"/>
        <v>15437500</v>
      </c>
      <c r="D21" s="44">
        <f t="shared" si="2"/>
        <v>812500</v>
      </c>
      <c r="E21" s="44">
        <f t="shared" si="3"/>
        <v>786678.01</v>
      </c>
      <c r="F21" s="44">
        <f t="shared" si="4"/>
        <v>1599178.01</v>
      </c>
      <c r="G21" s="71">
        <f t="shared" si="7"/>
        <v>31</v>
      </c>
      <c r="H21" s="71">
        <f t="shared" si="5"/>
        <v>365</v>
      </c>
      <c r="I21" s="79">
        <f t="shared" si="10"/>
        <v>812500</v>
      </c>
      <c r="J21" s="79">
        <f>SUM($I$8:I20)</f>
        <v>10562500</v>
      </c>
      <c r="K21" s="79">
        <f t="shared" si="9"/>
        <v>15437500</v>
      </c>
      <c r="L21" s="73">
        <f>ROUND(C21*malumot!$B$84/H21,2)*G21</f>
        <v>786678.01</v>
      </c>
      <c r="M21" s="73">
        <f t="shared" si="0"/>
        <v>1599178.01</v>
      </c>
      <c r="N21" s="73"/>
      <c r="O21" s="88" t="str">
        <f t="shared" si="8"/>
        <v>Пн</v>
      </c>
      <c r="P21" s="90">
        <f t="shared" si="6"/>
        <v>0</v>
      </c>
      <c r="Q21" s="90">
        <f>DAY(malumot!$B$78)+P21</f>
        <v>1</v>
      </c>
      <c r="R21" s="85">
        <f>IF(A21&lt;=malumot!$B$81,DATE(YEAR($B$8),MONTH($B$8)+A20,DAY(malumot!$B$78)),0)</f>
        <v>46174</v>
      </c>
      <c r="S21" s="71"/>
      <c r="T21" s="71"/>
      <c r="U21" s="71"/>
      <c r="V21" s="71"/>
    </row>
    <row r="22" spans="1:22">
      <c r="A22" s="77">
        <v>15</v>
      </c>
      <c r="B22" s="78">
        <f>IF(A22&lt;=malumot!$B$81,DATE(YEAR(R22),MONTH(R22),DAY(IF(A22=malumot!$B$81,malumot!$B$67,IF(A22&lt;malumot!$B$81,(Q22),IF(A22&gt;malumot!$B$81,$H$44,0))))))</f>
        <v>46204</v>
      </c>
      <c r="C22" s="44">
        <f t="shared" si="1"/>
        <v>14625000</v>
      </c>
      <c r="D22" s="44">
        <f t="shared" si="2"/>
        <v>812500</v>
      </c>
      <c r="E22" s="44">
        <f t="shared" si="3"/>
        <v>721233</v>
      </c>
      <c r="F22" s="44">
        <f t="shared" si="4"/>
        <v>1533733</v>
      </c>
      <c r="G22" s="71">
        <f t="shared" si="7"/>
        <v>30</v>
      </c>
      <c r="H22" s="71">
        <f t="shared" si="5"/>
        <v>365</v>
      </c>
      <c r="I22" s="79">
        <f t="shared" si="10"/>
        <v>812500</v>
      </c>
      <c r="J22" s="79">
        <f>SUM($I$8:I21)</f>
        <v>11375000</v>
      </c>
      <c r="K22" s="79">
        <f t="shared" si="9"/>
        <v>14625000</v>
      </c>
      <c r="L22" s="73">
        <f>ROUND(C22*malumot!$B$84/H22,2)*G22</f>
        <v>721233</v>
      </c>
      <c r="M22" s="73">
        <f t="shared" si="0"/>
        <v>1533733</v>
      </c>
      <c r="N22" s="73"/>
      <c r="O22" s="88" t="str">
        <f t="shared" si="8"/>
        <v>Ср</v>
      </c>
      <c r="P22" s="90">
        <f t="shared" si="6"/>
        <v>0</v>
      </c>
      <c r="Q22" s="90">
        <f>DAY(malumot!$B$78)+P22</f>
        <v>1</v>
      </c>
      <c r="R22" s="85">
        <f>IF(A22&lt;=malumot!$B$81,DATE(YEAR($B$8),MONTH($B$8)+A21,DAY(malumot!$B$78)),0)</f>
        <v>46204</v>
      </c>
      <c r="S22" s="71"/>
      <c r="T22" s="71"/>
      <c r="U22" s="71"/>
      <c r="V22" s="71"/>
    </row>
    <row r="23" spans="1:22">
      <c r="A23" s="77">
        <v>16</v>
      </c>
      <c r="B23" s="78">
        <f>IF(A23&lt;=malumot!$B$81,DATE(YEAR(R23),MONTH(R23),DAY(IF(A23=malumot!$B$81,malumot!$B$67,IF(A23&lt;malumot!$B$81,(Q23),IF(A23&gt;malumot!$B$81,$H$44,0))))))</f>
        <v>46237</v>
      </c>
      <c r="C23" s="44">
        <f t="shared" si="1"/>
        <v>13812500</v>
      </c>
      <c r="D23" s="44">
        <f t="shared" si="2"/>
        <v>812500</v>
      </c>
      <c r="E23" s="44">
        <f t="shared" si="3"/>
        <v>749280.84</v>
      </c>
      <c r="F23" s="44">
        <f t="shared" si="4"/>
        <v>1561780.8399999999</v>
      </c>
      <c r="G23" s="71">
        <f t="shared" si="7"/>
        <v>33</v>
      </c>
      <c r="H23" s="71">
        <f t="shared" si="5"/>
        <v>365</v>
      </c>
      <c r="I23" s="79">
        <f t="shared" si="10"/>
        <v>812500</v>
      </c>
      <c r="J23" s="79">
        <f>SUM($I$8:I22)</f>
        <v>12187500</v>
      </c>
      <c r="K23" s="79">
        <f t="shared" si="9"/>
        <v>13812500</v>
      </c>
      <c r="L23" s="73">
        <f>ROUND(C23*malumot!$B$84/H23,2)*G23</f>
        <v>749280.84</v>
      </c>
      <c r="M23" s="73">
        <f t="shared" si="0"/>
        <v>1561780.8399999999</v>
      </c>
      <c r="N23" s="73"/>
      <c r="O23" s="88" t="str">
        <f t="shared" si="8"/>
        <v>Сб</v>
      </c>
      <c r="P23" s="90">
        <f t="shared" si="6"/>
        <v>2</v>
      </c>
      <c r="Q23" s="90">
        <f>DAY(malumot!$B$78)+P23</f>
        <v>3</v>
      </c>
      <c r="R23" s="85">
        <f>IF(A23&lt;=malumot!$B$81,DATE(YEAR($B$8),MONTH($B$8)+A22,DAY(malumot!$B$78)),0)</f>
        <v>46235</v>
      </c>
      <c r="S23" s="71"/>
      <c r="T23" s="71"/>
      <c r="U23" s="71"/>
      <c r="V23" s="71"/>
    </row>
    <row r="24" spans="1:22">
      <c r="A24" s="77">
        <v>17</v>
      </c>
      <c r="B24" s="78">
        <f>IF(A24&lt;=malumot!$B$81,DATE(YEAR(R24),MONTH(R24),DAY(IF(A24=malumot!$B$81,malumot!$B$67,IF(A24&lt;malumot!$B$81,(Q24),IF(A24&gt;malumot!$B$81,$H$44,0))))))</f>
        <v>46266</v>
      </c>
      <c r="C24" s="44">
        <f t="shared" si="1"/>
        <v>13000000</v>
      </c>
      <c r="D24" s="44">
        <f t="shared" si="2"/>
        <v>812500</v>
      </c>
      <c r="E24" s="44">
        <f t="shared" si="3"/>
        <v>619725.94000000006</v>
      </c>
      <c r="F24" s="44">
        <f t="shared" si="4"/>
        <v>1432225.94</v>
      </c>
      <c r="G24" s="71">
        <f t="shared" si="7"/>
        <v>29</v>
      </c>
      <c r="H24" s="71">
        <f t="shared" si="5"/>
        <v>365</v>
      </c>
      <c r="I24" s="79">
        <f t="shared" si="10"/>
        <v>812500</v>
      </c>
      <c r="J24" s="79">
        <f>SUM($I$8:I23)</f>
        <v>13000000</v>
      </c>
      <c r="K24" s="79">
        <f t="shared" si="9"/>
        <v>13000000</v>
      </c>
      <c r="L24" s="73">
        <f>ROUND(C24*malumot!$B$84/H24,2)*G24</f>
        <v>619725.94000000006</v>
      </c>
      <c r="M24" s="73">
        <f t="shared" si="0"/>
        <v>1432225.94</v>
      </c>
      <c r="N24" s="73"/>
      <c r="O24" s="88" t="str">
        <f t="shared" si="8"/>
        <v>Вт</v>
      </c>
      <c r="P24" s="90">
        <f t="shared" si="6"/>
        <v>0</v>
      </c>
      <c r="Q24" s="90">
        <f>DAY(malumot!$B$78)+P24</f>
        <v>1</v>
      </c>
      <c r="R24" s="85">
        <f>IF(A24&lt;=malumot!$B$81,DATE(YEAR($B$8),MONTH($B$8)+A23,DAY(malumot!$B$78)),0)</f>
        <v>46266</v>
      </c>
      <c r="S24" s="71"/>
      <c r="T24" s="71"/>
      <c r="U24" s="71"/>
      <c r="V24" s="71"/>
    </row>
    <row r="25" spans="1:22">
      <c r="A25" s="77">
        <v>18</v>
      </c>
      <c r="B25" s="78">
        <f>IF(A25&lt;=malumot!$B$81,DATE(YEAR(R25),MONTH(R25),DAY(IF(A25=malumot!$B$81,malumot!$B$67,IF(A25&lt;malumot!$B$81,(Q25),IF(A25&gt;malumot!$B$81,$H$44,0))))))</f>
        <v>46296</v>
      </c>
      <c r="C25" s="44">
        <f t="shared" si="1"/>
        <v>12187500</v>
      </c>
      <c r="D25" s="44">
        <f t="shared" si="2"/>
        <v>812500</v>
      </c>
      <c r="E25" s="44">
        <f t="shared" si="3"/>
        <v>601027.5</v>
      </c>
      <c r="F25" s="44">
        <f t="shared" si="4"/>
        <v>1413527.5</v>
      </c>
      <c r="G25" s="71">
        <f t="shared" si="7"/>
        <v>30</v>
      </c>
      <c r="H25" s="71">
        <f t="shared" si="5"/>
        <v>365</v>
      </c>
      <c r="I25" s="79">
        <f t="shared" si="10"/>
        <v>812500</v>
      </c>
      <c r="J25" s="79">
        <f>SUM($I$8:I24)</f>
        <v>13812500</v>
      </c>
      <c r="K25" s="79">
        <f t="shared" si="9"/>
        <v>12187500</v>
      </c>
      <c r="L25" s="73">
        <f>ROUND(C25*malumot!$B$84/H25,2)*G25</f>
        <v>601027.5</v>
      </c>
      <c r="M25" s="73">
        <f t="shared" si="0"/>
        <v>1413527.5</v>
      </c>
      <c r="N25" s="73"/>
      <c r="O25" s="88" t="str">
        <f t="shared" si="8"/>
        <v>Чт</v>
      </c>
      <c r="P25" s="90">
        <f t="shared" si="6"/>
        <v>0</v>
      </c>
      <c r="Q25" s="90">
        <f>DAY(malumot!$B$78)+P25</f>
        <v>1</v>
      </c>
      <c r="R25" s="85">
        <f>IF(A25&lt;=malumot!$B$81,DATE(YEAR($B$8),MONTH($B$8)+A24,DAY(malumot!$B$78)),0)</f>
        <v>46296</v>
      </c>
      <c r="S25" s="71"/>
      <c r="T25" s="71"/>
      <c r="U25" s="71"/>
      <c r="V25" s="71"/>
    </row>
    <row r="26" spans="1:22">
      <c r="A26" s="77">
        <v>19</v>
      </c>
      <c r="B26" s="78">
        <f>IF(A26&lt;=malumot!$B$81,DATE(YEAR(R26),MONTH(R26),DAY(IF(A26=malumot!$B$81,malumot!$B$67,IF(A26&lt;malumot!$B$81,(Q26),IF(A26&gt;malumot!$B$81,$H$44,0))))))</f>
        <v>46328</v>
      </c>
      <c r="C26" s="44">
        <f t="shared" si="1"/>
        <v>11375000</v>
      </c>
      <c r="D26" s="44">
        <f t="shared" si="2"/>
        <v>812500</v>
      </c>
      <c r="E26" s="44">
        <f t="shared" si="3"/>
        <v>598356.16</v>
      </c>
      <c r="F26" s="44">
        <f t="shared" si="4"/>
        <v>1410856.1600000001</v>
      </c>
      <c r="G26" s="71">
        <f t="shared" si="7"/>
        <v>32</v>
      </c>
      <c r="H26" s="71">
        <f t="shared" si="5"/>
        <v>365</v>
      </c>
      <c r="I26" s="79">
        <f t="shared" si="10"/>
        <v>812500</v>
      </c>
      <c r="J26" s="79">
        <f>SUM($I$8:I25)</f>
        <v>14625000</v>
      </c>
      <c r="K26" s="79">
        <f t="shared" si="9"/>
        <v>11375000</v>
      </c>
      <c r="L26" s="73">
        <f>ROUND(C26*malumot!$B$84/H26,2)*G26</f>
        <v>598356.16</v>
      </c>
      <c r="M26" s="73">
        <f t="shared" si="0"/>
        <v>1410856.1600000001</v>
      </c>
      <c r="N26" s="73"/>
      <c r="O26" s="88" t="str">
        <f t="shared" si="8"/>
        <v>Вс</v>
      </c>
      <c r="P26" s="90">
        <f t="shared" si="6"/>
        <v>1</v>
      </c>
      <c r="Q26" s="90">
        <f>DAY(malumot!$B$78)+P26</f>
        <v>2</v>
      </c>
      <c r="R26" s="85">
        <f>IF(A26&lt;=malumot!$B$81,DATE(YEAR($B$8),MONTH($B$8)+A25,DAY(malumot!$B$78)),0)</f>
        <v>46327</v>
      </c>
      <c r="S26" s="71"/>
      <c r="T26" s="71"/>
      <c r="U26" s="71"/>
      <c r="V26" s="71"/>
    </row>
    <row r="27" spans="1:22">
      <c r="A27" s="77">
        <v>20</v>
      </c>
      <c r="B27" s="78">
        <f>IF(A27&lt;=malumot!$B$81,DATE(YEAR(R27),MONTH(R27),DAY(IF(A27=malumot!$B$81,malumot!$B$67,IF(A27&lt;malumot!$B$81,(Q27),IF(A27&gt;malumot!$B$81,$H$44,0))))))</f>
        <v>46357</v>
      </c>
      <c r="C27" s="44">
        <f t="shared" si="1"/>
        <v>10562500</v>
      </c>
      <c r="D27" s="44">
        <f t="shared" si="2"/>
        <v>812500</v>
      </c>
      <c r="E27" s="44">
        <f t="shared" si="3"/>
        <v>503527.29</v>
      </c>
      <c r="F27" s="44">
        <f t="shared" si="4"/>
        <v>1316027.29</v>
      </c>
      <c r="G27" s="71">
        <f t="shared" si="7"/>
        <v>29</v>
      </c>
      <c r="H27" s="71">
        <f t="shared" si="5"/>
        <v>365</v>
      </c>
      <c r="I27" s="79">
        <f t="shared" si="10"/>
        <v>812500</v>
      </c>
      <c r="J27" s="79">
        <f>SUM($I$8:I26)</f>
        <v>15437500</v>
      </c>
      <c r="K27" s="79">
        <f t="shared" si="9"/>
        <v>10562500</v>
      </c>
      <c r="L27" s="73">
        <f>ROUND(C27*malumot!$B$84/H27,2)*G27</f>
        <v>503527.29</v>
      </c>
      <c r="M27" s="73">
        <f t="shared" si="0"/>
        <v>1316027.29</v>
      </c>
      <c r="N27" s="73"/>
      <c r="O27" s="88" t="str">
        <f t="shared" si="8"/>
        <v>Вт</v>
      </c>
      <c r="P27" s="90">
        <f t="shared" si="6"/>
        <v>0</v>
      </c>
      <c r="Q27" s="90">
        <f>DAY(malumot!$B$78)+P27</f>
        <v>1</v>
      </c>
      <c r="R27" s="85">
        <f>IF(A27&lt;=malumot!$B$81,DATE(YEAR($B$8),MONTH($B$8)+A26,DAY(malumot!$B$78)),0)</f>
        <v>46357</v>
      </c>
      <c r="S27" s="71"/>
      <c r="T27" s="71"/>
      <c r="U27" s="71"/>
      <c r="V27" s="71"/>
    </row>
    <row r="28" spans="1:22">
      <c r="A28" s="77">
        <v>21</v>
      </c>
      <c r="B28" s="78">
        <f>IF(A28&lt;=malumot!$B$81,DATE(YEAR(R28),MONTH(R28),DAY(IF(A28=malumot!$B$81,malumot!$B$67,IF(A28&lt;malumot!$B$81,(Q28),IF(A28&gt;malumot!$B$81,$H$44,0))))))</f>
        <v>46388</v>
      </c>
      <c r="C28" s="44">
        <f t="shared" si="1"/>
        <v>9750000</v>
      </c>
      <c r="D28" s="44">
        <f t="shared" si="2"/>
        <v>812500</v>
      </c>
      <c r="E28" s="44">
        <f t="shared" si="3"/>
        <v>496849.39999999997</v>
      </c>
      <c r="F28" s="44">
        <f t="shared" si="4"/>
        <v>1309349.3999999999</v>
      </c>
      <c r="G28" s="71">
        <f t="shared" si="7"/>
        <v>31</v>
      </c>
      <c r="H28" s="71">
        <f t="shared" si="5"/>
        <v>365</v>
      </c>
      <c r="I28" s="79">
        <f t="shared" si="10"/>
        <v>812500</v>
      </c>
      <c r="J28" s="79">
        <f>SUM($I$8:I27)</f>
        <v>16250000</v>
      </c>
      <c r="K28" s="79">
        <f t="shared" si="9"/>
        <v>9750000</v>
      </c>
      <c r="L28" s="73">
        <f>ROUND(C28*malumot!$B$84/H28,2)*G28</f>
        <v>496849.39999999997</v>
      </c>
      <c r="M28" s="73">
        <f t="shared" si="0"/>
        <v>1309349.3999999999</v>
      </c>
      <c r="N28" s="73"/>
      <c r="O28" s="88" t="str">
        <f t="shared" si="8"/>
        <v>Пт</v>
      </c>
      <c r="P28" s="90">
        <f t="shared" si="6"/>
        <v>0</v>
      </c>
      <c r="Q28" s="90">
        <f>DAY(malumot!$B$78)+P28</f>
        <v>1</v>
      </c>
      <c r="R28" s="85">
        <f>IF(A28&lt;=malumot!$B$81,DATE(YEAR($B$8),MONTH($B$8)+A27,DAY(malumot!$B$78)),0)</f>
        <v>46388</v>
      </c>
      <c r="S28" s="71"/>
      <c r="T28" s="71"/>
      <c r="U28" s="71"/>
      <c r="V28" s="71"/>
    </row>
    <row r="29" spans="1:22">
      <c r="A29" s="77">
        <v>22</v>
      </c>
      <c r="B29" s="78">
        <f>IF(A29&lt;=malumot!$B$81,DATE(YEAR(R29),MONTH(R29),DAY(IF(A29=malumot!$B$81,malumot!$B$67,IF(A29&lt;malumot!$B$81,(Q29),IF(A29&gt;malumot!$B$81,$H$44,0))))))</f>
        <v>46419</v>
      </c>
      <c r="C29" s="44">
        <f t="shared" si="1"/>
        <v>8937500</v>
      </c>
      <c r="D29" s="44">
        <f t="shared" si="2"/>
        <v>812500</v>
      </c>
      <c r="E29" s="44">
        <f t="shared" si="3"/>
        <v>455445.18</v>
      </c>
      <c r="F29" s="44">
        <f t="shared" si="4"/>
        <v>1267945.18</v>
      </c>
      <c r="G29" s="71">
        <f t="shared" si="7"/>
        <v>31</v>
      </c>
      <c r="H29" s="71">
        <f t="shared" si="5"/>
        <v>365</v>
      </c>
      <c r="I29" s="79">
        <f t="shared" si="10"/>
        <v>812500</v>
      </c>
      <c r="J29" s="79">
        <f>SUM($I$8:I28)</f>
        <v>17062500</v>
      </c>
      <c r="K29" s="79">
        <f t="shared" si="9"/>
        <v>8937500</v>
      </c>
      <c r="L29" s="73">
        <f>ROUND(C29*malumot!$B$84/H29,2)*G29</f>
        <v>455445.18</v>
      </c>
      <c r="M29" s="73">
        <f t="shared" si="0"/>
        <v>1267945.18</v>
      </c>
      <c r="N29" s="73"/>
      <c r="O29" s="88" t="str">
        <f t="shared" si="8"/>
        <v>Пн</v>
      </c>
      <c r="P29" s="90">
        <f t="shared" si="6"/>
        <v>0</v>
      </c>
      <c r="Q29" s="90">
        <f>DAY(malumot!$B$78)+P29</f>
        <v>1</v>
      </c>
      <c r="R29" s="85">
        <f>IF(A29&lt;=malumot!$B$81,DATE(YEAR($B$8),MONTH($B$8)+A28,DAY(malumot!$B$78)),0)</f>
        <v>46419</v>
      </c>
      <c r="S29" s="71"/>
      <c r="T29" s="71"/>
      <c r="U29" s="71"/>
      <c r="V29" s="71"/>
    </row>
    <row r="30" spans="1:22">
      <c r="A30" s="77">
        <v>23</v>
      </c>
      <c r="B30" s="78">
        <f>IF(A30&lt;=malumot!$B$81,DATE(YEAR(R30),MONTH(R30),DAY(IF(A30=malumot!$B$81,malumot!$B$67,IF(A30&lt;malumot!$B$81,(Q30),IF(A30&gt;malumot!$B$81,$H$44,0))))))</f>
        <v>46447</v>
      </c>
      <c r="C30" s="44">
        <f t="shared" si="1"/>
        <v>8125000</v>
      </c>
      <c r="D30" s="44">
        <f t="shared" si="2"/>
        <v>812500</v>
      </c>
      <c r="E30" s="44">
        <f t="shared" si="3"/>
        <v>373972.47999999998</v>
      </c>
      <c r="F30" s="44">
        <f t="shared" si="4"/>
        <v>1186472.48</v>
      </c>
      <c r="G30" s="71">
        <f t="shared" si="7"/>
        <v>28</v>
      </c>
      <c r="H30" s="71">
        <f t="shared" si="5"/>
        <v>365</v>
      </c>
      <c r="I30" s="79">
        <f t="shared" si="10"/>
        <v>812500</v>
      </c>
      <c r="J30" s="79">
        <f>SUM($I$8:I29)</f>
        <v>17875000</v>
      </c>
      <c r="K30" s="79">
        <f t="shared" si="9"/>
        <v>8125000</v>
      </c>
      <c r="L30" s="73">
        <f>ROUND(C30*malumot!$B$84/H30,2)*G30</f>
        <v>373972.47999999998</v>
      </c>
      <c r="M30" s="73">
        <f t="shared" si="0"/>
        <v>1186472.48</v>
      </c>
      <c r="N30" s="73"/>
      <c r="O30" s="88" t="str">
        <f t="shared" si="8"/>
        <v>Пн</v>
      </c>
      <c r="P30" s="90">
        <f t="shared" si="6"/>
        <v>0</v>
      </c>
      <c r="Q30" s="90">
        <f>DAY(malumot!$B$78)+P30</f>
        <v>1</v>
      </c>
      <c r="R30" s="85">
        <f>IF(A30&lt;=malumot!$B$81,DATE(YEAR($B$8),MONTH($B$8)+A29,DAY(malumot!$B$78)),0)</f>
        <v>46447</v>
      </c>
      <c r="S30" s="71"/>
      <c r="T30" s="71"/>
      <c r="U30" s="71"/>
      <c r="V30" s="71"/>
    </row>
    <row r="31" spans="1:22">
      <c r="A31" s="77">
        <v>24</v>
      </c>
      <c r="B31" s="78">
        <f>IF(A31&lt;=malumot!$B$81,DATE(YEAR(R31),MONTH(R31),DAY(IF(A31=malumot!$B$81,malumot!$B$67,IF(A31&lt;malumot!$B$81,(Q31),IF(A31&gt;malumot!$B$81,$H$44,0))))))</f>
        <v>46478</v>
      </c>
      <c r="C31" s="44">
        <f t="shared" ref="C31" si="11">C30-D30</f>
        <v>7312500</v>
      </c>
      <c r="D31" s="44">
        <f t="shared" ref="D31" si="12">IF(C31=0,L31,IF(C31&gt;1,I31))</f>
        <v>812500</v>
      </c>
      <c r="E31" s="44">
        <f t="shared" ref="E31" si="13">IF(C31=0,N30,IF(C31&gt;1,L31))</f>
        <v>372637.05</v>
      </c>
      <c r="F31" s="44">
        <f t="shared" ref="F31" si="14">IF(C31=0,N30,IF(C31&gt;1,M31))</f>
        <v>1185137.05</v>
      </c>
      <c r="G31" s="71">
        <f t="shared" si="7"/>
        <v>31</v>
      </c>
      <c r="H31" s="71">
        <f t="shared" si="5"/>
        <v>365</v>
      </c>
      <c r="I31" s="79">
        <f t="shared" si="10"/>
        <v>812500</v>
      </c>
      <c r="J31" s="79">
        <f>SUM($I$8:I30)</f>
        <v>18687500</v>
      </c>
      <c r="K31" s="79">
        <f t="shared" si="9"/>
        <v>7312500</v>
      </c>
      <c r="L31" s="73">
        <f>ROUND(C31*malumot!$B$84/H31,2)*G31</f>
        <v>372637.05</v>
      </c>
      <c r="M31" s="73">
        <f t="shared" si="0"/>
        <v>1185137.05</v>
      </c>
      <c r="N31" s="73"/>
      <c r="O31" s="88" t="str">
        <f t="shared" si="8"/>
        <v>Чт</v>
      </c>
      <c r="P31" s="90">
        <f t="shared" si="6"/>
        <v>0</v>
      </c>
      <c r="Q31" s="90">
        <f>DAY(malumot!$B$78)+P31</f>
        <v>1</v>
      </c>
      <c r="R31" s="85">
        <f>IF(A31&lt;=malumot!$B$81,DATE(YEAR($B$8),MONTH($B$8)+A30,DAY(malumot!$B$78)),0)</f>
        <v>46478</v>
      </c>
      <c r="S31" s="71"/>
      <c r="T31" s="71"/>
      <c r="U31" s="71"/>
      <c r="V31" s="71"/>
    </row>
    <row r="32" spans="1:22">
      <c r="A32" s="77">
        <f>1+A31</f>
        <v>25</v>
      </c>
      <c r="B32" s="78">
        <f>IF(A32&lt;=malumot!$B$81,DATE(YEAR(R32),MONTH(R32),DAY(IF(A32=malumot!$B$81,malumot!$B$67,IF(A32&lt;malumot!$B$81,(Q32),IF(A32&gt;malumot!$B$81,$H$44,0))))))</f>
        <v>46510</v>
      </c>
      <c r="C32" s="44">
        <f t="shared" ref="C32:C42" si="15">C31-D31</f>
        <v>6500000</v>
      </c>
      <c r="D32" s="44">
        <f t="shared" ref="D32:D42" si="16">IF(C32=0,L32,IF(C32&gt;1,I32))</f>
        <v>812500</v>
      </c>
      <c r="E32" s="44">
        <f t="shared" ref="E32:E42" si="17">IF(C32=0,N31,IF(C32&gt;1,L32))</f>
        <v>341917.76</v>
      </c>
      <c r="F32" s="44">
        <f t="shared" ref="F32:F42" si="18">IF(C32=0,N31,IF(C32&gt;1,M32))</f>
        <v>1154417.76</v>
      </c>
      <c r="G32" s="71">
        <f t="shared" ref="G32:G42" si="19">B32-B31</f>
        <v>32</v>
      </c>
      <c r="H32" s="71">
        <f t="shared" ref="H32:H42" si="20">DATE(YEAR(B32),12,31)-DATE(YEAR(B32),1,1)+1</f>
        <v>365</v>
      </c>
      <c r="I32" s="79">
        <f t="shared" ref="I32:I42" si="21">IF($L$5=A32,K32,IF($L$5&gt;A32,I31))</f>
        <v>812500</v>
      </c>
      <c r="J32" s="79">
        <f>SUM($I$8:I31)</f>
        <v>19500000</v>
      </c>
      <c r="K32" s="79">
        <f t="shared" ref="K32:K42" si="22">$J$12-J32</f>
        <v>6500000</v>
      </c>
      <c r="L32" s="73">
        <f>ROUND(C32*malumot!$B$84/H32,2)*G32</f>
        <v>341917.76</v>
      </c>
      <c r="M32" s="73">
        <f t="shared" ref="M32:M42" si="23">D32+E32</f>
        <v>1154417.76</v>
      </c>
      <c r="N32" s="73"/>
      <c r="O32" s="88" t="str">
        <f t="shared" ref="O32:O42" si="24">TEXT(R32,"ддд")</f>
        <v>Сб</v>
      </c>
      <c r="P32" s="90">
        <f t="shared" ref="P32:P42" si="25">IF(O32=$U$8,2,IF(O32=$V$8,1,0))</f>
        <v>2</v>
      </c>
      <c r="Q32" s="90">
        <f>DAY(malumot!$B$78)+P32</f>
        <v>3</v>
      </c>
      <c r="R32" s="85">
        <f>IF(A32&lt;=malumot!$B$81,DATE(YEAR($B$8),MONTH($B$8)+A31,DAY(malumot!$B$78)),0)</f>
        <v>46508</v>
      </c>
      <c r="S32" s="71"/>
      <c r="T32" s="71"/>
      <c r="U32" s="71"/>
      <c r="V32" s="71"/>
    </row>
    <row r="33" spans="1:22">
      <c r="A33" s="77">
        <f t="shared" ref="A33:A42" si="26">1+A32</f>
        <v>26</v>
      </c>
      <c r="B33" s="78">
        <f>IF(A33&lt;=malumot!$B$81,DATE(YEAR(R33),MONTH(R33),DAY(IF(A33=malumot!$B$81,malumot!$B$67,IF(A33&lt;malumot!$B$81,(Q33),IF(A33&gt;malumot!$B$81,$H$44,0))))))</f>
        <v>46539</v>
      </c>
      <c r="C33" s="44">
        <f t="shared" si="15"/>
        <v>5687500</v>
      </c>
      <c r="D33" s="44">
        <f t="shared" si="16"/>
        <v>812500</v>
      </c>
      <c r="E33" s="44">
        <f t="shared" si="17"/>
        <v>271130.27999999997</v>
      </c>
      <c r="F33" s="44">
        <f t="shared" si="18"/>
        <v>1083630.28</v>
      </c>
      <c r="G33" s="71">
        <f t="shared" si="19"/>
        <v>29</v>
      </c>
      <c r="H33" s="71">
        <f t="shared" si="20"/>
        <v>365</v>
      </c>
      <c r="I33" s="79">
        <f t="shared" si="21"/>
        <v>812500</v>
      </c>
      <c r="J33" s="79">
        <f>SUM($I$8:I32)</f>
        <v>20312500</v>
      </c>
      <c r="K33" s="79">
        <f t="shared" si="22"/>
        <v>5687500</v>
      </c>
      <c r="L33" s="73">
        <f>ROUND(C33*malumot!$B$84/H33,2)*G33</f>
        <v>271130.27999999997</v>
      </c>
      <c r="M33" s="73">
        <f t="shared" si="23"/>
        <v>1083630.28</v>
      </c>
      <c r="N33" s="73"/>
      <c r="O33" s="88" t="str">
        <f t="shared" si="24"/>
        <v>Вт</v>
      </c>
      <c r="P33" s="90">
        <f t="shared" si="25"/>
        <v>0</v>
      </c>
      <c r="Q33" s="90">
        <f>DAY(malumot!$B$78)+P33</f>
        <v>1</v>
      </c>
      <c r="R33" s="85">
        <f>IF(A33&lt;=malumot!$B$81,DATE(YEAR($B$8),MONTH($B$8)+A32,DAY(malumot!$B$78)),0)</f>
        <v>46539</v>
      </c>
      <c r="S33" s="71"/>
      <c r="T33" s="71"/>
      <c r="U33" s="71"/>
      <c r="V33" s="71"/>
    </row>
    <row r="34" spans="1:22">
      <c r="A34" s="77">
        <f t="shared" si="26"/>
        <v>27</v>
      </c>
      <c r="B34" s="78">
        <f>IF(A34&lt;=malumot!$B$81,DATE(YEAR(R34),MONTH(R34),DAY(IF(A34=malumot!$B$81,malumot!$B$67,IF(A34&lt;malumot!$B$81,(Q34),IF(A34&gt;malumot!$B$81,$H$44,0))))))</f>
        <v>46569</v>
      </c>
      <c r="C34" s="44">
        <f t="shared" si="15"/>
        <v>4875000</v>
      </c>
      <c r="D34" s="44">
        <f t="shared" si="16"/>
        <v>812500</v>
      </c>
      <c r="E34" s="44">
        <f t="shared" si="17"/>
        <v>240411</v>
      </c>
      <c r="F34" s="44">
        <f t="shared" si="18"/>
        <v>1052911</v>
      </c>
      <c r="G34" s="71">
        <f t="shared" si="19"/>
        <v>30</v>
      </c>
      <c r="H34" s="71">
        <f t="shared" si="20"/>
        <v>365</v>
      </c>
      <c r="I34" s="79">
        <f t="shared" si="21"/>
        <v>812500</v>
      </c>
      <c r="J34" s="79">
        <f>SUM($I$8:I33)</f>
        <v>21125000</v>
      </c>
      <c r="K34" s="79">
        <f t="shared" si="22"/>
        <v>4875000</v>
      </c>
      <c r="L34" s="73">
        <f>ROUND(C34*malumot!$B$84/H34,2)*G34</f>
        <v>240411</v>
      </c>
      <c r="M34" s="73">
        <f t="shared" si="23"/>
        <v>1052911</v>
      </c>
      <c r="N34" s="73"/>
      <c r="O34" s="88" t="str">
        <f t="shared" si="24"/>
        <v>Чт</v>
      </c>
      <c r="P34" s="90">
        <f t="shared" si="25"/>
        <v>0</v>
      </c>
      <c r="Q34" s="90">
        <f>DAY(malumot!$B$78)+P34</f>
        <v>1</v>
      </c>
      <c r="R34" s="85">
        <f>IF(A34&lt;=malumot!$B$81,DATE(YEAR($B$8),MONTH($B$8)+A33,DAY(malumot!$B$78)),0)</f>
        <v>46569</v>
      </c>
      <c r="S34" s="71"/>
      <c r="T34" s="71"/>
      <c r="U34" s="71"/>
      <c r="V34" s="71"/>
    </row>
    <row r="35" spans="1:22">
      <c r="A35" s="77">
        <f t="shared" si="26"/>
        <v>28</v>
      </c>
      <c r="B35" s="78">
        <f>IF(A35&lt;=malumot!$B$81,DATE(YEAR(R35),MONTH(R35),DAY(IF(A35=malumot!$B$81,malumot!$B$67,IF(A35&lt;malumot!$B$81,(Q35),IF(A35&gt;malumot!$B$81,$H$44,0))))))</f>
        <v>46601</v>
      </c>
      <c r="C35" s="44">
        <f t="shared" si="15"/>
        <v>4062500</v>
      </c>
      <c r="D35" s="44">
        <f t="shared" si="16"/>
        <v>812500</v>
      </c>
      <c r="E35" s="44">
        <f t="shared" si="17"/>
        <v>213698.56</v>
      </c>
      <c r="F35" s="44">
        <f t="shared" si="18"/>
        <v>1026198.56</v>
      </c>
      <c r="G35" s="71">
        <f t="shared" si="19"/>
        <v>32</v>
      </c>
      <c r="H35" s="71">
        <f t="shared" si="20"/>
        <v>365</v>
      </c>
      <c r="I35" s="79">
        <f t="shared" si="21"/>
        <v>812500</v>
      </c>
      <c r="J35" s="79">
        <f>SUM($I$8:I34)</f>
        <v>21937500</v>
      </c>
      <c r="K35" s="79">
        <f t="shared" si="22"/>
        <v>4062500</v>
      </c>
      <c r="L35" s="73">
        <f>ROUND(C35*malumot!$B$84/H35,2)*G35</f>
        <v>213698.56</v>
      </c>
      <c r="M35" s="73">
        <f t="shared" si="23"/>
        <v>1026198.56</v>
      </c>
      <c r="N35" s="73"/>
      <c r="O35" s="88" t="str">
        <f t="shared" si="24"/>
        <v>Вс</v>
      </c>
      <c r="P35" s="90">
        <f t="shared" si="25"/>
        <v>1</v>
      </c>
      <c r="Q35" s="90">
        <f>DAY(malumot!$B$78)+P35</f>
        <v>2</v>
      </c>
      <c r="R35" s="85">
        <f>IF(A35&lt;=malumot!$B$81,DATE(YEAR($B$8),MONTH($B$8)+A34,DAY(malumot!$B$78)),0)</f>
        <v>46600</v>
      </c>
      <c r="S35" s="71"/>
      <c r="T35" s="71"/>
      <c r="U35" s="71"/>
      <c r="V35" s="71"/>
    </row>
    <row r="36" spans="1:22">
      <c r="A36" s="77">
        <f t="shared" si="26"/>
        <v>29</v>
      </c>
      <c r="B36" s="78">
        <f>IF(A36&lt;=malumot!$B$81,DATE(YEAR(R36),MONTH(R36),DAY(IF(A36=malumot!$B$81,malumot!$B$67,IF(A36&lt;malumot!$B$81,(Q36),IF(A36&gt;malumot!$B$81,$H$44,0))))))</f>
        <v>46631</v>
      </c>
      <c r="C36" s="44">
        <f t="shared" si="15"/>
        <v>3250000</v>
      </c>
      <c r="D36" s="44">
        <f t="shared" si="16"/>
        <v>812500</v>
      </c>
      <c r="E36" s="44">
        <f t="shared" si="17"/>
        <v>160274.1</v>
      </c>
      <c r="F36" s="44">
        <f t="shared" si="18"/>
        <v>972774.1</v>
      </c>
      <c r="G36" s="71">
        <f t="shared" si="19"/>
        <v>30</v>
      </c>
      <c r="H36" s="71">
        <f t="shared" si="20"/>
        <v>365</v>
      </c>
      <c r="I36" s="79">
        <f t="shared" si="21"/>
        <v>812500</v>
      </c>
      <c r="J36" s="79">
        <f>SUM($I$8:I35)</f>
        <v>22750000</v>
      </c>
      <c r="K36" s="79">
        <f t="shared" si="22"/>
        <v>3250000</v>
      </c>
      <c r="L36" s="73">
        <f>ROUND(C36*malumot!$B$84/H36,2)*G36</f>
        <v>160274.1</v>
      </c>
      <c r="M36" s="73">
        <f t="shared" si="23"/>
        <v>972774.1</v>
      </c>
      <c r="N36" s="73"/>
      <c r="O36" s="88" t="str">
        <f t="shared" si="24"/>
        <v>Ср</v>
      </c>
      <c r="P36" s="90">
        <f t="shared" si="25"/>
        <v>0</v>
      </c>
      <c r="Q36" s="90">
        <f>DAY(malumot!$B$78)+P36</f>
        <v>1</v>
      </c>
      <c r="R36" s="85">
        <f>IF(A36&lt;=malumot!$B$81,DATE(YEAR($B$8),MONTH($B$8)+A35,DAY(malumot!$B$78)),0)</f>
        <v>46631</v>
      </c>
      <c r="S36" s="71"/>
      <c r="T36" s="71"/>
      <c r="U36" s="71"/>
      <c r="V36" s="71"/>
    </row>
    <row r="37" spans="1:22">
      <c r="A37" s="77">
        <f t="shared" si="26"/>
        <v>30</v>
      </c>
      <c r="B37" s="78">
        <f>IF(A37&lt;=malumot!$B$81,DATE(YEAR(R37),MONTH(R37),DAY(IF(A37=malumot!$B$81,malumot!$B$67,IF(A37&lt;malumot!$B$81,(Q37),IF(A37&gt;malumot!$B$81,$H$44,0))))))</f>
        <v>46661</v>
      </c>
      <c r="C37" s="44">
        <f t="shared" si="15"/>
        <v>2437500</v>
      </c>
      <c r="D37" s="44">
        <f t="shared" si="16"/>
        <v>812500</v>
      </c>
      <c r="E37" s="44">
        <f t="shared" si="17"/>
        <v>120205.5</v>
      </c>
      <c r="F37" s="44">
        <f t="shared" si="18"/>
        <v>932705.5</v>
      </c>
      <c r="G37" s="71">
        <f t="shared" si="19"/>
        <v>30</v>
      </c>
      <c r="H37" s="71">
        <f t="shared" si="20"/>
        <v>365</v>
      </c>
      <c r="I37" s="79">
        <f t="shared" si="21"/>
        <v>812500</v>
      </c>
      <c r="J37" s="79">
        <f>SUM($I$8:I36)</f>
        <v>23562500</v>
      </c>
      <c r="K37" s="79">
        <f t="shared" si="22"/>
        <v>2437500</v>
      </c>
      <c r="L37" s="73">
        <f>ROUND(C37*malumot!$B$84/H37,2)*G37</f>
        <v>120205.5</v>
      </c>
      <c r="M37" s="73">
        <f t="shared" si="23"/>
        <v>932705.5</v>
      </c>
      <c r="N37" s="73"/>
      <c r="O37" s="88" t="str">
        <f t="shared" si="24"/>
        <v>Пт</v>
      </c>
      <c r="P37" s="90">
        <f t="shared" si="25"/>
        <v>0</v>
      </c>
      <c r="Q37" s="90">
        <f>DAY(malumot!$B$78)+P37</f>
        <v>1</v>
      </c>
      <c r="R37" s="85">
        <f>IF(A37&lt;=malumot!$B$81,DATE(YEAR($B$8),MONTH($B$8)+A36,DAY(malumot!$B$78)),0)</f>
        <v>46661</v>
      </c>
      <c r="S37" s="71"/>
      <c r="T37" s="71"/>
      <c r="U37" s="71"/>
      <c r="V37" s="71"/>
    </row>
    <row r="38" spans="1:22">
      <c r="A38" s="77">
        <f t="shared" si="26"/>
        <v>31</v>
      </c>
      <c r="B38" s="78">
        <f>IF(A38&lt;=malumot!$B$81,DATE(YEAR(R38),MONTH(R38),DAY(IF(A38=malumot!$B$81,malumot!$B$67,IF(A38&lt;malumot!$B$81,(Q38),IF(A38&gt;malumot!$B$81,$H$44,0))))))</f>
        <v>46692</v>
      </c>
      <c r="C38" s="44">
        <f t="shared" si="15"/>
        <v>1625000</v>
      </c>
      <c r="D38" s="44">
        <f t="shared" si="16"/>
        <v>812500</v>
      </c>
      <c r="E38" s="44">
        <f t="shared" si="17"/>
        <v>82808.13</v>
      </c>
      <c r="F38" s="44">
        <f t="shared" si="18"/>
        <v>895308.13</v>
      </c>
      <c r="G38" s="71">
        <f t="shared" si="19"/>
        <v>31</v>
      </c>
      <c r="H38" s="71">
        <f t="shared" si="20"/>
        <v>365</v>
      </c>
      <c r="I38" s="79">
        <f t="shared" si="21"/>
        <v>812500</v>
      </c>
      <c r="J38" s="79">
        <f>SUM($I$8:I37)</f>
        <v>24375000</v>
      </c>
      <c r="K38" s="79">
        <f t="shared" si="22"/>
        <v>1625000</v>
      </c>
      <c r="L38" s="73">
        <f>ROUND(C38*malumot!$B$84/H38,2)*G38</f>
        <v>82808.13</v>
      </c>
      <c r="M38" s="73">
        <f t="shared" si="23"/>
        <v>895308.13</v>
      </c>
      <c r="N38" s="73"/>
      <c r="O38" s="88" t="str">
        <f t="shared" si="24"/>
        <v>Пн</v>
      </c>
      <c r="P38" s="90">
        <f t="shared" si="25"/>
        <v>0</v>
      </c>
      <c r="Q38" s="90">
        <f>DAY(malumot!$B$78)+P38</f>
        <v>1</v>
      </c>
      <c r="R38" s="85">
        <f>IF(A38&lt;=malumot!$B$81,DATE(YEAR($B$8),MONTH($B$8)+A37,DAY(malumot!$B$78)),0)</f>
        <v>46692</v>
      </c>
      <c r="S38" s="71"/>
      <c r="T38" s="71"/>
      <c r="U38" s="71"/>
      <c r="V38" s="71"/>
    </row>
    <row r="39" spans="1:22">
      <c r="A39" s="77">
        <f t="shared" si="26"/>
        <v>32</v>
      </c>
      <c r="B39" s="78">
        <f>IF(A39&lt;=malumot!$B$81,DATE(YEAR(R39),MONTH(R39),DAY(IF(A39=malumot!$B$81,malumot!$B$67,IF(A39&lt;malumot!$B$81,(Q39),IF(A39&gt;malumot!$B$81,$H$44,0))))))</f>
        <v>46722</v>
      </c>
      <c r="C39" s="44">
        <f t="shared" si="15"/>
        <v>812500</v>
      </c>
      <c r="D39" s="44">
        <f t="shared" si="16"/>
        <v>812500</v>
      </c>
      <c r="E39" s="44">
        <f t="shared" si="17"/>
        <v>40068.6</v>
      </c>
      <c r="F39" s="44">
        <f t="shared" si="18"/>
        <v>852568.6</v>
      </c>
      <c r="G39" s="71">
        <f t="shared" si="19"/>
        <v>30</v>
      </c>
      <c r="H39" s="71">
        <f t="shared" si="20"/>
        <v>365</v>
      </c>
      <c r="I39" s="79">
        <f t="shared" si="21"/>
        <v>812500</v>
      </c>
      <c r="J39" s="79">
        <f>SUM($I$8:I38)</f>
        <v>25187500</v>
      </c>
      <c r="K39" s="79">
        <f t="shared" si="22"/>
        <v>812500</v>
      </c>
      <c r="L39" s="73">
        <f>ROUND(C39*malumot!$B$84/H39,2)*G39</f>
        <v>40068.6</v>
      </c>
      <c r="M39" s="73">
        <f t="shared" si="23"/>
        <v>852568.6</v>
      </c>
      <c r="N39" s="73"/>
      <c r="O39" s="88" t="str">
        <f t="shared" si="24"/>
        <v>Ср</v>
      </c>
      <c r="P39" s="90">
        <f t="shared" si="25"/>
        <v>0</v>
      </c>
      <c r="Q39" s="90">
        <f>DAY(malumot!$B$78)+P39</f>
        <v>1</v>
      </c>
      <c r="R39" s="85">
        <f>IF(A39&lt;=malumot!$B$81,DATE(YEAR($B$8),MONTH($B$8)+A38,DAY(malumot!$B$78)),0)</f>
        <v>46722</v>
      </c>
      <c r="S39" s="71"/>
      <c r="T39" s="71"/>
      <c r="U39" s="71"/>
      <c r="V39" s="71"/>
    </row>
    <row r="40" spans="1:22">
      <c r="A40" s="77">
        <f t="shared" si="26"/>
        <v>33</v>
      </c>
      <c r="B40" s="78" t="b">
        <f>IF(A40&lt;=malumot!$B$81,DATE(YEAR(R40),MONTH(R40),DAY(IF(A40=malumot!$B$81,malumot!$B$67,IF(A40&lt;malumot!$B$81,(Q40),IF(A40&gt;malumot!$B$81,$H$44,0))))))</f>
        <v>0</v>
      </c>
      <c r="C40" s="44">
        <f t="shared" si="15"/>
        <v>0</v>
      </c>
      <c r="D40" s="44">
        <f t="shared" si="16"/>
        <v>0</v>
      </c>
      <c r="E40" s="44">
        <f t="shared" si="17"/>
        <v>0</v>
      </c>
      <c r="F40" s="44">
        <f t="shared" si="18"/>
        <v>0</v>
      </c>
      <c r="G40" s="71">
        <f t="shared" si="19"/>
        <v>-46722</v>
      </c>
      <c r="H40" s="71">
        <f t="shared" si="20"/>
        <v>366</v>
      </c>
      <c r="I40" s="79" t="b">
        <f t="shared" si="21"/>
        <v>0</v>
      </c>
      <c r="J40" s="79">
        <f>SUM($I$8:I39)</f>
        <v>26000000</v>
      </c>
      <c r="K40" s="79">
        <f t="shared" si="22"/>
        <v>0</v>
      </c>
      <c r="L40" s="73">
        <f>ROUND(C40*malumot!$B$84/H40,2)*G40</f>
        <v>0</v>
      </c>
      <c r="M40" s="73">
        <f t="shared" si="23"/>
        <v>0</v>
      </c>
      <c r="N40" s="73"/>
      <c r="O40" s="88" t="str">
        <f t="shared" si="24"/>
        <v>Сб</v>
      </c>
      <c r="P40" s="90">
        <f t="shared" si="25"/>
        <v>2</v>
      </c>
      <c r="Q40" s="90">
        <f>DAY(malumot!$B$78)+P40</f>
        <v>3</v>
      </c>
      <c r="R40" s="85">
        <f>IF(A40&lt;=malumot!$B$81,DATE(YEAR($B$8),MONTH($B$8)+A39,DAY(malumot!$B$78)),0)</f>
        <v>0</v>
      </c>
      <c r="S40" s="71"/>
      <c r="T40" s="71"/>
      <c r="U40" s="71"/>
      <c r="V40" s="71"/>
    </row>
    <row r="41" spans="1:22">
      <c r="A41" s="77">
        <f t="shared" si="26"/>
        <v>34</v>
      </c>
      <c r="B41" s="78" t="b">
        <f>IF(A41&lt;=malumot!$B$81,DATE(YEAR(R41),MONTH(R41),DAY(IF(A41=malumot!$B$81,malumot!$B$67,IF(A41&lt;malumot!$B$81,(Q41),IF(A41&gt;malumot!$B$81,$H$44,0))))))</f>
        <v>0</v>
      </c>
      <c r="C41" s="44">
        <f t="shared" si="15"/>
        <v>0</v>
      </c>
      <c r="D41" s="44">
        <f t="shared" si="16"/>
        <v>0</v>
      </c>
      <c r="E41" s="44">
        <f t="shared" si="17"/>
        <v>0</v>
      </c>
      <c r="F41" s="44">
        <f t="shared" si="18"/>
        <v>0</v>
      </c>
      <c r="G41" s="71">
        <f t="shared" si="19"/>
        <v>0</v>
      </c>
      <c r="H41" s="71">
        <f t="shared" si="20"/>
        <v>366</v>
      </c>
      <c r="I41" s="79" t="b">
        <f t="shared" si="21"/>
        <v>0</v>
      </c>
      <c r="J41" s="79">
        <f>SUM($I$8:I40)</f>
        <v>26000000</v>
      </c>
      <c r="K41" s="79">
        <f t="shared" si="22"/>
        <v>0</v>
      </c>
      <c r="L41" s="73">
        <f>ROUND(C41*malumot!$B$84/H41,2)*G41</f>
        <v>0</v>
      </c>
      <c r="M41" s="73">
        <f t="shared" si="23"/>
        <v>0</v>
      </c>
      <c r="N41" s="73"/>
      <c r="O41" s="88" t="str">
        <f t="shared" si="24"/>
        <v>Сб</v>
      </c>
      <c r="P41" s="90">
        <f t="shared" si="25"/>
        <v>2</v>
      </c>
      <c r="Q41" s="90">
        <f>DAY(malumot!$B$78)+P41</f>
        <v>3</v>
      </c>
      <c r="R41" s="85">
        <f>IF(A41&lt;=malumot!$B$81,DATE(YEAR($B$8),MONTH($B$8)+A40,DAY(malumot!$B$78)),0)</f>
        <v>0</v>
      </c>
      <c r="S41" s="71"/>
      <c r="T41" s="71"/>
      <c r="U41" s="71"/>
      <c r="V41" s="71"/>
    </row>
    <row r="42" spans="1:22">
      <c r="A42" s="77">
        <f t="shared" si="26"/>
        <v>35</v>
      </c>
      <c r="B42" s="78" t="b">
        <f>IF(A42&lt;=malumot!$B$81,DATE(YEAR(R42),MONTH(R42),DAY(IF(A42=malumot!$B$81,malumot!$B$67,IF(A42&lt;malumot!$B$81,(Q42),IF(A42&gt;malumot!$B$81,$H$44,0))))))</f>
        <v>0</v>
      </c>
      <c r="C42" s="44">
        <f t="shared" si="15"/>
        <v>0</v>
      </c>
      <c r="D42" s="44">
        <f t="shared" si="16"/>
        <v>0</v>
      </c>
      <c r="E42" s="44">
        <f t="shared" si="17"/>
        <v>0</v>
      </c>
      <c r="F42" s="44">
        <f t="shared" si="18"/>
        <v>0</v>
      </c>
      <c r="G42" s="71">
        <f t="shared" si="19"/>
        <v>0</v>
      </c>
      <c r="H42" s="71">
        <f t="shared" si="20"/>
        <v>366</v>
      </c>
      <c r="I42" s="79" t="b">
        <f t="shared" si="21"/>
        <v>0</v>
      </c>
      <c r="J42" s="79">
        <f>SUM($I$8:I41)</f>
        <v>26000000</v>
      </c>
      <c r="K42" s="79">
        <f t="shared" si="22"/>
        <v>0</v>
      </c>
      <c r="L42" s="73">
        <f>ROUND(C42*malumot!$B$84/H42,2)*G42</f>
        <v>0</v>
      </c>
      <c r="M42" s="73">
        <f t="shared" si="23"/>
        <v>0</v>
      </c>
      <c r="N42" s="73"/>
      <c r="O42" s="88" t="str">
        <f t="shared" si="24"/>
        <v>Сб</v>
      </c>
      <c r="P42" s="90">
        <f t="shared" si="25"/>
        <v>2</v>
      </c>
      <c r="Q42" s="90">
        <f>DAY(malumot!$B$78)+P42</f>
        <v>3</v>
      </c>
      <c r="R42" s="85">
        <f>IF(A42&lt;=malumot!$B$81,DATE(YEAR($B$8),MONTH($B$8)+A41,DAY(malumot!$B$78)),0)</f>
        <v>0</v>
      </c>
      <c r="S42" s="71"/>
      <c r="T42" s="71"/>
      <c r="U42" s="71"/>
      <c r="V42" s="71"/>
    </row>
    <row r="43" spans="1:22">
      <c r="A43" s="77">
        <f t="shared" ref="A43" si="27">1+A42</f>
        <v>36</v>
      </c>
      <c r="B43" s="78" t="b">
        <f>IF(A43&lt;=malumot!$B$81,DATE(YEAR(R43),MONTH(R43),DAY(IF(A43=malumot!$B$81,malumot!$B$67,IF(A43&lt;malumot!$B$81,(Q43),IF(A43&gt;malumot!$B$81,$H$44,0))))))</f>
        <v>0</v>
      </c>
      <c r="C43" s="44">
        <f t="shared" ref="C43" si="28">C42-D42</f>
        <v>0</v>
      </c>
      <c r="D43" s="44">
        <f t="shared" ref="D43" si="29">IF(C43=0,L43,IF(C43&gt;1,I43))</f>
        <v>0</v>
      </c>
      <c r="E43" s="44">
        <f t="shared" ref="E43" si="30">IF(C43=0,N42,IF(C43&gt;1,L43))</f>
        <v>0</v>
      </c>
      <c r="F43" s="44">
        <f t="shared" ref="F43" si="31">IF(C43=0,N42,IF(C43&gt;1,M43))</f>
        <v>0</v>
      </c>
      <c r="G43" s="71">
        <f t="shared" ref="G43" si="32">B43-B42</f>
        <v>0</v>
      </c>
      <c r="H43" s="71">
        <f t="shared" ref="H43" si="33">DATE(YEAR(B43),12,31)-DATE(YEAR(B43),1,1)+1</f>
        <v>366</v>
      </c>
      <c r="I43" s="79" t="b">
        <f t="shared" ref="I43" si="34">IF($L$5=A43,K43,IF($L$5&gt;A43,I42))</f>
        <v>0</v>
      </c>
      <c r="J43" s="79">
        <f>SUM($I$8:I42)</f>
        <v>26000000</v>
      </c>
      <c r="K43" s="79">
        <f t="shared" ref="K43" si="35">$J$12-J43</f>
        <v>0</v>
      </c>
      <c r="L43" s="73">
        <f>ROUND(C43*malumot!$B$84/H43,2)*G43</f>
        <v>0</v>
      </c>
      <c r="M43" s="73">
        <f t="shared" ref="M43" si="36">D43+E43</f>
        <v>0</v>
      </c>
      <c r="N43" s="73"/>
      <c r="O43" s="88" t="str">
        <f t="shared" ref="O43" si="37">TEXT(R43,"ддд")</f>
        <v>Сб</v>
      </c>
      <c r="P43" s="90">
        <f t="shared" ref="P43" si="38">IF(O43=$U$8,2,IF(O43=$V$8,1,0))</f>
        <v>2</v>
      </c>
      <c r="Q43" s="90">
        <f>DAY(malumot!$B$78)+P43</f>
        <v>3</v>
      </c>
      <c r="R43" s="85">
        <f>IF(A43&lt;=malumot!$B$81,DATE(YEAR($B$8),MONTH($B$8)+A42,DAY(malumot!$B$78)),0)</f>
        <v>0</v>
      </c>
      <c r="S43" s="71"/>
      <c r="T43" s="71"/>
      <c r="U43" s="71"/>
      <c r="V43" s="71"/>
    </row>
    <row r="44" spans="1:22">
      <c r="A44" s="80"/>
      <c r="B44" s="81" t="s">
        <v>6</v>
      </c>
      <c r="C44" s="82"/>
      <c r="D44" s="82">
        <f>SUM(D8:D43)</f>
        <v>26000000</v>
      </c>
      <c r="E44" s="82">
        <f t="shared" ref="E44:F44" si="39">SUM(E8:E43)</f>
        <v>21483390.75</v>
      </c>
      <c r="F44" s="82">
        <f t="shared" si="39"/>
        <v>47483390.75</v>
      </c>
    </row>
    <row r="45" spans="1:22" ht="9" customHeight="1">
      <c r="B45" s="83"/>
      <c r="C45" s="84"/>
      <c r="D45" s="84"/>
      <c r="E45" s="84"/>
      <c r="F45" s="84"/>
    </row>
    <row r="46" spans="1:22" ht="47.25" customHeight="1">
      <c r="A46" s="284" t="s">
        <v>17</v>
      </c>
      <c r="B46" s="284"/>
      <c r="C46" s="284"/>
      <c r="D46" s="284"/>
      <c r="E46" s="284"/>
      <c r="F46" s="284"/>
    </row>
    <row r="47" spans="1:22" ht="7.5" customHeight="1"/>
    <row r="48" spans="1:22">
      <c r="A48" s="285" t="e">
        <f>#REF!</f>
        <v>#REF!</v>
      </c>
      <c r="B48" s="285"/>
      <c r="C48" s="285"/>
      <c r="D48" s="285" t="e">
        <f>#REF!</f>
        <v>#REF!</v>
      </c>
      <c r="E48" s="285"/>
      <c r="F48" s="285"/>
    </row>
    <row r="49" spans="1:6" ht="11.25" customHeight="1">
      <c r="A49" s="286"/>
      <c r="B49" s="286"/>
      <c r="C49" s="286"/>
      <c r="D49" s="286"/>
      <c r="E49" s="286"/>
      <c r="F49" s="286"/>
    </row>
    <row r="50" spans="1:6" ht="30" customHeight="1">
      <c r="A50" s="287" t="e">
        <f>#REF!</f>
        <v>#REF!</v>
      </c>
      <c r="B50" s="287"/>
      <c r="C50" s="287"/>
      <c r="D50" s="287" t="e">
        <f>#REF!</f>
        <v>#REF!</v>
      </c>
      <c r="E50" s="287"/>
      <c r="F50" s="287"/>
    </row>
    <row r="51" spans="1:6" ht="32.25" customHeight="1">
      <c r="A51" s="283" t="e">
        <f>#REF!</f>
        <v>#REF!</v>
      </c>
      <c r="B51" s="283"/>
      <c r="C51" s="283"/>
      <c r="D51" s="283" t="e">
        <f>#REF!</f>
        <v>#REF!</v>
      </c>
      <c r="E51" s="283"/>
      <c r="F51" s="283"/>
    </row>
    <row r="52" spans="1:6">
      <c r="A52" s="283" t="e">
        <f>#REF!</f>
        <v>#REF!</v>
      </c>
      <c r="B52" s="283"/>
      <c r="C52" s="283"/>
      <c r="D52" s="283" t="str">
        <f>"паспорт серии "&amp;malumot!B16&amp;", "&amp;malumot!B20&amp;""</f>
        <v>паспорт серии AB 7858443, BUXORO VILOYATI KOGON TUMAN IIB tomonidan 06.10.2017 yilda berilgan</v>
      </c>
      <c r="E52" s="283"/>
      <c r="F52" s="283"/>
    </row>
    <row r="53" spans="1:6" ht="32.25" customHeight="1">
      <c r="A53" s="283" t="e">
        <f>#REF!</f>
        <v>#REF!</v>
      </c>
      <c r="B53" s="283"/>
      <c r="C53" s="283"/>
      <c r="D53" s="283"/>
      <c r="E53" s="283"/>
      <c r="F53" s="283"/>
    </row>
    <row r="54" spans="1:6">
      <c r="A54" s="283" t="e">
        <f>#REF!</f>
        <v>#REF!</v>
      </c>
      <c r="B54" s="283"/>
      <c r="C54" s="283"/>
      <c r="D54" s="283" t="e">
        <f>#REF!</f>
        <v>#REF!</v>
      </c>
      <c r="E54" s="283"/>
      <c r="F54" s="283"/>
    </row>
    <row r="55" spans="1:6">
      <c r="A55" s="283" t="e">
        <f>#REF!</f>
        <v>#REF!</v>
      </c>
      <c r="B55" s="283"/>
      <c r="C55" s="283"/>
      <c r="D55" s="283" t="e">
        <f>#REF!</f>
        <v>#REF!</v>
      </c>
      <c r="E55" s="283"/>
      <c r="F55" s="283"/>
    </row>
    <row r="56" spans="1:6">
      <c r="A56" s="283" t="e">
        <f>#REF!</f>
        <v>#REF!</v>
      </c>
      <c r="B56" s="283"/>
      <c r="C56" s="283"/>
      <c r="D56" s="283" t="e">
        <f>#REF!</f>
        <v>#REF!</v>
      </c>
      <c r="E56" s="283"/>
      <c r="F56" s="283"/>
    </row>
    <row r="57" spans="1:6" ht="8.25" customHeight="1">
      <c r="A57" s="283"/>
      <c r="B57" s="283"/>
      <c r="C57" s="283"/>
      <c r="D57" s="283"/>
      <c r="E57" s="283"/>
      <c r="F57" s="283"/>
    </row>
    <row r="58" spans="1:6">
      <c r="A58" s="287" t="e">
        <f>#REF!</f>
        <v>#REF!</v>
      </c>
      <c r="B58" s="287"/>
      <c r="C58" s="287"/>
      <c r="D58" s="287" t="e">
        <f>#REF!</f>
        <v>#REF!</v>
      </c>
      <c r="E58" s="287"/>
      <c r="F58" s="287"/>
    </row>
    <row r="59" spans="1:6" ht="7.5" customHeight="1">
      <c r="A59" s="287"/>
      <c r="B59" s="287"/>
      <c r="C59" s="287"/>
      <c r="D59" s="287"/>
      <c r="E59" s="287"/>
      <c r="F59" s="287"/>
    </row>
    <row r="60" spans="1:6">
      <c r="A60" s="287" t="e">
        <f>#REF!</f>
        <v>#REF!</v>
      </c>
      <c r="B60" s="287"/>
      <c r="C60" s="287"/>
      <c r="D60" s="287" t="e">
        <f>#REF!</f>
        <v>#REF!</v>
      </c>
      <c r="E60" s="287"/>
      <c r="F60" s="287"/>
    </row>
    <row r="61" spans="1:6" ht="8.25" customHeight="1">
      <c r="A61" s="283"/>
      <c r="B61" s="283"/>
      <c r="C61" s="283"/>
      <c r="D61" s="283"/>
      <c r="E61" s="283"/>
      <c r="F61" s="283"/>
    </row>
    <row r="62" spans="1:6" ht="30" customHeight="1">
      <c r="A62" s="289"/>
      <c r="B62" s="289"/>
      <c r="C62" s="289"/>
      <c r="D62" s="290" t="e">
        <f>#REF!</f>
        <v>#REF!</v>
      </c>
      <c r="E62" s="290"/>
      <c r="F62" s="290"/>
    </row>
    <row r="63" spans="1:6">
      <c r="A63" s="291"/>
      <c r="B63" s="291"/>
      <c r="C63" s="291"/>
      <c r="D63" s="291"/>
      <c r="E63" s="291"/>
      <c r="F63" s="291"/>
    </row>
    <row r="64" spans="1:6">
      <c r="A64" s="288"/>
      <c r="B64" s="288"/>
      <c r="C64" s="288"/>
      <c r="D64" s="288"/>
      <c r="E64" s="288"/>
      <c r="F64" s="288"/>
    </row>
  </sheetData>
  <mergeCells count="40">
    <mergeCell ref="A64:C64"/>
    <mergeCell ref="D64:F64"/>
    <mergeCell ref="A61:C61"/>
    <mergeCell ref="D61:F61"/>
    <mergeCell ref="A62:C62"/>
    <mergeCell ref="D62:F62"/>
    <mergeCell ref="A63:C63"/>
    <mergeCell ref="D63:F63"/>
    <mergeCell ref="A58:C58"/>
    <mergeCell ref="D58:F58"/>
    <mergeCell ref="A59:C59"/>
    <mergeCell ref="D59:F59"/>
    <mergeCell ref="A60:C60"/>
    <mergeCell ref="D60:F60"/>
    <mergeCell ref="A55:C55"/>
    <mergeCell ref="D55:F55"/>
    <mergeCell ref="A56:C56"/>
    <mergeCell ref="D56:F56"/>
    <mergeCell ref="A57:C57"/>
    <mergeCell ref="D57:F57"/>
    <mergeCell ref="A54:C54"/>
    <mergeCell ref="D54:F54"/>
    <mergeCell ref="A46:F46"/>
    <mergeCell ref="A48:C48"/>
    <mergeCell ref="D48:F48"/>
    <mergeCell ref="A49:C49"/>
    <mergeCell ref="D49:F49"/>
    <mergeCell ref="A50:C50"/>
    <mergeCell ref="D50:F50"/>
    <mergeCell ref="A51:C51"/>
    <mergeCell ref="D51:F51"/>
    <mergeCell ref="A52:C52"/>
    <mergeCell ref="D52:F53"/>
    <mergeCell ref="A53:C53"/>
    <mergeCell ref="E1:F1"/>
    <mergeCell ref="A4:F4"/>
    <mergeCell ref="A6:A7"/>
    <mergeCell ref="B6:B7"/>
    <mergeCell ref="C6:C7"/>
    <mergeCell ref="D6:F6"/>
  </mergeCells>
  <conditionalFormatting sqref="B8:B43">
    <cfRule type="cellIs" dxfId="7" priority="4" operator="lessThan">
      <formula>22105</formula>
    </cfRule>
  </conditionalFormatting>
  <conditionalFormatting sqref="C8:C43">
    <cfRule type="cellIs" dxfId="6" priority="3" operator="lessThan">
      <formula>1</formula>
    </cfRule>
  </conditionalFormatting>
  <conditionalFormatting sqref="C8:F43">
    <cfRule type="cellIs" dxfId="5" priority="1" operator="lessThan">
      <formula>0.1</formula>
    </cfRule>
  </conditionalFormatting>
  <pageMargins left="0.70866141732283472" right="0.70866141732283472" top="0.74803149606299213" bottom="0.74803149606299213" header="0.31496062992125984" footer="0.31496062992125984"/>
  <pageSetup paperSize="9" scale="94"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Лист20">
    <tabColor rgb="FFFF0000"/>
  </sheetPr>
  <dimension ref="A1:W30"/>
  <sheetViews>
    <sheetView zoomScale="85" zoomScaleNormal="85" zoomScaleSheetLayoutView="85" workbookViewId="0">
      <pane ySplit="1" topLeftCell="A2" activePane="bottomLeft" state="frozen"/>
      <selection pane="bottomLeft"/>
    </sheetView>
  </sheetViews>
  <sheetFormatPr defaultRowHeight="15"/>
  <cols>
    <col min="1" max="1" width="16.7109375" style="97" customWidth="1"/>
    <col min="2" max="2" width="13.28515625" hidden="1" customWidth="1"/>
    <col min="3" max="3" width="8.42578125" hidden="1" customWidth="1"/>
    <col min="4" max="4" width="18.140625" customWidth="1"/>
    <col min="5" max="5" width="45.42578125" customWidth="1"/>
    <col min="6" max="6" width="15.42578125" customWidth="1"/>
    <col min="7" max="10" width="15.42578125" hidden="1" customWidth="1"/>
    <col min="11" max="11" width="18.140625" hidden="1" customWidth="1"/>
    <col min="12" max="12" width="10.5703125" customWidth="1"/>
    <col min="13" max="13" width="22.7109375" customWidth="1"/>
    <col min="14" max="14" width="28.140625" customWidth="1"/>
    <col min="15" max="15" width="125.42578125" customWidth="1"/>
    <col min="16" max="22" width="9.140625" customWidth="1"/>
    <col min="23" max="23" width="117.7109375" customWidth="1"/>
    <col min="24" max="24" width="9.140625" customWidth="1"/>
    <col min="25" max="25" width="2.5703125" customWidth="1"/>
    <col min="26" max="38" width="9.140625" customWidth="1"/>
  </cols>
  <sheetData>
    <row r="1" spans="1:23" s="103" customFormat="1" ht="36.75" customHeight="1">
      <c r="A1" s="102" t="s">
        <v>14</v>
      </c>
      <c r="B1" s="103" t="s">
        <v>3</v>
      </c>
      <c r="D1" s="102"/>
      <c r="E1" s="102" t="s">
        <v>39</v>
      </c>
      <c r="F1" s="102" t="s">
        <v>40</v>
      </c>
      <c r="G1" s="102"/>
      <c r="H1" s="102"/>
      <c r="I1" s="102"/>
      <c r="J1" s="102"/>
      <c r="K1" s="102"/>
      <c r="L1" s="102" t="s">
        <v>41</v>
      </c>
      <c r="M1" s="102" t="s">
        <v>43</v>
      </c>
      <c r="N1" s="102" t="s">
        <v>42</v>
      </c>
    </row>
    <row r="2" spans="1:23" ht="15" customHeight="1">
      <c r="A2" s="96">
        <v>1</v>
      </c>
      <c r="B2" t="s">
        <v>254</v>
      </c>
      <c r="C2" t="s">
        <v>66</v>
      </c>
      <c r="D2" s="98" t="s">
        <v>254</v>
      </c>
      <c r="E2" s="98" t="s">
        <v>45</v>
      </c>
      <c r="F2" s="99">
        <v>44207</v>
      </c>
      <c r="G2" s="89">
        <f>MONTH(F2)</f>
        <v>1</v>
      </c>
      <c r="H2" s="99" t="str">
        <f>IF(G2=$A$26,$A$28,IF(G2=$B$26,$B$28,IF(G2=$C$26,$C$28,IF(G2=$D$26,$D$28,IF(G2=$E$26,$E$28,IF(G2=$F$26,$F$28,IF(G2=$K$26,$K$28,IF(G2=$L$26,$L$28,IF(G2=$M$26,$M$28,IF(G2=$N$26,$N$28,IF(G2=$O$26,$O$28,IF(G2=$P$26,$P$28,0))))))))))))</f>
        <v>yanvar</v>
      </c>
      <c r="I2" s="89">
        <f>DAY(F2)</f>
        <v>11</v>
      </c>
      <c r="J2" s="101">
        <f>YEAR(F2)</f>
        <v>2021</v>
      </c>
      <c r="K2" s="99" t="str">
        <f>""&amp;I2&amp;" "&amp;H2&amp;" "&amp;J2&amp;" г."</f>
        <v>11 yanvar 2021 г.</v>
      </c>
      <c r="L2" s="98">
        <v>5</v>
      </c>
      <c r="M2" s="100">
        <v>15000000</v>
      </c>
      <c r="N2" s="98" t="s">
        <v>129</v>
      </c>
      <c r="O2" t="str">
        <f>"- №"&amp;L2&amp;" от "&amp;K2&amp;", заключенного с ООО «Clever Mikrokredit Tashkiloti» и "&amp;E2&amp;", по согласованной залоговой стоимость - "&amp;FIXED(M2)&amp;" ("&amp;N2&amp;") сум."</f>
        <v>- №5 от 11 yanvar 2021 г., заключенного с ООО «Clever Mikrokredit Tashkiloti» и TULYAGANOV XODJIAKBAR IRGASHEVICH, по согласованной залоговой стоимость - 15 000 000,00 (on besh million) сум.</v>
      </c>
      <c r="P2" t="str">
        <f>IF(D2=$B$2,O2,IF(D2=$C$2,$B$1))</f>
        <v>- №5 от 11 yanvar 2021 г., заключенного с ООО «Clever Mikrokredit Tashkiloti» и TULYAGANOV XODJIAKBAR IRGASHEVICH, по согласованной залоговой стоимость - 15 000 000,00 (on besh million) сум.</v>
      </c>
      <c r="W2" s="54" t="str">
        <f>""&amp;P2&amp;"
"&amp;P3&amp;"
"&amp;P4&amp;"
"&amp;P5&amp;"
"&amp;P6&amp;"
"&amp;P7&amp;"
"&amp;P8&amp;"
"&amp;P9&amp;"
"&amp;P10&amp;"
"&amp;P11&amp;"
"&amp;P12&amp;"
"&amp;P13&amp;"
"&amp;P14&amp;"
"&amp;P15&amp;"
"&amp;P16&amp;"
"&amp;P17&amp;"
"&amp;P18&amp;"
"&amp;P19&amp;"
"&amp;P20&amp;"
"&amp;P21&amp;""</f>
        <v>-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row>
    <row r="3" spans="1:23" ht="15" customHeight="1">
      <c r="A3" s="96">
        <v>2</v>
      </c>
      <c r="D3" s="98" t="s">
        <v>254</v>
      </c>
      <c r="E3" s="98" t="s">
        <v>44</v>
      </c>
      <c r="F3" s="99">
        <v>43775</v>
      </c>
      <c r="G3" s="89">
        <f>MONTH(F3)</f>
        <v>11</v>
      </c>
      <c r="H3" s="99" t="str">
        <f>IF(G3=$A$26,$A$28,IF(G3=$B$26,$B$28,IF(G3=$C$26,$C$28,IF(G3=$D$26,$D$28,IF(G3=$E$26,$E$28,IF(G3=$F$26,$F$28,IF(G3=$K$26,$K$28,IF(G3=$L$26,$L$28,IF(G3=$M$26,$M$28,IF(G3=$N$26,$N$28,IF(G3=$O$26,$O$28,IF(G3=$P$26,$P$28,0))))))))))))</f>
        <v>noyabr</v>
      </c>
      <c r="I3" s="89">
        <f>DAY(F3)</f>
        <v>6</v>
      </c>
      <c r="J3" s="101">
        <f>YEAR(F3)</f>
        <v>2019</v>
      </c>
      <c r="K3" s="99" t="str">
        <f>""&amp;I3&amp;" "&amp;H3&amp;" "&amp;J3&amp;" г."</f>
        <v>6 noyabr 2019 г.</v>
      </c>
      <c r="L3" s="98">
        <v>386</v>
      </c>
      <c r="M3" s="100">
        <v>15000000</v>
      </c>
      <c r="N3" s="98" t="s">
        <v>129</v>
      </c>
      <c r="O3" t="str">
        <f t="shared" ref="O3:O4" si="0">"- №"&amp;L3&amp;" от "&amp;K3&amp;", заключенного с ООО «Clever Mikrokredit Tashkiloti» и "&amp;E3&amp;", по согласованной залоговой стоимость - "&amp;FIXED(M3)&amp;" ("&amp;N3&amp;") сум."</f>
        <v>- №386 от 6 noyabr 2019 г., заключенного с ООО «Clever Mikrokredit Tashkiloti» и YUNUSOVA ZALOXAT MIRSULTANOVNA, по согласованной залоговой стоимость - 15 000 000,00 (on besh million) сум.</v>
      </c>
      <c r="P3" t="str">
        <f t="shared" ref="P3:P21" si="1">IF(D3=$B$2,O3,IF(D3=$C$2,$B$1))</f>
        <v>- №386 от 6 noyabr 2019 г., заключенного с ООО «Clever Mikrokredit Tashkiloti» и YUNUSOVA ZALOXAT MIRSULTANOVNA, по согласованной залоговой стоимость - 15 000 000,00 (on besh million) сум.</v>
      </c>
    </row>
    <row r="4" spans="1:23" ht="15" customHeight="1">
      <c r="A4" s="96">
        <v>3</v>
      </c>
      <c r="D4" s="98" t="s">
        <v>254</v>
      </c>
      <c r="E4" s="98" t="s">
        <v>44</v>
      </c>
      <c r="F4" s="99">
        <v>44217</v>
      </c>
      <c r="G4" s="89">
        <f>MONTH(F4)</f>
        <v>1</v>
      </c>
      <c r="H4" s="99" t="str">
        <f>IF(G4=$A$26,$A$28,IF(G4=$B$26,$B$28,IF(G4=$C$26,$C$28,IF(G4=$D$26,$D$28,IF(G4=$E$26,$E$28,IF(G4=$F$26,$F$28,IF(G4=$K$26,$K$28,IF(G4=$L$26,$L$28,IF(G4=$M$26,$M$28,IF(G4=$N$26,$N$28,IF(G4=$O$26,$O$28,IF(G4=$P$26,$P$28,0))))))))))))</f>
        <v>yanvar</v>
      </c>
      <c r="I4" s="89">
        <f>DAY(F4)</f>
        <v>21</v>
      </c>
      <c r="J4" s="101">
        <f>YEAR(F4)</f>
        <v>2021</v>
      </c>
      <c r="K4" s="99" t="str">
        <f>""&amp;I4&amp;" "&amp;H4&amp;" "&amp;J4&amp;" г."</f>
        <v>21 yanvar 2021 г.</v>
      </c>
      <c r="L4" s="98">
        <v>33</v>
      </c>
      <c r="M4" s="100">
        <v>15000000</v>
      </c>
      <c r="N4" s="98" t="s">
        <v>129</v>
      </c>
      <c r="O4" t="str">
        <f t="shared" si="0"/>
        <v>- №33 от 21 yanvar 2021 г., заключенного с ООО «Clever Mikrokredit Tashkiloti» и YUNUSOVA ZALOXAT MIRSULTANOVNA, по согласованной залоговой стоимость - 15 000 000,00 (on besh million) сум.</v>
      </c>
      <c r="P4" t="str">
        <f t="shared" si="1"/>
        <v>- №33 от 21 yanvar 2021 г., заключенного с ООО «Clever Mikrokredit Tashkiloti» и YUNUSOVA ZALOXAT MIRSULTANOVNA, по согласованной залоговой стоимость - 15 000 000,00 (on besh million) сум.</v>
      </c>
    </row>
    <row r="5" spans="1:23" ht="15" customHeight="1">
      <c r="A5" s="96">
        <v>4</v>
      </c>
      <c r="D5" s="98" t="s">
        <v>254</v>
      </c>
      <c r="E5" s="98"/>
      <c r="F5" s="99"/>
      <c r="G5" s="89">
        <f t="shared" ref="G5:G21" si="2">MONTH(F5)</f>
        <v>1</v>
      </c>
      <c r="H5" s="99" t="str">
        <f t="shared" ref="H5:H21" si="3">IF(G5=$A$26,$A$28,IF(G5=$B$26,$B$28,IF(G5=$C$26,$C$28,IF(G5=$D$26,$D$28,IF(G5=$E$26,$E$28,IF(G5=$F$26,$F$28,IF(G5=$K$26,$K$28,IF(G5=$L$26,$L$28,IF(G5=$M$26,$M$28,IF(G5=$N$26,$N$28,IF(G5=$O$26,$O$28,IF(G5=$P$26,$P$28,0))))))))))))</f>
        <v>yanvar</v>
      </c>
      <c r="I5" s="89">
        <f t="shared" ref="I5:I21" si="4">DAY(F5)</f>
        <v>0</v>
      </c>
      <c r="J5" s="101">
        <f t="shared" ref="J5:J21" si="5">YEAR(F5)</f>
        <v>1900</v>
      </c>
      <c r="K5" s="99" t="str">
        <f t="shared" ref="K5:K21" si="6">""&amp;I5&amp;" "&amp;H5&amp;" "&amp;J5&amp;" г."</f>
        <v>0 yanvar 1900 г.</v>
      </c>
      <c r="L5" s="98"/>
      <c r="M5" s="100"/>
      <c r="N5" s="98"/>
      <c r="P5">
        <f t="shared" si="1"/>
        <v>0</v>
      </c>
    </row>
    <row r="6" spans="1:23" ht="15" customHeight="1">
      <c r="A6" s="96">
        <v>5</v>
      </c>
      <c r="D6" s="98" t="s">
        <v>254</v>
      </c>
      <c r="E6" s="98"/>
      <c r="F6" s="99"/>
      <c r="G6" s="89">
        <f t="shared" si="2"/>
        <v>1</v>
      </c>
      <c r="H6" s="99" t="str">
        <f t="shared" si="3"/>
        <v>yanvar</v>
      </c>
      <c r="I6" s="89">
        <f t="shared" si="4"/>
        <v>0</v>
      </c>
      <c r="J6" s="101">
        <f t="shared" si="5"/>
        <v>1900</v>
      </c>
      <c r="K6" s="99" t="str">
        <f t="shared" si="6"/>
        <v>0 yanvar 1900 г.</v>
      </c>
      <c r="L6" s="98"/>
      <c r="M6" s="100"/>
      <c r="N6" s="98"/>
      <c r="P6">
        <f t="shared" si="1"/>
        <v>0</v>
      </c>
    </row>
    <row r="7" spans="1:23" ht="15" customHeight="1">
      <c r="A7" s="96">
        <v>6</v>
      </c>
      <c r="D7" s="98" t="s">
        <v>254</v>
      </c>
      <c r="E7" s="98"/>
      <c r="F7" s="99"/>
      <c r="G7" s="89">
        <f t="shared" si="2"/>
        <v>1</v>
      </c>
      <c r="H7" s="99" t="str">
        <f t="shared" si="3"/>
        <v>yanvar</v>
      </c>
      <c r="I7" s="89">
        <f t="shared" si="4"/>
        <v>0</v>
      </c>
      <c r="J7" s="101">
        <f t="shared" si="5"/>
        <v>1900</v>
      </c>
      <c r="K7" s="99" t="str">
        <f t="shared" si="6"/>
        <v>0 yanvar 1900 г.</v>
      </c>
      <c r="L7" s="98"/>
      <c r="M7" s="100"/>
      <c r="N7" s="98"/>
      <c r="P7">
        <f t="shared" si="1"/>
        <v>0</v>
      </c>
    </row>
    <row r="8" spans="1:23" ht="15" customHeight="1">
      <c r="A8" s="96">
        <v>7</v>
      </c>
      <c r="D8" s="98" t="s">
        <v>254</v>
      </c>
      <c r="E8" s="98"/>
      <c r="F8" s="99"/>
      <c r="G8" s="89">
        <f t="shared" si="2"/>
        <v>1</v>
      </c>
      <c r="H8" s="99" t="str">
        <f t="shared" si="3"/>
        <v>yanvar</v>
      </c>
      <c r="I8" s="89">
        <f t="shared" si="4"/>
        <v>0</v>
      </c>
      <c r="J8" s="101">
        <f t="shared" si="5"/>
        <v>1900</v>
      </c>
      <c r="K8" s="99" t="str">
        <f t="shared" si="6"/>
        <v>0 yanvar 1900 г.</v>
      </c>
      <c r="L8" s="98"/>
      <c r="M8" s="100"/>
      <c r="N8" s="98"/>
      <c r="P8">
        <f t="shared" si="1"/>
        <v>0</v>
      </c>
    </row>
    <row r="9" spans="1:23" ht="15" customHeight="1">
      <c r="A9" s="96">
        <v>8</v>
      </c>
      <c r="D9" s="98" t="s">
        <v>254</v>
      </c>
      <c r="E9" s="98"/>
      <c r="F9" s="99"/>
      <c r="G9" s="89">
        <f t="shared" si="2"/>
        <v>1</v>
      </c>
      <c r="H9" s="99" t="str">
        <f t="shared" si="3"/>
        <v>yanvar</v>
      </c>
      <c r="I9" s="89">
        <f t="shared" si="4"/>
        <v>0</v>
      </c>
      <c r="J9" s="101">
        <f t="shared" si="5"/>
        <v>1900</v>
      </c>
      <c r="K9" s="99" t="str">
        <f t="shared" si="6"/>
        <v>0 yanvar 1900 г.</v>
      </c>
      <c r="L9" s="98"/>
      <c r="M9" s="100"/>
      <c r="N9" s="98"/>
      <c r="P9">
        <f t="shared" si="1"/>
        <v>0</v>
      </c>
    </row>
    <row r="10" spans="1:23" ht="15" customHeight="1">
      <c r="A10" s="96">
        <v>9</v>
      </c>
      <c r="D10" s="98" t="s">
        <v>254</v>
      </c>
      <c r="E10" s="98"/>
      <c r="F10" s="99"/>
      <c r="G10" s="89">
        <f t="shared" si="2"/>
        <v>1</v>
      </c>
      <c r="H10" s="99" t="str">
        <f t="shared" si="3"/>
        <v>yanvar</v>
      </c>
      <c r="I10" s="89">
        <f t="shared" si="4"/>
        <v>0</v>
      </c>
      <c r="J10" s="101">
        <f t="shared" si="5"/>
        <v>1900</v>
      </c>
      <c r="K10" s="99" t="str">
        <f t="shared" si="6"/>
        <v>0 yanvar 1900 г.</v>
      </c>
      <c r="L10" s="98"/>
      <c r="M10" s="100"/>
      <c r="N10" s="98"/>
      <c r="P10">
        <f t="shared" si="1"/>
        <v>0</v>
      </c>
    </row>
    <row r="11" spans="1:23" ht="15" customHeight="1">
      <c r="A11" s="96">
        <v>10</v>
      </c>
      <c r="D11" s="98" t="s">
        <v>254</v>
      </c>
      <c r="E11" s="98"/>
      <c r="F11" s="99"/>
      <c r="G11" s="89">
        <f t="shared" si="2"/>
        <v>1</v>
      </c>
      <c r="H11" s="99" t="str">
        <f t="shared" si="3"/>
        <v>yanvar</v>
      </c>
      <c r="I11" s="89">
        <f t="shared" si="4"/>
        <v>0</v>
      </c>
      <c r="J11" s="101">
        <f t="shared" si="5"/>
        <v>1900</v>
      </c>
      <c r="K11" s="99" t="str">
        <f t="shared" si="6"/>
        <v>0 yanvar 1900 г.</v>
      </c>
      <c r="L11" s="98"/>
      <c r="M11" s="100"/>
      <c r="N11" s="98"/>
      <c r="P11">
        <f t="shared" si="1"/>
        <v>0</v>
      </c>
    </row>
    <row r="12" spans="1:23" ht="15" customHeight="1">
      <c r="A12" s="96">
        <v>11</v>
      </c>
      <c r="D12" s="98" t="s">
        <v>254</v>
      </c>
      <c r="E12" s="98"/>
      <c r="F12" s="99"/>
      <c r="G12" s="89">
        <f t="shared" si="2"/>
        <v>1</v>
      </c>
      <c r="H12" s="99" t="str">
        <f t="shared" si="3"/>
        <v>yanvar</v>
      </c>
      <c r="I12" s="89">
        <f t="shared" si="4"/>
        <v>0</v>
      </c>
      <c r="J12" s="101">
        <f t="shared" si="5"/>
        <v>1900</v>
      </c>
      <c r="K12" s="99" t="str">
        <f t="shared" si="6"/>
        <v>0 yanvar 1900 г.</v>
      </c>
      <c r="L12" s="98"/>
      <c r="M12" s="100"/>
      <c r="N12" s="98"/>
      <c r="P12">
        <f t="shared" si="1"/>
        <v>0</v>
      </c>
    </row>
    <row r="13" spans="1:23" ht="15" customHeight="1">
      <c r="A13" s="96">
        <v>12</v>
      </c>
      <c r="D13" s="98" t="s">
        <v>254</v>
      </c>
      <c r="E13" s="98"/>
      <c r="F13" s="99"/>
      <c r="G13" s="89">
        <f t="shared" si="2"/>
        <v>1</v>
      </c>
      <c r="H13" s="99" t="str">
        <f t="shared" si="3"/>
        <v>yanvar</v>
      </c>
      <c r="I13" s="89">
        <f t="shared" si="4"/>
        <v>0</v>
      </c>
      <c r="J13" s="101">
        <f t="shared" si="5"/>
        <v>1900</v>
      </c>
      <c r="K13" s="99" t="str">
        <f t="shared" si="6"/>
        <v>0 yanvar 1900 г.</v>
      </c>
      <c r="L13" s="98"/>
      <c r="M13" s="100"/>
      <c r="N13" s="98"/>
      <c r="P13">
        <f t="shared" si="1"/>
        <v>0</v>
      </c>
    </row>
    <row r="14" spans="1:23" ht="15" customHeight="1">
      <c r="A14" s="96">
        <v>13</v>
      </c>
      <c r="D14" s="98" t="s">
        <v>254</v>
      </c>
      <c r="E14" s="98"/>
      <c r="F14" s="99"/>
      <c r="G14" s="89">
        <f t="shared" si="2"/>
        <v>1</v>
      </c>
      <c r="H14" s="99" t="str">
        <f t="shared" si="3"/>
        <v>yanvar</v>
      </c>
      <c r="I14" s="89">
        <f t="shared" si="4"/>
        <v>0</v>
      </c>
      <c r="J14" s="101">
        <f t="shared" si="5"/>
        <v>1900</v>
      </c>
      <c r="K14" s="99" t="str">
        <f t="shared" si="6"/>
        <v>0 yanvar 1900 г.</v>
      </c>
      <c r="L14" s="98"/>
      <c r="M14" s="100"/>
      <c r="N14" s="98"/>
      <c r="P14">
        <f t="shared" si="1"/>
        <v>0</v>
      </c>
    </row>
    <row r="15" spans="1:23" ht="15" customHeight="1">
      <c r="A15" s="96">
        <v>14</v>
      </c>
      <c r="D15" s="98" t="s">
        <v>254</v>
      </c>
      <c r="E15" s="98"/>
      <c r="F15" s="99"/>
      <c r="G15" s="89">
        <f t="shared" si="2"/>
        <v>1</v>
      </c>
      <c r="H15" s="99" t="str">
        <f t="shared" si="3"/>
        <v>yanvar</v>
      </c>
      <c r="I15" s="89">
        <f t="shared" si="4"/>
        <v>0</v>
      </c>
      <c r="J15" s="101">
        <f t="shared" si="5"/>
        <v>1900</v>
      </c>
      <c r="K15" s="99" t="str">
        <f t="shared" si="6"/>
        <v>0 yanvar 1900 г.</v>
      </c>
      <c r="L15" s="98"/>
      <c r="M15" s="100"/>
      <c r="N15" s="98"/>
      <c r="P15">
        <f t="shared" si="1"/>
        <v>0</v>
      </c>
    </row>
    <row r="16" spans="1:23" ht="15" customHeight="1">
      <c r="A16" s="96">
        <v>15</v>
      </c>
      <c r="D16" s="98" t="s">
        <v>254</v>
      </c>
      <c r="E16" s="98"/>
      <c r="F16" s="99"/>
      <c r="G16" s="89">
        <f t="shared" si="2"/>
        <v>1</v>
      </c>
      <c r="H16" s="99" t="str">
        <f t="shared" si="3"/>
        <v>yanvar</v>
      </c>
      <c r="I16" s="89">
        <f t="shared" si="4"/>
        <v>0</v>
      </c>
      <c r="J16" s="101">
        <f t="shared" si="5"/>
        <v>1900</v>
      </c>
      <c r="K16" s="99" t="str">
        <f t="shared" si="6"/>
        <v>0 yanvar 1900 г.</v>
      </c>
      <c r="L16" s="98"/>
      <c r="M16" s="100"/>
      <c r="N16" s="98"/>
      <c r="P16">
        <f t="shared" si="1"/>
        <v>0</v>
      </c>
    </row>
    <row r="17" spans="1:17" ht="15" customHeight="1">
      <c r="A17" s="96">
        <v>16</v>
      </c>
      <c r="D17" s="98" t="s">
        <v>254</v>
      </c>
      <c r="E17" s="98"/>
      <c r="F17" s="99"/>
      <c r="G17" s="89">
        <f t="shared" si="2"/>
        <v>1</v>
      </c>
      <c r="H17" s="99" t="str">
        <f t="shared" si="3"/>
        <v>yanvar</v>
      </c>
      <c r="I17" s="89">
        <f t="shared" si="4"/>
        <v>0</v>
      </c>
      <c r="J17" s="101">
        <f t="shared" si="5"/>
        <v>1900</v>
      </c>
      <c r="K17" s="99" t="str">
        <f t="shared" si="6"/>
        <v>0 yanvar 1900 г.</v>
      </c>
      <c r="L17" s="98"/>
      <c r="M17" s="100"/>
      <c r="N17" s="98"/>
      <c r="P17">
        <f t="shared" si="1"/>
        <v>0</v>
      </c>
    </row>
    <row r="18" spans="1:17" ht="15" customHeight="1">
      <c r="A18" s="96">
        <v>17</v>
      </c>
      <c r="D18" s="98" t="s">
        <v>254</v>
      </c>
      <c r="E18" s="98"/>
      <c r="F18" s="99"/>
      <c r="G18" s="89">
        <f t="shared" si="2"/>
        <v>1</v>
      </c>
      <c r="H18" s="99" t="str">
        <f t="shared" si="3"/>
        <v>yanvar</v>
      </c>
      <c r="I18" s="89">
        <f t="shared" si="4"/>
        <v>0</v>
      </c>
      <c r="J18" s="101">
        <f t="shared" si="5"/>
        <v>1900</v>
      </c>
      <c r="K18" s="99" t="str">
        <f t="shared" si="6"/>
        <v>0 yanvar 1900 г.</v>
      </c>
      <c r="L18" s="98"/>
      <c r="M18" s="100"/>
      <c r="N18" s="98"/>
      <c r="P18">
        <f t="shared" si="1"/>
        <v>0</v>
      </c>
    </row>
    <row r="19" spans="1:17" ht="15" customHeight="1">
      <c r="A19" s="96">
        <v>18</v>
      </c>
      <c r="D19" s="98" t="s">
        <v>254</v>
      </c>
      <c r="E19" s="98"/>
      <c r="F19" s="99"/>
      <c r="G19" s="89">
        <f t="shared" si="2"/>
        <v>1</v>
      </c>
      <c r="H19" s="99" t="str">
        <f t="shared" si="3"/>
        <v>yanvar</v>
      </c>
      <c r="I19" s="89">
        <f t="shared" si="4"/>
        <v>0</v>
      </c>
      <c r="J19" s="101">
        <f t="shared" si="5"/>
        <v>1900</v>
      </c>
      <c r="K19" s="99" t="str">
        <f t="shared" si="6"/>
        <v>0 yanvar 1900 г.</v>
      </c>
      <c r="L19" s="98"/>
      <c r="M19" s="100"/>
      <c r="N19" s="98"/>
      <c r="P19">
        <f t="shared" si="1"/>
        <v>0</v>
      </c>
    </row>
    <row r="20" spans="1:17" ht="15" customHeight="1">
      <c r="A20" s="96">
        <v>19</v>
      </c>
      <c r="D20" s="98" t="s">
        <v>254</v>
      </c>
      <c r="E20" s="98"/>
      <c r="F20" s="99"/>
      <c r="G20" s="89">
        <f t="shared" si="2"/>
        <v>1</v>
      </c>
      <c r="H20" s="99" t="str">
        <f t="shared" si="3"/>
        <v>yanvar</v>
      </c>
      <c r="I20" s="89">
        <f t="shared" si="4"/>
        <v>0</v>
      </c>
      <c r="J20" s="101">
        <f t="shared" si="5"/>
        <v>1900</v>
      </c>
      <c r="K20" s="99" t="str">
        <f t="shared" si="6"/>
        <v>0 yanvar 1900 г.</v>
      </c>
      <c r="L20" s="98"/>
      <c r="M20" s="100"/>
      <c r="N20" s="98"/>
      <c r="P20">
        <f t="shared" si="1"/>
        <v>0</v>
      </c>
    </row>
    <row r="21" spans="1:17" ht="15" customHeight="1">
      <c r="A21" s="96">
        <v>20</v>
      </c>
      <c r="D21" s="98" t="s">
        <v>254</v>
      </c>
      <c r="E21" s="98"/>
      <c r="F21" s="99"/>
      <c r="G21" s="89">
        <f t="shared" si="2"/>
        <v>1</v>
      </c>
      <c r="H21" s="99" t="str">
        <f t="shared" si="3"/>
        <v>yanvar</v>
      </c>
      <c r="I21" s="89">
        <f t="shared" si="4"/>
        <v>0</v>
      </c>
      <c r="J21" s="101">
        <f t="shared" si="5"/>
        <v>1900</v>
      </c>
      <c r="K21" s="99" t="str">
        <f t="shared" si="6"/>
        <v>0 yanvar 1900 г.</v>
      </c>
      <c r="L21" s="98"/>
      <c r="M21" s="100"/>
      <c r="N21" s="98"/>
      <c r="P21">
        <f t="shared" si="1"/>
        <v>0</v>
      </c>
    </row>
    <row r="22" spans="1:17">
      <c r="M22" s="104">
        <f>SUM(M2:M21)+malumot!B144</f>
        <v>84000000</v>
      </c>
      <c r="Q22" t="s">
        <v>253</v>
      </c>
    </row>
    <row r="23" spans="1:17">
      <c r="A23" s="85"/>
      <c r="B23" s="86"/>
      <c r="C23" s="86"/>
      <c r="D23" s="86"/>
      <c r="E23" s="86"/>
      <c r="F23" s="86"/>
      <c r="G23" s="86"/>
      <c r="H23" s="86"/>
      <c r="I23" s="86"/>
      <c r="J23" s="86"/>
      <c r="K23" s="86"/>
      <c r="L23" s="86"/>
      <c r="M23" s="86"/>
      <c r="N23" s="86"/>
      <c r="O23" s="86"/>
    </row>
    <row r="24" spans="1:17">
      <c r="A24" s="86"/>
      <c r="B24" s="86"/>
      <c r="C24" s="86"/>
      <c r="D24" s="86"/>
      <c r="E24" s="86"/>
      <c r="F24" s="86"/>
      <c r="G24" s="86"/>
      <c r="H24" s="86"/>
      <c r="I24" s="86"/>
      <c r="J24" s="86"/>
      <c r="K24" s="86"/>
      <c r="L24" s="86"/>
      <c r="M24" s="86"/>
      <c r="N24" s="86"/>
      <c r="O24" s="86"/>
    </row>
    <row r="25" spans="1:17">
      <c r="A25" s="86">
        <f>MONTH(F2)</f>
        <v>1</v>
      </c>
      <c r="B25" s="86" t="str">
        <f>IF(A25=A26,A28,IF(A25=B26,B28,IF(A25=C26,C28,IF(A25=D26,D28,IF(A25=E26,E28,IF(A25=F26,F28,IF(A25=K26,K28,IF(A25=L26,L28,IF(A25=M26,M28,IF(A25=N26,N28,IF(A25=O26,O28,IF(A25=#REF!,#REF!,))))))))))))</f>
        <v>yanvar</v>
      </c>
      <c r="C25" s="86">
        <f>DAY(F2)</f>
        <v>11</v>
      </c>
      <c r="D25" s="86">
        <f>YEAR(F2)</f>
        <v>2021</v>
      </c>
      <c r="E25" s="86"/>
      <c r="F25" s="86"/>
      <c r="G25" s="86"/>
      <c r="H25" s="86"/>
      <c r="I25" s="86"/>
      <c r="J25" s="86"/>
      <c r="K25" s="86"/>
      <c r="L25" s="86"/>
      <c r="M25" s="86"/>
      <c r="N25" s="86"/>
      <c r="O25" s="86"/>
    </row>
    <row r="26" spans="1:17">
      <c r="A26" s="86">
        <v>1</v>
      </c>
      <c r="B26" s="86">
        <v>2</v>
      </c>
      <c r="C26" s="86">
        <v>3</v>
      </c>
      <c r="D26" s="86">
        <v>4</v>
      </c>
      <c r="E26" s="86">
        <v>5</v>
      </c>
      <c r="F26" s="86">
        <v>6</v>
      </c>
      <c r="G26" s="86"/>
      <c r="H26" s="86"/>
      <c r="I26" s="86"/>
      <c r="J26" s="86"/>
      <c r="K26" s="86">
        <v>7</v>
      </c>
      <c r="L26" s="86">
        <v>8</v>
      </c>
      <c r="M26" s="86">
        <v>9</v>
      </c>
      <c r="N26" s="86">
        <v>10</v>
      </c>
      <c r="O26" s="86">
        <v>11</v>
      </c>
      <c r="P26" s="86">
        <v>12</v>
      </c>
    </row>
    <row r="27" spans="1:17">
      <c r="A27" s="86"/>
      <c r="B27" s="86"/>
      <c r="C27" s="86"/>
      <c r="D27" s="86"/>
      <c r="E27" s="86"/>
      <c r="F27" s="86"/>
      <c r="G27" s="86"/>
      <c r="H27" s="86"/>
      <c r="I27" s="86"/>
      <c r="J27" s="86"/>
      <c r="K27" s="86"/>
      <c r="L27" s="86"/>
      <c r="M27" s="86"/>
      <c r="N27" s="86"/>
      <c r="O27" s="86"/>
    </row>
    <row r="28" spans="1:17">
      <c r="A28" s="86" t="s">
        <v>118</v>
      </c>
      <c r="B28" s="86" t="s">
        <v>119</v>
      </c>
      <c r="C28" s="86" t="s">
        <v>108</v>
      </c>
      <c r="D28" s="86" t="s">
        <v>109</v>
      </c>
      <c r="E28" s="86" t="s">
        <v>110</v>
      </c>
      <c r="F28" s="86" t="s">
        <v>111</v>
      </c>
      <c r="G28" s="86"/>
      <c r="H28" s="86"/>
      <c r="I28" s="86"/>
      <c r="J28" s="86"/>
      <c r="K28" s="86" t="s">
        <v>23</v>
      </c>
      <c r="L28" s="86" t="s">
        <v>113</v>
      </c>
      <c r="M28" s="86" t="s">
        <v>252</v>
      </c>
      <c r="N28" s="86" t="s">
        <v>251</v>
      </c>
      <c r="O28" s="86" t="s">
        <v>116</v>
      </c>
      <c r="P28" s="86" t="s">
        <v>117</v>
      </c>
    </row>
    <row r="29" spans="1:17">
      <c r="A29" s="86" t="s">
        <v>118</v>
      </c>
      <c r="B29" s="86" t="s">
        <v>119</v>
      </c>
      <c r="C29" s="86" t="s">
        <v>108</v>
      </c>
      <c r="D29" s="86" t="s">
        <v>109</v>
      </c>
      <c r="E29" s="86" t="s">
        <v>110</v>
      </c>
      <c r="F29" s="86" t="s">
        <v>111</v>
      </c>
      <c r="G29" s="86"/>
      <c r="H29" s="86"/>
      <c r="I29" s="86"/>
      <c r="J29" s="86"/>
      <c r="K29" s="86" t="s">
        <v>27</v>
      </c>
      <c r="L29" s="86" t="s">
        <v>113</v>
      </c>
      <c r="M29" s="86" t="s">
        <v>252</v>
      </c>
      <c r="N29" s="86" t="s">
        <v>251</v>
      </c>
      <c r="O29" s="86" t="s">
        <v>116</v>
      </c>
      <c r="P29" s="86" t="s">
        <v>117</v>
      </c>
    </row>
    <row r="30" spans="1:17">
      <c r="A30" s="86"/>
      <c r="B30" s="86"/>
      <c r="C30" s="86"/>
      <c r="D30" s="86"/>
      <c r="E30" s="86"/>
      <c r="F30" s="86"/>
      <c r="G30" s="86"/>
      <c r="H30" s="86"/>
      <c r="I30" s="86"/>
      <c r="J30" s="86"/>
      <c r="K30" s="86"/>
      <c r="L30" s="87"/>
      <c r="M30" s="87"/>
      <c r="N30" s="87"/>
      <c r="O30" s="87"/>
    </row>
  </sheetData>
  <dataValidations count="1">
    <dataValidation type="list" allowBlank="1" showInputMessage="1" showErrorMessage="1" sqref="D2:D21" xr:uid="{00000000-0002-0000-0500-000000000000}">
      <formula1>$B$2:$C$2</formula1>
    </dataValidation>
  </dataValidations>
  <pageMargins left="0.7" right="0.7" top="0.75" bottom="0.75" header="0.3" footer="0.3"/>
  <pageSetup paperSize="9" scale="6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Лист18">
    <tabColor theme="1"/>
  </sheetPr>
  <dimension ref="A1:H64"/>
  <sheetViews>
    <sheetView view="pageBreakPreview" topLeftCell="A17" zoomScaleSheetLayoutView="100" workbookViewId="0">
      <selection activeCell="D37" sqref="D37"/>
    </sheetView>
  </sheetViews>
  <sheetFormatPr defaultColWidth="9.140625" defaultRowHeight="15" outlineLevelCol="1"/>
  <cols>
    <col min="1" max="1" width="9.140625" style="10"/>
    <col min="2" max="2" width="10.140625" style="10" bestFit="1" customWidth="1"/>
    <col min="3" max="3" width="16.5703125" style="10" customWidth="1"/>
    <col min="4" max="4" width="17.140625" style="10" customWidth="1"/>
    <col min="5" max="5" width="17.85546875" style="10" customWidth="1"/>
    <col min="6" max="6" width="20.85546875" style="10" customWidth="1"/>
    <col min="7" max="7" width="10.140625" style="10" customWidth="1" outlineLevel="1"/>
    <col min="8" max="16384" width="9.140625" style="10"/>
  </cols>
  <sheetData>
    <row r="1" spans="1:8">
      <c r="A1" s="31"/>
      <c r="B1" s="31"/>
      <c r="C1" s="31"/>
      <c r="D1" s="31"/>
      <c r="E1" s="292" t="s">
        <v>15</v>
      </c>
      <c r="F1" s="292"/>
    </row>
    <row r="2" spans="1:8">
      <c r="A2" s="31"/>
      <c r="B2" s="31"/>
      <c r="C2" s="31"/>
      <c r="D2" s="31"/>
      <c r="E2" s="31"/>
      <c r="F2" s="32" t="str">
        <f>"к договору микрозайма "&amp;malumot!B74&amp;""</f>
        <v>к договору микрозайма 1 aprel 2025 y.dan № 687-BR</v>
      </c>
    </row>
    <row r="3" spans="1:8" ht="6.75" customHeight="1">
      <c r="A3" s="31"/>
      <c r="B3" s="31"/>
      <c r="C3" s="31"/>
      <c r="D3" s="31"/>
      <c r="E3" s="31"/>
      <c r="F3" s="31"/>
    </row>
    <row r="4" spans="1:8">
      <c r="A4" s="293" t="s">
        <v>16</v>
      </c>
      <c r="B4" s="293"/>
      <c r="C4" s="293"/>
      <c r="D4" s="293"/>
      <c r="E4" s="293"/>
      <c r="F4" s="293"/>
    </row>
    <row r="5" spans="1:8" ht="7.5" customHeight="1"/>
    <row r="6" spans="1:8">
      <c r="A6" s="294" t="s">
        <v>14</v>
      </c>
      <c r="B6" s="295" t="s">
        <v>8</v>
      </c>
      <c r="C6" s="295" t="s">
        <v>9</v>
      </c>
      <c r="D6" s="296" t="s">
        <v>10</v>
      </c>
      <c r="E6" s="296"/>
      <c r="F6" s="296"/>
    </row>
    <row r="7" spans="1:8" s="11" customFormat="1">
      <c r="A7" s="294"/>
      <c r="B7" s="295"/>
      <c r="C7" s="295"/>
      <c r="D7" s="12" t="s">
        <v>11</v>
      </c>
      <c r="E7" s="12" t="s">
        <v>12</v>
      </c>
      <c r="F7" s="12" t="s">
        <v>13</v>
      </c>
    </row>
    <row r="8" spans="1:8">
      <c r="A8" s="13">
        <v>1</v>
      </c>
      <c r="B8" s="27">
        <f>'График дифференц'!B8</f>
        <v>45778</v>
      </c>
      <c r="C8" s="28">
        <f>malumot!B75</f>
        <v>26000000</v>
      </c>
      <c r="D8" s="28">
        <f>IF(A8&lt;malumot!$B$81,'График аннуитет.'!F8-'График аннуитет.'!E8,'График аннуитет.'!C8)</f>
        <v>855239.61999999988</v>
      </c>
      <c r="E8" s="28">
        <f>ROUND(C8*malumot!$B$84/H8,2)*'График аннуитет.'!G8</f>
        <v>1282191.9000000001</v>
      </c>
      <c r="F8" s="28">
        <f>malumot!B90</f>
        <v>2137431.52</v>
      </c>
      <c r="G8" s="10">
        <f>B8-malumot!B67</f>
        <v>30</v>
      </c>
      <c r="H8" s="10">
        <f>DATE(YEAR(B8),12,31)-DATE(YEAR(B8),1,1)+1</f>
        <v>365</v>
      </c>
    </row>
    <row r="9" spans="1:8">
      <c r="A9" s="13">
        <v>2</v>
      </c>
      <c r="B9" s="27">
        <f>'График дифференц'!B9</f>
        <v>45810</v>
      </c>
      <c r="C9" s="28">
        <f t="shared" ref="C9:C30" si="0">C8-D8</f>
        <v>25144760.379999999</v>
      </c>
      <c r="D9" s="28">
        <f>IF(A9&lt;malumot!$B$81,'График аннуитет.'!F9-'График аннуитет.'!E9,'График аннуитет.'!C9)</f>
        <v>814748.32000000007</v>
      </c>
      <c r="E9" s="28">
        <f>ROUND(C9*malumot!$B$84/H9,2)*'График аннуитет.'!G9</f>
        <v>1322683.2</v>
      </c>
      <c r="F9" s="28">
        <f>IF(A9&lt;malumot!$B$81,'График аннуитет.'!F8,'График аннуитет.'!D9+'График аннуитет.'!E9)</f>
        <v>2137431.52</v>
      </c>
      <c r="G9" s="10">
        <f>B9-B8</f>
        <v>32</v>
      </c>
      <c r="H9" s="10">
        <f t="shared" ref="H9:H31" si="1">DATE(YEAR(B9),12,31)-DATE(YEAR(B9),1,1)+1</f>
        <v>365</v>
      </c>
    </row>
    <row r="10" spans="1:8">
      <c r="A10" s="13">
        <v>3</v>
      </c>
      <c r="B10" s="27">
        <f>'График дифференц'!B10</f>
        <v>45839</v>
      </c>
      <c r="C10" s="28">
        <f t="shared" si="0"/>
        <v>24330012.059999999</v>
      </c>
      <c r="D10" s="28">
        <f>IF(A10&lt;malumot!$B$81,'График аннуитет.'!F10-'График аннуитет.'!E10,'График аннуитет.'!C10)</f>
        <v>977589.8600000001</v>
      </c>
      <c r="E10" s="28">
        <f>ROUND(C10*malumot!$B$84/H10,2)*'График аннуитет.'!G10</f>
        <v>1159841.6599999999</v>
      </c>
      <c r="F10" s="28">
        <f>IF(A10&lt;malumot!$B$81,'График аннуитет.'!F9,'График аннуитет.'!D10+'График аннуитет.'!E10)</f>
        <v>2137431.52</v>
      </c>
      <c r="G10" s="10">
        <f t="shared" ref="G10:G24" si="2">B10-B9</f>
        <v>29</v>
      </c>
      <c r="H10" s="10">
        <f t="shared" si="1"/>
        <v>365</v>
      </c>
    </row>
    <row r="11" spans="1:8">
      <c r="A11" s="13">
        <v>4</v>
      </c>
      <c r="B11" s="27">
        <f>'График дифференц'!B11</f>
        <v>45870</v>
      </c>
      <c r="C11" s="28">
        <f t="shared" si="0"/>
        <v>23352422.199999999</v>
      </c>
      <c r="D11" s="28">
        <f>IF(A11&lt;malumot!$B$81,'График аннуитет.'!F11-'График аннуитет.'!E11,'График аннуитет.'!C11)</f>
        <v>947417.78</v>
      </c>
      <c r="E11" s="28">
        <f>ROUND(C11*malumot!$B$84/H11,2)*'График аннуитет.'!G11</f>
        <v>1190013.74</v>
      </c>
      <c r="F11" s="28">
        <f>IF(A11&lt;malumot!$B$81,'График аннуитет.'!F10,'График аннуитет.'!D11+'График аннуитет.'!E11)</f>
        <v>2137431.52</v>
      </c>
      <c r="G11" s="10">
        <f t="shared" si="2"/>
        <v>31</v>
      </c>
      <c r="H11" s="10">
        <f t="shared" si="1"/>
        <v>365</v>
      </c>
    </row>
    <row r="12" spans="1:8">
      <c r="A12" s="13">
        <v>5</v>
      </c>
      <c r="B12" s="27">
        <f>'График дифференц'!B12</f>
        <v>45901</v>
      </c>
      <c r="C12" s="28">
        <f t="shared" si="0"/>
        <v>22405004.419999998</v>
      </c>
      <c r="D12" s="28">
        <f>IF(A12&lt;malumot!$B$81,'График аннуитет.'!F12-'График аннуитет.'!E12,'График аннуитет.'!C12)</f>
        <v>995697.17999999993</v>
      </c>
      <c r="E12" s="28">
        <f>ROUND(C12*malumot!$B$84/H12,2)*'График аннуитет.'!G12</f>
        <v>1141734.3400000001</v>
      </c>
      <c r="F12" s="28">
        <f>IF(A12&lt;malumot!$B$81,'График аннуитет.'!F11,'График аннуитет.'!D12+'График аннуитет.'!E12)</f>
        <v>2137431.52</v>
      </c>
      <c r="G12" s="10">
        <f t="shared" si="2"/>
        <v>31</v>
      </c>
      <c r="H12" s="10">
        <f t="shared" si="1"/>
        <v>365</v>
      </c>
    </row>
    <row r="13" spans="1:8">
      <c r="A13" s="13">
        <v>6</v>
      </c>
      <c r="B13" s="27">
        <f>'График дифференц'!B13</f>
        <v>45931</v>
      </c>
      <c r="C13" s="28">
        <f t="shared" si="0"/>
        <v>21409307.239999998</v>
      </c>
      <c r="D13" s="28">
        <f>IF(A13&lt;malumot!$B$81,'График аннуитет.'!F13-'График аннуитет.'!E13,'График аннуитет.'!C13)</f>
        <v>1081630.1200000001</v>
      </c>
      <c r="E13" s="28">
        <f>ROUND(C13*malumot!$B$84/H13,2)*'График аннуитет.'!G13</f>
        <v>1055801.3999999999</v>
      </c>
      <c r="F13" s="28">
        <f>IF(A13&lt;malumot!$B$81,'График аннуитет.'!F12,'График аннуитет.'!D13+'График аннуитет.'!E13)</f>
        <v>2137431.52</v>
      </c>
      <c r="G13" s="10">
        <f t="shared" si="2"/>
        <v>30</v>
      </c>
      <c r="H13" s="10">
        <f t="shared" si="1"/>
        <v>365</v>
      </c>
    </row>
    <row r="14" spans="1:8">
      <c r="A14" s="13">
        <v>7</v>
      </c>
      <c r="B14" s="27">
        <f>'График дифференц'!B14</f>
        <v>45964</v>
      </c>
      <c r="C14" s="28">
        <f t="shared" si="0"/>
        <v>20327677.119999997</v>
      </c>
      <c r="D14" s="28">
        <f>IF(A14&lt;malumot!$B$81,'График аннуитет.'!F14-'График аннуитет.'!E14,'График аннуитет.'!C14)</f>
        <v>1034724.6399999999</v>
      </c>
      <c r="E14" s="28">
        <f>ROUND(C14*malumot!$B$84/H14,2)*'График аннуитет.'!G14</f>
        <v>1102706.8800000001</v>
      </c>
      <c r="F14" s="28">
        <f>IF(A14&lt;malumot!$B$81,'График аннуитет.'!F13,'График аннуитет.'!D14+'График аннуитет.'!E14)</f>
        <v>2137431.52</v>
      </c>
      <c r="G14" s="10">
        <f t="shared" si="2"/>
        <v>33</v>
      </c>
      <c r="H14" s="10">
        <f t="shared" si="1"/>
        <v>365</v>
      </c>
    </row>
    <row r="15" spans="1:8">
      <c r="A15" s="13">
        <v>8</v>
      </c>
      <c r="B15" s="27">
        <f>'График дифференц'!B15</f>
        <v>45992</v>
      </c>
      <c r="C15" s="28">
        <f t="shared" si="0"/>
        <v>19292952.479999997</v>
      </c>
      <c r="D15" s="28">
        <f>IF(A15&lt;malumot!$B$81,'График аннуитет.'!F15-'График аннуитет.'!E15,'График аннуитет.'!C15)</f>
        <v>1249427.2000000002</v>
      </c>
      <c r="E15" s="28">
        <f>ROUND(C15*malumot!$B$84/H15,2)*'График аннуитет.'!G15</f>
        <v>888004.32</v>
      </c>
      <c r="F15" s="28">
        <f>IF(A15&lt;malumot!$B$81,'График аннуитет.'!F14,'График аннуитет.'!D15+'График аннуитет.'!E15)</f>
        <v>2137431.52</v>
      </c>
      <c r="G15" s="10">
        <f t="shared" si="2"/>
        <v>28</v>
      </c>
      <c r="H15" s="10">
        <f t="shared" si="1"/>
        <v>365</v>
      </c>
    </row>
    <row r="16" spans="1:8">
      <c r="A16" s="13">
        <v>9</v>
      </c>
      <c r="B16" s="27">
        <f>'График дифференц'!B16</f>
        <v>46023</v>
      </c>
      <c r="C16" s="28">
        <f t="shared" si="0"/>
        <v>18043525.279999997</v>
      </c>
      <c r="D16" s="28">
        <f>IF(A16&lt;malumot!$B$81,'График аннуитет.'!F16-'График аннуитет.'!E16,'График аннуитет.'!C16)</f>
        <v>1217953.23</v>
      </c>
      <c r="E16" s="28">
        <f>ROUND(C16*malumot!$B$84/H16,2)*'График аннуитет.'!G16</f>
        <v>919478.29</v>
      </c>
      <c r="F16" s="28">
        <f>IF(A16&lt;malumot!$B$81,'График аннуитет.'!F15,'График аннуитет.'!D16+'График аннуитет.'!E16)</f>
        <v>2137431.52</v>
      </c>
      <c r="G16" s="10">
        <f t="shared" si="2"/>
        <v>31</v>
      </c>
      <c r="H16" s="10">
        <f t="shared" si="1"/>
        <v>365</v>
      </c>
    </row>
    <row r="17" spans="1:8">
      <c r="A17" s="13">
        <v>10</v>
      </c>
      <c r="B17" s="27">
        <f>'График дифференц'!B17</f>
        <v>46055</v>
      </c>
      <c r="C17" s="28">
        <f t="shared" si="0"/>
        <v>16825572.049999997</v>
      </c>
      <c r="D17" s="28">
        <f>IF(A17&lt;malumot!$B$81,'График аннуитет.'!F17-'График аннуитет.'!E17,'График аннуитет.'!C17)</f>
        <v>1252360.48</v>
      </c>
      <c r="E17" s="28">
        <f>ROUND(C17*malumot!$B$84/H17,2)*'График аннуитет.'!G17</f>
        <v>885071.04</v>
      </c>
      <c r="F17" s="28">
        <f>IF(A17&lt;malumot!$B$81,'График аннуитет.'!F16,'График аннуитет.'!D17+'График аннуитет.'!E17)</f>
        <v>2137431.52</v>
      </c>
      <c r="G17" s="10">
        <f t="shared" si="2"/>
        <v>32</v>
      </c>
      <c r="H17" s="10">
        <f t="shared" si="1"/>
        <v>365</v>
      </c>
    </row>
    <row r="18" spans="1:8">
      <c r="A18" s="13">
        <v>11</v>
      </c>
      <c r="B18" s="27">
        <f>'График дифференц'!B18</f>
        <v>46083</v>
      </c>
      <c r="C18" s="28">
        <f t="shared" si="0"/>
        <v>15573211.569999997</v>
      </c>
      <c r="D18" s="28">
        <f>IF(A18&lt;malumot!$B$81,'График аннуитет.'!F18-'График аннуитет.'!E18,'График аннуитет.'!C18)</f>
        <v>1420637.12</v>
      </c>
      <c r="E18" s="28">
        <f>ROUND(C18*malumot!$B$84/H18,2)*'График аннуитет.'!G18</f>
        <v>716794.4</v>
      </c>
      <c r="F18" s="28">
        <f>IF(A18&lt;malumot!$B$81,'График аннуитет.'!F17,'График аннуитет.'!D18+'График аннуитет.'!E18)</f>
        <v>2137431.52</v>
      </c>
      <c r="G18" s="10">
        <f t="shared" si="2"/>
        <v>28</v>
      </c>
      <c r="H18" s="10">
        <f t="shared" si="1"/>
        <v>365</v>
      </c>
    </row>
    <row r="19" spans="1:8">
      <c r="A19" s="13">
        <v>12</v>
      </c>
      <c r="B19" s="27">
        <f>'График дифференц'!B19</f>
        <v>46113</v>
      </c>
      <c r="C19" s="28">
        <f t="shared" si="0"/>
        <v>14152574.449999996</v>
      </c>
      <c r="D19" s="28">
        <f>IF(A19&lt;malumot!$B$81,'График аннуитет.'!F19-'График аннуитет.'!E19,'График аннуитет.'!C19)</f>
        <v>1439496.2200000002</v>
      </c>
      <c r="E19" s="28">
        <f>ROUND(C19*malumot!$B$84/H19,2)*'График аннуитет.'!G19</f>
        <v>697935.29999999993</v>
      </c>
      <c r="F19" s="28">
        <f>IF(A19&lt;malumot!$B$81,'График аннуитет.'!F18,'График аннуитет.'!D19+'График аннуитет.'!E19)</f>
        <v>2137431.52</v>
      </c>
      <c r="G19" s="10">
        <f>B19-B18</f>
        <v>30</v>
      </c>
      <c r="H19" s="10">
        <f t="shared" si="1"/>
        <v>365</v>
      </c>
    </row>
    <row r="20" spans="1:8">
      <c r="A20" s="13">
        <v>13</v>
      </c>
      <c r="B20" s="27">
        <f>'График дифференц'!B20</f>
        <v>46143</v>
      </c>
      <c r="C20" s="28">
        <f t="shared" si="0"/>
        <v>12713078.229999995</v>
      </c>
      <c r="D20" s="28">
        <f>IF(A20&lt;malumot!$B$81,'График аннуитет.'!F20-'График аннуитет.'!E20,'График аннуитет.'!C20)</f>
        <v>1510485.2200000002</v>
      </c>
      <c r="E20" s="28">
        <f>ROUND(C20*malumot!$B$84/H20,2)*'График аннуитет.'!G20</f>
        <v>626946.29999999993</v>
      </c>
      <c r="F20" s="28">
        <f>IF(A20&lt;malumot!$B$81,'График аннуитет.'!F19,'График аннуитет.'!D20+'График аннуитет.'!E20)</f>
        <v>2137431.52</v>
      </c>
      <c r="G20" s="10">
        <f t="shared" si="2"/>
        <v>30</v>
      </c>
      <c r="H20" s="10">
        <f t="shared" si="1"/>
        <v>365</v>
      </c>
    </row>
    <row r="21" spans="1:8">
      <c r="A21" s="13">
        <v>14</v>
      </c>
      <c r="B21" s="27">
        <f>'График дифференц'!B21</f>
        <v>46174</v>
      </c>
      <c r="C21" s="28">
        <f t="shared" si="0"/>
        <v>11202593.009999994</v>
      </c>
      <c r="D21" s="28">
        <f>IF(A21&lt;malumot!$B$81,'График аннуитет.'!F21-'График аннуитет.'!E21,'График аннуитет.'!C21)</f>
        <v>1566559.7</v>
      </c>
      <c r="E21" s="28">
        <f>ROUND(C21*malumot!$B$84/H21,2)*'График аннуитет.'!G21</f>
        <v>570871.82000000007</v>
      </c>
      <c r="F21" s="28">
        <f>IF(A21&lt;malumot!$B$81,'График аннуитет.'!F20,'График аннуитет.'!D21+'График аннуитет.'!E21)</f>
        <v>2137431.52</v>
      </c>
      <c r="G21" s="10">
        <f t="shared" si="2"/>
        <v>31</v>
      </c>
      <c r="H21" s="10">
        <f t="shared" si="1"/>
        <v>365</v>
      </c>
    </row>
    <row r="22" spans="1:8">
      <c r="A22" s="13">
        <v>15</v>
      </c>
      <c r="B22" s="27">
        <f>'График дифференц'!B22</f>
        <v>46204</v>
      </c>
      <c r="C22" s="28">
        <f t="shared" si="0"/>
        <v>9636033.3099999949</v>
      </c>
      <c r="D22" s="28">
        <f>IF(A22&lt;malumot!$B$81,'График аннуитет.'!F22-'График аннуитет.'!E22,'График аннуитет.'!C22)</f>
        <v>1662230.02</v>
      </c>
      <c r="E22" s="28">
        <f>ROUND(C22*malumot!$B$84/H22,2)*'График аннуитет.'!G22</f>
        <v>475201.5</v>
      </c>
      <c r="F22" s="28">
        <f>IF(A22&lt;malumot!$B$81,'График аннуитет.'!F21,'График аннуитет.'!D22+'График аннуитет.'!E22)</f>
        <v>2137431.52</v>
      </c>
      <c r="G22" s="10">
        <f t="shared" si="2"/>
        <v>30</v>
      </c>
      <c r="H22" s="10">
        <f t="shared" si="1"/>
        <v>365</v>
      </c>
    </row>
    <row r="23" spans="1:8">
      <c r="A23" s="13">
        <v>16</v>
      </c>
      <c r="B23" s="27">
        <f>'График дифференц'!B23</f>
        <v>46237</v>
      </c>
      <c r="C23" s="28">
        <f t="shared" si="0"/>
        <v>7973803.2899999954</v>
      </c>
      <c r="D23" s="28">
        <f>IF(A23&lt;malumot!$B$81,'График аннуитет.'!F23-'График аннуитет.'!E23,'График аннуитет.'!C23)</f>
        <v>1704880.06</v>
      </c>
      <c r="E23" s="28">
        <f>ROUND(C23*malumot!$B$84/H23,2)*'График аннуитет.'!G23</f>
        <v>432551.46</v>
      </c>
      <c r="F23" s="28">
        <f>IF(A23&lt;malumot!$B$81,'График аннуитет.'!F22,'График аннуитет.'!D23+'График аннуитет.'!E23)</f>
        <v>2137431.52</v>
      </c>
      <c r="G23" s="10">
        <f t="shared" si="2"/>
        <v>33</v>
      </c>
      <c r="H23" s="10">
        <f t="shared" si="1"/>
        <v>365</v>
      </c>
    </row>
    <row r="24" spans="1:8">
      <c r="A24" s="13">
        <v>17</v>
      </c>
      <c r="B24" s="27">
        <f>'График дифференц'!B24</f>
        <v>46266</v>
      </c>
      <c r="C24" s="28">
        <f t="shared" si="0"/>
        <v>6268923.2299999949</v>
      </c>
      <c r="D24" s="28">
        <f>IF(A24&lt;malumot!$B$81,'График аннуитет.'!F24-'График аннуитет.'!E24,'График аннуитет.'!C24)</f>
        <v>1838584.2</v>
      </c>
      <c r="E24" s="28">
        <f>ROUND(C24*malumot!$B$84/H24,2)*'График аннуитет.'!G24</f>
        <v>298847.32</v>
      </c>
      <c r="F24" s="28">
        <f>IF(A24&lt;malumot!$B$81,'График аннуитет.'!F23,'График аннуитет.'!D24+'График аннуитет.'!E24)</f>
        <v>2137431.52</v>
      </c>
      <c r="G24" s="10">
        <f t="shared" si="2"/>
        <v>29</v>
      </c>
      <c r="H24" s="10">
        <f t="shared" si="1"/>
        <v>365</v>
      </c>
    </row>
    <row r="25" spans="1:8">
      <c r="A25" s="13">
        <v>18</v>
      </c>
      <c r="B25" s="27">
        <f>'График дифференц'!B25</f>
        <v>46296</v>
      </c>
      <c r="C25" s="28">
        <f t="shared" si="0"/>
        <v>4430339.0299999947</v>
      </c>
      <c r="D25" s="28">
        <f>IF(A25&lt;malumot!$B$81,'График аннуитет.'!F25-'График аннуитет.'!E25,'График аннуитет.'!C25)</f>
        <v>1918949.02</v>
      </c>
      <c r="E25" s="28">
        <f>ROUND(C25*malumot!$B$84/H25,2)*'График аннуитет.'!G25</f>
        <v>218482.5</v>
      </c>
      <c r="F25" s="28">
        <f>IF(A25&lt;malumot!$B$81,'График аннуитет.'!F24,'График аннуитет.'!D25+'График аннуитет.'!E25)</f>
        <v>2137431.52</v>
      </c>
      <c r="G25" s="10">
        <f>B25-B24</f>
        <v>30</v>
      </c>
      <c r="H25" s="10">
        <f t="shared" si="1"/>
        <v>365</v>
      </c>
    </row>
    <row r="26" spans="1:8">
      <c r="A26" s="13">
        <v>19</v>
      </c>
      <c r="B26" s="27">
        <f>'График дифференц'!B26</f>
        <v>46328</v>
      </c>
      <c r="C26" s="28">
        <f t="shared" si="0"/>
        <v>2511390.0099999947</v>
      </c>
      <c r="D26" s="28">
        <f>IF(A26&lt;malumot!$B$81,'График аннуитет.'!F26-'График аннуитет.'!E26,'График аннуитет.'!C26)</f>
        <v>2005325.6</v>
      </c>
      <c r="E26" s="28">
        <f>ROUND(C26*malumot!$B$84/H26,2)*'График аннуитет.'!G26</f>
        <v>132105.92000000001</v>
      </c>
      <c r="F26" s="28">
        <f>IF(A26&lt;malumot!$B$81,'График аннуитет.'!F25,'График аннуитет.'!D26+'График аннуитет.'!E26)</f>
        <v>2137431.52</v>
      </c>
      <c r="G26" s="10">
        <f t="shared" ref="G26:G30" si="3">B26-B25</f>
        <v>32</v>
      </c>
      <c r="H26" s="10">
        <f t="shared" si="1"/>
        <v>365</v>
      </c>
    </row>
    <row r="27" spans="1:8">
      <c r="A27" s="13">
        <v>20</v>
      </c>
      <c r="B27" s="27">
        <f>'График дифференц'!B27</f>
        <v>46357</v>
      </c>
      <c r="C27" s="28">
        <f t="shared" si="0"/>
        <v>506064.40999999456</v>
      </c>
      <c r="D27" s="28">
        <f>IF(A27&lt;malumot!$B$81,'График аннуитет.'!F27-'График аннуитет.'!E27,'График аннуитет.'!C27)</f>
        <v>2113306.71</v>
      </c>
      <c r="E27" s="28">
        <f>ROUND(C27*malumot!$B$84/H27,2)*'График аннуитет.'!G27</f>
        <v>24124.81</v>
      </c>
      <c r="F27" s="28">
        <f>IF(A27&lt;malumot!$B$81,'График аннуитет.'!F26,'График аннуитет.'!D27+'График аннуитет.'!E27)</f>
        <v>2137431.52</v>
      </c>
      <c r="G27" s="10">
        <f t="shared" si="3"/>
        <v>29</v>
      </c>
      <c r="H27" s="10">
        <f t="shared" si="1"/>
        <v>365</v>
      </c>
    </row>
    <row r="28" spans="1:8">
      <c r="A28" s="13">
        <v>21</v>
      </c>
      <c r="B28" s="27">
        <f>'График дифференц'!B28</f>
        <v>46388</v>
      </c>
      <c r="C28" s="28">
        <f t="shared" si="0"/>
        <v>-1607242.3000000054</v>
      </c>
      <c r="D28" s="28">
        <f>IF(A28&lt;malumot!$B$81,'График аннуитет.'!F28-'График аннуитет.'!E28,'График аннуитет.'!C28)</f>
        <v>2219334.7600000002</v>
      </c>
      <c r="E28" s="28">
        <f>ROUND(C28*malumot!$B$84/H28,2)*'График аннуитет.'!G28</f>
        <v>-81903.240000000005</v>
      </c>
      <c r="F28" s="28">
        <f>IF(A28&lt;malumot!$B$81,'График аннуитет.'!F27,'График аннуитет.'!D28+'График аннуитет.'!E28)</f>
        <v>2137431.52</v>
      </c>
      <c r="G28" s="10">
        <f t="shared" si="3"/>
        <v>31</v>
      </c>
      <c r="H28" s="10">
        <f t="shared" si="1"/>
        <v>365</v>
      </c>
    </row>
    <row r="29" spans="1:8">
      <c r="A29" s="13">
        <v>22</v>
      </c>
      <c r="B29" s="27">
        <f>'График дифференц'!B29</f>
        <v>46419</v>
      </c>
      <c r="C29" s="28">
        <f t="shared" si="0"/>
        <v>-3826577.0600000056</v>
      </c>
      <c r="D29" s="28">
        <f>IF(A29&lt;malumot!$B$81,'График аннуитет.'!F29-'График аннуитет.'!E29,'График аннуитет.'!C29)</f>
        <v>2332429.58</v>
      </c>
      <c r="E29" s="28">
        <f>ROUND(C29*malumot!$B$84/H29,2)*'График аннуитет.'!G29</f>
        <v>-194998.06</v>
      </c>
      <c r="F29" s="28">
        <f>IF(A29&lt;malumot!$B$81,'График аннуитет.'!F28,'График аннуитет.'!D29+'График аннуитет.'!E29)</f>
        <v>2137431.52</v>
      </c>
      <c r="G29" s="10">
        <f t="shared" si="3"/>
        <v>31</v>
      </c>
      <c r="H29" s="10">
        <f t="shared" si="1"/>
        <v>365</v>
      </c>
    </row>
    <row r="30" spans="1:8">
      <c r="A30" s="13">
        <v>23</v>
      </c>
      <c r="B30" s="27">
        <f>'График дифференц'!B30</f>
        <v>46447</v>
      </c>
      <c r="C30" s="28">
        <f t="shared" si="0"/>
        <v>-6159006.6400000062</v>
      </c>
      <c r="D30" s="28">
        <f>IF(A30&lt;malumot!$B$81,'График аннуитет.'!F30-'График аннуитет.'!E30,'График аннуитет.'!C30)</f>
        <v>2420914.44</v>
      </c>
      <c r="E30" s="28">
        <f>ROUND(C30*malumot!$B$84/H30,2)*'График аннуитет.'!G30</f>
        <v>-283482.92</v>
      </c>
      <c r="F30" s="28">
        <f>IF(A30&lt;malumot!$B$81,'График аннуитет.'!F29,'График аннуитет.'!D30+'График аннуитет.'!E30)</f>
        <v>2137431.52</v>
      </c>
      <c r="G30" s="10">
        <f t="shared" si="3"/>
        <v>28</v>
      </c>
      <c r="H30" s="10">
        <f t="shared" si="1"/>
        <v>365</v>
      </c>
    </row>
    <row r="31" spans="1:8">
      <c r="A31" s="13">
        <v>24</v>
      </c>
      <c r="B31" s="27">
        <f>'График дифференц'!B31</f>
        <v>46478</v>
      </c>
      <c r="C31" s="28">
        <f t="shared" ref="C31" si="4">C30-D30</f>
        <v>-8579921.0800000057</v>
      </c>
      <c r="D31" s="28">
        <f>IF(A31&lt;malumot!$B$81,'График аннуитет.'!F31-'График аннуитет.'!E31,'График аннуитет.'!C31)</f>
        <v>2574654.9</v>
      </c>
      <c r="E31" s="28">
        <f>ROUND(C31*malumot!$B$84/H31,2)*'График аннуитет.'!G31</f>
        <v>-437223.38</v>
      </c>
      <c r="F31" s="28">
        <f>IF(A31&lt;malumot!$B$81,'График аннуитет.'!F30,'График аннуитет.'!D31+'График аннуитет.'!E31)</f>
        <v>2137431.52</v>
      </c>
      <c r="G31" s="10">
        <f>B31-B30</f>
        <v>31</v>
      </c>
      <c r="H31" s="10">
        <f t="shared" si="1"/>
        <v>365</v>
      </c>
    </row>
    <row r="32" spans="1:8">
      <c r="A32" s="13">
        <f>1+A31</f>
        <v>25</v>
      </c>
      <c r="B32" s="27">
        <f>'График дифференц'!B32</f>
        <v>46510</v>
      </c>
      <c r="C32" s="28">
        <f t="shared" ref="C32:C43" si="5">C31-D31</f>
        <v>-11154575.980000006</v>
      </c>
      <c r="D32" s="28">
        <f>IF(A32&lt;malumot!$B$81,'График аннуитет.'!F32-'График аннуитет.'!E32,'График аннуитет.'!C32)</f>
        <v>2724192.8</v>
      </c>
      <c r="E32" s="28">
        <f>ROUND(C32*malumot!$B$84/H32,2)*'График аннуитет.'!G32</f>
        <v>-586761.28</v>
      </c>
      <c r="F32" s="28">
        <f>IF(A32&lt;malumot!$B$81,'График аннуитет.'!F31,'График аннуитет.'!D32+'График аннуитет.'!E32)</f>
        <v>2137431.52</v>
      </c>
      <c r="G32" s="10">
        <f t="shared" ref="G32:G43" si="6">B32-B31</f>
        <v>32</v>
      </c>
      <c r="H32" s="10">
        <f t="shared" ref="H32:H43" si="7">DATE(YEAR(B32),12,31)-DATE(YEAR(B32),1,1)+1</f>
        <v>365</v>
      </c>
    </row>
    <row r="33" spans="1:8">
      <c r="A33" s="13">
        <f t="shared" ref="A33:A43" si="8">1+A32</f>
        <v>26</v>
      </c>
      <c r="B33" s="27">
        <f>'График дифференц'!B33</f>
        <v>46539</v>
      </c>
      <c r="C33" s="28">
        <f t="shared" si="5"/>
        <v>-13878768.780000005</v>
      </c>
      <c r="D33" s="28">
        <f>IF(A33&lt;malumot!$B$81,'График аннуитет.'!F33-'График аннуитет.'!E33,'График аннуитет.'!C33)</f>
        <v>2799049.41</v>
      </c>
      <c r="E33" s="28">
        <f>ROUND(C33*malumot!$B$84/H33,2)*'График аннуитет.'!G33</f>
        <v>-661617.89</v>
      </c>
      <c r="F33" s="28">
        <f>IF(A33&lt;malumot!$B$81,'График аннуитет.'!F32,'График аннуитет.'!D33+'График аннуитет.'!E33)</f>
        <v>2137431.52</v>
      </c>
      <c r="G33" s="10">
        <f t="shared" si="6"/>
        <v>29</v>
      </c>
      <c r="H33" s="10">
        <f t="shared" si="7"/>
        <v>365</v>
      </c>
    </row>
    <row r="34" spans="1:8">
      <c r="A34" s="13">
        <f t="shared" si="8"/>
        <v>27</v>
      </c>
      <c r="B34" s="27">
        <f>'График дифференц'!B34</f>
        <v>46569</v>
      </c>
      <c r="C34" s="28">
        <f t="shared" si="5"/>
        <v>-16677818.190000005</v>
      </c>
      <c r="D34" s="28">
        <f>IF(A34&lt;malumot!$B$81,'График аннуитет.'!F34-'График аннуитет.'!E34,'График аннуитет.'!C34)</f>
        <v>2959899.2199999997</v>
      </c>
      <c r="E34" s="28">
        <f>ROUND(C34*malumot!$B$84/H34,2)*'График аннуитет.'!G34</f>
        <v>-822467.7</v>
      </c>
      <c r="F34" s="28">
        <f>IF(A34&lt;malumot!$B$81,'График аннуитет.'!F33,'График аннуитет.'!D34+'График аннуитет.'!E34)</f>
        <v>2137431.52</v>
      </c>
      <c r="G34" s="10">
        <f t="shared" si="6"/>
        <v>30</v>
      </c>
      <c r="H34" s="10">
        <f t="shared" si="7"/>
        <v>365</v>
      </c>
    </row>
    <row r="35" spans="1:8">
      <c r="A35" s="13">
        <f t="shared" si="8"/>
        <v>28</v>
      </c>
      <c r="B35" s="27">
        <f>'График дифференц'!B35</f>
        <v>46601</v>
      </c>
      <c r="C35" s="28">
        <f t="shared" si="5"/>
        <v>-19637717.410000004</v>
      </c>
      <c r="D35" s="28">
        <f>IF(A35&lt;malumot!$B$81,'График аннуитет.'!F35-'График аннуитет.'!E35,'График аннуитет.'!C35)</f>
        <v>3170429.2800000003</v>
      </c>
      <c r="E35" s="28">
        <f>ROUND(C35*malumot!$B$84/H35,2)*'График аннуитет.'!G35</f>
        <v>-1032997.76</v>
      </c>
      <c r="F35" s="28">
        <f>IF(A35&lt;malumot!$B$81,'График аннуитет.'!F34,'График аннуитет.'!D35+'График аннуитет.'!E35)</f>
        <v>2137431.52</v>
      </c>
      <c r="G35" s="10">
        <f t="shared" si="6"/>
        <v>32</v>
      </c>
      <c r="H35" s="10">
        <f t="shared" si="7"/>
        <v>365</v>
      </c>
    </row>
    <row r="36" spans="1:8">
      <c r="A36" s="13">
        <f t="shared" si="8"/>
        <v>29</v>
      </c>
      <c r="B36" s="27">
        <f>'График дифференц'!B36</f>
        <v>46631</v>
      </c>
      <c r="C36" s="28">
        <f t="shared" si="5"/>
        <v>-22808146.690000005</v>
      </c>
      <c r="D36" s="28">
        <f>IF(A36&lt;malumot!$B$81,'График аннуитет.'!F36-'График аннуитет.'!E36,'График аннуитет.'!C36)</f>
        <v>3262216.7199999997</v>
      </c>
      <c r="E36" s="28">
        <f>ROUND(C36*malumot!$B$84/H36,2)*'График аннуитет.'!G36</f>
        <v>-1124785.2</v>
      </c>
      <c r="F36" s="28">
        <f>IF(A36&lt;malumot!$B$81,'График аннуитет.'!F35,'График аннуитет.'!D36+'График аннуитет.'!E36)</f>
        <v>2137431.52</v>
      </c>
      <c r="G36" s="10">
        <f t="shared" si="6"/>
        <v>30</v>
      </c>
      <c r="H36" s="10">
        <f t="shared" si="7"/>
        <v>365</v>
      </c>
    </row>
    <row r="37" spans="1:8">
      <c r="A37" s="13">
        <f t="shared" si="8"/>
        <v>30</v>
      </c>
      <c r="B37" s="27">
        <f>'График дифференц'!B37</f>
        <v>46661</v>
      </c>
      <c r="C37" s="28">
        <f t="shared" si="5"/>
        <v>-26070363.410000004</v>
      </c>
      <c r="D37" s="28">
        <f>IF(A37&lt;malumot!$B$81,'График аннуитет.'!F37-'График аннуитет.'!E37,'График аннуитет.'!C37)</f>
        <v>3423093.2199999997</v>
      </c>
      <c r="E37" s="28">
        <f>ROUND(C37*malumot!$B$84/H37,2)*'График аннуитет.'!G37</f>
        <v>-1285661.7</v>
      </c>
      <c r="F37" s="28">
        <f>IF(A37&lt;malumot!$B$81,'График аннуитет.'!F36,'График аннуитет.'!D37+'График аннуитет.'!E37)</f>
        <v>2137431.52</v>
      </c>
      <c r="G37" s="10">
        <f t="shared" si="6"/>
        <v>30</v>
      </c>
      <c r="H37" s="10">
        <f t="shared" si="7"/>
        <v>365</v>
      </c>
    </row>
    <row r="38" spans="1:8">
      <c r="A38" s="13">
        <f t="shared" si="8"/>
        <v>31</v>
      </c>
      <c r="B38" s="27">
        <f>'График дифференц'!B38</f>
        <v>46692</v>
      </c>
      <c r="C38" s="28">
        <f t="shared" si="5"/>
        <v>-29493456.630000003</v>
      </c>
      <c r="D38" s="28">
        <f>IF(A38&lt;malumot!$B$81,'График аннуитет.'!F38-'График аннуитет.'!E38,'График аннуитет.'!C38)</f>
        <v>3640385.6100000003</v>
      </c>
      <c r="E38" s="28">
        <f>ROUND(C38*malumot!$B$84/H38,2)*'График аннуитет.'!G38</f>
        <v>-1502954.09</v>
      </c>
      <c r="F38" s="28">
        <f>IF(A38&lt;malumot!$B$81,'График аннуитет.'!F37,'График аннуитет.'!D38+'График аннуитет.'!E38)</f>
        <v>2137431.52</v>
      </c>
      <c r="G38" s="10">
        <f t="shared" si="6"/>
        <v>31</v>
      </c>
      <c r="H38" s="10">
        <f t="shared" si="7"/>
        <v>365</v>
      </c>
    </row>
    <row r="39" spans="1:8">
      <c r="A39" s="13">
        <f t="shared" si="8"/>
        <v>32</v>
      </c>
      <c r="B39" s="27">
        <f>'График дифференц'!B39</f>
        <v>46722</v>
      </c>
      <c r="C39" s="28">
        <f t="shared" si="5"/>
        <v>-33133842.240000002</v>
      </c>
      <c r="D39" s="28">
        <f>IF(A39&lt;malumot!$B$81,'График аннуитет.'!F39-'График аннуитет.'!E39,'График аннуитет.'!C39)</f>
        <v>-33133842.240000002</v>
      </c>
      <c r="E39" s="28">
        <f>ROUND(C39*malumot!$B$84/H39,2)*'График аннуитет.'!G39</f>
        <v>-1633997.7</v>
      </c>
      <c r="F39" s="28">
        <f>IF(A39&lt;malumot!$B$81,'График аннуитет.'!F38,'График аннуитет.'!D39+'График аннуитет.'!E39)</f>
        <v>-34767839.940000005</v>
      </c>
      <c r="G39" s="10">
        <f t="shared" si="6"/>
        <v>30</v>
      </c>
      <c r="H39" s="10">
        <f t="shared" si="7"/>
        <v>365</v>
      </c>
    </row>
    <row r="40" spans="1:8">
      <c r="A40" s="13">
        <f t="shared" si="8"/>
        <v>33</v>
      </c>
      <c r="B40" s="27" t="b">
        <f>'График дифференц'!B40</f>
        <v>0</v>
      </c>
      <c r="C40" s="28">
        <f t="shared" si="5"/>
        <v>0</v>
      </c>
      <c r="D40" s="28">
        <f>IF(A40&lt;malumot!$B$81,'График аннуитет.'!F40-'График аннуитет.'!E40,'График аннуитет.'!C40)</f>
        <v>0</v>
      </c>
      <c r="E40" s="28">
        <f>ROUND(C40*malumot!$B$84/H40,2)*'График аннуитет.'!G40</f>
        <v>0</v>
      </c>
      <c r="F40" s="28">
        <f>IF(A40&lt;malumot!$B$81,'График аннуитет.'!F39,'График аннуитет.'!D40+'График аннуитет.'!E40)</f>
        <v>0</v>
      </c>
      <c r="G40" s="10">
        <f t="shared" si="6"/>
        <v>-46722</v>
      </c>
      <c r="H40" s="10">
        <f t="shared" si="7"/>
        <v>366</v>
      </c>
    </row>
    <row r="41" spans="1:8">
      <c r="A41" s="13">
        <f t="shared" si="8"/>
        <v>34</v>
      </c>
      <c r="B41" s="27" t="b">
        <f>'График дифференц'!B41</f>
        <v>0</v>
      </c>
      <c r="C41" s="28">
        <f t="shared" si="5"/>
        <v>0</v>
      </c>
      <c r="D41" s="28">
        <f>IF(A41&lt;malumot!$B$81,'График аннуитет.'!F41-'График аннуитет.'!E41,'График аннуитет.'!C41)</f>
        <v>0</v>
      </c>
      <c r="E41" s="28">
        <f>ROUND(C41*malumot!$B$84/H41,2)*'График аннуитет.'!G41</f>
        <v>0</v>
      </c>
      <c r="F41" s="28">
        <f>IF(A41&lt;malumot!$B$81,'График аннуитет.'!F40,'График аннуитет.'!D41+'График аннуитет.'!E41)</f>
        <v>0</v>
      </c>
      <c r="G41" s="10">
        <f t="shared" si="6"/>
        <v>0</v>
      </c>
      <c r="H41" s="10">
        <f t="shared" si="7"/>
        <v>366</v>
      </c>
    </row>
    <row r="42" spans="1:8">
      <c r="A42" s="13">
        <f t="shared" si="8"/>
        <v>35</v>
      </c>
      <c r="B42" s="27" t="b">
        <f>'График дифференц'!B42</f>
        <v>0</v>
      </c>
      <c r="C42" s="28">
        <f t="shared" si="5"/>
        <v>0</v>
      </c>
      <c r="D42" s="28">
        <f>IF(A42&lt;malumot!$B$81,'График аннуитет.'!F42-'График аннуитет.'!E42,'График аннуитет.'!C42)</f>
        <v>0</v>
      </c>
      <c r="E42" s="28">
        <f>ROUND(C42*malumot!$B$84/H42,2)*'График аннуитет.'!G42</f>
        <v>0</v>
      </c>
      <c r="F42" s="28">
        <f>IF(A42&lt;malumot!$B$81,'График аннуитет.'!F41,'График аннуитет.'!D42+'График аннуитет.'!E42)</f>
        <v>0</v>
      </c>
      <c r="G42" s="10">
        <f t="shared" si="6"/>
        <v>0</v>
      </c>
      <c r="H42" s="10">
        <f t="shared" si="7"/>
        <v>366</v>
      </c>
    </row>
    <row r="43" spans="1:8">
      <c r="A43" s="13">
        <f t="shared" si="8"/>
        <v>36</v>
      </c>
      <c r="B43" s="27" t="b">
        <f>'График дифференц'!B43</f>
        <v>0</v>
      </c>
      <c r="C43" s="28">
        <f t="shared" si="5"/>
        <v>0</v>
      </c>
      <c r="D43" s="28">
        <f>IF(A43&lt;malumot!$B$81,'График аннуитет.'!F43-'График аннуитет.'!E43,'График аннуитет.'!C43)</f>
        <v>0</v>
      </c>
      <c r="E43" s="28">
        <f>ROUND(C43*malumot!$B$84/H43,2)*'График аннуитет.'!G43</f>
        <v>0</v>
      </c>
      <c r="F43" s="28">
        <f>IF(A43&lt;malumot!$B$81,'График аннуитет.'!F42,'График аннуитет.'!D43+'График аннуитет.'!E43)</f>
        <v>0</v>
      </c>
      <c r="G43" s="10">
        <f t="shared" si="6"/>
        <v>0</v>
      </c>
      <c r="H43" s="10">
        <f t="shared" si="7"/>
        <v>366</v>
      </c>
    </row>
    <row r="44" spans="1:8">
      <c r="A44" s="40"/>
      <c r="B44" s="41" t="s">
        <v>6</v>
      </c>
      <c r="C44" s="42"/>
      <c r="D44" s="42">
        <f>SUM(D8:D43)</f>
        <v>25999999.999999993</v>
      </c>
      <c r="E44" s="42">
        <f t="shared" ref="E44:F44" si="9">SUM(E8:E43)</f>
        <v>5492537.1800000044</v>
      </c>
      <c r="F44" s="42">
        <f t="shared" si="9"/>
        <v>31492537.180000044</v>
      </c>
    </row>
    <row r="45" spans="1:8" ht="9" customHeight="1">
      <c r="B45" s="29"/>
      <c r="C45" s="30"/>
      <c r="D45" s="30"/>
      <c r="E45" s="30"/>
      <c r="F45" s="30"/>
    </row>
    <row r="46" spans="1:8" ht="47.25" customHeight="1">
      <c r="A46" s="271" t="s">
        <v>17</v>
      </c>
      <c r="B46" s="271"/>
      <c r="C46" s="271"/>
      <c r="D46" s="271"/>
      <c r="E46" s="271"/>
      <c r="F46" s="271"/>
    </row>
    <row r="47" spans="1:8" ht="7.5" customHeight="1"/>
    <row r="48" spans="1:8">
      <c r="A48" s="298" t="e">
        <f>#REF!</f>
        <v>#REF!</v>
      </c>
      <c r="B48" s="298"/>
      <c r="C48" s="298"/>
      <c r="D48" s="298" t="e">
        <f>#REF!</f>
        <v>#REF!</v>
      </c>
      <c r="E48" s="298"/>
      <c r="F48" s="298"/>
    </row>
    <row r="49" spans="1:6" ht="11.25" customHeight="1">
      <c r="A49" s="299"/>
      <c r="B49" s="299"/>
      <c r="C49" s="299"/>
      <c r="D49" s="299"/>
      <c r="E49" s="299"/>
      <c r="F49" s="299"/>
    </row>
    <row r="50" spans="1:6" ht="30" customHeight="1">
      <c r="A50" s="270" t="e">
        <f>#REF!</f>
        <v>#REF!</v>
      </c>
      <c r="B50" s="270"/>
      <c r="C50" s="270"/>
      <c r="D50" s="270" t="e">
        <f>#REF!</f>
        <v>#REF!</v>
      </c>
      <c r="E50" s="270"/>
      <c r="F50" s="270"/>
    </row>
    <row r="51" spans="1:6" ht="32.25" customHeight="1">
      <c r="A51" s="297" t="e">
        <f>#REF!</f>
        <v>#REF!</v>
      </c>
      <c r="B51" s="297"/>
      <c r="C51" s="297"/>
      <c r="D51" s="297" t="e">
        <f>#REF!</f>
        <v>#REF!</v>
      </c>
      <c r="E51" s="297"/>
      <c r="F51" s="297"/>
    </row>
    <row r="52" spans="1:6">
      <c r="A52" s="297" t="e">
        <f>#REF!</f>
        <v>#REF!</v>
      </c>
      <c r="B52" s="297"/>
      <c r="C52" s="297"/>
      <c r="D52" s="297" t="str">
        <f>"паспорт серии "&amp;malumot!B16&amp;", "&amp;malumot!B20&amp;""</f>
        <v>паспорт серии AB 7858443, BUXORO VILOYATI KOGON TUMAN IIB tomonidan 06.10.2017 yilda berilgan</v>
      </c>
      <c r="E52" s="297"/>
      <c r="F52" s="297"/>
    </row>
    <row r="53" spans="1:6" ht="32.25" customHeight="1">
      <c r="A53" s="297" t="e">
        <f>#REF!</f>
        <v>#REF!</v>
      </c>
      <c r="B53" s="297"/>
      <c r="C53" s="297"/>
      <c r="D53" s="297"/>
      <c r="E53" s="297"/>
      <c r="F53" s="297"/>
    </row>
    <row r="54" spans="1:6">
      <c r="A54" s="297" t="e">
        <f>#REF!</f>
        <v>#REF!</v>
      </c>
      <c r="B54" s="297"/>
      <c r="C54" s="297"/>
      <c r="D54" s="297" t="e">
        <f>#REF!</f>
        <v>#REF!</v>
      </c>
      <c r="E54" s="297"/>
      <c r="F54" s="297"/>
    </row>
    <row r="55" spans="1:6">
      <c r="A55" s="297" t="e">
        <f>#REF!</f>
        <v>#REF!</v>
      </c>
      <c r="B55" s="297"/>
      <c r="C55" s="297"/>
      <c r="D55" s="297" t="e">
        <f>#REF!</f>
        <v>#REF!</v>
      </c>
      <c r="E55" s="297"/>
      <c r="F55" s="297"/>
    </row>
    <row r="56" spans="1:6">
      <c r="A56" s="297" t="e">
        <f>#REF!</f>
        <v>#REF!</v>
      </c>
      <c r="B56" s="297"/>
      <c r="C56" s="297"/>
      <c r="D56" s="297" t="e">
        <f>#REF!</f>
        <v>#REF!</v>
      </c>
      <c r="E56" s="297"/>
      <c r="F56" s="297"/>
    </row>
    <row r="57" spans="1:6" ht="8.25" customHeight="1">
      <c r="A57" s="297"/>
      <c r="B57" s="297"/>
      <c r="C57" s="297"/>
      <c r="D57" s="297"/>
      <c r="E57" s="297"/>
      <c r="F57" s="297"/>
    </row>
    <row r="58" spans="1:6">
      <c r="A58" s="270" t="e">
        <f>#REF!</f>
        <v>#REF!</v>
      </c>
      <c r="B58" s="270"/>
      <c r="C58" s="270"/>
      <c r="D58" s="270" t="e">
        <f>#REF!</f>
        <v>#REF!</v>
      </c>
      <c r="E58" s="270"/>
      <c r="F58" s="270"/>
    </row>
    <row r="59" spans="1:6" ht="7.5" customHeight="1">
      <c r="A59" s="270"/>
      <c r="B59" s="270"/>
      <c r="C59" s="270"/>
      <c r="D59" s="270"/>
      <c r="E59" s="270"/>
      <c r="F59" s="270"/>
    </row>
    <row r="60" spans="1:6">
      <c r="A60" s="270" t="e">
        <f>#REF!</f>
        <v>#REF!</v>
      </c>
      <c r="B60" s="270"/>
      <c r="C60" s="270"/>
      <c r="D60" s="270" t="e">
        <f>#REF!</f>
        <v>#REF!</v>
      </c>
      <c r="E60" s="270"/>
      <c r="F60" s="270"/>
    </row>
    <row r="61" spans="1:6" ht="8.25" customHeight="1">
      <c r="A61" s="297"/>
      <c r="B61" s="297"/>
      <c r="C61" s="297"/>
      <c r="D61" s="297"/>
      <c r="E61" s="297"/>
      <c r="F61" s="297"/>
    </row>
    <row r="62" spans="1:6" ht="30" customHeight="1">
      <c r="A62" s="301"/>
      <c r="B62" s="301"/>
      <c r="C62" s="301"/>
      <c r="D62" s="302"/>
      <c r="E62" s="302"/>
      <c r="F62" s="302"/>
    </row>
    <row r="63" spans="1:6">
      <c r="A63" s="303"/>
      <c r="B63" s="303"/>
      <c r="C63" s="303"/>
      <c r="D63" s="303"/>
      <c r="E63" s="303"/>
      <c r="F63" s="303"/>
    </row>
    <row r="64" spans="1:6">
      <c r="A64" s="300"/>
      <c r="B64" s="300"/>
      <c r="C64" s="300"/>
      <c r="D64" s="300"/>
      <c r="E64" s="300"/>
      <c r="F64" s="300"/>
    </row>
  </sheetData>
  <mergeCells count="40">
    <mergeCell ref="A64:C64"/>
    <mergeCell ref="D64:F64"/>
    <mergeCell ref="A61:C61"/>
    <mergeCell ref="D61:F61"/>
    <mergeCell ref="A62:C62"/>
    <mergeCell ref="D62:F62"/>
    <mergeCell ref="A63:C63"/>
    <mergeCell ref="D63:F63"/>
    <mergeCell ref="A58:C58"/>
    <mergeCell ref="D58:F58"/>
    <mergeCell ref="A59:C59"/>
    <mergeCell ref="D59:F59"/>
    <mergeCell ref="A60:C60"/>
    <mergeCell ref="D60:F60"/>
    <mergeCell ref="A55:C55"/>
    <mergeCell ref="D55:F55"/>
    <mergeCell ref="A56:C56"/>
    <mergeCell ref="D56:F56"/>
    <mergeCell ref="A57:C57"/>
    <mergeCell ref="D57:F57"/>
    <mergeCell ref="A54:C54"/>
    <mergeCell ref="D54:F54"/>
    <mergeCell ref="A46:F46"/>
    <mergeCell ref="A48:C48"/>
    <mergeCell ref="D48:F48"/>
    <mergeCell ref="A49:C49"/>
    <mergeCell ref="D49:F49"/>
    <mergeCell ref="A50:C50"/>
    <mergeCell ref="D50:F50"/>
    <mergeCell ref="A51:C51"/>
    <mergeCell ref="D51:F51"/>
    <mergeCell ref="A52:C52"/>
    <mergeCell ref="D52:F53"/>
    <mergeCell ref="A53:C53"/>
    <mergeCell ref="E1:F1"/>
    <mergeCell ref="A4:F4"/>
    <mergeCell ref="A6:A7"/>
    <mergeCell ref="B6:B7"/>
    <mergeCell ref="C6:C7"/>
    <mergeCell ref="D6:F6"/>
  </mergeCells>
  <conditionalFormatting sqref="B8:B43">
    <cfRule type="cellIs" dxfId="4" priority="4" operator="lessThan">
      <formula>22105</formula>
    </cfRule>
  </conditionalFormatting>
  <conditionalFormatting sqref="C8:C43">
    <cfRule type="cellIs" dxfId="3" priority="3" operator="lessThan">
      <formula>1</formula>
    </cfRule>
  </conditionalFormatting>
  <conditionalFormatting sqref="C8:F43">
    <cfRule type="cellIs" dxfId="2" priority="1" operator="lessThan">
      <formula>0.1</formula>
    </cfRule>
  </conditionalFormatting>
  <pageMargins left="0.7" right="0.7" top="0.75" bottom="0.75" header="0.3" footer="0.3"/>
  <pageSetup paperSize="9" scale="92"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Лист7">
    <tabColor rgb="FF00B050"/>
  </sheetPr>
  <dimension ref="A1:E67"/>
  <sheetViews>
    <sheetView view="pageBreakPreview" topLeftCell="A47" zoomScaleSheetLayoutView="100" workbookViewId="0">
      <selection activeCell="A25" sqref="A25:E25"/>
    </sheetView>
  </sheetViews>
  <sheetFormatPr defaultColWidth="9.140625" defaultRowHeight="15" outlineLevelRow="1"/>
  <cols>
    <col min="1" max="1" width="19.5703125" style="10" customWidth="1"/>
    <col min="2" max="2" width="21.42578125" style="10" customWidth="1"/>
    <col min="3" max="5" width="17" style="10" customWidth="1"/>
    <col min="6" max="16384" width="9.140625" style="10"/>
  </cols>
  <sheetData>
    <row r="1" spans="1:5" ht="36" customHeight="1">
      <c r="A1" s="270" t="str">
        <f>""&amp;malumot!B155&amp;"
mikromoliya tashkilotining Xulosasi"</f>
        <v>«CLEVER MIKROMOLIYA TASHKILOTI» MChJ
mikromoliya tashkilotining Xulosasi</v>
      </c>
      <c r="B1" s="270"/>
      <c r="C1" s="270"/>
      <c r="D1" s="270"/>
      <c r="E1" s="270"/>
    </row>
    <row r="2" spans="1:5">
      <c r="A2" s="271"/>
      <c r="B2" s="271"/>
      <c r="C2" s="271"/>
      <c r="D2" s="271"/>
      <c r="E2" s="271"/>
    </row>
    <row r="3" spans="1:5">
      <c r="A3" s="270" t="s">
        <v>202</v>
      </c>
      <c r="B3" s="270"/>
      <c r="C3" s="270"/>
      <c r="D3" s="270"/>
      <c r="E3" s="270"/>
    </row>
    <row r="4" spans="1:5" ht="19.5" customHeight="1">
      <c r="A4" s="271" t="str">
        <f>"Mijozning to'liq ismi sharifi: "&amp;malumot!B5&amp;""</f>
        <v>Mijozning to'liq ismi sharifi: XAYATOV OTABEK KURBANOVICH</v>
      </c>
      <c r="B4" s="271"/>
      <c r="C4" s="271"/>
      <c r="D4" s="271"/>
      <c r="E4" s="271"/>
    </row>
    <row r="5" spans="1:5">
      <c r="A5" s="271" t="str">
        <f>"Tug'ilgan sanasi: "&amp;malumot!B15&amp;""</f>
        <v>Tug'ilgan sanasi: 22.08.1982 y</v>
      </c>
      <c r="B5" s="271"/>
      <c r="C5" s="271"/>
      <c r="D5" s="271"/>
      <c r="E5" s="271"/>
    </row>
    <row r="6" spans="1:5" ht="31.5" customHeight="1">
      <c r="A6" s="271" t="str">
        <f>"Pasport seriyasi "&amp;malumot!B16&amp;" "&amp;malumot!B20&amp;", amal qilish muddati - "&amp;malumot!B21&amp;""</f>
        <v>Pasport seriyasi AB 7858443 BUXORO VILOYATI KOGON TUMAN IIB tomonidan 06.10.2017 yilda berilgan, amal qilish muddati - 05.10.2027 y.</v>
      </c>
      <c r="B6" s="271"/>
      <c r="C6" s="271"/>
      <c r="D6" s="271"/>
      <c r="E6" s="271"/>
    </row>
    <row r="7" spans="1:5" ht="39.75" customHeight="1">
      <c r="A7" s="271" t="str">
        <f>"Ro‘yxatdan o‘tgan manzili: "&amp;malumot!B28&amp;", mo'ljal: "&amp;malumot!B26&amp;""</f>
        <v>Ro‘yxatdan o‘tgan manzili: BUXORO VILOYATI KOGON TUMANI NIYOZ HOJI QISHLOG'I, mo'ljal: 25-MAKTAB, 3-BOG'CHA, XOKIMIYAT</v>
      </c>
      <c r="B7" s="271"/>
      <c r="C7" s="271"/>
      <c r="D7" s="271"/>
      <c r="E7" s="271"/>
    </row>
    <row r="8" spans="1:5" ht="26.25" customHeight="1">
      <c r="A8" s="271" t="str">
        <f>"Ish joyi: "&amp;malumot!B52&amp;" lavozimi "&amp;malumot!B49&amp;"da "&amp;malumot!B44&amp;""</f>
        <v>Ish joyi:  lavozimi Yakka tartibdagi tadbirkorda Yakka tartibdagi tadbirkor</v>
      </c>
      <c r="B8" s="271"/>
      <c r="C8" s="271"/>
      <c r="D8" s="271"/>
      <c r="E8" s="271"/>
    </row>
    <row r="9" spans="1:5">
      <c r="A9" s="271"/>
      <c r="B9" s="271"/>
      <c r="C9" s="271"/>
      <c r="D9" s="271"/>
      <c r="E9" s="271"/>
    </row>
    <row r="10" spans="1:5">
      <c r="A10" s="270" t="str">
        <f>"Mijoz tomonidan so’ralgan "&amp;malumot!B65&amp;" shartlari:"</f>
        <v>Mijoz tomonidan so’ralgan mikroqarz shartlari:</v>
      </c>
      <c r="B10" s="270"/>
      <c r="C10" s="270"/>
      <c r="D10" s="270"/>
      <c r="E10" s="270"/>
    </row>
    <row r="11" spans="1:5">
      <c r="A11" s="271" t="str">
        <f>kredit_ariza!A13:D13</f>
        <v>Mikroqarz summasi: 26 000 000,00 (yigirma olti million so'm) so'm.</v>
      </c>
      <c r="B11" s="271"/>
      <c r="C11" s="271"/>
      <c r="D11" s="271"/>
      <c r="E11" s="271"/>
    </row>
    <row r="12" spans="1:5">
      <c r="A12" s="271" t="str">
        <f>kredit_ariza!A14:D14</f>
        <v>Mikroqarz muddati: 32 (o'ttiz ikki) oy.</v>
      </c>
      <c r="B12" s="271"/>
      <c r="C12" s="271"/>
      <c r="D12" s="271"/>
      <c r="E12" s="271"/>
    </row>
    <row r="13" spans="1:5">
      <c r="A13" s="271" t="str">
        <f>kredit_ariza!A15:D15</f>
        <v>Mikroqarzdan foydalanganlik uchun foiz stavkasi: yillik  60% (Oltmish) foiz</v>
      </c>
      <c r="B13" s="271"/>
      <c r="C13" s="271"/>
      <c r="D13" s="271"/>
      <c r="E13" s="271"/>
    </row>
    <row r="14" spans="1:5">
      <c r="A14" s="271" t="str">
        <f>kredit_ariza!A16:D16</f>
        <v>Mikroqarz bo'yicha asosiy qarz va foizlarni to'lash:</v>
      </c>
      <c r="B14" s="271"/>
      <c r="C14" s="271"/>
      <c r="D14" s="271"/>
      <c r="E14" s="271"/>
    </row>
    <row r="15" spans="1:5" ht="18.75" customHeight="1">
      <c r="A15" s="271" t="str">
        <f>kredit_ariza!A19:D19</f>
        <v xml:space="preserve"> - mikroqarz shartnomasi bo'yicha har oy differensial to'lovlari amalga oshiriladi</v>
      </c>
      <c r="B15" s="271"/>
      <c r="C15" s="271"/>
      <c r="D15" s="271"/>
      <c r="E15" s="271"/>
    </row>
    <row r="16" spans="1:5" ht="14.25" customHeight="1">
      <c r="A16" s="272" t="str">
        <f>kredit_ariza!A20:D20</f>
        <v xml:space="preserve">   </v>
      </c>
      <c r="B16" s="272"/>
      <c r="C16" s="272"/>
      <c r="D16" s="272"/>
      <c r="E16" s="272"/>
    </row>
    <row r="17" spans="1:5">
      <c r="A17" s="271" t="str">
        <f>kredit_ariza!A21:D21</f>
        <v>Mikroqarz ta’minoti::</v>
      </c>
      <c r="B17" s="271"/>
      <c r="C17" s="271"/>
      <c r="D17" s="271"/>
      <c r="E17" s="271"/>
    </row>
    <row r="18" spans="1:5" ht="83.25" customHeight="1">
      <c r="A18" s="271" t="str">
        <f>kredit_ariza!A22:D22</f>
        <v xml:space="preserve">  Egalik huquqi FAYZIYEV JAMSHID KURBONOVICHga tegishli bo'lgan garovga olingan avtomobil markasi   SPARK, rangi -  OQ BELAYA "KASABLANKA", ishlab chiqarilgan yili - 2011, davlat raqam belgisi 80Y320AB, kuzov turi - YENGIL SEDAN, kuzov raqami XWBMF481EBA580791, dvigatel raqami B10D1606437KC3, shassi raqami - RAKAMSIZ</v>
      </c>
      <c r="B18" s="271"/>
      <c r="C18" s="271"/>
      <c r="D18" s="271"/>
      <c r="E18" s="271"/>
    </row>
    <row r="19" spans="1:5">
      <c r="A19" s="270" t="s">
        <v>203</v>
      </c>
      <c r="B19" s="270"/>
      <c r="C19" s="270"/>
      <c r="D19" s="270"/>
      <c r="E19" s="270"/>
    </row>
    <row r="20" spans="1:5" ht="21" customHeight="1">
      <c r="A20" s="271" t="str">
        <f>"Anketaga muvofiq "&amp;malumot!B9&amp;"ning o‘rtacha oylik daromadi  "&amp;FIXED(malumot!B60)&amp;" so‘mni tashkil etdi."</f>
        <v>Anketaga muvofiq XAYATOV O.K.ning o‘rtacha oylik daromadi  10 000 000,00 so‘mni tashkil etdi.</v>
      </c>
      <c r="B20" s="271"/>
      <c r="C20" s="271"/>
      <c r="D20" s="271"/>
      <c r="E20" s="271"/>
    </row>
    <row r="21" spans="1:5" ht="27" customHeight="1">
      <c r="A21" s="271" t="str">
        <f>"Mijozning o'rtacha oylik xarajatlari "&amp;FIXED(mijoz_anketasi!F27)&amp;" so'mni tashkil etdi"</f>
        <v>Mijozning o'rtacha oylik xarajatlari 1 650 000,00 so'mni tashkil etdi</v>
      </c>
      <c r="B21" s="271"/>
      <c r="C21" s="271"/>
      <c r="D21" s="271"/>
      <c r="E21" s="271"/>
    </row>
    <row r="22" spans="1:5" ht="24.75" customHeight="1">
      <c r="A22" s="271" t="str">
        <f>IF(malumot!B77=malumot!C77,xulosa!A23:E23,xulosa!A24:E24)</f>
        <v>Mikroqarz shartnomasi bo'yicha birinchi oy uchun to'lov 2 137 431,52 so'mni tashkil etadi.</v>
      </c>
      <c r="B22" s="271"/>
      <c r="C22" s="271"/>
      <c r="D22" s="271"/>
      <c r="E22" s="271"/>
    </row>
    <row r="23" spans="1:5" ht="19.5" hidden="1" customHeight="1">
      <c r="A23" s="271" t="str">
        <f>""&amp;malumot!C64&amp;" shartnomasi bo'yicha birinchi oy uchun to'lov "&amp;FIXED(malumot!B90)&amp;" so'mni tashkil etadi."</f>
        <v>Mikroqarz shartnomasi bo'yicha birinchi oy uchun to'lov 2 137 431,52 so'mni tashkil etadi.</v>
      </c>
      <c r="B23" s="271"/>
      <c r="C23" s="271"/>
      <c r="D23" s="271"/>
      <c r="E23" s="271"/>
    </row>
    <row r="24" spans="1:5" ht="19.5" hidden="1" customHeight="1">
      <c r="A24" s="271" t="str">
        <f>""&amp;malumot!C64&amp;" bo‘yicha oylik "&amp;malumot!B77&amp;" to‘lovi miqdori "&amp;FIXED(malumot!B90)&amp;" so‘mni tashkil etadi."</f>
        <v>Mikroqarz bo‘yicha oylik differensial to‘lovi miqdori 2 137 431,52 so‘mni tashkil etadi.</v>
      </c>
      <c r="B24" s="271"/>
      <c r="C24" s="271"/>
      <c r="D24" s="271"/>
      <c r="E24" s="271"/>
    </row>
    <row r="25" spans="1:5" ht="56.25" customHeight="1">
      <c r="A25" s="272" t="s">
        <v>452</v>
      </c>
      <c r="B25" s="272"/>
      <c r="C25" s="272"/>
      <c r="D25" s="272"/>
      <c r="E25" s="272"/>
    </row>
    <row r="26" spans="1:5">
      <c r="A26" s="270" t="str">
        <f>""&amp;malumot!C64&amp;" bo’yicha ta’minot:"</f>
        <v>Mikroqarz bo’yicha ta’minot:</v>
      </c>
      <c r="B26" s="270"/>
      <c r="C26" s="270"/>
      <c r="D26" s="270"/>
      <c r="E26" s="270"/>
    </row>
    <row r="27" spans="1:5" ht="31.5" hidden="1" customHeight="1">
      <c r="A27" s="271" t="str">
        <f>" - "&amp;malumot!B125&amp;" ga mulk huquqi asosida tegishli avtotransport vositasi "&amp;malumot!B133&amp;" , quyidagi tafsilotlarga muvofiq:"</f>
        <v xml:space="preserve"> - FAYZIYEV JAMSHID KURBONOVICH ga mulk huquqi asosida tegishli avtotransport vositasi SPARK , quyidagi tafsilotlarga muvofiq:</v>
      </c>
      <c r="B27" s="271"/>
      <c r="C27" s="271"/>
      <c r="D27" s="271"/>
      <c r="E27" s="271"/>
    </row>
    <row r="28" spans="1:5" ht="67.5" hidden="1" customHeight="1">
      <c r="A28" s="271" t="str">
        <f>" -   "&amp;malumot!C125&amp;" ga mulk huquqi asosida tegishli ko'chmas mulk shaklida "&amp;malumot!C134&amp;", manzili: "&amp;malumot!C131&amp;", quyidagi tafsilotlarga muvofiq:"</f>
        <v xml:space="preserve"> -   0 ga mulk huquqi asosida tegishli ko'chmas mulk shaklida 3 - xonali yakka tartibdagi uy-joy, manzili: SAMARQAND VILOYATI TAYLOQ TUMANI CHAROG'BON MFY YANGI TAYLOQ QISHLOG'I 6 TURAR JOY 12 QAVAT 58 XONADON, quyidagi tafsilotlarga muvofiq:</v>
      </c>
      <c r="B28" s="271"/>
      <c r="C28" s="271"/>
      <c r="D28" s="271"/>
      <c r="E28" s="271"/>
    </row>
    <row r="29" spans="1:5" ht="44.25" customHeight="1">
      <c r="A29" s="271" t="str">
        <f>IF(malumot!B111="Avtotransport",xulosa!A27:E27,xulosa!A28:E28)</f>
        <v xml:space="preserve"> - FAYZIYEV JAMSHID KURBONOVICH ga mulk huquqi asosida tegishli avtotransport vositasi SPARK , quyidagi tafsilotlarga muvofiq:</v>
      </c>
      <c r="B29" s="271"/>
      <c r="C29" s="271"/>
      <c r="D29" s="271"/>
      <c r="E29" s="271"/>
    </row>
    <row r="30" spans="1:5" s="11" customFormat="1" ht="47.25" customHeight="1" outlineLevel="1">
      <c r="A30" s="33" t="str">
        <f>dalolatnoma!A29</f>
        <v>Nomi</v>
      </c>
      <c r="B30" s="33" t="str">
        <f>dalolatnoma!B29</f>
        <v>Kuzov turi  va kuzov raqami*</v>
      </c>
      <c r="C30" s="33" t="str">
        <f>dalolatnoma!C29</f>
        <v>Dvigatel va shassi raqami*</v>
      </c>
      <c r="D30" s="33" t="str">
        <f>dalolatnoma!D29</f>
        <v>Ishlab chiqarilgan yili va rangi*</v>
      </c>
      <c r="E30" s="33" t="str">
        <f>dalolatnoma!E29</f>
        <v>Kelishilgan garov qiymati, so'm</v>
      </c>
    </row>
    <row r="31" spans="1:5" s="15" customFormat="1" ht="92.25" customHeight="1" outlineLevel="1">
      <c r="A31" s="12" t="str">
        <f>dalolatnoma!A30</f>
        <v>SPARK</v>
      </c>
      <c r="B31" s="12" t="str">
        <f>dalolatnoma!B30</f>
        <v>kuzov turi - YENGIL SEDAN, kuzov raqami XWBMF481EBA580791</v>
      </c>
      <c r="C31" s="12" t="str">
        <f>dalolatnoma!C30</f>
        <v>dvigatel raqami B10D1606437KC3, shassi raqami - RAKAMSIZ</v>
      </c>
      <c r="D31" s="12" t="str">
        <f>dalolatnoma!D30</f>
        <v>rangi -  OQ BELAYA "KASABLANKA", ishlab chiqarilgan yili - 2011</v>
      </c>
      <c r="E31" s="12" t="str">
        <f>dalolatnoma!E30</f>
        <v>39 000 000,00 
(o'ttiz to'qqiz million so'm)</v>
      </c>
    </row>
    <row r="32" spans="1:5" ht="17.25" customHeight="1" outlineLevel="1">
      <c r="A32" s="271" t="str">
        <f>dalolatnoma!A22</f>
        <v>-* avtotransport egasi: FAYZIYEV JAMSHID KURBONOVICH</v>
      </c>
      <c r="B32" s="271"/>
      <c r="C32" s="271"/>
      <c r="D32" s="271"/>
      <c r="E32" s="271"/>
    </row>
    <row r="33" spans="1:5" ht="15" customHeight="1" outlineLevel="1">
      <c r="A33" s="271" t="str">
        <f>dalolatnoma!A23</f>
        <v>-* texnik pasport: AAG   4517617  20.08.2024y</v>
      </c>
      <c r="B33" s="271"/>
      <c r="C33" s="271"/>
      <c r="D33" s="271"/>
      <c r="E33" s="271"/>
    </row>
    <row r="34" spans="1:5" ht="33" customHeight="1" outlineLevel="1">
      <c r="A34" s="271" t="str">
        <f>dalolatnoma!A24</f>
        <v>-* roʻyxatdan oʻtgan manzili/garaj manzili: BUXORO VILOYATI BUXORO TUMANI XONOBOD MFY XONOBOD QISHLOG'I</v>
      </c>
      <c r="B34" s="271"/>
      <c r="C34" s="271"/>
      <c r="D34" s="271"/>
      <c r="E34" s="271"/>
    </row>
    <row r="35" spans="1:5" ht="15" customHeight="1" outlineLevel="1">
      <c r="A35" s="271" t="str">
        <f>dalolatnoma!A25</f>
        <v>-* davlat raqami: 80Y320AB</v>
      </c>
      <c r="B35" s="271"/>
      <c r="C35" s="271"/>
      <c r="D35" s="271"/>
      <c r="E35" s="271"/>
    </row>
    <row r="36" spans="1:5" ht="9" customHeight="1">
      <c r="A36" s="271"/>
      <c r="B36" s="271"/>
      <c r="C36" s="271"/>
      <c r="D36" s="271"/>
      <c r="E36" s="271"/>
    </row>
    <row r="37" spans="1:5" ht="39" customHeight="1">
      <c r="A37" s="270" t="str">
        <f>""&amp;malumot!B155&amp;"
mikromoliya tashkilotining Xulosasi"</f>
        <v>«CLEVER MIKROMOLIYA TASHKILOTI» MChJ
mikromoliya tashkilotining Xulosasi</v>
      </c>
      <c r="B37" s="270"/>
      <c r="C37" s="270"/>
      <c r="D37" s="270"/>
      <c r="E37" s="270"/>
    </row>
    <row r="38" spans="1:5" ht="48" customHeight="1">
      <c r="A38" s="271" t="str">
        <f>""&amp;malumot!B155&amp;" kredit qo‘mitasining xulosasiga quyidagi shartlarda "&amp;malumot!B10&amp;"ga "&amp;malumot!B65&amp;" berish masalasi kiritiladi:"</f>
        <v>«CLEVER MIKROMOLIYA TASHKILOTI» MChJ kredit qo‘mitasining xulosasiga quyidagi shartlarda XAYATOV OTABEK KURBANOVICHga mikroqarz berish masalasi kiritiladi:</v>
      </c>
      <c r="B38" s="271"/>
      <c r="C38" s="271"/>
      <c r="D38" s="271"/>
      <c r="E38" s="271"/>
    </row>
    <row r="39" spans="1:5">
      <c r="A39" s="271" t="str">
        <f>A11</f>
        <v>Mikroqarz summasi: 26 000 000,00 (yigirma olti million so'm) so'm.</v>
      </c>
      <c r="B39" s="271"/>
      <c r="C39" s="271"/>
      <c r="D39" s="271"/>
      <c r="E39" s="271"/>
    </row>
    <row r="40" spans="1:5">
      <c r="A40" s="271" t="str">
        <f t="shared" ref="A40:A46" si="0">A12</f>
        <v>Mikroqarz muddati: 32 (o'ttiz ikki) oy.</v>
      </c>
      <c r="B40" s="271"/>
      <c r="C40" s="271"/>
      <c r="D40" s="271"/>
      <c r="E40" s="271"/>
    </row>
    <row r="41" spans="1:5">
      <c r="A41" s="271" t="str">
        <f t="shared" si="0"/>
        <v>Mikroqarzdan foydalanganlik uchun foiz stavkasi: yillik  60% (Oltmish) foiz</v>
      </c>
      <c r="B41" s="271"/>
      <c r="C41" s="271"/>
      <c r="D41" s="271"/>
      <c r="E41" s="271"/>
    </row>
    <row r="42" spans="1:5">
      <c r="A42" s="271" t="str">
        <f t="shared" si="0"/>
        <v>Mikroqarz bo'yicha asosiy qarz va foizlarni to'lash:</v>
      </c>
      <c r="B42" s="271"/>
      <c r="C42" s="271"/>
      <c r="D42" s="271"/>
      <c r="E42" s="271"/>
    </row>
    <row r="43" spans="1:5" ht="20.25" customHeight="1">
      <c r="A43" s="271" t="str">
        <f t="shared" si="0"/>
        <v xml:space="preserve"> - mikroqarz shartnomasi bo'yicha har oy differensial to'lovlari amalga oshiriladi</v>
      </c>
      <c r="B43" s="271"/>
      <c r="C43" s="271"/>
      <c r="D43" s="271"/>
      <c r="E43" s="271"/>
    </row>
    <row r="44" spans="1:5" ht="26.25" customHeight="1">
      <c r="A44" s="271" t="str">
        <f t="shared" si="0"/>
        <v xml:space="preserve">   </v>
      </c>
      <c r="B44" s="271"/>
      <c r="C44" s="271"/>
      <c r="D44" s="271"/>
      <c r="E44" s="271"/>
    </row>
    <row r="45" spans="1:5">
      <c r="A45" s="271" t="str">
        <f t="shared" si="0"/>
        <v>Mikroqarz ta’minoti::</v>
      </c>
      <c r="B45" s="271"/>
      <c r="C45" s="271"/>
      <c r="D45" s="271"/>
      <c r="E45" s="271"/>
    </row>
    <row r="46" spans="1:5" ht="72" customHeight="1">
      <c r="A46" s="271" t="str">
        <f t="shared" si="0"/>
        <v xml:space="preserve">  Egalik huquqi FAYZIYEV JAMSHID KURBONOVICHga tegishli bo'lgan garovga olingan avtomobil markasi   SPARK, rangi -  OQ BELAYA "KASABLANKA", ishlab chiqarilgan yili - 2011, davlat raqam belgisi 80Y320AB, kuzov turi - YENGIL SEDAN, kuzov raqami XWBMF481EBA580791, dvigatel raqami B10D1606437KC3, shassi raqami - RAKAMSIZ</v>
      </c>
      <c r="B46" s="271"/>
      <c r="C46" s="271"/>
      <c r="D46" s="271"/>
      <c r="E46" s="271"/>
    </row>
    <row r="47" spans="1:5">
      <c r="A47" s="271"/>
      <c r="B47" s="271"/>
      <c r="C47" s="271"/>
      <c r="D47" s="271"/>
      <c r="E47" s="271"/>
    </row>
    <row r="48" spans="1:5" ht="36.75" customHeight="1">
      <c r="A48" s="271" t="str">
        <f>""&amp;malumot!B155&amp;" mikromoliya tashkilotining xulosasi  "&amp;TEXT(malumot!B2,"ДД.ММ.ГГГГ")&amp;" y. tayyorlangan"</f>
        <v>«CLEVER MIKROMOLIYA TASHKILOTI» MChJ mikromoliya tashkilotining xulosasi  01.04.2025 y. tayyorlangan</v>
      </c>
      <c r="B48" s="271"/>
      <c r="C48" s="271"/>
      <c r="D48" s="271"/>
      <c r="E48" s="271"/>
    </row>
    <row r="49" spans="1:5">
      <c r="A49" s="115"/>
      <c r="B49" s="181"/>
      <c r="C49" s="181"/>
      <c r="D49" s="115"/>
      <c r="E49" s="18"/>
    </row>
    <row r="50" spans="1:5">
      <c r="A50" s="271"/>
      <c r="B50" s="271"/>
      <c r="C50" s="271"/>
      <c r="D50" s="271"/>
      <c r="E50" s="271"/>
    </row>
    <row r="51" spans="1:5" ht="47.25" customHeight="1">
      <c r="A51" s="271" t="str">
        <f>""&amp;malumot!B155&amp;" mikromoliya tashkilotining Kredit qo‘mitasi a’zolari "&amp;malumot!B155&amp;" mikromoliya tashkilotining xulosasi va Mijoz tomonidan taqdim etilgan ma’lumotlar bilan tanishdilar:"</f>
        <v>«CLEVER MIKROMOLIYA TASHKILOTI» MChJ mikromoliya tashkilotining Kredit qo‘mitasi a’zolari «CLEVER MIKROMOLIYA TASHKILOTI» MChJ mikromoliya tashkilotining xulosasi va Mijoz tomonidan taqdim etilgan ma’lumotlar bilan tanishdilar:</v>
      </c>
      <c r="B51" s="271"/>
      <c r="C51" s="271"/>
      <c r="D51" s="271"/>
      <c r="E51" s="271"/>
    </row>
    <row r="52" spans="1:5">
      <c r="A52" s="14"/>
      <c r="B52" s="14"/>
      <c r="C52" s="14"/>
      <c r="D52" s="14"/>
      <c r="E52" s="14"/>
    </row>
    <row r="53" spans="1:5">
      <c r="A53" s="14" t="s">
        <v>394</v>
      </c>
      <c r="B53" s="304"/>
      <c r="C53" s="304"/>
      <c r="D53" s="304"/>
      <c r="E53" s="14"/>
    </row>
    <row r="54" spans="1:5">
      <c r="A54" s="14"/>
      <c r="B54" s="213"/>
      <c r="C54" s="213"/>
      <c r="D54" s="213"/>
      <c r="E54" s="14"/>
    </row>
    <row r="55" spans="1:5" ht="29.25">
      <c r="A55" s="183" t="str">
        <f>malumot!A158</f>
        <v>Buxoro filiali boshlig'i</v>
      </c>
      <c r="B55" s="185"/>
      <c r="C55" s="31"/>
      <c r="D55" s="183" t="str">
        <f>malumot!B158</f>
        <v>A.Xudayberdiyev</v>
      </c>
      <c r="E55" s="183"/>
    </row>
    <row r="56" spans="1:5">
      <c r="A56" s="183"/>
      <c r="B56" s="185"/>
      <c r="C56" s="31"/>
      <c r="D56" s="183"/>
      <c r="E56" s="183"/>
    </row>
    <row r="57" spans="1:5">
      <c r="A57" s="183"/>
      <c r="B57" s="185"/>
      <c r="C57" s="31"/>
      <c r="D57" s="183"/>
      <c r="E57" s="183"/>
    </row>
    <row r="58" spans="1:5">
      <c r="A58" s="183"/>
      <c r="B58" s="185"/>
      <c r="C58" s="31"/>
      <c r="D58" s="183"/>
      <c r="E58" s="183"/>
    </row>
    <row r="59" spans="1:5" ht="30" customHeight="1">
      <c r="A59" s="183" t="str">
        <f>malumot!A167</f>
        <v>Kreditlash bo’limi boshlig’i</v>
      </c>
      <c r="B59" s="114"/>
      <c r="C59" s="196"/>
      <c r="D59" s="115" t="str">
        <f>malumot!B167</f>
        <v>B. Mominov</v>
      </c>
      <c r="E59" s="17"/>
    </row>
    <row r="60" spans="1:5">
      <c r="A60" s="183"/>
      <c r="B60" s="114"/>
      <c r="C60" s="196"/>
      <c r="D60" s="115"/>
      <c r="E60" s="17"/>
    </row>
    <row r="61" spans="1:5">
      <c r="A61" s="183"/>
      <c r="B61" s="17"/>
      <c r="C61" s="196"/>
      <c r="D61" s="115"/>
      <c r="E61" s="17"/>
    </row>
    <row r="62" spans="1:5">
      <c r="A62" s="183"/>
      <c r="B62" s="182"/>
      <c r="C62" s="31"/>
      <c r="D62" s="183"/>
      <c r="E62" s="17"/>
    </row>
    <row r="63" spans="1:5" ht="29.25">
      <c r="A63" s="183" t="str">
        <f>malumot!A168</f>
        <v>Monitoring bo’limi boshlig’i</v>
      </c>
      <c r="D63" s="31" t="str">
        <f>malumot!B168</f>
        <v>J.Karimov</v>
      </c>
    </row>
    <row r="64" spans="1:5">
      <c r="A64" s="183"/>
      <c r="D64" s="31"/>
    </row>
    <row r="65" spans="1:4">
      <c r="A65" s="183"/>
      <c r="D65" s="31"/>
    </row>
    <row r="66" spans="1:4" ht="35.25" customHeight="1">
      <c r="A66" s="183"/>
      <c r="D66" s="31"/>
    </row>
    <row r="67" spans="1:4">
      <c r="A67" s="115" t="s">
        <v>410</v>
      </c>
      <c r="D67" s="31" t="s">
        <v>393</v>
      </c>
    </row>
  </sheetData>
  <mergeCells count="49">
    <mergeCell ref="A6:E6"/>
    <mergeCell ref="A1:E1"/>
    <mergeCell ref="A2:E2"/>
    <mergeCell ref="A3:E3"/>
    <mergeCell ref="A4:E4"/>
    <mergeCell ref="A5:E5"/>
    <mergeCell ref="A7:E7"/>
    <mergeCell ref="A8:E8"/>
    <mergeCell ref="A9:E9"/>
    <mergeCell ref="A26:E26"/>
    <mergeCell ref="A10:E10"/>
    <mergeCell ref="A11:E11"/>
    <mergeCell ref="A12:E12"/>
    <mergeCell ref="A13:E13"/>
    <mergeCell ref="A23:E23"/>
    <mergeCell ref="A22:E22"/>
    <mergeCell ref="A21:E21"/>
    <mergeCell ref="A32:E32"/>
    <mergeCell ref="A14:E14"/>
    <mergeCell ref="A15:E15"/>
    <mergeCell ref="A16:E16"/>
    <mergeCell ref="A17:E17"/>
    <mergeCell ref="A18:E18"/>
    <mergeCell ref="A27:E27"/>
    <mergeCell ref="A19:E19"/>
    <mergeCell ref="A20:E20"/>
    <mergeCell ref="A24:E24"/>
    <mergeCell ref="A25:E25"/>
    <mergeCell ref="A28:E28"/>
    <mergeCell ref="A29:E29"/>
    <mergeCell ref="A33:E33"/>
    <mergeCell ref="A34:E34"/>
    <mergeCell ref="A35:E35"/>
    <mergeCell ref="A36:E36"/>
    <mergeCell ref="A37:E37"/>
    <mergeCell ref="B53:D53"/>
    <mergeCell ref="A51:E51"/>
    <mergeCell ref="A38:E38"/>
    <mergeCell ref="A39:E39"/>
    <mergeCell ref="A40:E40"/>
    <mergeCell ref="A41:E41"/>
    <mergeCell ref="A42:E42"/>
    <mergeCell ref="A43:E43"/>
    <mergeCell ref="A44:E44"/>
    <mergeCell ref="A45:E45"/>
    <mergeCell ref="A46:E46"/>
    <mergeCell ref="A47:E47"/>
    <mergeCell ref="A48:E48"/>
    <mergeCell ref="A50:E50"/>
  </mergeCells>
  <pageMargins left="0.7" right="0.7" top="0.75" bottom="0.75" header="0.3" footer="0.3"/>
  <pageSetup paperSize="9" scale="84" orientation="portrait" r:id="rId1"/>
  <rowBreaks count="1" manualBreakCount="1">
    <brk id="36"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Лист12">
    <tabColor rgb="FF00B050"/>
  </sheetPr>
  <dimension ref="A1:P65"/>
  <sheetViews>
    <sheetView view="pageBreakPreview" topLeftCell="A22" zoomScaleNormal="100" zoomScaleSheetLayoutView="100" workbookViewId="0">
      <selection activeCell="A44" sqref="A41:XFD44"/>
    </sheetView>
  </sheetViews>
  <sheetFormatPr defaultColWidth="9.140625" defaultRowHeight="15" outlineLevelCol="1"/>
  <cols>
    <col min="1" max="1" width="9.140625" style="10"/>
    <col min="2" max="2" width="13.7109375" style="10" customWidth="1"/>
    <col min="3" max="3" width="20.140625" style="10" customWidth="1"/>
    <col min="4" max="4" width="20.28515625" style="10" customWidth="1"/>
    <col min="5" max="5" width="19.5703125" style="10" customWidth="1"/>
    <col min="6" max="6" width="18.28515625" style="10" customWidth="1"/>
    <col min="7" max="7" width="10.140625" style="10" customWidth="1" outlineLevel="1"/>
    <col min="8" max="8" width="19.7109375" style="10" customWidth="1"/>
    <col min="9" max="10" width="9.140625" style="10" customWidth="1"/>
    <col min="11" max="16384" width="9.140625" style="10"/>
  </cols>
  <sheetData>
    <row r="1" spans="1:16" ht="9" customHeight="1"/>
    <row r="2" spans="1:16" ht="6" customHeight="1">
      <c r="A2" s="31"/>
      <c r="B2" s="31"/>
      <c r="C2" s="31"/>
      <c r="D2" s="31"/>
      <c r="E2" s="292"/>
      <c r="F2" s="292"/>
      <c r="G2" s="15"/>
    </row>
    <row r="3" spans="1:16" ht="77.25" customHeight="1">
      <c r="A3" s="31"/>
      <c r="B3" s="31"/>
      <c r="C3" s="31"/>
      <c r="D3" s="31"/>
      <c r="E3" s="305" t="str">
        <f>""&amp;malumot!B74&amp;" 
"&amp;malumot!B65&amp;" shartnomasiga 
1 sonli ilova"</f>
        <v>1 aprel 2025 y.dan № 687-BR 
mikroqarz shartnomasiga 
1 sonli ilova</v>
      </c>
      <c r="F3" s="305"/>
      <c r="G3" s="15"/>
    </row>
    <row r="4" spans="1:16" ht="6.75" customHeight="1">
      <c r="A4" s="31"/>
      <c r="B4" s="31"/>
      <c r="C4" s="31"/>
      <c r="D4" s="31"/>
      <c r="E4" s="31"/>
      <c r="F4" s="31"/>
    </row>
    <row r="5" spans="1:16">
      <c r="A5" s="293" t="s">
        <v>262</v>
      </c>
      <c r="B5" s="293"/>
      <c r="C5" s="293"/>
      <c r="D5" s="293"/>
      <c r="E5" s="293"/>
      <c r="F5" s="293"/>
    </row>
    <row r="6" spans="1:16" ht="7.5" customHeight="1"/>
    <row r="7" spans="1:16" ht="15" customHeight="1">
      <c r="A7" s="294" t="s">
        <v>14</v>
      </c>
      <c r="B7" s="295" t="s">
        <v>263</v>
      </c>
      <c r="C7" s="295" t="s">
        <v>264</v>
      </c>
      <c r="D7" s="296" t="s">
        <v>265</v>
      </c>
      <c r="E7" s="296"/>
      <c r="F7" s="296"/>
    </row>
    <row r="8" spans="1:16" s="11" customFormat="1">
      <c r="A8" s="294"/>
      <c r="B8" s="295"/>
      <c r="C8" s="295"/>
      <c r="D8" s="12" t="s">
        <v>266</v>
      </c>
      <c r="E8" s="12" t="s">
        <v>267</v>
      </c>
      <c r="F8" s="12" t="s">
        <v>268</v>
      </c>
    </row>
    <row r="9" spans="1:16">
      <c r="A9" s="13">
        <v>1</v>
      </c>
      <c r="B9" s="27">
        <f>'График аннуитет.'!B8</f>
        <v>45778</v>
      </c>
      <c r="C9" s="28">
        <f>IF(malumot!$B$77=malumot!$C$77,'График дифференц'!C8,IF(malumot!$B$77=malumot!$D$77,'График аннуитет.'!C8))</f>
        <v>26000000</v>
      </c>
      <c r="D9" s="28">
        <f>IF(malumot!$B$77=malumot!$C$77,'График дифференц'!D8,IF(malumot!$B$77=malumot!$D$77,'График аннуитет.'!D8))</f>
        <v>812500</v>
      </c>
      <c r="E9" s="28">
        <f>IF(malumot!$B$77=malumot!$C$77,'График дифференц'!E8,IF(malumot!$B$77=malumot!$D$77,'График аннуитет.'!E8))</f>
        <v>1282191.9000000001</v>
      </c>
      <c r="F9" s="28">
        <f>IF(malumot!$B$77=malumot!$C$77,'График дифференц'!F8,IF(malumot!$B$77=malumot!$D$77,'График аннуитет.'!F8))</f>
        <v>2094691.9000000001</v>
      </c>
    </row>
    <row r="10" spans="1:16">
      <c r="A10" s="13">
        <v>2</v>
      </c>
      <c r="B10" s="27">
        <f>'График аннуитет.'!B9</f>
        <v>45810</v>
      </c>
      <c r="C10" s="28">
        <f>IF(malumot!$B$77=malumot!$C$77,'График дифференц'!C9,IF(malumot!$B$77=malumot!$D$77,'График аннуитет.'!C9))</f>
        <v>25187500</v>
      </c>
      <c r="D10" s="28">
        <f>IF(malumot!$B$77=malumot!$C$77,'График дифференц'!D9,IF(malumot!$B$77=malumot!$D$77,'График аннуитет.'!D9))</f>
        <v>812500</v>
      </c>
      <c r="E10" s="28">
        <f>IF(malumot!$B$77=malumot!$C$77,'График дифференц'!E9,IF(malumot!$B$77=malumot!$D$77,'График аннуитет.'!E9))</f>
        <v>1324931.52</v>
      </c>
      <c r="F10" s="28">
        <f>IF(malumot!$B$77=malumot!$C$77,'График дифференц'!F9,IF(malumot!$B$77=malumot!$D$77,'График аннуитет.'!F9))</f>
        <v>2137431.52</v>
      </c>
    </row>
    <row r="11" spans="1:16">
      <c r="A11" s="13">
        <v>3</v>
      </c>
      <c r="B11" s="27">
        <f>'График аннуитет.'!B10</f>
        <v>45839</v>
      </c>
      <c r="C11" s="28">
        <f>IF(malumot!$B$77=malumot!$C$77,'График дифференц'!C10,IF(malumot!$B$77=malumot!$D$77,'График аннуитет.'!C10))</f>
        <v>24375000</v>
      </c>
      <c r="D11" s="28">
        <f>IF(malumot!$B$77=malumot!$C$77,'График дифференц'!D10,IF(malumot!$B$77=malumot!$D$77,'График аннуитет.'!D10))</f>
        <v>812500</v>
      </c>
      <c r="E11" s="28">
        <f>IF(malumot!$B$77=malumot!$C$77,'График дифференц'!E10,IF(malumot!$B$77=malumot!$D$77,'График аннуитет.'!E10))</f>
        <v>1161986.21</v>
      </c>
      <c r="F11" s="28">
        <f>IF(malumot!$B$77=malumot!$C$77,'График дифференц'!F10,IF(malumot!$B$77=malumot!$D$77,'График аннуитет.'!F10))</f>
        <v>1974486.21</v>
      </c>
    </row>
    <row r="12" spans="1:16">
      <c r="A12" s="13">
        <v>4</v>
      </c>
      <c r="B12" s="27">
        <f>'График аннуитет.'!B11</f>
        <v>45870</v>
      </c>
      <c r="C12" s="28">
        <f>IF(malumot!$B$77=malumot!$C$77,'График дифференц'!C11,IF(malumot!$B$77=malumot!$D$77,'График аннуитет.'!C11))</f>
        <v>23562500</v>
      </c>
      <c r="D12" s="28">
        <f>IF(malumot!$B$77=malumot!$C$77,'График дифференц'!D11,IF(malumot!$B$77=malumot!$D$77,'График аннуитет.'!D11))</f>
        <v>812500</v>
      </c>
      <c r="E12" s="28">
        <f>IF(malumot!$B$77=malumot!$C$77,'График дифференц'!E11,IF(malumot!$B$77=malumot!$D$77,'График аннуитет.'!E11))</f>
        <v>1200719.28</v>
      </c>
      <c r="F12" s="28">
        <f>IF(malumot!$B$77=malumot!$C$77,'График дифференц'!F11,IF(malumot!$B$77=malumot!$D$77,'График аннуитет.'!F11))</f>
        <v>2013219.28</v>
      </c>
      <c r="H12" s="307" t="s">
        <v>371</v>
      </c>
      <c r="I12" s="307"/>
      <c r="J12" s="307"/>
      <c r="K12" s="307"/>
      <c r="L12" s="307"/>
      <c r="M12" s="307"/>
      <c r="N12" s="307"/>
      <c r="O12" s="307"/>
      <c r="P12" s="307"/>
    </row>
    <row r="13" spans="1:16">
      <c r="A13" s="13">
        <v>5</v>
      </c>
      <c r="B13" s="27">
        <f>'График аннуитет.'!B12</f>
        <v>45901</v>
      </c>
      <c r="C13" s="28">
        <f>IF(malumot!$B$77=malumot!$C$77,'График дифференц'!C12,IF(malumot!$B$77=malumot!$D$77,'График аннуитет.'!C12))</f>
        <v>22750000</v>
      </c>
      <c r="D13" s="28">
        <f>IF(malumot!$B$77=malumot!$C$77,'График дифференц'!D12,IF(malumot!$B$77=malumot!$D$77,'График аннуитет.'!D12))</f>
        <v>812500</v>
      </c>
      <c r="E13" s="28">
        <f>IF(malumot!$B$77=malumot!$C$77,'График дифференц'!E12,IF(malumot!$B$77=malumot!$D$77,'График аннуитет.'!E12))</f>
        <v>1159315.06</v>
      </c>
      <c r="F13" s="28">
        <f>IF(malumot!$B$77=malumot!$C$77,'График дифференц'!F12,IF(malumot!$B$77=malumot!$D$77,'График аннуитет.'!F12))</f>
        <v>1971815.06</v>
      </c>
      <c r="H13" s="307"/>
      <c r="I13" s="307"/>
      <c r="J13" s="307"/>
      <c r="K13" s="307"/>
      <c r="L13" s="307"/>
      <c r="M13" s="307"/>
      <c r="N13" s="307"/>
      <c r="O13" s="307"/>
      <c r="P13" s="307"/>
    </row>
    <row r="14" spans="1:16">
      <c r="A14" s="13">
        <v>6</v>
      </c>
      <c r="B14" s="27">
        <f>'График аннуитет.'!B13</f>
        <v>45931</v>
      </c>
      <c r="C14" s="28">
        <f>IF(malumot!$B$77=malumot!$C$77,'График дифференц'!C13,IF(malumot!$B$77=malumot!$D$77,'График аннуитет.'!C13))</f>
        <v>21937500</v>
      </c>
      <c r="D14" s="28">
        <f>IF(malumot!$B$77=malumot!$C$77,'График дифференц'!D13,IF(malumot!$B$77=malumot!$D$77,'График аннуитет.'!D13))</f>
        <v>812500</v>
      </c>
      <c r="E14" s="28">
        <f>IF(malumot!$B$77=malumot!$C$77,'График дифференц'!E13,IF(malumot!$B$77=malumot!$D$77,'График аннуитет.'!E13))</f>
        <v>1081849.2</v>
      </c>
      <c r="F14" s="28">
        <f>IF(malumot!$B$77=malumot!$C$77,'График дифференц'!F13,IF(malumot!$B$77=malumot!$D$77,'График аннуитет.'!F13))</f>
        <v>1894349.2</v>
      </c>
      <c r="H14" s="307"/>
      <c r="I14" s="307"/>
      <c r="J14" s="307"/>
      <c r="K14" s="307"/>
      <c r="L14" s="307"/>
      <c r="M14" s="307"/>
      <c r="N14" s="307"/>
      <c r="O14" s="307"/>
      <c r="P14" s="307"/>
    </row>
    <row r="15" spans="1:16">
      <c r="A15" s="13">
        <v>7</v>
      </c>
      <c r="B15" s="27">
        <f>'График аннуитет.'!B14</f>
        <v>45964</v>
      </c>
      <c r="C15" s="28">
        <f>IF(malumot!$B$77=malumot!$C$77,'График дифференц'!C14,IF(malumot!$B$77=malumot!$D$77,'График аннуитет.'!C14))</f>
        <v>21125000</v>
      </c>
      <c r="D15" s="28">
        <f>IF(malumot!$B$77=malumot!$C$77,'График дифференц'!D14,IF(malumot!$B$77=malumot!$D$77,'График аннуитет.'!D14))</f>
        <v>812500</v>
      </c>
      <c r="E15" s="28">
        <f>IF(malumot!$B$77=malumot!$C$77,'График дифференц'!E14,IF(malumot!$B$77=malumot!$D$77,'График аннуитет.'!E14))</f>
        <v>1145958.99</v>
      </c>
      <c r="F15" s="28">
        <f>IF(malumot!$B$77=malumot!$C$77,'График дифференц'!F14,IF(malumot!$B$77=malumot!$D$77,'График аннуитет.'!F14))</f>
        <v>1958458.99</v>
      </c>
      <c r="H15" s="307"/>
      <c r="I15" s="307"/>
      <c r="J15" s="307"/>
      <c r="K15" s="307"/>
      <c r="L15" s="307"/>
      <c r="M15" s="307"/>
      <c r="N15" s="307"/>
      <c r="O15" s="307"/>
      <c r="P15" s="307"/>
    </row>
    <row r="16" spans="1:16">
      <c r="A16" s="13">
        <v>8</v>
      </c>
      <c r="B16" s="27">
        <f>'График аннуитет.'!B15</f>
        <v>45992</v>
      </c>
      <c r="C16" s="28">
        <f>IF(malumot!$B$77=malumot!$C$77,'График дифференц'!C15,IF(malumot!$B$77=malumot!$D$77,'График аннуитет.'!C15))</f>
        <v>20312500</v>
      </c>
      <c r="D16" s="28">
        <f>IF(malumot!$B$77=malumot!$C$77,'График дифференц'!D15,IF(malumot!$B$77=malumot!$D$77,'График аннуитет.'!D15))</f>
        <v>812500</v>
      </c>
      <c r="E16" s="28">
        <f>IF(malumot!$B$77=malumot!$C$77,'График дифференц'!E15,IF(malumot!$B$77=malumot!$D$77,'График аннуитет.'!E15))</f>
        <v>934931.4800000001</v>
      </c>
      <c r="F16" s="28">
        <f>IF(malumot!$B$77=malumot!$C$77,'График дифференц'!F15,IF(malumot!$B$77=malumot!$D$77,'График аннуитет.'!F15))</f>
        <v>1747431.48</v>
      </c>
      <c r="H16" s="307"/>
      <c r="I16" s="307"/>
      <c r="J16" s="307"/>
      <c r="K16" s="307"/>
      <c r="L16" s="307"/>
      <c r="M16" s="307"/>
      <c r="N16" s="307"/>
      <c r="O16" s="307"/>
      <c r="P16" s="307"/>
    </row>
    <row r="17" spans="1:16">
      <c r="A17" s="13">
        <v>9</v>
      </c>
      <c r="B17" s="27">
        <f>'График аннуитет.'!B16</f>
        <v>46023</v>
      </c>
      <c r="C17" s="28">
        <f>IF(malumot!$B$77=malumot!$C$77,'График дифференц'!C16,IF(malumot!$B$77=malumot!$D$77,'График аннуитет.'!C16))</f>
        <v>19500000</v>
      </c>
      <c r="D17" s="28">
        <f>IF(malumot!$B$77=malumot!$C$77,'График дифференц'!D16,IF(malumot!$B$77=malumot!$D$77,'График аннуитет.'!D16))</f>
        <v>812500</v>
      </c>
      <c r="E17" s="28">
        <f>IF(malumot!$B$77=malumot!$C$77,'График дифференц'!E16,IF(malumot!$B$77=malumot!$D$77,'График аннуитет.'!E16))</f>
        <v>993698.49</v>
      </c>
      <c r="F17" s="28">
        <f>IF(malumot!$B$77=malumot!$C$77,'График дифференц'!F16,IF(malumot!$B$77=malumot!$D$77,'График аннуитет.'!F16))</f>
        <v>1806198.49</v>
      </c>
      <c r="H17" s="307"/>
      <c r="I17" s="307"/>
      <c r="J17" s="307"/>
      <c r="K17" s="307"/>
      <c r="L17" s="307"/>
      <c r="M17" s="307"/>
      <c r="N17" s="307"/>
      <c r="O17" s="307"/>
      <c r="P17" s="307"/>
    </row>
    <row r="18" spans="1:16">
      <c r="A18" s="13">
        <v>10</v>
      </c>
      <c r="B18" s="27">
        <f>'График аннуитет.'!B17</f>
        <v>46055</v>
      </c>
      <c r="C18" s="28">
        <f>IF(malumot!$B$77=malumot!$C$77,'График дифференц'!C17,IF(malumot!$B$77=malumot!$D$77,'График аннуитет.'!C17))</f>
        <v>18687500</v>
      </c>
      <c r="D18" s="28">
        <f>IF(malumot!$B$77=malumot!$C$77,'График дифференц'!D17,IF(malumot!$B$77=malumot!$D$77,'График аннуитет.'!D17))</f>
        <v>812500</v>
      </c>
      <c r="E18" s="28">
        <f>IF(malumot!$B$77=malumot!$C$77,'График дифференц'!E17,IF(malumot!$B$77=malumot!$D$77,'График аннуитет.'!E17))</f>
        <v>983013.76</v>
      </c>
      <c r="F18" s="28">
        <f>IF(malumot!$B$77=malumot!$C$77,'График дифференц'!F17,IF(malumot!$B$77=malumot!$D$77,'График аннуитет.'!F17))</f>
        <v>1795513.76</v>
      </c>
      <c r="H18" s="307"/>
      <c r="I18" s="307"/>
      <c r="J18" s="307"/>
      <c r="K18" s="307"/>
      <c r="L18" s="307"/>
      <c r="M18" s="307"/>
      <c r="N18" s="307"/>
      <c r="O18" s="307"/>
      <c r="P18" s="307"/>
    </row>
    <row r="19" spans="1:16">
      <c r="A19" s="13">
        <v>11</v>
      </c>
      <c r="B19" s="27">
        <f>'График аннуитет.'!B18</f>
        <v>46083</v>
      </c>
      <c r="C19" s="28">
        <f>IF(malumot!$B$77=malumot!$C$77,'График дифференц'!C18,IF(malumot!$B$77=malumot!$D$77,'График аннуитет.'!C18))</f>
        <v>17875000</v>
      </c>
      <c r="D19" s="28">
        <f>IF(malumot!$B$77=malumot!$C$77,'График дифференц'!D18,IF(malumot!$B$77=malumot!$D$77,'График аннуитет.'!D18))</f>
        <v>812500</v>
      </c>
      <c r="E19" s="28">
        <f>IF(malumot!$B$77=malumot!$C$77,'График дифференц'!E18,IF(malumot!$B$77=malumot!$D$77,'График аннуитет.'!E18))</f>
        <v>822739.68</v>
      </c>
      <c r="F19" s="28">
        <f>IF(malumot!$B$77=malumot!$C$77,'График дифференц'!F18,IF(malumot!$B$77=malumot!$D$77,'График аннуитет.'!F18))</f>
        <v>1635239.6800000002</v>
      </c>
      <c r="H19" s="307"/>
      <c r="I19" s="307"/>
      <c r="J19" s="307"/>
      <c r="K19" s="307"/>
      <c r="L19" s="307"/>
      <c r="M19" s="307"/>
      <c r="N19" s="307"/>
      <c r="O19" s="307"/>
      <c r="P19" s="307"/>
    </row>
    <row r="20" spans="1:16">
      <c r="A20" s="13">
        <v>12</v>
      </c>
      <c r="B20" s="27">
        <f>'График аннуитет.'!B19</f>
        <v>46113</v>
      </c>
      <c r="C20" s="28">
        <f>IF(malumot!$B$77=malumot!$C$77,'График дифференц'!C19,IF(malumot!$B$77=malumot!$D$77,'График аннуитет.'!C19))</f>
        <v>17062500</v>
      </c>
      <c r="D20" s="28">
        <f>IF(malumot!$B$77=malumot!$C$77,'График дифференц'!D19,IF(malumot!$B$77=malumot!$D$77,'График аннуитет.'!D19))</f>
        <v>812500</v>
      </c>
      <c r="E20" s="28">
        <f>IF(malumot!$B$77=malumot!$C$77,'График дифференц'!E19,IF(malumot!$B$77=malumot!$D$77,'График аннуитет.'!E19))</f>
        <v>841438.5</v>
      </c>
      <c r="F20" s="28">
        <f>IF(malumot!$B$77=malumot!$C$77,'График дифференц'!F19,IF(malumot!$B$77=malumot!$D$77,'График аннуитет.'!F19))</f>
        <v>1653938.5</v>
      </c>
      <c r="H20" s="307"/>
      <c r="I20" s="307"/>
      <c r="J20" s="307"/>
      <c r="K20" s="307"/>
      <c r="L20" s="307"/>
      <c r="M20" s="307"/>
      <c r="N20" s="307"/>
      <c r="O20" s="307"/>
      <c r="P20" s="307"/>
    </row>
    <row r="21" spans="1:16">
      <c r="A21" s="13">
        <v>13</v>
      </c>
      <c r="B21" s="27">
        <f>'График аннуитет.'!B20</f>
        <v>46143</v>
      </c>
      <c r="C21" s="28">
        <f>IF(malumot!$B$77=malumot!$C$77,'График дифференц'!C20,IF(malumot!$B$77=malumot!$D$77,'График аннуитет.'!C20))</f>
        <v>16250000</v>
      </c>
      <c r="D21" s="28">
        <f>IF(malumot!$B$77=malumot!$C$77,'График дифференц'!D20,IF(malumot!$B$77=malumot!$D$77,'График аннуитет.'!D20))</f>
        <v>812500</v>
      </c>
      <c r="E21" s="28">
        <f>IF(malumot!$B$77=malumot!$C$77,'График дифференц'!E20,IF(malumot!$B$77=malumot!$D$77,'График аннуитет.'!E20))</f>
        <v>801369.9</v>
      </c>
      <c r="F21" s="28">
        <f>IF(malumot!$B$77=malumot!$C$77,'График дифференц'!F20,IF(malumot!$B$77=malumot!$D$77,'График аннуитет.'!F20))</f>
        <v>1613869.9</v>
      </c>
      <c r="H21" s="307"/>
      <c r="I21" s="307"/>
      <c r="J21" s="307"/>
      <c r="K21" s="307"/>
      <c r="L21" s="307"/>
      <c r="M21" s="307"/>
      <c r="N21" s="307"/>
      <c r="O21" s="307"/>
      <c r="P21" s="307"/>
    </row>
    <row r="22" spans="1:16">
      <c r="A22" s="13">
        <v>14</v>
      </c>
      <c r="B22" s="27">
        <f>'График аннуитет.'!B21</f>
        <v>46174</v>
      </c>
      <c r="C22" s="28">
        <f>IF(malumot!$B$77=malumot!$C$77,'График дифференц'!C21,IF(malumot!$B$77=malumot!$D$77,'График аннуитет.'!C21))</f>
        <v>15437500</v>
      </c>
      <c r="D22" s="28">
        <f>IF(malumot!$B$77=malumot!$C$77,'График дифференц'!D21,IF(malumot!$B$77=malumot!$D$77,'График аннуитет.'!D21))</f>
        <v>812500</v>
      </c>
      <c r="E22" s="28">
        <f>IF(malumot!$B$77=malumot!$C$77,'График дифференц'!E21,IF(malumot!$B$77=malumot!$D$77,'График аннуитет.'!E21))</f>
        <v>786678.01</v>
      </c>
      <c r="F22" s="28">
        <f>IF(malumot!$B$77=malumot!$C$77,'График дифференц'!F21,IF(malumot!$B$77=malumot!$D$77,'График аннуитет.'!F21))</f>
        <v>1599178.01</v>
      </c>
      <c r="H22" s="307"/>
      <c r="I22" s="307"/>
      <c r="J22" s="307"/>
      <c r="K22" s="307"/>
      <c r="L22" s="307"/>
      <c r="M22" s="307"/>
      <c r="N22" s="307"/>
      <c r="O22" s="307"/>
      <c r="P22" s="307"/>
    </row>
    <row r="23" spans="1:16">
      <c r="A23" s="13">
        <v>15</v>
      </c>
      <c r="B23" s="27">
        <f>'График аннуитет.'!B22</f>
        <v>46204</v>
      </c>
      <c r="C23" s="28">
        <f>IF(malumot!$B$77=malumot!$C$77,'График дифференц'!C22,IF(malumot!$B$77=malumot!$D$77,'График аннуитет.'!C22))</f>
        <v>14625000</v>
      </c>
      <c r="D23" s="28">
        <f>IF(malumot!$B$77=malumot!$C$77,'График дифференц'!D22,IF(malumot!$B$77=malumot!$D$77,'График аннуитет.'!D22))</f>
        <v>812500</v>
      </c>
      <c r="E23" s="28">
        <f>IF(malumot!$B$77=malumot!$C$77,'График дифференц'!E22,IF(malumot!$B$77=malumot!$D$77,'График аннуитет.'!E22))</f>
        <v>721233</v>
      </c>
      <c r="F23" s="28">
        <f>IF(malumot!$B$77=malumot!$C$77,'График дифференц'!F22,IF(malumot!$B$77=malumot!$D$77,'График аннуитет.'!F22))</f>
        <v>1533733</v>
      </c>
      <c r="H23" s="307"/>
      <c r="I23" s="307"/>
      <c r="J23" s="307"/>
      <c r="K23" s="307"/>
      <c r="L23" s="307"/>
      <c r="M23" s="307"/>
      <c r="N23" s="307"/>
      <c r="O23" s="307"/>
      <c r="P23" s="307"/>
    </row>
    <row r="24" spans="1:16">
      <c r="A24" s="13">
        <v>16</v>
      </c>
      <c r="B24" s="27">
        <f>'График аннуитет.'!B23</f>
        <v>46237</v>
      </c>
      <c r="C24" s="28">
        <f>IF(malumot!$B$77=malumot!$C$77,'График дифференц'!C23,IF(malumot!$B$77=malumot!$D$77,'График аннуитет.'!C23))</f>
        <v>13812500</v>
      </c>
      <c r="D24" s="28">
        <f>IF(malumot!$B$77=malumot!$C$77,'График дифференц'!D23,IF(malumot!$B$77=malumot!$D$77,'График аннуитет.'!D23))</f>
        <v>812500</v>
      </c>
      <c r="E24" s="28">
        <f>IF(malumot!$B$77=malumot!$C$77,'График дифференц'!E23,IF(malumot!$B$77=malumot!$D$77,'График аннуитет.'!E23))</f>
        <v>749280.84</v>
      </c>
      <c r="F24" s="28">
        <f>IF(malumot!$B$77=malumot!$C$77,'График дифференц'!F23,IF(malumot!$B$77=malumot!$D$77,'График аннуитет.'!F23))</f>
        <v>1561780.8399999999</v>
      </c>
      <c r="H24" s="307"/>
      <c r="I24" s="307"/>
      <c r="J24" s="307"/>
      <c r="K24" s="307"/>
      <c r="L24" s="307"/>
      <c r="M24" s="307"/>
      <c r="N24" s="307"/>
      <c r="O24" s="307"/>
      <c r="P24" s="307"/>
    </row>
    <row r="25" spans="1:16" ht="16.5" customHeight="1">
      <c r="A25" s="13">
        <v>17</v>
      </c>
      <c r="B25" s="27">
        <f>'График аннуитет.'!B24</f>
        <v>46266</v>
      </c>
      <c r="C25" s="28">
        <f>IF(malumot!$B$77=malumot!$C$77,'График дифференц'!C24,IF(malumot!$B$77=malumot!$D$77,'График аннуитет.'!C24))</f>
        <v>13000000</v>
      </c>
      <c r="D25" s="28">
        <f>IF(malumot!$B$77=malumot!$C$77,'График дифференц'!D24,IF(malumot!$B$77=malumot!$D$77,'График аннуитет.'!D24))</f>
        <v>812500</v>
      </c>
      <c r="E25" s="28">
        <f>IF(malumot!$B$77=malumot!$C$77,'График дифференц'!E24,IF(malumot!$B$77=malumot!$D$77,'График аннуитет.'!E24))</f>
        <v>619725.94000000006</v>
      </c>
      <c r="F25" s="28">
        <f>IF(malumot!$B$77=malumot!$C$77,'График дифференц'!F24,IF(malumot!$B$77=malumot!$D$77,'График аннуитет.'!F24))</f>
        <v>1432225.94</v>
      </c>
    </row>
    <row r="26" spans="1:16">
      <c r="A26" s="13">
        <v>18</v>
      </c>
      <c r="B26" s="27">
        <f>'График аннуитет.'!B25</f>
        <v>46296</v>
      </c>
      <c r="C26" s="28">
        <f>IF(malumot!$B$77=malumot!$C$77,'График дифференц'!C25,IF(malumot!$B$77=malumot!$D$77,'График аннуитет.'!C25))</f>
        <v>12187500</v>
      </c>
      <c r="D26" s="28">
        <f>IF(malumot!$B$77=malumot!$C$77,'График дифференц'!D25,IF(malumot!$B$77=malumot!$D$77,'График аннуитет.'!D25))</f>
        <v>812500</v>
      </c>
      <c r="E26" s="28">
        <f>IF(malumot!$B$77=malumot!$C$77,'График дифференц'!E25,IF(malumot!$B$77=malumot!$D$77,'График аннуитет.'!E25))</f>
        <v>601027.5</v>
      </c>
      <c r="F26" s="28">
        <f>IF(malumot!$B$77=malumot!$C$77,'График дифференц'!F25,IF(malumot!$B$77=malumot!$D$77,'График аннуитет.'!F25))</f>
        <v>1413527.5</v>
      </c>
    </row>
    <row r="27" spans="1:16">
      <c r="A27" s="13">
        <f>1+A26</f>
        <v>19</v>
      </c>
      <c r="B27" s="27">
        <f>'График аннуитет.'!B26</f>
        <v>46328</v>
      </c>
      <c r="C27" s="28">
        <f>IF(malumot!$B$77=malumot!$C$77,'График дифференц'!C26,IF(malumot!$B$77=malumot!$D$77,'График аннуитет.'!C26))</f>
        <v>11375000</v>
      </c>
      <c r="D27" s="28">
        <f>IF(malumot!$B$77=malumot!$C$77,'График дифференц'!D26,IF(malumot!$B$77=malumot!$D$77,'График аннуитет.'!D26))</f>
        <v>812500</v>
      </c>
      <c r="E27" s="28">
        <f>IF(malumot!$B$77=malumot!$C$77,'График дифференц'!E26,IF(malumot!$B$77=malumot!$D$77,'График аннуитет.'!E26))</f>
        <v>598356.16</v>
      </c>
      <c r="F27" s="28">
        <f>IF(malumot!$B$77=malumot!$C$77,'График дифференц'!F26,IF(malumot!$B$77=malumot!$D$77,'График аннуитет.'!F26))</f>
        <v>1410856.1600000001</v>
      </c>
    </row>
    <row r="28" spans="1:16">
      <c r="A28" s="13">
        <f t="shared" ref="A28:A43" si="0">1+A27</f>
        <v>20</v>
      </c>
      <c r="B28" s="27">
        <f>'График аннуитет.'!B27</f>
        <v>46357</v>
      </c>
      <c r="C28" s="28">
        <f>IF(malumot!$B$77=malumot!$C$77,'График дифференц'!C27,IF(malumot!$B$77=malumot!$D$77,'График аннуитет.'!C27))</f>
        <v>10562500</v>
      </c>
      <c r="D28" s="28">
        <f>IF(malumot!$B$77=malumot!$C$77,'График дифференц'!D27,IF(malumot!$B$77=malumot!$D$77,'График аннуитет.'!D27))</f>
        <v>812500</v>
      </c>
      <c r="E28" s="28">
        <f>IF(malumot!$B$77=malumot!$C$77,'График дифференц'!E27,IF(malumot!$B$77=malumot!$D$77,'График аннуитет.'!E27))</f>
        <v>503527.29</v>
      </c>
      <c r="F28" s="28">
        <f>IF(malumot!$B$77=malumot!$C$77,'График дифференц'!F27,IF(malumot!$B$77=malumot!$D$77,'График аннуитет.'!F27))</f>
        <v>1316027.29</v>
      </c>
    </row>
    <row r="29" spans="1:16">
      <c r="A29" s="13">
        <f t="shared" si="0"/>
        <v>21</v>
      </c>
      <c r="B29" s="27">
        <f>'График аннуитет.'!B28</f>
        <v>46388</v>
      </c>
      <c r="C29" s="28">
        <f>IF(malumot!$B$77=malumot!$C$77,'График дифференц'!C28,IF(malumot!$B$77=malumot!$D$77,'График аннуитет.'!C28))</f>
        <v>9750000</v>
      </c>
      <c r="D29" s="28">
        <f>IF(malumot!$B$77=malumot!$C$77,'График дифференц'!D28,IF(malumot!$B$77=malumot!$D$77,'График аннуитет.'!D28))</f>
        <v>812500</v>
      </c>
      <c r="E29" s="28">
        <f>IF(malumot!$B$77=malumot!$C$77,'График дифференц'!E28,IF(malumot!$B$77=malumot!$D$77,'График аннуитет.'!E28))</f>
        <v>496849.39999999997</v>
      </c>
      <c r="F29" s="28">
        <f>IF(malumot!$B$77=malumot!$C$77,'График дифференц'!F28,IF(malumot!$B$77=malumot!$D$77,'График аннуитет.'!F28))</f>
        <v>1309349.3999999999</v>
      </c>
    </row>
    <row r="30" spans="1:16">
      <c r="A30" s="13">
        <f t="shared" si="0"/>
        <v>22</v>
      </c>
      <c r="B30" s="27">
        <f>'График аннуитет.'!B29</f>
        <v>46419</v>
      </c>
      <c r="C30" s="28">
        <f>IF(malumot!$B$77=malumot!$C$77,'График дифференц'!C29,IF(malumot!$B$77=malumot!$D$77,'График аннуитет.'!C29))</f>
        <v>8937500</v>
      </c>
      <c r="D30" s="28">
        <f>IF(malumot!$B$77=malumot!$C$77,'График дифференц'!D29,IF(malumot!$B$77=malumot!$D$77,'График аннуитет.'!D29))</f>
        <v>812500</v>
      </c>
      <c r="E30" s="28">
        <f>IF(malumot!$B$77=malumot!$C$77,'График дифференц'!E29,IF(malumot!$B$77=malumot!$D$77,'График аннуитет.'!E29))</f>
        <v>455445.18</v>
      </c>
      <c r="F30" s="28">
        <f>IF(malumot!$B$77=malumot!$C$77,'График дифференц'!F29,IF(malumot!$B$77=malumot!$D$77,'График аннуитет.'!F29))</f>
        <v>1267945.18</v>
      </c>
    </row>
    <row r="31" spans="1:16">
      <c r="A31" s="13">
        <f t="shared" si="0"/>
        <v>23</v>
      </c>
      <c r="B31" s="27">
        <f>'График аннуитет.'!B30</f>
        <v>46447</v>
      </c>
      <c r="C31" s="28">
        <f>IF(malumot!$B$77=malumot!$C$77,'График дифференц'!C30,IF(malumot!$B$77=malumot!$D$77,'График аннуитет.'!C30))</f>
        <v>8125000</v>
      </c>
      <c r="D31" s="28">
        <f>IF(malumot!$B$77=malumot!$C$77,'График дифференц'!D30,IF(malumot!$B$77=malumot!$D$77,'График аннуитет.'!D30))</f>
        <v>812500</v>
      </c>
      <c r="E31" s="28">
        <f>IF(malumot!$B$77=malumot!$C$77,'График дифференц'!E30,IF(malumot!$B$77=malumot!$D$77,'График аннуитет.'!E30))</f>
        <v>373972.47999999998</v>
      </c>
      <c r="F31" s="28">
        <f>IF(malumot!$B$77=malumot!$C$77,'График дифференц'!F30,IF(malumot!$B$77=malumot!$D$77,'График аннуитет.'!F30))</f>
        <v>1186472.48</v>
      </c>
    </row>
    <row r="32" spans="1:16">
      <c r="A32" s="13">
        <f t="shared" si="0"/>
        <v>24</v>
      </c>
      <c r="B32" s="27">
        <f>'График аннуитет.'!B31</f>
        <v>46478</v>
      </c>
      <c r="C32" s="28">
        <f>IF(malumot!$B$77=malumot!$C$77,'График дифференц'!C31,IF(malumot!$B$77=malumot!$D$77,'График аннуитет.'!C31))</f>
        <v>7312500</v>
      </c>
      <c r="D32" s="28">
        <f>IF(malumot!$B$77=malumot!$C$77,'График дифференц'!D31,IF(malumot!$B$77=malumot!$D$77,'График аннуитет.'!D31))</f>
        <v>812500</v>
      </c>
      <c r="E32" s="28">
        <f>IF(malumot!$B$77=malumot!$C$77,'График дифференц'!E31,IF(malumot!$B$77=malumot!$D$77,'График аннуитет.'!E31))</f>
        <v>372637.05</v>
      </c>
      <c r="F32" s="28">
        <f>IF(malumot!$B$77=malumot!$C$77,'График дифференц'!F31,IF(malumot!$B$77=malumot!$D$77,'График аннуитет.'!F31))</f>
        <v>1185137.05</v>
      </c>
    </row>
    <row r="33" spans="1:6">
      <c r="A33" s="13">
        <f t="shared" si="0"/>
        <v>25</v>
      </c>
      <c r="B33" s="27">
        <f>IF('График аннуитет.'!B32=FALSE,"",'График аннуитет.'!B32)</f>
        <v>46510</v>
      </c>
      <c r="C33" s="28">
        <f>IF(malumot!$B$77=malumot!$C$77,'График дифференц'!C32,IF(malumot!$B$77=malumot!$D$77,'График аннуитет.'!C32))</f>
        <v>6500000</v>
      </c>
      <c r="D33" s="28">
        <f>IF(malumot!$B$77=malumot!$C$77,'График дифференц'!D32,IF(malumot!$B$77=malumot!$D$77,'График аннуитет.'!D32))</f>
        <v>812500</v>
      </c>
      <c r="E33" s="28">
        <f>IF(malumot!$B$77=malumot!$C$77,'График дифференц'!E32,IF(malumot!$B$77=malumot!$D$77,'График аннуитет.'!E32))</f>
        <v>341917.76</v>
      </c>
      <c r="F33" s="28">
        <f>IF(malumot!$B$77=malumot!$C$77,'График дифференц'!F32,IF(malumot!$B$77=malumot!$D$77,'График аннуитет.'!F32))</f>
        <v>1154417.76</v>
      </c>
    </row>
    <row r="34" spans="1:6">
      <c r="A34" s="13">
        <f t="shared" si="0"/>
        <v>26</v>
      </c>
      <c r="B34" s="27">
        <f>IF('График аннуитет.'!B33=FALSE,"",'График аннуитет.'!B33)</f>
        <v>46539</v>
      </c>
      <c r="C34" s="28">
        <f>IF(malumot!$B$77=malumot!$C$77,'График дифференц'!C33,IF(malumot!$B$77=malumot!$D$77,'График аннуитет.'!C33))</f>
        <v>5687500</v>
      </c>
      <c r="D34" s="28">
        <f>IF(malumot!$B$77=malumot!$C$77,'График дифференц'!D33,IF(malumot!$B$77=malumot!$D$77,'График аннуитет.'!D33))</f>
        <v>812500</v>
      </c>
      <c r="E34" s="28">
        <f>IF(malumot!$B$77=malumot!$C$77,'График дифференц'!E33,IF(malumot!$B$77=malumot!$D$77,'График аннуитет.'!E33))</f>
        <v>271130.27999999997</v>
      </c>
      <c r="F34" s="28">
        <f>IF(malumot!$B$77=malumot!$C$77,'График дифференц'!F33,IF(malumot!$B$77=malumot!$D$77,'График аннуитет.'!F33))</f>
        <v>1083630.28</v>
      </c>
    </row>
    <row r="35" spans="1:6">
      <c r="A35" s="13">
        <f t="shared" si="0"/>
        <v>27</v>
      </c>
      <c r="B35" s="27">
        <f>IF('График аннуитет.'!B34=FALSE,"",'График аннуитет.'!B34)</f>
        <v>46569</v>
      </c>
      <c r="C35" s="28">
        <f>IF(malumot!$B$77=malumot!$C$77,'График дифференц'!C34,IF(malumot!$B$77=malumot!$D$77,'График аннуитет.'!C34))</f>
        <v>4875000</v>
      </c>
      <c r="D35" s="28">
        <f>IF(malumot!$B$77=malumot!$C$77,'График дифференц'!D34,IF(malumot!$B$77=malumot!$D$77,'График аннуитет.'!D34))</f>
        <v>812500</v>
      </c>
      <c r="E35" s="28">
        <f>IF(malumot!$B$77=malumot!$C$77,'График дифференц'!E34,IF(malumot!$B$77=malumot!$D$77,'График аннуитет.'!E34))</f>
        <v>240411</v>
      </c>
      <c r="F35" s="28">
        <f>IF(malumot!$B$77=malumot!$C$77,'График дифференц'!F34,IF(malumot!$B$77=malumot!$D$77,'График аннуитет.'!F34))</f>
        <v>1052911</v>
      </c>
    </row>
    <row r="36" spans="1:6">
      <c r="A36" s="13">
        <f t="shared" si="0"/>
        <v>28</v>
      </c>
      <c r="B36" s="27">
        <f>IF('График аннуитет.'!B35=FALSE,"",'График аннуитет.'!B35)</f>
        <v>46601</v>
      </c>
      <c r="C36" s="28">
        <f>IF(malumot!$B$77=malumot!$C$77,'График дифференц'!C35,IF(malumot!$B$77=malumot!$D$77,'График аннуитет.'!C35))</f>
        <v>4062500</v>
      </c>
      <c r="D36" s="28">
        <f>IF(malumot!$B$77=malumot!$C$77,'График дифференц'!D35,IF(malumot!$B$77=malumot!$D$77,'График аннуитет.'!D35))</f>
        <v>812500</v>
      </c>
      <c r="E36" s="28">
        <f>IF(malumot!$B$77=malumot!$C$77,'График дифференц'!E35,IF(malumot!$B$77=malumot!$D$77,'График аннуитет.'!E35))</f>
        <v>213698.56</v>
      </c>
      <c r="F36" s="28">
        <f>IF(malumot!$B$77=malumot!$C$77,'График дифференц'!F35,IF(malumot!$B$77=malumot!$D$77,'График аннуитет.'!F35))</f>
        <v>1026198.56</v>
      </c>
    </row>
    <row r="37" spans="1:6">
      <c r="A37" s="13">
        <f t="shared" si="0"/>
        <v>29</v>
      </c>
      <c r="B37" s="27">
        <f>IF('График аннуитет.'!B36=FALSE,"",'График аннуитет.'!B36)</f>
        <v>46631</v>
      </c>
      <c r="C37" s="28">
        <f>IF(malumot!$B$77=malumot!$C$77,'График дифференц'!C36,IF(malumot!$B$77=malumot!$D$77,'График аннуитет.'!C36))</f>
        <v>3250000</v>
      </c>
      <c r="D37" s="28">
        <f>IF(malumot!$B$77=malumot!$C$77,'График дифференц'!D36,IF(malumot!$B$77=malumot!$D$77,'График аннуитет.'!D36))</f>
        <v>812500</v>
      </c>
      <c r="E37" s="28">
        <f>IF(malumot!$B$77=malumot!$C$77,'График дифференц'!E36,IF(malumot!$B$77=malumot!$D$77,'График аннуитет.'!E36))</f>
        <v>160274.1</v>
      </c>
      <c r="F37" s="28">
        <f>IF(malumot!$B$77=malumot!$C$77,'График дифференц'!F36,IF(malumot!$B$77=malumot!$D$77,'График аннуитет.'!F36))</f>
        <v>972774.1</v>
      </c>
    </row>
    <row r="38" spans="1:6">
      <c r="A38" s="13">
        <f t="shared" si="0"/>
        <v>30</v>
      </c>
      <c r="B38" s="27">
        <f>IF('График аннуитет.'!B37=FALSE,"",'График аннуитет.'!B37)</f>
        <v>46661</v>
      </c>
      <c r="C38" s="28">
        <f>IF(malumot!$B$77=malumot!$C$77,'График дифференц'!C37,IF(malumot!$B$77=malumot!$D$77,'График аннуитет.'!C37))</f>
        <v>2437500</v>
      </c>
      <c r="D38" s="28">
        <f>IF(malumot!$B$77=malumot!$C$77,'График дифференц'!D37,IF(malumot!$B$77=malumot!$D$77,'График аннуитет.'!D37))</f>
        <v>812500</v>
      </c>
      <c r="E38" s="28">
        <f>IF(malumot!$B$77=malumot!$C$77,'График дифференц'!E37,IF(malumot!$B$77=malumot!$D$77,'График аннуитет.'!E37))</f>
        <v>120205.5</v>
      </c>
      <c r="F38" s="28">
        <f>IF(malumot!$B$77=malumot!$C$77,'График дифференц'!F37,IF(malumot!$B$77=malumot!$D$77,'График аннуитет.'!F37))</f>
        <v>932705.5</v>
      </c>
    </row>
    <row r="39" spans="1:6">
      <c r="A39" s="13">
        <f t="shared" si="0"/>
        <v>31</v>
      </c>
      <c r="B39" s="27">
        <f>IF('График аннуитет.'!B38=FALSE,"",'График аннуитет.'!B38)</f>
        <v>46692</v>
      </c>
      <c r="C39" s="28">
        <f>IF(malumot!$B$77=malumot!$C$77,'График дифференц'!C38,IF(malumot!$B$77=malumot!$D$77,'График аннуитет.'!C38))</f>
        <v>1625000</v>
      </c>
      <c r="D39" s="28">
        <f>IF(malumot!$B$77=malumot!$C$77,'График дифференц'!D38,IF(malumot!$B$77=malumot!$D$77,'График аннуитет.'!D38))</f>
        <v>812500</v>
      </c>
      <c r="E39" s="28">
        <f>IF(malumot!$B$77=malumot!$C$77,'График дифференц'!E38,IF(malumot!$B$77=malumot!$D$77,'График аннуитет.'!E38))</f>
        <v>82808.13</v>
      </c>
      <c r="F39" s="28">
        <f>IF(malumot!$B$77=malumot!$C$77,'График дифференц'!F38,IF(malumot!$B$77=malumot!$D$77,'График аннуитет.'!F38))</f>
        <v>895308.13</v>
      </c>
    </row>
    <row r="40" spans="1:6">
      <c r="A40" s="13">
        <f t="shared" si="0"/>
        <v>32</v>
      </c>
      <c r="B40" s="27">
        <f>IF('График аннуитет.'!B39=FALSE,"",'График аннуитет.'!B39)</f>
        <v>46722</v>
      </c>
      <c r="C40" s="28">
        <f>IF(malumot!$B$77=malumot!$C$77,'График дифференц'!C39,IF(malumot!$B$77=malumot!$D$77,'График аннуитет.'!C39))</f>
        <v>812500</v>
      </c>
      <c r="D40" s="28">
        <f>IF(malumot!$B$77=malumot!$C$77,'График дифференц'!D39,IF(malumot!$B$77=malumot!$D$77,'График аннуитет.'!D39))</f>
        <v>812500</v>
      </c>
      <c r="E40" s="28">
        <f>IF(malumot!$B$77=malumot!$C$77,'График дифференц'!E39,IF(malumot!$B$77=malumot!$D$77,'График аннуитет.'!E39))</f>
        <v>40068.6</v>
      </c>
      <c r="F40" s="28">
        <f>IF(malumot!$B$77=malumot!$C$77,'График дифференц'!F39,IF(malumot!$B$77=malumot!$D$77,'График аннуитет.'!F39))</f>
        <v>852568.6</v>
      </c>
    </row>
    <row r="41" spans="1:6" hidden="1">
      <c r="A41" s="13">
        <f t="shared" si="0"/>
        <v>33</v>
      </c>
      <c r="B41" s="27" t="str">
        <f>IF('График аннуитет.'!B40=FALSE,"",'График аннуитет.'!B40)</f>
        <v/>
      </c>
      <c r="C41" s="28">
        <f>IF(malumot!$B$77=malumot!$C$77,'График дифференц'!C40,IF(malumot!$B$77=malumot!$D$77,'График аннуитет.'!C40))</f>
        <v>0</v>
      </c>
      <c r="D41" s="28">
        <f>IF(malumot!$B$77=malumot!$C$77,'График дифференц'!D40,IF(malumot!$B$77=malumot!$D$77,'График аннуитет.'!D40))</f>
        <v>0</v>
      </c>
      <c r="E41" s="28">
        <f>IF(malumot!$B$77=malumot!$C$77,'График дифференц'!E40,IF(malumot!$B$77=malumot!$D$77,'График аннуитет.'!E40))</f>
        <v>0</v>
      </c>
      <c r="F41" s="28">
        <f>IF(malumot!$B$77=malumot!$C$77,'График дифференц'!F40,IF(malumot!$B$77=malumot!$D$77,'График аннуитет.'!F40))</f>
        <v>0</v>
      </c>
    </row>
    <row r="42" spans="1:6" hidden="1">
      <c r="A42" s="13">
        <f t="shared" si="0"/>
        <v>34</v>
      </c>
      <c r="B42" s="27" t="str">
        <f>IF('График аннуитет.'!B41=FALSE,"",'График аннуитет.'!B41)</f>
        <v/>
      </c>
      <c r="C42" s="28">
        <f>IF(malumot!$B$77=malumot!$C$77,'График дифференц'!C41,IF(malumot!$B$77=malumot!$D$77,'График аннуитет.'!C41))</f>
        <v>0</v>
      </c>
      <c r="D42" s="28">
        <f>IF(malumot!$B$77=malumot!$C$77,'График дифференц'!D41,IF(malumot!$B$77=malumot!$D$77,'График аннуитет.'!D41))</f>
        <v>0</v>
      </c>
      <c r="E42" s="28">
        <f>IF(malumot!$B$77=malumot!$C$77,'График дифференц'!E41,IF(malumot!$B$77=malumot!$D$77,'График аннуитет.'!E41))</f>
        <v>0</v>
      </c>
      <c r="F42" s="28">
        <f>IF(malumot!$B$77=malumot!$C$77,'График дифференц'!F41,IF(malumot!$B$77=malumot!$D$77,'График аннуитет.'!F41))</f>
        <v>0</v>
      </c>
    </row>
    <row r="43" spans="1:6" ht="13.5" hidden="1" customHeight="1">
      <c r="A43" s="13">
        <f t="shared" si="0"/>
        <v>35</v>
      </c>
      <c r="B43" s="27" t="str">
        <f>IF('График аннуитет.'!B42=FALSE,"",'График аннуитет.'!B42)</f>
        <v/>
      </c>
      <c r="C43" s="28">
        <f>IF(malumot!$B$77=malumot!$C$77,'График дифференц'!C42,IF(malumot!$B$77=malumot!$D$77,'График аннуитет.'!C42))</f>
        <v>0</v>
      </c>
      <c r="D43" s="28">
        <f>IF(malumot!$B$77=malumot!$C$77,'График дифференц'!D42,IF(malumot!$B$77=malumot!$D$77,'График аннуитет.'!D42))</f>
        <v>0</v>
      </c>
      <c r="E43" s="28">
        <f>IF(malumot!$B$77=malumot!$C$77,'График дифференц'!E42,IF(malumot!$B$77=malumot!$D$77,'График аннуитет.'!E42))</f>
        <v>0</v>
      </c>
      <c r="F43" s="28">
        <f>IF(malumot!$B$77=malumot!$C$77,'График дифференц'!F42,IF(malumot!$B$77=malumot!$D$77,'График аннуитет.'!F42))</f>
        <v>0</v>
      </c>
    </row>
    <row r="44" spans="1:6" ht="15.75" hidden="1" customHeight="1">
      <c r="A44" s="13">
        <f>1+A43</f>
        <v>36</v>
      </c>
      <c r="B44" s="27" t="str">
        <f>IF('График аннуитет.'!B43=FALSE,"",'График аннуитет.'!B43)</f>
        <v/>
      </c>
      <c r="C44" s="28">
        <f>IF(malumot!$B$77=malumot!$C$77,'График дифференц'!C43,IF(malumot!$B$77=malumot!$D$77,'График аннуитет.'!C43))</f>
        <v>0</v>
      </c>
      <c r="D44" s="28">
        <f>IF(malumot!$B$77=malumot!$C$77,'График дифференц'!D43,IF(malumot!$B$77=malumot!$D$77,'График аннуитет.'!D43))</f>
        <v>0</v>
      </c>
      <c r="E44" s="28">
        <f>IF(malumot!$B$77=malumot!$C$77,'График дифференц'!E43,IF(malumot!$B$77=malumot!$D$77,'График аннуитет.'!E43))</f>
        <v>0</v>
      </c>
      <c r="F44" s="28">
        <f>IF(malumot!$B$77=malumot!$C$77,'График дифференц'!F43,IF(malumot!$B$77=malumot!$D$77,'График аннуитет.'!F43))</f>
        <v>0</v>
      </c>
    </row>
    <row r="45" spans="1:6" ht="15" customHeight="1">
      <c r="A45" s="40"/>
      <c r="B45" s="41" t="s">
        <v>207</v>
      </c>
      <c r="C45" s="42"/>
      <c r="D45" s="42">
        <f>SUM(D9:D44)</f>
        <v>26000000</v>
      </c>
      <c r="E45" s="42">
        <f t="shared" ref="E45:F45" si="1">SUM(E9:E44)</f>
        <v>21483390.75</v>
      </c>
      <c r="F45" s="42">
        <f t="shared" si="1"/>
        <v>47483390.75</v>
      </c>
    </row>
    <row r="46" spans="1:6" ht="14.25" customHeight="1">
      <c r="B46" s="29"/>
      <c r="C46" s="30"/>
      <c r="D46" s="30"/>
      <c r="E46" s="30"/>
      <c r="F46" s="30"/>
    </row>
    <row r="47" spans="1:6" ht="47.25" customHeight="1">
      <c r="A47" s="271" t="str">
        <f>"*"&amp;malumot!C64&amp;" bo‘yicha to‘lovlar to‘lov jadvalida ko‘rsatilmagan sanalarda to‘langan taqdirda, to‘lov summasi mikroqarz shartnomasining 2.2.-bandiga muvofiq "&amp;malumot!B65&amp;" qoldig‘iga hisoblangan foizlar summasiga o‘zgartiriladi."</f>
        <v>*Mikroqarz bo‘yicha to‘lovlar to‘lov jadvalida ko‘rsatilmagan sanalarda to‘langan taqdirda, to‘lov summasi mikroqarz shartnomasining 2.2.-bandiga muvofiq mikroqarz qoldig‘iga hisoblangan foizlar summasiga o‘zgartiriladi.</v>
      </c>
      <c r="B47" s="271"/>
      <c r="C47" s="271"/>
      <c r="D47" s="271"/>
      <c r="E47" s="271"/>
      <c r="F47" s="271"/>
    </row>
    <row r="48" spans="1:6" ht="7.5" customHeight="1"/>
    <row r="49" spans="1:6" ht="15" customHeight="1">
      <c r="A49" s="298" t="s">
        <v>269</v>
      </c>
      <c r="B49" s="298"/>
      <c r="C49" s="298"/>
      <c r="D49" s="298" t="s">
        <v>276</v>
      </c>
      <c r="E49" s="298"/>
      <c r="F49" s="298"/>
    </row>
    <row r="50" spans="1:6" ht="11.25" customHeight="1">
      <c r="A50" s="299"/>
      <c r="B50" s="299"/>
      <c r="C50" s="299"/>
      <c r="D50" s="299"/>
      <c r="E50" s="299"/>
      <c r="F50" s="299"/>
    </row>
    <row r="51" spans="1:6" ht="30" customHeight="1">
      <c r="A51" s="270" t="str">
        <f>shartnoma!A116</f>
        <v>«CLEVER MIKROMOLIYA TASHKILOTI» MChJ</v>
      </c>
      <c r="B51" s="270"/>
      <c r="C51" s="270"/>
      <c r="D51" s="270" t="str">
        <f>shartnoma!B116</f>
        <v>XAYATOV OTABEK KURBANOVICH</v>
      </c>
      <c r="E51" s="270"/>
      <c r="F51" s="270"/>
    </row>
    <row r="52" spans="1:6" ht="39" customHeight="1">
      <c r="A52" s="297" t="str">
        <f>shartnoma!A117</f>
        <v>Manzil: Toshkent shahri, Olmazor tumani, Sagbon ko'chasi, 30 boshi berk, 6-uy</v>
      </c>
      <c r="B52" s="297"/>
      <c r="C52" s="297"/>
      <c r="D52" s="297" t="str">
        <f>shartnoma!B117</f>
        <v>Manzil: BUXORO VILOYATI KOGON TUMANI NIYOZ HOJI QISHLOG'I</v>
      </c>
      <c r="E52" s="297"/>
      <c r="F52" s="297"/>
    </row>
    <row r="53" spans="1:6" ht="15" customHeight="1">
      <c r="A53" s="297" t="str">
        <f>shartnoma!A118</f>
        <v>h/r: №20216000705068380001</v>
      </c>
      <c r="B53" s="297"/>
      <c r="C53" s="297"/>
      <c r="D53" s="297" t="str">
        <f>shartnoma!B119</f>
        <v>Pasport: AB 7858443, BUXORO VILOYATI KOGON TUMAN IIB tomonidan 06.10.2017 yilda berilgan</v>
      </c>
      <c r="E53" s="297"/>
      <c r="F53" s="297"/>
    </row>
    <row r="54" spans="1:6" ht="32.25" customHeight="1">
      <c r="A54" s="297" t="str">
        <f>shartnoma!A119</f>
        <v>MFO: №01042 в ATB “Kapitalbank” Sergeli filiali</v>
      </c>
      <c r="B54" s="297"/>
      <c r="C54" s="297"/>
      <c r="D54" s="297"/>
      <c r="E54" s="297"/>
      <c r="F54" s="297"/>
    </row>
    <row r="55" spans="1:6" ht="15" customHeight="1">
      <c r="A55" s="297" t="str">
        <f>shartnoma!A120</f>
        <v>STIR: 306365847</v>
      </c>
      <c r="B55" s="297"/>
      <c r="C55" s="297"/>
      <c r="D55" s="297" t="str">
        <f>shartnoma!B120</f>
        <v>Tel: 97 305 82 83 UZI</v>
      </c>
      <c r="E55" s="297"/>
      <c r="F55" s="297"/>
    </row>
    <row r="56" spans="1:6" ht="15" customHeight="1">
      <c r="A56" s="297" t="str">
        <f>shartnoma!A121</f>
        <v>Tel: (78) 113 31 33</v>
      </c>
      <c r="B56" s="297"/>
      <c r="C56" s="297"/>
      <c r="D56" s="297" t="str">
        <f>shartnoma!B121</f>
        <v>88 305 82 89 AYOLI</v>
      </c>
      <c r="E56" s="297"/>
      <c r="F56" s="297"/>
    </row>
    <row r="57" spans="1:6" ht="15" customHeight="1">
      <c r="A57" s="297" t="str">
        <f>shartnoma!A122</f>
        <v>(78) 113 31 34</v>
      </c>
      <c r="B57" s="297"/>
      <c r="C57" s="297"/>
      <c r="D57" s="297" t="str">
        <f>shartnoma!B122</f>
        <v>97 705 05 17 O'G'LI</v>
      </c>
      <c r="E57" s="297"/>
      <c r="F57" s="297"/>
    </row>
    <row r="58" spans="1:6" ht="23.25" customHeight="1">
      <c r="A58" s="297"/>
      <c r="B58" s="297"/>
      <c r="C58" s="297"/>
      <c r="D58" s="297" t="str">
        <f>IF(shartnoma!B123=0,"",shartnoma!B123)</f>
        <v/>
      </c>
      <c r="E58" s="297"/>
      <c r="F58" s="297"/>
    </row>
    <row r="59" spans="1:6" ht="29.25" customHeight="1">
      <c r="A59" s="143"/>
      <c r="B59" s="306" t="str">
        <f>malumot!A158</f>
        <v>Buxoro filiali boshlig'i</v>
      </c>
      <c r="C59" s="306"/>
      <c r="D59" s="270" t="str">
        <f>shartnoma!B125</f>
        <v>XAYATOV O.K.     __________________</v>
      </c>
      <c r="E59" s="270"/>
      <c r="F59" s="270"/>
    </row>
    <row r="60" spans="1:6" ht="15" customHeight="1">
      <c r="A60" s="143"/>
      <c r="B60" s="306" t="str">
        <f>malumot!B158</f>
        <v>A.Xudayberdiyev</v>
      </c>
      <c r="C60" s="306"/>
      <c r="D60" s="270"/>
      <c r="E60" s="270"/>
      <c r="F60" s="270"/>
    </row>
    <row r="61" spans="1:6" ht="15.75">
      <c r="A61" s="9"/>
      <c r="B61" s="9"/>
      <c r="C61" s="9"/>
      <c r="D61" s="270"/>
      <c r="E61" s="270"/>
      <c r="F61" s="270"/>
    </row>
    <row r="62" spans="1:6">
      <c r="A62" s="297"/>
      <c r="B62" s="297"/>
      <c r="C62" s="297"/>
      <c r="D62" s="297"/>
      <c r="E62" s="297"/>
      <c r="F62" s="297"/>
    </row>
    <row r="63" spans="1:6">
      <c r="A63" s="301"/>
      <c r="B63" s="301"/>
      <c r="C63" s="301"/>
      <c r="D63" s="302"/>
      <c r="E63" s="302"/>
      <c r="F63" s="302"/>
    </row>
    <row r="64" spans="1:6">
      <c r="A64" s="303"/>
      <c r="B64" s="303"/>
      <c r="C64" s="303"/>
      <c r="D64" s="303"/>
      <c r="E64" s="303"/>
      <c r="F64" s="303"/>
    </row>
    <row r="65" spans="1:6">
      <c r="A65" s="300"/>
      <c r="B65" s="300"/>
      <c r="C65" s="300"/>
      <c r="D65" s="300"/>
      <c r="E65" s="300"/>
      <c r="F65" s="300"/>
    </row>
  </sheetData>
  <mergeCells count="41">
    <mergeCell ref="B59:C59"/>
    <mergeCell ref="B60:C60"/>
    <mergeCell ref="H12:P24"/>
    <mergeCell ref="A65:C65"/>
    <mergeCell ref="D65:F65"/>
    <mergeCell ref="A62:C62"/>
    <mergeCell ref="D62:F62"/>
    <mergeCell ref="A63:C63"/>
    <mergeCell ref="D63:F63"/>
    <mergeCell ref="A64:C64"/>
    <mergeCell ref="D64:F64"/>
    <mergeCell ref="D59:F59"/>
    <mergeCell ref="D60:F60"/>
    <mergeCell ref="D61:F61"/>
    <mergeCell ref="A56:C56"/>
    <mergeCell ref="D56:F56"/>
    <mergeCell ref="A57:C57"/>
    <mergeCell ref="D57:F57"/>
    <mergeCell ref="A58:C58"/>
    <mergeCell ref="D58:F58"/>
    <mergeCell ref="A55:C55"/>
    <mergeCell ref="D55:F55"/>
    <mergeCell ref="A47:F47"/>
    <mergeCell ref="A49:C49"/>
    <mergeCell ref="D49:F49"/>
    <mergeCell ref="A50:C50"/>
    <mergeCell ref="D50:F50"/>
    <mergeCell ref="A51:C51"/>
    <mergeCell ref="D51:F51"/>
    <mergeCell ref="A52:C52"/>
    <mergeCell ref="D52:F52"/>
    <mergeCell ref="A53:C53"/>
    <mergeCell ref="D53:F54"/>
    <mergeCell ref="A54:C54"/>
    <mergeCell ref="E2:F2"/>
    <mergeCell ref="A5:F5"/>
    <mergeCell ref="A7:A8"/>
    <mergeCell ref="B7:B8"/>
    <mergeCell ref="C7:C8"/>
    <mergeCell ref="D7:F7"/>
    <mergeCell ref="E3:F3"/>
  </mergeCells>
  <conditionalFormatting sqref="B9:B44">
    <cfRule type="cellIs" dxfId="1" priority="2" operator="lessThan">
      <formula>22105</formula>
    </cfRule>
  </conditionalFormatting>
  <conditionalFormatting sqref="C9:F44">
    <cfRule type="cellIs" dxfId="0" priority="1" operator="lessThan">
      <formula>0.1</formula>
    </cfRule>
  </conditionalFormatting>
  <printOptions horizontalCentered="1"/>
  <pageMargins left="0.70866141732283472" right="0.70866141732283472" top="0.39370078740157483" bottom="0.74803149606299213" header="0.31496062992125984" footer="0.31496062992125984"/>
  <pageSetup paperSize="9" scale="71"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Лист13">
    <tabColor rgb="FF00B050"/>
  </sheetPr>
  <dimension ref="A2:F64"/>
  <sheetViews>
    <sheetView view="pageBreakPreview" zoomScaleNormal="100" zoomScaleSheetLayoutView="100" workbookViewId="0">
      <selection activeCell="A24" sqref="A24:E24"/>
    </sheetView>
  </sheetViews>
  <sheetFormatPr defaultColWidth="9.140625" defaultRowHeight="15" outlineLevelRow="1"/>
  <cols>
    <col min="1" max="1" width="28.42578125" style="10" customWidth="1"/>
    <col min="2" max="2" width="22.85546875" style="10" customWidth="1"/>
    <col min="3" max="3" width="22.42578125" style="10" customWidth="1"/>
    <col min="4" max="4" width="21.42578125" style="10" customWidth="1"/>
    <col min="5" max="5" width="25.140625" style="10" customWidth="1"/>
    <col min="6" max="16384" width="9.140625" style="10"/>
  </cols>
  <sheetData>
    <row r="2" spans="1:5">
      <c r="A2" s="293" t="str">
        <f>"GAROV PREDMETI QIYMATINI KELISHISH 
№"&amp;malumot!B149&amp;" SONLI DALOLATNOMASI
 "</f>
        <v xml:space="preserve">GAROV PREDMETI QIYMATINI KELISHISH 
№1 SONLI DALOLATNOMASI
 </v>
      </c>
      <c r="B2" s="293"/>
      <c r="C2" s="293"/>
      <c r="D2" s="293"/>
      <c r="E2" s="293"/>
    </row>
    <row r="3" spans="1:5">
      <c r="A3" s="34"/>
      <c r="B3" s="34"/>
      <c r="C3" s="34"/>
      <c r="D3" s="34"/>
      <c r="E3" s="34"/>
    </row>
    <row r="4" spans="1:5">
      <c r="A4" s="31" t="s">
        <v>206</v>
      </c>
      <c r="B4" s="31"/>
      <c r="C4" s="31"/>
      <c r="D4" s="31"/>
      <c r="E4" s="31" t="str">
        <f>malumot!B150</f>
        <v>1 aprel 2025 y.</v>
      </c>
    </row>
    <row r="5" spans="1:5" ht="9" customHeight="1">
      <c r="A5" s="271"/>
      <c r="B5" s="271"/>
      <c r="C5" s="271"/>
      <c r="D5" s="271"/>
      <c r="E5" s="271"/>
    </row>
    <row r="6" spans="1:5" ht="76.5" customHeight="1">
      <c r="A6" s="271" t="str">
        <f>IF(malumot!B111="avtotransport",dalolatnoma!A10:E10,dalolatnoma!A7:E7)</f>
        <v>«CLEVER MIKROMOLIYA TASHKILOTI» MChJning (1-tomon) vakili bo‘lgan  Buxoro filiali boshlig'i A.Xudayberdiyev, O‘zbekiston Respublikasi fuqarosi XAYATOV OTABEK KURBANOVICH (2-tomon) va garovga beruvchi O‘zbekiston Respublikasi fuqarosi FAYZIYEV JAMSHID KURBONOVICH (3-tomon) o’rtalarida, 1 aprel 2025 y.dan № 687-BR-sonli Mikroqarz shartnomasiga muvofiq 1-tomon 2-tomonga berilgan mikroqarz bo‘yicha ta’minot sifatida taqdim etilgan, 3-tomonga mulk huquqi asosida tegishli bo‘lgan mulkning garov qiymatini kelishish muzokaralari o’tkazildi.</v>
      </c>
      <c r="B6" s="271"/>
      <c r="C6" s="271"/>
      <c r="D6" s="271"/>
      <c r="E6" s="271"/>
    </row>
    <row r="7" spans="1:5" ht="88.5" hidden="1" customHeight="1">
      <c r="A7" s="271" t="str">
        <f>IF(malumot!B99="ha",dalolatnoma!A9:E9,dalolatnoma!A8:E8)</f>
        <v xml:space="preserve">«CLEVER MIKROMOLIYA TASHKILOTI» MChJning (1-tomon) vakili bo‘lgan  Buxoro filiali boshlig'i A.Xudayberdiyev, va O‘zbekiston Respublikasi fuqarosi  XAYATOV OTABEK KURBANOVICH (2-tomon) va garov egasi 0 (3-tomon) 1 aprel 2025 y.dan № 687-BR Mikroqarz shartnomasiga muvofiq 1-tomon 2-tomonga berilgan mikroqarz bo‘yicha ta’minot sifatida taqdim etilgan, 2-tomonga mulk huquqi asosida tegishli bo‘lgan mulkning garov qiymatini kelishish muzokaralari o’tkazildi. </v>
      </c>
      <c r="B7" s="271"/>
      <c r="C7" s="271"/>
      <c r="D7" s="271"/>
      <c r="E7" s="271"/>
    </row>
    <row r="8" spans="1:5" ht="88.5" hidden="1" customHeight="1">
      <c r="A8" s="271" t="str">
        <f>""&amp;malumot!B155&amp;"ning (1-tomon) vakili bo‘lgan  "&amp;malumot!A158&amp;" "&amp;malumot!B158&amp;", va O‘zbekiston Respublikasi fuqarosi  "&amp;malumot!B5&amp;" (2-tomon) va garov egasi "&amp;malumot!C125&amp;" (3-tomon) "&amp;malumot!B74&amp;" "&amp;malumot!C64&amp;" shartnomasiga muvofiq 1-tomon 2-tomonga berilgan "&amp;malumot!B65&amp;" bo‘yicha ta’minot sifatida taqdim etilgan, 2-tomonga mulk huquqi asosida tegishli bo‘lgan mulkning garov qiymatini kelishish muzokaralari o’tkazildi. "</f>
        <v xml:space="preserve">«CLEVER MIKROMOLIYA TASHKILOTI» MChJning (1-tomon) vakili bo‘lgan  Buxoro filiali boshlig'i A.Xudayberdiyev, va O‘zbekiston Respublikasi fuqarosi  XAYATOV OTABEK KURBANOVICH (2-tomon) va garov egasi 0 (3-tomon) 1 aprel 2025 y.dan № 687-BR Mikroqarz shartnomasiga muvofiq 1-tomon 2-tomonga berilgan mikroqarz bo‘yicha ta’minot sifatida taqdim etilgan, 2-tomonga mulk huquqi asosida tegishli bo‘lgan mulkning garov qiymatini kelishish muzokaralari o’tkazildi. </v>
      </c>
      <c r="B8" s="271"/>
      <c r="C8" s="271"/>
      <c r="D8" s="271"/>
      <c r="E8" s="271"/>
    </row>
    <row r="9" spans="1:5" ht="88.5" hidden="1" customHeight="1">
      <c r="A9" s="271" t="str">
        <f>""&amp;malumot!B155&amp;"ning (1-tomon) vakili bo‘lgan  "&amp;malumot!A158&amp;" "&amp;malumot!B158&amp;", va O‘zbekiston Respublikasi fuqarosi  "&amp;malumot!B5&amp;" (2-tomon) va garov egasi "&amp;malumot!C125&amp;" (3-tomon) "&amp;malumot!B74&amp;" "&amp;malumot!C64&amp;" shartnomasiga muvofiq 1-tomon 2-tomonga berilgan "&amp;malumot!B65&amp;" bo‘yicha ta’minot sifatida taqdim etilgan, 2-tomonga mulk huquqi asosida tegishli bo‘lgan mulkning garov qiymatini kelishish muzokaralari o’tkazildi. "</f>
        <v xml:space="preserve">«CLEVER MIKROMOLIYA TASHKILOTI» MChJning (1-tomon) vakili bo‘lgan  Buxoro filiali boshlig'i A.Xudayberdiyev, va O‘zbekiston Respublikasi fuqarosi  XAYATOV OTABEK KURBANOVICH (2-tomon) va garov egasi 0 (3-tomon) 1 aprel 2025 y.dan № 687-BR Mikroqarz shartnomasiga muvofiq 1-tomon 2-tomonga berilgan mikroqarz bo‘yicha ta’minot sifatida taqdim etilgan, 2-tomonga mulk huquqi asosida tegishli bo‘lgan mulkning garov qiymatini kelishish muzokaralari o’tkazildi. </v>
      </c>
      <c r="B9" s="271"/>
      <c r="C9" s="271"/>
      <c r="D9" s="271"/>
      <c r="E9" s="271"/>
    </row>
    <row r="10" spans="1:5" ht="88.5" hidden="1" customHeight="1">
      <c r="A10" s="271" t="str">
        <f>IF(malumot!B99="ha",dalolatnoma!A12:E12,dalolatnoma!A11:E11)</f>
        <v>«CLEVER MIKROMOLIYA TASHKILOTI» MChJning (1-tomon) vakili bo‘lgan  Buxoro filiali boshlig'i A.Xudayberdiyev, O‘zbekiston Respublikasi fuqarosi XAYATOV OTABEK KURBANOVICH (2-tomon) va garovga beruvchi O‘zbekiston Respublikasi fuqarosi FAYZIYEV JAMSHID KURBONOVICH (3-tomon) o’rtalarida, 1 aprel 2025 y.dan № 687-BR-sonli Mikroqarz shartnomasiga muvofiq 1-tomon 2-tomonga berilgan mikroqarz bo‘yicha ta’minot sifatida taqdim etilgan, 3-tomonga mulk huquqi asosida tegishli bo‘lgan mulkning garov qiymatini kelishish muzokaralari o’tkazildi.</v>
      </c>
      <c r="B10" s="271"/>
      <c r="C10" s="271"/>
      <c r="D10" s="271"/>
      <c r="E10" s="271"/>
    </row>
    <row r="11" spans="1:5" ht="88.5" hidden="1" customHeight="1">
      <c r="A11" s="271" t="str">
        <f>""&amp;malumot!B155&amp;"ning (1-tomon) vakili bo‘lgan  "&amp;malumot!A158&amp;" "&amp;malumot!B158&amp;", O‘zbekiston Respublikasi fuqarosi "&amp;malumot!B5&amp;" (2-tomon) va garovga beruvchi O‘zbekiston Respublikasi fuqarosi "&amp;malumot!B125&amp;" (3-tomon) o’rtalarida, "&amp;malumot!B74&amp;"-sonli "&amp;malumot!C64&amp;" shartnomasiga muvofiq 1-tomon 2-tomonga berilgan "&amp;malumot!B65&amp;" bo‘yicha ta’minot sifatida taqdim etilgan, 3-tomonga mulk huquqi asosida tegishli bo‘lgan mulkning garov qiymatini kelishish muzokaralari o’tkazildi."</f>
        <v>«CLEVER MIKROMOLIYA TASHKILOTI» MChJning (1-tomon) vakili bo‘lgan  Buxoro filiali boshlig'i A.Xudayberdiyev, O‘zbekiston Respublikasi fuqarosi XAYATOV OTABEK KURBANOVICH (2-tomon) va garovga beruvchi O‘zbekiston Respublikasi fuqarosi FAYZIYEV JAMSHID KURBONOVICH (3-tomon) o’rtalarida, 1 aprel 2025 y.dan № 687-BR-sonli Mikroqarz shartnomasiga muvofiq 1-tomon 2-tomonga berilgan mikroqarz bo‘yicha ta’minot sifatida taqdim etilgan, 3-tomonga mulk huquqi asosida tegishli bo‘lgan mulkning garov qiymatini kelishish muzokaralari o’tkazildi.</v>
      </c>
      <c r="B11" s="271"/>
      <c r="C11" s="271"/>
      <c r="D11" s="271"/>
      <c r="E11" s="271"/>
    </row>
    <row r="12" spans="1:5" ht="88.5" hidden="1" customHeight="1">
      <c r="A12" s="271" t="str">
        <f>""&amp;malumot!B155&amp;"ning (1-tomon) vakili bo‘lgan  "&amp;malumot!A158&amp;" "&amp;malumot!B158&amp;", O‘zbekiston Respublikasi fuqarosi va garovga beruvchi "&amp;malumot!B5&amp;" (2-tomon) o’rtalarida, "&amp;malumot!B74&amp;"-sonli "&amp;malumot!C64&amp;" shartnomasiga muvofiq 1-tomon 2-tomonga berilgan "&amp;malumot!B65&amp;" bo‘yicha ta’minot sifatida taqdim etilgan, 2-tomonga mulk huquqi asosida tegishli bo‘lgan mulkning garov qiymatini kelishish muzokaralari o’tkazildi."</f>
        <v>«CLEVER MIKROMOLIYA TASHKILOTI» MChJning (1-tomon) vakili bo‘lgan  Buxoro filiali boshlig'i A.Xudayberdiyev, O‘zbekiston Respublikasi fuqarosi va garovga beruvchi XAYATOV OTABEK KURBANOVICH (2-tomon) o’rtalarida, 1 aprel 2025 y.dan № 687-BR-sonli Mikroqarz shartnomasiga muvofiq 1-tomon 2-tomonga berilgan mikroqarz bo‘yicha ta’minot sifatida taqdim etilgan, 2-tomonga mulk huquqi asosida tegishli bo‘lgan mulkning garov qiymatini kelishish muzokaralari o’tkazildi.</v>
      </c>
      <c r="B12" s="271"/>
      <c r="C12" s="271"/>
      <c r="D12" s="271"/>
      <c r="E12" s="271"/>
    </row>
    <row r="13" spans="1:5" ht="88.5" hidden="1" customHeight="1">
      <c r="A13" s="271" t="str">
        <f>"Garov predmeti sifatida "&amp;malumot!B133&amp;", 3-tomonga egalik huquqi tegishli bo'lgan, quyidagi tafsilotlarga ega avtotransport vositasi taqdim etiladi:"</f>
        <v>Garov predmeti sifatida SPARK, 3-tomonga egalik huquqi tegishli bo'lgan, quyidagi tafsilotlarga ega avtotransport vositasi taqdim etiladi:</v>
      </c>
      <c r="B13" s="271"/>
      <c r="C13" s="271"/>
      <c r="D13" s="271"/>
      <c r="E13" s="271"/>
    </row>
    <row r="14" spans="1:5" ht="88.5" hidden="1" customHeight="1">
      <c r="A14" s="271" t="str">
        <f>"Garov predmeti sifatida "&amp;malumot!B133&amp;", 2-tomonga egalik huquqi tegishli bo'lgan, quyidagi tafsilotlarga ega avtotransport vositasi taqdim etiladi:"</f>
        <v>Garov predmeti sifatida SPARK, 2-tomonga egalik huquqi tegishli bo'lgan, quyidagi tafsilotlarga ega avtotransport vositasi taqdim etiladi:</v>
      </c>
      <c r="B14" s="271"/>
      <c r="C14" s="271"/>
      <c r="D14" s="271"/>
      <c r="E14" s="271"/>
    </row>
    <row r="15" spans="1:5" ht="88.5" hidden="1" customHeight="1">
      <c r="A15" s="271" t="str">
        <f>IF(malumot!B99="ha",dalolatnoma!A14:E14,dalolatnoma!A13:E13)</f>
        <v>Garov predmeti sifatida SPARK, 3-tomonga egalik huquqi tegishli bo'lgan, quyidagi tafsilotlarga ega avtotransport vositasi taqdim etiladi:</v>
      </c>
      <c r="B15" s="271"/>
      <c r="C15" s="271"/>
      <c r="D15" s="271"/>
      <c r="E15" s="271"/>
    </row>
    <row r="16" spans="1:5" ht="88.5" hidden="1" customHeight="1">
      <c r="A16" s="271" t="str">
        <f>"Garov predmeti sifatida "&amp;malumot!C134&amp;", 2-tomonga egalik huquqi tegishli bo'lgan, quyidagi tafsilotlarga ega ko'chmas mulk taqdim etiladi:"</f>
        <v>Garov predmeti sifatida 3 - xonali yakka tartibdagi uy-joy, 2-tomonga egalik huquqi tegishli bo'lgan, quyidagi tafsilotlarga ega ko'chmas mulk taqdim etiladi:</v>
      </c>
      <c r="B16" s="271"/>
      <c r="C16" s="271"/>
      <c r="D16" s="271"/>
      <c r="E16" s="271"/>
    </row>
    <row r="17" spans="1:5" ht="13.5" hidden="1" customHeight="1">
      <c r="A17" s="271" t="str">
        <f>"Garov predmeti sifatida "&amp;malumot!C134&amp;", 3-tomonga egalik huquqi tegishli bo'lgan, quyidagi tafsilotlarga ega ko'chmas mulk taqdim etiladi:"</f>
        <v>Garov predmeti sifatida 3 - xonali yakka tartibdagi uy-joy, 3-tomonga egalik huquqi tegishli bo'lgan, quyidagi tafsilotlarga ega ko'chmas mulk taqdim etiladi:</v>
      </c>
      <c r="B17" s="271"/>
      <c r="C17" s="271"/>
      <c r="D17" s="271"/>
      <c r="E17" s="271"/>
    </row>
    <row r="18" spans="1:5" ht="11.25" hidden="1" customHeight="1">
      <c r="A18" s="271" t="str">
        <f>IF(malumot!B99="ha",dalolatnoma!A16:E16,dalolatnoma!A17:E17)</f>
        <v>Garov predmeti sifatida 3 - xonali yakka tartibdagi uy-joy, 3-tomonga egalik huquqi tegishli bo'lgan, quyidagi tafsilotlarga ega ko'chmas mulk taqdim etiladi:</v>
      </c>
      <c r="B18" s="271"/>
      <c r="C18" s="271"/>
      <c r="D18" s="271"/>
      <c r="E18" s="271"/>
    </row>
    <row r="19" spans="1:5" ht="32.25" customHeight="1">
      <c r="A19" s="271" t="str">
        <f>IF(malumot!B111="Avtotransport",dalolatnoma!A15:E15,dalolatnoma!A18:E18)</f>
        <v>Garov predmeti sifatida SPARK, 3-tomonga egalik huquqi tegishli bo'lgan, quyidagi tafsilotlarga ega avtotransport vositasi taqdim etiladi:</v>
      </c>
      <c r="B19" s="271"/>
      <c r="C19" s="271"/>
      <c r="D19" s="271"/>
      <c r="E19" s="271"/>
    </row>
    <row r="20" spans="1:5" ht="48" customHeight="1" outlineLevel="1">
      <c r="A20" s="33" t="s">
        <v>204</v>
      </c>
      <c r="B20" s="313" t="str">
        <f>IF(malumot!B111=malumot!C111,"Kuzov turi  va kuzov raqami*","Foydali maydoni")</f>
        <v>Kuzov turi  va kuzov raqami*</v>
      </c>
      <c r="C20" s="314"/>
      <c r="D20" s="33" t="str">
        <f>IF(malumot!B111=malumot!C111,"Dvigatel va shassi raqami*","Yashash maydoni")</f>
        <v>Dvigatel va shassi raqami*</v>
      </c>
      <c r="E20" s="33" t="str">
        <f>IF(malumot!B111=malumot!C111,"Ishlab chiqarilgan yili va rangi**","Umumiy maydoni")</f>
        <v>Ishlab chiqarilgan yili va rangi**</v>
      </c>
    </row>
    <row r="21" spans="1:5" ht="84" customHeight="1" outlineLevel="1">
      <c r="A21" s="12" t="str">
        <f>IF(malumot!B111=malumot!C111,malumot!B133,malumot!C133)</f>
        <v>SPARK</v>
      </c>
      <c r="B21" s="295" t="str">
        <f>IF(malumot!B111=malumot!C111,malumot!B135,CONCATENATE(malumot!F138," ","kv.m"))</f>
        <v>kuzov turi - YENGIL SEDAN, kuzov raqami XWBMF481EBA580791</v>
      </c>
      <c r="C21" s="295"/>
      <c r="D21" s="12" t="str">
        <f>IF(malumot!B111=malumot!C111,malumot!B138,malumot!E141)</f>
        <v>dvigatel raqami B10D1606437KC3, shassi raqami - RAKAMSIZ</v>
      </c>
      <c r="E21" s="12" t="str">
        <f>IF(malumot!B111=malumot!C111,malumot!B141,malumot!E138)</f>
        <v>rangi -  OQ BELAYA "KASABLANKA", ishlab chiqarilgan yili - 2011</v>
      </c>
    </row>
    <row r="22" spans="1:5" ht="17.25" customHeight="1" outlineLevel="1">
      <c r="A22" s="271" t="str">
        <f>"-* "&amp;IF(malumot!B111=malumot!C111,"avtotransport "&amp;"egasi: "&amp;malumot!B125&amp;"","ko'chmas mulk"&amp;" egasi: "&amp;malumot!B125&amp;"")</f>
        <v>-* avtotransport egasi: FAYZIYEV JAMSHID KURBONOVICH</v>
      </c>
      <c r="B22" s="271"/>
      <c r="C22" s="271"/>
      <c r="D22" s="271"/>
      <c r="E22" s="271"/>
    </row>
    <row r="23" spans="1:5" outlineLevel="1">
      <c r="A23" s="271" t="str">
        <f>IF(malumot!B111=malumot!C111,"-* texnik pasport: "&amp;malumot!B132&amp;"","-* reest raqami: "&amp;malumot!C132&amp;"")</f>
        <v>-* texnik pasport: AAG   4517617  20.08.2024y</v>
      </c>
      <c r="B23" s="271"/>
      <c r="C23" s="271"/>
      <c r="D23" s="271"/>
      <c r="E23" s="271"/>
    </row>
    <row r="24" spans="1:5" s="144" customFormat="1" outlineLevel="1">
      <c r="A24" s="271" t="str">
        <f>IF(malumot!B111=malumot!C111,"-* roʻyxatdan oʻtgan manzili/garaj manzili: "&amp;malumot!B130&amp;"","-*  kadastr raqami: "&amp;malumot!C135&amp;"")</f>
        <v>-* roʻyxatdan oʻtgan manzili/garaj manzili: BUXORO VILOYATI BUXORO TUMANI XONOBOD MFY XONOBOD QISHLOG'I</v>
      </c>
      <c r="B24" s="271"/>
      <c r="C24" s="271"/>
      <c r="D24" s="271"/>
      <c r="E24" s="271"/>
    </row>
    <row r="25" spans="1:5" ht="27" customHeight="1" outlineLevel="1">
      <c r="A25" s="271" t="str">
        <f>IF(malumot!B111=malumot!C111,"-* davlat raqami: "&amp;malumot!B134&amp;"","-* manzili: "&amp;malumot!C131&amp;"")</f>
        <v>-* davlat raqami: 80Y320AB</v>
      </c>
      <c r="B25" s="271"/>
      <c r="C25" s="271"/>
      <c r="D25" s="271"/>
      <c r="E25" s="271"/>
    </row>
    <row r="26" spans="1:5" ht="65.25" customHeight="1">
      <c r="A26" s="271" t="str">
        <f>IF(malumot!B99="ha",dalolatnoma!A28:E28,dalolatnoma!A27:E27)</f>
        <v>Tomonlar o’rtasida o’tkazilgan muzokaralar natijalariga ko‘ra, 2-tomon ta’minot sifatida quyidagi tafsilotlarga ega bo’lgan garov predmetini taqdim etadi, 1-tomon esa ushbu garov predmetini  1 aprel 2025 y.dan № 687-BR mikroqarz shartnomasi bo‘yicha berilgan mikroqarz bo‘yicha  
39 000 000,00 (o'ttiz to'qqiz million so'm) so’m bo‘lgan kelishilgan garov qiymatida qabul qiladi::</v>
      </c>
      <c r="B26" s="271"/>
      <c r="C26" s="271"/>
      <c r="D26" s="271"/>
      <c r="E26" s="271"/>
    </row>
    <row r="27" spans="1:5" ht="66" hidden="1" customHeight="1">
      <c r="A27" s="271" t="str">
        <f>"Tomonlar o’rtasida o’tkazilgan muzokaralar natijalariga ko‘ra, 2-tomon ta’minot sifatida quyidagi tafsilotlarga ega bo’lgan garov predmetini taqdim etadi, 1-tomon esa ushbu garov predmetini  "&amp;malumot!B74&amp;" "&amp;malumot!B65&amp;" shartnomasi bo‘yicha berilgan "&amp;malumot!B65&amp;" bo‘yicha  
"&amp;FIXED(malumot!B144,2)&amp;" ("&amp;malumot!B145&amp;") so’m bo‘lgan kelishilgan garov qiymatida qabul qiladi::"</f>
        <v>Tomonlar o’rtasida o’tkazilgan muzokaralar natijalariga ko‘ra, 2-tomon ta’minot sifatida quyidagi tafsilotlarga ega bo’lgan garov predmetini taqdim etadi, 1-tomon esa ushbu garov predmetini  1 aprel 2025 y.dan № 687-BR mikroqarz shartnomasi bo‘yicha berilgan mikroqarz bo‘yicha  
39 000 000,00 (o'ttiz to'qqiz million so'm) so’m bo‘lgan kelishilgan garov qiymatida qabul qiladi::</v>
      </c>
      <c r="B27" s="271"/>
      <c r="C27" s="271"/>
      <c r="D27" s="271"/>
      <c r="E27" s="271"/>
    </row>
    <row r="28" spans="1:5" ht="58.5" hidden="1" customHeight="1">
      <c r="A28" s="271" t="str">
        <f>"Tomonlar o’rtasida o’tkazilgan muzokaralar natijalariga ko‘ra, 2-tomon ta’minot sifatida quyidagi tafsilotlarga ega bo’lgan garov predmetini taqdim etadi, 1-tomon esa ushbu garov predmetini  "&amp;malumot!B74&amp;" "&amp;malumot!C64&amp;" shartnomasi bo‘yicha berilgan "&amp;malumot!B65&amp;" bo‘yicha  
"&amp;FIXED(malumot!B144,2)&amp;" ("&amp;malumot!B145&amp;") so’m bo‘lgan kelishilgan garov qiymatida qabul qiladi::"</f>
        <v>Tomonlar o’rtasida o’tkazilgan muzokaralar natijalariga ko‘ra, 2-tomon ta’minot sifatida quyidagi tafsilotlarga ega bo’lgan garov predmetini taqdim etadi, 1-tomon esa ushbu garov predmetini  1 aprel 2025 y.dan № 687-BR Mikroqarz shartnomasi bo‘yicha berilgan mikroqarz bo‘yicha  
39 000 000,00 (o'ttiz to'qqiz million so'm) so’m bo‘lgan kelishilgan garov qiymatida qabul qiladi::</v>
      </c>
      <c r="B28" s="271"/>
      <c r="C28" s="271"/>
      <c r="D28" s="271"/>
      <c r="E28" s="271"/>
    </row>
    <row r="29" spans="1:5" ht="51.75" customHeight="1" outlineLevel="1">
      <c r="A29" s="33" t="s">
        <v>204</v>
      </c>
      <c r="B29" s="33" t="str">
        <f>B20</f>
        <v>Kuzov turi  va kuzov raqami*</v>
      </c>
      <c r="C29" s="33" t="str">
        <f>D20</f>
        <v>Dvigatel va shassi raqami*</v>
      </c>
      <c r="D29" s="33" t="str">
        <f>IF(malumot!B111=malumot!C111,"Ishlab chiqarilgan yili va rangi*","Foydalanishga topshirilgan sanasi")</f>
        <v>Ishlab chiqarilgan yili va rangi*</v>
      </c>
      <c r="E29" s="33" t="s">
        <v>205</v>
      </c>
    </row>
    <row r="30" spans="1:5" ht="76.5" customHeight="1" outlineLevel="1">
      <c r="A30" s="12" t="str">
        <f>A21</f>
        <v>SPARK</v>
      </c>
      <c r="B30" s="12" t="str">
        <f>B21</f>
        <v>kuzov turi - YENGIL SEDAN, kuzov raqami XWBMF481EBA580791</v>
      </c>
      <c r="C30" s="12" t="str">
        <f>D21</f>
        <v>dvigatel raqami B10D1606437KC3, shassi raqami - RAKAMSIZ</v>
      </c>
      <c r="D30" s="12" t="str">
        <f>IF(malumot!B111=malumot!C111,E21,TEXT(malumot!C143,"ДД.ММ.ГГГГ"))</f>
        <v>rangi -  OQ BELAYA "KASABLANKA", ishlab chiqarilgan yili - 2011</v>
      </c>
      <c r="E30" s="12" t="str">
        <f>""&amp;FIXED(malumot!B144,2)&amp;" 
("&amp;malumot!B145&amp;")"</f>
        <v>39 000 000,00 
(o'ttiz to'qqiz million so'm)</v>
      </c>
    </row>
    <row r="31" spans="1:5" ht="16.5" customHeight="1">
      <c r="A31" s="11"/>
      <c r="B31" s="11"/>
      <c r="C31" s="11"/>
      <c r="D31" s="11"/>
      <c r="E31" s="11"/>
    </row>
    <row r="32" spans="1:5" ht="56.25" hidden="1" customHeight="1" outlineLevel="1">
      <c r="A32" s="33" t="s">
        <v>4</v>
      </c>
      <c r="B32" s="33" t="s">
        <v>18</v>
      </c>
      <c r="C32" s="33" t="s">
        <v>19</v>
      </c>
      <c r="D32" s="33" t="s">
        <v>20</v>
      </c>
      <c r="E32" s="33" t="s">
        <v>5</v>
      </c>
    </row>
    <row r="33" spans="1:5" ht="15.75" hidden="1" customHeight="1" outlineLevel="1">
      <c r="A33" s="12" t="e">
        <f>#REF!</f>
        <v>#REF!</v>
      </c>
      <c r="B33" s="95" t="e">
        <f>#REF!</f>
        <v>#REF!</v>
      </c>
      <c r="C33" s="95" t="e">
        <f>#REF!</f>
        <v>#REF!</v>
      </c>
      <c r="D33" s="95" t="e">
        <f>#REF!</f>
        <v>#REF!</v>
      </c>
      <c r="E33" s="309" t="str">
        <f>""&amp;FIXED(malumot!C144,2)&amp;" ("&amp;malumot!B145&amp;")"</f>
        <v>39 000 000,00 (o'ttiz to'qqiz million so'm)</v>
      </c>
    </row>
    <row r="34" spans="1:5" ht="15.75" hidden="1" customHeight="1" outlineLevel="1">
      <c r="A34" s="12"/>
      <c r="B34" s="95"/>
      <c r="C34" s="95"/>
      <c r="D34" s="95"/>
      <c r="E34" s="310"/>
    </row>
    <row r="35" spans="1:5" ht="15.75" hidden="1" customHeight="1" outlineLevel="1">
      <c r="A35" s="12" t="e">
        <f>#REF!</f>
        <v>#REF!</v>
      </c>
      <c r="B35" s="95" t="e">
        <f>#REF!</f>
        <v>#REF!</v>
      </c>
      <c r="C35" s="95" t="e">
        <f>#REF!</f>
        <v>#REF!</v>
      </c>
      <c r="D35" s="95" t="e">
        <f>#REF!</f>
        <v>#REF!</v>
      </c>
      <c r="E35" s="310"/>
    </row>
    <row r="36" spans="1:5" ht="15.75" hidden="1" customHeight="1" outlineLevel="1">
      <c r="A36" s="12" t="e">
        <f>#REF!</f>
        <v>#REF!</v>
      </c>
      <c r="B36" s="95" t="e">
        <f>#REF!</f>
        <v>#REF!</v>
      </c>
      <c r="C36" s="95" t="e">
        <f>#REF!</f>
        <v>#REF!</v>
      </c>
      <c r="D36" s="95" t="e">
        <f>#REF!</f>
        <v>#REF!</v>
      </c>
      <c r="E36" s="310"/>
    </row>
    <row r="37" spans="1:5" ht="15.75" hidden="1" customHeight="1" outlineLevel="1">
      <c r="A37" s="12" t="e">
        <f>#REF!</f>
        <v>#REF!</v>
      </c>
      <c r="B37" s="95" t="e">
        <f>#REF!</f>
        <v>#REF!</v>
      </c>
      <c r="C37" s="95" t="e">
        <f>#REF!</f>
        <v>#REF!</v>
      </c>
      <c r="D37" s="95" t="e">
        <f>#REF!</f>
        <v>#REF!</v>
      </c>
      <c r="E37" s="310"/>
    </row>
    <row r="38" spans="1:5" ht="15.75" hidden="1" customHeight="1" outlineLevel="1">
      <c r="A38" s="12" t="e">
        <f>#REF!</f>
        <v>#REF!</v>
      </c>
      <c r="B38" s="95" t="e">
        <f>#REF!</f>
        <v>#REF!</v>
      </c>
      <c r="C38" s="95" t="e">
        <f>#REF!</f>
        <v>#REF!</v>
      </c>
      <c r="D38" s="95" t="e">
        <f>#REF!</f>
        <v>#REF!</v>
      </c>
      <c r="E38" s="310"/>
    </row>
    <row r="39" spans="1:5" ht="15.75" hidden="1" customHeight="1" outlineLevel="1">
      <c r="A39" s="12" t="e">
        <f>#REF!</f>
        <v>#REF!</v>
      </c>
      <c r="B39" s="95" t="e">
        <f>#REF!</f>
        <v>#REF!</v>
      </c>
      <c r="C39" s="95" t="e">
        <f>#REF!</f>
        <v>#REF!</v>
      </c>
      <c r="D39" s="95" t="e">
        <f>#REF!</f>
        <v>#REF!</v>
      </c>
      <c r="E39" s="310"/>
    </row>
    <row r="40" spans="1:5" ht="15.75" hidden="1" customHeight="1" outlineLevel="1">
      <c r="A40" s="12" t="e">
        <f>#REF!</f>
        <v>#REF!</v>
      </c>
      <c r="B40" s="95" t="e">
        <f>#REF!</f>
        <v>#REF!</v>
      </c>
      <c r="C40" s="95" t="e">
        <f>#REF!</f>
        <v>#REF!</v>
      </c>
      <c r="D40" s="95" t="e">
        <f>#REF!</f>
        <v>#REF!</v>
      </c>
      <c r="E40" s="310"/>
    </row>
    <row r="41" spans="1:5" ht="15.75" hidden="1" customHeight="1" outlineLevel="1">
      <c r="A41" s="12" t="e">
        <f>#REF!</f>
        <v>#REF!</v>
      </c>
      <c r="B41" s="95" t="e">
        <f>#REF!</f>
        <v>#REF!</v>
      </c>
      <c r="C41" s="95" t="e">
        <f>#REF!</f>
        <v>#REF!</v>
      </c>
      <c r="D41" s="95" t="e">
        <f>#REF!</f>
        <v>#REF!</v>
      </c>
      <c r="E41" s="310"/>
    </row>
    <row r="42" spans="1:5" ht="15.75" hidden="1" customHeight="1" outlineLevel="1">
      <c r="A42" s="12" t="e">
        <f>#REF!</f>
        <v>#REF!</v>
      </c>
      <c r="B42" s="95" t="e">
        <f>#REF!</f>
        <v>#REF!</v>
      </c>
      <c r="C42" s="95" t="e">
        <f>#REF!</f>
        <v>#REF!</v>
      </c>
      <c r="D42" s="95" t="e">
        <f>#REF!</f>
        <v>#REF!</v>
      </c>
      <c r="E42" s="310"/>
    </row>
    <row r="43" spans="1:5" ht="15.75" hidden="1" customHeight="1" outlineLevel="1">
      <c r="A43" s="12" t="e">
        <f>#REF!</f>
        <v>#REF!</v>
      </c>
      <c r="B43" s="12" t="e">
        <f>#REF!</f>
        <v>#REF!</v>
      </c>
      <c r="C43" s="12" t="e">
        <f>#REF!</f>
        <v>#REF!</v>
      </c>
      <c r="D43" s="12" t="e">
        <f>#REF!</f>
        <v>#REF!</v>
      </c>
      <c r="E43" s="311"/>
    </row>
    <row r="44" spans="1:5" s="31" customFormat="1" ht="15.75" hidden="1" customHeight="1" outlineLevel="1">
      <c r="A44" s="33" t="e">
        <f>#REF!</f>
        <v>#REF!</v>
      </c>
      <c r="B44" s="33" t="e">
        <f>#REF!</f>
        <v>#REF!</v>
      </c>
      <c r="C44" s="33" t="e">
        <f>#REF!</f>
        <v>#REF!</v>
      </c>
      <c r="D44" s="33" t="e">
        <f>#REF!</f>
        <v>#REF!</v>
      </c>
      <c r="E44" s="33" t="str">
        <f>FIXED(malumot!C144,2)</f>
        <v>39 000 000,00</v>
      </c>
    </row>
    <row r="45" spans="1:5" ht="12.75" customHeight="1" collapsed="1">
      <c r="A45" s="11"/>
      <c r="B45" s="11"/>
      <c r="C45" s="11"/>
      <c r="D45" s="11"/>
      <c r="E45" s="11"/>
    </row>
    <row r="46" spans="1:5" ht="93.75" hidden="1" customHeight="1">
      <c r="A46" s="271" t="str">
        <f>"“Birinchi talabga ko‘ra, yuqoridagi avtomobil Mikrokredit shartnomasi bo‘yicha garovga qo‘yilgan edi::
"&amp;'Данные для послед. Залога'!W2&amp;""</f>
        <v>“Birinchi talabga ko‘ra, yuqoridagi avtomobil Mikrokredit shartnomasi bo‘yicha garovga qo‘yilgan edi::
-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c r="B46" s="271"/>
      <c r="C46" s="271"/>
      <c r="D46" s="271"/>
      <c r="E46" s="271"/>
    </row>
    <row r="47" spans="1:5" ht="42" customHeight="1">
      <c r="A47" s="271" t="s">
        <v>208</v>
      </c>
      <c r="B47" s="271"/>
      <c r="C47" s="271"/>
      <c r="D47" s="271"/>
      <c r="E47" s="271"/>
    </row>
    <row r="48" spans="1:5" ht="35.25" customHeight="1">
      <c r="A48" s="271" t="str">
        <f>"Shunday qilib, garov predmetining kelishilgan garov qiymati  "&amp;FIXED(malumot!B144)&amp;" ("&amp;malumot!B145&amp;") so‘mni tashkil etadi."</f>
        <v>Shunday qilib, garov predmetining kelishilgan garov qiymati  39 000 000,00 (o'ttiz to'qqiz million so'm) so‘mni tashkil etadi.</v>
      </c>
      <c r="B48" s="271"/>
      <c r="C48" s="271"/>
      <c r="D48" s="271"/>
      <c r="E48" s="271"/>
    </row>
    <row r="49" spans="1:6" ht="35.25" hidden="1" customHeight="1">
      <c r="A49" s="14"/>
      <c r="B49" s="14"/>
      <c r="C49" s="14"/>
      <c r="D49" s="14">
        <f>IF(malumot!B98=malumot!C98,malumot!C144,IF(malumot!B98=malumot!D98,'Данные для послед. Залога'!M22,0))</f>
        <v>39000000</v>
      </c>
      <c r="E49" s="14" t="str">
        <f>IF(malumot!B98=malumot!C98,malumot!B145,IF(malumot!B98=malumot!D98,'Данные для послед. Залога'!Q22,0))</f>
        <v>o'ttiz to'qqiz million so'm</v>
      </c>
    </row>
    <row r="50" spans="1:6">
      <c r="A50" s="308" t="s">
        <v>209</v>
      </c>
      <c r="B50" s="308"/>
      <c r="C50" s="308"/>
      <c r="D50" s="17"/>
      <c r="E50" s="17"/>
    </row>
    <row r="51" spans="1:6" ht="15" customHeight="1">
      <c r="A51" s="186" t="str">
        <f>malumot!B156</f>
        <v>«CLEVER MIKROMOLIYA TASHKILOTI» MChJ</v>
      </c>
      <c r="B51" s="17"/>
      <c r="C51" s="17"/>
      <c r="D51" s="138"/>
      <c r="E51" s="138"/>
    </row>
    <row r="52" spans="1:6" ht="15" customHeight="1">
      <c r="A52" s="197" t="str">
        <f>""&amp;malumot!A158&amp;""</f>
        <v>Buxoro filiali boshlig'i</v>
      </c>
      <c r="B52" s="17"/>
      <c r="C52" s="17"/>
      <c r="D52" s="197"/>
      <c r="E52" s="197" t="str">
        <f>malumot!B158</f>
        <v>A.Xudayberdiyev</v>
      </c>
    </row>
    <row r="53" spans="1:6">
      <c r="A53" s="46"/>
      <c r="B53" s="46"/>
      <c r="C53" s="46"/>
      <c r="D53" s="46"/>
      <c r="E53" s="46"/>
    </row>
    <row r="54" spans="1:6">
      <c r="A54" s="308"/>
      <c r="B54" s="308"/>
      <c r="C54" s="308"/>
      <c r="D54" s="46"/>
      <c r="E54" s="46"/>
    </row>
    <row r="55" spans="1:6" hidden="1">
      <c r="A55" s="272" t="s">
        <v>46</v>
      </c>
      <c r="B55" s="272"/>
      <c r="C55" s="272"/>
      <c r="D55" s="46"/>
      <c r="E55" s="46"/>
    </row>
    <row r="56" spans="1:6" hidden="1">
      <c r="A56" s="272" t="str">
        <f>malumot!B156</f>
        <v>«CLEVER MIKROMOLIYA TASHKILOTI» MChJ</v>
      </c>
      <c r="B56" s="272"/>
      <c r="C56" s="272"/>
      <c r="D56" s="272" t="str">
        <f>"_______________   "&amp;malumot!B167&amp;""</f>
        <v>_______________   B. Mominov</v>
      </c>
      <c r="E56" s="272"/>
    </row>
    <row r="57" spans="1:6" ht="12.75" customHeight="1">
      <c r="A57" s="272"/>
      <c r="B57" s="272"/>
      <c r="C57" s="272"/>
      <c r="D57" s="272"/>
      <c r="E57" s="272"/>
    </row>
    <row r="58" spans="1:6">
      <c r="A58" s="308" t="s">
        <v>210</v>
      </c>
      <c r="B58" s="308"/>
      <c r="C58" s="308"/>
      <c r="D58" s="272"/>
      <c r="E58" s="272"/>
    </row>
    <row r="59" spans="1:6" ht="31.5" customHeight="1">
      <c r="A59" s="308" t="s">
        <v>211</v>
      </c>
      <c r="B59" s="308"/>
      <c r="C59" s="308"/>
      <c r="D59" s="308" t="str">
        <f>"_______________  "&amp;malumot!B7&amp;""</f>
        <v>_______________  XAYATOV O.K.</v>
      </c>
      <c r="E59" s="308"/>
    </row>
    <row r="60" spans="1:6" ht="12.75" customHeight="1">
      <c r="A60" s="272"/>
      <c r="B60" s="272"/>
      <c r="C60" s="272"/>
      <c r="D60" s="312" t="str">
        <f>IF(malumot!B99="да","",malumot!B126)</f>
        <v>FAYZIYEV J.K.</v>
      </c>
      <c r="E60" s="312"/>
    </row>
    <row r="61" spans="1:6" ht="17.25" customHeight="1">
      <c r="A61" s="308" t="str">
        <f>+IF(malumot!B99="ha"," ","3-tomondan:")</f>
        <v>3-tomondan:</v>
      </c>
      <c r="B61" s="308"/>
      <c r="C61" s="308"/>
      <c r="D61" s="308"/>
      <c r="E61" s="308"/>
      <c r="F61" s="10">
        <f>IF(malumot!B100=malumot!D100,B7,"")</f>
        <v>0</v>
      </c>
    </row>
    <row r="62" spans="1:6" ht="17.25" customHeight="1">
      <c r="A62" s="272" t="str">
        <f>+IF(malumot!B99="ha"," ","O'zbekiston Respublikasi fuqarosi")</f>
        <v>O'zbekiston Respublikasi fuqarosi</v>
      </c>
      <c r="B62" s="272"/>
      <c r="C62" s="272"/>
      <c r="D62" s="308" t="str">
        <f>"_______________  "&amp;malumot!B7&amp;""</f>
        <v>_______________  XAYATOV O.K.</v>
      </c>
      <c r="E62" s="308"/>
    </row>
    <row r="63" spans="1:6" ht="63.75" customHeight="1">
      <c r="A63" s="151" t="str">
        <f>IF(malumot!B100=malumot!C100,"_______________  "&amp;malumot!B120&amp;"","_______________  "&amp;malumot!B7&amp;"")</f>
        <v>_______________  XAYATOV O.K.</v>
      </c>
      <c r="B63" s="46"/>
      <c r="C63" s="272" t="str">
        <f>garov_ariza!A20</f>
        <v xml:space="preserve">№202502386001856 01.04.2025 sanasidan xususiy faoliyat ko'rsatuvchi notarius tomonidan BUXORO VILOYATI BUXORO SHAHRI ASHXOBOD KO'CHASI 1/3-UY SHARIPOV ZAFAR JO'RABOYEVICH berilgan ishonchnomaga asosan </v>
      </c>
      <c r="D63" s="272"/>
      <c r="E63" s="272"/>
    </row>
    <row r="64" spans="1:6" ht="6.75" customHeight="1">
      <c r="D64" s="301"/>
      <c r="E64" s="301"/>
    </row>
  </sheetData>
  <mergeCells count="48">
    <mergeCell ref="A19:E19"/>
    <mergeCell ref="A24:E24"/>
    <mergeCell ref="B20:C20"/>
    <mergeCell ref="B21:C21"/>
    <mergeCell ref="A22:E22"/>
    <mergeCell ref="A23:E23"/>
    <mergeCell ref="A14:E14"/>
    <mergeCell ref="A15:E15"/>
    <mergeCell ref="A16:E16"/>
    <mergeCell ref="A17:E17"/>
    <mergeCell ref="A18:E18"/>
    <mergeCell ref="A60:C60"/>
    <mergeCell ref="D60:E60"/>
    <mergeCell ref="A61:C61"/>
    <mergeCell ref="D61:E61"/>
    <mergeCell ref="A62:C62"/>
    <mergeCell ref="D62:E62"/>
    <mergeCell ref="A57:C57"/>
    <mergeCell ref="D57:E57"/>
    <mergeCell ref="A58:C58"/>
    <mergeCell ref="D58:E58"/>
    <mergeCell ref="A59:C59"/>
    <mergeCell ref="D59:E59"/>
    <mergeCell ref="D64:E64"/>
    <mergeCell ref="A2:E2"/>
    <mergeCell ref="A11:E11"/>
    <mergeCell ref="A12:E12"/>
    <mergeCell ref="A13:E13"/>
    <mergeCell ref="A10:E10"/>
    <mergeCell ref="A5:E5"/>
    <mergeCell ref="A6:E6"/>
    <mergeCell ref="A7:E7"/>
    <mergeCell ref="A8:E8"/>
    <mergeCell ref="A9:E9"/>
    <mergeCell ref="C63:E63"/>
    <mergeCell ref="A26:E26"/>
    <mergeCell ref="A25:E25"/>
    <mergeCell ref="A54:C54"/>
    <mergeCell ref="A55:C55"/>
    <mergeCell ref="A56:C56"/>
    <mergeCell ref="D56:E56"/>
    <mergeCell ref="A27:E27"/>
    <mergeCell ref="A50:C50"/>
    <mergeCell ref="A46:E46"/>
    <mergeCell ref="A47:E47"/>
    <mergeCell ref="E33:E43"/>
    <mergeCell ref="A28:E28"/>
    <mergeCell ref="A48:E48"/>
  </mergeCells>
  <printOptions horizontalCentered="1"/>
  <pageMargins left="0.70866141732283472" right="0.70866141732283472" top="0.74803149606299213" bottom="0.74803149606299213" header="0.31496062992125984" footer="0.31496062992125984"/>
  <pageSetup paperSize="9" scale="64"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B050"/>
  </sheetPr>
  <dimension ref="A1:D54"/>
  <sheetViews>
    <sheetView view="pageBreakPreview" topLeftCell="A6" zoomScale="85" zoomScaleSheetLayoutView="85" workbookViewId="0">
      <selection activeCell="B23" sqref="B23"/>
    </sheetView>
  </sheetViews>
  <sheetFormatPr defaultColWidth="9.140625" defaultRowHeight="15.75"/>
  <cols>
    <col min="1" max="1" width="20.140625" style="4" customWidth="1"/>
    <col min="2" max="2" width="18.7109375" style="4" customWidth="1"/>
    <col min="3" max="3" width="18.42578125" style="4" customWidth="1"/>
    <col min="4" max="4" width="28.7109375" style="4" customWidth="1"/>
    <col min="5" max="16384" width="9.140625" style="4"/>
  </cols>
  <sheetData>
    <row r="1" spans="1:4" ht="36.75" customHeight="1">
      <c r="C1" s="318" t="str">
        <f>malumot!B155&amp;" Ijrochi direktori"</f>
        <v>«CLEVER MIKROMOLIYA TASHKILOTI» MChJ Ijrochi direktori</v>
      </c>
      <c r="D1" s="318"/>
    </row>
    <row r="2" spans="1:4">
      <c r="C2" s="319" t="s">
        <v>395</v>
      </c>
      <c r="D2" s="319"/>
    </row>
    <row r="3" spans="1:4">
      <c r="C3" s="8"/>
      <c r="D3" s="9"/>
    </row>
    <row r="4" spans="1:4" ht="43.5" customHeight="1">
      <c r="C4" s="317" t="str">
        <f>malumot!B22&amp;" manzilida istiqomat qiluvchi"</f>
        <v>BUXORO VILOYATI KOGON TUMANI NIYOZ HOJI QISHLOG'I manzilida istiqomat qiluvchi</v>
      </c>
      <c r="D4" s="317"/>
    </row>
    <row r="5" spans="1:4" ht="36" customHeight="1">
      <c r="C5" s="317" t="str">
        <f>malumot!B5&amp;" tomonidan"</f>
        <v>XAYATOV OTABEK KURBANOVICH tomonidan</v>
      </c>
      <c r="D5" s="317"/>
    </row>
    <row r="6" spans="1:4" ht="51" customHeight="1">
      <c r="C6" s="259" t="str">
        <f>"Pasport: "&amp;malumot!B16&amp;", "&amp;malumot!B20</f>
        <v>Pasport: AB 7858443, BUXORO VILOYATI KOGON TUMAN IIB tomonidan 06.10.2017 yilda berilgan</v>
      </c>
      <c r="D6" s="259"/>
    </row>
    <row r="7" spans="1:4">
      <c r="C7" s="8"/>
      <c r="D7" s="9"/>
    </row>
    <row r="8" spans="1:4">
      <c r="A8" s="260" t="s">
        <v>396</v>
      </c>
      <c r="B8" s="260"/>
      <c r="C8" s="260"/>
      <c r="D8" s="260"/>
    </row>
    <row r="9" spans="1:4" ht="67.5" customHeight="1">
      <c r="A9" s="320" t="str">
        <f>"       Men, " &amp; malumot!B5 &amp; " sizdan " &amp; malumot!B2 &amp; " yildagi " &amp; malumot!B1 &amp; "-sonli kredit shartnomasiga asosan " &amp; malumot!B75  &amp; "(" &amp; malumot!B76 &amp; ")"  &amp; "so'm pul mablag'larini quyidagi rekvizitlar asosida o'tkazib berishingizni so'rayman: "</f>
        <v xml:space="preserve">       Men, XAYATOV OTABEK KURBANOVICH sizdan 01.04.2025 yildagi № 687-BR-sonli kredit shartnomasiga asosan 26000000(yigirma olti million so'm)so'm pul mablag'larini quyidagi rekvizitlar asosida o'tkazib berishingizni so'rayman: </v>
      </c>
      <c r="B9" s="320"/>
      <c r="C9" s="320"/>
      <c r="D9" s="320"/>
    </row>
    <row r="10" spans="1:4">
      <c r="A10" s="188" t="str">
        <f>malumot!A92</f>
        <v>Bank nomi:</v>
      </c>
      <c r="B10" s="320" t="str">
        <f>malumot!B92</f>
        <v xml:space="preserve">«Kapital bank» </v>
      </c>
      <c r="C10" s="320"/>
      <c r="D10" s="189"/>
    </row>
    <row r="11" spans="1:4">
      <c r="A11" s="188" t="str">
        <f>malumot!A93</f>
        <v>H/r:</v>
      </c>
      <c r="B11" s="320" t="str">
        <f>malumot!B93</f>
        <v xml:space="preserve">2312 0000 7000 1200 0000 </v>
      </c>
      <c r="C11" s="320"/>
      <c r="D11" s="189"/>
    </row>
    <row r="12" spans="1:4">
      <c r="A12" s="188" t="str">
        <f>malumot!A94</f>
        <v>MFO:</v>
      </c>
      <c r="B12" s="320" t="str">
        <f>malumot!B94</f>
        <v>01158</v>
      </c>
      <c r="C12" s="320"/>
      <c r="D12" s="141"/>
    </row>
    <row r="13" spans="1:4">
      <c r="A13" s="188" t="str">
        <f>malumot!A95</f>
        <v>STIR:</v>
      </c>
      <c r="B13" s="320" t="str">
        <f>malumot!B95</f>
        <v>207275139</v>
      </c>
      <c r="C13" s="320"/>
      <c r="D13" s="141"/>
    </row>
    <row r="14" spans="1:4">
      <c r="A14" s="188" t="str">
        <f>malumot!A96</f>
        <v>Karta raqami:</v>
      </c>
      <c r="B14" s="320" t="str">
        <f>malumot!B96</f>
        <v>5614 6822 1468 2009</v>
      </c>
      <c r="C14" s="320"/>
      <c r="D14" s="141"/>
    </row>
    <row r="15" spans="1:4">
      <c r="A15" s="316"/>
      <c r="B15" s="316"/>
      <c r="C15" s="316"/>
      <c r="D15" s="316"/>
    </row>
    <row r="16" spans="1:4" ht="15.75" customHeight="1">
      <c r="A16" s="317" t="str">
        <f>malumot!B5</f>
        <v>XAYATOV OTABEK KURBANOVICH</v>
      </c>
      <c r="B16" s="317"/>
      <c r="C16" s="317"/>
      <c r="D16" s="190" t="s">
        <v>405</v>
      </c>
    </row>
    <row r="17" spans="1:4">
      <c r="A17" s="191"/>
      <c r="B17" s="191"/>
      <c r="D17" s="192" t="s">
        <v>328</v>
      </c>
    </row>
    <row r="18" spans="1:4">
      <c r="A18" s="129"/>
      <c r="B18" s="129"/>
      <c r="C18" s="129"/>
      <c r="D18" s="129"/>
    </row>
    <row r="19" spans="1:4">
      <c r="A19" s="129"/>
      <c r="B19" s="129"/>
      <c r="C19" s="129"/>
      <c r="D19" s="129"/>
    </row>
    <row r="20" spans="1:4" ht="15.75" customHeight="1">
      <c r="A20" s="317" t="str">
        <f>malumot!B155&amp;" ijrochi direktori"</f>
        <v>«CLEVER MIKROMOLIYA TASHKILOTI» MChJ ijrochi direktori</v>
      </c>
      <c r="B20" s="317"/>
      <c r="C20" s="201"/>
      <c r="D20" s="31"/>
    </row>
    <row r="21" spans="1:4" ht="39" customHeight="1">
      <c r="A21" s="317"/>
      <c r="B21" s="317"/>
      <c r="C21" s="129"/>
      <c r="D21" s="200" t="s">
        <v>393</v>
      </c>
    </row>
    <row r="22" spans="1:4">
      <c r="A22" s="129"/>
      <c r="B22" s="129"/>
      <c r="C22" s="129"/>
      <c r="D22" s="129"/>
    </row>
    <row r="23" spans="1:4">
      <c r="A23" s="129" t="s">
        <v>406</v>
      </c>
      <c r="B23" s="129" t="s">
        <v>407</v>
      </c>
      <c r="C23" s="129"/>
      <c r="D23" s="129"/>
    </row>
    <row r="24" spans="1:4">
      <c r="A24" s="129"/>
      <c r="B24" s="129"/>
      <c r="C24" s="129"/>
    </row>
    <row r="25" spans="1:4">
      <c r="A25" s="129"/>
      <c r="B25" s="129"/>
      <c r="C25" s="129"/>
      <c r="D25" s="129"/>
    </row>
    <row r="26" spans="1:4">
      <c r="A26" s="316"/>
      <c r="B26" s="316"/>
      <c r="C26" s="316"/>
      <c r="D26" s="316"/>
    </row>
    <row r="27" spans="1:4">
      <c r="A27" s="316"/>
      <c r="B27" s="316"/>
      <c r="C27" s="316"/>
      <c r="D27" s="316"/>
    </row>
    <row r="28" spans="1:4">
      <c r="A28" s="316"/>
      <c r="B28" s="316"/>
      <c r="C28" s="316"/>
      <c r="D28" s="316"/>
    </row>
    <row r="29" spans="1:4">
      <c r="A29" s="316"/>
      <c r="B29" s="316"/>
      <c r="C29" s="316"/>
      <c r="D29" s="316"/>
    </row>
    <row r="30" spans="1:4">
      <c r="A30" s="316"/>
      <c r="B30" s="316"/>
      <c r="C30" s="316"/>
      <c r="D30" s="316"/>
    </row>
    <row r="31" spans="1:4">
      <c r="A31" s="316"/>
      <c r="B31" s="316"/>
      <c r="C31" s="316"/>
      <c r="D31" s="316"/>
    </row>
    <row r="32" spans="1:4">
      <c r="A32" s="316"/>
      <c r="B32" s="316"/>
      <c r="C32" s="316"/>
      <c r="D32" s="316"/>
    </row>
    <row r="33" spans="1:4">
      <c r="A33" s="316"/>
      <c r="B33" s="316"/>
      <c r="C33" s="316"/>
      <c r="D33" s="316"/>
    </row>
    <row r="34" spans="1:4">
      <c r="A34" s="316"/>
      <c r="B34" s="316"/>
      <c r="C34" s="316"/>
      <c r="D34" s="316"/>
    </row>
    <row r="35" spans="1:4">
      <c r="A35" s="316"/>
      <c r="B35" s="316"/>
      <c r="C35" s="316"/>
      <c r="D35" s="316"/>
    </row>
    <row r="36" spans="1:4">
      <c r="A36" s="316"/>
      <c r="B36" s="316"/>
      <c r="C36" s="316"/>
      <c r="D36" s="316"/>
    </row>
    <row r="37" spans="1:4">
      <c r="A37" s="316"/>
      <c r="B37" s="316"/>
      <c r="C37" s="316"/>
      <c r="D37" s="316"/>
    </row>
    <row r="38" spans="1:4">
      <c r="A38" s="316"/>
      <c r="B38" s="316"/>
      <c r="C38" s="316"/>
      <c r="D38" s="316"/>
    </row>
    <row r="39" spans="1:4">
      <c r="A39" s="316"/>
      <c r="B39" s="316"/>
      <c r="C39" s="316"/>
      <c r="D39" s="316"/>
    </row>
    <row r="40" spans="1:4">
      <c r="A40" s="316"/>
      <c r="B40" s="316"/>
      <c r="C40" s="316"/>
      <c r="D40" s="316"/>
    </row>
    <row r="41" spans="1:4">
      <c r="A41" s="316"/>
      <c r="B41" s="316"/>
      <c r="C41" s="316"/>
      <c r="D41" s="316"/>
    </row>
    <row r="42" spans="1:4">
      <c r="A42" s="316"/>
      <c r="B42" s="316"/>
      <c r="C42" s="316"/>
      <c r="D42" s="316"/>
    </row>
    <row r="43" spans="1:4">
      <c r="A43" s="316"/>
      <c r="B43" s="316"/>
      <c r="C43" s="316"/>
      <c r="D43" s="316"/>
    </row>
    <row r="44" spans="1:4">
      <c r="A44" s="316"/>
      <c r="B44" s="316"/>
      <c r="C44" s="316"/>
      <c r="D44" s="316"/>
    </row>
    <row r="45" spans="1:4">
      <c r="A45" s="316"/>
      <c r="B45" s="316"/>
      <c r="C45" s="316"/>
      <c r="D45" s="316"/>
    </row>
    <row r="46" spans="1:4">
      <c r="A46" s="316"/>
      <c r="B46" s="316"/>
      <c r="C46" s="316"/>
      <c r="D46" s="316"/>
    </row>
    <row r="47" spans="1:4">
      <c r="A47" s="316"/>
      <c r="B47" s="316"/>
      <c r="C47" s="316"/>
      <c r="D47" s="316"/>
    </row>
    <row r="48" spans="1:4">
      <c r="A48" s="316"/>
      <c r="B48" s="316"/>
      <c r="C48" s="316"/>
      <c r="D48" s="316"/>
    </row>
    <row r="49" spans="1:4">
      <c r="A49" s="316"/>
      <c r="B49" s="316"/>
      <c r="C49" s="316"/>
      <c r="D49" s="316"/>
    </row>
    <row r="50" spans="1:4">
      <c r="A50" s="316"/>
      <c r="B50" s="316"/>
      <c r="C50" s="316"/>
      <c r="D50" s="316"/>
    </row>
    <row r="51" spans="1:4">
      <c r="A51" s="316"/>
      <c r="B51" s="316"/>
      <c r="C51" s="316"/>
      <c r="D51" s="316"/>
    </row>
    <row r="52" spans="1:4">
      <c r="A52" s="316"/>
      <c r="B52" s="316"/>
      <c r="C52" s="316"/>
      <c r="D52" s="316"/>
    </row>
    <row r="53" spans="1:4">
      <c r="A53" s="316"/>
      <c r="B53" s="316"/>
      <c r="C53" s="316"/>
      <c r="D53" s="316"/>
    </row>
    <row r="54" spans="1:4">
      <c r="A54" s="316"/>
      <c r="B54" s="316"/>
      <c r="C54" s="316"/>
      <c r="D54" s="316"/>
    </row>
  </sheetData>
  <mergeCells count="44">
    <mergeCell ref="A20:B21"/>
    <mergeCell ref="A15:D15"/>
    <mergeCell ref="C1:D1"/>
    <mergeCell ref="A16:C16"/>
    <mergeCell ref="C2:D2"/>
    <mergeCell ref="B10:C10"/>
    <mergeCell ref="B11:C11"/>
    <mergeCell ref="B12:C12"/>
    <mergeCell ref="B13:C13"/>
    <mergeCell ref="B14:C14"/>
    <mergeCell ref="A9:D9"/>
    <mergeCell ref="A34:D34"/>
    <mergeCell ref="A26:D26"/>
    <mergeCell ref="A27:D27"/>
    <mergeCell ref="A28:D28"/>
    <mergeCell ref="A29:D29"/>
    <mergeCell ref="A30:D30"/>
    <mergeCell ref="A31:D31"/>
    <mergeCell ref="A32:D32"/>
    <mergeCell ref="A33:D33"/>
    <mergeCell ref="A45:D45"/>
    <mergeCell ref="A46:D46"/>
    <mergeCell ref="A35:D35"/>
    <mergeCell ref="A36:D36"/>
    <mergeCell ref="A37:D37"/>
    <mergeCell ref="A38:D38"/>
    <mergeCell ref="A39:D39"/>
    <mergeCell ref="A40:D40"/>
    <mergeCell ref="A53:D53"/>
    <mergeCell ref="A54:D54"/>
    <mergeCell ref="C4:D4"/>
    <mergeCell ref="C6:D6"/>
    <mergeCell ref="C5:D5"/>
    <mergeCell ref="A8:D8"/>
    <mergeCell ref="A47:D47"/>
    <mergeCell ref="A48:D48"/>
    <mergeCell ref="A49:D49"/>
    <mergeCell ref="A50:D50"/>
    <mergeCell ref="A51:D51"/>
    <mergeCell ref="A52:D52"/>
    <mergeCell ref="A41:D41"/>
    <mergeCell ref="A42:D42"/>
    <mergeCell ref="A43:D43"/>
    <mergeCell ref="A44:D44"/>
  </mergeCells>
  <pageMargins left="0.7" right="0.7" top="0.75" bottom="0.75" header="0.3" footer="0.3"/>
  <pageSetup paperSize="9" scale="8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Лист17">
    <tabColor rgb="FF00B050"/>
  </sheetPr>
  <dimension ref="B1:G42"/>
  <sheetViews>
    <sheetView view="pageBreakPreview" zoomScaleSheetLayoutView="100" workbookViewId="0">
      <selection activeCell="B40" sqref="B40:F40"/>
    </sheetView>
  </sheetViews>
  <sheetFormatPr defaultColWidth="9.140625" defaultRowHeight="15"/>
  <cols>
    <col min="1" max="1" width="3.42578125" style="10" customWidth="1"/>
    <col min="2" max="3" width="17.85546875" style="15" customWidth="1"/>
    <col min="4" max="4" width="15" style="15" customWidth="1"/>
    <col min="5" max="5" width="17.85546875" style="15" customWidth="1"/>
    <col min="6" max="6" width="9" style="15" customWidth="1"/>
    <col min="7" max="7" width="4.7109375" style="15" customWidth="1"/>
    <col min="8" max="16384" width="9.140625" style="10"/>
  </cols>
  <sheetData>
    <row r="1" spans="2:7" ht="15.75" thickBot="1"/>
    <row r="2" spans="2:7" ht="62.25" customHeight="1">
      <c r="B2" s="326" t="str">
        <f>malumot!B156</f>
        <v>«CLEVER MIKROMOLIYA TASHKILOTI» MChJ</v>
      </c>
      <c r="C2" s="327"/>
      <c r="D2" s="327"/>
      <c r="E2" s="327"/>
      <c r="F2" s="328"/>
      <c r="G2" s="35"/>
    </row>
    <row r="3" spans="2:7">
      <c r="B3" s="321"/>
      <c r="C3" s="303"/>
      <c r="D3" s="303"/>
      <c r="E3" s="303"/>
      <c r="F3" s="322"/>
      <c r="G3" s="36"/>
    </row>
    <row r="4" spans="2:7" ht="8.25" customHeight="1">
      <c r="B4" s="47"/>
      <c r="F4" s="48"/>
      <c r="G4" s="36"/>
    </row>
    <row r="5" spans="2:7" ht="12" customHeight="1">
      <c r="B5" s="38"/>
      <c r="C5" s="36"/>
      <c r="D5" s="36"/>
      <c r="E5" s="36"/>
      <c r="F5" s="39"/>
      <c r="G5" s="36"/>
    </row>
    <row r="6" spans="2:7" ht="6.75" customHeight="1">
      <c r="B6" s="38"/>
      <c r="C6" s="36"/>
      <c r="D6" s="36"/>
      <c r="E6" s="36"/>
      <c r="F6" s="39"/>
      <c r="G6" s="36"/>
    </row>
    <row r="7" spans="2:7" ht="6.75" customHeight="1">
      <c r="B7" s="38"/>
      <c r="C7" s="36"/>
      <c r="D7" s="36"/>
      <c r="E7" s="36"/>
      <c r="F7" s="39"/>
      <c r="G7" s="36"/>
    </row>
    <row r="8" spans="2:7">
      <c r="B8" s="38"/>
      <c r="C8" s="36"/>
      <c r="D8" s="36"/>
      <c r="E8" s="36"/>
      <c r="F8" s="39"/>
      <c r="G8" s="36"/>
    </row>
    <row r="9" spans="2:7">
      <c r="B9" s="38"/>
      <c r="C9" s="36"/>
      <c r="D9" s="36"/>
      <c r="E9" s="36"/>
      <c r="F9" s="39"/>
      <c r="G9" s="36"/>
    </row>
    <row r="10" spans="2:7">
      <c r="B10" s="321" t="s">
        <v>26</v>
      </c>
      <c r="C10" s="303"/>
      <c r="D10" s="303"/>
      <c r="E10" s="303"/>
      <c r="F10" s="322"/>
      <c r="G10" s="36"/>
    </row>
    <row r="11" spans="2:7">
      <c r="B11" s="321" t="s">
        <v>26</v>
      </c>
      <c r="C11" s="303"/>
      <c r="D11" s="303"/>
      <c r="E11" s="303"/>
      <c r="F11" s="322"/>
      <c r="G11" s="36"/>
    </row>
    <row r="12" spans="2:7" ht="135" customHeight="1">
      <c r="B12" s="329" t="str">
        <f>malumot!B5</f>
        <v>XAYATOV OTABEK KURBANOVICH</v>
      </c>
      <c r="C12" s="330"/>
      <c r="D12" s="330"/>
      <c r="E12" s="330"/>
      <c r="F12" s="331"/>
      <c r="G12" s="37"/>
    </row>
    <row r="13" spans="2:7">
      <c r="B13" s="321"/>
      <c r="C13" s="303"/>
      <c r="D13" s="303"/>
      <c r="E13" s="303"/>
      <c r="F13" s="322"/>
      <c r="G13" s="36"/>
    </row>
    <row r="14" spans="2:7">
      <c r="B14" s="38"/>
      <c r="C14" s="36"/>
      <c r="D14" s="36"/>
      <c r="E14" s="36"/>
      <c r="F14" s="39"/>
      <c r="G14" s="36"/>
    </row>
    <row r="15" spans="2:7">
      <c r="B15" s="38"/>
      <c r="C15" s="36"/>
      <c r="D15" s="36"/>
      <c r="E15" s="36"/>
      <c r="F15" s="39"/>
      <c r="G15" s="36"/>
    </row>
    <row r="16" spans="2:7">
      <c r="B16" s="38"/>
      <c r="C16" s="36"/>
      <c r="D16" s="36"/>
      <c r="E16" s="36"/>
      <c r="F16" s="39"/>
      <c r="G16" s="36"/>
    </row>
    <row r="17" spans="2:7">
      <c r="B17" s="38"/>
      <c r="C17" s="36"/>
      <c r="D17" s="36"/>
      <c r="E17" s="36"/>
      <c r="F17" s="39"/>
      <c r="G17" s="36"/>
    </row>
    <row r="18" spans="2:7">
      <c r="B18" s="321"/>
      <c r="C18" s="303"/>
      <c r="D18" s="303"/>
      <c r="E18" s="303"/>
      <c r="F18" s="322"/>
      <c r="G18" s="36"/>
    </row>
    <row r="19" spans="2:7" ht="20.25">
      <c r="B19" s="323" t="str">
        <f>""&amp;malumot!C64&amp;" shartnoma "&amp;malumot!B74&amp;""</f>
        <v>Mikroqarz shartnoma 1 aprel 2025 y.dan № 687-BR</v>
      </c>
      <c r="C19" s="324"/>
      <c r="D19" s="324"/>
      <c r="E19" s="324"/>
      <c r="F19" s="325"/>
      <c r="G19" s="36"/>
    </row>
    <row r="20" spans="2:7">
      <c r="B20" s="321"/>
      <c r="C20" s="303"/>
      <c r="D20" s="303"/>
      <c r="E20" s="303"/>
      <c r="F20" s="322"/>
      <c r="G20" s="36"/>
    </row>
    <row r="21" spans="2:7">
      <c r="B21" s="321"/>
      <c r="C21" s="303"/>
      <c r="D21" s="303"/>
      <c r="E21" s="303"/>
      <c r="F21" s="322"/>
      <c r="G21" s="36"/>
    </row>
    <row r="22" spans="2:7">
      <c r="B22" s="321"/>
      <c r="C22" s="303"/>
      <c r="D22" s="303"/>
      <c r="E22" s="303"/>
      <c r="F22" s="322"/>
      <c r="G22" s="36"/>
    </row>
    <row r="23" spans="2:7">
      <c r="B23" s="321"/>
      <c r="C23" s="303"/>
      <c r="D23" s="303"/>
      <c r="E23" s="303"/>
      <c r="F23" s="322"/>
      <c r="G23" s="36"/>
    </row>
    <row r="24" spans="2:7">
      <c r="B24" s="335" t="str">
        <f>" Foiz stavkasi: "&amp;malumot!B85&amp;"%"</f>
        <v xml:space="preserve"> Foiz stavkasi: 60%</v>
      </c>
      <c r="C24" s="273"/>
      <c r="D24" s="273"/>
      <c r="E24" s="273"/>
      <c r="F24" s="336"/>
      <c r="G24" s="36"/>
    </row>
    <row r="25" spans="2:7" ht="15" customHeight="1">
      <c r="B25" s="335" t="str">
        <f>" "&amp;malumot!C64&amp;" muddati: "&amp;malumot!B81&amp;" oy"</f>
        <v xml:space="preserve"> Mikroqarz muddati: 32 oy</v>
      </c>
      <c r="C25" s="273"/>
      <c r="D25" s="273"/>
      <c r="E25" s="273"/>
      <c r="F25" s="336"/>
      <c r="G25" s="36"/>
    </row>
    <row r="26" spans="2:7">
      <c r="B26" s="335" t="str">
        <f>" "&amp;malumot!C64&amp;" miqdori: "&amp;FIXED(malumot!B75,2)&amp;" so'm"</f>
        <v xml:space="preserve"> Mikroqarz miqdori: 26 000 000,00 so'm</v>
      </c>
      <c r="C26" s="273"/>
      <c r="D26" s="273"/>
      <c r="E26" s="273"/>
      <c r="F26" s="336"/>
      <c r="G26" s="36"/>
    </row>
    <row r="27" spans="2:7">
      <c r="B27" s="321"/>
      <c r="C27" s="303"/>
      <c r="D27" s="303"/>
      <c r="E27" s="303"/>
      <c r="F27" s="322"/>
      <c r="G27" s="36"/>
    </row>
    <row r="28" spans="2:7" hidden="1">
      <c r="G28" s="36"/>
    </row>
    <row r="29" spans="2:7">
      <c r="B29" s="321"/>
      <c r="C29" s="303"/>
      <c r="D29" s="303"/>
      <c r="E29" s="303"/>
      <c r="F29" s="322"/>
      <c r="G29" s="36"/>
    </row>
    <row r="30" spans="2:7" ht="12.75" customHeight="1">
      <c r="B30" s="38"/>
      <c r="C30" s="36"/>
      <c r="D30" s="36"/>
      <c r="E30" s="36"/>
      <c r="F30" s="39"/>
      <c r="G30" s="36"/>
    </row>
    <row r="31" spans="2:7">
      <c r="B31" s="38"/>
      <c r="C31" s="36"/>
      <c r="D31" s="36"/>
      <c r="E31" s="36"/>
      <c r="F31" s="39"/>
      <c r="G31" s="36"/>
    </row>
    <row r="32" spans="2:7" ht="2.25" customHeight="1">
      <c r="B32" s="38"/>
      <c r="C32" s="36"/>
      <c r="D32" s="36"/>
      <c r="E32" s="36"/>
      <c r="F32" s="39"/>
      <c r="G32" s="36"/>
    </row>
    <row r="33" spans="2:7">
      <c r="B33" s="38"/>
      <c r="C33" s="36"/>
      <c r="D33" s="36"/>
      <c r="E33" s="36"/>
      <c r="F33" s="39"/>
      <c r="G33" s="36"/>
    </row>
    <row r="34" spans="2:7">
      <c r="B34" s="38"/>
      <c r="C34" s="36"/>
      <c r="D34" s="36"/>
      <c r="E34" s="36"/>
      <c r="F34" s="39"/>
      <c r="G34" s="36"/>
    </row>
    <row r="35" spans="2:7">
      <c r="B35" s="38"/>
      <c r="C35" s="36"/>
      <c r="D35" s="36"/>
      <c r="E35" s="36"/>
      <c r="F35" s="39"/>
      <c r="G35" s="36"/>
    </row>
    <row r="36" spans="2:7">
      <c r="B36" s="38"/>
      <c r="C36" s="36"/>
      <c r="D36" s="36"/>
      <c r="E36" s="36"/>
      <c r="F36" s="39"/>
      <c r="G36" s="36"/>
    </row>
    <row r="37" spans="2:7">
      <c r="B37" s="38"/>
      <c r="C37" s="36"/>
      <c r="D37" s="36"/>
      <c r="E37" s="36"/>
      <c r="F37" s="39"/>
      <c r="G37" s="36"/>
    </row>
    <row r="38" spans="2:7">
      <c r="B38" s="38"/>
      <c r="C38" s="36"/>
      <c r="D38" s="36"/>
      <c r="E38" s="36"/>
      <c r="F38" s="39"/>
      <c r="G38" s="36"/>
    </row>
    <row r="39" spans="2:7">
      <c r="B39" s="38"/>
      <c r="C39" s="36"/>
      <c r="D39" s="36"/>
      <c r="E39" s="36"/>
      <c r="F39" s="39"/>
      <c r="G39" s="36"/>
    </row>
    <row r="40" spans="2:7" ht="15.75" thickBot="1">
      <c r="B40" s="332" t="str">
        <f>"Toshkent sh., "&amp;malumot!B70&amp;""</f>
        <v>Toshkent sh., 1 aprel 2025 y.</v>
      </c>
      <c r="C40" s="333"/>
      <c r="D40" s="333"/>
      <c r="E40" s="333"/>
      <c r="F40" s="334"/>
      <c r="G40" s="36"/>
    </row>
    <row r="41" spans="2:7">
      <c r="B41" s="303"/>
      <c r="C41" s="303"/>
      <c r="D41" s="303"/>
      <c r="E41" s="303"/>
      <c r="F41" s="303"/>
      <c r="G41" s="36"/>
    </row>
    <row r="42" spans="2:7">
      <c r="B42" s="303"/>
      <c r="C42" s="303"/>
      <c r="D42" s="303"/>
      <c r="E42" s="303"/>
      <c r="F42" s="303"/>
      <c r="G42" s="36"/>
    </row>
  </sheetData>
  <mergeCells count="20">
    <mergeCell ref="B40:F40"/>
    <mergeCell ref="B41:F41"/>
    <mergeCell ref="B42:F42"/>
    <mergeCell ref="B21:F21"/>
    <mergeCell ref="B22:F22"/>
    <mergeCell ref="B23:F23"/>
    <mergeCell ref="B27:F27"/>
    <mergeCell ref="B29:F29"/>
    <mergeCell ref="B24:F24"/>
    <mergeCell ref="B25:F25"/>
    <mergeCell ref="B26:F26"/>
    <mergeCell ref="B18:F18"/>
    <mergeCell ref="B19:F19"/>
    <mergeCell ref="B20:F20"/>
    <mergeCell ref="B2:F2"/>
    <mergeCell ref="B3:F3"/>
    <mergeCell ref="B10:F10"/>
    <mergeCell ref="B11:F11"/>
    <mergeCell ref="B12:F12"/>
    <mergeCell ref="B13:F13"/>
  </mergeCell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Лист5">
    <tabColor rgb="FF00B050"/>
  </sheetPr>
  <dimension ref="A1:F43"/>
  <sheetViews>
    <sheetView view="pageBreakPreview" topLeftCell="A6" zoomScaleSheetLayoutView="100" workbookViewId="0">
      <selection activeCell="F26" sqref="F26"/>
    </sheetView>
  </sheetViews>
  <sheetFormatPr defaultColWidth="9.140625" defaultRowHeight="12.75"/>
  <cols>
    <col min="1" max="6" width="14.28515625" style="19" customWidth="1"/>
    <col min="7" max="16384" width="9.140625" style="19"/>
  </cols>
  <sheetData>
    <row r="1" spans="1:6">
      <c r="A1" s="341" t="s">
        <v>215</v>
      </c>
      <c r="B1" s="341"/>
      <c r="C1" s="341"/>
      <c r="D1" s="341"/>
      <c r="E1" s="341"/>
      <c r="F1" s="341"/>
    </row>
    <row r="2" spans="1:6" ht="35.25" customHeight="1">
      <c r="A2" s="342" t="s">
        <v>323</v>
      </c>
      <c r="B2" s="342"/>
      <c r="C2" s="342"/>
      <c r="D2" s="342"/>
      <c r="E2" s="342"/>
      <c r="F2" s="342"/>
    </row>
    <row r="3" spans="1:6">
      <c r="A3" s="341" t="s">
        <v>216</v>
      </c>
      <c r="B3" s="341"/>
      <c r="C3" s="341"/>
      <c r="D3" s="341"/>
      <c r="E3" s="341"/>
      <c r="F3" s="341"/>
    </row>
    <row r="4" spans="1:6">
      <c r="A4" s="337" t="str">
        <f>xulosa!A4:E4</f>
        <v>Mijozning to'liq ismi sharifi: XAYATOV OTABEK KURBANOVICH</v>
      </c>
      <c r="B4" s="337"/>
      <c r="C4" s="337"/>
      <c r="D4" s="337"/>
      <c r="E4" s="337"/>
      <c r="F4" s="337"/>
    </row>
    <row r="5" spans="1:6">
      <c r="A5" s="337" t="str">
        <f>xulosa!A5:E5</f>
        <v>Tug'ilgan sanasi: 22.08.1982 y</v>
      </c>
      <c r="B5" s="337"/>
      <c r="C5" s="337"/>
      <c r="D5" s="337"/>
      <c r="E5" s="337"/>
      <c r="F5" s="337"/>
    </row>
    <row r="6" spans="1:6" ht="32.25" customHeight="1">
      <c r="A6" s="337" t="str">
        <f>xulosa!A6:E6</f>
        <v>Pasport seriyasi AB 7858443 BUXORO VILOYATI KOGON TUMAN IIB tomonidan 06.10.2017 yilda berilgan, amal qilish muddati - 05.10.2027 y.</v>
      </c>
      <c r="B6" s="337"/>
      <c r="C6" s="337"/>
      <c r="D6" s="337"/>
      <c r="E6" s="337"/>
      <c r="F6" s="337"/>
    </row>
    <row r="7" spans="1:6">
      <c r="A7" s="337" t="str">
        <f>"Fuqaroligi: "&amp;malumot!B32&amp;""</f>
        <v>Fuqaroligi: O’zbekiston Respublikasi</v>
      </c>
      <c r="B7" s="337"/>
      <c r="C7" s="337"/>
      <c r="D7" s="337"/>
      <c r="E7" s="337"/>
      <c r="F7" s="337"/>
    </row>
    <row r="8" spans="1:6" ht="26.25" customHeight="1">
      <c r="A8" s="337" t="str">
        <f>xulosa!A7:E7</f>
        <v>Ro‘yxatdan o‘tgan manzili: BUXORO VILOYATI KOGON TUMANI NIYOZ HOJI QISHLOG'I, mo'ljal: 25-MAKTAB, 3-BOG'CHA, XOKIMIYAT</v>
      </c>
      <c r="B8" s="337"/>
      <c r="C8" s="337"/>
      <c r="D8" s="337"/>
      <c r="E8" s="337"/>
      <c r="F8" s="337"/>
    </row>
    <row r="9" spans="1:6">
      <c r="A9" s="337" t="str">
        <f>IF(malumot!B23="mos keladi"," ",mijoz_anketasi!A10:F10)</f>
        <v xml:space="preserve"> </v>
      </c>
      <c r="B9" s="337"/>
      <c r="C9" s="337"/>
      <c r="D9" s="337"/>
      <c r="E9" s="337"/>
      <c r="F9" s="337"/>
    </row>
    <row r="10" spans="1:6" ht="31.5" hidden="1" customHeight="1">
      <c r="A10" s="337" t="str">
        <f>"Haqiqatdan yashash joy manzili: "&amp;malumot!B28&amp;""</f>
        <v>Haqiqatdan yashash joy manzili: BUXORO VILOYATI KOGON TUMANI NIYOZ HOJI QISHLOG'I</v>
      </c>
      <c r="B10" s="337"/>
      <c r="C10" s="337"/>
      <c r="D10" s="337"/>
      <c r="E10" s="337"/>
      <c r="F10" s="337"/>
    </row>
    <row r="11" spans="1:6" ht="16.5" hidden="1" customHeight="1">
      <c r="A11" s="337" t="str">
        <f>xulosa!A8:E8</f>
        <v>Ish joyi:  lavozimi Yakka tartibdagi tadbirkorda Yakka tartibdagi tadbirkor</v>
      </c>
      <c r="B11" s="337"/>
      <c r="C11" s="337"/>
      <c r="D11" s="337"/>
      <c r="E11" s="337"/>
      <c r="F11" s="337"/>
    </row>
    <row r="12" spans="1:6">
      <c r="A12" s="341" t="s">
        <v>217</v>
      </c>
      <c r="B12" s="341"/>
      <c r="C12" s="341"/>
      <c r="D12" s="341"/>
      <c r="E12" s="341"/>
      <c r="F12" s="341"/>
    </row>
    <row r="13" spans="1:6">
      <c r="A13" s="337" t="str">
        <f>"Uy telefoni raqami: "&amp;malumot!B40&amp;""</f>
        <v>Uy telefoni raqami: 97 305 82 83 UZI</v>
      </c>
      <c r="B13" s="337"/>
      <c r="C13" s="337"/>
      <c r="D13" s="337"/>
      <c r="E13" s="337"/>
      <c r="F13" s="337"/>
    </row>
    <row r="14" spans="1:6">
      <c r="A14" s="337" t="str">
        <f>"Uyali telefon raqami: "&amp;malumot!B41&amp;""</f>
        <v>Uyali telefon raqami: 88 305 82 89 AYOLI</v>
      </c>
      <c r="B14" s="337"/>
      <c r="C14" s="337"/>
      <c r="D14" s="337"/>
      <c r="E14" s="337"/>
      <c r="F14" s="337"/>
    </row>
    <row r="15" spans="1:6">
      <c r="A15" s="337" t="str">
        <f>"Uyali telefon raqami: "&amp;malumot!B42&amp;""</f>
        <v>Uyali telefon raqami: 97 705 05 17 O'G'LI</v>
      </c>
      <c r="B15" s="337"/>
      <c r="C15" s="337"/>
      <c r="D15" s="337"/>
      <c r="E15" s="337"/>
      <c r="F15" s="337"/>
    </row>
    <row r="16" spans="1:6" hidden="1">
      <c r="A16" s="337" t="str">
        <f>"Uyali telefon raqami: "&amp;malumot!B42&amp;""</f>
        <v>Uyali telefon raqami: 97 705 05 17 O'G'LI</v>
      </c>
      <c r="B16" s="337"/>
      <c r="C16" s="337"/>
      <c r="D16" s="337"/>
      <c r="E16" s="337"/>
      <c r="F16" s="337"/>
    </row>
    <row r="17" spans="1:6">
      <c r="A17" s="337" t="str">
        <f>"Ish telefoni raqami: "&amp;malumot!B43&amp;""</f>
        <v xml:space="preserve">Ish telefoni raqami: </v>
      </c>
      <c r="B17" s="337"/>
      <c r="C17" s="337"/>
      <c r="D17" s="337"/>
      <c r="E17" s="337"/>
      <c r="F17" s="337"/>
    </row>
    <row r="18" spans="1:6">
      <c r="A18" s="341" t="s">
        <v>218</v>
      </c>
      <c r="B18" s="341"/>
      <c r="C18" s="341"/>
      <c r="D18" s="341"/>
      <c r="E18" s="341"/>
      <c r="F18" s="341"/>
    </row>
    <row r="19" spans="1:6">
      <c r="A19" s="337" t="str">
        <f>"Muassasa nomlanishi:"&amp;malumot!B58&amp;""</f>
        <v>Muassasa nomlanishi:Yakka tartibdagi tadbirkor</v>
      </c>
      <c r="B19" s="337"/>
      <c r="C19" s="337"/>
      <c r="D19" s="337"/>
      <c r="E19" s="337"/>
      <c r="F19" s="337"/>
    </row>
    <row r="20" spans="1:6">
      <c r="A20" s="337" t="str">
        <f>"Ro‘yxatdan o‘tish manzili:"&amp;malumot!B50&amp;""</f>
        <v>Ro‘yxatdan o‘tish manzili:</v>
      </c>
      <c r="B20" s="337"/>
      <c r="C20" s="337"/>
      <c r="D20" s="337"/>
      <c r="E20" s="337"/>
      <c r="F20" s="337"/>
    </row>
    <row r="21" spans="1:6">
      <c r="A21" s="337" t="str">
        <f>"Lavozimi: "&amp;malumot!B59&amp;""</f>
        <v>Lavozimi: Yakka tartibdagi tadbirkor</v>
      </c>
      <c r="B21" s="337"/>
      <c r="C21" s="337"/>
      <c r="D21" s="337"/>
      <c r="E21" s="337"/>
      <c r="F21" s="337"/>
    </row>
    <row r="22" spans="1:6">
      <c r="A22" s="341" t="s">
        <v>219</v>
      </c>
      <c r="B22" s="338"/>
      <c r="C22" s="338"/>
      <c r="D22" s="338"/>
      <c r="E22" s="338"/>
      <c r="F22" s="338"/>
    </row>
    <row r="23" spans="1:6" s="21" customFormat="1" ht="25.5">
      <c r="A23" s="20" t="s">
        <v>220</v>
      </c>
      <c r="B23" s="20" t="s">
        <v>221</v>
      </c>
      <c r="C23" s="20" t="s">
        <v>222</v>
      </c>
      <c r="D23" s="20" t="s">
        <v>223</v>
      </c>
      <c r="E23" s="20" t="s">
        <v>224</v>
      </c>
      <c r="F23" s="20" t="s">
        <v>225</v>
      </c>
    </row>
    <row r="24" spans="1:6" ht="51">
      <c r="A24" s="22" t="s">
        <v>226</v>
      </c>
      <c r="B24" s="23">
        <f>malumot!B60</f>
        <v>10000000</v>
      </c>
      <c r="C24" s="23">
        <v>0</v>
      </c>
      <c r="D24" s="23">
        <v>0</v>
      </c>
      <c r="E24" s="22" t="s">
        <v>229</v>
      </c>
      <c r="F24" s="23">
        <v>700000</v>
      </c>
    </row>
    <row r="25" spans="1:6" ht="25.5">
      <c r="A25" s="22" t="s">
        <v>227</v>
      </c>
      <c r="B25" s="23">
        <v>0</v>
      </c>
      <c r="C25" s="23">
        <v>0</v>
      </c>
      <c r="D25" s="23">
        <v>0</v>
      </c>
      <c r="E25" s="22" t="s">
        <v>230</v>
      </c>
      <c r="F25" s="23">
        <v>450000</v>
      </c>
    </row>
    <row r="26" spans="1:6" ht="28.5" customHeight="1">
      <c r="A26" s="22" t="s">
        <v>228</v>
      </c>
      <c r="B26" s="23">
        <f>malumot!B61</f>
        <v>0</v>
      </c>
      <c r="C26" s="23">
        <v>0</v>
      </c>
      <c r="D26" s="23">
        <v>0</v>
      </c>
      <c r="E26" s="22" t="s">
        <v>231</v>
      </c>
      <c r="F26" s="23">
        <v>500000</v>
      </c>
    </row>
    <row r="27" spans="1:6" s="26" customFormat="1">
      <c r="A27" s="24" t="s">
        <v>207</v>
      </c>
      <c r="B27" s="25">
        <f>B24+B25+B26</f>
        <v>10000000</v>
      </c>
      <c r="C27" s="25">
        <f t="shared" ref="C27:D27" si="0">SUM(C24:C26)</f>
        <v>0</v>
      </c>
      <c r="D27" s="25">
        <f t="shared" si="0"/>
        <v>0</v>
      </c>
      <c r="E27" s="24"/>
      <c r="F27" s="25">
        <f>F24+F25+F26</f>
        <v>1650000</v>
      </c>
    </row>
    <row r="28" spans="1:6" ht="31.5" customHeight="1">
      <c r="A28" s="337" t="str">
        <f>"Men, "&amp;malumot!B5&amp;", ushbu anketada ko‘rsatilgan barcha ma'lumotlar anketa to'ldirilgan sanada  to'g'ri va aniq ekanligini tasdiqlayman."</f>
        <v>Men, XAYATOV OTABEK KURBANOVICH, ushbu anketada ko‘rsatilgan barcha ma'lumotlar anketa to'ldirilgan sanada  to'g'ri va aniq ekanligini tasdiqlayman.</v>
      </c>
      <c r="B28" s="337"/>
      <c r="C28" s="337"/>
      <c r="D28" s="337"/>
      <c r="E28" s="337"/>
      <c r="F28" s="337"/>
    </row>
    <row r="29" spans="1:6">
      <c r="A29" s="337" t="str">
        <f>"Men,  "&amp;malumot!B5&amp;", quyidagilarni tan olaman va roziman::"</f>
        <v>Men,  XAYATOV OTABEK KURBANOVICH, quyidagilarni tan olaman va roziman::</v>
      </c>
      <c r="B29" s="337"/>
      <c r="C29" s="337"/>
      <c r="D29" s="337"/>
      <c r="E29" s="337"/>
      <c r="F29" s="337"/>
    </row>
    <row r="30" spans="1:6" ht="45.75" customHeight="1">
      <c r="A30" s="337" t="str">
        <f>"1.  Ushbu anketada ko‘rsatilgan har qanday ma’lumot  "&amp;malumot!B155&amp;", uning xodimlari va huquqiy vorislari tomonidan istalgan manbaa va ma’lumotlardan foydalangan holda istalgan vaqtda tekshirilishi va qayta tekshirilishi mumkin."</f>
        <v>1.  Ushbu anketada ko‘rsatilgan har qanday ma’lumot  «CLEVER MIKROMOLIYA TASHKILOTI» MChJ, uning xodimlari va huquqiy vorislari tomonidan istalgan manbaa va ma’lumotlardan foydalangan holda istalgan vaqtda tekshirilishi va qayta tekshirilishi mumkin.</v>
      </c>
      <c r="B30" s="337"/>
      <c r="C30" s="337"/>
      <c r="D30" s="337"/>
      <c r="E30" s="337"/>
      <c r="F30" s="337"/>
    </row>
    <row r="31" spans="1:6" ht="42.75" customHeight="1">
      <c r="A31" s="337" t="str">
        <f>"2. Mazkur anketaning "&amp;malumot!B155&amp;" tomonidan qabul qilinishi “Clever Mikromoliya Tashkiloti” MChJ tomonidan menga "&amp;malumot!B65&amp;" berish majburiyatini yuklamaydi."</f>
        <v>2. Mazkur anketaning «CLEVER MIKROMOLIYA TASHKILOTI» MChJ tomonidan qabul qilinishi “Clever Mikromoliya Tashkiloti” MChJ tomonidan menga mikroqarz berish majburiyatini yuklamaydi.</v>
      </c>
      <c r="B31" s="337"/>
      <c r="C31" s="337"/>
      <c r="D31" s="337"/>
      <c r="E31" s="337"/>
      <c r="F31" s="337"/>
    </row>
    <row r="32" spans="1:6" ht="71.25" customHeight="1">
      <c r="A32" s="337" t="s">
        <v>232</v>
      </c>
      <c r="B32" s="337"/>
      <c r="C32" s="337"/>
      <c r="D32" s="337"/>
      <c r="E32" s="337"/>
      <c r="F32" s="337"/>
    </row>
    <row r="33" spans="1:6">
      <c r="A33" s="337"/>
      <c r="B33" s="337"/>
      <c r="C33" s="337"/>
      <c r="D33" s="337"/>
      <c r="E33" s="337"/>
      <c r="F33" s="337"/>
    </row>
    <row r="34" spans="1:6" ht="12.75" customHeight="1">
      <c r="A34" s="338" t="s">
        <v>233</v>
      </c>
      <c r="B34" s="338"/>
      <c r="C34" s="338"/>
      <c r="D34" s="126" t="s">
        <v>156</v>
      </c>
      <c r="E34" s="338" t="s">
        <v>234</v>
      </c>
      <c r="F34" s="338"/>
    </row>
    <row r="35" spans="1:6" ht="25.5" customHeight="1">
      <c r="A35" s="339"/>
      <c r="B35" s="339"/>
      <c r="C35" s="339"/>
      <c r="D35" s="340" t="str">
        <f>malumot!B2</f>
        <v>01.04.2025</v>
      </c>
      <c r="E35" s="339"/>
      <c r="F35" s="339"/>
    </row>
    <row r="36" spans="1:6" ht="25.5" customHeight="1">
      <c r="A36" s="339"/>
      <c r="B36" s="339"/>
      <c r="C36" s="339"/>
      <c r="D36" s="340"/>
      <c r="E36" s="339"/>
      <c r="F36" s="339"/>
    </row>
    <row r="37" spans="1:6">
      <c r="A37" s="337"/>
      <c r="B37" s="337"/>
      <c r="C37" s="337"/>
      <c r="D37" s="337"/>
      <c r="E37" s="337"/>
      <c r="F37" s="337"/>
    </row>
    <row r="38" spans="1:6">
      <c r="A38" s="337"/>
      <c r="B38" s="337"/>
      <c r="C38" s="337"/>
      <c r="D38" s="337"/>
      <c r="E38" s="337"/>
      <c r="F38" s="337"/>
    </row>
    <row r="39" spans="1:6">
      <c r="A39" s="337"/>
      <c r="B39" s="337"/>
      <c r="C39" s="337"/>
      <c r="D39" s="337"/>
      <c r="E39" s="337"/>
      <c r="F39" s="337"/>
    </row>
    <row r="40" spans="1:6">
      <c r="A40" s="337"/>
      <c r="B40" s="337"/>
      <c r="C40" s="337"/>
      <c r="D40" s="337"/>
      <c r="E40" s="337"/>
      <c r="F40" s="337"/>
    </row>
    <row r="41" spans="1:6">
      <c r="A41" s="337"/>
      <c r="B41" s="337"/>
      <c r="C41" s="337"/>
      <c r="D41" s="337"/>
      <c r="E41" s="337"/>
      <c r="F41" s="337"/>
    </row>
    <row r="42" spans="1:6">
      <c r="A42" s="337"/>
      <c r="B42" s="337"/>
      <c r="C42" s="337"/>
      <c r="D42" s="337"/>
      <c r="E42" s="337"/>
      <c r="F42" s="337"/>
    </row>
    <row r="43" spans="1:6">
      <c r="A43" s="337"/>
      <c r="B43" s="337"/>
      <c r="C43" s="337"/>
      <c r="D43" s="337"/>
      <c r="E43" s="337"/>
      <c r="F43" s="337"/>
    </row>
  </sheetData>
  <mergeCells count="41">
    <mergeCell ref="A15:F15"/>
    <mergeCell ref="A1:F1"/>
    <mergeCell ref="A2:F2"/>
    <mergeCell ref="A3:F3"/>
    <mergeCell ref="A4:F4"/>
    <mergeCell ref="A5:F5"/>
    <mergeCell ref="A6:F6"/>
    <mergeCell ref="A21:F21"/>
    <mergeCell ref="A7:F7"/>
    <mergeCell ref="A28:F28"/>
    <mergeCell ref="A16:F16"/>
    <mergeCell ref="A17:F17"/>
    <mergeCell ref="A22:F22"/>
    <mergeCell ref="A9:F9"/>
    <mergeCell ref="A10:F10"/>
    <mergeCell ref="A18:F18"/>
    <mergeCell ref="A19:F19"/>
    <mergeCell ref="A20:F20"/>
    <mergeCell ref="A8:F8"/>
    <mergeCell ref="A11:F11"/>
    <mergeCell ref="A12:F12"/>
    <mergeCell ref="A13:F13"/>
    <mergeCell ref="A14:F14"/>
    <mergeCell ref="A29:F29"/>
    <mergeCell ref="A30:F30"/>
    <mergeCell ref="A31:F31"/>
    <mergeCell ref="A32:F32"/>
    <mergeCell ref="A33:F33"/>
    <mergeCell ref="A41:F41"/>
    <mergeCell ref="A42:F42"/>
    <mergeCell ref="A43:F43"/>
    <mergeCell ref="A34:C34"/>
    <mergeCell ref="E34:F34"/>
    <mergeCell ref="A35:C35"/>
    <mergeCell ref="D35:D36"/>
    <mergeCell ref="E35:F36"/>
    <mergeCell ref="A36:C36"/>
    <mergeCell ref="A37:F37"/>
    <mergeCell ref="A38:F38"/>
    <mergeCell ref="A39:F39"/>
    <mergeCell ref="A40:F40"/>
  </mergeCells>
  <pageMargins left="0.7" right="0.7" top="0.75" bottom="0.75" header="0.3" footer="0.3"/>
  <pageSetup paperSize="9" scale="95"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Лист22">
    <tabColor rgb="FF00B050"/>
  </sheetPr>
  <dimension ref="A3:B11"/>
  <sheetViews>
    <sheetView view="pageBreakPreview" zoomScale="85" zoomScaleNormal="100" zoomScaleSheetLayoutView="85" workbookViewId="0">
      <selection activeCell="B24" sqref="B24"/>
    </sheetView>
  </sheetViews>
  <sheetFormatPr defaultRowHeight="15"/>
  <cols>
    <col min="1" max="1" width="54.42578125" style="10" customWidth="1"/>
    <col min="2" max="2" width="32.28515625" style="10" customWidth="1"/>
  </cols>
  <sheetData>
    <row r="3" spans="1:2" ht="35.25" customHeight="1">
      <c r="A3" s="315" t="s">
        <v>212</v>
      </c>
      <c r="B3" s="315"/>
    </row>
    <row r="4" spans="1:2" ht="92.25" customHeight="1">
      <c r="A4" s="271" t="str">
        <f>"     Men, fuqaro "&amp;malumot!B5&amp;" "&amp;malumot!B157&amp;" bilan "&amp;malumot!B69&amp;" sanasidagi "&amp;malumot!B66&amp;"-sonli shartnomaning garov ta'minoti sifatida taqdim etilayotgan mulk "&amp;malumot!B133&amp;" rusumli avtotransport vositasini qonunga xilof ravishda o‘zlashtirmaslikka, yashirmaslikka, nobud qilmaslikka yoki unga shikast yetkazmaslik majburiyatini olaman."</f>
        <v xml:space="preserve">     Men, fuqaro XAYATOV OTABEK KURBANOVICH «CLEVER MIKROMOLIYA TASHKILOTI» MChJ bilan 1 aprel 2025 y. sanasidagi № 687-BR-sonli shartnomaning garov ta'minoti sifatida taqdim etilayotgan mulk SPARK rusumli avtotransport vositasini qonunga xilof ravishda o‘zlashtirmaslikka, yashirmaslikka, nobud qilmaslikka yoki unga shikast yetkazmaslik majburiyatini olaman.</v>
      </c>
      <c r="B4" s="271"/>
    </row>
    <row r="5" spans="1:2" ht="56.25" customHeight="1">
      <c r="A5" s="343" t="s">
        <v>213</v>
      </c>
      <c r="B5" s="343"/>
    </row>
    <row r="6" spans="1:2" ht="42.75" customHeight="1"/>
    <row r="7" spans="1:2">
      <c r="A7" s="10" t="str">
        <f>malumot!B5</f>
        <v>XAYATOV OTABEK KURBANOVICH</v>
      </c>
      <c r="B7" s="116" t="s">
        <v>214</v>
      </c>
    </row>
    <row r="8" spans="1:2" ht="26.25" customHeight="1"/>
    <row r="9" spans="1:2" ht="26.25" customHeight="1"/>
    <row r="10" spans="1:2" ht="26.25" customHeight="1"/>
    <row r="11" spans="1:2">
      <c r="A11" s="10" t="str">
        <f>"sana:   "&amp;TEXT(malumot!B2,"ДД.ММ.ГГГГ")&amp;" y."</f>
        <v>sana:   01.04.2025 y.</v>
      </c>
    </row>
  </sheetData>
  <mergeCells count="3">
    <mergeCell ref="A3:B3"/>
    <mergeCell ref="A4:B4"/>
    <mergeCell ref="A5:B5"/>
  </mergeCells>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Лист6">
    <tabColor rgb="FF00B050"/>
  </sheetPr>
  <dimension ref="A1:E78"/>
  <sheetViews>
    <sheetView view="pageBreakPreview" topLeftCell="A19" zoomScaleSheetLayoutView="100" workbookViewId="0">
      <selection activeCell="A43" sqref="A43"/>
    </sheetView>
  </sheetViews>
  <sheetFormatPr defaultColWidth="9.140625" defaultRowHeight="15.75"/>
  <cols>
    <col min="1" max="1" width="20.140625" style="4" customWidth="1"/>
    <col min="2" max="2" width="18.7109375" style="4" customWidth="1"/>
    <col min="3" max="3" width="19.7109375" style="4" customWidth="1"/>
    <col min="4" max="4" width="20.140625" style="4" bestFit="1" customWidth="1"/>
    <col min="5" max="16384" width="9.140625" style="4"/>
  </cols>
  <sheetData>
    <row r="1" spans="1:4" ht="66.75" customHeight="1">
      <c r="C1" s="346" t="str">
        <f>""&amp;malumot!B155&amp;"ning
"&amp;malumot!A158&amp;""</f>
        <v>«CLEVER MIKROMOLIYA TASHKILOTI» MChJning
Buxoro filiali boshlig'i</v>
      </c>
      <c r="D1" s="346"/>
    </row>
    <row r="2" spans="1:4">
      <c r="C2" s="8"/>
      <c r="D2" s="9" t="str">
        <f>""&amp;malumot!B158&amp;"ga"</f>
        <v>A.Xudayberdiyevga</v>
      </c>
    </row>
    <row r="4" spans="1:4">
      <c r="A4" s="260" t="str">
        <f>""&amp;malumot!C64&amp;" olish uchun Ariza"</f>
        <v>Mikroqarz olish uchun Ariza</v>
      </c>
      <c r="B4" s="260"/>
      <c r="C4" s="260"/>
      <c r="D4" s="260"/>
    </row>
    <row r="5" spans="1:4">
      <c r="A5" s="260"/>
      <c r="B5" s="260"/>
      <c r="C5" s="260"/>
      <c r="D5" s="260"/>
    </row>
    <row r="6" spans="1:4" ht="36" customHeight="1">
      <c r="A6" s="316" t="str">
        <f>""&amp;malumot!B28&amp;".-da yashovchi O‘zbekiston Respublikasi fuqarosi "&amp;malumot!B8&amp;"dan. "</f>
        <v xml:space="preserve">BUXORO VILOYATI KOGON TUMANI NIYOZ HOJI QISHLOG'I.-da yashovchi O‘zbekiston Respublikasi fuqarosi XAYATOV OTABEK KURBANOVICHdan. </v>
      </c>
      <c r="B6" s="316"/>
      <c r="C6" s="316"/>
      <c r="D6" s="316"/>
    </row>
    <row r="7" spans="1:4" ht="15.75" customHeight="1">
      <c r="A7" s="316" t="str">
        <f>"Tug'ilgan kuni: "&amp;malumot!B15&amp;""</f>
        <v>Tug'ilgan kuni: 22.08.1982 y</v>
      </c>
      <c r="B7" s="316"/>
      <c r="C7" s="316"/>
      <c r="D7" s="316"/>
    </row>
    <row r="8" spans="1:4" ht="33" customHeight="1">
      <c r="A8" s="316" t="str">
        <f>"Pasport seriyasi: "&amp;malumot!B16&amp;" "&amp;malumot!B20&amp;""</f>
        <v>Pasport seriyasi: AB 7858443 BUXORO VILOYATI KOGON TUMAN IIB tomonidan 06.10.2017 yilda berilgan</v>
      </c>
      <c r="B8" s="316"/>
      <c r="C8" s="316"/>
      <c r="D8" s="316"/>
    </row>
    <row r="9" spans="1:4" ht="16.5" customHeight="1">
      <c r="A9" s="316" t="str">
        <f>"Asosiy ish joyi : "&amp;malumot!B58&amp;""</f>
        <v>Asosiy ish joyi : Yakka tartibdagi tadbirkor</v>
      </c>
      <c r="B9" s="316"/>
      <c r="C9" s="316"/>
      <c r="D9" s="316"/>
    </row>
    <row r="10" spans="1:4" ht="15.75" customHeight="1">
      <c r="A10" s="316" t="str">
        <f>"Lavozimi: "&amp;malumot!B59&amp;""</f>
        <v>Lavozimi: Yakka tartibdagi tadbirkor</v>
      </c>
      <c r="B10" s="316"/>
      <c r="C10" s="316"/>
      <c r="D10" s="316"/>
    </row>
    <row r="11" spans="1:4">
      <c r="A11" s="316" t="str">
        <f>"O’rtacha oylik daromadi: "&amp;FIXED(malumot!B60,2)&amp;" so'm."</f>
        <v>O’rtacha oylik daromadi: 10 000 000,00 so'm.</v>
      </c>
      <c r="B11" s="316"/>
      <c r="C11" s="316"/>
      <c r="D11" s="316"/>
    </row>
    <row r="12" spans="1:4">
      <c r="A12" s="316" t="str">
        <f>"Menga quyidagi shartlarda "&amp;malumot!B65&amp;" berishingizni so’rayman:"</f>
        <v>Menga quyidagi shartlarda mikroqarz berishingizni so’rayman:</v>
      </c>
      <c r="B12" s="316"/>
      <c r="C12" s="316"/>
      <c r="D12" s="316"/>
    </row>
    <row r="13" spans="1:4">
      <c r="A13" s="316" t="str">
        <f>""&amp;malumot!C64&amp;" summasi: "&amp;FIXED(malumot!B75,2)&amp;" ("&amp;malumot!B76&amp;") so'm."</f>
        <v>Mikroqarz summasi: 26 000 000,00 (yigirma olti million so'm) so'm.</v>
      </c>
      <c r="B13" s="316"/>
      <c r="C13" s="316"/>
      <c r="D13" s="316"/>
    </row>
    <row r="14" spans="1:4">
      <c r="A14" s="316" t="str">
        <f>""&amp;malumot!C64&amp;" muddati: "&amp;malumot!B81&amp;" ("&amp;malumot!B82&amp;") oy."</f>
        <v>Mikroqarz muddati: 32 (o'ttiz ikki) oy.</v>
      </c>
      <c r="B14" s="316"/>
      <c r="C14" s="316"/>
      <c r="D14" s="316"/>
    </row>
    <row r="15" spans="1:4" ht="17.25" customHeight="1">
      <c r="A15" s="316" t="str">
        <f>""&amp;malumot!C64&amp;"dan foydalanganlik uchun foiz stavkasi: yillik  "&amp;malumot!B85&amp;"% ("&amp;malumot!B86&amp;") foiz"</f>
        <v>Mikroqarzdan foydalanganlik uchun foiz stavkasi: yillik  60% (Oltmish) foiz</v>
      </c>
      <c r="B15" s="316"/>
      <c r="C15" s="316"/>
      <c r="D15" s="316"/>
    </row>
    <row r="16" spans="1:4">
      <c r="A16" s="316" t="str">
        <f>""&amp;malumot!C64&amp;" bo'yicha asosiy qarz va foizlarni to'lash:"</f>
        <v>Mikroqarz bo'yicha asosiy qarz va foizlarni to'lash:</v>
      </c>
      <c r="B16" s="316"/>
      <c r="C16" s="316"/>
      <c r="D16" s="316"/>
    </row>
    <row r="17" spans="1:5" ht="20.25" hidden="1" customHeight="1">
      <c r="A17" s="345" t="str">
        <f>" - "&amp;malumot!B65&amp;" shartnomasi bo'yicha har oy differensial to'lovlari amalga oshiriladi"</f>
        <v xml:space="preserve"> - mikroqarz shartnomasi bo'yicha har oy differensial to'lovlari amalga oshiriladi</v>
      </c>
      <c r="B17" s="345"/>
      <c r="C17" s="345"/>
      <c r="D17" s="345"/>
    </row>
    <row r="18" spans="1:5" ht="33.75" hidden="1" customHeight="1">
      <c r="A18" s="345" t="str">
        <f>" - "&amp;malumot!B65&amp;" shartnomasi bo'yicha har oy annuitet to'lovlari amalga oshiriladi"</f>
        <v xml:space="preserve"> - mikroqarz shartnomasi bo'yicha har oy annuitet to'lovlari amalga oshiriladi</v>
      </c>
      <c r="B18" s="345"/>
      <c r="C18" s="345"/>
      <c r="D18" s="345"/>
    </row>
    <row r="19" spans="1:5" ht="33.75" customHeight="1">
      <c r="A19" s="345" t="str">
        <f>IF(malumot!B77=malumot!C77,kredit_ariza!A17:D17,IF(malumot!B77=malumot!D77,kredit_ariza!A18:D18))</f>
        <v xml:space="preserve"> - mikroqarz shartnomasi bo'yicha har oy differensial to'lovlari amalga oshiriladi</v>
      </c>
      <c r="B19" s="345"/>
      <c r="C19" s="345"/>
      <c r="D19" s="345"/>
    </row>
    <row r="20" spans="1:5" ht="33.75" hidden="1" customHeight="1">
      <c r="A20" s="316" t="str">
        <f>IF(DAY(malumot!E67)&lt;15,"   ","  Oxirgi yakuniy to'lov "&amp;malumot!B65&amp;" shartnomasi tuzilgan kundan boshlab oxirgi oyning oxirgi kunida amalga oshiriladi")</f>
        <v xml:space="preserve">   </v>
      </c>
      <c r="B20" s="316"/>
      <c r="C20" s="316"/>
      <c r="D20" s="316"/>
    </row>
    <row r="21" spans="1:5">
      <c r="A21" s="316" t="str">
        <f>""&amp;malumot!C64&amp;" ta’minoti::"</f>
        <v>Mikroqarz ta’minoti::</v>
      </c>
      <c r="B21" s="316"/>
      <c r="C21" s="316"/>
      <c r="D21" s="316"/>
    </row>
    <row r="22" spans="1:5" ht="72.75" customHeight="1">
      <c r="A22" s="345" t="str">
        <f>IF(malumot!B111="Avtotransport",A26,A23)</f>
        <v xml:space="preserve">  Egalik huquqi FAYZIYEV JAMSHID KURBONOVICHga tegishli bo'lgan garovga olingan avtomobil markasi   SPARK, rangi -  OQ BELAYA "KASABLANKA", ishlab chiqarilgan yili - 2011, davlat raqam belgisi 80Y320AB, kuzov turi - YENGIL SEDAN, kuzov raqami XWBMF481EBA580791, dvigatel raqami B10D1606437KC3, shassi raqami - RAKAMSIZ</v>
      </c>
      <c r="B22" s="345"/>
      <c r="C22" s="345"/>
      <c r="D22" s="345"/>
    </row>
    <row r="23" spans="1:5" ht="79.5" hidden="1" customHeight="1">
      <c r="A23" s="345" t="str">
        <f>IF(malumot!B98=malumot!C98,A25,IF(malumot!B98=malumot!D98,A24,0))</f>
        <v xml:space="preserve"> Egalik huquqi 0ga tegishli bo'lgan umumiy maydoni - 72,13  va yashash maydoni - 37,39 3 - xonali yakka tartibdagi uy-joy, SAMARQAND VILOYATI TAYLOQ TUMANI CHAROG'BON MFY YANGI TAYLOQ QISHLOG'I 6 TURAR JOY 12 QAVAT 58 XONADON </v>
      </c>
      <c r="B23" s="345"/>
      <c r="C23" s="345"/>
      <c r="D23" s="345"/>
    </row>
    <row r="24" spans="1:5" ht="96.75" hidden="1" customHeight="1">
      <c r="A24" s="345" t="str">
        <f>" - Navbatdagi garov (ipoteka) Egalik huquqi asosida  "&amp;malumot!C125&amp;"ga "&amp;malumot!C134&amp;", umumiy maydoni - "&amp;malumot!C138&amp;" va yashash maydoni - "&amp;malumot!C141&amp;", manzili: "&amp;malumot!C131&amp;"."</f>
        <v xml:space="preserve"> - Navbatdagi garov (ipoteka) Egalik huquqi asosida  0ga 3 - xonali yakka tartibdagi uy-joy, umumiy maydoni - 72,13 va yashash maydoni - 37,39, manzili: SAMARQAND VILOYATI TAYLOQ TUMANI CHAROG'BON MFY YANGI TAYLOQ QISHLOG'I 6 TURAR JOY 12 QAVAT 58 XONADON.</v>
      </c>
      <c r="B24" s="345"/>
      <c r="C24" s="345"/>
      <c r="D24" s="345"/>
      <c r="E24" s="129"/>
    </row>
    <row r="25" spans="1:5" ht="92.25" hidden="1" customHeight="1">
      <c r="A25" s="345" t="str">
        <f>" Egalik huquqi "&amp;malumot!C125&amp;"ga tegishli bo'lgan umumiy maydoni - "&amp;malumot!C138&amp;"  va yashash maydoni - "&amp;malumot!C141&amp;" "&amp;malumot!C134&amp;", "&amp;malumot!C131&amp;" "</f>
        <v xml:space="preserve"> Egalik huquqi 0ga tegishli bo'lgan umumiy maydoni - 72,13  va yashash maydoni - 37,39 3 - xonali yakka tartibdagi uy-joy, SAMARQAND VILOYATI TAYLOQ TUMANI CHAROG'BON MFY YANGI TAYLOQ QISHLOG'I 6 TURAR JOY 12 QAVAT 58 XONADON </v>
      </c>
      <c r="B25" s="345"/>
      <c r="C25" s="345"/>
      <c r="D25" s="345"/>
    </row>
    <row r="26" spans="1:5" ht="78" hidden="1" customHeight="1">
      <c r="A26" s="345" t="str">
        <f>IF(malumot!B98=malumot!C98,kredit_ariza!A28:D28,IF(malumot!B98=malumot!D98,kredit_ariza!A27:D27,0))</f>
        <v xml:space="preserve">  Egalik huquqi FAYZIYEV JAMSHID KURBONOVICHga tegishli bo'lgan garovga olingan avtomobil markasi   SPARK, rangi -  OQ BELAYA "KASABLANKA", ishlab chiqarilgan yili - 2011, davlat raqam belgisi 80Y320AB, kuzov turi - YENGIL SEDAN, kuzov raqami XWBMF481EBA580791, dvigatel raqami B10D1606437KC3, shassi raqami - RAKAMSIZ</v>
      </c>
      <c r="B26" s="345"/>
      <c r="C26" s="345"/>
      <c r="D26" s="345"/>
    </row>
    <row r="27" spans="1:5" ht="93" hidden="1" customHeight="1">
      <c r="A27" s="345" t="str">
        <f>" Egalik huquqi "&amp;malumot!B125&amp;"ga tegishli bo'lgan "&amp;malumot!B133&amp;", "&amp;malumot!B141&amp;", davlat raqam belgisi "&amp;malumot!B134&amp;", "&amp;malumot!B135&amp;", "&amp;malumot!B138&amp;" avtotransport vositasi "</f>
        <v xml:space="preserve"> Egalik huquqi FAYZIYEV JAMSHID KURBONOVICHga tegishli bo'lgan SPARK, rangi -  OQ BELAYA "KASABLANKA", ishlab chiqarilgan yili - 2011, davlat raqam belgisi 80Y320AB, kuzov turi - YENGIL SEDAN, kuzov raqami XWBMF481EBA580791, dvigatel raqami B10D1606437KC3, shassi raqami - RAKAMSIZ avtotransport vositasi </v>
      </c>
      <c r="B27" s="345"/>
      <c r="C27" s="345"/>
      <c r="D27" s="345"/>
    </row>
    <row r="28" spans="1:5" ht="93.75" hidden="1" customHeight="1">
      <c r="A28" s="345" t="str">
        <f>"  Egalik huquqi "&amp;malumot!B125&amp;"ga tegishli bo'lgan garovga olingan avtomobil markasi   "&amp;malumot!B133&amp;", "&amp;malumot!B141&amp;", davlat raqam belgisi "&amp;malumot!B134&amp;", "&amp;malumot!B135&amp;", "&amp;malumot!B138&amp;""</f>
        <v xml:space="preserve">  Egalik huquqi FAYZIYEV JAMSHID KURBONOVICHga tegishli bo'lgan garovga olingan avtomobil markasi   SPARK, rangi -  OQ BELAYA "KASABLANKA", ishlab chiqarilgan yili - 2011, davlat raqam belgisi 80Y320AB, kuzov turi - YENGIL SEDAN, kuzov raqami XWBMF481EBA580791, dvigatel raqami B10D1606437KC3, shassi raqami - RAKAMSIZ</v>
      </c>
      <c r="B28" s="345"/>
      <c r="C28" s="345"/>
      <c r="D28" s="345"/>
    </row>
    <row r="29" spans="1:5" ht="10.5" customHeight="1">
      <c r="A29" s="316"/>
      <c r="B29" s="316"/>
      <c r="C29" s="316"/>
      <c r="D29" s="316"/>
    </row>
    <row r="30" spans="1:5" ht="53.25" customHeight="1">
      <c r="A30" s="345" t="str">
        <f>"Mazkur ariza bilan "&amp;malumot!B155&amp;"ga men va soʻralayotgan "&amp;malumot!B65&amp;" boʻyicha barcha zarur maʼlumotlarni quyida ko’rsatilgan tashkilotlarga taqdim etish va olishga roziligimni bildirib, ushbu amaliyotlarni o’tkazish uchun huquq beraman:"</f>
        <v>Mazkur ariza bilan «CLEVER MIKROMOLIYA TASHKILOTI» MChJga men va soʻralayotgan mikroqarz boʻyicha barcha zarur maʼlumotlarni quyida ko’rsatilgan tashkilotlarga taqdim etish va olishga roziligimni bildirib, ushbu amaliyotlarni o’tkazish uchun huquq beraman:</v>
      </c>
      <c r="B30" s="345"/>
      <c r="C30" s="345"/>
      <c r="D30" s="345"/>
    </row>
    <row r="31" spans="1:5" ht="15.75" customHeight="1">
      <c r="A31" s="345" t="s">
        <v>246</v>
      </c>
      <c r="B31" s="345"/>
      <c r="C31" s="345"/>
      <c r="D31" s="345"/>
    </row>
    <row r="32" spans="1:5">
      <c r="A32" s="345" t="s">
        <v>247</v>
      </c>
      <c r="B32" s="345"/>
      <c r="C32" s="345"/>
      <c r="D32" s="345"/>
    </row>
    <row r="33" spans="1:4">
      <c r="A33" s="345" t="s">
        <v>248</v>
      </c>
      <c r="B33" s="345"/>
      <c r="C33" s="345"/>
      <c r="D33" s="345"/>
    </row>
    <row r="34" spans="1:4">
      <c r="A34" s="316" t="str">
        <f>"Ariza berilgan sana: "&amp;TEXT(malumot!B2,"ДД.ММ.ГГГГ")&amp;"y."</f>
        <v>Ariza berilgan sana: 01.04.2025y.</v>
      </c>
      <c r="B34" s="316"/>
      <c r="C34" s="316"/>
      <c r="D34" s="316"/>
    </row>
    <row r="35" spans="1:4">
      <c r="A35" s="316"/>
      <c r="B35" s="316"/>
      <c r="C35" s="316"/>
      <c r="D35" s="316"/>
    </row>
    <row r="36" spans="1:4">
      <c r="A36" s="316" t="s">
        <v>249</v>
      </c>
      <c r="B36" s="316"/>
      <c r="C36" s="316"/>
      <c r="D36" s="316"/>
    </row>
    <row r="37" spans="1:4">
      <c r="A37" s="316"/>
      <c r="B37" s="316"/>
      <c r="C37" s="316"/>
      <c r="D37" s="316"/>
    </row>
    <row r="38" spans="1:4">
      <c r="A38" s="316"/>
      <c r="B38" s="316"/>
      <c r="C38" s="316"/>
      <c r="D38" s="316"/>
    </row>
    <row r="39" spans="1:4" ht="15.75" customHeight="1">
      <c r="A39" s="317" t="str">
        <f>malumot!B5</f>
        <v>XAYATOV OTABEK KURBANOVICH</v>
      </c>
      <c r="B39" s="317"/>
      <c r="C39" s="317"/>
      <c r="D39" s="203" t="s">
        <v>405</v>
      </c>
    </row>
    <row r="40" spans="1:4">
      <c r="A40" s="6"/>
      <c r="B40" s="6"/>
      <c r="D40" s="7" t="s">
        <v>328</v>
      </c>
    </row>
    <row r="41" spans="1:4">
      <c r="A41" s="6"/>
      <c r="B41" s="6"/>
      <c r="D41" s="7"/>
    </row>
    <row r="42" spans="1:4">
      <c r="A42" s="129"/>
      <c r="B42" s="129"/>
      <c r="C42" s="129"/>
      <c r="D42" s="129"/>
    </row>
    <row r="43" spans="1:4" ht="31.5">
      <c r="A43" s="223" t="str">
        <f>malumot!A158</f>
        <v>Buxoro filiali boshlig'i</v>
      </c>
      <c r="B43" s="189"/>
      <c r="C43" s="189"/>
      <c r="D43" s="223" t="str">
        <f>malumot!B158</f>
        <v>A.Xudayberdiyev</v>
      </c>
    </row>
    <row r="44" spans="1:4">
      <c r="A44" s="189"/>
      <c r="B44" s="189"/>
      <c r="C44" s="189"/>
      <c r="D44" s="189"/>
    </row>
    <row r="45" spans="1:4">
      <c r="A45" s="189"/>
      <c r="B45" s="189"/>
      <c r="C45" s="189"/>
      <c r="D45" s="189"/>
    </row>
    <row r="46" spans="1:4">
      <c r="A46" s="344"/>
      <c r="B46" s="344"/>
      <c r="C46" s="344"/>
      <c r="D46" s="344"/>
    </row>
    <row r="47" spans="1:4">
      <c r="A47" s="344"/>
      <c r="B47" s="344"/>
      <c r="C47" s="344"/>
      <c r="D47" s="344"/>
    </row>
    <row r="48" spans="1:4">
      <c r="A48" s="344"/>
      <c r="B48" s="344"/>
      <c r="C48" s="344"/>
      <c r="D48" s="344"/>
    </row>
    <row r="49" spans="1:4">
      <c r="A49" s="344"/>
      <c r="B49" s="344"/>
      <c r="C49" s="344"/>
      <c r="D49" s="344"/>
    </row>
    <row r="50" spans="1:4">
      <c r="A50" s="316"/>
      <c r="B50" s="316"/>
      <c r="C50" s="316"/>
      <c r="D50" s="316"/>
    </row>
    <row r="51" spans="1:4">
      <c r="A51" s="316"/>
      <c r="B51" s="316"/>
      <c r="C51" s="316"/>
      <c r="D51" s="316"/>
    </row>
    <row r="52" spans="1:4">
      <c r="A52" s="316"/>
      <c r="B52" s="316"/>
      <c r="C52" s="316"/>
      <c r="D52" s="316"/>
    </row>
    <row r="53" spans="1:4">
      <c r="A53" s="316"/>
      <c r="B53" s="316"/>
      <c r="C53" s="316"/>
      <c r="D53" s="316"/>
    </row>
    <row r="54" spans="1:4">
      <c r="A54" s="316"/>
      <c r="B54" s="316"/>
      <c r="C54" s="316"/>
      <c r="D54" s="316"/>
    </row>
    <row r="55" spans="1:4">
      <c r="A55" s="316"/>
      <c r="B55" s="316"/>
      <c r="C55" s="316"/>
      <c r="D55" s="316"/>
    </row>
    <row r="56" spans="1:4">
      <c r="A56" s="316"/>
      <c r="B56" s="316"/>
      <c r="C56" s="316"/>
      <c r="D56" s="316"/>
    </row>
    <row r="57" spans="1:4">
      <c r="A57" s="316"/>
      <c r="B57" s="316"/>
      <c r="C57" s="316"/>
      <c r="D57" s="316"/>
    </row>
    <row r="58" spans="1:4">
      <c r="A58" s="316"/>
      <c r="B58" s="316"/>
      <c r="C58" s="316"/>
      <c r="D58" s="316"/>
    </row>
    <row r="59" spans="1:4">
      <c r="A59" s="316"/>
      <c r="B59" s="316"/>
      <c r="C59" s="316"/>
      <c r="D59" s="316"/>
    </row>
    <row r="60" spans="1:4">
      <c r="A60" s="316"/>
      <c r="B60" s="316"/>
      <c r="C60" s="316"/>
      <c r="D60" s="316"/>
    </row>
    <row r="61" spans="1:4">
      <c r="A61" s="316"/>
      <c r="B61" s="316"/>
      <c r="C61" s="316"/>
      <c r="D61" s="316"/>
    </row>
    <row r="62" spans="1:4">
      <c r="A62" s="316"/>
      <c r="B62" s="316"/>
      <c r="C62" s="316"/>
      <c r="D62" s="316"/>
    </row>
    <row r="63" spans="1:4">
      <c r="A63" s="316"/>
      <c r="B63" s="316"/>
      <c r="C63" s="316"/>
      <c r="D63" s="316"/>
    </row>
    <row r="64" spans="1:4">
      <c r="A64" s="316"/>
      <c r="B64" s="316"/>
      <c r="C64" s="316"/>
      <c r="D64" s="316"/>
    </row>
    <row r="65" spans="1:4">
      <c r="A65" s="316"/>
      <c r="B65" s="316"/>
      <c r="C65" s="316"/>
      <c r="D65" s="316"/>
    </row>
    <row r="66" spans="1:4">
      <c r="A66" s="316"/>
      <c r="B66" s="316"/>
      <c r="C66" s="316"/>
      <c r="D66" s="316"/>
    </row>
    <row r="67" spans="1:4">
      <c r="A67" s="316"/>
      <c r="B67" s="316"/>
      <c r="C67" s="316"/>
      <c r="D67" s="316"/>
    </row>
    <row r="68" spans="1:4">
      <c r="A68" s="316"/>
      <c r="B68" s="316"/>
      <c r="C68" s="316"/>
      <c r="D68" s="316"/>
    </row>
    <row r="69" spans="1:4">
      <c r="A69" s="316"/>
      <c r="B69" s="316"/>
      <c r="C69" s="316"/>
      <c r="D69" s="316"/>
    </row>
    <row r="70" spans="1:4">
      <c r="A70" s="316"/>
      <c r="B70" s="316"/>
      <c r="C70" s="316"/>
      <c r="D70" s="316"/>
    </row>
    <row r="71" spans="1:4">
      <c r="A71" s="316"/>
      <c r="B71" s="316"/>
      <c r="C71" s="316"/>
      <c r="D71" s="316"/>
    </row>
    <row r="72" spans="1:4">
      <c r="A72" s="316"/>
      <c r="B72" s="316"/>
      <c r="C72" s="316"/>
      <c r="D72" s="316"/>
    </row>
    <row r="73" spans="1:4">
      <c r="A73" s="316"/>
      <c r="B73" s="316"/>
      <c r="C73" s="316"/>
      <c r="D73" s="316"/>
    </row>
    <row r="74" spans="1:4">
      <c r="A74" s="316"/>
      <c r="B74" s="316"/>
      <c r="C74" s="316"/>
      <c r="D74" s="316"/>
    </row>
    <row r="75" spans="1:4">
      <c r="A75" s="316"/>
      <c r="B75" s="316"/>
      <c r="C75" s="316"/>
      <c r="D75" s="316"/>
    </row>
    <row r="76" spans="1:4">
      <c r="A76" s="316"/>
      <c r="B76" s="316"/>
      <c r="C76" s="316"/>
      <c r="D76" s="316"/>
    </row>
    <row r="77" spans="1:4">
      <c r="A77" s="316"/>
      <c r="B77" s="316"/>
      <c r="C77" s="316"/>
      <c r="D77" s="316"/>
    </row>
    <row r="78" spans="1:4">
      <c r="A78" s="316"/>
      <c r="B78" s="316"/>
      <c r="C78" s="316"/>
      <c r="D78" s="316"/>
    </row>
  </sheetData>
  <mergeCells count="70">
    <mergeCell ref="A4:D4"/>
    <mergeCell ref="A5:D5"/>
    <mergeCell ref="C1:D1"/>
    <mergeCell ref="A6:D6"/>
    <mergeCell ref="A7:D7"/>
    <mergeCell ref="A8:D8"/>
    <mergeCell ref="A9:D9"/>
    <mergeCell ref="A10:D10"/>
    <mergeCell ref="A11:D11"/>
    <mergeCell ref="A12:D12"/>
    <mergeCell ref="A18:D18"/>
    <mergeCell ref="A19:D19"/>
    <mergeCell ref="A26:D26"/>
    <mergeCell ref="A27:D27"/>
    <mergeCell ref="A24:D24"/>
    <mergeCell ref="A23:D23"/>
    <mergeCell ref="A20:D20"/>
    <mergeCell ref="A21:D21"/>
    <mergeCell ref="A22:D22"/>
    <mergeCell ref="A25:D25"/>
    <mergeCell ref="A13:D13"/>
    <mergeCell ref="A14:D14"/>
    <mergeCell ref="A15:D15"/>
    <mergeCell ref="A16:D16"/>
    <mergeCell ref="A17:D17"/>
    <mergeCell ref="A30:D30"/>
    <mergeCell ref="A31:D31"/>
    <mergeCell ref="A32:D32"/>
    <mergeCell ref="A33:D33"/>
    <mergeCell ref="A28:D28"/>
    <mergeCell ref="A29:D29"/>
    <mergeCell ref="A34:D34"/>
    <mergeCell ref="A35:D35"/>
    <mergeCell ref="A36:D36"/>
    <mergeCell ref="A37:D37"/>
    <mergeCell ref="A38:D38"/>
    <mergeCell ref="A46:D46"/>
    <mergeCell ref="A47:D47"/>
    <mergeCell ref="A48:D48"/>
    <mergeCell ref="A49:D49"/>
    <mergeCell ref="A50:D50"/>
    <mergeCell ref="A51:D51"/>
    <mergeCell ref="A52:D52"/>
    <mergeCell ref="A53:D53"/>
    <mergeCell ref="A54:D54"/>
    <mergeCell ref="A55:D55"/>
    <mergeCell ref="A63:D63"/>
    <mergeCell ref="A64:D64"/>
    <mergeCell ref="A65:D65"/>
    <mergeCell ref="A56:D56"/>
    <mergeCell ref="A57:D57"/>
    <mergeCell ref="A58:D58"/>
    <mergeCell ref="A59:D59"/>
    <mergeCell ref="A60:D60"/>
    <mergeCell ref="A76:D76"/>
    <mergeCell ref="A77:D77"/>
    <mergeCell ref="A78:D78"/>
    <mergeCell ref="A39:C39"/>
    <mergeCell ref="A71:D71"/>
    <mergeCell ref="A72:D72"/>
    <mergeCell ref="A73:D73"/>
    <mergeCell ref="A74:D74"/>
    <mergeCell ref="A75:D75"/>
    <mergeCell ref="A66:D66"/>
    <mergeCell ref="A67:D67"/>
    <mergeCell ref="A68:D68"/>
    <mergeCell ref="A69:D69"/>
    <mergeCell ref="A70:D70"/>
    <mergeCell ref="A61:D61"/>
    <mergeCell ref="A62:D62"/>
  </mergeCells>
  <pageMargins left="0.7" right="0.7" top="0.75" bottom="0.75" header="0.3" footer="0.3"/>
  <pageSetup paperSize="9" scale="8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Лист8">
    <tabColor rgb="FF00B050"/>
  </sheetPr>
  <dimension ref="A5:C32"/>
  <sheetViews>
    <sheetView view="pageBreakPreview" topLeftCell="A19" zoomScale="160" zoomScaleNormal="100" zoomScaleSheetLayoutView="160" workbookViewId="0">
      <selection activeCell="C25" sqref="C25"/>
    </sheetView>
  </sheetViews>
  <sheetFormatPr defaultColWidth="0" defaultRowHeight="15.75" zeroHeight="1"/>
  <cols>
    <col min="1" max="1" width="26" style="4" customWidth="1"/>
    <col min="2" max="2" width="15.28515625" style="4" customWidth="1"/>
    <col min="3" max="3" width="34.5703125" style="4" customWidth="1"/>
    <col min="4" max="16384" width="9.140625" style="4" hidden="1"/>
  </cols>
  <sheetData>
    <row r="5" spans="1:3"/>
    <row r="6" spans="1:3" ht="17.25" customHeight="1">
      <c r="C6" s="9" t="str">
        <f>malumot!B156</f>
        <v>«CLEVER MIKROMOLIYA TASHKILOTI» MChJ</v>
      </c>
    </row>
    <row r="7" spans="1:3" ht="33" customHeight="1">
      <c r="A7" s="143"/>
      <c r="B7" s="143"/>
      <c r="C7" s="139" t="str">
        <f>""&amp;malumot!A158&amp;" "&amp;malumot!B158&amp;"ga"</f>
        <v>Buxoro filiali boshlig'i A.Xudayberdiyevga</v>
      </c>
    </row>
    <row r="8" spans="1:3" ht="31.5">
      <c r="A8" s="130"/>
      <c r="B8" s="130"/>
      <c r="C8" s="139" t="str">
        <f>""&amp;malumot!B119&amp;"dan"</f>
        <v>FAYZIYEV JAMSHID KURBONOVICHdan</v>
      </c>
    </row>
    <row r="9" spans="1:3" ht="15.75" hidden="1" customHeight="1">
      <c r="C9" s="5" t="str">
        <f>malumot!B119</f>
        <v>FAYZIYEV JAMSHID KURBONOVICH</v>
      </c>
    </row>
    <row r="10" spans="1:3" ht="15.75" hidden="1" customHeight="1">
      <c r="C10" s="5">
        <f>malumot!C119</f>
        <v>0</v>
      </c>
    </row>
    <row r="11" spans="1:3" ht="15.75" hidden="1" customHeight="1">
      <c r="C11" s="130" t="s">
        <v>271</v>
      </c>
    </row>
    <row r="12" spans="1:3"/>
    <row r="13" spans="1:3" ht="115.5" customHeight="1">
      <c r="A13" s="345" t="str">
        <f>IF(malumot!B111="Avtotransport",A14,A15)</f>
        <v>XAYATOV OTABEK KURBANOVICH tomonidan so’ralayotgan 32 (o'ttiz ikki) oy muddatga, 26 000 000 (yigirma olti million so'm) miqdoridagi mikroqarzning ta’minoti sifatida menga mulk huquqi asosida tegishli bo’lgan  SPARK, kuzov turi - YENGIL SEDAN, kuzov raqami XWBMF481EBA580791, dvigatel raqami B10D1606437KC3, shassi raqami - RAKAMSIZ, rangi -  OQ BELAYA "KASABLANKA", ishlab chiqarilgan yili - 2011, avtotransport vositasini qabul qilishingizni so’rayman:</v>
      </c>
      <c r="B13" s="345"/>
      <c r="C13" s="345"/>
    </row>
    <row r="14" spans="1:3" ht="124.5" hidden="1" customHeight="1">
      <c r="A14" s="345" t="str">
        <f>""&amp;malumot!B12&amp;" tomonidan so’ralayotgan "&amp;malumot!B81&amp;" ("&amp;malumot!B82&amp;") oy muddatga, "&amp;FIXED(malumot!B75,0)&amp;" ("&amp;malumot!B76&amp;") miqdoridagi "&amp;malumot!B65&amp;"ning ta’minoti sifatida menga mulk huquqi asosida tegishli bo’lgan  "&amp;malumot!B133&amp;", "&amp;malumot!B135&amp;", "&amp;malumot!B138&amp;", "&amp;malumot!B141&amp;", avtotransport vositasini qabul qilishingizni so’rayman:"</f>
        <v>XAYATOV OTABEK KURBANOVICH tomonidan so’ralayotgan 32 (o'ttiz ikki) oy muddatga, 26 000 000 (yigirma olti million so'm) miqdoridagi mikroqarzning ta’minoti sifatida menga mulk huquqi asosida tegishli bo’lgan  SPARK, kuzov turi - YENGIL SEDAN, kuzov raqami XWBMF481EBA580791, dvigatel raqami B10D1606437KC3, shassi raqami - RAKAMSIZ, rangi -  OQ BELAYA "KASABLANKA", ishlab chiqarilgan yili - 2011, avtotransport vositasini qabul qilishingizni so’rayman:</v>
      </c>
      <c r="B14" s="345"/>
      <c r="C14" s="345"/>
    </row>
    <row r="15" spans="1:3" ht="116.25" hidden="1" customHeight="1">
      <c r="A15" s="345" t="str">
        <f>""&amp;malumot!B12&amp;" tomonidan so’ralayotgan "&amp;malumot!B81&amp;" ("&amp;malumot!B82&amp;") oy muddatga, "&amp;FIXED(malumot!B75,0)&amp;" ("&amp;malumot!B76&amp;") miqdoridagi "&amp;malumot!B65&amp;"ning ta’minoti sifatida menga mulk huquqi asosida tegishli bo’lgan  "&amp;malumot!C134&amp;", umumiy maydoni "&amp;malumot!C138&amp;" va yashash maydoni "&amp;malumot!C141&amp;"  "&amp;malumot!C131&amp;" manzilda joylashgan ko'chmas mulkni qabul qilishingizni so’rayman:"</f>
        <v>XAYATOV OTABEK KURBANOVICH tomonidan so’ralayotgan 32 (o'ttiz ikki) oy muddatga, 26 000 000 (yigirma olti million so'm) miqdoridagi mikroqarzning ta’minoti sifatida menga mulk huquqi asosida tegishli bo’lgan  3 - xonali yakka tartibdagi uy-joy, umumiy maydoni 72,13 va yashash maydoni 37,39  SAMARQAND VILOYATI TAYLOQ TUMANI CHAROG'BON MFY YANGI TAYLOQ QISHLOG'I 6 TURAR JOY 12 QAVAT 58 XONADON manzilda joylashgan ko'chmas mulkni qabul qilishingizni so’rayman:</v>
      </c>
      <c r="B15" s="345"/>
      <c r="C15" s="345"/>
    </row>
    <row r="16" spans="1:3"/>
    <row r="17" spans="1:3"/>
    <row r="18" spans="1:3">
      <c r="C18" s="5" t="s">
        <v>270</v>
      </c>
    </row>
    <row r="19" spans="1:3" ht="18.75" customHeight="1">
      <c r="A19" s="4" t="str">
        <f>IF(malumot!B100=malumot!C100,malumot!B120,malumot!B7)</f>
        <v>XAYATOV O.K.</v>
      </c>
      <c r="C19" s="49" t="str">
        <f>malumot!B2</f>
        <v>01.04.2025</v>
      </c>
    </row>
    <row r="20" spans="1:3" ht="173.25">
      <c r="A20" s="189" t="str">
        <f>IF(malumot!B100=malumot!D100,CONCATENATE(A28," ",A32,A26),"")</f>
        <v xml:space="preserve">№202502386001856 01.04.2025 sanasidan xususiy faoliyat ko'rsatuvchi notarius tomonidan BUXORO VILOYATI BUXORO SHAHRI ASHXOBOD KO'CHASI 1/3-UY SHARIPOV ZAFAR JO'RABOYEVICH berilgan ishonchnomaga asosan </v>
      </c>
      <c r="B20" s="189"/>
      <c r="C20" s="189"/>
    </row>
    <row r="21" spans="1:3">
      <c r="A21" s="188"/>
      <c r="B21" s="188"/>
      <c r="C21" s="188"/>
    </row>
    <row r="22" spans="1:3">
      <c r="A22" s="188"/>
      <c r="B22" s="188"/>
      <c r="C22" s="188"/>
    </row>
    <row r="23" spans="1:3">
      <c r="A23" s="132" t="str">
        <f>malumot!A158</f>
        <v>Buxoro filiali boshlig'i</v>
      </c>
      <c r="B23" s="132"/>
      <c r="C23" s="139" t="str">
        <f>malumot!B158</f>
        <v>A.Xudayberdiyev</v>
      </c>
    </row>
    <row r="24" spans="1:3">
      <c r="A24" s="132"/>
      <c r="B24" s="132"/>
      <c r="C24" s="139"/>
    </row>
    <row r="25" spans="1:3">
      <c r="A25" s="4" t="s">
        <v>26</v>
      </c>
    </row>
    <row r="26" spans="1:3" hidden="1">
      <c r="A26" s="4" t="str">
        <f>" xususiy faoliyat ko'rsatuvchi notarius tomonidan "&amp;malumot!B104&amp;" "&amp;malumot!B105&amp;" berilgan ishonchnomaga asosan "</f>
        <v xml:space="preserve"> xususiy faoliyat ko'rsatuvchi notarius tomonidan BUXORO VILOYATI BUXORO SHAHRI ASHXOBOD KO'CHASI 1/3-UY SHARIPOV ZAFAR JO'RABOYEVICH berilgan ishonchnomaga asosan </v>
      </c>
    </row>
    <row r="28" spans="1:3" hidden="1">
      <c r="A28" s="4" t="str">
        <f>"№"&amp;malumot!B106&amp; ""</f>
        <v>№202502386001856</v>
      </c>
    </row>
    <row r="29" spans="1:3" hidden="1">
      <c r="A29" s="4" t="str">
        <f>malumot!B108</f>
        <v>01.04.2025</v>
      </c>
    </row>
    <row r="30" spans="1:3" hidden="1">
      <c r="A30" s="4" t="str">
        <f>TEXT(A29,"ДД.ММ.ГГГГ")</f>
        <v>01.04.2025</v>
      </c>
    </row>
    <row r="31" spans="1:3" hidden="1">
      <c r="A31" s="4" t="s">
        <v>380</v>
      </c>
    </row>
    <row r="32" spans="1:3" hidden="1">
      <c r="A32" s="4" t="str">
        <f>CONCATENATE(A30,A31)</f>
        <v>01.04.2025 sanasidan</v>
      </c>
    </row>
  </sheetData>
  <mergeCells count="3">
    <mergeCell ref="A13:C13"/>
    <mergeCell ref="A14:C14"/>
    <mergeCell ref="A15:C15"/>
  </mergeCells>
  <pageMargins left="0.7" right="0.7" top="0.75" bottom="0.75" header="0.3" footer="0.3"/>
  <pageSetup paperSize="9" orientation="portrait"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Лист24"/>
  <dimension ref="A2:E44"/>
  <sheetViews>
    <sheetView view="pageBreakPreview" zoomScaleNormal="100" zoomScaleSheetLayoutView="100" workbookViewId="0">
      <selection activeCell="E8" sqref="E8"/>
    </sheetView>
  </sheetViews>
  <sheetFormatPr defaultColWidth="9.140625" defaultRowHeight="15"/>
  <cols>
    <col min="1" max="1" width="33.85546875" style="10" customWidth="1"/>
    <col min="2" max="2" width="21.28515625" style="10" customWidth="1"/>
    <col min="3" max="3" width="19.140625" style="10" customWidth="1"/>
    <col min="4" max="5" width="21.28515625" style="10" customWidth="1"/>
    <col min="6" max="16384" width="9.140625" style="10"/>
  </cols>
  <sheetData>
    <row r="2" spans="1:5">
      <c r="A2" s="92" t="s">
        <v>48</v>
      </c>
    </row>
    <row r="3" spans="1:5">
      <c r="A3" s="92" t="s">
        <v>49</v>
      </c>
    </row>
    <row r="6" spans="1:5" ht="20.25" customHeight="1">
      <c r="E6" s="93" t="s">
        <v>35</v>
      </c>
    </row>
    <row r="7" spans="1:5">
      <c r="E7" s="93" t="s">
        <v>50</v>
      </c>
    </row>
    <row r="9" spans="1:5" ht="107.25" customHeight="1">
      <c r="A9" s="348" t="str">
        <f>"          Между ООО «Clever Mikrokredit Tashkiloti» и "&amp;malumot!B5&amp;"  (паспорт: "&amp;malumot!B16&amp;" "&amp;malumot!B20&amp;") заключен договор микрозайма "&amp;malumot!B74&amp;", на сумму "&amp;FIXED(malumot!B75)&amp;" ("&amp;malumot!B76&amp;") сум, сроком на "&amp;malumot!B81&amp;" ("&amp;malumot!B82&amp;") месяцев. В качестве своевременного исполнения обязательств по договору Микрозайма "&amp;malumot!B74&amp;" планирует предоставить нижеследующее "&amp;IF(malumot!B111=malumot!C111,"автотранспортного средство марки "&amp;malumot!B133&amp;" принадлежащее на правах собственности "&amp;malumot!B125&amp;"","недвижимого имущества в виде "&amp;malumot!C134&amp;", общей площадью - "&amp;malumot!C138&amp;" и жилой площадью - "&amp;malumot!C141&amp;", расположенного по адресу: "&amp;malumot!C131&amp;", принадлежащее на правах собственности "&amp;malumot!C125&amp;".")</f>
        <v xml:space="preserve">          Между ООО «Clever Mikrokredit Tashkiloti» и XAYATOV OTABEK KURBANOVICH  (паспорт: AB 7858443 BUXORO VILOYATI KOGON TUMAN IIB tomonidan 06.10.2017 yilda berilgan) заключен договор микрозайма 1 aprel 2025 y.dan № 687-BR, на сумму 26 000 000,00 (yigirma olti million so'm) сум, сроком на 32 (o'ttiz ikki) месяцев. В качестве своевременного исполнения обязательств по договору Микрозайма 1 aprel 2025 y.dan № 687-BR планирует предоставить нижеследующее автотранспортного средство марки SPARK принадлежащее на правах собственности FAYZIYEV JAMSHID KURBONOVICH</v>
      </c>
      <c r="B9" s="348"/>
      <c r="C9" s="348"/>
      <c r="D9" s="348"/>
      <c r="E9" s="348"/>
    </row>
    <row r="11" spans="1:5" ht="28.5">
      <c r="A11" s="33" t="str">
        <f>buyruq!A19</f>
        <v>Nomi</v>
      </c>
      <c r="B11" s="33" t="str">
        <f>buyruq!B19</f>
        <v>Kuzov turi  va kuzov raqami*</v>
      </c>
      <c r="C11" s="33" t="str">
        <f>buyruq!C19</f>
        <v>Dvigatel va shassi raqami*</v>
      </c>
      <c r="D11" s="33" t="str">
        <f>buyruq!D19</f>
        <v>Ishlab chiqarilgan yili va rangi*</v>
      </c>
      <c r="E11" s="33" t="str">
        <f>buyruq!E19</f>
        <v>Kelishilgan garov qiymati, so'm</v>
      </c>
    </row>
    <row r="12" spans="1:5" ht="73.5" customHeight="1">
      <c r="A12" s="33" t="str">
        <f>buyruq!A20</f>
        <v>SPARK</v>
      </c>
      <c r="B12" s="33" t="str">
        <f>buyruq!B20</f>
        <v>kuzov turi - YENGIL SEDAN, kuzov raqami XWBMF481EBA580791</v>
      </c>
      <c r="C12" s="33" t="str">
        <f>buyruq!C20</f>
        <v>dvigatel raqami B10D1606437KC3, shassi raqami - RAKAMSIZ</v>
      </c>
      <c r="D12" s="33" t="str">
        <f>buyruq!D20</f>
        <v>rangi -  OQ BELAYA "KASABLANKA", ishlab chiqarilgan yili - 2011</v>
      </c>
      <c r="E12" s="33" t="str">
        <f>buyruq!E20</f>
        <v>39 000 000,00 
(o'ttiz to'qqiz million so'm)</v>
      </c>
    </row>
    <row r="13" spans="1:5">
      <c r="A13" s="349" t="str">
        <f>buyruq!A21:E21</f>
        <v>-* avtotransport egasi: FAYZIYEV JAMSHID KURBONOVICH</v>
      </c>
      <c r="B13" s="349"/>
      <c r="C13" s="349"/>
      <c r="D13" s="349"/>
      <c r="E13" s="349"/>
    </row>
    <row r="14" spans="1:5">
      <c r="A14" s="349" t="str">
        <f>buyruq!A22:E22</f>
        <v>-* texnik pasport: AAG   4517617  20.08.2024y</v>
      </c>
      <c r="B14" s="349"/>
      <c r="C14" s="349"/>
      <c r="D14" s="349"/>
      <c r="E14" s="349"/>
    </row>
    <row r="15" spans="1:5">
      <c r="A15" s="349" t="str">
        <f>buyruq!A23:E23</f>
        <v>-* roʻyxatdan oʻtgan manzili/garaj manzili: BUXORO VILOYATI BUXORO TUMANI XONOBOD MFY XONOBOD QISHLOG'I</v>
      </c>
      <c r="B15" s="349"/>
      <c r="C15" s="349"/>
      <c r="D15" s="349"/>
      <c r="E15" s="349"/>
    </row>
    <row r="16" spans="1:5">
      <c r="A16" s="349" t="str">
        <f>buyruq!A24:E24</f>
        <v>-* davlat raqami: 80Y320AB</v>
      </c>
      <c r="B16" s="349"/>
      <c r="C16" s="349"/>
      <c r="D16" s="349"/>
      <c r="E16" s="349"/>
    </row>
    <row r="17" spans="1:5" ht="3" customHeight="1"/>
    <row r="19" spans="1:5" ht="59.25" hidden="1" customHeight="1">
      <c r="A19" s="33" t="str">
        <f>dalolatnoma!A32</f>
        <v>Наименование</v>
      </c>
      <c r="B19" s="33" t="str">
        <f>dalolatnoma!B32</f>
        <v>Полезная площадь</v>
      </c>
      <c r="C19" s="33" t="str">
        <f>dalolatnoma!C32</f>
        <v>Жилая площадь</v>
      </c>
      <c r="D19" s="33" t="str">
        <f>dalolatnoma!D32</f>
        <v>Общая площадь</v>
      </c>
      <c r="E19" s="33" t="str">
        <f>dalolatnoma!E32</f>
        <v>Согласованная залоговая стоимость, сум</v>
      </c>
    </row>
    <row r="20" spans="1:5" ht="17.25" hidden="1" customHeight="1">
      <c r="A20" s="12" t="e">
        <f>dalolatnoma!A33</f>
        <v>#REF!</v>
      </c>
      <c r="B20" s="12" t="e">
        <f>dalolatnoma!B33</f>
        <v>#REF!</v>
      </c>
      <c r="C20" s="12" t="e">
        <f>dalolatnoma!C33</f>
        <v>#REF!</v>
      </c>
      <c r="D20" s="12" t="e">
        <f>dalolatnoma!D33</f>
        <v>#REF!</v>
      </c>
      <c r="E20" s="309" t="str">
        <f>""&amp;FIXED(malumot!C144,2)&amp;" ("&amp;malumot!C145&amp;")"</f>
        <v>39 000 000,00 (o'ttiz to'qqiz million so'm)</v>
      </c>
    </row>
    <row r="21" spans="1:5" ht="17.25" hidden="1" customHeight="1">
      <c r="A21" s="12">
        <f>dalolatnoma!A34</f>
        <v>0</v>
      </c>
      <c r="B21" s="12">
        <f>dalolatnoma!B34</f>
        <v>0</v>
      </c>
      <c r="C21" s="12">
        <f>dalolatnoma!C34</f>
        <v>0</v>
      </c>
      <c r="D21" s="12">
        <f>dalolatnoma!D34</f>
        <v>0</v>
      </c>
      <c r="E21" s="310"/>
    </row>
    <row r="22" spans="1:5" ht="17.25" hidden="1" customHeight="1">
      <c r="A22" s="12" t="e">
        <f>dalolatnoma!A35</f>
        <v>#REF!</v>
      </c>
      <c r="B22" s="12" t="e">
        <f>dalolatnoma!B35</f>
        <v>#REF!</v>
      </c>
      <c r="C22" s="12" t="e">
        <f>dalolatnoma!C35</f>
        <v>#REF!</v>
      </c>
      <c r="D22" s="12" t="e">
        <f>dalolatnoma!D35</f>
        <v>#REF!</v>
      </c>
      <c r="E22" s="310"/>
    </row>
    <row r="23" spans="1:5" ht="17.25" hidden="1" customHeight="1">
      <c r="A23" s="12" t="e">
        <f>dalolatnoma!A36</f>
        <v>#REF!</v>
      </c>
      <c r="B23" s="12" t="e">
        <f>dalolatnoma!B36</f>
        <v>#REF!</v>
      </c>
      <c r="C23" s="12" t="e">
        <f>dalolatnoma!C36</f>
        <v>#REF!</v>
      </c>
      <c r="D23" s="12" t="e">
        <f>dalolatnoma!D36</f>
        <v>#REF!</v>
      </c>
      <c r="E23" s="310"/>
    </row>
    <row r="24" spans="1:5" ht="17.25" hidden="1" customHeight="1">
      <c r="A24" s="12" t="e">
        <f>dalolatnoma!A37</f>
        <v>#REF!</v>
      </c>
      <c r="B24" s="12" t="e">
        <f>dalolatnoma!B37</f>
        <v>#REF!</v>
      </c>
      <c r="C24" s="12" t="e">
        <f>dalolatnoma!C37</f>
        <v>#REF!</v>
      </c>
      <c r="D24" s="12" t="e">
        <f>dalolatnoma!D37</f>
        <v>#REF!</v>
      </c>
      <c r="E24" s="310"/>
    </row>
    <row r="25" spans="1:5" ht="15.75" hidden="1" customHeight="1">
      <c r="A25" s="12" t="e">
        <f>dalolatnoma!A38</f>
        <v>#REF!</v>
      </c>
      <c r="B25" s="12" t="e">
        <f>dalolatnoma!B38</f>
        <v>#REF!</v>
      </c>
      <c r="C25" s="12" t="e">
        <f>dalolatnoma!C38</f>
        <v>#REF!</v>
      </c>
      <c r="D25" s="12" t="e">
        <f>dalolatnoma!D38</f>
        <v>#REF!</v>
      </c>
      <c r="E25" s="310"/>
    </row>
    <row r="26" spans="1:5" ht="17.25" hidden="1" customHeight="1">
      <c r="A26" s="12" t="e">
        <f>dalolatnoma!A39</f>
        <v>#REF!</v>
      </c>
      <c r="B26" s="12" t="e">
        <f>dalolatnoma!B39</f>
        <v>#REF!</v>
      </c>
      <c r="C26" s="12" t="e">
        <f>dalolatnoma!C39</f>
        <v>#REF!</v>
      </c>
      <c r="D26" s="12" t="e">
        <f>dalolatnoma!D39</f>
        <v>#REF!</v>
      </c>
      <c r="E26" s="310"/>
    </row>
    <row r="27" spans="1:5" ht="17.25" hidden="1" customHeight="1">
      <c r="A27" s="12" t="e">
        <f>dalolatnoma!A40</f>
        <v>#REF!</v>
      </c>
      <c r="B27" s="12" t="e">
        <f>dalolatnoma!B40</f>
        <v>#REF!</v>
      </c>
      <c r="C27" s="12" t="e">
        <f>dalolatnoma!C40</f>
        <v>#REF!</v>
      </c>
      <c r="D27" s="12" t="e">
        <f>dalolatnoma!D40</f>
        <v>#REF!</v>
      </c>
      <c r="E27" s="310"/>
    </row>
    <row r="28" spans="1:5" ht="17.25" hidden="1" customHeight="1">
      <c r="A28" s="12" t="e">
        <f>dalolatnoma!A41</f>
        <v>#REF!</v>
      </c>
      <c r="B28" s="12" t="e">
        <f>dalolatnoma!B41</f>
        <v>#REF!</v>
      </c>
      <c r="C28" s="12" t="e">
        <f>dalolatnoma!C41</f>
        <v>#REF!</v>
      </c>
      <c r="D28" s="12" t="e">
        <f>dalolatnoma!D41</f>
        <v>#REF!</v>
      </c>
      <c r="E28" s="310"/>
    </row>
    <row r="29" spans="1:5" ht="17.25" hidden="1" customHeight="1">
      <c r="A29" s="12" t="e">
        <f>dalolatnoma!A42</f>
        <v>#REF!</v>
      </c>
      <c r="B29" s="12" t="e">
        <f>dalolatnoma!B42</f>
        <v>#REF!</v>
      </c>
      <c r="C29" s="12" t="e">
        <f>dalolatnoma!C42</f>
        <v>#REF!</v>
      </c>
      <c r="D29" s="12" t="e">
        <f>dalolatnoma!D42</f>
        <v>#REF!</v>
      </c>
      <c r="E29" s="310"/>
    </row>
    <row r="30" spans="1:5" ht="17.25" hidden="1" customHeight="1">
      <c r="A30" s="12" t="e">
        <f>dalolatnoma!A43</f>
        <v>#REF!</v>
      </c>
      <c r="B30" s="12" t="e">
        <f>dalolatnoma!B43</f>
        <v>#REF!</v>
      </c>
      <c r="C30" s="12" t="e">
        <f>dalolatnoma!C43</f>
        <v>#REF!</v>
      </c>
      <c r="D30" s="12" t="e">
        <f>dalolatnoma!D43</f>
        <v>#REF!</v>
      </c>
      <c r="E30" s="311"/>
    </row>
    <row r="31" spans="1:5" ht="17.25" hidden="1" customHeight="1">
      <c r="A31" s="12" t="e">
        <f>dalolatnoma!A44</f>
        <v>#REF!</v>
      </c>
      <c r="B31" s="12" t="e">
        <f>dalolatnoma!B44</f>
        <v>#REF!</v>
      </c>
      <c r="C31" s="12" t="e">
        <f>dalolatnoma!C44</f>
        <v>#REF!</v>
      </c>
      <c r="D31" s="12" t="e">
        <f>dalolatnoma!D44</f>
        <v>#REF!</v>
      </c>
      <c r="E31" s="12" t="str">
        <f>dalolatnoma!E44</f>
        <v>39 000 000,00</v>
      </c>
    </row>
    <row r="32" spans="1:5" ht="18.75" hidden="1" customHeight="1">
      <c r="A32" s="348" t="e">
        <f>_xlfn.SINGLE(dalolatnoma!#REF!)</f>
        <v>#REF!</v>
      </c>
      <c r="B32" s="348"/>
      <c r="C32" s="348"/>
      <c r="D32" s="348"/>
      <c r="E32" s="348"/>
    </row>
    <row r="33" spans="1:5" ht="24.75" hidden="1" customHeight="1">
      <c r="A33" s="348" t="e">
        <f>_xlfn.SINGLE(dalolatnoma!#REF!)</f>
        <v>#REF!</v>
      </c>
      <c r="B33" s="348"/>
      <c r="C33" s="348"/>
      <c r="D33" s="348"/>
      <c r="E33" s="348"/>
    </row>
    <row r="34" spans="1:5" ht="30.75" hidden="1" customHeight="1">
      <c r="A34" s="348" t="e">
        <f>_xlfn.SINGLE(dalolatnoma!#REF!)</f>
        <v>#REF!</v>
      </c>
      <c r="B34" s="348"/>
      <c r="C34" s="348"/>
      <c r="D34" s="348"/>
      <c r="E34" s="348"/>
    </row>
    <row r="35" spans="1:5" ht="15" hidden="1" customHeight="1">
      <c r="A35" s="348" t="e">
        <f>_xlfn.SINGLE(dalolatnoma!#REF!)</f>
        <v>#REF!</v>
      </c>
      <c r="B35" s="348"/>
      <c r="C35" s="348"/>
      <c r="D35" s="348"/>
      <c r="E35" s="348"/>
    </row>
    <row r="36" spans="1:5">
      <c r="A36" s="17"/>
      <c r="B36" s="17"/>
      <c r="C36" s="17"/>
      <c r="D36" s="17"/>
      <c r="E36" s="17"/>
    </row>
    <row r="37" spans="1:5" s="114" customFormat="1" ht="51" customHeight="1">
      <c r="A37" s="347" t="str">
        <f>dalolatnoma!A46:E46</f>
        <v>“Birinchi talabga ko‘ra, yuqoridagi avtomobil Mikrokredit shartnomasi bo‘yicha garovga qo‘yilgan edi::
-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c r="B37" s="347"/>
      <c r="C37" s="347"/>
      <c r="D37" s="347"/>
      <c r="E37" s="347"/>
    </row>
    <row r="38" spans="1:5" ht="40.5" customHeight="1">
      <c r="A38" s="348" t="str">
        <f>dalolatnoma!A47:E47</f>
        <v>Shu bilan birga, garov predmetining kelishilgan garov qiymati deganda ushbu mulk garov sifatida taqdim etilgan/qabul qilingan qiymati tushuniladi.</v>
      </c>
      <c r="B38" s="348"/>
      <c r="C38" s="348"/>
      <c r="D38" s="348"/>
      <c r="E38" s="348"/>
    </row>
    <row r="39" spans="1:5" ht="39" customHeight="1">
      <c r="A39" s="348" t="str">
        <f>"Учитывая вышеизложенное, ООО «Clever Mikrokredit Tashkiloti» даёт свое согласие на предоставление вышеуказанного имущества в виде последующего залога по договору микрозайма "&amp;malumot!B74&amp;", при сохранении запрета."</f>
        <v>Учитывая вышеизложенное, ООО «Clever Mikrokredit Tashkiloti» даёт свое согласие на предоставление вышеуказанного имущества в виде последующего залога по договору микрозайма 1 aprel 2025 y.dan № 687-BR, при сохранении запрета.</v>
      </c>
      <c r="B39" s="348"/>
      <c r="C39" s="348"/>
      <c r="D39" s="348"/>
      <c r="E39" s="348"/>
    </row>
    <row r="40" spans="1:5">
      <c r="A40" s="351"/>
      <c r="B40" s="351"/>
      <c r="C40" s="351"/>
      <c r="D40" s="351"/>
      <c r="E40" s="351"/>
    </row>
    <row r="41" spans="1:5">
      <c r="A41" s="352" t="s">
        <v>36</v>
      </c>
      <c r="B41" s="352"/>
      <c r="C41" s="352"/>
      <c r="D41" s="352"/>
      <c r="E41" s="352"/>
    </row>
    <row r="42" spans="1:5">
      <c r="A42" s="351"/>
      <c r="B42" s="351"/>
      <c r="C42" s="351"/>
      <c r="D42" s="351"/>
      <c r="E42" s="351"/>
    </row>
    <row r="43" spans="1:5">
      <c r="A43" s="352" t="s">
        <v>37</v>
      </c>
      <c r="B43" s="352"/>
      <c r="C43" s="352"/>
      <c r="D43" s="352"/>
      <c r="E43" s="352"/>
    </row>
    <row r="44" spans="1:5" ht="28.5" customHeight="1">
      <c r="A44" s="350" t="s">
        <v>38</v>
      </c>
      <c r="B44" s="350"/>
      <c r="C44" s="350"/>
      <c r="D44" s="350"/>
      <c r="E44" s="94" t="s">
        <v>2</v>
      </c>
    </row>
  </sheetData>
  <mergeCells count="18">
    <mergeCell ref="A44:D44"/>
    <mergeCell ref="A38:E38"/>
    <mergeCell ref="A39:E39"/>
    <mergeCell ref="A40:E40"/>
    <mergeCell ref="A41:E41"/>
    <mergeCell ref="A42:E42"/>
    <mergeCell ref="A43:E43"/>
    <mergeCell ref="A37:E37"/>
    <mergeCell ref="E20:E30"/>
    <mergeCell ref="A9:E9"/>
    <mergeCell ref="A32:E32"/>
    <mergeCell ref="A33:E33"/>
    <mergeCell ref="A34:E34"/>
    <mergeCell ref="A35:E35"/>
    <mergeCell ref="A16:E16"/>
    <mergeCell ref="A15:E15"/>
    <mergeCell ref="A14:E14"/>
    <mergeCell ref="A13:E13"/>
  </mergeCells>
  <printOptions horizontalCentered="1"/>
  <pageMargins left="0.70866141732283472" right="0.70866141732283472" top="0.74803149606299213" bottom="0.74803149606299213" header="0.31496062992125984" footer="0.31496062992125984"/>
  <pageSetup paperSize="9" scale="71"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Лист25">
    <tabColor rgb="FF00B050"/>
  </sheetPr>
  <dimension ref="A1:I35"/>
  <sheetViews>
    <sheetView view="pageBreakPreview" topLeftCell="A10" zoomScaleNormal="100" zoomScaleSheetLayoutView="100" workbookViewId="0">
      <selection activeCell="A28" sqref="A28:XFD28"/>
    </sheetView>
  </sheetViews>
  <sheetFormatPr defaultColWidth="9.140625" defaultRowHeight="12.75"/>
  <cols>
    <col min="1" max="2" width="11" style="19" customWidth="1"/>
    <col min="3" max="4" width="14.42578125" style="19" customWidth="1"/>
    <col min="5" max="6" width="13.5703125" style="19" customWidth="1"/>
    <col min="7" max="7" width="9.140625" style="19"/>
    <col min="8" max="8" width="19" style="19" bestFit="1" customWidth="1"/>
    <col min="9" max="9" width="9.140625" style="19" hidden="1" customWidth="1"/>
    <col min="10" max="10" width="9.140625" style="19" customWidth="1"/>
    <col min="11" max="11" width="0.5703125" style="19" customWidth="1"/>
    <col min="12" max="16384" width="9.140625" style="19"/>
  </cols>
  <sheetData>
    <row r="1" spans="1:9">
      <c r="A1" s="26"/>
      <c r="B1" s="26"/>
      <c r="C1" s="26"/>
      <c r="D1" s="26"/>
      <c r="E1" s="26"/>
      <c r="F1" s="26"/>
      <c r="G1" s="26"/>
      <c r="H1" s="26"/>
      <c r="I1" s="26"/>
    </row>
    <row r="2" spans="1:9">
      <c r="A2" s="354" t="str">
        <f>""&amp;" "&amp;malumot!B74&amp;"-sonli "&amp;" "&amp;malumot!C64&amp;" shartnomasi bo‘yicha
 garovga qo‘yilgan mol-mulkni tekshirish bo’yicha "&amp;malumot!B5&amp;" bilan tuzilgan dalolatnomasi"</f>
        <v xml:space="preserve"> 1 aprel 2025 y.dan № 687-BR-sonli  Mikroqarz shartnomasi bo‘yicha
 garovga qo‘yilgan mol-mulkni tekshirish bo’yicha XAYATOV OTABEK KURBANOVICH bilan tuzilgan dalolatnomasi</v>
      </c>
      <c r="B2" s="354"/>
      <c r="C2" s="354"/>
      <c r="D2" s="354"/>
      <c r="E2" s="354"/>
      <c r="F2" s="354"/>
      <c r="G2" s="354"/>
      <c r="H2" s="354"/>
      <c r="I2" s="26"/>
    </row>
    <row r="3" spans="1:9">
      <c r="A3" s="354"/>
      <c r="B3" s="354"/>
      <c r="C3" s="354"/>
      <c r="D3" s="354"/>
      <c r="E3" s="354"/>
      <c r="F3" s="354"/>
      <c r="G3" s="354"/>
      <c r="H3" s="354"/>
      <c r="I3" s="26"/>
    </row>
    <row r="5" spans="1:9">
      <c r="A5" s="19" t="s">
        <v>201</v>
      </c>
      <c r="F5" s="131"/>
      <c r="H5" s="120" t="str">
        <f>TEXT(malumot!D2,"ДД.ММ.ГГГГ")</f>
        <v>28.09.2025</v>
      </c>
    </row>
    <row r="7" spans="1:9" ht="45" customHeight="1">
      <c r="A7" s="353" t="str">
        <f>"      Men, “СLEVER MIKROMOLYA TASHKILOTI” "&amp;malumot!A158&amp;"i "&amp;malumot!B158&amp;", jismoniy shaxs "&amp;" "&amp;malumot!B5&amp;" "&amp;" "&amp;malumot!B74&amp;"-sonli "&amp;malumot!B65&amp;" shartnomasi bo‘yicha garovga qo‘yilgan mol-mulkni ko‘zdan kechirdim"</f>
        <v xml:space="preserve">      Men, “СLEVER MIKROMOLYA TASHKILOTI” Buxoro filiali boshlig'ii A.Xudayberdiyev, jismoniy shaxs  XAYATOV OTABEK KURBANOVICH  1 aprel 2025 y.dan № 687-BR-sonli mikroqarz shartnomasi bo‘yicha garovga qo‘yilgan mol-mulkni ko‘zdan kechirdim</v>
      </c>
      <c r="B7" s="353"/>
      <c r="C7" s="353"/>
      <c r="D7" s="353"/>
      <c r="E7" s="353"/>
      <c r="F7" s="353"/>
      <c r="G7" s="353"/>
      <c r="H7" s="353"/>
    </row>
    <row r="8" spans="1:9" ht="19.5" customHeight="1">
      <c r="A8" s="357" t="s">
        <v>272</v>
      </c>
      <c r="B8" s="357"/>
      <c r="C8" s="357"/>
      <c r="D8" s="357"/>
      <c r="E8" s="357"/>
      <c r="F8" s="357"/>
      <c r="G8" s="357"/>
      <c r="H8" s="357"/>
    </row>
    <row r="9" spans="1:9" s="121" customFormat="1" ht="32.25" customHeight="1">
      <c r="A9" s="358" t="str">
        <f>dalolatnoma!A20</f>
        <v>Nomi</v>
      </c>
      <c r="B9" s="359"/>
      <c r="C9" s="358" t="str">
        <f>dalolatnoma!B20</f>
        <v>Kuzov turi  va kuzov raqami*</v>
      </c>
      <c r="D9" s="359"/>
      <c r="E9" s="358" t="str">
        <f>dalolatnoma!D20</f>
        <v>Dvigatel va shassi raqami*</v>
      </c>
      <c r="F9" s="359"/>
      <c r="G9" s="358" t="str">
        <f>dalolatnoma!E20</f>
        <v>Ishlab chiqarilgan yili va rangi**</v>
      </c>
      <c r="H9" s="359"/>
    </row>
    <row r="10" spans="1:9" s="119" customFormat="1" ht="58.5" customHeight="1">
      <c r="A10" s="360" t="str">
        <f>dalolatnoma!A21</f>
        <v>SPARK</v>
      </c>
      <c r="B10" s="360"/>
      <c r="C10" s="360" t="str">
        <f>dalolatnoma!B21</f>
        <v>kuzov turi - YENGIL SEDAN, kuzov raqami XWBMF481EBA580791</v>
      </c>
      <c r="D10" s="360"/>
      <c r="E10" s="360" t="str">
        <f>dalolatnoma!D21</f>
        <v>dvigatel raqami B10D1606437KC3, shassi raqami - RAKAMSIZ</v>
      </c>
      <c r="F10" s="360"/>
      <c r="G10" s="360" t="str">
        <f>dalolatnoma!E21</f>
        <v>rangi -  OQ BELAYA "KASABLANKA", ishlab chiqarilgan yili - 2011</v>
      </c>
      <c r="H10" s="360"/>
    </row>
    <row r="11" spans="1:9" ht="19.5" customHeight="1">
      <c r="A11" s="361" t="str">
        <f>dalolatnoma!A22:E22</f>
        <v>-* avtotransport egasi: FAYZIYEV JAMSHID KURBONOVICH</v>
      </c>
      <c r="B11" s="361"/>
      <c r="C11" s="361"/>
      <c r="D11" s="361"/>
      <c r="E11" s="361"/>
      <c r="F11" s="361"/>
      <c r="G11" s="361"/>
      <c r="H11" s="361"/>
    </row>
    <row r="12" spans="1:9" ht="19.5" customHeight="1">
      <c r="A12" s="361" t="str">
        <f>dalolatnoma!A23:E23</f>
        <v>-* texnik pasport: AAG   4517617  20.08.2024y</v>
      </c>
      <c r="B12" s="361"/>
      <c r="C12" s="361"/>
      <c r="D12" s="361"/>
      <c r="E12" s="361"/>
      <c r="F12" s="361"/>
      <c r="G12" s="361"/>
      <c r="H12" s="361"/>
    </row>
    <row r="13" spans="1:9" ht="19.5" customHeight="1">
      <c r="A13" s="361" t="str">
        <f>dalolatnoma!A24:E24</f>
        <v>-* roʻyxatdan oʻtgan manzili/garaj manzili: BUXORO VILOYATI BUXORO TUMANI XONOBOD MFY XONOBOD QISHLOG'I</v>
      </c>
      <c r="B13" s="361"/>
      <c r="C13" s="361"/>
      <c r="D13" s="361"/>
      <c r="E13" s="361"/>
      <c r="F13" s="361"/>
      <c r="G13" s="361"/>
      <c r="H13" s="361"/>
    </row>
    <row r="14" spans="1:9" ht="19.5" customHeight="1">
      <c r="A14" s="361" t="str">
        <f>dalolatnoma!A25:E25</f>
        <v>-* davlat raqami: 80Y320AB</v>
      </c>
      <c r="B14" s="361"/>
      <c r="C14" s="361"/>
      <c r="D14" s="361"/>
      <c r="E14" s="361"/>
      <c r="F14" s="361"/>
      <c r="G14" s="361"/>
      <c r="H14" s="361"/>
    </row>
    <row r="15" spans="1:9" ht="33.75" customHeight="1">
      <c r="A15" s="355" t="str">
        <f>+"Shu bilan birga, yuqoridagi mulkning kelishilgan garov qiymati "&amp;dalolatnoma!E30</f>
        <v>Shu bilan birga, yuqoridagi mulkning kelishilgan garov qiymati 39 000 000,00 
(o'ttiz to'qqiz million so'm)</v>
      </c>
      <c r="B15" s="355"/>
      <c r="C15" s="355"/>
      <c r="D15" s="355"/>
      <c r="E15" s="355"/>
      <c r="F15" s="355"/>
      <c r="G15" s="355"/>
      <c r="H15" s="355"/>
    </row>
    <row r="17" spans="1:8" ht="27" customHeight="1">
      <c r="A17" s="356" t="s">
        <v>273</v>
      </c>
      <c r="B17" s="356"/>
      <c r="C17" s="356"/>
      <c r="D17" s="356"/>
      <c r="E17" s="356"/>
      <c r="F17" s="356"/>
      <c r="G17" s="356"/>
      <c r="H17" s="356"/>
    </row>
    <row r="21" spans="1:8" s="26" customFormat="1"/>
    <row r="22" spans="1:8" s="26" customFormat="1">
      <c r="A22" s="26" t="str">
        <f>malumot!A158</f>
        <v>Buxoro filiali boshlig'i</v>
      </c>
      <c r="H22" s="122" t="str">
        <f>malumot!B158</f>
        <v>A.Xudayberdiyev</v>
      </c>
    </row>
    <row r="23" spans="1:8" s="26" customFormat="1">
      <c r="H23" s="122"/>
    </row>
    <row r="24" spans="1:8" s="26" customFormat="1">
      <c r="H24" s="122"/>
    </row>
    <row r="25" spans="1:8" s="26" customFormat="1">
      <c r="H25" s="122"/>
    </row>
    <row r="26" spans="1:8" s="26" customFormat="1">
      <c r="H26" s="122"/>
    </row>
    <row r="27" spans="1:8" s="26" customFormat="1" ht="16.5" customHeight="1">
      <c r="A27" s="26" t="s">
        <v>274</v>
      </c>
      <c r="H27" s="26" t="str">
        <f>malumot!B168</f>
        <v>J.Karimov</v>
      </c>
    </row>
    <row r="28" spans="1:8" s="26" customFormat="1"/>
    <row r="29" spans="1:8" s="26" customFormat="1"/>
    <row r="30" spans="1:8" s="26" customFormat="1"/>
    <row r="31" spans="1:8" s="26" customFormat="1">
      <c r="A31" s="26" t="s">
        <v>275</v>
      </c>
      <c r="H31" s="122" t="str">
        <f>malumot!B7</f>
        <v>XAYATOV O.K.</v>
      </c>
    </row>
    <row r="32" spans="1:8" s="26" customFormat="1"/>
    <row r="33" s="26" customFormat="1"/>
    <row r="34" s="26" customFormat="1"/>
    <row r="35" s="26" customFormat="1"/>
  </sheetData>
  <mergeCells count="17">
    <mergeCell ref="A14:H14"/>
    <mergeCell ref="A7:H7"/>
    <mergeCell ref="A2:H3"/>
    <mergeCell ref="A15:H15"/>
    <mergeCell ref="A17:H17"/>
    <mergeCell ref="A8:H8"/>
    <mergeCell ref="A9:B9"/>
    <mergeCell ref="C9:D9"/>
    <mergeCell ref="E9:F9"/>
    <mergeCell ref="G9:H9"/>
    <mergeCell ref="A10:B10"/>
    <mergeCell ref="C10:D10"/>
    <mergeCell ref="E10:F10"/>
    <mergeCell ref="G10:H10"/>
    <mergeCell ref="A11:H11"/>
    <mergeCell ref="A12:H12"/>
    <mergeCell ref="A13:H13"/>
  </mergeCells>
  <printOptions horizontalCentered="1"/>
  <pageMargins left="0.70866141732283472" right="0.70866141732283472" top="0.74803149606299213" bottom="0.74803149606299213" header="0.31496062992125984" footer="0.31496062992125984"/>
  <pageSetup paperSize="9" scale="75"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Лист26">
    <tabColor rgb="FF00B050"/>
  </sheetPr>
  <dimension ref="A1:I34"/>
  <sheetViews>
    <sheetView view="pageBreakPreview" topLeftCell="A10" zoomScale="115" zoomScaleNormal="100" zoomScaleSheetLayoutView="115" workbookViewId="0">
      <selection activeCell="A25" sqref="A25:XFD25"/>
    </sheetView>
  </sheetViews>
  <sheetFormatPr defaultColWidth="9.140625" defaultRowHeight="12.75"/>
  <cols>
    <col min="1" max="2" width="11" style="19" customWidth="1"/>
    <col min="3" max="4" width="14.42578125" style="19" customWidth="1"/>
    <col min="5" max="6" width="13.5703125" style="19" customWidth="1"/>
    <col min="7" max="7" width="9.140625" style="19"/>
    <col min="8" max="8" width="19" style="19" bestFit="1" customWidth="1"/>
    <col min="9" max="16384" width="9.140625" style="19"/>
  </cols>
  <sheetData>
    <row r="1" spans="1:9">
      <c r="A1" s="26"/>
      <c r="B1" s="26"/>
      <c r="C1" s="26"/>
      <c r="D1" s="26"/>
      <c r="E1" s="26"/>
      <c r="F1" s="26"/>
      <c r="G1" s="26"/>
      <c r="H1" s="26"/>
      <c r="I1" s="26"/>
    </row>
    <row r="2" spans="1:9">
      <c r="A2" s="354" t="str">
        <f>""&amp;" "&amp;malumot!B74&amp;"-sonli "&amp;" "&amp;malumot!C64&amp;" shartnomasi bo‘yicha
 garovga qo‘yilgan mol-mulkni tekshirish bo’yicha "&amp;malumot!B5&amp;" bilan tuzilgan dalolatnomasi"</f>
        <v xml:space="preserve"> 1 aprel 2025 y.dan № 687-BR-sonli  Mikroqarz shartnomasi bo‘yicha
 garovga qo‘yilgan mol-mulkni tekshirish bo’yicha XAYATOV OTABEK KURBANOVICH bilan tuzilgan dalolatnomasi</v>
      </c>
      <c r="B2" s="354"/>
      <c r="C2" s="354"/>
      <c r="D2" s="354"/>
      <c r="E2" s="354"/>
      <c r="F2" s="354"/>
      <c r="G2" s="354"/>
      <c r="H2" s="354"/>
      <c r="I2" s="26"/>
    </row>
    <row r="3" spans="1:9">
      <c r="A3" s="354"/>
      <c r="B3" s="354"/>
      <c r="C3" s="354"/>
      <c r="D3" s="354"/>
      <c r="E3" s="354"/>
      <c r="F3" s="354"/>
      <c r="G3" s="354"/>
      <c r="H3" s="354"/>
      <c r="I3" s="26"/>
    </row>
    <row r="5" spans="1:9">
      <c r="A5" s="19" t="s">
        <v>201</v>
      </c>
      <c r="H5" s="120" t="str">
        <f>TEXT(+malumot!B2+360,"ДД.ММ.ГГГГ")</f>
        <v>27.03.2026</v>
      </c>
    </row>
    <row r="7" spans="1:9" ht="45" customHeight="1">
      <c r="A7" s="353" t="str">
        <f>"      Men, "&amp;malumot!B155&amp;" "&amp;malumot!A158&amp;"i "&amp;malumot!B158&amp;", jismoniy shaxs "&amp;" "&amp;malumot!B5&amp;" "&amp;" "&amp;malumot!B74&amp;"-sonli "&amp;malumot!C64&amp;" shartnomasi bo‘yicha garovga qo‘yilgan mol-mulkni ko‘zdan kechirdim"</f>
        <v xml:space="preserve">      Men, «CLEVER MIKROMOLIYA TASHKILOTI» MChJ Buxoro filiali boshlig'ii A.Xudayberdiyev, jismoniy shaxs  XAYATOV OTABEK KURBANOVICH  1 aprel 2025 y.dan № 687-BR-sonli Mikroqarz shartnomasi bo‘yicha garovga qo‘yilgan mol-mulkni ko‘zdan kechirdim</v>
      </c>
      <c r="B7" s="353"/>
      <c r="C7" s="353"/>
      <c r="D7" s="353"/>
      <c r="E7" s="353"/>
      <c r="F7" s="353"/>
      <c r="G7" s="353"/>
      <c r="H7" s="353"/>
    </row>
    <row r="8" spans="1:9" ht="19.5" customHeight="1">
      <c r="A8" s="357" t="s">
        <v>272</v>
      </c>
      <c r="B8" s="357"/>
      <c r="C8" s="357"/>
      <c r="D8" s="357"/>
      <c r="E8" s="357"/>
      <c r="F8" s="357"/>
      <c r="G8" s="357"/>
      <c r="H8" s="357"/>
    </row>
    <row r="9" spans="1:9" s="121" customFormat="1" ht="32.25" customHeight="1">
      <c r="A9" s="358" t="str">
        <f>akt_monitoring_1!A9</f>
        <v>Nomi</v>
      </c>
      <c r="B9" s="359"/>
      <c r="C9" s="358" t="str">
        <f>akt_monitoring_1!C9</f>
        <v>Kuzov turi  va kuzov raqami*</v>
      </c>
      <c r="D9" s="359"/>
      <c r="E9" s="358" t="str">
        <f>akt_monitoring_1!E9</f>
        <v>Dvigatel va shassi raqami*</v>
      </c>
      <c r="F9" s="359"/>
      <c r="G9" s="358" t="str">
        <f>akt_monitoring_1!G9</f>
        <v>Ishlab chiqarilgan yili va rangi**</v>
      </c>
      <c r="H9" s="359"/>
    </row>
    <row r="10" spans="1:9" s="119" customFormat="1" ht="58.5" customHeight="1">
      <c r="A10" s="360" t="str">
        <f>akt_monitoring_1!A10</f>
        <v>SPARK</v>
      </c>
      <c r="B10" s="360"/>
      <c r="C10" s="360" t="str">
        <f>akt_monitoring_1!C10</f>
        <v>kuzov turi - YENGIL SEDAN, kuzov raqami XWBMF481EBA580791</v>
      </c>
      <c r="D10" s="360"/>
      <c r="E10" s="360" t="str">
        <f>akt_monitoring_1!E10</f>
        <v>dvigatel raqami B10D1606437KC3, shassi raqami - RAKAMSIZ</v>
      </c>
      <c r="F10" s="360"/>
      <c r="G10" s="360" t="str">
        <f>akt_monitoring_1!G10</f>
        <v>rangi -  OQ BELAYA "KASABLANKA", ishlab chiqarilgan yili - 2011</v>
      </c>
      <c r="H10" s="360"/>
    </row>
    <row r="11" spans="1:9" ht="19.5" customHeight="1">
      <c r="A11" s="361" t="str">
        <f>dalolatnoma!A22:E22</f>
        <v>-* avtotransport egasi: FAYZIYEV JAMSHID KURBONOVICH</v>
      </c>
      <c r="B11" s="361"/>
      <c r="C11" s="361"/>
      <c r="D11" s="361"/>
      <c r="E11" s="361"/>
      <c r="F11" s="361"/>
      <c r="G11" s="361"/>
      <c r="H11" s="361"/>
    </row>
    <row r="12" spans="1:9" ht="19.5" customHeight="1">
      <c r="A12" s="361" t="str">
        <f>dalolatnoma!A23:E23</f>
        <v>-* texnik pasport: AAG   4517617  20.08.2024y</v>
      </c>
      <c r="B12" s="361"/>
      <c r="C12" s="361"/>
      <c r="D12" s="361"/>
      <c r="E12" s="361"/>
      <c r="F12" s="361"/>
      <c r="G12" s="361"/>
      <c r="H12" s="361"/>
    </row>
    <row r="13" spans="1:9" ht="19.5" customHeight="1">
      <c r="A13" s="361" t="str">
        <f>dalolatnoma!A24:E24</f>
        <v>-* roʻyxatdan oʻtgan manzili/garaj manzili: BUXORO VILOYATI BUXORO TUMANI XONOBOD MFY XONOBOD QISHLOG'I</v>
      </c>
      <c r="B13" s="361"/>
      <c r="C13" s="361"/>
      <c r="D13" s="361"/>
      <c r="E13" s="361"/>
      <c r="F13" s="361"/>
      <c r="G13" s="361"/>
      <c r="H13" s="361"/>
    </row>
    <row r="14" spans="1:9" ht="19.5" customHeight="1">
      <c r="A14" s="361" t="str">
        <f>dalolatnoma!A25:E25</f>
        <v>-* davlat raqami: 80Y320AB</v>
      </c>
      <c r="B14" s="361"/>
      <c r="C14" s="361"/>
      <c r="D14" s="361"/>
      <c r="E14" s="361"/>
      <c r="F14" s="361"/>
      <c r="G14" s="361"/>
      <c r="H14" s="361"/>
    </row>
    <row r="15" spans="1:9" ht="33.75" customHeight="1">
      <c r="A15" s="355" t="str">
        <f>+"Shu bilan birga, yuqoridagi mulkning kelishilgan garov qiymati "&amp;dalolatnoma!E30</f>
        <v>Shu bilan birga, yuqoridagi mulkning kelishilgan garov qiymati 39 000 000,00 
(o'ttiz to'qqiz million so'm)</v>
      </c>
      <c r="B15" s="355"/>
      <c r="C15" s="355"/>
      <c r="D15" s="355"/>
      <c r="E15" s="355"/>
      <c r="F15" s="355"/>
      <c r="G15" s="355"/>
      <c r="H15" s="355"/>
    </row>
    <row r="17" spans="1:8" ht="35.25" customHeight="1">
      <c r="A17" s="356" t="s">
        <v>273</v>
      </c>
      <c r="B17" s="356"/>
      <c r="C17" s="356"/>
      <c r="D17" s="356"/>
      <c r="E17" s="356"/>
      <c r="F17" s="356"/>
      <c r="G17" s="356"/>
      <c r="H17" s="356"/>
    </row>
    <row r="21" spans="1:8" s="26" customFormat="1"/>
    <row r="22" spans="1:8" s="26" customFormat="1">
      <c r="A22" s="26" t="str">
        <f>malumot!A158</f>
        <v>Buxoro filiali boshlig'i</v>
      </c>
      <c r="H22" s="122" t="str">
        <f>malumot!B158</f>
        <v>A.Xudayberdiyev</v>
      </c>
    </row>
    <row r="23" spans="1:8" s="26" customFormat="1">
      <c r="H23" s="122"/>
    </row>
    <row r="24" spans="1:8" s="26" customFormat="1">
      <c r="H24" s="122"/>
    </row>
    <row r="25" spans="1:8" s="26" customFormat="1">
      <c r="H25" s="122"/>
    </row>
    <row r="26" spans="1:8" s="26" customFormat="1">
      <c r="H26" s="122"/>
    </row>
    <row r="27" spans="1:8" s="26" customFormat="1" ht="16.5" customHeight="1">
      <c r="A27" s="26" t="s">
        <v>274</v>
      </c>
      <c r="H27" s="26" t="str">
        <f>malumot!B168</f>
        <v>J.Karimov</v>
      </c>
    </row>
    <row r="28" spans="1:8" s="26" customFormat="1"/>
    <row r="29" spans="1:8" s="26" customFormat="1"/>
    <row r="30" spans="1:8" s="26" customFormat="1"/>
    <row r="31" spans="1:8" s="26" customFormat="1">
      <c r="A31" s="26" t="s">
        <v>275</v>
      </c>
      <c r="H31" s="122" t="str">
        <f>malumot!B7</f>
        <v>XAYATOV O.K.</v>
      </c>
    </row>
    <row r="32" spans="1:8" s="26" customFormat="1"/>
    <row r="33" s="26" customFormat="1"/>
    <row r="34" s="26" customFormat="1"/>
  </sheetData>
  <mergeCells count="17">
    <mergeCell ref="G9:H9"/>
    <mergeCell ref="A2:H3"/>
    <mergeCell ref="A13:H13"/>
    <mergeCell ref="A14:H14"/>
    <mergeCell ref="A15:H15"/>
    <mergeCell ref="A7:H7"/>
    <mergeCell ref="A8:H8"/>
    <mergeCell ref="A9:B9"/>
    <mergeCell ref="C9:D9"/>
    <mergeCell ref="E9:F9"/>
    <mergeCell ref="A17:H17"/>
    <mergeCell ref="A10:B10"/>
    <mergeCell ref="C10:D10"/>
    <mergeCell ref="E10:F10"/>
    <mergeCell ref="G10:H10"/>
    <mergeCell ref="A11:H11"/>
    <mergeCell ref="A12:H12"/>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Лист27">
    <tabColor rgb="FF00B050"/>
  </sheetPr>
  <dimension ref="A1:I34"/>
  <sheetViews>
    <sheetView view="pageBreakPreview" topLeftCell="B14" zoomScaleNormal="100" zoomScaleSheetLayoutView="100" workbookViewId="0">
      <selection activeCell="X49" sqref="X49"/>
    </sheetView>
  </sheetViews>
  <sheetFormatPr defaultColWidth="9.140625" defaultRowHeight="12.75"/>
  <cols>
    <col min="1" max="2" width="11" style="19" customWidth="1"/>
    <col min="3" max="4" width="14.42578125" style="19" customWidth="1"/>
    <col min="5" max="6" width="13.5703125" style="19" customWidth="1"/>
    <col min="7" max="7" width="9.140625" style="19"/>
    <col min="8" max="8" width="19" style="19" bestFit="1" customWidth="1"/>
    <col min="9" max="16384" width="9.140625" style="19"/>
  </cols>
  <sheetData>
    <row r="1" spans="1:9">
      <c r="A1" s="26"/>
      <c r="B1" s="26"/>
      <c r="C1" s="26"/>
      <c r="D1" s="26"/>
      <c r="E1" s="26"/>
      <c r="F1" s="26"/>
      <c r="G1" s="26"/>
      <c r="H1" s="26"/>
      <c r="I1" s="26"/>
    </row>
    <row r="2" spans="1:9">
      <c r="A2" s="354" t="str">
        <f>""&amp;" "&amp;malumot!B74&amp;"-sonli "&amp;" "&amp;malumot!C64&amp;" shartnomasi bo‘yicha
 garovga qo‘yilgan mol-mulkni tekshirish bo’yicha "&amp;malumot!B5&amp;" bilan tuzilgan dalolatnomasi"</f>
        <v xml:space="preserve"> 1 aprel 2025 y.dan № 687-BR-sonli  Mikroqarz shartnomasi bo‘yicha
 garovga qo‘yilgan mol-mulkni tekshirish bo’yicha XAYATOV OTABEK KURBANOVICH bilan tuzilgan dalolatnomasi</v>
      </c>
      <c r="B2" s="354"/>
      <c r="C2" s="354"/>
      <c r="D2" s="354"/>
      <c r="E2" s="354"/>
      <c r="F2" s="354"/>
      <c r="G2" s="354"/>
      <c r="H2" s="354"/>
      <c r="I2" s="26"/>
    </row>
    <row r="3" spans="1:9">
      <c r="A3" s="354"/>
      <c r="B3" s="354"/>
      <c r="C3" s="354"/>
      <c r="D3" s="354"/>
      <c r="E3" s="354"/>
      <c r="F3" s="354"/>
      <c r="G3" s="354"/>
      <c r="H3" s="354"/>
      <c r="I3" s="26"/>
    </row>
    <row r="5" spans="1:9">
      <c r="A5" s="19" t="s">
        <v>201</v>
      </c>
      <c r="H5" s="120" t="str">
        <f>TEXT(+malumot!B2+540,"ДД.ММ.ГГГГ")</f>
        <v>23.09.2026</v>
      </c>
    </row>
    <row r="7" spans="1:9" ht="45" customHeight="1">
      <c r="A7" s="353" t="str">
        <f>"      Men, "&amp;malumot!B155&amp;" "&amp;malumot!A158&amp;"i "&amp;malumot!B158&amp;", jismoniy shaxs "&amp;" "&amp;malumot!B5&amp;" "&amp;" "&amp;malumot!B74&amp;"-sonli "&amp;malumot!C64&amp;" shartnomasi bo‘yicha garovga qo‘yilgan mol-mulkni ko‘zdan kechirdim"</f>
        <v xml:space="preserve">      Men, «CLEVER MIKROMOLIYA TASHKILOTI» MChJ Buxoro filiali boshlig'ii A.Xudayberdiyev, jismoniy shaxs  XAYATOV OTABEK KURBANOVICH  1 aprel 2025 y.dan № 687-BR-sonli Mikroqarz shartnomasi bo‘yicha garovga qo‘yilgan mol-mulkni ko‘zdan kechirdim</v>
      </c>
      <c r="B7" s="353"/>
      <c r="C7" s="353"/>
      <c r="D7" s="353"/>
      <c r="E7" s="353"/>
      <c r="F7" s="353"/>
      <c r="G7" s="353"/>
      <c r="H7" s="353"/>
    </row>
    <row r="8" spans="1:9" ht="19.5" customHeight="1">
      <c r="A8" s="357" t="s">
        <v>272</v>
      </c>
      <c r="B8" s="357"/>
      <c r="C8" s="357"/>
      <c r="D8" s="357"/>
      <c r="E8" s="357"/>
      <c r="F8" s="357"/>
      <c r="G8" s="357"/>
      <c r="H8" s="357"/>
    </row>
    <row r="9" spans="1:9" s="121" customFormat="1" ht="32.25" customHeight="1">
      <c r="A9" s="358" t="str">
        <f>akt_monitoring_1!A9</f>
        <v>Nomi</v>
      </c>
      <c r="B9" s="359"/>
      <c r="C9" s="358" t="str">
        <f>akt_monitoring_1!C9</f>
        <v>Kuzov turi  va kuzov raqami*</v>
      </c>
      <c r="D9" s="359"/>
      <c r="E9" s="358" t="str">
        <f>akt_monitoring_1!E9</f>
        <v>Dvigatel va shassi raqami*</v>
      </c>
      <c r="F9" s="359"/>
      <c r="G9" s="358" t="str">
        <f>akt_monitoring_1!G9</f>
        <v>Ishlab chiqarilgan yili va rangi**</v>
      </c>
      <c r="H9" s="359"/>
    </row>
    <row r="10" spans="1:9" s="119" customFormat="1" ht="58.5" customHeight="1">
      <c r="A10" s="362" t="str">
        <f>akt_monitoring_1!A10</f>
        <v>SPARK</v>
      </c>
      <c r="B10" s="363"/>
      <c r="C10" s="362" t="str">
        <f>akt_monitoring_1!C10</f>
        <v>kuzov turi - YENGIL SEDAN, kuzov raqami XWBMF481EBA580791</v>
      </c>
      <c r="D10" s="363"/>
      <c r="E10" s="362" t="str">
        <f>akt_monitoring_1!E10</f>
        <v>dvigatel raqami B10D1606437KC3, shassi raqami - RAKAMSIZ</v>
      </c>
      <c r="F10" s="363"/>
      <c r="G10" s="362" t="str">
        <f>akt_monitoring_1!G10</f>
        <v>rangi -  OQ BELAYA "KASABLANKA", ishlab chiqarilgan yili - 2011</v>
      </c>
      <c r="H10" s="363"/>
    </row>
    <row r="11" spans="1:9" ht="19.5" customHeight="1">
      <c r="A11" s="361" t="str">
        <f>dalolatnoma!A22:E22</f>
        <v>-* avtotransport egasi: FAYZIYEV JAMSHID KURBONOVICH</v>
      </c>
      <c r="B11" s="361"/>
      <c r="C11" s="361"/>
      <c r="D11" s="361"/>
      <c r="E11" s="361"/>
      <c r="F11" s="361"/>
      <c r="G11" s="361"/>
      <c r="H11" s="361"/>
    </row>
    <row r="12" spans="1:9" ht="19.5" customHeight="1">
      <c r="A12" s="361" t="str">
        <f>dalolatnoma!A23:E23</f>
        <v>-* texnik pasport: AAG   4517617  20.08.2024y</v>
      </c>
      <c r="B12" s="361"/>
      <c r="C12" s="361"/>
      <c r="D12" s="361"/>
      <c r="E12" s="361"/>
      <c r="F12" s="361"/>
      <c r="G12" s="361"/>
      <c r="H12" s="361"/>
    </row>
    <row r="13" spans="1:9" ht="19.5" customHeight="1">
      <c r="A13" s="361" t="str">
        <f>dalolatnoma!A24:E24</f>
        <v>-* roʻyxatdan oʻtgan manzili/garaj manzili: BUXORO VILOYATI BUXORO TUMANI XONOBOD MFY XONOBOD QISHLOG'I</v>
      </c>
      <c r="B13" s="361"/>
      <c r="C13" s="361"/>
      <c r="D13" s="361"/>
      <c r="E13" s="361"/>
      <c r="F13" s="361"/>
      <c r="G13" s="361"/>
      <c r="H13" s="361"/>
    </row>
    <row r="14" spans="1:9" ht="19.5" customHeight="1">
      <c r="A14" s="361" t="str">
        <f>dalolatnoma!A25:E25</f>
        <v>-* davlat raqami: 80Y320AB</v>
      </c>
      <c r="B14" s="361"/>
      <c r="C14" s="361"/>
      <c r="D14" s="361"/>
      <c r="E14" s="361"/>
      <c r="F14" s="361"/>
      <c r="G14" s="361"/>
      <c r="H14" s="361"/>
    </row>
    <row r="15" spans="1:9" ht="33.75" customHeight="1">
      <c r="A15" s="355" t="str">
        <f>+"Shu bilan birga, yuqoridagi mulkning kelishilgan garov qiymati "&amp;dalolatnoma!E30</f>
        <v>Shu bilan birga, yuqoridagi mulkning kelishilgan garov qiymati 39 000 000,00 
(o'ttiz to'qqiz million so'm)</v>
      </c>
      <c r="B15" s="355"/>
      <c r="C15" s="355"/>
      <c r="D15" s="355"/>
      <c r="E15" s="355"/>
      <c r="F15" s="355"/>
      <c r="G15" s="355"/>
      <c r="H15" s="355"/>
    </row>
    <row r="17" spans="1:8" s="119" customFormat="1" ht="32.25" customHeight="1">
      <c r="A17" s="356" t="s">
        <v>273</v>
      </c>
      <c r="B17" s="356"/>
      <c r="C17" s="356"/>
      <c r="D17" s="356"/>
      <c r="E17" s="356"/>
      <c r="F17" s="356"/>
      <c r="G17" s="356"/>
      <c r="H17" s="356"/>
    </row>
    <row r="21" spans="1:8" s="26" customFormat="1"/>
    <row r="22" spans="1:8" s="26" customFormat="1">
      <c r="A22" s="26" t="str">
        <f>malumot!A158</f>
        <v>Buxoro filiali boshlig'i</v>
      </c>
      <c r="H22" s="122" t="str">
        <f>malumot!B158</f>
        <v>A.Xudayberdiyev</v>
      </c>
    </row>
    <row r="23" spans="1:8" s="26" customFormat="1">
      <c r="H23" s="122"/>
    </row>
    <row r="24" spans="1:8" s="26" customFormat="1">
      <c r="H24" s="122"/>
    </row>
    <row r="25" spans="1:8" s="26" customFormat="1">
      <c r="H25" s="122"/>
    </row>
    <row r="26" spans="1:8" s="26" customFormat="1">
      <c r="H26" s="122"/>
    </row>
    <row r="27" spans="1:8" s="26" customFormat="1" ht="16.5" customHeight="1">
      <c r="A27" s="26" t="s">
        <v>274</v>
      </c>
      <c r="H27" s="26" t="str">
        <f>malumot!B168</f>
        <v>J.Karimov</v>
      </c>
    </row>
    <row r="28" spans="1:8" s="26" customFormat="1"/>
    <row r="29" spans="1:8" s="26" customFormat="1"/>
    <row r="30" spans="1:8" s="26" customFormat="1"/>
    <row r="31" spans="1:8" s="26" customFormat="1">
      <c r="A31" s="26" t="s">
        <v>275</v>
      </c>
      <c r="H31" s="122" t="str">
        <f>malumot!B7</f>
        <v>XAYATOV O.K.</v>
      </c>
    </row>
    <row r="32" spans="1:8" s="26" customFormat="1"/>
    <row r="33" s="26" customFormat="1"/>
    <row r="34" s="26" customFormat="1"/>
  </sheetData>
  <mergeCells count="17">
    <mergeCell ref="G9:H9"/>
    <mergeCell ref="A2:H3"/>
    <mergeCell ref="A13:H13"/>
    <mergeCell ref="A14:H14"/>
    <mergeCell ref="A15:H15"/>
    <mergeCell ref="A7:H7"/>
    <mergeCell ref="A8:H8"/>
    <mergeCell ref="A9:B9"/>
    <mergeCell ref="C9:D9"/>
    <mergeCell ref="E9:F9"/>
    <mergeCell ref="A17:H17"/>
    <mergeCell ref="A10:B10"/>
    <mergeCell ref="C10:D10"/>
    <mergeCell ref="E10:F10"/>
    <mergeCell ref="G10:H10"/>
    <mergeCell ref="A11:H11"/>
    <mergeCell ref="A12:H12"/>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Лист28">
    <tabColor rgb="FF00B050"/>
  </sheetPr>
  <dimension ref="A1:I34"/>
  <sheetViews>
    <sheetView view="pageBreakPreview" zoomScaleNormal="100" zoomScaleSheetLayoutView="100" workbookViewId="0">
      <selection activeCell="F39" sqref="F39"/>
    </sheetView>
  </sheetViews>
  <sheetFormatPr defaultColWidth="9.140625" defaultRowHeight="12.75"/>
  <cols>
    <col min="1" max="2" width="11" style="19" customWidth="1"/>
    <col min="3" max="4" width="14.42578125" style="19" customWidth="1"/>
    <col min="5" max="6" width="13.5703125" style="19" customWidth="1"/>
    <col min="7" max="7" width="9.140625" style="19"/>
    <col min="8" max="8" width="19" style="19" bestFit="1" customWidth="1"/>
    <col min="9" max="16384" width="9.140625" style="19"/>
  </cols>
  <sheetData>
    <row r="1" spans="1:9">
      <c r="A1" s="26"/>
      <c r="B1" s="26"/>
      <c r="C1" s="26"/>
      <c r="D1" s="26"/>
      <c r="E1" s="26"/>
      <c r="F1" s="26"/>
      <c r="G1" s="26"/>
      <c r="H1" s="26"/>
      <c r="I1" s="26"/>
    </row>
    <row r="2" spans="1:9">
      <c r="A2" s="354" t="str">
        <f>""&amp;" "&amp;malumot!B74&amp;"-sonli "&amp;" "&amp;malumot!C64&amp;" shartnomasi bo‘yicha
 garovga qo‘yilgan mol-mulkni tekshirish bo’yicha "&amp;malumot!B5&amp;" bilan tuzilgan dalolatnomasi"</f>
        <v xml:space="preserve"> 1 aprel 2025 y.dan № 687-BR-sonli  Mikroqarz shartnomasi bo‘yicha
 garovga qo‘yilgan mol-mulkni tekshirish bo’yicha XAYATOV OTABEK KURBANOVICH bilan tuzilgan dalolatnomasi</v>
      </c>
      <c r="B2" s="354"/>
      <c r="C2" s="354"/>
      <c r="D2" s="354"/>
      <c r="E2" s="354"/>
      <c r="F2" s="354"/>
      <c r="G2" s="354"/>
      <c r="H2" s="354"/>
      <c r="I2" s="26"/>
    </row>
    <row r="3" spans="1:9">
      <c r="A3" s="354"/>
      <c r="B3" s="354"/>
      <c r="C3" s="354"/>
      <c r="D3" s="354"/>
      <c r="E3" s="354"/>
      <c r="F3" s="354"/>
      <c r="G3" s="354"/>
      <c r="H3" s="354"/>
      <c r="I3" s="26"/>
    </row>
    <row r="5" spans="1:9">
      <c r="A5" s="19" t="s">
        <v>201</v>
      </c>
      <c r="H5" s="120" t="str">
        <f>TEXT(+malumot!B2+720,"ДД.ММ.ГГГГ")</f>
        <v>22.03.2027</v>
      </c>
    </row>
    <row r="7" spans="1:9" ht="45" customHeight="1">
      <c r="A7" s="353" t="str">
        <f>"      Men, "&amp;malumot!B155&amp;" "&amp;malumot!A158&amp;"i "&amp;malumot!B158&amp;", jismoniy shaxs "&amp;" "&amp;malumot!B5&amp;" "&amp;" "&amp;malumot!B74&amp;"-sonli "&amp;malumot!C64&amp;" shartnomasi bo‘yicha garovga qo‘yilgan mol-mulkni ko‘zdan kechirdim"</f>
        <v xml:space="preserve">      Men, «CLEVER MIKROMOLIYA TASHKILOTI» MChJ Buxoro filiali boshlig'ii A.Xudayberdiyev, jismoniy shaxs  XAYATOV OTABEK KURBANOVICH  1 aprel 2025 y.dan № 687-BR-sonli Mikroqarz shartnomasi bo‘yicha garovga qo‘yilgan mol-mulkni ko‘zdan kechirdim</v>
      </c>
      <c r="B7" s="353"/>
      <c r="C7" s="353"/>
      <c r="D7" s="353"/>
      <c r="E7" s="353"/>
      <c r="F7" s="353"/>
      <c r="G7" s="353"/>
      <c r="H7" s="353"/>
    </row>
    <row r="8" spans="1:9" ht="19.5" customHeight="1">
      <c r="A8" s="357" t="s">
        <v>272</v>
      </c>
      <c r="B8" s="357"/>
      <c r="C8" s="357"/>
      <c r="D8" s="357"/>
      <c r="E8" s="357"/>
      <c r="F8" s="357"/>
      <c r="G8" s="357"/>
      <c r="H8" s="357"/>
    </row>
    <row r="9" spans="1:9" s="121" customFormat="1" ht="32.25" customHeight="1">
      <c r="A9" s="358" t="str">
        <f>akt_monitoring_1!A9</f>
        <v>Nomi</v>
      </c>
      <c r="B9" s="359"/>
      <c r="C9" s="358" t="str">
        <f>akt_monitoring_1!C9</f>
        <v>Kuzov turi  va kuzov raqami*</v>
      </c>
      <c r="D9" s="359"/>
      <c r="E9" s="358" t="str">
        <f>akt_monitoring_1!E9</f>
        <v>Dvigatel va shassi raqami*</v>
      </c>
      <c r="F9" s="359"/>
      <c r="G9" s="358" t="str">
        <f>akt_monitoring_1!G9</f>
        <v>Ishlab chiqarilgan yili va rangi**</v>
      </c>
      <c r="H9" s="359"/>
    </row>
    <row r="10" spans="1:9" s="119" customFormat="1" ht="58.5" customHeight="1">
      <c r="A10" s="360" t="str">
        <f>akt_monitoring_1!A10</f>
        <v>SPARK</v>
      </c>
      <c r="B10" s="360"/>
      <c r="C10" s="360" t="str">
        <f>akt_monitoring_1!C10</f>
        <v>kuzov turi - YENGIL SEDAN, kuzov raqami XWBMF481EBA580791</v>
      </c>
      <c r="D10" s="360"/>
      <c r="E10" s="360" t="str">
        <f>akt_monitoring_1!E10</f>
        <v>dvigatel raqami B10D1606437KC3, shassi raqami - RAKAMSIZ</v>
      </c>
      <c r="F10" s="360"/>
      <c r="G10" s="360" t="str">
        <f>akt_monitoring_1!G10</f>
        <v>rangi -  OQ BELAYA "KASABLANKA", ishlab chiqarilgan yili - 2011</v>
      </c>
      <c r="H10" s="360"/>
    </row>
    <row r="11" spans="1:9" ht="19.5" customHeight="1">
      <c r="A11" s="361" t="str">
        <f>dalolatnoma!A22:E22</f>
        <v>-* avtotransport egasi: FAYZIYEV JAMSHID KURBONOVICH</v>
      </c>
      <c r="B11" s="361"/>
      <c r="C11" s="361"/>
      <c r="D11" s="361"/>
      <c r="E11" s="361"/>
      <c r="F11" s="361"/>
      <c r="G11" s="361"/>
      <c r="H11" s="361"/>
    </row>
    <row r="12" spans="1:9" ht="19.5" customHeight="1">
      <c r="A12" s="361" t="str">
        <f>dalolatnoma!A23:E23</f>
        <v>-* texnik pasport: AAG   4517617  20.08.2024y</v>
      </c>
      <c r="B12" s="361"/>
      <c r="C12" s="361"/>
      <c r="D12" s="361"/>
      <c r="E12" s="361"/>
      <c r="F12" s="361"/>
      <c r="G12" s="361"/>
      <c r="H12" s="361"/>
    </row>
    <row r="13" spans="1:9" ht="19.5" customHeight="1">
      <c r="A13" s="361" t="str">
        <f>dalolatnoma!A24:E24</f>
        <v>-* roʻyxatdan oʻtgan manzili/garaj manzili: BUXORO VILOYATI BUXORO TUMANI XONOBOD MFY XONOBOD QISHLOG'I</v>
      </c>
      <c r="B13" s="361"/>
      <c r="C13" s="361"/>
      <c r="D13" s="361"/>
      <c r="E13" s="361"/>
      <c r="F13" s="361"/>
      <c r="G13" s="361"/>
      <c r="H13" s="361"/>
    </row>
    <row r="14" spans="1:9" ht="19.5" customHeight="1">
      <c r="A14" s="361" t="str">
        <f>dalolatnoma!A25:E25</f>
        <v>-* davlat raqami: 80Y320AB</v>
      </c>
      <c r="B14" s="361"/>
      <c r="C14" s="361"/>
      <c r="D14" s="361"/>
      <c r="E14" s="361"/>
      <c r="F14" s="361"/>
      <c r="G14" s="361"/>
      <c r="H14" s="361"/>
    </row>
    <row r="15" spans="1:9" ht="33.75" customHeight="1">
      <c r="A15" s="355" t="str">
        <f>+"Shu bilan birga, yuqoridagi mulkning kelishilgan garov qiymati "&amp;dalolatnoma!E30</f>
        <v>Shu bilan birga, yuqoridagi mulkning kelishilgan garov qiymati 39 000 000,00 
(o'ttiz to'qqiz million so'm)</v>
      </c>
      <c r="B15" s="355"/>
      <c r="C15" s="355"/>
      <c r="D15" s="355"/>
      <c r="E15" s="355"/>
      <c r="F15" s="355"/>
      <c r="G15" s="355"/>
      <c r="H15" s="355"/>
    </row>
    <row r="17" spans="1:8" ht="28.5" customHeight="1">
      <c r="A17" s="356" t="s">
        <v>273</v>
      </c>
      <c r="B17" s="356"/>
      <c r="C17" s="356"/>
      <c r="D17" s="356"/>
      <c r="E17" s="356"/>
      <c r="F17" s="356"/>
      <c r="G17" s="356"/>
      <c r="H17" s="356"/>
    </row>
    <row r="21" spans="1:8" s="26" customFormat="1"/>
    <row r="22" spans="1:8" s="26" customFormat="1">
      <c r="A22" s="26" t="str">
        <f>malumot!A158</f>
        <v>Buxoro filiali boshlig'i</v>
      </c>
      <c r="H22" s="122" t="str">
        <f>malumot!B158</f>
        <v>A.Xudayberdiyev</v>
      </c>
    </row>
    <row r="23" spans="1:8" s="26" customFormat="1">
      <c r="H23" s="122"/>
    </row>
    <row r="24" spans="1:8" s="26" customFormat="1">
      <c r="H24" s="122"/>
    </row>
    <row r="25" spans="1:8" s="26" customFormat="1">
      <c r="H25" s="122"/>
    </row>
    <row r="26" spans="1:8" s="26" customFormat="1">
      <c r="H26" s="122"/>
    </row>
    <row r="27" spans="1:8" s="26" customFormat="1" ht="16.5" customHeight="1">
      <c r="A27" s="26" t="s">
        <v>274</v>
      </c>
      <c r="H27" s="26" t="str">
        <f>malumot!B168</f>
        <v>J.Karimov</v>
      </c>
    </row>
    <row r="28" spans="1:8" s="26" customFormat="1"/>
    <row r="29" spans="1:8" s="26" customFormat="1"/>
    <row r="30" spans="1:8" s="26" customFormat="1"/>
    <row r="31" spans="1:8" s="26" customFormat="1">
      <c r="A31" s="26" t="s">
        <v>275</v>
      </c>
      <c r="H31" s="122" t="str">
        <f>malumot!B7</f>
        <v>XAYATOV O.K.</v>
      </c>
    </row>
    <row r="32" spans="1:8" s="26" customFormat="1"/>
    <row r="33" s="26" customFormat="1"/>
    <row r="34" s="26" customFormat="1"/>
  </sheetData>
  <mergeCells count="17">
    <mergeCell ref="G9:H9"/>
    <mergeCell ref="A2:H3"/>
    <mergeCell ref="A13:H13"/>
    <mergeCell ref="A14:H14"/>
    <mergeCell ref="A15:H15"/>
    <mergeCell ref="A7:H7"/>
    <mergeCell ref="A8:H8"/>
    <mergeCell ref="A9:B9"/>
    <mergeCell ref="C9:D9"/>
    <mergeCell ref="E9:F9"/>
    <mergeCell ref="A17:H17"/>
    <mergeCell ref="A10:B10"/>
    <mergeCell ref="C10:D10"/>
    <mergeCell ref="E10:F10"/>
    <mergeCell ref="G10:H10"/>
    <mergeCell ref="A11:H11"/>
    <mergeCell ref="A12:H12"/>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Лист21">
    <tabColor rgb="FF00B050"/>
  </sheetPr>
  <dimension ref="A2:H33"/>
  <sheetViews>
    <sheetView view="pageBreakPreview" topLeftCell="A4" zoomScaleNormal="100" zoomScaleSheetLayoutView="100" workbookViewId="0">
      <selection activeCell="C5" sqref="C5:E5"/>
    </sheetView>
  </sheetViews>
  <sheetFormatPr defaultColWidth="9.140625" defaultRowHeight="15.75"/>
  <cols>
    <col min="1" max="2" width="17.42578125" style="106" customWidth="1"/>
    <col min="3" max="3" width="29.85546875" style="106" customWidth="1"/>
    <col min="4" max="4" width="18.140625" style="106" customWidth="1"/>
    <col min="5" max="5" width="6.5703125" style="106" customWidth="1"/>
    <col min="6" max="16384" width="9.140625" style="106"/>
  </cols>
  <sheetData>
    <row r="2" spans="1:5">
      <c r="A2" s="364" t="s">
        <v>235</v>
      </c>
      <c r="B2" s="364"/>
      <c r="C2" s="364"/>
      <c r="D2" s="364"/>
      <c r="E2" s="364"/>
    </row>
    <row r="3" spans="1:5">
      <c r="E3" s="105" t="str">
        <f>malumot!B68</f>
        <v>1 aprel 2025 y.</v>
      </c>
    </row>
    <row r="5" spans="1:5" s="107" customFormat="1" ht="27" customHeight="1">
      <c r="A5" s="368" t="s">
        <v>236</v>
      </c>
      <c r="B5" s="369"/>
      <c r="C5" s="365" t="str">
        <f>malumot!B8</f>
        <v>XAYATOV OTABEK KURBANOVICH</v>
      </c>
      <c r="D5" s="366"/>
      <c r="E5" s="367"/>
    </row>
    <row r="7" spans="1:5" ht="15.75" customHeight="1">
      <c r="A7" s="370" t="s">
        <v>351</v>
      </c>
      <c r="B7" s="371"/>
      <c r="C7" s="372"/>
      <c r="D7" s="108" t="s">
        <v>132</v>
      </c>
      <c r="E7" s="108"/>
    </row>
    <row r="8" spans="1:5">
      <c r="A8" s="373"/>
      <c r="B8" s="374"/>
      <c r="C8" s="375"/>
      <c r="D8" s="108" t="s">
        <v>240</v>
      </c>
      <c r="E8" s="108"/>
    </row>
    <row r="9" spans="1:5" ht="15.75" customHeight="1">
      <c r="A9" s="376" t="s">
        <v>237</v>
      </c>
      <c r="B9" s="376"/>
      <c r="C9" s="376"/>
      <c r="D9" s="108" t="s">
        <v>132</v>
      </c>
      <c r="E9" s="108"/>
    </row>
    <row r="10" spans="1:5">
      <c r="A10" s="376"/>
      <c r="B10" s="376"/>
      <c r="C10" s="376"/>
      <c r="D10" s="108" t="s">
        <v>240</v>
      </c>
      <c r="E10" s="108"/>
    </row>
    <row r="11" spans="1:5" ht="15.75" customHeight="1">
      <c r="A11" s="376" t="s">
        <v>238</v>
      </c>
      <c r="B11" s="376"/>
      <c r="C11" s="376"/>
      <c r="D11" s="108" t="s">
        <v>132</v>
      </c>
      <c r="E11" s="108"/>
    </row>
    <row r="12" spans="1:5">
      <c r="A12" s="376"/>
      <c r="B12" s="376"/>
      <c r="C12" s="376"/>
      <c r="D12" s="108" t="s">
        <v>240</v>
      </c>
      <c r="E12" s="108"/>
    </row>
    <row r="13" spans="1:5" ht="34.5" customHeight="1">
      <c r="A13" s="377" t="s">
        <v>239</v>
      </c>
      <c r="B13" s="377"/>
      <c r="C13" s="377"/>
      <c r="D13" s="377"/>
      <c r="E13" s="377"/>
    </row>
    <row r="14" spans="1:5" ht="16.5" thickBot="1">
      <c r="A14" s="378"/>
      <c r="B14" s="378"/>
      <c r="C14" s="378"/>
      <c r="D14" s="378"/>
      <c r="E14" s="378"/>
    </row>
    <row r="15" spans="1:5" ht="16.5" thickBot="1">
      <c r="A15" s="378"/>
      <c r="B15" s="378"/>
      <c r="C15" s="378"/>
      <c r="D15" s="378"/>
      <c r="E15" s="378"/>
    </row>
    <row r="16" spans="1:5" ht="16.5" thickBot="1">
      <c r="A16" s="378"/>
      <c r="B16" s="378"/>
      <c r="C16" s="378"/>
      <c r="D16" s="378"/>
      <c r="E16" s="378"/>
    </row>
    <row r="18" spans="1:8" ht="18.75" customHeight="1">
      <c r="A18" s="376" t="s">
        <v>241</v>
      </c>
      <c r="B18" s="376"/>
      <c r="C18" s="376"/>
      <c r="D18" s="108" t="s">
        <v>132</v>
      </c>
      <c r="E18" s="108"/>
    </row>
    <row r="19" spans="1:8" ht="18.75" customHeight="1">
      <c r="A19" s="376"/>
      <c r="B19" s="376"/>
      <c r="C19" s="376"/>
      <c r="D19" s="108" t="s">
        <v>240</v>
      </c>
      <c r="E19" s="108"/>
    </row>
    <row r="20" spans="1:8" ht="29.25" customHeight="1">
      <c r="A20" s="376" t="s">
        <v>242</v>
      </c>
      <c r="B20" s="376"/>
      <c r="C20" s="376"/>
      <c r="D20" s="108" t="s">
        <v>132</v>
      </c>
      <c r="E20" s="108"/>
    </row>
    <row r="21" spans="1:8" ht="29.25" customHeight="1">
      <c r="A21" s="376"/>
      <c r="B21" s="376"/>
      <c r="C21" s="376"/>
      <c r="D21" s="108" t="s">
        <v>240</v>
      </c>
      <c r="E21" s="108"/>
    </row>
    <row r="23" spans="1:8" ht="15.75" customHeight="1">
      <c r="A23" s="377" t="s">
        <v>243</v>
      </c>
      <c r="B23" s="377"/>
      <c r="C23" s="377"/>
      <c r="D23" s="377"/>
      <c r="E23" s="377"/>
    </row>
    <row r="24" spans="1:8" ht="16.5" thickBot="1">
      <c r="A24" s="378"/>
      <c r="B24" s="378"/>
      <c r="C24" s="378"/>
      <c r="D24" s="378"/>
      <c r="E24" s="378"/>
    </row>
    <row r="25" spans="1:8" ht="16.5" thickBot="1">
      <c r="A25" s="378"/>
      <c r="B25" s="378"/>
      <c r="C25" s="378"/>
      <c r="D25" s="378"/>
      <c r="E25" s="378"/>
    </row>
    <row r="26" spans="1:8" ht="16.5" thickBot="1">
      <c r="A26" s="378"/>
      <c r="B26" s="378"/>
      <c r="C26" s="378"/>
      <c r="D26" s="378"/>
      <c r="E26" s="378"/>
    </row>
    <row r="28" spans="1:8" ht="78.75" customHeight="1">
      <c r="A28" s="379" t="s">
        <v>244</v>
      </c>
      <c r="B28" s="379"/>
      <c r="C28" s="379"/>
      <c r="D28" s="379"/>
      <c r="E28" s="379"/>
    </row>
    <row r="30" spans="1:8" ht="33" customHeight="1">
      <c r="A30" s="379" t="s">
        <v>245</v>
      </c>
      <c r="B30" s="379"/>
      <c r="C30" s="379"/>
      <c r="D30" s="379"/>
      <c r="E30" s="379"/>
      <c r="F30" s="109"/>
      <c r="G30" s="109"/>
      <c r="H30" s="109"/>
    </row>
    <row r="33" spans="1:5" ht="16.5" thickBot="1">
      <c r="A33" s="110" t="str">
        <f>C5</f>
        <v>XAYATOV OTABEK KURBANOVICH</v>
      </c>
      <c r="D33" s="111"/>
      <c r="E33" s="112"/>
    </row>
  </sheetData>
  <mergeCells count="18">
    <mergeCell ref="A28:E28"/>
    <mergeCell ref="A30:E30"/>
    <mergeCell ref="A18:C19"/>
    <mergeCell ref="A20:C21"/>
    <mergeCell ref="A23:E23"/>
    <mergeCell ref="A24:E24"/>
    <mergeCell ref="A25:E25"/>
    <mergeCell ref="A26:E26"/>
    <mergeCell ref="A11:C12"/>
    <mergeCell ref="A13:E13"/>
    <mergeCell ref="A16:E16"/>
    <mergeCell ref="A15:E15"/>
    <mergeCell ref="A14:E14"/>
    <mergeCell ref="A2:E2"/>
    <mergeCell ref="C5:E5"/>
    <mergeCell ref="A5:B5"/>
    <mergeCell ref="A7:C8"/>
    <mergeCell ref="A9:C10"/>
  </mergeCells>
  <printOptions horizontalCentered="1"/>
  <pageMargins left="0.70866141732283472" right="0.70866141732283472" top="0.74803149606299213" bottom="0.74803149606299213" header="0.31496062992125984" footer="0.31496062992125984"/>
  <pageSetup paperSize="9" scale="97"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23</vt:i4>
      </vt:variant>
      <vt:variant>
        <vt:lpstr>Именованные диапазоны</vt:lpstr>
      </vt:variant>
      <vt:variant>
        <vt:i4>17</vt:i4>
      </vt:variant>
    </vt:vector>
  </HeadingPairs>
  <TitlesOfParts>
    <vt:vector size="40" baseType="lpstr">
      <vt:lpstr>malumot</vt:lpstr>
      <vt:lpstr>notarius</vt:lpstr>
      <vt:lpstr>shartnoma</vt:lpstr>
      <vt:lpstr>buyruq</vt:lpstr>
      <vt:lpstr>bayonnoma</vt:lpstr>
      <vt:lpstr>График дифференц</vt:lpstr>
      <vt:lpstr>Данные для послед. Залога</vt:lpstr>
      <vt:lpstr>График аннуитет.</vt:lpstr>
      <vt:lpstr>xulosa</vt:lpstr>
      <vt:lpstr>grafik</vt:lpstr>
      <vt:lpstr>dalolatnoma</vt:lpstr>
      <vt:lpstr>ariza</vt:lpstr>
      <vt:lpstr>muqova</vt:lpstr>
      <vt:lpstr>mijoz_anketasi</vt:lpstr>
      <vt:lpstr>majburiyatnoma</vt:lpstr>
      <vt:lpstr>kredit_ariza</vt:lpstr>
      <vt:lpstr>garov_ariza</vt:lpstr>
      <vt:lpstr>Письмо</vt:lpstr>
      <vt:lpstr>akt_monitoring_1</vt:lpstr>
      <vt:lpstr>akt_monitoring_2</vt:lpstr>
      <vt:lpstr>akt_monitoring_3</vt:lpstr>
      <vt:lpstr>akt_monitoring_4</vt:lpstr>
      <vt:lpstr>Анкета 2</vt:lpstr>
      <vt:lpstr>akt_monitoring_1!Область_печати</vt:lpstr>
      <vt:lpstr>akt_monitoring_2!Область_печати</vt:lpstr>
      <vt:lpstr>akt_monitoring_3!Область_печати</vt:lpstr>
      <vt:lpstr>akt_monitoring_4!Область_печати</vt:lpstr>
      <vt:lpstr>ariza!Область_печати</vt:lpstr>
      <vt:lpstr>bayonnoma!Область_печати</vt:lpstr>
      <vt:lpstr>buyruq!Область_печати</vt:lpstr>
      <vt:lpstr>dalolatnoma!Область_печати</vt:lpstr>
      <vt:lpstr>garov_ariza!Область_печати</vt:lpstr>
      <vt:lpstr>grafik!Область_печати</vt:lpstr>
      <vt:lpstr>kredit_ariza!Область_печати</vt:lpstr>
      <vt:lpstr>mijoz_anketasi!Область_печати</vt:lpstr>
      <vt:lpstr>muqova!Область_печати</vt:lpstr>
      <vt:lpstr>notarius!Область_печати</vt:lpstr>
      <vt:lpstr>shartnoma!Область_печати</vt:lpstr>
      <vt:lpstr>xulosa!Область_печати</vt:lpstr>
      <vt:lpstr>'График аннуитет.'!Область_печати</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test</dc:creator>
  <cp:lastModifiedBy>Admin</cp:lastModifiedBy>
  <cp:lastPrinted>2025-04-05T04:53:56Z</cp:lastPrinted>
  <dcterms:created xsi:type="dcterms:W3CDTF">2015-06-05T18:19:34Z</dcterms:created>
  <dcterms:modified xsi:type="dcterms:W3CDTF">2025-04-05T04:57:05Z</dcterms:modified>
</cp:coreProperties>
</file>