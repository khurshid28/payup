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2DFDBC16-B5FB-4390-AC97-C3C9788E24BF}" xr6:coauthVersionLast="47" xr6:coauthVersionMax="47" xr10:uidLastSave="{00000000-0000-0000-0000-000000000000}"/>
  <bookViews>
    <workbookView xWindow="-120" yWindow="-120" windowWidth="29040" windowHeight="15840" tabRatio="915" firstSheet="2" activeTab="20"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2" r:id="rId11"/>
    <sheet name="muqova" sheetId="9" r:id="rId12"/>
    <sheet name="mijoz_anketasi" sheetId="4" r:id="rId13"/>
    <sheet name="majburiyatnoma" sheetId="24" r:id="rId14"/>
    <sheet name="kredit_ariza" sheetId="2" r:id="rId15"/>
    <sheet name="Письмо" sheetId="20" state="hidden" r:id="rId16"/>
    <sheet name="garov_ariza" sheetId="31" r:id="rId17"/>
    <sheet name="akt_monitoring_1" sheetId="27" r:id="rId18"/>
    <sheet name="akt_monitoring_2" sheetId="26" r:id="rId19"/>
    <sheet name="akt_monitoring_3" sheetId="28" r:id="rId20"/>
    <sheet name="akt_monitoring_4" sheetId="29" r:id="rId21"/>
    <sheet name="Анкета 2" sheetId="22" r:id="rId22"/>
  </sheets>
  <externalReferences>
    <externalReference r:id="rId23"/>
  </externalReferences>
  <definedNames>
    <definedName name="mos">'[1]Общие данные'!$C$23:$D$23</definedName>
    <definedName name="mulk">'[1]Общие данные'!$C$24:$W$24</definedName>
    <definedName name="_xlnm.Print_Area" localSheetId="17">akt_monitoring_1!$A$1:$H$34</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ariza!$A$1:$D$24</definedName>
    <definedName name="_xlnm.Print_Area" localSheetId="3">bayonnoma!$A$1:$E$51</definedName>
    <definedName name="_xlnm.Print_Area" localSheetId="2">buyruq!$A$1:$E$29</definedName>
    <definedName name="_xlnm.Print_Area" localSheetId="8">dalolatnoma!$A$2:$E$64</definedName>
    <definedName name="_xlnm.Print_Area" localSheetId="9">grafik!$A$1:$F$62</definedName>
    <definedName name="_xlnm.Print_Area" localSheetId="14">kredit_ariza!$A$1:$D$45</definedName>
    <definedName name="_xlnm.Print_Area" localSheetId="12">mijoz_anketasi!$A$1:$F$36</definedName>
    <definedName name="_xlnm.Print_Area" localSheetId="11">muqova!$A$1:$G$41</definedName>
    <definedName name="_xlnm.Print_Area" localSheetId="1">shartnoma!$A$1:$B$133</definedName>
    <definedName name="_xlnm.Print_Area" localSheetId="7">xulosa!$A$1:$E$70</definedName>
    <definedName name="_xlnm.Print_Area" localSheetId="6">'График аннуитет.'!$A$1:$F$63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26" l="1"/>
  <c r="H31" i="27"/>
  <c r="H27" i="27"/>
  <c r="A27" i="27"/>
  <c r="D43" i="2"/>
  <c r="A43" i="2"/>
  <c r="E52" i="7"/>
  <c r="D55" i="3"/>
  <c r="D59" i="3"/>
  <c r="D63" i="3"/>
  <c r="A63" i="3"/>
  <c r="A59" i="3"/>
  <c r="A55" i="3"/>
  <c r="D49" i="23"/>
  <c r="D45" i="23"/>
  <c r="A45" i="23"/>
  <c r="A49" i="23"/>
  <c r="A41" i="23"/>
  <c r="B143" i="1" l="1"/>
  <c r="A9" i="32"/>
  <c r="B144" i="1"/>
  <c r="B145" i="1" s="1"/>
  <c r="B34" i="1"/>
  <c r="B27" i="1"/>
  <c r="B9" i="1"/>
  <c r="B11" i="1" s="1"/>
  <c r="B13" i="1" s="1"/>
  <c r="B8" i="1"/>
  <c r="B10" i="1" s="1"/>
  <c r="B12" i="1" s="1"/>
  <c r="A60" i="16" l="1"/>
  <c r="D62" i="7"/>
  <c r="H9" i="23"/>
  <c r="A122" i="19"/>
  <c r="A123" i="19"/>
  <c r="A128" i="19"/>
  <c r="A20" i="32"/>
  <c r="A16" i="32"/>
  <c r="B11" i="32"/>
  <c r="B12" i="32"/>
  <c r="B13" i="32"/>
  <c r="B14" i="32"/>
  <c r="B10" i="32"/>
  <c r="A11" i="32"/>
  <c r="A12" i="32"/>
  <c r="A13" i="32"/>
  <c r="A14" i="32"/>
  <c r="A10" i="32"/>
  <c r="C5" i="32"/>
  <c r="C4" i="32"/>
  <c r="C1" i="32"/>
  <c r="B134" i="1" l="1"/>
  <c r="B76" i="1" l="1"/>
  <c r="B77" i="1" s="1"/>
  <c r="B155" i="1"/>
  <c r="A23" i="8" l="1"/>
  <c r="A14" i="23"/>
  <c r="A33" i="23"/>
  <c r="A29" i="2"/>
  <c r="B65" i="1" l="1"/>
  <c r="A59" i="16"/>
  <c r="A126" i="19"/>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3" i="1"/>
  <c r="C129" i="1" s="1"/>
  <c r="C121" i="1"/>
  <c r="C127" i="1" s="1"/>
  <c r="C120" i="1"/>
  <c r="C126" i="1" s="1"/>
  <c r="C119" i="1"/>
  <c r="C125" i="1" s="1"/>
  <c r="C118" i="1"/>
  <c r="C124" i="1" s="1"/>
  <c r="D59" i="7"/>
  <c r="A62" i="7"/>
  <c r="A61" i="7"/>
  <c r="F61" i="7"/>
  <c r="A25" i="7"/>
  <c r="A23" i="7"/>
  <c r="A75" i="1" l="1"/>
  <c r="A34" i="23"/>
  <c r="A9" i="26"/>
  <c r="A9" i="29" s="1"/>
  <c r="A9" i="27" l="1"/>
  <c r="A9" i="28"/>
  <c r="I133" i="1"/>
  <c r="A47" i="3"/>
  <c r="A35" i="3"/>
  <c r="E30" i="3"/>
  <c r="A30" i="3"/>
  <c r="A33" i="3"/>
  <c r="D29" i="7" l="1"/>
  <c r="D30" i="3" s="1"/>
  <c r="F137" i="1"/>
  <c r="E140" i="1"/>
  <c r="E137" i="1"/>
  <c r="D20" i="7"/>
  <c r="E20" i="7"/>
  <c r="G9" i="26" s="1"/>
  <c r="B20" i="7"/>
  <c r="G9" i="28" l="1"/>
  <c r="G9" i="27"/>
  <c r="G9" i="29"/>
  <c r="B29" i="7"/>
  <c r="B30" i="3" s="1"/>
  <c r="C9" i="26"/>
  <c r="C29" i="7"/>
  <c r="C30" i="3" s="1"/>
  <c r="E9" i="26"/>
  <c r="E9" i="29" l="1"/>
  <c r="E9" i="28"/>
  <c r="E9" i="27"/>
  <c r="C9" i="29"/>
  <c r="C9" i="28"/>
  <c r="C9" i="27"/>
  <c r="H27" i="29" l="1"/>
  <c r="H27" i="28"/>
  <c r="A22" i="26"/>
  <c r="H27" i="26"/>
  <c r="A52" i="3"/>
  <c r="A36" i="3"/>
  <c r="A1" i="3"/>
  <c r="D15" i="23"/>
  <c r="E15" i="23" s="1"/>
  <c r="A1" i="23"/>
  <c r="D58" i="16"/>
  <c r="A117" i="1" l="1"/>
  <c r="A116" i="1"/>
  <c r="A115" i="1"/>
  <c r="A114" i="1"/>
  <c r="C22" i="1"/>
  <c r="A16" i="23"/>
  <c r="A57" i="16"/>
  <c r="B49" i="1" l="1"/>
  <c r="B59" i="1" s="1"/>
  <c r="A16" i="4" l="1"/>
  <c r="A17" i="4"/>
  <c r="A7" i="24"/>
  <c r="B47" i="1"/>
  <c r="B119" i="19"/>
  <c r="B123" i="1"/>
  <c r="B129" i="1" s="1"/>
  <c r="A24" i="7" s="1"/>
  <c r="A34" i="3" s="1"/>
  <c r="B121" i="1"/>
  <c r="B120" i="1"/>
  <c r="B119" i="1"/>
  <c r="B118" i="1"/>
  <c r="B45" i="1" l="1"/>
  <c r="B58" i="1"/>
  <c r="A51" i="7"/>
  <c r="D2" i="2"/>
  <c r="C77" i="1"/>
  <c r="A7" i="23"/>
  <c r="A31" i="2" l="1"/>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C31" i="19" l="1"/>
  <c r="A23" i="19"/>
  <c r="E31" i="19"/>
  <c r="D31" i="19" s="1"/>
  <c r="A47"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53" i="16" s="1"/>
  <c r="A30" i="4"/>
  <c r="B122" i="19"/>
  <c r="D55" i="16" s="1"/>
  <c r="A15" i="4"/>
  <c r="A14" i="4"/>
  <c r="A13" i="4"/>
  <c r="A7" i="3"/>
  <c r="C8" i="15"/>
  <c r="J12" i="15"/>
  <c r="A10" i="4" l="1"/>
  <c r="A9" i="4" s="1"/>
  <c r="D59" i="16"/>
  <c r="B124" i="19"/>
  <c r="D57" i="16" s="1"/>
  <c r="B123" i="19"/>
  <c r="D56" i="16" s="1"/>
  <c r="D52" i="16"/>
  <c r="B117" i="19"/>
  <c r="D51" i="16" s="1"/>
  <c r="A56" i="16" l="1"/>
  <c r="A55" i="16"/>
  <c r="A121" i="19"/>
  <c r="A54" i="16" s="1"/>
  <c r="A119" i="19"/>
  <c r="A52"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4"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0" i="7"/>
  <c r="E31" i="3" s="1"/>
  <c r="A48" i="7"/>
  <c r="A15" i="7"/>
  <c r="E132" i="1"/>
  <c r="A27" i="3"/>
  <c r="A20" i="3"/>
  <c r="A27" i="2"/>
  <c r="A28" i="2"/>
  <c r="F133" i="1"/>
  <c r="E133" i="1"/>
  <c r="A6" i="8"/>
  <c r="A24" i="2" l="1"/>
  <c r="A28" i="3"/>
  <c r="A15" i="8"/>
  <c r="G10" i="28"/>
  <c r="G10" i="29"/>
  <c r="G10" i="27"/>
  <c r="A14" i="8"/>
  <c r="A25" i="2"/>
  <c r="A16" i="7"/>
  <c r="A18" i="7" s="1"/>
  <c r="A19" i="7" s="1"/>
  <c r="A29" i="3"/>
  <c r="A25" i="23" s="1"/>
  <c r="A37" i="3"/>
  <c r="A21" i="4" l="1"/>
  <c r="A10" i="2"/>
  <c r="A9" i="2"/>
  <c r="A19" i="4"/>
  <c r="B66" i="1" l="1"/>
  <c r="A1" i="19" s="1"/>
  <c r="H31" i="29"/>
  <c r="H31" i="28"/>
  <c r="H22" i="29"/>
  <c r="H22" i="28"/>
  <c r="H22" i="27"/>
  <c r="D56" i="7" l="1"/>
  <c r="A56" i="7"/>
  <c r="A132" i="19"/>
  <c r="B109" i="1"/>
  <c r="R131" i="1" l="1"/>
  <c r="R132" i="1" s="1"/>
  <c r="N133" i="1" s="1"/>
  <c r="Q131" i="1"/>
  <c r="Q132" i="1" s="1"/>
  <c r="N132" i="1" s="1"/>
  <c r="B24" i="4" l="1"/>
  <c r="B67" i="1" l="1"/>
  <c r="C79" i="1" s="1"/>
  <c r="C80" i="1" s="1"/>
  <c r="C81" i="1" s="1"/>
  <c r="B80" i="1" s="1"/>
  <c r="B81" i="1" s="1"/>
  <c r="B152" i="1" l="1"/>
  <c r="B150" i="1"/>
  <c r="C18" i="1" l="1"/>
  <c r="B20" i="1" l="1"/>
  <c r="B121" i="19" s="1"/>
  <c r="C20" i="1"/>
  <c r="A5" i="19" s="1"/>
  <c r="C122" i="1" l="1"/>
  <c r="C6" i="32"/>
  <c r="B122" i="1"/>
  <c r="B128" i="1" s="1"/>
  <c r="C128" i="1"/>
  <c r="D53"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C19" i="1" l="1"/>
  <c r="A33" i="20"/>
  <c r="B21" i="1" l="1"/>
  <c r="A6" i="3" s="1"/>
  <c r="C21" i="1"/>
  <c r="B8" i="15"/>
  <c r="R43" i="15" s="1"/>
  <c r="C5" i="22"/>
  <c r="A33" i="22" s="1"/>
  <c r="O43" i="15" l="1"/>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B32" i="16"/>
  <c r="H41" i="12"/>
  <c r="G41" i="12"/>
  <c r="G42" i="12"/>
  <c r="G10" i="15"/>
  <c r="H10" i="15"/>
  <c r="H9" i="15"/>
  <c r="G13" i="15"/>
  <c r="G12" i="15"/>
  <c r="H12" i="15"/>
  <c r="H11" i="15"/>
  <c r="G11" i="15"/>
  <c r="I67" i="1"/>
  <c r="G67" i="1"/>
  <c r="A117" i="19" l="1"/>
  <c r="A51"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5" i="1"/>
  <c r="A2" i="8" s="1"/>
  <c r="B149" i="1"/>
  <c r="E4" i="7" s="1"/>
  <c r="A39" i="20"/>
  <c r="B40" i="9"/>
  <c r="A19" i="2"/>
  <c r="D60" i="15"/>
  <c r="A58" i="15"/>
  <c r="A56" i="15"/>
  <c r="D52" i="15"/>
  <c r="D48" i="15"/>
  <c r="A48" i="15"/>
  <c r="A23" i="23" l="1"/>
  <c r="A12" i="8"/>
  <c r="A7" i="7"/>
  <c r="A10" i="7"/>
  <c r="A26" i="7"/>
  <c r="A15" i="3"/>
  <c r="H27" i="15"/>
  <c r="G27" i="15"/>
  <c r="G28" i="15"/>
  <c r="H28" i="15"/>
  <c r="G30" i="15"/>
  <c r="G31" i="15"/>
  <c r="H30" i="15"/>
  <c r="G29" i="15"/>
  <c r="H29" i="15"/>
  <c r="G26" i="15"/>
  <c r="H26" i="15"/>
  <c r="H24" i="15"/>
  <c r="G24" i="15"/>
  <c r="G25" i="15"/>
  <c r="A6" i="7" l="1"/>
  <c r="F2" i="15"/>
  <c r="B62" i="1" l="1"/>
  <c r="D55" i="15" l="1"/>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60" i="12"/>
  <c r="A58" i="12"/>
  <c r="A56" i="12"/>
  <c r="D52" i="12"/>
  <c r="D48" i="12"/>
  <c r="A48"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51" i="15" l="1"/>
  <c r="A55" i="15"/>
  <c r="A60" i="15"/>
  <c r="D62" i="15"/>
  <c r="A50" i="15"/>
  <c r="A54" i="15"/>
  <c r="A53" i="15"/>
  <c r="A52" i="15"/>
  <c r="D51" i="15"/>
  <c r="D58" i="15"/>
  <c r="D50" i="15"/>
  <c r="A60" i="12"/>
  <c r="A54" i="12"/>
  <c r="A51" i="12"/>
  <c r="A55" i="12"/>
  <c r="A52" i="12"/>
  <c r="A13" i="3"/>
  <c r="A40" i="3" s="1"/>
  <c r="A53" i="12"/>
  <c r="D56" i="12"/>
  <c r="D54" i="12"/>
  <c r="D55" i="12"/>
  <c r="D51" i="12"/>
  <c r="D58" i="12"/>
  <c r="D50" i="12"/>
  <c r="A50"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M9" i="15" s="1"/>
  <c r="F9" i="15" s="1"/>
  <c r="D10" i="15"/>
  <c r="J14" i="15"/>
  <c r="K14" i="15" s="1"/>
  <c r="J13" i="15"/>
  <c r="K13" i="15" s="1"/>
  <c r="J17" i="15"/>
  <c r="K17" i="15" s="1"/>
  <c r="J16" i="15"/>
  <c r="K16" i="15" s="1"/>
  <c r="L10" i="15"/>
  <c r="E10" i="15" s="1"/>
  <c r="J15" i="15"/>
  <c r="K15" i="15" s="1"/>
  <c r="J18" i="15"/>
  <c r="K18" i="15" s="1"/>
  <c r="J19" i="15"/>
  <c r="K19" i="15" s="1"/>
  <c r="I19" i="15" s="1"/>
  <c r="C11" i="15" l="1"/>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D22" i="15" l="1"/>
  <c r="C23" i="15" s="1"/>
  <c r="L23" i="15" s="1"/>
  <c r="E23" i="15" s="1"/>
  <c r="M21" i="15"/>
  <c r="F21" i="15" s="1"/>
  <c r="M22" i="15" l="1"/>
  <c r="F22" i="15" s="1"/>
  <c r="D23" i="15"/>
  <c r="C24" i="15" s="1"/>
  <c r="L24" i="15" s="1"/>
  <c r="E24" i="15" s="1"/>
  <c r="M23" i="15" l="1"/>
  <c r="F23" i="15" s="1"/>
  <c r="D24" i="15"/>
  <c r="C25" i="15" l="1"/>
  <c r="M24" i="15"/>
  <c r="F24" i="15" s="1"/>
  <c r="L25" i="15" l="1"/>
  <c r="E25" i="15" s="1"/>
  <c r="D25" i="15" l="1"/>
  <c r="C26" i="15" l="1"/>
  <c r="M25" i="15"/>
  <c r="F25" i="15" s="1"/>
  <c r="L26" i="15" l="1"/>
  <c r="D26" i="15" s="1"/>
  <c r="E26" i="15" l="1"/>
  <c r="M26" i="15" s="1"/>
  <c r="F26" i="15" s="1"/>
  <c r="C27" i="15"/>
  <c r="L27" i="15" l="1"/>
  <c r="D27" i="15" s="1"/>
  <c r="E27" i="15" l="1"/>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s="1"/>
  <c r="E43" i="15" s="1"/>
  <c r="E44" i="15" s="1"/>
  <c r="M42" i="15" l="1"/>
  <c r="F42" i="15" s="1"/>
  <c r="D43" i="15"/>
  <c r="M43" i="15" s="1"/>
  <c r="F43" i="15" s="1"/>
  <c r="D44" i="15" l="1"/>
  <c r="F44" i="15"/>
  <c r="F9" i="16" l="1"/>
  <c r="D9" i="16" l="1"/>
  <c r="F10" i="16"/>
  <c r="C10" i="16" l="1"/>
  <c r="F11" i="16"/>
  <c r="E10" i="16" l="1"/>
  <c r="F12" i="16"/>
  <c r="D10" i="16" l="1"/>
  <c r="F13" i="16"/>
  <c r="C11" i="16" l="1"/>
  <c r="E11" i="16" l="1"/>
  <c r="D11" i="16" l="1"/>
  <c r="C12" i="16" l="1"/>
  <c r="E12" i="16" l="1"/>
  <c r="D12" i="16" l="1"/>
  <c r="C13" i="16" l="1"/>
  <c r="E13" i="16" l="1"/>
  <c r="D13" i="16" l="1"/>
  <c r="C14" i="16" l="1"/>
  <c r="E14" i="16" l="1"/>
  <c r="F14" i="16" l="1"/>
  <c r="F15" i="16"/>
  <c r="D14" i="16" l="1"/>
  <c r="F16" i="16"/>
  <c r="C15" i="16" l="1"/>
  <c r="F17" i="16"/>
  <c r="E15" i="16" l="1"/>
  <c r="F18" i="16"/>
  <c r="F19" i="16" l="1"/>
  <c r="D15" i="16"/>
  <c r="C16" i="16" l="1"/>
  <c r="E16" i="16" l="1"/>
  <c r="D16" i="16" l="1"/>
  <c r="C17" i="16" l="1"/>
  <c r="E17" i="16" l="1"/>
  <c r="D17" i="16" l="1"/>
  <c r="C18" i="16" l="1"/>
  <c r="E18" i="16" l="1"/>
  <c r="D18" i="16" l="1"/>
  <c r="C19" i="16" l="1"/>
  <c r="E19" i="16" l="1"/>
  <c r="D19" i="16" l="1"/>
  <c r="C20" i="16" l="1"/>
  <c r="D20" i="16" l="1"/>
  <c r="F20" i="16"/>
  <c r="F21" i="16" l="1"/>
  <c r="F22" i="16" l="1"/>
  <c r="D21" i="16"/>
  <c r="C22" i="16" l="1"/>
  <c r="F23" i="16"/>
  <c r="F24" i="16" l="1"/>
  <c r="E22" i="16"/>
  <c r="D22" i="16" l="1"/>
  <c r="F25" i="16"/>
  <c r="C23" i="16" l="1"/>
  <c r="F26" i="16" l="1"/>
  <c r="B91" i="1" s="1"/>
  <c r="E23" i="16"/>
  <c r="A24" i="3" l="1"/>
  <c r="A23" i="3"/>
  <c r="F8" i="12"/>
  <c r="D23" i="16"/>
  <c r="A22" i="3" l="1"/>
  <c r="F9" i="12"/>
  <c r="D8" i="12"/>
  <c r="C9" i="12" s="1"/>
  <c r="F27" i="16"/>
  <c r="C24" i="16"/>
  <c r="E9" i="12" l="1"/>
  <c r="D9" i="12" s="1"/>
  <c r="C10" i="12" s="1"/>
  <c r="F10" i="12"/>
  <c r="F28" i="16"/>
  <c r="E24" i="16"/>
  <c r="E10" i="12" l="1"/>
  <c r="D10" i="12" s="1"/>
  <c r="C11" i="12" s="1"/>
  <c r="F11" i="12"/>
  <c r="D24" i="16"/>
  <c r="F29" i="16"/>
  <c r="E11" i="12" l="1"/>
  <c r="D11" i="12" s="1"/>
  <c r="C12" i="12" s="1"/>
  <c r="F12" i="12"/>
  <c r="C25" i="16"/>
  <c r="E12" i="12" l="1"/>
  <c r="D12" i="12" s="1"/>
  <c r="C13" i="12" s="1"/>
  <c r="F13" i="12"/>
  <c r="F30" i="16"/>
  <c r="E25" i="16"/>
  <c r="E13" i="12" l="1"/>
  <c r="D13" i="12" s="1"/>
  <c r="C14" i="12" s="1"/>
  <c r="F14" i="12"/>
  <c r="D25" i="16"/>
  <c r="E14" i="12" l="1"/>
  <c r="F15" i="12"/>
  <c r="D14" i="12"/>
  <c r="C15" i="12" s="1"/>
  <c r="F31" i="16"/>
  <c r="C26" i="16"/>
  <c r="E15" i="12" l="1"/>
  <c r="D15" i="12" s="1"/>
  <c r="C16" i="12" s="1"/>
  <c r="F16" i="12"/>
  <c r="E26" i="16"/>
  <c r="E16" i="12" l="1"/>
  <c r="D16" i="12" s="1"/>
  <c r="C17" i="12" s="1"/>
  <c r="F17" i="12"/>
  <c r="D26" i="16"/>
  <c r="E17" i="12" l="1"/>
  <c r="D17" i="12" s="1"/>
  <c r="C18" i="12" s="1"/>
  <c r="F18" i="12"/>
  <c r="C27" i="16"/>
  <c r="E18" i="12" l="1"/>
  <c r="D18" i="12" s="1"/>
  <c r="C19" i="12" s="1"/>
  <c r="E19" i="12" s="1"/>
  <c r="E20" i="16" s="1"/>
  <c r="C63" i="1" s="1"/>
  <c r="C60" i="1" s="1"/>
  <c r="F19" i="12"/>
  <c r="E27" i="16"/>
  <c r="D19" i="12" l="1"/>
  <c r="C20" i="12" s="1"/>
  <c r="F20" i="12"/>
  <c r="D27" i="16"/>
  <c r="F21" i="12" l="1"/>
  <c r="C21" i="16"/>
  <c r="E20" i="12"/>
  <c r="E21" i="16" s="1"/>
  <c r="C28" i="16"/>
  <c r="F22" i="12" l="1"/>
  <c r="D20" i="12"/>
  <c r="C21" i="12" s="1"/>
  <c r="E28" i="16"/>
  <c r="E21" i="12" l="1"/>
  <c r="D21" i="12" s="1"/>
  <c r="C22" i="12" s="1"/>
  <c r="F23" i="12"/>
  <c r="D28" i="16"/>
  <c r="E22" i="12" l="1"/>
  <c r="D22" i="12" s="1"/>
  <c r="C23" i="12" s="1"/>
  <c r="F24" i="12"/>
  <c r="C29" i="16"/>
  <c r="E23" i="12" l="1"/>
  <c r="D23" i="12" s="1"/>
  <c r="C24" i="12" s="1"/>
  <c r="F25" i="12"/>
  <c r="E29" i="16"/>
  <c r="E24" i="12" l="1"/>
  <c r="D24" i="12" s="1"/>
  <c r="C25" i="12" s="1"/>
  <c r="F26" i="12"/>
  <c r="D29" i="16"/>
  <c r="E25" i="12" l="1"/>
  <c r="D25" i="12" s="1"/>
  <c r="C26" i="12" s="1"/>
  <c r="F27" i="12"/>
  <c r="C30" i="16"/>
  <c r="E26" i="12" l="1"/>
  <c r="D26" i="12" s="1"/>
  <c r="C27" i="12" s="1"/>
  <c r="F28" i="12"/>
  <c r="E30" i="16"/>
  <c r="E27" i="12" l="1"/>
  <c r="D27" i="12" s="1"/>
  <c r="C28" i="12" s="1"/>
  <c r="F29" i="12"/>
  <c r="D30" i="16"/>
  <c r="E28" i="12" l="1"/>
  <c r="D28" i="12" s="1"/>
  <c r="C29" i="12" s="1"/>
  <c r="F30" i="12"/>
  <c r="C31" i="16"/>
  <c r="E29" i="12" l="1"/>
  <c r="D29" i="12" s="1"/>
  <c r="C30" i="12" s="1"/>
  <c r="E30" i="12" s="1"/>
  <c r="D30" i="12" s="1"/>
  <c r="E31" i="16"/>
  <c r="D31" i="16" l="1"/>
  <c r="C31" i="12"/>
  <c r="E31" i="12" l="1"/>
  <c r="C32" i="16"/>
  <c r="D32" i="16" l="1"/>
  <c r="E32" i="16"/>
  <c r="F32" i="16" l="1"/>
  <c r="C33" i="16"/>
  <c r="C34" i="16" l="1"/>
  <c r="D33" i="16"/>
  <c r="E33" i="16"/>
  <c r="F33" i="16" l="1"/>
  <c r="C35" i="16"/>
  <c r="D34" i="16"/>
  <c r="F34" i="16" l="1"/>
  <c r="E35" i="16"/>
  <c r="D35" i="16"/>
  <c r="F35" i="16" l="1"/>
  <c r="C36" i="16"/>
  <c r="E36" i="16" l="1"/>
  <c r="D36" i="16"/>
  <c r="C37" i="16" l="1"/>
  <c r="F36" i="16"/>
  <c r="C38" i="16" l="1"/>
  <c r="E37" i="16"/>
  <c r="D37" i="16"/>
  <c r="F37" i="16" l="1"/>
  <c r="D38" i="16"/>
  <c r="F38" i="16" l="1"/>
  <c r="C39" i="16"/>
  <c r="D39" i="16" l="1"/>
  <c r="F39" i="16" l="1"/>
  <c r="C40" i="16"/>
  <c r="D40" i="16" l="1"/>
  <c r="F40" i="16" l="1"/>
  <c r="C41" i="16"/>
  <c r="C42" i="16" l="1"/>
  <c r="D41" i="16"/>
  <c r="F41" i="16" l="1"/>
  <c r="C43" i="16"/>
  <c r="D42" i="16"/>
  <c r="F42" i="16" l="1"/>
  <c r="D43" i="16"/>
  <c r="F43" i="16" l="1"/>
  <c r="C44" i="16"/>
  <c r="D44" i="16" l="1"/>
  <c r="D45" i="16" s="1"/>
  <c r="E44" i="16"/>
  <c r="F44" i="16" l="1"/>
  <c r="F45" i="16" s="1"/>
  <c r="A10" i="27"/>
  <c r="A10" i="28"/>
  <c r="A10" i="29"/>
  <c r="E34" i="16"/>
  <c r="E38" i="16"/>
  <c r="E39" i="16"/>
  <c r="E40" i="16"/>
  <c r="E41" i="16"/>
  <c r="E42" i="16"/>
  <c r="E43" i="16"/>
  <c r="E45" i="16" l="1"/>
  <c r="F31" i="12"/>
  <c r="D31" i="12" s="1"/>
  <c r="C32" i="12" s="1"/>
  <c r="E32" i="12" s="1"/>
  <c r="F32" i="12"/>
  <c r="F33" i="12" s="1"/>
  <c r="F34" i="12" l="1"/>
  <c r="D32" i="12"/>
  <c r="F35" i="12" l="1"/>
  <c r="C33" i="12"/>
  <c r="E33" i="12" l="1"/>
  <c r="F36" i="12"/>
  <c r="F37" i="12" l="1"/>
  <c r="D33" i="12"/>
  <c r="C34" i="12" l="1"/>
  <c r="F38" i="12"/>
  <c r="F39" i="12" l="1"/>
  <c r="E34" i="12"/>
  <c r="D34" i="12" l="1"/>
  <c r="F40" i="12"/>
  <c r="F41" i="12" l="1"/>
  <c r="C35" i="12"/>
  <c r="E35" i="12" l="1"/>
  <c r="F42" i="12"/>
  <c r="D35" i="12" l="1"/>
  <c r="C36" i="12" l="1"/>
  <c r="E36" i="12" l="1"/>
  <c r="D36" i="12" s="1"/>
  <c r="C37" i="12" l="1"/>
  <c r="E37" i="12" l="1"/>
  <c r="D37" i="12" s="1"/>
  <c r="C38" i="12" s="1"/>
  <c r="E38" i="12" l="1"/>
  <c r="D38" i="12" s="1"/>
  <c r="C39" i="12" s="1"/>
  <c r="E39" i="12" l="1"/>
  <c r="D39" i="12" s="1"/>
  <c r="C40" i="12" s="1"/>
  <c r="E40" i="12" l="1"/>
  <c r="D40" i="12" s="1"/>
  <c r="C41" i="12" s="1"/>
  <c r="E41" i="12" l="1"/>
  <c r="D41" i="12" s="1"/>
  <c r="C42" i="12" s="1"/>
  <c r="E42" i="12" l="1"/>
  <c r="D42" i="12" s="1"/>
  <c r="C43" i="12" s="1"/>
  <c r="D43" i="12" l="1"/>
  <c r="E43" i="12"/>
  <c r="E44" i="12" s="1"/>
  <c r="F43" i="12" l="1"/>
  <c r="F44" i="12" s="1"/>
  <c r="D44" i="12"/>
</calcChain>
</file>

<file path=xl/sharedStrings.xml><?xml version="1.0" encoding="utf-8"?>
<sst xmlns="http://schemas.openxmlformats.org/spreadsheetml/2006/main" count="599" uniqueCount="442">
  <si>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</si>
  <si>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</si>
  <si>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</si>
  <si>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</si>
  <si>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</si>
  <si>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</si>
  <si>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</si>
  <si>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</si>
  <si>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</si>
  <si>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</si>
  <si>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</si>
  <si>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</si>
  <si>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</si>
  <si>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</si>
  <si>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</si>
  <si>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</si>
  <si>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</si>
  <si>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</si>
  <si>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</si>
  <si>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</si>
  <si>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</si>
  <si>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</si>
  <si>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</si>
  <si>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</si>
  <si>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</si>
  <si>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</si>
  <si>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</si>
  <si>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</si>
  <si>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</si>
  <si>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</si>
  <si>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</si>
  <si>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</si>
  <si>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</si>
  <si>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</si>
  <si>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</si>
  <si>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</si>
  <si>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</si>
  <si>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</si>
  <si>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</si>
  <si>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</si>
  <si>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</si>
  <si>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</si>
  <si>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</si>
  <si>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</si>
  <si>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</si>
  <si>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</si>
  <si>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</si>
  <si>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</si>
  <si>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</si>
  <si>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</si>
  <si>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</si>
  <si>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</si>
  <si>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</si>
  <si>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</si>
  <si>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</si>
  <si>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</si>
  <si>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</si>
  <si>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</si>
  <si>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</si>
  <si>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</si>
  <si>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</si>
  <si>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</si>
  <si>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</si>
  <si>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</si>
  <si>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</si>
  <si>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</si>
  <si>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</si>
  <si>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</si>
  <si>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</si>
  <si>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</si>
  <si>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</si>
  <si>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</si>
  <si>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</si>
  <si>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</si>
  <si>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</si>
  <si>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</si>
  <si>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</si>
  <si>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</si>
  <si>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</si>
  <si>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</si>
  <si>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</si>
  <si>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</si>
  <si>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</si>
  <si>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</si>
  <si>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</si>
  <si>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</si>
  <si>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</si>
  <si>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</si>
  <si>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</si>
  <si>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</si>
  <si>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</si>
  <si>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</si>
  <si>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</si>
  <si>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</si>
  <si>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</si>
  <si>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</si>
  <si>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</si>
  <si>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</si>
  <si>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</si>
  <si>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</si>
  <si>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</si>
  <si>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</si>
  <si>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</si>
  <si>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</si>
  <si>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</si>
  <si>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</si>
  <si>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</si>
  <si>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</si>
  <si>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</si>
  <si>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</si>
  <si>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</si>
  <si>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</si>
  <si>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</si>
  <si>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</si>
  <si>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</si>
  <si>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</si>
  <si>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</si>
  <si>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</si>
  <si>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</si>
  <si>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</si>
  <si>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</si>
  <si>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</si>
  <si>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</si>
  <si>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</si>
  <si>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</si>
  <si>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</si>
  <si>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</si>
  <si>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</si>
  <si>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</si>
  <si>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</si>
  <si>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</si>
  <si>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</si>
  <si>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</si>
  <si>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</si>
  <si>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</si>
  <si>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</si>
  <si>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</si>
  <si>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</si>
  <si>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</si>
  <si>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</si>
  <si>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</si>
  <si>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</si>
  <si>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</si>
  <si>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</si>
  <si>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</si>
  <si>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</si>
  <si>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</si>
  <si>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</si>
  <si>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</si>
  <si>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</si>
  <si>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</si>
  <si>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</si>
  <si>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</si>
  <si>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</si>
  <si>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</si>
  <si>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</si>
  <si>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</si>
  <si>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</si>
  <si>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</si>
  <si>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</si>
  <si>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</si>
  <si>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</si>
  <si>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</si>
  <si>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</si>
  <si>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</si>
  <si>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</si>
  <si>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</si>
  <si>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</si>
  <si>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</si>
  <si>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</si>
  <si>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</si>
  <si>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</si>
  <si>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</si>
  <si>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</si>
  <si>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</si>
  <si>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</si>
  <si>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</si>
  <si>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</si>
  <si>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</si>
  <si>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</si>
  <si>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</si>
  <si>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</si>
  <si>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</si>
  <si>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</si>
  <si>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</si>
  <si>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</si>
  <si>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</si>
  <si>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</si>
  <si>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</si>
  <si>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</si>
  <si>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</si>
  <si>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</si>
  <si>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</si>
  <si>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</si>
  <si>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</si>
  <si>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</si>
  <si>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</si>
  <si>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</si>
  <si>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</si>
  <si>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</si>
  <si>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</si>
  <si>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</si>
  <si>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</si>
  <si>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</si>
  <si>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</si>
  <si>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</si>
  <si>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</si>
  <si>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</si>
  <si>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</si>
  <si>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</si>
  <si>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</si>
  <si>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</si>
  <si>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</si>
  <si>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</si>
  <si>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</si>
  <si>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</si>
  <si>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</si>
  <si>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</si>
  <si>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</si>
  <si>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</si>
  <si>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</si>
  <si>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</si>
  <si>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</si>
  <si>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</si>
  <si>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</si>
  <si>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</si>
  <si>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</si>
  <si>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</si>
  <si>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</si>
  <si>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</si>
  <si>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</si>
  <si>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</si>
  <si>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</si>
  <si>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</si>
  <si>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</si>
  <si>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</si>
  <si>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</si>
  <si>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</si>
  <si>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</si>
  <si>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</si>
  <si>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</si>
  <si>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</si>
  <si>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</si>
  <si>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</si>
  <si>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</si>
  <si>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</si>
  <si>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</si>
  <si>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</si>
  <si>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</si>
  <si>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</si>
  <si>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</si>
  <si>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</si>
  <si>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</si>
  <si>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</si>
  <si>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</si>
  <si>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</si>
  <si>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</si>
  <si>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</si>
  <si>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</si>
  <si>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</si>
  <si>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</si>
  <si>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</si>
  <si>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</si>
  <si>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</si>
  <si>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</si>
  <si>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</si>
  <si>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</si>
  <si>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</si>
  <si>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</si>
  <si>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</si>
  <si>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</si>
  <si>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</si>
  <si>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</si>
  <si>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</si>
  <si>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</si>
  <si>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</si>
  <si>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</si>
  <si>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</si>
  <si>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</si>
  <si>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</si>
  <si>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</si>
  <si>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</si>
  <si>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</si>
  <si>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</si>
  <si>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</si>
  <si>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</si>
  <si>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</si>
  <si>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</si>
  <si>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</si>
  <si>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</si>
  <si>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</si>
  <si>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</si>
  <si>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</si>
  <si>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</si>
  <si>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</si>
  <si>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</si>
  <si>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</si>
  <si>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</si>
  <si>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</si>
  <si>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</si>
  <si>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</si>
  <si>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</si>
  <si>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</si>
  <si>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</si>
  <si>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</si>
  <si>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</si>
  <si>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</si>
  <si>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</si>
  <si>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</si>
  <si>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</si>
  <si>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</si>
  <si>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</si>
  <si>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</si>
  <si>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</si>
  <si>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</si>
  <si>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</si>
  <si>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</si>
  <si>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</si>
  <si>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</si>
  <si>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</si>
  <si>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</si>
  <si>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</si>
  <si>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</si>
  <si>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</si>
  <si>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</si>
  <si>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</si>
  <si>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</si>
  <si>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</si>
  <si>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</si>
  <si>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</si>
  <si>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</si>
  <si>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</si>
  <si>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</si>
  <si>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</si>
  <si>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</si>
  <si>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</si>
  <si>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</si>
  <si>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</si>
  <si>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</si>
  <si>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</si>
  <si>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</si>
  <si>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</si>
  <si>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</si>
  <si>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</si>
  <si>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</si>
  <si>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</si>
  <si>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</si>
  <si>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</si>
  <si>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</si>
  <si>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</si>
  <si>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</si>
  <si>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</si>
  <si>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</si>
  <si>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</si>
  <si>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</si>
  <si>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</si>
  <si>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</si>
  <si>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</si>
  <si>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</si>
  <si>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</si>
  <si>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</si>
  <si>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</si>
  <si>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</si>
  <si>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</si>
  <si>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</si>
  <si>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</si>
  <si>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</si>
  <si>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</si>
  <si>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</si>
  <si>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</si>
  <si>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</si>
  <si>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</si>
  <si>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</si>
  <si>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</si>
  <si>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</si>
  <si>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</si>
  <si>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</si>
  <si>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</si>
  <si>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</si>
  <si>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60</t>
  </si>
  <si>
    <t>Oltmish</t>
  </si>
  <si>
    <t>bir yuz</t>
  </si>
  <si>
    <t>100</t>
  </si>
  <si>
    <t>YENGIL SEDAN</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</si>
  <si>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</si>
  <si>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</si>
  <si>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</si>
  <si>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</si>
  <si>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</si>
  <si>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Kreditlash bo’limi boshlig’i</t>
  </si>
  <si>
    <t>N.Abduraximovga</t>
  </si>
  <si>
    <t>ARIZA</t>
  </si>
  <si>
    <t>Mijoz plastik kartasi parametrlari</t>
  </si>
  <si>
    <t>Bank nomi:</t>
  </si>
  <si>
    <t>H/r:</t>
  </si>
  <si>
    <t>MFO:</t>
  </si>
  <si>
    <t>STIR:</t>
  </si>
  <si>
    <t>Karta raqami:</t>
  </si>
  <si>
    <t>________________</t>
  </si>
  <si>
    <t>N. Abduraximov</t>
  </si>
  <si>
    <t>sana</t>
  </si>
  <si>
    <t>_______________</t>
  </si>
  <si>
    <t>B. Mominov</t>
  </si>
  <si>
    <t>B. Jumanazarov</t>
  </si>
  <si>
    <t>Imzolaganlar ro'yxati:</t>
  </si>
  <si>
    <t>27.03.2025</t>
  </si>
  <si>
    <t>O'ttiz olti</t>
  </si>
  <si>
    <t>Navoiy  filiali boshlig'i</t>
  </si>
  <si>
    <t>T.Rustamov</t>
  </si>
  <si>
    <t>Rustamov To'lqin O'rinovich</t>
  </si>
  <si>
    <t>Navoiy filiali boshlig'i</t>
  </si>
  <si>
    <t>UMAROV YO'LDOSHBOY AVALBEKOVICH</t>
  </si>
  <si>
    <t>UMAROV Y.A.</t>
  </si>
  <si>
    <t>03.05.1967y</t>
  </si>
  <si>
    <t>AB2646428</t>
  </si>
  <si>
    <t>NAVOIY VILOYATI NUROTA TUMANI IIB</t>
  </si>
  <si>
    <t>NUROTA TUMANI</t>
  </si>
  <si>
    <t>94-596-09-00 O'G'LI</t>
  </si>
  <si>
    <t>NAVOIY VILOYATI  AVTOGAZ MCHJ</t>
  </si>
  <si>
    <t>CHEVROLET LACETTI SX</t>
  </si>
  <si>
    <t>85B103PA</t>
  </si>
  <si>
    <t>XWB5M31BDAA036806</t>
  </si>
  <si>
    <t>F18D31900191</t>
  </si>
  <si>
    <t>OQ BELIY</t>
  </si>
  <si>
    <t>2010</t>
  </si>
  <si>
    <t>8600 0417 1957 2803</t>
  </si>
  <si>
    <t>ATB Agrobank</t>
  </si>
  <si>
    <t>23123000400000214001</t>
  </si>
  <si>
    <t>00214</t>
  </si>
  <si>
    <t>207243390</t>
  </si>
  <si>
    <t>99-360-39-67</t>
  </si>
  <si>
    <t>TEMIRKOVUK MFY BINOSI YONIDA</t>
  </si>
  <si>
    <t>NAVOIY VILOYATI NUROTA TUMANI TEMIRKOVUK MFY YOSHLIK KO'CHASI 67-UY</t>
  </si>
  <si>
    <t>99-360-39-67 KLIENT</t>
  </si>
  <si>
    <t>93-993-08-97 KELINI</t>
  </si>
  <si>
    <t>№680-NVS</t>
  </si>
  <si>
    <t>АО "APEX INSURANCE"</t>
  </si>
  <si>
    <t>Mijoz quyidagi majburiyatlarga ega: AT Xalq banki bosh amaliyotlar boshqarmasi 806 751 so'm. Alif Moliya 920 000 so'm. Ayni paytda muddati o'tgan qarzdorligi mavjud emas. O‘rtacha oylik to‘lov 1 125 884.02 so‘mni tashkil qiladi</t>
  </si>
  <si>
    <t>AAG5907774    27.03.2025</t>
  </si>
  <si>
    <t>Rakamsiz</t>
  </si>
  <si>
    <t>«CLEVER MIKROMOLIYA TASHKILOTI» MChJ ijrochi direktori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</si>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</sst>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s>
  <fonts count="5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
      <sz val="11"/>
      <color rgb="FF333333"/>
      <name val="Arial"/>
      <charset val="204"/>
    </font>
    <font>
      <sz val="11"/>
      <color theme="1"/>
      <name val="Arial"/>
      <charset val="204"/>
    </font>
    <font>
      <sz val="22"/>
      <color rgb="FFFF0000"/>
      <name val="Arial"/>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424">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1" fillId="0" borderId="0">
      <alignment vertical="center"/>
    </xf>
    <xf numFmtId="0" fontId="51" fillId="0" borderId="0">
      <alignment vertical="center"/>
    </xf>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90">
    <xf numFmtId="0" fontId="0" fillId="0" borderId="0" xfId="0"/>
    <xf numFmtId="0" fontId="6" fillId="0" borderId="1" xfId="0" applyFont="1" applyBorder="1" applyAlignment="1">
      <alignment vertical="center" wrapText="1"/>
    </xf>
    <xf numFmtId="49" fontId="6" fillId="0" borderId="1" xfId="0" applyNumberFormat="1" applyFont="1" applyBorder="1" applyAlignment="1">
      <alignment vertical="center" wrapText="1"/>
    </xf>
    <xf numFmtId="0" fontId="7" fillId="2" borderId="1" xfId="0" applyFont="1" applyFill="1" applyBorder="1" applyAlignment="1">
      <alignment vertical="center" wrapText="1"/>
    </xf>
    <xf numFmtId="0" fontId="6" fillId="0" borderId="0" xfId="0" applyFont="1"/>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3"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4"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xf numFmtId="0" fontId="14" fillId="0" borderId="0" xfId="0" applyFont="1" applyAlignment="1">
      <alignment horizontal="justify" vertical="top" wrapText="1"/>
    </xf>
    <xf numFmtId="0" fontId="14" fillId="0" borderId="0" xfId="0" applyFont="1" applyAlignment="1">
      <alignment wrapText="1"/>
    </xf>
    <xf numFmtId="164" fontId="6" fillId="0" borderId="1" xfId="0" applyNumberFormat="1" applyFont="1" applyBorder="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7" fillId="0" borderId="0" xfId="0" applyFont="1"/>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1" xfId="0" applyFont="1" applyBorder="1" applyAlignment="1">
      <alignment horizontal="center" vertical="top" wrapText="1"/>
    </xf>
    <xf numFmtId="43" fontId="17" fillId="0" borderId="1" xfId="1" applyFont="1" applyBorder="1" applyAlignment="1">
      <alignment horizontal="center" vertical="top" wrapText="1"/>
    </xf>
    <xf numFmtId="0" fontId="16" fillId="0" borderId="1" xfId="0" applyFont="1" applyBorder="1" applyAlignment="1">
      <alignment horizontal="center" vertical="top" wrapText="1"/>
    </xf>
    <xf numFmtId="43" fontId="16" fillId="0" borderId="1" xfId="0" applyNumberFormat="1" applyFont="1" applyBorder="1" applyAlignment="1">
      <alignment horizontal="center" vertical="top" wrapText="1"/>
    </xf>
    <xf numFmtId="0" fontId="16" fillId="0" borderId="0" xfId="0" applyFont="1"/>
    <xf numFmtId="0" fontId="8" fillId="0" borderId="0" xfId="0" applyFont="1" applyAlignment="1">
      <alignment horizontal="left"/>
    </xf>
    <xf numFmtId="14" fontId="14" fillId="0" borderId="1" xfId="0" applyNumberFormat="1" applyFont="1" applyBorder="1"/>
    <xf numFmtId="43" fontId="14" fillId="0" borderId="1" xfId="1" applyFont="1" applyBorder="1"/>
    <xf numFmtId="14" fontId="14" fillId="0" borderId="0" xfId="0" applyNumberFormat="1" applyFont="1"/>
    <xf numFmtId="43" fontId="14" fillId="0" borderId="0" xfId="1" applyFont="1" applyBorder="1"/>
    <xf numFmtId="0" fontId="15" fillId="0" borderId="0" xfId="0" applyFont="1"/>
    <xf numFmtId="0" fontId="15" fillId="0" borderId="0" xfId="0" applyFont="1" applyAlignment="1">
      <alignment horizontal="right"/>
    </xf>
    <xf numFmtId="0" fontId="15" fillId="0" borderId="1" xfId="0" applyFont="1" applyBorder="1" applyAlignment="1">
      <alignment horizontal="center" vertical="center" wrapText="1"/>
    </xf>
    <xf numFmtId="0" fontId="15" fillId="0" borderId="0" xfId="0" applyFont="1" applyAlignment="1">
      <alignment horizontal="center"/>
    </xf>
    <xf numFmtId="0" fontId="22" fillId="0" borderId="0" xfId="0" applyFont="1" applyAlignment="1">
      <alignment horizontal="center" wrapText="1"/>
    </xf>
    <xf numFmtId="0" fontId="14" fillId="0" borderId="0" xfId="0" applyFont="1" applyAlignment="1">
      <alignment horizontal="center" wrapText="1"/>
    </xf>
    <xf numFmtId="0" fontId="21" fillId="0" borderId="0" xfId="0" applyFont="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1" xfId="0" applyFont="1" applyBorder="1"/>
    <xf numFmtId="14" fontId="15" fillId="0" borderId="1" xfId="0" applyNumberFormat="1" applyFont="1" applyBorder="1"/>
    <xf numFmtId="43" fontId="15" fillId="0" borderId="1" xfId="1" applyFont="1" applyBorder="1"/>
    <xf numFmtId="0" fontId="6" fillId="4" borderId="1" xfId="0" applyFont="1" applyFill="1" applyBorder="1" applyAlignment="1">
      <alignment vertical="center" wrapText="1"/>
    </xf>
    <xf numFmtId="0" fontId="6" fillId="0" borderId="1" xfId="0" applyFont="1" applyBorder="1"/>
    <xf numFmtId="0" fontId="6" fillId="0" borderId="1" xfId="0" applyFont="1" applyBorder="1" applyAlignment="1">
      <alignment horizontal="left" vertical="center"/>
    </xf>
    <xf numFmtId="0" fontId="7" fillId="0" borderId="0" xfId="0" applyFont="1" applyAlignment="1">
      <alignment vertical="center"/>
    </xf>
    <xf numFmtId="0" fontId="15" fillId="0" borderId="0" xfId="0" applyFont="1" applyAlignment="1">
      <alignment horizontal="center" vertical="center" wrapText="1"/>
    </xf>
    <xf numFmtId="43" fontId="27" fillId="0" borderId="1" xfId="1" applyFont="1" applyBorder="1"/>
    <xf numFmtId="43" fontId="6" fillId="4" borderId="1" xfId="1" applyFont="1" applyFill="1" applyBorder="1" applyAlignment="1">
      <alignment vertical="center" wrapText="1"/>
    </xf>
    <xf numFmtId="0" fontId="14" fillId="0" borderId="0" xfId="0" applyFont="1" applyAlignment="1">
      <alignment horizontal="left" vertical="top" wrapText="1"/>
    </xf>
    <xf numFmtId="0" fontId="14" fillId="0" borderId="8" xfId="0" applyFont="1" applyBorder="1" applyAlignment="1">
      <alignment wrapText="1"/>
    </xf>
    <xf numFmtId="0" fontId="14" fillId="0" borderId="9" xfId="0" applyFont="1" applyBorder="1" applyAlignment="1">
      <alignment wrapText="1"/>
    </xf>
    <xf numFmtId="49" fontId="6"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164" fontId="6" fillId="0" borderId="0" xfId="0" applyNumberFormat="1" applyFont="1" applyAlignment="1">
      <alignment vertical="center" wrapText="1"/>
    </xf>
    <xf numFmtId="0" fontId="8" fillId="0" borderId="0" xfId="0" applyFont="1" applyAlignment="1">
      <alignment vertical="top"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0" fontId="6" fillId="4" borderId="15" xfId="0" applyFont="1" applyFill="1" applyBorder="1" applyAlignment="1">
      <alignment vertical="center"/>
    </xf>
    <xf numFmtId="0" fontId="6" fillId="6" borderId="13" xfId="0" applyFont="1" applyFill="1" applyBorder="1" applyAlignment="1">
      <alignment vertical="center"/>
    </xf>
    <xf numFmtId="0" fontId="6" fillId="2" borderId="1" xfId="0" applyFont="1" applyFill="1" applyBorder="1"/>
    <xf numFmtId="0" fontId="6" fillId="2" borderId="1" xfId="0" applyFont="1" applyFill="1" applyBorder="1" applyAlignment="1">
      <alignment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0" fontId="6"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49" fontId="6" fillId="4" borderId="1" xfId="0" applyNumberFormat="1" applyFont="1" applyFill="1" applyBorder="1" applyAlignment="1">
      <alignment horizontal="left" vertical="center" wrapText="1"/>
    </xf>
    <xf numFmtId="0" fontId="33" fillId="0" borderId="0" xfId="0" applyFont="1"/>
    <xf numFmtId="0" fontId="27" fillId="0" borderId="0" xfId="0" applyFont="1"/>
    <xf numFmtId="0" fontId="33"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6"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4"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6" fillId="3" borderId="1" xfId="0" applyFont="1" applyFill="1" applyBorder="1" applyAlignment="1">
      <alignment horizontal="center" vertical="center" wrapText="1"/>
    </xf>
    <xf numFmtId="0" fontId="14" fillId="0" borderId="0" xfId="0" applyFont="1" applyAlignment="1">
      <alignment vertical="top"/>
    </xf>
    <xf numFmtId="14" fontId="6" fillId="0" borderId="1" xfId="0" applyNumberFormat="1" applyFont="1" applyBorder="1"/>
    <xf numFmtId="0" fontId="15" fillId="0" borderId="0" xfId="0" applyFont="1" applyAlignment="1">
      <alignment horizontal="left" vertical="center" wrapText="1"/>
    </xf>
    <xf numFmtId="0" fontId="15" fillId="0" borderId="0" xfId="0" applyFont="1" applyAlignment="1">
      <alignment horizontal="right" vertical="center" wrapText="1"/>
    </xf>
    <xf numFmtId="0" fontId="0" fillId="0" borderId="0" xfId="0" applyAlignment="1">
      <alignment horizontal="left" vertical="center"/>
    </xf>
    <xf numFmtId="0" fontId="14" fillId="0" borderId="0" xfId="0" applyFont="1" applyAlignment="1">
      <alignment horizontal="left" vertical="center" wrapText="1"/>
    </xf>
    <xf numFmtId="0" fontId="14"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0" fillId="4" borderId="1" xfId="0" applyFont="1" applyFill="1" applyBorder="1" applyAlignment="1">
      <alignment horizontal="center" vertical="center" wrapText="1"/>
    </xf>
    <xf numFmtId="0" fontId="17" fillId="0" borderId="0" xfId="0" applyFont="1" applyAlignment="1">
      <alignment wrapText="1"/>
    </xf>
    <xf numFmtId="165" fontId="17" fillId="0" borderId="0" xfId="0" applyNumberFormat="1" applyFont="1"/>
    <xf numFmtId="0" fontId="16" fillId="0" borderId="0" xfId="0" applyFont="1" applyAlignment="1">
      <alignment vertical="center" wrapText="1"/>
    </xf>
    <xf numFmtId="0" fontId="16" fillId="0" borderId="0" xfId="0" applyFont="1" applyAlignment="1">
      <alignment horizontal="left"/>
    </xf>
    <xf numFmtId="0" fontId="9" fillId="0" borderId="0" xfId="0" applyFont="1" applyAlignment="1">
      <alignment horizontal="left"/>
    </xf>
    <xf numFmtId="14" fontId="10" fillId="4" borderId="1" xfId="0" applyNumberFormat="1" applyFont="1" applyFill="1" applyBorder="1" applyAlignment="1">
      <alignment horizontal="center" vertical="center" wrapText="1"/>
    </xf>
    <xf numFmtId="0" fontId="6" fillId="4" borderId="3" xfId="0" applyFont="1" applyFill="1" applyBorder="1" applyAlignment="1">
      <alignment vertical="center" wrapText="1"/>
    </xf>
    <xf numFmtId="49" fontId="10" fillId="4" borderId="1" xfId="0" applyNumberFormat="1" applyFont="1" applyFill="1" applyBorder="1" applyAlignment="1">
      <alignment horizontal="center" vertical="center" wrapText="1"/>
    </xf>
    <xf numFmtId="164" fontId="6" fillId="4" borderId="1" xfId="0" applyNumberFormat="1" applyFont="1" applyFill="1" applyBorder="1" applyAlignment="1">
      <alignment vertical="center" wrapText="1"/>
    </xf>
    <xf numFmtId="0" fontId="17" fillId="0" borderId="0" xfId="0" applyFont="1" applyAlignment="1">
      <alignment horizontal="center" vertical="top" wrapText="1"/>
    </xf>
    <xf numFmtId="0" fontId="41" fillId="2" borderId="1" xfId="0" applyFont="1" applyFill="1" applyBorder="1" applyAlignment="1">
      <alignment vertical="center" wrapText="1"/>
    </xf>
    <xf numFmtId="0" fontId="6" fillId="9" borderId="1" xfId="0" applyFont="1" applyFill="1" applyBorder="1" applyAlignment="1">
      <alignment vertical="center" wrapText="1"/>
    </xf>
    <xf numFmtId="0" fontId="6" fillId="3" borderId="1" xfId="0" applyFont="1" applyFill="1" applyBorder="1" applyAlignment="1">
      <alignment horizontal="center" vertical="center"/>
    </xf>
    <xf numFmtId="0" fontId="4" fillId="0" borderId="0" xfId="0" applyFont="1"/>
    <xf numFmtId="0" fontId="42" fillId="0" borderId="0" xfId="0" applyFont="1" applyAlignment="1">
      <alignment vertical="center"/>
    </xf>
    <xf numFmtId="0" fontId="43" fillId="0" borderId="0" xfId="0" applyFont="1" applyAlignment="1">
      <alignment wrapText="1"/>
    </xf>
    <xf numFmtId="0" fontId="8" fillId="0" borderId="0" xfId="0" applyFont="1" applyAlignment="1">
      <alignment wrapText="1"/>
    </xf>
    <xf numFmtId="0" fontId="45"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31"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4" fillId="0" borderId="0" xfId="0" applyFont="1" applyAlignment="1">
      <alignment horizontal="left"/>
    </xf>
    <xf numFmtId="14" fontId="6" fillId="3" borderId="1" xfId="0" applyNumberFormat="1" applyFont="1" applyFill="1" applyBorder="1" applyAlignment="1">
      <alignment horizontal="center" vertical="center" wrapText="1"/>
    </xf>
    <xf numFmtId="0" fontId="47" fillId="2" borderId="1" xfId="0" applyFont="1" applyFill="1" applyBorder="1" applyAlignment="1">
      <alignment horizontal="left" vertical="center" wrapText="1"/>
    </xf>
    <xf numFmtId="0" fontId="47" fillId="2" borderId="1" xfId="0" applyFont="1" applyFill="1" applyBorder="1" applyAlignment="1">
      <alignment vertical="center" wrapText="1"/>
    </xf>
    <xf numFmtId="0" fontId="29" fillId="4" borderId="1" xfId="0" applyFont="1" applyFill="1" applyBorder="1" applyAlignment="1">
      <alignment vertical="center" wrapText="1"/>
    </xf>
    <xf numFmtId="0" fontId="49" fillId="4" borderId="1" xfId="0" applyFont="1" applyFill="1" applyBorder="1" applyAlignment="1">
      <alignment vertical="center" wrapText="1"/>
    </xf>
    <xf numFmtId="0" fontId="48" fillId="2" borderId="1" xfId="0" applyFont="1" applyFill="1" applyBorder="1" applyAlignment="1">
      <alignment vertical="center" wrapText="1"/>
    </xf>
    <xf numFmtId="0" fontId="47" fillId="10" borderId="2" xfId="0" applyFont="1" applyFill="1" applyBorder="1" applyAlignment="1">
      <alignment horizontal="left" vertical="center" wrapText="1"/>
    </xf>
    <xf numFmtId="0" fontId="47" fillId="10" borderId="24" xfId="0" applyFont="1" applyFill="1" applyBorder="1" applyAlignment="1">
      <alignment horizontal="left" vertical="center" wrapText="1"/>
    </xf>
    <xf numFmtId="43" fontId="49" fillId="4" borderId="1" xfId="1" applyFont="1" applyFill="1" applyBorder="1" applyAlignment="1">
      <alignment vertical="center" wrapText="1"/>
    </xf>
    <xf numFmtId="49" fontId="6" fillId="0" borderId="1" xfId="0" applyNumberFormat="1" applyFont="1" applyBorder="1"/>
    <xf numFmtId="0" fontId="14" fillId="11" borderId="0" xfId="0" applyFont="1" applyFill="1"/>
    <xf numFmtId="0" fontId="7" fillId="0" borderId="0" xfId="0" applyFont="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0" fontId="52" fillId="10" borderId="16" xfId="0" applyFont="1" applyFill="1" applyBorder="1"/>
    <xf numFmtId="168" fontId="7" fillId="10" borderId="0" xfId="0" applyNumberFormat="1" applyFont="1" applyFill="1"/>
    <xf numFmtId="0" fontId="6" fillId="10" borderId="19" xfId="0" applyFont="1" applyFill="1" applyBorder="1"/>
    <xf numFmtId="0" fontId="6" fillId="10" borderId="20" xfId="0" applyFont="1" applyFill="1" applyBorder="1"/>
    <xf numFmtId="0" fontId="7" fillId="0" borderId="0" xfId="0" applyFont="1" applyAlignment="1">
      <alignment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29" fillId="4"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14" fontId="10" fillId="2" borderId="1" xfId="0" applyNumberFormat="1" applyFont="1" applyFill="1" applyBorder="1" applyAlignment="1">
      <alignment horizontal="center" vertical="center" wrapText="1"/>
    </xf>
    <xf numFmtId="43" fontId="6" fillId="10" borderId="0" xfId="0" applyNumberFormat="1" applyFont="1" applyFill="1"/>
    <xf numFmtId="0" fontId="29" fillId="10" borderId="0" xfId="0" applyFont="1" applyFill="1"/>
    <xf numFmtId="10" fontId="29" fillId="10" borderId="0" xfId="287" applyNumberFormat="1" applyFont="1" applyFill="1" applyAlignment="1">
      <alignment horizontal="center"/>
    </xf>
    <xf numFmtId="0" fontId="29" fillId="10" borderId="0" xfId="0" applyFont="1" applyFill="1" applyAlignment="1">
      <alignment horizontal="center"/>
    </xf>
    <xf numFmtId="0" fontId="7" fillId="2" borderId="13" xfId="0" applyFont="1" applyFill="1" applyBorder="1" applyAlignment="1">
      <alignment vertical="center" wrapText="1"/>
    </xf>
    <xf numFmtId="0" fontId="6" fillId="0" borderId="13" xfId="0" applyFont="1" applyBorder="1" applyAlignment="1">
      <alignment vertical="center" wrapText="1"/>
    </xf>
    <xf numFmtId="0" fontId="46" fillId="12" borderId="25" xfId="0" applyFont="1" applyFill="1" applyBorder="1" applyAlignment="1">
      <alignment vertical="center" wrapText="1"/>
    </xf>
    <xf numFmtId="0" fontId="6" fillId="12" borderId="26" xfId="0" applyFont="1" applyFill="1" applyBorder="1" applyAlignment="1">
      <alignment vertical="center" wrapText="1"/>
    </xf>
    <xf numFmtId="0" fontId="46" fillId="12" borderId="27" xfId="0" applyFont="1" applyFill="1" applyBorder="1" applyAlignment="1">
      <alignment vertical="center" wrapText="1"/>
    </xf>
    <xf numFmtId="43" fontId="6" fillId="12" borderId="28" xfId="1" applyFont="1" applyFill="1" applyBorder="1" applyAlignment="1">
      <alignment vertical="center" wrapText="1"/>
    </xf>
    <xf numFmtId="0" fontId="7" fillId="12" borderId="29" xfId="0" applyFont="1" applyFill="1" applyBorder="1" applyAlignment="1">
      <alignment vertical="center" wrapText="1"/>
    </xf>
    <xf numFmtId="43" fontId="6" fillId="12" borderId="30" xfId="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5" fillId="0" borderId="0" xfId="0" applyFont="1" applyAlignment="1">
      <alignment horizontal="left" wrapText="1"/>
    </xf>
    <xf numFmtId="0" fontId="9" fillId="0" borderId="0" xfId="0" applyFont="1" applyAlignment="1">
      <alignment horizontal="center"/>
    </xf>
    <xf numFmtId="0" fontId="14" fillId="0" borderId="1" xfId="0" applyFont="1" applyBorder="1" applyAlignment="1">
      <alignment horizontal="center" vertical="center" wrapText="1"/>
    </xf>
    <xf numFmtId="0" fontId="8" fillId="0" borderId="0" xfId="0" applyFont="1" applyAlignment="1">
      <alignment vertical="center" wrapText="1"/>
    </xf>
    <xf numFmtId="0" fontId="7" fillId="2" borderId="1" xfId="0" applyFont="1" applyFill="1" applyBorder="1" applyAlignment="1">
      <alignment horizontal="left" vertical="center" wrapText="1"/>
    </xf>
    <xf numFmtId="0" fontId="53" fillId="0" borderId="0" xfId="0" applyFont="1" applyAlignment="1" applyProtection="1">
      <alignment horizontal="center" vertical="center"/>
      <protection hidden="1"/>
    </xf>
    <xf numFmtId="0" fontId="54" fillId="0" borderId="0" xfId="0" applyFont="1" applyAlignment="1" applyProtection="1">
      <alignment horizontal="center" vertical="center"/>
      <protection hidden="1"/>
    </xf>
    <xf numFmtId="0" fontId="8" fillId="0" borderId="31" xfId="0" applyFont="1" applyBorder="1"/>
    <xf numFmtId="0" fontId="8" fillId="0" borderId="31" xfId="0" applyFont="1" applyBorder="1" applyAlignment="1">
      <alignment horizontal="left" vertical="center" wrapText="1"/>
    </xf>
    <xf numFmtId="0" fontId="8" fillId="0" borderId="0" xfId="0" applyFont="1" applyBorder="1"/>
    <xf numFmtId="0" fontId="18" fillId="0" borderId="0" xfId="0" applyFont="1" applyBorder="1" applyAlignment="1">
      <alignment horizontal="center"/>
    </xf>
    <xf numFmtId="0" fontId="9" fillId="0" borderId="0" xfId="0" applyFont="1" applyBorder="1" applyAlignment="1">
      <alignment horizontal="center" vertical="center"/>
    </xf>
    <xf numFmtId="0" fontId="8" fillId="0" borderId="0" xfId="0" applyFont="1" applyBorder="1" applyAlignment="1">
      <alignment horizontal="left" vertical="center" wrapText="1"/>
    </xf>
    <xf numFmtId="0" fontId="8" fillId="0" borderId="0" xfId="0" applyFont="1" applyBorder="1" applyAlignment="1">
      <alignment horizontal="center" vertical="center"/>
    </xf>
    <xf numFmtId="0" fontId="8" fillId="0" borderId="0" xfId="0" applyFont="1" applyBorder="1" applyAlignment="1">
      <alignment horizontal="center"/>
    </xf>
    <xf numFmtId="0" fontId="8" fillId="0" borderId="31" xfId="0" applyFont="1" applyBorder="1" applyAlignment="1">
      <alignment horizontal="right"/>
    </xf>
    <xf numFmtId="0" fontId="9" fillId="0" borderId="31" xfId="0" applyFont="1" applyBorder="1" applyAlignment="1">
      <alignment horizontal="left"/>
    </xf>
    <xf numFmtId="0" fontId="18" fillId="0" borderId="31" xfId="0" applyFont="1" applyBorder="1" applyAlignment="1">
      <alignment horizontal="center"/>
    </xf>
    <xf numFmtId="0" fontId="9" fillId="0" borderId="31" xfId="0" applyFont="1" applyBorder="1" applyAlignment="1">
      <alignment horizontal="center" wrapText="1"/>
    </xf>
    <xf numFmtId="0" fontId="8" fillId="0" borderId="31" xfId="0" applyFont="1" applyBorder="1" applyAlignment="1">
      <alignment horizontal="left" wrapText="1"/>
    </xf>
    <xf numFmtId="0" fontId="8" fillId="5" borderId="31" xfId="0" applyFont="1" applyFill="1" applyBorder="1" applyAlignment="1">
      <alignment horizontal="left" wrapText="1"/>
    </xf>
    <xf numFmtId="0" fontId="8" fillId="0" borderId="31" xfId="0" applyFont="1" applyBorder="1" applyAlignment="1">
      <alignment horizontal="left"/>
    </xf>
    <xf numFmtId="0" fontId="55" fillId="4" borderId="0" xfId="0" applyFont="1" applyFill="1" applyAlignment="1">
      <alignment horizontal="left" vertical="center" wrapText="1" indent="1"/>
    </xf>
    <xf numFmtId="0" fontId="56" fillId="4" borderId="1" xfId="0" applyFont="1" applyFill="1" applyBorder="1" applyAlignment="1">
      <alignment vertical="center" wrapText="1"/>
    </xf>
    <xf numFmtId="0" fontId="56" fillId="6" borderId="1" xfId="0" applyFont="1" applyFill="1" applyBorder="1" applyAlignment="1">
      <alignment vertical="center" wrapText="1"/>
    </xf>
    <xf numFmtId="169" fontId="56" fillId="4" borderId="1" xfId="0" applyNumberFormat="1" applyFont="1" applyFill="1" applyBorder="1" applyAlignment="1">
      <alignment vertical="center" wrapText="1"/>
    </xf>
    <xf numFmtId="0" fontId="57" fillId="4" borderId="1" xfId="0" applyFont="1" applyFill="1" applyBorder="1" applyAlignment="1">
      <alignment vertical="center" wrapText="1"/>
    </xf>
    <xf numFmtId="0" fontId="56" fillId="0" borderId="1" xfId="0" applyFont="1" applyBorder="1" applyAlignment="1">
      <alignment vertical="center" wrapText="1"/>
    </xf>
    <xf numFmtId="0" fontId="56" fillId="4" borderId="1" xfId="0" applyFont="1" applyFill="1" applyBorder="1" applyAlignment="1">
      <alignment horizontal="left" vertical="center" wrapText="1"/>
    </xf>
    <xf numFmtId="49" fontId="56" fillId="4" borderId="1" xfId="0" applyNumberFormat="1" applyFont="1" applyFill="1" applyBorder="1" applyAlignment="1">
      <alignment vertical="center" wrapText="1"/>
    </xf>
    <xf numFmtId="170" fontId="56" fillId="0" borderId="1" xfId="0" applyNumberFormat="1" applyFont="1" applyBorder="1" applyAlignment="1">
      <alignment vertical="center" wrapText="1"/>
    </xf>
    <xf numFmtId="43" fontId="56" fillId="4" borderId="1" xfId="1" applyFont="1" applyFill="1" applyBorder="1" applyAlignment="1">
      <alignment vertical="center" wrapText="1"/>
    </xf>
    <xf numFmtId="170" fontId="56" fillId="4" borderId="1" xfId="0" applyNumberFormat="1" applyFont="1" applyFill="1" applyBorder="1" applyAlignment="1">
      <alignment vertical="center" wrapText="1"/>
    </xf>
    <xf numFmtId="0" fontId="8" fillId="5" borderId="0" xfId="0" applyFont="1" applyFill="1"/>
    <xf numFmtId="0" fontId="14" fillId="0" borderId="0" xfId="0" applyFont="1" applyAlignment="1">
      <alignment horizontal="justify" vertical="top" wrapText="1"/>
    </xf>
    <xf numFmtId="0" fontId="15" fillId="0" borderId="0" xfId="0" applyFont="1" applyAlignment="1">
      <alignment horizontal="left" vertical="center" wrapText="1"/>
    </xf>
    <xf numFmtId="0" fontId="7" fillId="2" borderId="1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0" xfId="0" applyFont="1" applyAlignment="1">
      <alignment horizontal="left" vertical="top" wrapText="1"/>
    </xf>
    <xf numFmtId="0" fontId="9" fillId="0" borderId="31" xfId="0" applyFont="1" applyBorder="1" applyAlignment="1">
      <alignment horizontal="right" vertical="center" wrapText="1"/>
    </xf>
    <xf numFmtId="0" fontId="9" fillId="0" borderId="0" xfId="0" applyFont="1" applyAlignment="1">
      <alignment horizontal="center" wrapText="1"/>
    </xf>
    <xf numFmtId="0" fontId="9" fillId="0" borderId="0" xfId="0" applyFont="1" applyAlignment="1">
      <alignment horizontal="center" vertical="center" wrapText="1"/>
    </xf>
    <xf numFmtId="0" fontId="9" fillId="0" borderId="0" xfId="0" applyFont="1" applyAlignment="1">
      <alignment horizontal="center"/>
    </xf>
    <xf numFmtId="0" fontId="9" fillId="0" borderId="0" xfId="0" applyFont="1" applyBorder="1" applyAlignment="1">
      <alignment horizontal="center" vertical="center"/>
    </xf>
    <xf numFmtId="49" fontId="8" fillId="0" borderId="0" xfId="0" applyNumberFormat="1" applyFont="1" applyAlignment="1">
      <alignment horizontal="left" vertical="top" wrapText="1"/>
    </xf>
    <xf numFmtId="0" fontId="31" fillId="0" borderId="0" xfId="0" applyFont="1" applyAlignment="1">
      <alignment horizontal="left"/>
    </xf>
    <xf numFmtId="0" fontId="9" fillId="0" borderId="0" xfId="0" applyFont="1" applyAlignment="1">
      <alignment horizontal="center" vertical="top" wrapText="1"/>
    </xf>
    <xf numFmtId="0" fontId="8" fillId="0" borderId="0" xfId="0" applyFont="1" applyAlignment="1">
      <alignment vertical="top" wrapText="1"/>
    </xf>
    <xf numFmtId="0" fontId="28" fillId="5" borderId="0" xfId="0" applyFont="1" applyFill="1" applyAlignment="1">
      <alignment horizontal="left" vertical="top" wrapText="1"/>
    </xf>
    <xf numFmtId="0" fontId="31" fillId="0" borderId="0" xfId="0" applyFont="1" applyAlignment="1">
      <alignment horizontal="center" vertical="top" wrapText="1"/>
    </xf>
    <xf numFmtId="0" fontId="9" fillId="0" borderId="0" xfId="0" applyFont="1" applyAlignment="1">
      <alignment horizontal="center" vertical="center"/>
    </xf>
    <xf numFmtId="0" fontId="8" fillId="5" borderId="0" xfId="0" applyFont="1" applyFill="1" applyAlignment="1">
      <alignment horizontal="left" vertical="top" wrapText="1"/>
    </xf>
    <xf numFmtId="0" fontId="8" fillId="0" borderId="0" xfId="0" applyFont="1" applyAlignment="1">
      <alignment horizontal="left" wrapText="1"/>
    </xf>
    <xf numFmtId="0" fontId="14" fillId="0" borderId="0" xfId="0" applyFont="1" applyAlignment="1">
      <alignment horizontal="left" vertical="top" wrapText="1"/>
    </xf>
    <xf numFmtId="0" fontId="15" fillId="0" borderId="0" xfId="0" applyFont="1" applyAlignment="1">
      <alignment horizontal="center" vertical="top" wrapText="1"/>
    </xf>
    <xf numFmtId="0" fontId="14" fillId="0" borderId="0" xfId="0" applyFont="1" applyAlignment="1">
      <alignment horizontal="justify" vertical="top"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center" vertical="center" wrapText="1"/>
    </xf>
    <xf numFmtId="0" fontId="33" fillId="0" borderId="0" xfId="0" applyFont="1" applyAlignment="1">
      <alignment horizontal="center" vertical="center" wrapText="1"/>
    </xf>
    <xf numFmtId="0" fontId="44" fillId="0" borderId="0" xfId="0" applyFont="1" applyAlignment="1">
      <alignment horizontal="justify" vertical="top" wrapText="1"/>
    </xf>
    <xf numFmtId="0" fontId="33" fillId="0" borderId="0" xfId="0" applyFont="1" applyAlignment="1">
      <alignment horizontal="right"/>
    </xf>
    <xf numFmtId="0" fontId="33"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27" fillId="0" borderId="0" xfId="0" applyFont="1" applyAlignment="1">
      <alignment horizontal="center" vertical="top" wrapText="1"/>
    </xf>
    <xf numFmtId="0" fontId="27"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center" vertical="top" wrapText="1"/>
    </xf>
    <xf numFmtId="0" fontId="27" fillId="0" borderId="0" xfId="0" applyFont="1" applyAlignment="1">
      <alignment horizontal="center"/>
    </xf>
    <xf numFmtId="0" fontId="27" fillId="0" borderId="0" xfId="0" applyFont="1" applyAlignment="1">
      <alignment horizontal="left" wrapText="1"/>
    </xf>
    <xf numFmtId="0" fontId="35" fillId="0" borderId="0" xfId="0" applyFont="1" applyAlignment="1">
      <alignment horizontal="center" vertical="top" wrapText="1"/>
    </xf>
    <xf numFmtId="0" fontId="27" fillId="0" borderId="0" xfId="0" applyFont="1" applyAlignment="1">
      <alignment horizontal="center" wrapText="1"/>
    </xf>
    <xf numFmtId="0" fontId="15" fillId="0" borderId="0" xfId="0" applyFont="1" applyAlignment="1">
      <alignment horizontal="right"/>
    </xf>
    <xf numFmtId="0" fontId="15"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14" fillId="0" borderId="0" xfId="0" applyFont="1" applyAlignment="1">
      <alignment horizontal="center" vertical="top" wrapText="1"/>
    </xf>
    <xf numFmtId="0" fontId="20" fillId="0" borderId="0" xfId="0" applyFont="1" applyAlignment="1">
      <alignment horizontal="center" vertical="center" wrapText="1"/>
    </xf>
    <xf numFmtId="0" fontId="15" fillId="0" borderId="0" xfId="0" applyFont="1" applyAlignment="1">
      <alignment horizontal="center" wrapText="1"/>
    </xf>
    <xf numFmtId="0" fontId="14" fillId="0" borderId="0" xfId="0" applyFont="1" applyAlignment="1">
      <alignment horizontal="center"/>
    </xf>
    <xf numFmtId="0" fontId="14" fillId="0" borderId="0" xfId="0" applyFont="1" applyAlignment="1">
      <alignment horizontal="left" wrapText="1"/>
    </xf>
    <xf numFmtId="0" fontId="19" fillId="0" borderId="0" xfId="0" applyFont="1" applyAlignment="1">
      <alignment horizontal="center" vertical="top" wrapText="1"/>
    </xf>
    <xf numFmtId="0" fontId="14" fillId="0" borderId="0" xfId="0" applyFont="1" applyAlignment="1">
      <alignment horizontal="center" wrapText="1"/>
    </xf>
    <xf numFmtId="0" fontId="15" fillId="0" borderId="0" xfId="0" applyFont="1" applyAlignment="1">
      <alignment horizontal="left" vertical="top"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25" fillId="0" borderId="0" xfId="0" applyFont="1" applyAlignment="1">
      <alignment horizontal="right" vertical="top" wrapText="1"/>
    </xf>
    <xf numFmtId="0" fontId="27" fillId="0" borderId="0" xfId="0" applyFont="1" applyAlignment="1">
      <alignment horizontal="right" vertical="top"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0" xfId="0" applyFont="1" applyAlignment="1">
      <alignment horizontal="right" vertical="center" wrapText="1"/>
    </xf>
    <xf numFmtId="0" fontId="15" fillId="0" borderId="0" xfId="0" applyFont="1" applyBorder="1" applyAlignment="1">
      <alignment horizontal="left" vertical="top" wrapText="1"/>
    </xf>
    <xf numFmtId="0" fontId="15" fillId="0" borderId="31" xfId="0" applyFont="1" applyBorder="1" applyAlignment="1">
      <alignment horizontal="left" vertical="top" wrapText="1"/>
    </xf>
    <xf numFmtId="0" fontId="14" fillId="0" borderId="0" xfId="0" applyFont="1" applyBorder="1" applyAlignment="1">
      <alignment horizontal="left" vertical="top" wrapText="1"/>
    </xf>
    <xf numFmtId="0" fontId="14" fillId="0" borderId="31" xfId="0" applyFont="1" applyBorder="1" applyAlignment="1">
      <alignment horizontal="left" vertical="top" wrapText="1"/>
    </xf>
    <xf numFmtId="0" fontId="14" fillId="0" borderId="0" xfId="0" applyFont="1" applyBorder="1" applyAlignment="1">
      <alignment horizontal="center" vertical="top" wrapText="1"/>
    </xf>
    <xf numFmtId="0" fontId="14" fillId="0" borderId="31" xfId="0" applyFont="1" applyBorder="1" applyAlignment="1">
      <alignment horizontal="center" vertical="top" wrapText="1"/>
    </xf>
    <xf numFmtId="0" fontId="50" fillId="0" borderId="0" xfId="0" applyFont="1" applyAlignment="1">
      <alignment horizontal="center" wrapText="1"/>
    </xf>
    <xf numFmtId="0" fontId="15" fillId="0" borderId="0" xfId="0" applyFont="1" applyBorder="1" applyAlignment="1">
      <alignment horizontal="right" vertical="top" wrapText="1"/>
    </xf>
    <xf numFmtId="0" fontId="15" fillId="0" borderId="31" xfId="0" applyFont="1" applyBorder="1" applyAlignment="1">
      <alignment horizontal="right" vertical="top"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right" vertical="center"/>
    </xf>
    <xf numFmtId="0" fontId="14" fillId="0" borderId="8" xfId="0" applyFont="1" applyBorder="1" applyAlignment="1">
      <alignment horizontal="center" wrapText="1"/>
    </xf>
    <xf numFmtId="0" fontId="14" fillId="0" borderId="9" xfId="0" applyFont="1" applyBorder="1" applyAlignment="1">
      <alignment horizontal="center"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5" fillId="0" borderId="8" xfId="0" applyFont="1" applyBorder="1" applyAlignment="1">
      <alignment horizontal="left" wrapText="1"/>
    </xf>
    <xf numFmtId="0" fontId="15" fillId="0" borderId="0" xfId="0" applyFont="1" applyAlignment="1">
      <alignment horizontal="left" wrapText="1"/>
    </xf>
    <xf numFmtId="0" fontId="15" fillId="0" borderId="9" xfId="0" applyFont="1" applyBorder="1" applyAlignment="1">
      <alignment horizontal="left" wrapText="1"/>
    </xf>
    <xf numFmtId="0" fontId="17" fillId="0" borderId="0" xfId="0" applyFont="1" applyAlignment="1">
      <alignment horizontal="justify"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49" fontId="17" fillId="0" borderId="0" xfId="0" applyNumberFormat="1" applyFont="1" applyAlignment="1">
      <alignment horizontal="center" vertical="center"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14" fillId="0" borderId="0" xfId="0" applyFont="1" applyAlignment="1">
      <alignment horizontal="center" vertical="center"/>
    </xf>
    <xf numFmtId="49" fontId="14" fillId="0" borderId="0" xfId="0" applyNumberFormat="1" applyFont="1" applyAlignment="1">
      <alignment horizontal="justify" vertical="top" wrapText="1"/>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justify" vertical="center" wrapText="1"/>
    </xf>
    <xf numFmtId="0" fontId="8" fillId="0" borderId="0" xfId="0" applyFont="1" applyAlignment="1">
      <alignment horizontal="justify" wrapText="1"/>
    </xf>
    <xf numFmtId="0" fontId="8" fillId="0" borderId="0" xfId="0" applyFont="1" applyAlignment="1">
      <alignment horizontal="justify" vertical="top" wrapText="1"/>
    </xf>
    <xf numFmtId="0" fontId="9" fillId="0" borderId="0" xfId="0" applyFont="1" applyAlignment="1">
      <alignment horizontal="right" vertical="top" wrapText="1"/>
    </xf>
    <xf numFmtId="0" fontId="37" fillId="0" borderId="0" xfId="0" applyFont="1" applyAlignment="1">
      <alignment horizontal="justify" vertical="top" wrapText="1"/>
    </xf>
    <xf numFmtId="0" fontId="37" fillId="0" borderId="0" xfId="0" applyFont="1" applyAlignment="1">
      <alignment horizontal="justify" vertical="center" wrapText="1"/>
    </xf>
    <xf numFmtId="0" fontId="14" fillId="0" borderId="0" xfId="0" applyFont="1" applyAlignment="1">
      <alignment horizontal="left"/>
    </xf>
    <xf numFmtId="0" fontId="38" fillId="0" borderId="0" xfId="0" applyFont="1" applyAlignment="1">
      <alignment vertical="center" wrapText="1"/>
    </xf>
    <xf numFmtId="0" fontId="14" fillId="0" borderId="0" xfId="0" applyFont="1" applyAlignment="1">
      <alignment vertical="top" wrapText="1"/>
    </xf>
    <xf numFmtId="0" fontId="38" fillId="0" borderId="0" xfId="0" applyFont="1" applyAlignment="1">
      <alignment horizontal="justify" vertical="center" wrapText="1"/>
    </xf>
    <xf numFmtId="0" fontId="17" fillId="0" borderId="0" xfId="0" applyFont="1" applyAlignment="1">
      <alignment horizontal="left" wrapText="1"/>
    </xf>
    <xf numFmtId="0" fontId="17" fillId="0" borderId="1" xfId="0" applyFont="1" applyBorder="1" applyAlignment="1">
      <alignment horizontal="center" vertical="center" wrapText="1"/>
    </xf>
    <xf numFmtId="0" fontId="17" fillId="0" borderId="0" xfId="0" applyFont="1" applyAlignment="1">
      <alignment horizontal="left"/>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0" borderId="0" xfId="0" applyFont="1" applyAlignment="1">
      <alignment horizontal="center" wrapText="1"/>
    </xf>
    <xf numFmtId="0" fontId="40" fillId="0" borderId="0" xfId="0" applyFont="1" applyAlignment="1">
      <alignment horizontal="left" vertical="center" wrapText="1" readingOrder="1"/>
    </xf>
    <xf numFmtId="0" fontId="17" fillId="0" borderId="0" xfId="0" applyFont="1" applyAlignment="1">
      <alignment horizontal="justify" vertical="top" wrapText="1" readingOrder="1"/>
    </xf>
    <xf numFmtId="0" fontId="16" fillId="0" borderId="4" xfId="0" applyFont="1" applyBorder="1" applyAlignment="1">
      <alignment horizontal="left" vertical="top"/>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5" fillId="0" borderId="0" xfId="0" applyFont="1" applyAlignment="1">
      <alignment horizontal="left"/>
    </xf>
    <xf numFmtId="0" fontId="15" fillId="0" borderId="0" xfId="0" applyFont="1" applyAlignment="1">
      <alignment wrapText="1"/>
    </xf>
    <xf numFmtId="0" fontId="15" fillId="0" borderId="0" xfId="0" applyFont="1" applyAlignment="1">
      <alignment vertical="top" wrapText="1"/>
    </xf>
    <xf numFmtId="0" fontId="9" fillId="0" borderId="0" xfId="0" applyFont="1" applyAlignment="1"/>
    <xf numFmtId="0" fontId="9" fillId="0" borderId="0" xfId="0" applyFont="1" applyAlignment="1">
      <alignment wrapText="1"/>
    </xf>
    <xf numFmtId="0" fontId="16" fillId="0" borderId="0" xfId="0" applyFont="1" applyAlignment="1">
      <alignment vertical="center"/>
    </xf>
  </cellXfs>
  <cellStyles count="424">
    <cellStyle name="Обычный" xfId="0" builtinId="0"/>
    <cellStyle name="Обычный 10" xfId="72" xr:uid="{00000000-0005-0000-0000-000001000000}"/>
    <cellStyle name="Обычный 10 2" xfId="208" xr:uid="{00000000-0005-0000-0000-000002000000}"/>
    <cellStyle name="Обычный 10 3" xfId="357" xr:uid="{00000000-0005-0000-0000-000003000000}"/>
    <cellStyle name="Обычный 11" xfId="73" xr:uid="{00000000-0005-0000-0000-000004000000}"/>
    <cellStyle name="Обычный 11 2" xfId="209" xr:uid="{00000000-0005-0000-0000-000005000000}"/>
    <cellStyle name="Обычный 11 3" xfId="358" xr:uid="{00000000-0005-0000-0000-000006000000}"/>
    <cellStyle name="Обычный 2" xfId="63" xr:uid="{00000000-0005-0000-0000-000007000000}"/>
    <cellStyle name="Обычный 3" xfId="64" xr:uid="{00000000-0005-0000-0000-000008000000}"/>
    <cellStyle name="Обычный 4" xfId="66" xr:uid="{00000000-0005-0000-0000-000009000000}"/>
    <cellStyle name="Обычный 4 2" xfId="202" xr:uid="{00000000-0005-0000-0000-00000A000000}"/>
    <cellStyle name="Обычный 4 3" xfId="351" xr:uid="{00000000-0005-0000-0000-00000B000000}"/>
    <cellStyle name="Обычный 5" xfId="67" xr:uid="{00000000-0005-0000-0000-00000C000000}"/>
    <cellStyle name="Обычный 5 2" xfId="203" xr:uid="{00000000-0005-0000-0000-00000D000000}"/>
    <cellStyle name="Обычный 5 3" xfId="352" xr:uid="{00000000-0005-0000-0000-00000E000000}"/>
    <cellStyle name="Обычный 6" xfId="68" xr:uid="{00000000-0005-0000-0000-00000F000000}"/>
    <cellStyle name="Обычный 6 2" xfId="204" xr:uid="{00000000-0005-0000-0000-000010000000}"/>
    <cellStyle name="Обычный 6 3" xfId="353" xr:uid="{00000000-0005-0000-0000-000011000000}"/>
    <cellStyle name="Обычный 7" xfId="69" xr:uid="{00000000-0005-0000-0000-000012000000}"/>
    <cellStyle name="Обычный 7 2" xfId="205" xr:uid="{00000000-0005-0000-0000-000013000000}"/>
    <cellStyle name="Обычный 7 3" xfId="354" xr:uid="{00000000-0005-0000-0000-000014000000}"/>
    <cellStyle name="Обычный 8" xfId="70" xr:uid="{00000000-0005-0000-0000-000015000000}"/>
    <cellStyle name="Обычный 8 2" xfId="206" xr:uid="{00000000-0005-0000-0000-000016000000}"/>
    <cellStyle name="Обычный 8 3" xfId="355" xr:uid="{00000000-0005-0000-0000-000017000000}"/>
    <cellStyle name="Обычный 9" xfId="71" xr:uid="{00000000-0005-0000-0000-000018000000}"/>
    <cellStyle name="Обычный 9 2" xfId="207" xr:uid="{00000000-0005-0000-0000-000019000000}"/>
    <cellStyle name="Обычный 9 3" xfId="356" xr:uid="{00000000-0005-0000-0000-00001A000000}"/>
    <cellStyle name="Процентный" xfId="287" builtinId="5"/>
    <cellStyle name="Финансовый" xfId="1" builtinId="3"/>
    <cellStyle name="Финансовый 10" xfId="125" xr:uid="{00000000-0005-0000-0000-00001D000000}"/>
    <cellStyle name="Финансовый 10 2" xfId="261" xr:uid="{00000000-0005-0000-0000-00001E000000}"/>
    <cellStyle name="Финансовый 10 3" xfId="410" xr:uid="{00000000-0005-0000-0000-00001F000000}"/>
    <cellStyle name="Финансовый 11" xfId="61" xr:uid="{00000000-0005-0000-0000-000020000000}"/>
    <cellStyle name="Финансовый 11 2" xfId="199" xr:uid="{00000000-0005-0000-0000-000021000000}"/>
    <cellStyle name="Финансовый 11 3" xfId="348" xr:uid="{00000000-0005-0000-0000-000022000000}"/>
    <cellStyle name="Финансовый 12" xfId="49" xr:uid="{00000000-0005-0000-0000-000023000000}"/>
    <cellStyle name="Финансовый 12 2" xfId="187" xr:uid="{00000000-0005-0000-0000-000024000000}"/>
    <cellStyle name="Финансовый 12 3" xfId="336" xr:uid="{00000000-0005-0000-0000-000025000000}"/>
    <cellStyle name="Финансовый 13" xfId="127" xr:uid="{00000000-0005-0000-0000-000026000000}"/>
    <cellStyle name="Финансовый 13 2" xfId="263" xr:uid="{00000000-0005-0000-0000-000027000000}"/>
    <cellStyle name="Финансовый 13 3" xfId="412" xr:uid="{00000000-0005-0000-0000-000028000000}"/>
    <cellStyle name="Финансовый 14" xfId="25" xr:uid="{00000000-0005-0000-0000-000029000000}"/>
    <cellStyle name="Финансовый 14 2" xfId="163" xr:uid="{00000000-0005-0000-0000-00002A000000}"/>
    <cellStyle name="Финансовый 14 3" xfId="312" xr:uid="{00000000-0005-0000-0000-00002B000000}"/>
    <cellStyle name="Финансовый 15" xfId="13" xr:uid="{00000000-0005-0000-0000-00002C000000}"/>
    <cellStyle name="Финансовый 15 2" xfId="151" xr:uid="{00000000-0005-0000-0000-00002D000000}"/>
    <cellStyle name="Финансовый 15 3" xfId="300" xr:uid="{00000000-0005-0000-0000-00002E000000}"/>
    <cellStyle name="Финансовый 16" xfId="139" xr:uid="{00000000-0005-0000-0000-00002F000000}"/>
    <cellStyle name="Финансовый 17" xfId="275" xr:uid="{00000000-0005-0000-0000-000030000000}"/>
    <cellStyle name="Финансовый 18" xfId="288" xr:uid="{00000000-0005-0000-0000-000031000000}"/>
    <cellStyle name="Финансовый 2" xfId="2" xr:uid="{00000000-0005-0000-0000-000032000000}"/>
    <cellStyle name="Финансовый 2 10" xfId="62" xr:uid="{00000000-0005-0000-0000-000033000000}"/>
    <cellStyle name="Финансовый 2 10 2" xfId="200" xr:uid="{00000000-0005-0000-0000-000034000000}"/>
    <cellStyle name="Финансовый 2 10 3" xfId="349" xr:uid="{00000000-0005-0000-0000-000035000000}"/>
    <cellStyle name="Финансовый 2 11" xfId="50" xr:uid="{00000000-0005-0000-0000-000036000000}"/>
    <cellStyle name="Финансовый 2 11 2" xfId="188" xr:uid="{00000000-0005-0000-0000-000037000000}"/>
    <cellStyle name="Финансовый 2 11 3" xfId="337" xr:uid="{00000000-0005-0000-0000-000038000000}"/>
    <cellStyle name="Финансовый 2 12" xfId="128" xr:uid="{00000000-0005-0000-0000-000039000000}"/>
    <cellStyle name="Финансовый 2 12 2" xfId="264" xr:uid="{00000000-0005-0000-0000-00003A000000}"/>
    <cellStyle name="Финансовый 2 12 3" xfId="413" xr:uid="{00000000-0005-0000-0000-00003B000000}"/>
    <cellStyle name="Финансовый 2 13" xfId="26" xr:uid="{00000000-0005-0000-0000-00003C000000}"/>
    <cellStyle name="Финансовый 2 13 2" xfId="164" xr:uid="{00000000-0005-0000-0000-00003D000000}"/>
    <cellStyle name="Финансовый 2 13 3" xfId="313" xr:uid="{00000000-0005-0000-0000-00003E000000}"/>
    <cellStyle name="Финансовый 2 14" xfId="14" xr:uid="{00000000-0005-0000-0000-00003F000000}"/>
    <cellStyle name="Финансовый 2 14 2" xfId="152" xr:uid="{00000000-0005-0000-0000-000040000000}"/>
    <cellStyle name="Финансовый 2 14 3" xfId="301" xr:uid="{00000000-0005-0000-0000-000041000000}"/>
    <cellStyle name="Финансовый 2 15" xfId="140" xr:uid="{00000000-0005-0000-0000-000042000000}"/>
    <cellStyle name="Финансовый 2 16" xfId="276" xr:uid="{00000000-0005-0000-0000-000043000000}"/>
    <cellStyle name="Финансовый 2 17" xfId="289" xr:uid="{00000000-0005-0000-0000-000044000000}"/>
    <cellStyle name="Финансовый 2 2" xfId="4" xr:uid="{00000000-0005-0000-0000-000045000000}"/>
    <cellStyle name="Финансовый 2 2 10" xfId="28" xr:uid="{00000000-0005-0000-0000-000046000000}"/>
    <cellStyle name="Финансовый 2 2 10 2" xfId="166" xr:uid="{00000000-0005-0000-0000-000047000000}"/>
    <cellStyle name="Финансовый 2 2 10 3" xfId="315" xr:uid="{00000000-0005-0000-0000-000048000000}"/>
    <cellStyle name="Финансовый 2 2 11" xfId="16" xr:uid="{00000000-0005-0000-0000-000049000000}"/>
    <cellStyle name="Финансовый 2 2 11 2" xfId="154" xr:uid="{00000000-0005-0000-0000-00004A000000}"/>
    <cellStyle name="Финансовый 2 2 11 3" xfId="303" xr:uid="{00000000-0005-0000-0000-00004B000000}"/>
    <cellStyle name="Финансовый 2 2 12" xfId="142" xr:uid="{00000000-0005-0000-0000-00004C000000}"/>
    <cellStyle name="Финансовый 2 2 13" xfId="278" xr:uid="{00000000-0005-0000-0000-00004D000000}"/>
    <cellStyle name="Финансовый 2 2 14" xfId="291" xr:uid="{00000000-0005-0000-0000-00004E000000}"/>
    <cellStyle name="Финансовый 2 2 2" xfId="10" xr:uid="{00000000-0005-0000-0000-00004F000000}"/>
    <cellStyle name="Финансовый 2 2 2 10" xfId="284" xr:uid="{00000000-0005-0000-0000-000050000000}"/>
    <cellStyle name="Финансовый 2 2 2 11" xfId="297" xr:uid="{00000000-0005-0000-0000-000051000000}"/>
    <cellStyle name="Финансовый 2 2 2 2" xfId="46" xr:uid="{00000000-0005-0000-0000-000052000000}"/>
    <cellStyle name="Финансовый 2 2 2 2 2" xfId="104" xr:uid="{00000000-0005-0000-0000-000053000000}"/>
    <cellStyle name="Финансовый 2 2 2 2 2 2" xfId="240" xr:uid="{00000000-0005-0000-0000-000054000000}"/>
    <cellStyle name="Финансовый 2 2 2 2 2 3" xfId="389" xr:uid="{00000000-0005-0000-0000-000055000000}"/>
    <cellStyle name="Финансовый 2 2 2 2 3" xfId="184" xr:uid="{00000000-0005-0000-0000-000056000000}"/>
    <cellStyle name="Финансовый 2 2 2 2 4" xfId="333" xr:uid="{00000000-0005-0000-0000-000057000000}"/>
    <cellStyle name="Финансовый 2 2 2 3" xfId="116" xr:uid="{00000000-0005-0000-0000-000058000000}"/>
    <cellStyle name="Финансовый 2 2 2 3 2" xfId="252" xr:uid="{00000000-0005-0000-0000-000059000000}"/>
    <cellStyle name="Финансовый 2 2 2 3 3" xfId="401" xr:uid="{00000000-0005-0000-0000-00005A000000}"/>
    <cellStyle name="Финансовый 2 2 2 4" xfId="80" xr:uid="{00000000-0005-0000-0000-00005B000000}"/>
    <cellStyle name="Финансовый 2 2 2 4 2" xfId="216" xr:uid="{00000000-0005-0000-0000-00005C000000}"/>
    <cellStyle name="Финансовый 2 2 2 4 3" xfId="365" xr:uid="{00000000-0005-0000-0000-00005D000000}"/>
    <cellStyle name="Финансовый 2 2 2 5" xfId="58" xr:uid="{00000000-0005-0000-0000-00005E000000}"/>
    <cellStyle name="Финансовый 2 2 2 5 2" xfId="196" xr:uid="{00000000-0005-0000-0000-00005F000000}"/>
    <cellStyle name="Финансовый 2 2 2 5 3" xfId="345" xr:uid="{00000000-0005-0000-0000-000060000000}"/>
    <cellStyle name="Финансовый 2 2 2 6" xfId="136" xr:uid="{00000000-0005-0000-0000-000061000000}"/>
    <cellStyle name="Финансовый 2 2 2 6 2" xfId="272" xr:uid="{00000000-0005-0000-0000-000062000000}"/>
    <cellStyle name="Финансовый 2 2 2 6 3" xfId="421" xr:uid="{00000000-0005-0000-0000-000063000000}"/>
    <cellStyle name="Финансовый 2 2 2 7" xfId="34" xr:uid="{00000000-0005-0000-0000-000064000000}"/>
    <cellStyle name="Финансовый 2 2 2 7 2" xfId="172" xr:uid="{00000000-0005-0000-0000-000065000000}"/>
    <cellStyle name="Финансовый 2 2 2 7 3" xfId="321" xr:uid="{00000000-0005-0000-0000-000066000000}"/>
    <cellStyle name="Финансовый 2 2 2 8" xfId="22" xr:uid="{00000000-0005-0000-0000-000067000000}"/>
    <cellStyle name="Финансовый 2 2 2 8 2" xfId="160" xr:uid="{00000000-0005-0000-0000-000068000000}"/>
    <cellStyle name="Финансовый 2 2 2 8 3" xfId="309" xr:uid="{00000000-0005-0000-0000-000069000000}"/>
    <cellStyle name="Финансовый 2 2 2 9" xfId="148" xr:uid="{00000000-0005-0000-0000-00006A000000}"/>
    <cellStyle name="Финансовый 2 2 3" xfId="40" xr:uid="{00000000-0005-0000-0000-00006B000000}"/>
    <cellStyle name="Финансовый 2 2 3 2" xfId="122" xr:uid="{00000000-0005-0000-0000-00006C000000}"/>
    <cellStyle name="Финансовый 2 2 3 2 2" xfId="258" xr:uid="{00000000-0005-0000-0000-00006D000000}"/>
    <cellStyle name="Финансовый 2 2 3 2 3" xfId="407" xr:uid="{00000000-0005-0000-0000-00006E000000}"/>
    <cellStyle name="Финансовый 2 2 3 3" xfId="86" xr:uid="{00000000-0005-0000-0000-00006F000000}"/>
    <cellStyle name="Финансовый 2 2 3 3 2" xfId="222" xr:uid="{00000000-0005-0000-0000-000070000000}"/>
    <cellStyle name="Финансовый 2 2 3 3 3" xfId="371" xr:uid="{00000000-0005-0000-0000-000071000000}"/>
    <cellStyle name="Финансовый 2 2 3 4" xfId="178" xr:uid="{00000000-0005-0000-0000-000072000000}"/>
    <cellStyle name="Финансовый 2 2 3 5" xfId="327" xr:uid="{00000000-0005-0000-0000-000073000000}"/>
    <cellStyle name="Финансовый 2 2 4" xfId="92" xr:uid="{00000000-0005-0000-0000-000074000000}"/>
    <cellStyle name="Финансовый 2 2 4 2" xfId="228" xr:uid="{00000000-0005-0000-0000-000075000000}"/>
    <cellStyle name="Финансовый 2 2 4 3" xfId="377" xr:uid="{00000000-0005-0000-0000-000076000000}"/>
    <cellStyle name="Финансовый 2 2 5" xfId="98" xr:uid="{00000000-0005-0000-0000-000077000000}"/>
    <cellStyle name="Финансовый 2 2 5 2" xfId="234" xr:uid="{00000000-0005-0000-0000-000078000000}"/>
    <cellStyle name="Финансовый 2 2 5 3" xfId="383" xr:uid="{00000000-0005-0000-0000-000079000000}"/>
    <cellStyle name="Финансовый 2 2 6" xfId="110" xr:uid="{00000000-0005-0000-0000-00007A000000}"/>
    <cellStyle name="Финансовый 2 2 6 2" xfId="246" xr:uid="{00000000-0005-0000-0000-00007B000000}"/>
    <cellStyle name="Финансовый 2 2 6 3" xfId="395" xr:uid="{00000000-0005-0000-0000-00007C000000}"/>
    <cellStyle name="Финансовый 2 2 7" xfId="65" xr:uid="{00000000-0005-0000-0000-00007D000000}"/>
    <cellStyle name="Финансовый 2 2 7 2" xfId="201" xr:uid="{00000000-0005-0000-0000-00007E000000}"/>
    <cellStyle name="Финансовый 2 2 7 3" xfId="350" xr:uid="{00000000-0005-0000-0000-00007F000000}"/>
    <cellStyle name="Финансовый 2 2 8" xfId="52" xr:uid="{00000000-0005-0000-0000-000080000000}"/>
    <cellStyle name="Финансовый 2 2 8 2" xfId="190" xr:uid="{00000000-0005-0000-0000-000081000000}"/>
    <cellStyle name="Финансовый 2 2 8 3" xfId="339" xr:uid="{00000000-0005-0000-0000-000082000000}"/>
    <cellStyle name="Финансовый 2 2 9" xfId="130" xr:uid="{00000000-0005-0000-0000-000083000000}"/>
    <cellStyle name="Финансовый 2 2 9 2" xfId="266" xr:uid="{00000000-0005-0000-0000-000084000000}"/>
    <cellStyle name="Финансовый 2 2 9 3" xfId="415" xr:uid="{00000000-0005-0000-0000-000085000000}"/>
    <cellStyle name="Финансовый 2 3" xfId="6" xr:uid="{00000000-0005-0000-0000-000086000000}"/>
    <cellStyle name="Финансовый 2 3 10" xfId="30" xr:uid="{00000000-0005-0000-0000-000087000000}"/>
    <cellStyle name="Финансовый 2 3 10 2" xfId="168" xr:uid="{00000000-0005-0000-0000-000088000000}"/>
    <cellStyle name="Финансовый 2 3 10 3" xfId="317" xr:uid="{00000000-0005-0000-0000-000089000000}"/>
    <cellStyle name="Финансовый 2 3 11" xfId="18" xr:uid="{00000000-0005-0000-0000-00008A000000}"/>
    <cellStyle name="Финансовый 2 3 11 2" xfId="156" xr:uid="{00000000-0005-0000-0000-00008B000000}"/>
    <cellStyle name="Финансовый 2 3 11 3" xfId="305" xr:uid="{00000000-0005-0000-0000-00008C000000}"/>
    <cellStyle name="Финансовый 2 3 12" xfId="144" xr:uid="{00000000-0005-0000-0000-00008D000000}"/>
    <cellStyle name="Финансовый 2 3 13" xfId="280" xr:uid="{00000000-0005-0000-0000-00008E000000}"/>
    <cellStyle name="Финансовый 2 3 14" xfId="293" xr:uid="{00000000-0005-0000-0000-00008F000000}"/>
    <cellStyle name="Финансовый 2 3 2" xfId="12" xr:uid="{00000000-0005-0000-0000-000090000000}"/>
    <cellStyle name="Финансовый 2 3 2 10" xfId="286" xr:uid="{00000000-0005-0000-0000-000091000000}"/>
    <cellStyle name="Финансовый 2 3 2 11" xfId="299" xr:uid="{00000000-0005-0000-0000-000092000000}"/>
    <cellStyle name="Финансовый 2 3 2 2" xfId="48" xr:uid="{00000000-0005-0000-0000-000093000000}"/>
    <cellStyle name="Финансовый 2 3 2 2 2" xfId="106" xr:uid="{00000000-0005-0000-0000-000094000000}"/>
    <cellStyle name="Финансовый 2 3 2 2 2 2" xfId="242" xr:uid="{00000000-0005-0000-0000-000095000000}"/>
    <cellStyle name="Финансовый 2 3 2 2 2 3" xfId="391" xr:uid="{00000000-0005-0000-0000-000096000000}"/>
    <cellStyle name="Финансовый 2 3 2 2 3" xfId="186" xr:uid="{00000000-0005-0000-0000-000097000000}"/>
    <cellStyle name="Финансовый 2 3 2 2 4" xfId="335" xr:uid="{00000000-0005-0000-0000-000098000000}"/>
    <cellStyle name="Финансовый 2 3 2 3" xfId="118" xr:uid="{00000000-0005-0000-0000-000099000000}"/>
    <cellStyle name="Финансовый 2 3 2 3 2" xfId="254" xr:uid="{00000000-0005-0000-0000-00009A000000}"/>
    <cellStyle name="Финансовый 2 3 2 3 3" xfId="403" xr:uid="{00000000-0005-0000-0000-00009B000000}"/>
    <cellStyle name="Финансовый 2 3 2 4" xfId="82" xr:uid="{00000000-0005-0000-0000-00009C000000}"/>
    <cellStyle name="Финансовый 2 3 2 4 2" xfId="218" xr:uid="{00000000-0005-0000-0000-00009D000000}"/>
    <cellStyle name="Финансовый 2 3 2 4 3" xfId="367" xr:uid="{00000000-0005-0000-0000-00009E000000}"/>
    <cellStyle name="Финансовый 2 3 2 5" xfId="60" xr:uid="{00000000-0005-0000-0000-00009F000000}"/>
    <cellStyle name="Финансовый 2 3 2 5 2" xfId="198" xr:uid="{00000000-0005-0000-0000-0000A0000000}"/>
    <cellStyle name="Финансовый 2 3 2 5 3" xfId="347" xr:uid="{00000000-0005-0000-0000-0000A1000000}"/>
    <cellStyle name="Финансовый 2 3 2 6" xfId="138" xr:uid="{00000000-0005-0000-0000-0000A2000000}"/>
    <cellStyle name="Финансовый 2 3 2 6 2" xfId="274" xr:uid="{00000000-0005-0000-0000-0000A3000000}"/>
    <cellStyle name="Финансовый 2 3 2 6 3" xfId="423" xr:uid="{00000000-0005-0000-0000-0000A4000000}"/>
    <cellStyle name="Финансовый 2 3 2 7" xfId="36" xr:uid="{00000000-0005-0000-0000-0000A5000000}"/>
    <cellStyle name="Финансовый 2 3 2 7 2" xfId="174" xr:uid="{00000000-0005-0000-0000-0000A6000000}"/>
    <cellStyle name="Финансовый 2 3 2 7 3" xfId="323" xr:uid="{00000000-0005-0000-0000-0000A7000000}"/>
    <cellStyle name="Финансовый 2 3 2 8" xfId="24" xr:uid="{00000000-0005-0000-0000-0000A8000000}"/>
    <cellStyle name="Финансовый 2 3 2 8 2" xfId="162" xr:uid="{00000000-0005-0000-0000-0000A9000000}"/>
    <cellStyle name="Финансовый 2 3 2 8 3" xfId="311" xr:uid="{00000000-0005-0000-0000-0000AA000000}"/>
    <cellStyle name="Финансовый 2 3 2 9" xfId="150" xr:uid="{00000000-0005-0000-0000-0000AB000000}"/>
    <cellStyle name="Финансовый 2 3 3" xfId="42" xr:uid="{00000000-0005-0000-0000-0000AC000000}"/>
    <cellStyle name="Финансовый 2 3 3 2" xfId="124" xr:uid="{00000000-0005-0000-0000-0000AD000000}"/>
    <cellStyle name="Финансовый 2 3 3 2 2" xfId="260" xr:uid="{00000000-0005-0000-0000-0000AE000000}"/>
    <cellStyle name="Финансовый 2 3 3 2 3" xfId="409" xr:uid="{00000000-0005-0000-0000-0000AF000000}"/>
    <cellStyle name="Финансовый 2 3 3 3" xfId="88" xr:uid="{00000000-0005-0000-0000-0000B0000000}"/>
    <cellStyle name="Финансовый 2 3 3 3 2" xfId="224" xr:uid="{00000000-0005-0000-0000-0000B1000000}"/>
    <cellStyle name="Финансовый 2 3 3 3 3" xfId="373" xr:uid="{00000000-0005-0000-0000-0000B2000000}"/>
    <cellStyle name="Финансовый 2 3 3 4" xfId="180" xr:uid="{00000000-0005-0000-0000-0000B3000000}"/>
    <cellStyle name="Финансовый 2 3 3 5" xfId="329" xr:uid="{00000000-0005-0000-0000-0000B4000000}"/>
    <cellStyle name="Финансовый 2 3 4" xfId="94" xr:uid="{00000000-0005-0000-0000-0000B5000000}"/>
    <cellStyle name="Финансовый 2 3 4 2" xfId="230" xr:uid="{00000000-0005-0000-0000-0000B6000000}"/>
    <cellStyle name="Финансовый 2 3 4 3" xfId="379" xr:uid="{00000000-0005-0000-0000-0000B7000000}"/>
    <cellStyle name="Финансовый 2 3 5" xfId="100" xr:uid="{00000000-0005-0000-0000-0000B8000000}"/>
    <cellStyle name="Финансовый 2 3 5 2" xfId="236" xr:uid="{00000000-0005-0000-0000-0000B9000000}"/>
    <cellStyle name="Финансовый 2 3 5 3" xfId="385" xr:uid="{00000000-0005-0000-0000-0000BA000000}"/>
    <cellStyle name="Финансовый 2 3 6" xfId="112" xr:uid="{00000000-0005-0000-0000-0000BB000000}"/>
    <cellStyle name="Финансовый 2 3 6 2" xfId="248" xr:uid="{00000000-0005-0000-0000-0000BC000000}"/>
    <cellStyle name="Финансовый 2 3 6 3" xfId="397" xr:uid="{00000000-0005-0000-0000-0000BD000000}"/>
    <cellStyle name="Финансовый 2 3 7" xfId="76" xr:uid="{00000000-0005-0000-0000-0000BE000000}"/>
    <cellStyle name="Финансовый 2 3 7 2" xfId="212" xr:uid="{00000000-0005-0000-0000-0000BF000000}"/>
    <cellStyle name="Финансовый 2 3 7 3" xfId="361" xr:uid="{00000000-0005-0000-0000-0000C0000000}"/>
    <cellStyle name="Финансовый 2 3 8" xfId="54" xr:uid="{00000000-0005-0000-0000-0000C1000000}"/>
    <cellStyle name="Финансовый 2 3 8 2" xfId="192" xr:uid="{00000000-0005-0000-0000-0000C2000000}"/>
    <cellStyle name="Финансовый 2 3 8 3" xfId="341" xr:uid="{00000000-0005-0000-0000-0000C3000000}"/>
    <cellStyle name="Финансовый 2 3 9" xfId="132" xr:uid="{00000000-0005-0000-0000-0000C4000000}"/>
    <cellStyle name="Финансовый 2 3 9 2" xfId="268" xr:uid="{00000000-0005-0000-0000-0000C5000000}"/>
    <cellStyle name="Финансовый 2 3 9 3" xfId="417" xr:uid="{00000000-0005-0000-0000-0000C6000000}"/>
    <cellStyle name="Финансовый 2 4" xfId="8" xr:uid="{00000000-0005-0000-0000-0000C7000000}"/>
    <cellStyle name="Финансовый 2 4 10" xfId="282" xr:uid="{00000000-0005-0000-0000-0000C8000000}"/>
    <cellStyle name="Финансовый 2 4 11" xfId="295" xr:uid="{00000000-0005-0000-0000-0000C9000000}"/>
    <cellStyle name="Финансовый 2 4 2" xfId="44" xr:uid="{00000000-0005-0000-0000-0000CA000000}"/>
    <cellStyle name="Финансовый 2 4 2 2" xfId="102" xr:uid="{00000000-0005-0000-0000-0000CB000000}"/>
    <cellStyle name="Финансовый 2 4 2 2 2" xfId="238" xr:uid="{00000000-0005-0000-0000-0000CC000000}"/>
    <cellStyle name="Финансовый 2 4 2 2 3" xfId="387" xr:uid="{00000000-0005-0000-0000-0000CD000000}"/>
    <cellStyle name="Финансовый 2 4 2 3" xfId="182" xr:uid="{00000000-0005-0000-0000-0000CE000000}"/>
    <cellStyle name="Финансовый 2 4 2 4" xfId="331" xr:uid="{00000000-0005-0000-0000-0000CF000000}"/>
    <cellStyle name="Финансовый 2 4 3" xfId="114" xr:uid="{00000000-0005-0000-0000-0000D0000000}"/>
    <cellStyle name="Финансовый 2 4 3 2" xfId="250" xr:uid="{00000000-0005-0000-0000-0000D1000000}"/>
    <cellStyle name="Финансовый 2 4 3 3" xfId="399" xr:uid="{00000000-0005-0000-0000-0000D2000000}"/>
    <cellStyle name="Финансовый 2 4 4" xfId="78" xr:uid="{00000000-0005-0000-0000-0000D3000000}"/>
    <cellStyle name="Финансовый 2 4 4 2" xfId="214" xr:uid="{00000000-0005-0000-0000-0000D4000000}"/>
    <cellStyle name="Финансовый 2 4 4 3" xfId="363" xr:uid="{00000000-0005-0000-0000-0000D5000000}"/>
    <cellStyle name="Финансовый 2 4 5" xfId="56" xr:uid="{00000000-0005-0000-0000-0000D6000000}"/>
    <cellStyle name="Финансовый 2 4 5 2" xfId="194" xr:uid="{00000000-0005-0000-0000-0000D7000000}"/>
    <cellStyle name="Финансовый 2 4 5 3" xfId="343" xr:uid="{00000000-0005-0000-0000-0000D8000000}"/>
    <cellStyle name="Финансовый 2 4 6" xfId="134" xr:uid="{00000000-0005-0000-0000-0000D9000000}"/>
    <cellStyle name="Финансовый 2 4 6 2" xfId="270" xr:uid="{00000000-0005-0000-0000-0000DA000000}"/>
    <cellStyle name="Финансовый 2 4 6 3" xfId="419" xr:uid="{00000000-0005-0000-0000-0000DB000000}"/>
    <cellStyle name="Финансовый 2 4 7" xfId="32" xr:uid="{00000000-0005-0000-0000-0000DC000000}"/>
    <cellStyle name="Финансовый 2 4 7 2" xfId="170" xr:uid="{00000000-0005-0000-0000-0000DD000000}"/>
    <cellStyle name="Финансовый 2 4 7 3" xfId="319" xr:uid="{00000000-0005-0000-0000-0000DE000000}"/>
    <cellStyle name="Финансовый 2 4 8" xfId="20" xr:uid="{00000000-0005-0000-0000-0000DF000000}"/>
    <cellStyle name="Финансовый 2 4 8 2" xfId="158" xr:uid="{00000000-0005-0000-0000-0000E0000000}"/>
    <cellStyle name="Финансовый 2 4 8 3" xfId="307" xr:uid="{00000000-0005-0000-0000-0000E1000000}"/>
    <cellStyle name="Финансовый 2 4 9" xfId="146" xr:uid="{00000000-0005-0000-0000-0000E2000000}"/>
    <cellStyle name="Финансовый 2 5" xfId="38" xr:uid="{00000000-0005-0000-0000-0000E3000000}"/>
    <cellStyle name="Финансовый 2 5 2" xfId="120" xr:uid="{00000000-0005-0000-0000-0000E4000000}"/>
    <cellStyle name="Финансовый 2 5 2 2" xfId="256" xr:uid="{00000000-0005-0000-0000-0000E5000000}"/>
    <cellStyle name="Финансовый 2 5 2 3" xfId="405" xr:uid="{00000000-0005-0000-0000-0000E6000000}"/>
    <cellStyle name="Финансовый 2 5 3" xfId="84" xr:uid="{00000000-0005-0000-0000-0000E7000000}"/>
    <cellStyle name="Финансовый 2 5 3 2" xfId="220" xr:uid="{00000000-0005-0000-0000-0000E8000000}"/>
    <cellStyle name="Финансовый 2 5 3 3" xfId="369" xr:uid="{00000000-0005-0000-0000-0000E9000000}"/>
    <cellStyle name="Финансовый 2 5 4" xfId="176" xr:uid="{00000000-0005-0000-0000-0000EA000000}"/>
    <cellStyle name="Финансовый 2 5 5" xfId="325" xr:uid="{00000000-0005-0000-0000-0000EB000000}"/>
    <cellStyle name="Финансовый 2 6" xfId="90" xr:uid="{00000000-0005-0000-0000-0000EC000000}"/>
    <cellStyle name="Финансовый 2 6 2" xfId="226" xr:uid="{00000000-0005-0000-0000-0000ED000000}"/>
    <cellStyle name="Финансовый 2 6 3" xfId="375" xr:uid="{00000000-0005-0000-0000-0000EE000000}"/>
    <cellStyle name="Финансовый 2 7" xfId="96" xr:uid="{00000000-0005-0000-0000-0000EF000000}"/>
    <cellStyle name="Финансовый 2 7 2" xfId="232" xr:uid="{00000000-0005-0000-0000-0000F0000000}"/>
    <cellStyle name="Финансовый 2 7 3" xfId="381" xr:uid="{00000000-0005-0000-0000-0000F1000000}"/>
    <cellStyle name="Финансовый 2 8" xfId="108" xr:uid="{00000000-0005-0000-0000-0000F2000000}"/>
    <cellStyle name="Финансовый 2 8 2" xfId="244" xr:uid="{00000000-0005-0000-0000-0000F3000000}"/>
    <cellStyle name="Финансовый 2 8 3" xfId="393" xr:uid="{00000000-0005-0000-0000-0000F4000000}"/>
    <cellStyle name="Финансовый 2 9" xfId="126" xr:uid="{00000000-0005-0000-0000-0000F5000000}"/>
    <cellStyle name="Финансовый 2 9 2" xfId="262" xr:uid="{00000000-0005-0000-0000-0000F6000000}"/>
    <cellStyle name="Финансовый 2 9 3" xfId="411" xr:uid="{00000000-0005-0000-0000-0000F7000000}"/>
    <cellStyle name="Финансовый 3" xfId="3" xr:uid="{00000000-0005-0000-0000-0000F8000000}"/>
    <cellStyle name="Финансовый 3 10" xfId="27" xr:uid="{00000000-0005-0000-0000-0000F9000000}"/>
    <cellStyle name="Финансовый 3 10 2" xfId="165" xr:uid="{00000000-0005-0000-0000-0000FA000000}"/>
    <cellStyle name="Финансовый 3 10 3" xfId="314" xr:uid="{00000000-0005-0000-0000-0000FB000000}"/>
    <cellStyle name="Финансовый 3 11" xfId="15" xr:uid="{00000000-0005-0000-0000-0000FC000000}"/>
    <cellStyle name="Финансовый 3 11 2" xfId="153" xr:uid="{00000000-0005-0000-0000-0000FD000000}"/>
    <cellStyle name="Финансовый 3 11 3" xfId="302" xr:uid="{00000000-0005-0000-0000-0000FE000000}"/>
    <cellStyle name="Финансовый 3 12" xfId="141" xr:uid="{00000000-0005-0000-0000-0000FF000000}"/>
    <cellStyle name="Финансовый 3 13" xfId="277" xr:uid="{00000000-0005-0000-0000-000000010000}"/>
    <cellStyle name="Финансовый 3 14" xfId="290" xr:uid="{00000000-0005-0000-0000-000001010000}"/>
    <cellStyle name="Финансовый 3 2" xfId="9" xr:uid="{00000000-0005-0000-0000-000002010000}"/>
    <cellStyle name="Финансовый 3 2 10" xfId="283" xr:uid="{00000000-0005-0000-0000-000003010000}"/>
    <cellStyle name="Финансовый 3 2 11" xfId="296" xr:uid="{00000000-0005-0000-0000-000004010000}"/>
    <cellStyle name="Финансовый 3 2 2" xfId="45" xr:uid="{00000000-0005-0000-0000-000005010000}"/>
    <cellStyle name="Финансовый 3 2 2 2" xfId="103" xr:uid="{00000000-0005-0000-0000-000006010000}"/>
    <cellStyle name="Финансовый 3 2 2 2 2" xfId="239" xr:uid="{00000000-0005-0000-0000-000007010000}"/>
    <cellStyle name="Финансовый 3 2 2 2 3" xfId="388" xr:uid="{00000000-0005-0000-0000-000008010000}"/>
    <cellStyle name="Финансовый 3 2 2 3" xfId="183" xr:uid="{00000000-0005-0000-0000-000009010000}"/>
    <cellStyle name="Финансовый 3 2 2 4" xfId="332" xr:uid="{00000000-0005-0000-0000-00000A010000}"/>
    <cellStyle name="Финансовый 3 2 3" xfId="115" xr:uid="{00000000-0005-0000-0000-00000B010000}"/>
    <cellStyle name="Финансовый 3 2 3 2" xfId="251" xr:uid="{00000000-0005-0000-0000-00000C010000}"/>
    <cellStyle name="Финансовый 3 2 3 3" xfId="400" xr:uid="{00000000-0005-0000-0000-00000D010000}"/>
    <cellStyle name="Финансовый 3 2 4" xfId="79" xr:uid="{00000000-0005-0000-0000-00000E010000}"/>
    <cellStyle name="Финансовый 3 2 4 2" xfId="215" xr:uid="{00000000-0005-0000-0000-00000F010000}"/>
    <cellStyle name="Финансовый 3 2 4 3" xfId="364" xr:uid="{00000000-0005-0000-0000-000010010000}"/>
    <cellStyle name="Финансовый 3 2 5" xfId="57" xr:uid="{00000000-0005-0000-0000-000011010000}"/>
    <cellStyle name="Финансовый 3 2 5 2" xfId="195" xr:uid="{00000000-0005-0000-0000-000012010000}"/>
    <cellStyle name="Финансовый 3 2 5 3" xfId="344" xr:uid="{00000000-0005-0000-0000-000013010000}"/>
    <cellStyle name="Финансовый 3 2 6" xfId="135" xr:uid="{00000000-0005-0000-0000-000014010000}"/>
    <cellStyle name="Финансовый 3 2 6 2" xfId="271" xr:uid="{00000000-0005-0000-0000-000015010000}"/>
    <cellStyle name="Финансовый 3 2 6 3" xfId="420" xr:uid="{00000000-0005-0000-0000-000016010000}"/>
    <cellStyle name="Финансовый 3 2 7" xfId="33" xr:uid="{00000000-0005-0000-0000-000017010000}"/>
    <cellStyle name="Финансовый 3 2 7 2" xfId="171" xr:uid="{00000000-0005-0000-0000-000018010000}"/>
    <cellStyle name="Финансовый 3 2 7 3" xfId="320" xr:uid="{00000000-0005-0000-0000-000019010000}"/>
    <cellStyle name="Финансовый 3 2 8" xfId="21" xr:uid="{00000000-0005-0000-0000-00001A010000}"/>
    <cellStyle name="Финансовый 3 2 8 2" xfId="159" xr:uid="{00000000-0005-0000-0000-00001B010000}"/>
    <cellStyle name="Финансовый 3 2 8 3" xfId="308" xr:uid="{00000000-0005-0000-0000-00001C010000}"/>
    <cellStyle name="Финансовый 3 2 9" xfId="147" xr:uid="{00000000-0005-0000-0000-00001D010000}"/>
    <cellStyle name="Финансовый 3 3" xfId="39" xr:uid="{00000000-0005-0000-0000-00001E010000}"/>
    <cellStyle name="Финансовый 3 3 2" xfId="121" xr:uid="{00000000-0005-0000-0000-00001F010000}"/>
    <cellStyle name="Финансовый 3 3 2 2" xfId="257" xr:uid="{00000000-0005-0000-0000-000020010000}"/>
    <cellStyle name="Финансовый 3 3 2 3" xfId="406" xr:uid="{00000000-0005-0000-0000-000021010000}"/>
    <cellStyle name="Финансовый 3 3 3" xfId="85" xr:uid="{00000000-0005-0000-0000-000022010000}"/>
    <cellStyle name="Финансовый 3 3 3 2" xfId="221" xr:uid="{00000000-0005-0000-0000-000023010000}"/>
    <cellStyle name="Финансовый 3 3 3 3" xfId="370" xr:uid="{00000000-0005-0000-0000-000024010000}"/>
    <cellStyle name="Финансовый 3 3 4" xfId="177" xr:uid="{00000000-0005-0000-0000-000025010000}"/>
    <cellStyle name="Финансовый 3 3 5" xfId="326" xr:uid="{00000000-0005-0000-0000-000026010000}"/>
    <cellStyle name="Финансовый 3 4" xfId="91" xr:uid="{00000000-0005-0000-0000-000027010000}"/>
    <cellStyle name="Финансовый 3 4 2" xfId="227" xr:uid="{00000000-0005-0000-0000-000028010000}"/>
    <cellStyle name="Финансовый 3 4 3" xfId="376" xr:uid="{00000000-0005-0000-0000-000029010000}"/>
    <cellStyle name="Финансовый 3 5" xfId="97" xr:uid="{00000000-0005-0000-0000-00002A010000}"/>
    <cellStyle name="Финансовый 3 5 2" xfId="233" xr:uid="{00000000-0005-0000-0000-00002B010000}"/>
    <cellStyle name="Финансовый 3 5 3" xfId="382" xr:uid="{00000000-0005-0000-0000-00002C010000}"/>
    <cellStyle name="Финансовый 3 6" xfId="109" xr:uid="{00000000-0005-0000-0000-00002D010000}"/>
    <cellStyle name="Финансовый 3 6 2" xfId="245" xr:uid="{00000000-0005-0000-0000-00002E010000}"/>
    <cellStyle name="Финансовый 3 6 3" xfId="394" xr:uid="{00000000-0005-0000-0000-00002F010000}"/>
    <cellStyle name="Финансовый 3 7" xfId="74" xr:uid="{00000000-0005-0000-0000-000030010000}"/>
    <cellStyle name="Финансовый 3 7 2" xfId="210" xr:uid="{00000000-0005-0000-0000-000031010000}"/>
    <cellStyle name="Финансовый 3 7 3" xfId="359" xr:uid="{00000000-0005-0000-0000-000032010000}"/>
    <cellStyle name="Финансовый 3 8" xfId="51" xr:uid="{00000000-0005-0000-0000-000033010000}"/>
    <cellStyle name="Финансовый 3 8 2" xfId="189" xr:uid="{00000000-0005-0000-0000-000034010000}"/>
    <cellStyle name="Финансовый 3 8 3" xfId="338" xr:uid="{00000000-0005-0000-0000-000035010000}"/>
    <cellStyle name="Финансовый 3 9" xfId="129" xr:uid="{00000000-0005-0000-0000-000036010000}"/>
    <cellStyle name="Финансовый 3 9 2" xfId="265" xr:uid="{00000000-0005-0000-0000-000037010000}"/>
    <cellStyle name="Финансовый 3 9 3" xfId="414" xr:uid="{00000000-0005-0000-0000-000038010000}"/>
    <cellStyle name="Финансовый 4" xfId="5" xr:uid="{00000000-0005-0000-0000-000039010000}"/>
    <cellStyle name="Финансовый 4 10" xfId="29" xr:uid="{00000000-0005-0000-0000-00003A010000}"/>
    <cellStyle name="Финансовый 4 10 2" xfId="167" xr:uid="{00000000-0005-0000-0000-00003B010000}"/>
    <cellStyle name="Финансовый 4 10 3" xfId="316" xr:uid="{00000000-0005-0000-0000-00003C010000}"/>
    <cellStyle name="Финансовый 4 11" xfId="17" xr:uid="{00000000-0005-0000-0000-00003D010000}"/>
    <cellStyle name="Финансовый 4 11 2" xfId="155" xr:uid="{00000000-0005-0000-0000-00003E010000}"/>
    <cellStyle name="Финансовый 4 11 3" xfId="304" xr:uid="{00000000-0005-0000-0000-00003F010000}"/>
    <cellStyle name="Финансовый 4 12" xfId="143" xr:uid="{00000000-0005-0000-0000-000040010000}"/>
    <cellStyle name="Финансовый 4 13" xfId="279" xr:uid="{00000000-0005-0000-0000-000041010000}"/>
    <cellStyle name="Финансовый 4 14" xfId="292" xr:uid="{00000000-0005-0000-0000-000042010000}"/>
    <cellStyle name="Финансовый 4 2" xfId="11" xr:uid="{00000000-0005-0000-0000-000043010000}"/>
    <cellStyle name="Финансовый 4 2 10" xfId="285" xr:uid="{00000000-0005-0000-0000-000044010000}"/>
    <cellStyle name="Финансовый 4 2 11" xfId="298" xr:uid="{00000000-0005-0000-0000-000045010000}"/>
    <cellStyle name="Финансовый 4 2 2" xfId="47" xr:uid="{00000000-0005-0000-0000-000046010000}"/>
    <cellStyle name="Финансовый 4 2 2 2" xfId="105" xr:uid="{00000000-0005-0000-0000-000047010000}"/>
    <cellStyle name="Финансовый 4 2 2 2 2" xfId="241" xr:uid="{00000000-0005-0000-0000-000048010000}"/>
    <cellStyle name="Финансовый 4 2 2 2 3" xfId="390" xr:uid="{00000000-0005-0000-0000-000049010000}"/>
    <cellStyle name="Финансовый 4 2 2 3" xfId="185" xr:uid="{00000000-0005-0000-0000-00004A010000}"/>
    <cellStyle name="Финансовый 4 2 2 4" xfId="334" xr:uid="{00000000-0005-0000-0000-00004B010000}"/>
    <cellStyle name="Финансовый 4 2 3" xfId="117" xr:uid="{00000000-0005-0000-0000-00004C010000}"/>
    <cellStyle name="Финансовый 4 2 3 2" xfId="253" xr:uid="{00000000-0005-0000-0000-00004D010000}"/>
    <cellStyle name="Финансовый 4 2 3 3" xfId="402" xr:uid="{00000000-0005-0000-0000-00004E010000}"/>
    <cellStyle name="Финансовый 4 2 4" xfId="81" xr:uid="{00000000-0005-0000-0000-00004F010000}"/>
    <cellStyle name="Финансовый 4 2 4 2" xfId="217" xr:uid="{00000000-0005-0000-0000-000050010000}"/>
    <cellStyle name="Финансовый 4 2 4 3" xfId="366" xr:uid="{00000000-0005-0000-0000-000051010000}"/>
    <cellStyle name="Финансовый 4 2 5" xfId="59" xr:uid="{00000000-0005-0000-0000-000052010000}"/>
    <cellStyle name="Финансовый 4 2 5 2" xfId="197" xr:uid="{00000000-0005-0000-0000-000053010000}"/>
    <cellStyle name="Финансовый 4 2 5 3" xfId="346" xr:uid="{00000000-0005-0000-0000-000054010000}"/>
    <cellStyle name="Финансовый 4 2 6" xfId="137" xr:uid="{00000000-0005-0000-0000-000055010000}"/>
    <cellStyle name="Финансовый 4 2 6 2" xfId="273" xr:uid="{00000000-0005-0000-0000-000056010000}"/>
    <cellStyle name="Финансовый 4 2 6 3" xfId="422" xr:uid="{00000000-0005-0000-0000-000057010000}"/>
    <cellStyle name="Финансовый 4 2 7" xfId="35" xr:uid="{00000000-0005-0000-0000-000058010000}"/>
    <cellStyle name="Финансовый 4 2 7 2" xfId="173" xr:uid="{00000000-0005-0000-0000-000059010000}"/>
    <cellStyle name="Финансовый 4 2 7 3" xfId="322" xr:uid="{00000000-0005-0000-0000-00005A010000}"/>
    <cellStyle name="Финансовый 4 2 8" xfId="23" xr:uid="{00000000-0005-0000-0000-00005B010000}"/>
    <cellStyle name="Финансовый 4 2 8 2" xfId="161" xr:uid="{00000000-0005-0000-0000-00005C010000}"/>
    <cellStyle name="Финансовый 4 2 8 3" xfId="310" xr:uid="{00000000-0005-0000-0000-00005D010000}"/>
    <cellStyle name="Финансовый 4 2 9" xfId="149" xr:uid="{00000000-0005-0000-0000-00005E010000}"/>
    <cellStyle name="Финансовый 4 3" xfId="41" xr:uid="{00000000-0005-0000-0000-00005F010000}"/>
    <cellStyle name="Финансовый 4 3 2" xfId="123" xr:uid="{00000000-0005-0000-0000-000060010000}"/>
    <cellStyle name="Финансовый 4 3 2 2" xfId="259" xr:uid="{00000000-0005-0000-0000-000061010000}"/>
    <cellStyle name="Финансовый 4 3 2 3" xfId="408" xr:uid="{00000000-0005-0000-0000-000062010000}"/>
    <cellStyle name="Финансовый 4 3 3" xfId="87" xr:uid="{00000000-0005-0000-0000-000063010000}"/>
    <cellStyle name="Финансовый 4 3 3 2" xfId="223" xr:uid="{00000000-0005-0000-0000-000064010000}"/>
    <cellStyle name="Финансовый 4 3 3 3" xfId="372" xr:uid="{00000000-0005-0000-0000-000065010000}"/>
    <cellStyle name="Финансовый 4 3 4" xfId="179" xr:uid="{00000000-0005-0000-0000-000066010000}"/>
    <cellStyle name="Финансовый 4 3 5" xfId="328" xr:uid="{00000000-0005-0000-0000-000067010000}"/>
    <cellStyle name="Финансовый 4 4" xfId="93" xr:uid="{00000000-0005-0000-0000-000068010000}"/>
    <cellStyle name="Финансовый 4 4 2" xfId="229" xr:uid="{00000000-0005-0000-0000-000069010000}"/>
    <cellStyle name="Финансовый 4 4 3" xfId="378" xr:uid="{00000000-0005-0000-0000-00006A010000}"/>
    <cellStyle name="Финансовый 4 5" xfId="99" xr:uid="{00000000-0005-0000-0000-00006B010000}"/>
    <cellStyle name="Финансовый 4 5 2" xfId="235" xr:uid="{00000000-0005-0000-0000-00006C010000}"/>
    <cellStyle name="Финансовый 4 5 3" xfId="384" xr:uid="{00000000-0005-0000-0000-00006D010000}"/>
    <cellStyle name="Финансовый 4 6" xfId="111" xr:uid="{00000000-0005-0000-0000-00006E010000}"/>
    <cellStyle name="Финансовый 4 6 2" xfId="247" xr:uid="{00000000-0005-0000-0000-00006F010000}"/>
    <cellStyle name="Финансовый 4 6 3" xfId="396" xr:uid="{00000000-0005-0000-0000-000070010000}"/>
    <cellStyle name="Финансовый 4 7" xfId="75" xr:uid="{00000000-0005-0000-0000-000071010000}"/>
    <cellStyle name="Финансовый 4 7 2" xfId="211" xr:uid="{00000000-0005-0000-0000-000072010000}"/>
    <cellStyle name="Финансовый 4 7 3" xfId="360" xr:uid="{00000000-0005-0000-0000-000073010000}"/>
    <cellStyle name="Финансовый 4 8" xfId="53" xr:uid="{00000000-0005-0000-0000-000074010000}"/>
    <cellStyle name="Финансовый 4 8 2" xfId="191" xr:uid="{00000000-0005-0000-0000-000075010000}"/>
    <cellStyle name="Финансовый 4 8 3" xfId="340" xr:uid="{00000000-0005-0000-0000-000076010000}"/>
    <cellStyle name="Финансовый 4 9" xfId="131" xr:uid="{00000000-0005-0000-0000-000077010000}"/>
    <cellStyle name="Финансовый 4 9 2" xfId="267" xr:uid="{00000000-0005-0000-0000-000078010000}"/>
    <cellStyle name="Финансовый 4 9 3" xfId="416" xr:uid="{00000000-0005-0000-0000-000079010000}"/>
    <cellStyle name="Финансовый 5" xfId="7" xr:uid="{00000000-0005-0000-0000-00007A010000}"/>
    <cellStyle name="Финансовый 5 10" xfId="281" xr:uid="{00000000-0005-0000-0000-00007B010000}"/>
    <cellStyle name="Финансовый 5 11" xfId="294" xr:uid="{00000000-0005-0000-0000-00007C010000}"/>
    <cellStyle name="Финансовый 5 2" xfId="43" xr:uid="{00000000-0005-0000-0000-00007D010000}"/>
    <cellStyle name="Финансовый 5 2 2" xfId="101" xr:uid="{00000000-0005-0000-0000-00007E010000}"/>
    <cellStyle name="Финансовый 5 2 2 2" xfId="237" xr:uid="{00000000-0005-0000-0000-00007F010000}"/>
    <cellStyle name="Финансовый 5 2 2 3" xfId="386" xr:uid="{00000000-0005-0000-0000-000080010000}"/>
    <cellStyle name="Финансовый 5 2 3" xfId="181" xr:uid="{00000000-0005-0000-0000-000081010000}"/>
    <cellStyle name="Финансовый 5 2 4" xfId="330" xr:uid="{00000000-0005-0000-0000-000082010000}"/>
    <cellStyle name="Финансовый 5 3" xfId="113" xr:uid="{00000000-0005-0000-0000-000083010000}"/>
    <cellStyle name="Финансовый 5 3 2" xfId="249" xr:uid="{00000000-0005-0000-0000-000084010000}"/>
    <cellStyle name="Финансовый 5 3 3" xfId="398" xr:uid="{00000000-0005-0000-0000-000085010000}"/>
    <cellStyle name="Финансовый 5 4" xfId="77" xr:uid="{00000000-0005-0000-0000-000086010000}"/>
    <cellStyle name="Финансовый 5 4 2" xfId="213" xr:uid="{00000000-0005-0000-0000-000087010000}"/>
    <cellStyle name="Финансовый 5 4 3" xfId="362" xr:uid="{00000000-0005-0000-0000-000088010000}"/>
    <cellStyle name="Финансовый 5 5" xfId="55" xr:uid="{00000000-0005-0000-0000-000089010000}"/>
    <cellStyle name="Финансовый 5 5 2" xfId="193" xr:uid="{00000000-0005-0000-0000-00008A010000}"/>
    <cellStyle name="Финансовый 5 5 3" xfId="342" xr:uid="{00000000-0005-0000-0000-00008B010000}"/>
    <cellStyle name="Финансовый 5 6" xfId="133" xr:uid="{00000000-0005-0000-0000-00008C010000}"/>
    <cellStyle name="Финансовый 5 6 2" xfId="269" xr:uid="{00000000-0005-0000-0000-00008D010000}"/>
    <cellStyle name="Финансовый 5 6 3" xfId="418" xr:uid="{00000000-0005-0000-0000-00008E010000}"/>
    <cellStyle name="Финансовый 5 7" xfId="31" xr:uid="{00000000-0005-0000-0000-00008F010000}"/>
    <cellStyle name="Финансовый 5 7 2" xfId="169" xr:uid="{00000000-0005-0000-0000-000090010000}"/>
    <cellStyle name="Финансовый 5 7 3" xfId="318" xr:uid="{00000000-0005-0000-0000-000091010000}"/>
    <cellStyle name="Финансовый 5 8" xfId="19" xr:uid="{00000000-0005-0000-0000-000092010000}"/>
    <cellStyle name="Финансовый 5 8 2" xfId="157" xr:uid="{00000000-0005-0000-0000-000093010000}"/>
    <cellStyle name="Финансовый 5 8 3" xfId="306" xr:uid="{00000000-0005-0000-0000-000094010000}"/>
    <cellStyle name="Финансовый 5 9" xfId="145" xr:uid="{00000000-0005-0000-0000-000095010000}"/>
    <cellStyle name="Финансовый 6" xfId="37" xr:uid="{00000000-0005-0000-0000-000096010000}"/>
    <cellStyle name="Финансовый 6 2" xfId="119" xr:uid="{00000000-0005-0000-0000-000097010000}"/>
    <cellStyle name="Финансовый 6 2 2" xfId="255" xr:uid="{00000000-0005-0000-0000-000098010000}"/>
    <cellStyle name="Финансовый 6 2 3" xfId="404" xr:uid="{00000000-0005-0000-0000-000099010000}"/>
    <cellStyle name="Финансовый 6 3" xfId="83" xr:uid="{00000000-0005-0000-0000-00009A010000}"/>
    <cellStyle name="Финансовый 6 3 2" xfId="219" xr:uid="{00000000-0005-0000-0000-00009B010000}"/>
    <cellStyle name="Финансовый 6 3 3" xfId="368" xr:uid="{00000000-0005-0000-0000-00009C010000}"/>
    <cellStyle name="Финансовый 6 4" xfId="175" xr:uid="{00000000-0005-0000-0000-00009D010000}"/>
    <cellStyle name="Финансовый 6 5" xfId="324" xr:uid="{00000000-0005-0000-0000-00009E010000}"/>
    <cellStyle name="Финансовый 7" xfId="89" xr:uid="{00000000-0005-0000-0000-00009F010000}"/>
    <cellStyle name="Финансовый 7 2" xfId="225" xr:uid="{00000000-0005-0000-0000-0000A0010000}"/>
    <cellStyle name="Финансовый 7 3" xfId="374" xr:uid="{00000000-0005-0000-0000-0000A1010000}"/>
    <cellStyle name="Финансовый 8" xfId="95" xr:uid="{00000000-0005-0000-0000-0000A2010000}"/>
    <cellStyle name="Финансовый 8 2" xfId="231" xr:uid="{00000000-0005-0000-0000-0000A3010000}"/>
    <cellStyle name="Финансовый 8 3" xfId="380" xr:uid="{00000000-0005-0000-0000-0000A4010000}"/>
    <cellStyle name="Финансовый 9" xfId="107" xr:uid="{00000000-0005-0000-0000-0000A5010000}"/>
    <cellStyle name="Финансовый 9 2" xfId="243" xr:uid="{00000000-0005-0000-0000-0000A6010000}"/>
    <cellStyle name="Финансовый 9 3" xfId="392" xr:uid="{00000000-0005-0000-0000-0000A7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zoomScaleNormal="100" workbookViewId="0">
      <selection activeCell="B153" sqref="B153"/>
    </sheetView>
  </sheetViews>
  <sheetFormatPr defaultColWidth="0" defaultRowHeight="15" zeroHeight="1" x14ac:dyDescent="0.2"/>
  <cols>
    <col min="1" max="1" width="44.42578125" style="190" customWidth="1"/>
    <col min="2" max="2" width="61.85546875" style="192" customWidth="1"/>
    <col min="3" max="3" width="20" style="182" customWidth="1"/>
    <col min="4" max="4" width="29.7109375" style="182" customWidth="1"/>
    <col min="5" max="7" width="9.140625" style="182" hidden="1" customWidth="1"/>
    <col min="8" max="8" width="62.5703125" style="182" hidden="1" customWidth="1"/>
    <col min="9" max="13" width="9.140625" style="182" hidden="1" customWidth="1"/>
    <col min="14" max="14" width="70.7109375" style="182" hidden="1" customWidth="1"/>
    <col min="15" max="16" width="9.140625" style="182" hidden="1" customWidth="1"/>
    <col min="17" max="17" width="59.7109375" style="182" hidden="1" customWidth="1"/>
    <col min="18" max="18" width="49.85546875" style="182" hidden="1" customWidth="1"/>
    <col min="19" max="16384" width="9.140625" style="182" hidden="1"/>
  </cols>
  <sheetData>
    <row r="1" spans="1:4" x14ac:dyDescent="0.2">
      <c r="A1" s="3" t="str">
        <f>CONCATENATE(B65," olish uchun ariza")</f>
        <v>mikroqarz olish uchun ariza</v>
      </c>
      <c r="B1" s="49" t="s">
        <v>435</v>
      </c>
    </row>
    <row r="2" spans="1:4" ht="30" x14ac:dyDescent="0.2">
      <c r="A2" s="3" t="str">
        <f>CONCATENATE(B65," olish uchun ariza sanasi QO’L BILAN KIRITILADI")</f>
        <v>mikroqarz olish uchun ariza sanasi QO’L BILAN KIRITILADI</v>
      </c>
      <c r="B2" s="59" t="s">
        <v>405</v>
      </c>
      <c r="D2" s="182">
        <f>180+B2</f>
        <v>45923</v>
      </c>
    </row>
    <row r="3" spans="1:4" hidden="1" x14ac:dyDescent="0.2">
      <c r="A3" s="3"/>
      <c r="B3" s="1"/>
    </row>
    <row r="4" spans="1:4" x14ac:dyDescent="0.2">
      <c r="A4" s="249" t="s">
        <v>52</v>
      </c>
      <c r="B4" s="249"/>
    </row>
    <row r="5" spans="1:4" ht="30" x14ac:dyDescent="0.2">
      <c r="A5" s="3" t="s">
        <v>53</v>
      </c>
      <c r="B5" s="234" t="s">
        <v>411</v>
      </c>
    </row>
    <row r="6" spans="1:4" ht="28.5" customHeight="1" x14ac:dyDescent="0.2">
      <c r="A6" s="3" t="s">
        <v>54</v>
      </c>
      <c r="B6" s="235" t="s">
        <v>66</v>
      </c>
      <c r="C6" s="182" t="s">
        <v>255</v>
      </c>
      <c r="D6" s="182" t="s">
        <v>133</v>
      </c>
    </row>
    <row r="7" spans="1:4" ht="30" x14ac:dyDescent="0.2">
      <c r="A7" s="3" t="s">
        <v>55</v>
      </c>
      <c r="B7" s="234" t="s">
        <v>412</v>
      </c>
    </row>
    <row r="8" spans="1:4" ht="30" hidden="1" x14ac:dyDescent="0.2">
      <c r="A8" s="3" t="s">
        <v>56</v>
      </c>
      <c r="B8" s="236" t="str">
        <f>B5</f>
        <v>UMAROV YO'LDOSHBOY AVALBEKOVICH</v>
      </c>
    </row>
    <row r="9" spans="1:4" hidden="1" x14ac:dyDescent="0.2">
      <c r="A9" s="3" t="s">
        <v>57</v>
      </c>
      <c r="B9" s="236" t="str">
        <f>B7</f>
        <v>UMAROV Y.A.</v>
      </c>
    </row>
    <row r="10" spans="1:4" ht="30" hidden="1" x14ac:dyDescent="0.2">
      <c r="A10" s="3" t="s">
        <v>58</v>
      </c>
      <c r="B10" s="236" t="str">
        <f>B8</f>
        <v>UMAROV YO'LDOSHBOY AVALBEKOVICH</v>
      </c>
    </row>
    <row r="11" spans="1:4" hidden="1" x14ac:dyDescent="0.2">
      <c r="A11" s="3" t="s">
        <v>59</v>
      </c>
      <c r="B11" s="236" t="str">
        <f>B9</f>
        <v>UMAROV Y.A.</v>
      </c>
    </row>
    <row r="12" spans="1:4" ht="30" hidden="1" x14ac:dyDescent="0.2">
      <c r="A12" s="3" t="s">
        <v>60</v>
      </c>
      <c r="B12" s="236" t="str">
        <f>B10</f>
        <v>UMAROV YO'LDOSHBOY AVALBEKOVICH</v>
      </c>
    </row>
    <row r="13" spans="1:4" hidden="1" x14ac:dyDescent="0.2">
      <c r="A13" s="3" t="s">
        <v>61</v>
      </c>
      <c r="B13" s="236" t="str">
        <f>B11</f>
        <v>UMAROV Y.A.</v>
      </c>
    </row>
    <row r="14" spans="1:4" hidden="1" x14ac:dyDescent="0.2">
      <c r="A14" s="3" t="s">
        <v>62</v>
      </c>
      <c r="B14" s="236" t="s">
        <v>65</v>
      </c>
    </row>
    <row r="15" spans="1:4" x14ac:dyDescent="0.2">
      <c r="A15" s="3" t="s">
        <v>63</v>
      </c>
      <c r="B15" s="237" t="s">
        <v>413</v>
      </c>
    </row>
    <row r="16" spans="1:4" x14ac:dyDescent="0.2">
      <c r="A16" s="3" t="s">
        <v>64</v>
      </c>
      <c r="B16" s="235" t="s">
        <v>414</v>
      </c>
    </row>
    <row r="17" spans="1:7" x14ac:dyDescent="0.2">
      <c r="A17" s="3"/>
      <c r="B17" s="235" t="s">
        <v>415</v>
      </c>
      <c r="D17" s="182" t="str">
        <f>TEXT(C17,"ДД.ММ.ГГГГ")</f>
        <v>00.01.1900</v>
      </c>
    </row>
    <row r="18" spans="1:7" x14ac:dyDescent="0.2">
      <c r="A18" s="3"/>
      <c r="B18" s="237">
        <v>42384</v>
      </c>
      <c r="C18" s="78" t="str">
        <f>TEXT(B18,"ДД.ММ.ГГГГ")</f>
        <v>15.01.2016</v>
      </c>
    </row>
    <row r="19" spans="1:7" x14ac:dyDescent="0.2">
      <c r="A19" s="3"/>
      <c r="B19" s="237">
        <v>46036</v>
      </c>
      <c r="C19" s="78" t="str">
        <f>TEXT(B19,"ДД.ММ.ГГГГ")</f>
        <v>14.01.2026</v>
      </c>
    </row>
    <row r="20" spans="1:7" ht="71.25" x14ac:dyDescent="0.2">
      <c r="A20" s="3" t="s">
        <v>67</v>
      </c>
      <c r="B20" s="62" t="str">
        <f>""&amp;B17&amp;" tomonidan "&amp;C18&amp;" yilda berilgan"</f>
        <v>NAVOIY VILOYATI NUROTA TUMANI IIB tomonidan 15.01.2016 yilda berilgan</v>
      </c>
      <c r="C20" s="79" t="str">
        <f>""&amp;B17&amp;" tomonidan "&amp;C18&amp;" yilda berilgan"</f>
        <v>NAVOIY VILOYATI NUROTA TUMANI IIB tomonidan 15.01.2016 yilda berilgan</v>
      </c>
    </row>
    <row r="21" spans="1:7" ht="45" x14ac:dyDescent="0.2">
      <c r="A21" s="3" t="s">
        <v>68</v>
      </c>
      <c r="B21" s="62" t="str">
        <f>""&amp;C19&amp;" y."</f>
        <v>14.01.2026 y.</v>
      </c>
      <c r="C21" s="78" t="str">
        <f>""&amp;C19&amp;" yilgacha"</f>
        <v>14.01.2026 yilgacha</v>
      </c>
    </row>
    <row r="22" spans="1:7" ht="64.5" customHeight="1" x14ac:dyDescent="0.2">
      <c r="A22" s="3" t="s">
        <v>69</v>
      </c>
      <c r="B22" s="235" t="s">
        <v>432</v>
      </c>
      <c r="C22" s="78" t="str">
        <f>TEXT(B19,"ДД.ММ.ГГГГ")</f>
        <v>14.01.2026</v>
      </c>
    </row>
    <row r="23" spans="1:7" ht="30" x14ac:dyDescent="0.2">
      <c r="A23" s="3" t="s">
        <v>70</v>
      </c>
      <c r="B23" s="235" t="s">
        <v>95</v>
      </c>
      <c r="C23" s="182" t="s">
        <v>94</v>
      </c>
      <c r="D23" s="182" t="s">
        <v>95</v>
      </c>
    </row>
    <row r="24" spans="1:7" ht="30" hidden="1" x14ac:dyDescent="0.2">
      <c r="A24" s="3" t="s">
        <v>71</v>
      </c>
      <c r="B24" s="236" t="s">
        <v>92</v>
      </c>
      <c r="C24" s="182" t="s">
        <v>92</v>
      </c>
      <c r="D24" s="182" t="s">
        <v>93</v>
      </c>
      <c r="E24" s="182" t="s">
        <v>0</v>
      </c>
      <c r="F24" s="182" t="s">
        <v>1</v>
      </c>
      <c r="G24" s="182" t="s">
        <v>3</v>
      </c>
    </row>
    <row r="25" spans="1:7" ht="30" x14ac:dyDescent="0.2">
      <c r="A25" s="3" t="s">
        <v>72</v>
      </c>
      <c r="B25" s="235" t="s">
        <v>430</v>
      </c>
    </row>
    <row r="26" spans="1:7" ht="44.25" customHeight="1" x14ac:dyDescent="0.2">
      <c r="A26" s="3" t="s">
        <v>73</v>
      </c>
      <c r="B26" s="235" t="s">
        <v>431</v>
      </c>
      <c r="C26" s="182" t="s">
        <v>27</v>
      </c>
    </row>
    <row r="27" spans="1:7" ht="44.25" hidden="1" customHeight="1" x14ac:dyDescent="0.2">
      <c r="A27" s="3"/>
      <c r="B27" s="235" t="str">
        <f>IF(B23="mos keladi",B22,B28)</f>
        <v>NAVOIY VILOYATI NUROTA TUMANI TEMIRKOVUK MFY YOSHLIK KO'CHASI 67-UY</v>
      </c>
    </row>
    <row r="28" spans="1:7" ht="45" x14ac:dyDescent="0.2">
      <c r="A28" s="3" t="s">
        <v>74</v>
      </c>
      <c r="B28" s="235" t="s">
        <v>432</v>
      </c>
    </row>
    <row r="29" spans="1:7" x14ac:dyDescent="0.2">
      <c r="A29" s="3" t="s">
        <v>75</v>
      </c>
      <c r="B29" s="235" t="s">
        <v>92</v>
      </c>
      <c r="C29" s="182" t="s">
        <v>92</v>
      </c>
      <c r="D29" s="182" t="s">
        <v>93</v>
      </c>
      <c r="E29" s="182" t="s">
        <v>324</v>
      </c>
      <c r="F29" s="182" t="s">
        <v>325</v>
      </c>
      <c r="G29" s="182" t="s">
        <v>3</v>
      </c>
    </row>
    <row r="30" spans="1:7" ht="27" x14ac:dyDescent="0.2">
      <c r="A30" s="3" t="s">
        <v>76</v>
      </c>
      <c r="B30" s="238" t="s">
        <v>148</v>
      </c>
      <c r="C30" s="182" t="s">
        <v>148</v>
      </c>
      <c r="D30" s="182" t="s">
        <v>328</v>
      </c>
    </row>
    <row r="31" spans="1:7" x14ac:dyDescent="0.2">
      <c r="A31" s="3" t="s">
        <v>77</v>
      </c>
      <c r="B31" s="235" t="s">
        <v>416</v>
      </c>
    </row>
    <row r="32" spans="1:7" x14ac:dyDescent="0.2">
      <c r="A32" s="3" t="s">
        <v>62</v>
      </c>
      <c r="B32" s="239" t="s">
        <v>65</v>
      </c>
    </row>
    <row r="33" spans="1:4" ht="30" x14ac:dyDescent="0.2">
      <c r="A33" s="3" t="s">
        <v>72</v>
      </c>
      <c r="B33" s="235" t="s">
        <v>430</v>
      </c>
    </row>
    <row r="34" spans="1:4" hidden="1" x14ac:dyDescent="0.2">
      <c r="A34" s="3"/>
      <c r="B34" s="235">
        <f>IF(B23="mos keladi",B26,B35)</f>
        <v>0</v>
      </c>
    </row>
    <row r="35" spans="1:4" x14ac:dyDescent="0.2">
      <c r="A35" s="3" t="s">
        <v>73</v>
      </c>
      <c r="B35" s="235"/>
    </row>
    <row r="36" spans="1:4" x14ac:dyDescent="0.2">
      <c r="A36" s="3" t="s">
        <v>78</v>
      </c>
      <c r="B36" s="235"/>
    </row>
    <row r="37" spans="1:4" x14ac:dyDescent="0.2">
      <c r="A37" s="3" t="s">
        <v>79</v>
      </c>
      <c r="B37" s="235"/>
    </row>
    <row r="38" spans="1:4" x14ac:dyDescent="0.2">
      <c r="A38" s="3" t="s">
        <v>80</v>
      </c>
      <c r="B38" s="235"/>
    </row>
    <row r="39" spans="1:4" x14ac:dyDescent="0.2">
      <c r="A39" s="3" t="s">
        <v>81</v>
      </c>
      <c r="B39" s="235"/>
    </row>
    <row r="40" spans="1:4" ht="24.75" customHeight="1" x14ac:dyDescent="0.2">
      <c r="A40" s="3" t="s">
        <v>82</v>
      </c>
      <c r="B40" s="235" t="s">
        <v>433</v>
      </c>
    </row>
    <row r="41" spans="1:4" ht="24.75" customHeight="1" x14ac:dyDescent="0.2">
      <c r="A41" s="3" t="s">
        <v>83</v>
      </c>
      <c r="B41" s="235" t="s">
        <v>417</v>
      </c>
    </row>
    <row r="42" spans="1:4" ht="24.75" customHeight="1" x14ac:dyDescent="0.2">
      <c r="A42" s="3" t="s">
        <v>82</v>
      </c>
      <c r="B42" s="235" t="s">
        <v>434</v>
      </c>
    </row>
    <row r="43" spans="1:4" ht="30" x14ac:dyDescent="0.2">
      <c r="A43" s="3" t="s">
        <v>83</v>
      </c>
      <c r="B43" s="49"/>
    </row>
    <row r="44" spans="1:4" ht="23.25" x14ac:dyDescent="0.2">
      <c r="A44" s="175" t="s">
        <v>84</v>
      </c>
      <c r="B44" s="174" t="s">
        <v>340</v>
      </c>
      <c r="C44" s="182" t="s">
        <v>340</v>
      </c>
      <c r="D44" s="182" t="s">
        <v>347</v>
      </c>
    </row>
    <row r="45" spans="1:4" hidden="1" x14ac:dyDescent="0.2">
      <c r="A45" s="3"/>
      <c r="B45" s="173" t="str">
        <f>IF(B44=D44,CONCATENATE("MA'LUMOTNOMA ",B47,B46),C44)</f>
        <v>Yakka tartibdagi tadbirkor</v>
      </c>
    </row>
    <row r="46" spans="1:4" ht="93" x14ac:dyDescent="0.2">
      <c r="A46" s="175" t="s">
        <v>348</v>
      </c>
      <c r="B46" s="193"/>
    </row>
    <row r="47" spans="1:4" ht="23.25" hidden="1" x14ac:dyDescent="0.2">
      <c r="A47" s="175"/>
      <c r="B47" s="173" t="str">
        <f>CONCATENATE(C47," ",B46)</f>
        <v xml:space="preserve">№ </v>
      </c>
      <c r="C47" s="182" t="s">
        <v>15</v>
      </c>
    </row>
    <row r="48" spans="1:4" ht="93" x14ac:dyDescent="0.2">
      <c r="A48" s="175" t="s">
        <v>349</v>
      </c>
      <c r="B48" s="173"/>
    </row>
    <row r="49" spans="1:4" hidden="1" x14ac:dyDescent="0.2">
      <c r="A49" s="3" t="s">
        <v>85</v>
      </c>
      <c r="B49" s="49" t="str">
        <f>IF(B44=C44,C44,B48)</f>
        <v>Yakka tartibdagi tadbirkor</v>
      </c>
    </row>
    <row r="50" spans="1:4" ht="45" x14ac:dyDescent="0.2">
      <c r="A50" s="3" t="s">
        <v>86</v>
      </c>
      <c r="B50" s="49"/>
    </row>
    <row r="51" spans="1:4" x14ac:dyDescent="0.2">
      <c r="A51" s="3" t="s">
        <v>73</v>
      </c>
      <c r="B51" s="49"/>
    </row>
    <row r="52" spans="1:4" x14ac:dyDescent="0.2">
      <c r="A52" s="3" t="s">
        <v>87</v>
      </c>
      <c r="B52" s="49"/>
    </row>
    <row r="53" spans="1:4" x14ac:dyDescent="0.2">
      <c r="A53" s="3" t="s">
        <v>88</v>
      </c>
      <c r="B53" s="49"/>
    </row>
    <row r="54" spans="1:4" x14ac:dyDescent="0.2">
      <c r="A54" s="3" t="s">
        <v>89</v>
      </c>
      <c r="B54" s="49"/>
    </row>
    <row r="55" spans="1:4" x14ac:dyDescent="0.2">
      <c r="A55" s="3" t="s">
        <v>90</v>
      </c>
      <c r="B55" s="2"/>
    </row>
    <row r="56" spans="1:4" x14ac:dyDescent="0.2">
      <c r="A56" s="3" t="s">
        <v>91</v>
      </c>
      <c r="B56" s="2" t="s">
        <v>22</v>
      </c>
    </row>
    <row r="57" spans="1:4" ht="30" customHeight="1" x14ac:dyDescent="0.2">
      <c r="A57" s="250" t="s">
        <v>96</v>
      </c>
      <c r="B57" s="251"/>
    </row>
    <row r="58" spans="1:4" ht="20.25" hidden="1" customHeight="1" x14ac:dyDescent="0.2">
      <c r="A58" s="3" t="s">
        <v>97</v>
      </c>
      <c r="B58" s="49" t="str">
        <f>IF(B44=C44,C44,CONCATENATE(B44," ",B47))</f>
        <v>Yakka tartibdagi tadbirkor</v>
      </c>
    </row>
    <row r="59" spans="1:4" ht="31.5" hidden="1" customHeight="1" x14ac:dyDescent="0.2">
      <c r="A59" s="3" t="s">
        <v>85</v>
      </c>
      <c r="B59" s="49" t="str">
        <f>B49</f>
        <v>Yakka tartibdagi tadbirkor</v>
      </c>
    </row>
    <row r="60" spans="1:4" ht="23.25" x14ac:dyDescent="0.2">
      <c r="A60" s="175" t="s">
        <v>98</v>
      </c>
      <c r="B60" s="178">
        <v>12000000</v>
      </c>
      <c r="C60" s="198">
        <f>C63/B76</f>
        <v>0.49050227675000002</v>
      </c>
    </row>
    <row r="61" spans="1:4" x14ac:dyDescent="0.2">
      <c r="A61" s="3" t="s">
        <v>99</v>
      </c>
      <c r="B61" s="6">
        <v>0</v>
      </c>
      <c r="C61" s="199" t="s">
        <v>378</v>
      </c>
    </row>
    <row r="62" spans="1:4" hidden="1" x14ac:dyDescent="0.2">
      <c r="A62" s="3" t="s">
        <v>100</v>
      </c>
      <c r="B62" s="49">
        <f>B53</f>
        <v>0</v>
      </c>
      <c r="C62" s="197"/>
    </row>
    <row r="63" spans="1:4" ht="30" x14ac:dyDescent="0.2">
      <c r="A63" s="3" t="s">
        <v>101</v>
      </c>
      <c r="B63" s="49"/>
      <c r="C63" s="196">
        <f>SUM(grafik!E9:E20)</f>
        <v>19620091.07</v>
      </c>
    </row>
    <row r="64" spans="1:4" x14ac:dyDescent="0.2">
      <c r="A64" s="249" t="s">
        <v>102</v>
      </c>
      <c r="B64" s="249"/>
      <c r="C64" s="182" t="str">
        <f>PROPER(B65)</f>
        <v>Mikroqarz</v>
      </c>
      <c r="D64" s="182" t="str">
        <f>UPPER(B65)</f>
        <v>MIKROQARZ</v>
      </c>
    </row>
    <row r="65" spans="1:14" x14ac:dyDescent="0.2">
      <c r="A65" s="3" t="s">
        <v>103</v>
      </c>
      <c r="B65" s="1" t="str">
        <f>IF(B76&gt;100000001,"mikrokredit",IF(B76&lt;100000001,"mikroqarz",0))</f>
        <v>mikroqarz</v>
      </c>
      <c r="C65" s="184">
        <f>DATE(YEAR(B67),MONTH(B67)+B82,DAY(B67))</f>
        <v>46839</v>
      </c>
    </row>
    <row r="66" spans="1:14" hidden="1" x14ac:dyDescent="0.2">
      <c r="A66" s="3" t="s">
        <v>104</v>
      </c>
      <c r="B66" s="49" t="str">
        <f>B1</f>
        <v>№680-NVS</v>
      </c>
      <c r="C66" s="182">
        <f>MONTH(C65)</f>
        <v>3</v>
      </c>
      <c r="D66" s="182" t="str">
        <f>IF(C66=C68,C70,IF(C66=D68,D70,IF(C66=E68,E70,IF(C66=F68,F70,IF(C66=G68,G70,IF(C66=H68,H70,IF(C66=I68,I70,IF(C66=J68,J70,IF(C66=K68,K70,IF(C66=L68,L70,IF(C66=M68,M70,IF(C66=N68,N70,))))))))))))</f>
        <v>mart</v>
      </c>
      <c r="E66" s="182">
        <f>DAY(C65)</f>
        <v>27</v>
      </c>
      <c r="F66" s="182">
        <f>YEAR(C65)</f>
        <v>2028</v>
      </c>
      <c r="G66" s="182">
        <f>MONTH(C65)</f>
        <v>3</v>
      </c>
      <c r="H66" s="182" t="str">
        <f>IF(C66=C68,C71,IF(C66=D68,D71,IF(C66=E68,E71,IF(C66=F68,F71,IF(C66=G68,G71,IF(C66=H68,H71,IF(C66=I68,I71,IF(C66=J68,J71,IF(C66=K68,K71,IF(C66=L68,L71,IF(C66=M68,M71,IF(C66=N68,N71,))))))))))))</f>
        <v>mart</v>
      </c>
      <c r="I66" s="182">
        <f>YEAR(C65)</f>
        <v>2028</v>
      </c>
    </row>
    <row r="67" spans="1:14" hidden="1" x14ac:dyDescent="0.2">
      <c r="A67" s="3" t="s">
        <v>105</v>
      </c>
      <c r="B67" s="90" t="str">
        <f>B2</f>
        <v>27.03.2025</v>
      </c>
      <c r="C67" s="182">
        <f>MONTH(B67)</f>
        <v>3</v>
      </c>
      <c r="D67" s="182" t="str">
        <f>IF(C67=C68,C70,IF(C67=D68,D70,IF(C67=E68,E70,IF(C67=F68,F70,IF(C67=G68,G70,IF(C67=H68,H70,IF(C67=I68,I70,IF(C67=J68,J70,IF(C67=K68,K70,IF(C67=L68,L70,IF(C67=M68,M70,IF(C67=N68,N70,))))))))))))</f>
        <v>mart</v>
      </c>
      <c r="E67" s="182">
        <f>DAY(B67)</f>
        <v>27</v>
      </c>
      <c r="F67" s="182">
        <f>YEAR(B67)</f>
        <v>2025</v>
      </c>
      <c r="G67" s="182">
        <f>MONTH(B67)</f>
        <v>3</v>
      </c>
      <c r="H67" s="182" t="str">
        <f>IF(C67=C68,C71,IF(C67=D68,D71,IF(C67=E68,E71,IF(C67=F68,F71,IF(C67=G68,G71,IF(C67=H68,H71,IF(C67=I68,I71,IF(C67=J68,J71,IF(C67=K68,K71,IF(C67=L68,L71,IF(C67=M68,M71,IF(C67=N68,N71,))))))))))))</f>
        <v>mart</v>
      </c>
      <c r="I67" s="182">
        <f>YEAR(B67)</f>
        <v>2025</v>
      </c>
    </row>
    <row r="68" spans="1:14" hidden="1" x14ac:dyDescent="0.2">
      <c r="A68" s="3" t="s">
        <v>106</v>
      </c>
      <c r="B68" s="80" t="str">
        <f>""&amp;E67&amp;" "&amp;D67&amp;" "&amp;F67&amp;" y."</f>
        <v>27 mart 2025 y.</v>
      </c>
      <c r="C68" s="182">
        <v>1</v>
      </c>
      <c r="D68" s="182">
        <v>2</v>
      </c>
      <c r="E68" s="182">
        <v>3</v>
      </c>
      <c r="F68" s="182">
        <v>4</v>
      </c>
      <c r="G68" s="182">
        <v>5</v>
      </c>
      <c r="H68" s="182">
        <v>6</v>
      </c>
      <c r="I68" s="182">
        <v>7</v>
      </c>
      <c r="J68" s="182">
        <v>8</v>
      </c>
      <c r="K68" s="182">
        <v>9</v>
      </c>
      <c r="L68" s="182">
        <v>10</v>
      </c>
      <c r="M68" s="182">
        <v>11</v>
      </c>
      <c r="N68" s="182">
        <v>12</v>
      </c>
    </row>
    <row r="69" spans="1:14" hidden="1" x14ac:dyDescent="0.2">
      <c r="A69" s="3"/>
      <c r="B69" s="80" t="str">
        <f>""&amp;E67&amp;" "&amp;H67&amp;" "&amp;F67&amp;" y."</f>
        <v>27 mart 2025 y.</v>
      </c>
    </row>
    <row r="70" spans="1:14" hidden="1" x14ac:dyDescent="0.2">
      <c r="A70" s="3"/>
      <c r="B70" s="61" t="str">
        <f>B68</f>
        <v>27 mart 2025 y.</v>
      </c>
      <c r="C70" s="182" t="s">
        <v>118</v>
      </c>
      <c r="D70" s="182" t="s">
        <v>119</v>
      </c>
      <c r="E70" s="182" t="s">
        <v>108</v>
      </c>
      <c r="F70" s="182" t="s">
        <v>109</v>
      </c>
      <c r="G70" s="182" t="s">
        <v>110</v>
      </c>
      <c r="H70" s="182" t="s">
        <v>111</v>
      </c>
      <c r="I70" s="182" t="s">
        <v>112</v>
      </c>
      <c r="J70" s="182" t="s">
        <v>113</v>
      </c>
      <c r="K70" s="182" t="s">
        <v>114</v>
      </c>
      <c r="L70" s="182" t="s">
        <v>115</v>
      </c>
      <c r="M70" s="182" t="s">
        <v>116</v>
      </c>
      <c r="N70" s="182" t="s">
        <v>117</v>
      </c>
    </row>
    <row r="71" spans="1:14" hidden="1" x14ac:dyDescent="0.2">
      <c r="A71" s="3"/>
      <c r="B71" s="61" t="str">
        <f>B69</f>
        <v>27 mart 2025 y.</v>
      </c>
      <c r="C71" s="182" t="s">
        <v>118</v>
      </c>
      <c r="D71" s="182" t="s">
        <v>119</v>
      </c>
      <c r="E71" s="182" t="s">
        <v>108</v>
      </c>
      <c r="F71" s="182" t="s">
        <v>109</v>
      </c>
      <c r="G71" s="182" t="s">
        <v>110</v>
      </c>
      <c r="H71" s="182" t="s">
        <v>111</v>
      </c>
      <c r="I71" s="182" t="s">
        <v>112</v>
      </c>
      <c r="J71" s="182" t="s">
        <v>113</v>
      </c>
      <c r="K71" s="182" t="s">
        <v>114</v>
      </c>
      <c r="L71" s="182" t="s">
        <v>115</v>
      </c>
      <c r="M71" s="182" t="s">
        <v>116</v>
      </c>
      <c r="N71" s="182" t="s">
        <v>117</v>
      </c>
    </row>
    <row r="72" spans="1:14" hidden="1" x14ac:dyDescent="0.2">
      <c r="A72" s="3" t="s">
        <v>107</v>
      </c>
      <c r="B72" s="60" t="str">
        <f>""&amp;E66&amp;" "&amp;D66&amp;" "&amp;F66&amp;" y."</f>
        <v>27 mart 2028 y.</v>
      </c>
    </row>
    <row r="73" spans="1:14" hidden="1" x14ac:dyDescent="0.2">
      <c r="A73" s="3"/>
      <c r="B73" s="60" t="str">
        <f>""&amp;E66&amp;" "&amp;H66&amp;" "&amp;F66&amp;" y."</f>
        <v>27 mart 2028 y.</v>
      </c>
    </row>
    <row r="74" spans="1:14" ht="15.75" hidden="1" thickBot="1" x14ac:dyDescent="0.25">
      <c r="A74" s="3" t="s">
        <v>120</v>
      </c>
      <c r="B74" s="1" t="str">
        <f>""&amp;B68&amp;"dan "&amp;B66&amp;""</f>
        <v>27 mart 2025 y.dan №680-NVS</v>
      </c>
    </row>
    <row r="75" spans="1:14" x14ac:dyDescent="0.2">
      <c r="A75" s="3" t="str">
        <f>CONCATENATE(B65," miqdori (summasi)")</f>
        <v>mikroqarz miqdori (summasi)</v>
      </c>
      <c r="B75" s="69">
        <v>30000000</v>
      </c>
    </row>
    <row r="76" spans="1:14" hidden="1" x14ac:dyDescent="0.2">
      <c r="A76" s="3" t="str">
        <f>CONCATENATE(B65," miqdori (summasi)")</f>
        <v>mikroqarz miqdori (summasi)</v>
      </c>
      <c r="B76" s="69">
        <f>B75+B154</f>
        <v>40000000</v>
      </c>
      <c r="C76" s="185" t="s">
        <v>126</v>
      </c>
    </row>
    <row r="77" spans="1:14" x14ac:dyDescent="0.2">
      <c r="A77" s="155" t="s">
        <v>121</v>
      </c>
      <c r="B77" s="5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so'm</v>
      </c>
      <c r="C77" s="18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Qirq million so'm</v>
      </c>
    </row>
    <row r="78" spans="1:14" x14ac:dyDescent="0.2">
      <c r="A78" s="3" t="s">
        <v>122</v>
      </c>
      <c r="B78" s="49" t="s">
        <v>128</v>
      </c>
      <c r="C78" s="182" t="s">
        <v>128</v>
      </c>
      <c r="D78" s="182" t="s">
        <v>127</v>
      </c>
    </row>
    <row r="79" spans="1:14" x14ac:dyDescent="0.2">
      <c r="A79" s="3" t="str">
        <f>CONCATENATE(B65,"ni to'lash sanasi (14.10.2011)")</f>
        <v>mikroqarzni to'lash sanasi (14.10.2011)</v>
      </c>
      <c r="B79" s="49">
        <v>15</v>
      </c>
      <c r="C79" s="184">
        <f>DATE(YEAR(B67),MONTH(B67)+1,DAY(B79))</f>
        <v>45762</v>
      </c>
      <c r="D79" s="182" t="s">
        <v>29</v>
      </c>
      <c r="E79" s="182" t="s">
        <v>30</v>
      </c>
      <c r="F79" s="182" t="s">
        <v>31</v>
      </c>
      <c r="G79" s="182" t="s">
        <v>32</v>
      </c>
      <c r="H79" s="182" t="s">
        <v>33</v>
      </c>
      <c r="I79" s="182" t="s">
        <v>34</v>
      </c>
      <c r="J79" s="182" t="s">
        <v>35</v>
      </c>
    </row>
    <row r="80" spans="1:14" ht="30" hidden="1" x14ac:dyDescent="0.25">
      <c r="A80" s="3" t="str">
        <f>CONCATENATE(B65,"ni to'lash sanasi (14.10.2011 y.) QO’L BILAN KIRITILADI")</f>
        <v>mikroqarzni to'lash sanasi (14.10.2011 y.) QO’L BILAN KIRITILADI</v>
      </c>
      <c r="B80" s="81">
        <f>DATE(YEAR(B67),MONTH(B67)+1,DAY(B79+C81))</f>
        <v>45762</v>
      </c>
      <c r="C80" s="186" t="str">
        <f>TEXT(C79,"ддд")</f>
        <v>Вт</v>
      </c>
      <c r="D80" s="182" t="s">
        <v>29</v>
      </c>
      <c r="E80" s="182" t="s">
        <v>30</v>
      </c>
      <c r="F80" s="182" t="s">
        <v>31</v>
      </c>
      <c r="G80" s="182" t="s">
        <v>32</v>
      </c>
      <c r="H80" s="182" t="s">
        <v>33</v>
      </c>
      <c r="I80" s="182" t="s">
        <v>34</v>
      </c>
      <c r="J80" s="182" t="s">
        <v>35</v>
      </c>
    </row>
    <row r="81" spans="1:63" ht="30" hidden="1" x14ac:dyDescent="0.2">
      <c r="A81" s="3" t="s">
        <v>123</v>
      </c>
      <c r="B81" s="82">
        <f>B80</f>
        <v>45762</v>
      </c>
      <c r="C81" s="182">
        <f>IF(C80=I80,2,IF(C80=J80,1,0))</f>
        <v>0</v>
      </c>
    </row>
    <row r="82" spans="1:63" x14ac:dyDescent="0.2">
      <c r="A82" s="3" t="str">
        <f>CONCATENATE(B65," muddati")</f>
        <v>mikroqarz muddati</v>
      </c>
      <c r="B82" s="49">
        <v>36</v>
      </c>
      <c r="C82" s="182">
        <v>6</v>
      </c>
      <c r="D82" s="182">
        <v>12</v>
      </c>
      <c r="E82" s="182">
        <v>18</v>
      </c>
      <c r="F82" s="182">
        <v>24</v>
      </c>
      <c r="G82" s="182">
        <v>36</v>
      </c>
    </row>
    <row r="83" spans="1:63" ht="30" x14ac:dyDescent="0.2">
      <c r="A83" s="3" t="str">
        <f>CONCATENATE(B65," muddati QO’L BILAN KIRITILADI")</f>
        <v>mikroqarz muddati QO’L BILAN KIRITILADI</v>
      </c>
      <c r="B83" s="151" t="s">
        <v>406</v>
      </c>
    </row>
    <row r="84" spans="1:63" ht="30" x14ac:dyDescent="0.2">
      <c r="A84" s="172" t="s">
        <v>344</v>
      </c>
      <c r="B84" s="151">
        <v>0</v>
      </c>
      <c r="BJ84" s="182">
        <v>1</v>
      </c>
      <c r="BK84" s="182">
        <v>0</v>
      </c>
    </row>
    <row r="85" spans="1:63" x14ac:dyDescent="0.2">
      <c r="A85" s="3" t="str">
        <f>CONCATENATE(B65," stavkasi")</f>
        <v>mikroqarz stavkasi</v>
      </c>
      <c r="B85" s="84">
        <v>0.6</v>
      </c>
    </row>
    <row r="86" spans="1:63" x14ac:dyDescent="0.2">
      <c r="A86" s="3" t="str">
        <f>CONCATENATE(B65," stavkasi")</f>
        <v>mikroqarz stavkasi</v>
      </c>
      <c r="B86" s="85" t="s">
        <v>379</v>
      </c>
    </row>
    <row r="87" spans="1:63" x14ac:dyDescent="0.2">
      <c r="A87" s="3" t="str">
        <f>CONCATENATE(B65," stavkasi (so’z bilan)")</f>
        <v>mikroqarz stavkasi (so’z bilan)</v>
      </c>
      <c r="B87" s="83" t="s">
        <v>380</v>
      </c>
      <c r="C87" s="182" t="s">
        <v>380</v>
      </c>
    </row>
    <row r="88" spans="1:63" x14ac:dyDescent="0.2">
      <c r="A88" s="3" t="str">
        <f>CONCATENATE("Muddati o'tgan ",B65," bo’yicha stavka")</f>
        <v>Muddati o'tgan mikroqarz bo’yicha stavka</v>
      </c>
      <c r="B88" s="84">
        <v>1</v>
      </c>
    </row>
    <row r="89" spans="1:63" x14ac:dyDescent="0.2">
      <c r="A89" s="155" t="s">
        <v>121</v>
      </c>
      <c r="B89" s="85" t="s">
        <v>382</v>
      </c>
    </row>
    <row r="90" spans="1:63" x14ac:dyDescent="0.2">
      <c r="A90" s="3" t="str">
        <f>CONCATENATE("Muddati o'tgan ",B65," bo’yicha stavka")</f>
        <v>Muddati o'tgan mikroqarz bo’yicha stavka</v>
      </c>
      <c r="B90" s="83" t="s">
        <v>381</v>
      </c>
      <c r="C90" s="182" t="s">
        <v>381</v>
      </c>
    </row>
    <row r="91" spans="1:63" x14ac:dyDescent="0.2">
      <c r="A91" s="3" t="s">
        <v>124</v>
      </c>
      <c r="B91" s="86">
        <f>IF(B78=C78,LARGE(grafik!F9:F26,1),ROUND(PMT(B85/12,B82,-B76,0),-3))</f>
        <v>3098325.83</v>
      </c>
    </row>
    <row r="92" spans="1:63" x14ac:dyDescent="0.2">
      <c r="A92" s="250" t="s">
        <v>392</v>
      </c>
      <c r="B92" s="251"/>
    </row>
    <row r="93" spans="1:63" x14ac:dyDescent="0.2">
      <c r="A93" s="216" t="s">
        <v>393</v>
      </c>
      <c r="B93" s="194" t="s">
        <v>426</v>
      </c>
    </row>
    <row r="94" spans="1:63" x14ac:dyDescent="0.2">
      <c r="A94" s="216" t="s">
        <v>394</v>
      </c>
      <c r="B94" s="59" t="s">
        <v>427</v>
      </c>
    </row>
    <row r="95" spans="1:63" x14ac:dyDescent="0.2">
      <c r="A95" s="216" t="s">
        <v>395</v>
      </c>
      <c r="B95" s="90" t="s">
        <v>428</v>
      </c>
    </row>
    <row r="96" spans="1:63" x14ac:dyDescent="0.2">
      <c r="A96" s="216" t="s">
        <v>396</v>
      </c>
      <c r="B96" s="90" t="s">
        <v>429</v>
      </c>
    </row>
    <row r="97" spans="1:4" x14ac:dyDescent="0.2">
      <c r="A97" s="216" t="s">
        <v>397</v>
      </c>
      <c r="B97" s="90" t="s">
        <v>425</v>
      </c>
    </row>
    <row r="98" spans="1:4" x14ac:dyDescent="0.2">
      <c r="A98" s="249" t="s">
        <v>125</v>
      </c>
      <c r="B98" s="249"/>
    </row>
    <row r="99" spans="1:4" ht="18" x14ac:dyDescent="0.2">
      <c r="A99" s="89"/>
      <c r="B99" s="144" t="s">
        <v>130</v>
      </c>
      <c r="C99" s="187" t="s">
        <v>130</v>
      </c>
      <c r="D99" s="182" t="s">
        <v>131</v>
      </c>
    </row>
    <row r="100" spans="1:4" ht="18" x14ac:dyDescent="0.2">
      <c r="A100" s="8" t="s">
        <v>136</v>
      </c>
      <c r="B100" s="144" t="s">
        <v>132</v>
      </c>
      <c r="C100" s="188" t="s">
        <v>132</v>
      </c>
      <c r="D100" s="182" t="s">
        <v>133</v>
      </c>
    </row>
    <row r="101" spans="1:4" ht="54" x14ac:dyDescent="0.2">
      <c r="A101" s="8" t="s">
        <v>137</v>
      </c>
      <c r="B101" s="144" t="s">
        <v>134</v>
      </c>
      <c r="C101" s="182" t="s">
        <v>134</v>
      </c>
      <c r="D101" s="182" t="s">
        <v>135</v>
      </c>
    </row>
    <row r="102" spans="1:4" ht="36" x14ac:dyDescent="0.2">
      <c r="A102" s="8" t="s">
        <v>138</v>
      </c>
      <c r="B102" s="144"/>
    </row>
    <row r="103" spans="1:4" ht="54" x14ac:dyDescent="0.2">
      <c r="A103" s="8" t="s">
        <v>139</v>
      </c>
      <c r="B103" s="144"/>
    </row>
    <row r="104" spans="1:4" x14ac:dyDescent="0.2">
      <c r="A104" s="249" t="s">
        <v>140</v>
      </c>
      <c r="B104" s="249"/>
    </row>
    <row r="105" spans="1:4" ht="36" x14ac:dyDescent="0.2">
      <c r="A105" s="8" t="s">
        <v>141</v>
      </c>
      <c r="B105" s="144"/>
    </row>
    <row r="106" spans="1:4" ht="54" x14ac:dyDescent="0.2">
      <c r="A106" s="8" t="s">
        <v>142</v>
      </c>
      <c r="B106" s="144"/>
    </row>
    <row r="107" spans="1:4" ht="18" x14ac:dyDescent="0.2">
      <c r="A107" s="8" t="s">
        <v>143</v>
      </c>
      <c r="B107" s="152"/>
    </row>
    <row r="108" spans="1:4" ht="18" x14ac:dyDescent="0.2">
      <c r="A108" s="8" t="s">
        <v>144</v>
      </c>
      <c r="B108" s="150"/>
    </row>
    <row r="109" spans="1:4" ht="18" hidden="1" x14ac:dyDescent="0.2">
      <c r="A109" s="8"/>
      <c r="B109" s="144" t="str">
        <f>TEXT(B108,"ДД.ММ.ГГГГ")</f>
        <v>00.01.1900</v>
      </c>
    </row>
    <row r="110" spans="1:4" ht="18" x14ac:dyDescent="0.2">
      <c r="A110" s="8"/>
      <c r="B110" s="9" t="s">
        <v>145</v>
      </c>
      <c r="C110" s="182" t="s">
        <v>145</v>
      </c>
      <c r="D110" s="182" t="s">
        <v>146</v>
      </c>
    </row>
    <row r="111" spans="1:4" ht="90" x14ac:dyDescent="0.2">
      <c r="A111" s="177" t="s">
        <v>346</v>
      </c>
      <c r="B111" s="176" t="s">
        <v>345</v>
      </c>
      <c r="C111" s="9" t="s">
        <v>146</v>
      </c>
    </row>
    <row r="112" spans="1:4" ht="30" x14ac:dyDescent="0.2">
      <c r="A112" s="171" t="s">
        <v>367</v>
      </c>
      <c r="B112" s="9"/>
      <c r="C112" s="9"/>
    </row>
    <row r="113" spans="1:4" ht="30" x14ac:dyDescent="0.2">
      <c r="A113" s="171" t="s">
        <v>368</v>
      </c>
      <c r="B113" s="9"/>
      <c r="C113" s="9"/>
    </row>
    <row r="114" spans="1:4" ht="60" x14ac:dyDescent="0.2">
      <c r="A114" s="171" t="str">
        <f>A120</f>
        <v>Tug’ilgan sanasi (01.10.2011 y.)</v>
      </c>
      <c r="B114" s="195"/>
      <c r="C114" s="9"/>
    </row>
    <row r="115" spans="1:4" ht="60" x14ac:dyDescent="0.2">
      <c r="A115" s="171" t="str">
        <f>A121</f>
        <v>Pasport seriyasi (СА №1234567)</v>
      </c>
      <c r="B115" s="9"/>
      <c r="C115" s="9"/>
    </row>
    <row r="116" spans="1:4" ht="108.75" customHeight="1" x14ac:dyDescent="0.2">
      <c r="A116" s="171" t="str">
        <f>A122</f>
        <v xml:space="preserve">Kim va qachon berilgan
(Toshkent shahri Chilonzor IIB tomonidan 2011 yil __.____)
</v>
      </c>
      <c r="B116" s="9"/>
      <c r="C116" s="9"/>
    </row>
    <row r="117" spans="1:4" ht="150.75" customHeight="1" x14ac:dyDescent="0.2">
      <c r="A117" s="171" t="str">
        <f>A123</f>
        <v xml:space="preserve">doimiy ro’yhatdan o’tgan joyi
(Toshkent sh., Mirobod tumani, Nukus ko’chasi, 1 uy, 1 honadon)
</v>
      </c>
      <c r="B117" s="9"/>
      <c r="C117" s="9"/>
    </row>
    <row r="118" spans="1:4" hidden="1" x14ac:dyDescent="0.2">
      <c r="A118" s="142" t="s">
        <v>158</v>
      </c>
      <c r="B118" s="134" t="str">
        <f>IF(B100="HA",B5,B112)</f>
        <v>UMAROV YO'LDOSHBOY AVALBEKOVICH</v>
      </c>
      <c r="C118" s="157" t="str">
        <f>IF(B100="HA",B5,C112)</f>
        <v>UMAROV YO'LDOSHBOY AVALBEKOVICH</v>
      </c>
    </row>
    <row r="119" spans="1:4" hidden="1" x14ac:dyDescent="0.2">
      <c r="A119" s="142"/>
      <c r="B119" s="134" t="str">
        <f>IF(B100="HA",B7,B113)</f>
        <v>UMAROV Y.A.</v>
      </c>
      <c r="C119" s="157" t="str">
        <f>IF(B100="HA",B7,C113)</f>
        <v>UMAROV Y.A.</v>
      </c>
    </row>
    <row r="120" spans="1:4" hidden="1" x14ac:dyDescent="0.2">
      <c r="A120" s="143" t="s">
        <v>159</v>
      </c>
      <c r="B120" s="170" t="str">
        <f>IF(B100="HA",B15,B114)</f>
        <v>03.05.1967y</v>
      </c>
      <c r="C120" s="157" t="str">
        <f>IF(B100="HA",B15,C114)</f>
        <v>03.05.1967y</v>
      </c>
    </row>
    <row r="121" spans="1:4" hidden="1" x14ac:dyDescent="0.2">
      <c r="A121" s="143" t="s">
        <v>64</v>
      </c>
      <c r="B121" s="170" t="str">
        <f>IF(B100="HA",B16,B115)</f>
        <v>AB2646428</v>
      </c>
      <c r="C121" s="157" t="str">
        <f>IF(B100="HA",B16,C115)</f>
        <v>AB2646428</v>
      </c>
    </row>
    <row r="122" spans="1:4" ht="30" hidden="1" customHeight="1" x14ac:dyDescent="0.2">
      <c r="A122" s="143" t="s">
        <v>67</v>
      </c>
      <c r="B122" s="134" t="str">
        <f>IF(B100="HA",B20,B116)</f>
        <v>NAVOIY VILOYATI NUROTA TUMANI IIB tomonidan 15.01.2016 yilda berilgan</v>
      </c>
      <c r="C122" s="157" t="str">
        <f>IF(B100="HA",B20,C116)</f>
        <v>NAVOIY VILOYATI NUROTA TUMANI IIB tomonidan 15.01.2016 yilda berilgan</v>
      </c>
      <c r="D122" s="182">
        <v>493193762</v>
      </c>
    </row>
    <row r="123" spans="1:4" ht="53.25" hidden="1" customHeight="1" x14ac:dyDescent="0.2">
      <c r="A123" s="143" t="s">
        <v>69</v>
      </c>
      <c r="B123" s="134" t="str">
        <f>IF(B100="HA",B22,B117)</f>
        <v>NAVOIY VILOYATI NUROTA TUMANI TEMIRKOVUK MFY YOSHLIK KO'CHASI 67-UY</v>
      </c>
      <c r="C123" s="134" t="str">
        <f>IF(B100="HA",B22,C117)</f>
        <v>NAVOIY VILOYATI NUROTA TUMANI TEMIRKOVUK MFY YOSHLIK KO'CHASI 67-UY</v>
      </c>
    </row>
    <row r="124" spans="1:4" hidden="1" x14ac:dyDescent="0.2">
      <c r="A124" s="143" t="s">
        <v>160</v>
      </c>
      <c r="B124" s="1" t="str">
        <f>IF(B100="ha",B5,B118)</f>
        <v>UMAROV YO'LDOSHBOY AVALBEKOVICH</v>
      </c>
      <c r="C124" s="87" t="str">
        <f>IF(B100="ha",B5,C118)</f>
        <v>UMAROV YO'LDOSHBOY AVALBEKOVICH</v>
      </c>
    </row>
    <row r="125" spans="1:4" hidden="1" x14ac:dyDescent="0.2">
      <c r="A125" s="143"/>
      <c r="B125" s="1" t="str">
        <f>IF(B100="ha",B7,B119)</f>
        <v>UMAROV Y.A.</v>
      </c>
      <c r="C125" s="87" t="str">
        <f>IF(B100="ha",B7,C119)</f>
        <v>UMAROV Y.A.</v>
      </c>
    </row>
    <row r="126" spans="1:4" hidden="1" x14ac:dyDescent="0.2">
      <c r="A126" s="3" t="s">
        <v>159</v>
      </c>
      <c r="B126" s="1" t="str">
        <f>IF(B100="ha",B15,B120)</f>
        <v>03.05.1967y</v>
      </c>
      <c r="C126" s="87" t="str">
        <f>IF(B100="ha",B15,C120)</f>
        <v>03.05.1967y</v>
      </c>
    </row>
    <row r="127" spans="1:4" hidden="1" x14ac:dyDescent="0.2">
      <c r="A127" s="3" t="s">
        <v>64</v>
      </c>
      <c r="B127" s="1" t="str">
        <f>IF(B100="ha",B16,B121)</f>
        <v>AB2646428</v>
      </c>
      <c r="C127" s="87" t="str">
        <f>IF(B100="ha",B16,C121)</f>
        <v>AB2646428</v>
      </c>
    </row>
    <row r="128" spans="1:4" ht="60" hidden="1" x14ac:dyDescent="0.2">
      <c r="A128" s="3" t="s">
        <v>67</v>
      </c>
      <c r="B128" s="1" t="str">
        <f>IF(B100="ha",B20,B122)</f>
        <v>NAVOIY VILOYATI NUROTA TUMANI IIB tomonidan 15.01.2016 yilda berilgan</v>
      </c>
      <c r="C128" s="87" t="str">
        <f>IF(B100="ha",B20,C122)</f>
        <v>NAVOIY VILOYATI NUROTA TUMANI IIB tomonidan 15.01.2016 yilda berilgan</v>
      </c>
    </row>
    <row r="129" spans="1:18" ht="71.25" hidden="1" x14ac:dyDescent="0.2">
      <c r="A129" s="3" t="s">
        <v>69</v>
      </c>
      <c r="B129" s="168" t="str">
        <f>IF(B100="ha",B22,B123)</f>
        <v>NAVOIY VILOYATI NUROTA TUMANI TEMIRKOVUK MFY YOSHLIK KO'CHASI 67-UY</v>
      </c>
      <c r="C129" s="88" t="str">
        <f>IF(B100="ha",B22,C123)</f>
        <v>NAVOIY VILOYATI NUROTA TUMANI TEMIRKOVUK MFY YOSHLIK KO'CHASI 67-UY</v>
      </c>
    </row>
    <row r="130" spans="1:18" ht="98.25" customHeight="1" x14ac:dyDescent="0.2">
      <c r="A130" s="3" t="s">
        <v>161</v>
      </c>
      <c r="B130" s="235" t="s">
        <v>418</v>
      </c>
      <c r="C130" s="1"/>
      <c r="N130" s="182" t="str">
        <f>IF(B110=C110,B124,IF(B110=D110,C124,0))</f>
        <v>UMAROV YO'LDOSHBOY AVALBEKOVICH</v>
      </c>
    </row>
    <row r="131" spans="1:18" ht="60" x14ac:dyDescent="0.2">
      <c r="A131" s="3" t="s">
        <v>162</v>
      </c>
      <c r="B131" s="235" t="s">
        <v>438</v>
      </c>
      <c r="C131" s="51"/>
      <c r="D131" s="52" t="s">
        <v>151</v>
      </c>
      <c r="Q131" s="182" t="str">
        <f>""&amp;B102&amp;" (по генеральному доверенестью №"&amp;B107&amp;" от "&amp;B109&amp;")"</f>
        <v xml:space="preserve"> (по генеральному доверенестью № от 00.01.1900)</v>
      </c>
      <c r="R131" s="182" t="str">
        <f>""&amp;B102&amp;" ("&amp;B109&amp;"y. sanasidagi reestr raqami №"&amp;B107&amp;" bo'lgan Ishonchnomaga asosan)"</f>
        <v xml:space="preserve"> (00.01.1900y. sanasidagi reestr raqami № bo'lgan Ishonchnomaga asosan)</v>
      </c>
    </row>
    <row r="132" spans="1:18" x14ac:dyDescent="0.2">
      <c r="A132" s="3" t="s">
        <v>27</v>
      </c>
      <c r="B132" s="235" t="s">
        <v>419</v>
      </c>
      <c r="C132" s="88" t="str">
        <f>""&amp;D133&amp;" "&amp;IF(C136=D136,"- xonali yakka tartibdagi uy-joy", IF(C136=E136,"-  xonali ko'p qavatli uydagi xonadon",0))&amp;""</f>
        <v xml:space="preserve"> 0</v>
      </c>
      <c r="D132" s="77" t="s">
        <v>149</v>
      </c>
      <c r="E132" s="182">
        <f>IF($C$136=$D$136,I132,IF($C$136=$E$136,H132,0))</f>
        <v>0</v>
      </c>
      <c r="F132" s="182">
        <f>IF($C$136=$D$136,I132,IF($C$136=$E$136,H132,0))</f>
        <v>0</v>
      </c>
      <c r="H132" s="182" t="str">
        <f>"Ko'p qavatli uydagi "&amp;D133&amp;" - xonali xonadon"</f>
        <v>Ko'p qavatli uydagi  - xonali xonadon</v>
      </c>
      <c r="I132" s="182" t="str">
        <f>""&amp;D133&amp;" - xonali yakka tartibdagi uy-joy"</f>
        <v xml:space="preserve"> - xonali yakka tartibdagi uy-joy</v>
      </c>
      <c r="N132" s="182" t="str">
        <f>IF(B100=C100,Q133,IF(B100=D100,Q132,0))</f>
        <v>Микрофинансовой организацией и Заемщиком</v>
      </c>
      <c r="Q132" s="182" t="str">
        <f>"Микрофинансовой организацией, Заемщиком и "&amp;IF(B101=D101,Q131,IF(B101=C101,B118,0))&amp;""</f>
        <v>Микрофинансовой организацией, Заемщиком и UMAROV YO'LDOSHBOY AVALBEKOVICH</v>
      </c>
      <c r="R132" s="182" t="str">
        <f>"Mikromoliya tashkiloti, Qarz oluvchi va "&amp;IF(B101=D101,R131,IF(B101=C101,B118))&amp;""</f>
        <v>Mikromoliya tashkiloti, Qarz oluvchi va UMAROV YO'LDOSHBOY AVALBEKOVICH</v>
      </c>
    </row>
    <row r="133" spans="1:18" ht="30" x14ac:dyDescent="0.2">
      <c r="A133" s="3" t="s">
        <v>163</v>
      </c>
      <c r="B133" s="235" t="s">
        <v>420</v>
      </c>
      <c r="C133" s="88" t="str">
        <f>C132</f>
        <v xml:space="preserve"> 0</v>
      </c>
      <c r="D133" s="76"/>
      <c r="E133" s="182">
        <f>IF($C$136=$D$136,I133,IF($C$136=$E$136,H133,0))</f>
        <v>0</v>
      </c>
      <c r="F133" s="182">
        <f>IF($C$136=$D$136,I133,IF($C$136=$E$136,H133,0))</f>
        <v>0</v>
      </c>
      <c r="H133" s="182" t="str">
        <f>"umumiy maydoni - "&amp;C137&amp;", yashash maydoni - "&amp;C140&amp;""</f>
        <v xml:space="preserve">umumiy maydoni - , yashash maydoni - </v>
      </c>
      <c r="I133" s="182" t="str">
        <f>"yer uchastkasi maydoni - "&amp;C138&amp;", umumiy maydoni - "&amp;C137&amp;", yashash maydoni - "&amp;C140&amp;""</f>
        <v xml:space="preserve">yer uchastkasi maydoni - , umumiy maydoni - , yashash maydoni - </v>
      </c>
      <c r="N133" s="182" t="str">
        <f>IF(B100=C100,R133,IF(B100=D100,R132,0))</f>
        <v>Mikromoliya tashkiloti va Qarz oluvchi</v>
      </c>
      <c r="Q133" s="182" t="s">
        <v>51</v>
      </c>
      <c r="R133" s="182" t="s">
        <v>150</v>
      </c>
    </row>
    <row r="134" spans="1:18" ht="27" customHeight="1" x14ac:dyDescent="0.2">
      <c r="A134" s="3" t="s">
        <v>164</v>
      </c>
      <c r="B134" s="75" t="str">
        <f>"kuzov turi - "&amp;B135&amp;", kuzov raqami "&amp;B136&amp;""</f>
        <v>kuzov turi - YENGIL SEDAN, kuzov raqami XWB5M31BDAA036806</v>
      </c>
      <c r="C134" s="51"/>
      <c r="D134" s="52" t="s">
        <v>375</v>
      </c>
    </row>
    <row r="135" spans="1:18" x14ac:dyDescent="0.2">
      <c r="A135" s="70" t="s">
        <v>165</v>
      </c>
      <c r="B135" s="235" t="s">
        <v>383</v>
      </c>
      <c r="C135" s="136"/>
    </row>
    <row r="136" spans="1:18" x14ac:dyDescent="0.2">
      <c r="A136" s="70" t="s">
        <v>166</v>
      </c>
      <c r="B136" s="235" t="s">
        <v>421</v>
      </c>
      <c r="C136" s="50"/>
      <c r="D136" s="182" t="s">
        <v>152</v>
      </c>
      <c r="E136" s="182" t="s">
        <v>153</v>
      </c>
    </row>
    <row r="137" spans="1:18" ht="27" customHeight="1" x14ac:dyDescent="0.25">
      <c r="A137" s="3" t="s">
        <v>167</v>
      </c>
      <c r="B137" s="75" t="str">
        <f>"dvigatel raqami "&amp;B138&amp;", shassi raqami - "&amp;B139&amp;""</f>
        <v>dvigatel raqami F18D31900191, shassi raqami - Rakamsiz</v>
      </c>
      <c r="C137" s="50"/>
      <c r="D137" s="181" t="s">
        <v>154</v>
      </c>
      <c r="E137" s="182" t="str">
        <f>CONCATENATE(C137," ","kv.m")</f>
        <v xml:space="preserve"> kv.m</v>
      </c>
      <c r="F137" s="191">
        <f>C137-C140</f>
        <v>0</v>
      </c>
    </row>
    <row r="138" spans="1:18" x14ac:dyDescent="0.25">
      <c r="A138" s="70" t="s">
        <v>168</v>
      </c>
      <c r="B138" s="240" t="s">
        <v>422</v>
      </c>
      <c r="C138" s="50"/>
      <c r="D138" s="181" t="s">
        <v>155</v>
      </c>
    </row>
    <row r="139" spans="1:18" x14ac:dyDescent="0.2">
      <c r="A139" s="70" t="s">
        <v>169</v>
      </c>
      <c r="B139" s="49" t="s">
        <v>439</v>
      </c>
      <c r="C139" s="50"/>
    </row>
    <row r="140" spans="1:18" ht="25.5" customHeight="1" x14ac:dyDescent="0.25">
      <c r="A140" s="3" t="s">
        <v>170</v>
      </c>
      <c r="B140" s="75" t="str">
        <f>"rangi -  "&amp;B141&amp;", ishlab chiqarilgan yili - "&amp;B142&amp;""</f>
        <v>rangi -  OQ BELIY, ishlab chiqarilgan yili - 2010</v>
      </c>
      <c r="C140" s="179"/>
      <c r="D140" s="181" t="s">
        <v>251</v>
      </c>
      <c r="E140" s="182" t="str">
        <f>CONCATENATE(C140," ","kv.m")</f>
        <v xml:space="preserve"> kv.m</v>
      </c>
    </row>
    <row r="141" spans="1:18" x14ac:dyDescent="0.2">
      <c r="A141" s="70" t="s">
        <v>171</v>
      </c>
      <c r="B141" s="235" t="s">
        <v>423</v>
      </c>
      <c r="C141" s="50"/>
    </row>
    <row r="142" spans="1:18" ht="30" x14ac:dyDescent="0.25">
      <c r="A142" s="70" t="s">
        <v>172</v>
      </c>
      <c r="B142" s="241" t="s">
        <v>424</v>
      </c>
      <c r="C142" s="136"/>
      <c r="D142" s="189" t="s">
        <v>376</v>
      </c>
    </row>
    <row r="143" spans="1:18" hidden="1" x14ac:dyDescent="0.25">
      <c r="A143" s="3" t="s">
        <v>173</v>
      </c>
      <c r="B143" s="242">
        <f>B75*1.5</f>
        <v>45000000</v>
      </c>
      <c r="C143" s="21">
        <f>B143</f>
        <v>45000000</v>
      </c>
      <c r="D143" s="181" t="s">
        <v>173</v>
      </c>
    </row>
    <row r="144" spans="1:18" ht="27.75" hidden="1" customHeight="1" x14ac:dyDescent="0.2">
      <c r="A144" s="175"/>
      <c r="B144" s="243"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besh million so'm</v>
      </c>
      <c r="C144" s="153" t="str">
        <f>B144</f>
        <v>qirq besh million so'm</v>
      </c>
      <c r="D144" s="4"/>
    </row>
    <row r="145" spans="1:4" ht="27.75" hidden="1" customHeight="1" x14ac:dyDescent="0.2">
      <c r="A145" s="3"/>
      <c r="B145" s="244" t="str">
        <f>B144</f>
        <v>qirq besh million so'm</v>
      </c>
      <c r="C145" s="71"/>
      <c r="D145" s="4"/>
    </row>
    <row r="146" spans="1:4" ht="20.25" x14ac:dyDescent="0.2">
      <c r="A146" s="3" t="s">
        <v>341</v>
      </c>
      <c r="B146" s="243">
        <v>210513</v>
      </c>
    </row>
    <row r="147" spans="1:4" x14ac:dyDescent="0.2">
      <c r="A147" s="3" t="s">
        <v>369</v>
      </c>
      <c r="B147" s="49"/>
    </row>
    <row r="148" spans="1:4" ht="15.75" thickBot="1" x14ac:dyDescent="0.25">
      <c r="A148" s="3" t="s">
        <v>156</v>
      </c>
      <c r="B148" s="2" t="s">
        <v>147</v>
      </c>
      <c r="C148" s="182">
        <v>1</v>
      </c>
    </row>
    <row r="149" spans="1:4" hidden="1" x14ac:dyDescent="0.2">
      <c r="A149" s="3" t="s">
        <v>157</v>
      </c>
      <c r="B149" s="5" t="str">
        <f>B70</f>
        <v>27 mart 2025 y.</v>
      </c>
      <c r="C149" s="182" t="str">
        <f>B70</f>
        <v>27 mart 2025 y.</v>
      </c>
    </row>
    <row r="150" spans="1:4" hidden="1" x14ac:dyDescent="0.2">
      <c r="A150" s="3"/>
      <c r="B150" s="1">
        <f>YEAR(B67)</f>
        <v>2025</v>
      </c>
    </row>
    <row r="151" spans="1:4" hidden="1" x14ac:dyDescent="0.2">
      <c r="A151" s="3"/>
      <c r="B151" s="156" t="str">
        <f>D67</f>
        <v>mart</v>
      </c>
    </row>
    <row r="152" spans="1:4" hidden="1" x14ac:dyDescent="0.2">
      <c r="A152" s="200"/>
      <c r="B152" s="201">
        <f>DAY(B67)</f>
        <v>27</v>
      </c>
    </row>
    <row r="153" spans="1:4" ht="20.25" x14ac:dyDescent="0.2">
      <c r="A153" s="202" t="s">
        <v>384</v>
      </c>
      <c r="B153" s="203" t="s">
        <v>436</v>
      </c>
    </row>
    <row r="154" spans="1:4" ht="20.25" x14ac:dyDescent="0.2">
      <c r="A154" s="204" t="s">
        <v>385</v>
      </c>
      <c r="B154" s="205">
        <v>10000000</v>
      </c>
    </row>
    <row r="155" spans="1:4" ht="15.75" thickBot="1" x14ac:dyDescent="0.25">
      <c r="A155" s="206"/>
      <c r="B155" s="20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154))&gt;6,ROMAN(MID(INT(B154),1,LEN(INT(B154))-6)+0)&amp;" million "&amp;ROMAN(MID(INT(B154),LEN(INT(B154))-5,3)+0)&amp;" ming "&amp;ROMAN(MID(INT(B154),LEN(INT(B154))-2,3)+0),IF(LEN(INT(B154))&gt;3,ROMAN(MID(INT(B154),1,LEN(INT(B154))-3)+0)&amp;" ming "&amp;ROMAN(MID(INT(B154),LEN(INT(B154))-2,3)+0),ROMAN(INT(B154)))),"DCCC","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million so'm</v>
      </c>
    </row>
    <row r="156" spans="1:4" x14ac:dyDescent="0.2">
      <c r="A156" s="248" t="s">
        <v>350</v>
      </c>
      <c r="B156" s="248"/>
    </row>
    <row r="157" spans="1:4" x14ac:dyDescent="0.2">
      <c r="A157" s="3" t="s">
        <v>174</v>
      </c>
      <c r="B157" s="1" t="s">
        <v>374</v>
      </c>
    </row>
    <row r="158" spans="1:4" x14ac:dyDescent="0.2">
      <c r="A158" s="3"/>
      <c r="B158" s="1" t="s">
        <v>374</v>
      </c>
    </row>
    <row r="159" spans="1:4" x14ac:dyDescent="0.2">
      <c r="A159" s="3"/>
      <c r="B159" s="1" t="s">
        <v>374</v>
      </c>
    </row>
    <row r="160" spans="1:4" x14ac:dyDescent="0.2">
      <c r="A160" s="209" t="s">
        <v>407</v>
      </c>
      <c r="B160" s="210" t="s">
        <v>408</v>
      </c>
    </row>
    <row r="161" spans="1:2" x14ac:dyDescent="0.2">
      <c r="A161" s="209"/>
      <c r="B161" s="208" t="s">
        <v>409</v>
      </c>
    </row>
    <row r="162" spans="1:2" hidden="1" x14ac:dyDescent="0.2">
      <c r="A162" s="3" t="s">
        <v>178</v>
      </c>
      <c r="B162" s="1" t="s">
        <v>175</v>
      </c>
    </row>
    <row r="163" spans="1:2" ht="28.5" hidden="1" x14ac:dyDescent="0.2">
      <c r="A163" s="3" t="s">
        <v>179</v>
      </c>
      <c r="B163" s="1" t="s">
        <v>176</v>
      </c>
    </row>
    <row r="164" spans="1:2" hidden="1" x14ac:dyDescent="0.2">
      <c r="A164" s="3" t="s">
        <v>180</v>
      </c>
      <c r="B164" s="1" t="s">
        <v>25</v>
      </c>
    </row>
    <row r="165" spans="1:2" hidden="1" x14ac:dyDescent="0.2">
      <c r="A165" s="3" t="s">
        <v>181</v>
      </c>
      <c r="B165" s="1" t="s">
        <v>23</v>
      </c>
    </row>
    <row r="166" spans="1:2" hidden="1" x14ac:dyDescent="0.2">
      <c r="A166" s="3" t="s">
        <v>182</v>
      </c>
      <c r="B166" s="1" t="s">
        <v>177</v>
      </c>
    </row>
    <row r="167" spans="1:2" hidden="1" x14ac:dyDescent="0.2">
      <c r="A167" s="3" t="s">
        <v>183</v>
      </c>
      <c r="B167" s="2" t="s">
        <v>26</v>
      </c>
    </row>
    <row r="168" spans="1:2" hidden="1" x14ac:dyDescent="0.2">
      <c r="A168" s="3" t="s">
        <v>184</v>
      </c>
      <c r="B168" s="1" t="s">
        <v>329</v>
      </c>
    </row>
    <row r="169" spans="1:2" x14ac:dyDescent="0.2">
      <c r="A169" s="3" t="s">
        <v>389</v>
      </c>
      <c r="B169" s="1" t="s">
        <v>402</v>
      </c>
    </row>
    <row r="170" spans="1:2" x14ac:dyDescent="0.2">
      <c r="A170" s="3" t="s">
        <v>372</v>
      </c>
      <c r="B170" s="1" t="s">
        <v>403</v>
      </c>
    </row>
    <row r="171" spans="1:2" x14ac:dyDescent="0.2">
      <c r="A171" s="211" t="s">
        <v>410</v>
      </c>
      <c r="B171" s="210" t="s">
        <v>408</v>
      </c>
    </row>
    <row r="172" spans="1:2" x14ac:dyDescent="0.2">
      <c r="A172" s="3" t="s">
        <v>185</v>
      </c>
      <c r="B172" s="2" t="s">
        <v>342</v>
      </c>
    </row>
    <row r="173" spans="1:2" x14ac:dyDescent="0.2">
      <c r="A173" s="3" t="s">
        <v>186</v>
      </c>
      <c r="B173" s="2" t="s">
        <v>343</v>
      </c>
    </row>
    <row r="174" spans="1:2" x14ac:dyDescent="0.2">
      <c r="A174" s="3" t="s">
        <v>187</v>
      </c>
      <c r="B174" s="1" t="str">
        <f>B1</f>
        <v>№680-NVS</v>
      </c>
    </row>
    <row r="175" spans="1:2" x14ac:dyDescent="0.2">
      <c r="A175" s="3" t="s">
        <v>188</v>
      </c>
      <c r="B175" s="5" t="str">
        <f>B70</f>
        <v>27 mart 2025 y.</v>
      </c>
    </row>
    <row r="176" spans="1:2" x14ac:dyDescent="0.2"/>
    <row r="177" x14ac:dyDescent="0.2"/>
  </sheetData>
  <mergeCells count="7">
    <mergeCell ref="A156:B156"/>
    <mergeCell ref="A104:B104"/>
    <mergeCell ref="A4:B4"/>
    <mergeCell ref="A57:B57"/>
    <mergeCell ref="A64:B64"/>
    <mergeCell ref="A98:B98"/>
    <mergeCell ref="A92:B92"/>
  </mergeCells>
  <dataValidations disablePrompts="1" count="12">
    <dataValidation type="list" allowBlank="1" showInputMessage="1" showErrorMessage="1" sqref="B30" xr:uid="{00000000-0002-0000-0000-000000000000}">
      <formula1>$C$30:$D$30</formula1>
    </dataValidation>
    <dataValidation type="list" allowBlank="1" showInputMessage="1" showErrorMessage="1" sqref="B100" xr:uid="{00000000-0002-0000-0000-000001000000}">
      <formula1>$C$100:$D$100</formula1>
    </dataValidation>
    <dataValidation type="list" allowBlank="1" showInputMessage="1" showErrorMessage="1" sqref="B110" xr:uid="{00000000-0002-0000-0000-000002000000}">
      <formula1>$C$110:$D$110</formula1>
    </dataValidation>
    <dataValidation type="list" allowBlank="1" showInputMessage="1" showErrorMessage="1" sqref="B78" xr:uid="{00000000-0002-0000-0000-000003000000}">
      <formula1>$C$78:$D$78</formula1>
    </dataValidation>
    <dataValidation type="list" allowBlank="1" showInputMessage="1" showErrorMessage="1" sqref="C136" xr:uid="{00000000-0002-0000-0000-000004000000}">
      <formula1>$D$136:$E$136</formula1>
    </dataValidation>
    <dataValidation type="list" allowBlank="1" showInputMessage="1" showErrorMessage="1" sqref="B99" xr:uid="{00000000-0002-0000-0000-000005000000}">
      <formula1>$C$99:$D$99</formula1>
    </dataValidation>
    <dataValidation type="list" allowBlank="1" showInputMessage="1" showErrorMessage="1" sqref="B101" xr:uid="{00000000-0002-0000-0000-000006000000}">
      <formula1>$C$101:$D$101</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4" xr:uid="{00000000-0002-0000-0000-00000A000000}">
      <formula1>$BJ$84:$BK$84</formula1>
    </dataValidation>
    <dataValidation type="list" allowBlank="1" showInputMessage="1" showErrorMessage="1" sqref="B44" xr:uid="{00000000-0002-0000-0000-00000B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16" zoomScaleNormal="55" zoomScaleSheetLayoutView="100" workbookViewId="0">
      <selection activeCell="A128" sqref="A128"/>
    </sheetView>
  </sheetViews>
  <sheetFormatPr defaultColWidth="9.140625" defaultRowHeight="15.75" x14ac:dyDescent="0.25"/>
  <cols>
    <col min="1" max="1" width="50.42578125" style="7" customWidth="1"/>
    <col min="2" max="2" width="57.42578125" style="7" customWidth="1"/>
    <col min="3" max="3" width="93.28515625" style="7" customWidth="1"/>
    <col min="4" max="7" width="9.140625" style="7" customWidth="1"/>
    <col min="8" max="8" width="111.5703125" style="7" customWidth="1"/>
    <col min="9" max="16" width="9.140625" style="7" customWidth="1"/>
    <col min="17" max="16384" width="9.140625" style="7"/>
  </cols>
  <sheetData>
    <row r="1" spans="1:3" x14ac:dyDescent="0.25">
      <c r="A1" s="264" t="str">
        <f>""&amp;malumot!C64&amp;" shartnoma "&amp;malumot!B66&amp;""</f>
        <v>Mikroqarz shartnoma №680-NVS</v>
      </c>
      <c r="B1" s="264"/>
    </row>
    <row r="3" spans="1:3" x14ac:dyDescent="0.25">
      <c r="A3" s="264" t="str">
        <f>"Toshkent shahri                                                                               "&amp;malumot!B70&amp;""</f>
        <v>Toshkent shahri                                                                               27 mart 2025 y.</v>
      </c>
      <c r="B3" s="264"/>
    </row>
    <row r="4" spans="1:3" x14ac:dyDescent="0.25">
      <c r="A4" s="68"/>
    </row>
    <row r="5" spans="1:3" ht="132.75" customHeight="1" x14ac:dyDescent="0.25">
      <c r="A5" s="252" t="str">
        <f>""&amp;malumot!B157&amp;", bundan buyon «Mikromoliya tashkiloti» deb nomlanuvchi, ishonchnoma asosida xarakat qiluvchi "&amp;malumot!A160&amp;" "&amp;malumot!B160&amp;"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Navoiy  filiali boshlig'i T.Rustamov  bir tomondan va o‘z manfaati yo‘lida hamda o‘z nomidan harakat qiluvchi O‘zbekiston Respublikasi fuqarosi UMAROV YO'LDOSHBOY AVALBEKOVICH  (pasport raqami AB2646428, NAVOIY VILOYATI NUROTA TUMANI IIB tomonidan 15.01.2016 yilda berilgan ), bundan buyon «Qarz oluvchi» deb nomlanuvchi, boshqa tomondan, birgalikda “Tomonlar” yoki alohida “Tomon” deb nomlanuvchilar, Qarz oluvchi tomonidan 27.03.2025 yil,mikroqarz olish uchun ariza berilganligini hisobga olib, ushbu Mikroqarz shartnomasini (bundan keyin – «Shartnoma») quyidagilar haqida tuzdilar:</v>
      </c>
      <c r="B5" s="252"/>
    </row>
    <row r="7" spans="1:3" x14ac:dyDescent="0.25">
      <c r="A7" s="264" t="s">
        <v>261</v>
      </c>
      <c r="B7" s="264"/>
    </row>
    <row r="8" spans="1:3" ht="51.75" customHeight="1" x14ac:dyDescent="0.25">
      <c r="A8" s="252"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40 000 000,00 (Qirq million so'm) bo‘lgan mikroqarzni 27 mart 2025 y. dan 27 mart 2028 y. gacha bo'lgan muddatga naqd pul va/yoki o'tkazmasi shaklida ajratadi.</v>
      </c>
      <c r="B8" s="252"/>
    </row>
    <row r="9" spans="1:3" ht="36" customHeight="1" x14ac:dyDescent="0.25">
      <c r="A9" s="252"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52"/>
    </row>
    <row r="10" spans="1:3" x14ac:dyDescent="0.25">
      <c r="A10" s="32"/>
    </row>
    <row r="11" spans="1:3" x14ac:dyDescent="0.25">
      <c r="A11" s="255" t="str">
        <f>"2. "&amp;malumot!D64&amp;" BERISH VA QAYTARISH TARTIBI"</f>
        <v>2. MIKROQARZ BERISH VA QAYTARISH TARTIBI</v>
      </c>
      <c r="B11" s="255"/>
      <c r="C11" s="66"/>
    </row>
    <row r="12" spans="1:3" ht="36" customHeight="1" x14ac:dyDescent="0.25">
      <c r="A12" s="252"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52"/>
    </row>
    <row r="13" spans="1:3" ht="35.25" customHeight="1" x14ac:dyDescent="0.25">
      <c r="A13" s="252"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52"/>
    </row>
    <row r="14" spans="1:3" ht="35.25" customHeight="1" x14ac:dyDescent="0.25">
      <c r="A14" s="252"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52"/>
    </row>
    <row r="15" spans="1:3" ht="66" customHeight="1" x14ac:dyDescent="0.25">
      <c r="A15" s="252"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52"/>
    </row>
    <row r="16" spans="1:3" ht="170.25" customHeight="1" x14ac:dyDescent="0.25">
      <c r="A16" s="252" t="s">
        <v>326</v>
      </c>
      <c r="B16" s="252"/>
    </row>
    <row r="17" spans="1:11" ht="148.5" customHeight="1" x14ac:dyDescent="0.25">
      <c r="A17" s="25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52"/>
      <c r="C17" s="161" t="s">
        <v>330</v>
      </c>
      <c r="H17" s="7" t="str">
        <f>malumot!B65</f>
        <v>mikroqarz</v>
      </c>
      <c r="I17" s="7" t="s">
        <v>331</v>
      </c>
    </row>
    <row r="18" spans="1:11" ht="100.5" customHeight="1" x14ac:dyDescent="0.25">
      <c r="A18" s="258" t="s">
        <v>370</v>
      </c>
      <c r="B18" s="258"/>
    </row>
    <row r="19" spans="1:11" ht="36" customHeight="1" x14ac:dyDescent="0.25">
      <c r="A19" s="252"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52"/>
    </row>
    <row r="20" spans="1:11" ht="48.75" customHeight="1" x14ac:dyDescent="0.25">
      <c r="A20" s="252"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52"/>
    </row>
    <row r="21" spans="1:11" ht="113.25" customHeight="1" x14ac:dyDescent="0.25">
      <c r="A21" s="26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66"/>
      <c r="C21" s="7"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7"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7"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55" t="str">
        <f>"3. "&amp;malumot!D64&amp;" TA'MINOTI BO‘YICHA "</f>
        <v xml:space="preserve">3. MIKROQARZ TA'MINOTI BO‘YICHA </v>
      </c>
      <c r="B22" s="255"/>
    </row>
    <row r="23" spans="1:11" ht="39.75" customHeight="1" x14ac:dyDescent="0.25">
      <c r="A23" s="252" t="str">
        <f>"3.1. Ushbu Shartnoma bo‘yicha taqdim etilgan "&amp;malumot!C64&amp;" quyidagi Mikroqarz summasiga nisbatan 150% dan kam bo'lmagan garov va Mikroqarz to'lamaslik xavfini sug'urta polisi  bilan ta'minlanadi:"</f>
        <v>3.1. Ushbu Shartnoma bo‘yicha taqdim etilgan Mikroqarz quyidagi Mikroqarz summasiga nisbatan 150% dan kam bo'lmagan garov va Mikroqarz to'lamaslik xavfini sug'urta polisi  bilan ta'minlanadi:</v>
      </c>
      <c r="B23" s="252"/>
    </row>
    <row r="24" spans="1:11" s="245" customFormat="1" ht="123" customHeight="1" x14ac:dyDescent="0.25">
      <c r="A24" s="262" t="str">
        <f>IF(malumot!B110=malumot!C110,shartnoma!A28,IF(malumot!B110=malumot!D110,shartnoma!A25,0))</f>
        <v>3.1.1. Mikromoliya tashkiloti va Qarz oluvchi tomonidan 2025 yil 27 martda imzolangan 1-sonli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24" s="262"/>
    </row>
    <row r="25" spans="1:11" s="245" customFormat="1" ht="114" hidden="1" customHeight="1" x14ac:dyDescent="0.25">
      <c r="A25" s="265" t="str">
        <f>IF(malumot!B99=malumot!C99,shartnoma!A27,IF(malumot!B99=malumot!D99,shartnoma!A26,0))</f>
        <v>3.1.1. Mikromoliya tashkiloti va Qarz oluvchi tomonidan 2025 yil 27 martda imzolangan 1-sonli Garov predmeti qiymatini tasdiqlash dalolatnomasiga muvofiq  manzilida joylashgan, 0 bo'lgan, 0 ko'rinishidagi ko'chmas mulk (bundan keyin “Garov predmeti”), egalik huquqiga ko'ra  UMAROV YO'LDOSHBOY AVALBEKOVICHga tegishli va kelishilgan garov qiymati 2025 yil 27 martda imzolangan 1-sonli Garov predmeti qiymatini tasdiqlash dalolatnomasiga muvofiq 45 000 000,00 (qirq besh million so'm) so'mni tashkil qiladi. Garovning aniq shartlari tegishli tarzda notarial tasdiqlangan garov shartnomasi bilan belgilangan.</v>
      </c>
      <c r="B25" s="265"/>
    </row>
    <row r="26" spans="1:11" s="245" customFormat="1" ht="114" hidden="1" customHeight="1" x14ac:dyDescent="0.25">
      <c r="A26" s="262"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2025 yil 27 martda imzolangan 1-sonli navbatdagi garov predmeti qiymatini tasdiqlash dalolatnomasiga muvofiq  manzilida joylashgan, 0 bo'lgan, 0 ko'rinishidagi ko'chmas mulk (bundan keyin “navbatdagi garov predmeti”), egalik huquqiga ko'ra  UMAROV YO'LDOSHBOY AVALBEKOVICHga tegishli va kelishilgan garov qiymati 2025 yil 27 martda imzolangan 1-sonli Garov predmeti qiymatini tasdiqlash dalolatnomasiga muvofiq 45 000 000,00 (qirq besh million so'm) so'mni tashkil qiladi. Garovning aniq shartlari tegishli tarzda notarial tasdiqlangan garov shartnomasi bilan belgilangan.</v>
      </c>
      <c r="B26" s="262"/>
    </row>
    <row r="27" spans="1:11" s="245" customFormat="1" ht="114" hidden="1" customHeight="1" x14ac:dyDescent="0.25">
      <c r="A27" s="265"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2025 yil 27 martda imzolangan 1-sonli Garov predmeti qiymatini tasdiqlash dalolatnomasiga muvofiq  manzilida joylashgan, 0 bo'lgan, 0 ko'rinishidagi ko'chmas mulk (bundan keyin “Garov predmeti”), egalik huquqiga ko'ra  UMAROV YO'LDOSHBOY AVALBEKOVICHga tegishli va kelishilgan garov qiymati 2025 yil 27 martda imzolangan 1-sonli Garov predmeti qiymatini tasdiqlash dalolatnomasiga muvofiq 45 000 000,00 (qirq besh million so'm) so'mni tashkil qiladi. Garovning aniq shartlari tegishli tarzda notarial tasdiqlangan garov shartnomasi bilan belgilangan.</v>
      </c>
      <c r="B27" s="265"/>
    </row>
    <row r="28" spans="1:11" s="245" customFormat="1" ht="114" hidden="1" customHeight="1" x14ac:dyDescent="0.25">
      <c r="A28" s="262" t="str">
        <f>IF(malumot!B99=malumot!C99,A29,IF(malumot!B99=malumot!D99,A30,0))</f>
        <v>3.1.1. Mikromoliya tashkiloti va Qarz oluvchi tomonidan 2025 yil 27 martda imzolangan 1-sonli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28" s="262"/>
      <c r="K28" s="245" t="s">
        <v>323</v>
      </c>
    </row>
    <row r="29" spans="1:11" s="245" customFormat="1" ht="114" hidden="1" customHeight="1" x14ac:dyDescent="0.25">
      <c r="A29" s="262"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2025 yil 27 martda imzolangan 1-sonli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29" s="262"/>
    </row>
    <row r="30" spans="1:11" s="245" customFormat="1" ht="114" hidden="1" customHeight="1" x14ac:dyDescent="0.25">
      <c r="A30" s="262"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2025 yil 27 martda imzolangan 1-sonli navbatdagi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“navbatdagi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30" s="262"/>
    </row>
    <row r="31" spans="1:11" s="245" customFormat="1" ht="100.15" customHeight="1" x14ac:dyDescent="0.25">
      <c r="A31" s="262" t="str">
        <f>CONCATENATE(C31,D31)</f>
        <v>3.1.2. «АО "APEX INSURANCE"» АJ sug‘urta kompaniyasi (keyingi o'rinlarda-Sug‘urtalovchi) tomonidan Mikroqarz to'lamaslik xavfini Mikroqarz summasiga nisbatan 150% dan hisoblab 10 000 000,00(o'n million so'm) so ' m miqdoriga sug’urta qilish.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62"/>
      <c r="C31" s="245" t="str">
        <f>"3.1.2. «"&amp;malumot!B153&amp;"» АJ sug‘urta kompaniyasi (keyingi o'rinlarda-Sug‘urtalovchi) tomonidan "&amp;malumot!C64&amp;" to'lamaslik xavfini Mikroqarz summasiga nisbatan 150% dan hisoblab "&amp;FIXED(malumot!B154,2)&amp;"("&amp;malumot!B155&amp;") so ' m miqdoriga sug’urta qilish."</f>
        <v>3.1.2. «АО "APEX INSURANCE"» АJ sug‘urta kompaniyasi (keyingi o'rinlarda-Sug‘urtalovchi) tomonidan Mikroqarz to'lamaslik xavfini Mikroqarz summasiga nisbatan 150% dan hisoblab 10 000 000,00(o'n million so'm) so ' m miqdoriga sug’urta qilish.</v>
      </c>
      <c r="D31" s="245" t="str">
        <f>CONCATENATE(E31,F31)</f>
        <v xml:space="preserve">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245" t="str">
        <f>" Ushbu shartnoma bo‘yicha "&amp;malumot!C64&amp;" berilgunga qadar Mikromoliya tashkiloti Sug‘urtalovchi "&amp;FIXED(malumot!B154,2)&amp;"("&amp;malumot!B155&amp;") so ' m miqdoridagi "&amp;malumot!C64&amp;""</f>
        <v xml:space="preserve"> Ushbu shartnoma bo‘yicha Mikroqarz berilgunga qadar Mikromoliya tashkiloti Sug‘urtalovchi 10 000 000,00(o'n million so'm) so ' m miqdoridagi Mikroqarz</v>
      </c>
      <c r="F31" s="245" t="s">
        <v>386</v>
      </c>
    </row>
    <row r="32" spans="1:11" ht="117" customHeight="1" x14ac:dyDescent="0.25">
      <c r="A32" s="261"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261"/>
    </row>
    <row r="33" spans="1:8" ht="94.5" hidden="1" x14ac:dyDescent="0.25">
      <c r="A33" s="164" t="s">
        <v>352</v>
      </c>
      <c r="B33" s="32"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64"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4" s="32" t="s">
        <v>333</v>
      </c>
    </row>
    <row r="35" spans="1:8" ht="85.5" customHeight="1" x14ac:dyDescent="0.25">
      <c r="A35" s="261" t="s">
        <v>262</v>
      </c>
      <c r="B35" s="261"/>
    </row>
    <row r="36" spans="1:8" ht="84" customHeight="1" x14ac:dyDescent="0.25">
      <c r="A36" s="261" t="s">
        <v>311</v>
      </c>
      <c r="B36" s="261"/>
    </row>
    <row r="37" spans="1:8" ht="114.6" customHeight="1" x14ac:dyDescent="0.25">
      <c r="A37" s="252" t="s">
        <v>387</v>
      </c>
      <c r="B37" s="252"/>
    </row>
    <row r="39" spans="1:8" x14ac:dyDescent="0.25">
      <c r="A39" s="260" t="s">
        <v>310</v>
      </c>
      <c r="B39" s="260"/>
      <c r="C39" s="74"/>
    </row>
    <row r="40" spans="1:8" x14ac:dyDescent="0.25">
      <c r="A40" s="263" t="s">
        <v>309</v>
      </c>
      <c r="B40" s="263"/>
    </row>
    <row r="41" spans="1:8" ht="116.25" customHeight="1" x14ac:dyDescent="0.25">
      <c r="A41" s="261"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61"/>
      <c r="C41" s="7" t="str">
        <f>"4.1.1. Ushbu Shartnomada ko‘rsatilgan asoslar bo‘yicha Qarz oluvchiga Shartnomada ko‘zda tutilgan "&amp;malumot!B65&amp;""</f>
        <v>4.1.1. Ushbu Shartnomada ko‘rsatilgan asoslar bo‘yicha Qarz oluvchiga Shartnomada ko‘zda tutilgan mikroqarz</v>
      </c>
      <c r="H41" s="161" t="s">
        <v>377</v>
      </c>
    </row>
    <row r="42" spans="1:8" ht="39" customHeight="1" x14ac:dyDescent="0.25">
      <c r="A42" s="261"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261"/>
    </row>
    <row r="43" spans="1:8" x14ac:dyDescent="0.25">
      <c r="A43" s="261" t="s">
        <v>312</v>
      </c>
      <c r="B43" s="261"/>
    </row>
    <row r="44" spans="1:8" ht="30" customHeight="1" x14ac:dyDescent="0.25">
      <c r="A44" s="261" t="str">
        <f>"b) "&amp;malumot!B65&amp;" summasiga hisoblanadigan asosiy qarz bo‘yicha muddati o‘tgan qarzdorlik va/yoki foizlarning yuzaga kelishi;"</f>
        <v>b) mikroqarz summasiga hisoblanadigan asosiy qarz bo‘yicha muddati o‘tgan qarzdorlik va/yoki foizlarning yuzaga kelishi;</v>
      </c>
      <c r="B44" s="261"/>
    </row>
    <row r="45" spans="1:8" ht="37.5" customHeight="1" x14ac:dyDescent="0.25">
      <c r="A45" s="261" t="s">
        <v>313</v>
      </c>
      <c r="B45" s="261"/>
    </row>
    <row r="46" spans="1:8" ht="52.5" customHeight="1" x14ac:dyDescent="0.25">
      <c r="A46" s="261" t="s">
        <v>314</v>
      </c>
      <c r="B46" s="261"/>
    </row>
    <row r="47" spans="1:8" ht="19.5" customHeight="1" x14ac:dyDescent="0.25">
      <c r="A47" s="261" t="s">
        <v>315</v>
      </c>
      <c r="B47" s="261"/>
    </row>
    <row r="48" spans="1:8" ht="51.75" customHeight="1" x14ac:dyDescent="0.25">
      <c r="A48" s="261"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261"/>
    </row>
    <row r="49" spans="1:8" ht="33.75" customHeight="1" x14ac:dyDescent="0.25">
      <c r="A49" s="261" t="s">
        <v>308</v>
      </c>
      <c r="B49" s="261"/>
    </row>
    <row r="50" spans="1:8" ht="36.75" customHeight="1" x14ac:dyDescent="0.25">
      <c r="A50" s="261" t="s">
        <v>307</v>
      </c>
      <c r="B50" s="261"/>
      <c r="C50" s="164"/>
    </row>
    <row r="51" spans="1:8" ht="90" customHeight="1" x14ac:dyDescent="0.25">
      <c r="A51" s="252" t="s">
        <v>306</v>
      </c>
      <c r="B51" s="252"/>
      <c r="C51" s="164"/>
    </row>
    <row r="52" spans="1:8" ht="70.5" customHeight="1" x14ac:dyDescent="0.25">
      <c r="A52" s="252" t="s">
        <v>305</v>
      </c>
      <c r="B52" s="252"/>
      <c r="C52" s="164"/>
    </row>
    <row r="53" spans="1:8" ht="39.75" customHeight="1" x14ac:dyDescent="0.25">
      <c r="A53" s="252"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3" s="252"/>
      <c r="C53" s="164"/>
    </row>
    <row r="54" spans="1:8" ht="33" customHeight="1" x14ac:dyDescent="0.25">
      <c r="A54" s="252" t="s">
        <v>316</v>
      </c>
      <c r="B54" s="252"/>
      <c r="C54" s="164"/>
    </row>
    <row r="55" spans="1:8" ht="39.75" customHeight="1" x14ac:dyDescent="0.25">
      <c r="A55" s="252" t="s">
        <v>304</v>
      </c>
      <c r="B55" s="252"/>
      <c r="C55" s="164"/>
    </row>
    <row r="56" spans="1:8" ht="50.25" customHeight="1" x14ac:dyDescent="0.25">
      <c r="A56" s="252"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52"/>
      <c r="C56" s="164" t="str">
        <f>"4.1.10. Qarz oluvchi taqdim etilgan "&amp;malumot!B65&amp;"dan Shartnoma tuzilgan kundan boshlab 1 (bir) oy davomida foydalanmagan"</f>
        <v>4.1.10. Qarz oluvchi taqdim etilgan mikroqarzdan Shartnoma tuzilgan kundan boshlab 1 (bir) oy davomida foydalanmagan</v>
      </c>
      <c r="H56" s="7" t="s">
        <v>334</v>
      </c>
    </row>
    <row r="57" spans="1:8" ht="19.5" customHeight="1" x14ac:dyDescent="0.25">
      <c r="A57" s="252" t="str">
        <f>"4.1.11. Oldingi "&amp;malumot!B65&amp;" to‘liq to‘lanmagunga qadar yangi "&amp;malumot!B65&amp;" berishni rad etish."</f>
        <v>4.1.11. Oldingi mikroqarz to‘liq to‘lanmagunga qadar yangi mikroqarz berishni rad etish.</v>
      </c>
      <c r="B57" s="252"/>
      <c r="C57" s="164"/>
    </row>
    <row r="59" spans="1:8" x14ac:dyDescent="0.25">
      <c r="A59" s="255" t="s">
        <v>303</v>
      </c>
      <c r="B59" s="255"/>
      <c r="C59" s="163"/>
    </row>
    <row r="60" spans="1:8" x14ac:dyDescent="0.25">
      <c r="A60" s="259" t="s">
        <v>302</v>
      </c>
      <c r="B60" s="259"/>
      <c r="C60" s="165"/>
    </row>
    <row r="61" spans="1:8" ht="36" customHeight="1" x14ac:dyDescent="0.25">
      <c r="A61" s="252"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52"/>
      <c r="C61" s="164"/>
    </row>
    <row r="62" spans="1:8" ht="36.75" customHeight="1" x14ac:dyDescent="0.25">
      <c r="A62" s="252"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2" s="252"/>
      <c r="C62" s="164"/>
    </row>
    <row r="63" spans="1:8" ht="17.25" customHeight="1" x14ac:dyDescent="0.25">
      <c r="A63" s="252" t="str">
        <f>"5.1.3. "&amp;malumot!C64&amp;" xizmatlari ko‘rsatish qoidalari bilan tanishish."</f>
        <v>5.1.3. Mikroqarz xizmatlari ko‘rsatish qoidalari bilan tanishish.</v>
      </c>
      <c r="B63" s="252"/>
      <c r="C63" s="164"/>
    </row>
    <row r="64" spans="1:8" ht="36" customHeight="1" x14ac:dyDescent="0.25">
      <c r="A64" s="252"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4" s="252"/>
      <c r="C64" s="164"/>
    </row>
    <row r="65" spans="1:8" ht="33.75" customHeight="1" x14ac:dyDescent="0.25">
      <c r="A65" s="252" t="s">
        <v>317</v>
      </c>
      <c r="B65" s="252"/>
      <c r="C65" s="164"/>
    </row>
    <row r="66" spans="1:8" x14ac:dyDescent="0.25">
      <c r="A66" s="259" t="s">
        <v>301</v>
      </c>
      <c r="B66" s="259"/>
      <c r="C66" s="165"/>
    </row>
    <row r="67" spans="1:8" ht="37.5" customHeight="1" x14ac:dyDescent="0.25">
      <c r="A67" s="252"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52"/>
      <c r="C67" s="164"/>
    </row>
    <row r="68" spans="1:8" ht="39.75" customHeight="1" x14ac:dyDescent="0.25">
      <c r="A68" s="252" t="s">
        <v>318</v>
      </c>
      <c r="B68" s="252"/>
      <c r="C68" s="164"/>
    </row>
    <row r="69" spans="1:8" ht="27" customHeight="1" x14ac:dyDescent="0.25">
      <c r="A69" s="252" t="str">
        <f>"5.2.3. To‘lov jadvaliga muvofiq "&amp;malumot!B65&amp;", shuningdek hisoblangan foizlar to‘lovlarini amalga oshirish."</f>
        <v>5.2.3. To‘lov jadvaliga muvofiq mikroqarz, shuningdek hisoblangan foizlar to‘lovlarini amalga oshirish.</v>
      </c>
      <c r="B69" s="252"/>
      <c r="C69" s="164"/>
    </row>
    <row r="70" spans="1:8" ht="84" customHeight="1" x14ac:dyDescent="0.25">
      <c r="A70" s="252"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52"/>
      <c r="C70" s="164" t="s">
        <v>335</v>
      </c>
      <c r="H70" s="7"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52" t="s">
        <v>319</v>
      </c>
      <c r="B71" s="252"/>
      <c r="C71" s="164"/>
    </row>
    <row r="72" spans="1:8" ht="36" customHeight="1" x14ac:dyDescent="0.25">
      <c r="A72" s="252"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2" s="252"/>
      <c r="C72" s="164"/>
    </row>
    <row r="73" spans="1:8" ht="51.75" customHeight="1" x14ac:dyDescent="0.25">
      <c r="A73" s="258" t="s">
        <v>336</v>
      </c>
      <c r="B73" s="258"/>
      <c r="C73" s="167"/>
    </row>
    <row r="74" spans="1:8" ht="57" customHeight="1" x14ac:dyDescent="0.25">
      <c r="A74" s="252"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52"/>
      <c r="C74" s="164"/>
    </row>
    <row r="75" spans="1:8" ht="33.75" customHeight="1" x14ac:dyDescent="0.25">
      <c r="A75" s="252"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52"/>
      <c r="C75" s="164"/>
      <c r="H75" s="7" t="s">
        <v>332</v>
      </c>
    </row>
    <row r="76" spans="1:8" ht="68.25" customHeight="1" x14ac:dyDescent="0.25">
      <c r="A76" s="252"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52"/>
      <c r="C76" s="164"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6" s="7" t="s">
        <v>337</v>
      </c>
    </row>
    <row r="77" spans="1:8" x14ac:dyDescent="0.25">
      <c r="A77" s="72"/>
    </row>
    <row r="78" spans="1:8" x14ac:dyDescent="0.25">
      <c r="A78" s="260" t="s">
        <v>300</v>
      </c>
      <c r="B78" s="260"/>
      <c r="C78" s="166"/>
    </row>
    <row r="79" spans="1:8" ht="98.25" customHeight="1" x14ac:dyDescent="0.25">
      <c r="A79" s="252"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52"/>
      <c r="C79" s="164" t="s">
        <v>338</v>
      </c>
      <c r="H79" s="7"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52" t="s">
        <v>299</v>
      </c>
      <c r="B80" s="252"/>
      <c r="C80" s="164"/>
    </row>
    <row r="81" spans="1:3" ht="35.25" customHeight="1" x14ac:dyDescent="0.25">
      <c r="A81" s="252" t="s">
        <v>298</v>
      </c>
      <c r="B81" s="252"/>
      <c r="C81" s="164"/>
    </row>
    <row r="82" spans="1:3" ht="33" customHeight="1" x14ac:dyDescent="0.25">
      <c r="A82" s="252" t="s">
        <v>297</v>
      </c>
      <c r="B82" s="252"/>
      <c r="C82" s="164"/>
    </row>
    <row r="84" spans="1:3" x14ac:dyDescent="0.25">
      <c r="A84" s="256" t="s">
        <v>296</v>
      </c>
      <c r="B84" s="256"/>
      <c r="C84" s="67"/>
    </row>
    <row r="85" spans="1:3" ht="147.75" customHeight="1" x14ac:dyDescent="0.25">
      <c r="A85" s="252" t="s">
        <v>295</v>
      </c>
      <c r="B85" s="252"/>
      <c r="C85" s="164"/>
    </row>
    <row r="86" spans="1:3" ht="33.75" customHeight="1" x14ac:dyDescent="0.25">
      <c r="A86" s="252" t="s">
        <v>339</v>
      </c>
      <c r="B86" s="252"/>
      <c r="C86" s="164"/>
    </row>
    <row r="87" spans="1:3" ht="41.25" customHeight="1" x14ac:dyDescent="0.25">
      <c r="A87" s="252" t="s">
        <v>294</v>
      </c>
      <c r="B87" s="252"/>
      <c r="C87" s="164"/>
    </row>
    <row r="88" spans="1:3" ht="36" customHeight="1" x14ac:dyDescent="0.25">
      <c r="A88" s="252" t="s">
        <v>293</v>
      </c>
      <c r="B88" s="252"/>
      <c r="C88" s="164"/>
    </row>
    <row r="90" spans="1:3" x14ac:dyDescent="0.25">
      <c r="A90" s="256" t="s">
        <v>292</v>
      </c>
      <c r="B90" s="256"/>
      <c r="C90" s="67"/>
    </row>
    <row r="91" spans="1:3" ht="101.25" customHeight="1" x14ac:dyDescent="0.25">
      <c r="A91" s="252" t="s">
        <v>353</v>
      </c>
      <c r="B91" s="252"/>
      <c r="C91" s="164"/>
    </row>
    <row r="92" spans="1:3" ht="36" customHeight="1" x14ac:dyDescent="0.25">
      <c r="A92" s="252" t="s">
        <v>320</v>
      </c>
      <c r="B92" s="252"/>
      <c r="C92" s="164"/>
    </row>
    <row r="93" spans="1:3" ht="54" customHeight="1" x14ac:dyDescent="0.25">
      <c r="A93" s="252"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52"/>
      <c r="C93" s="164"/>
    </row>
    <row r="95" spans="1:3" x14ac:dyDescent="0.25">
      <c r="A95" s="254" t="s">
        <v>291</v>
      </c>
      <c r="B95" s="254"/>
      <c r="C95" s="73"/>
    </row>
    <row r="96" spans="1:3" ht="20.25" customHeight="1" x14ac:dyDescent="0.25">
      <c r="A96" s="252" t="s">
        <v>290</v>
      </c>
      <c r="B96" s="252"/>
      <c r="C96" s="164"/>
    </row>
    <row r="97" spans="1:3" ht="33.75" customHeight="1" x14ac:dyDescent="0.25">
      <c r="A97" s="252"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52"/>
      <c r="C97" s="164"/>
    </row>
    <row r="98" spans="1:3" ht="40.5" customHeight="1" x14ac:dyDescent="0.25">
      <c r="A98" s="252" t="s">
        <v>289</v>
      </c>
      <c r="B98" s="252"/>
      <c r="C98" s="164"/>
    </row>
    <row r="100" spans="1:3" x14ac:dyDescent="0.25">
      <c r="A100" s="255" t="s">
        <v>288</v>
      </c>
      <c r="B100" s="255"/>
      <c r="C100" s="66"/>
    </row>
    <row r="101" spans="1:3" ht="82.5" customHeight="1" x14ac:dyDescent="0.25">
      <c r="A101" s="252" t="s">
        <v>287</v>
      </c>
      <c r="B101" s="252"/>
      <c r="C101" s="164"/>
    </row>
    <row r="102" spans="1:3" ht="66" customHeight="1" x14ac:dyDescent="0.25">
      <c r="A102" s="252" t="s">
        <v>286</v>
      </c>
      <c r="B102" s="252"/>
      <c r="C102" s="164"/>
    </row>
    <row r="103" spans="1:3" ht="48" customHeight="1" x14ac:dyDescent="0.25">
      <c r="A103" s="252" t="s">
        <v>285</v>
      </c>
      <c r="B103" s="252"/>
      <c r="C103" s="164"/>
    </row>
    <row r="105" spans="1:3" x14ac:dyDescent="0.25">
      <c r="A105" s="256" t="s">
        <v>284</v>
      </c>
      <c r="B105" s="256"/>
      <c r="C105" s="149"/>
    </row>
    <row r="106" spans="1:3" ht="37.5" customHeight="1" x14ac:dyDescent="0.25">
      <c r="A106" s="252" t="s">
        <v>283</v>
      </c>
      <c r="B106" s="252"/>
      <c r="C106" s="164"/>
    </row>
    <row r="107" spans="1:3" ht="34.5" customHeight="1" x14ac:dyDescent="0.25">
      <c r="A107" s="252" t="s">
        <v>282</v>
      </c>
      <c r="B107" s="252"/>
      <c r="C107" s="164"/>
    </row>
    <row r="108" spans="1:3" ht="66.75" customHeight="1" x14ac:dyDescent="0.25">
      <c r="A108" s="252" t="s">
        <v>281</v>
      </c>
      <c r="B108" s="252"/>
      <c r="C108" s="164"/>
    </row>
    <row r="109" spans="1:3" ht="51" customHeight="1" x14ac:dyDescent="0.25">
      <c r="A109" s="252" t="s">
        <v>280</v>
      </c>
      <c r="B109" s="252"/>
      <c r="C109" s="164"/>
    </row>
    <row r="110" spans="1:3" ht="37.5" customHeight="1" x14ac:dyDescent="0.25">
      <c r="A110" s="252" t="s">
        <v>279</v>
      </c>
      <c r="B110" s="252"/>
      <c r="C110" s="164"/>
    </row>
    <row r="111" spans="1:3" ht="38.25" customHeight="1" x14ac:dyDescent="0.25">
      <c r="A111" s="252" t="s">
        <v>278</v>
      </c>
      <c r="B111" s="252"/>
      <c r="C111" s="164"/>
    </row>
    <row r="112" spans="1:3" ht="21" customHeight="1" x14ac:dyDescent="0.25">
      <c r="A112" s="252" t="s">
        <v>277</v>
      </c>
      <c r="B112" s="252"/>
      <c r="C112" s="164"/>
    </row>
    <row r="113" spans="1:3" ht="26.25" customHeight="1" x14ac:dyDescent="0.25">
      <c r="A113" s="254" t="s">
        <v>321</v>
      </c>
      <c r="B113" s="254"/>
      <c r="C113" s="73"/>
    </row>
    <row r="114" spans="1:3" x14ac:dyDescent="0.25">
      <c r="A114" s="221"/>
      <c r="B114" s="221"/>
    </row>
    <row r="115" spans="1:3" x14ac:dyDescent="0.25">
      <c r="A115" s="229" t="s">
        <v>276</v>
      </c>
      <c r="B115" s="222" t="s">
        <v>275</v>
      </c>
    </row>
    <row r="116" spans="1:3" x14ac:dyDescent="0.25">
      <c r="A116" s="219"/>
      <c r="B116" s="221"/>
    </row>
    <row r="117" spans="1:3" ht="31.5" x14ac:dyDescent="0.25">
      <c r="A117" s="230" t="str">
        <f>malumot!B158</f>
        <v>«CLEVER MIKROMOLIYA TASHKILOTI» MChJ</v>
      </c>
      <c r="B117" s="223" t="str">
        <f>malumot!B5</f>
        <v>UMAROV YO'LDOSHBOY AVALBEKOVICH</v>
      </c>
    </row>
    <row r="118" spans="1:3" x14ac:dyDescent="0.25">
      <c r="A118" s="219"/>
      <c r="B118" s="221"/>
    </row>
    <row r="119" spans="1:3" ht="58.5" customHeight="1" x14ac:dyDescent="0.25">
      <c r="A119" s="220" t="str">
        <f>"Manzil: "&amp;malumot!B163&amp;""</f>
        <v>Manzil: Toshkent shahri, Olmazor tumani, Sagbon ko'chasi, 30 boshi berk, 6-uy</v>
      </c>
      <c r="B119" s="224" t="str">
        <f>"Manzil: "&amp;malumot!B27&amp;""</f>
        <v>Manzil: NAVOIY VILOYATI NUROTA TUMANI TEMIRKOVUK MFY YOSHLIK KO'CHASI 67-UY</v>
      </c>
    </row>
    <row r="120" spans="1:3" ht="17.25" customHeight="1" x14ac:dyDescent="0.25">
      <c r="A120" s="231" t="str">
        <f>"h/r: "&amp;malumot!B164&amp;""</f>
        <v>h/r: №20216000705068380001</v>
      </c>
      <c r="B120" s="221"/>
    </row>
    <row r="121" spans="1:3" ht="31.5" x14ac:dyDescent="0.25">
      <c r="A121" s="220" t="str">
        <f>"MFO: "&amp;malumot!B165&amp;" в "&amp;malumot!B166&amp;""</f>
        <v>MFO: №01042 в ATB “Kapitalbank” Sergeli filiali</v>
      </c>
      <c r="B121" s="224" t="str">
        <f>"Pasport: "&amp;malumot!B16&amp;", "&amp;malumot!B20&amp;""</f>
        <v>Pasport: AB2646428, NAVOIY VILOYATI NUROTA TUMANI IIB tomonidan 15.01.2016 yilda berilgan</v>
      </c>
    </row>
    <row r="122" spans="1:3" x14ac:dyDescent="0.25">
      <c r="A122" s="220" t="str">
        <f>"STIR: "&amp;malumot!B167&amp;""</f>
        <v>STIR: 306365847</v>
      </c>
      <c r="B122" s="225" t="str">
        <f>"Tel: "&amp;malumot!B40&amp;""</f>
        <v>Tel: 99-360-39-67 KLIENT</v>
      </c>
    </row>
    <row r="123" spans="1:3" x14ac:dyDescent="0.25">
      <c r="A123" s="232" t="str">
        <f>"Tel: (78) 113 31 33"</f>
        <v>Tel: (78) 113 31 33</v>
      </c>
      <c r="B123" s="225" t="str">
        <f>malumot!B41</f>
        <v>94-596-09-00 O'G'LI</v>
      </c>
    </row>
    <row r="124" spans="1:3" x14ac:dyDescent="0.25">
      <c r="A124" s="232" t="s">
        <v>8</v>
      </c>
      <c r="B124" s="225" t="str">
        <f>malumot!B42</f>
        <v>93-993-08-97 KELINI</v>
      </c>
    </row>
    <row r="125" spans="1:3" x14ac:dyDescent="0.25">
      <c r="A125" s="233"/>
      <c r="B125" s="221"/>
    </row>
    <row r="126" spans="1:3" x14ac:dyDescent="0.25">
      <c r="A126" s="253" t="str">
        <f>malumot!A171</f>
        <v>Navoiy filiali boshlig'i</v>
      </c>
      <c r="B126" s="257" t="str">
        <f>""&amp;malumot!B7&amp;"     __________________"</f>
        <v>UMAROV Y.A.     __________________</v>
      </c>
    </row>
    <row r="127" spans="1:3" x14ac:dyDescent="0.25">
      <c r="A127" s="253"/>
      <c r="B127" s="257"/>
    </row>
    <row r="128" spans="1:3" x14ac:dyDescent="0.25">
      <c r="A128" s="227" t="str">
        <f>malumot!B171</f>
        <v>T.Rustamov</v>
      </c>
      <c r="B128" s="221"/>
    </row>
    <row r="129" spans="1:2" x14ac:dyDescent="0.25">
      <c r="A129" s="228"/>
      <c r="B129" s="226"/>
    </row>
    <row r="132" spans="1:2" hidden="1" x14ac:dyDescent="0.25">
      <c r="A132" s="7" t="str">
        <f>"менеджер :   "&amp;malumot!B171&amp;"______________"</f>
        <v>менеджер :   T.Rustamov______________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66" orientation="portrait" r:id="rId1"/>
  <rowBreaks count="4" manualBreakCount="4">
    <brk id="20" max="1" man="1"/>
    <brk id="48" max="1" man="1"/>
    <brk id="74" max="1" man="1"/>
    <brk id="9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1:E27"/>
  <sheetViews>
    <sheetView view="pageBreakPreview" topLeftCell="A14" zoomScaleSheetLayoutView="100" workbookViewId="0">
      <selection activeCell="D27" sqref="D27"/>
    </sheetView>
  </sheetViews>
  <sheetFormatPr defaultColWidth="9.140625" defaultRowHeight="15" outlineLevelRow="1" x14ac:dyDescent="0.25"/>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1" spans="1:5" ht="16.5" customHeight="1" x14ac:dyDescent="0.25"/>
    <row r="2" spans="1:5" ht="17.25" customHeight="1" x14ac:dyDescent="0.25">
      <c r="A2" s="268" t="str">
        <f>""&amp;malumot!B157&amp;" ijrochi direktorining
"&amp;malumot!B175&amp;"dagi "&amp;malumot!B174&amp;"-sonli buyrug‘i"</f>
        <v>«CLEVER MIKROMOLIYA TASHKILOTI» MChJ ijrochi direktorining
27 mart 2025 y.dagi №680-NVS-sonli buyrug‘i</v>
      </c>
      <c r="B2" s="268"/>
      <c r="C2" s="268"/>
      <c r="D2" s="268"/>
      <c r="E2" s="268"/>
    </row>
    <row r="3" spans="1:5" x14ac:dyDescent="0.25">
      <c r="A3" s="268"/>
      <c r="B3" s="268"/>
      <c r="C3" s="268"/>
      <c r="D3" s="268"/>
      <c r="E3" s="268"/>
    </row>
    <row r="4" spans="1:5" x14ac:dyDescent="0.25">
      <c r="A4" s="268"/>
      <c r="B4" s="268"/>
      <c r="C4" s="268"/>
      <c r="D4" s="268"/>
      <c r="E4" s="268"/>
    </row>
    <row r="5" spans="1:5" x14ac:dyDescent="0.25">
      <c r="A5" s="269"/>
      <c r="B5" s="269"/>
      <c r="C5" s="269"/>
      <c r="D5" s="269"/>
      <c r="E5" s="269"/>
    </row>
    <row r="6" spans="1:5" ht="53.25" customHeight="1" x14ac:dyDescent="0.25">
      <c r="A6" s="269" t="str">
        <f>"Men, Abduraximov Nadirbek Kamilevich "&amp;malumot!B157&amp;" ijrochi direktori, jismoniy shaxs "&amp;malumot!B10&amp;"ga quyidagi shartlarda "&amp;malumot!B65&amp;" berishni buyuraman:"</f>
        <v>Men, Abduraximov Nadirbek Kamilevich «CLEVER MIKROMOLIYA TASHKILOTI» MChJ ijrochi direktori, jismoniy shaxs UMAROV YO'LDOSHBOY AVALBEKOVICHga quyidagi shartlarda mikroqarz berishni buyuraman:</v>
      </c>
      <c r="B6" s="269"/>
      <c r="C6" s="269"/>
      <c r="D6" s="269"/>
      <c r="E6" s="269"/>
    </row>
    <row r="7" spans="1:5" ht="26.25" customHeight="1" x14ac:dyDescent="0.25">
      <c r="A7" s="269" t="str">
        <f>kredit_ariza!A13:D13</f>
        <v>Mikroqarz summasi: 40 000 000,00 (qirq million so'm) so'm.</v>
      </c>
      <c r="B7" s="269"/>
      <c r="C7" s="269"/>
      <c r="D7" s="269"/>
      <c r="E7" s="269"/>
    </row>
    <row r="8" spans="1:5" ht="21" customHeight="1" x14ac:dyDescent="0.25">
      <c r="A8" s="269" t="str">
        <f>kredit_ariza!A14:D14</f>
        <v>Mikroqarz muddati: 36 (O'ttiz olti) oy.</v>
      </c>
      <c r="B8" s="269"/>
      <c r="C8" s="269"/>
      <c r="D8" s="269"/>
      <c r="E8" s="269"/>
    </row>
    <row r="9" spans="1:5" ht="27" customHeight="1" x14ac:dyDescent="0.25">
      <c r="A9" s="269" t="str">
        <f>kredit_ariza!A15:D15</f>
        <v>Mikroqarzdan foydalanganlik uchun foiz stavkasi: yillik  60% (Oltmish) foiz</v>
      </c>
      <c r="B9" s="269"/>
      <c r="C9" s="269"/>
      <c r="D9" s="269"/>
      <c r="E9" s="269"/>
    </row>
    <row r="10" spans="1:5" ht="26.25" customHeight="1" x14ac:dyDescent="0.25">
      <c r="A10" s="269" t="str">
        <f>kredit_ariza!A16:D16</f>
        <v>Mikroqarz bo'yicha asosiy qarz va foizlarni to'lash:</v>
      </c>
      <c r="B10" s="269"/>
      <c r="C10" s="269"/>
      <c r="D10" s="269"/>
      <c r="E10" s="269"/>
    </row>
    <row r="11" spans="1:5" ht="21.75" hidden="1" customHeight="1" x14ac:dyDescent="0.25">
      <c r="A11" s="269" t="str">
        <f>kredit_ariza!A17:D17</f>
        <v xml:space="preserve"> - mikroqarz shartnomasi bo'yicha har oy differensial to'lovlari amalga oshiriladi</v>
      </c>
      <c r="B11" s="269"/>
      <c r="C11" s="269"/>
      <c r="D11" s="269"/>
      <c r="E11" s="269"/>
    </row>
    <row r="12" spans="1:5" hidden="1" x14ac:dyDescent="0.25">
      <c r="A12" s="269" t="str">
        <f>kredit_ariza!A19:D19</f>
        <v xml:space="preserve"> - mikroqarz shartnomasi bo'yicha har oy differensial to'lovlari amalga oshiriladi</v>
      </c>
      <c r="B12" s="269"/>
      <c r="C12" s="269"/>
      <c r="D12" s="269"/>
      <c r="E12" s="269"/>
    </row>
    <row r="13" spans="1:5" ht="23.25" customHeight="1" x14ac:dyDescent="0.25">
      <c r="A13" s="269" t="str">
        <f>IF(malumot!B110="Avtotransport",buyruq!A12:E12,buyruq!A11:E11)</f>
        <v xml:space="preserve"> - mikroqarz shartnomasi bo'yicha har oy differensial to'lovlari amalga oshiriladi</v>
      </c>
      <c r="B13" s="269"/>
      <c r="C13" s="269"/>
      <c r="D13" s="269"/>
      <c r="E13" s="269"/>
    </row>
    <row r="14" spans="1:5" ht="45.75" customHeight="1" x14ac:dyDescent="0.25">
      <c r="A14" s="267"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UMAROV YO'LDOSHBOY AVALBEKOVICHga tegishli CHEVROLET LACETTI SX ko'rinishidagi transport vositasini quyidagi ma'lumotlarga muvofiq garovga qabul qilinsin:</v>
      </c>
      <c r="B14" s="267"/>
      <c r="C14" s="267"/>
      <c r="D14" s="267"/>
      <c r="E14" s="267"/>
    </row>
    <row r="15" spans="1:5" ht="50.25" hidden="1" customHeight="1" x14ac:dyDescent="0.25">
      <c r="A15" s="269" t="str">
        <f>""&amp;malumot!C124&amp;"ga tegishli "&amp;malumot!C133&amp;" ko'rinishidagi ko'chmas mulkni quyidagi ma'lumotlarga muvofiq  garovga qabul qilinsin:"</f>
        <v>UMAROV YO'LDOSHBOY AVALBEKOVICHga tegishli  0 ko'rinishidagi ko'chmas mulkni quyidagi ma'lumotlarga muvofiq  garovga qabul qilinsin:</v>
      </c>
      <c r="B15" s="269"/>
      <c r="C15" s="269"/>
      <c r="D15" s="269"/>
      <c r="E15" s="269"/>
    </row>
    <row r="16" spans="1:5" ht="47.25" hidden="1" customHeight="1" x14ac:dyDescent="0.25">
      <c r="A16" s="269" t="str">
        <f>""&amp;malumot!B124&amp;"ga tegishli "&amp;malumot!B132&amp;" ko'rinishidagi transport vositasini quyidagi ma'lumotlarga muvofiq garovga qabul qilinsin:"</f>
        <v>UMAROV YO'LDOSHBOY AVALBEKOVICHga tegishli CHEVROLET LACETTI SX ko'rinishidagi transport vositasini quyidagi ma'lumotlarga muvofiq garovga qabul qilinsin:</v>
      </c>
      <c r="B16" s="269"/>
      <c r="C16" s="269"/>
      <c r="D16" s="269"/>
      <c r="E16" s="269"/>
    </row>
    <row r="17" spans="1:5" s="37" customFormat="1" ht="60" customHeight="1" outlineLevel="1" x14ac:dyDescent="0.2">
      <c r="A17" s="39" t="str">
        <f>dalolatnoma!A29</f>
        <v>Nomi</v>
      </c>
      <c r="B17" s="39" t="str">
        <f>dalolatnoma!B29</f>
        <v>Kuzov turi  va kuzov raqami*</v>
      </c>
      <c r="C17" s="39" t="str">
        <f>dalolatnoma!C29</f>
        <v>Dvigatel va shassi raqami*</v>
      </c>
      <c r="D17" s="39" t="str">
        <f>dalolatnoma!D29</f>
        <v>Ishlab chiqarilgan yili va rangi*</v>
      </c>
      <c r="E17" s="39" t="str">
        <f>dalolatnoma!E29</f>
        <v>Kelishilgan garov qiymati, so'm</v>
      </c>
    </row>
    <row r="18" spans="1:5" ht="67.5" customHeight="1" outlineLevel="1" x14ac:dyDescent="0.25">
      <c r="A18" s="214" t="str">
        <f>dalolatnoma!A30</f>
        <v>CHEVROLET LACETTI SX</v>
      </c>
      <c r="B18" s="214" t="str">
        <f>dalolatnoma!B30</f>
        <v>kuzov turi - YENGIL SEDAN, kuzov raqami XWB5M31BDAA036806</v>
      </c>
      <c r="C18" s="214" t="str">
        <f>dalolatnoma!C30</f>
        <v>dvigatel raqami F18D31900191, shassi raqami - Rakamsiz</v>
      </c>
      <c r="D18" s="214" t="str">
        <f>dalolatnoma!D30</f>
        <v>rangi -  OQ BELIY, ishlab chiqarilgan yili - 2010</v>
      </c>
      <c r="E18" s="214" t="str">
        <f>dalolatnoma!E30</f>
        <v>45 000 000,00 
(qirq besh million so'm)</v>
      </c>
    </row>
    <row r="19" spans="1:5" ht="20.25" customHeight="1" outlineLevel="1" x14ac:dyDescent="0.25">
      <c r="A19" s="269" t="str">
        <f>dalolatnoma!A22:E22</f>
        <v>-* avtotransport egasi: UMAROV YO'LDOSHBOY AVALBEKOVICH</v>
      </c>
      <c r="B19" s="269"/>
      <c r="C19" s="269"/>
      <c r="D19" s="269"/>
      <c r="E19" s="269"/>
    </row>
    <row r="20" spans="1:5" ht="20.25" customHeight="1" outlineLevel="1" x14ac:dyDescent="0.25">
      <c r="A20" s="269" t="str">
        <f>dalolatnoma!A23:E23</f>
        <v>-* texnik pasport: AAG5907774    27.03.2025</v>
      </c>
      <c r="B20" s="269"/>
      <c r="C20" s="269"/>
      <c r="D20" s="269"/>
      <c r="E20" s="269"/>
    </row>
    <row r="21" spans="1:5" ht="36" customHeight="1" outlineLevel="1" x14ac:dyDescent="0.25">
      <c r="A21" s="269" t="str">
        <f>dalolatnoma!A24:E24</f>
        <v>-* roʻyxatdan oʻtgan manzili/garaj manzili: NAVOIY VILOYATI NUROTA TUMANI TEMIRKOVUK MFY YOSHLIK KO'CHASI 67-UY</v>
      </c>
      <c r="B21" s="269"/>
      <c r="C21" s="269"/>
      <c r="D21" s="269"/>
      <c r="E21" s="269"/>
    </row>
    <row r="22" spans="1:5" ht="19.5" customHeight="1" outlineLevel="1" x14ac:dyDescent="0.25">
      <c r="A22" s="269" t="str">
        <f>dalolatnoma!A25:E25</f>
        <v>-* davlat raqami: 85B103PA</v>
      </c>
      <c r="B22" s="269"/>
      <c r="C22" s="269"/>
      <c r="D22" s="269"/>
      <c r="E22" s="269"/>
    </row>
    <row r="23" spans="1:5" ht="31.15" customHeight="1" x14ac:dyDescent="0.25">
      <c r="A23" s="267" t="str">
        <f>"	«"&amp;malumot!B153&amp;"» АJ sug‘urta kompaniyasi bilan Mikroqarz to'lamaslik xavfini "&amp;FIXED(malumot!B154,2)&amp;"("&amp;malumot!B155&amp;") so'm miqdoriga sug’urta qilish shartnomasi tuzilsin"</f>
        <v xml:space="preserve">	«АО "APEX INSURANCE"» АJ sug‘urta kompaniyasi bilan Mikroqarz to'lamaslik xavfini 10 000 000,00(o'n million so'm) so'm miqdoriga sug’urta qilish shartnomasi tuzilsin</v>
      </c>
      <c r="B23" s="267"/>
      <c r="C23" s="267"/>
      <c r="D23" s="267"/>
      <c r="E23" s="267"/>
    </row>
    <row r="24" spans="1:5" s="37" customFormat="1" x14ac:dyDescent="0.2">
      <c r="A24" s="269"/>
      <c r="B24" s="269"/>
      <c r="C24" s="269"/>
      <c r="D24" s="269"/>
      <c r="E24" s="269"/>
    </row>
    <row r="25" spans="1:5" x14ac:dyDescent="0.25">
      <c r="B25" s="37"/>
    </row>
    <row r="26" spans="1:5" x14ac:dyDescent="0.25">
      <c r="B26" s="37"/>
    </row>
    <row r="27" spans="1:5" ht="67.5" customHeight="1" x14ac:dyDescent="0.25">
      <c r="A27" s="247" t="s">
        <v>440</v>
      </c>
      <c r="B27" s="37"/>
      <c r="D27" s="37" t="s">
        <v>399</v>
      </c>
    </row>
  </sheetData>
  <mergeCells count="19">
    <mergeCell ref="A14:E14"/>
    <mergeCell ref="A21:E21"/>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 ref="A13:E13"/>
    <mergeCell ref="A15:E15"/>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topLeftCell="A32" zoomScaleNormal="100" zoomScaleSheetLayoutView="100" workbookViewId="0">
      <selection activeCell="B53" sqref="B53"/>
    </sheetView>
  </sheetViews>
  <sheetFormatPr defaultRowHeight="15" x14ac:dyDescent="0.25"/>
  <cols>
    <col min="1" max="1" width="22.85546875" style="63" customWidth="1"/>
    <col min="2" max="2" width="24.28515625" style="63" customWidth="1"/>
    <col min="3" max="3" width="18.42578125" style="63" customWidth="1"/>
    <col min="4" max="4" width="18" style="63" customWidth="1"/>
    <col min="5" max="5" width="25.140625" style="63"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72" t="str">
        <f>""&amp;malumot!B157&amp;"
mikromoliya tashkiloti
Kredit qo‘mitasining yig‘ilishi"</f>
        <v>«CLEVER MIKROMOLIYA TASHKILOTI» MChJ
mikromoliya tashkiloti
Kredit qo‘mitasining yig‘ilishi</v>
      </c>
      <c r="B1" s="272"/>
      <c r="C1" s="272"/>
      <c r="D1" s="272"/>
      <c r="E1" s="272"/>
    </row>
    <row r="2" spans="1:33" ht="29.25" customHeight="1" x14ac:dyDescent="0.25">
      <c r="A2" s="272" t="str">
        <f>""&amp;H7&amp;" protokolidan ko'chirma"</f>
        <v>№680-NVS protokolidan ko'chirma</v>
      </c>
      <c r="B2" s="272"/>
      <c r="C2" s="272"/>
      <c r="D2" s="272"/>
      <c r="E2" s="272"/>
    </row>
    <row r="3" spans="1:33" ht="29.25" customHeight="1" x14ac:dyDescent="0.25">
      <c r="A3" s="137" t="s">
        <v>202</v>
      </c>
      <c r="B3" s="53"/>
      <c r="C3" s="53"/>
      <c r="D3" s="53"/>
      <c r="E3" s="138" t="str">
        <f>malumot!B68</f>
        <v>27 mart 2025 y.</v>
      </c>
    </row>
    <row r="4" spans="1:33" ht="21" customHeight="1" x14ac:dyDescent="0.25">
      <c r="A4" s="53"/>
      <c r="B4" s="272" t="s">
        <v>201</v>
      </c>
      <c r="C4" s="272"/>
      <c r="D4" s="272"/>
      <c r="E4" s="53"/>
    </row>
    <row r="5" spans="1:33" ht="28.5" customHeight="1" x14ac:dyDescent="0.25">
      <c r="A5" s="271" t="str">
        <f>"         "&amp;H8&amp;"."&amp;malumot!B5&amp;" ga "&amp;malumot!B65&amp;" berish masalasini ko‘rib chiqish to‘g‘risida."</f>
        <v xml:space="preserve">         1.UMAROV YO'LDOSHBOY AVALBEKOVICH ga mikroqarz berish masalasini ko‘rib chiqish to‘g‘risida.</v>
      </c>
      <c r="B5" s="271"/>
      <c r="C5" s="271"/>
      <c r="D5" s="271"/>
      <c r="E5" s="271"/>
    </row>
    <row r="6" spans="1:33" ht="9" customHeight="1" x14ac:dyDescent="0.25"/>
    <row r="7" spans="1:33" ht="21" customHeight="1" x14ac:dyDescent="0.35">
      <c r="A7" s="269" t="str">
        <f>"      "&amp;H9&amp;" masala yuzasidan: «Clever Mikromoliya Tashkiloti» MChJ mikromoliya tashkiloti kredit bo‘yicha menejeri  "&amp;malumot!B5&amp;"ga "&amp;FIXED(malumot!B76)&amp;" ("&amp;malumot!B77&amp;") so‘m miqdorida, muddati "&amp;malumot!B82&amp;" ("&amp;malumot!B83&amp;") oyga va yillik 60 (Oltmish) foiz miqdorida "&amp;malumot!B65&amp;" berich bo‘yicha "&amp;malumot!B5&amp;"ning kredit arizasi va "&amp;malumot!B157&amp;"ning xulosasi bilan ishtirokchilarni tanishtirdi."</f>
        <v xml:space="preserve">      Birinchi masala yuzasidan: «Clever Mikromoliya Tashkiloti» MChJ mikromoliya tashkiloti kredit bo‘yicha menejeri  UMAROV YO'LDOSHBOY AVALBEKOVICHga 40 000 000,00 (qirq million so'm) so‘m miqdorida, muddati 36 (O'ttiz olti) oyga va yillik 60 (Oltmish) foiz miqdorida mikroqarz berich bo‘yicha UMAROV YO'LDOSHBOY AVALBEKOVICHning kredit arizasi va «CLEVER MIKROMOLIYA TASHKILOTI» MChJning xulosasi bilan ishtirokchilarni tanishtirdi.</v>
      </c>
      <c r="B7" s="269"/>
      <c r="C7" s="269"/>
      <c r="D7" s="269"/>
      <c r="E7" s="269"/>
      <c r="G7" s="64" t="s">
        <v>256</v>
      </c>
      <c r="H7" s="65" t="str">
        <f>malumot!B1</f>
        <v>№680-NVS</v>
      </c>
    </row>
    <row r="8" spans="1:33" ht="44.25" customHeight="1" x14ac:dyDescent="0.35">
      <c r="A8" s="269"/>
      <c r="B8" s="269"/>
      <c r="C8" s="269"/>
      <c r="D8" s="269"/>
      <c r="E8" s="269"/>
      <c r="G8" s="64" t="s">
        <v>257</v>
      </c>
      <c r="H8" s="65">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75" customHeight="1" x14ac:dyDescent="0.35">
      <c r="A9" s="269"/>
      <c r="B9" s="269"/>
      <c r="C9" s="269"/>
      <c r="D9" s="269"/>
      <c r="E9" s="269"/>
      <c r="G9" s="64" t="s">
        <v>258</v>
      </c>
      <c r="H9" s="65" t="str">
        <f>IF(H8=I8,I9,IF(H8=J8,J9,IF(H8=K8,K9,IF(H8=L8,L9,IF(H8=M8,M9,IF(H8=N8,N9,IF(H8=O8,O9,IF(H8=P8,P9,IF(H8=Q8,Q9,IF(H8=R8,R9,IF(H8=S8,S9,IF(H8=T8,T9,IF(H8=U8,U9,IF(H8=V8,V9,IF(H8=W8,W9,IF(H8=X8,X9,IF(H8=Y8,Y9,IF(H8=Z8,Z9,IF(H8=AA8,AA9,IF(H8=AB8,AB9,IF(H8=AC8,AC9,IF(H8=AD8,AD9,IF(H8=AE8,AE9,IF(H8=AF8,AF9,IF(H8=AG8,AG9)))))))))))))))))))))))))</f>
        <v>Birinchi</v>
      </c>
      <c r="I9" s="158" t="s">
        <v>189</v>
      </c>
      <c r="J9" s="159" t="s">
        <v>190</v>
      </c>
      <c r="K9" s="159" t="s">
        <v>191</v>
      </c>
      <c r="L9" s="159" t="s">
        <v>364</v>
      </c>
      <c r="M9" s="159" t="s">
        <v>192</v>
      </c>
      <c r="N9" s="159" t="s">
        <v>365</v>
      </c>
      <c r="O9" s="159" t="s">
        <v>193</v>
      </c>
      <c r="P9" s="159" t="s">
        <v>194</v>
      </c>
      <c r="Q9" s="159" t="s">
        <v>195</v>
      </c>
      <c r="R9" s="159" t="s">
        <v>354</v>
      </c>
      <c r="S9" s="159" t="s">
        <v>355</v>
      </c>
      <c r="T9" s="159" t="s">
        <v>356</v>
      </c>
      <c r="U9" s="159" t="s">
        <v>357</v>
      </c>
      <c r="V9" s="159" t="s">
        <v>366</v>
      </c>
      <c r="W9" s="159" t="s">
        <v>358</v>
      </c>
      <c r="X9" s="159" t="s">
        <v>359</v>
      </c>
      <c r="Y9" s="159" t="s">
        <v>360</v>
      </c>
      <c r="Z9" s="159" t="s">
        <v>361</v>
      </c>
      <c r="AA9" s="159" t="s">
        <v>362</v>
      </c>
      <c r="AB9" s="159" t="s">
        <v>196</v>
      </c>
      <c r="AC9" s="159" t="s">
        <v>197</v>
      </c>
      <c r="AD9" s="159" t="s">
        <v>198</v>
      </c>
      <c r="AE9" s="159" t="s">
        <v>199</v>
      </c>
      <c r="AF9" s="159" t="s">
        <v>363</v>
      </c>
      <c r="AG9" s="159" t="s">
        <v>200</v>
      </c>
    </row>
    <row r="10" spans="1:33" ht="20.25" hidden="1" customHeight="1" x14ac:dyDescent="0.25">
      <c r="A10" s="269"/>
      <c r="B10" s="269"/>
      <c r="C10" s="269"/>
      <c r="D10" s="269"/>
      <c r="E10" s="269"/>
    </row>
    <row r="11" spans="1:33" ht="15.75" customHeight="1" x14ac:dyDescent="0.25">
      <c r="A11" s="267" t="str">
        <f>""&amp;malumot!C64&amp;" ta’minoti:"</f>
        <v>Mikroqarz ta’minoti:</v>
      </c>
      <c r="B11" s="267"/>
      <c r="C11" s="267"/>
      <c r="D11" s="267"/>
      <c r="E11" s="267"/>
    </row>
    <row r="12" spans="1:33" ht="7.5" customHeight="1" x14ac:dyDescent="0.25"/>
    <row r="13" spans="1:33" ht="64.5" customHeight="1" x14ac:dyDescent="0.25">
      <c r="A13" s="269" t="str">
        <f>xulosa!A18:E18</f>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13" s="269"/>
      <c r="C13" s="269"/>
      <c r="D13" s="269"/>
      <c r="E13" s="269"/>
    </row>
    <row r="14" spans="1:33" ht="31.9" customHeight="1" x14ac:dyDescent="0.25">
      <c r="A14" s="267" t="str">
        <f>"2. «"&amp;malumot!B153&amp;"» АJ sug‘urta kompaniyasi tomonidan Mikroqarz to'lamaslik xavfini "&amp;FIXED(malumot!B154,2)&amp;"("&amp;malumot!B155&amp;") so ' m miqdoriga sug’urta qilish"</f>
        <v>2. «АО "APEX INSURANCE"» АJ sug‘urta kompaniyasi tomonidan Mikroqarz to'lamaslik xavfini 10 000 000,00(o'n million so'm) so ' m miqdoriga sug’urta qilish</v>
      </c>
      <c r="B14" s="267"/>
      <c r="C14" s="267"/>
      <c r="D14" s="267"/>
      <c r="E14" s="267"/>
    </row>
    <row r="15" spans="1:33" ht="17.25" customHeight="1" x14ac:dyDescent="0.25">
      <c r="C15" s="160" t="s">
        <v>373</v>
      </c>
      <c r="D15" s="160" t="str">
        <f>""&amp;malumot!B157&amp;" kredit qo‘mitasi"</f>
        <v>«CLEVER MIKROMOLIYA TASHKILOTI» MChJ kredit qo‘mitasi</v>
      </c>
      <c r="E15" s="160"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69"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69"/>
      <c r="C16" s="269"/>
      <c r="D16" s="269"/>
      <c r="E16" s="269"/>
    </row>
    <row r="17" spans="1:5" ht="24" customHeight="1" x14ac:dyDescent="0.25">
      <c r="A17" s="273" t="s">
        <v>259</v>
      </c>
      <c r="B17" s="273"/>
      <c r="C17" s="273"/>
      <c r="D17" s="273"/>
      <c r="E17" s="273"/>
    </row>
    <row r="18" spans="1:5" ht="32.25" customHeight="1" x14ac:dyDescent="0.25">
      <c r="A18" s="269" t="str">
        <f>"       "&amp;malumot!B5&amp;"ga quyidagi shartlarda "&amp;malumot!B65&amp;" berish masalasi ma’qullansin:"</f>
        <v xml:space="preserve">       UMAROV YO'LDOSHBOY AVALBEKOVICHga quyidagi shartlarda mikroqarz berish masalasi ma’qullansin:</v>
      </c>
      <c r="B18" s="269"/>
      <c r="C18" s="269"/>
      <c r="D18" s="269"/>
      <c r="E18" s="269"/>
    </row>
    <row r="19" spans="1:5" s="139" customFormat="1" ht="18.75" customHeight="1" x14ac:dyDescent="0.25">
      <c r="A19" s="271" t="str">
        <f>"1. "&amp;malumot!C64&amp;" summasi: "&amp;FIXED(malumot!B76)&amp;" ("&amp;malumot!B77&amp;") so'm."</f>
        <v>1. Mikroqarz summasi: 40 000 000,00 (qirq million so'm) so'm.</v>
      </c>
      <c r="B19" s="271"/>
      <c r="C19" s="271"/>
      <c r="D19" s="271"/>
      <c r="E19" s="271"/>
    </row>
    <row r="20" spans="1:5" s="139" customFormat="1" ht="18.75" customHeight="1" x14ac:dyDescent="0.25">
      <c r="A20" s="271" t="str">
        <f>"2. "&amp;malumot!C64&amp;" muddati: "&amp;malumot!B82&amp;" ("&amp;malumot!B83&amp;") oy "</f>
        <v xml:space="preserve">2. Mikroqarz muddati: 36 (O'ttiz olti) oy </v>
      </c>
      <c r="B20" s="271"/>
      <c r="C20" s="271"/>
      <c r="D20" s="271"/>
      <c r="E20" s="271"/>
    </row>
    <row r="21" spans="1:5" s="139" customFormat="1" ht="18.75" customHeight="1" x14ac:dyDescent="0.25">
      <c r="A21" s="271" t="str">
        <f>"3. "&amp;malumot!C64&amp;"dan foydalanganlik uchun foiz stavkasi:yillik "&amp;malumot!B86&amp;"% ("&amp;malumot!B87&amp;") foiz."</f>
        <v>3. Mikroqarzdan foydalanganlik uchun foiz stavkasi:yillik 60% (Oltmish) foiz.</v>
      </c>
      <c r="B21" s="271"/>
      <c r="C21" s="271"/>
      <c r="D21" s="271"/>
      <c r="E21" s="271"/>
    </row>
    <row r="22" spans="1:5" s="139" customFormat="1" ht="18.75" customHeight="1" x14ac:dyDescent="0.25">
      <c r="A22" s="271" t="str">
        <f>"4. "&amp;malumot!C64&amp;" bo‘yicha asosiy qarz va foizlarni to‘lash:"</f>
        <v>4. Mikroqarz bo‘yicha asosiy qarz va foizlarni to‘lash:</v>
      </c>
      <c r="B22" s="271"/>
      <c r="C22" s="271"/>
      <c r="D22" s="271"/>
      <c r="E22" s="271"/>
    </row>
    <row r="23" spans="1:5" s="139" customFormat="1" ht="18.75" customHeight="1" x14ac:dyDescent="0.25">
      <c r="A23" s="271" t="str">
        <f>kredit_ariza!A19:D19</f>
        <v xml:space="preserve"> - mikroqarz shartnomasi bo'yicha har oy differensial to'lovlari amalga oshiriladi</v>
      </c>
      <c r="B23" s="271"/>
      <c r="C23" s="271"/>
      <c r="D23" s="271"/>
      <c r="E23" s="271"/>
    </row>
    <row r="24" spans="1:5" s="139" customFormat="1" ht="18.75" customHeight="1" x14ac:dyDescent="0.25">
      <c r="A24" s="271" t="s">
        <v>388</v>
      </c>
      <c r="B24" s="271"/>
      <c r="C24" s="271"/>
      <c r="D24" s="271"/>
      <c r="E24" s="271"/>
    </row>
    <row r="25" spans="1:5" ht="48" customHeight="1" x14ac:dyDescent="0.25">
      <c r="A25" s="269" t="str">
        <f>"1. garov  "&amp;xulosa!A29:E29&amp;""</f>
        <v>1. garov   - UMAROV YO'LDOSHBOY AVALBEKOVICH ga mulk huquqi asosida tegishli avtotransport vositasi CHEVROLET LACETTI SX , quyidagi tafsilotlarga muvofiq:</v>
      </c>
      <c r="B25" s="269"/>
      <c r="C25" s="269"/>
      <c r="D25" s="269"/>
      <c r="E25" s="269"/>
    </row>
    <row r="26" spans="1:5" ht="40.5" customHeight="1" x14ac:dyDescent="0.25">
      <c r="A26" s="17" t="str">
        <f>dalolatnoma!A29</f>
        <v>Nomi</v>
      </c>
      <c r="B26" s="17" t="str">
        <f>dalolatnoma!B29</f>
        <v>Kuzov turi  va kuzov raqami*</v>
      </c>
      <c r="C26" s="17" t="str">
        <f>dalolatnoma!C29</f>
        <v>Dvigatel va shassi raqami*</v>
      </c>
      <c r="D26" s="17" t="str">
        <f>dalolatnoma!D29</f>
        <v>Ishlab chiqarilgan yili va rangi*</v>
      </c>
      <c r="E26" s="17" t="str">
        <f>dalolatnoma!E29</f>
        <v>Kelishilgan garov qiymati, so'm</v>
      </c>
    </row>
    <row r="27" spans="1:5" ht="75.75" customHeight="1" x14ac:dyDescent="0.25">
      <c r="A27" s="17" t="str">
        <f>dalolatnoma!A30</f>
        <v>CHEVROLET LACETTI SX</v>
      </c>
      <c r="B27" s="17" t="str">
        <f>dalolatnoma!B30</f>
        <v>kuzov turi - YENGIL SEDAN, kuzov raqami XWB5M31BDAA036806</v>
      </c>
      <c r="C27" s="17" t="str">
        <f>dalolatnoma!C30</f>
        <v>dvigatel raqami F18D31900191, shassi raqami - Rakamsiz</v>
      </c>
      <c r="D27" s="17" t="str">
        <f>dalolatnoma!D30</f>
        <v>rangi -  OQ BELIY, ishlab chiqarilgan yili - 2010</v>
      </c>
      <c r="E27" s="17" t="str">
        <f>dalolatnoma!E30</f>
        <v>45 000 000,00 
(qirq besh million so'm)</v>
      </c>
    </row>
    <row r="28" spans="1:5" ht="20.25" customHeight="1" x14ac:dyDescent="0.25">
      <c r="A28" s="269" t="str">
        <f>dalolatnoma!A22:E22</f>
        <v>-* avtotransport egasi: UMAROV YO'LDOSHBOY AVALBEKOVICH</v>
      </c>
      <c r="B28" s="269"/>
      <c r="C28" s="269"/>
      <c r="D28" s="269"/>
      <c r="E28" s="269"/>
    </row>
    <row r="29" spans="1:5" ht="20.25" customHeight="1" x14ac:dyDescent="0.25">
      <c r="A29" s="269" t="str">
        <f>dalolatnoma!A23:E23</f>
        <v>-* texnik pasport: AAG5907774    27.03.2025</v>
      </c>
      <c r="B29" s="269"/>
      <c r="C29" s="269"/>
      <c r="D29" s="269"/>
      <c r="E29" s="269"/>
    </row>
    <row r="30" spans="1:5" ht="34.5" customHeight="1" x14ac:dyDescent="0.25">
      <c r="A30" s="269" t="str">
        <f>dalolatnoma!A24:E24</f>
        <v>-* roʻyxatdan oʻtgan manzili/garaj manzili: NAVOIY VILOYATI NUROTA TUMANI TEMIRKOVUK MFY YOSHLIK KO'CHASI 67-UY</v>
      </c>
      <c r="B30" s="269"/>
      <c r="C30" s="269"/>
      <c r="D30" s="269"/>
      <c r="E30" s="269"/>
    </row>
    <row r="31" spans="1:5" ht="22.5" customHeight="1" x14ac:dyDescent="0.25">
      <c r="A31" s="269" t="str">
        <f>dalolatnoma!A25:E25</f>
        <v>-* davlat raqami: 85B103PA</v>
      </c>
      <c r="B31" s="269"/>
      <c r="C31" s="269"/>
      <c r="D31" s="269"/>
      <c r="E31" s="269"/>
    </row>
    <row r="32" spans="1:5" ht="12" customHeight="1" x14ac:dyDescent="0.25">
      <c r="A32" s="140"/>
      <c r="B32" s="140"/>
      <c r="C32" s="140"/>
      <c r="D32" s="140"/>
      <c r="E32" s="140"/>
    </row>
    <row r="33" spans="1:5" ht="34.9" customHeight="1" x14ac:dyDescent="0.25">
      <c r="A33" s="269" t="str">
        <f>"6. «"&amp;malumot!B153&amp;"» АJ sug‘urta kompaniyasi tomonidan Mikroqarz to'lamaslik xavfini "&amp;FIXED(malumot!B154,2)&amp;"("&amp;malumot!B155&amp;") so ' m miqdoriga sug’urta qilish"</f>
        <v>6. «АО "APEX INSURANCE"» АJ sug‘urta kompaniyasi tomonidan Mikroqarz to'lamaslik xavfini 10 000 000,00(o'n million so'm) so ' m miqdoriga sug’urta qilish</v>
      </c>
      <c r="B33" s="269"/>
      <c r="C33" s="269"/>
      <c r="D33" s="269"/>
      <c r="E33" s="269"/>
    </row>
    <row r="34" spans="1:5" ht="22.5" customHeight="1" x14ac:dyDescent="0.25">
      <c r="A34" s="269" t="str">
        <f>"7. Boshqa shartlar – "&amp;IF(malumot!B110=malumot!B111,"avtotransport vositasi",IF(malumot!B110=malumot!C111,"ko'chmas mulk",0))&amp;" shaklida garov ta'minlangandan keyin "&amp;malumot!B65&amp;" berish."</f>
        <v>7. Boshqa shartlar – 0 shaklida garov ta'minlangandan keyin mikroqarz berish.</v>
      </c>
      <c r="B34" s="269"/>
      <c r="C34" s="269"/>
      <c r="D34" s="269"/>
      <c r="E34" s="269"/>
    </row>
    <row r="36" spans="1:5" ht="24" customHeight="1" x14ac:dyDescent="0.25">
      <c r="A36" s="274" t="s">
        <v>260</v>
      </c>
      <c r="B36" s="274"/>
      <c r="C36" s="274"/>
      <c r="D36" s="274"/>
      <c r="E36" s="274"/>
    </row>
    <row r="37" spans="1:5" hidden="1" x14ac:dyDescent="0.25">
      <c r="A37" s="20"/>
      <c r="B37" s="270"/>
      <c r="C37" s="270"/>
      <c r="D37" s="212"/>
      <c r="E37" s="20"/>
    </row>
    <row r="38" spans="1:5" hidden="1" x14ac:dyDescent="0.25">
      <c r="A38" s="20"/>
      <c r="B38" s="270"/>
      <c r="C38" s="270"/>
      <c r="D38" s="212"/>
      <c r="E38" s="20"/>
    </row>
    <row r="39" spans="1:5" hidden="1" x14ac:dyDescent="0.25">
      <c r="A39" s="20"/>
      <c r="B39" s="270"/>
      <c r="C39" s="270"/>
      <c r="D39" s="212"/>
      <c r="E39" s="20"/>
    </row>
    <row r="41" spans="1:5" ht="65.25" customHeight="1" x14ac:dyDescent="0.25">
      <c r="A41" s="247" t="str">
        <f>malumot!B157&amp;" ijrochi direktori"</f>
        <v>«CLEVER MIKROMOLIYA TASHKILOTI» MChJ ijrochi direktori</v>
      </c>
      <c r="B41" s="385"/>
      <c r="C41" s="385"/>
      <c r="D41" s="384" t="s">
        <v>399</v>
      </c>
    </row>
    <row r="42" spans="1:5" x14ac:dyDescent="0.25">
      <c r="A42" s="385"/>
      <c r="B42" s="385"/>
      <c r="C42" s="385"/>
      <c r="D42" s="385"/>
    </row>
    <row r="43" spans="1:5" x14ac:dyDescent="0.25">
      <c r="A43" s="385"/>
      <c r="B43" s="385"/>
      <c r="C43" s="385"/>
      <c r="D43" s="385"/>
    </row>
    <row r="44" spans="1:5" x14ac:dyDescent="0.25">
      <c r="A44" s="385"/>
      <c r="B44" s="385"/>
      <c r="C44" s="385"/>
      <c r="D44" s="385"/>
    </row>
    <row r="45" spans="1:5" ht="29.25" x14ac:dyDescent="0.25">
      <c r="A45" s="385" t="str">
        <f>malumot!A169</f>
        <v>Kreditlash bo’limi boshlig’i</v>
      </c>
      <c r="B45" s="385"/>
      <c r="C45" s="385"/>
      <c r="D45" s="385" t="str">
        <f>malumot!B169</f>
        <v>B. Mominov</v>
      </c>
    </row>
    <row r="46" spans="1:5" x14ac:dyDescent="0.25">
      <c r="A46" s="385"/>
      <c r="B46" s="385"/>
      <c r="C46" s="385"/>
      <c r="D46" s="385"/>
    </row>
    <row r="47" spans="1:5" x14ac:dyDescent="0.25">
      <c r="A47" s="385"/>
      <c r="B47" s="385"/>
      <c r="C47" s="385"/>
      <c r="D47" s="385"/>
    </row>
    <row r="48" spans="1:5" x14ac:dyDescent="0.25">
      <c r="A48" s="385"/>
      <c r="B48" s="385"/>
      <c r="C48" s="385"/>
      <c r="D48" s="385"/>
    </row>
    <row r="49" spans="1:4" ht="29.25" x14ac:dyDescent="0.25">
      <c r="A49" s="385" t="str">
        <f>malumot!A170</f>
        <v>Monitoring bo’limi boshlig’i</v>
      </c>
      <c r="B49" s="385"/>
      <c r="C49" s="385"/>
      <c r="D49" s="385" t="str">
        <f>malumot!B170</f>
        <v>B. Jumanazarov</v>
      </c>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70866141732283472" top="0.74803149606299213" bottom="0.74803149606299213" header="0.31496062992125984" footer="0.31496062992125984"/>
  <pageSetup paperSize="9" scale="68"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x14ac:dyDescent="0.25"/>
  <cols>
    <col min="1" max="1" width="9.140625" style="92"/>
    <col min="2" max="2" width="12.28515625" style="92" customWidth="1"/>
    <col min="3" max="3" width="16.5703125" style="92" customWidth="1"/>
    <col min="4" max="4" width="16.7109375" style="92" customWidth="1"/>
    <col min="5" max="5" width="16.5703125" style="92" customWidth="1"/>
    <col min="6" max="6" width="20.85546875" style="92" customWidth="1"/>
    <col min="7" max="7" width="10.140625" style="92" customWidth="1" outlineLevel="1"/>
    <col min="8" max="8" width="19.140625" style="92" customWidth="1"/>
    <col min="9" max="9" width="21.42578125" style="92" customWidth="1"/>
    <col min="10" max="10" width="20.85546875" style="92" customWidth="1"/>
    <col min="11" max="11" width="20.140625" style="92" customWidth="1"/>
    <col min="12" max="12" width="21.42578125" style="92" customWidth="1"/>
    <col min="13" max="13" width="25.42578125" style="92" customWidth="1"/>
    <col min="14" max="14" width="18.28515625" style="92" customWidth="1"/>
    <col min="15" max="17" width="9.140625" style="15"/>
    <col min="18" max="18" width="24.42578125" style="15" customWidth="1"/>
    <col min="19" max="16384" width="9.140625" style="15"/>
  </cols>
  <sheetData>
    <row r="1" spans="1:22" x14ac:dyDescent="0.25">
      <c r="A1" s="91"/>
      <c r="B1" s="91"/>
      <c r="C1" s="91"/>
      <c r="D1" s="91"/>
      <c r="E1" s="275" t="s">
        <v>16</v>
      </c>
      <c r="F1" s="275"/>
    </row>
    <row r="2" spans="1:22" x14ac:dyDescent="0.25">
      <c r="A2" s="91"/>
      <c r="B2" s="91"/>
      <c r="C2" s="91"/>
      <c r="D2" s="91"/>
      <c r="E2" s="91"/>
      <c r="F2" s="93" t="str">
        <f>"к договору микрозайма "&amp;malumot!B74&amp;""</f>
        <v>к договору микрозайма 27 mart 2025 y.dan №680-NVS</v>
      </c>
    </row>
    <row r="3" spans="1:22" ht="19.5" customHeight="1" x14ac:dyDescent="0.25">
      <c r="A3" s="91"/>
      <c r="B3" s="91"/>
      <c r="C3" s="91"/>
      <c r="D3" s="91"/>
      <c r="E3" s="91"/>
      <c r="F3" s="91"/>
      <c r="H3" s="94"/>
      <c r="I3" s="94"/>
      <c r="J3" s="95"/>
      <c r="K3" s="95"/>
    </row>
    <row r="4" spans="1:22" ht="19.5" customHeight="1" x14ac:dyDescent="0.25">
      <c r="A4" s="276" t="s">
        <v>17</v>
      </c>
      <c r="B4" s="276"/>
      <c r="C4" s="276"/>
      <c r="D4" s="276"/>
      <c r="E4" s="276"/>
      <c r="F4" s="276"/>
      <c r="H4" s="94"/>
      <c r="I4" s="94"/>
      <c r="J4" s="94"/>
      <c r="K4" s="94"/>
    </row>
    <row r="5" spans="1:22" ht="19.5" customHeight="1" x14ac:dyDescent="0.25">
      <c r="L5" s="92">
        <f>malumot!B82</f>
        <v>36</v>
      </c>
    </row>
    <row r="6" spans="1:22" x14ac:dyDescent="0.25">
      <c r="A6" s="277" t="s">
        <v>15</v>
      </c>
      <c r="B6" s="278" t="s">
        <v>9</v>
      </c>
      <c r="C6" s="278" t="s">
        <v>10</v>
      </c>
      <c r="D6" s="279" t="s">
        <v>11</v>
      </c>
      <c r="E6" s="279"/>
      <c r="F6" s="279"/>
    </row>
    <row r="7" spans="1:22" s="16" customFormat="1" x14ac:dyDescent="0.25">
      <c r="A7" s="277"/>
      <c r="B7" s="278"/>
      <c r="C7" s="278"/>
      <c r="D7" s="96" t="s">
        <v>12</v>
      </c>
      <c r="E7" s="96" t="s">
        <v>13</v>
      </c>
      <c r="F7" s="96" t="s">
        <v>14</v>
      </c>
      <c r="G7" s="97"/>
      <c r="H7" s="97"/>
      <c r="I7" s="97"/>
      <c r="J7" s="97"/>
      <c r="K7" s="97"/>
      <c r="L7" s="97"/>
      <c r="M7" s="97"/>
      <c r="N7" s="97"/>
    </row>
    <row r="8" spans="1:22" x14ac:dyDescent="0.25">
      <c r="A8" s="98">
        <v>1</v>
      </c>
      <c r="B8" s="99">
        <f>malumot!B80</f>
        <v>45762</v>
      </c>
      <c r="C8" s="54">
        <f>malumot!B76</f>
        <v>40000000</v>
      </c>
      <c r="D8" s="54">
        <f>IF(IF(C8=0,L8,IF(C8&gt;1,I8))="",0,(IF(C8=0,L8,IF(C8&gt;1,I8))))</f>
        <v>1111111.1100000001</v>
      </c>
      <c r="E8" s="54">
        <f>IF(C8=0,N6,IF(C8&gt;1,L8))</f>
        <v>1249314.98</v>
      </c>
      <c r="F8" s="54">
        <f>IF(C8=0,O6,IF(C8&gt;1,M8))</f>
        <v>2360426.09</v>
      </c>
      <c r="G8" s="112">
        <f>B8-malumot!B67</f>
        <v>19</v>
      </c>
      <c r="H8" s="92">
        <f>DATE(YEAR(B8),12,31)-DATE(YEAR(B8),1,1)+1</f>
        <v>365</v>
      </c>
      <c r="I8" s="100">
        <f>IF(malumot!B84=0,ROUND(C8/L5,2),"")</f>
        <v>1111111.1100000001</v>
      </c>
      <c r="J8" s="100"/>
      <c r="K8" s="100"/>
      <c r="L8" s="94">
        <f>ROUND(C8*malumot!$B$85/H8,2)*G8</f>
        <v>1249314.98</v>
      </c>
      <c r="M8" s="94">
        <f t="shared" ref="M8:M31" si="0">D8+E8</f>
        <v>2360426.09</v>
      </c>
      <c r="N8" s="94"/>
      <c r="O8" s="109" t="str">
        <f>TEXT(B8,"ддд")</f>
        <v>Вт</v>
      </c>
      <c r="P8" s="111">
        <f>IF(O8=$U$8,2,IF(O8=$V$8,1,0))</f>
        <v>0</v>
      </c>
      <c r="Q8" s="111">
        <f>DAY(malumot!$B$79)+P8</f>
        <v>15</v>
      </c>
      <c r="R8" s="106"/>
      <c r="S8" s="107" t="s">
        <v>32</v>
      </c>
      <c r="T8" s="107" t="s">
        <v>33</v>
      </c>
      <c r="U8" s="107" t="s">
        <v>34</v>
      </c>
      <c r="V8" s="108" t="s">
        <v>35</v>
      </c>
    </row>
    <row r="9" spans="1:22" x14ac:dyDescent="0.25">
      <c r="A9" s="98">
        <v>2</v>
      </c>
      <c r="B9" s="99">
        <f>IF(A9&lt;=malumot!$B$82,DATE(YEAR(R9),MONTH(R9),DAY(IF(A9=malumot!$B$82,malumot!$B$67,IF(A9&lt;malumot!$B$82,(Q9),IF(A9&gt;malumot!$B$82,$H$44,0))))))</f>
        <v>45792</v>
      </c>
      <c r="C9" s="54">
        <f t="shared" ref="C9:C30" si="1">C8-D8</f>
        <v>38888888.890000001</v>
      </c>
      <c r="D9" s="54">
        <f t="shared" ref="D9:D30" si="2">IF(C9=0,L9,IF(C9&gt;1,I9))</f>
        <v>1111111.1100000001</v>
      </c>
      <c r="E9" s="54">
        <f t="shared" ref="E9:E30" si="3">IF(C9=0,N8,IF(C9&gt;1,L9))</f>
        <v>1917808.2000000002</v>
      </c>
      <c r="F9" s="54">
        <f t="shared" ref="F9:F30" si="4">IF(C9=0,N8,IF(C9&gt;1,M9))</f>
        <v>3028919.3100000005</v>
      </c>
      <c r="G9" s="92">
        <f>B9-B8</f>
        <v>30</v>
      </c>
      <c r="H9" s="92">
        <f t="shared" ref="H9:H31" si="5">DATE(YEAR(B9),12,31)-DATE(YEAR(B9),1,1)+1</f>
        <v>365</v>
      </c>
      <c r="I9" s="100">
        <f>IF(I8="",ROUND(C8/(L5-1),2),I8)</f>
        <v>1111111.1100000001</v>
      </c>
      <c r="J9" s="100"/>
      <c r="K9" s="100"/>
      <c r="L9" s="94">
        <f>ROUND(C9*malumot!$B$85/H9,2)*G9</f>
        <v>1917808.2000000002</v>
      </c>
      <c r="M9" s="94">
        <f t="shared" si="0"/>
        <v>3028919.3100000005</v>
      </c>
      <c r="N9" s="94"/>
      <c r="O9" s="109" t="str">
        <f>TEXT(R9,"ддд")</f>
        <v>Чт</v>
      </c>
      <c r="P9" s="111">
        <f t="shared" ref="P9:P31" si="6">IF(O9=$U$8,2,IF(O9=$V$8,1,0))</f>
        <v>0</v>
      </c>
      <c r="Q9" s="111">
        <f>DAY(malumot!$B$79)+P9</f>
        <v>15</v>
      </c>
      <c r="R9" s="106">
        <f>IF(A9&lt;=malumot!$B$82,DATE(YEAR($B$8),MONTH($B$8)+A8,DAY(malumot!$B$79)),0)</f>
        <v>45792</v>
      </c>
      <c r="S9" s="92"/>
      <c r="T9" s="92"/>
      <c r="U9" s="92"/>
      <c r="V9" s="92"/>
    </row>
    <row r="10" spans="1:22" x14ac:dyDescent="0.25">
      <c r="A10" s="98">
        <v>3</v>
      </c>
      <c r="B10" s="99">
        <f>IF(A10&lt;=malumot!$B$82,DATE(YEAR(R10),MONTH(R10),DAY(IF(A10=malumot!$B$82,malumot!$B$67,IF(A10&lt;malumot!$B$82,(Q10),IF(A10&gt;malumot!$B$82,$H$44,0))))))</f>
        <v>45824</v>
      </c>
      <c r="C10" s="54">
        <f t="shared" si="1"/>
        <v>37777777.780000001</v>
      </c>
      <c r="D10" s="54">
        <f t="shared" si="2"/>
        <v>1111111.1100000001</v>
      </c>
      <c r="E10" s="54">
        <f t="shared" si="3"/>
        <v>1987214.72</v>
      </c>
      <c r="F10" s="54">
        <f t="shared" si="4"/>
        <v>3098325.83</v>
      </c>
      <c r="G10" s="92">
        <f t="shared" ref="G10:G31" si="7">B10-B9</f>
        <v>32</v>
      </c>
      <c r="H10" s="92">
        <f t="shared" si="5"/>
        <v>365</v>
      </c>
      <c r="I10" s="100">
        <f>I9</f>
        <v>1111111.1100000001</v>
      </c>
      <c r="J10" s="100"/>
      <c r="K10" s="100"/>
      <c r="L10" s="94">
        <f>ROUND(C10*malumot!$B$85/H10,2)*G10</f>
        <v>1987214.72</v>
      </c>
      <c r="M10" s="94">
        <f t="shared" si="0"/>
        <v>3098325.83</v>
      </c>
      <c r="N10" s="94"/>
      <c r="O10" s="109" t="str">
        <f t="shared" ref="O10:O31" si="8">TEXT(R10,"ддд")</f>
        <v>Вс</v>
      </c>
      <c r="P10" s="111">
        <f t="shared" si="6"/>
        <v>1</v>
      </c>
      <c r="Q10" s="111">
        <f>DAY(malumot!$B$79)+P10</f>
        <v>16</v>
      </c>
      <c r="R10" s="106">
        <f>IF(A10&lt;=malumot!$B$82,DATE(YEAR($B$8),MONTH($B$8)+A9,DAY(malumot!$B$79)),0)</f>
        <v>45823</v>
      </c>
      <c r="S10" s="92"/>
      <c r="T10" s="92"/>
      <c r="U10" s="92"/>
      <c r="V10" s="92"/>
    </row>
    <row r="11" spans="1:22" x14ac:dyDescent="0.25">
      <c r="A11" s="98">
        <v>4</v>
      </c>
      <c r="B11" s="99">
        <f>IF(A11&lt;=malumot!$B$82,DATE(YEAR(R11),MONTH(R11),DAY(IF(A11=malumot!$B$82,malumot!$B$67,IF(A11&lt;malumot!$B$82,(Q11),IF(A11&gt;malumot!$B$82,$H$44,0))))))</f>
        <v>45853</v>
      </c>
      <c r="C11" s="54">
        <f t="shared" si="1"/>
        <v>36666666.670000002</v>
      </c>
      <c r="D11" s="54">
        <f t="shared" si="2"/>
        <v>1111111.1100000001</v>
      </c>
      <c r="E11" s="54">
        <f t="shared" si="3"/>
        <v>1747945.1300000001</v>
      </c>
      <c r="F11" s="54">
        <f t="shared" si="4"/>
        <v>2859056.24</v>
      </c>
      <c r="G11" s="92">
        <f t="shared" si="7"/>
        <v>29</v>
      </c>
      <c r="H11" s="92">
        <f t="shared" si="5"/>
        <v>365</v>
      </c>
      <c r="I11" s="100">
        <f>I10</f>
        <v>1111111.1100000001</v>
      </c>
      <c r="J11" s="100"/>
      <c r="K11" s="100"/>
      <c r="L11" s="94">
        <f>ROUND(C11*malumot!$B$85/H11,2)*G11</f>
        <v>1747945.1300000001</v>
      </c>
      <c r="M11" s="94">
        <f t="shared" si="0"/>
        <v>2859056.24</v>
      </c>
      <c r="N11" s="94"/>
      <c r="O11" s="109" t="str">
        <f t="shared" si="8"/>
        <v>Вт</v>
      </c>
      <c r="P11" s="111">
        <f t="shared" si="6"/>
        <v>0</v>
      </c>
      <c r="Q11" s="111">
        <f>DAY(malumot!$B$79)+P11</f>
        <v>15</v>
      </c>
      <c r="R11" s="106">
        <f>IF(A11&lt;=malumot!$B$82,DATE(YEAR($B$8),MONTH($B$8)+A10,DAY(malumot!$B$79)),0)</f>
        <v>45853</v>
      </c>
      <c r="S11" s="92"/>
      <c r="T11" s="92"/>
      <c r="U11" s="92"/>
      <c r="V11" s="92"/>
    </row>
    <row r="12" spans="1:22" x14ac:dyDescent="0.25">
      <c r="A12" s="98">
        <v>5</v>
      </c>
      <c r="B12" s="99">
        <f>IF(A12&lt;=malumot!$B$82,DATE(YEAR(R12),MONTH(R12),DAY(IF(A12=malumot!$B$82,malumot!$B$67,IF(A12&lt;malumot!$B$82,(Q12),IF(A12&gt;malumot!$B$82,$H$44,0))))))</f>
        <v>45884</v>
      </c>
      <c r="C12" s="54">
        <f t="shared" si="1"/>
        <v>35555555.560000002</v>
      </c>
      <c r="D12" s="54">
        <f t="shared" si="2"/>
        <v>1111111.1100000001</v>
      </c>
      <c r="E12" s="54">
        <f t="shared" si="3"/>
        <v>1811872.19</v>
      </c>
      <c r="F12" s="54">
        <f t="shared" si="4"/>
        <v>2922983.3</v>
      </c>
      <c r="G12" s="92">
        <f t="shared" si="7"/>
        <v>31</v>
      </c>
      <c r="H12" s="92">
        <f t="shared" si="5"/>
        <v>365</v>
      </c>
      <c r="I12" s="100">
        <f>I11</f>
        <v>1111111.1100000001</v>
      </c>
      <c r="J12" s="100">
        <f>malumot!B76</f>
        <v>40000000</v>
      </c>
      <c r="K12" s="100"/>
      <c r="L12" s="94">
        <f>ROUND(C12*malumot!$B$85/H12,2)*G12</f>
        <v>1811872.19</v>
      </c>
      <c r="M12" s="94">
        <f t="shared" si="0"/>
        <v>2922983.3</v>
      </c>
      <c r="N12" s="94"/>
      <c r="O12" s="109" t="str">
        <f t="shared" si="8"/>
        <v>Пт</v>
      </c>
      <c r="P12" s="111">
        <f t="shared" si="6"/>
        <v>0</v>
      </c>
      <c r="Q12" s="111">
        <f>DAY(malumot!$B$79)+P12</f>
        <v>15</v>
      </c>
      <c r="R12" s="106">
        <f>IF(A12&lt;=malumot!$B$82,DATE(YEAR($B$8),MONTH($B$8)+A11,DAY(malumot!$B$79)),0)</f>
        <v>45884</v>
      </c>
      <c r="S12" s="92"/>
      <c r="T12" s="92"/>
      <c r="U12" s="92"/>
      <c r="V12" s="92"/>
    </row>
    <row r="13" spans="1:22" x14ac:dyDescent="0.25">
      <c r="A13" s="98">
        <v>6</v>
      </c>
      <c r="B13" s="99">
        <f>IF(A13&lt;=malumot!$B$82,DATE(YEAR(R13),MONTH(R13),DAY(IF(A13=malumot!$B$82,malumot!$B$67,IF(A13&lt;malumot!$B$82,(Q13),IF(A13&gt;malumot!$B$82,$H$44,0))))))</f>
        <v>45915</v>
      </c>
      <c r="C13" s="54">
        <f t="shared" si="1"/>
        <v>34444444.450000003</v>
      </c>
      <c r="D13" s="54">
        <f t="shared" si="2"/>
        <v>1111111.1100000001</v>
      </c>
      <c r="E13" s="54">
        <f t="shared" si="3"/>
        <v>1755251</v>
      </c>
      <c r="F13" s="54">
        <f t="shared" si="4"/>
        <v>2866362.1100000003</v>
      </c>
      <c r="G13" s="92">
        <f t="shared" si="7"/>
        <v>31</v>
      </c>
      <c r="H13" s="92">
        <f t="shared" si="5"/>
        <v>365</v>
      </c>
      <c r="I13" s="100">
        <f>IF(L5=H1,K13,IF(L5&gt;H1,I12))</f>
        <v>1111111.1100000001</v>
      </c>
      <c r="J13" s="100">
        <f>SUM($I$8:I12)</f>
        <v>5555555.5500000007</v>
      </c>
      <c r="K13" s="100">
        <f>$J$12-J13</f>
        <v>34444444.450000003</v>
      </c>
      <c r="L13" s="94">
        <f>ROUND(C13*malumot!$B$85/H13,2)*G13</f>
        <v>1755251</v>
      </c>
      <c r="M13" s="94">
        <f t="shared" si="0"/>
        <v>2866362.1100000003</v>
      </c>
      <c r="N13" s="94"/>
      <c r="O13" s="109" t="str">
        <f t="shared" si="8"/>
        <v>Пн</v>
      </c>
      <c r="P13" s="111">
        <f t="shared" si="6"/>
        <v>0</v>
      </c>
      <c r="Q13" s="111">
        <f>DAY(malumot!$B$79)+P13</f>
        <v>15</v>
      </c>
      <c r="R13" s="106">
        <f>IF(A13&lt;=malumot!$B$82,DATE(YEAR($B$8),MONTH($B$8)+A12,DAY(malumot!$B$79)),0)</f>
        <v>45915</v>
      </c>
      <c r="S13" s="92"/>
      <c r="T13" s="92"/>
      <c r="U13" s="92"/>
      <c r="V13" s="92"/>
    </row>
    <row r="14" spans="1:22" x14ac:dyDescent="0.25">
      <c r="A14" s="98">
        <v>7</v>
      </c>
      <c r="B14" s="99">
        <f>IF(A14&lt;=malumot!$B$82,DATE(YEAR(R14),MONTH(R14),DAY(IF(A14=malumot!$B$82,malumot!$B$67,IF(A14&lt;malumot!$B$82,(Q14),IF(A14&gt;malumot!$B$82,$H$44,0))))))</f>
        <v>45945</v>
      </c>
      <c r="C14" s="54">
        <f t="shared" si="1"/>
        <v>33333333.340000004</v>
      </c>
      <c r="D14" s="54">
        <f t="shared" si="2"/>
        <v>1111111.1100000001</v>
      </c>
      <c r="E14" s="54">
        <f t="shared" si="3"/>
        <v>1643835.5999999999</v>
      </c>
      <c r="F14" s="54">
        <f t="shared" si="4"/>
        <v>2754946.71</v>
      </c>
      <c r="G14" s="92">
        <f t="shared" si="7"/>
        <v>30</v>
      </c>
      <c r="H14" s="92">
        <f t="shared" si="5"/>
        <v>365</v>
      </c>
      <c r="I14" s="100">
        <f>IF($L$5=A14,K14,IF($L$5&gt;A14,I13))</f>
        <v>1111111.1100000001</v>
      </c>
      <c r="J14" s="100">
        <f>SUM($I$8:I13)</f>
        <v>6666666.6600000011</v>
      </c>
      <c r="K14" s="100">
        <f t="shared" ref="K14:K31" si="9">$J$12-J14</f>
        <v>33333333.34</v>
      </c>
      <c r="L14" s="94">
        <f>ROUND(C14*malumot!$B$85/H14,2)*G14</f>
        <v>1643835.5999999999</v>
      </c>
      <c r="M14" s="94">
        <f t="shared" si="0"/>
        <v>2754946.71</v>
      </c>
      <c r="N14" s="94"/>
      <c r="O14" s="109" t="str">
        <f t="shared" si="8"/>
        <v>Ср</v>
      </c>
      <c r="P14" s="111">
        <f t="shared" si="6"/>
        <v>0</v>
      </c>
      <c r="Q14" s="111">
        <f>DAY(malumot!$B$79)+P14</f>
        <v>15</v>
      </c>
      <c r="R14" s="106">
        <f>IF(A14&lt;=malumot!$B$82,DATE(YEAR($B$8),MONTH($B$8)+A13,DAY(malumot!$B$79)),0)</f>
        <v>45945</v>
      </c>
      <c r="S14" s="92"/>
      <c r="T14" s="92"/>
      <c r="U14" s="92"/>
      <c r="V14" s="92"/>
    </row>
    <row r="15" spans="1:22" x14ac:dyDescent="0.25">
      <c r="A15" s="98">
        <v>8</v>
      </c>
      <c r="B15" s="99">
        <f>IF(A15&lt;=malumot!$B$82,DATE(YEAR(R15),MONTH(R15),DAY(IF(A15=malumot!$B$82,malumot!$B$67,IF(A15&lt;malumot!$B$82,(Q15),IF(A15&gt;malumot!$B$82,$H$44,0))))))</f>
        <v>45978</v>
      </c>
      <c r="C15" s="54">
        <f t="shared" si="1"/>
        <v>32222222.230000004</v>
      </c>
      <c r="D15" s="54">
        <f t="shared" si="2"/>
        <v>1111111.1100000001</v>
      </c>
      <c r="E15" s="54">
        <f t="shared" si="3"/>
        <v>1747945.32</v>
      </c>
      <c r="F15" s="54">
        <f t="shared" si="4"/>
        <v>2859056.43</v>
      </c>
      <c r="G15" s="92">
        <f t="shared" si="7"/>
        <v>33</v>
      </c>
      <c r="H15" s="92">
        <f t="shared" si="5"/>
        <v>365</v>
      </c>
      <c r="I15" s="100">
        <f t="shared" ref="I15:I31" si="10">IF($L$5=A15,K15,IF($L$5&gt;A15,I14))</f>
        <v>1111111.1100000001</v>
      </c>
      <c r="J15" s="100">
        <f>SUM($I$8:I14)</f>
        <v>7777777.7700000014</v>
      </c>
      <c r="K15" s="100">
        <f t="shared" si="9"/>
        <v>32222222.229999997</v>
      </c>
      <c r="L15" s="94">
        <f>ROUND(C15*malumot!$B$85/H15,2)*G15</f>
        <v>1747945.32</v>
      </c>
      <c r="M15" s="94">
        <f t="shared" si="0"/>
        <v>2859056.43</v>
      </c>
      <c r="N15" s="94"/>
      <c r="O15" s="109" t="str">
        <f t="shared" si="8"/>
        <v>Сб</v>
      </c>
      <c r="P15" s="111">
        <f t="shared" si="6"/>
        <v>2</v>
      </c>
      <c r="Q15" s="111">
        <f>DAY(malumot!$B$79)+P15</f>
        <v>17</v>
      </c>
      <c r="R15" s="106">
        <f>IF(A15&lt;=malumot!$B$82,DATE(YEAR($B$8),MONTH($B$8)+A14,DAY(malumot!$B$79)),0)</f>
        <v>45976</v>
      </c>
      <c r="S15" s="92"/>
      <c r="T15" s="92"/>
      <c r="U15" s="92"/>
      <c r="V15" s="92"/>
    </row>
    <row r="16" spans="1:22" x14ac:dyDescent="0.25">
      <c r="A16" s="98">
        <v>9</v>
      </c>
      <c r="B16" s="99">
        <f>IF(A16&lt;=malumot!$B$82,DATE(YEAR(R16),MONTH(R16),DAY(IF(A16=malumot!$B$82,malumot!$B$67,IF(A16&lt;malumot!$B$82,(Q16),IF(A16&gt;malumot!$B$82,$H$44,0))))))</f>
        <v>46006</v>
      </c>
      <c r="C16" s="54">
        <f t="shared" si="1"/>
        <v>31111111.120000005</v>
      </c>
      <c r="D16" s="54">
        <f t="shared" si="2"/>
        <v>1111111.1100000001</v>
      </c>
      <c r="E16" s="54">
        <f t="shared" si="3"/>
        <v>1431963.4000000001</v>
      </c>
      <c r="F16" s="54">
        <f t="shared" si="4"/>
        <v>2543074.5100000002</v>
      </c>
      <c r="G16" s="92">
        <f t="shared" si="7"/>
        <v>28</v>
      </c>
      <c r="H16" s="92">
        <f t="shared" si="5"/>
        <v>365</v>
      </c>
      <c r="I16" s="100">
        <f t="shared" si="10"/>
        <v>1111111.1100000001</v>
      </c>
      <c r="J16" s="100">
        <f>SUM($I$8:I15)</f>
        <v>8888888.8800000008</v>
      </c>
      <c r="K16" s="100">
        <f t="shared" si="9"/>
        <v>31111111.119999997</v>
      </c>
      <c r="L16" s="94">
        <f>ROUND(C16*malumot!$B$85/H16,2)*G16</f>
        <v>1431963.4000000001</v>
      </c>
      <c r="M16" s="94">
        <f t="shared" si="0"/>
        <v>2543074.5100000002</v>
      </c>
      <c r="N16" s="94"/>
      <c r="O16" s="109" t="str">
        <f t="shared" si="8"/>
        <v>Пн</v>
      </c>
      <c r="P16" s="111">
        <f t="shared" si="6"/>
        <v>0</v>
      </c>
      <c r="Q16" s="111">
        <f>DAY(malumot!$B$79)+P16</f>
        <v>15</v>
      </c>
      <c r="R16" s="106">
        <f>IF(A16&lt;=malumot!$B$82,DATE(YEAR($B$8),MONTH($B$8)+A15,DAY(malumot!$B$79)),0)</f>
        <v>46006</v>
      </c>
      <c r="S16" s="92"/>
      <c r="T16" s="92"/>
      <c r="U16" s="92"/>
      <c r="V16" s="92"/>
    </row>
    <row r="17" spans="1:22" x14ac:dyDescent="0.25">
      <c r="A17" s="98">
        <v>10</v>
      </c>
      <c r="B17" s="99">
        <f>IF(A17&lt;=malumot!$B$82,DATE(YEAR(R17),MONTH(R17),DAY(IF(A17=malumot!$B$82,malumot!$B$67,IF(A17&lt;malumot!$B$82,(Q17),IF(A17&gt;malumot!$B$82,$H$44,0))))))</f>
        <v>46037</v>
      </c>
      <c r="C17" s="54">
        <f t="shared" si="1"/>
        <v>30000000.010000005</v>
      </c>
      <c r="D17" s="54">
        <f t="shared" si="2"/>
        <v>1111111.1100000001</v>
      </c>
      <c r="E17" s="54">
        <f t="shared" si="3"/>
        <v>1528767.17</v>
      </c>
      <c r="F17" s="54">
        <f t="shared" si="4"/>
        <v>2639878.2800000003</v>
      </c>
      <c r="G17" s="92">
        <f t="shared" si="7"/>
        <v>31</v>
      </c>
      <c r="H17" s="92">
        <f t="shared" si="5"/>
        <v>365</v>
      </c>
      <c r="I17" s="100">
        <f t="shared" si="10"/>
        <v>1111111.1100000001</v>
      </c>
      <c r="J17" s="100">
        <f>SUM($I$8:I16)</f>
        <v>9999999.9900000002</v>
      </c>
      <c r="K17" s="100">
        <f>$J$12-J17</f>
        <v>30000000.009999998</v>
      </c>
      <c r="L17" s="94">
        <f>ROUND(C17*malumot!$B$85/H17,2)*G17</f>
        <v>1528767.17</v>
      </c>
      <c r="M17" s="94">
        <f t="shared" si="0"/>
        <v>2639878.2800000003</v>
      </c>
      <c r="N17" s="94"/>
      <c r="O17" s="109" t="str">
        <f t="shared" si="8"/>
        <v>Чт</v>
      </c>
      <c r="P17" s="111">
        <f t="shared" si="6"/>
        <v>0</v>
      </c>
      <c r="Q17" s="111">
        <f>DAY(malumot!$B$79)+P17</f>
        <v>15</v>
      </c>
      <c r="R17" s="106">
        <f>IF(A17&lt;=malumot!$B$82,DATE(YEAR($B$8),MONTH($B$8)+A16,DAY(malumot!$B$79)),0)</f>
        <v>46037</v>
      </c>
      <c r="S17" s="92"/>
      <c r="T17" s="92"/>
      <c r="U17" s="92"/>
      <c r="V17" s="92"/>
    </row>
    <row r="18" spans="1:22" x14ac:dyDescent="0.25">
      <c r="A18" s="98">
        <v>11</v>
      </c>
      <c r="B18" s="99">
        <f>IF(A18&lt;=malumot!$B$82,DATE(YEAR(R18),MONTH(R18),DAY(IF(A18=malumot!$B$82,malumot!$B$67,IF(A18&lt;malumot!$B$82,(Q18),IF(A18&gt;malumot!$B$82,$H$44,0))))))</f>
        <v>46069</v>
      </c>
      <c r="C18" s="54">
        <f t="shared" si="1"/>
        <v>28888888.900000006</v>
      </c>
      <c r="D18" s="54">
        <f t="shared" si="2"/>
        <v>1111111.1100000001</v>
      </c>
      <c r="E18" s="54">
        <f t="shared" si="3"/>
        <v>1519634.56</v>
      </c>
      <c r="F18" s="54">
        <f t="shared" si="4"/>
        <v>2630745.67</v>
      </c>
      <c r="G18" s="92">
        <f t="shared" si="7"/>
        <v>32</v>
      </c>
      <c r="H18" s="92">
        <f t="shared" si="5"/>
        <v>365</v>
      </c>
      <c r="I18" s="100">
        <f t="shared" si="10"/>
        <v>1111111.1100000001</v>
      </c>
      <c r="J18" s="100">
        <f>SUM($I$8:I17)</f>
        <v>11111111.1</v>
      </c>
      <c r="K18" s="100">
        <f t="shared" si="9"/>
        <v>28888888.899999999</v>
      </c>
      <c r="L18" s="94">
        <f>ROUND(C18*malumot!$B$85/H18,2)*G18</f>
        <v>1519634.56</v>
      </c>
      <c r="M18" s="94">
        <f t="shared" si="0"/>
        <v>2630745.67</v>
      </c>
      <c r="N18" s="94"/>
      <c r="O18" s="109" t="str">
        <f t="shared" si="8"/>
        <v>Вс</v>
      </c>
      <c r="P18" s="111">
        <f t="shared" si="6"/>
        <v>1</v>
      </c>
      <c r="Q18" s="111">
        <f>DAY(malumot!$B$79)+P18</f>
        <v>16</v>
      </c>
      <c r="R18" s="106">
        <f>IF(A18&lt;=malumot!$B$82,DATE(YEAR($B$8),MONTH($B$8)+A17,DAY(malumot!$B$79)),0)</f>
        <v>46068</v>
      </c>
      <c r="S18" s="92"/>
      <c r="T18" s="92"/>
      <c r="U18" s="92"/>
      <c r="V18" s="92"/>
    </row>
    <row r="19" spans="1:22" x14ac:dyDescent="0.25">
      <c r="A19" s="98">
        <v>12</v>
      </c>
      <c r="B19" s="99">
        <f>IF(A19&lt;=malumot!$B$82,DATE(YEAR(R19),MONTH(R19),DAY(IF(A19=malumot!$B$82,malumot!$B$67,IF(A19&lt;malumot!$B$82,(Q19),IF(A19&gt;malumot!$B$82,$H$44,0))))))</f>
        <v>46097</v>
      </c>
      <c r="C19" s="54">
        <f t="shared" si="1"/>
        <v>27777777.790000007</v>
      </c>
      <c r="D19" s="54">
        <f t="shared" si="2"/>
        <v>1111111.1100000001</v>
      </c>
      <c r="E19" s="54">
        <f t="shared" si="3"/>
        <v>1278538.8</v>
      </c>
      <c r="F19" s="54">
        <f t="shared" si="4"/>
        <v>2389649.91</v>
      </c>
      <c r="G19" s="92">
        <f t="shared" si="7"/>
        <v>28</v>
      </c>
      <c r="H19" s="92">
        <f t="shared" si="5"/>
        <v>365</v>
      </c>
      <c r="I19" s="100">
        <f t="shared" si="10"/>
        <v>1111111.1100000001</v>
      </c>
      <c r="J19" s="100">
        <f>SUM($I$8:I18)</f>
        <v>12222222.209999999</v>
      </c>
      <c r="K19" s="100">
        <f t="shared" si="9"/>
        <v>27777777.789999999</v>
      </c>
      <c r="L19" s="94">
        <f>ROUND(C19*malumot!$B$85/H19,2)*G19</f>
        <v>1278538.8</v>
      </c>
      <c r="M19" s="94">
        <f t="shared" si="0"/>
        <v>2389649.91</v>
      </c>
      <c r="N19" s="94"/>
      <c r="O19" s="109" t="str">
        <f t="shared" si="8"/>
        <v>Вс</v>
      </c>
      <c r="P19" s="111">
        <f t="shared" si="6"/>
        <v>1</v>
      </c>
      <c r="Q19" s="111">
        <f>DAY(malumot!$B$79)+P19</f>
        <v>16</v>
      </c>
      <c r="R19" s="106">
        <f>IF(A19&lt;=malumot!$B$82,DATE(YEAR($B$8),MONTH($B$8)+A18,DAY(malumot!$B$79)),0)</f>
        <v>46096</v>
      </c>
      <c r="S19" s="92"/>
      <c r="T19" s="92"/>
      <c r="U19" s="92"/>
      <c r="V19" s="92"/>
    </row>
    <row r="20" spans="1:22" x14ac:dyDescent="0.25">
      <c r="A20" s="98">
        <v>13</v>
      </c>
      <c r="B20" s="99">
        <f>IF(A20&lt;=malumot!$B$82,DATE(YEAR(R20),MONTH(R20),DAY(IF(A20=malumot!$B$82,malumot!$B$67,IF(A20&lt;malumot!$B$82,(Q20),IF(A20&gt;malumot!$B$82,$H$44,0))))))</f>
        <v>46127</v>
      </c>
      <c r="C20" s="54">
        <f t="shared" si="1"/>
        <v>26666666.680000007</v>
      </c>
      <c r="D20" s="54">
        <f t="shared" si="2"/>
        <v>1111111.1100000001</v>
      </c>
      <c r="E20" s="54">
        <f t="shared" si="3"/>
        <v>1315068.6000000001</v>
      </c>
      <c r="F20" s="54">
        <f t="shared" si="4"/>
        <v>2426179.71</v>
      </c>
      <c r="G20" s="92">
        <f t="shared" si="7"/>
        <v>30</v>
      </c>
      <c r="H20" s="92">
        <f t="shared" si="5"/>
        <v>365</v>
      </c>
      <c r="I20" s="100">
        <f t="shared" si="10"/>
        <v>1111111.1100000001</v>
      </c>
      <c r="J20" s="100">
        <f>SUM($I$8:I19)</f>
        <v>13333333.319999998</v>
      </c>
      <c r="K20" s="100">
        <f>$J$12-J20</f>
        <v>26666666.68</v>
      </c>
      <c r="L20" s="94">
        <f>ROUND(C20*malumot!$B$85/H20,2)*G20</f>
        <v>1315068.6000000001</v>
      </c>
      <c r="M20" s="94">
        <f t="shared" si="0"/>
        <v>2426179.71</v>
      </c>
      <c r="N20" s="94"/>
      <c r="O20" s="109" t="str">
        <f t="shared" si="8"/>
        <v>Ср</v>
      </c>
      <c r="P20" s="111">
        <f t="shared" si="6"/>
        <v>0</v>
      </c>
      <c r="Q20" s="111">
        <f>DAY(malumot!$B$79)+P20</f>
        <v>15</v>
      </c>
      <c r="R20" s="106">
        <f>IF(A20&lt;=malumot!$B$82,DATE(YEAR($B$8),MONTH($B$8)+A19,DAY(malumot!$B$79)),0)</f>
        <v>46127</v>
      </c>
      <c r="S20" s="92"/>
      <c r="T20" s="92"/>
      <c r="U20" s="92"/>
      <c r="V20" s="92"/>
    </row>
    <row r="21" spans="1:22" x14ac:dyDescent="0.25">
      <c r="A21" s="98">
        <v>14</v>
      </c>
      <c r="B21" s="99">
        <f>IF(A21&lt;=malumot!$B$82,DATE(YEAR(R21),MONTH(R21),DAY(IF(A21=malumot!$B$82,malumot!$B$67,IF(A21&lt;malumot!$B$82,(Q21),IF(A21&gt;malumot!$B$82,$H$44,0))))))</f>
        <v>46157</v>
      </c>
      <c r="C21" s="54">
        <f t="shared" si="1"/>
        <v>25555555.570000008</v>
      </c>
      <c r="D21" s="54">
        <f t="shared" si="2"/>
        <v>1111111.1100000001</v>
      </c>
      <c r="E21" s="54">
        <f t="shared" si="3"/>
        <v>1260273.8999999999</v>
      </c>
      <c r="F21" s="54">
        <f t="shared" si="4"/>
        <v>2371385.0099999998</v>
      </c>
      <c r="G21" s="92">
        <f t="shared" si="7"/>
        <v>30</v>
      </c>
      <c r="H21" s="92">
        <f t="shared" si="5"/>
        <v>365</v>
      </c>
      <c r="I21" s="100">
        <f t="shared" si="10"/>
        <v>1111111.1100000001</v>
      </c>
      <c r="J21" s="100">
        <f>SUM($I$8:I20)</f>
        <v>14444444.429999998</v>
      </c>
      <c r="K21" s="100">
        <f t="shared" si="9"/>
        <v>25555555.57</v>
      </c>
      <c r="L21" s="94">
        <f>ROUND(C21*malumot!$B$85/H21,2)*G21</f>
        <v>1260273.8999999999</v>
      </c>
      <c r="M21" s="94">
        <f t="shared" si="0"/>
        <v>2371385.0099999998</v>
      </c>
      <c r="N21" s="94"/>
      <c r="O21" s="109" t="str">
        <f t="shared" si="8"/>
        <v>Пт</v>
      </c>
      <c r="P21" s="111">
        <f t="shared" si="6"/>
        <v>0</v>
      </c>
      <c r="Q21" s="111">
        <f>DAY(malumot!$B$79)+P21</f>
        <v>15</v>
      </c>
      <c r="R21" s="106">
        <f>IF(A21&lt;=malumot!$B$82,DATE(YEAR($B$8),MONTH($B$8)+A20,DAY(malumot!$B$79)),0)</f>
        <v>46157</v>
      </c>
      <c r="S21" s="92"/>
      <c r="T21" s="92"/>
      <c r="U21" s="92"/>
      <c r="V21" s="92"/>
    </row>
    <row r="22" spans="1:22" x14ac:dyDescent="0.25">
      <c r="A22" s="98">
        <v>15</v>
      </c>
      <c r="B22" s="99">
        <f>IF(A22&lt;=malumot!$B$82,DATE(YEAR(R22),MONTH(R22),DAY(IF(A22=malumot!$B$82,malumot!$B$67,IF(A22&lt;malumot!$B$82,(Q22),IF(A22&gt;malumot!$B$82,$H$44,0))))))</f>
        <v>46188</v>
      </c>
      <c r="C22" s="54">
        <f t="shared" si="1"/>
        <v>24444444.460000008</v>
      </c>
      <c r="D22" s="54">
        <f t="shared" si="2"/>
        <v>1111111.1100000001</v>
      </c>
      <c r="E22" s="54">
        <f t="shared" si="3"/>
        <v>1245662.1500000001</v>
      </c>
      <c r="F22" s="54">
        <f t="shared" si="4"/>
        <v>2356773.2600000002</v>
      </c>
      <c r="G22" s="92">
        <f t="shared" si="7"/>
        <v>31</v>
      </c>
      <c r="H22" s="92">
        <f t="shared" si="5"/>
        <v>365</v>
      </c>
      <c r="I22" s="100">
        <f t="shared" si="10"/>
        <v>1111111.1100000001</v>
      </c>
      <c r="J22" s="100">
        <f>SUM($I$8:I21)</f>
        <v>15555555.539999997</v>
      </c>
      <c r="K22" s="100">
        <f t="shared" si="9"/>
        <v>24444444.460000001</v>
      </c>
      <c r="L22" s="94">
        <f>ROUND(C22*malumot!$B$85/H22,2)*G22</f>
        <v>1245662.1500000001</v>
      </c>
      <c r="M22" s="94">
        <f t="shared" si="0"/>
        <v>2356773.2600000002</v>
      </c>
      <c r="N22" s="94"/>
      <c r="O22" s="109" t="str">
        <f t="shared" si="8"/>
        <v>Пн</v>
      </c>
      <c r="P22" s="111">
        <f t="shared" si="6"/>
        <v>0</v>
      </c>
      <c r="Q22" s="111">
        <f>DAY(malumot!$B$79)+P22</f>
        <v>15</v>
      </c>
      <c r="R22" s="106">
        <f>IF(A22&lt;=malumot!$B$82,DATE(YEAR($B$8),MONTH($B$8)+A21,DAY(malumot!$B$79)),0)</f>
        <v>46188</v>
      </c>
      <c r="S22" s="92"/>
      <c r="T22" s="92"/>
      <c r="U22" s="92"/>
      <c r="V22" s="92"/>
    </row>
    <row r="23" spans="1:22" x14ac:dyDescent="0.25">
      <c r="A23" s="98">
        <v>16</v>
      </c>
      <c r="B23" s="99">
        <f>IF(A23&lt;=malumot!$B$82,DATE(YEAR(R23),MONTH(R23),DAY(IF(A23=malumot!$B$82,malumot!$B$67,IF(A23&lt;malumot!$B$82,(Q23),IF(A23&gt;malumot!$B$82,$H$44,0))))))</f>
        <v>46218</v>
      </c>
      <c r="C23" s="54">
        <f t="shared" si="1"/>
        <v>23333333.350000009</v>
      </c>
      <c r="D23" s="54">
        <f t="shared" si="2"/>
        <v>1111111.1100000001</v>
      </c>
      <c r="E23" s="54">
        <f t="shared" si="3"/>
        <v>1150684.8</v>
      </c>
      <c r="F23" s="54">
        <f t="shared" si="4"/>
        <v>2261795.91</v>
      </c>
      <c r="G23" s="92">
        <f t="shared" si="7"/>
        <v>30</v>
      </c>
      <c r="H23" s="92">
        <f t="shared" si="5"/>
        <v>365</v>
      </c>
      <c r="I23" s="100">
        <f t="shared" si="10"/>
        <v>1111111.1100000001</v>
      </c>
      <c r="J23" s="100">
        <f>SUM($I$8:I22)</f>
        <v>16666666.649999997</v>
      </c>
      <c r="K23" s="100">
        <f t="shared" si="9"/>
        <v>23333333.350000001</v>
      </c>
      <c r="L23" s="94">
        <f>ROUND(C23*malumot!$B$85/H23,2)*G23</f>
        <v>1150684.8</v>
      </c>
      <c r="M23" s="94">
        <f t="shared" si="0"/>
        <v>2261795.91</v>
      </c>
      <c r="N23" s="94"/>
      <c r="O23" s="109" t="str">
        <f t="shared" si="8"/>
        <v>Ср</v>
      </c>
      <c r="P23" s="111">
        <f t="shared" si="6"/>
        <v>0</v>
      </c>
      <c r="Q23" s="111">
        <f>DAY(malumot!$B$79)+P23</f>
        <v>15</v>
      </c>
      <c r="R23" s="106">
        <f>IF(A23&lt;=malumot!$B$82,DATE(YEAR($B$8),MONTH($B$8)+A22,DAY(malumot!$B$79)),0)</f>
        <v>46218</v>
      </c>
      <c r="S23" s="92"/>
      <c r="T23" s="92"/>
      <c r="U23" s="92"/>
      <c r="V23" s="92"/>
    </row>
    <row r="24" spans="1:22" x14ac:dyDescent="0.25">
      <c r="A24" s="98">
        <v>17</v>
      </c>
      <c r="B24" s="99">
        <f>IF(A24&lt;=malumot!$B$82,DATE(YEAR(R24),MONTH(R24),DAY(IF(A24=malumot!$B$82,malumot!$B$67,IF(A24&lt;malumot!$B$82,(Q24),IF(A24&gt;malumot!$B$82,$H$44,0))))))</f>
        <v>46251</v>
      </c>
      <c r="C24" s="54">
        <f t="shared" si="1"/>
        <v>22222222.24000001</v>
      </c>
      <c r="D24" s="54">
        <f t="shared" si="2"/>
        <v>1111111.1100000001</v>
      </c>
      <c r="E24" s="54">
        <f t="shared" si="3"/>
        <v>1205479.44</v>
      </c>
      <c r="F24" s="54">
        <f t="shared" si="4"/>
        <v>2316590.5499999998</v>
      </c>
      <c r="G24" s="92">
        <f t="shared" si="7"/>
        <v>33</v>
      </c>
      <c r="H24" s="92">
        <f t="shared" si="5"/>
        <v>365</v>
      </c>
      <c r="I24" s="100">
        <f t="shared" si="10"/>
        <v>1111111.1100000001</v>
      </c>
      <c r="J24" s="100">
        <f>SUM($I$8:I23)</f>
        <v>17777777.759999998</v>
      </c>
      <c r="K24" s="100">
        <f t="shared" si="9"/>
        <v>22222222.240000002</v>
      </c>
      <c r="L24" s="94">
        <f>ROUND(C24*malumot!$B$85/H24,2)*G24</f>
        <v>1205479.44</v>
      </c>
      <c r="M24" s="94">
        <f t="shared" si="0"/>
        <v>2316590.5499999998</v>
      </c>
      <c r="N24" s="94"/>
      <c r="O24" s="109" t="str">
        <f t="shared" si="8"/>
        <v>Сб</v>
      </c>
      <c r="P24" s="111">
        <f t="shared" si="6"/>
        <v>2</v>
      </c>
      <c r="Q24" s="111">
        <f>DAY(malumot!$B$79)+P24</f>
        <v>17</v>
      </c>
      <c r="R24" s="106">
        <f>IF(A24&lt;=malumot!$B$82,DATE(YEAR($B$8),MONTH($B$8)+A23,DAY(malumot!$B$79)),0)</f>
        <v>46249</v>
      </c>
      <c r="S24" s="92"/>
      <c r="T24" s="92"/>
      <c r="U24" s="92"/>
      <c r="V24" s="92"/>
    </row>
    <row r="25" spans="1:22" x14ac:dyDescent="0.25">
      <c r="A25" s="98">
        <v>18</v>
      </c>
      <c r="B25" s="99">
        <f>IF(A25&lt;=malumot!$B$82,DATE(YEAR(R25),MONTH(R25),DAY(IF(A25=malumot!$B$82,malumot!$B$67,IF(A25&lt;malumot!$B$82,(Q25),IF(A25&gt;malumot!$B$82,$H$44,0))))))</f>
        <v>46280</v>
      </c>
      <c r="C25" s="54">
        <f t="shared" si="1"/>
        <v>21111111.13000001</v>
      </c>
      <c r="D25" s="54">
        <f t="shared" si="2"/>
        <v>1111111.1100000001</v>
      </c>
      <c r="E25" s="54">
        <f t="shared" si="3"/>
        <v>1006392.7999999999</v>
      </c>
      <c r="F25" s="54">
        <f t="shared" si="4"/>
        <v>2117503.91</v>
      </c>
      <c r="G25" s="92">
        <f t="shared" si="7"/>
        <v>29</v>
      </c>
      <c r="H25" s="92">
        <f t="shared" si="5"/>
        <v>365</v>
      </c>
      <c r="I25" s="100">
        <f t="shared" si="10"/>
        <v>1111111.1100000001</v>
      </c>
      <c r="J25" s="100">
        <f>SUM($I$8:I24)</f>
        <v>18888888.869999997</v>
      </c>
      <c r="K25" s="100">
        <f t="shared" si="9"/>
        <v>21111111.130000003</v>
      </c>
      <c r="L25" s="94">
        <f>ROUND(C25*malumot!$B$85/H25,2)*G25</f>
        <v>1006392.7999999999</v>
      </c>
      <c r="M25" s="94">
        <f t="shared" si="0"/>
        <v>2117503.91</v>
      </c>
      <c r="N25" s="94"/>
      <c r="O25" s="109" t="str">
        <f t="shared" si="8"/>
        <v>Вт</v>
      </c>
      <c r="P25" s="111">
        <f t="shared" si="6"/>
        <v>0</v>
      </c>
      <c r="Q25" s="111">
        <f>DAY(malumot!$B$79)+P25</f>
        <v>15</v>
      </c>
      <c r="R25" s="106">
        <f>IF(A25&lt;=malumot!$B$82,DATE(YEAR($B$8),MONTH($B$8)+A24,DAY(malumot!$B$79)),0)</f>
        <v>46280</v>
      </c>
      <c r="S25" s="92"/>
      <c r="T25" s="92"/>
      <c r="U25" s="92"/>
      <c r="V25" s="92"/>
    </row>
    <row r="26" spans="1:22" x14ac:dyDescent="0.25">
      <c r="A26" s="98">
        <v>19</v>
      </c>
      <c r="B26" s="99">
        <f>IF(A26&lt;=malumot!$B$82,DATE(YEAR(R26),MONTH(R26),DAY(IF(A26=malumot!$B$82,malumot!$B$67,IF(A26&lt;malumot!$B$82,(Q26),IF(A26&gt;malumot!$B$82,$H$44,0))))))</f>
        <v>46310</v>
      </c>
      <c r="C26" s="54">
        <f t="shared" si="1"/>
        <v>20000000.020000011</v>
      </c>
      <c r="D26" s="54">
        <f t="shared" si="2"/>
        <v>1111111.1100000001</v>
      </c>
      <c r="E26" s="54">
        <f t="shared" si="3"/>
        <v>986301.29999999993</v>
      </c>
      <c r="F26" s="54">
        <f t="shared" si="4"/>
        <v>2097412.41</v>
      </c>
      <c r="G26" s="92">
        <f t="shared" si="7"/>
        <v>30</v>
      </c>
      <c r="H26" s="92">
        <f t="shared" si="5"/>
        <v>365</v>
      </c>
      <c r="I26" s="100">
        <f t="shared" si="10"/>
        <v>1111111.1100000001</v>
      </c>
      <c r="J26" s="100">
        <f>SUM($I$8:I25)</f>
        <v>19999999.979999997</v>
      </c>
      <c r="K26" s="100">
        <f t="shared" si="9"/>
        <v>20000000.020000003</v>
      </c>
      <c r="L26" s="94">
        <f>ROUND(C26*malumot!$B$85/H26,2)*G26</f>
        <v>986301.29999999993</v>
      </c>
      <c r="M26" s="94">
        <f t="shared" si="0"/>
        <v>2097412.41</v>
      </c>
      <c r="N26" s="94"/>
      <c r="O26" s="109" t="str">
        <f t="shared" si="8"/>
        <v>Чт</v>
      </c>
      <c r="P26" s="111">
        <f t="shared" si="6"/>
        <v>0</v>
      </c>
      <c r="Q26" s="111">
        <f>DAY(malumot!$B$79)+P26</f>
        <v>15</v>
      </c>
      <c r="R26" s="106">
        <f>IF(A26&lt;=malumot!$B$82,DATE(YEAR($B$8),MONTH($B$8)+A25,DAY(malumot!$B$79)),0)</f>
        <v>46310</v>
      </c>
      <c r="S26" s="92"/>
      <c r="T26" s="92"/>
      <c r="U26" s="92"/>
      <c r="V26" s="92"/>
    </row>
    <row r="27" spans="1:22" x14ac:dyDescent="0.25">
      <c r="A27" s="98">
        <v>20</v>
      </c>
      <c r="B27" s="99">
        <f>IF(A27&lt;=malumot!$B$82,DATE(YEAR(R27),MONTH(R27),DAY(IF(A27=malumot!$B$82,malumot!$B$67,IF(A27&lt;malumot!$B$82,(Q27),IF(A27&gt;malumot!$B$82,$H$44,0))))))</f>
        <v>46342</v>
      </c>
      <c r="C27" s="54">
        <f t="shared" si="1"/>
        <v>18888888.910000011</v>
      </c>
      <c r="D27" s="54">
        <f t="shared" si="2"/>
        <v>1111111.1100000001</v>
      </c>
      <c r="E27" s="54">
        <f t="shared" si="3"/>
        <v>993607.36</v>
      </c>
      <c r="F27" s="54">
        <f t="shared" si="4"/>
        <v>2104718.4700000002</v>
      </c>
      <c r="G27" s="92">
        <f t="shared" si="7"/>
        <v>32</v>
      </c>
      <c r="H27" s="92">
        <f t="shared" si="5"/>
        <v>365</v>
      </c>
      <c r="I27" s="100">
        <f t="shared" si="10"/>
        <v>1111111.1100000001</v>
      </c>
      <c r="J27" s="100">
        <f>SUM($I$8:I26)</f>
        <v>21111111.089999996</v>
      </c>
      <c r="K27" s="100">
        <f t="shared" si="9"/>
        <v>18888888.910000004</v>
      </c>
      <c r="L27" s="94">
        <f>ROUND(C27*malumot!$B$85/H27,2)*G27</f>
        <v>993607.36</v>
      </c>
      <c r="M27" s="94">
        <f t="shared" si="0"/>
        <v>2104718.4700000002</v>
      </c>
      <c r="N27" s="94"/>
      <c r="O27" s="109" t="str">
        <f t="shared" si="8"/>
        <v>Вс</v>
      </c>
      <c r="P27" s="111">
        <f t="shared" si="6"/>
        <v>1</v>
      </c>
      <c r="Q27" s="111">
        <f>DAY(malumot!$B$79)+P27</f>
        <v>16</v>
      </c>
      <c r="R27" s="106">
        <f>IF(A27&lt;=malumot!$B$82,DATE(YEAR($B$8),MONTH($B$8)+A26,DAY(malumot!$B$79)),0)</f>
        <v>46341</v>
      </c>
      <c r="S27" s="92"/>
      <c r="T27" s="92"/>
      <c r="U27" s="92"/>
      <c r="V27" s="92"/>
    </row>
    <row r="28" spans="1:22" x14ac:dyDescent="0.25">
      <c r="A28" s="98">
        <v>21</v>
      </c>
      <c r="B28" s="99">
        <f>IF(A28&lt;=malumot!$B$82,DATE(YEAR(R28),MONTH(R28),DAY(IF(A28=malumot!$B$82,malumot!$B$67,IF(A28&lt;malumot!$B$82,(Q28),IF(A28&gt;malumot!$B$82,$H$44,0))))))</f>
        <v>46371</v>
      </c>
      <c r="C28" s="54">
        <f t="shared" si="1"/>
        <v>17777777.800000012</v>
      </c>
      <c r="D28" s="54">
        <f t="shared" si="2"/>
        <v>1111111.1100000001</v>
      </c>
      <c r="E28" s="54">
        <f t="shared" si="3"/>
        <v>847488.46000000008</v>
      </c>
      <c r="F28" s="54">
        <f t="shared" si="4"/>
        <v>1958599.5700000003</v>
      </c>
      <c r="G28" s="92">
        <f t="shared" si="7"/>
        <v>29</v>
      </c>
      <c r="H28" s="92">
        <f t="shared" si="5"/>
        <v>365</v>
      </c>
      <c r="I28" s="100">
        <f t="shared" si="10"/>
        <v>1111111.1100000001</v>
      </c>
      <c r="J28" s="100">
        <f>SUM($I$8:I27)</f>
        <v>22222222.199999996</v>
      </c>
      <c r="K28" s="100">
        <f t="shared" si="9"/>
        <v>17777777.800000004</v>
      </c>
      <c r="L28" s="94">
        <f>ROUND(C28*malumot!$B$85/H28,2)*G28</f>
        <v>847488.46000000008</v>
      </c>
      <c r="M28" s="94">
        <f t="shared" si="0"/>
        <v>1958599.5700000003</v>
      </c>
      <c r="N28" s="94"/>
      <c r="O28" s="109" t="str">
        <f t="shared" si="8"/>
        <v>Вт</v>
      </c>
      <c r="P28" s="111">
        <f t="shared" si="6"/>
        <v>0</v>
      </c>
      <c r="Q28" s="111">
        <f>DAY(malumot!$B$79)+P28</f>
        <v>15</v>
      </c>
      <c r="R28" s="106">
        <f>IF(A28&lt;=malumot!$B$82,DATE(YEAR($B$8),MONTH($B$8)+A27,DAY(malumot!$B$79)),0)</f>
        <v>46371</v>
      </c>
      <c r="S28" s="92"/>
      <c r="T28" s="92"/>
      <c r="U28" s="92"/>
      <c r="V28" s="92"/>
    </row>
    <row r="29" spans="1:22" x14ac:dyDescent="0.25">
      <c r="A29" s="98">
        <v>22</v>
      </c>
      <c r="B29" s="99">
        <f>IF(A29&lt;=malumot!$B$82,DATE(YEAR(R29),MONTH(R29),DAY(IF(A29=malumot!$B$82,malumot!$B$67,IF(A29&lt;malumot!$B$82,(Q29),IF(A29&gt;malumot!$B$82,$H$44,0))))))</f>
        <v>46402</v>
      </c>
      <c r="C29" s="54">
        <f t="shared" si="1"/>
        <v>16666666.690000013</v>
      </c>
      <c r="D29" s="54">
        <f t="shared" si="2"/>
        <v>1111111.1100000001</v>
      </c>
      <c r="E29" s="54">
        <f t="shared" si="3"/>
        <v>849315.05999999994</v>
      </c>
      <c r="F29" s="54">
        <f t="shared" si="4"/>
        <v>1960426.17</v>
      </c>
      <c r="G29" s="92">
        <f t="shared" si="7"/>
        <v>31</v>
      </c>
      <c r="H29" s="92">
        <f t="shared" si="5"/>
        <v>365</v>
      </c>
      <c r="I29" s="100">
        <f t="shared" si="10"/>
        <v>1111111.1100000001</v>
      </c>
      <c r="J29" s="100">
        <f>SUM($I$8:I28)</f>
        <v>23333333.309999995</v>
      </c>
      <c r="K29" s="100">
        <f t="shared" si="9"/>
        <v>16666666.690000005</v>
      </c>
      <c r="L29" s="94">
        <f>ROUND(C29*malumot!$B$85/H29,2)*G29</f>
        <v>849315.05999999994</v>
      </c>
      <c r="M29" s="94">
        <f t="shared" si="0"/>
        <v>1960426.17</v>
      </c>
      <c r="N29" s="94"/>
      <c r="O29" s="109" t="str">
        <f t="shared" si="8"/>
        <v>Пт</v>
      </c>
      <c r="P29" s="111">
        <f t="shared" si="6"/>
        <v>0</v>
      </c>
      <c r="Q29" s="111">
        <f>DAY(malumot!$B$79)+P29</f>
        <v>15</v>
      </c>
      <c r="R29" s="106">
        <f>IF(A29&lt;=malumot!$B$82,DATE(YEAR($B$8),MONTH($B$8)+A28,DAY(malumot!$B$79)),0)</f>
        <v>46402</v>
      </c>
      <c r="S29" s="92"/>
      <c r="T29" s="92"/>
      <c r="U29" s="92"/>
      <c r="V29" s="92"/>
    </row>
    <row r="30" spans="1:22" x14ac:dyDescent="0.25">
      <c r="A30" s="98">
        <v>23</v>
      </c>
      <c r="B30" s="99">
        <f>IF(A30&lt;=malumot!$B$82,DATE(YEAR(R30),MONTH(R30),DAY(IF(A30=malumot!$B$82,malumot!$B$67,IF(A30&lt;malumot!$B$82,(Q30),IF(A30&gt;malumot!$B$82,$H$44,0))))))</f>
        <v>46433</v>
      </c>
      <c r="C30" s="54">
        <f t="shared" si="1"/>
        <v>15555555.580000013</v>
      </c>
      <c r="D30" s="54">
        <f t="shared" si="2"/>
        <v>1111111.1100000001</v>
      </c>
      <c r="E30" s="54">
        <f t="shared" si="3"/>
        <v>792694.17999999993</v>
      </c>
      <c r="F30" s="54">
        <f t="shared" si="4"/>
        <v>1903805.29</v>
      </c>
      <c r="G30" s="92">
        <f t="shared" si="7"/>
        <v>31</v>
      </c>
      <c r="H30" s="92">
        <f t="shared" si="5"/>
        <v>365</v>
      </c>
      <c r="I30" s="100">
        <f t="shared" si="10"/>
        <v>1111111.1100000001</v>
      </c>
      <c r="J30" s="100">
        <f>SUM($I$8:I29)</f>
        <v>24444444.419999994</v>
      </c>
      <c r="K30" s="100">
        <f t="shared" si="9"/>
        <v>15555555.580000006</v>
      </c>
      <c r="L30" s="94">
        <f>ROUND(C30*malumot!$B$85/H30,2)*G30</f>
        <v>792694.17999999993</v>
      </c>
      <c r="M30" s="94">
        <f t="shared" si="0"/>
        <v>1903805.29</v>
      </c>
      <c r="N30" s="94"/>
      <c r="O30" s="109" t="str">
        <f t="shared" si="8"/>
        <v>Пн</v>
      </c>
      <c r="P30" s="111">
        <f t="shared" si="6"/>
        <v>0</v>
      </c>
      <c r="Q30" s="111">
        <f>DAY(malumot!$B$79)+P30</f>
        <v>15</v>
      </c>
      <c r="R30" s="106">
        <f>IF(A30&lt;=malumot!$B$82,DATE(YEAR($B$8),MONTH($B$8)+A29,DAY(malumot!$B$79)),0)</f>
        <v>46433</v>
      </c>
      <c r="S30" s="92"/>
      <c r="T30" s="92"/>
      <c r="U30" s="92"/>
      <c r="V30" s="92"/>
    </row>
    <row r="31" spans="1:22" x14ac:dyDescent="0.25">
      <c r="A31" s="98">
        <v>24</v>
      </c>
      <c r="B31" s="99">
        <f>IF(A31&lt;=malumot!$B$82,DATE(YEAR(R31),MONTH(R31),DAY(IF(A31=malumot!$B$82,malumot!$B$67,IF(A31&lt;malumot!$B$82,(Q31),IF(A31&gt;malumot!$B$82,$H$44,0))))))</f>
        <v>46461</v>
      </c>
      <c r="C31" s="54">
        <f t="shared" ref="C31" si="11">C30-D30</f>
        <v>14444444.470000014</v>
      </c>
      <c r="D31" s="54">
        <f t="shared" ref="D31" si="12">IF(C31=0,L31,IF(C31&gt;1,I31))</f>
        <v>1111111.1100000001</v>
      </c>
      <c r="E31" s="54">
        <f t="shared" ref="E31" si="13">IF(C31=0,N30,IF(C31&gt;1,L31))</f>
        <v>664840.12</v>
      </c>
      <c r="F31" s="54">
        <f t="shared" ref="F31" si="14">IF(C31=0,N30,IF(C31&gt;1,M31))</f>
        <v>1775951.23</v>
      </c>
      <c r="G31" s="92">
        <f t="shared" si="7"/>
        <v>28</v>
      </c>
      <c r="H31" s="92">
        <f t="shared" si="5"/>
        <v>365</v>
      </c>
      <c r="I31" s="100">
        <f t="shared" si="10"/>
        <v>1111111.1100000001</v>
      </c>
      <c r="J31" s="100">
        <f>SUM($I$8:I30)</f>
        <v>25555555.529999994</v>
      </c>
      <c r="K31" s="100">
        <f t="shared" si="9"/>
        <v>14444444.470000006</v>
      </c>
      <c r="L31" s="94">
        <f>ROUND(C31*malumot!$B$85/H31,2)*G31</f>
        <v>664840.12</v>
      </c>
      <c r="M31" s="94">
        <f t="shared" si="0"/>
        <v>1775951.23</v>
      </c>
      <c r="N31" s="94"/>
      <c r="O31" s="109" t="str">
        <f t="shared" si="8"/>
        <v>Пн</v>
      </c>
      <c r="P31" s="111">
        <f t="shared" si="6"/>
        <v>0</v>
      </c>
      <c r="Q31" s="111">
        <f>DAY(malumot!$B$79)+P31</f>
        <v>15</v>
      </c>
      <c r="R31" s="106">
        <f>IF(A31&lt;=malumot!$B$82,DATE(YEAR($B$8),MONTH($B$8)+A30,DAY(malumot!$B$79)),0)</f>
        <v>46461</v>
      </c>
      <c r="S31" s="92"/>
      <c r="T31" s="92"/>
      <c r="U31" s="92"/>
      <c r="V31" s="92"/>
    </row>
    <row r="32" spans="1:22" x14ac:dyDescent="0.25">
      <c r="A32" s="98">
        <f>1+A31</f>
        <v>25</v>
      </c>
      <c r="B32" s="99">
        <f>IF(A32&lt;=malumot!$B$82,DATE(YEAR(R32),MONTH(R32),DAY(IF(A32=malumot!$B$82,malumot!$B$67,IF(A32&lt;malumot!$B$82,(Q32),IF(A32&gt;malumot!$B$82,$H$44,0))))))</f>
        <v>46492</v>
      </c>
      <c r="C32" s="54">
        <f t="shared" ref="C32:C42" si="15">C31-D31</f>
        <v>13333333.360000014</v>
      </c>
      <c r="D32" s="54">
        <f t="shared" ref="D32:D42" si="16">IF(C32=0,L32,IF(C32&gt;1,I32))</f>
        <v>1111111.1100000001</v>
      </c>
      <c r="E32" s="54">
        <f t="shared" ref="E32:E42" si="17">IF(C32=0,N31,IF(C32&gt;1,L32))</f>
        <v>679452.11</v>
      </c>
      <c r="F32" s="54">
        <f t="shared" ref="F32:F42" si="18">IF(C32=0,N31,IF(C32&gt;1,M32))</f>
        <v>1790563.2200000002</v>
      </c>
      <c r="G32" s="92">
        <f t="shared" ref="G32:G42" si="19">B32-B31</f>
        <v>31</v>
      </c>
      <c r="H32" s="92">
        <f t="shared" ref="H32:H42" si="20">DATE(YEAR(B32),12,31)-DATE(YEAR(B32),1,1)+1</f>
        <v>365</v>
      </c>
      <c r="I32" s="100">
        <f t="shared" ref="I32:I42" si="21">IF($L$5=A32,K32,IF($L$5&gt;A32,I31))</f>
        <v>1111111.1100000001</v>
      </c>
      <c r="J32" s="100">
        <f>SUM($I$8:I31)</f>
        <v>26666666.639999993</v>
      </c>
      <c r="K32" s="100">
        <f t="shared" ref="K32:K42" si="22">$J$12-J32</f>
        <v>13333333.360000007</v>
      </c>
      <c r="L32" s="94">
        <f>ROUND(C32*malumot!$B$85/H32,2)*G32</f>
        <v>679452.11</v>
      </c>
      <c r="M32" s="94">
        <f t="shared" ref="M32:M42" si="23">D32+E32</f>
        <v>1790563.2200000002</v>
      </c>
      <c r="N32" s="94"/>
      <c r="O32" s="109" t="str">
        <f t="shared" ref="O32:O42" si="24">TEXT(R32,"ддд")</f>
        <v>Чт</v>
      </c>
      <c r="P32" s="111">
        <f t="shared" ref="P32:P42" si="25">IF(O32=$U$8,2,IF(O32=$V$8,1,0))</f>
        <v>0</v>
      </c>
      <c r="Q32" s="111">
        <f>DAY(malumot!$B$79)+P32</f>
        <v>15</v>
      </c>
      <c r="R32" s="106">
        <f>IF(A32&lt;=malumot!$B$82,DATE(YEAR($B$8),MONTH($B$8)+A31,DAY(malumot!$B$79)),0)</f>
        <v>46492</v>
      </c>
      <c r="S32" s="92"/>
      <c r="T32" s="92"/>
      <c r="U32" s="92"/>
      <c r="V32" s="92"/>
    </row>
    <row r="33" spans="1:22" x14ac:dyDescent="0.25">
      <c r="A33" s="98">
        <f t="shared" ref="A33:A42" si="26">1+A32</f>
        <v>26</v>
      </c>
      <c r="B33" s="99">
        <f>IF(A33&lt;=malumot!$B$82,DATE(YEAR(R33),MONTH(R33),DAY(IF(A33=malumot!$B$82,malumot!$B$67,IF(A33&lt;malumot!$B$82,(Q33),IF(A33&gt;malumot!$B$82,$H$44,0))))))</f>
        <v>46524</v>
      </c>
      <c r="C33" s="54">
        <f t="shared" si="15"/>
        <v>12222222.250000015</v>
      </c>
      <c r="D33" s="54">
        <f t="shared" si="16"/>
        <v>1111111.1100000001</v>
      </c>
      <c r="E33" s="54">
        <f t="shared" si="17"/>
        <v>642922.23999999999</v>
      </c>
      <c r="F33" s="54">
        <f t="shared" si="18"/>
        <v>1754033.35</v>
      </c>
      <c r="G33" s="92">
        <f t="shared" si="19"/>
        <v>32</v>
      </c>
      <c r="H33" s="92">
        <f t="shared" si="20"/>
        <v>365</v>
      </c>
      <c r="I33" s="100">
        <f t="shared" si="21"/>
        <v>1111111.1100000001</v>
      </c>
      <c r="J33" s="100">
        <f>SUM($I$8:I32)</f>
        <v>27777777.749999993</v>
      </c>
      <c r="K33" s="100">
        <f t="shared" si="22"/>
        <v>12222222.250000007</v>
      </c>
      <c r="L33" s="94">
        <f>ROUND(C33*malumot!$B$85/H33,2)*G33</f>
        <v>642922.23999999999</v>
      </c>
      <c r="M33" s="94">
        <f t="shared" si="23"/>
        <v>1754033.35</v>
      </c>
      <c r="N33" s="94"/>
      <c r="O33" s="109" t="str">
        <f t="shared" si="24"/>
        <v>Сб</v>
      </c>
      <c r="P33" s="111">
        <f t="shared" si="25"/>
        <v>2</v>
      </c>
      <c r="Q33" s="111">
        <f>DAY(malumot!$B$79)+P33</f>
        <v>17</v>
      </c>
      <c r="R33" s="106">
        <f>IF(A33&lt;=malumot!$B$82,DATE(YEAR($B$8),MONTH($B$8)+A32,DAY(malumot!$B$79)),0)</f>
        <v>46522</v>
      </c>
      <c r="S33" s="92"/>
      <c r="T33" s="92"/>
      <c r="U33" s="92"/>
      <c r="V33" s="92"/>
    </row>
    <row r="34" spans="1:22" x14ac:dyDescent="0.25">
      <c r="A34" s="98">
        <f t="shared" si="26"/>
        <v>27</v>
      </c>
      <c r="B34" s="99">
        <f>IF(A34&lt;=malumot!$B$82,DATE(YEAR(R34),MONTH(R34),DAY(IF(A34=malumot!$B$82,malumot!$B$67,IF(A34&lt;malumot!$B$82,(Q34),IF(A34&gt;malumot!$B$82,$H$44,0))))))</f>
        <v>46553</v>
      </c>
      <c r="C34" s="54">
        <f t="shared" si="15"/>
        <v>11111111.140000015</v>
      </c>
      <c r="D34" s="54">
        <f t="shared" si="16"/>
        <v>1111111.1100000001</v>
      </c>
      <c r="E34" s="54">
        <f t="shared" si="17"/>
        <v>529680.36</v>
      </c>
      <c r="F34" s="54">
        <f t="shared" si="18"/>
        <v>1640791.4700000002</v>
      </c>
      <c r="G34" s="92">
        <f t="shared" si="19"/>
        <v>29</v>
      </c>
      <c r="H34" s="92">
        <f t="shared" si="20"/>
        <v>365</v>
      </c>
      <c r="I34" s="100">
        <f t="shared" si="21"/>
        <v>1111111.1100000001</v>
      </c>
      <c r="J34" s="100">
        <f>SUM($I$8:I33)</f>
        <v>28888888.859999992</v>
      </c>
      <c r="K34" s="100">
        <f t="shared" si="22"/>
        <v>11111111.140000008</v>
      </c>
      <c r="L34" s="94">
        <f>ROUND(C34*malumot!$B$85/H34,2)*G34</f>
        <v>529680.36</v>
      </c>
      <c r="M34" s="94">
        <f t="shared" si="23"/>
        <v>1640791.4700000002</v>
      </c>
      <c r="N34" s="94"/>
      <c r="O34" s="109" t="str">
        <f t="shared" si="24"/>
        <v>Вт</v>
      </c>
      <c r="P34" s="111">
        <f t="shared" si="25"/>
        <v>0</v>
      </c>
      <c r="Q34" s="111">
        <f>DAY(malumot!$B$79)+P34</f>
        <v>15</v>
      </c>
      <c r="R34" s="106">
        <f>IF(A34&lt;=malumot!$B$82,DATE(YEAR($B$8),MONTH($B$8)+A33,DAY(malumot!$B$79)),0)</f>
        <v>46553</v>
      </c>
      <c r="S34" s="92"/>
      <c r="T34" s="92"/>
      <c r="U34" s="92"/>
      <c r="V34" s="92"/>
    </row>
    <row r="35" spans="1:22" x14ac:dyDescent="0.25">
      <c r="A35" s="98">
        <f t="shared" si="26"/>
        <v>28</v>
      </c>
      <c r="B35" s="99">
        <f>IF(A35&lt;=malumot!$B$82,DATE(YEAR(R35),MONTH(R35),DAY(IF(A35=malumot!$B$82,malumot!$B$67,IF(A35&lt;malumot!$B$82,(Q35),IF(A35&gt;malumot!$B$82,$H$44,0))))))</f>
        <v>46583</v>
      </c>
      <c r="C35" s="54">
        <f t="shared" si="15"/>
        <v>10000000.030000016</v>
      </c>
      <c r="D35" s="54">
        <f t="shared" si="16"/>
        <v>1111111.1100000001</v>
      </c>
      <c r="E35" s="54">
        <f t="shared" si="17"/>
        <v>493150.80000000005</v>
      </c>
      <c r="F35" s="54">
        <f t="shared" si="18"/>
        <v>1604261.9100000001</v>
      </c>
      <c r="G35" s="92">
        <f t="shared" si="19"/>
        <v>30</v>
      </c>
      <c r="H35" s="92">
        <f t="shared" si="20"/>
        <v>365</v>
      </c>
      <c r="I35" s="100">
        <f t="shared" si="21"/>
        <v>1111111.1100000001</v>
      </c>
      <c r="J35" s="100">
        <f>SUM($I$8:I34)</f>
        <v>29999999.969999991</v>
      </c>
      <c r="K35" s="100">
        <f t="shared" si="22"/>
        <v>10000000.030000009</v>
      </c>
      <c r="L35" s="94">
        <f>ROUND(C35*malumot!$B$85/H35,2)*G35</f>
        <v>493150.80000000005</v>
      </c>
      <c r="M35" s="94">
        <f t="shared" si="23"/>
        <v>1604261.9100000001</v>
      </c>
      <c r="N35" s="94"/>
      <c r="O35" s="109" t="str">
        <f t="shared" si="24"/>
        <v>Чт</v>
      </c>
      <c r="P35" s="111">
        <f t="shared" si="25"/>
        <v>0</v>
      </c>
      <c r="Q35" s="111">
        <f>DAY(malumot!$B$79)+P35</f>
        <v>15</v>
      </c>
      <c r="R35" s="106">
        <f>IF(A35&lt;=malumot!$B$82,DATE(YEAR($B$8),MONTH($B$8)+A34,DAY(malumot!$B$79)),0)</f>
        <v>46583</v>
      </c>
      <c r="S35" s="92"/>
      <c r="T35" s="92"/>
      <c r="U35" s="92"/>
      <c r="V35" s="92"/>
    </row>
    <row r="36" spans="1:22" x14ac:dyDescent="0.25">
      <c r="A36" s="98">
        <f t="shared" si="26"/>
        <v>29</v>
      </c>
      <c r="B36" s="99">
        <f>IF(A36&lt;=malumot!$B$82,DATE(YEAR(R36),MONTH(R36),DAY(IF(A36=malumot!$B$82,malumot!$B$67,IF(A36&lt;malumot!$B$82,(Q36),IF(A36&gt;malumot!$B$82,$H$44,0))))))</f>
        <v>46615</v>
      </c>
      <c r="C36" s="54">
        <f t="shared" si="15"/>
        <v>8888888.9200000167</v>
      </c>
      <c r="D36" s="54">
        <f t="shared" si="16"/>
        <v>1111111.1100000001</v>
      </c>
      <c r="E36" s="54">
        <f t="shared" si="17"/>
        <v>467579.84</v>
      </c>
      <c r="F36" s="54">
        <f t="shared" si="18"/>
        <v>1578690.9500000002</v>
      </c>
      <c r="G36" s="92">
        <f t="shared" si="19"/>
        <v>32</v>
      </c>
      <c r="H36" s="92">
        <f t="shared" si="20"/>
        <v>365</v>
      </c>
      <c r="I36" s="100">
        <f t="shared" si="21"/>
        <v>1111111.1100000001</v>
      </c>
      <c r="J36" s="100">
        <f>SUM($I$8:I35)</f>
        <v>31111111.079999991</v>
      </c>
      <c r="K36" s="100">
        <f t="shared" si="22"/>
        <v>8888888.9200000092</v>
      </c>
      <c r="L36" s="94">
        <f>ROUND(C36*malumot!$B$85/H36,2)*G36</f>
        <v>467579.84</v>
      </c>
      <c r="M36" s="94">
        <f t="shared" si="23"/>
        <v>1578690.9500000002</v>
      </c>
      <c r="N36" s="94"/>
      <c r="O36" s="109" t="str">
        <f t="shared" si="24"/>
        <v>Вс</v>
      </c>
      <c r="P36" s="111">
        <f t="shared" si="25"/>
        <v>1</v>
      </c>
      <c r="Q36" s="111">
        <f>DAY(malumot!$B$79)+P36</f>
        <v>16</v>
      </c>
      <c r="R36" s="106">
        <f>IF(A36&lt;=malumot!$B$82,DATE(YEAR($B$8),MONTH($B$8)+A35,DAY(malumot!$B$79)),0)</f>
        <v>46614</v>
      </c>
      <c r="S36" s="92"/>
      <c r="T36" s="92"/>
      <c r="U36" s="92"/>
      <c r="V36" s="92"/>
    </row>
    <row r="37" spans="1:22" x14ac:dyDescent="0.25">
      <c r="A37" s="98">
        <f t="shared" si="26"/>
        <v>30</v>
      </c>
      <c r="B37" s="99">
        <f>IF(A37&lt;=malumot!$B$82,DATE(YEAR(R37),MONTH(R37),DAY(IF(A37=malumot!$B$82,malumot!$B$67,IF(A37&lt;malumot!$B$82,(Q37),IF(A37&gt;malumot!$B$82,$H$44,0))))))</f>
        <v>46645</v>
      </c>
      <c r="C37" s="54">
        <f t="shared" si="15"/>
        <v>7777777.8100000164</v>
      </c>
      <c r="D37" s="54">
        <f t="shared" si="16"/>
        <v>1111111.1100000001</v>
      </c>
      <c r="E37" s="54">
        <f t="shared" si="17"/>
        <v>383561.69999999995</v>
      </c>
      <c r="F37" s="54">
        <f t="shared" si="18"/>
        <v>1494672.81</v>
      </c>
      <c r="G37" s="92">
        <f t="shared" si="19"/>
        <v>30</v>
      </c>
      <c r="H37" s="92">
        <f t="shared" si="20"/>
        <v>365</v>
      </c>
      <c r="I37" s="100">
        <f t="shared" si="21"/>
        <v>1111111.1100000001</v>
      </c>
      <c r="J37" s="100">
        <f>SUM($I$8:I36)</f>
        <v>32222222.18999999</v>
      </c>
      <c r="K37" s="100">
        <f t="shared" si="22"/>
        <v>7777777.8100000098</v>
      </c>
      <c r="L37" s="94">
        <f>ROUND(C37*malumot!$B$85/H37,2)*G37</f>
        <v>383561.69999999995</v>
      </c>
      <c r="M37" s="94">
        <f t="shared" si="23"/>
        <v>1494672.81</v>
      </c>
      <c r="N37" s="94"/>
      <c r="O37" s="109" t="str">
        <f t="shared" si="24"/>
        <v>Ср</v>
      </c>
      <c r="P37" s="111">
        <f t="shared" si="25"/>
        <v>0</v>
      </c>
      <c r="Q37" s="111">
        <f>DAY(malumot!$B$79)+P37</f>
        <v>15</v>
      </c>
      <c r="R37" s="106">
        <f>IF(A37&lt;=malumot!$B$82,DATE(YEAR($B$8),MONTH($B$8)+A36,DAY(malumot!$B$79)),0)</f>
        <v>46645</v>
      </c>
      <c r="S37" s="92"/>
      <c r="T37" s="92"/>
      <c r="U37" s="92"/>
      <c r="V37" s="92"/>
    </row>
    <row r="38" spans="1:22" x14ac:dyDescent="0.25">
      <c r="A38" s="98">
        <f t="shared" si="26"/>
        <v>31</v>
      </c>
      <c r="B38" s="99">
        <f>IF(A38&lt;=malumot!$B$82,DATE(YEAR(R38),MONTH(R38),DAY(IF(A38=malumot!$B$82,malumot!$B$67,IF(A38&lt;malumot!$B$82,(Q38),IF(A38&gt;malumot!$B$82,$H$44,0))))))</f>
        <v>46675</v>
      </c>
      <c r="C38" s="54">
        <f t="shared" si="15"/>
        <v>6666666.700000016</v>
      </c>
      <c r="D38" s="54">
        <f t="shared" si="16"/>
        <v>1111111.1100000001</v>
      </c>
      <c r="E38" s="54">
        <f t="shared" si="17"/>
        <v>328767</v>
      </c>
      <c r="F38" s="54">
        <f t="shared" si="18"/>
        <v>1439878.11</v>
      </c>
      <c r="G38" s="92">
        <f t="shared" si="19"/>
        <v>30</v>
      </c>
      <c r="H38" s="92">
        <f t="shared" si="20"/>
        <v>365</v>
      </c>
      <c r="I38" s="100">
        <f t="shared" si="21"/>
        <v>1111111.1100000001</v>
      </c>
      <c r="J38" s="100">
        <f>SUM($I$8:I37)</f>
        <v>33333333.29999999</v>
      </c>
      <c r="K38" s="100">
        <f t="shared" si="22"/>
        <v>6666666.7000000104</v>
      </c>
      <c r="L38" s="94">
        <f>ROUND(C38*malumot!$B$85/H38,2)*G38</f>
        <v>328767</v>
      </c>
      <c r="M38" s="94">
        <f t="shared" si="23"/>
        <v>1439878.11</v>
      </c>
      <c r="N38" s="94"/>
      <c r="O38" s="109" t="str">
        <f t="shared" si="24"/>
        <v>Пт</v>
      </c>
      <c r="P38" s="111">
        <f t="shared" si="25"/>
        <v>0</v>
      </c>
      <c r="Q38" s="111">
        <f>DAY(malumot!$B$79)+P38</f>
        <v>15</v>
      </c>
      <c r="R38" s="106">
        <f>IF(A38&lt;=malumot!$B$82,DATE(YEAR($B$8),MONTH($B$8)+A37,DAY(malumot!$B$79)),0)</f>
        <v>46675</v>
      </c>
      <c r="S38" s="92"/>
      <c r="T38" s="92"/>
      <c r="U38" s="92"/>
      <c r="V38" s="92"/>
    </row>
    <row r="39" spans="1:22" x14ac:dyDescent="0.25">
      <c r="A39" s="98">
        <f t="shared" si="26"/>
        <v>32</v>
      </c>
      <c r="B39" s="99">
        <f>IF(A39&lt;=malumot!$B$82,DATE(YEAR(R39),MONTH(R39),DAY(IF(A39=malumot!$B$82,malumot!$B$67,IF(A39&lt;malumot!$B$82,(Q39),IF(A39&gt;malumot!$B$82,$H$44,0))))))</f>
        <v>46706</v>
      </c>
      <c r="C39" s="54">
        <f t="shared" si="15"/>
        <v>5555555.5900000157</v>
      </c>
      <c r="D39" s="54">
        <f t="shared" si="16"/>
        <v>1111111.1100000001</v>
      </c>
      <c r="E39" s="54">
        <f t="shared" si="17"/>
        <v>283105.02</v>
      </c>
      <c r="F39" s="54">
        <f t="shared" si="18"/>
        <v>1394216.1300000001</v>
      </c>
      <c r="G39" s="92">
        <f t="shared" si="19"/>
        <v>31</v>
      </c>
      <c r="H39" s="92">
        <f t="shared" si="20"/>
        <v>365</v>
      </c>
      <c r="I39" s="100">
        <f t="shared" si="21"/>
        <v>1111111.1100000001</v>
      </c>
      <c r="J39" s="100">
        <f>SUM($I$8:I38)</f>
        <v>34444444.409999989</v>
      </c>
      <c r="K39" s="100">
        <f t="shared" si="22"/>
        <v>5555555.590000011</v>
      </c>
      <c r="L39" s="94">
        <f>ROUND(C39*malumot!$B$85/H39,2)*G39</f>
        <v>283105.02</v>
      </c>
      <c r="M39" s="94">
        <f t="shared" si="23"/>
        <v>1394216.1300000001</v>
      </c>
      <c r="N39" s="94"/>
      <c r="O39" s="109" t="str">
        <f t="shared" si="24"/>
        <v>Пн</v>
      </c>
      <c r="P39" s="111">
        <f t="shared" si="25"/>
        <v>0</v>
      </c>
      <c r="Q39" s="111">
        <f>DAY(malumot!$B$79)+P39</f>
        <v>15</v>
      </c>
      <c r="R39" s="106">
        <f>IF(A39&lt;=malumot!$B$82,DATE(YEAR($B$8),MONTH($B$8)+A38,DAY(malumot!$B$79)),0)</f>
        <v>46706</v>
      </c>
      <c r="S39" s="92"/>
      <c r="T39" s="92"/>
      <c r="U39" s="92"/>
      <c r="V39" s="92"/>
    </row>
    <row r="40" spans="1:22" x14ac:dyDescent="0.25">
      <c r="A40" s="98">
        <f t="shared" si="26"/>
        <v>33</v>
      </c>
      <c r="B40" s="99">
        <f>IF(A40&lt;=malumot!$B$82,DATE(YEAR(R40),MONTH(R40),DAY(IF(A40=malumot!$B$82,malumot!$B$67,IF(A40&lt;malumot!$B$82,(Q40),IF(A40&gt;malumot!$B$82,$H$44,0))))))</f>
        <v>46736</v>
      </c>
      <c r="C40" s="54">
        <f t="shared" si="15"/>
        <v>4444444.4800000153</v>
      </c>
      <c r="D40" s="54">
        <f t="shared" si="16"/>
        <v>1111111.1100000001</v>
      </c>
      <c r="E40" s="54">
        <f t="shared" si="17"/>
        <v>219178.19999999998</v>
      </c>
      <c r="F40" s="54">
        <f t="shared" si="18"/>
        <v>1330289.31</v>
      </c>
      <c r="G40" s="92">
        <f t="shared" si="19"/>
        <v>30</v>
      </c>
      <c r="H40" s="92">
        <f t="shared" si="20"/>
        <v>365</v>
      </c>
      <c r="I40" s="100">
        <f t="shared" si="21"/>
        <v>1111111.1100000001</v>
      </c>
      <c r="J40" s="100">
        <f>SUM($I$8:I39)</f>
        <v>35555555.519999988</v>
      </c>
      <c r="K40" s="100">
        <f t="shared" si="22"/>
        <v>4444444.4800000116</v>
      </c>
      <c r="L40" s="94">
        <f>ROUND(C40*malumot!$B$85/H40,2)*G40</f>
        <v>219178.19999999998</v>
      </c>
      <c r="M40" s="94">
        <f t="shared" si="23"/>
        <v>1330289.31</v>
      </c>
      <c r="N40" s="94"/>
      <c r="O40" s="109" t="str">
        <f t="shared" si="24"/>
        <v>Ср</v>
      </c>
      <c r="P40" s="111">
        <f t="shared" si="25"/>
        <v>0</v>
      </c>
      <c r="Q40" s="111">
        <f>DAY(malumot!$B$79)+P40</f>
        <v>15</v>
      </c>
      <c r="R40" s="106">
        <f>IF(A40&lt;=malumot!$B$82,DATE(YEAR($B$8),MONTH($B$8)+A39,DAY(malumot!$B$79)),0)</f>
        <v>46736</v>
      </c>
      <c r="S40" s="92"/>
      <c r="T40" s="92"/>
      <c r="U40" s="92"/>
      <c r="V40" s="92"/>
    </row>
    <row r="41" spans="1:22" x14ac:dyDescent="0.25">
      <c r="A41" s="98">
        <f t="shared" si="26"/>
        <v>34</v>
      </c>
      <c r="B41" s="99">
        <f>IF(A41&lt;=malumot!$B$82,DATE(YEAR(R41),MONTH(R41),DAY(IF(A41=malumot!$B$82,malumot!$B$67,IF(A41&lt;malumot!$B$82,(Q41),IF(A41&gt;malumot!$B$82,$H$44,0))))))</f>
        <v>46769</v>
      </c>
      <c r="C41" s="54">
        <f t="shared" si="15"/>
        <v>3333333.370000015</v>
      </c>
      <c r="D41" s="54">
        <f t="shared" si="16"/>
        <v>1111111.1100000001</v>
      </c>
      <c r="E41" s="54">
        <f t="shared" si="17"/>
        <v>180327.84</v>
      </c>
      <c r="F41" s="54">
        <f t="shared" si="18"/>
        <v>1291438.9500000002</v>
      </c>
      <c r="G41" s="92">
        <f t="shared" si="19"/>
        <v>33</v>
      </c>
      <c r="H41" s="92">
        <f t="shared" si="20"/>
        <v>366</v>
      </c>
      <c r="I41" s="100">
        <f t="shared" si="21"/>
        <v>1111111.1100000001</v>
      </c>
      <c r="J41" s="100">
        <f>SUM($I$8:I40)</f>
        <v>36666666.629999988</v>
      </c>
      <c r="K41" s="100">
        <f t="shared" si="22"/>
        <v>3333333.3700000122</v>
      </c>
      <c r="L41" s="94">
        <f>ROUND(C41*malumot!$B$85/H41,2)*G41</f>
        <v>180327.84</v>
      </c>
      <c r="M41" s="94">
        <f t="shared" si="23"/>
        <v>1291438.9500000002</v>
      </c>
      <c r="N41" s="94"/>
      <c r="O41" s="109" t="str">
        <f t="shared" si="24"/>
        <v>Сб</v>
      </c>
      <c r="P41" s="111">
        <f t="shared" si="25"/>
        <v>2</v>
      </c>
      <c r="Q41" s="111">
        <f>DAY(malumot!$B$79)+P41</f>
        <v>17</v>
      </c>
      <c r="R41" s="106">
        <f>IF(A41&lt;=malumot!$B$82,DATE(YEAR($B$8),MONTH($B$8)+A40,DAY(malumot!$B$79)),0)</f>
        <v>46767</v>
      </c>
      <c r="S41" s="92"/>
      <c r="T41" s="92"/>
      <c r="U41" s="92"/>
      <c r="V41" s="92"/>
    </row>
    <row r="42" spans="1:22" x14ac:dyDescent="0.25">
      <c r="A42" s="98">
        <f t="shared" si="26"/>
        <v>35</v>
      </c>
      <c r="B42" s="99">
        <f>IF(A42&lt;=malumot!$B$82,DATE(YEAR(R42),MONTH(R42),DAY(IF(A42=malumot!$B$82,malumot!$B$67,IF(A42&lt;malumot!$B$82,(Q42),IF(A42&gt;malumot!$B$82,$H$44,0))))))</f>
        <v>46798</v>
      </c>
      <c r="C42" s="54">
        <f t="shared" si="15"/>
        <v>2222222.2600000147</v>
      </c>
      <c r="D42" s="54">
        <f t="shared" si="16"/>
        <v>1111111.1100000001</v>
      </c>
      <c r="E42" s="54">
        <f t="shared" si="17"/>
        <v>105646.70999999999</v>
      </c>
      <c r="F42" s="54">
        <f t="shared" si="18"/>
        <v>1216757.82</v>
      </c>
      <c r="G42" s="92">
        <f t="shared" si="19"/>
        <v>29</v>
      </c>
      <c r="H42" s="92">
        <f t="shared" si="20"/>
        <v>366</v>
      </c>
      <c r="I42" s="100">
        <f t="shared" si="21"/>
        <v>1111111.1100000001</v>
      </c>
      <c r="J42" s="100">
        <f>SUM($I$8:I41)</f>
        <v>37777777.739999987</v>
      </c>
      <c r="K42" s="100">
        <f t="shared" si="22"/>
        <v>2222222.2600000128</v>
      </c>
      <c r="L42" s="94">
        <f>ROUND(C42*malumot!$B$85/H42,2)*G42</f>
        <v>105646.70999999999</v>
      </c>
      <c r="M42" s="94">
        <f t="shared" si="23"/>
        <v>1216757.82</v>
      </c>
      <c r="N42" s="94"/>
      <c r="O42" s="109" t="str">
        <f t="shared" si="24"/>
        <v>Вт</v>
      </c>
      <c r="P42" s="111">
        <f t="shared" si="25"/>
        <v>0</v>
      </c>
      <c r="Q42" s="111">
        <f>DAY(malumot!$B$79)+P42</f>
        <v>15</v>
      </c>
      <c r="R42" s="106">
        <f>IF(A42&lt;=malumot!$B$82,DATE(YEAR($B$8),MONTH($B$8)+A41,DAY(malumot!$B$79)),0)</f>
        <v>46798</v>
      </c>
      <c r="S42" s="92"/>
      <c r="T42" s="92"/>
      <c r="U42" s="92"/>
      <c r="V42" s="92"/>
    </row>
    <row r="43" spans="1:22" x14ac:dyDescent="0.25">
      <c r="A43" s="98">
        <f t="shared" ref="A43" si="27">1+A42</f>
        <v>36</v>
      </c>
      <c r="B43" s="99">
        <f>IF(A43&lt;=malumot!$B$82,DATE(YEAR(R43),MONTH(R43),DAY(IF(A43=malumot!$B$82,malumot!$B$67,IF(A43&lt;malumot!$B$82,(Q43),IF(A43&gt;malumot!$B$82,$H$44,0))))))</f>
        <v>46839</v>
      </c>
      <c r="C43" s="54">
        <f t="shared" ref="C43" si="28">C42-D42</f>
        <v>1111111.1500000146</v>
      </c>
      <c r="D43" s="54">
        <f t="shared" ref="D43" si="29">IF(C43=0,L43,IF(C43&gt;1,I43))</f>
        <v>1111111.1500000134</v>
      </c>
      <c r="E43" s="54">
        <f t="shared" ref="E43" si="30">IF(C43=0,N42,IF(C43&gt;1,L43))</f>
        <v>74681.09</v>
      </c>
      <c r="F43" s="54">
        <f t="shared" ref="F43" si="31">IF(C43=0,N42,IF(C43&gt;1,M43))</f>
        <v>1185792.2400000135</v>
      </c>
      <c r="G43" s="92">
        <f t="shared" ref="G43" si="32">B43-B42</f>
        <v>41</v>
      </c>
      <c r="H43" s="92">
        <f t="shared" ref="H43" si="33">DATE(YEAR(B43),12,31)-DATE(YEAR(B43),1,1)+1</f>
        <v>366</v>
      </c>
      <c r="I43" s="100">
        <f t="shared" ref="I43" si="34">IF($L$5=A43,K43,IF($L$5&gt;A43,I42))</f>
        <v>1111111.1500000134</v>
      </c>
      <c r="J43" s="100">
        <f>SUM($I$8:I42)</f>
        <v>38888888.849999987</v>
      </c>
      <c r="K43" s="100">
        <f t="shared" ref="K43" si="35">$J$12-J43</f>
        <v>1111111.1500000134</v>
      </c>
      <c r="L43" s="94">
        <f>ROUND(C43*malumot!$B$85/H43,2)*G43</f>
        <v>74681.09</v>
      </c>
      <c r="M43" s="94">
        <f t="shared" ref="M43" si="36">D43+E43</f>
        <v>1185792.2400000135</v>
      </c>
      <c r="N43" s="94"/>
      <c r="O43" s="109" t="str">
        <f t="shared" ref="O43" si="37">TEXT(R43,"ддд")</f>
        <v>Ср</v>
      </c>
      <c r="P43" s="111">
        <f t="shared" ref="P43" si="38">IF(O43=$U$8,2,IF(O43=$V$8,1,0))</f>
        <v>0</v>
      </c>
      <c r="Q43" s="111">
        <f>DAY(malumot!$B$79)+P43</f>
        <v>15</v>
      </c>
      <c r="R43" s="106">
        <f>IF(A43&lt;=malumot!$B$82,DATE(YEAR($B$8),MONTH($B$8)+A42,DAY(malumot!$B$79)),0)</f>
        <v>46827</v>
      </c>
      <c r="S43" s="92"/>
      <c r="T43" s="92"/>
      <c r="U43" s="92"/>
      <c r="V43" s="92"/>
    </row>
    <row r="44" spans="1:22" x14ac:dyDescent="0.25">
      <c r="A44" s="101"/>
      <c r="B44" s="102" t="s">
        <v>7</v>
      </c>
      <c r="C44" s="103"/>
      <c r="D44" s="103">
        <f>SUM(D8:D43)</f>
        <v>40000000</v>
      </c>
      <c r="E44" s="103">
        <f t="shared" ref="E44:F44" si="39">SUM(E8:E43)</f>
        <v>36325952.150000021</v>
      </c>
      <c r="F44" s="103">
        <f t="shared" si="39"/>
        <v>76325952.149999991</v>
      </c>
    </row>
    <row r="45" spans="1:22" ht="9" customHeight="1" x14ac:dyDescent="0.25">
      <c r="B45" s="104"/>
      <c r="C45" s="105"/>
      <c r="D45" s="105"/>
      <c r="E45" s="105"/>
      <c r="F45" s="105"/>
    </row>
    <row r="46" spans="1:22" ht="47.25" customHeight="1" x14ac:dyDescent="0.25">
      <c r="A46" s="281" t="s">
        <v>18</v>
      </c>
      <c r="B46" s="281"/>
      <c r="C46" s="281"/>
      <c r="D46" s="281"/>
      <c r="E46" s="281"/>
      <c r="F46" s="281"/>
    </row>
    <row r="47" spans="1:22" ht="7.5" customHeight="1" x14ac:dyDescent="0.25"/>
    <row r="48" spans="1:22" x14ac:dyDescent="0.25">
      <c r="A48" s="282" t="e">
        <f>#REF!</f>
        <v>#REF!</v>
      </c>
      <c r="B48" s="282"/>
      <c r="C48" s="282"/>
      <c r="D48" s="282" t="e">
        <f>#REF!</f>
        <v>#REF!</v>
      </c>
      <c r="E48" s="282"/>
      <c r="F48" s="282"/>
    </row>
    <row r="49" spans="1:6" ht="11.25" customHeight="1" x14ac:dyDescent="0.25">
      <c r="A49" s="283"/>
      <c r="B49" s="283"/>
      <c r="C49" s="283"/>
      <c r="D49" s="283"/>
      <c r="E49" s="283"/>
      <c r="F49" s="283"/>
    </row>
    <row r="50" spans="1:6" ht="30" customHeight="1" x14ac:dyDescent="0.25">
      <c r="A50" s="284" t="e">
        <f>#REF!</f>
        <v>#REF!</v>
      </c>
      <c r="B50" s="284"/>
      <c r="C50" s="284"/>
      <c r="D50" s="284" t="e">
        <f>#REF!</f>
        <v>#REF!</v>
      </c>
      <c r="E50" s="284"/>
      <c r="F50" s="284"/>
    </row>
    <row r="51" spans="1:6" ht="32.25" customHeight="1" x14ac:dyDescent="0.25">
      <c r="A51" s="280" t="e">
        <f>#REF!</f>
        <v>#REF!</v>
      </c>
      <c r="B51" s="280"/>
      <c r="C51" s="280"/>
      <c r="D51" s="280" t="e">
        <f>#REF!</f>
        <v>#REF!</v>
      </c>
      <c r="E51" s="280"/>
      <c r="F51" s="280"/>
    </row>
    <row r="52" spans="1:6" x14ac:dyDescent="0.25">
      <c r="A52" s="280" t="e">
        <f>#REF!</f>
        <v>#REF!</v>
      </c>
      <c r="B52" s="280"/>
      <c r="C52" s="280"/>
      <c r="D52" s="280" t="str">
        <f>"паспорт серии "&amp;malumot!B16&amp;", "&amp;malumot!B20&amp;""</f>
        <v>паспорт серии AB2646428, NAVOIY VILOYATI NUROTA TUMANI IIB tomonidan 15.01.2016 yilda berilgan</v>
      </c>
      <c r="E52" s="280"/>
      <c r="F52" s="280"/>
    </row>
    <row r="53" spans="1:6" ht="32.25" customHeight="1" x14ac:dyDescent="0.25">
      <c r="A53" s="280" t="e">
        <f>#REF!</f>
        <v>#REF!</v>
      </c>
      <c r="B53" s="280"/>
      <c r="C53" s="280"/>
      <c r="D53" s="280"/>
      <c r="E53" s="280"/>
      <c r="F53" s="280"/>
    </row>
    <row r="54" spans="1:6" x14ac:dyDescent="0.25">
      <c r="A54" s="280" t="e">
        <f>#REF!</f>
        <v>#REF!</v>
      </c>
      <c r="B54" s="280"/>
      <c r="C54" s="280"/>
      <c r="D54" s="280" t="e">
        <f>#REF!</f>
        <v>#REF!</v>
      </c>
      <c r="E54" s="280"/>
      <c r="F54" s="280"/>
    </row>
    <row r="55" spans="1:6" x14ac:dyDescent="0.25">
      <c r="A55" s="280" t="e">
        <f>#REF!</f>
        <v>#REF!</v>
      </c>
      <c r="B55" s="280"/>
      <c r="C55" s="280"/>
      <c r="D55" s="280" t="e">
        <f>#REF!</f>
        <v>#REF!</v>
      </c>
      <c r="E55" s="280"/>
      <c r="F55" s="280"/>
    </row>
    <row r="56" spans="1:6" x14ac:dyDescent="0.25">
      <c r="A56" s="280" t="e">
        <f>#REF!</f>
        <v>#REF!</v>
      </c>
      <c r="B56" s="280"/>
      <c r="C56" s="280"/>
      <c r="D56" s="280" t="e">
        <f>#REF!</f>
        <v>#REF!</v>
      </c>
      <c r="E56" s="280"/>
      <c r="F56" s="280"/>
    </row>
    <row r="57" spans="1:6" ht="8.25" customHeight="1" x14ac:dyDescent="0.25">
      <c r="A57" s="280"/>
      <c r="B57" s="280"/>
      <c r="C57" s="280"/>
      <c r="D57" s="280"/>
      <c r="E57" s="280"/>
      <c r="F57" s="280"/>
    </row>
    <row r="58" spans="1:6" x14ac:dyDescent="0.25">
      <c r="A58" s="284" t="e">
        <f>#REF!</f>
        <v>#REF!</v>
      </c>
      <c r="B58" s="284"/>
      <c r="C58" s="284"/>
      <c r="D58" s="284" t="e">
        <f>#REF!</f>
        <v>#REF!</v>
      </c>
      <c r="E58" s="284"/>
      <c r="F58" s="284"/>
    </row>
    <row r="59" spans="1:6" ht="7.5" customHeight="1" x14ac:dyDescent="0.25">
      <c r="A59" s="284"/>
      <c r="B59" s="284"/>
      <c r="C59" s="284"/>
      <c r="D59" s="284"/>
      <c r="E59" s="284"/>
      <c r="F59" s="284"/>
    </row>
    <row r="60" spans="1:6" x14ac:dyDescent="0.25">
      <c r="A60" s="284" t="e">
        <f>#REF!</f>
        <v>#REF!</v>
      </c>
      <c r="B60" s="284"/>
      <c r="C60" s="284"/>
      <c r="D60" s="284" t="e">
        <f>#REF!</f>
        <v>#REF!</v>
      </c>
      <c r="E60" s="284"/>
      <c r="F60" s="284"/>
    </row>
    <row r="61" spans="1:6" ht="8.25" customHeight="1" x14ac:dyDescent="0.25">
      <c r="A61" s="280"/>
      <c r="B61" s="280"/>
      <c r="C61" s="280"/>
      <c r="D61" s="280"/>
      <c r="E61" s="280"/>
      <c r="F61" s="280"/>
    </row>
    <row r="62" spans="1:6" ht="30" customHeight="1" x14ac:dyDescent="0.25">
      <c r="A62" s="286"/>
      <c r="B62" s="286"/>
      <c r="C62" s="286"/>
      <c r="D62" s="287" t="e">
        <f>#REF!</f>
        <v>#REF!</v>
      </c>
      <c r="E62" s="287"/>
      <c r="F62" s="287"/>
    </row>
    <row r="63" spans="1:6" x14ac:dyDescent="0.25">
      <c r="A63" s="288"/>
      <c r="B63" s="288"/>
      <c r="C63" s="288"/>
      <c r="D63" s="288"/>
      <c r="E63" s="288"/>
      <c r="F63" s="288"/>
    </row>
    <row r="64" spans="1:6" x14ac:dyDescent="0.25">
      <c r="A64" s="285"/>
      <c r="B64" s="285"/>
      <c r="C64" s="285"/>
      <c r="D64" s="285"/>
      <c r="E64" s="285"/>
      <c r="F64" s="285"/>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18"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24" customFormat="1" ht="36.75" customHeight="1" x14ac:dyDescent="0.25">
      <c r="A1" s="123" t="s">
        <v>15</v>
      </c>
      <c r="B1" s="124" t="s">
        <v>3</v>
      </c>
      <c r="D1" s="123"/>
      <c r="E1" s="123" t="s">
        <v>40</v>
      </c>
      <c r="F1" s="123" t="s">
        <v>41</v>
      </c>
      <c r="G1" s="123"/>
      <c r="H1" s="123"/>
      <c r="I1" s="123"/>
      <c r="J1" s="123"/>
      <c r="K1" s="123"/>
      <c r="L1" s="123" t="s">
        <v>42</v>
      </c>
      <c r="M1" s="123" t="s">
        <v>44</v>
      </c>
      <c r="N1" s="123" t="s">
        <v>43</v>
      </c>
    </row>
    <row r="2" spans="1:23" ht="15" customHeight="1" x14ac:dyDescent="0.25">
      <c r="A2" s="117">
        <v>1</v>
      </c>
      <c r="B2" t="s">
        <v>255</v>
      </c>
      <c r="C2" t="s">
        <v>66</v>
      </c>
      <c r="D2" s="119" t="s">
        <v>255</v>
      </c>
      <c r="E2" s="119" t="s">
        <v>46</v>
      </c>
      <c r="F2" s="120">
        <v>44207</v>
      </c>
      <c r="G2" s="110">
        <f>MONTH(F2)</f>
        <v>1</v>
      </c>
      <c r="H2" s="120" t="str">
        <f>IF(G2=$A$26,$A$28,IF(G2=$B$26,$B$28,IF(G2=$C$26,$C$28,IF(G2=$D$26,$D$28,IF(G2=$E$26,$E$28,IF(G2=$F$26,$F$28,IF(G2=$K$26,$K$28,IF(G2=$L$26,$L$28,IF(G2=$M$26,$M$28,IF(G2=$N$26,$N$28,IF(G2=$O$26,$O$28,IF(G2=$P$26,$P$28,0))))))))))))</f>
        <v>yanvar</v>
      </c>
      <c r="I2" s="110">
        <f>DAY(F2)</f>
        <v>11</v>
      </c>
      <c r="J2" s="122">
        <f>YEAR(F2)</f>
        <v>2021</v>
      </c>
      <c r="K2" s="120" t="str">
        <f>""&amp;I2&amp;" "&amp;H2&amp;" "&amp;J2&amp;" г."</f>
        <v>11 yanvar 2021 г.</v>
      </c>
      <c r="L2" s="119">
        <v>5</v>
      </c>
      <c r="M2" s="121">
        <v>15000000</v>
      </c>
      <c r="N2" s="119"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3"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17">
        <v>2</v>
      </c>
      <c r="D3" s="119" t="s">
        <v>255</v>
      </c>
      <c r="E3" s="119" t="s">
        <v>45</v>
      </c>
      <c r="F3" s="120">
        <v>43775</v>
      </c>
      <c r="G3" s="110">
        <f>MONTH(F3)</f>
        <v>11</v>
      </c>
      <c r="H3" s="120" t="str">
        <f>IF(G3=$A$26,$A$28,IF(G3=$B$26,$B$28,IF(G3=$C$26,$C$28,IF(G3=$D$26,$D$28,IF(G3=$E$26,$E$28,IF(G3=$F$26,$F$28,IF(G3=$K$26,$K$28,IF(G3=$L$26,$L$28,IF(G3=$M$26,$M$28,IF(G3=$N$26,$N$28,IF(G3=$O$26,$O$28,IF(G3=$P$26,$P$28,0))))))))))))</f>
        <v>noyabr</v>
      </c>
      <c r="I3" s="110">
        <f>DAY(F3)</f>
        <v>6</v>
      </c>
      <c r="J3" s="122">
        <f>YEAR(F3)</f>
        <v>2019</v>
      </c>
      <c r="K3" s="120" t="str">
        <f>""&amp;I3&amp;" "&amp;H3&amp;" "&amp;J3&amp;" г."</f>
        <v>6 noyabr 2019 г.</v>
      </c>
      <c r="L3" s="119">
        <v>386</v>
      </c>
      <c r="M3" s="121">
        <v>15000000</v>
      </c>
      <c r="N3" s="119"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17">
        <v>3</v>
      </c>
      <c r="D4" s="119" t="s">
        <v>255</v>
      </c>
      <c r="E4" s="119" t="s">
        <v>45</v>
      </c>
      <c r="F4" s="120">
        <v>44217</v>
      </c>
      <c r="G4" s="110">
        <f>MONTH(F4)</f>
        <v>1</v>
      </c>
      <c r="H4" s="120" t="str">
        <f>IF(G4=$A$26,$A$28,IF(G4=$B$26,$B$28,IF(G4=$C$26,$C$28,IF(G4=$D$26,$D$28,IF(G4=$E$26,$E$28,IF(G4=$F$26,$F$28,IF(G4=$K$26,$K$28,IF(G4=$L$26,$L$28,IF(G4=$M$26,$M$28,IF(G4=$N$26,$N$28,IF(G4=$O$26,$O$28,IF(G4=$P$26,$P$28,0))))))))))))</f>
        <v>yanvar</v>
      </c>
      <c r="I4" s="110">
        <f>DAY(F4)</f>
        <v>21</v>
      </c>
      <c r="J4" s="122">
        <f>YEAR(F4)</f>
        <v>2021</v>
      </c>
      <c r="K4" s="120" t="str">
        <f>""&amp;I4&amp;" "&amp;H4&amp;" "&amp;J4&amp;" г."</f>
        <v>21 yanvar 2021 г.</v>
      </c>
      <c r="L4" s="119">
        <v>33</v>
      </c>
      <c r="M4" s="121">
        <v>15000000</v>
      </c>
      <c r="N4" s="119"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17">
        <v>4</v>
      </c>
      <c r="D5" s="119" t="s">
        <v>255</v>
      </c>
      <c r="E5" s="119"/>
      <c r="F5" s="120"/>
      <c r="G5" s="110">
        <f t="shared" ref="G5:G21" si="2">MONTH(F5)</f>
        <v>1</v>
      </c>
      <c r="H5" s="120" t="str">
        <f t="shared" ref="H5:H21" si="3">IF(G5=$A$26,$A$28,IF(G5=$B$26,$B$28,IF(G5=$C$26,$C$28,IF(G5=$D$26,$D$28,IF(G5=$E$26,$E$28,IF(G5=$F$26,$F$28,IF(G5=$K$26,$K$28,IF(G5=$L$26,$L$28,IF(G5=$M$26,$M$28,IF(G5=$N$26,$N$28,IF(G5=$O$26,$O$28,IF(G5=$P$26,$P$28,0))))))))))))</f>
        <v>yanvar</v>
      </c>
      <c r="I5" s="110">
        <f t="shared" ref="I5:I21" si="4">DAY(F5)</f>
        <v>0</v>
      </c>
      <c r="J5" s="122">
        <f t="shared" ref="J5:J21" si="5">YEAR(F5)</f>
        <v>1900</v>
      </c>
      <c r="K5" s="120" t="str">
        <f t="shared" ref="K5:K21" si="6">""&amp;I5&amp;" "&amp;H5&amp;" "&amp;J5&amp;" г."</f>
        <v>0 yanvar 1900 г.</v>
      </c>
      <c r="L5" s="119"/>
      <c r="M5" s="121"/>
      <c r="N5" s="119"/>
      <c r="P5">
        <f t="shared" si="1"/>
        <v>0</v>
      </c>
    </row>
    <row r="6" spans="1:23" ht="15" customHeight="1" x14ac:dyDescent="0.25">
      <c r="A6" s="117">
        <v>5</v>
      </c>
      <c r="D6" s="119" t="s">
        <v>255</v>
      </c>
      <c r="E6" s="119"/>
      <c r="F6" s="120"/>
      <c r="G6" s="110">
        <f t="shared" si="2"/>
        <v>1</v>
      </c>
      <c r="H6" s="120" t="str">
        <f t="shared" si="3"/>
        <v>yanvar</v>
      </c>
      <c r="I6" s="110">
        <f t="shared" si="4"/>
        <v>0</v>
      </c>
      <c r="J6" s="122">
        <f t="shared" si="5"/>
        <v>1900</v>
      </c>
      <c r="K6" s="120" t="str">
        <f t="shared" si="6"/>
        <v>0 yanvar 1900 г.</v>
      </c>
      <c r="L6" s="119"/>
      <c r="M6" s="121"/>
      <c r="N6" s="119"/>
      <c r="P6">
        <f t="shared" si="1"/>
        <v>0</v>
      </c>
    </row>
    <row r="7" spans="1:23" ht="15" customHeight="1" x14ac:dyDescent="0.25">
      <c r="A7" s="117">
        <v>6</v>
      </c>
      <c r="D7" s="119" t="s">
        <v>255</v>
      </c>
      <c r="E7" s="119"/>
      <c r="F7" s="120"/>
      <c r="G7" s="110">
        <f t="shared" si="2"/>
        <v>1</v>
      </c>
      <c r="H7" s="120" t="str">
        <f t="shared" si="3"/>
        <v>yanvar</v>
      </c>
      <c r="I7" s="110">
        <f t="shared" si="4"/>
        <v>0</v>
      </c>
      <c r="J7" s="122">
        <f t="shared" si="5"/>
        <v>1900</v>
      </c>
      <c r="K7" s="120" t="str">
        <f t="shared" si="6"/>
        <v>0 yanvar 1900 г.</v>
      </c>
      <c r="L7" s="119"/>
      <c r="M7" s="121"/>
      <c r="N7" s="119"/>
      <c r="P7">
        <f t="shared" si="1"/>
        <v>0</v>
      </c>
    </row>
    <row r="8" spans="1:23" ht="15" customHeight="1" x14ac:dyDescent="0.25">
      <c r="A8" s="117">
        <v>7</v>
      </c>
      <c r="D8" s="119" t="s">
        <v>255</v>
      </c>
      <c r="E8" s="119"/>
      <c r="F8" s="120"/>
      <c r="G8" s="110">
        <f t="shared" si="2"/>
        <v>1</v>
      </c>
      <c r="H8" s="120" t="str">
        <f t="shared" si="3"/>
        <v>yanvar</v>
      </c>
      <c r="I8" s="110">
        <f t="shared" si="4"/>
        <v>0</v>
      </c>
      <c r="J8" s="122">
        <f t="shared" si="5"/>
        <v>1900</v>
      </c>
      <c r="K8" s="120" t="str">
        <f t="shared" si="6"/>
        <v>0 yanvar 1900 г.</v>
      </c>
      <c r="L8" s="119"/>
      <c r="M8" s="121"/>
      <c r="N8" s="119"/>
      <c r="P8">
        <f t="shared" si="1"/>
        <v>0</v>
      </c>
    </row>
    <row r="9" spans="1:23" ht="15" customHeight="1" x14ac:dyDescent="0.25">
      <c r="A9" s="117">
        <v>8</v>
      </c>
      <c r="D9" s="119" t="s">
        <v>255</v>
      </c>
      <c r="E9" s="119"/>
      <c r="F9" s="120"/>
      <c r="G9" s="110">
        <f t="shared" si="2"/>
        <v>1</v>
      </c>
      <c r="H9" s="120" t="str">
        <f t="shared" si="3"/>
        <v>yanvar</v>
      </c>
      <c r="I9" s="110">
        <f t="shared" si="4"/>
        <v>0</v>
      </c>
      <c r="J9" s="122">
        <f t="shared" si="5"/>
        <v>1900</v>
      </c>
      <c r="K9" s="120" t="str">
        <f t="shared" si="6"/>
        <v>0 yanvar 1900 г.</v>
      </c>
      <c r="L9" s="119"/>
      <c r="M9" s="121"/>
      <c r="N9" s="119"/>
      <c r="P9">
        <f t="shared" si="1"/>
        <v>0</v>
      </c>
    </row>
    <row r="10" spans="1:23" ht="15" customHeight="1" x14ac:dyDescent="0.25">
      <c r="A10" s="117">
        <v>9</v>
      </c>
      <c r="D10" s="119" t="s">
        <v>255</v>
      </c>
      <c r="E10" s="119"/>
      <c r="F10" s="120"/>
      <c r="G10" s="110">
        <f t="shared" si="2"/>
        <v>1</v>
      </c>
      <c r="H10" s="120" t="str">
        <f t="shared" si="3"/>
        <v>yanvar</v>
      </c>
      <c r="I10" s="110">
        <f t="shared" si="4"/>
        <v>0</v>
      </c>
      <c r="J10" s="122">
        <f t="shared" si="5"/>
        <v>1900</v>
      </c>
      <c r="K10" s="120" t="str">
        <f t="shared" si="6"/>
        <v>0 yanvar 1900 г.</v>
      </c>
      <c r="L10" s="119"/>
      <c r="M10" s="121"/>
      <c r="N10" s="119"/>
      <c r="P10">
        <f t="shared" si="1"/>
        <v>0</v>
      </c>
    </row>
    <row r="11" spans="1:23" ht="15" customHeight="1" x14ac:dyDescent="0.25">
      <c r="A11" s="117">
        <v>10</v>
      </c>
      <c r="D11" s="119" t="s">
        <v>255</v>
      </c>
      <c r="E11" s="119"/>
      <c r="F11" s="120"/>
      <c r="G11" s="110">
        <f t="shared" si="2"/>
        <v>1</v>
      </c>
      <c r="H11" s="120" t="str">
        <f t="shared" si="3"/>
        <v>yanvar</v>
      </c>
      <c r="I11" s="110">
        <f t="shared" si="4"/>
        <v>0</v>
      </c>
      <c r="J11" s="122">
        <f t="shared" si="5"/>
        <v>1900</v>
      </c>
      <c r="K11" s="120" t="str">
        <f t="shared" si="6"/>
        <v>0 yanvar 1900 г.</v>
      </c>
      <c r="L11" s="119"/>
      <c r="M11" s="121"/>
      <c r="N11" s="119"/>
      <c r="P11">
        <f t="shared" si="1"/>
        <v>0</v>
      </c>
    </row>
    <row r="12" spans="1:23" ht="15" customHeight="1" x14ac:dyDescent="0.25">
      <c r="A12" s="117">
        <v>11</v>
      </c>
      <c r="D12" s="119" t="s">
        <v>255</v>
      </c>
      <c r="E12" s="119"/>
      <c r="F12" s="120"/>
      <c r="G12" s="110">
        <f t="shared" si="2"/>
        <v>1</v>
      </c>
      <c r="H12" s="120" t="str">
        <f t="shared" si="3"/>
        <v>yanvar</v>
      </c>
      <c r="I12" s="110">
        <f t="shared" si="4"/>
        <v>0</v>
      </c>
      <c r="J12" s="122">
        <f t="shared" si="5"/>
        <v>1900</v>
      </c>
      <c r="K12" s="120" t="str">
        <f t="shared" si="6"/>
        <v>0 yanvar 1900 г.</v>
      </c>
      <c r="L12" s="119"/>
      <c r="M12" s="121"/>
      <c r="N12" s="119"/>
      <c r="P12">
        <f t="shared" si="1"/>
        <v>0</v>
      </c>
    </row>
    <row r="13" spans="1:23" ht="15" customHeight="1" x14ac:dyDescent="0.25">
      <c r="A13" s="117">
        <v>12</v>
      </c>
      <c r="D13" s="119" t="s">
        <v>255</v>
      </c>
      <c r="E13" s="119"/>
      <c r="F13" s="120"/>
      <c r="G13" s="110">
        <f t="shared" si="2"/>
        <v>1</v>
      </c>
      <c r="H13" s="120" t="str">
        <f t="shared" si="3"/>
        <v>yanvar</v>
      </c>
      <c r="I13" s="110">
        <f t="shared" si="4"/>
        <v>0</v>
      </c>
      <c r="J13" s="122">
        <f t="shared" si="5"/>
        <v>1900</v>
      </c>
      <c r="K13" s="120" t="str">
        <f t="shared" si="6"/>
        <v>0 yanvar 1900 г.</v>
      </c>
      <c r="L13" s="119"/>
      <c r="M13" s="121"/>
      <c r="N13" s="119"/>
      <c r="P13">
        <f t="shared" si="1"/>
        <v>0</v>
      </c>
    </row>
    <row r="14" spans="1:23" ht="15" customHeight="1" x14ac:dyDescent="0.25">
      <c r="A14" s="117">
        <v>13</v>
      </c>
      <c r="D14" s="119" t="s">
        <v>255</v>
      </c>
      <c r="E14" s="119"/>
      <c r="F14" s="120"/>
      <c r="G14" s="110">
        <f t="shared" si="2"/>
        <v>1</v>
      </c>
      <c r="H14" s="120" t="str">
        <f t="shared" si="3"/>
        <v>yanvar</v>
      </c>
      <c r="I14" s="110">
        <f t="shared" si="4"/>
        <v>0</v>
      </c>
      <c r="J14" s="122">
        <f t="shared" si="5"/>
        <v>1900</v>
      </c>
      <c r="K14" s="120" t="str">
        <f t="shared" si="6"/>
        <v>0 yanvar 1900 г.</v>
      </c>
      <c r="L14" s="119"/>
      <c r="M14" s="121"/>
      <c r="N14" s="119"/>
      <c r="P14">
        <f t="shared" si="1"/>
        <v>0</v>
      </c>
    </row>
    <row r="15" spans="1:23" ht="15" customHeight="1" x14ac:dyDescent="0.25">
      <c r="A15" s="117">
        <v>14</v>
      </c>
      <c r="D15" s="119" t="s">
        <v>255</v>
      </c>
      <c r="E15" s="119"/>
      <c r="F15" s="120"/>
      <c r="G15" s="110">
        <f t="shared" si="2"/>
        <v>1</v>
      </c>
      <c r="H15" s="120" t="str">
        <f t="shared" si="3"/>
        <v>yanvar</v>
      </c>
      <c r="I15" s="110">
        <f t="shared" si="4"/>
        <v>0</v>
      </c>
      <c r="J15" s="122">
        <f t="shared" si="5"/>
        <v>1900</v>
      </c>
      <c r="K15" s="120" t="str">
        <f t="shared" si="6"/>
        <v>0 yanvar 1900 г.</v>
      </c>
      <c r="L15" s="119"/>
      <c r="M15" s="121"/>
      <c r="N15" s="119"/>
      <c r="P15">
        <f t="shared" si="1"/>
        <v>0</v>
      </c>
    </row>
    <row r="16" spans="1:23" ht="15" customHeight="1" x14ac:dyDescent="0.25">
      <c r="A16" s="117">
        <v>15</v>
      </c>
      <c r="D16" s="119" t="s">
        <v>255</v>
      </c>
      <c r="E16" s="119"/>
      <c r="F16" s="120"/>
      <c r="G16" s="110">
        <f t="shared" si="2"/>
        <v>1</v>
      </c>
      <c r="H16" s="120" t="str">
        <f t="shared" si="3"/>
        <v>yanvar</v>
      </c>
      <c r="I16" s="110">
        <f t="shared" si="4"/>
        <v>0</v>
      </c>
      <c r="J16" s="122">
        <f t="shared" si="5"/>
        <v>1900</v>
      </c>
      <c r="K16" s="120" t="str">
        <f t="shared" si="6"/>
        <v>0 yanvar 1900 г.</v>
      </c>
      <c r="L16" s="119"/>
      <c r="M16" s="121"/>
      <c r="N16" s="119"/>
      <c r="P16">
        <f t="shared" si="1"/>
        <v>0</v>
      </c>
    </row>
    <row r="17" spans="1:17" ht="15" customHeight="1" x14ac:dyDescent="0.25">
      <c r="A17" s="117">
        <v>16</v>
      </c>
      <c r="D17" s="119" t="s">
        <v>255</v>
      </c>
      <c r="E17" s="119"/>
      <c r="F17" s="120"/>
      <c r="G17" s="110">
        <f t="shared" si="2"/>
        <v>1</v>
      </c>
      <c r="H17" s="120" t="str">
        <f t="shared" si="3"/>
        <v>yanvar</v>
      </c>
      <c r="I17" s="110">
        <f t="shared" si="4"/>
        <v>0</v>
      </c>
      <c r="J17" s="122">
        <f t="shared" si="5"/>
        <v>1900</v>
      </c>
      <c r="K17" s="120" t="str">
        <f t="shared" si="6"/>
        <v>0 yanvar 1900 г.</v>
      </c>
      <c r="L17" s="119"/>
      <c r="M17" s="121"/>
      <c r="N17" s="119"/>
      <c r="P17">
        <f t="shared" si="1"/>
        <v>0</v>
      </c>
    </row>
    <row r="18" spans="1:17" ht="15" customHeight="1" x14ac:dyDescent="0.25">
      <c r="A18" s="117">
        <v>17</v>
      </c>
      <c r="D18" s="119" t="s">
        <v>255</v>
      </c>
      <c r="E18" s="119"/>
      <c r="F18" s="120"/>
      <c r="G18" s="110">
        <f t="shared" si="2"/>
        <v>1</v>
      </c>
      <c r="H18" s="120" t="str">
        <f t="shared" si="3"/>
        <v>yanvar</v>
      </c>
      <c r="I18" s="110">
        <f t="shared" si="4"/>
        <v>0</v>
      </c>
      <c r="J18" s="122">
        <f t="shared" si="5"/>
        <v>1900</v>
      </c>
      <c r="K18" s="120" t="str">
        <f t="shared" si="6"/>
        <v>0 yanvar 1900 г.</v>
      </c>
      <c r="L18" s="119"/>
      <c r="M18" s="121"/>
      <c r="N18" s="119"/>
      <c r="P18">
        <f t="shared" si="1"/>
        <v>0</v>
      </c>
    </row>
    <row r="19" spans="1:17" ht="15" customHeight="1" x14ac:dyDescent="0.25">
      <c r="A19" s="117">
        <v>18</v>
      </c>
      <c r="D19" s="119" t="s">
        <v>255</v>
      </c>
      <c r="E19" s="119"/>
      <c r="F19" s="120"/>
      <c r="G19" s="110">
        <f t="shared" si="2"/>
        <v>1</v>
      </c>
      <c r="H19" s="120" t="str">
        <f t="shared" si="3"/>
        <v>yanvar</v>
      </c>
      <c r="I19" s="110">
        <f t="shared" si="4"/>
        <v>0</v>
      </c>
      <c r="J19" s="122">
        <f t="shared" si="5"/>
        <v>1900</v>
      </c>
      <c r="K19" s="120" t="str">
        <f t="shared" si="6"/>
        <v>0 yanvar 1900 г.</v>
      </c>
      <c r="L19" s="119"/>
      <c r="M19" s="121"/>
      <c r="N19" s="119"/>
      <c r="P19">
        <f t="shared" si="1"/>
        <v>0</v>
      </c>
    </row>
    <row r="20" spans="1:17" ht="15" customHeight="1" x14ac:dyDescent="0.25">
      <c r="A20" s="117">
        <v>19</v>
      </c>
      <c r="D20" s="119" t="s">
        <v>255</v>
      </c>
      <c r="E20" s="119"/>
      <c r="F20" s="120"/>
      <c r="G20" s="110">
        <f t="shared" si="2"/>
        <v>1</v>
      </c>
      <c r="H20" s="120" t="str">
        <f t="shared" si="3"/>
        <v>yanvar</v>
      </c>
      <c r="I20" s="110">
        <f t="shared" si="4"/>
        <v>0</v>
      </c>
      <c r="J20" s="122">
        <f t="shared" si="5"/>
        <v>1900</v>
      </c>
      <c r="K20" s="120" t="str">
        <f t="shared" si="6"/>
        <v>0 yanvar 1900 г.</v>
      </c>
      <c r="L20" s="119"/>
      <c r="M20" s="121"/>
      <c r="N20" s="119"/>
      <c r="P20">
        <f t="shared" si="1"/>
        <v>0</v>
      </c>
    </row>
    <row r="21" spans="1:17" ht="15" customHeight="1" x14ac:dyDescent="0.25">
      <c r="A21" s="117">
        <v>20</v>
      </c>
      <c r="D21" s="119" t="s">
        <v>255</v>
      </c>
      <c r="E21" s="119"/>
      <c r="F21" s="120"/>
      <c r="G21" s="110">
        <f t="shared" si="2"/>
        <v>1</v>
      </c>
      <c r="H21" s="120" t="str">
        <f t="shared" si="3"/>
        <v>yanvar</v>
      </c>
      <c r="I21" s="110">
        <f t="shared" si="4"/>
        <v>0</v>
      </c>
      <c r="J21" s="122">
        <f t="shared" si="5"/>
        <v>1900</v>
      </c>
      <c r="K21" s="120" t="str">
        <f t="shared" si="6"/>
        <v>0 yanvar 1900 г.</v>
      </c>
      <c r="L21" s="119"/>
      <c r="M21" s="121"/>
      <c r="N21" s="119"/>
      <c r="P21">
        <f t="shared" si="1"/>
        <v>0</v>
      </c>
    </row>
    <row r="22" spans="1:17" x14ac:dyDescent="0.25">
      <c r="M22" s="125">
        <f>SUM(M2:M21)+malumot!B143</f>
        <v>90000000</v>
      </c>
      <c r="Q22" t="s">
        <v>254</v>
      </c>
    </row>
    <row r="23" spans="1:17" x14ac:dyDescent="0.25">
      <c r="A23" s="106"/>
      <c r="B23" s="107"/>
      <c r="C23" s="107"/>
      <c r="D23" s="107"/>
      <c r="E23" s="107"/>
      <c r="F23" s="107"/>
      <c r="G23" s="107"/>
      <c r="H23" s="107"/>
      <c r="I23" s="107"/>
      <c r="J23" s="107"/>
      <c r="K23" s="107"/>
      <c r="L23" s="107"/>
      <c r="M23" s="107"/>
      <c r="N23" s="107"/>
      <c r="O23" s="107"/>
    </row>
    <row r="24" spans="1:17" x14ac:dyDescent="0.25">
      <c r="A24" s="107"/>
      <c r="B24" s="107"/>
      <c r="C24" s="107"/>
      <c r="D24" s="107"/>
      <c r="E24" s="107"/>
      <c r="F24" s="107"/>
      <c r="G24" s="107"/>
      <c r="H24" s="107"/>
      <c r="I24" s="107"/>
      <c r="J24" s="107"/>
      <c r="K24" s="107"/>
      <c r="L24" s="107"/>
      <c r="M24" s="107"/>
      <c r="N24" s="107"/>
      <c r="O24" s="107"/>
    </row>
    <row r="25" spans="1:17" x14ac:dyDescent="0.25">
      <c r="A25" s="107">
        <f>MONTH(F2)</f>
        <v>1</v>
      </c>
      <c r="B25" s="107" t="str">
        <f>IF(A25=A26,A28,IF(A25=B26,B28,IF(A25=C26,C28,IF(A25=D26,D28,IF(A25=E26,E28,IF(A25=F26,F28,IF(A25=K26,K28,IF(A25=L26,L28,IF(A25=M26,M28,IF(A25=N26,N28,IF(A25=O26,O28,IF(A25=#REF!,#REF!,))))))))))))</f>
        <v>yanvar</v>
      </c>
      <c r="C25" s="107">
        <f>DAY(F2)</f>
        <v>11</v>
      </c>
      <c r="D25" s="107">
        <f>YEAR(F2)</f>
        <v>2021</v>
      </c>
      <c r="E25" s="107"/>
      <c r="F25" s="107"/>
      <c r="G25" s="107"/>
      <c r="H25" s="107"/>
      <c r="I25" s="107"/>
      <c r="J25" s="107"/>
      <c r="K25" s="107"/>
      <c r="L25" s="107"/>
      <c r="M25" s="107"/>
      <c r="N25" s="107"/>
      <c r="O25" s="107"/>
    </row>
    <row r="26" spans="1:17" x14ac:dyDescent="0.25">
      <c r="A26" s="107">
        <v>1</v>
      </c>
      <c r="B26" s="107">
        <v>2</v>
      </c>
      <c r="C26" s="107">
        <v>3</v>
      </c>
      <c r="D26" s="107">
        <v>4</v>
      </c>
      <c r="E26" s="107">
        <v>5</v>
      </c>
      <c r="F26" s="107">
        <v>6</v>
      </c>
      <c r="G26" s="107"/>
      <c r="H26" s="107"/>
      <c r="I26" s="107"/>
      <c r="J26" s="107"/>
      <c r="K26" s="107">
        <v>7</v>
      </c>
      <c r="L26" s="107">
        <v>8</v>
      </c>
      <c r="M26" s="107">
        <v>9</v>
      </c>
      <c r="N26" s="107">
        <v>10</v>
      </c>
      <c r="O26" s="107">
        <v>11</v>
      </c>
      <c r="P26" s="107">
        <v>12</v>
      </c>
    </row>
    <row r="27" spans="1:17" x14ac:dyDescent="0.25">
      <c r="A27" s="107"/>
      <c r="B27" s="107"/>
      <c r="C27" s="107"/>
      <c r="D27" s="107"/>
      <c r="E27" s="107"/>
      <c r="F27" s="107"/>
      <c r="G27" s="107"/>
      <c r="H27" s="107"/>
      <c r="I27" s="107"/>
      <c r="J27" s="107"/>
      <c r="K27" s="107"/>
      <c r="L27" s="107"/>
      <c r="M27" s="107"/>
      <c r="N27" s="107"/>
      <c r="O27" s="107"/>
    </row>
    <row r="28" spans="1:17" x14ac:dyDescent="0.25">
      <c r="A28" s="107" t="s">
        <v>118</v>
      </c>
      <c r="B28" s="107" t="s">
        <v>119</v>
      </c>
      <c r="C28" s="107" t="s">
        <v>108</v>
      </c>
      <c r="D28" s="107" t="s">
        <v>109</v>
      </c>
      <c r="E28" s="107" t="s">
        <v>110</v>
      </c>
      <c r="F28" s="107" t="s">
        <v>111</v>
      </c>
      <c r="G28" s="107"/>
      <c r="H28" s="107"/>
      <c r="I28" s="107"/>
      <c r="J28" s="107"/>
      <c r="K28" s="107" t="s">
        <v>24</v>
      </c>
      <c r="L28" s="107" t="s">
        <v>113</v>
      </c>
      <c r="M28" s="107" t="s">
        <v>253</v>
      </c>
      <c r="N28" s="107" t="s">
        <v>252</v>
      </c>
      <c r="O28" s="107" t="s">
        <v>116</v>
      </c>
      <c r="P28" s="107" t="s">
        <v>117</v>
      </c>
    </row>
    <row r="29" spans="1:17" x14ac:dyDescent="0.25">
      <c r="A29" s="107" t="s">
        <v>118</v>
      </c>
      <c r="B29" s="107" t="s">
        <v>119</v>
      </c>
      <c r="C29" s="107" t="s">
        <v>108</v>
      </c>
      <c r="D29" s="107" t="s">
        <v>109</v>
      </c>
      <c r="E29" s="107" t="s">
        <v>110</v>
      </c>
      <c r="F29" s="107" t="s">
        <v>111</v>
      </c>
      <c r="G29" s="107"/>
      <c r="H29" s="107"/>
      <c r="I29" s="107"/>
      <c r="J29" s="107"/>
      <c r="K29" s="107" t="s">
        <v>28</v>
      </c>
      <c r="L29" s="107" t="s">
        <v>113</v>
      </c>
      <c r="M29" s="107" t="s">
        <v>253</v>
      </c>
      <c r="N29" s="107" t="s">
        <v>252</v>
      </c>
      <c r="O29" s="107" t="s">
        <v>116</v>
      </c>
      <c r="P29" s="107" t="s">
        <v>117</v>
      </c>
    </row>
    <row r="30" spans="1:17" x14ac:dyDescent="0.25">
      <c r="A30" s="107"/>
      <c r="B30" s="107"/>
      <c r="C30" s="107"/>
      <c r="D30" s="107"/>
      <c r="E30" s="107"/>
      <c r="F30" s="107"/>
      <c r="G30" s="107"/>
      <c r="H30" s="107"/>
      <c r="I30" s="107"/>
      <c r="J30" s="107"/>
      <c r="K30" s="107"/>
      <c r="L30" s="108"/>
      <c r="M30" s="108"/>
      <c r="N30" s="108"/>
      <c r="O30" s="108"/>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x14ac:dyDescent="0.25"/>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x14ac:dyDescent="0.25">
      <c r="A1" s="37"/>
      <c r="B1" s="37"/>
      <c r="C1" s="37"/>
      <c r="D1" s="37"/>
      <c r="E1" s="289" t="s">
        <v>16</v>
      </c>
      <c r="F1" s="289"/>
    </row>
    <row r="2" spans="1:8" x14ac:dyDescent="0.25">
      <c r="A2" s="37"/>
      <c r="B2" s="37"/>
      <c r="C2" s="37"/>
      <c r="D2" s="37"/>
      <c r="E2" s="37"/>
      <c r="F2" s="38" t="str">
        <f>"к договору микрозайма "&amp;malumot!B74&amp;""</f>
        <v>к договору микрозайма 27 mart 2025 y.dan №680-NVS</v>
      </c>
    </row>
    <row r="3" spans="1:8" ht="6.75" customHeight="1" x14ac:dyDescent="0.25">
      <c r="A3" s="37"/>
      <c r="B3" s="37"/>
      <c r="C3" s="37"/>
      <c r="D3" s="37"/>
      <c r="E3" s="37"/>
      <c r="F3" s="37"/>
    </row>
    <row r="4" spans="1:8" x14ac:dyDescent="0.25">
      <c r="A4" s="290" t="s">
        <v>17</v>
      </c>
      <c r="B4" s="290"/>
      <c r="C4" s="290"/>
      <c r="D4" s="290"/>
      <c r="E4" s="290"/>
      <c r="F4" s="290"/>
    </row>
    <row r="5" spans="1:8" ht="7.5" customHeight="1" x14ac:dyDescent="0.25"/>
    <row r="6" spans="1:8" x14ac:dyDescent="0.25">
      <c r="A6" s="291" t="s">
        <v>15</v>
      </c>
      <c r="B6" s="292" t="s">
        <v>9</v>
      </c>
      <c r="C6" s="292" t="s">
        <v>10</v>
      </c>
      <c r="D6" s="293" t="s">
        <v>11</v>
      </c>
      <c r="E6" s="293"/>
      <c r="F6" s="293"/>
    </row>
    <row r="7" spans="1:8" s="16" customFormat="1" x14ac:dyDescent="0.25">
      <c r="A7" s="291"/>
      <c r="B7" s="292"/>
      <c r="C7" s="292"/>
      <c r="D7" s="17" t="s">
        <v>12</v>
      </c>
      <c r="E7" s="17" t="s">
        <v>13</v>
      </c>
      <c r="F7" s="17" t="s">
        <v>14</v>
      </c>
    </row>
    <row r="8" spans="1:8" x14ac:dyDescent="0.25">
      <c r="A8" s="18">
        <v>1</v>
      </c>
      <c r="B8" s="33">
        <f>'График дифференц'!B8</f>
        <v>45762</v>
      </c>
      <c r="C8" s="34">
        <f>malumot!B76</f>
        <v>40000000</v>
      </c>
      <c r="D8" s="34">
        <f>IF(A8&lt;malumot!$B$82,'График аннуитет.'!F8-'График аннуитет.'!E8,'График аннуитет.'!C8)</f>
        <v>1849010.85</v>
      </c>
      <c r="E8" s="34">
        <f>ROUND(C8*malumot!$B$85/H8,2)*'График аннуитет.'!G8</f>
        <v>1249314.98</v>
      </c>
      <c r="F8" s="34">
        <f>malumot!B91</f>
        <v>3098325.83</v>
      </c>
      <c r="G8" s="15">
        <f>B8-malumot!B67</f>
        <v>19</v>
      </c>
      <c r="H8" s="15">
        <f>DATE(YEAR(B8),12,31)-DATE(YEAR(B8),1,1)+1</f>
        <v>365</v>
      </c>
    </row>
    <row r="9" spans="1:8" x14ac:dyDescent="0.25">
      <c r="A9" s="18">
        <v>2</v>
      </c>
      <c r="B9" s="33">
        <f>'График дифференц'!B9</f>
        <v>45792</v>
      </c>
      <c r="C9" s="34">
        <f t="shared" ref="C9:C30" si="0">C8-D8</f>
        <v>38150989.149999999</v>
      </c>
      <c r="D9" s="34">
        <f>IF(A9&lt;malumot!$B$82,'График аннуитет.'!F9-'График аннуитет.'!E9,'График аннуитет.'!C9)</f>
        <v>1216907.33</v>
      </c>
      <c r="E9" s="34">
        <f>ROUND(C9*malumot!$B$85/H9,2)*'График аннуитет.'!G9</f>
        <v>1881418.5</v>
      </c>
      <c r="F9" s="34">
        <f>IF(A9&lt;malumot!$B$82,'График аннуитет.'!F8,'График аннуитет.'!D9+'График аннуитет.'!E9)</f>
        <v>3098325.83</v>
      </c>
      <c r="G9" s="15">
        <f>B9-B8</f>
        <v>30</v>
      </c>
      <c r="H9" s="15">
        <f t="shared" ref="H9:H31" si="1">DATE(YEAR(B9),12,31)-DATE(YEAR(B9),1,1)+1</f>
        <v>365</v>
      </c>
    </row>
    <row r="10" spans="1:8" x14ac:dyDescent="0.25">
      <c r="A10" s="18">
        <v>3</v>
      </c>
      <c r="B10" s="33">
        <f>'График дифференц'!B10</f>
        <v>45824</v>
      </c>
      <c r="C10" s="34">
        <f t="shared" si="0"/>
        <v>36934081.82</v>
      </c>
      <c r="D10" s="34">
        <f>IF(A10&lt;malumot!$B$82,'График аннуитет.'!F10-'График аннуитет.'!E10,'График аннуитет.'!C10)</f>
        <v>1155491.9100000001</v>
      </c>
      <c r="E10" s="34">
        <f>ROUND(C10*malumot!$B$85/H10,2)*'График аннуитет.'!G10</f>
        <v>1942833.92</v>
      </c>
      <c r="F10" s="34">
        <f>IF(A10&lt;malumot!$B$82,'График аннуитет.'!F9,'График аннуитет.'!D10+'График аннуитет.'!E10)</f>
        <v>3098325.83</v>
      </c>
      <c r="G10" s="15">
        <f t="shared" ref="G10:G24" si="2">B10-B9</f>
        <v>32</v>
      </c>
      <c r="H10" s="15">
        <f t="shared" si="1"/>
        <v>365</v>
      </c>
    </row>
    <row r="11" spans="1:8" x14ac:dyDescent="0.25">
      <c r="A11" s="18">
        <v>4</v>
      </c>
      <c r="B11" s="33">
        <f>'График дифференц'!B11</f>
        <v>45853</v>
      </c>
      <c r="C11" s="34">
        <f t="shared" si="0"/>
        <v>35778589.909999996</v>
      </c>
      <c r="D11" s="34">
        <f>IF(A11&lt;malumot!$B$82,'График аннуитет.'!F11-'График аннуитет.'!E11,'График аннуитет.'!C11)</f>
        <v>1392716.35</v>
      </c>
      <c r="E11" s="34">
        <f>ROUND(C11*malumot!$B$85/H11,2)*'График аннуитет.'!G11</f>
        <v>1705609.48</v>
      </c>
      <c r="F11" s="34">
        <f>IF(A11&lt;malumot!$B$82,'График аннуитет.'!F10,'График аннуитет.'!D11+'График аннуитет.'!E11)</f>
        <v>3098325.83</v>
      </c>
      <c r="G11" s="15">
        <f t="shared" si="2"/>
        <v>29</v>
      </c>
      <c r="H11" s="15">
        <f t="shared" si="1"/>
        <v>365</v>
      </c>
    </row>
    <row r="12" spans="1:8" x14ac:dyDescent="0.25">
      <c r="A12" s="18">
        <v>5</v>
      </c>
      <c r="B12" s="33">
        <f>'График дифференц'!B12</f>
        <v>45884</v>
      </c>
      <c r="C12" s="34">
        <f t="shared" si="0"/>
        <v>34385873.559999995</v>
      </c>
      <c r="D12" s="34">
        <f>IF(A12&lt;malumot!$B$82,'График аннуитет.'!F12-'График аннуитет.'!E12,'График аннуитет.'!C12)</f>
        <v>1346059.51</v>
      </c>
      <c r="E12" s="34">
        <f>ROUND(C12*malumot!$B$85/H12,2)*'График аннуитет.'!G12</f>
        <v>1752266.32</v>
      </c>
      <c r="F12" s="34">
        <f>IF(A12&lt;malumot!$B$82,'График аннуитет.'!F11,'График аннуитет.'!D12+'График аннуитет.'!E12)</f>
        <v>3098325.83</v>
      </c>
      <c r="G12" s="15">
        <f t="shared" si="2"/>
        <v>31</v>
      </c>
      <c r="H12" s="15">
        <f t="shared" si="1"/>
        <v>365</v>
      </c>
    </row>
    <row r="13" spans="1:8" x14ac:dyDescent="0.25">
      <c r="A13" s="18">
        <v>6</v>
      </c>
      <c r="B13" s="33">
        <f>'График дифференц'!B13</f>
        <v>45915</v>
      </c>
      <c r="C13" s="34">
        <f t="shared" si="0"/>
        <v>33039814.049999993</v>
      </c>
      <c r="D13" s="34">
        <f>IF(A13&lt;malumot!$B$82,'График аннуитет.'!F13-'График аннуитет.'!E13,'График аннуитет.'!C13)</f>
        <v>1414653.2100000002</v>
      </c>
      <c r="E13" s="34">
        <f>ROUND(C13*malumot!$B$85/H13,2)*'График аннуитет.'!G13</f>
        <v>1683672.6199999999</v>
      </c>
      <c r="F13" s="34">
        <f>IF(A13&lt;malumot!$B$82,'График аннуитет.'!F12,'График аннуитет.'!D13+'График аннуитет.'!E13)</f>
        <v>3098325.83</v>
      </c>
      <c r="G13" s="15">
        <f t="shared" si="2"/>
        <v>31</v>
      </c>
      <c r="H13" s="15">
        <f t="shared" si="1"/>
        <v>365</v>
      </c>
    </row>
    <row r="14" spans="1:8" x14ac:dyDescent="0.25">
      <c r="A14" s="18">
        <v>7</v>
      </c>
      <c r="B14" s="33">
        <f>'График дифференц'!B14</f>
        <v>45945</v>
      </c>
      <c r="C14" s="34">
        <f t="shared" si="0"/>
        <v>31625160.839999992</v>
      </c>
      <c r="D14" s="34">
        <f>IF(A14&lt;malumot!$B$82,'График аннуитет.'!F14-'График аннуитет.'!E14,'График аннуитет.'!C14)</f>
        <v>1538728.73</v>
      </c>
      <c r="E14" s="34">
        <f>ROUND(C14*malumot!$B$85/H14,2)*'График аннуитет.'!G14</f>
        <v>1559597.1</v>
      </c>
      <c r="F14" s="34">
        <f>IF(A14&lt;malumot!$B$82,'График аннуитет.'!F13,'График аннуитет.'!D14+'График аннуитет.'!E14)</f>
        <v>3098325.83</v>
      </c>
      <c r="G14" s="15">
        <f t="shared" si="2"/>
        <v>30</v>
      </c>
      <c r="H14" s="15">
        <f t="shared" si="1"/>
        <v>365</v>
      </c>
    </row>
    <row r="15" spans="1:8" x14ac:dyDescent="0.25">
      <c r="A15" s="18">
        <v>8</v>
      </c>
      <c r="B15" s="33">
        <f>'График дифференц'!B15</f>
        <v>45978</v>
      </c>
      <c r="C15" s="34">
        <f t="shared" si="0"/>
        <v>30086432.109999992</v>
      </c>
      <c r="D15" s="34">
        <f>IF(A15&lt;malumot!$B$82,'График аннуитет.'!F15-'График аннуитет.'!E15,'График аннуитет.'!C15)</f>
        <v>1466239.8800000001</v>
      </c>
      <c r="E15" s="34">
        <f>ROUND(C15*malumot!$B$85/H15,2)*'График аннуитет.'!G15</f>
        <v>1632085.95</v>
      </c>
      <c r="F15" s="34">
        <f>IF(A15&lt;malumot!$B$82,'График аннуитет.'!F14,'График аннуитет.'!D15+'График аннуитет.'!E15)</f>
        <v>3098325.83</v>
      </c>
      <c r="G15" s="15">
        <f t="shared" si="2"/>
        <v>33</v>
      </c>
      <c r="H15" s="15">
        <f t="shared" si="1"/>
        <v>365</v>
      </c>
    </row>
    <row r="16" spans="1:8" x14ac:dyDescent="0.25">
      <c r="A16" s="18">
        <v>9</v>
      </c>
      <c r="B16" s="33">
        <f>'График дифференц'!B16</f>
        <v>46006</v>
      </c>
      <c r="C16" s="34">
        <f t="shared" si="0"/>
        <v>28620192.229999993</v>
      </c>
      <c r="D16" s="34">
        <f>IF(A16&lt;malumot!$B$82,'График аннуитет.'!F16-'График аннуитет.'!E16,'График аннуитет.'!C16)</f>
        <v>1781012.9100000001</v>
      </c>
      <c r="E16" s="34">
        <f>ROUND(C16*malumot!$B$85/H16,2)*'График аннуитет.'!G16</f>
        <v>1317312.92</v>
      </c>
      <c r="F16" s="34">
        <f>IF(A16&lt;malumot!$B$82,'График аннуитет.'!F15,'График аннуитет.'!D16+'График аннуитет.'!E16)</f>
        <v>3098325.83</v>
      </c>
      <c r="G16" s="15">
        <f t="shared" si="2"/>
        <v>28</v>
      </c>
      <c r="H16" s="15">
        <f t="shared" si="1"/>
        <v>365</v>
      </c>
    </row>
    <row r="17" spans="1:8" x14ac:dyDescent="0.25">
      <c r="A17" s="18">
        <v>10</v>
      </c>
      <c r="B17" s="33">
        <f>'График дифференц'!B17</f>
        <v>46037</v>
      </c>
      <c r="C17" s="34">
        <f t="shared" si="0"/>
        <v>26839179.319999993</v>
      </c>
      <c r="D17" s="34">
        <f>IF(A17&lt;malumot!$B$82,'График аннуитет.'!F17-'График аннуитет.'!E17,'График аннуитет.'!C17)</f>
        <v>1730630.6300000001</v>
      </c>
      <c r="E17" s="34">
        <f>ROUND(C17*malumot!$B$85/H17,2)*'График аннуитет.'!G17</f>
        <v>1367695.2</v>
      </c>
      <c r="F17" s="34">
        <f>IF(A17&lt;malumot!$B$82,'График аннуитет.'!F16,'График аннуитет.'!D17+'График аннуитет.'!E17)</f>
        <v>3098325.83</v>
      </c>
      <c r="G17" s="15">
        <f t="shared" si="2"/>
        <v>31</v>
      </c>
      <c r="H17" s="15">
        <f t="shared" si="1"/>
        <v>365</v>
      </c>
    </row>
    <row r="18" spans="1:8" x14ac:dyDescent="0.25">
      <c r="A18" s="18">
        <v>11</v>
      </c>
      <c r="B18" s="33">
        <f>'График дифференц'!B18</f>
        <v>46069</v>
      </c>
      <c r="C18" s="34">
        <f t="shared" si="0"/>
        <v>25108548.689999994</v>
      </c>
      <c r="D18" s="34">
        <f>IF(A18&lt;malumot!$B$82,'График аннуитет.'!F18-'График аннуитет.'!E18,'График аннуитет.'!C18)</f>
        <v>1777547.27</v>
      </c>
      <c r="E18" s="34">
        <f>ROUND(C18*malumot!$B$85/H18,2)*'График аннуитет.'!G18</f>
        <v>1320778.56</v>
      </c>
      <c r="F18" s="34">
        <f>IF(A18&lt;malumot!$B$82,'График аннуитет.'!F17,'График аннуитет.'!D18+'График аннуитет.'!E18)</f>
        <v>3098325.83</v>
      </c>
      <c r="G18" s="15">
        <f t="shared" si="2"/>
        <v>32</v>
      </c>
      <c r="H18" s="15">
        <f t="shared" si="1"/>
        <v>365</v>
      </c>
    </row>
    <row r="19" spans="1:8" x14ac:dyDescent="0.25">
      <c r="A19" s="18">
        <v>12</v>
      </c>
      <c r="B19" s="33">
        <f>'График дифференц'!B19</f>
        <v>46097</v>
      </c>
      <c r="C19" s="34">
        <f t="shared" si="0"/>
        <v>23331001.419999994</v>
      </c>
      <c r="D19" s="34">
        <f>IF(A19&lt;malumot!$B$82,'График аннуитет.'!F19-'График аннуитет.'!E19,'График аннуитет.'!C19)</f>
        <v>2024460.59</v>
      </c>
      <c r="E19" s="34">
        <f>ROUND(C19*malumot!$B$85/H19,2)*'График аннуитет.'!G19</f>
        <v>1073865.24</v>
      </c>
      <c r="F19" s="34">
        <f>IF(A19&lt;malumot!$B$82,'График аннуитет.'!F18,'График аннуитет.'!D19+'График аннуитет.'!E19)</f>
        <v>3098325.83</v>
      </c>
      <c r="G19" s="15">
        <f>B19-B18</f>
        <v>28</v>
      </c>
      <c r="H19" s="15">
        <f t="shared" si="1"/>
        <v>365</v>
      </c>
    </row>
    <row r="20" spans="1:8" x14ac:dyDescent="0.25">
      <c r="A20" s="18">
        <v>13</v>
      </c>
      <c r="B20" s="33">
        <f>'График дифференц'!B20</f>
        <v>46127</v>
      </c>
      <c r="C20" s="34">
        <f t="shared" si="0"/>
        <v>21306540.829999994</v>
      </c>
      <c r="D20" s="34">
        <f>IF(A20&lt;malumot!$B$82,'График аннуитет.'!F20-'График аннуитет.'!E20,'График аннуитет.'!C20)</f>
        <v>2047592.33</v>
      </c>
      <c r="E20" s="34">
        <f>ROUND(C20*malumot!$B$85/H20,2)*'График аннуитет.'!G20</f>
        <v>1050733.5</v>
      </c>
      <c r="F20" s="34">
        <f>IF(A20&lt;malumot!$B$82,'График аннуитет.'!F19,'График аннуитет.'!D20+'График аннуитет.'!E20)</f>
        <v>3098325.83</v>
      </c>
      <c r="G20" s="15">
        <f t="shared" si="2"/>
        <v>30</v>
      </c>
      <c r="H20" s="15">
        <f t="shared" si="1"/>
        <v>365</v>
      </c>
    </row>
    <row r="21" spans="1:8" x14ac:dyDescent="0.25">
      <c r="A21" s="18">
        <v>14</v>
      </c>
      <c r="B21" s="33">
        <f>'График дифференц'!B21</f>
        <v>46157</v>
      </c>
      <c r="C21" s="34">
        <f t="shared" si="0"/>
        <v>19258948.499999993</v>
      </c>
      <c r="D21" s="34">
        <f>IF(A21&lt;malumot!$B$82,'График аннуитет.'!F21-'График аннуитет.'!E21,'График аннуитет.'!C21)</f>
        <v>2148569.33</v>
      </c>
      <c r="E21" s="34">
        <f>ROUND(C21*malumot!$B$85/H21,2)*'График аннуитет.'!G21</f>
        <v>949756.5</v>
      </c>
      <c r="F21" s="34">
        <f>IF(A21&lt;malumot!$B$82,'График аннуитет.'!F20,'График аннуитет.'!D21+'График аннуитет.'!E21)</f>
        <v>3098325.83</v>
      </c>
      <c r="G21" s="15">
        <f t="shared" si="2"/>
        <v>30</v>
      </c>
      <c r="H21" s="15">
        <f t="shared" si="1"/>
        <v>365</v>
      </c>
    </row>
    <row r="22" spans="1:8" x14ac:dyDescent="0.25">
      <c r="A22" s="18">
        <v>15</v>
      </c>
      <c r="B22" s="33">
        <f>'График дифференц'!B22</f>
        <v>46188</v>
      </c>
      <c r="C22" s="34">
        <f t="shared" si="0"/>
        <v>17110379.169999994</v>
      </c>
      <c r="D22" s="34">
        <f>IF(A22&lt;malumot!$B$82,'График аннуитет.'!F22-'График аннуитет.'!E22,'График аннуитет.'!C22)</f>
        <v>2226399.6800000002</v>
      </c>
      <c r="E22" s="34">
        <f>ROUND(C22*malumot!$B$85/H22,2)*'График аннуитет.'!G22</f>
        <v>871926.15</v>
      </c>
      <c r="F22" s="34">
        <f>IF(A22&lt;malumot!$B$82,'График аннуитет.'!F21,'График аннуитет.'!D22+'График аннуитет.'!E22)</f>
        <v>3098325.83</v>
      </c>
      <c r="G22" s="15">
        <f t="shared" si="2"/>
        <v>31</v>
      </c>
      <c r="H22" s="15">
        <f t="shared" si="1"/>
        <v>365</v>
      </c>
    </row>
    <row r="23" spans="1:8" x14ac:dyDescent="0.25">
      <c r="A23" s="18">
        <v>16</v>
      </c>
      <c r="B23" s="33">
        <f>'График дифференц'!B23</f>
        <v>46218</v>
      </c>
      <c r="C23" s="34">
        <f t="shared" si="0"/>
        <v>14883979.489999995</v>
      </c>
      <c r="D23" s="34">
        <f>IF(A23&lt;malumot!$B$82,'График аннуитет.'!F23-'График аннуитет.'!E23,'График аннуитет.'!C23)</f>
        <v>2364321.23</v>
      </c>
      <c r="E23" s="34">
        <f>ROUND(C23*malumot!$B$85/H23,2)*'График аннуитет.'!G23</f>
        <v>734004.6</v>
      </c>
      <c r="F23" s="34">
        <f>IF(A23&lt;malumot!$B$82,'График аннуитет.'!F22,'График аннуитет.'!D23+'График аннуитет.'!E23)</f>
        <v>3098325.83</v>
      </c>
      <c r="G23" s="15">
        <f t="shared" si="2"/>
        <v>30</v>
      </c>
      <c r="H23" s="15">
        <f t="shared" si="1"/>
        <v>365</v>
      </c>
    </row>
    <row r="24" spans="1:8" x14ac:dyDescent="0.25">
      <c r="A24" s="18">
        <v>17</v>
      </c>
      <c r="B24" s="33">
        <f>'График дифференц'!B24</f>
        <v>46251</v>
      </c>
      <c r="C24" s="34">
        <f t="shared" si="0"/>
        <v>12519658.259999994</v>
      </c>
      <c r="D24" s="34">
        <f>IF(A24&lt;malumot!$B$82,'График аннуитет.'!F24-'График аннуитет.'!E24,'График аннуитет.'!C24)</f>
        <v>2419177.25</v>
      </c>
      <c r="E24" s="34">
        <f>ROUND(C24*malumot!$B$85/H24,2)*'График аннуитет.'!G24</f>
        <v>679148.58</v>
      </c>
      <c r="F24" s="34">
        <f>IF(A24&lt;malumot!$B$82,'График аннуитет.'!F23,'График аннуитет.'!D24+'График аннуитет.'!E24)</f>
        <v>3098325.83</v>
      </c>
      <c r="G24" s="15">
        <f t="shared" si="2"/>
        <v>33</v>
      </c>
      <c r="H24" s="15">
        <f t="shared" si="1"/>
        <v>365</v>
      </c>
    </row>
    <row r="25" spans="1:8" x14ac:dyDescent="0.25">
      <c r="A25" s="18">
        <v>18</v>
      </c>
      <c r="B25" s="33">
        <f>'График дифференц'!B25</f>
        <v>46280</v>
      </c>
      <c r="C25" s="34">
        <f t="shared" si="0"/>
        <v>10100481.009999994</v>
      </c>
      <c r="D25" s="34">
        <f>IF(A25&lt;malumot!$B$82,'График аннуитет.'!F25-'График аннуитет.'!E25,'График аннуитет.'!C25)</f>
        <v>2616823.46</v>
      </c>
      <c r="E25" s="34">
        <f>ROUND(C25*malumot!$B$85/H25,2)*'График аннуитет.'!G25</f>
        <v>481502.37</v>
      </c>
      <c r="F25" s="34">
        <f>IF(A25&lt;malumot!$B$82,'График аннуитет.'!F24,'График аннуитет.'!D25+'График аннуитет.'!E25)</f>
        <v>3098325.83</v>
      </c>
      <c r="G25" s="15">
        <f>B25-B24</f>
        <v>29</v>
      </c>
      <c r="H25" s="15">
        <f t="shared" si="1"/>
        <v>365</v>
      </c>
    </row>
    <row r="26" spans="1:8" x14ac:dyDescent="0.25">
      <c r="A26" s="18">
        <v>19</v>
      </c>
      <c r="B26" s="33">
        <f>'График дифференц'!B26</f>
        <v>46310</v>
      </c>
      <c r="C26" s="34">
        <f t="shared" si="0"/>
        <v>7483657.5499999942</v>
      </c>
      <c r="D26" s="34">
        <f>IF(A26&lt;malumot!$B$82,'График аннуитет.'!F26-'График аннуитет.'!E26,'График аннуитет.'!C26)</f>
        <v>2729268.83</v>
      </c>
      <c r="E26" s="34">
        <f>ROUND(C26*malumot!$B$85/H26,2)*'График аннуитет.'!G26</f>
        <v>369057</v>
      </c>
      <c r="F26" s="34">
        <f>IF(A26&lt;malumot!$B$82,'График аннуитет.'!F25,'График аннуитет.'!D26+'График аннуитет.'!E26)</f>
        <v>3098325.83</v>
      </c>
      <c r="G26" s="15">
        <f t="shared" ref="G26:G30" si="3">B26-B25</f>
        <v>30</v>
      </c>
      <c r="H26" s="15">
        <f t="shared" si="1"/>
        <v>365</v>
      </c>
    </row>
    <row r="27" spans="1:8" x14ac:dyDescent="0.25">
      <c r="A27" s="18">
        <v>20</v>
      </c>
      <c r="B27" s="33">
        <f>'График дифференц'!B27</f>
        <v>46342</v>
      </c>
      <c r="C27" s="34">
        <f t="shared" si="0"/>
        <v>4754388.7199999942</v>
      </c>
      <c r="D27" s="34">
        <f>IF(A27&lt;malumot!$B$82,'График аннуитет.'!F27-'График аннуитет.'!E27,'График аннуитет.'!C27)</f>
        <v>2848232.0700000003</v>
      </c>
      <c r="E27" s="34">
        <f>ROUND(C27*malumot!$B$85/H27,2)*'График аннуитет.'!G27</f>
        <v>250093.76</v>
      </c>
      <c r="F27" s="34">
        <f>IF(A27&lt;malumot!$B$82,'График аннуитет.'!F26,'График аннуитет.'!D27+'График аннуитет.'!E27)</f>
        <v>3098325.83</v>
      </c>
      <c r="G27" s="15">
        <f t="shared" si="3"/>
        <v>32</v>
      </c>
      <c r="H27" s="15">
        <f t="shared" si="1"/>
        <v>365</v>
      </c>
    </row>
    <row r="28" spans="1:8" x14ac:dyDescent="0.25">
      <c r="A28" s="18">
        <v>21</v>
      </c>
      <c r="B28" s="33">
        <f>'График дифференц'!B28</f>
        <v>46371</v>
      </c>
      <c r="C28" s="34">
        <f t="shared" si="0"/>
        <v>1906156.6499999939</v>
      </c>
      <c r="D28" s="34">
        <f>IF(A28&lt;malumot!$B$82,'График аннуитет.'!F28-'График аннуитет.'!E28,'График аннуитет.'!C28)</f>
        <v>3007456.94</v>
      </c>
      <c r="E28" s="34">
        <f>ROUND(C28*malumot!$B$85/H28,2)*'График аннуитет.'!G28</f>
        <v>90868.89</v>
      </c>
      <c r="F28" s="34">
        <f>IF(A28&lt;malumot!$B$82,'График аннуитет.'!F27,'График аннуитет.'!D28+'График аннуитет.'!E28)</f>
        <v>3098325.83</v>
      </c>
      <c r="G28" s="15">
        <f t="shared" si="3"/>
        <v>29</v>
      </c>
      <c r="H28" s="15">
        <f t="shared" si="1"/>
        <v>365</v>
      </c>
    </row>
    <row r="29" spans="1:8" x14ac:dyDescent="0.25">
      <c r="A29" s="18">
        <v>22</v>
      </c>
      <c r="B29" s="33">
        <f>'График дифференц'!B29</f>
        <v>46402</v>
      </c>
      <c r="C29" s="34">
        <f t="shared" si="0"/>
        <v>-1101300.2900000061</v>
      </c>
      <c r="D29" s="34">
        <f>IF(A29&lt;malumot!$B$82,'График аннуитет.'!F29-'График аннуитет.'!E29,'График аннуитет.'!C29)</f>
        <v>3154446.99</v>
      </c>
      <c r="E29" s="34">
        <f>ROUND(C29*malumot!$B$85/H29,2)*'График аннуитет.'!G29</f>
        <v>-56121.159999999996</v>
      </c>
      <c r="F29" s="34">
        <f>IF(A29&lt;malumot!$B$82,'График аннуитет.'!F28,'График аннуитет.'!D29+'График аннуитет.'!E29)</f>
        <v>3098325.83</v>
      </c>
      <c r="G29" s="15">
        <f t="shared" si="3"/>
        <v>31</v>
      </c>
      <c r="H29" s="15">
        <f t="shared" si="1"/>
        <v>365</v>
      </c>
    </row>
    <row r="30" spans="1:8" x14ac:dyDescent="0.25">
      <c r="A30" s="18">
        <v>23</v>
      </c>
      <c r="B30" s="33">
        <f>'График дифференц'!B30</f>
        <v>46433</v>
      </c>
      <c r="C30" s="34">
        <f t="shared" si="0"/>
        <v>-4255747.2800000068</v>
      </c>
      <c r="D30" s="34">
        <f>IF(A30&lt;malumot!$B$82,'График аннуитет.'!F30-'График аннуитет.'!E30,'График аннуитет.'!C30)</f>
        <v>3315194.08</v>
      </c>
      <c r="E30" s="34">
        <f>ROUND(C30*malumot!$B$85/H30,2)*'График аннуитет.'!G30</f>
        <v>-216868.25</v>
      </c>
      <c r="F30" s="34">
        <f>IF(A30&lt;malumot!$B$82,'График аннуитет.'!F29,'График аннуитет.'!D30+'График аннуитет.'!E30)</f>
        <v>3098325.83</v>
      </c>
      <c r="G30" s="15">
        <f t="shared" si="3"/>
        <v>31</v>
      </c>
      <c r="H30" s="15">
        <f t="shared" si="1"/>
        <v>365</v>
      </c>
    </row>
    <row r="31" spans="1:8" x14ac:dyDescent="0.25">
      <c r="A31" s="18">
        <v>24</v>
      </c>
      <c r="B31" s="33">
        <f>'График дифференц'!B31</f>
        <v>46461</v>
      </c>
      <c r="C31" s="34">
        <f t="shared" ref="C31" si="4">C30-D30</f>
        <v>-7570941.3600000069</v>
      </c>
      <c r="D31" s="34">
        <f>IF(A31&lt;malumot!$B$82,'График аннуитет.'!F31-'График аннуитет.'!E31,'График аннуитет.'!C31)</f>
        <v>3446796.47</v>
      </c>
      <c r="E31" s="34">
        <f>ROUND(C31*malumot!$B$85/H31,2)*'График аннуитет.'!G31</f>
        <v>-348470.63999999996</v>
      </c>
      <c r="F31" s="34">
        <f>IF(A31&lt;malumot!$B$82,'График аннуитет.'!F30,'График аннуитет.'!D31+'График аннуитет.'!E31)</f>
        <v>3098325.83</v>
      </c>
      <c r="G31" s="15">
        <f>B31-B30</f>
        <v>28</v>
      </c>
      <c r="H31" s="15">
        <f t="shared" si="1"/>
        <v>365</v>
      </c>
    </row>
    <row r="32" spans="1:8" x14ac:dyDescent="0.25">
      <c r="A32" s="18">
        <f>1+A31</f>
        <v>25</v>
      </c>
      <c r="B32" s="33">
        <f>'График дифференц'!B32</f>
        <v>46492</v>
      </c>
      <c r="C32" s="34">
        <f t="shared" ref="C32:C43" si="5">C31-D31</f>
        <v>-11017737.830000008</v>
      </c>
      <c r="D32" s="34">
        <f>IF(A32&lt;malumot!$B$82,'График аннуитет.'!F32-'График аннуитет.'!E32,'График аннуитет.'!C32)</f>
        <v>3659777.68</v>
      </c>
      <c r="E32" s="34">
        <f>ROUND(C32*malumot!$B$85/H32,2)*'График аннуитет.'!G32</f>
        <v>-561451.85</v>
      </c>
      <c r="F32" s="34">
        <f>IF(A32&lt;malumot!$B$82,'График аннуитет.'!F31,'График аннуитет.'!D32+'График аннуитет.'!E32)</f>
        <v>3098325.83</v>
      </c>
      <c r="G32" s="15">
        <f t="shared" ref="G32:G43" si="6">B32-B31</f>
        <v>31</v>
      </c>
      <c r="H32" s="15">
        <f t="shared" ref="H32:H43" si="7">DATE(YEAR(B32),12,31)-DATE(YEAR(B32),1,1)+1</f>
        <v>365</v>
      </c>
    </row>
    <row r="33" spans="1:8" x14ac:dyDescent="0.25">
      <c r="A33" s="18">
        <f t="shared" ref="A33:A43" si="8">1+A32</f>
        <v>26</v>
      </c>
      <c r="B33" s="33">
        <f>'График дифференц'!B33</f>
        <v>46524</v>
      </c>
      <c r="C33" s="34">
        <f t="shared" si="5"/>
        <v>-14677515.510000007</v>
      </c>
      <c r="D33" s="34">
        <f>IF(A33&lt;malumot!$B$82,'График аннуитет.'!F33-'График аннуитет.'!E33,'График аннуитет.'!C33)</f>
        <v>3870403.27</v>
      </c>
      <c r="E33" s="34">
        <f>ROUND(C33*malumot!$B$85/H33,2)*'График аннуитет.'!G33</f>
        <v>-772077.44</v>
      </c>
      <c r="F33" s="34">
        <f>IF(A33&lt;malumot!$B$82,'График аннуитет.'!F32,'График аннуитет.'!D33+'График аннуитет.'!E33)</f>
        <v>3098325.83</v>
      </c>
      <c r="G33" s="15">
        <f t="shared" si="6"/>
        <v>32</v>
      </c>
      <c r="H33" s="15">
        <f t="shared" si="7"/>
        <v>365</v>
      </c>
    </row>
    <row r="34" spans="1:8" x14ac:dyDescent="0.25">
      <c r="A34" s="18">
        <f t="shared" si="8"/>
        <v>27</v>
      </c>
      <c r="B34" s="33">
        <f>'График дифференц'!B34</f>
        <v>46553</v>
      </c>
      <c r="C34" s="34">
        <f t="shared" si="5"/>
        <v>-18547918.780000009</v>
      </c>
      <c r="D34" s="34">
        <f>IF(A34&lt;malumot!$B$82,'График аннуитет.'!F34-'График аннуитет.'!E34,'График аннуитет.'!C34)</f>
        <v>3982528</v>
      </c>
      <c r="E34" s="34">
        <f>ROUND(C34*malumot!$B$85/H34,2)*'График аннуитет.'!G34</f>
        <v>-884202.17</v>
      </c>
      <c r="F34" s="34">
        <f>IF(A34&lt;malumot!$B$82,'График аннуитет.'!F33,'График аннуитет.'!D34+'График аннуитет.'!E34)</f>
        <v>3098325.83</v>
      </c>
      <c r="G34" s="15">
        <f t="shared" si="6"/>
        <v>29</v>
      </c>
      <c r="H34" s="15">
        <f t="shared" si="7"/>
        <v>365</v>
      </c>
    </row>
    <row r="35" spans="1:8" x14ac:dyDescent="0.25">
      <c r="A35" s="18">
        <f t="shared" si="8"/>
        <v>28</v>
      </c>
      <c r="B35" s="33">
        <f>'График дифференц'!B35</f>
        <v>46583</v>
      </c>
      <c r="C35" s="34">
        <f t="shared" si="5"/>
        <v>-22530446.780000009</v>
      </c>
      <c r="D35" s="34">
        <f>IF(A35&lt;malumot!$B$82,'График аннуитет.'!F35-'График аннуитет.'!E35,'График аннуитет.'!C35)</f>
        <v>4209416.33</v>
      </c>
      <c r="E35" s="34">
        <f>ROUND(C35*malumot!$B$85/H35,2)*'График аннуитет.'!G35</f>
        <v>-1111090.5</v>
      </c>
      <c r="F35" s="34">
        <f>IF(A35&lt;malumot!$B$82,'График аннуитет.'!F34,'График аннуитет.'!D35+'График аннуитет.'!E35)</f>
        <v>3098325.83</v>
      </c>
      <c r="G35" s="15">
        <f t="shared" si="6"/>
        <v>30</v>
      </c>
      <c r="H35" s="15">
        <f t="shared" si="7"/>
        <v>365</v>
      </c>
    </row>
    <row r="36" spans="1:8" x14ac:dyDescent="0.25">
      <c r="A36" s="18">
        <f t="shared" si="8"/>
        <v>29</v>
      </c>
      <c r="B36" s="33">
        <f>'График дифференц'!B36</f>
        <v>46615</v>
      </c>
      <c r="C36" s="34">
        <f t="shared" si="5"/>
        <v>-26739863.110000007</v>
      </c>
      <c r="D36" s="34">
        <f>IF(A36&lt;malumot!$B$82,'График аннуитет.'!F36-'График аннуитет.'!E36,'График аннуитет.'!C36)</f>
        <v>4504915.91</v>
      </c>
      <c r="E36" s="34">
        <f>ROUND(C36*malumot!$B$85/H36,2)*'График аннуитет.'!G36</f>
        <v>-1406590.08</v>
      </c>
      <c r="F36" s="34">
        <f>IF(A36&lt;malumot!$B$82,'График аннуитет.'!F35,'График аннуитет.'!D36+'График аннуитет.'!E36)</f>
        <v>3098325.83</v>
      </c>
      <c r="G36" s="15">
        <f t="shared" si="6"/>
        <v>32</v>
      </c>
      <c r="H36" s="15">
        <f t="shared" si="7"/>
        <v>365</v>
      </c>
    </row>
    <row r="37" spans="1:8" x14ac:dyDescent="0.25">
      <c r="A37" s="18">
        <f t="shared" si="8"/>
        <v>30</v>
      </c>
      <c r="B37" s="33">
        <f>'График дифференц'!B37</f>
        <v>46645</v>
      </c>
      <c r="C37" s="34">
        <f t="shared" si="5"/>
        <v>-31244779.020000007</v>
      </c>
      <c r="D37" s="34">
        <f>IF(A37&lt;malumot!$B$82,'График аннуитет.'!F37-'График аннуитет.'!E37,'График аннуитет.'!C37)</f>
        <v>4639164.2300000004</v>
      </c>
      <c r="E37" s="34">
        <f>ROUND(C37*malumot!$B$85/H37,2)*'График аннуитет.'!G37</f>
        <v>-1540838.3999999999</v>
      </c>
      <c r="F37" s="34">
        <f>IF(A37&lt;malumot!$B$82,'График аннуитет.'!F36,'График аннуитет.'!D37+'График аннуитет.'!E37)</f>
        <v>3098325.83</v>
      </c>
      <c r="G37" s="15">
        <f t="shared" si="6"/>
        <v>30</v>
      </c>
      <c r="H37" s="15">
        <f t="shared" si="7"/>
        <v>365</v>
      </c>
    </row>
    <row r="38" spans="1:8" x14ac:dyDescent="0.25">
      <c r="A38" s="18">
        <f t="shared" si="8"/>
        <v>31</v>
      </c>
      <c r="B38" s="33">
        <f>'График дифференц'!B38</f>
        <v>46675</v>
      </c>
      <c r="C38" s="34">
        <f t="shared" si="5"/>
        <v>-35883943.250000007</v>
      </c>
      <c r="D38" s="34">
        <f>IF(A38&lt;malumot!$B$82,'График аннуитет.'!F38-'График аннуитет.'!E38,'График аннуитет.'!C38)</f>
        <v>4867944.83</v>
      </c>
      <c r="E38" s="34">
        <f>ROUND(C38*malumot!$B$85/H38,2)*'График аннуитет.'!G38</f>
        <v>-1769619</v>
      </c>
      <c r="F38" s="34">
        <f>IF(A38&lt;malumot!$B$82,'График аннуитет.'!F37,'График аннуитет.'!D38+'График аннуитет.'!E38)</f>
        <v>3098325.83</v>
      </c>
      <c r="G38" s="15">
        <f t="shared" si="6"/>
        <v>30</v>
      </c>
      <c r="H38" s="15">
        <f t="shared" si="7"/>
        <v>365</v>
      </c>
    </row>
    <row r="39" spans="1:8" x14ac:dyDescent="0.25">
      <c r="A39" s="18">
        <f t="shared" si="8"/>
        <v>32</v>
      </c>
      <c r="B39" s="33">
        <f>'График дифференц'!B39</f>
        <v>46706</v>
      </c>
      <c r="C39" s="34">
        <f t="shared" si="5"/>
        <v>-40751888.080000006</v>
      </c>
      <c r="D39" s="34">
        <f>IF(A39&lt;malumot!$B$82,'График аннуитет.'!F39-'График аннуитет.'!E39,'График аннуитет.'!C39)</f>
        <v>5174997.54</v>
      </c>
      <c r="E39" s="34">
        <f>ROUND(C39*malumot!$B$85/H39,2)*'График аннуитет.'!G39</f>
        <v>-2076671.7100000002</v>
      </c>
      <c r="F39" s="34">
        <f>IF(A39&lt;malumot!$B$82,'График аннуитет.'!F38,'График аннуитет.'!D39+'График аннуитет.'!E39)</f>
        <v>3098325.83</v>
      </c>
      <c r="G39" s="15">
        <f t="shared" si="6"/>
        <v>31</v>
      </c>
      <c r="H39" s="15">
        <f t="shared" si="7"/>
        <v>365</v>
      </c>
    </row>
    <row r="40" spans="1:8" x14ac:dyDescent="0.25">
      <c r="A40" s="18">
        <f t="shared" si="8"/>
        <v>33</v>
      </c>
      <c r="B40" s="33">
        <f>'График дифференц'!B40</f>
        <v>46736</v>
      </c>
      <c r="C40" s="34">
        <f t="shared" si="5"/>
        <v>-45926885.620000005</v>
      </c>
      <c r="D40" s="34">
        <f>IF(A40&lt;malumot!$B$82,'График аннуитет.'!F40-'График аннуитет.'!E40,'График аннуитет.'!C40)</f>
        <v>5363213.33</v>
      </c>
      <c r="E40" s="34">
        <f>ROUND(C40*malumot!$B$85/H40,2)*'График аннуитет.'!G40</f>
        <v>-2264887.5</v>
      </c>
      <c r="F40" s="34">
        <f>IF(A40&lt;malumot!$B$82,'График аннуитет.'!F39,'График аннуитет.'!D40+'График аннуитет.'!E40)</f>
        <v>3098325.83</v>
      </c>
      <c r="G40" s="15">
        <f t="shared" si="6"/>
        <v>30</v>
      </c>
      <c r="H40" s="15">
        <f t="shared" si="7"/>
        <v>365</v>
      </c>
    </row>
    <row r="41" spans="1:8" x14ac:dyDescent="0.25">
      <c r="A41" s="18">
        <f t="shared" si="8"/>
        <v>34</v>
      </c>
      <c r="B41" s="33">
        <f>'График дифференц'!B41</f>
        <v>46769</v>
      </c>
      <c r="C41" s="34">
        <f t="shared" si="5"/>
        <v>-51290098.950000003</v>
      </c>
      <c r="D41" s="34">
        <f>IF(A41&lt;malumot!$B$82,'График аннуитет.'!F41-'График аннуитет.'!E41,'График аннуитет.'!C41)</f>
        <v>5873036.1200000001</v>
      </c>
      <c r="E41" s="34">
        <f>ROUND(C41*malumot!$B$85/H41,2)*'График аннуитет.'!G41</f>
        <v>-2774710.29</v>
      </c>
      <c r="F41" s="34">
        <f>IF(A41&lt;malumot!$B$82,'График аннуитет.'!F40,'График аннуитет.'!D41+'График аннуитет.'!E41)</f>
        <v>3098325.83</v>
      </c>
      <c r="G41" s="15">
        <f t="shared" si="6"/>
        <v>33</v>
      </c>
      <c r="H41" s="15">
        <f t="shared" si="7"/>
        <v>366</v>
      </c>
    </row>
    <row r="42" spans="1:8" x14ac:dyDescent="0.25">
      <c r="A42" s="18">
        <f t="shared" si="8"/>
        <v>35</v>
      </c>
      <c r="B42" s="33">
        <f>'График дифференц'!B42</f>
        <v>46798</v>
      </c>
      <c r="C42" s="34">
        <f t="shared" si="5"/>
        <v>-57163135.07</v>
      </c>
      <c r="D42" s="34">
        <f>IF(A42&lt;malumot!$B$82,'График аннуитет.'!F42-'График аннуитет.'!E42,'График аннуитет.'!C42)</f>
        <v>5815917.5700000003</v>
      </c>
      <c r="E42" s="34">
        <f>ROUND(C42*malumot!$B$85/H42,2)*'График аннуитет.'!G42</f>
        <v>-2717591.7399999998</v>
      </c>
      <c r="F42" s="34">
        <f>IF(A42&lt;malumot!$B$82,'График аннуитет.'!F41,'График аннуитет.'!D42+'График аннуитет.'!E42)</f>
        <v>3098325.83</v>
      </c>
      <c r="G42" s="15">
        <f t="shared" si="6"/>
        <v>29</v>
      </c>
      <c r="H42" s="15">
        <f t="shared" si="7"/>
        <v>366</v>
      </c>
    </row>
    <row r="43" spans="1:8" x14ac:dyDescent="0.25">
      <c r="A43" s="18">
        <f t="shared" si="8"/>
        <v>36</v>
      </c>
      <c r="B43" s="33">
        <f>'График дифференц'!B43</f>
        <v>46839</v>
      </c>
      <c r="C43" s="34">
        <f t="shared" si="5"/>
        <v>-62979052.640000001</v>
      </c>
      <c r="D43" s="34">
        <f>IF(A43&lt;malumot!$B$82,'График аннуитет.'!F43-'График аннуитет.'!E43,'График аннуитет.'!C43)</f>
        <v>-62979052.640000001</v>
      </c>
      <c r="E43" s="34">
        <f>ROUND(C43*malumot!$B$85/H43,2)*'График аннуитет.'!G43</f>
        <v>-4233018.3500000006</v>
      </c>
      <c r="F43" s="34">
        <f>IF(A43&lt;malumot!$B$82,'График аннуитет.'!F42,'График аннуитет.'!D43+'График аннуитет.'!E43)</f>
        <v>-67212070.989999995</v>
      </c>
      <c r="G43" s="15">
        <f t="shared" si="6"/>
        <v>41</v>
      </c>
      <c r="H43" s="15">
        <f t="shared" si="7"/>
        <v>366</v>
      </c>
    </row>
    <row r="44" spans="1:8" x14ac:dyDescent="0.25">
      <c r="A44" s="46"/>
      <c r="B44" s="47" t="s">
        <v>7</v>
      </c>
      <c r="C44" s="48"/>
      <c r="D44" s="48">
        <f>SUM(D8:D43)</f>
        <v>40000000.000000015</v>
      </c>
      <c r="E44" s="48">
        <f t="shared" ref="E44:F44" si="9">SUM(E8:E43)</f>
        <v>1229333.0599999903</v>
      </c>
      <c r="F44" s="48">
        <f t="shared" si="9"/>
        <v>41229333.059999958</v>
      </c>
    </row>
    <row r="45" spans="1:8" ht="9" customHeight="1" x14ac:dyDescent="0.25">
      <c r="B45" s="35"/>
      <c r="C45" s="36"/>
      <c r="D45" s="36"/>
      <c r="E45" s="36"/>
      <c r="F45" s="36"/>
    </row>
    <row r="46" spans="1:8" ht="47.25" customHeight="1" x14ac:dyDescent="0.25">
      <c r="A46" s="269" t="s">
        <v>18</v>
      </c>
      <c r="B46" s="269"/>
      <c r="C46" s="269"/>
      <c r="D46" s="269"/>
      <c r="E46" s="269"/>
      <c r="F46" s="269"/>
    </row>
    <row r="47" spans="1:8" ht="7.5" customHeight="1" x14ac:dyDescent="0.25"/>
    <row r="48" spans="1:8" x14ac:dyDescent="0.25">
      <c r="A48" s="295" t="e">
        <f>#REF!</f>
        <v>#REF!</v>
      </c>
      <c r="B48" s="295"/>
      <c r="C48" s="295"/>
      <c r="D48" s="295" t="e">
        <f>#REF!</f>
        <v>#REF!</v>
      </c>
      <c r="E48" s="295"/>
      <c r="F48" s="295"/>
    </row>
    <row r="49" spans="1:6" ht="11.25" customHeight="1" x14ac:dyDescent="0.25">
      <c r="A49" s="296"/>
      <c r="B49" s="296"/>
      <c r="C49" s="296"/>
      <c r="D49" s="296"/>
      <c r="E49" s="296"/>
      <c r="F49" s="296"/>
    </row>
    <row r="50" spans="1:6" ht="30" customHeight="1" x14ac:dyDescent="0.25">
      <c r="A50" s="268" t="e">
        <f>#REF!</f>
        <v>#REF!</v>
      </c>
      <c r="B50" s="268"/>
      <c r="C50" s="268"/>
      <c r="D50" s="268" t="e">
        <f>#REF!</f>
        <v>#REF!</v>
      </c>
      <c r="E50" s="268"/>
      <c r="F50" s="268"/>
    </row>
    <row r="51" spans="1:6" ht="32.25" customHeight="1" x14ac:dyDescent="0.25">
      <c r="A51" s="294" t="e">
        <f>#REF!</f>
        <v>#REF!</v>
      </c>
      <c r="B51" s="294"/>
      <c r="C51" s="294"/>
      <c r="D51" s="294" t="e">
        <f>#REF!</f>
        <v>#REF!</v>
      </c>
      <c r="E51" s="294"/>
      <c r="F51" s="294"/>
    </row>
    <row r="52" spans="1:6" x14ac:dyDescent="0.25">
      <c r="A52" s="294" t="e">
        <f>#REF!</f>
        <v>#REF!</v>
      </c>
      <c r="B52" s="294"/>
      <c r="C52" s="294"/>
      <c r="D52" s="294" t="str">
        <f>"паспорт серии "&amp;malumot!B16&amp;", "&amp;malumot!B20&amp;""</f>
        <v>паспорт серии AB2646428, NAVOIY VILOYATI NUROTA TUMANI IIB tomonidan 15.01.2016 yilda berilgan</v>
      </c>
      <c r="E52" s="294"/>
      <c r="F52" s="294"/>
    </row>
    <row r="53" spans="1:6" ht="32.25" customHeight="1" x14ac:dyDescent="0.25">
      <c r="A53" s="294" t="e">
        <f>#REF!</f>
        <v>#REF!</v>
      </c>
      <c r="B53" s="294"/>
      <c r="C53" s="294"/>
      <c r="D53" s="294"/>
      <c r="E53" s="294"/>
      <c r="F53" s="294"/>
    </row>
    <row r="54" spans="1:6" x14ac:dyDescent="0.25">
      <c r="A54" s="294" t="e">
        <f>#REF!</f>
        <v>#REF!</v>
      </c>
      <c r="B54" s="294"/>
      <c r="C54" s="294"/>
      <c r="D54" s="294" t="e">
        <f>#REF!</f>
        <v>#REF!</v>
      </c>
      <c r="E54" s="294"/>
      <c r="F54" s="294"/>
    </row>
    <row r="55" spans="1:6" x14ac:dyDescent="0.25">
      <c r="A55" s="294" t="e">
        <f>#REF!</f>
        <v>#REF!</v>
      </c>
      <c r="B55" s="294"/>
      <c r="C55" s="294"/>
      <c r="D55" s="294" t="e">
        <f>#REF!</f>
        <v>#REF!</v>
      </c>
      <c r="E55" s="294"/>
      <c r="F55" s="294"/>
    </row>
    <row r="56" spans="1:6" x14ac:dyDescent="0.25">
      <c r="A56" s="294" t="e">
        <f>#REF!</f>
        <v>#REF!</v>
      </c>
      <c r="B56" s="294"/>
      <c r="C56" s="294"/>
      <c r="D56" s="294" t="e">
        <f>#REF!</f>
        <v>#REF!</v>
      </c>
      <c r="E56" s="294"/>
      <c r="F56" s="294"/>
    </row>
    <row r="57" spans="1:6" ht="8.25" customHeight="1" x14ac:dyDescent="0.25">
      <c r="A57" s="294"/>
      <c r="B57" s="294"/>
      <c r="C57" s="294"/>
      <c r="D57" s="294"/>
      <c r="E57" s="294"/>
      <c r="F57" s="294"/>
    </row>
    <row r="58" spans="1:6" x14ac:dyDescent="0.25">
      <c r="A58" s="268" t="e">
        <f>#REF!</f>
        <v>#REF!</v>
      </c>
      <c r="B58" s="268"/>
      <c r="C58" s="268"/>
      <c r="D58" s="268" t="e">
        <f>#REF!</f>
        <v>#REF!</v>
      </c>
      <c r="E58" s="268"/>
      <c r="F58" s="268"/>
    </row>
    <row r="59" spans="1:6" ht="7.5" customHeight="1" x14ac:dyDescent="0.25">
      <c r="A59" s="268"/>
      <c r="B59" s="268"/>
      <c r="C59" s="268"/>
      <c r="D59" s="268"/>
      <c r="E59" s="268"/>
      <c r="F59" s="268"/>
    </row>
    <row r="60" spans="1:6" x14ac:dyDescent="0.25">
      <c r="A60" s="268" t="e">
        <f>#REF!</f>
        <v>#REF!</v>
      </c>
      <c r="B60" s="268"/>
      <c r="C60" s="268"/>
      <c r="D60" s="268" t="e">
        <f>#REF!</f>
        <v>#REF!</v>
      </c>
      <c r="E60" s="268"/>
      <c r="F60" s="268"/>
    </row>
    <row r="61" spans="1:6" ht="8.25" customHeight="1" x14ac:dyDescent="0.25">
      <c r="A61" s="294"/>
      <c r="B61" s="294"/>
      <c r="C61" s="294"/>
      <c r="D61" s="294"/>
      <c r="E61" s="294"/>
      <c r="F61" s="294"/>
    </row>
    <row r="62" spans="1:6" ht="30" customHeight="1" x14ac:dyDescent="0.25">
      <c r="A62" s="298"/>
      <c r="B62" s="298"/>
      <c r="C62" s="298"/>
      <c r="D62" s="299"/>
      <c r="E62" s="299"/>
      <c r="F62" s="299"/>
    </row>
    <row r="63" spans="1:6" x14ac:dyDescent="0.25">
      <c r="A63" s="300"/>
      <c r="B63" s="300"/>
      <c r="C63" s="300"/>
      <c r="D63" s="300"/>
      <c r="E63" s="300"/>
      <c r="F63" s="300"/>
    </row>
    <row r="64" spans="1:6" x14ac:dyDescent="0.25">
      <c r="A64" s="297"/>
      <c r="B64" s="297"/>
      <c r="C64" s="297"/>
      <c r="D64" s="297"/>
      <c r="E64" s="297"/>
      <c r="F64" s="29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44" zoomScaleSheetLayoutView="100" workbookViewId="0">
      <selection activeCell="A55" sqref="A55:A67"/>
    </sheetView>
  </sheetViews>
  <sheetFormatPr defaultColWidth="9.140625" defaultRowHeight="15" outlineLevelRow="1" x14ac:dyDescent="0.25"/>
  <cols>
    <col min="1" max="2" width="23.7109375" style="15" customWidth="1"/>
    <col min="3" max="3" width="18.28515625" style="15" customWidth="1"/>
    <col min="4" max="5" width="17" style="15" customWidth="1"/>
    <col min="6" max="16384" width="9.140625" style="15"/>
  </cols>
  <sheetData>
    <row r="1" spans="1:5" ht="36" customHeight="1" x14ac:dyDescent="0.25">
      <c r="A1" s="268" t="str">
        <f>""&amp;malumot!B157&amp;"
mikromoliya tashkilotining Xulosasi"</f>
        <v>«CLEVER MIKROMOLIYA TASHKILOTI» MChJ
mikromoliya tashkilotining Xulosasi</v>
      </c>
      <c r="B1" s="268"/>
      <c r="C1" s="268"/>
      <c r="D1" s="268"/>
      <c r="E1" s="268"/>
    </row>
    <row r="2" spans="1:5" x14ac:dyDescent="0.25">
      <c r="A2" s="269"/>
      <c r="B2" s="269"/>
      <c r="C2" s="269"/>
      <c r="D2" s="269"/>
      <c r="E2" s="269"/>
    </row>
    <row r="3" spans="1:5" x14ac:dyDescent="0.25">
      <c r="A3" s="268" t="s">
        <v>203</v>
      </c>
      <c r="B3" s="268"/>
      <c r="C3" s="268"/>
      <c r="D3" s="268"/>
      <c r="E3" s="268"/>
    </row>
    <row r="4" spans="1:5" x14ac:dyDescent="0.25">
      <c r="A4" s="269" t="str">
        <f>"Mijozning to'liq ismi sharifi: "&amp;malumot!B5&amp;""</f>
        <v>Mijozning to'liq ismi sharifi: UMAROV YO'LDOSHBOY AVALBEKOVICH</v>
      </c>
      <c r="B4" s="269"/>
      <c r="C4" s="269"/>
      <c r="D4" s="269"/>
      <c r="E4" s="269"/>
    </row>
    <row r="5" spans="1:5" x14ac:dyDescent="0.25">
      <c r="A5" s="269" t="str">
        <f>"Tug'ilgan sanasi: "&amp;malumot!B15&amp;""</f>
        <v>Tug'ilgan sanasi: 03.05.1967y</v>
      </c>
      <c r="B5" s="269"/>
      <c r="C5" s="269"/>
      <c r="D5" s="269"/>
      <c r="E5" s="269"/>
    </row>
    <row r="6" spans="1:5" ht="31.5" customHeight="1" x14ac:dyDescent="0.25">
      <c r="A6" s="269" t="str">
        <f>"Pasport seriyasi "&amp;malumot!B16&amp;" "&amp;malumot!B20&amp;", amal qilish muddati - "&amp;malumot!B21&amp;""</f>
        <v>Pasport seriyasi AB2646428 NAVOIY VILOYATI NUROTA TUMANI IIB tomonidan 15.01.2016 yilda berilgan, amal qilish muddati - 14.01.2026 y.</v>
      </c>
      <c r="B6" s="269"/>
      <c r="C6" s="269"/>
      <c r="D6" s="269"/>
      <c r="E6" s="269"/>
    </row>
    <row r="7" spans="1:5" ht="48" customHeight="1" x14ac:dyDescent="0.25">
      <c r="A7" s="269" t="str">
        <f>"Ro‘yxatdan o‘tgan manzili: "&amp;malumot!B28&amp;", mo'ljal: "&amp;malumot!B26&amp;""</f>
        <v>Ro‘yxatdan o‘tgan manzili: NAVOIY VILOYATI NUROTA TUMANI TEMIRKOVUK MFY YOSHLIK KO'CHASI 67-UY, mo'ljal: TEMIRKOVUK MFY BINOSI YONIDA</v>
      </c>
      <c r="B7" s="269"/>
      <c r="C7" s="269"/>
      <c r="D7" s="269"/>
      <c r="E7" s="269"/>
    </row>
    <row r="8" spans="1:5" ht="23.25" customHeight="1" x14ac:dyDescent="0.25">
      <c r="A8" s="269" t="str">
        <f>"Ish joyi: "&amp;malumot!B52&amp;" lavozimi "&amp;malumot!B49&amp;"da "&amp;malumot!B44&amp;""</f>
        <v>Ish joyi:  lavozimi Yakka tartibdagi tadbirkorda Yakka tartibdagi tadbirkor</v>
      </c>
      <c r="B8" s="269"/>
      <c r="C8" s="269"/>
      <c r="D8" s="269"/>
      <c r="E8" s="269"/>
    </row>
    <row r="9" spans="1:5" x14ac:dyDescent="0.25">
      <c r="A9" s="269"/>
      <c r="B9" s="269"/>
      <c r="C9" s="269"/>
      <c r="D9" s="269"/>
      <c r="E9" s="269"/>
    </row>
    <row r="10" spans="1:5" x14ac:dyDescent="0.25">
      <c r="A10" s="268" t="str">
        <f>"Mijoz tomonidan so’ralgan "&amp;malumot!B65&amp;" shartlari:"</f>
        <v>Mijoz tomonidan so’ralgan mikroqarz shartlari:</v>
      </c>
      <c r="B10" s="268"/>
      <c r="C10" s="268"/>
      <c r="D10" s="268"/>
      <c r="E10" s="268"/>
    </row>
    <row r="11" spans="1:5" x14ac:dyDescent="0.25">
      <c r="A11" s="269" t="str">
        <f>kredit_ariza!A13:D13</f>
        <v>Mikroqarz summasi: 40 000 000,00 (qirq million so'm) so'm.</v>
      </c>
      <c r="B11" s="269"/>
      <c r="C11" s="269"/>
      <c r="D11" s="269"/>
      <c r="E11" s="269"/>
    </row>
    <row r="12" spans="1:5" x14ac:dyDescent="0.25">
      <c r="A12" s="269" t="str">
        <f>kredit_ariza!A14:D14</f>
        <v>Mikroqarz muddati: 36 (O'ttiz olti) oy.</v>
      </c>
      <c r="B12" s="269"/>
      <c r="C12" s="269"/>
      <c r="D12" s="269"/>
      <c r="E12" s="269"/>
    </row>
    <row r="13" spans="1:5" x14ac:dyDescent="0.25">
      <c r="A13" s="269" t="str">
        <f>kredit_ariza!A15:D15</f>
        <v>Mikroqarzdan foydalanganlik uchun foiz stavkasi: yillik  60% (Oltmish) foiz</v>
      </c>
      <c r="B13" s="269"/>
      <c r="C13" s="269"/>
      <c r="D13" s="269"/>
      <c r="E13" s="269"/>
    </row>
    <row r="14" spans="1:5" x14ac:dyDescent="0.25">
      <c r="A14" s="269" t="str">
        <f>kredit_ariza!A16:D16</f>
        <v>Mikroqarz bo'yicha asosiy qarz va foizlarni to'lash:</v>
      </c>
      <c r="B14" s="269"/>
      <c r="C14" s="269"/>
      <c r="D14" s="269"/>
      <c r="E14" s="269"/>
    </row>
    <row r="15" spans="1:5" ht="18.75" customHeight="1" x14ac:dyDescent="0.25">
      <c r="A15" s="269" t="str">
        <f>kredit_ariza!A19:D19</f>
        <v xml:space="preserve"> - mikroqarz shartnomasi bo'yicha har oy differensial to'lovlari amalga oshiriladi</v>
      </c>
      <c r="B15" s="269"/>
      <c r="C15" s="269"/>
      <c r="D15" s="269"/>
      <c r="E15" s="269"/>
    </row>
    <row r="16" spans="1:5" ht="14.25" customHeight="1" x14ac:dyDescent="0.25">
      <c r="A16" s="267" t="str">
        <f>kredit_ariza!A20:D20</f>
        <v xml:space="preserve">  Oxirgi yakuniy to'lov mikroqarz shartnomasi tuzilgan kundan boshlab oxirgi oyning oxirgi kunida amalga oshiriladi</v>
      </c>
      <c r="B16" s="267"/>
      <c r="C16" s="267"/>
      <c r="D16" s="267"/>
      <c r="E16" s="267"/>
    </row>
    <row r="17" spans="1:5" x14ac:dyDescent="0.25">
      <c r="A17" s="269" t="str">
        <f>kredit_ariza!A21:D21</f>
        <v>Mikroqarz ta’minoti::</v>
      </c>
      <c r="B17" s="269"/>
      <c r="C17" s="269"/>
      <c r="D17" s="269"/>
      <c r="E17" s="269"/>
    </row>
    <row r="18" spans="1:5" ht="67.5" customHeight="1" x14ac:dyDescent="0.25">
      <c r="A18" s="269" t="str">
        <f>kredit_ariza!A22:D22</f>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18" s="269"/>
      <c r="C18" s="269"/>
      <c r="D18" s="269"/>
      <c r="E18" s="269"/>
    </row>
    <row r="19" spans="1:5" x14ac:dyDescent="0.25">
      <c r="A19" s="268" t="s">
        <v>204</v>
      </c>
      <c r="B19" s="268"/>
      <c r="C19" s="268"/>
      <c r="D19" s="268"/>
      <c r="E19" s="268"/>
    </row>
    <row r="20" spans="1:5" ht="21" customHeight="1" x14ac:dyDescent="0.25">
      <c r="A20" s="269" t="str">
        <f>"Anketaga muvofiq "&amp;malumot!B9&amp;"ning o‘rtacha oylik daromadi  "&amp;FIXED(malumot!B60)&amp;" so‘mni tashkil etdi."</f>
        <v>Anketaga muvofiq UMAROV Y.A.ning o‘rtacha oylik daromadi  12 000 000,00 so‘mni tashkil etdi.</v>
      </c>
      <c r="B20" s="269"/>
      <c r="C20" s="269"/>
      <c r="D20" s="269"/>
      <c r="E20" s="269"/>
    </row>
    <row r="21" spans="1:5" ht="21" customHeight="1" x14ac:dyDescent="0.25">
      <c r="A21" s="269" t="str">
        <f>"Mijozning o'rtacha oylik xarajatlari "&amp;FIXED(mijoz_anketasi!F27)&amp;" so'mni tashkil etdi"</f>
        <v>Mijozning o'rtacha oylik xarajatlari 1 700 000,00 so'mni tashkil etdi</v>
      </c>
      <c r="B21" s="269"/>
      <c r="C21" s="269"/>
      <c r="D21" s="269"/>
      <c r="E21" s="269"/>
    </row>
    <row r="22" spans="1:5" ht="18" hidden="1" customHeight="1" x14ac:dyDescent="0.25">
      <c r="A22" s="269" t="str">
        <f>IF(malumot!B78=malumot!C78,xulosa!A23:E23,xulosa!A24:E24)</f>
        <v>Mikroqarz shartnomasi bo'yicha birinchi oy uchun to'lov 3 098 325,83 so'mni tashkil etadi.</v>
      </c>
      <c r="B22" s="269"/>
      <c r="C22" s="269"/>
      <c r="D22" s="269"/>
      <c r="E22" s="269"/>
    </row>
    <row r="23" spans="1:5" ht="21" hidden="1" customHeight="1" x14ac:dyDescent="0.25">
      <c r="A23" s="269" t="str">
        <f>""&amp;malumot!C64&amp;" shartnomasi bo'yicha birinchi oy uchun to'lov "&amp;FIXED(malumot!B91)&amp;" so'mni tashkil etadi."</f>
        <v>Mikroqarz shartnomasi bo'yicha birinchi oy uchun to'lov 3 098 325,83 so'mni tashkil etadi.</v>
      </c>
      <c r="B23" s="269"/>
      <c r="C23" s="269"/>
      <c r="D23" s="269"/>
      <c r="E23" s="269"/>
    </row>
    <row r="24" spans="1:5" ht="19.5" customHeight="1" x14ac:dyDescent="0.25">
      <c r="A24" s="269" t="str">
        <f>""&amp;malumot!C64&amp;" bo‘yicha oylik "&amp;malumot!B78&amp;" to‘lovi miqdori "&amp;FIXED(malumot!B91)&amp;" so‘mni tashkil etadi."</f>
        <v>Mikroqarz bo‘yicha oylik differensial to‘lovi miqdori 3 098 325,83 so‘mni tashkil etadi.</v>
      </c>
      <c r="B24" s="269"/>
      <c r="C24" s="269"/>
      <c r="D24" s="269"/>
      <c r="E24" s="269"/>
    </row>
    <row r="25" spans="1:5" ht="48.75" customHeight="1" x14ac:dyDescent="0.25">
      <c r="A25" s="267" t="s">
        <v>437</v>
      </c>
      <c r="B25" s="267"/>
      <c r="C25" s="267"/>
      <c r="D25" s="267"/>
      <c r="E25" s="267"/>
    </row>
    <row r="26" spans="1:5" x14ac:dyDescent="0.25">
      <c r="A26" s="268" t="str">
        <f>""&amp;malumot!C64&amp;" bo’yicha ta’minot:"</f>
        <v>Mikroqarz bo’yicha ta’minot:</v>
      </c>
      <c r="B26" s="268"/>
      <c r="C26" s="268"/>
      <c r="D26" s="268"/>
      <c r="E26" s="268"/>
    </row>
    <row r="27" spans="1:5" ht="31.5" hidden="1" customHeight="1" x14ac:dyDescent="0.25">
      <c r="A27" s="269" t="str">
        <f>" - "&amp;malumot!B124&amp;" ga mulk huquqi asosida tegishli avtotransport vositasi "&amp;malumot!B132&amp;" , quyidagi tafsilotlarga muvofiq:"</f>
        <v xml:space="preserve"> - UMAROV YO'LDOSHBOY AVALBEKOVICH ga mulk huquqi asosida tegishli avtotransport vositasi CHEVROLET LACETTI SX , quyidagi tafsilotlarga muvofiq:</v>
      </c>
      <c r="B27" s="269"/>
      <c r="C27" s="269"/>
      <c r="D27" s="269"/>
      <c r="E27" s="269"/>
    </row>
    <row r="28" spans="1:5" ht="67.5" hidden="1" customHeight="1" x14ac:dyDescent="0.25">
      <c r="A28" s="269" t="str">
        <f>" -   "&amp;malumot!C124&amp;" ga mulk huquqi asosida tegishli ko'chmas mulk shaklida "&amp;malumot!C133&amp;", manzili: "&amp;malumot!C130&amp;", quyidagi tafsilotlarga muvofiq:"</f>
        <v xml:space="preserve"> -   UMAROV YO'LDOSHBOY AVALBEKOVICH ga mulk huquqi asosida tegishli ko'chmas mulk shaklida  0, manzili: , quyidagi tafsilotlarga muvofiq:</v>
      </c>
      <c r="B28" s="269"/>
      <c r="C28" s="269"/>
      <c r="D28" s="269"/>
      <c r="E28" s="269"/>
    </row>
    <row r="29" spans="1:5" ht="44.25" customHeight="1" x14ac:dyDescent="0.25">
      <c r="A29" s="269" t="str">
        <f>IF(malumot!B110="Avtotransport",xulosa!A27:E27,xulosa!A28:E28)</f>
        <v xml:space="preserve"> - UMAROV YO'LDOSHBOY AVALBEKOVICH ga mulk huquqi asosida tegishli avtotransport vositasi CHEVROLET LACETTI SX , quyidagi tafsilotlarga muvofiq:</v>
      </c>
      <c r="B29" s="269"/>
      <c r="C29" s="269"/>
      <c r="D29" s="269"/>
      <c r="E29" s="269"/>
    </row>
    <row r="30" spans="1:5" s="16" customFormat="1" ht="47.25" customHeight="1" outlineLevel="1" x14ac:dyDescent="0.25">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102.75" customHeight="1" outlineLevel="1" x14ac:dyDescent="0.25">
      <c r="A31" s="17" t="str">
        <f>dalolatnoma!A30</f>
        <v>CHEVROLET LACETTI SX</v>
      </c>
      <c r="B31" s="17" t="str">
        <f>dalolatnoma!B30</f>
        <v>kuzov turi - YENGIL SEDAN, kuzov raqami XWB5M31BDAA036806</v>
      </c>
      <c r="C31" s="17" t="str">
        <f>dalolatnoma!C30</f>
        <v>dvigatel raqami F18D31900191, shassi raqami - Rakamsiz</v>
      </c>
      <c r="D31" s="17" t="str">
        <f>dalolatnoma!D30</f>
        <v>rangi -  OQ BELIY, ishlab chiqarilgan yili - 2010</v>
      </c>
      <c r="E31" s="17" t="str">
        <f>dalolatnoma!E30</f>
        <v>45 000 000,00 
(qirq besh million so'm)</v>
      </c>
    </row>
    <row r="32" spans="1:5" ht="15.75" customHeight="1" outlineLevel="1" x14ac:dyDescent="0.25">
      <c r="A32" s="269" t="str">
        <f>dalolatnoma!A22</f>
        <v>-* avtotransport egasi: UMAROV YO'LDOSHBOY AVALBEKOVICH</v>
      </c>
      <c r="B32" s="269"/>
      <c r="C32" s="269"/>
      <c r="D32" s="269"/>
      <c r="E32" s="269"/>
    </row>
    <row r="33" spans="1:5" ht="15" customHeight="1" outlineLevel="1" x14ac:dyDescent="0.25">
      <c r="A33" s="269" t="str">
        <f>dalolatnoma!A23</f>
        <v>-* texnik pasport: AAG5907774    27.03.2025</v>
      </c>
      <c r="B33" s="269"/>
      <c r="C33" s="269"/>
      <c r="D33" s="269"/>
      <c r="E33" s="269"/>
    </row>
    <row r="34" spans="1:5" ht="33" customHeight="1" outlineLevel="1" x14ac:dyDescent="0.25">
      <c r="A34" s="269" t="str">
        <f>dalolatnoma!A24</f>
        <v>-* roʻyxatdan oʻtgan manzili/garaj manzili: NAVOIY VILOYATI NUROTA TUMANI TEMIRKOVUK MFY YOSHLIK KO'CHASI 67-UY</v>
      </c>
      <c r="B34" s="269"/>
      <c r="C34" s="269"/>
      <c r="D34" s="269"/>
      <c r="E34" s="269"/>
    </row>
    <row r="35" spans="1:5" ht="25.5" customHeight="1" outlineLevel="1" x14ac:dyDescent="0.25">
      <c r="A35" s="269" t="str">
        <f>dalolatnoma!A25</f>
        <v>-* davlat raqami: 85B103PA</v>
      </c>
      <c r="B35" s="269"/>
      <c r="C35" s="269"/>
      <c r="D35" s="269"/>
      <c r="E35" s="269"/>
    </row>
    <row r="36" spans="1:5" ht="39" customHeight="1" x14ac:dyDescent="0.25">
      <c r="A36" s="268" t="str">
        <f>""&amp;malumot!B157&amp;"
mikromoliya tashkilotining Xulosasi"</f>
        <v>«CLEVER MIKROMOLIYA TASHKILOTI» MChJ
mikromoliya tashkilotining Xulosasi</v>
      </c>
      <c r="B36" s="268"/>
      <c r="C36" s="268"/>
      <c r="D36" s="268"/>
      <c r="E36" s="268"/>
    </row>
    <row r="37" spans="1:5" ht="33.75" customHeight="1" x14ac:dyDescent="0.25">
      <c r="A37" s="269" t="str">
        <f>""&amp;malumot!B157&amp;" kredit qo‘mitasining xulosasiga quyidagi shartlarda "&amp;malumot!B10&amp;"ga "&amp;malumot!B65&amp;" berish masalasi kiritiladi:"</f>
        <v>«CLEVER MIKROMOLIYA TASHKILOTI» MChJ kredit qo‘mitasining xulosasiga quyidagi shartlarda UMAROV YO'LDOSHBOY AVALBEKOVICHga mikroqarz berish masalasi kiritiladi:</v>
      </c>
      <c r="B37" s="269"/>
      <c r="C37" s="269"/>
      <c r="D37" s="269"/>
      <c r="E37" s="269"/>
    </row>
    <row r="38" spans="1:5" x14ac:dyDescent="0.25">
      <c r="A38" s="269" t="str">
        <f>A11</f>
        <v>Mikroqarz summasi: 40 000 000,00 (qirq million so'm) so'm.</v>
      </c>
      <c r="B38" s="269"/>
      <c r="C38" s="269"/>
      <c r="D38" s="269"/>
      <c r="E38" s="269"/>
    </row>
    <row r="39" spans="1:5" x14ac:dyDescent="0.25">
      <c r="A39" s="269" t="str">
        <f t="shared" ref="A39:A45" si="0">A12</f>
        <v>Mikroqarz muddati: 36 (O'ttiz olti) oy.</v>
      </c>
      <c r="B39" s="269"/>
      <c r="C39" s="269"/>
      <c r="D39" s="269"/>
      <c r="E39" s="269"/>
    </row>
    <row r="40" spans="1:5" x14ac:dyDescent="0.25">
      <c r="A40" s="269" t="str">
        <f t="shared" si="0"/>
        <v>Mikroqarzdan foydalanganlik uchun foiz stavkasi: yillik  60% (Oltmish) foiz</v>
      </c>
      <c r="B40" s="269"/>
      <c r="C40" s="269"/>
      <c r="D40" s="269"/>
      <c r="E40" s="269"/>
    </row>
    <row r="41" spans="1:5" x14ac:dyDescent="0.25">
      <c r="A41" s="269" t="str">
        <f t="shared" si="0"/>
        <v>Mikroqarz bo'yicha asosiy qarz va foizlarni to'lash:</v>
      </c>
      <c r="B41" s="269"/>
      <c r="C41" s="269"/>
      <c r="D41" s="269"/>
      <c r="E41" s="269"/>
    </row>
    <row r="42" spans="1:5" ht="20.25" customHeight="1" x14ac:dyDescent="0.25">
      <c r="A42" s="269" t="str">
        <f t="shared" si="0"/>
        <v xml:space="preserve"> - mikroqarz shartnomasi bo'yicha har oy differensial to'lovlari amalga oshiriladi</v>
      </c>
      <c r="B42" s="269"/>
      <c r="C42" s="269"/>
      <c r="D42" s="269"/>
      <c r="E42" s="269"/>
    </row>
    <row r="43" spans="1:5" ht="35.25" customHeight="1" x14ac:dyDescent="0.25">
      <c r="A43" s="269" t="str">
        <f t="shared" si="0"/>
        <v xml:space="preserve">  Oxirgi yakuniy to'lov mikroqarz shartnomasi tuzilgan kundan boshlab oxirgi oyning oxirgi kunida amalga oshiriladi</v>
      </c>
      <c r="B43" s="269"/>
      <c r="C43" s="269"/>
      <c r="D43" s="269"/>
      <c r="E43" s="269"/>
    </row>
    <row r="44" spans="1:5" ht="22.5" customHeight="1" x14ac:dyDescent="0.25">
      <c r="A44" s="269" t="str">
        <f t="shared" si="0"/>
        <v>Mikroqarz ta’minoti::</v>
      </c>
      <c r="B44" s="269"/>
      <c r="C44" s="269"/>
      <c r="D44" s="269"/>
      <c r="E44" s="269"/>
    </row>
    <row r="45" spans="1:5" ht="69" customHeight="1" x14ac:dyDescent="0.25">
      <c r="A45" s="269" t="str">
        <f t="shared" si="0"/>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45" s="269"/>
      <c r="C45" s="269"/>
      <c r="D45" s="269"/>
      <c r="E45" s="269"/>
    </row>
    <row r="46" spans="1:5" x14ac:dyDescent="0.25">
      <c r="A46" s="269"/>
      <c r="B46" s="269"/>
      <c r="C46" s="269"/>
      <c r="D46" s="269"/>
      <c r="E46" s="269"/>
    </row>
    <row r="47" spans="1:5" ht="29.25" customHeight="1" x14ac:dyDescent="0.25">
      <c r="A47" s="269" t="str">
        <f>""&amp;malumot!B157&amp;" mikromoliya tashkilotining xulosasi  "&amp;TEXT(malumot!B2,"ДД.ММ.ГГГГ")&amp;" y. tayyorlangan"</f>
        <v>«CLEVER MIKROMOLIYA TASHKILOTI» MChJ mikromoliya tashkilotining xulosasi  27.03.2025 y. tayyorlangan</v>
      </c>
      <c r="B47" s="269"/>
      <c r="C47" s="269"/>
      <c r="D47" s="269"/>
      <c r="E47" s="269"/>
    </row>
    <row r="48" spans="1:5" hidden="1" x14ac:dyDescent="0.25">
      <c r="A48" s="269"/>
      <c r="B48" s="269"/>
      <c r="C48" s="269"/>
      <c r="D48" s="269"/>
      <c r="E48" s="269"/>
    </row>
    <row r="49" spans="1:5" ht="15.75" hidden="1" customHeight="1" x14ac:dyDescent="0.25">
      <c r="A49" s="267"/>
      <c r="B49" s="267"/>
      <c r="C49" s="267"/>
      <c r="D49" s="22"/>
      <c r="E49" s="23"/>
    </row>
    <row r="50" spans="1:5" ht="35.25" hidden="1" customHeight="1" x14ac:dyDescent="0.25">
      <c r="A50" s="267"/>
      <c r="B50" s="267"/>
      <c r="C50" s="267"/>
      <c r="D50" s="23"/>
      <c r="E50" s="23"/>
    </row>
    <row r="51" spans="1:5" hidden="1" x14ac:dyDescent="0.25">
      <c r="A51" s="269"/>
      <c r="B51" s="269"/>
      <c r="C51" s="269"/>
      <c r="D51" s="269"/>
      <c r="E51" s="269"/>
    </row>
    <row r="52" spans="1:5" ht="59.25" customHeight="1" x14ac:dyDescent="0.25">
      <c r="A52" s="269" t="str">
        <f>""&amp;malumot!B157&amp;" mikromoliya tashkilotining Kredit qo‘mitasi a’zolari "&amp;malumot!B157&amp;"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69"/>
      <c r="C52" s="269"/>
      <c r="D52" s="269"/>
      <c r="E52" s="269"/>
    </row>
    <row r="53" spans="1:5" x14ac:dyDescent="0.25">
      <c r="A53" s="246" t="s">
        <v>404</v>
      </c>
      <c r="B53" s="301"/>
      <c r="C53" s="301"/>
      <c r="D53" s="19"/>
      <c r="E53" s="19"/>
    </row>
    <row r="54" spans="1:5" x14ac:dyDescent="0.25">
      <c r="C54" s="37"/>
    </row>
    <row r="55" spans="1:5" x14ac:dyDescent="0.25">
      <c r="A55" s="385" t="str">
        <f>malumot!A160</f>
        <v>Navoiy  filiali boshlig'i</v>
      </c>
      <c r="B55" s="37"/>
      <c r="C55" s="37"/>
      <c r="D55" s="37" t="str">
        <f>malumot!B160</f>
        <v>T.Rustamov</v>
      </c>
    </row>
    <row r="56" spans="1:5" x14ac:dyDescent="0.25">
      <c r="A56" s="385"/>
      <c r="B56" s="37"/>
      <c r="C56" s="37"/>
      <c r="D56" s="37"/>
    </row>
    <row r="57" spans="1:5" x14ac:dyDescent="0.25">
      <c r="A57" s="385"/>
      <c r="B57" s="247"/>
      <c r="C57" s="37"/>
      <c r="D57" s="37"/>
    </row>
    <row r="58" spans="1:5" x14ac:dyDescent="0.25">
      <c r="A58" s="385"/>
      <c r="B58" s="37"/>
      <c r="C58" s="37"/>
      <c r="D58" s="37"/>
    </row>
    <row r="59" spans="1:5" ht="29.25" x14ac:dyDescent="0.25">
      <c r="A59" s="385" t="str">
        <f>malumot!A169</f>
        <v>Kreditlash bo’limi boshlig’i</v>
      </c>
      <c r="B59" s="37"/>
      <c r="C59" s="37"/>
      <c r="D59" s="37" t="str">
        <f>malumot!B169</f>
        <v>B. Mominov</v>
      </c>
    </row>
    <row r="60" spans="1:5" x14ac:dyDescent="0.25">
      <c r="A60" s="385"/>
      <c r="B60" s="37"/>
      <c r="C60" s="37"/>
      <c r="D60" s="37"/>
    </row>
    <row r="61" spans="1:5" x14ac:dyDescent="0.25">
      <c r="A61" s="385"/>
      <c r="B61" s="37"/>
      <c r="C61" s="37"/>
      <c r="D61" s="37"/>
    </row>
    <row r="62" spans="1:5" x14ac:dyDescent="0.25">
      <c r="A62" s="385"/>
      <c r="B62" s="37"/>
      <c r="C62" s="37"/>
      <c r="D62" s="37"/>
    </row>
    <row r="63" spans="1:5" ht="29.25" x14ac:dyDescent="0.25">
      <c r="A63" s="385" t="str">
        <f>malumot!A170</f>
        <v>Monitoring bo’limi boshlig’i</v>
      </c>
      <c r="B63" s="37"/>
      <c r="C63" s="37"/>
      <c r="D63" s="37" t="str">
        <f>malumot!B170</f>
        <v>B. Jumanazarov</v>
      </c>
    </row>
    <row r="64" spans="1:5" x14ac:dyDescent="0.25">
      <c r="A64" s="385"/>
      <c r="B64" s="37"/>
      <c r="C64" s="37"/>
      <c r="D64" s="37"/>
    </row>
    <row r="65" spans="1:4" x14ac:dyDescent="0.25">
      <c r="A65" s="385"/>
      <c r="B65" s="37"/>
      <c r="C65" s="37"/>
      <c r="D65" s="37"/>
    </row>
    <row r="66" spans="1:4" x14ac:dyDescent="0.25">
      <c r="A66" s="385"/>
      <c r="B66" s="37"/>
      <c r="C66" s="37"/>
      <c r="D66" s="37"/>
    </row>
    <row r="67" spans="1:4" x14ac:dyDescent="0.25">
      <c r="A67" s="247" t="s">
        <v>441</v>
      </c>
      <c r="B67" s="37"/>
      <c r="C67" s="37"/>
      <c r="D67" s="37" t="s">
        <v>399</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2:F62"/>
  <sheetViews>
    <sheetView view="pageBreakPreview" topLeftCell="A45" zoomScale="115" zoomScaleNormal="100" zoomScaleSheetLayoutView="115" workbookViewId="0">
      <selection activeCell="D52" sqref="D52"/>
    </sheetView>
  </sheetViews>
  <sheetFormatPr defaultColWidth="9.140625" defaultRowHeight="15" outlineLevelRow="1" x14ac:dyDescent="0.25"/>
  <cols>
    <col min="1" max="1" width="28.42578125" style="15" customWidth="1"/>
    <col min="2" max="2" width="22.85546875" style="15" customWidth="1"/>
    <col min="3" max="3" width="22.42578125" style="15" customWidth="1"/>
    <col min="4" max="4" width="21.42578125" style="15" customWidth="1"/>
    <col min="5" max="5" width="21.5703125" style="15" customWidth="1"/>
    <col min="6" max="16384" width="9.140625" style="15"/>
  </cols>
  <sheetData>
    <row r="2" spans="1:5" ht="37.5" customHeight="1" x14ac:dyDescent="0.25">
      <c r="A2" s="290" t="str">
        <f>"GAROV PREDMETI QIYMATINI KELISHISH 
№"&amp;malumot!B148&amp;" SONLI DALOLATNOMASI
 "</f>
        <v xml:space="preserve">GAROV PREDMETI QIYMATINI KELISHISH 
№1 SONLI DALOLATNOMASI
 </v>
      </c>
      <c r="B2" s="290"/>
      <c r="C2" s="290"/>
      <c r="D2" s="290"/>
      <c r="E2" s="290"/>
    </row>
    <row r="3" spans="1:5" x14ac:dyDescent="0.25">
      <c r="A3" s="40"/>
      <c r="B3" s="40"/>
      <c r="C3" s="40"/>
      <c r="D3" s="40"/>
      <c r="E3" s="40"/>
    </row>
    <row r="4" spans="1:5" x14ac:dyDescent="0.25">
      <c r="A4" s="37" t="s">
        <v>207</v>
      </c>
      <c r="B4" s="37"/>
      <c r="C4" s="37"/>
      <c r="D4" s="37"/>
      <c r="E4" s="37" t="str">
        <f>malumot!B149</f>
        <v>27 mart 2025 y.</v>
      </c>
    </row>
    <row r="5" spans="1:5" ht="9" customHeight="1" x14ac:dyDescent="0.25">
      <c r="A5" s="269"/>
      <c r="B5" s="269"/>
      <c r="C5" s="269"/>
      <c r="D5" s="269"/>
      <c r="E5" s="269"/>
    </row>
    <row r="6" spans="1:5" ht="77.25" customHeight="1" x14ac:dyDescent="0.25">
      <c r="A6" s="269" t="str">
        <f>IF(malumot!B110="avtotransport",dalolatnoma!A10:E10,dalolatnoma!A7:E7)</f>
        <v>«CLEVER MIKROMOLIYA TASHKILOTI» MChJning (1-tomon) vakili bo‘lgan  Navoiy  filiali boshlig'i T.Rustamov, O‘zbekiston Respublikasi fuqarosi va garovga beruvchi UMAROV YO'LDOSHBOY AVALBEKOVICH (2-tomon) o’rtalarida, 27 mart 2025 y.dan №680-NVS-sonli Mikroqarz shartnomasiga muvofiq 1-tomon 2-tomonga berilgan mikroqarz bo‘yicha ta’minot sifatida taqdim etilgan, 2-tomonga mulk huquqi asosida tegishli bo‘lgan mulkning garov qiymatini kelishish muzokaralari o’tkazildi.</v>
      </c>
      <c r="B6" s="269"/>
      <c r="C6" s="269"/>
      <c r="D6" s="269"/>
      <c r="E6" s="269"/>
    </row>
    <row r="7" spans="1:5" ht="88.5" hidden="1" customHeight="1" x14ac:dyDescent="0.25">
      <c r="A7" s="269" t="str">
        <f>IF(malumot!B100="ha",dalolatnoma!A9:E9,dalolatnoma!A8:E8)</f>
        <v xml:space="preserve">«CLEVER MIKROMOLIYA TASHKILOTI» MChJning (1-tomon) vakili bo‘lgan  Navoiy  filiali boshlig'i T.Rustamov, va O‘zbekiston Respublikasi fuqarosi  UMAROV YO'LDOSHBOY AVALBEKOVICH (2-tomon) va garov egasi UMAROV YO'LDOSHBOY AVALBEKOVICH (3-tomon) 27 mart 2025 y.dan №680-NVS Mikroqarz shartnomasiga muvofiq 1-tomon 2-tomonga berilgan mikroqarz bo‘yicha ta’minot sifatida taqdim etilgan, 2-tomonga mulk huquqi asosida tegishli bo‘lgan mulkning garov qiymatini kelishish muzokaralari o’tkazildi. </v>
      </c>
      <c r="B7" s="269"/>
      <c r="C7" s="269"/>
      <c r="D7" s="269"/>
      <c r="E7" s="269"/>
    </row>
    <row r="8" spans="1:5" ht="88.5" hidden="1" customHeight="1" x14ac:dyDescent="0.25">
      <c r="A8" s="269"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Navoiy  filiali boshlig'i T.Rustamov, va O‘zbekiston Respublikasi fuqarosi  UMAROV YO'LDOSHBOY AVALBEKOVICH (2-tomon) va garov egasi UMAROV YO'LDOSHBOY AVALBEKOVICH (3-tomon) 27 mart 2025 y.dan №680-NVS Mikroqarz shartnomasiga muvofiq 1-tomon 2-tomonga berilgan mikroqarz bo‘yicha ta’minot sifatida taqdim etilgan, 2-tomonga mulk huquqi asosida tegishli bo‘lgan mulkning garov qiymatini kelishish muzokaralari o’tkazildi. </v>
      </c>
      <c r="B8" s="269"/>
      <c r="C8" s="269"/>
      <c r="D8" s="269"/>
      <c r="E8" s="269"/>
    </row>
    <row r="9" spans="1:5" ht="88.5" hidden="1" customHeight="1" x14ac:dyDescent="0.25">
      <c r="A9" s="269"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Navoiy  filiali boshlig'i T.Rustamov, va O‘zbekiston Respublikasi fuqarosi  UMAROV YO'LDOSHBOY AVALBEKOVICH (2-tomon) va garov egasi UMAROV YO'LDOSHBOY AVALBEKOVICH (3-tomon) 27 mart 2025 y.dan №680-NVS Mikroqarz shartnomasiga muvofiq 1-tomon 2-tomonga berilgan mikroqarz bo‘yicha ta’minot sifatida taqdim etilgan, 2-tomonga mulk huquqi asosida tegishli bo‘lgan mulkning garov qiymatini kelishish muzokaralari o’tkazildi. </v>
      </c>
      <c r="B9" s="269"/>
      <c r="C9" s="269"/>
      <c r="D9" s="269"/>
      <c r="E9" s="269"/>
    </row>
    <row r="10" spans="1:5" ht="88.5" hidden="1" customHeight="1" x14ac:dyDescent="0.25">
      <c r="A10" s="269" t="str">
        <f>IF(malumot!B100="ha",dalolatnoma!A12:E12,dalolatnoma!A11:E11)</f>
        <v>«CLEVER MIKROMOLIYA TASHKILOTI» MChJning (1-tomon) vakili bo‘lgan  Navoiy  filiali boshlig'i T.Rustamov, O‘zbekiston Respublikasi fuqarosi va garovga beruvchi UMAROV YO'LDOSHBOY AVALBEKOVICH (2-tomon) o’rtalarida, 27 mart 2025 y.dan №680-NVS-sonli Mikroqarz shartnomasiga muvofiq 1-tomon 2-tomonga berilgan mikroqarz bo‘yicha ta’minot sifatida taqdim etilgan, 2-tomonga mulk huquqi asosida tegishli bo‘lgan mulkning garov qiymatini kelishish muzokaralari o’tkazildi.</v>
      </c>
      <c r="B10" s="269"/>
      <c r="C10" s="269"/>
      <c r="D10" s="269"/>
      <c r="E10" s="269"/>
    </row>
    <row r="11" spans="1:5" ht="88.5" hidden="1" customHeight="1" x14ac:dyDescent="0.25">
      <c r="A11" s="269" t="str">
        <f>""&amp;malumot!B157&amp;"ning (1-tomon) vakili bo‘lgan  "&amp;malumot!A160&amp;" "&amp;malumot!B160&amp;",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Navoiy  filiali boshlig'i T.Rustamov, O‘zbekiston Respublikasi fuqarosi UMAROV YO'LDOSHBOY AVALBEKOVICH (2-tomon) va garovga beruvchi O‘zbekiston Respublikasi fuqarosi UMAROV YO'LDOSHBOY AVALBEKOVICH (3-tomon) o’rtalarida, 27 mart 2025 y.dan №680-NVS-sonli Mikroqarz shartnomasiga muvofiq 1-tomon 2-tomonga berilgan mikroqarz bo‘yicha ta’minot sifatida taqdim etilgan, 3-tomonga mulk huquqi asosida tegishli bo‘lgan mulkning garov qiymatini kelishish muzokaralari o’tkazildi.</v>
      </c>
      <c r="B11" s="269"/>
      <c r="C11" s="269"/>
      <c r="D11" s="269"/>
      <c r="E11" s="269"/>
    </row>
    <row r="12" spans="1:5" ht="88.5" hidden="1" customHeight="1" x14ac:dyDescent="0.25">
      <c r="A12" s="269" t="str">
        <f>""&amp;malumot!B157&amp;"ning (1-tomon) vakili bo‘lgan  "&amp;malumot!A160&amp;" "&amp;malumot!B160&amp;",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Navoiy  filiali boshlig'i T.Rustamov, O‘zbekiston Respublikasi fuqarosi va garovga beruvchi UMAROV YO'LDOSHBOY AVALBEKOVICH (2-tomon) o’rtalarida, 27 mart 2025 y.dan №680-NVS-sonli Mikroqarz shartnomasiga muvofiq 1-tomon 2-tomonga berilgan mikroqarz bo‘yicha ta’minot sifatida taqdim etilgan, 2-tomonga mulk huquqi asosida tegishli bo‘lgan mulkning garov qiymatini kelishish muzokaralari o’tkazildi.</v>
      </c>
      <c r="B12" s="269"/>
      <c r="C12" s="269"/>
      <c r="D12" s="269"/>
      <c r="E12" s="269"/>
    </row>
    <row r="13" spans="1:5" ht="88.5" hidden="1" customHeight="1" x14ac:dyDescent="0.25">
      <c r="A13" s="269" t="str">
        <f>"Garov predmeti sifatida "&amp;malumot!B132&amp;", 3-tomonga egalik huquqi tegishli bo'lgan, quyidagi tafsilotlarga ega avtotransport vositasi taqdim etiladi:"</f>
        <v>Garov predmeti sifatida CHEVROLET LACETTI SX, 3-tomonga egalik huquqi tegishli bo'lgan, quyidagi tafsilotlarga ega avtotransport vositasi taqdim etiladi:</v>
      </c>
      <c r="B13" s="269"/>
      <c r="C13" s="269"/>
      <c r="D13" s="269"/>
      <c r="E13" s="269"/>
    </row>
    <row r="14" spans="1:5" ht="88.5" hidden="1" customHeight="1" x14ac:dyDescent="0.25">
      <c r="A14" s="269" t="str">
        <f>"Garov predmeti sifatida "&amp;malumot!B132&amp;", 2-tomonga egalik huquqi tegishli bo'lgan, quyidagi tafsilotlarga ega avtotransport vositasi taqdim etiladi:"</f>
        <v>Garov predmeti sifatida CHEVROLET LACETTI SX, 2-tomonga egalik huquqi tegishli bo'lgan, quyidagi tafsilotlarga ega avtotransport vositasi taqdim etiladi:</v>
      </c>
      <c r="B14" s="269"/>
      <c r="C14" s="269"/>
      <c r="D14" s="269"/>
      <c r="E14" s="269"/>
    </row>
    <row r="15" spans="1:5" ht="88.5" hidden="1" customHeight="1" x14ac:dyDescent="0.25">
      <c r="A15" s="269" t="str">
        <f>IF(malumot!B100="ha",dalolatnoma!A14:E14,dalolatnoma!A13:E13)</f>
        <v>Garov predmeti sifatida CHEVROLET LACETTI SX, 2-tomonga egalik huquqi tegishli bo'lgan, quyidagi tafsilotlarga ega avtotransport vositasi taqdim etiladi:</v>
      </c>
      <c r="B15" s="269"/>
      <c r="C15" s="269"/>
      <c r="D15" s="269"/>
      <c r="E15" s="269"/>
    </row>
    <row r="16" spans="1:5" ht="88.5" hidden="1" customHeight="1" x14ac:dyDescent="0.25">
      <c r="A16" s="269" t="str">
        <f>"Garov predmeti sifatida "&amp;malumot!C133&amp;", 2-tomonga egalik huquqi tegishli bo'lgan, quyidagi tafsilotlarga ega ko'chmas mulk taqdim etiladi:"</f>
        <v>Garov predmeti sifatida  0, 2-tomonga egalik huquqi tegishli bo'lgan, quyidagi tafsilotlarga ega ko'chmas mulk taqdim etiladi:</v>
      </c>
      <c r="B16" s="269"/>
      <c r="C16" s="269"/>
      <c r="D16" s="269"/>
      <c r="E16" s="269"/>
    </row>
    <row r="17" spans="1:5" ht="13.5" hidden="1" customHeight="1" x14ac:dyDescent="0.25">
      <c r="A17" s="269" t="str">
        <f>"Garov predmeti sifatida "&amp;malumot!C133&amp;", 3-tomonga egalik huquqi tegishli bo'lgan, quyidagi tafsilotlarga ega ko'chmas mulk taqdim etiladi:"</f>
        <v>Garov predmeti sifatida  0, 3-tomonga egalik huquqi tegishli bo'lgan, quyidagi tafsilotlarga ega ko'chmas mulk taqdim etiladi:</v>
      </c>
      <c r="B17" s="269"/>
      <c r="C17" s="269"/>
      <c r="D17" s="269"/>
      <c r="E17" s="269"/>
    </row>
    <row r="18" spans="1:5" ht="11.25" hidden="1" customHeight="1" x14ac:dyDescent="0.25">
      <c r="A18" s="269" t="str">
        <f>IF(malumot!B100="ha",dalolatnoma!A16:E16,dalolatnoma!A17:E17)</f>
        <v>Garov predmeti sifatida  0, 2-tomonga egalik huquqi tegishli bo'lgan, quyidagi tafsilotlarga ega ko'chmas mulk taqdim etiladi:</v>
      </c>
      <c r="B18" s="269"/>
      <c r="C18" s="269"/>
      <c r="D18" s="269"/>
      <c r="E18" s="269"/>
    </row>
    <row r="19" spans="1:5" ht="36.75" customHeight="1" x14ac:dyDescent="0.25">
      <c r="A19" s="269" t="str">
        <f>IF(malumot!B110="Avtotransport",dalolatnoma!A15:E15,dalolatnoma!A18:E18)</f>
        <v>Garov predmeti sifatida CHEVROLET LACETTI SX, 2-tomonga egalik huquqi tegishli bo'lgan, quyidagi tafsilotlarga ega avtotransport vositasi taqdim etiladi:</v>
      </c>
      <c r="B19" s="269"/>
      <c r="C19" s="269"/>
      <c r="D19" s="269"/>
      <c r="E19" s="269"/>
    </row>
    <row r="20" spans="1:5" ht="48" customHeight="1" outlineLevel="1" x14ac:dyDescent="0.25">
      <c r="A20" s="39" t="s">
        <v>205</v>
      </c>
      <c r="B20" s="307" t="str">
        <f>IF(malumot!B110=malumot!C110,"Kuzov turi  va kuzov raqami*","Foydali maydoni")</f>
        <v>Kuzov turi  va kuzov raqami*</v>
      </c>
      <c r="C20" s="308"/>
      <c r="D20" s="39" t="str">
        <f>IF(malumot!B110=malumot!C110,"Dvigatel va shassi raqami*","Yashash maydoni")</f>
        <v>Dvigatel va shassi raqami*</v>
      </c>
      <c r="E20" s="39" t="str">
        <f>IF(malumot!B110=malumot!C110,"Ishlab chiqarilgan yili va rangi**","Umumiy maydoni")</f>
        <v>Ishlab chiqarilgan yili va rangi**</v>
      </c>
    </row>
    <row r="21" spans="1:5" ht="83.25" customHeight="1" outlineLevel="1" x14ac:dyDescent="0.25">
      <c r="A21" s="17" t="str">
        <f>IF(malumot!B110=malumot!C110,malumot!B132,malumot!C132)</f>
        <v>CHEVROLET LACETTI SX</v>
      </c>
      <c r="B21" s="292" t="str">
        <f>IF(malumot!B110=malumot!C110,malumot!B134,CONCATENATE(malumot!F137," ","kv.m"))</f>
        <v>kuzov turi - YENGIL SEDAN, kuzov raqami XWB5M31BDAA036806</v>
      </c>
      <c r="C21" s="292"/>
      <c r="D21" s="17" t="str">
        <f>IF(malumot!B110=malumot!C110,malumot!B137,malumot!E140)</f>
        <v>dvigatel raqami F18D31900191, shassi raqami - Rakamsiz</v>
      </c>
      <c r="E21" s="17" t="str">
        <f>IF(malumot!B110=malumot!C110,malumot!B140,malumot!E137)</f>
        <v>rangi -  OQ BELIY, ishlab chiqarilgan yili - 2010</v>
      </c>
    </row>
    <row r="22" spans="1:5" ht="17.25" customHeight="1" outlineLevel="1" x14ac:dyDescent="0.25">
      <c r="A22" s="269" t="str">
        <f>"-* "&amp;IF(malumot!B110=malumot!C110,"avtotransport "&amp;"egasi: "&amp;malumot!B124&amp;"","ko'chmas mulk"&amp;" egasi: "&amp;malumot!B124&amp;"")</f>
        <v>-* avtotransport egasi: UMAROV YO'LDOSHBOY AVALBEKOVICH</v>
      </c>
      <c r="B22" s="269"/>
      <c r="C22" s="269"/>
      <c r="D22" s="269"/>
      <c r="E22" s="269"/>
    </row>
    <row r="23" spans="1:5" outlineLevel="1" x14ac:dyDescent="0.25">
      <c r="A23" s="269" t="str">
        <f>IF(malumot!B110=malumot!C110,"-* texnik pasport: "&amp;malumot!B131&amp;"","-* reest raqami: "&amp;malumot!C131&amp;"")</f>
        <v>-* texnik pasport: AAG5907774    27.03.2025</v>
      </c>
      <c r="B23" s="269"/>
      <c r="C23" s="269"/>
      <c r="D23" s="269"/>
      <c r="E23" s="269"/>
    </row>
    <row r="24" spans="1:5" s="180" customFormat="1" outlineLevel="1" x14ac:dyDescent="0.25">
      <c r="A24" s="269" t="str">
        <f>IF(malumot!B110=malumot!C110,"-* roʻyxatdan oʻtgan manzili/garaj manzili: "&amp;malumot!B129&amp;"","-*  kadastr raqami: "&amp;malumot!C134&amp;"")</f>
        <v>-* roʻyxatdan oʻtgan manzili/garaj manzili: NAVOIY VILOYATI NUROTA TUMANI TEMIRKOVUK MFY YOSHLIK KO'CHASI 67-UY</v>
      </c>
      <c r="B24" s="269"/>
      <c r="C24" s="269"/>
      <c r="D24" s="269"/>
      <c r="E24" s="269"/>
    </row>
    <row r="25" spans="1:5" ht="33" customHeight="1" outlineLevel="1" x14ac:dyDescent="0.25">
      <c r="A25" s="269" t="str">
        <f>IF(malumot!B110=malumot!C110,"-* davlat raqami: "&amp;malumot!B133&amp;"","-* manzili: "&amp;malumot!C130&amp;"")</f>
        <v>-* davlat raqami: 85B103PA</v>
      </c>
      <c r="B25" s="269"/>
      <c r="C25" s="269"/>
      <c r="D25" s="269"/>
      <c r="E25" s="269"/>
    </row>
    <row r="26" spans="1:5" ht="65.25" customHeight="1" x14ac:dyDescent="0.25">
      <c r="A26" s="269" t="str">
        <f>IF(malumot!B100="ha",dalolatnoma!A28:E28,dalolatnoma!A27:E27)</f>
        <v>Tomonlar o’rtasida o’tkazilgan muzokaralar natijalariga ko‘ra, 2-tomon ta’minot sifatida quyidagi tafsilotlarga ega bo’lgan garov predmetini taqdim etadi, 1-tomon esa ushbu garov predmetini  27 mart 2025 y.dan №680-NVS Mikroqarz shartnomasi bo‘yicha berilgan mikroqarz bo‘yicha  
45 000 000,00 (qirq besh million so'm) so’m bo‘lgan kelishilgan garov qiymatida qabul qiladi::</v>
      </c>
      <c r="B26" s="269"/>
      <c r="C26" s="269"/>
      <c r="D26" s="269"/>
      <c r="E26" s="269"/>
    </row>
    <row r="27" spans="1:5" ht="66" customHeight="1" x14ac:dyDescent="0.25">
      <c r="A27" s="269"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27 mart 2025 y.dan №680-NVS mikroqarz shartnomasi bo‘yicha berilgan mikroqarz bo‘yicha  
45 000 000,00 (qirq besh million so'm) so’m bo‘lgan kelishilgan garov qiymatida qabul qiladi::</v>
      </c>
      <c r="B27" s="269"/>
      <c r="C27" s="269"/>
      <c r="D27" s="269"/>
      <c r="E27" s="269"/>
    </row>
    <row r="28" spans="1:5" ht="58.5" customHeight="1" x14ac:dyDescent="0.25">
      <c r="A28" s="269"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27 mart 2025 y.dan №680-NVS Mikroqarz shartnomasi bo‘yicha berilgan mikroqarz bo‘yicha  
45 000 000,00 (qirq besh million so'm) so’m bo‘lgan kelishilgan garov qiymatida qabul qiladi::</v>
      </c>
      <c r="B28" s="269"/>
      <c r="C28" s="269"/>
      <c r="D28" s="269"/>
      <c r="E28" s="269"/>
    </row>
    <row r="29" spans="1:5" ht="51.75" customHeight="1" outlineLevel="1" x14ac:dyDescent="0.25">
      <c r="A29" s="39" t="s">
        <v>205</v>
      </c>
      <c r="B29" s="39" t="str">
        <f>B20</f>
        <v>Kuzov turi  va kuzov raqami*</v>
      </c>
      <c r="C29" s="39" t="str">
        <f>D20</f>
        <v>Dvigatel va shassi raqami*</v>
      </c>
      <c r="D29" s="39" t="str">
        <f>IF(malumot!B110=malumot!C110,"Ishlab chiqarilgan yili va rangi*","Foydalanishga topshirilgan sanasi")</f>
        <v>Ishlab chiqarilgan yili va rangi*</v>
      </c>
      <c r="E29" s="39" t="s">
        <v>206</v>
      </c>
    </row>
    <row r="30" spans="1:5" ht="76.5" customHeight="1" outlineLevel="1" x14ac:dyDescent="0.25">
      <c r="A30" s="17" t="str">
        <f>A21</f>
        <v>CHEVROLET LACETTI SX</v>
      </c>
      <c r="B30" s="17" t="str">
        <f>B21</f>
        <v>kuzov turi - YENGIL SEDAN, kuzov raqami XWB5M31BDAA036806</v>
      </c>
      <c r="C30" s="17" t="str">
        <f>D21</f>
        <v>dvigatel raqami F18D31900191, shassi raqami - Rakamsiz</v>
      </c>
      <c r="D30" s="17" t="str">
        <f>IF(malumot!B110=malumot!C110,E21,TEXT(malumot!C142,"ДД.ММ.ГГГГ"))</f>
        <v>rangi -  OQ BELIY, ishlab chiqarilgan yili - 2010</v>
      </c>
      <c r="E30" s="17" t="str">
        <f>""&amp;FIXED(malumot!B143,2)&amp;" 
("&amp;malumot!B144&amp;")"</f>
        <v>45 000 000,00 
(qirq besh million so'm)</v>
      </c>
    </row>
    <row r="31" spans="1:5" ht="16.5" customHeight="1" x14ac:dyDescent="0.25">
      <c r="A31" s="16"/>
      <c r="B31" s="16"/>
      <c r="C31" s="16"/>
      <c r="D31" s="16"/>
      <c r="E31" s="16"/>
    </row>
    <row r="32" spans="1:5" ht="56.25" hidden="1" customHeight="1" outlineLevel="1" x14ac:dyDescent="0.25">
      <c r="A32" s="39" t="s">
        <v>5</v>
      </c>
      <c r="B32" s="39" t="s">
        <v>19</v>
      </c>
      <c r="C32" s="39" t="s">
        <v>20</v>
      </c>
      <c r="D32" s="39" t="s">
        <v>21</v>
      </c>
      <c r="E32" s="39" t="s">
        <v>6</v>
      </c>
    </row>
    <row r="33" spans="1:5" ht="15.75" hidden="1" customHeight="1" outlineLevel="1" x14ac:dyDescent="0.25">
      <c r="A33" s="17" t="e">
        <f>#REF!</f>
        <v>#REF!</v>
      </c>
      <c r="B33" s="116" t="e">
        <f>#REF!</f>
        <v>#REF!</v>
      </c>
      <c r="C33" s="116" t="e">
        <f>#REF!</f>
        <v>#REF!</v>
      </c>
      <c r="D33" s="116" t="e">
        <f>#REF!</f>
        <v>#REF!</v>
      </c>
      <c r="E33" s="302" t="str">
        <f>""&amp;FIXED(malumot!C143,2)&amp;" ("&amp;malumot!B144&amp;")"</f>
        <v>45 000 000,00 (qirq besh million so'm)</v>
      </c>
    </row>
    <row r="34" spans="1:5" ht="15.75" hidden="1" customHeight="1" outlineLevel="1" x14ac:dyDescent="0.25">
      <c r="A34" s="17"/>
      <c r="B34" s="116"/>
      <c r="C34" s="116"/>
      <c r="D34" s="116"/>
      <c r="E34" s="303"/>
    </row>
    <row r="35" spans="1:5" ht="15.75" hidden="1" customHeight="1" outlineLevel="1" x14ac:dyDescent="0.25">
      <c r="A35" s="17" t="e">
        <f>#REF!</f>
        <v>#REF!</v>
      </c>
      <c r="B35" s="116" t="e">
        <f>#REF!</f>
        <v>#REF!</v>
      </c>
      <c r="C35" s="116" t="e">
        <f>#REF!</f>
        <v>#REF!</v>
      </c>
      <c r="D35" s="116" t="e">
        <f>#REF!</f>
        <v>#REF!</v>
      </c>
      <c r="E35" s="303"/>
    </row>
    <row r="36" spans="1:5" ht="15.75" hidden="1" customHeight="1" outlineLevel="1" x14ac:dyDescent="0.25">
      <c r="A36" s="17" t="e">
        <f>#REF!</f>
        <v>#REF!</v>
      </c>
      <c r="B36" s="116" t="e">
        <f>#REF!</f>
        <v>#REF!</v>
      </c>
      <c r="C36" s="116" t="e">
        <f>#REF!</f>
        <v>#REF!</v>
      </c>
      <c r="D36" s="116" t="e">
        <f>#REF!</f>
        <v>#REF!</v>
      </c>
      <c r="E36" s="303"/>
    </row>
    <row r="37" spans="1:5" ht="15.75" hidden="1" customHeight="1" outlineLevel="1" x14ac:dyDescent="0.25">
      <c r="A37" s="17" t="e">
        <f>#REF!</f>
        <v>#REF!</v>
      </c>
      <c r="B37" s="116" t="e">
        <f>#REF!</f>
        <v>#REF!</v>
      </c>
      <c r="C37" s="116" t="e">
        <f>#REF!</f>
        <v>#REF!</v>
      </c>
      <c r="D37" s="116" t="e">
        <f>#REF!</f>
        <v>#REF!</v>
      </c>
      <c r="E37" s="303"/>
    </row>
    <row r="38" spans="1:5" ht="15.75" hidden="1" customHeight="1" outlineLevel="1" x14ac:dyDescent="0.25">
      <c r="A38" s="17" t="e">
        <f>#REF!</f>
        <v>#REF!</v>
      </c>
      <c r="B38" s="116" t="e">
        <f>#REF!</f>
        <v>#REF!</v>
      </c>
      <c r="C38" s="116" t="e">
        <f>#REF!</f>
        <v>#REF!</v>
      </c>
      <c r="D38" s="116" t="e">
        <f>#REF!</f>
        <v>#REF!</v>
      </c>
      <c r="E38" s="303"/>
    </row>
    <row r="39" spans="1:5" ht="15.75" hidden="1" customHeight="1" outlineLevel="1" x14ac:dyDescent="0.25">
      <c r="A39" s="17" t="e">
        <f>#REF!</f>
        <v>#REF!</v>
      </c>
      <c r="B39" s="116" t="e">
        <f>#REF!</f>
        <v>#REF!</v>
      </c>
      <c r="C39" s="116" t="e">
        <f>#REF!</f>
        <v>#REF!</v>
      </c>
      <c r="D39" s="116" t="e">
        <f>#REF!</f>
        <v>#REF!</v>
      </c>
      <c r="E39" s="303"/>
    </row>
    <row r="40" spans="1:5" ht="15.75" hidden="1" customHeight="1" outlineLevel="1" x14ac:dyDescent="0.25">
      <c r="A40" s="17" t="e">
        <f>#REF!</f>
        <v>#REF!</v>
      </c>
      <c r="B40" s="116" t="e">
        <f>#REF!</f>
        <v>#REF!</v>
      </c>
      <c r="C40" s="116" t="e">
        <f>#REF!</f>
        <v>#REF!</v>
      </c>
      <c r="D40" s="116" t="e">
        <f>#REF!</f>
        <v>#REF!</v>
      </c>
      <c r="E40" s="303"/>
    </row>
    <row r="41" spans="1:5" ht="15.75" hidden="1" customHeight="1" outlineLevel="1" x14ac:dyDescent="0.25">
      <c r="A41" s="17" t="e">
        <f>#REF!</f>
        <v>#REF!</v>
      </c>
      <c r="B41" s="116" t="e">
        <f>#REF!</f>
        <v>#REF!</v>
      </c>
      <c r="C41" s="116" t="e">
        <f>#REF!</f>
        <v>#REF!</v>
      </c>
      <c r="D41" s="116" t="e">
        <f>#REF!</f>
        <v>#REF!</v>
      </c>
      <c r="E41" s="303"/>
    </row>
    <row r="42" spans="1:5" ht="15.75" hidden="1" customHeight="1" outlineLevel="1" x14ac:dyDescent="0.25">
      <c r="A42" s="17" t="e">
        <f>#REF!</f>
        <v>#REF!</v>
      </c>
      <c r="B42" s="116" t="e">
        <f>#REF!</f>
        <v>#REF!</v>
      </c>
      <c r="C42" s="116" t="e">
        <f>#REF!</f>
        <v>#REF!</v>
      </c>
      <c r="D42" s="116" t="e">
        <f>#REF!</f>
        <v>#REF!</v>
      </c>
      <c r="E42" s="303"/>
    </row>
    <row r="43" spans="1:5" ht="15.75" hidden="1" customHeight="1" outlineLevel="1" x14ac:dyDescent="0.25">
      <c r="A43" s="17" t="e">
        <f>#REF!</f>
        <v>#REF!</v>
      </c>
      <c r="B43" s="17" t="e">
        <f>#REF!</f>
        <v>#REF!</v>
      </c>
      <c r="C43" s="17" t="e">
        <f>#REF!</f>
        <v>#REF!</v>
      </c>
      <c r="D43" s="17" t="e">
        <f>#REF!</f>
        <v>#REF!</v>
      </c>
      <c r="E43" s="304"/>
    </row>
    <row r="44" spans="1:5" s="37" customFormat="1" ht="15.75" hidden="1" customHeight="1" outlineLevel="1" x14ac:dyDescent="0.2">
      <c r="A44" s="39" t="e">
        <f>#REF!</f>
        <v>#REF!</v>
      </c>
      <c r="B44" s="39" t="e">
        <f>#REF!</f>
        <v>#REF!</v>
      </c>
      <c r="C44" s="39" t="e">
        <f>#REF!</f>
        <v>#REF!</v>
      </c>
      <c r="D44" s="39" t="e">
        <f>#REF!</f>
        <v>#REF!</v>
      </c>
      <c r="E44" s="39" t="str">
        <f>FIXED(malumot!C143,2)</f>
        <v>45 000 000,00</v>
      </c>
    </row>
    <row r="45" spans="1:5" ht="12.75" customHeight="1" collapsed="1" x14ac:dyDescent="0.25">
      <c r="A45" s="16"/>
      <c r="B45" s="16"/>
      <c r="C45" s="16"/>
      <c r="D45" s="16"/>
      <c r="E45" s="16"/>
    </row>
    <row r="46" spans="1:5" ht="93.75" hidden="1" customHeight="1" x14ac:dyDescent="0.25">
      <c r="A46" s="269"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69"/>
      <c r="C46" s="269"/>
      <c r="D46" s="269"/>
      <c r="E46" s="269"/>
    </row>
    <row r="47" spans="1:5" ht="42" customHeight="1" x14ac:dyDescent="0.25">
      <c r="A47" s="269" t="s">
        <v>209</v>
      </c>
      <c r="B47" s="269"/>
      <c r="C47" s="269"/>
      <c r="D47" s="269"/>
      <c r="E47" s="269"/>
    </row>
    <row r="48" spans="1:5" ht="35.25" customHeight="1" x14ac:dyDescent="0.25">
      <c r="A48" s="269" t="str">
        <f>"Shunday qilib, garov predmetining kelishilgan garov qiymati  "&amp;FIXED(malumot!B143)&amp;" ("&amp;malumot!B144&amp;") so‘mni tashkil etadi."</f>
        <v>Shunday qilib, garov predmetining kelishilgan garov qiymati  45 000 000,00 (qirq besh million so'm) so‘mni tashkil etadi.</v>
      </c>
      <c r="B48" s="269"/>
      <c r="C48" s="269"/>
      <c r="D48" s="269"/>
      <c r="E48" s="269"/>
    </row>
    <row r="49" spans="1:6" ht="35.25" hidden="1" customHeight="1" x14ac:dyDescent="0.25">
      <c r="A49" s="19"/>
      <c r="B49" s="19"/>
      <c r="C49" s="19"/>
      <c r="D49" s="19">
        <f>IF(malumot!B99=malumot!C99,malumot!C143,IF(malumot!B99=malumot!D99,'Данные для послед. Залога'!M22,0))</f>
        <v>45000000</v>
      </c>
      <c r="E49" s="19" t="str">
        <f>IF(malumot!B99=malumot!C99,malumot!B144,IF(malumot!B99=malumot!D99,'Данные для послед. Залога'!Q22,0))</f>
        <v>qirq besh million so'm</v>
      </c>
    </row>
    <row r="50" spans="1:6" x14ac:dyDescent="0.25">
      <c r="A50" s="301" t="s">
        <v>210</v>
      </c>
      <c r="B50" s="301"/>
      <c r="C50" s="301"/>
      <c r="D50" s="22"/>
      <c r="E50" s="22"/>
    </row>
    <row r="51" spans="1:6" x14ac:dyDescent="0.25">
      <c r="A51" s="301" t="str">
        <f>malumot!B158</f>
        <v>«CLEVER MIKROMOLIYA TASHKILOTI» MChJ</v>
      </c>
      <c r="B51" s="301"/>
      <c r="C51" s="301"/>
      <c r="D51" s="169"/>
      <c r="E51" s="169"/>
    </row>
    <row r="52" spans="1:6" ht="15" customHeight="1" x14ac:dyDescent="0.25">
      <c r="A52" s="301" t="str">
        <f>""&amp;malumot!A160&amp;""</f>
        <v>Navoiy  filiali boshlig'i</v>
      </c>
      <c r="B52" s="301"/>
      <c r="C52" s="301"/>
      <c r="D52" s="386"/>
      <c r="E52" s="386" t="str">
        <f>malumot!B160</f>
        <v>T.Rustamov</v>
      </c>
    </row>
    <row r="53" spans="1:6" x14ac:dyDescent="0.25">
      <c r="A53" s="56"/>
      <c r="B53" s="56"/>
      <c r="C53" s="56"/>
      <c r="D53" s="56"/>
      <c r="E53" s="56"/>
    </row>
    <row r="54" spans="1:6" x14ac:dyDescent="0.25">
      <c r="A54" s="301"/>
      <c r="B54" s="301"/>
      <c r="C54" s="301"/>
      <c r="D54" s="56"/>
      <c r="E54" s="56"/>
    </row>
    <row r="55" spans="1:6" hidden="1" x14ac:dyDescent="0.25">
      <c r="A55" s="267" t="s">
        <v>47</v>
      </c>
      <c r="B55" s="267"/>
      <c r="C55" s="267"/>
      <c r="D55" s="56"/>
      <c r="E55" s="56"/>
    </row>
    <row r="56" spans="1:6" hidden="1" x14ac:dyDescent="0.25">
      <c r="A56" s="267" t="str">
        <f>malumot!B158</f>
        <v>«CLEVER MIKROMOLIYA TASHKILOTI» MChJ</v>
      </c>
      <c r="B56" s="267"/>
      <c r="C56" s="267"/>
      <c r="D56" s="267" t="str">
        <f>"_______________   "&amp;malumot!B169&amp;""</f>
        <v>_______________   B. Mominov</v>
      </c>
      <c r="E56" s="267"/>
    </row>
    <row r="57" spans="1:6" ht="12.75" customHeight="1" x14ac:dyDescent="0.25">
      <c r="A57" s="267"/>
      <c r="B57" s="267"/>
      <c r="C57" s="267"/>
      <c r="D57" s="267"/>
      <c r="E57" s="267"/>
    </row>
    <row r="58" spans="1:6" x14ac:dyDescent="0.25">
      <c r="A58" s="301" t="s">
        <v>211</v>
      </c>
      <c r="B58" s="301"/>
      <c r="C58" s="301"/>
      <c r="D58" s="267"/>
      <c r="E58" s="267"/>
    </row>
    <row r="59" spans="1:6" ht="31.5" customHeight="1" x14ac:dyDescent="0.25">
      <c r="A59" s="267" t="s">
        <v>212</v>
      </c>
      <c r="B59" s="267"/>
      <c r="C59" s="267"/>
      <c r="D59" s="301" t="str">
        <f>"_______________  "&amp;malumot!B7&amp;""</f>
        <v>_______________  UMAROV Y.A.</v>
      </c>
      <c r="E59" s="301"/>
    </row>
    <row r="60" spans="1:6" ht="12.75" customHeight="1" x14ac:dyDescent="0.25">
      <c r="A60" s="267"/>
      <c r="B60" s="267"/>
      <c r="C60" s="267"/>
      <c r="D60" s="305" t="str">
        <f>IF(malumot!B100="да","",malumot!B125)</f>
        <v>UMAROV Y.A.</v>
      </c>
      <c r="E60" s="305"/>
    </row>
    <row r="61" spans="1:6" ht="17.25" customHeight="1" x14ac:dyDescent="0.25">
      <c r="A61" s="301" t="str">
        <f>+IF(malumot!B100="ha"," ","3-tomondan:")</f>
        <v xml:space="preserve"> </v>
      </c>
      <c r="B61" s="301"/>
      <c r="C61" s="301"/>
      <c r="D61" s="306"/>
      <c r="E61" s="306"/>
      <c r="F61" s="15" t="str">
        <f>IF(malumot!B101=malumot!D101,B7,"")</f>
        <v/>
      </c>
    </row>
    <row r="62" spans="1:6" ht="29.25" hidden="1" customHeight="1" x14ac:dyDescent="0.25">
      <c r="A62" s="267" t="str">
        <f>+IF(malumot!B100="ha"," ","O'zbekiston Respublikasi fuqarosi")</f>
        <v xml:space="preserve"> </v>
      </c>
      <c r="B62" s="267"/>
      <c r="C62" s="267"/>
      <c r="D62" s="301" t="str">
        <f>"_______________ "&amp;malumot!B103</f>
        <v xml:space="preserve">_______________ </v>
      </c>
      <c r="E62" s="301"/>
    </row>
  </sheetData>
  <mergeCells count="48">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A58:C58"/>
    <mergeCell ref="D58:E58"/>
    <mergeCell ref="A59:C59"/>
    <mergeCell ref="D59:E59"/>
    <mergeCell ref="A60:C60"/>
    <mergeCell ref="D60:E60"/>
    <mergeCell ref="A50:C50"/>
    <mergeCell ref="A51:C51"/>
    <mergeCell ref="A52:C52"/>
    <mergeCell ref="A46:E46"/>
    <mergeCell ref="A47:E47"/>
    <mergeCell ref="A54:C54"/>
    <mergeCell ref="A55:C55"/>
    <mergeCell ref="A57:C57"/>
    <mergeCell ref="D57:E57"/>
    <mergeCell ref="A56:C56"/>
    <mergeCell ref="D56:E56"/>
    <mergeCell ref="A28:E28"/>
    <mergeCell ref="A48:E48"/>
    <mergeCell ref="A2:E2"/>
    <mergeCell ref="A11:E11"/>
    <mergeCell ref="A12:E12"/>
    <mergeCell ref="A13:E13"/>
    <mergeCell ref="A10:E10"/>
    <mergeCell ref="A5:E5"/>
    <mergeCell ref="A6:E6"/>
    <mergeCell ref="A7:E7"/>
    <mergeCell ref="A8:E8"/>
    <mergeCell ref="A9:E9"/>
    <mergeCell ref="A26:E26"/>
    <mergeCell ref="A25:E25"/>
    <mergeCell ref="A27:E27"/>
    <mergeCell ref="E33:E4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pageSetUpPr fitToPage="1"/>
  </sheetPr>
  <dimension ref="A2:P64"/>
  <sheetViews>
    <sheetView view="pageBreakPreview" topLeftCell="A40" zoomScaleNormal="100" zoomScaleSheetLayoutView="100" workbookViewId="0">
      <selection activeCell="A59" sqref="A59:C59"/>
    </sheetView>
  </sheetViews>
  <sheetFormatPr defaultColWidth="9.140625" defaultRowHeight="15" outlineLevelCol="1" x14ac:dyDescent="0.25"/>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2" spans="1:16" x14ac:dyDescent="0.25">
      <c r="A2" s="37"/>
      <c r="B2" s="37"/>
      <c r="C2" s="37"/>
      <c r="D2" s="37"/>
      <c r="E2" s="289"/>
      <c r="F2" s="289"/>
      <c r="G2" s="20"/>
    </row>
    <row r="3" spans="1:16" ht="75" customHeight="1" x14ac:dyDescent="0.25">
      <c r="A3" s="37"/>
      <c r="B3" s="37"/>
      <c r="C3" s="37"/>
      <c r="D3" s="37"/>
      <c r="E3" s="309" t="str">
        <f>""&amp;malumot!B74&amp;" 
"&amp;malumot!B65&amp;" shartnomasiga 
1 sonli ilova"</f>
        <v>27 mart 2025 y.dan №680-NVS 
mikroqarz shartnomasiga 
1 sonli ilova</v>
      </c>
      <c r="F3" s="309"/>
      <c r="G3" s="20"/>
    </row>
    <row r="4" spans="1:16" x14ac:dyDescent="0.25">
      <c r="A4" s="37"/>
      <c r="B4" s="37"/>
      <c r="C4" s="37"/>
      <c r="D4" s="37"/>
      <c r="E4" s="37"/>
      <c r="F4" s="37"/>
    </row>
    <row r="5" spans="1:16" x14ac:dyDescent="0.25">
      <c r="A5" s="290" t="s">
        <v>263</v>
      </c>
      <c r="B5" s="290"/>
      <c r="C5" s="290"/>
      <c r="D5" s="290"/>
      <c r="E5" s="290"/>
      <c r="F5" s="290"/>
    </row>
    <row r="7" spans="1:16" ht="15" customHeight="1" x14ac:dyDescent="0.25">
      <c r="A7" s="291" t="s">
        <v>15</v>
      </c>
      <c r="B7" s="292" t="s">
        <v>264</v>
      </c>
      <c r="C7" s="292" t="s">
        <v>265</v>
      </c>
      <c r="D7" s="293" t="s">
        <v>266</v>
      </c>
      <c r="E7" s="293"/>
      <c r="F7" s="293"/>
    </row>
    <row r="8" spans="1:16" s="16" customFormat="1" x14ac:dyDescent="0.25">
      <c r="A8" s="291"/>
      <c r="B8" s="292"/>
      <c r="C8" s="292"/>
      <c r="D8" s="17" t="s">
        <v>267</v>
      </c>
      <c r="E8" s="17" t="s">
        <v>268</v>
      </c>
      <c r="F8" s="17" t="s">
        <v>269</v>
      </c>
    </row>
    <row r="9" spans="1:16" x14ac:dyDescent="0.25">
      <c r="A9" s="18">
        <v>1</v>
      </c>
      <c r="B9" s="33">
        <f>'График аннуитет.'!B8</f>
        <v>45762</v>
      </c>
      <c r="C9" s="34">
        <f>IF(malumot!$B$78=malumot!$C$78,'График дифференц'!C8,IF(malumot!$B$78=malumot!$D$78,'График аннуитет.'!C8))</f>
        <v>40000000</v>
      </c>
      <c r="D9" s="34">
        <f>IF(malumot!$B$78=malumot!$C$78,'График дифференц'!D8,IF(malumot!$B$78=malumot!$D$78,'График аннуитет.'!D8))</f>
        <v>1111111.1100000001</v>
      </c>
      <c r="E9" s="34">
        <f>IF(malumot!$B$78=malumot!$C$78,'График дифференц'!E8,IF(malumot!$B$78=malumot!$D$78,'График аннуитет.'!E8))</f>
        <v>1249314.98</v>
      </c>
      <c r="F9" s="34">
        <f>IF(malumot!$B$78=malumot!$C$78,'График дифференц'!F8,IF(malumot!$B$78=malumot!$D$78,'График аннуитет.'!F8))</f>
        <v>2360426.09</v>
      </c>
    </row>
    <row r="10" spans="1:16" x14ac:dyDescent="0.25">
      <c r="A10" s="18">
        <v>2</v>
      </c>
      <c r="B10" s="33">
        <f>'График аннуитет.'!B9</f>
        <v>45792</v>
      </c>
      <c r="C10" s="34">
        <f>IF(malumot!$B$78=malumot!$C$78,'График дифференц'!C9,IF(malumot!$B$78=malumot!$D$78,'График аннуитет.'!C9))</f>
        <v>38888888.890000001</v>
      </c>
      <c r="D10" s="34">
        <f>IF(malumot!$B$78=malumot!$C$78,'График дифференц'!D9,IF(malumot!$B$78=malumot!$D$78,'График аннуитет.'!D9))</f>
        <v>1111111.1100000001</v>
      </c>
      <c r="E10" s="34">
        <f>IF(malumot!$B$78=malumot!$C$78,'График дифференц'!E9,IF(malumot!$B$78=malumot!$D$78,'График аннуитет.'!E9))</f>
        <v>1917808.2000000002</v>
      </c>
      <c r="F10" s="34">
        <f>IF(malumot!$B$78=malumot!$C$78,'График дифференц'!F9,IF(malumot!$B$78=malumot!$D$78,'График аннуитет.'!F9))</f>
        <v>3028919.3100000005</v>
      </c>
    </row>
    <row r="11" spans="1:16" x14ac:dyDescent="0.25">
      <c r="A11" s="18">
        <v>3</v>
      </c>
      <c r="B11" s="33">
        <f>'График аннуитет.'!B10</f>
        <v>45824</v>
      </c>
      <c r="C11" s="34">
        <f>IF(malumot!$B$78=malumot!$C$78,'График дифференц'!C10,IF(malumot!$B$78=malumot!$D$78,'График аннуитет.'!C10))</f>
        <v>37777777.780000001</v>
      </c>
      <c r="D11" s="34">
        <f>IF(malumot!$B$78=malumot!$C$78,'График дифференц'!D10,IF(malumot!$B$78=malumot!$D$78,'График аннуитет.'!D10))</f>
        <v>1111111.1100000001</v>
      </c>
      <c r="E11" s="34">
        <f>IF(malumot!$B$78=malumot!$C$78,'График дифференц'!E10,IF(malumot!$B$78=malumot!$D$78,'График аннуитет.'!E10))</f>
        <v>1987214.72</v>
      </c>
      <c r="F11" s="34">
        <f>IF(malumot!$B$78=malumot!$C$78,'График дифференц'!F10,IF(malumot!$B$78=malumot!$D$78,'График аннуитет.'!F10))</f>
        <v>3098325.83</v>
      </c>
    </row>
    <row r="12" spans="1:16" x14ac:dyDescent="0.25">
      <c r="A12" s="18">
        <v>4</v>
      </c>
      <c r="B12" s="33">
        <f>'График аннуитет.'!B11</f>
        <v>45853</v>
      </c>
      <c r="C12" s="34">
        <f>IF(malumot!$B$78=malumot!$C$78,'График дифференц'!C11,IF(malumot!$B$78=malumot!$D$78,'График аннуитет.'!C11))</f>
        <v>36666666.670000002</v>
      </c>
      <c r="D12" s="34">
        <f>IF(malumot!$B$78=malumot!$C$78,'График дифференц'!D11,IF(malumot!$B$78=malumot!$D$78,'График аннуитет.'!D11))</f>
        <v>1111111.1100000001</v>
      </c>
      <c r="E12" s="34">
        <f>IF(malumot!$B$78=malumot!$C$78,'График дифференц'!E11,IF(malumot!$B$78=malumot!$D$78,'График аннуитет.'!E11))</f>
        <v>1747945.1300000001</v>
      </c>
      <c r="F12" s="34">
        <f>IF(malumot!$B$78=malumot!$C$78,'График дифференц'!F11,IF(malumot!$B$78=malumot!$D$78,'График аннуитет.'!F11))</f>
        <v>2859056.24</v>
      </c>
      <c r="H12" s="316" t="s">
        <v>371</v>
      </c>
      <c r="I12" s="316"/>
      <c r="J12" s="316"/>
      <c r="K12" s="316"/>
      <c r="L12" s="316"/>
      <c r="M12" s="316"/>
      <c r="N12" s="316"/>
      <c r="O12" s="316"/>
      <c r="P12" s="316"/>
    </row>
    <row r="13" spans="1:16" x14ac:dyDescent="0.25">
      <c r="A13" s="18">
        <v>5</v>
      </c>
      <c r="B13" s="33">
        <f>'График аннуитет.'!B12</f>
        <v>45884</v>
      </c>
      <c r="C13" s="34">
        <f>IF(malumot!$B$78=malumot!$C$78,'График дифференц'!C12,IF(malumot!$B$78=malumot!$D$78,'График аннуитет.'!C12))</f>
        <v>35555555.560000002</v>
      </c>
      <c r="D13" s="34">
        <f>IF(malumot!$B$78=malumot!$C$78,'График дифференц'!D12,IF(malumot!$B$78=malumot!$D$78,'График аннуитет.'!D12))</f>
        <v>1111111.1100000001</v>
      </c>
      <c r="E13" s="34">
        <f>IF(malumot!$B$78=malumot!$C$78,'График дифференц'!E12,IF(malumot!$B$78=malumot!$D$78,'График аннуитет.'!E12))</f>
        <v>1811872.19</v>
      </c>
      <c r="F13" s="34">
        <f>IF(malumot!$B$78=malumot!$C$78,'График дифференц'!F12,IF(malumot!$B$78=malumot!$D$78,'График аннуитет.'!F12))</f>
        <v>2922983.3</v>
      </c>
      <c r="H13" s="316"/>
      <c r="I13" s="316"/>
      <c r="J13" s="316"/>
      <c r="K13" s="316"/>
      <c r="L13" s="316"/>
      <c r="M13" s="316"/>
      <c r="N13" s="316"/>
      <c r="O13" s="316"/>
      <c r="P13" s="316"/>
    </row>
    <row r="14" spans="1:16" x14ac:dyDescent="0.25">
      <c r="A14" s="18">
        <v>6</v>
      </c>
      <c r="B14" s="33">
        <f>'График аннуитет.'!B13</f>
        <v>45915</v>
      </c>
      <c r="C14" s="34">
        <f>IF(malumot!$B$78=malumot!$C$78,'График дифференц'!C13,IF(malumot!$B$78=malumot!$D$78,'График аннуитет.'!C13))</f>
        <v>34444444.450000003</v>
      </c>
      <c r="D14" s="34">
        <f>IF(malumot!$B$78=malumot!$C$78,'График дифференц'!D13,IF(malumot!$B$78=malumot!$D$78,'График аннуитет.'!D13))</f>
        <v>1111111.1100000001</v>
      </c>
      <c r="E14" s="34">
        <f>IF(malumot!$B$78=malumot!$C$78,'График дифференц'!E13,IF(malumot!$B$78=malumot!$D$78,'График аннуитет.'!E13))</f>
        <v>1755251</v>
      </c>
      <c r="F14" s="34">
        <f>IF(malumot!$B$78=malumot!$C$78,'График дифференц'!F13,IF(malumot!$B$78=malumot!$D$78,'График аннуитет.'!F13))</f>
        <v>2866362.1100000003</v>
      </c>
      <c r="H14" s="316"/>
      <c r="I14" s="316"/>
      <c r="J14" s="316"/>
      <c r="K14" s="316"/>
      <c r="L14" s="316"/>
      <c r="M14" s="316"/>
      <c r="N14" s="316"/>
      <c r="O14" s="316"/>
      <c r="P14" s="316"/>
    </row>
    <row r="15" spans="1:16" x14ac:dyDescent="0.25">
      <c r="A15" s="18">
        <v>7</v>
      </c>
      <c r="B15" s="33">
        <f>'График аннуитет.'!B14</f>
        <v>45945</v>
      </c>
      <c r="C15" s="34">
        <f>IF(malumot!$B$78=malumot!$C$78,'График дифференц'!C14,IF(malumot!$B$78=malumot!$D$78,'График аннуитет.'!C14))</f>
        <v>33333333.340000004</v>
      </c>
      <c r="D15" s="34">
        <f>IF(malumot!$B$78=malumot!$C$78,'График дифференц'!D14,IF(malumot!$B$78=malumot!$D$78,'График аннуитет.'!D14))</f>
        <v>1111111.1100000001</v>
      </c>
      <c r="E15" s="34">
        <f>IF(malumot!$B$78=malumot!$C$78,'График дифференц'!E14,IF(malumot!$B$78=malumot!$D$78,'График аннуитет.'!E14))</f>
        <v>1643835.5999999999</v>
      </c>
      <c r="F15" s="34">
        <f>IF(malumot!$B$78=malumot!$C$78,'График дифференц'!F14,IF(malumot!$B$78=malumot!$D$78,'График аннуитет.'!F14))</f>
        <v>2754946.71</v>
      </c>
      <c r="H15" s="316"/>
      <c r="I15" s="316"/>
      <c r="J15" s="316"/>
      <c r="K15" s="316"/>
      <c r="L15" s="316"/>
      <c r="M15" s="316"/>
      <c r="N15" s="316"/>
      <c r="O15" s="316"/>
      <c r="P15" s="316"/>
    </row>
    <row r="16" spans="1:16" x14ac:dyDescent="0.25">
      <c r="A16" s="18">
        <v>8</v>
      </c>
      <c r="B16" s="33">
        <f>'График аннуитет.'!B15</f>
        <v>45978</v>
      </c>
      <c r="C16" s="34">
        <f>IF(malumot!$B$78=malumot!$C$78,'График дифференц'!C15,IF(malumot!$B$78=malumot!$D$78,'График аннуитет.'!C15))</f>
        <v>32222222.230000004</v>
      </c>
      <c r="D16" s="34">
        <f>IF(malumot!$B$78=malumot!$C$78,'График дифференц'!D15,IF(malumot!$B$78=malumot!$D$78,'График аннуитет.'!D15))</f>
        <v>1111111.1100000001</v>
      </c>
      <c r="E16" s="34">
        <f>IF(malumot!$B$78=malumot!$C$78,'График дифференц'!E15,IF(malumot!$B$78=malumot!$D$78,'График аннуитет.'!E15))</f>
        <v>1747945.32</v>
      </c>
      <c r="F16" s="34">
        <f>IF(malumot!$B$78=malumot!$C$78,'График дифференц'!F15,IF(malumot!$B$78=malumot!$D$78,'График аннуитет.'!F15))</f>
        <v>2859056.43</v>
      </c>
      <c r="H16" s="316"/>
      <c r="I16" s="316"/>
      <c r="J16" s="316"/>
      <c r="K16" s="316"/>
      <c r="L16" s="316"/>
      <c r="M16" s="316"/>
      <c r="N16" s="316"/>
      <c r="O16" s="316"/>
      <c r="P16" s="316"/>
    </row>
    <row r="17" spans="1:16" x14ac:dyDescent="0.25">
      <c r="A17" s="18">
        <v>9</v>
      </c>
      <c r="B17" s="33">
        <f>'График аннуитет.'!B16</f>
        <v>46006</v>
      </c>
      <c r="C17" s="34">
        <f>IF(malumot!$B$78=malumot!$C$78,'График дифференц'!C16,IF(malumot!$B$78=malumot!$D$78,'График аннуитет.'!C16))</f>
        <v>31111111.120000005</v>
      </c>
      <c r="D17" s="34">
        <f>IF(malumot!$B$78=malumot!$C$78,'График дифференц'!D16,IF(malumot!$B$78=malumot!$D$78,'График аннуитет.'!D16))</f>
        <v>1111111.1100000001</v>
      </c>
      <c r="E17" s="34">
        <f>IF(malumot!$B$78=malumot!$C$78,'График дифференц'!E16,IF(malumot!$B$78=malumot!$D$78,'График аннуитет.'!E16))</f>
        <v>1431963.4000000001</v>
      </c>
      <c r="F17" s="34">
        <f>IF(malumot!$B$78=malumot!$C$78,'График дифференц'!F16,IF(malumot!$B$78=malumot!$D$78,'График аннуитет.'!F16))</f>
        <v>2543074.5100000002</v>
      </c>
      <c r="H17" s="316"/>
      <c r="I17" s="316"/>
      <c r="J17" s="316"/>
      <c r="K17" s="316"/>
      <c r="L17" s="316"/>
      <c r="M17" s="316"/>
      <c r="N17" s="316"/>
      <c r="O17" s="316"/>
      <c r="P17" s="316"/>
    </row>
    <row r="18" spans="1:16" x14ac:dyDescent="0.25">
      <c r="A18" s="18">
        <v>10</v>
      </c>
      <c r="B18" s="33">
        <f>'График аннуитет.'!B17</f>
        <v>46037</v>
      </c>
      <c r="C18" s="34">
        <f>IF(malumot!$B$78=malumot!$C$78,'График дифференц'!C17,IF(malumot!$B$78=malumot!$D$78,'График аннуитет.'!C17))</f>
        <v>30000000.010000005</v>
      </c>
      <c r="D18" s="34">
        <f>IF(malumot!$B$78=malumot!$C$78,'График дифференц'!D17,IF(malumot!$B$78=malumot!$D$78,'График аннуитет.'!D17))</f>
        <v>1111111.1100000001</v>
      </c>
      <c r="E18" s="34">
        <f>IF(malumot!$B$78=malumot!$C$78,'График дифференц'!E17,IF(malumot!$B$78=malumot!$D$78,'График аннуитет.'!E17))</f>
        <v>1528767.17</v>
      </c>
      <c r="F18" s="34">
        <f>IF(malumot!$B$78=malumot!$C$78,'График дифференц'!F17,IF(malumot!$B$78=malumot!$D$78,'График аннуитет.'!F17))</f>
        <v>2639878.2800000003</v>
      </c>
      <c r="H18" s="316"/>
      <c r="I18" s="316"/>
      <c r="J18" s="316"/>
      <c r="K18" s="316"/>
      <c r="L18" s="316"/>
      <c r="M18" s="316"/>
      <c r="N18" s="316"/>
      <c r="O18" s="316"/>
      <c r="P18" s="316"/>
    </row>
    <row r="19" spans="1:16" x14ac:dyDescent="0.25">
      <c r="A19" s="18">
        <v>11</v>
      </c>
      <c r="B19" s="33">
        <f>'График аннуитет.'!B18</f>
        <v>46069</v>
      </c>
      <c r="C19" s="34">
        <f>IF(malumot!$B$78=malumot!$C$78,'График дифференц'!C18,IF(malumot!$B$78=malumot!$D$78,'График аннуитет.'!C18))</f>
        <v>28888888.900000006</v>
      </c>
      <c r="D19" s="34">
        <f>IF(malumot!$B$78=malumot!$C$78,'График дифференц'!D18,IF(malumot!$B$78=malumot!$D$78,'График аннуитет.'!D18))</f>
        <v>1111111.1100000001</v>
      </c>
      <c r="E19" s="34">
        <f>IF(malumot!$B$78=malumot!$C$78,'График дифференц'!E18,IF(malumot!$B$78=malumot!$D$78,'График аннуитет.'!E18))</f>
        <v>1519634.56</v>
      </c>
      <c r="F19" s="34">
        <f>IF(malumot!$B$78=malumot!$C$78,'График дифференц'!F18,IF(malumot!$B$78=malumot!$D$78,'График аннуитет.'!F18))</f>
        <v>2630745.67</v>
      </c>
      <c r="H19" s="316"/>
      <c r="I19" s="316"/>
      <c r="J19" s="316"/>
      <c r="K19" s="316"/>
      <c r="L19" s="316"/>
      <c r="M19" s="316"/>
      <c r="N19" s="316"/>
      <c r="O19" s="316"/>
      <c r="P19" s="316"/>
    </row>
    <row r="20" spans="1:16" x14ac:dyDescent="0.25">
      <c r="A20" s="18">
        <v>12</v>
      </c>
      <c r="B20" s="33">
        <f>'График аннуитет.'!B19</f>
        <v>46097</v>
      </c>
      <c r="C20" s="34">
        <f>IF(malumot!$B$78=malumot!$C$78,'График дифференц'!C19,IF(malumot!$B$78=malumot!$D$78,'График аннуитет.'!C19))</f>
        <v>27777777.790000007</v>
      </c>
      <c r="D20" s="34">
        <f>IF(malumot!$B$78=malumot!$C$78,'График дифференц'!D19,IF(malumot!$B$78=malumot!$D$78,'График аннуитет.'!D19))</f>
        <v>1111111.1100000001</v>
      </c>
      <c r="E20" s="34">
        <f>IF(malumot!$B$78=malumot!$C$78,'График дифференц'!E19,IF(malumot!$B$78=malumot!$D$78,'График аннуитет.'!E19))</f>
        <v>1278538.8</v>
      </c>
      <c r="F20" s="34">
        <f>IF(malumot!$B$78=malumot!$C$78,'График дифференц'!F19,IF(malumot!$B$78=malumot!$D$78,'График аннуитет.'!F19))</f>
        <v>2389649.91</v>
      </c>
      <c r="H20" s="316"/>
      <c r="I20" s="316"/>
      <c r="J20" s="316"/>
      <c r="K20" s="316"/>
      <c r="L20" s="316"/>
      <c r="M20" s="316"/>
      <c r="N20" s="316"/>
      <c r="O20" s="316"/>
      <c r="P20" s="316"/>
    </row>
    <row r="21" spans="1:16" x14ac:dyDescent="0.25">
      <c r="A21" s="18">
        <v>13</v>
      </c>
      <c r="B21" s="33">
        <f>'График аннуитет.'!B20</f>
        <v>46127</v>
      </c>
      <c r="C21" s="34">
        <f>IF(malumot!$B$78=malumot!$C$78,'График дифференц'!C20,IF(malumot!$B$78=malumot!$D$78,'График аннуитет.'!C20))</f>
        <v>26666666.680000007</v>
      </c>
      <c r="D21" s="34">
        <f>IF(malumot!$B$78=malumot!$C$78,'График дифференц'!D20,IF(malumot!$B$78=malumot!$D$78,'График аннуитет.'!D20))</f>
        <v>1111111.1100000001</v>
      </c>
      <c r="E21" s="34">
        <f>IF(malumot!$B$78=malumot!$C$78,'График дифференц'!E20,IF(malumot!$B$78=malumot!$D$78,'График аннуитет.'!E20))</f>
        <v>1315068.6000000001</v>
      </c>
      <c r="F21" s="34">
        <f>IF(malumot!$B$78=malumot!$C$78,'График дифференц'!F20,IF(malumot!$B$78=malumot!$D$78,'График аннуитет.'!F20))</f>
        <v>2426179.71</v>
      </c>
      <c r="H21" s="316"/>
      <c r="I21" s="316"/>
      <c r="J21" s="316"/>
      <c r="K21" s="316"/>
      <c r="L21" s="316"/>
      <c r="M21" s="316"/>
      <c r="N21" s="316"/>
      <c r="O21" s="316"/>
      <c r="P21" s="316"/>
    </row>
    <row r="22" spans="1:16" x14ac:dyDescent="0.25">
      <c r="A22" s="18">
        <v>14</v>
      </c>
      <c r="B22" s="33">
        <f>'График аннуитет.'!B21</f>
        <v>46157</v>
      </c>
      <c r="C22" s="34">
        <f>IF(malumot!$B$78=malumot!$C$78,'График дифференц'!C21,IF(malumot!$B$78=malumot!$D$78,'График аннуитет.'!C21))</f>
        <v>25555555.570000008</v>
      </c>
      <c r="D22" s="34">
        <f>IF(malumot!$B$78=malumot!$C$78,'График дифференц'!D21,IF(malumot!$B$78=malumot!$D$78,'График аннуитет.'!D21))</f>
        <v>1111111.1100000001</v>
      </c>
      <c r="E22" s="34">
        <f>IF(malumot!$B$78=malumot!$C$78,'График дифференц'!E21,IF(malumot!$B$78=malumot!$D$78,'График аннуитет.'!E21))</f>
        <v>1260273.8999999999</v>
      </c>
      <c r="F22" s="34">
        <f>IF(malumot!$B$78=malumot!$C$78,'График дифференц'!F21,IF(malumot!$B$78=malumot!$D$78,'График аннуитет.'!F21))</f>
        <v>2371385.0099999998</v>
      </c>
      <c r="H22" s="316"/>
      <c r="I22" s="316"/>
      <c r="J22" s="316"/>
      <c r="K22" s="316"/>
      <c r="L22" s="316"/>
      <c r="M22" s="316"/>
      <c r="N22" s="316"/>
      <c r="O22" s="316"/>
      <c r="P22" s="316"/>
    </row>
    <row r="23" spans="1:16" x14ac:dyDescent="0.25">
      <c r="A23" s="18">
        <v>15</v>
      </c>
      <c r="B23" s="33">
        <f>'График аннуитет.'!B22</f>
        <v>46188</v>
      </c>
      <c r="C23" s="34">
        <f>IF(malumot!$B$78=malumot!$C$78,'График дифференц'!C22,IF(malumot!$B$78=malumot!$D$78,'График аннуитет.'!C22))</f>
        <v>24444444.460000008</v>
      </c>
      <c r="D23" s="34">
        <f>IF(malumot!$B$78=malumot!$C$78,'График дифференц'!D22,IF(malumot!$B$78=malumot!$D$78,'График аннуитет.'!D22))</f>
        <v>1111111.1100000001</v>
      </c>
      <c r="E23" s="34">
        <f>IF(malumot!$B$78=malumot!$C$78,'График дифференц'!E22,IF(malumot!$B$78=malumot!$D$78,'График аннуитет.'!E22))</f>
        <v>1245662.1500000001</v>
      </c>
      <c r="F23" s="34">
        <f>IF(malumot!$B$78=malumot!$C$78,'График дифференц'!F22,IF(malumot!$B$78=malumot!$D$78,'График аннуитет.'!F22))</f>
        <v>2356773.2600000002</v>
      </c>
      <c r="H23" s="316"/>
      <c r="I23" s="316"/>
      <c r="J23" s="316"/>
      <c r="K23" s="316"/>
      <c r="L23" s="316"/>
      <c r="M23" s="316"/>
      <c r="N23" s="316"/>
      <c r="O23" s="316"/>
      <c r="P23" s="316"/>
    </row>
    <row r="24" spans="1:16" x14ac:dyDescent="0.25">
      <c r="A24" s="18">
        <v>16</v>
      </c>
      <c r="B24" s="33">
        <f>'График аннуитет.'!B23</f>
        <v>46218</v>
      </c>
      <c r="C24" s="34">
        <f>IF(malumot!$B$78=malumot!$C$78,'График дифференц'!C23,IF(malumot!$B$78=malumot!$D$78,'График аннуитет.'!C23))</f>
        <v>23333333.350000009</v>
      </c>
      <c r="D24" s="34">
        <f>IF(malumot!$B$78=malumot!$C$78,'График дифференц'!D23,IF(malumot!$B$78=malumot!$D$78,'График аннуитет.'!D23))</f>
        <v>1111111.1100000001</v>
      </c>
      <c r="E24" s="34">
        <f>IF(malumot!$B$78=malumot!$C$78,'График дифференц'!E23,IF(malumot!$B$78=malumot!$D$78,'График аннуитет.'!E23))</f>
        <v>1150684.8</v>
      </c>
      <c r="F24" s="34">
        <f>IF(malumot!$B$78=malumot!$C$78,'График дифференц'!F23,IF(malumot!$B$78=malumot!$D$78,'График аннуитет.'!F23))</f>
        <v>2261795.91</v>
      </c>
      <c r="H24" s="316"/>
      <c r="I24" s="316"/>
      <c r="J24" s="316"/>
      <c r="K24" s="316"/>
      <c r="L24" s="316"/>
      <c r="M24" s="316"/>
      <c r="N24" s="316"/>
      <c r="O24" s="316"/>
      <c r="P24" s="316"/>
    </row>
    <row r="25" spans="1:16" x14ac:dyDescent="0.25">
      <c r="A25" s="18">
        <v>17</v>
      </c>
      <c r="B25" s="33">
        <f>'График аннуитет.'!B24</f>
        <v>46251</v>
      </c>
      <c r="C25" s="34">
        <f>IF(malumot!$B$78=malumot!$C$78,'График дифференц'!C24,IF(malumot!$B$78=malumot!$D$78,'График аннуитет.'!C24))</f>
        <v>22222222.24000001</v>
      </c>
      <c r="D25" s="34">
        <f>IF(malumot!$B$78=malumot!$C$78,'График дифференц'!D24,IF(malumot!$B$78=malumot!$D$78,'График аннуитет.'!D24))</f>
        <v>1111111.1100000001</v>
      </c>
      <c r="E25" s="34">
        <f>IF(malumot!$B$78=malumot!$C$78,'График дифференц'!E24,IF(malumot!$B$78=malumot!$D$78,'График аннуитет.'!E24))</f>
        <v>1205479.44</v>
      </c>
      <c r="F25" s="34">
        <f>IF(malumot!$B$78=malumot!$C$78,'График дифференц'!F24,IF(malumot!$B$78=malumot!$D$78,'График аннуитет.'!F24))</f>
        <v>2316590.5499999998</v>
      </c>
    </row>
    <row r="26" spans="1:16" x14ac:dyDescent="0.25">
      <c r="A26" s="18">
        <v>18</v>
      </c>
      <c r="B26" s="33">
        <f>'График аннуитет.'!B25</f>
        <v>46280</v>
      </c>
      <c r="C26" s="34">
        <f>IF(malumot!$B$78=malumot!$C$78,'График дифференц'!C25,IF(malumot!$B$78=malumot!$D$78,'График аннуитет.'!C25))</f>
        <v>21111111.13000001</v>
      </c>
      <c r="D26" s="34">
        <f>IF(malumot!$B$78=malumot!$C$78,'График дифференц'!D25,IF(malumot!$B$78=malumot!$D$78,'График аннуитет.'!D25))</f>
        <v>1111111.1100000001</v>
      </c>
      <c r="E26" s="34">
        <f>IF(malumot!$B$78=malumot!$C$78,'График дифференц'!E25,IF(malumot!$B$78=malumot!$D$78,'График аннуитет.'!E25))</f>
        <v>1006392.7999999999</v>
      </c>
      <c r="F26" s="34">
        <f>IF(malumot!$B$78=malumot!$C$78,'График дифференц'!F25,IF(malumot!$B$78=malumot!$D$78,'График аннуитет.'!F25))</f>
        <v>2117503.91</v>
      </c>
    </row>
    <row r="27" spans="1:16" x14ac:dyDescent="0.25">
      <c r="A27" s="18">
        <f>1+A26</f>
        <v>19</v>
      </c>
      <c r="B27" s="33">
        <f>'График аннуитет.'!B26</f>
        <v>46310</v>
      </c>
      <c r="C27" s="34">
        <f>IF(malumot!$B$78=malumot!$C$78,'График дифференц'!C26,IF(malumot!$B$78=malumot!$D$78,'График аннуитет.'!C26))</f>
        <v>20000000.020000011</v>
      </c>
      <c r="D27" s="34">
        <f>IF(malumot!$B$78=malumot!$C$78,'График дифференц'!D26,IF(malumot!$B$78=malumot!$D$78,'График аннуитет.'!D26))</f>
        <v>1111111.1100000001</v>
      </c>
      <c r="E27" s="34">
        <f>IF(malumot!$B$78=malumot!$C$78,'График дифференц'!E26,IF(malumot!$B$78=malumot!$D$78,'График аннуитет.'!E26))</f>
        <v>986301.29999999993</v>
      </c>
      <c r="F27" s="34">
        <f>IF(malumot!$B$78=malumot!$C$78,'График дифференц'!F26,IF(malumot!$B$78=malumot!$D$78,'График аннуитет.'!F26))</f>
        <v>2097412.41</v>
      </c>
    </row>
    <row r="28" spans="1:16" x14ac:dyDescent="0.25">
      <c r="A28" s="18">
        <f t="shared" ref="A28:A43" si="0">1+A27</f>
        <v>20</v>
      </c>
      <c r="B28" s="33">
        <f>'График аннуитет.'!B27</f>
        <v>46342</v>
      </c>
      <c r="C28" s="34">
        <f>IF(malumot!$B$78=malumot!$C$78,'График дифференц'!C27,IF(malumot!$B$78=malumot!$D$78,'График аннуитет.'!C27))</f>
        <v>18888888.910000011</v>
      </c>
      <c r="D28" s="34">
        <f>IF(malumot!$B$78=malumot!$C$78,'График дифференц'!D27,IF(malumot!$B$78=malumot!$D$78,'График аннуитет.'!D27))</f>
        <v>1111111.1100000001</v>
      </c>
      <c r="E28" s="34">
        <f>IF(malumot!$B$78=malumot!$C$78,'График дифференц'!E27,IF(malumot!$B$78=malumot!$D$78,'График аннуитет.'!E27))</f>
        <v>993607.36</v>
      </c>
      <c r="F28" s="34">
        <f>IF(malumot!$B$78=malumot!$C$78,'График дифференц'!F27,IF(malumot!$B$78=malumot!$D$78,'График аннуитет.'!F27))</f>
        <v>2104718.4700000002</v>
      </c>
    </row>
    <row r="29" spans="1:16" x14ac:dyDescent="0.25">
      <c r="A29" s="18">
        <f t="shared" si="0"/>
        <v>21</v>
      </c>
      <c r="B29" s="33">
        <f>'График аннуитет.'!B28</f>
        <v>46371</v>
      </c>
      <c r="C29" s="34">
        <f>IF(malumot!$B$78=malumot!$C$78,'График дифференц'!C28,IF(malumot!$B$78=malumot!$D$78,'График аннуитет.'!C28))</f>
        <v>17777777.800000012</v>
      </c>
      <c r="D29" s="34">
        <f>IF(malumot!$B$78=malumot!$C$78,'График дифференц'!D28,IF(malumot!$B$78=malumot!$D$78,'График аннуитет.'!D28))</f>
        <v>1111111.1100000001</v>
      </c>
      <c r="E29" s="34">
        <f>IF(malumot!$B$78=malumot!$C$78,'График дифференц'!E28,IF(malumot!$B$78=malumot!$D$78,'График аннуитет.'!E28))</f>
        <v>847488.46000000008</v>
      </c>
      <c r="F29" s="34">
        <f>IF(malumot!$B$78=malumot!$C$78,'График дифференц'!F28,IF(malumot!$B$78=malumot!$D$78,'График аннуитет.'!F28))</f>
        <v>1958599.5700000003</v>
      </c>
    </row>
    <row r="30" spans="1:16" x14ac:dyDescent="0.25">
      <c r="A30" s="18">
        <f t="shared" si="0"/>
        <v>22</v>
      </c>
      <c r="B30" s="33">
        <f>'График аннуитет.'!B29</f>
        <v>46402</v>
      </c>
      <c r="C30" s="34">
        <f>IF(malumot!$B$78=malumot!$C$78,'График дифференц'!C29,IF(malumot!$B$78=malumot!$D$78,'График аннуитет.'!C29))</f>
        <v>16666666.690000013</v>
      </c>
      <c r="D30" s="34">
        <f>IF(malumot!$B$78=malumot!$C$78,'График дифференц'!D29,IF(malumot!$B$78=malumot!$D$78,'График аннуитет.'!D29))</f>
        <v>1111111.1100000001</v>
      </c>
      <c r="E30" s="34">
        <f>IF(malumot!$B$78=malumot!$C$78,'График дифференц'!E29,IF(malumot!$B$78=malumot!$D$78,'График аннуитет.'!E29))</f>
        <v>849315.05999999994</v>
      </c>
      <c r="F30" s="34">
        <f>IF(malumot!$B$78=malumot!$C$78,'График дифференц'!F29,IF(malumot!$B$78=malumot!$D$78,'График аннуитет.'!F29))</f>
        <v>1960426.17</v>
      </c>
    </row>
    <row r="31" spans="1:16" x14ac:dyDescent="0.25">
      <c r="A31" s="18">
        <f t="shared" si="0"/>
        <v>23</v>
      </c>
      <c r="B31" s="33">
        <f>'График аннуитет.'!B30</f>
        <v>46433</v>
      </c>
      <c r="C31" s="34">
        <f>IF(malumot!$B$78=malumot!$C$78,'График дифференц'!C30,IF(malumot!$B$78=malumot!$D$78,'График аннуитет.'!C30))</f>
        <v>15555555.580000013</v>
      </c>
      <c r="D31" s="34">
        <f>IF(malumot!$B$78=malumot!$C$78,'График дифференц'!D30,IF(malumot!$B$78=malumot!$D$78,'График аннуитет.'!D30))</f>
        <v>1111111.1100000001</v>
      </c>
      <c r="E31" s="34">
        <f>IF(malumot!$B$78=malumot!$C$78,'График дифференц'!E30,IF(malumot!$B$78=malumot!$D$78,'График аннуитет.'!E30))</f>
        <v>792694.17999999993</v>
      </c>
      <c r="F31" s="34">
        <f>IF(malumot!$B$78=malumot!$C$78,'График дифференц'!F30,IF(malumot!$B$78=malumot!$D$78,'График аннуитет.'!F30))</f>
        <v>1903805.29</v>
      </c>
    </row>
    <row r="32" spans="1:16" x14ac:dyDescent="0.25">
      <c r="A32" s="18">
        <f t="shared" si="0"/>
        <v>24</v>
      </c>
      <c r="B32" s="33">
        <f>'График аннуитет.'!B31</f>
        <v>46461</v>
      </c>
      <c r="C32" s="34">
        <f>IF(malumot!$B$78=malumot!$C$78,'График дифференц'!C31,IF(malumot!$B$78=malumot!$D$78,'График аннуитет.'!C31))</f>
        <v>14444444.470000014</v>
      </c>
      <c r="D32" s="34">
        <f>IF(malumot!$B$78=malumot!$C$78,'График дифференц'!D31,IF(malumot!$B$78=malumot!$D$78,'График аннуитет.'!D31))</f>
        <v>1111111.1100000001</v>
      </c>
      <c r="E32" s="34">
        <f>IF(malumot!$B$78=malumot!$C$78,'График дифференц'!E31,IF(malumot!$B$78=malumot!$D$78,'График аннуитет.'!E31))</f>
        <v>664840.12</v>
      </c>
      <c r="F32" s="34">
        <f>IF(malumot!$B$78=malumot!$C$78,'График дифференц'!F31,IF(malumot!$B$78=malumot!$D$78,'График аннуитет.'!F31))</f>
        <v>1775951.23</v>
      </c>
    </row>
    <row r="33" spans="1:6" x14ac:dyDescent="0.25">
      <c r="A33" s="18">
        <f t="shared" si="0"/>
        <v>25</v>
      </c>
      <c r="B33" s="33">
        <f>IF('График аннуитет.'!B32=FALSE,"",'График аннуитет.'!B32)</f>
        <v>46492</v>
      </c>
      <c r="C33" s="34">
        <f>IF(malumot!$B$78=malumot!$C$78,'График дифференц'!C32,IF(malumot!$B$78=malumot!$D$78,'График аннуитет.'!C32))</f>
        <v>13333333.360000014</v>
      </c>
      <c r="D33" s="34">
        <f>IF(malumot!$B$78=malumot!$C$78,'График дифференц'!D32,IF(malumot!$B$78=malumot!$D$78,'График аннуитет.'!D32))</f>
        <v>1111111.1100000001</v>
      </c>
      <c r="E33" s="34">
        <f>IF(malumot!$B$78=malumot!$C$78,'График дифференц'!E32,IF(malumot!$B$78=malumot!$D$78,'График аннуитет.'!E32))</f>
        <v>679452.11</v>
      </c>
      <c r="F33" s="34">
        <f>IF(malumot!$B$78=malumot!$C$78,'График дифференц'!F32,IF(malumot!$B$78=malumot!$D$78,'График аннуитет.'!F32))</f>
        <v>1790563.2200000002</v>
      </c>
    </row>
    <row r="34" spans="1:6" x14ac:dyDescent="0.25">
      <c r="A34" s="18">
        <f t="shared" si="0"/>
        <v>26</v>
      </c>
      <c r="B34" s="33">
        <f>IF('График аннуитет.'!B33=FALSE,"",'График аннуитет.'!B33)</f>
        <v>46524</v>
      </c>
      <c r="C34" s="34">
        <f>IF(malumot!$B$78=malumot!$C$78,'График дифференц'!C33,IF(malumot!$B$78=malumot!$D$78,'График аннуитет.'!C33))</f>
        <v>12222222.250000015</v>
      </c>
      <c r="D34" s="34">
        <f>IF(malumot!$B$78=malumot!$C$78,'График дифференц'!D33,IF(malumot!$B$78=malumot!$D$78,'График аннуитет.'!D33))</f>
        <v>1111111.1100000001</v>
      </c>
      <c r="E34" s="34">
        <f>IF(malumot!$B$78=malumot!$C$78,'График дифференц'!E33,IF(malumot!$B$78=malumot!$D$78,'График аннуитет.'!E33))</f>
        <v>642922.23999999999</v>
      </c>
      <c r="F34" s="34">
        <f>IF(malumot!$B$78=malumot!$C$78,'График дифференц'!F33,IF(malumot!$B$78=malumot!$D$78,'График аннуитет.'!F33))</f>
        <v>1754033.35</v>
      </c>
    </row>
    <row r="35" spans="1:6" x14ac:dyDescent="0.25">
      <c r="A35" s="18">
        <f t="shared" si="0"/>
        <v>27</v>
      </c>
      <c r="B35" s="33">
        <f>IF('График аннуитет.'!B34=FALSE,"",'График аннуитет.'!B34)</f>
        <v>46553</v>
      </c>
      <c r="C35" s="34">
        <f>IF(malumot!$B$78=malumot!$C$78,'График дифференц'!C34,IF(malumot!$B$78=malumot!$D$78,'График аннуитет.'!C34))</f>
        <v>11111111.140000015</v>
      </c>
      <c r="D35" s="34">
        <f>IF(malumot!$B$78=malumot!$C$78,'График дифференц'!D34,IF(malumot!$B$78=malumot!$D$78,'График аннуитет.'!D34))</f>
        <v>1111111.1100000001</v>
      </c>
      <c r="E35" s="34">
        <f>IF(malumot!$B$78=malumot!$C$78,'График дифференц'!E34,IF(malumot!$B$78=malumot!$D$78,'График аннуитет.'!E34))</f>
        <v>529680.36</v>
      </c>
      <c r="F35" s="34">
        <f>IF(malumot!$B$78=malumot!$C$78,'График дифференц'!F34,IF(malumot!$B$78=malumot!$D$78,'График аннуитет.'!F34))</f>
        <v>1640791.4700000002</v>
      </c>
    </row>
    <row r="36" spans="1:6" x14ac:dyDescent="0.25">
      <c r="A36" s="18">
        <f t="shared" si="0"/>
        <v>28</v>
      </c>
      <c r="B36" s="33">
        <f>IF('График аннуитет.'!B35=FALSE,"",'График аннуитет.'!B35)</f>
        <v>46583</v>
      </c>
      <c r="C36" s="34">
        <f>IF(malumot!$B$78=malumot!$C$78,'График дифференц'!C35,IF(malumot!$B$78=malumot!$D$78,'График аннуитет.'!C35))</f>
        <v>10000000.030000016</v>
      </c>
      <c r="D36" s="34">
        <f>IF(malumot!$B$78=malumot!$C$78,'График дифференц'!D35,IF(malumot!$B$78=malumot!$D$78,'График аннуитет.'!D35))</f>
        <v>1111111.1100000001</v>
      </c>
      <c r="E36" s="34">
        <f>IF(malumot!$B$78=malumot!$C$78,'График дифференц'!E35,IF(malumot!$B$78=malumot!$D$78,'График аннуитет.'!E35))</f>
        <v>493150.80000000005</v>
      </c>
      <c r="F36" s="34">
        <f>IF(malumot!$B$78=malumot!$C$78,'График дифференц'!F35,IF(malumot!$B$78=malumot!$D$78,'График аннуитет.'!F35))</f>
        <v>1604261.9100000001</v>
      </c>
    </row>
    <row r="37" spans="1:6" x14ac:dyDescent="0.25">
      <c r="A37" s="18">
        <f t="shared" si="0"/>
        <v>29</v>
      </c>
      <c r="B37" s="33">
        <f>IF('График аннуитет.'!B36=FALSE,"",'График аннуитет.'!B36)</f>
        <v>46615</v>
      </c>
      <c r="C37" s="34">
        <f>IF(malumot!$B$78=malumot!$C$78,'График дифференц'!C36,IF(malumot!$B$78=malumot!$D$78,'График аннуитет.'!C36))</f>
        <v>8888888.9200000167</v>
      </c>
      <c r="D37" s="34">
        <f>IF(malumot!$B$78=malumot!$C$78,'График дифференц'!D36,IF(malumot!$B$78=malumot!$D$78,'График аннуитет.'!D36))</f>
        <v>1111111.1100000001</v>
      </c>
      <c r="E37" s="34">
        <f>IF(malumot!$B$78=malumot!$C$78,'График дифференц'!E36,IF(malumot!$B$78=malumot!$D$78,'График аннуитет.'!E36))</f>
        <v>467579.84</v>
      </c>
      <c r="F37" s="34">
        <f>IF(malumot!$B$78=malumot!$C$78,'График дифференц'!F36,IF(malumot!$B$78=malumot!$D$78,'График аннуитет.'!F36))</f>
        <v>1578690.9500000002</v>
      </c>
    </row>
    <row r="38" spans="1:6" x14ac:dyDescent="0.25">
      <c r="A38" s="18">
        <f t="shared" si="0"/>
        <v>30</v>
      </c>
      <c r="B38" s="33">
        <f>IF('График аннуитет.'!B37=FALSE,"",'График аннуитет.'!B37)</f>
        <v>46645</v>
      </c>
      <c r="C38" s="34">
        <f>IF(malumot!$B$78=malumot!$C$78,'График дифференц'!C37,IF(malumot!$B$78=malumot!$D$78,'График аннуитет.'!C37))</f>
        <v>7777777.8100000164</v>
      </c>
      <c r="D38" s="34">
        <f>IF(malumot!$B$78=malumot!$C$78,'График дифференц'!D37,IF(malumot!$B$78=malumot!$D$78,'График аннуитет.'!D37))</f>
        <v>1111111.1100000001</v>
      </c>
      <c r="E38" s="34">
        <f>IF(malumot!$B$78=malumot!$C$78,'График дифференц'!E37,IF(malumot!$B$78=malumot!$D$78,'График аннуитет.'!E37))</f>
        <v>383561.69999999995</v>
      </c>
      <c r="F38" s="34">
        <f>IF(malumot!$B$78=malumot!$C$78,'График дифференц'!F37,IF(malumot!$B$78=malumot!$D$78,'График аннуитет.'!F37))</f>
        <v>1494672.81</v>
      </c>
    </row>
    <row r="39" spans="1:6" x14ac:dyDescent="0.25">
      <c r="A39" s="18">
        <f t="shared" si="0"/>
        <v>31</v>
      </c>
      <c r="B39" s="33">
        <f>IF('График аннуитет.'!B38=FALSE,"",'График аннуитет.'!B38)</f>
        <v>46675</v>
      </c>
      <c r="C39" s="34">
        <f>IF(malumot!$B$78=malumot!$C$78,'График дифференц'!C38,IF(malumot!$B$78=malumot!$D$78,'График аннуитет.'!C38))</f>
        <v>6666666.700000016</v>
      </c>
      <c r="D39" s="34">
        <f>IF(malumot!$B$78=malumot!$C$78,'График дифференц'!D38,IF(malumot!$B$78=malumot!$D$78,'График аннуитет.'!D38))</f>
        <v>1111111.1100000001</v>
      </c>
      <c r="E39" s="34">
        <f>IF(malumot!$B$78=malumot!$C$78,'График дифференц'!E38,IF(malumot!$B$78=malumot!$D$78,'График аннуитет.'!E38))</f>
        <v>328767</v>
      </c>
      <c r="F39" s="34">
        <f>IF(malumot!$B$78=malumot!$C$78,'График дифференц'!F38,IF(malumot!$B$78=malumot!$D$78,'График аннуитет.'!F38))</f>
        <v>1439878.11</v>
      </c>
    </row>
    <row r="40" spans="1:6" x14ac:dyDescent="0.25">
      <c r="A40" s="18">
        <f t="shared" si="0"/>
        <v>32</v>
      </c>
      <c r="B40" s="33">
        <f>IF('График аннуитет.'!B39=FALSE,"",'График аннуитет.'!B39)</f>
        <v>46706</v>
      </c>
      <c r="C40" s="34">
        <f>IF(malumot!$B$78=malumot!$C$78,'График дифференц'!C39,IF(malumot!$B$78=malumot!$D$78,'График аннуитет.'!C39))</f>
        <v>5555555.5900000157</v>
      </c>
      <c r="D40" s="34">
        <f>IF(malumot!$B$78=malumot!$C$78,'График дифференц'!D39,IF(malumot!$B$78=malumot!$D$78,'График аннуитет.'!D39))</f>
        <v>1111111.1100000001</v>
      </c>
      <c r="E40" s="34">
        <f>IF(malumot!$B$78=malumot!$C$78,'График дифференц'!E39,IF(malumot!$B$78=malumot!$D$78,'График аннуитет.'!E39))</f>
        <v>283105.02</v>
      </c>
      <c r="F40" s="34">
        <f>IF(malumot!$B$78=malumot!$C$78,'График дифференц'!F39,IF(malumot!$B$78=malumot!$D$78,'График аннуитет.'!F39))</f>
        <v>1394216.1300000001</v>
      </c>
    </row>
    <row r="41" spans="1:6" x14ac:dyDescent="0.25">
      <c r="A41" s="18">
        <f t="shared" si="0"/>
        <v>33</v>
      </c>
      <c r="B41" s="33">
        <f>IF('График аннуитет.'!B40=FALSE,"",'График аннуитет.'!B40)</f>
        <v>46736</v>
      </c>
      <c r="C41" s="34">
        <f>IF(malumot!$B$78=malumot!$C$78,'График дифференц'!C40,IF(malumot!$B$78=malumot!$D$78,'График аннуитет.'!C40))</f>
        <v>4444444.4800000153</v>
      </c>
      <c r="D41" s="34">
        <f>IF(malumot!$B$78=malumot!$C$78,'График дифференц'!D40,IF(malumot!$B$78=malumot!$D$78,'График аннуитет.'!D40))</f>
        <v>1111111.1100000001</v>
      </c>
      <c r="E41" s="34">
        <f>IF(malumot!$B$78=malumot!$C$78,'График дифференц'!E40,IF(malumot!$B$78=malumot!$D$78,'График аннуитет.'!E40))</f>
        <v>219178.19999999998</v>
      </c>
      <c r="F41" s="34">
        <f>IF(malumot!$B$78=malumot!$C$78,'График дифференц'!F40,IF(malumot!$B$78=malumot!$D$78,'График аннуитет.'!F40))</f>
        <v>1330289.31</v>
      </c>
    </row>
    <row r="42" spans="1:6" x14ac:dyDescent="0.25">
      <c r="A42" s="18">
        <f t="shared" si="0"/>
        <v>34</v>
      </c>
      <c r="B42" s="33">
        <f>IF('График аннуитет.'!B41=FALSE,"",'График аннуитет.'!B41)</f>
        <v>46769</v>
      </c>
      <c r="C42" s="34">
        <f>IF(malumot!$B$78=malumot!$C$78,'График дифференц'!C41,IF(malumot!$B$78=malumot!$D$78,'График аннуитет.'!C41))</f>
        <v>3333333.370000015</v>
      </c>
      <c r="D42" s="34">
        <f>IF(malumot!$B$78=malumot!$C$78,'График дифференц'!D41,IF(malumot!$B$78=malumot!$D$78,'График аннуитет.'!D41))</f>
        <v>1111111.1100000001</v>
      </c>
      <c r="E42" s="34">
        <f>IF(malumot!$B$78=malumot!$C$78,'График дифференц'!E41,IF(malumot!$B$78=malumot!$D$78,'График аннуитет.'!E41))</f>
        <v>180327.84</v>
      </c>
      <c r="F42" s="34">
        <f>IF(malumot!$B$78=malumot!$C$78,'График дифференц'!F41,IF(malumot!$B$78=malumot!$D$78,'График аннуитет.'!F41))</f>
        <v>1291438.9500000002</v>
      </c>
    </row>
    <row r="43" spans="1:6" x14ac:dyDescent="0.25">
      <c r="A43" s="18">
        <f t="shared" si="0"/>
        <v>35</v>
      </c>
      <c r="B43" s="33">
        <f>IF('График аннуитет.'!B42=FALSE,"",'График аннуитет.'!B42)</f>
        <v>46798</v>
      </c>
      <c r="C43" s="34">
        <f>IF(malumot!$B$78=malumot!$C$78,'График дифференц'!C42,IF(malumot!$B$78=malumot!$D$78,'График аннуитет.'!C42))</f>
        <v>2222222.2600000147</v>
      </c>
      <c r="D43" s="34">
        <f>IF(malumot!$B$78=malumot!$C$78,'График дифференц'!D42,IF(malumot!$B$78=malumot!$D$78,'График аннуитет.'!D42))</f>
        <v>1111111.1100000001</v>
      </c>
      <c r="E43" s="34">
        <f>IF(malumot!$B$78=malumot!$C$78,'График дифференц'!E42,IF(malumot!$B$78=malumot!$D$78,'График аннуитет.'!E42))</f>
        <v>105646.70999999999</v>
      </c>
      <c r="F43" s="34">
        <f>IF(malumot!$B$78=malumot!$C$78,'График дифференц'!F42,IF(malumot!$B$78=malumot!$D$78,'График аннуитет.'!F42))</f>
        <v>1216757.82</v>
      </c>
    </row>
    <row r="44" spans="1:6" x14ac:dyDescent="0.25">
      <c r="A44" s="18">
        <f>1+A43</f>
        <v>36</v>
      </c>
      <c r="B44" s="33">
        <f>IF('График аннуитет.'!B43=FALSE,"",'График аннуитет.'!B43)</f>
        <v>46839</v>
      </c>
      <c r="C44" s="34">
        <f>IF(malumot!$B$78=malumot!$C$78,'График дифференц'!C43,IF(malumot!$B$78=malumot!$D$78,'График аннуитет.'!C43))</f>
        <v>1111111.1500000146</v>
      </c>
      <c r="D44" s="34">
        <f>IF(malumot!$B$78=malumot!$C$78,'График дифференц'!D43,IF(malumot!$B$78=malumot!$D$78,'График аннуитет.'!D43))</f>
        <v>1111111.1500000134</v>
      </c>
      <c r="E44" s="34">
        <f>IF(malumot!$B$78=malumot!$C$78,'График дифференц'!E43,IF(malumot!$B$78=malumot!$D$78,'График аннуитет.'!E43))</f>
        <v>74681.09</v>
      </c>
      <c r="F44" s="34">
        <f>IF(malumot!$B$78=malumot!$C$78,'График дифференц'!F43,IF(malumot!$B$78=malumot!$D$78,'График аннуитет.'!F43))</f>
        <v>1185792.2400000135</v>
      </c>
    </row>
    <row r="45" spans="1:6" ht="15" customHeight="1" x14ac:dyDescent="0.25">
      <c r="A45" s="46"/>
      <c r="B45" s="47" t="s">
        <v>208</v>
      </c>
      <c r="C45" s="48"/>
      <c r="D45" s="48">
        <f>SUM(D9:D44)</f>
        <v>40000000</v>
      </c>
      <c r="E45" s="48">
        <f t="shared" ref="E45:F45" si="1">SUM(E9:E44)</f>
        <v>36325952.150000021</v>
      </c>
      <c r="F45" s="48">
        <f t="shared" si="1"/>
        <v>76325952.149999991</v>
      </c>
    </row>
    <row r="46" spans="1:6" ht="14.25" customHeight="1" x14ac:dyDescent="0.25">
      <c r="B46" s="35"/>
      <c r="C46" s="36"/>
      <c r="D46" s="36"/>
      <c r="E46" s="36"/>
      <c r="F46" s="36"/>
    </row>
    <row r="47" spans="1:6" ht="47.25" customHeight="1" x14ac:dyDescent="0.25">
      <c r="A47" s="269"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69"/>
      <c r="C47" s="269"/>
      <c r="D47" s="269"/>
      <c r="E47" s="269"/>
      <c r="F47" s="269"/>
    </row>
    <row r="48" spans="1:6" ht="7.5" customHeight="1" x14ac:dyDescent="0.25"/>
    <row r="49" spans="1:6" ht="15" customHeight="1" x14ac:dyDescent="0.25">
      <c r="A49" s="295" t="s">
        <v>270</v>
      </c>
      <c r="B49" s="295"/>
      <c r="C49" s="295"/>
      <c r="D49" s="295" t="s">
        <v>275</v>
      </c>
      <c r="E49" s="295"/>
      <c r="F49" s="295"/>
    </row>
    <row r="50" spans="1:6" ht="11.25" customHeight="1" x14ac:dyDescent="0.25">
      <c r="A50" s="296"/>
      <c r="B50" s="296"/>
      <c r="C50" s="296"/>
      <c r="D50" s="296"/>
      <c r="E50" s="296"/>
      <c r="F50" s="296"/>
    </row>
    <row r="51" spans="1:6" ht="30" customHeight="1" x14ac:dyDescent="0.25">
      <c r="A51" s="310" t="str">
        <f>shartnoma!A117</f>
        <v>«CLEVER MIKROMOLIYA TASHKILOTI» MChJ</v>
      </c>
      <c r="B51" s="310"/>
      <c r="C51" s="311"/>
      <c r="D51" s="268" t="str">
        <f>shartnoma!B117</f>
        <v>UMAROV YO'LDOSHBOY AVALBEKOVICH</v>
      </c>
      <c r="E51" s="268"/>
      <c r="F51" s="268"/>
    </row>
    <row r="52" spans="1:6" ht="47.25" customHeight="1" x14ac:dyDescent="0.25">
      <c r="A52" s="312" t="str">
        <f>shartnoma!A119</f>
        <v>Manzil: Toshkent shahri, Olmazor tumani, Sagbon ko'chasi, 30 boshi berk, 6-uy</v>
      </c>
      <c r="B52" s="312"/>
      <c r="C52" s="313"/>
      <c r="D52" s="267" t="str">
        <f>shartnoma!B119</f>
        <v>Manzil: NAVOIY VILOYATI NUROTA TUMANI TEMIRKOVUK MFY YOSHLIK KO'CHASI 67-UY</v>
      </c>
      <c r="E52" s="267"/>
      <c r="F52" s="267"/>
    </row>
    <row r="53" spans="1:6" ht="15" customHeight="1" x14ac:dyDescent="0.25">
      <c r="A53" s="312" t="str">
        <f>shartnoma!A120</f>
        <v>h/r: №20216000705068380001</v>
      </c>
      <c r="B53" s="312"/>
      <c r="C53" s="313"/>
      <c r="D53" s="267" t="str">
        <f>shartnoma!B121</f>
        <v>Pasport: AB2646428, NAVOIY VILOYATI NUROTA TUMANI IIB tomonidan 15.01.2016 yilda berilgan</v>
      </c>
      <c r="E53" s="267"/>
      <c r="F53" s="267"/>
    </row>
    <row r="54" spans="1:6" ht="32.25" customHeight="1" x14ac:dyDescent="0.25">
      <c r="A54" s="312" t="str">
        <f>shartnoma!A121</f>
        <v>MFO: №01042 в ATB “Kapitalbank” Sergeli filiali</v>
      </c>
      <c r="B54" s="312"/>
      <c r="C54" s="313"/>
      <c r="D54" s="267"/>
      <c r="E54" s="267"/>
      <c r="F54" s="267"/>
    </row>
    <row r="55" spans="1:6" ht="15" customHeight="1" x14ac:dyDescent="0.25">
      <c r="A55" s="312" t="str">
        <f>shartnoma!A122</f>
        <v>STIR: 306365847</v>
      </c>
      <c r="B55" s="312"/>
      <c r="C55" s="313"/>
      <c r="D55" s="267" t="str">
        <f>shartnoma!B122</f>
        <v>Tel: 99-360-39-67 KLIENT</v>
      </c>
      <c r="E55" s="267"/>
      <c r="F55" s="267"/>
    </row>
    <row r="56" spans="1:6" ht="15" customHeight="1" x14ac:dyDescent="0.25">
      <c r="A56" s="312" t="str">
        <f>shartnoma!A123</f>
        <v>Tel: (78) 113 31 33</v>
      </c>
      <c r="B56" s="312"/>
      <c r="C56" s="313"/>
      <c r="D56" s="267" t="str">
        <f>shartnoma!B123</f>
        <v>94-596-09-00 O'G'LI</v>
      </c>
      <c r="E56" s="267"/>
      <c r="F56" s="267"/>
    </row>
    <row r="57" spans="1:6" ht="15" customHeight="1" x14ac:dyDescent="0.25">
      <c r="A57" s="312" t="str">
        <f>shartnoma!A124</f>
        <v>(78) 113 31 34</v>
      </c>
      <c r="B57" s="312"/>
      <c r="C57" s="313"/>
      <c r="D57" s="267" t="str">
        <f>shartnoma!B124</f>
        <v>93-993-08-97 KELINI</v>
      </c>
      <c r="E57" s="267"/>
      <c r="F57" s="267"/>
    </row>
    <row r="58" spans="1:6" ht="23.25" customHeight="1" x14ac:dyDescent="0.25">
      <c r="A58" s="314"/>
      <c r="B58" s="314"/>
      <c r="C58" s="315"/>
      <c r="D58" s="294" t="str">
        <f>IF(shartnoma!B125=0,"",shartnoma!B125)</f>
        <v/>
      </c>
      <c r="E58" s="294"/>
      <c r="F58" s="294"/>
    </row>
    <row r="59" spans="1:6" ht="22.5" customHeight="1" x14ac:dyDescent="0.25">
      <c r="A59" s="317" t="str">
        <f>malumot!A171</f>
        <v>Navoiy filiali boshlig'i</v>
      </c>
      <c r="B59" s="317"/>
      <c r="C59" s="318"/>
      <c r="D59" s="268" t="str">
        <f>shartnoma!B126</f>
        <v>UMAROV Y.A.     __________________</v>
      </c>
      <c r="E59" s="268"/>
      <c r="F59" s="268"/>
    </row>
    <row r="60" spans="1:6" ht="15" customHeight="1" x14ac:dyDescent="0.25">
      <c r="A60" s="317" t="str">
        <f>malumot!B160</f>
        <v>T.Rustamov</v>
      </c>
      <c r="B60" s="317"/>
      <c r="C60" s="318"/>
      <c r="D60" s="268"/>
      <c r="E60" s="268"/>
      <c r="F60" s="268"/>
    </row>
    <row r="61" spans="1:6" ht="24" customHeight="1" x14ac:dyDescent="0.25">
      <c r="A61" s="294"/>
      <c r="B61" s="294"/>
      <c r="C61" s="294"/>
      <c r="D61" s="294"/>
      <c r="E61" s="294"/>
      <c r="F61" s="294"/>
    </row>
    <row r="62" spans="1:6" ht="30" customHeight="1" x14ac:dyDescent="0.25">
      <c r="A62" s="298"/>
      <c r="B62" s="298"/>
      <c r="C62" s="298"/>
      <c r="D62" s="299"/>
      <c r="E62" s="299"/>
      <c r="F62" s="299"/>
    </row>
    <row r="63" spans="1:6" x14ac:dyDescent="0.25">
      <c r="A63" s="300"/>
      <c r="B63" s="300"/>
      <c r="C63" s="300"/>
      <c r="D63" s="300"/>
      <c r="E63" s="300"/>
      <c r="F63" s="300"/>
    </row>
    <row r="64" spans="1:6" x14ac:dyDescent="0.25">
      <c r="A64" s="297"/>
      <c r="B64" s="297"/>
      <c r="C64" s="297"/>
      <c r="D64" s="297"/>
      <c r="E64" s="297"/>
      <c r="F64" s="297"/>
    </row>
  </sheetData>
  <mergeCells count="40">
    <mergeCell ref="H12:P24"/>
    <mergeCell ref="A64:C64"/>
    <mergeCell ref="D64:F64"/>
    <mergeCell ref="A61:C61"/>
    <mergeCell ref="D61:F61"/>
    <mergeCell ref="A62:C62"/>
    <mergeCell ref="D62:F62"/>
    <mergeCell ref="A63:C63"/>
    <mergeCell ref="D63:F63"/>
    <mergeCell ref="A59:C59"/>
    <mergeCell ref="D59:F59"/>
    <mergeCell ref="A60:C60"/>
    <mergeCell ref="D60:F60"/>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23"/>
  <sheetViews>
    <sheetView view="pageBreakPreview" topLeftCell="A10" zoomScale="115" zoomScaleNormal="130" zoomScaleSheetLayoutView="115" workbookViewId="0">
      <selection activeCell="A20" sqref="A20:B20"/>
    </sheetView>
  </sheetViews>
  <sheetFormatPr defaultRowHeight="15.75" x14ac:dyDescent="0.25"/>
  <cols>
    <col min="1" max="1" width="16.42578125" style="7" customWidth="1"/>
    <col min="2" max="2" width="18.42578125" style="7" customWidth="1"/>
    <col min="3" max="3" width="17.5703125" style="7" customWidth="1"/>
    <col min="4" max="4" width="28.5703125" style="7" customWidth="1"/>
    <col min="5" max="16384" width="9.140625" style="7"/>
  </cols>
  <sheetData>
    <row r="1" spans="1:4" ht="33.75" customHeight="1" x14ac:dyDescent="0.25">
      <c r="C1" s="321" t="str">
        <f>malumot!B157&amp;" Ijrochi direktori"</f>
        <v>«CLEVER MIKROMOLIYA TASHKILOTI» MChJ Ijrochi direktori</v>
      </c>
      <c r="D1" s="321"/>
    </row>
    <row r="2" spans="1:4" x14ac:dyDescent="0.25">
      <c r="C2" s="322" t="s">
        <v>390</v>
      </c>
      <c r="D2" s="322"/>
    </row>
    <row r="3" spans="1:4" x14ac:dyDescent="0.25">
      <c r="C3" s="13"/>
      <c r="D3" s="13"/>
    </row>
    <row r="4" spans="1:4" ht="57.75" customHeight="1" x14ac:dyDescent="0.25">
      <c r="C4" s="320" t="str">
        <f>malumot!B22&amp;" manzilida istiqomat qiluvchi"</f>
        <v>NAVOIY VILOYATI NUROTA TUMANI TEMIRKOVUK MFY YOSHLIK KO'CHASI 67-UY manzilida istiqomat qiluvchi</v>
      </c>
      <c r="D4" s="320"/>
    </row>
    <row r="5" spans="1:4" ht="36" customHeight="1" x14ac:dyDescent="0.25">
      <c r="C5" s="320" t="str">
        <f>malumot!B5&amp;" tomonidan"</f>
        <v>UMAROV YO'LDOSHBOY AVALBEKOVICH tomonidan</v>
      </c>
      <c r="D5" s="320"/>
    </row>
    <row r="6" spans="1:4" ht="56.25" customHeight="1" x14ac:dyDescent="0.25">
      <c r="C6" s="319" t="str">
        <f>"Pasport: "&amp;malumot!B16&amp;", "&amp;malumot!B20</f>
        <v>Pasport: AB2646428, NAVOIY VILOYATI NUROTA TUMANI IIB tomonidan 15.01.2016 yilda berilgan</v>
      </c>
      <c r="D6" s="319"/>
    </row>
    <row r="8" spans="1:4" x14ac:dyDescent="0.25">
      <c r="A8" s="256" t="s">
        <v>391</v>
      </c>
      <c r="B8" s="256"/>
      <c r="C8" s="256"/>
      <c r="D8" s="256"/>
    </row>
    <row r="9" spans="1:4" ht="66" customHeight="1" x14ac:dyDescent="0.25">
      <c r="A9" s="319" t="str">
        <f>"       Men, " &amp; malumot!B5 &amp; " sizdan " &amp; malumot!B2 &amp; " yildagi " &amp; malumot!B1 &amp; "-sonli kredit shartnomasiga asosan " &amp; malumot!B76  &amp; "(" &amp; malumot!B77 &amp; ")"  &amp; "so'm pul mablag'larini quyidagi rekvizitlar asosida o'tkazib berishingizni so'rayman: "</f>
        <v xml:space="preserve">       Men, UMAROV YO'LDOSHBOY AVALBEKOVICH sizdan 27.03.2025 yildagi №680-NVS-sonli kredit shartnomasiga asosan 40000000(qirq million so'm)so'm pul mablag'larini quyidagi rekvizitlar asosida o'tkazib berishingizni so'rayman: </v>
      </c>
      <c r="B9" s="319"/>
      <c r="C9" s="319"/>
      <c r="D9" s="319"/>
    </row>
    <row r="10" spans="1:4" x14ac:dyDescent="0.25">
      <c r="A10" s="215" t="str">
        <f>malumot!A93</f>
        <v>Bank nomi:</v>
      </c>
      <c r="B10" s="319" t="str">
        <f>malumot!B93</f>
        <v>ATB Agrobank</v>
      </c>
      <c r="C10" s="319"/>
      <c r="D10" s="215"/>
    </row>
    <row r="11" spans="1:4" x14ac:dyDescent="0.25">
      <c r="A11" s="215" t="str">
        <f>malumot!A94</f>
        <v>H/r:</v>
      </c>
      <c r="B11" s="319" t="str">
        <f>malumot!B94</f>
        <v>23123000400000214001</v>
      </c>
      <c r="C11" s="319"/>
      <c r="D11" s="215"/>
    </row>
    <row r="12" spans="1:4" x14ac:dyDescent="0.25">
      <c r="A12" s="215" t="str">
        <f>malumot!A95</f>
        <v>MFO:</v>
      </c>
      <c r="B12" s="319" t="str">
        <f>malumot!B95</f>
        <v>00214</v>
      </c>
      <c r="C12" s="319"/>
      <c r="D12" s="215"/>
    </row>
    <row r="13" spans="1:4" x14ac:dyDescent="0.25">
      <c r="A13" s="215" t="str">
        <f>malumot!A96</f>
        <v>STIR:</v>
      </c>
      <c r="B13" s="319" t="str">
        <f>malumot!B96</f>
        <v>207243390</v>
      </c>
      <c r="C13" s="319"/>
      <c r="D13" s="215"/>
    </row>
    <row r="14" spans="1:4" x14ac:dyDescent="0.25">
      <c r="A14" s="215" t="str">
        <f>malumot!A97</f>
        <v>Karta raqami:</v>
      </c>
      <c r="B14" s="319" t="str">
        <f>malumot!B97</f>
        <v>8600 0417 1957 2803</v>
      </c>
      <c r="C14" s="319"/>
      <c r="D14" s="215"/>
    </row>
    <row r="15" spans="1:4" x14ac:dyDescent="0.25">
      <c r="A15" s="215"/>
      <c r="B15" s="215"/>
      <c r="C15" s="215"/>
      <c r="D15" s="215"/>
    </row>
    <row r="16" spans="1:4" x14ac:dyDescent="0.25">
      <c r="A16" s="320" t="str">
        <f>malumot!B5</f>
        <v>UMAROV YO'LDOSHBOY AVALBEKOVICH</v>
      </c>
      <c r="B16" s="320"/>
      <c r="C16" s="320"/>
      <c r="D16" s="217" t="s">
        <v>398</v>
      </c>
    </row>
    <row r="17" spans="1:4" x14ac:dyDescent="0.25">
      <c r="A17" s="13"/>
      <c r="B17" s="13"/>
      <c r="C17" s="13"/>
      <c r="D17" s="218" t="s">
        <v>327</v>
      </c>
    </row>
    <row r="18" spans="1:4" x14ac:dyDescent="0.25">
      <c r="A18" s="13"/>
      <c r="B18" s="13"/>
      <c r="C18" s="13"/>
      <c r="D18" s="13"/>
    </row>
    <row r="19" spans="1:4" x14ac:dyDescent="0.25">
      <c r="A19" s="13"/>
      <c r="B19" s="13"/>
      <c r="C19" s="13"/>
      <c r="D19" s="13"/>
    </row>
    <row r="20" spans="1:4" ht="48.75" customHeight="1" x14ac:dyDescent="0.25">
      <c r="A20" s="321" t="str">
        <f>malumot!B157&amp;" ijrochi direktori"</f>
        <v>«CLEVER MIKROMOLIYA TASHKILOTI» MChJ ijrochi direktori</v>
      </c>
      <c r="B20" s="321"/>
      <c r="C20" s="13"/>
      <c r="D20" s="213" t="s">
        <v>399</v>
      </c>
    </row>
    <row r="23" spans="1:4" x14ac:dyDescent="0.25">
      <c r="A23" s="7" t="s">
        <v>400</v>
      </c>
      <c r="B23" s="7" t="s">
        <v>401</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topLeftCell="A15" zoomScaleSheetLayoutView="100" workbookViewId="0">
      <selection activeCell="B40" sqref="B40:F40"/>
    </sheetView>
  </sheetViews>
  <sheetFormatPr defaultColWidth="9.140625" defaultRowHeight="15" x14ac:dyDescent="0.2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x14ac:dyDescent="0.3"/>
    <row r="2" spans="2:7" ht="62.25" customHeight="1" x14ac:dyDescent="0.35">
      <c r="B2" s="328" t="str">
        <f>malumot!B158</f>
        <v>«CLEVER MIKROMOLIYA TASHKILOTI» MChJ</v>
      </c>
      <c r="C2" s="329"/>
      <c r="D2" s="329"/>
      <c r="E2" s="329"/>
      <c r="F2" s="330"/>
      <c r="G2" s="41"/>
    </row>
    <row r="3" spans="2:7" x14ac:dyDescent="0.25">
      <c r="B3" s="323"/>
      <c r="C3" s="300"/>
      <c r="D3" s="300"/>
      <c r="E3" s="300"/>
      <c r="F3" s="324"/>
      <c r="G3" s="42"/>
    </row>
    <row r="4" spans="2:7" ht="8.25" customHeight="1" x14ac:dyDescent="0.25">
      <c r="B4" s="57"/>
      <c r="F4" s="58"/>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323" t="s">
        <v>27</v>
      </c>
      <c r="C10" s="300"/>
      <c r="D10" s="300"/>
      <c r="E10" s="300"/>
      <c r="F10" s="324"/>
      <c r="G10" s="42"/>
    </row>
    <row r="11" spans="2:7" x14ac:dyDescent="0.25">
      <c r="B11" s="323" t="s">
        <v>27</v>
      </c>
      <c r="C11" s="300"/>
      <c r="D11" s="300"/>
      <c r="E11" s="300"/>
      <c r="F11" s="324"/>
      <c r="G11" s="42"/>
    </row>
    <row r="12" spans="2:7" ht="135" customHeight="1" x14ac:dyDescent="0.8">
      <c r="B12" s="331" t="str">
        <f>malumot!B5</f>
        <v>UMAROV YO'LDOSHBOY AVALBEKOVICH</v>
      </c>
      <c r="C12" s="332"/>
      <c r="D12" s="332"/>
      <c r="E12" s="332"/>
      <c r="F12" s="333"/>
      <c r="G12" s="43"/>
    </row>
    <row r="13" spans="2:7" x14ac:dyDescent="0.25">
      <c r="B13" s="323"/>
      <c r="C13" s="300"/>
      <c r="D13" s="300"/>
      <c r="E13" s="300"/>
      <c r="F13" s="324"/>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323"/>
      <c r="C18" s="300"/>
      <c r="D18" s="300"/>
      <c r="E18" s="300"/>
      <c r="F18" s="324"/>
      <c r="G18" s="42"/>
    </row>
    <row r="19" spans="2:7" ht="20.25" x14ac:dyDescent="0.3">
      <c r="B19" s="325" t="str">
        <f>""&amp;malumot!C64&amp;" shartnoma "&amp;malumot!B74&amp;""</f>
        <v>Mikroqarz shartnoma 27 mart 2025 y.dan №680-NVS</v>
      </c>
      <c r="C19" s="326"/>
      <c r="D19" s="326"/>
      <c r="E19" s="326"/>
      <c r="F19" s="327"/>
      <c r="G19" s="42"/>
    </row>
    <row r="20" spans="2:7" x14ac:dyDescent="0.25">
      <c r="B20" s="323"/>
      <c r="C20" s="300"/>
      <c r="D20" s="300"/>
      <c r="E20" s="300"/>
      <c r="F20" s="324"/>
      <c r="G20" s="42"/>
    </row>
    <row r="21" spans="2:7" x14ac:dyDescent="0.25">
      <c r="B21" s="323"/>
      <c r="C21" s="300"/>
      <c r="D21" s="300"/>
      <c r="E21" s="300"/>
      <c r="F21" s="324"/>
      <c r="G21" s="42"/>
    </row>
    <row r="22" spans="2:7" x14ac:dyDescent="0.25">
      <c r="B22" s="323"/>
      <c r="C22" s="300"/>
      <c r="D22" s="300"/>
      <c r="E22" s="300"/>
      <c r="F22" s="324"/>
      <c r="G22" s="42"/>
    </row>
    <row r="23" spans="2:7" x14ac:dyDescent="0.25">
      <c r="B23" s="323"/>
      <c r="C23" s="300"/>
      <c r="D23" s="300"/>
      <c r="E23" s="300"/>
      <c r="F23" s="324"/>
      <c r="G23" s="42"/>
    </row>
    <row r="24" spans="2:7" x14ac:dyDescent="0.25">
      <c r="B24" s="337" t="str">
        <f>" Foiz stavkasi: "&amp;malumot!B86&amp;"%"</f>
        <v xml:space="preserve"> Foiz stavkasi: 60%</v>
      </c>
      <c r="C24" s="338"/>
      <c r="D24" s="338"/>
      <c r="E24" s="338"/>
      <c r="F24" s="339"/>
      <c r="G24" s="42"/>
    </row>
    <row r="25" spans="2:7" ht="15" customHeight="1" x14ac:dyDescent="0.25">
      <c r="B25" s="337" t="str">
        <f>" "&amp;malumot!C64&amp;" muddati: "&amp;malumot!B82&amp;" oy"</f>
        <v xml:space="preserve"> Mikroqarz muddati: 36 oy</v>
      </c>
      <c r="C25" s="338"/>
      <c r="D25" s="338"/>
      <c r="E25" s="338"/>
      <c r="F25" s="339"/>
      <c r="G25" s="42"/>
    </row>
    <row r="26" spans="2:7" x14ac:dyDescent="0.25">
      <c r="B26" s="337" t="str">
        <f>" "&amp;malumot!C64&amp;" miqdori: "&amp;FIXED(malumot!B76,2)&amp;" so'm"</f>
        <v xml:space="preserve"> Mikroqarz miqdori: 40 000 000,00 so'm</v>
      </c>
      <c r="C26" s="338"/>
      <c r="D26" s="338"/>
      <c r="E26" s="338"/>
      <c r="F26" s="339"/>
      <c r="G26" s="42"/>
    </row>
    <row r="27" spans="2:7" x14ac:dyDescent="0.25">
      <c r="B27" s="323"/>
      <c r="C27" s="300"/>
      <c r="D27" s="300"/>
      <c r="E27" s="300"/>
      <c r="F27" s="324"/>
      <c r="G27" s="42"/>
    </row>
    <row r="28" spans="2:7" hidden="1" x14ac:dyDescent="0.25">
      <c r="G28" s="42"/>
    </row>
    <row r="29" spans="2:7" x14ac:dyDescent="0.25">
      <c r="B29" s="323"/>
      <c r="C29" s="300"/>
      <c r="D29" s="300"/>
      <c r="E29" s="300"/>
      <c r="F29" s="324"/>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5.75" thickBot="1" x14ac:dyDescent="0.3">
      <c r="B40" s="334" t="str">
        <f>"Toshkent sh., "&amp;malumot!B70&amp;""</f>
        <v>Toshkent sh., 27 mart 2025 y.</v>
      </c>
      <c r="C40" s="335"/>
      <c r="D40" s="335"/>
      <c r="E40" s="335"/>
      <c r="F40" s="336"/>
      <c r="G40" s="42"/>
    </row>
    <row r="41" spans="2:7" x14ac:dyDescent="0.25">
      <c r="B41" s="300"/>
      <c r="C41" s="300"/>
      <c r="D41" s="300"/>
      <c r="E41" s="300"/>
      <c r="F41" s="300"/>
      <c r="G41" s="42"/>
    </row>
    <row r="42" spans="2:7" x14ac:dyDescent="0.25">
      <c r="B42" s="300"/>
      <c r="C42" s="300"/>
      <c r="D42" s="300"/>
      <c r="E42" s="300"/>
      <c r="F42" s="300"/>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24" zoomScaleSheetLayoutView="100" workbookViewId="0">
      <selection activeCell="F27" sqref="F27"/>
    </sheetView>
  </sheetViews>
  <sheetFormatPr defaultColWidth="9.140625" defaultRowHeight="12.75" x14ac:dyDescent="0.2"/>
  <cols>
    <col min="1" max="6" width="14.28515625" style="24" customWidth="1"/>
    <col min="7" max="16384" width="9.140625" style="24"/>
  </cols>
  <sheetData>
    <row r="1" spans="1:6" x14ac:dyDescent="0.2">
      <c r="A1" s="344" t="s">
        <v>216</v>
      </c>
      <c r="B1" s="344"/>
      <c r="C1" s="344"/>
      <c r="D1" s="344"/>
      <c r="E1" s="344"/>
      <c r="F1" s="344"/>
    </row>
    <row r="2" spans="1:6" ht="35.25" customHeight="1" x14ac:dyDescent="0.2">
      <c r="A2" s="345" t="s">
        <v>322</v>
      </c>
      <c r="B2" s="345"/>
      <c r="C2" s="345"/>
      <c r="D2" s="345"/>
      <c r="E2" s="345"/>
      <c r="F2" s="345"/>
    </row>
    <row r="3" spans="1:6" x14ac:dyDescent="0.2">
      <c r="A3" s="344" t="s">
        <v>217</v>
      </c>
      <c r="B3" s="344"/>
      <c r="C3" s="344"/>
      <c r="D3" s="344"/>
      <c r="E3" s="344"/>
      <c r="F3" s="344"/>
    </row>
    <row r="4" spans="1:6" x14ac:dyDescent="0.2">
      <c r="A4" s="340" t="str">
        <f>xulosa!A4:E4</f>
        <v>Mijozning to'liq ismi sharifi: UMAROV YO'LDOSHBOY AVALBEKOVICH</v>
      </c>
      <c r="B4" s="340"/>
      <c r="C4" s="340"/>
      <c r="D4" s="340"/>
      <c r="E4" s="340"/>
      <c r="F4" s="340"/>
    </row>
    <row r="5" spans="1:6" x14ac:dyDescent="0.2">
      <c r="A5" s="340" t="str">
        <f>xulosa!A5:E5</f>
        <v>Tug'ilgan sanasi: 03.05.1967y</v>
      </c>
      <c r="B5" s="340"/>
      <c r="C5" s="340"/>
      <c r="D5" s="340"/>
      <c r="E5" s="340"/>
      <c r="F5" s="340"/>
    </row>
    <row r="6" spans="1:6" ht="32.25" customHeight="1" x14ac:dyDescent="0.2">
      <c r="A6" s="340" t="str">
        <f>xulosa!A6:E6</f>
        <v>Pasport seriyasi AB2646428 NAVOIY VILOYATI NUROTA TUMANI IIB tomonidan 15.01.2016 yilda berilgan, amal qilish muddati - 14.01.2026 y.</v>
      </c>
      <c r="B6" s="340"/>
      <c r="C6" s="340"/>
      <c r="D6" s="340"/>
      <c r="E6" s="340"/>
      <c r="F6" s="340"/>
    </row>
    <row r="7" spans="1:6" x14ac:dyDescent="0.2">
      <c r="A7" s="340" t="str">
        <f>"Fuqaroligi: "&amp;malumot!B32&amp;""</f>
        <v>Fuqaroligi: O’zbekiston Respublikasi</v>
      </c>
      <c r="B7" s="340"/>
      <c r="C7" s="340"/>
      <c r="D7" s="340"/>
      <c r="E7" s="340"/>
      <c r="F7" s="340"/>
    </row>
    <row r="8" spans="1:6" ht="26.25" customHeight="1" x14ac:dyDescent="0.2">
      <c r="A8" s="340" t="str">
        <f>xulosa!A7:E7</f>
        <v>Ro‘yxatdan o‘tgan manzili: NAVOIY VILOYATI NUROTA TUMANI TEMIRKOVUK MFY YOSHLIK KO'CHASI 67-UY, mo'ljal: TEMIRKOVUK MFY BINOSI YONIDA</v>
      </c>
      <c r="B8" s="340"/>
      <c r="C8" s="340"/>
      <c r="D8" s="340"/>
      <c r="E8" s="340"/>
      <c r="F8" s="340"/>
    </row>
    <row r="9" spans="1:6" x14ac:dyDescent="0.2">
      <c r="A9" s="340" t="str">
        <f>IF(malumot!B23="mos keladi"," ",mijoz_anketasi!A10:F10)</f>
        <v>Haqiqatdan yashash joy manzili: NAVOIY VILOYATI NUROTA TUMANI TEMIRKOVUK MFY YOSHLIK KO'CHASI 67-UY</v>
      </c>
      <c r="B9" s="340"/>
      <c r="C9" s="340"/>
      <c r="D9" s="340"/>
      <c r="E9" s="340"/>
      <c r="F9" s="340"/>
    </row>
    <row r="10" spans="1:6" ht="31.5" hidden="1" customHeight="1" x14ac:dyDescent="0.2">
      <c r="A10" s="340" t="str">
        <f>"Haqiqatdan yashash joy manzili: "&amp;malumot!B28&amp;""</f>
        <v>Haqiqatdan yashash joy manzili: NAVOIY VILOYATI NUROTA TUMANI TEMIRKOVUK MFY YOSHLIK KO'CHASI 67-UY</v>
      </c>
      <c r="B10" s="340"/>
      <c r="C10" s="340"/>
      <c r="D10" s="340"/>
      <c r="E10" s="340"/>
      <c r="F10" s="340"/>
    </row>
    <row r="11" spans="1:6" ht="16.5" hidden="1" customHeight="1" x14ac:dyDescent="0.2">
      <c r="A11" s="340" t="str">
        <f>xulosa!A8:E8</f>
        <v>Ish joyi:  lavozimi Yakka tartibdagi tadbirkorda Yakka tartibdagi tadbirkor</v>
      </c>
      <c r="B11" s="340"/>
      <c r="C11" s="340"/>
      <c r="D11" s="340"/>
      <c r="E11" s="340"/>
      <c r="F11" s="340"/>
    </row>
    <row r="12" spans="1:6" x14ac:dyDescent="0.2">
      <c r="A12" s="344" t="s">
        <v>218</v>
      </c>
      <c r="B12" s="344"/>
      <c r="C12" s="344"/>
      <c r="D12" s="344"/>
      <c r="E12" s="344"/>
      <c r="F12" s="344"/>
    </row>
    <row r="13" spans="1:6" x14ac:dyDescent="0.2">
      <c r="A13" s="340" t="str">
        <f>"Uy telefoni raqami: "&amp;malumot!B40&amp;""</f>
        <v>Uy telefoni raqami: 99-360-39-67 KLIENT</v>
      </c>
      <c r="B13" s="340"/>
      <c r="C13" s="340"/>
      <c r="D13" s="340"/>
      <c r="E13" s="340"/>
      <c r="F13" s="340"/>
    </row>
    <row r="14" spans="1:6" x14ac:dyDescent="0.2">
      <c r="A14" s="340" t="str">
        <f>"Uyali telefon raqami: "&amp;malumot!B41&amp;""</f>
        <v>Uyali telefon raqami: 94-596-09-00 O'G'LI</v>
      </c>
      <c r="B14" s="340"/>
      <c r="C14" s="340"/>
      <c r="D14" s="340"/>
      <c r="E14" s="340"/>
      <c r="F14" s="340"/>
    </row>
    <row r="15" spans="1:6" x14ac:dyDescent="0.2">
      <c r="A15" s="340" t="str">
        <f>"Uyali telefon raqami: "&amp;malumot!B42&amp;""</f>
        <v>Uyali telefon raqami: 93-993-08-97 KELINI</v>
      </c>
      <c r="B15" s="340"/>
      <c r="C15" s="340"/>
      <c r="D15" s="340"/>
      <c r="E15" s="340"/>
      <c r="F15" s="340"/>
    </row>
    <row r="16" spans="1:6" hidden="1" x14ac:dyDescent="0.2">
      <c r="A16" s="340" t="str">
        <f>"Uyali telefon raqami: "&amp;malumot!B42&amp;""</f>
        <v>Uyali telefon raqami: 93-993-08-97 KELINI</v>
      </c>
      <c r="B16" s="340"/>
      <c r="C16" s="340"/>
      <c r="D16" s="340"/>
      <c r="E16" s="340"/>
      <c r="F16" s="340"/>
    </row>
    <row r="17" spans="1:6" x14ac:dyDescent="0.2">
      <c r="A17" s="340" t="str">
        <f>"Ish telefoni raqami: "&amp;malumot!B43&amp;""</f>
        <v xml:space="preserve">Ish telefoni raqami: </v>
      </c>
      <c r="B17" s="340"/>
      <c r="C17" s="340"/>
      <c r="D17" s="340"/>
      <c r="E17" s="340"/>
      <c r="F17" s="340"/>
    </row>
    <row r="18" spans="1:6" x14ac:dyDescent="0.2">
      <c r="A18" s="344" t="s">
        <v>219</v>
      </c>
      <c r="B18" s="344"/>
      <c r="C18" s="344"/>
      <c r="D18" s="344"/>
      <c r="E18" s="344"/>
      <c r="F18" s="344"/>
    </row>
    <row r="19" spans="1:6" x14ac:dyDescent="0.2">
      <c r="A19" s="340" t="str">
        <f>"Muassasa nomlanishi:"&amp;malumot!B58&amp;""</f>
        <v>Muassasa nomlanishi:Yakka tartibdagi tadbirkor</v>
      </c>
      <c r="B19" s="340"/>
      <c r="C19" s="340"/>
      <c r="D19" s="340"/>
      <c r="E19" s="340"/>
      <c r="F19" s="340"/>
    </row>
    <row r="20" spans="1:6" x14ac:dyDescent="0.2">
      <c r="A20" s="340" t="str">
        <f>"Ro‘yxatdan o‘tish manzili:"&amp;malumot!B50&amp;""</f>
        <v>Ro‘yxatdan o‘tish manzili:</v>
      </c>
      <c r="B20" s="340"/>
      <c r="C20" s="340"/>
      <c r="D20" s="340"/>
      <c r="E20" s="340"/>
      <c r="F20" s="340"/>
    </row>
    <row r="21" spans="1:6" x14ac:dyDescent="0.2">
      <c r="A21" s="340" t="str">
        <f>"Lavozimi: "&amp;malumot!B59&amp;""</f>
        <v>Lavozimi: Yakka tartibdagi tadbirkor</v>
      </c>
      <c r="B21" s="340"/>
      <c r="C21" s="340"/>
      <c r="D21" s="340"/>
      <c r="E21" s="340"/>
      <c r="F21" s="340"/>
    </row>
    <row r="22" spans="1:6" x14ac:dyDescent="0.2">
      <c r="A22" s="344" t="s">
        <v>220</v>
      </c>
      <c r="B22" s="341"/>
      <c r="C22" s="341"/>
      <c r="D22" s="341"/>
      <c r="E22" s="341"/>
      <c r="F22" s="341"/>
    </row>
    <row r="23" spans="1:6" s="26" customFormat="1" ht="25.5" x14ac:dyDescent="0.25">
      <c r="A23" s="25" t="s">
        <v>221</v>
      </c>
      <c r="B23" s="25" t="s">
        <v>222</v>
      </c>
      <c r="C23" s="25" t="s">
        <v>223</v>
      </c>
      <c r="D23" s="25" t="s">
        <v>224</v>
      </c>
      <c r="E23" s="25" t="s">
        <v>225</v>
      </c>
      <c r="F23" s="25" t="s">
        <v>226</v>
      </c>
    </row>
    <row r="24" spans="1:6" ht="51" x14ac:dyDescent="0.2">
      <c r="A24" s="27" t="s">
        <v>227</v>
      </c>
      <c r="B24" s="28">
        <f>malumot!B60</f>
        <v>12000000</v>
      </c>
      <c r="C24" s="28">
        <v>0</v>
      </c>
      <c r="D24" s="28">
        <v>0</v>
      </c>
      <c r="E24" s="27" t="s">
        <v>230</v>
      </c>
      <c r="F24" s="28">
        <v>700000</v>
      </c>
    </row>
    <row r="25" spans="1:6" ht="25.5" x14ac:dyDescent="0.2">
      <c r="A25" s="27" t="s">
        <v>228</v>
      </c>
      <c r="B25" s="28">
        <v>0</v>
      </c>
      <c r="C25" s="28">
        <v>0</v>
      </c>
      <c r="D25" s="28">
        <v>0</v>
      </c>
      <c r="E25" s="27" t="s">
        <v>231</v>
      </c>
      <c r="F25" s="28">
        <v>500000</v>
      </c>
    </row>
    <row r="26" spans="1:6" ht="28.5" customHeight="1" x14ac:dyDescent="0.2">
      <c r="A26" s="27" t="s">
        <v>229</v>
      </c>
      <c r="B26" s="28">
        <f>malumot!B61</f>
        <v>0</v>
      </c>
      <c r="C26" s="28">
        <v>0</v>
      </c>
      <c r="D26" s="28">
        <v>0</v>
      </c>
      <c r="E26" s="27" t="s">
        <v>232</v>
      </c>
      <c r="F26" s="28">
        <v>500000</v>
      </c>
    </row>
    <row r="27" spans="1:6" s="31" customFormat="1" x14ac:dyDescent="0.2">
      <c r="A27" s="29" t="s">
        <v>208</v>
      </c>
      <c r="B27" s="30">
        <f>B24+B25+B26</f>
        <v>12000000</v>
      </c>
      <c r="C27" s="30">
        <f t="shared" ref="C27:F27" si="0">SUM(C24:C26)</f>
        <v>0</v>
      </c>
      <c r="D27" s="30">
        <f t="shared" si="0"/>
        <v>0</v>
      </c>
      <c r="E27" s="29"/>
      <c r="F27" s="30">
        <f t="shared" si="0"/>
        <v>1700000</v>
      </c>
    </row>
    <row r="28" spans="1:6" ht="31.5" customHeight="1" x14ac:dyDescent="0.2">
      <c r="A28" s="340" t="str">
        <f>"Men, "&amp;malumot!B5&amp;", ushbu anketada ko‘rsatilgan barcha ma'lumotlar anketa to'ldirilgan sanada  to'g'ri va aniq ekanligini tasdiqlayman."</f>
        <v>Men, UMAROV YO'LDOSHBOY AVALBEKOVICH, ushbu anketada ko‘rsatilgan barcha ma'lumotlar anketa to'ldirilgan sanada  to'g'ri va aniq ekanligini tasdiqlayman.</v>
      </c>
      <c r="B28" s="340"/>
      <c r="C28" s="340"/>
      <c r="D28" s="340"/>
      <c r="E28" s="340"/>
      <c r="F28" s="340"/>
    </row>
    <row r="29" spans="1:6" x14ac:dyDescent="0.2">
      <c r="A29" s="340" t="str">
        <f>"Men,  "&amp;malumot!B5&amp;", quyidagilarni tan olaman va roziman::"</f>
        <v>Men,  UMAROV YO'LDOSHBOY AVALBEKOVICH, quyidagilarni tan olaman va roziman::</v>
      </c>
      <c r="B29" s="340"/>
      <c r="C29" s="340"/>
      <c r="D29" s="340"/>
      <c r="E29" s="340"/>
      <c r="F29" s="340"/>
    </row>
    <row r="30" spans="1:6" ht="45.75" customHeight="1" x14ac:dyDescent="0.2">
      <c r="A30" s="340" t="str">
        <f>"1.  Ushbu anketada ko‘rsatilgan har qanday ma’lumot  "&amp;malumot!B157&amp;",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0"/>
      <c r="C30" s="340"/>
      <c r="D30" s="340"/>
      <c r="E30" s="340"/>
      <c r="F30" s="340"/>
    </row>
    <row r="31" spans="1:6" ht="42.75" customHeight="1" x14ac:dyDescent="0.2">
      <c r="A31" s="340" t="str">
        <f>"2. Mazkur anketaning "&amp;malumot!B157&amp;"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0"/>
      <c r="C31" s="340"/>
      <c r="D31" s="340"/>
      <c r="E31" s="340"/>
      <c r="F31" s="340"/>
    </row>
    <row r="32" spans="1:6" ht="71.25" customHeight="1" x14ac:dyDescent="0.2">
      <c r="A32" s="340" t="s">
        <v>233</v>
      </c>
      <c r="B32" s="340"/>
      <c r="C32" s="340"/>
      <c r="D32" s="340"/>
      <c r="E32" s="340"/>
      <c r="F32" s="340"/>
    </row>
    <row r="33" spans="1:6" x14ac:dyDescent="0.2">
      <c r="A33" s="340"/>
      <c r="B33" s="340"/>
      <c r="C33" s="340"/>
      <c r="D33" s="340"/>
      <c r="E33" s="340"/>
      <c r="F33" s="340"/>
    </row>
    <row r="34" spans="1:6" ht="12.75" customHeight="1" x14ac:dyDescent="0.2">
      <c r="A34" s="341" t="s">
        <v>234</v>
      </c>
      <c r="B34" s="341"/>
      <c r="C34" s="341"/>
      <c r="D34" s="154" t="s">
        <v>157</v>
      </c>
      <c r="E34" s="341" t="s">
        <v>235</v>
      </c>
      <c r="F34" s="341"/>
    </row>
    <row r="35" spans="1:6" ht="25.5" customHeight="1" x14ac:dyDescent="0.2">
      <c r="A35" s="342"/>
      <c r="B35" s="342"/>
      <c r="C35" s="342"/>
      <c r="D35" s="343" t="str">
        <f>malumot!B2</f>
        <v>27.03.2025</v>
      </c>
      <c r="E35" s="342"/>
      <c r="F35" s="342"/>
    </row>
    <row r="36" spans="1:6" ht="25.5" customHeight="1" x14ac:dyDescent="0.2">
      <c r="A36" s="342"/>
      <c r="B36" s="342"/>
      <c r="C36" s="342"/>
      <c r="D36" s="343"/>
      <c r="E36" s="342"/>
      <c r="F36" s="342"/>
    </row>
    <row r="37" spans="1:6" x14ac:dyDescent="0.2">
      <c r="A37" s="340"/>
      <c r="B37" s="340"/>
      <c r="C37" s="340"/>
      <c r="D37" s="340"/>
      <c r="E37" s="340"/>
      <c r="F37" s="340"/>
    </row>
    <row r="38" spans="1:6" x14ac:dyDescent="0.2">
      <c r="A38" s="340"/>
      <c r="B38" s="340"/>
      <c r="C38" s="340"/>
      <c r="D38" s="340"/>
      <c r="E38" s="340"/>
      <c r="F38" s="340"/>
    </row>
    <row r="39" spans="1:6" x14ac:dyDescent="0.2">
      <c r="A39" s="340"/>
      <c r="B39" s="340"/>
      <c r="C39" s="340"/>
      <c r="D39" s="340"/>
      <c r="E39" s="340"/>
      <c r="F39" s="340"/>
    </row>
    <row r="40" spans="1:6" x14ac:dyDescent="0.2">
      <c r="A40" s="340"/>
      <c r="B40" s="340"/>
      <c r="C40" s="340"/>
      <c r="D40" s="340"/>
      <c r="E40" s="340"/>
      <c r="F40" s="340"/>
    </row>
    <row r="41" spans="1:6" x14ac:dyDescent="0.2">
      <c r="A41" s="340"/>
      <c r="B41" s="340"/>
      <c r="C41" s="340"/>
      <c r="D41" s="340"/>
      <c r="E41" s="340"/>
      <c r="F41" s="340"/>
    </row>
    <row r="42" spans="1:6" x14ac:dyDescent="0.2">
      <c r="A42" s="340"/>
      <c r="B42" s="340"/>
      <c r="C42" s="340"/>
      <c r="D42" s="340"/>
      <c r="E42" s="340"/>
      <c r="F42" s="340"/>
    </row>
    <row r="43" spans="1:6" x14ac:dyDescent="0.2">
      <c r="A43" s="340"/>
      <c r="B43" s="340"/>
      <c r="C43" s="340"/>
      <c r="D43" s="340"/>
      <c r="E43" s="340"/>
      <c r="F43" s="34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A32" sqref="A32"/>
    </sheetView>
  </sheetViews>
  <sheetFormatPr defaultRowHeight="15" x14ac:dyDescent="0.25"/>
  <cols>
    <col min="1" max="1" width="54.42578125" style="15" customWidth="1"/>
    <col min="2" max="2" width="32.28515625" style="15" customWidth="1"/>
  </cols>
  <sheetData>
    <row r="3" spans="1:2" ht="35.25" customHeight="1" x14ac:dyDescent="0.25">
      <c r="A3" s="346" t="s">
        <v>213</v>
      </c>
      <c r="B3" s="346"/>
    </row>
    <row r="4" spans="1:2" ht="92.25" customHeight="1" x14ac:dyDescent="0.25">
      <c r="A4" s="269" t="str">
        <f>"     Men, fuqaro "&amp;malumot!B5&amp;" "&amp;malumot!B159&amp;" bilan "&amp;malumot!B69&amp;" sanasidagi "&amp;malumot!B66&amp;"-sonli shartnomaning garov ta'minoti sifatida taqdim etilayotgan mulk "&amp;malumot!B132&amp;" rusumli avtotransport vositasini qonunga xilof ravishda o‘zlashtirmaslikka, yashirmaslikka, nobud qilmaslikka yoki unga shikast yetkazmaslik majburiyatini olaman."</f>
        <v xml:space="preserve">     Men, fuqaro UMAROV YO'LDOSHBOY AVALBEKOVICH «CLEVER MIKROMOLIYA TASHKILOTI» MChJ bilan 27 mart 2025 y. sanasidagi №680-NVS-sonli shartnomaning garov ta'minoti sifatida taqdim etilayotgan mulk CHEVROLET LACETTI SX rusumli avtotransport vositasini qonunga xilof ravishda o‘zlashtirmaslikka, yashirmaslikka, nobud qilmaslikka yoki unga shikast yetkazmaslik majburiyatini olaman.</v>
      </c>
      <c r="B4" s="269"/>
    </row>
    <row r="5" spans="1:2" ht="56.25" customHeight="1" x14ac:dyDescent="0.25">
      <c r="A5" s="347" t="s">
        <v>214</v>
      </c>
      <c r="B5" s="347"/>
    </row>
    <row r="6" spans="1:2" ht="42.75" customHeight="1" x14ac:dyDescent="0.25"/>
    <row r="7" spans="1:2" x14ac:dyDescent="0.25">
      <c r="A7" s="15" t="str">
        <f>malumot!B5</f>
        <v>UMAROV YO'LDOSHBOY AVALBEKOVICH</v>
      </c>
      <c r="B7" s="141" t="s">
        <v>215</v>
      </c>
    </row>
    <row r="8" spans="1:2" ht="26.25" customHeight="1" x14ac:dyDescent="0.25"/>
    <row r="9" spans="1:2" ht="26.25" customHeight="1" x14ac:dyDescent="0.25"/>
    <row r="10" spans="1:2" ht="26.25" customHeight="1" x14ac:dyDescent="0.25"/>
    <row r="11" spans="1:2" x14ac:dyDescent="0.25">
      <c r="A11" s="15" t="str">
        <f>"sana:   "&amp;TEXT(malumot!B2,"ДД.ММ.ГГГГ")&amp;" y."</f>
        <v>sana:   27.03.2025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6">
    <tabColor rgb="FF00B050"/>
  </sheetPr>
  <dimension ref="A1:E78"/>
  <sheetViews>
    <sheetView view="pageBreakPreview" topLeftCell="A16" zoomScaleSheetLayoutView="100" workbookViewId="0">
      <selection activeCell="I45" sqref="I45"/>
    </sheetView>
  </sheetViews>
  <sheetFormatPr defaultColWidth="9.140625" defaultRowHeight="15.75" x14ac:dyDescent="0.25"/>
  <cols>
    <col min="1" max="1" width="20.140625" style="7" customWidth="1"/>
    <col min="2" max="2" width="18.7109375" style="7" customWidth="1"/>
    <col min="3" max="3" width="19.7109375" style="7" customWidth="1"/>
    <col min="4" max="4" width="28.7109375" style="7" customWidth="1"/>
    <col min="5" max="16384" width="9.140625" style="7"/>
  </cols>
  <sheetData>
    <row r="1" spans="1:4" ht="66.75" customHeight="1" x14ac:dyDescent="0.25">
      <c r="C1" s="366" t="str">
        <f>""&amp;malumot!B157&amp;"ning
"&amp;malumot!A160&amp;""</f>
        <v>«CLEVER MIKROMOLIYA TASHKILOTI» MChJning
Navoiy  filiali boshlig'i</v>
      </c>
      <c r="D1" s="366"/>
    </row>
    <row r="2" spans="1:4" x14ac:dyDescent="0.25">
      <c r="C2" s="13"/>
      <c r="D2" s="14" t="str">
        <f>""&amp;malumot!B160&amp;"ga"</f>
        <v>T.Rustamovga</v>
      </c>
    </row>
    <row r="4" spans="1:4" x14ac:dyDescent="0.25">
      <c r="A4" s="256" t="str">
        <f>""&amp;malumot!C64&amp;" olish uchun Ariza"</f>
        <v>Mikroqarz olish uchun Ariza</v>
      </c>
      <c r="B4" s="256"/>
      <c r="C4" s="256"/>
      <c r="D4" s="256"/>
    </row>
    <row r="5" spans="1:4" x14ac:dyDescent="0.25">
      <c r="A5" s="256"/>
      <c r="B5" s="256"/>
      <c r="C5" s="256"/>
      <c r="D5" s="256"/>
    </row>
    <row r="6" spans="1:4" ht="63" customHeight="1" x14ac:dyDescent="0.25">
      <c r="A6" s="364" t="str">
        <f>""&amp;malumot!B28&amp;".-da yashovchi O‘zbekiston Respublikasi fuqarosi "&amp;malumot!B8&amp;"dan. "</f>
        <v xml:space="preserve">NAVOIY VILOYATI NUROTA TUMANI TEMIRKOVUK MFY YOSHLIK KO'CHASI 67-UY.-da yashovchi O‘zbekiston Respublikasi fuqarosi UMAROV YO'LDOSHBOY AVALBEKOVICHdan. </v>
      </c>
      <c r="B6" s="364"/>
      <c r="C6" s="364"/>
      <c r="D6" s="364"/>
    </row>
    <row r="7" spans="1:4" ht="15.75" customHeight="1" x14ac:dyDescent="0.25">
      <c r="A7" s="364" t="str">
        <f>"Tug'ilgan kuni: "&amp;malumot!B15&amp;""</f>
        <v>Tug'ilgan kuni: 03.05.1967y</v>
      </c>
      <c r="B7" s="364"/>
      <c r="C7" s="364"/>
      <c r="D7" s="364"/>
    </row>
    <row r="8" spans="1:4" ht="33" customHeight="1" x14ac:dyDescent="0.25">
      <c r="A8" s="364" t="str">
        <f>"Pasport seriyasi: "&amp;malumot!B16&amp;" "&amp;malumot!B20&amp;""</f>
        <v>Pasport seriyasi: AB2646428 NAVOIY VILOYATI NUROTA TUMANI IIB tomonidan 15.01.2016 yilda berilgan</v>
      </c>
      <c r="B8" s="364"/>
      <c r="C8" s="364"/>
      <c r="D8" s="364"/>
    </row>
    <row r="9" spans="1:4" ht="16.5" customHeight="1" x14ac:dyDescent="0.25">
      <c r="A9" s="364" t="str">
        <f>"Asosiy ish joyi : "&amp;malumot!B58&amp;""</f>
        <v>Asosiy ish joyi : Yakka tartibdagi tadbirkor</v>
      </c>
      <c r="B9" s="364"/>
      <c r="C9" s="364"/>
      <c r="D9" s="364"/>
    </row>
    <row r="10" spans="1:4" ht="15.75" customHeight="1" x14ac:dyDescent="0.25">
      <c r="A10" s="364" t="str">
        <f>"Lavozimi: "&amp;malumot!B59&amp;""</f>
        <v>Lavozimi: Yakka tartibdagi tadbirkor</v>
      </c>
      <c r="B10" s="364"/>
      <c r="C10" s="364"/>
      <c r="D10" s="364"/>
    </row>
    <row r="11" spans="1:4" x14ac:dyDescent="0.25">
      <c r="A11" s="364" t="str">
        <f>"O’rtacha oylik daromadi: "&amp;FIXED(malumot!B60,2)&amp;" so'm."</f>
        <v>O’rtacha oylik daromadi: 12 000 000,00 so'm.</v>
      </c>
      <c r="B11" s="364"/>
      <c r="C11" s="364"/>
      <c r="D11" s="364"/>
    </row>
    <row r="12" spans="1:4" x14ac:dyDescent="0.25">
      <c r="A12" s="364" t="str">
        <f>"Menga quyidagi shartlarda "&amp;malumot!B65&amp;" berishingizni so’rayman:"</f>
        <v>Menga quyidagi shartlarda mikroqarz berishingizni so’rayman:</v>
      </c>
      <c r="B12" s="364"/>
      <c r="C12" s="364"/>
      <c r="D12" s="364"/>
    </row>
    <row r="13" spans="1:4" x14ac:dyDescent="0.25">
      <c r="A13" s="364" t="str">
        <f>""&amp;malumot!C64&amp;" summasi: "&amp;FIXED(malumot!B76,2)&amp;" ("&amp;malumot!B77&amp;") so'm."</f>
        <v>Mikroqarz summasi: 40 000 000,00 (qirq million so'm) so'm.</v>
      </c>
      <c r="B13" s="364"/>
      <c r="C13" s="364"/>
      <c r="D13" s="364"/>
    </row>
    <row r="14" spans="1:4" x14ac:dyDescent="0.25">
      <c r="A14" s="364" t="str">
        <f>""&amp;malumot!C64&amp;" muddati: "&amp;malumot!B82&amp;" ("&amp;malumot!B83&amp;") oy."</f>
        <v>Mikroqarz muddati: 36 (O'ttiz olti) oy.</v>
      </c>
      <c r="B14" s="364"/>
      <c r="C14" s="364"/>
      <c r="D14" s="364"/>
    </row>
    <row r="15" spans="1:4" ht="17.25" customHeight="1" x14ac:dyDescent="0.25">
      <c r="A15" s="364" t="str">
        <f>""&amp;malumot!C64&amp;"dan foydalanganlik uchun foiz stavkasi: yillik  "&amp;malumot!B86&amp;"% ("&amp;malumot!B87&amp;") foiz"</f>
        <v>Mikroqarzdan foydalanganlik uchun foiz stavkasi: yillik  60% (Oltmish) foiz</v>
      </c>
      <c r="B15" s="364"/>
      <c r="C15" s="364"/>
      <c r="D15" s="364"/>
    </row>
    <row r="16" spans="1:4" x14ac:dyDescent="0.25">
      <c r="A16" s="364" t="str">
        <f>""&amp;malumot!C64&amp;" bo'yicha asosiy qarz va foizlarni to'lash:"</f>
        <v>Mikroqarz bo'yicha asosiy qarz va foizlarni to'lash:</v>
      </c>
      <c r="B16" s="364"/>
      <c r="C16" s="364"/>
      <c r="D16" s="364"/>
    </row>
    <row r="17" spans="1:5" ht="20.25" hidden="1" customHeight="1" x14ac:dyDescent="0.25">
      <c r="A17" s="365" t="str">
        <f>" - "&amp;malumot!B65&amp;" shartnomasi bo'yicha har oy differensial to'lovlari amalga oshiriladi"</f>
        <v xml:space="preserve"> - mikroqarz shartnomasi bo'yicha har oy differensial to'lovlari amalga oshiriladi</v>
      </c>
      <c r="B17" s="365"/>
      <c r="C17" s="365"/>
      <c r="D17" s="365"/>
    </row>
    <row r="18" spans="1:5" ht="33.75" hidden="1" customHeight="1" x14ac:dyDescent="0.25">
      <c r="A18" s="365" t="str">
        <f>" - "&amp;malumot!B65&amp;" shartnomasi bo'yicha har oy annuitet to'lovlari amalga oshiriladi"</f>
        <v xml:space="preserve"> - mikroqarz shartnomasi bo'yicha har oy annuitet to'lovlari amalga oshiriladi</v>
      </c>
      <c r="B18" s="365"/>
      <c r="C18" s="365"/>
      <c r="D18" s="365"/>
    </row>
    <row r="19" spans="1:5" ht="33.75" customHeight="1" x14ac:dyDescent="0.25">
      <c r="A19" s="365" t="str">
        <f>IF(malumot!B78=malumot!C78,kredit_ariza!A17:D17,IF(malumot!B78=malumot!D78,kredit_ariza!A18:D18))</f>
        <v xml:space="preserve"> - mikroqarz shartnomasi bo'yicha har oy differensial to'lovlari amalga oshiriladi</v>
      </c>
      <c r="B19" s="365"/>
      <c r="C19" s="365"/>
      <c r="D19" s="365"/>
    </row>
    <row r="20" spans="1:5" ht="33.75" hidden="1" customHeight="1" x14ac:dyDescent="0.25">
      <c r="A20" s="364"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64"/>
      <c r="C20" s="364"/>
      <c r="D20" s="364"/>
    </row>
    <row r="21" spans="1:5" x14ac:dyDescent="0.25">
      <c r="A21" s="364" t="str">
        <f>""&amp;malumot!C64&amp;" ta’minoti::"</f>
        <v>Mikroqarz ta’minoti::</v>
      </c>
      <c r="B21" s="364"/>
      <c r="C21" s="364"/>
      <c r="D21" s="364"/>
    </row>
    <row r="22" spans="1:5" ht="81" customHeight="1" x14ac:dyDescent="0.25">
      <c r="A22" s="365" t="str">
        <f>"1. "&amp;IF(malumot!B110="Avtotransport",A26,A23)&amp;""</f>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22" s="365"/>
      <c r="C22" s="365"/>
      <c r="D22" s="365"/>
    </row>
    <row r="23" spans="1:5" ht="79.5" hidden="1" customHeight="1" x14ac:dyDescent="0.25">
      <c r="A23" s="365" t="str">
        <f>IF(malumot!B99=malumot!C99,A25,IF(malumot!B99=malumot!D99,A24,0))</f>
        <v xml:space="preserve"> Egalik huquqi UMAROV YO'LDOSHBOY AVALBEKOVICHga tegishli bo'lgan umumiy maydoni -   va yashash maydoni -   0,  </v>
      </c>
      <c r="B23" s="365"/>
      <c r="C23" s="365"/>
      <c r="D23" s="365"/>
    </row>
    <row r="24" spans="1:5" ht="96.75" hidden="1" customHeight="1" x14ac:dyDescent="0.25">
      <c r="A24" s="365" t="str">
        <f>" - Navbatdagi garov (ipoteka) Egalik huquqi asosida  "&amp;malumot!C124&amp;"ga "&amp;malumot!C133&amp;", umumiy maydoni - "&amp;malumot!C137&amp;" va yashash maydoni - "&amp;malumot!C140&amp;", manzili: "&amp;malumot!C130&amp;"."</f>
        <v xml:space="preserve"> - Navbatdagi garov (ipoteka) Egalik huquqi asosida  UMAROV YO'LDOSHBOY AVALBEKOVICHga  0, umumiy maydoni -  va yashash maydoni - , manzili: .</v>
      </c>
      <c r="B24" s="365"/>
      <c r="C24" s="365"/>
      <c r="D24" s="365"/>
      <c r="E24" s="161"/>
    </row>
    <row r="25" spans="1:5" ht="92.25" hidden="1" customHeight="1" x14ac:dyDescent="0.25">
      <c r="A25" s="365" t="str">
        <f>" Egalik huquqi "&amp;malumot!C124&amp;"ga tegishli bo'lgan umumiy maydoni - "&amp;malumot!C137&amp;"  va yashash maydoni - "&amp;malumot!C140&amp;" "&amp;malumot!C133&amp;", "&amp;malumot!C130&amp;" "</f>
        <v xml:space="preserve"> Egalik huquqi UMAROV YO'LDOSHBOY AVALBEKOVICHga tegishli bo'lgan umumiy maydoni -   va yashash maydoni -   0,  </v>
      </c>
      <c r="B25" s="365"/>
      <c r="C25" s="365"/>
      <c r="D25" s="365"/>
    </row>
    <row r="26" spans="1:5" ht="78" hidden="1" customHeight="1" x14ac:dyDescent="0.25">
      <c r="A26" s="365" t="str">
        <f>IF(malumot!B99=malumot!C99,kredit_ariza!A28:D28,IF(malumot!B99=malumot!D99,kredit_ariza!A27:D27,0))</f>
        <v xml:space="preserve">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26" s="365"/>
      <c r="C26" s="365"/>
      <c r="D26" s="365"/>
    </row>
    <row r="27" spans="1:5" ht="93" hidden="1" customHeight="1" x14ac:dyDescent="0.25">
      <c r="A27" s="365" t="str">
        <f>" Egalik huquqi "&amp;malumot!B124&amp;"ga tegishli bo'lgan "&amp;malumot!B132&amp;", "&amp;malumot!B140&amp;", davlat raqam belgisi "&amp;malumot!B133&amp;", "&amp;malumot!B134&amp;", "&amp;malumot!B137&amp;" avtotransport vositasi "</f>
        <v xml:space="preserve"> Egalik huquqi UMAROV YO'LDOSHBOY AVALBEKOVICHga tegishli bo'lgan CHEVROLET LACETTI SX, rangi -  OQ BELIY, ishlab chiqarilgan yili - 2010, davlat raqam belgisi 85B103PA, kuzov turi - YENGIL SEDAN, kuzov raqami XWB5M31BDAA036806, dvigatel raqami F18D31900191, shassi raqami - Rakamsiz avtotransport vositasi </v>
      </c>
      <c r="B27" s="365"/>
      <c r="C27" s="365"/>
      <c r="D27" s="365"/>
    </row>
    <row r="28" spans="1:5" ht="93.75" hidden="1" customHeight="1" x14ac:dyDescent="0.25">
      <c r="A28" s="365" t="str">
        <f>"  Egalik huquqi "&amp;malumot!B124&amp;"ga tegishli bo'lgan garovga olingan avtomobil markasi   "&amp;malumot!B132&amp;", "&amp;malumot!B140&amp;", davlat raqam belgisi "&amp;malumot!B133&amp;", "&amp;malumot!B134&amp;", "&amp;malumot!B137&amp;""</f>
        <v xml:space="preserve">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28" s="365"/>
      <c r="C28" s="365"/>
      <c r="D28" s="365"/>
    </row>
    <row r="29" spans="1:5" ht="33" customHeight="1" x14ac:dyDescent="0.25">
      <c r="A29" s="252" t="str">
        <f>"2. 	«"&amp;malumot!B153&amp;"» АJ sug‘urta kompaniyasi tomonidan Mikroqarz to'lamaslik xavfini "&amp;FIXED(malumot!B154,2)&amp;"("&amp;malumot!B155&amp;") so ' m miqdoriga sug’urta qilish"</f>
        <v>2. 	«АО "APEX INSURANCE"» АJ sug‘urta kompaniyasi tomonidan Mikroqarz to'lamaslik xavfini 10 000 000,00(o'n million so'm) so ' m miqdoriga sug’urta qilish</v>
      </c>
      <c r="B29" s="252"/>
      <c r="C29" s="252"/>
      <c r="D29" s="252"/>
    </row>
    <row r="30" spans="1:5" ht="10.5" customHeight="1" x14ac:dyDescent="0.25">
      <c r="A30" s="364"/>
      <c r="B30" s="364"/>
      <c r="C30" s="364"/>
      <c r="D30" s="364"/>
    </row>
    <row r="31" spans="1:5" ht="53.25" customHeight="1" x14ac:dyDescent="0.25">
      <c r="A31" s="365" t="str">
        <f>"Mazkur ariza bilan "&amp;malumot!B157&amp;"ga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65"/>
      <c r="C31" s="365"/>
      <c r="D31" s="365"/>
    </row>
    <row r="32" spans="1:5" ht="15.75" customHeight="1" x14ac:dyDescent="0.25">
      <c r="A32" s="365" t="s">
        <v>247</v>
      </c>
      <c r="B32" s="365"/>
      <c r="C32" s="365"/>
      <c r="D32" s="365"/>
    </row>
    <row r="33" spans="1:4" x14ac:dyDescent="0.25">
      <c r="A33" s="365" t="s">
        <v>248</v>
      </c>
      <c r="B33" s="365"/>
      <c r="C33" s="365"/>
      <c r="D33" s="365"/>
    </row>
    <row r="34" spans="1:4" x14ac:dyDescent="0.25">
      <c r="A34" s="365" t="s">
        <v>249</v>
      </c>
      <c r="B34" s="365"/>
      <c r="C34" s="365"/>
      <c r="D34" s="365"/>
    </row>
    <row r="35" spans="1:4" x14ac:dyDescent="0.25">
      <c r="A35" s="364" t="str">
        <f>"Ariza berilgan sana: "&amp;TEXT(malumot!B2,"ДД.ММ.ГГГГ")&amp;"y."</f>
        <v>Ariza berilgan sana: 27.03.2025y.</v>
      </c>
      <c r="B35" s="364"/>
      <c r="C35" s="364"/>
      <c r="D35" s="364"/>
    </row>
    <row r="36" spans="1:4" x14ac:dyDescent="0.25">
      <c r="A36" s="364"/>
      <c r="B36" s="364"/>
      <c r="C36" s="364"/>
      <c r="D36" s="364"/>
    </row>
    <row r="37" spans="1:4" x14ac:dyDescent="0.25">
      <c r="A37" s="364" t="s">
        <v>250</v>
      </c>
      <c r="B37" s="364"/>
      <c r="C37" s="364"/>
      <c r="D37" s="364"/>
    </row>
    <row r="38" spans="1:4" x14ac:dyDescent="0.25">
      <c r="A38" s="364"/>
      <c r="B38" s="364"/>
      <c r="C38" s="364"/>
      <c r="D38" s="364"/>
    </row>
    <row r="39" spans="1:4" x14ac:dyDescent="0.25">
      <c r="A39" s="364"/>
      <c r="B39" s="364"/>
      <c r="C39" s="364"/>
      <c r="D39" s="364"/>
    </row>
    <row r="40" spans="1:4" ht="15.75" customHeight="1" x14ac:dyDescent="0.25">
      <c r="A40" s="320" t="str">
        <f>malumot!B5</f>
        <v>UMAROV YO'LDOSHBOY AVALBEKOVICH</v>
      </c>
      <c r="B40" s="320"/>
      <c r="C40" s="320"/>
      <c r="D40" s="11" t="s">
        <v>4</v>
      </c>
    </row>
    <row r="41" spans="1:4" x14ac:dyDescent="0.25">
      <c r="A41" s="10"/>
      <c r="B41" s="10"/>
      <c r="D41" s="12" t="s">
        <v>327</v>
      </c>
    </row>
    <row r="42" spans="1:4" x14ac:dyDescent="0.25">
      <c r="A42" s="364"/>
      <c r="B42" s="364"/>
      <c r="C42" s="364"/>
      <c r="D42" s="364"/>
    </row>
    <row r="43" spans="1:4" x14ac:dyDescent="0.25">
      <c r="A43" s="387" t="str">
        <f>malumot!A160</f>
        <v>Navoiy  filiali boshlig'i</v>
      </c>
      <c r="B43" s="388"/>
      <c r="C43" s="388"/>
      <c r="D43" s="388" t="str">
        <f>malumot!B160</f>
        <v>T.Rustamov</v>
      </c>
    </row>
    <row r="44" spans="1:4" x14ac:dyDescent="0.25">
      <c r="A44" s="161"/>
      <c r="B44" s="161"/>
      <c r="C44" s="161"/>
      <c r="D44" s="161"/>
    </row>
    <row r="45" spans="1:4" x14ac:dyDescent="0.25">
      <c r="A45" s="161"/>
      <c r="B45" s="161"/>
      <c r="C45" s="161"/>
      <c r="D45" s="161"/>
    </row>
    <row r="46" spans="1:4" x14ac:dyDescent="0.25">
      <c r="A46" s="364"/>
      <c r="B46" s="364"/>
      <c r="C46" s="364"/>
      <c r="D46" s="364"/>
    </row>
    <row r="47" spans="1:4" x14ac:dyDescent="0.25">
      <c r="A47" s="364"/>
      <c r="B47" s="364"/>
      <c r="C47" s="364"/>
      <c r="D47" s="364"/>
    </row>
    <row r="48" spans="1:4" x14ac:dyDescent="0.25">
      <c r="A48" s="364"/>
      <c r="B48" s="364"/>
      <c r="C48" s="364"/>
      <c r="D48" s="364"/>
    </row>
    <row r="49" spans="1:4" x14ac:dyDescent="0.25">
      <c r="A49" s="364"/>
      <c r="B49" s="364"/>
      <c r="C49" s="364"/>
      <c r="D49" s="364"/>
    </row>
    <row r="50" spans="1:4" x14ac:dyDescent="0.25">
      <c r="A50" s="364"/>
      <c r="B50" s="364"/>
      <c r="C50" s="364"/>
      <c r="D50" s="364"/>
    </row>
    <row r="51" spans="1:4" x14ac:dyDescent="0.25">
      <c r="A51" s="364"/>
      <c r="B51" s="364"/>
      <c r="C51" s="364"/>
      <c r="D51" s="364"/>
    </row>
    <row r="52" spans="1:4" x14ac:dyDescent="0.25">
      <c r="A52" s="364"/>
      <c r="B52" s="364"/>
      <c r="C52" s="364"/>
      <c r="D52" s="364"/>
    </row>
    <row r="53" spans="1:4" x14ac:dyDescent="0.25">
      <c r="A53" s="364"/>
      <c r="B53" s="364"/>
      <c r="C53" s="364"/>
      <c r="D53" s="364"/>
    </row>
    <row r="54" spans="1:4" x14ac:dyDescent="0.25">
      <c r="A54" s="364"/>
      <c r="B54" s="364"/>
      <c r="C54" s="364"/>
      <c r="D54" s="364"/>
    </row>
    <row r="55" spans="1:4" x14ac:dyDescent="0.25">
      <c r="A55" s="364"/>
      <c r="B55" s="364"/>
      <c r="C55" s="364"/>
      <c r="D55" s="364"/>
    </row>
    <row r="56" spans="1:4" x14ac:dyDescent="0.25">
      <c r="A56" s="364"/>
      <c r="B56" s="364"/>
      <c r="C56" s="364"/>
      <c r="D56" s="364"/>
    </row>
    <row r="57" spans="1:4" x14ac:dyDescent="0.25">
      <c r="A57" s="364"/>
      <c r="B57" s="364"/>
      <c r="C57" s="364"/>
      <c r="D57" s="364"/>
    </row>
    <row r="58" spans="1:4" x14ac:dyDescent="0.25">
      <c r="A58" s="364"/>
      <c r="B58" s="364"/>
      <c r="C58" s="364"/>
      <c r="D58" s="364"/>
    </row>
    <row r="59" spans="1:4" x14ac:dyDescent="0.25">
      <c r="A59" s="364"/>
      <c r="B59" s="364"/>
      <c r="C59" s="364"/>
      <c r="D59" s="364"/>
    </row>
    <row r="60" spans="1:4" x14ac:dyDescent="0.25">
      <c r="A60" s="364"/>
      <c r="B60" s="364"/>
      <c r="C60" s="364"/>
      <c r="D60" s="364"/>
    </row>
    <row r="61" spans="1:4" x14ac:dyDescent="0.25">
      <c r="A61" s="364"/>
      <c r="B61" s="364"/>
      <c r="C61" s="364"/>
      <c r="D61" s="364"/>
    </row>
    <row r="62" spans="1:4" x14ac:dyDescent="0.25">
      <c r="A62" s="364"/>
      <c r="B62" s="364"/>
      <c r="C62" s="364"/>
      <c r="D62" s="364"/>
    </row>
    <row r="63" spans="1:4" x14ac:dyDescent="0.25">
      <c r="A63" s="364"/>
      <c r="B63" s="364"/>
      <c r="C63" s="364"/>
      <c r="D63" s="364"/>
    </row>
    <row r="64" spans="1:4" x14ac:dyDescent="0.25">
      <c r="A64" s="364"/>
      <c r="B64" s="364"/>
      <c r="C64" s="364"/>
      <c r="D64" s="364"/>
    </row>
    <row r="65" spans="1:4" x14ac:dyDescent="0.25">
      <c r="A65" s="364"/>
      <c r="B65" s="364"/>
      <c r="C65" s="364"/>
      <c r="D65" s="364"/>
    </row>
    <row r="66" spans="1:4" x14ac:dyDescent="0.25">
      <c r="A66" s="364"/>
      <c r="B66" s="364"/>
      <c r="C66" s="364"/>
      <c r="D66" s="364"/>
    </row>
    <row r="67" spans="1:4" x14ac:dyDescent="0.25">
      <c r="A67" s="364"/>
      <c r="B67" s="364"/>
      <c r="C67" s="364"/>
      <c r="D67" s="364"/>
    </row>
    <row r="68" spans="1:4" x14ac:dyDescent="0.25">
      <c r="A68" s="364"/>
      <c r="B68" s="364"/>
      <c r="C68" s="364"/>
      <c r="D68" s="364"/>
    </row>
    <row r="69" spans="1:4" x14ac:dyDescent="0.25">
      <c r="A69" s="364"/>
      <c r="B69" s="364"/>
      <c r="C69" s="364"/>
      <c r="D69" s="364"/>
    </row>
    <row r="70" spans="1:4" x14ac:dyDescent="0.25">
      <c r="A70" s="364"/>
      <c r="B70" s="364"/>
      <c r="C70" s="364"/>
      <c r="D70" s="364"/>
    </row>
    <row r="71" spans="1:4" x14ac:dyDescent="0.25">
      <c r="A71" s="364"/>
      <c r="B71" s="364"/>
      <c r="C71" s="364"/>
      <c r="D71" s="364"/>
    </row>
    <row r="72" spans="1:4" x14ac:dyDescent="0.25">
      <c r="A72" s="364"/>
      <c r="B72" s="364"/>
      <c r="C72" s="364"/>
      <c r="D72" s="364"/>
    </row>
    <row r="73" spans="1:4" x14ac:dyDescent="0.25">
      <c r="A73" s="364"/>
      <c r="B73" s="364"/>
      <c r="C73" s="364"/>
      <c r="D73" s="364"/>
    </row>
    <row r="74" spans="1:4" x14ac:dyDescent="0.25">
      <c r="A74" s="364"/>
      <c r="B74" s="364"/>
      <c r="C74" s="364"/>
      <c r="D74" s="364"/>
    </row>
    <row r="75" spans="1:4" x14ac:dyDescent="0.25">
      <c r="A75" s="364"/>
      <c r="B75" s="364"/>
      <c r="C75" s="364"/>
      <c r="D75" s="364"/>
    </row>
    <row r="76" spans="1:4" x14ac:dyDescent="0.25">
      <c r="A76" s="364"/>
      <c r="B76" s="364"/>
      <c r="C76" s="364"/>
      <c r="D76" s="364"/>
    </row>
    <row r="77" spans="1:4" x14ac:dyDescent="0.25">
      <c r="A77" s="364"/>
      <c r="B77" s="364"/>
      <c r="C77" s="364"/>
      <c r="D77" s="364"/>
    </row>
    <row r="78" spans="1:4" x14ac:dyDescent="0.25">
      <c r="A78" s="364"/>
      <c r="B78" s="364"/>
      <c r="C78" s="364"/>
      <c r="D78" s="364"/>
    </row>
  </sheetData>
  <mergeCells count="72">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36:D36"/>
    <mergeCell ref="A37:D37"/>
    <mergeCell ref="A38:D38"/>
    <mergeCell ref="A39:D39"/>
    <mergeCell ref="A46:D46"/>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5" customWidth="1"/>
    <col min="2" max="2" width="21.28515625" style="15" customWidth="1"/>
    <col min="3" max="3" width="19.140625" style="15" customWidth="1"/>
    <col min="4" max="5" width="21.28515625" style="15" customWidth="1"/>
    <col min="6" max="16384" width="9.140625" style="15"/>
  </cols>
  <sheetData>
    <row r="2" spans="1:5" x14ac:dyDescent="0.25">
      <c r="A2" s="113" t="s">
        <v>48</v>
      </c>
    </row>
    <row r="3" spans="1:5" x14ac:dyDescent="0.25">
      <c r="A3" s="113" t="s">
        <v>49</v>
      </c>
    </row>
    <row r="6" spans="1:5" ht="20.25" customHeight="1" x14ac:dyDescent="0.25">
      <c r="E6" s="114" t="s">
        <v>36</v>
      </c>
    </row>
    <row r="7" spans="1:5" x14ac:dyDescent="0.25">
      <c r="E7" s="114" t="s">
        <v>50</v>
      </c>
    </row>
    <row r="9" spans="1:5" ht="107.25" customHeight="1" x14ac:dyDescent="0.25">
      <c r="A9" s="368"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UMAROV YO'LDOSHBOY AVALBEKOVICH  (паспорт: AB2646428 NAVOIY VILOYATI NUROTA TUMANI IIB tomonidan 15.01.2016 yilda berilgan) заключен договор микрозайма 27 mart 2025 y.dan №680-NVS, на сумму 40 000 000,00 (qirq million so'm) сум, сроком на 36 (O'ttiz olti) месяцев. В качестве своевременного исполнения обязательств по договору Микрозайма 27 mart 2025 y.dan №680-NVS планирует предоставить нижеследующее автотранспортного средство марки CHEVROLET LACETTI SX принадлежащее на правах собственности UMAROV YO'LDOSHBOY AVALBEKOVICH</v>
      </c>
      <c r="B9" s="368"/>
      <c r="C9" s="368"/>
      <c r="D9" s="368"/>
      <c r="E9" s="368"/>
    </row>
    <row r="11" spans="1:5" ht="28.5" x14ac:dyDescent="0.25">
      <c r="A11" s="39" t="str">
        <f>buyruq!A17</f>
        <v>Nomi</v>
      </c>
      <c r="B11" s="39" t="str">
        <f>buyruq!B17</f>
        <v>Kuzov turi  va kuzov raqami*</v>
      </c>
      <c r="C11" s="39" t="str">
        <f>buyruq!C17</f>
        <v>Dvigatel va shassi raqami*</v>
      </c>
      <c r="D11" s="39" t="str">
        <f>buyruq!D17</f>
        <v>Ishlab chiqarilgan yili va rangi*</v>
      </c>
      <c r="E11" s="39" t="str">
        <f>buyruq!E17</f>
        <v>Kelishilgan garov qiymati, so'm</v>
      </c>
    </row>
    <row r="12" spans="1:5" ht="73.5" customHeight="1" x14ac:dyDescent="0.25">
      <c r="A12" s="39" t="str">
        <f>buyruq!A18</f>
        <v>CHEVROLET LACETTI SX</v>
      </c>
      <c r="B12" s="39" t="str">
        <f>buyruq!B18</f>
        <v>kuzov turi - YENGIL SEDAN, kuzov raqami XWB5M31BDAA036806</v>
      </c>
      <c r="C12" s="39" t="str">
        <f>buyruq!C18</f>
        <v>dvigatel raqami F18D31900191, shassi raqami - Rakamsiz</v>
      </c>
      <c r="D12" s="39" t="str">
        <f>buyruq!D18</f>
        <v>rangi -  OQ BELIY, ishlab chiqarilgan yili - 2010</v>
      </c>
      <c r="E12" s="39" t="str">
        <f>buyruq!E18</f>
        <v>45 000 000,00 
(qirq besh million so'm)</v>
      </c>
    </row>
    <row r="13" spans="1:5" x14ac:dyDescent="0.25">
      <c r="A13" s="369" t="str">
        <f>buyruq!A19:E19</f>
        <v>-* avtotransport egasi: UMAROV YO'LDOSHBOY AVALBEKOVICH</v>
      </c>
      <c r="B13" s="369"/>
      <c r="C13" s="369"/>
      <c r="D13" s="369"/>
      <c r="E13" s="369"/>
    </row>
    <row r="14" spans="1:5" x14ac:dyDescent="0.25">
      <c r="A14" s="369" t="str">
        <f>buyruq!A20:E20</f>
        <v>-* texnik pasport: AAG5907774    27.03.2025</v>
      </c>
      <c r="B14" s="369"/>
      <c r="C14" s="369"/>
      <c r="D14" s="369"/>
      <c r="E14" s="369"/>
    </row>
    <row r="15" spans="1:5" x14ac:dyDescent="0.25">
      <c r="A15" s="369" t="str">
        <f>buyruq!A21:E21</f>
        <v>-* roʻyxatdan oʻtgan manzili/garaj manzili: NAVOIY VILOYATI NUROTA TUMANI TEMIRKOVUK MFY YOSHLIK KO'CHASI 67-UY</v>
      </c>
      <c r="B15" s="369"/>
      <c r="C15" s="369"/>
      <c r="D15" s="369"/>
      <c r="E15" s="369"/>
    </row>
    <row r="16" spans="1:5" x14ac:dyDescent="0.25">
      <c r="A16" s="369" t="str">
        <f>buyruq!A22:E22</f>
        <v>-* davlat raqami: 85B103PA</v>
      </c>
      <c r="B16" s="369"/>
      <c r="C16" s="369"/>
      <c r="D16" s="369"/>
      <c r="E16" s="369"/>
    </row>
    <row r="17" spans="1:5" ht="3" customHeight="1" x14ac:dyDescent="0.25"/>
    <row r="19" spans="1:5" ht="59.25" hidden="1" customHeight="1" x14ac:dyDescent="0.25">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x14ac:dyDescent="0.25">
      <c r="A20" s="17" t="e">
        <f>dalolatnoma!A33</f>
        <v>#REF!</v>
      </c>
      <c r="B20" s="17" t="e">
        <f>dalolatnoma!B33</f>
        <v>#REF!</v>
      </c>
      <c r="C20" s="17" t="e">
        <f>dalolatnoma!C33</f>
        <v>#REF!</v>
      </c>
      <c r="D20" s="17" t="e">
        <f>dalolatnoma!D33</f>
        <v>#REF!</v>
      </c>
      <c r="E20" s="302" t="str">
        <f>""&amp;FIXED(malumot!C143,2)&amp;" ("&amp;malumot!C144&amp;")"</f>
        <v>45 000 000,00 (qirq besh million so'm)</v>
      </c>
    </row>
    <row r="21" spans="1:5" ht="17.25" hidden="1" customHeight="1" x14ac:dyDescent="0.25">
      <c r="A21" s="17">
        <f>dalolatnoma!A34</f>
        <v>0</v>
      </c>
      <c r="B21" s="17">
        <f>dalolatnoma!B34</f>
        <v>0</v>
      </c>
      <c r="C21" s="17">
        <f>dalolatnoma!C34</f>
        <v>0</v>
      </c>
      <c r="D21" s="17">
        <f>dalolatnoma!D34</f>
        <v>0</v>
      </c>
      <c r="E21" s="303"/>
    </row>
    <row r="22" spans="1:5" ht="17.25" hidden="1" customHeight="1" x14ac:dyDescent="0.25">
      <c r="A22" s="17" t="e">
        <f>dalolatnoma!A35</f>
        <v>#REF!</v>
      </c>
      <c r="B22" s="17" t="e">
        <f>dalolatnoma!B35</f>
        <v>#REF!</v>
      </c>
      <c r="C22" s="17" t="e">
        <f>dalolatnoma!C35</f>
        <v>#REF!</v>
      </c>
      <c r="D22" s="17" t="e">
        <f>dalolatnoma!D35</f>
        <v>#REF!</v>
      </c>
      <c r="E22" s="303"/>
    </row>
    <row r="23" spans="1:5" ht="17.25" hidden="1" customHeight="1" x14ac:dyDescent="0.25">
      <c r="A23" s="17" t="e">
        <f>dalolatnoma!A36</f>
        <v>#REF!</v>
      </c>
      <c r="B23" s="17" t="e">
        <f>dalolatnoma!B36</f>
        <v>#REF!</v>
      </c>
      <c r="C23" s="17" t="e">
        <f>dalolatnoma!C36</f>
        <v>#REF!</v>
      </c>
      <c r="D23" s="17" t="e">
        <f>dalolatnoma!D36</f>
        <v>#REF!</v>
      </c>
      <c r="E23" s="303"/>
    </row>
    <row r="24" spans="1:5" ht="17.25" hidden="1" customHeight="1" x14ac:dyDescent="0.25">
      <c r="A24" s="17" t="e">
        <f>dalolatnoma!A37</f>
        <v>#REF!</v>
      </c>
      <c r="B24" s="17" t="e">
        <f>dalolatnoma!B37</f>
        <v>#REF!</v>
      </c>
      <c r="C24" s="17" t="e">
        <f>dalolatnoma!C37</f>
        <v>#REF!</v>
      </c>
      <c r="D24" s="17" t="e">
        <f>dalolatnoma!D37</f>
        <v>#REF!</v>
      </c>
      <c r="E24" s="303"/>
    </row>
    <row r="25" spans="1:5" ht="15.75" hidden="1" customHeight="1" x14ac:dyDescent="0.25">
      <c r="A25" s="17" t="e">
        <f>dalolatnoma!A38</f>
        <v>#REF!</v>
      </c>
      <c r="B25" s="17" t="e">
        <f>dalolatnoma!B38</f>
        <v>#REF!</v>
      </c>
      <c r="C25" s="17" t="e">
        <f>dalolatnoma!C38</f>
        <v>#REF!</v>
      </c>
      <c r="D25" s="17" t="e">
        <f>dalolatnoma!D38</f>
        <v>#REF!</v>
      </c>
      <c r="E25" s="303"/>
    </row>
    <row r="26" spans="1:5" ht="17.25" hidden="1" customHeight="1" x14ac:dyDescent="0.25">
      <c r="A26" s="17" t="e">
        <f>dalolatnoma!A39</f>
        <v>#REF!</v>
      </c>
      <c r="B26" s="17" t="e">
        <f>dalolatnoma!B39</f>
        <v>#REF!</v>
      </c>
      <c r="C26" s="17" t="e">
        <f>dalolatnoma!C39</f>
        <v>#REF!</v>
      </c>
      <c r="D26" s="17" t="e">
        <f>dalolatnoma!D39</f>
        <v>#REF!</v>
      </c>
      <c r="E26" s="303"/>
    </row>
    <row r="27" spans="1:5" ht="17.25" hidden="1" customHeight="1" x14ac:dyDescent="0.25">
      <c r="A27" s="17" t="e">
        <f>dalolatnoma!A40</f>
        <v>#REF!</v>
      </c>
      <c r="B27" s="17" t="e">
        <f>dalolatnoma!B40</f>
        <v>#REF!</v>
      </c>
      <c r="C27" s="17" t="e">
        <f>dalolatnoma!C40</f>
        <v>#REF!</v>
      </c>
      <c r="D27" s="17" t="e">
        <f>dalolatnoma!D40</f>
        <v>#REF!</v>
      </c>
      <c r="E27" s="303"/>
    </row>
    <row r="28" spans="1:5" ht="17.25" hidden="1" customHeight="1" x14ac:dyDescent="0.25">
      <c r="A28" s="17" t="e">
        <f>dalolatnoma!A41</f>
        <v>#REF!</v>
      </c>
      <c r="B28" s="17" t="e">
        <f>dalolatnoma!B41</f>
        <v>#REF!</v>
      </c>
      <c r="C28" s="17" t="e">
        <f>dalolatnoma!C41</f>
        <v>#REF!</v>
      </c>
      <c r="D28" s="17" t="e">
        <f>dalolatnoma!D41</f>
        <v>#REF!</v>
      </c>
      <c r="E28" s="303"/>
    </row>
    <row r="29" spans="1:5" ht="17.25" hidden="1" customHeight="1" x14ac:dyDescent="0.25">
      <c r="A29" s="17" t="e">
        <f>dalolatnoma!A42</f>
        <v>#REF!</v>
      </c>
      <c r="B29" s="17" t="e">
        <f>dalolatnoma!B42</f>
        <v>#REF!</v>
      </c>
      <c r="C29" s="17" t="e">
        <f>dalolatnoma!C42</f>
        <v>#REF!</v>
      </c>
      <c r="D29" s="17" t="e">
        <f>dalolatnoma!D42</f>
        <v>#REF!</v>
      </c>
      <c r="E29" s="303"/>
    </row>
    <row r="30" spans="1:5" ht="17.25" hidden="1" customHeight="1" x14ac:dyDescent="0.25">
      <c r="A30" s="17" t="e">
        <f>dalolatnoma!A43</f>
        <v>#REF!</v>
      </c>
      <c r="B30" s="17" t="e">
        <f>dalolatnoma!B43</f>
        <v>#REF!</v>
      </c>
      <c r="C30" s="17" t="e">
        <f>dalolatnoma!C43</f>
        <v>#REF!</v>
      </c>
      <c r="D30" s="17" t="e">
        <f>dalolatnoma!D43</f>
        <v>#REF!</v>
      </c>
      <c r="E30" s="304"/>
    </row>
    <row r="31" spans="1:5" ht="17.25" hidden="1" customHeight="1" x14ac:dyDescent="0.25">
      <c r="A31" s="17" t="e">
        <f>dalolatnoma!A44</f>
        <v>#REF!</v>
      </c>
      <c r="B31" s="17" t="e">
        <f>dalolatnoma!B44</f>
        <v>#REF!</v>
      </c>
      <c r="C31" s="17" t="e">
        <f>dalolatnoma!C44</f>
        <v>#REF!</v>
      </c>
      <c r="D31" s="17" t="e">
        <f>dalolatnoma!D44</f>
        <v>#REF!</v>
      </c>
      <c r="E31" s="17" t="str">
        <f>dalolatnoma!E44</f>
        <v>45 000 000,00</v>
      </c>
    </row>
    <row r="32" spans="1:5" ht="18.75" hidden="1" customHeight="1" x14ac:dyDescent="0.25">
      <c r="A32" s="368" t="e">
        <f>_xlfn.SINGLE(dalolatnoma!#REF!)</f>
        <v>#REF!</v>
      </c>
      <c r="B32" s="368"/>
      <c r="C32" s="368"/>
      <c r="D32" s="368"/>
      <c r="E32" s="368"/>
    </row>
    <row r="33" spans="1:5" ht="24.75" hidden="1" customHeight="1" x14ac:dyDescent="0.25">
      <c r="A33" s="368" t="e">
        <f>_xlfn.SINGLE(dalolatnoma!#REF!)</f>
        <v>#REF!</v>
      </c>
      <c r="B33" s="368"/>
      <c r="C33" s="368"/>
      <c r="D33" s="368"/>
      <c r="E33" s="368"/>
    </row>
    <row r="34" spans="1:5" ht="30.75" hidden="1" customHeight="1" x14ac:dyDescent="0.25">
      <c r="A34" s="368" t="e">
        <f>_xlfn.SINGLE(dalolatnoma!#REF!)</f>
        <v>#REF!</v>
      </c>
      <c r="B34" s="368"/>
      <c r="C34" s="368"/>
      <c r="D34" s="368"/>
      <c r="E34" s="368"/>
    </row>
    <row r="35" spans="1:5" ht="15" hidden="1" customHeight="1" x14ac:dyDescent="0.25">
      <c r="A35" s="368" t="e">
        <f>_xlfn.SINGLE(dalolatnoma!#REF!)</f>
        <v>#REF!</v>
      </c>
      <c r="B35" s="368"/>
      <c r="C35" s="368"/>
      <c r="D35" s="368"/>
      <c r="E35" s="368"/>
    </row>
    <row r="36" spans="1:5" x14ac:dyDescent="0.25">
      <c r="A36" s="22"/>
      <c r="B36" s="22"/>
      <c r="C36" s="22"/>
      <c r="D36" s="22"/>
      <c r="E36" s="22"/>
    </row>
    <row r="37" spans="1:5" s="135" customFormat="1" ht="51" customHeight="1" x14ac:dyDescent="0.25">
      <c r="A37" s="367"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7"/>
      <c r="C37" s="367"/>
      <c r="D37" s="367"/>
      <c r="E37" s="367"/>
    </row>
    <row r="38" spans="1:5" ht="40.5" customHeight="1" x14ac:dyDescent="0.25">
      <c r="A38" s="368" t="str">
        <f>dalolatnoma!A47:E47</f>
        <v>Shu bilan birga, garov predmetining kelishilgan garov qiymati deganda ushbu mulk garov sifatida taqdim etilgan/qabul qilingan qiymati tushuniladi.</v>
      </c>
      <c r="B38" s="368"/>
      <c r="C38" s="368"/>
      <c r="D38" s="368"/>
      <c r="E38" s="368"/>
    </row>
    <row r="39" spans="1:5" ht="39" customHeight="1" x14ac:dyDescent="0.25">
      <c r="A39" s="36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27 mart 2025 y.dan №680-NVS, при сохранении запрета.</v>
      </c>
      <c r="B39" s="368"/>
      <c r="C39" s="368"/>
      <c r="D39" s="368"/>
      <c r="E39" s="368"/>
    </row>
    <row r="40" spans="1:5" x14ac:dyDescent="0.25">
      <c r="A40" s="371"/>
      <c r="B40" s="371"/>
      <c r="C40" s="371"/>
      <c r="D40" s="371"/>
      <c r="E40" s="371"/>
    </row>
    <row r="41" spans="1:5" x14ac:dyDescent="0.25">
      <c r="A41" s="372" t="s">
        <v>37</v>
      </c>
      <c r="B41" s="372"/>
      <c r="C41" s="372"/>
      <c r="D41" s="372"/>
      <c r="E41" s="372"/>
    </row>
    <row r="42" spans="1:5" x14ac:dyDescent="0.25">
      <c r="A42" s="371"/>
      <c r="B42" s="371"/>
      <c r="C42" s="371"/>
      <c r="D42" s="371"/>
      <c r="E42" s="371"/>
    </row>
    <row r="43" spans="1:5" x14ac:dyDescent="0.25">
      <c r="A43" s="372" t="s">
        <v>38</v>
      </c>
      <c r="B43" s="372"/>
      <c r="C43" s="372"/>
      <c r="D43" s="372"/>
      <c r="E43" s="372"/>
    </row>
    <row r="44" spans="1:5" ht="28.5" customHeight="1" x14ac:dyDescent="0.25">
      <c r="A44" s="370" t="s">
        <v>39</v>
      </c>
      <c r="B44" s="370"/>
      <c r="C44" s="370"/>
      <c r="D44" s="370"/>
      <c r="E44" s="115"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
  <sheetViews>
    <sheetView workbookViewId="0">
      <selection activeCell="F24" sqref="F24"/>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31"/>
  <sheetViews>
    <sheetView view="pageBreakPreview" topLeftCell="A10" zoomScaleNormal="100" zoomScaleSheetLayoutView="100" workbookViewId="0">
      <selection activeCell="H31" sqref="H31"/>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7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78"/>
      <c r="C2" s="378"/>
      <c r="D2" s="378"/>
      <c r="E2" s="378"/>
      <c r="F2" s="378"/>
      <c r="G2" s="378"/>
      <c r="H2" s="378"/>
      <c r="I2" s="31"/>
    </row>
    <row r="3" spans="1:9" x14ac:dyDescent="0.2">
      <c r="A3" s="378"/>
      <c r="B3" s="378"/>
      <c r="C3" s="378"/>
      <c r="D3" s="378"/>
      <c r="E3" s="378"/>
      <c r="F3" s="378"/>
      <c r="G3" s="378"/>
      <c r="H3" s="378"/>
      <c r="I3" s="31"/>
    </row>
    <row r="5" spans="1:9" x14ac:dyDescent="0.2">
      <c r="A5" s="24" t="s">
        <v>202</v>
      </c>
      <c r="H5" s="146" t="str">
        <f>TEXT(+malumot!B2+360,"ДД.ММ.ГГГГ")</f>
        <v>22.03.2026</v>
      </c>
    </row>
    <row r="7" spans="1:9" ht="45" customHeight="1" x14ac:dyDescent="0.2">
      <c r="A7" s="380" t="str">
        <f>"      Men, "&amp;malumot!B157&amp;" "&amp;malumot!A160&amp;"i "&amp;malumot!B160&amp;", jismoniy shaxs "&amp;" "&amp;malumot!B5&amp;" "&amp;" "&amp;malumot!B74&amp;"-sonli "&amp;malumot!C64&amp;" shartnomasi bo‘yicha garovga qo‘yilgan mol-mulkni ko‘zdan kechirdim"</f>
        <v xml:space="preserve">      Men, «CLEVER MIKROMOLIYA TASHKILOTI» MChJ Navoiy  filiali boshlig'ii T.Rustamov, jismoniy shaxs  UMAROV YO'LDOSHBOY AVALBEKOVICH  27 mart 2025 y.dan №680-NVS-sonli Mikroqarz shartnomasi bo‘yicha garovga qo‘yilgan mol-mulkni ko‘zdan kechirdim</v>
      </c>
      <c r="B7" s="380"/>
      <c r="C7" s="380"/>
      <c r="D7" s="380"/>
      <c r="E7" s="380"/>
      <c r="F7" s="380"/>
      <c r="G7" s="380"/>
      <c r="H7" s="380"/>
    </row>
    <row r="8" spans="1:9" ht="19.5" customHeight="1" x14ac:dyDescent="0.2">
      <c r="A8" s="381" t="s">
        <v>271</v>
      </c>
      <c r="B8" s="381"/>
      <c r="C8" s="381"/>
      <c r="D8" s="381"/>
      <c r="E8" s="381"/>
      <c r="F8" s="381"/>
      <c r="G8" s="381"/>
      <c r="H8" s="381"/>
    </row>
    <row r="9" spans="1:9" s="147" customFormat="1" ht="32.25" customHeight="1" x14ac:dyDescent="0.25">
      <c r="A9" s="376" t="str">
        <f>akt_monitoring_2!A9</f>
        <v>Nomi</v>
      </c>
      <c r="B9" s="377"/>
      <c r="C9" s="376" t="str">
        <f>akt_monitoring_2!C9</f>
        <v>Kuzov turi  va kuzov raqami*</v>
      </c>
      <c r="D9" s="377"/>
      <c r="E9" s="376" t="str">
        <f>akt_monitoring_2!E9</f>
        <v>Dvigatel va shassi raqami*</v>
      </c>
      <c r="F9" s="377"/>
      <c r="G9" s="376" t="str">
        <f>akt_monitoring_2!G9</f>
        <v>Ishlab chiqarilgan yili va rangi**</v>
      </c>
      <c r="H9" s="377"/>
    </row>
    <row r="10" spans="1:9" s="145" customFormat="1" ht="58.5" customHeight="1" x14ac:dyDescent="0.2">
      <c r="A10" s="374" t="str">
        <f>akt_monitoring_2!A10</f>
        <v>CHEVROLET LACETTI SX</v>
      </c>
      <c r="B10" s="374"/>
      <c r="C10" s="374" t="str">
        <f>akt_monitoring_2!C10</f>
        <v>kuzov turi - YENGIL SEDAN, kuzov raqami XWB5M31BDAA036806</v>
      </c>
      <c r="D10" s="374"/>
      <c r="E10" s="374" t="str">
        <f>akt_monitoring_2!E10</f>
        <v>dvigatel raqami F18D31900191, shassi raqami - Rakamsiz</v>
      </c>
      <c r="F10" s="374"/>
      <c r="G10" s="374" t="str">
        <f>akt_monitoring_2!G10</f>
        <v>rangi -  OQ BELIY, ishlab chiqarilgan yili - 2010</v>
      </c>
      <c r="H10" s="374"/>
    </row>
    <row r="11" spans="1:9" ht="19.5" customHeight="1" x14ac:dyDescent="0.2">
      <c r="A11" s="375" t="str">
        <f>dalolatnoma!A22:E22</f>
        <v>-* avtotransport egasi: UMAROV YO'LDOSHBOY AVALBEKOVICH</v>
      </c>
      <c r="B11" s="375"/>
      <c r="C11" s="375"/>
      <c r="D11" s="375"/>
      <c r="E11" s="375"/>
      <c r="F11" s="375"/>
      <c r="G11" s="375"/>
      <c r="H11" s="375"/>
    </row>
    <row r="12" spans="1:9" ht="19.5" customHeight="1" x14ac:dyDescent="0.2">
      <c r="A12" s="375" t="str">
        <f>dalolatnoma!A23:E23</f>
        <v>-* texnik pasport: AAG5907774    27.03.2025</v>
      </c>
      <c r="B12" s="375"/>
      <c r="C12" s="375"/>
      <c r="D12" s="375"/>
      <c r="E12" s="375"/>
      <c r="F12" s="375"/>
      <c r="G12" s="375"/>
      <c r="H12" s="375"/>
    </row>
    <row r="13" spans="1:9" ht="19.5" customHeight="1" x14ac:dyDescent="0.2">
      <c r="A13" s="375" t="str">
        <f>dalolatnoma!A24:E24</f>
        <v>-* roʻyxatdan oʻtgan manzili/garaj manzili: NAVOIY VILOYATI NUROTA TUMANI TEMIRKOVUK MFY YOSHLIK KO'CHASI 67-UY</v>
      </c>
      <c r="B13" s="375"/>
      <c r="C13" s="375"/>
      <c r="D13" s="375"/>
      <c r="E13" s="375"/>
      <c r="F13" s="375"/>
      <c r="G13" s="375"/>
      <c r="H13" s="375"/>
    </row>
    <row r="14" spans="1:9" ht="19.5" customHeight="1" x14ac:dyDescent="0.2">
      <c r="A14" s="375" t="str">
        <f>dalolatnoma!A25:E25</f>
        <v>-* davlat raqami: 85B103PA</v>
      </c>
      <c r="B14" s="375"/>
      <c r="C14" s="375"/>
      <c r="D14" s="375"/>
      <c r="E14" s="375"/>
      <c r="F14" s="375"/>
      <c r="G14" s="375"/>
      <c r="H14" s="375"/>
    </row>
    <row r="15" spans="1:9" ht="33.75" customHeight="1" x14ac:dyDescent="0.2">
      <c r="A15" s="379" t="str">
        <f>+"Shu bilan birga, yuqoridagi mulkning kelishilgan garov qiymati "&amp;dalolatnoma!E30</f>
        <v>Shu bilan birga, yuqoridagi mulkning kelishilgan garov qiymati 45 000 000,00 
(qirq besh million so'm)</v>
      </c>
      <c r="B15" s="379"/>
      <c r="C15" s="379"/>
      <c r="D15" s="379"/>
      <c r="E15" s="379"/>
      <c r="F15" s="379"/>
      <c r="G15" s="379"/>
      <c r="H15" s="379"/>
    </row>
    <row r="17" spans="1:8" ht="35.25" customHeight="1" x14ac:dyDescent="0.2">
      <c r="A17" s="373" t="s">
        <v>272</v>
      </c>
      <c r="B17" s="373"/>
      <c r="C17" s="373"/>
      <c r="D17" s="373"/>
      <c r="E17" s="373"/>
      <c r="F17" s="373"/>
      <c r="G17" s="373"/>
      <c r="H17" s="373"/>
    </row>
    <row r="21" spans="1:8" s="31" customFormat="1" x14ac:dyDescent="0.2"/>
    <row r="22" spans="1:8" s="31" customFormat="1" x14ac:dyDescent="0.2">
      <c r="A22" s="389" t="str">
        <f>malumot!A160</f>
        <v>Navoiy  filiali boshlig'i</v>
      </c>
      <c r="H22" s="148" t="str">
        <f>malumot!B160</f>
        <v>T.Rustamov</v>
      </c>
    </row>
    <row r="23" spans="1:8" s="31" customFormat="1" x14ac:dyDescent="0.2">
      <c r="H23" s="148"/>
    </row>
    <row r="24" spans="1:8" s="31" customFormat="1" x14ac:dyDescent="0.2"/>
    <row r="25" spans="1:8" s="31" customFormat="1" x14ac:dyDescent="0.2"/>
    <row r="26" spans="1:8" s="31" customFormat="1" x14ac:dyDescent="0.2">
      <c r="H26" s="148"/>
    </row>
    <row r="27" spans="1:8" s="31" customFormat="1" x14ac:dyDescent="0.2">
      <c r="A27" s="31" t="str">
        <f>malumot!A170</f>
        <v>Monitoring bo’limi boshlig’i</v>
      </c>
      <c r="H27" s="31" t="str">
        <f>malumot!B170</f>
        <v>B. Jumanazarov</v>
      </c>
    </row>
    <row r="28" spans="1:8" s="31" customFormat="1" x14ac:dyDescent="0.2"/>
    <row r="29" spans="1:8" s="31" customFormat="1" x14ac:dyDescent="0.2"/>
    <row r="31" spans="1:8" x14ac:dyDescent="0.2">
      <c r="A31" s="31" t="s">
        <v>274</v>
      </c>
      <c r="H31" s="31" t="str">
        <f>malumot!B7</f>
        <v>UMAROV Y.A.</v>
      </c>
    </row>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5">
    <tabColor rgb="FF00B050"/>
  </sheetPr>
  <dimension ref="A1:I35"/>
  <sheetViews>
    <sheetView view="pageBreakPreview" topLeftCell="A7" zoomScaleNormal="100" zoomScaleSheetLayoutView="100" workbookViewId="0">
      <selection activeCell="H27" sqref="H27"/>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x14ac:dyDescent="0.2">
      <c r="A1" s="31"/>
      <c r="B1" s="31"/>
      <c r="C1" s="31"/>
      <c r="D1" s="31"/>
      <c r="E1" s="31"/>
      <c r="F1" s="31"/>
      <c r="G1" s="31"/>
      <c r="H1" s="31"/>
      <c r="I1" s="31"/>
    </row>
    <row r="2" spans="1:9" x14ac:dyDescent="0.2">
      <c r="A2" s="37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78"/>
      <c r="C2" s="378"/>
      <c r="D2" s="378"/>
      <c r="E2" s="378"/>
      <c r="F2" s="378"/>
      <c r="G2" s="378"/>
      <c r="H2" s="378"/>
      <c r="I2" s="31"/>
    </row>
    <row r="3" spans="1:9" x14ac:dyDescent="0.2">
      <c r="A3" s="378"/>
      <c r="B3" s="378"/>
      <c r="C3" s="378"/>
      <c r="D3" s="378"/>
      <c r="E3" s="378"/>
      <c r="F3" s="378"/>
      <c r="G3" s="378"/>
      <c r="H3" s="378"/>
      <c r="I3" s="31"/>
    </row>
    <row r="5" spans="1:9" x14ac:dyDescent="0.2">
      <c r="A5" s="24" t="s">
        <v>202</v>
      </c>
      <c r="F5" s="162"/>
      <c r="H5" s="146" t="str">
        <f>TEXT(malumot!D2,"ДД.ММ.ГГГГ")</f>
        <v>23.09.2025</v>
      </c>
    </row>
    <row r="7" spans="1:9" ht="45" customHeight="1" x14ac:dyDescent="0.2">
      <c r="A7" s="380" t="str">
        <f>"      Men, “СLEVER MIKROMOLYA TASHKILOTI” "&amp;malumot!A160&amp;"i "&amp;malumot!B160&amp;", jismoniy shaxs "&amp;" "&amp;malumot!B5&amp;" "&amp;" "&amp;malumot!B74&amp;"-sonli "&amp;malumot!B65&amp;" shartnomasi bo‘yicha garovga qo‘yilgan mol-mulkni ko‘zdan kechirdim"</f>
        <v xml:space="preserve">      Men, “СLEVER MIKROMOLYA TASHKILOTI” Navoiy  filiali boshlig'ii T.Rustamov, jismoniy shaxs  UMAROV YO'LDOSHBOY AVALBEKOVICH  27 mart 2025 y.dan №680-NVS-sonli mikroqarz shartnomasi bo‘yicha garovga qo‘yilgan mol-mulkni ko‘zdan kechirdim</v>
      </c>
      <c r="B7" s="380"/>
      <c r="C7" s="380"/>
      <c r="D7" s="380"/>
      <c r="E7" s="380"/>
      <c r="F7" s="380"/>
      <c r="G7" s="380"/>
      <c r="H7" s="380"/>
    </row>
    <row r="8" spans="1:9" ht="19.5" customHeight="1" x14ac:dyDescent="0.2">
      <c r="A8" s="381" t="s">
        <v>271</v>
      </c>
      <c r="B8" s="381"/>
      <c r="C8" s="381"/>
      <c r="D8" s="381"/>
      <c r="E8" s="381"/>
      <c r="F8" s="381"/>
      <c r="G8" s="381"/>
      <c r="H8" s="381"/>
    </row>
    <row r="9" spans="1:9" s="147" customFormat="1" ht="32.25" customHeight="1" x14ac:dyDescent="0.25">
      <c r="A9" s="376" t="str">
        <f>dalolatnoma!A20</f>
        <v>Nomi</v>
      </c>
      <c r="B9" s="377"/>
      <c r="C9" s="376" t="str">
        <f>dalolatnoma!B20</f>
        <v>Kuzov turi  va kuzov raqami*</v>
      </c>
      <c r="D9" s="377"/>
      <c r="E9" s="376" t="str">
        <f>dalolatnoma!D20</f>
        <v>Dvigatel va shassi raqami*</v>
      </c>
      <c r="F9" s="377"/>
      <c r="G9" s="376" t="str">
        <f>dalolatnoma!E20</f>
        <v>Ishlab chiqarilgan yili va rangi**</v>
      </c>
      <c r="H9" s="377"/>
    </row>
    <row r="10" spans="1:9" s="145" customFormat="1" ht="58.5" customHeight="1" x14ac:dyDescent="0.2">
      <c r="A10" s="374" t="str">
        <f>dalolatnoma!A21</f>
        <v>CHEVROLET LACETTI SX</v>
      </c>
      <c r="B10" s="374"/>
      <c r="C10" s="374" t="str">
        <f>dalolatnoma!B21</f>
        <v>kuzov turi - YENGIL SEDAN, kuzov raqami XWB5M31BDAA036806</v>
      </c>
      <c r="D10" s="374"/>
      <c r="E10" s="374" t="str">
        <f>dalolatnoma!D21</f>
        <v>dvigatel raqami F18D31900191, shassi raqami - Rakamsiz</v>
      </c>
      <c r="F10" s="374"/>
      <c r="G10" s="374" t="str">
        <f>dalolatnoma!E21</f>
        <v>rangi -  OQ BELIY, ishlab chiqarilgan yili - 2010</v>
      </c>
      <c r="H10" s="374"/>
    </row>
    <row r="11" spans="1:9" ht="19.5" customHeight="1" x14ac:dyDescent="0.2">
      <c r="A11" s="375" t="str">
        <f>dalolatnoma!A22:E22</f>
        <v>-* avtotransport egasi: UMAROV YO'LDOSHBOY AVALBEKOVICH</v>
      </c>
      <c r="B11" s="375"/>
      <c r="C11" s="375"/>
      <c r="D11" s="375"/>
      <c r="E11" s="375"/>
      <c r="F11" s="375"/>
      <c r="G11" s="375"/>
      <c r="H11" s="375"/>
    </row>
    <row r="12" spans="1:9" ht="19.5" customHeight="1" x14ac:dyDescent="0.2">
      <c r="A12" s="375" t="str">
        <f>dalolatnoma!A23:E23</f>
        <v>-* texnik pasport: AAG5907774    27.03.2025</v>
      </c>
      <c r="B12" s="375"/>
      <c r="C12" s="375"/>
      <c r="D12" s="375"/>
      <c r="E12" s="375"/>
      <c r="F12" s="375"/>
      <c r="G12" s="375"/>
      <c r="H12" s="375"/>
    </row>
    <row r="13" spans="1:9" ht="19.5" customHeight="1" x14ac:dyDescent="0.2">
      <c r="A13" s="375" t="str">
        <f>dalolatnoma!A24:E24</f>
        <v>-* roʻyxatdan oʻtgan manzili/garaj manzili: NAVOIY VILOYATI NUROTA TUMANI TEMIRKOVUK MFY YOSHLIK KO'CHASI 67-UY</v>
      </c>
      <c r="B13" s="375"/>
      <c r="C13" s="375"/>
      <c r="D13" s="375"/>
      <c r="E13" s="375"/>
      <c r="F13" s="375"/>
      <c r="G13" s="375"/>
      <c r="H13" s="375"/>
    </row>
    <row r="14" spans="1:9" ht="19.5" customHeight="1" x14ac:dyDescent="0.2">
      <c r="A14" s="375" t="str">
        <f>dalolatnoma!A25:E25</f>
        <v>-* davlat raqami: 85B103PA</v>
      </c>
      <c r="B14" s="375"/>
      <c r="C14" s="375"/>
      <c r="D14" s="375"/>
      <c r="E14" s="375"/>
      <c r="F14" s="375"/>
      <c r="G14" s="375"/>
      <c r="H14" s="375"/>
    </row>
    <row r="15" spans="1:9" ht="33.75" customHeight="1" x14ac:dyDescent="0.2">
      <c r="A15" s="379" t="str">
        <f>+"Shu bilan birga, yuqoridagi mulkning kelishilgan garov qiymati "&amp;dalolatnoma!E30</f>
        <v>Shu bilan birga, yuqoridagi mulkning kelishilgan garov qiymati 45 000 000,00 
(qirq besh million so'm)</v>
      </c>
      <c r="B15" s="379"/>
      <c r="C15" s="379"/>
      <c r="D15" s="379"/>
      <c r="E15" s="379"/>
      <c r="F15" s="379"/>
      <c r="G15" s="379"/>
      <c r="H15" s="379"/>
    </row>
    <row r="17" spans="1:8" ht="27" customHeight="1" x14ac:dyDescent="0.2">
      <c r="A17" s="373" t="s">
        <v>272</v>
      </c>
      <c r="B17" s="373"/>
      <c r="C17" s="373"/>
      <c r="D17" s="373"/>
      <c r="E17" s="373"/>
      <c r="F17" s="373"/>
      <c r="G17" s="373"/>
      <c r="H17" s="373"/>
    </row>
    <row r="21" spans="1:8" s="31" customFormat="1" x14ac:dyDescent="0.2"/>
    <row r="22" spans="1:8" s="31" customFormat="1" x14ac:dyDescent="0.2">
      <c r="A22" s="31" t="str">
        <f>malumot!A160</f>
        <v>Navoiy  filiali boshlig'i</v>
      </c>
      <c r="H22" s="148" t="str">
        <f>malumot!B160</f>
        <v>T.Rustamov</v>
      </c>
    </row>
    <row r="23" spans="1:8" s="31" customFormat="1" x14ac:dyDescent="0.2">
      <c r="H23" s="148"/>
    </row>
    <row r="24" spans="1:8" s="31" customFormat="1" x14ac:dyDescent="0.2">
      <c r="H24" s="148"/>
    </row>
    <row r="25" spans="1:8" s="31" customFormat="1" x14ac:dyDescent="0.2">
      <c r="H25" s="148"/>
    </row>
    <row r="26" spans="1:8" s="31" customFormat="1" x14ac:dyDescent="0.2">
      <c r="H26" s="148"/>
    </row>
    <row r="27" spans="1:8" s="31" customFormat="1" ht="16.5" customHeight="1" x14ac:dyDescent="0.2">
      <c r="A27" s="31" t="s">
        <v>273</v>
      </c>
      <c r="H27" s="31" t="str">
        <f>malumot!B170</f>
        <v>B. Jumanazarov</v>
      </c>
    </row>
    <row r="28" spans="1:8" s="31" customFormat="1" ht="16.5" customHeight="1" x14ac:dyDescent="0.2"/>
    <row r="29" spans="1:8" s="31" customFormat="1" ht="16.5" customHeight="1" x14ac:dyDescent="0.2"/>
    <row r="30" spans="1:8" s="31" customFormat="1" x14ac:dyDescent="0.2"/>
    <row r="31" spans="1:8" s="31" customFormat="1" x14ac:dyDescent="0.2">
      <c r="A31" s="31" t="s">
        <v>274</v>
      </c>
      <c r="H31" s="148" t="str">
        <f>malumot!B7</f>
        <v>UMAROV Y.A.</v>
      </c>
    </row>
    <row r="32" spans="1:8" s="31" customFormat="1" x14ac:dyDescent="0.2"/>
    <row r="33" s="31" customFormat="1" x14ac:dyDescent="0.2"/>
    <row r="34" s="31" customFormat="1" x14ac:dyDescent="0.2"/>
    <row r="35" s="31" customFormat="1" x14ac:dyDescent="0.2"/>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7">
    <tabColor rgb="FF00B050"/>
  </sheetPr>
  <dimension ref="A1:I34"/>
  <sheetViews>
    <sheetView view="pageBreakPreview" topLeftCell="A7" zoomScaleNormal="100" zoomScaleSheetLayoutView="100" workbookViewId="0">
      <selection activeCell="A28" sqref="A28:XFD28"/>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7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78"/>
      <c r="C2" s="378"/>
      <c r="D2" s="378"/>
      <c r="E2" s="378"/>
      <c r="F2" s="378"/>
      <c r="G2" s="378"/>
      <c r="H2" s="378"/>
      <c r="I2" s="31"/>
    </row>
    <row r="3" spans="1:9" x14ac:dyDescent="0.2">
      <c r="A3" s="378"/>
      <c r="B3" s="378"/>
      <c r="C3" s="378"/>
      <c r="D3" s="378"/>
      <c r="E3" s="378"/>
      <c r="F3" s="378"/>
      <c r="G3" s="378"/>
      <c r="H3" s="378"/>
      <c r="I3" s="31"/>
    </row>
    <row r="5" spans="1:9" x14ac:dyDescent="0.2">
      <c r="A5" s="24" t="s">
        <v>202</v>
      </c>
      <c r="H5" s="146" t="str">
        <f>TEXT(+malumot!B2+540,"ДД.ММ.ГГГГ")</f>
        <v>18.09.2026</v>
      </c>
    </row>
    <row r="7" spans="1:9" ht="45" customHeight="1" x14ac:dyDescent="0.2">
      <c r="A7" s="380" t="str">
        <f>"      Men, "&amp;malumot!B157&amp;" "&amp;malumot!A160&amp;"i "&amp;malumot!B160&amp;", jismoniy shaxs "&amp;" "&amp;malumot!B5&amp;" "&amp;" "&amp;malumot!B74&amp;"-sonli "&amp;malumot!C64&amp;" shartnomasi bo‘yicha garovga qo‘yilgan mol-mulkni ko‘zdan kechirdim"</f>
        <v xml:space="preserve">      Men, «CLEVER MIKROMOLIYA TASHKILOTI» MChJ Navoiy  filiali boshlig'ii T.Rustamov, jismoniy shaxs  UMAROV YO'LDOSHBOY AVALBEKOVICH  27 mart 2025 y.dan №680-NVS-sonli Mikroqarz shartnomasi bo‘yicha garovga qo‘yilgan mol-mulkni ko‘zdan kechirdim</v>
      </c>
      <c r="B7" s="380"/>
      <c r="C7" s="380"/>
      <c r="D7" s="380"/>
      <c r="E7" s="380"/>
      <c r="F7" s="380"/>
      <c r="G7" s="380"/>
      <c r="H7" s="380"/>
    </row>
    <row r="8" spans="1:9" ht="19.5" customHeight="1" x14ac:dyDescent="0.2">
      <c r="A8" s="381" t="s">
        <v>271</v>
      </c>
      <c r="B8" s="381"/>
      <c r="C8" s="381"/>
      <c r="D8" s="381"/>
      <c r="E8" s="381"/>
      <c r="F8" s="381"/>
      <c r="G8" s="381"/>
      <c r="H8" s="381"/>
    </row>
    <row r="9" spans="1:9" s="147" customFormat="1" ht="32.25" customHeight="1" x14ac:dyDescent="0.25">
      <c r="A9" s="376" t="str">
        <f>akt_monitoring_2!A9</f>
        <v>Nomi</v>
      </c>
      <c r="B9" s="377"/>
      <c r="C9" s="376" t="str">
        <f>akt_monitoring_2!C9</f>
        <v>Kuzov turi  va kuzov raqami*</v>
      </c>
      <c r="D9" s="377"/>
      <c r="E9" s="376" t="str">
        <f>akt_monitoring_2!E9</f>
        <v>Dvigatel va shassi raqami*</v>
      </c>
      <c r="F9" s="377"/>
      <c r="G9" s="376" t="str">
        <f>akt_monitoring_2!G9</f>
        <v>Ishlab chiqarilgan yili va rangi**</v>
      </c>
      <c r="H9" s="377"/>
    </row>
    <row r="10" spans="1:9" s="145" customFormat="1" ht="58.5" customHeight="1" x14ac:dyDescent="0.2">
      <c r="A10" s="382" t="str">
        <f>akt_monitoring_2!A10</f>
        <v>CHEVROLET LACETTI SX</v>
      </c>
      <c r="B10" s="383"/>
      <c r="C10" s="382" t="str">
        <f>akt_monitoring_2!C10</f>
        <v>kuzov turi - YENGIL SEDAN, kuzov raqami XWB5M31BDAA036806</v>
      </c>
      <c r="D10" s="383"/>
      <c r="E10" s="382" t="str">
        <f>akt_monitoring_2!E10</f>
        <v>dvigatel raqami F18D31900191, shassi raqami - Rakamsiz</v>
      </c>
      <c r="F10" s="383"/>
      <c r="G10" s="382" t="str">
        <f>akt_monitoring_2!G10</f>
        <v>rangi -  OQ BELIY, ishlab chiqarilgan yili - 2010</v>
      </c>
      <c r="H10" s="383"/>
    </row>
    <row r="11" spans="1:9" ht="19.5" customHeight="1" x14ac:dyDescent="0.2">
      <c r="A11" s="375" t="str">
        <f>dalolatnoma!A22:E22</f>
        <v>-* avtotransport egasi: UMAROV YO'LDOSHBOY AVALBEKOVICH</v>
      </c>
      <c r="B11" s="375"/>
      <c r="C11" s="375"/>
      <c r="D11" s="375"/>
      <c r="E11" s="375"/>
      <c r="F11" s="375"/>
      <c r="G11" s="375"/>
      <c r="H11" s="375"/>
    </row>
    <row r="12" spans="1:9" ht="19.5" customHeight="1" x14ac:dyDescent="0.2">
      <c r="A12" s="375" t="str">
        <f>dalolatnoma!A23:E23</f>
        <v>-* texnik pasport: AAG5907774    27.03.2025</v>
      </c>
      <c r="B12" s="375"/>
      <c r="C12" s="375"/>
      <c r="D12" s="375"/>
      <c r="E12" s="375"/>
      <c r="F12" s="375"/>
      <c r="G12" s="375"/>
      <c r="H12" s="375"/>
    </row>
    <row r="13" spans="1:9" ht="19.5" customHeight="1" x14ac:dyDescent="0.2">
      <c r="A13" s="375" t="str">
        <f>dalolatnoma!A24:E24</f>
        <v>-* roʻyxatdan oʻtgan manzili/garaj manzili: NAVOIY VILOYATI NUROTA TUMANI TEMIRKOVUK MFY YOSHLIK KO'CHASI 67-UY</v>
      </c>
      <c r="B13" s="375"/>
      <c r="C13" s="375"/>
      <c r="D13" s="375"/>
      <c r="E13" s="375"/>
      <c r="F13" s="375"/>
      <c r="G13" s="375"/>
      <c r="H13" s="375"/>
    </row>
    <row r="14" spans="1:9" ht="19.5" customHeight="1" x14ac:dyDescent="0.2">
      <c r="A14" s="375" t="str">
        <f>dalolatnoma!A25:E25</f>
        <v>-* davlat raqami: 85B103PA</v>
      </c>
      <c r="B14" s="375"/>
      <c r="C14" s="375"/>
      <c r="D14" s="375"/>
      <c r="E14" s="375"/>
      <c r="F14" s="375"/>
      <c r="G14" s="375"/>
      <c r="H14" s="375"/>
    </row>
    <row r="15" spans="1:9" ht="33.75" customHeight="1" x14ac:dyDescent="0.2">
      <c r="A15" s="379" t="str">
        <f>+"Shu bilan birga, yuqoridagi mulkning kelishilgan garov qiymati "&amp;dalolatnoma!E30</f>
        <v>Shu bilan birga, yuqoridagi mulkning kelishilgan garov qiymati 45 000 000,00 
(qirq besh million so'm)</v>
      </c>
      <c r="B15" s="379"/>
      <c r="C15" s="379"/>
      <c r="D15" s="379"/>
      <c r="E15" s="379"/>
      <c r="F15" s="379"/>
      <c r="G15" s="379"/>
      <c r="H15" s="379"/>
    </row>
    <row r="17" spans="1:8" s="145" customFormat="1" ht="32.25" customHeight="1" x14ac:dyDescent="0.2">
      <c r="A17" s="373" t="s">
        <v>272</v>
      </c>
      <c r="B17" s="373"/>
      <c r="C17" s="373"/>
      <c r="D17" s="373"/>
      <c r="E17" s="373"/>
      <c r="F17" s="373"/>
      <c r="G17" s="373"/>
      <c r="H17" s="373"/>
    </row>
    <row r="21" spans="1:8" s="31" customFormat="1" x14ac:dyDescent="0.2"/>
    <row r="22" spans="1:8" s="31" customFormat="1" x14ac:dyDescent="0.2">
      <c r="A22" s="31" t="str">
        <f>malumot!A160</f>
        <v>Navoiy  filiali boshlig'i</v>
      </c>
      <c r="H22" s="148" t="str">
        <f>malumot!B160</f>
        <v>T.Rustamov</v>
      </c>
    </row>
    <row r="23" spans="1:8" s="31" customFormat="1" x14ac:dyDescent="0.2">
      <c r="H23" s="148"/>
    </row>
    <row r="24" spans="1:8" s="31" customFormat="1" x14ac:dyDescent="0.2">
      <c r="H24" s="148"/>
    </row>
    <row r="25" spans="1:8" s="31" customFormat="1" x14ac:dyDescent="0.2">
      <c r="H25" s="148"/>
    </row>
    <row r="26" spans="1:8" s="31" customFormat="1" x14ac:dyDescent="0.2">
      <c r="H26" s="148"/>
    </row>
    <row r="27" spans="1:8" s="31" customFormat="1" ht="16.5" customHeight="1" x14ac:dyDescent="0.2">
      <c r="A27" s="31" t="s">
        <v>273</v>
      </c>
      <c r="H27" s="31" t="str">
        <f>malumot!B170</f>
        <v>B. Jumanazarov</v>
      </c>
    </row>
    <row r="28" spans="1:8" s="31" customFormat="1" ht="16.5" customHeight="1" x14ac:dyDescent="0.2"/>
    <row r="29" spans="1:8" s="31" customFormat="1" ht="16.5" customHeight="1" x14ac:dyDescent="0.2"/>
    <row r="30" spans="1:8" s="31" customFormat="1" x14ac:dyDescent="0.2"/>
    <row r="31" spans="1:8" s="31" customFormat="1" x14ac:dyDescent="0.2">
      <c r="A31" s="31" t="s">
        <v>274</v>
      </c>
      <c r="H31" s="148" t="str">
        <f>malumot!B7</f>
        <v>UMAROV Y.A.</v>
      </c>
    </row>
    <row r="32" spans="1:8" s="31" customFormat="1" x14ac:dyDescent="0.2"/>
    <row r="33" s="31" customFormat="1" x14ac:dyDescent="0.2"/>
    <row r="34"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8">
    <tabColor rgb="FF00B050"/>
  </sheetPr>
  <dimension ref="A1:I34"/>
  <sheetViews>
    <sheetView tabSelected="1" view="pageBreakPreview" topLeftCell="A6" zoomScaleNormal="100" zoomScaleSheetLayoutView="100" workbookViewId="0">
      <selection activeCell="A27" sqref="A27"/>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7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78"/>
      <c r="C2" s="378"/>
      <c r="D2" s="378"/>
      <c r="E2" s="378"/>
      <c r="F2" s="378"/>
      <c r="G2" s="378"/>
      <c r="H2" s="378"/>
      <c r="I2" s="31"/>
    </row>
    <row r="3" spans="1:9" x14ac:dyDescent="0.2">
      <c r="A3" s="378"/>
      <c r="B3" s="378"/>
      <c r="C3" s="378"/>
      <c r="D3" s="378"/>
      <c r="E3" s="378"/>
      <c r="F3" s="378"/>
      <c r="G3" s="378"/>
      <c r="H3" s="378"/>
      <c r="I3" s="31"/>
    </row>
    <row r="5" spans="1:9" x14ac:dyDescent="0.2">
      <c r="A5" s="24" t="s">
        <v>202</v>
      </c>
      <c r="H5" s="146" t="str">
        <f>TEXT(+malumot!B2+720,"ДД.ММ.ГГГГ")</f>
        <v>17.03.2027</v>
      </c>
    </row>
    <row r="7" spans="1:9" ht="45" customHeight="1" x14ac:dyDescent="0.2">
      <c r="A7" s="380" t="str">
        <f>"      Men, "&amp;malumot!B157&amp;" "&amp;malumot!A160&amp;"i "&amp;malumot!B160&amp;", jismoniy shaxs "&amp;" "&amp;malumot!B5&amp;" "&amp;" "&amp;malumot!B74&amp;"-sonli "&amp;malumot!C64&amp;" shartnomasi bo‘yicha garovga qo‘yilgan mol-mulkni ko‘zdan kechirdim"</f>
        <v xml:space="preserve">      Men, «CLEVER MIKROMOLIYA TASHKILOTI» MChJ Navoiy  filiali boshlig'ii T.Rustamov, jismoniy shaxs  UMAROV YO'LDOSHBOY AVALBEKOVICH  27 mart 2025 y.dan №680-NVS-sonli Mikroqarz shartnomasi bo‘yicha garovga qo‘yilgan mol-mulkni ko‘zdan kechirdim</v>
      </c>
      <c r="B7" s="380"/>
      <c r="C7" s="380"/>
      <c r="D7" s="380"/>
      <c r="E7" s="380"/>
      <c r="F7" s="380"/>
      <c r="G7" s="380"/>
      <c r="H7" s="380"/>
    </row>
    <row r="8" spans="1:9" ht="19.5" customHeight="1" x14ac:dyDescent="0.2">
      <c r="A8" s="381" t="s">
        <v>271</v>
      </c>
      <c r="B8" s="381"/>
      <c r="C8" s="381"/>
      <c r="D8" s="381"/>
      <c r="E8" s="381"/>
      <c r="F8" s="381"/>
      <c r="G8" s="381"/>
      <c r="H8" s="381"/>
    </row>
    <row r="9" spans="1:9" s="147" customFormat="1" ht="32.25" customHeight="1" x14ac:dyDescent="0.25">
      <c r="A9" s="376" t="str">
        <f>akt_monitoring_2!A9</f>
        <v>Nomi</v>
      </c>
      <c r="B9" s="377"/>
      <c r="C9" s="376" t="str">
        <f>akt_monitoring_2!C9</f>
        <v>Kuzov turi  va kuzov raqami*</v>
      </c>
      <c r="D9" s="377"/>
      <c r="E9" s="376" t="str">
        <f>akt_monitoring_2!E9</f>
        <v>Dvigatel va shassi raqami*</v>
      </c>
      <c r="F9" s="377"/>
      <c r="G9" s="376" t="str">
        <f>akt_monitoring_2!G9</f>
        <v>Ishlab chiqarilgan yili va rangi**</v>
      </c>
      <c r="H9" s="377"/>
    </row>
    <row r="10" spans="1:9" s="145" customFormat="1" ht="58.5" customHeight="1" x14ac:dyDescent="0.2">
      <c r="A10" s="374" t="str">
        <f>akt_monitoring_2!A10</f>
        <v>CHEVROLET LACETTI SX</v>
      </c>
      <c r="B10" s="374"/>
      <c r="C10" s="374" t="str">
        <f>akt_monitoring_2!C10</f>
        <v>kuzov turi - YENGIL SEDAN, kuzov raqami XWB5M31BDAA036806</v>
      </c>
      <c r="D10" s="374"/>
      <c r="E10" s="374" t="str">
        <f>akt_monitoring_2!E10</f>
        <v>dvigatel raqami F18D31900191, shassi raqami - Rakamsiz</v>
      </c>
      <c r="F10" s="374"/>
      <c r="G10" s="374" t="str">
        <f>akt_monitoring_2!G10</f>
        <v>rangi -  OQ BELIY, ishlab chiqarilgan yili - 2010</v>
      </c>
      <c r="H10" s="374"/>
    </row>
    <row r="11" spans="1:9" ht="19.5" customHeight="1" x14ac:dyDescent="0.2">
      <c r="A11" s="375" t="str">
        <f>dalolatnoma!A22:E22</f>
        <v>-* avtotransport egasi: UMAROV YO'LDOSHBOY AVALBEKOVICH</v>
      </c>
      <c r="B11" s="375"/>
      <c r="C11" s="375"/>
      <c r="D11" s="375"/>
      <c r="E11" s="375"/>
      <c r="F11" s="375"/>
      <c r="G11" s="375"/>
      <c r="H11" s="375"/>
    </row>
    <row r="12" spans="1:9" ht="19.5" customHeight="1" x14ac:dyDescent="0.2">
      <c r="A12" s="375" t="str">
        <f>dalolatnoma!A23:E23</f>
        <v>-* texnik pasport: AAG5907774    27.03.2025</v>
      </c>
      <c r="B12" s="375"/>
      <c r="C12" s="375"/>
      <c r="D12" s="375"/>
      <c r="E12" s="375"/>
      <c r="F12" s="375"/>
      <c r="G12" s="375"/>
      <c r="H12" s="375"/>
    </row>
    <row r="13" spans="1:9" ht="19.5" customHeight="1" x14ac:dyDescent="0.2">
      <c r="A13" s="375" t="str">
        <f>dalolatnoma!A24:E24</f>
        <v>-* roʻyxatdan oʻtgan manzili/garaj manzili: NAVOIY VILOYATI NUROTA TUMANI TEMIRKOVUK MFY YOSHLIK KO'CHASI 67-UY</v>
      </c>
      <c r="B13" s="375"/>
      <c r="C13" s="375"/>
      <c r="D13" s="375"/>
      <c r="E13" s="375"/>
      <c r="F13" s="375"/>
      <c r="G13" s="375"/>
      <c r="H13" s="375"/>
    </row>
    <row r="14" spans="1:9" ht="19.5" customHeight="1" x14ac:dyDescent="0.2">
      <c r="A14" s="375" t="str">
        <f>dalolatnoma!A25:E25</f>
        <v>-* davlat raqami: 85B103PA</v>
      </c>
      <c r="B14" s="375"/>
      <c r="C14" s="375"/>
      <c r="D14" s="375"/>
      <c r="E14" s="375"/>
      <c r="F14" s="375"/>
      <c r="G14" s="375"/>
      <c r="H14" s="375"/>
    </row>
    <row r="15" spans="1:9" ht="33.75" customHeight="1" x14ac:dyDescent="0.2">
      <c r="A15" s="379" t="str">
        <f>+"Shu bilan birga, yuqoridagi mulkning kelishilgan garov qiymati "&amp;dalolatnoma!E30</f>
        <v>Shu bilan birga, yuqoridagi mulkning kelishilgan garov qiymati 45 000 000,00 
(qirq besh million so'm)</v>
      </c>
      <c r="B15" s="379"/>
      <c r="C15" s="379"/>
      <c r="D15" s="379"/>
      <c r="E15" s="379"/>
      <c r="F15" s="379"/>
      <c r="G15" s="379"/>
      <c r="H15" s="379"/>
    </row>
    <row r="17" spans="1:8" ht="28.5" customHeight="1" x14ac:dyDescent="0.2">
      <c r="A17" s="373" t="s">
        <v>272</v>
      </c>
      <c r="B17" s="373"/>
      <c r="C17" s="373"/>
      <c r="D17" s="373"/>
      <c r="E17" s="373"/>
      <c r="F17" s="373"/>
      <c r="G17" s="373"/>
      <c r="H17" s="373"/>
    </row>
    <row r="21" spans="1:8" s="31" customFormat="1" x14ac:dyDescent="0.2"/>
    <row r="22" spans="1:8" s="31" customFormat="1" x14ac:dyDescent="0.2">
      <c r="A22" s="31" t="str">
        <f>malumot!A160</f>
        <v>Navoiy  filiali boshlig'i</v>
      </c>
      <c r="H22" s="148" t="str">
        <f>malumot!B160</f>
        <v>T.Rustamov</v>
      </c>
    </row>
    <row r="23" spans="1:8" s="31" customFormat="1" x14ac:dyDescent="0.2">
      <c r="H23" s="148"/>
    </row>
    <row r="24" spans="1:8" s="31" customFormat="1" x14ac:dyDescent="0.2">
      <c r="H24" s="148"/>
    </row>
    <row r="25" spans="1:8" s="31" customFormat="1" x14ac:dyDescent="0.2">
      <c r="H25" s="148"/>
    </row>
    <row r="26" spans="1:8" s="31" customFormat="1" x14ac:dyDescent="0.2">
      <c r="H26" s="148"/>
    </row>
    <row r="27" spans="1:8" s="31" customFormat="1" ht="16.5" customHeight="1" x14ac:dyDescent="0.2">
      <c r="A27" s="31" t="s">
        <v>273</v>
      </c>
      <c r="H27" s="31" t="str">
        <f>malumot!B170</f>
        <v>B. Jumanazarov</v>
      </c>
    </row>
    <row r="28" spans="1:8" s="31" customFormat="1" x14ac:dyDescent="0.2"/>
    <row r="29" spans="1:8" s="31" customFormat="1" x14ac:dyDescent="0.2"/>
    <row r="30" spans="1:8" s="31" customFormat="1" x14ac:dyDescent="0.2"/>
    <row r="31" spans="1:8" s="31" customFormat="1" x14ac:dyDescent="0.2">
      <c r="A31" s="31" t="s">
        <v>274</v>
      </c>
      <c r="H31" s="148" t="str">
        <f>malumot!B7</f>
        <v>UMAROV Y.A.</v>
      </c>
    </row>
    <row r="32" spans="1:8" s="31" customFormat="1" x14ac:dyDescent="0.2"/>
    <row r="33" s="31" customFormat="1" x14ac:dyDescent="0.2"/>
    <row r="34"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21">
    <tabColor rgb="FF00B050"/>
  </sheetPr>
  <dimension ref="A2:H33"/>
  <sheetViews>
    <sheetView view="pageBreakPreview" zoomScaleNormal="100" zoomScaleSheetLayoutView="100" workbookViewId="0">
      <selection activeCell="A2" sqref="A2:E2"/>
    </sheetView>
  </sheetViews>
  <sheetFormatPr defaultColWidth="9.140625" defaultRowHeight="15.75" x14ac:dyDescent="0.25"/>
  <cols>
    <col min="1" max="2" width="17.42578125" style="127" customWidth="1"/>
    <col min="3" max="3" width="29.85546875" style="127" customWidth="1"/>
    <col min="4" max="4" width="18.140625" style="127" customWidth="1"/>
    <col min="5" max="5" width="6.5703125" style="127" customWidth="1"/>
    <col min="6" max="16384" width="9.140625" style="127"/>
  </cols>
  <sheetData>
    <row r="2" spans="1:5" x14ac:dyDescent="0.25">
      <c r="A2" s="348" t="s">
        <v>236</v>
      </c>
      <c r="B2" s="348"/>
      <c r="C2" s="348"/>
      <c r="D2" s="348"/>
      <c r="E2" s="348"/>
    </row>
    <row r="3" spans="1:5" x14ac:dyDescent="0.25">
      <c r="E3" s="126" t="str">
        <f>malumot!B68</f>
        <v>27 mart 2025 y.</v>
      </c>
    </row>
    <row r="5" spans="1:5" s="128" customFormat="1" ht="27" customHeight="1" x14ac:dyDescent="0.25">
      <c r="A5" s="352" t="s">
        <v>237</v>
      </c>
      <c r="B5" s="353"/>
      <c r="C5" s="349" t="str">
        <f>malumot!B8</f>
        <v>UMAROV YO'LDOSHBOY AVALBEKOVICH</v>
      </c>
      <c r="D5" s="350"/>
      <c r="E5" s="351"/>
    </row>
    <row r="7" spans="1:5" ht="15.75" customHeight="1" x14ac:dyDescent="0.25">
      <c r="A7" s="354" t="s">
        <v>351</v>
      </c>
      <c r="B7" s="355"/>
      <c r="C7" s="356"/>
      <c r="D7" s="129" t="s">
        <v>132</v>
      </c>
      <c r="E7" s="129"/>
    </row>
    <row r="8" spans="1:5" x14ac:dyDescent="0.25">
      <c r="A8" s="357"/>
      <c r="B8" s="358"/>
      <c r="C8" s="359"/>
      <c r="D8" s="129" t="s">
        <v>241</v>
      </c>
      <c r="E8" s="129"/>
    </row>
    <row r="9" spans="1:5" ht="15.75" customHeight="1" x14ac:dyDescent="0.25">
      <c r="A9" s="360" t="s">
        <v>238</v>
      </c>
      <c r="B9" s="360"/>
      <c r="C9" s="360"/>
      <c r="D9" s="129" t="s">
        <v>132</v>
      </c>
      <c r="E9" s="129"/>
    </row>
    <row r="10" spans="1:5" x14ac:dyDescent="0.25">
      <c r="A10" s="360"/>
      <c r="B10" s="360"/>
      <c r="C10" s="360"/>
      <c r="D10" s="129" t="s">
        <v>241</v>
      </c>
      <c r="E10" s="129"/>
    </row>
    <row r="11" spans="1:5" ht="15.75" customHeight="1" x14ac:dyDescent="0.25">
      <c r="A11" s="360" t="s">
        <v>239</v>
      </c>
      <c r="B11" s="360"/>
      <c r="C11" s="360"/>
      <c r="D11" s="129" t="s">
        <v>132</v>
      </c>
      <c r="E11" s="129"/>
    </row>
    <row r="12" spans="1:5" x14ac:dyDescent="0.25">
      <c r="A12" s="360"/>
      <c r="B12" s="360"/>
      <c r="C12" s="360"/>
      <c r="D12" s="129" t="s">
        <v>241</v>
      </c>
      <c r="E12" s="129"/>
    </row>
    <row r="13" spans="1:5" ht="34.5" customHeight="1" x14ac:dyDescent="0.25">
      <c r="A13" s="361" t="s">
        <v>240</v>
      </c>
      <c r="B13" s="361"/>
      <c r="C13" s="361"/>
      <c r="D13" s="361"/>
      <c r="E13" s="361"/>
    </row>
    <row r="14" spans="1:5" ht="16.5" thickBot="1" x14ac:dyDescent="0.3">
      <c r="A14" s="362"/>
      <c r="B14" s="362"/>
      <c r="C14" s="362"/>
      <c r="D14" s="362"/>
      <c r="E14" s="362"/>
    </row>
    <row r="15" spans="1:5" ht="16.5" thickBot="1" x14ac:dyDescent="0.3">
      <c r="A15" s="362"/>
      <c r="B15" s="362"/>
      <c r="C15" s="362"/>
      <c r="D15" s="362"/>
      <c r="E15" s="362"/>
    </row>
    <row r="16" spans="1:5" ht="16.5" thickBot="1" x14ac:dyDescent="0.3">
      <c r="A16" s="362"/>
      <c r="B16" s="362"/>
      <c r="C16" s="362"/>
      <c r="D16" s="362"/>
      <c r="E16" s="362"/>
    </row>
    <row r="18" spans="1:8" ht="18.75" customHeight="1" x14ac:dyDescent="0.25">
      <c r="A18" s="360" t="s">
        <v>242</v>
      </c>
      <c r="B18" s="360"/>
      <c r="C18" s="360"/>
      <c r="D18" s="129" t="s">
        <v>132</v>
      </c>
      <c r="E18" s="129"/>
    </row>
    <row r="19" spans="1:8" ht="18.75" customHeight="1" x14ac:dyDescent="0.25">
      <c r="A19" s="360"/>
      <c r="B19" s="360"/>
      <c r="C19" s="360"/>
      <c r="D19" s="129" t="s">
        <v>241</v>
      </c>
      <c r="E19" s="129"/>
    </row>
    <row r="20" spans="1:8" ht="29.25" customHeight="1" x14ac:dyDescent="0.25">
      <c r="A20" s="360" t="s">
        <v>243</v>
      </c>
      <c r="B20" s="360"/>
      <c r="C20" s="360"/>
      <c r="D20" s="129" t="s">
        <v>132</v>
      </c>
      <c r="E20" s="129"/>
    </row>
    <row r="21" spans="1:8" ht="29.25" customHeight="1" x14ac:dyDescent="0.25">
      <c r="A21" s="360"/>
      <c r="B21" s="360"/>
      <c r="C21" s="360"/>
      <c r="D21" s="129" t="s">
        <v>241</v>
      </c>
      <c r="E21" s="129"/>
    </row>
    <row r="23" spans="1:8" ht="15.75" customHeight="1" x14ac:dyDescent="0.25">
      <c r="A23" s="361" t="s">
        <v>244</v>
      </c>
      <c r="B23" s="361"/>
      <c r="C23" s="361"/>
      <c r="D23" s="361"/>
      <c r="E23" s="361"/>
    </row>
    <row r="24" spans="1:8" ht="16.5" thickBot="1" x14ac:dyDescent="0.3">
      <c r="A24" s="362"/>
      <c r="B24" s="362"/>
      <c r="C24" s="362"/>
      <c r="D24" s="362"/>
      <c r="E24" s="362"/>
    </row>
    <row r="25" spans="1:8" ht="16.5" thickBot="1" x14ac:dyDescent="0.3">
      <c r="A25" s="362"/>
      <c r="B25" s="362"/>
      <c r="C25" s="362"/>
      <c r="D25" s="362"/>
      <c r="E25" s="362"/>
    </row>
    <row r="26" spans="1:8" ht="16.5" thickBot="1" x14ac:dyDescent="0.3">
      <c r="A26" s="362"/>
      <c r="B26" s="362"/>
      <c r="C26" s="362"/>
      <c r="D26" s="362"/>
      <c r="E26" s="362"/>
    </row>
    <row r="28" spans="1:8" ht="78.75" customHeight="1" x14ac:dyDescent="0.25">
      <c r="A28" s="363" t="s">
        <v>245</v>
      </c>
      <c r="B28" s="363"/>
      <c r="C28" s="363"/>
      <c r="D28" s="363"/>
      <c r="E28" s="363"/>
    </row>
    <row r="30" spans="1:8" ht="33" customHeight="1" x14ac:dyDescent="0.25">
      <c r="A30" s="363" t="s">
        <v>246</v>
      </c>
      <c r="B30" s="363"/>
      <c r="C30" s="363"/>
      <c r="D30" s="363"/>
      <c r="E30" s="363"/>
      <c r="F30" s="130"/>
      <c r="G30" s="130"/>
      <c r="H30" s="130"/>
    </row>
    <row r="33" spans="1:5" ht="16.5" thickBot="1" x14ac:dyDescent="0.3">
      <c r="A33" s="131" t="str">
        <f>C5</f>
        <v>UMAROV YO'LDOSHBOY AVALBEKOVICH</v>
      </c>
      <c r="D33" s="132"/>
      <c r="E33" s="133"/>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15</vt:i4>
      </vt:variant>
    </vt:vector>
  </HeadingPairs>
  <TitlesOfParts>
    <vt:vector size="37"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kredit_ariza</vt:lpstr>
      <vt:lpstr>Письмо</vt:lpstr>
      <vt:lpstr>garov_ariza</vt:lpstr>
      <vt:lpstr>akt_monitoring_1</vt:lpstr>
      <vt:lpstr>akt_monitoring_2</vt:lpstr>
      <vt:lpstr>akt_monitoring_3</vt:lpstr>
      <vt:lpstr>akt_monitoring_4</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grafik!Область_печати</vt:lpstr>
      <vt:lpstr>kredit_ariza!Область_печати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Admin</cp:lastModifiedBy>
  <cp:lastPrinted>2025-03-27T07:58:35Z</cp:lastPrinted>
  <dcterms:created xsi:type="dcterms:W3CDTF">2015-06-05T18:19:34Z</dcterms:created>
  <dcterms:modified xsi:type="dcterms:W3CDTF">2025-03-27T12:00:19Z</dcterms:modified>
</cp:coreProperties>
</file>