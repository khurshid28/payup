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C:\Users\Admin\PycharmProjects\payup\media\"/>
    </mc:Choice>
  </mc:AlternateContent>
  <xr:revisionPtr revIDLastSave="0" documentId="13_ncr:1_{11DC98CB-AC7A-4D9C-9A38-14343D49755E}" xr6:coauthVersionLast="47" xr6:coauthVersionMax="47" xr10:uidLastSave="{00000000-0000-0000-0000-000000000000}"/>
  <bookViews>
    <workbookView xWindow="-120" yWindow="-120" windowWidth="29040" windowHeight="15840" tabRatio="915" activeTab="12" xr2:uid="{00000000-000D-0000-FFFF-FFFF00000000}"/>
  </bookViews>
  <sheets>
    <sheet name="malumot" sheetId="1" r:id="rId1"/>
    <sheet name="shartnoma" sheetId="19" r:id="rId2"/>
    <sheet name="buyruq" sheetId="8" r:id="rId3"/>
    <sheet name="bayonnoma" sheetId="23" r:id="rId4"/>
    <sheet name="График дифференц" sheetId="15" state="hidden" r:id="rId5"/>
    <sheet name="Данные для послед. Залога" sheetId="21" state="hidden" r:id="rId6"/>
    <sheet name="График аннуитет." sheetId="12" state="hidden" r:id="rId7"/>
    <sheet name="xulosa" sheetId="3" r:id="rId8"/>
    <sheet name="dalolatnoma" sheetId="7" r:id="rId9"/>
    <sheet name="grafik" sheetId="16" r:id="rId10"/>
    <sheet name="ariza" sheetId="32" r:id="rId11"/>
    <sheet name="muqova" sheetId="9" r:id="rId12"/>
    <sheet name="mijoz_anketasi" sheetId="4" r:id="rId13"/>
    <sheet name="majburiyatnoma" sheetId="24" r:id="rId14"/>
    <sheet name="Лист2" sheetId="31" r:id="rId15"/>
    <sheet name="Анкета 2" sheetId="22" r:id="rId16"/>
    <sheet name="Кредитная заявка" sheetId="2" r:id="rId17"/>
    <sheet name="Письмо" sheetId="20" state="hidden" r:id="rId18"/>
    <sheet name=" Акт мониторинга 2" sheetId="27" r:id="rId19"/>
    <sheet name=" Акт мониторинга 1" sheetId="26" r:id="rId20"/>
    <sheet name=" Акт мониторинга 3" sheetId="28" r:id="rId21"/>
    <sheet name=" Акт мониторинга 4" sheetId="29" r:id="rId22"/>
  </sheets>
  <externalReferences>
    <externalReference r:id="rId23"/>
  </externalReferences>
  <definedNames>
    <definedName name="mos">'[1]Общие данные'!$C$23:$D$23</definedName>
    <definedName name="mulk">'[1]Общие данные'!$C$24:$W$24</definedName>
    <definedName name="_xlnm.Print_Area" localSheetId="10">ariza!$A$1:$D$24</definedName>
    <definedName name="_xlnm.Print_Area" localSheetId="3">bayonnoma!$A$1:$E$41</definedName>
    <definedName name="_xlnm.Print_Area" localSheetId="2">buyruq!$A$1:$E$29</definedName>
    <definedName name="_xlnm.Print_Area" localSheetId="8">dalolatnoma!$A$2:$E$64</definedName>
    <definedName name="_xlnm.Print_Area" localSheetId="9">grafik!$A$1:$F$62</definedName>
    <definedName name="_xlnm.Print_Area" localSheetId="12">mijoz_anketasi!$A$1:$F$36</definedName>
    <definedName name="_xlnm.Print_Area" localSheetId="11">muqova!$A$1:$G$41</definedName>
    <definedName name="_xlnm.Print_Area" localSheetId="1">shartnoma!$A$1:$B$129</definedName>
    <definedName name="_xlnm.Print_Area" localSheetId="7">xulosa!$A$1:$E$59</definedName>
    <definedName name="_xlnm.Print_Area" localSheetId="6">'График аннуитет.'!$A$1:$F$63</definedName>
    <definedName name="_xlnm.Print_Area" localSheetId="16">'Кредитная заявка'!$A$1:$D$41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0" i="16" l="1"/>
  <c r="D62" i="7"/>
  <c r="C56" i="3"/>
  <c r="C55" i="3"/>
  <c r="C54" i="3"/>
  <c r="B56" i="3"/>
  <c r="B55" i="3"/>
  <c r="B54" i="3"/>
  <c r="D39" i="23"/>
  <c r="B39" i="23"/>
  <c r="D38" i="23"/>
  <c r="B38" i="23"/>
  <c r="B37" i="23"/>
  <c r="H9" i="23"/>
  <c r="B25" i="8"/>
  <c r="A122" i="19"/>
  <c r="A123" i="19"/>
  <c r="A128" i="19"/>
  <c r="A20" i="32"/>
  <c r="A16" i="32"/>
  <c r="B11" i="32"/>
  <c r="B12" i="32"/>
  <c r="B13" i="32"/>
  <c r="B14" i="32"/>
  <c r="B10" i="32"/>
  <c r="A11" i="32"/>
  <c r="A12" i="32"/>
  <c r="A13" i="32"/>
  <c r="A14" i="32"/>
  <c r="A10" i="32"/>
  <c r="C5" i="32"/>
  <c r="C4" i="32"/>
  <c r="C1" i="32"/>
  <c r="B41" i="1" l="1"/>
  <c r="B40" i="1"/>
  <c r="B134" i="1" l="1"/>
  <c r="B76" i="1" l="1"/>
  <c r="B77" i="1" s="1"/>
  <c r="A9" i="32" s="1"/>
  <c r="B155" i="1"/>
  <c r="A23" i="8" l="1"/>
  <c r="A14" i="23"/>
  <c r="A33" i="23"/>
  <c r="A29" i="2"/>
  <c r="B65" i="1" l="1"/>
  <c r="A59" i="16"/>
  <c r="A126" i="19"/>
  <c r="B126" i="19"/>
  <c r="A52" i="7"/>
  <c r="C1" i="2"/>
  <c r="A27" i="16"/>
  <c r="A28" i="16" s="1"/>
  <c r="A29" i="16" s="1"/>
  <c r="A30" i="16" s="1"/>
  <c r="A31" i="16" s="1"/>
  <c r="A32" i="16" s="1"/>
  <c r="A33" i="16" s="1"/>
  <c r="A34" i="16" s="1"/>
  <c r="A35" i="16" s="1"/>
  <c r="A36" i="16" s="1"/>
  <c r="A37" i="16" s="1"/>
  <c r="A38" i="16" s="1"/>
  <c r="A39" i="16" s="1"/>
  <c r="A40" i="16" s="1"/>
  <c r="A41" i="16" s="1"/>
  <c r="A42" i="16" s="1"/>
  <c r="A43" i="16" s="1"/>
  <c r="A44" i="16" s="1"/>
  <c r="A32" i="15"/>
  <c r="A33" i="15" s="1"/>
  <c r="A34" i="15" s="1"/>
  <c r="A35" i="15" s="1"/>
  <c r="A36" i="15" s="1"/>
  <c r="A37" i="15" s="1"/>
  <c r="A38" i="15" s="1"/>
  <c r="A39" i="15" s="1"/>
  <c r="A40" i="15" s="1"/>
  <c r="A41" i="15" s="1"/>
  <c r="A42" i="15" s="1"/>
  <c r="A43" i="15" s="1"/>
  <c r="A32" i="12"/>
  <c r="A33" i="12" s="1"/>
  <c r="A34" i="12" s="1"/>
  <c r="A35" i="12" s="1"/>
  <c r="A36" i="12" s="1"/>
  <c r="A37" i="12" s="1"/>
  <c r="A38" i="12" s="1"/>
  <c r="A39" i="12" s="1"/>
  <c r="A40" i="12" s="1"/>
  <c r="A41" i="12" s="1"/>
  <c r="A42" i="12" s="1"/>
  <c r="A43" i="12" s="1"/>
  <c r="C123" i="1"/>
  <c r="C129" i="1" s="1"/>
  <c r="C121" i="1"/>
  <c r="C127" i="1" s="1"/>
  <c r="C120" i="1"/>
  <c r="C126" i="1" s="1"/>
  <c r="C119" i="1"/>
  <c r="C125" i="1" s="1"/>
  <c r="C118" i="1"/>
  <c r="C124" i="1" s="1"/>
  <c r="D59" i="7"/>
  <c r="A62" i="7"/>
  <c r="A61" i="7"/>
  <c r="F61" i="7"/>
  <c r="A25" i="7"/>
  <c r="A23" i="7"/>
  <c r="A75" i="1" l="1"/>
  <c r="A34" i="23"/>
  <c r="H24" i="27"/>
  <c r="A9" i="26"/>
  <c r="A9" i="29" s="1"/>
  <c r="A9" i="27" l="1"/>
  <c r="A9" i="28"/>
  <c r="I133" i="1"/>
  <c r="A47" i="3"/>
  <c r="A35" i="3"/>
  <c r="E30" i="3"/>
  <c r="A30" i="3"/>
  <c r="A33" i="3"/>
  <c r="D29" i="7" l="1"/>
  <c r="D30" i="3" s="1"/>
  <c r="F137" i="1"/>
  <c r="E140" i="1"/>
  <c r="E137" i="1"/>
  <c r="D20" i="7"/>
  <c r="E20" i="7"/>
  <c r="G9" i="26" s="1"/>
  <c r="B20" i="7"/>
  <c r="G9" i="28" l="1"/>
  <c r="G9" i="27"/>
  <c r="G9" i="29"/>
  <c r="B29" i="7"/>
  <c r="B30" i="3" s="1"/>
  <c r="C9" i="26"/>
  <c r="C29" i="7"/>
  <c r="C30" i="3" s="1"/>
  <c r="E9" i="26"/>
  <c r="E9" i="29" l="1"/>
  <c r="E9" i="28"/>
  <c r="E9" i="27"/>
  <c r="C9" i="29"/>
  <c r="C9" i="28"/>
  <c r="C9" i="27"/>
  <c r="H24" i="29" l="1"/>
  <c r="H24" i="28"/>
  <c r="A22" i="26"/>
  <c r="H24" i="26"/>
  <c r="A52" i="3"/>
  <c r="A36" i="3"/>
  <c r="A1" i="3"/>
  <c r="D15" i="23"/>
  <c r="E15" i="23" s="1"/>
  <c r="A1" i="23"/>
  <c r="D58" i="16"/>
  <c r="A117" i="1" l="1"/>
  <c r="A116" i="1"/>
  <c r="A115" i="1"/>
  <c r="A114" i="1"/>
  <c r="B19" i="1"/>
  <c r="C22" i="1" s="1"/>
  <c r="A16" i="23"/>
  <c r="A57" i="16"/>
  <c r="B49" i="1" l="1"/>
  <c r="B59" i="1" s="1"/>
  <c r="A16" i="4" l="1"/>
  <c r="A17" i="4"/>
  <c r="A7" i="24"/>
  <c r="B47" i="1"/>
  <c r="B27" i="1"/>
  <c r="B119" i="19" s="1"/>
  <c r="B34" i="1"/>
  <c r="B123" i="1"/>
  <c r="B129" i="1" s="1"/>
  <c r="A24" i="7" s="1"/>
  <c r="A34" i="3" s="1"/>
  <c r="B121" i="1"/>
  <c r="B120" i="1"/>
  <c r="B119" i="1"/>
  <c r="B118" i="1"/>
  <c r="B45" i="1" l="1"/>
  <c r="B58" i="1"/>
  <c r="A51" i="7"/>
  <c r="D2" i="2"/>
  <c r="C77" i="1"/>
  <c r="A7" i="23"/>
  <c r="A31" i="2" l="1"/>
  <c r="A31" i="4"/>
  <c r="H79" i="19"/>
  <c r="A79" i="19" s="1"/>
  <c r="H21" i="19"/>
  <c r="A74" i="19"/>
  <c r="H70" i="19"/>
  <c r="A70" i="19" s="1"/>
  <c r="A57" i="19"/>
  <c r="A5" i="23"/>
  <c r="A15" i="19"/>
  <c r="A12" i="19"/>
  <c r="A34" i="19"/>
  <c r="B33" i="19" s="1"/>
  <c r="A32" i="19" s="1"/>
  <c r="A88" i="1"/>
  <c r="A10" i="3"/>
  <c r="A17" i="2"/>
  <c r="A18" i="2"/>
  <c r="A9" i="19"/>
  <c r="A19" i="19"/>
  <c r="A48" i="19"/>
  <c r="A72" i="19"/>
  <c r="A97" i="19"/>
  <c r="C64" i="1"/>
  <c r="C21" i="19"/>
  <c r="A53" i="19"/>
  <c r="A64" i="19"/>
  <c r="A75" i="19"/>
  <c r="C41" i="19"/>
  <c r="A41" i="19" s="1"/>
  <c r="A67" i="19"/>
  <c r="C76" i="19"/>
  <c r="A76" i="19" s="1"/>
  <c r="H17" i="19"/>
  <c r="A17" i="19" s="1"/>
  <c r="I21" i="19"/>
  <c r="A44" i="19"/>
  <c r="A61" i="19"/>
  <c r="A93" i="19"/>
  <c r="A20" i="19"/>
  <c r="C56" i="19"/>
  <c r="A56" i="19" s="1"/>
  <c r="A62" i="19"/>
  <c r="A69" i="19"/>
  <c r="A18" i="23"/>
  <c r="D64" i="1"/>
  <c r="A22" i="19" s="1"/>
  <c r="A1" i="1"/>
  <c r="A80" i="1"/>
  <c r="A86" i="1"/>
  <c r="A2" i="1"/>
  <c r="A82" i="1"/>
  <c r="A87" i="1"/>
  <c r="A76" i="1"/>
  <c r="A83" i="1"/>
  <c r="A90" i="1"/>
  <c r="A79" i="1"/>
  <c r="A85" i="1"/>
  <c r="C31" i="19" l="1"/>
  <c r="A23" i="19"/>
  <c r="E31" i="19"/>
  <c r="D31" i="19" s="1"/>
  <c r="A47" i="16"/>
  <c r="A13" i="2"/>
  <c r="A16" i="2"/>
  <c r="A21" i="2"/>
  <c r="A11" i="23"/>
  <c r="A4" i="2"/>
  <c r="B26" i="9"/>
  <c r="A20" i="23"/>
  <c r="A14" i="19"/>
  <c r="A15" i="2"/>
  <c r="A22" i="23"/>
  <c r="A19" i="23"/>
  <c r="A42" i="19"/>
  <c r="A21" i="23"/>
  <c r="B25" i="9"/>
  <c r="A21" i="19"/>
  <c r="A13" i="19"/>
  <c r="A14" i="2"/>
  <c r="A26" i="3"/>
  <c r="A63" i="19"/>
  <c r="A11" i="19"/>
  <c r="B124" i="1"/>
  <c r="A22" i="7" s="1"/>
  <c r="B125" i="1"/>
  <c r="A31" i="19" l="1"/>
  <c r="A16" i="8"/>
  <c r="A32" i="3"/>
  <c r="H7" i="23"/>
  <c r="A2" i="23" s="1"/>
  <c r="B127" i="1" l="1"/>
  <c r="B126" i="1"/>
  <c r="A120" i="19" l="1"/>
  <c r="A53" i="16" s="1"/>
  <c r="A30" i="4"/>
  <c r="B122" i="19"/>
  <c r="D55" i="16" s="1"/>
  <c r="A15" i="4"/>
  <c r="A14" i="4"/>
  <c r="A13" i="4"/>
  <c r="A7" i="3"/>
  <c r="C8" i="15"/>
  <c r="J12" i="15"/>
  <c r="A10" i="4" l="1"/>
  <c r="A9" i="4" s="1"/>
  <c r="D59" i="16"/>
  <c r="B124" i="19"/>
  <c r="D57" i="16" s="1"/>
  <c r="B123" i="19"/>
  <c r="D56" i="16" s="1"/>
  <c r="D52" i="16"/>
  <c r="B117" i="19"/>
  <c r="D51" i="16" s="1"/>
  <c r="A56" i="16" l="1"/>
  <c r="A55" i="16"/>
  <c r="A121" i="19"/>
  <c r="A54" i="16" s="1"/>
  <c r="A119" i="19"/>
  <c r="A52" i="16" s="1"/>
  <c r="B24" i="9" l="1"/>
  <c r="B2" i="9"/>
  <c r="A22" i="29"/>
  <c r="A22" i="28"/>
  <c r="H5" i="29"/>
  <c r="H5" i="28"/>
  <c r="H5" i="27"/>
  <c r="A22" i="27"/>
  <c r="H22" i="26"/>
  <c r="D2" i="1"/>
  <c r="H5" i="26" s="1"/>
  <c r="A35" i="2"/>
  <c r="A29" i="4"/>
  <c r="A28" i="4"/>
  <c r="A20" i="4"/>
  <c r="A7" i="4"/>
  <c r="A11" i="24"/>
  <c r="A14" i="7"/>
  <c r="A13" i="7"/>
  <c r="A2" i="7"/>
  <c r="A8" i="3"/>
  <c r="A5" i="3"/>
  <c r="A4" i="3"/>
  <c r="A9" i="8"/>
  <c r="A8" i="8"/>
  <c r="A7" i="8"/>
  <c r="A12" i="2"/>
  <c r="A11" i="2"/>
  <c r="A7" i="2"/>
  <c r="B174" i="1"/>
  <c r="H133" i="1"/>
  <c r="I132" i="1"/>
  <c r="F132" i="1" s="1"/>
  <c r="H132" i="1"/>
  <c r="C132" i="1"/>
  <c r="B9" i="1"/>
  <c r="B11" i="1" s="1"/>
  <c r="B13" i="1" s="1"/>
  <c r="B8" i="1"/>
  <c r="B143" i="1"/>
  <c r="B144" i="1" s="1"/>
  <c r="B140" i="1"/>
  <c r="E21" i="7" s="1"/>
  <c r="B137" i="1"/>
  <c r="D21" i="7" s="1"/>
  <c r="E10" i="26" s="1"/>
  <c r="B21" i="7"/>
  <c r="C10" i="26" s="1"/>
  <c r="G10" i="26" l="1"/>
  <c r="D30" i="7"/>
  <c r="D31" i="3" s="1"/>
  <c r="E10" i="28"/>
  <c r="E10" i="27"/>
  <c r="E10" i="29"/>
  <c r="C10" i="28"/>
  <c r="C10" i="27"/>
  <c r="C10" i="29"/>
  <c r="C133" i="1"/>
  <c r="A17" i="7" s="1"/>
  <c r="A21" i="7"/>
  <c r="A10" i="26" s="1"/>
  <c r="C144" i="1"/>
  <c r="B145" i="1"/>
  <c r="A6" i="2"/>
  <c r="E30" i="7"/>
  <c r="E31" i="3" s="1"/>
  <c r="A48" i="7"/>
  <c r="A15" i="7"/>
  <c r="E132" i="1"/>
  <c r="A27" i="3"/>
  <c r="A20" i="3"/>
  <c r="A27" i="2"/>
  <c r="A28" i="2"/>
  <c r="F133" i="1"/>
  <c r="E133" i="1"/>
  <c r="B10" i="1"/>
  <c r="A6" i="8" s="1"/>
  <c r="A24" i="2" l="1"/>
  <c r="A28" i="3"/>
  <c r="A15" i="8"/>
  <c r="G10" i="28"/>
  <c r="G10" i="29"/>
  <c r="G10" i="27"/>
  <c r="A14" i="8"/>
  <c r="A25" i="2"/>
  <c r="A16" i="7"/>
  <c r="A18" i="7" s="1"/>
  <c r="A19" i="7" s="1"/>
  <c r="A29" i="3"/>
  <c r="A25" i="23" s="1"/>
  <c r="A37" i="3"/>
  <c r="B12" i="1"/>
  <c r="A21" i="4" l="1"/>
  <c r="A10" i="2"/>
  <c r="A9" i="2"/>
  <c r="A19" i="4"/>
  <c r="B66" i="1" l="1"/>
  <c r="A1" i="19" s="1"/>
  <c r="H26" i="29"/>
  <c r="H26" i="28"/>
  <c r="H26" i="27"/>
  <c r="H22" i="29"/>
  <c r="H22" i="28"/>
  <c r="H22" i="27"/>
  <c r="H26" i="26"/>
  <c r="D56" i="7" l="1"/>
  <c r="A56" i="7"/>
  <c r="A132" i="19"/>
  <c r="B109" i="1"/>
  <c r="R131" i="1" l="1"/>
  <c r="R132" i="1" s="1"/>
  <c r="N133" i="1" s="1"/>
  <c r="Q131" i="1"/>
  <c r="Q132" i="1" s="1"/>
  <c r="N132" i="1" s="1"/>
  <c r="B24" i="4" l="1"/>
  <c r="B67" i="1" l="1"/>
  <c r="C79" i="1" s="1"/>
  <c r="C80" i="1" s="1"/>
  <c r="C81" i="1" s="1"/>
  <c r="B80" i="1" s="1"/>
  <c r="B81" i="1" s="1"/>
  <c r="B152" i="1" l="1"/>
  <c r="B150" i="1"/>
  <c r="C18" i="1" l="1"/>
  <c r="B20" i="1" l="1"/>
  <c r="B121" i="19" s="1"/>
  <c r="C20" i="1"/>
  <c r="A5" i="19" s="1"/>
  <c r="C122" i="1" l="1"/>
  <c r="C6" i="32"/>
  <c r="B122" i="1"/>
  <c r="B128" i="1" s="1"/>
  <c r="C128" i="1"/>
  <c r="D53" i="16"/>
  <c r="A8" i="2"/>
  <c r="B26" i="23"/>
  <c r="C26" i="23"/>
  <c r="D26" i="23"/>
  <c r="E26" i="23"/>
  <c r="A26"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F27" i="4" l="1"/>
  <c r="A21" i="3" s="1"/>
  <c r="D25" i="21" l="1"/>
  <c r="C25" i="21"/>
  <c r="A25" i="21"/>
  <c r="B25" i="21" s="1"/>
  <c r="M22" i="21"/>
  <c r="E49" i="7" l="1"/>
  <c r="O2" i="21"/>
  <c r="P2" i="21" s="1"/>
  <c r="P5" i="21"/>
  <c r="P13" i="21"/>
  <c r="P17" i="21"/>
  <c r="P21" i="21"/>
  <c r="O4" i="21"/>
  <c r="P4" i="21" s="1"/>
  <c r="P15" i="21"/>
  <c r="P16" i="21"/>
  <c r="P20" i="21"/>
  <c r="P7" i="21"/>
  <c r="P8" i="21"/>
  <c r="P9" i="21"/>
  <c r="P10" i="21"/>
  <c r="P18" i="21"/>
  <c r="P6" i="21"/>
  <c r="P14" i="21"/>
  <c r="O3" i="21"/>
  <c r="P3" i="21" s="1"/>
  <c r="P11" i="21"/>
  <c r="P12" i="21"/>
  <c r="P19" i="21"/>
  <c r="B33" i="7"/>
  <c r="A33" i="7"/>
  <c r="W2" i="21" l="1"/>
  <c r="A46" i="7" s="1"/>
  <c r="C143" i="1"/>
  <c r="D49" i="7" l="1"/>
  <c r="E33" i="7"/>
  <c r="A38" i="20"/>
  <c r="A37" i="20"/>
  <c r="B19" i="20"/>
  <c r="C19" i="20"/>
  <c r="D19" i="20"/>
  <c r="E19" i="20"/>
  <c r="A19" i="20"/>
  <c r="L5" i="15" l="1"/>
  <c r="I8" i="15" l="1"/>
  <c r="E20" i="20"/>
  <c r="B26" i="4"/>
  <c r="B27" i="4" s="1"/>
  <c r="C19" i="1" l="1"/>
  <c r="A33" i="20"/>
  <c r="B21" i="1" l="1"/>
  <c r="A6" i="3" s="1"/>
  <c r="C21" i="1"/>
  <c r="B8" i="15"/>
  <c r="R43" i="15" s="1"/>
  <c r="C5" i="22"/>
  <c r="A33" i="22" s="1"/>
  <c r="O43" i="15" l="1"/>
  <c r="P43" i="15" s="1"/>
  <c r="Q43" i="15" s="1"/>
  <c r="B43" i="15" s="1"/>
  <c r="R42" i="15"/>
  <c r="O42" i="15" s="1"/>
  <c r="P42" i="15" s="1"/>
  <c r="Q42" i="15" s="1"/>
  <c r="B42" i="15" s="1"/>
  <c r="B42" i="12" s="1"/>
  <c r="B43" i="16" s="1"/>
  <c r="R39" i="15"/>
  <c r="O39" i="15" s="1"/>
  <c r="P39" i="15" s="1"/>
  <c r="Q39" i="15" s="1"/>
  <c r="B39" i="15" s="1"/>
  <c r="B39" i="12" s="1"/>
  <c r="B40" i="16" s="1"/>
  <c r="R33" i="15"/>
  <c r="R32" i="15"/>
  <c r="O32" i="15" s="1"/>
  <c r="P32" i="15" s="1"/>
  <c r="Q32" i="15" s="1"/>
  <c r="B32" i="15" s="1"/>
  <c r="R36" i="15"/>
  <c r="R34" i="15"/>
  <c r="R35" i="15"/>
  <c r="R40" i="15"/>
  <c r="O40" i="15" s="1"/>
  <c r="P40" i="15" s="1"/>
  <c r="Q40" i="15" s="1"/>
  <c r="B40" i="15" s="1"/>
  <c r="B40" i="12" s="1"/>
  <c r="B41" i="16" s="1"/>
  <c r="R38" i="15"/>
  <c r="O38" i="15" s="1"/>
  <c r="P38" i="15" s="1"/>
  <c r="Q38" i="15" s="1"/>
  <c r="B38" i="15" s="1"/>
  <c r="B38" i="12" s="1"/>
  <c r="B39" i="16" s="1"/>
  <c r="R37" i="15"/>
  <c r="O37" i="15" s="1"/>
  <c r="P37" i="15" s="1"/>
  <c r="Q37" i="15" s="1"/>
  <c r="B37" i="15" s="1"/>
  <c r="B37" i="12" s="1"/>
  <c r="B38" i="16" s="1"/>
  <c r="R41" i="15"/>
  <c r="R28" i="15"/>
  <c r="R29" i="15"/>
  <c r="R27" i="15"/>
  <c r="R30" i="15"/>
  <c r="R31" i="15"/>
  <c r="R26" i="15"/>
  <c r="R20" i="15"/>
  <c r="R21" i="15"/>
  <c r="R23" i="15"/>
  <c r="R22" i="15"/>
  <c r="R10" i="15"/>
  <c r="R9" i="15"/>
  <c r="G8" i="15"/>
  <c r="R12" i="15"/>
  <c r="R19" i="15"/>
  <c r="H8" i="15"/>
  <c r="R15" i="15"/>
  <c r="O8" i="15"/>
  <c r="P8" i="15" s="1"/>
  <c r="Q8" i="15" s="1"/>
  <c r="R16" i="15"/>
  <c r="R17" i="15"/>
  <c r="R18" i="15"/>
  <c r="R11" i="15"/>
  <c r="R13" i="15"/>
  <c r="R14" i="15"/>
  <c r="B8" i="12"/>
  <c r="B9" i="16" s="1"/>
  <c r="R24" i="15"/>
  <c r="R25" i="15"/>
  <c r="H42" i="12" l="1"/>
  <c r="H37" i="12"/>
  <c r="H38" i="12"/>
  <c r="G38" i="12"/>
  <c r="H32" i="15"/>
  <c r="B32" i="12"/>
  <c r="B33" i="16" s="1"/>
  <c r="G39" i="12"/>
  <c r="H39" i="12"/>
  <c r="H40" i="12"/>
  <c r="G40" i="12"/>
  <c r="H43" i="15"/>
  <c r="B43" i="12"/>
  <c r="B44" i="16" s="1"/>
  <c r="G43" i="15"/>
  <c r="G40" i="15"/>
  <c r="H40" i="15"/>
  <c r="O41" i="15"/>
  <c r="P41" i="15" s="1"/>
  <c r="Q41" i="15" s="1"/>
  <c r="B41" i="15" s="1"/>
  <c r="O35" i="15"/>
  <c r="P35" i="15" s="1"/>
  <c r="Q35" i="15" s="1"/>
  <c r="B35" i="15" s="1"/>
  <c r="B35" i="12" s="1"/>
  <c r="B36" i="16" s="1"/>
  <c r="O33" i="15"/>
  <c r="P33" i="15" s="1"/>
  <c r="Q33" i="15" s="1"/>
  <c r="B33" i="15" s="1"/>
  <c r="B33" i="12" s="1"/>
  <c r="B34" i="16" s="1"/>
  <c r="H37" i="15"/>
  <c r="O34" i="15"/>
  <c r="P34" i="15" s="1"/>
  <c r="Q34" i="15" s="1"/>
  <c r="B34" i="15" s="1"/>
  <c r="B34" i="12" s="1"/>
  <c r="B35" i="16" s="1"/>
  <c r="H39" i="15"/>
  <c r="G39" i="15"/>
  <c r="H38" i="15"/>
  <c r="G38" i="15"/>
  <c r="O36" i="15"/>
  <c r="P36" i="15" s="1"/>
  <c r="Q36" i="15" s="1"/>
  <c r="B36" i="15" s="1"/>
  <c r="B36" i="12" s="1"/>
  <c r="B37" i="16" s="1"/>
  <c r="H42" i="15"/>
  <c r="O27" i="15"/>
  <c r="P27" i="15" s="1"/>
  <c r="Q27" i="15" s="1"/>
  <c r="B27" i="15" s="1"/>
  <c r="B27" i="12" s="1"/>
  <c r="B28" i="16" s="1"/>
  <c r="O30" i="15"/>
  <c r="P30" i="15" s="1"/>
  <c r="Q30" i="15" s="1"/>
  <c r="B30" i="15" s="1"/>
  <c r="B30" i="12" s="1"/>
  <c r="B31" i="16" s="1"/>
  <c r="O26" i="15"/>
  <c r="P26" i="15" s="1"/>
  <c r="Q26" i="15" s="1"/>
  <c r="B26" i="15" s="1"/>
  <c r="B26" i="12" s="1"/>
  <c r="B27" i="16" s="1"/>
  <c r="O29" i="15"/>
  <c r="P29" i="15" s="1"/>
  <c r="Q29" i="15" s="1"/>
  <c r="B29" i="15" s="1"/>
  <c r="B29" i="12" s="1"/>
  <c r="B30" i="16" s="1"/>
  <c r="O28" i="15"/>
  <c r="P28" i="15" s="1"/>
  <c r="Q28" i="15" s="1"/>
  <c r="B28" i="15" s="1"/>
  <c r="B28" i="12" s="1"/>
  <c r="B29" i="16" s="1"/>
  <c r="O31" i="15"/>
  <c r="P31" i="15" s="1"/>
  <c r="Q31" i="15" s="1"/>
  <c r="B31" i="15" s="1"/>
  <c r="G32" i="15" s="1"/>
  <c r="O18" i="15"/>
  <c r="P18" i="15" s="1"/>
  <c r="Q18" i="15" s="1"/>
  <c r="B18" i="15" s="1"/>
  <c r="B18" i="12" s="1"/>
  <c r="B19" i="16" s="1"/>
  <c r="O24" i="15"/>
  <c r="P24" i="15" s="1"/>
  <c r="Q24" i="15" s="1"/>
  <c r="B24" i="15" s="1"/>
  <c r="B24" i="12" s="1"/>
  <c r="B25" i="16" s="1"/>
  <c r="O15" i="15"/>
  <c r="P15" i="15" s="1"/>
  <c r="Q15" i="15" s="1"/>
  <c r="B15" i="15" s="1"/>
  <c r="B15" i="12" s="1"/>
  <c r="B16" i="16" s="1"/>
  <c r="O13" i="15"/>
  <c r="P13" i="15" s="1"/>
  <c r="Q13" i="15" s="1"/>
  <c r="B13" i="15" s="1"/>
  <c r="B13" i="12" s="1"/>
  <c r="B14" i="16" s="1"/>
  <c r="O17" i="15"/>
  <c r="P17" i="15" s="1"/>
  <c r="Q17" i="15" s="1"/>
  <c r="B17" i="15" s="1"/>
  <c r="B17" i="12" s="1"/>
  <c r="B18" i="16" s="1"/>
  <c r="O16" i="15"/>
  <c r="P16" i="15" s="1"/>
  <c r="Q16" i="15" s="1"/>
  <c r="B16" i="15" s="1"/>
  <c r="B16" i="12" s="1"/>
  <c r="B17" i="16" s="1"/>
  <c r="O22" i="15"/>
  <c r="P22" i="15" s="1"/>
  <c r="Q22" i="15" s="1"/>
  <c r="B22" i="15" s="1"/>
  <c r="B22" i="12" s="1"/>
  <c r="B23" i="16" s="1"/>
  <c r="O23" i="15"/>
  <c r="P23" i="15" s="1"/>
  <c r="Q23" i="15" s="1"/>
  <c r="B23" i="15" s="1"/>
  <c r="B23" i="12" s="1"/>
  <c r="B24" i="16" s="1"/>
  <c r="O21" i="15"/>
  <c r="P21" i="15" s="1"/>
  <c r="Q21" i="15" s="1"/>
  <c r="B21" i="15" s="1"/>
  <c r="B21" i="12" s="1"/>
  <c r="B22" i="16" s="1"/>
  <c r="O20" i="15"/>
  <c r="P20" i="15" s="1"/>
  <c r="Q20" i="15" s="1"/>
  <c r="B20" i="15" s="1"/>
  <c r="B20" i="12" s="1"/>
  <c r="B21" i="16" s="1"/>
  <c r="L8" i="15"/>
  <c r="O11" i="15"/>
  <c r="P11" i="15" s="1"/>
  <c r="Q11" i="15" s="1"/>
  <c r="B11" i="15" s="1"/>
  <c r="B11" i="12" s="1"/>
  <c r="B12" i="16" s="1"/>
  <c r="O10" i="15"/>
  <c r="P10" i="15" s="1"/>
  <c r="Q10" i="15" s="1"/>
  <c r="B10" i="15" s="1"/>
  <c r="B10" i="12" s="1"/>
  <c r="B11" i="16" s="1"/>
  <c r="O9" i="15"/>
  <c r="P9" i="15" s="1"/>
  <c r="Q9" i="15" s="1"/>
  <c r="B9" i="15" s="1"/>
  <c r="B9" i="12" s="1"/>
  <c r="B10" i="16" s="1"/>
  <c r="O19" i="15"/>
  <c r="P19" i="15" s="1"/>
  <c r="Q19" i="15" s="1"/>
  <c r="B19" i="15" s="1"/>
  <c r="B19" i="12" s="1"/>
  <c r="B20" i="16" s="1"/>
  <c r="O14" i="15"/>
  <c r="P14" i="15" s="1"/>
  <c r="Q14" i="15" s="1"/>
  <c r="B14" i="15" s="1"/>
  <c r="B14" i="12" s="1"/>
  <c r="B15" i="16" s="1"/>
  <c r="O12" i="15"/>
  <c r="P12" i="15" s="1"/>
  <c r="Q12" i="15" s="1"/>
  <c r="B12" i="15" s="1"/>
  <c r="B12" i="12" s="1"/>
  <c r="B13" i="16" s="1"/>
  <c r="O25" i="15"/>
  <c r="P25" i="15" s="1"/>
  <c r="Q25" i="15" s="1"/>
  <c r="B25" i="15" s="1"/>
  <c r="B25" i="12" s="1"/>
  <c r="B26" i="16" s="1"/>
  <c r="H32" i="12" l="1"/>
  <c r="B41" i="12"/>
  <c r="B42" i="16" s="1"/>
  <c r="G42" i="15"/>
  <c r="G33" i="12"/>
  <c r="H33" i="12"/>
  <c r="H36" i="12"/>
  <c r="G36" i="12"/>
  <c r="G37" i="12"/>
  <c r="H35" i="12"/>
  <c r="G35" i="12"/>
  <c r="G43" i="12"/>
  <c r="H43" i="12"/>
  <c r="H34" i="12"/>
  <c r="G34" i="12"/>
  <c r="H34" i="15"/>
  <c r="G34" i="15"/>
  <c r="H33" i="15"/>
  <c r="G33" i="15"/>
  <c r="H41" i="15"/>
  <c r="G41" i="15"/>
  <c r="H36" i="15"/>
  <c r="G36" i="15"/>
  <c r="G37" i="15"/>
  <c r="H35" i="15"/>
  <c r="G35" i="15"/>
  <c r="E8" i="15"/>
  <c r="B31" i="12"/>
  <c r="H31" i="15"/>
  <c r="H25" i="15"/>
  <c r="H16" i="15"/>
  <c r="G16" i="15"/>
  <c r="G17" i="15"/>
  <c r="H17" i="15"/>
  <c r="H15" i="15"/>
  <c r="H18" i="15"/>
  <c r="G18" i="15"/>
  <c r="H13" i="15"/>
  <c r="H20" i="15"/>
  <c r="H21" i="15"/>
  <c r="G21" i="15"/>
  <c r="G23" i="15"/>
  <c r="H23" i="15"/>
  <c r="H22" i="15"/>
  <c r="G22" i="15"/>
  <c r="G14" i="15"/>
  <c r="H14" i="15"/>
  <c r="G15" i="15"/>
  <c r="G9" i="15"/>
  <c r="H19" i="15"/>
  <c r="G20" i="15"/>
  <c r="G19" i="15"/>
  <c r="D17" i="1"/>
  <c r="G32" i="12" l="1"/>
  <c r="B32" i="16"/>
  <c r="H41" i="12"/>
  <c r="G41" i="12"/>
  <c r="G42" i="12"/>
  <c r="G10" i="15"/>
  <c r="H10" i="15"/>
  <c r="H9" i="15"/>
  <c r="G13" i="15"/>
  <c r="G12" i="15"/>
  <c r="H12" i="15"/>
  <c r="H11" i="15"/>
  <c r="G11" i="15"/>
  <c r="I67" i="1"/>
  <c r="G67" i="1"/>
  <c r="A117" i="19" l="1"/>
  <c r="A51" i="16" s="1"/>
  <c r="F67" i="1" l="1"/>
  <c r="E67" i="1"/>
  <c r="A20" i="2" s="1"/>
  <c r="C67" i="1"/>
  <c r="C65" i="1"/>
  <c r="C66" i="1" l="1"/>
  <c r="I66" i="1"/>
  <c r="G66" i="1"/>
  <c r="D67" i="1"/>
  <c r="B151" i="1" s="1"/>
  <c r="A26" i="19" s="1"/>
  <c r="H67" i="1"/>
  <c r="B69" i="1" s="1"/>
  <c r="A4" i="24" s="1"/>
  <c r="E66" i="1"/>
  <c r="F66" i="1"/>
  <c r="A30" i="19" l="1"/>
  <c r="A29" i="19"/>
  <c r="A28" i="19" s="1"/>
  <c r="A27" i="19"/>
  <c r="B68" i="1"/>
  <c r="D66" i="1"/>
  <c r="B72" i="1" s="1"/>
  <c r="H66" i="1"/>
  <c r="B73" i="1" s="1"/>
  <c r="E3" i="23" l="1"/>
  <c r="B74" i="1"/>
  <c r="E3" i="16" s="1"/>
  <c r="B70" i="1"/>
  <c r="A3" i="19" s="1"/>
  <c r="E3" i="22"/>
  <c r="B71" i="1"/>
  <c r="A8" i="19" s="1"/>
  <c r="A28" i="7" l="1"/>
  <c r="A27" i="7"/>
  <c r="A7" i="26"/>
  <c r="A7" i="28"/>
  <c r="A7" i="27"/>
  <c r="A12" i="7"/>
  <c r="A7" i="29"/>
  <c r="A11" i="7"/>
  <c r="A9" i="7"/>
  <c r="A8" i="7"/>
  <c r="B19" i="9"/>
  <c r="A2" i="27"/>
  <c r="A2" i="28"/>
  <c r="A2" i="29"/>
  <c r="A2" i="26"/>
  <c r="B175" i="1"/>
  <c r="A2" i="8" s="1"/>
  <c r="B149" i="1"/>
  <c r="E4" i="7" s="1"/>
  <c r="A39" i="20"/>
  <c r="B40" i="9"/>
  <c r="A19" i="2"/>
  <c r="D60" i="15"/>
  <c r="A58" i="15"/>
  <c r="A56" i="15"/>
  <c r="D52" i="15"/>
  <c r="D48" i="15"/>
  <c r="A48" i="15"/>
  <c r="A23" i="23" l="1"/>
  <c r="A12" i="8"/>
  <c r="A7" i="7"/>
  <c r="A10" i="7"/>
  <c r="A26" i="7"/>
  <c r="A15" i="3"/>
  <c r="H27" i="15"/>
  <c r="G27" i="15"/>
  <c r="G28" i="15"/>
  <c r="H28" i="15"/>
  <c r="G30" i="15"/>
  <c r="G31" i="15"/>
  <c r="H30" i="15"/>
  <c r="G29" i="15"/>
  <c r="H29" i="15"/>
  <c r="G26" i="15"/>
  <c r="H26" i="15"/>
  <c r="H24" i="15"/>
  <c r="G24" i="15"/>
  <c r="G25" i="15"/>
  <c r="A6" i="7" l="1"/>
  <c r="F2" i="15"/>
  <c r="B62" i="1" l="1"/>
  <c r="D55" i="15" l="1"/>
  <c r="D52" i="7"/>
  <c r="D56" i="15" l="1"/>
  <c r="D54" i="15" l="1"/>
  <c r="A43" i="7" l="1"/>
  <c r="B43" i="7"/>
  <c r="C43" i="7"/>
  <c r="D43" i="7"/>
  <c r="A44" i="7"/>
  <c r="B35" i="7"/>
  <c r="C35" i="7"/>
  <c r="D35" i="7"/>
  <c r="B36" i="7"/>
  <c r="C36" i="7"/>
  <c r="D36" i="7"/>
  <c r="B37" i="7"/>
  <c r="C37" i="7"/>
  <c r="D37" i="7"/>
  <c r="B38" i="7"/>
  <c r="C38" i="7"/>
  <c r="D38" i="7"/>
  <c r="B39" i="7"/>
  <c r="C39" i="7"/>
  <c r="D39" i="7"/>
  <c r="B40" i="7"/>
  <c r="C40" i="7"/>
  <c r="D40" i="7"/>
  <c r="B41" i="7"/>
  <c r="C41" i="7"/>
  <c r="D41" i="7"/>
  <c r="B42" i="7"/>
  <c r="C42" i="7"/>
  <c r="D42" i="7"/>
  <c r="C33" i="7"/>
  <c r="D33" i="7"/>
  <c r="A35" i="7"/>
  <c r="A36" i="7"/>
  <c r="A37" i="7"/>
  <c r="A38" i="7"/>
  <c r="A39" i="7"/>
  <c r="A40" i="7"/>
  <c r="A41" i="7"/>
  <c r="A42" i="7"/>
  <c r="D44" i="7"/>
  <c r="C44" i="7"/>
  <c r="B44" i="7"/>
  <c r="A30" i="20" l="1"/>
  <c r="B29" i="20"/>
  <c r="B30" i="20"/>
  <c r="D29" i="20"/>
  <c r="D30" i="20"/>
  <c r="A29" i="20"/>
  <c r="C29" i="20"/>
  <c r="C30" i="20"/>
  <c r="A31" i="20"/>
  <c r="A27" i="20"/>
  <c r="D28" i="20"/>
  <c r="C27" i="20"/>
  <c r="C28" i="20"/>
  <c r="B27" i="20"/>
  <c r="D27" i="20"/>
  <c r="A28" i="20"/>
  <c r="B28" i="20"/>
  <c r="A23" i="20"/>
  <c r="D23" i="20"/>
  <c r="D31" i="20"/>
  <c r="A26" i="20"/>
  <c r="A22" i="20"/>
  <c r="C20" i="20"/>
  <c r="B26" i="20"/>
  <c r="D24" i="20"/>
  <c r="C23" i="20"/>
  <c r="B22" i="20"/>
  <c r="A25" i="20"/>
  <c r="A21" i="20"/>
  <c r="D25" i="20"/>
  <c r="C24" i="20"/>
  <c r="B23" i="20"/>
  <c r="D21" i="20"/>
  <c r="C31" i="20"/>
  <c r="D20" i="20"/>
  <c r="C26" i="20"/>
  <c r="B25" i="20"/>
  <c r="C22" i="20"/>
  <c r="B21" i="20"/>
  <c r="A20" i="20"/>
  <c r="B31" i="20"/>
  <c r="A24" i="20"/>
  <c r="B20" i="20"/>
  <c r="D26" i="20"/>
  <c r="C25" i="20"/>
  <c r="B24" i="20"/>
  <c r="D22" i="20"/>
  <c r="C21" i="20"/>
  <c r="C149" i="1"/>
  <c r="A35" i="20"/>
  <c r="A34" i="20"/>
  <c r="A9" i="20" l="1"/>
  <c r="N130" i="1"/>
  <c r="E44" i="7"/>
  <c r="E31" i="20" s="1"/>
  <c r="A23" i="2" l="1"/>
  <c r="D60" i="12"/>
  <c r="A58" i="12"/>
  <c r="A56" i="12"/>
  <c r="D52" i="12"/>
  <c r="D48" i="12"/>
  <c r="A48" i="12"/>
  <c r="C8" i="12"/>
  <c r="C9" i="16" s="1"/>
  <c r="A32" i="20"/>
  <c r="A25" i="19" l="1"/>
  <c r="A24" i="19" l="1"/>
  <c r="B12" i="9"/>
  <c r="A10" i="8"/>
  <c r="E17" i="8"/>
  <c r="E11" i="20" s="1"/>
  <c r="D17" i="8"/>
  <c r="D11" i="20" s="1"/>
  <c r="C17" i="8"/>
  <c r="C11" i="20" s="1"/>
  <c r="B17" i="8"/>
  <c r="B11" i="20" s="1"/>
  <c r="A17" i="8"/>
  <c r="A11" i="20" s="1"/>
  <c r="D60" i="7"/>
  <c r="D27" i="23"/>
  <c r="C30" i="7"/>
  <c r="B30" i="7"/>
  <c r="A30" i="7"/>
  <c r="C27" i="23" l="1"/>
  <c r="C31" i="3"/>
  <c r="A27" i="23"/>
  <c r="A31" i="3"/>
  <c r="B27" i="23"/>
  <c r="B31" i="3"/>
  <c r="A31" i="23"/>
  <c r="A14" i="26"/>
  <c r="A14" i="29"/>
  <c r="A14" i="28"/>
  <c r="A14" i="27"/>
  <c r="A29" i="23"/>
  <c r="A12" i="27"/>
  <c r="A12" i="29"/>
  <c r="A12" i="28"/>
  <c r="A12" i="26"/>
  <c r="D18" i="8"/>
  <c r="D12" i="20" s="1"/>
  <c r="C18" i="8"/>
  <c r="C12" i="20" s="1"/>
  <c r="B18" i="8"/>
  <c r="B12" i="20" s="1"/>
  <c r="A22" i="8"/>
  <c r="A16" i="20" s="1"/>
  <c r="A18" i="8"/>
  <c r="A12" i="20" s="1"/>
  <c r="A20" i="8"/>
  <c r="A14" i="20" s="1"/>
  <c r="D35" i="4"/>
  <c r="D27" i="4"/>
  <c r="C27" i="4"/>
  <c r="A14" i="3"/>
  <c r="A41" i="3" s="1"/>
  <c r="A11" i="4"/>
  <c r="A8" i="4"/>
  <c r="A6" i="4"/>
  <c r="A5" i="4"/>
  <c r="A4" i="4"/>
  <c r="A40" i="2"/>
  <c r="A17" i="3"/>
  <c r="A44" i="3" s="1"/>
  <c r="A12" i="3"/>
  <c r="A51" i="15" l="1"/>
  <c r="A55" i="15"/>
  <c r="A60" i="15"/>
  <c r="D62" i="15"/>
  <c r="A50" i="15"/>
  <c r="A54" i="15"/>
  <c r="A53" i="15"/>
  <c r="A52" i="15"/>
  <c r="D51" i="15"/>
  <c r="D58" i="15"/>
  <c r="D50" i="15"/>
  <c r="A60" i="12"/>
  <c r="A54" i="12"/>
  <c r="A51" i="12"/>
  <c r="A55" i="12"/>
  <c r="A52" i="12"/>
  <c r="A13" i="3"/>
  <c r="A40" i="3" s="1"/>
  <c r="A53" i="12"/>
  <c r="D56" i="12"/>
  <c r="D54" i="12"/>
  <c r="D55" i="12"/>
  <c r="D51" i="12"/>
  <c r="D58" i="12"/>
  <c r="D50" i="12"/>
  <c r="A50" i="12"/>
  <c r="A39" i="3"/>
  <c r="A42" i="3"/>
  <c r="A11" i="8"/>
  <c r="A16" i="3"/>
  <c r="A43" i="3" s="1"/>
  <c r="A13" i="8"/>
  <c r="A11" i="3"/>
  <c r="A38" i="3" s="1"/>
  <c r="A26" i="2"/>
  <c r="A22" i="2" s="1"/>
  <c r="A15" i="27" l="1"/>
  <c r="A15" i="26"/>
  <c r="A15" i="29"/>
  <c r="A15" i="28"/>
  <c r="A30" i="23"/>
  <c r="A13" i="27"/>
  <c r="A13" i="28"/>
  <c r="A13" i="29"/>
  <c r="A13" i="26"/>
  <c r="A28" i="23"/>
  <c r="A11" i="29"/>
  <c r="A11" i="28"/>
  <c r="A11" i="27"/>
  <c r="A11" i="26"/>
  <c r="E27" i="23"/>
  <c r="A21" i="8"/>
  <c r="A15" i="20" s="1"/>
  <c r="A19" i="8"/>
  <c r="A13" i="20" s="1"/>
  <c r="E18" i="8"/>
  <c r="E12" i="20" s="1"/>
  <c r="A18" i="3"/>
  <c r="A13" i="23" s="1"/>
  <c r="F2" i="12"/>
  <c r="A45" i="3" l="1"/>
  <c r="G8" i="12"/>
  <c r="H8" i="12"/>
  <c r="H10" i="12" l="1"/>
  <c r="H12" i="12"/>
  <c r="H13" i="12"/>
  <c r="H15" i="12"/>
  <c r="H16" i="12"/>
  <c r="H9" i="12"/>
  <c r="H18" i="12"/>
  <c r="H11" i="12"/>
  <c r="H17" i="12"/>
  <c r="H14" i="12"/>
  <c r="G13" i="12"/>
  <c r="E8" i="12"/>
  <c r="G17" i="12"/>
  <c r="G11" i="12"/>
  <c r="G9" i="12"/>
  <c r="G15" i="12"/>
  <c r="H19" i="12"/>
  <c r="G12" i="12"/>
  <c r="G18" i="12"/>
  <c r="G10" i="12"/>
  <c r="G16" i="12"/>
  <c r="G14" i="12"/>
  <c r="E9" i="16" l="1"/>
  <c r="G19" i="12"/>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D9" i="15" s="1"/>
  <c r="C10" i="15" s="1"/>
  <c r="M8" i="15"/>
  <c r="F8" i="15" s="1"/>
  <c r="I10" i="15"/>
  <c r="I11" i="15" s="1"/>
  <c r="I12" i="15" s="1"/>
  <c r="I13" i="15" s="1"/>
  <c r="I14" i="15" s="1"/>
  <c r="I15" i="15" s="1"/>
  <c r="I16" i="15" s="1"/>
  <c r="I17" i="15" s="1"/>
  <c r="I18" i="15" s="1"/>
  <c r="L9" i="15" l="1"/>
  <c r="E9" i="15" s="1"/>
  <c r="M9" i="15" s="1"/>
  <c r="F9" i="15" s="1"/>
  <c r="D10" i="15"/>
  <c r="J14" i="15"/>
  <c r="K14" i="15" s="1"/>
  <c r="J13" i="15"/>
  <c r="K13" i="15" s="1"/>
  <c r="J17" i="15"/>
  <c r="K17" i="15" s="1"/>
  <c r="J16" i="15"/>
  <c r="K16" i="15" s="1"/>
  <c r="L10" i="15"/>
  <c r="E10" i="15" s="1"/>
  <c r="J15" i="15"/>
  <c r="K15" i="15" s="1"/>
  <c r="J18" i="15"/>
  <c r="K18" i="15" s="1"/>
  <c r="J19" i="15"/>
  <c r="K19" i="15" s="1"/>
  <c r="I19" i="15" s="1"/>
  <c r="C11" i="15" l="1"/>
  <c r="D11" i="15" s="1"/>
  <c r="I20" i="15"/>
  <c r="I21" i="15" s="1"/>
  <c r="J20" i="15"/>
  <c r="K20" i="15" s="1"/>
  <c r="M10" i="15"/>
  <c r="F10" i="15" s="1"/>
  <c r="C12" i="15" l="1"/>
  <c r="D12" i="15" s="1"/>
  <c r="C13" i="15" s="1"/>
  <c r="D13" i="15" s="1"/>
  <c r="C14" i="15" s="1"/>
  <c r="L11" i="15"/>
  <c r="E11" i="15" s="1"/>
  <c r="J21" i="15"/>
  <c r="K21" i="15" s="1"/>
  <c r="J22" i="15"/>
  <c r="K22" i="15" s="1"/>
  <c r="I22" i="15" s="1"/>
  <c r="I23" i="15" l="1"/>
  <c r="I24" i="15" s="1"/>
  <c r="J25" i="15" s="1"/>
  <c r="K25" i="15" s="1"/>
  <c r="I25" i="15" s="1"/>
  <c r="I26" i="15" s="1"/>
  <c r="J23" i="15"/>
  <c r="K23" i="15" s="1"/>
  <c r="L12" i="15"/>
  <c r="E12" i="15" s="1"/>
  <c r="M11" i="15"/>
  <c r="F11" i="15" s="1"/>
  <c r="J24" i="15" l="1"/>
  <c r="K24" i="15" s="1"/>
  <c r="J26" i="15"/>
  <c r="K26" i="15" s="1"/>
  <c r="J27" i="15"/>
  <c r="K27" i="15" s="1"/>
  <c r="I27" i="15" s="1"/>
  <c r="M12" i="15"/>
  <c r="F12" i="15" s="1"/>
  <c r="L13" i="15"/>
  <c r="E13" i="15" s="1"/>
  <c r="I28" i="15" l="1"/>
  <c r="J29" i="15" s="1"/>
  <c r="K29" i="15" s="1"/>
  <c r="I29" i="15" s="1"/>
  <c r="J30" i="15" s="1"/>
  <c r="K30" i="15" s="1"/>
  <c r="I30" i="15" s="1"/>
  <c r="J31" i="15" s="1"/>
  <c r="K31" i="15" s="1"/>
  <c r="I31" i="15" s="1"/>
  <c r="J32" i="15" s="1"/>
  <c r="K32" i="15" s="1"/>
  <c r="J28" i="15"/>
  <c r="K28" i="15" s="1"/>
  <c r="L14" i="15"/>
  <c r="I32" i="15" l="1"/>
  <c r="I33" i="15" s="1"/>
  <c r="I34" i="15" s="1"/>
  <c r="E14" i="15"/>
  <c r="D14" i="15"/>
  <c r="C15" i="15" s="1"/>
  <c r="L15" i="15" s="1"/>
  <c r="E15" i="15" s="1"/>
  <c r="M13" i="15"/>
  <c r="F13" i="15" s="1"/>
  <c r="J34" i="15" l="1"/>
  <c r="K34" i="15" s="1"/>
  <c r="J33" i="15"/>
  <c r="K33" i="15" s="1"/>
  <c r="M14" i="15"/>
  <c r="F14" i="15" s="1"/>
  <c r="D15" i="15"/>
  <c r="C16" i="15" s="1"/>
  <c r="L16" i="15" s="1"/>
  <c r="E16" i="15" s="1"/>
  <c r="I35" i="15"/>
  <c r="J35" i="15"/>
  <c r="K35" i="15" s="1"/>
  <c r="M15" i="15" l="1"/>
  <c r="F15" i="15" s="1"/>
  <c r="D16" i="15"/>
  <c r="C17" i="15" s="1"/>
  <c r="L17" i="15" s="1"/>
  <c r="E17" i="15" s="1"/>
  <c r="I36" i="15"/>
  <c r="J36" i="15"/>
  <c r="K36" i="15" s="1"/>
  <c r="M16" i="15" l="1"/>
  <c r="F16" i="15" s="1"/>
  <c r="D17" i="15"/>
  <c r="C18" i="15" s="1"/>
  <c r="L18" i="15" s="1"/>
  <c r="E18" i="15" s="1"/>
  <c r="J37" i="15"/>
  <c r="K37" i="15" s="1"/>
  <c r="I37" i="15" s="1"/>
  <c r="M17" i="15" l="1"/>
  <c r="F17" i="15" s="1"/>
  <c r="D18" i="15"/>
  <c r="C19" i="15" s="1"/>
  <c r="L19" i="15" s="1"/>
  <c r="E19" i="15" s="1"/>
  <c r="I38" i="15"/>
  <c r="J38" i="15"/>
  <c r="K38" i="15" s="1"/>
  <c r="M18" i="15" l="1"/>
  <c r="F18" i="15" s="1"/>
  <c r="D19" i="15"/>
  <c r="C20" i="15" s="1"/>
  <c r="L20" i="15" s="1"/>
  <c r="I39" i="15"/>
  <c r="J39" i="15"/>
  <c r="K39" i="15" s="1"/>
  <c r="M19" i="15" l="1"/>
  <c r="F19" i="15" s="1"/>
  <c r="I40" i="15"/>
  <c r="J40" i="15"/>
  <c r="K40" i="15" s="1"/>
  <c r="E20" i="15"/>
  <c r="D20" i="15"/>
  <c r="C21" i="15" l="1"/>
  <c r="L21" i="15" s="1"/>
  <c r="E21" i="15" s="1"/>
  <c r="I41" i="15"/>
  <c r="J41" i="15"/>
  <c r="K41" i="15" s="1"/>
  <c r="M20" i="15"/>
  <c r="F20" i="15" s="1"/>
  <c r="D21" i="15" l="1"/>
  <c r="C22" i="15" s="1"/>
  <c r="L22" i="15" s="1"/>
  <c r="E22" i="15" s="1"/>
  <c r="I42" i="15"/>
  <c r="J43" i="15" s="1"/>
  <c r="K43" i="15" s="1"/>
  <c r="I43" i="15" s="1"/>
  <c r="J42" i="15"/>
  <c r="K42" i="15" s="1"/>
  <c r="D22" i="15" l="1"/>
  <c r="C23" i="15" s="1"/>
  <c r="L23" i="15" s="1"/>
  <c r="E23" i="15" s="1"/>
  <c r="M21" i="15"/>
  <c r="F21" i="15" s="1"/>
  <c r="M22" i="15" l="1"/>
  <c r="F22" i="15" s="1"/>
  <c r="D23" i="15"/>
  <c r="C24" i="15" s="1"/>
  <c r="L24" i="15" s="1"/>
  <c r="E24" i="15" s="1"/>
  <c r="M23" i="15" l="1"/>
  <c r="F23" i="15" s="1"/>
  <c r="D24" i="15"/>
  <c r="C25" i="15" l="1"/>
  <c r="M24" i="15"/>
  <c r="F24" i="15" s="1"/>
  <c r="L25" i="15" l="1"/>
  <c r="E25" i="15" s="1"/>
  <c r="D25" i="15" l="1"/>
  <c r="C26" i="15" l="1"/>
  <c r="M25" i="15"/>
  <c r="F25" i="15" s="1"/>
  <c r="L26" i="15" l="1"/>
  <c r="D26" i="15" s="1"/>
  <c r="E26" i="15" l="1"/>
  <c r="M26" i="15" s="1"/>
  <c r="F26" i="15" s="1"/>
  <c r="C27" i="15"/>
  <c r="L27" i="15" l="1"/>
  <c r="D27" i="15" s="1"/>
  <c r="E27" i="15" l="1"/>
  <c r="M27" i="15" s="1"/>
  <c r="F27" i="15" s="1"/>
  <c r="C28" i="15"/>
  <c r="L28" i="15" l="1"/>
  <c r="D28" i="15" s="1"/>
  <c r="E28" i="15" l="1"/>
  <c r="M28" i="15" s="1"/>
  <c r="F28" i="15" s="1"/>
  <c r="C29" i="15"/>
  <c r="L29" i="15" l="1"/>
  <c r="D29" i="15" s="1"/>
  <c r="E29" i="15" l="1"/>
  <c r="M29" i="15" s="1"/>
  <c r="F29" i="15" s="1"/>
  <c r="C30" i="15"/>
  <c r="L30" i="15" l="1"/>
  <c r="D30" i="15" s="1"/>
  <c r="E30" i="15" l="1"/>
  <c r="M30" i="15" s="1"/>
  <c r="F30" i="15" s="1"/>
  <c r="C31" i="15"/>
  <c r="L31" i="15" l="1"/>
  <c r="D31" i="15" s="1"/>
  <c r="C32" i="15" s="1"/>
  <c r="E31" i="15" l="1"/>
  <c r="M31" i="15" s="1"/>
  <c r="F31" i="15" s="1"/>
  <c r="L32" i="15"/>
  <c r="E32" i="15" s="1"/>
  <c r="D32" i="15" l="1"/>
  <c r="C33" i="15" s="1"/>
  <c r="L33" i="15" s="1"/>
  <c r="E33" i="15" s="1"/>
  <c r="M32" i="15" l="1"/>
  <c r="F32" i="15" s="1"/>
  <c r="D33" i="15"/>
  <c r="C34" i="15" s="1"/>
  <c r="L34" i="15" s="1"/>
  <c r="E34" i="15" s="1"/>
  <c r="M33" i="15" l="1"/>
  <c r="F33" i="15" s="1"/>
  <c r="D34" i="15"/>
  <c r="C35" i="15" s="1"/>
  <c r="L35" i="15" s="1"/>
  <c r="E35" i="15" s="1"/>
  <c r="M34" i="15" l="1"/>
  <c r="F34" i="15" s="1"/>
  <c r="D35" i="15"/>
  <c r="C36" i="15" s="1"/>
  <c r="L36" i="15" s="1"/>
  <c r="E36" i="15" s="1"/>
  <c r="M35" i="15" l="1"/>
  <c r="F35" i="15" s="1"/>
  <c r="D36" i="15"/>
  <c r="C37" i="15" s="1"/>
  <c r="L37" i="15" s="1"/>
  <c r="E37" i="15" s="1"/>
  <c r="M36" i="15" l="1"/>
  <c r="F36" i="15" s="1"/>
  <c r="D37" i="15"/>
  <c r="M37" i="15" s="1"/>
  <c r="F37" i="15" s="1"/>
  <c r="C38" i="15" l="1"/>
  <c r="L38" i="15" l="1"/>
  <c r="E38" i="15" s="1"/>
  <c r="D38" i="15" l="1"/>
  <c r="C39" i="15" s="1"/>
  <c r="L39" i="15" l="1"/>
  <c r="E39" i="15" s="1"/>
  <c r="M38" i="15"/>
  <c r="F38" i="15" s="1"/>
  <c r="D39" i="15" l="1"/>
  <c r="C40" i="15" l="1"/>
  <c r="M39" i="15"/>
  <c r="F39" i="15" s="1"/>
  <c r="L40" i="15" l="1"/>
  <c r="E40" i="15" s="1"/>
  <c r="D40" i="15" l="1"/>
  <c r="M40" i="15" s="1"/>
  <c r="F40" i="15" s="1"/>
  <c r="C41" i="15" l="1"/>
  <c r="L41" i="15" s="1"/>
  <c r="E41" i="15" s="1"/>
  <c r="D41" i="15" l="1"/>
  <c r="M41" i="15" s="1"/>
  <c r="F41" i="15" s="1"/>
  <c r="C42" i="15" l="1"/>
  <c r="L42" i="15" s="1"/>
  <c r="E42" i="15" s="1"/>
  <c r="D42" i="15" l="1"/>
  <c r="C43" i="15" s="1"/>
  <c r="L43" i="15" s="1"/>
  <c r="E43" i="15" s="1"/>
  <c r="E44" i="15" s="1"/>
  <c r="M42" i="15" l="1"/>
  <c r="F42" i="15" s="1"/>
  <c r="D43" i="15"/>
  <c r="M43" i="15" s="1"/>
  <c r="F43" i="15" s="1"/>
  <c r="D44" i="15" l="1"/>
  <c r="F44" i="15"/>
  <c r="F9" i="16" l="1"/>
  <c r="D9" i="16" l="1"/>
  <c r="F10" i="16"/>
  <c r="C10" i="16" l="1"/>
  <c r="F11" i="16"/>
  <c r="E10" i="16" l="1"/>
  <c r="F12" i="16"/>
  <c r="D10" i="16" l="1"/>
  <c r="F13" i="16"/>
  <c r="C11" i="16" l="1"/>
  <c r="E11" i="16" l="1"/>
  <c r="D11" i="16" l="1"/>
  <c r="C12" i="16" l="1"/>
  <c r="E12" i="16" l="1"/>
  <c r="D12" i="16" l="1"/>
  <c r="C13" i="16" l="1"/>
  <c r="E13" i="16" l="1"/>
  <c r="D13" i="16" l="1"/>
  <c r="C14" i="16" l="1"/>
  <c r="E14" i="16" l="1"/>
  <c r="F14" i="16" l="1"/>
  <c r="F15" i="16"/>
  <c r="D14" i="16" l="1"/>
  <c r="F16" i="16"/>
  <c r="C15" i="16" l="1"/>
  <c r="F17" i="16"/>
  <c r="E15" i="16" l="1"/>
  <c r="F18" i="16"/>
  <c r="F19" i="16" l="1"/>
  <c r="D15" i="16"/>
  <c r="C16" i="16" l="1"/>
  <c r="E16" i="16" l="1"/>
  <c r="D16" i="16" l="1"/>
  <c r="C17" i="16" l="1"/>
  <c r="E17" i="16" l="1"/>
  <c r="D17" i="16" l="1"/>
  <c r="C18" i="16" l="1"/>
  <c r="E18" i="16" l="1"/>
  <c r="D18" i="16" l="1"/>
  <c r="C19" i="16" l="1"/>
  <c r="E19" i="16" l="1"/>
  <c r="D19" i="16" l="1"/>
  <c r="C20" i="16" l="1"/>
  <c r="D20" i="16" l="1"/>
  <c r="F20" i="16"/>
  <c r="F21" i="16" l="1"/>
  <c r="F22" i="16" l="1"/>
  <c r="D21" i="16"/>
  <c r="C22" i="16" l="1"/>
  <c r="F23" i="16"/>
  <c r="F24" i="16" l="1"/>
  <c r="E22" i="16"/>
  <c r="D22" i="16" l="1"/>
  <c r="F25" i="16"/>
  <c r="C23" i="16" l="1"/>
  <c r="F26" i="16" l="1"/>
  <c r="B91" i="1" s="1"/>
  <c r="E23" i="16"/>
  <c r="A24" i="3" l="1"/>
  <c r="A23" i="3"/>
  <c r="F8" i="12"/>
  <c r="D23" i="16"/>
  <c r="A22" i="3" l="1"/>
  <c r="F9" i="12"/>
  <c r="D8" i="12"/>
  <c r="C9" i="12" s="1"/>
  <c r="F27" i="16"/>
  <c r="C24" i="16"/>
  <c r="E9" i="12" l="1"/>
  <c r="D9" i="12" s="1"/>
  <c r="C10" i="12" s="1"/>
  <c r="F10" i="12"/>
  <c r="F28" i="16"/>
  <c r="E24" i="16"/>
  <c r="E10" i="12" l="1"/>
  <c r="D10" i="12" s="1"/>
  <c r="C11" i="12" s="1"/>
  <c r="F11" i="12"/>
  <c r="D24" i="16"/>
  <c r="F29" i="16"/>
  <c r="E11" i="12" l="1"/>
  <c r="D11" i="12" s="1"/>
  <c r="C12" i="12" s="1"/>
  <c r="F12" i="12"/>
  <c r="C25" i="16"/>
  <c r="E12" i="12" l="1"/>
  <c r="D12" i="12" s="1"/>
  <c r="C13" i="12" s="1"/>
  <c r="F13" i="12"/>
  <c r="F30" i="16"/>
  <c r="E25" i="16"/>
  <c r="E13" i="12" l="1"/>
  <c r="D13" i="12" s="1"/>
  <c r="C14" i="12" s="1"/>
  <c r="F14" i="12"/>
  <c r="D25" i="16"/>
  <c r="E14" i="12" l="1"/>
  <c r="F15" i="12"/>
  <c r="D14" i="12"/>
  <c r="C15" i="12" s="1"/>
  <c r="F31" i="16"/>
  <c r="C26" i="16"/>
  <c r="E15" i="12" l="1"/>
  <c r="D15" i="12" s="1"/>
  <c r="C16" i="12" s="1"/>
  <c r="F16" i="12"/>
  <c r="E26" i="16"/>
  <c r="E16" i="12" l="1"/>
  <c r="D16" i="12" s="1"/>
  <c r="C17" i="12" s="1"/>
  <c r="F17" i="12"/>
  <c r="D26" i="16"/>
  <c r="E17" i="12" l="1"/>
  <c r="F18" i="12"/>
  <c r="D17" i="12"/>
  <c r="C18" i="12" s="1"/>
  <c r="C27" i="16"/>
  <c r="E18" i="12" l="1"/>
  <c r="D18" i="12" s="1"/>
  <c r="C19" i="12" s="1"/>
  <c r="E19" i="12" s="1"/>
  <c r="E20" i="16" s="1"/>
  <c r="C63" i="1" s="1"/>
  <c r="C60" i="1" s="1"/>
  <c r="F19" i="12"/>
  <c r="E27" i="16"/>
  <c r="D19" i="12" l="1"/>
  <c r="C20" i="12" s="1"/>
  <c r="F20" i="12"/>
  <c r="D27" i="16"/>
  <c r="F21" i="12" l="1"/>
  <c r="C21" i="16"/>
  <c r="E20" i="12"/>
  <c r="E21" i="16" s="1"/>
  <c r="C28" i="16"/>
  <c r="F22" i="12" l="1"/>
  <c r="D20" i="12"/>
  <c r="C21" i="12" s="1"/>
  <c r="E28" i="16"/>
  <c r="E21" i="12" l="1"/>
  <c r="D21" i="12" s="1"/>
  <c r="C22" i="12" s="1"/>
  <c r="F23" i="12"/>
  <c r="D28" i="16"/>
  <c r="E22" i="12" l="1"/>
  <c r="D22" i="12" s="1"/>
  <c r="C23" i="12" s="1"/>
  <c r="F24" i="12"/>
  <c r="C29" i="16"/>
  <c r="E23" i="12" l="1"/>
  <c r="D23" i="12" s="1"/>
  <c r="C24" i="12" s="1"/>
  <c r="F25" i="12"/>
  <c r="E29" i="16"/>
  <c r="E24" i="12" l="1"/>
  <c r="D24" i="12" s="1"/>
  <c r="C25" i="12" s="1"/>
  <c r="F26" i="12"/>
  <c r="D29" i="16"/>
  <c r="E25" i="12" l="1"/>
  <c r="D25" i="12" s="1"/>
  <c r="C26" i="12" s="1"/>
  <c r="F27" i="12"/>
  <c r="C30" i="16"/>
  <c r="E26" i="12" l="1"/>
  <c r="D26" i="12" s="1"/>
  <c r="C27" i="12" s="1"/>
  <c r="F28" i="12"/>
  <c r="E30" i="16"/>
  <c r="E27" i="12" l="1"/>
  <c r="D27" i="12" s="1"/>
  <c r="C28" i="12" s="1"/>
  <c r="F29" i="12"/>
  <c r="D30" i="16"/>
  <c r="E28" i="12" l="1"/>
  <c r="D28" i="12" s="1"/>
  <c r="C29" i="12" s="1"/>
  <c r="F30" i="12"/>
  <c r="C31" i="16"/>
  <c r="E29" i="12" l="1"/>
  <c r="D29" i="12" s="1"/>
  <c r="C30" i="12" s="1"/>
  <c r="E30" i="12" s="1"/>
  <c r="D30" i="12" s="1"/>
  <c r="E31" i="16"/>
  <c r="D31" i="16" l="1"/>
  <c r="C31" i="12"/>
  <c r="E31" i="12" l="1"/>
  <c r="C32" i="16"/>
  <c r="D32" i="16" l="1"/>
  <c r="E32" i="16"/>
  <c r="F32" i="16" l="1"/>
  <c r="C33" i="16"/>
  <c r="C34" i="16" l="1"/>
  <c r="D33" i="16"/>
  <c r="E33" i="16"/>
  <c r="F33" i="16" l="1"/>
  <c r="C35" i="16"/>
  <c r="D34" i="16"/>
  <c r="F34" i="16" l="1"/>
  <c r="E35" i="16"/>
  <c r="D35" i="16"/>
  <c r="F35" i="16" l="1"/>
  <c r="C36" i="16"/>
  <c r="E36" i="16" l="1"/>
  <c r="D36" i="16"/>
  <c r="C37" i="16" l="1"/>
  <c r="F36" i="16"/>
  <c r="C38" i="16" l="1"/>
  <c r="E37" i="16"/>
  <c r="D37" i="16"/>
  <c r="F37" i="16" l="1"/>
  <c r="D38" i="16"/>
  <c r="F38" i="16" l="1"/>
  <c r="C39" i="16"/>
  <c r="D39" i="16" l="1"/>
  <c r="F39" i="16" l="1"/>
  <c r="C40" i="16"/>
  <c r="D40" i="16" l="1"/>
  <c r="F40" i="16" l="1"/>
  <c r="C41" i="16"/>
  <c r="C42" i="16" l="1"/>
  <c r="D41" i="16"/>
  <c r="F41" i="16" l="1"/>
  <c r="C43" i="16"/>
  <c r="D42" i="16"/>
  <c r="F42" i="16" l="1"/>
  <c r="D43" i="16"/>
  <c r="F43" i="16" l="1"/>
  <c r="C44" i="16"/>
  <c r="D44" i="16" l="1"/>
  <c r="D45" i="16" s="1"/>
  <c r="E44" i="16"/>
  <c r="F44" i="16" l="1"/>
  <c r="F45" i="16" s="1"/>
  <c r="A10" i="27"/>
  <c r="A10" i="28"/>
  <c r="A10" i="29"/>
  <c r="D31" i="12"/>
  <c r="F31" i="12" s="1"/>
  <c r="E34" i="16"/>
  <c r="E38" i="16"/>
  <c r="E39" i="16"/>
  <c r="E40" i="16"/>
  <c r="E41" i="16"/>
  <c r="E42" i="16"/>
  <c r="E43" i="16"/>
  <c r="E45" i="16" l="1"/>
  <c r="C32" i="12"/>
  <c r="E32" i="12" l="1"/>
  <c r="D32" i="12"/>
  <c r="F32" i="12" s="1"/>
  <c r="C33" i="12" l="1"/>
  <c r="E33" i="12"/>
  <c r="D33" i="12"/>
  <c r="C34" i="12" s="1"/>
  <c r="F33" i="12" l="1"/>
  <c r="E34" i="12"/>
  <c r="D34" i="12"/>
  <c r="C35" i="12"/>
  <c r="F34" i="12" l="1"/>
  <c r="D35" i="12"/>
  <c r="E35" i="12"/>
  <c r="C36" i="12"/>
  <c r="D36" i="12" l="1"/>
  <c r="E36" i="12"/>
  <c r="C37" i="12"/>
  <c r="F35" i="12"/>
  <c r="D37" i="12" l="1"/>
  <c r="E37" i="12"/>
  <c r="C38" i="12"/>
  <c r="F36" i="12"/>
  <c r="D38" i="12" l="1"/>
  <c r="E38" i="12"/>
  <c r="F37" i="12"/>
  <c r="C39" i="12" l="1"/>
  <c r="F38" i="12"/>
  <c r="D39" i="12" l="1"/>
  <c r="E39" i="12"/>
  <c r="C40" i="12"/>
  <c r="D40" i="12" l="1"/>
  <c r="C41" i="12"/>
  <c r="E40" i="12"/>
  <c r="F39" i="12"/>
  <c r="E41" i="12" l="1"/>
  <c r="D41" i="12"/>
  <c r="F40" i="12"/>
  <c r="C42" i="12" l="1"/>
  <c r="F41" i="12"/>
  <c r="E42" i="12" l="1"/>
  <c r="D42" i="12"/>
  <c r="F42" i="12" l="1"/>
  <c r="C43" i="12"/>
  <c r="D43" i="12" l="1"/>
  <c r="E43" i="12"/>
  <c r="E44" i="12" s="1"/>
  <c r="F43" i="12" l="1"/>
  <c r="F44" i="12" s="1"/>
  <c r="D44" i="12"/>
</calcChain>
</file>

<file path=xl/sharedStrings.xml><?xml version="1.0" encoding="utf-8"?>
<sst xmlns="http://schemas.openxmlformats.org/spreadsheetml/2006/main" count="613" uniqueCount="453">
  <si>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</si>
  <si>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</si>
  <si>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</si>
  <si>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</si>
  <si>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</si>
  <si>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</si>
  <si>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</si>
  <si>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</si>
  <si>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(78) 113 31 34</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</si>
  <si>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</si>
  <si>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</si>
  <si>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</si>
  <si>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</si>
  <si>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</si>
  <si>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</si>
  <si>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</si>
  <si>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</si>
  <si>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</si>
  <si>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</si>
  <si>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</si>
  <si>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</si>
  <si>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</si>
  <si>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990000__</t>
  </si>
  <si>
    <t>№01042</t>
  </si>
  <si>
    <t>июля</t>
  </si>
  <si>
    <t>№20216000705068380001</t>
  </si>
  <si>
    <t>306365847</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</si>
  <si>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</si>
  <si>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</si>
  <si>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</si>
  <si>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</si>
  <si>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</si>
  <si>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</si>
  <si>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</si>
  <si>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</si>
  <si>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</si>
  <si>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</si>
  <si>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</si>
  <si>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</si>
  <si>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</si>
  <si>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</si>
  <si>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</si>
  <si>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</si>
  <si>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</si>
  <si>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</si>
  <si>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</si>
  <si>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</si>
  <si>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</si>
  <si>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SAMARQAND VILOYATI TAYLOQ TUMANI CHAROG'BON MFY YANGI TAYLOQ QISHLOG'I 6 TURAR JOY 12 QAVAT 58 XONADON</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</si>
  <si>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</si>
  <si>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</si>
  <si>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</si>
  <si>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</si>
  <si>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</si>
  <si>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</si>
  <si>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</si>
  <si>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</si>
  <si>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</si>
  <si>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</si>
  <si>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</si>
  <si>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</si>
  <si>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</si>
  <si>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</si>
  <si>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</si>
  <si>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</si>
  <si>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</si>
  <si>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</si>
  <si>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</si>
  <si>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</si>
  <si>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</si>
  <si>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</si>
  <si>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</si>
  <si>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</si>
  <si>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</si>
  <si>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</si>
  <si>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</si>
  <si>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</si>
  <si>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</si>
  <si>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</si>
  <si>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</si>
  <si>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</si>
  <si>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</si>
  <si>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</si>
  <si>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</si>
  <si>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</si>
  <si>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</si>
  <si>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</si>
  <si>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</si>
  <si>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</si>
  <si>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</si>
  <si>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</si>
  <si>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</si>
  <si>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</si>
  <si>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</si>
  <si>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</si>
  <si>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</si>
  <si>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</si>
  <si>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</si>
  <si>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</si>
  <si>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</si>
  <si>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</si>
  <si>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</si>
  <si>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</si>
  <si>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</si>
  <si>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</si>
  <si>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</si>
  <si>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</si>
  <si>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</si>
  <si>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</si>
  <si>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</si>
  <si>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</si>
  <si>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</si>
  <si>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</si>
  <si>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</si>
  <si>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</si>
  <si>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</si>
  <si>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</si>
  <si>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</si>
  <si>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</si>
  <si>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</si>
  <si>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</si>
  <si>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</si>
  <si>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</si>
  <si>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</si>
  <si>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</si>
  <si>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</si>
  <si>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</si>
  <si>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</si>
  <si>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</si>
  <si>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</si>
  <si>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</si>
  <si>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</si>
  <si>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</si>
  <si>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</si>
  <si>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</si>
  <si>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</si>
  <si>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</si>
  <si>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</si>
  <si>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</si>
  <si>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</si>
  <si>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</si>
  <si>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</si>
  <si>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</si>
  <si>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</si>
  <si>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</si>
  <si>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</si>
  <si>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</si>
  <si>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</si>
  <si>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</si>
  <si>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</si>
  <si>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 xml:space="preserve"> xonalar soni</t>
  </si>
  <si>
    <t>Mikromoliya tashkiloti va Qarz oluvchi</t>
  </si>
  <si>
    <t>reestr raqami</t>
  </si>
  <si>
    <t>uy</t>
  </si>
  <si>
    <t>xonadon</t>
  </si>
  <si>
    <t>umumiy maydon</t>
  </si>
  <si>
    <t>yer maydoni</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</si>
  <si>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</si>
  <si>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</si>
  <si>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</si>
  <si>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</si>
  <si>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</si>
  <si>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</si>
  <si>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</si>
  <si>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</si>
  <si>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</si>
  <si>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</si>
  <si>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</si>
  <si>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</si>
  <si>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</si>
  <si>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</si>
  <si>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</si>
  <si>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</si>
  <si>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</si>
  <si>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</si>
  <si>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</si>
  <si>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Ishonchnoma</t>
  </si>
  <si>
    <t>Toshkent shahri, Olmazor tumani, Sagbon ko'chasi, 30 boshi berk, 6-uy</t>
  </si>
  <si>
    <t>ATB “Kapitalbank” Sergeli filiali</t>
  </si>
  <si>
    <t>hujjat asosida</t>
  </si>
  <si>
    <t xml:space="preserve">Manzil </t>
  </si>
  <si>
    <t>h/r</t>
  </si>
  <si>
    <t>Bank MFOsi</t>
  </si>
  <si>
    <t>Bankning nomlanishi</t>
  </si>
  <si>
    <t>STIR</t>
  </si>
  <si>
    <t>Bosh buhgalter FISh</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</si>
  <si>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</si>
  <si>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</si>
  <si>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</si>
  <si>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</si>
  <si>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</si>
  <si>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</si>
  <si>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</si>
  <si>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</si>
  <si>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</si>
  <si>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</si>
  <si>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</si>
  <si>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</si>
  <si>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</si>
  <si>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</si>
  <si>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</si>
  <si>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</si>
  <si>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</si>
  <si>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</si>
  <si>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</si>
  <si>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</si>
  <si>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</si>
  <si>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</si>
  <si>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</si>
  <si>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</si>
  <si>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</si>
  <si>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</si>
  <si>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</si>
  <si>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</si>
  <si>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</si>
  <si>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</si>
  <si>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</si>
  <si>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</si>
  <si>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</si>
  <si>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</si>
  <si>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</si>
  <si>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</si>
  <si>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</si>
  <si>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</si>
  <si>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</si>
  <si>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</si>
  <si>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</si>
  <si>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</si>
  <si>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</si>
  <si>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</si>
  <si>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</si>
  <si>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</si>
  <si>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</si>
  <si>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</si>
  <si>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</si>
  <si>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</si>
  <si>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</si>
  <si>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</si>
  <si>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</si>
  <si>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</si>
  <si>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</si>
  <si>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</si>
  <si>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</si>
  <si>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</si>
  <si>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</si>
  <si>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</si>
  <si>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</si>
  <si>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</si>
  <si>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</si>
  <si>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</si>
  <si>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</si>
  <si>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</si>
  <si>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yashash maydoni</t>
  </si>
  <si>
    <t>oktyabr</t>
  </si>
  <si>
    <t>sentyabr</t>
  </si>
  <si>
    <t xml:space="preserve">ottiz yetti million besh yuz ming </t>
  </si>
  <si>
    <t>ha</t>
  </si>
  <si>
    <t>Protokol raqami</t>
  </si>
  <si>
    <t>Savol raqami</t>
  </si>
  <si>
    <t>Savol raqami qol bilan</t>
  </si>
  <si>
    <t>QAROR QILADI:</t>
  </si>
  <si>
    <t>Qaror bir ovozdan qabul qilindi.</t>
  </si>
  <si>
    <t>1. SHARTNOMA PREDMETI</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</si>
  <si>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</si>
  <si>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</si>
  <si>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</si>
  <si>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</si>
  <si>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</si>
  <si>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</si>
  <si>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</si>
  <si>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</si>
  <si>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</si>
  <si>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</si>
  <si>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</si>
  <si>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</si>
  <si>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</si>
  <si>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</si>
  <si>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</si>
  <si>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</si>
  <si>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</si>
  <si>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</si>
  <si>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</si>
  <si>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</si>
  <si>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</si>
  <si>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</si>
  <si>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</si>
  <si>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</si>
  <si>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</si>
  <si>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</si>
  <si>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</si>
  <si>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</si>
  <si>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</si>
  <si>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</si>
  <si>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</si>
  <si>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</si>
  <si>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</si>
  <si>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</si>
  <si>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</si>
  <si>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</si>
  <si>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</si>
  <si>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</si>
  <si>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</si>
  <si>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</si>
  <si>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</si>
  <si>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</si>
  <si>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</si>
  <si>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</si>
  <si>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</si>
  <si>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</si>
  <si>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</si>
  <si>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</si>
  <si>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</si>
  <si>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</si>
  <si>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</si>
  <si>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</si>
  <si>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</si>
  <si>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</si>
  <si>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</si>
  <si>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</si>
  <si>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</si>
  <si>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</si>
  <si>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</si>
  <si>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</si>
  <si>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</si>
  <si>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</si>
  <si>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</si>
  <si>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</si>
  <si>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</si>
  <si>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</si>
  <si>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</si>
  <si>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Irgasheva O.P.</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</si>
  <si>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</si>
  <si>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</si>
  <si>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</si>
  <si>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</si>
  <si>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</si>
  <si>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</si>
  <si>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</si>
  <si>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</si>
  <si>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</si>
  <si>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</si>
  <si>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</si>
  <si>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</si>
  <si>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27-13/555</t>
  </si>
  <si>
    <t>22.07.2022 y.</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</si>
  <si>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</si>
  <si>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</si>
  <si>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</si>
  <si>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</si>
  <si>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</si>
  <si>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</si>
  <si>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</si>
  <si>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</si>
  <si>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</si>
  <si>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</si>
  <si>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</si>
  <si>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</si>
  <si>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</si>
  <si>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</si>
  <si>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</si>
  <si>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</si>
  <si>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</si>
  <si>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</si>
  <si>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</si>
  <si>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</si>
  <si>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</si>
  <si>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</si>
  <si>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</si>
  <si>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</si>
  <si>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</si>
  <si>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</si>
  <si>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</si>
  <si>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</si>
  <si>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</si>
  <si>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</si>
  <si>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«CLEVER MIKROMOLIYA TASHKILOTI» MChJ</t>
  </si>
  <si>
    <t>37,39</t>
  </si>
  <si>
    <t>16.12.2020 yildan №14:13:02:01:03:1179:0006:058</t>
  </si>
  <si>
    <t>13.12.2020 yildan 1718238/R-A1419303</t>
  </si>
  <si>
    <t>№ kadastr raqami</t>
  </si>
  <si>
    <t>Foydalanishga topshirilgan yili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</si>
  <si>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t>
  </si>
  <si>
    <t>Процент годовой</t>
  </si>
  <si>
    <t>60</t>
  </si>
  <si>
    <t>Oltmish</t>
  </si>
  <si>
    <t>bir yuz</t>
  </si>
  <si>
    <t>100</t>
  </si>
  <si>
    <t>YENGIL SEDAN</t>
  </si>
  <si>
    <t>Sug'urta kompaniyasi nomi</t>
  </si>
  <si>
    <t>Summa</t>
  </si>
  <si>
    <t>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t>
  </si>
  <si>
    <t>3.5. Undiruvni Garov narsasiga (predmetlariga) va/yoki uning (ularning) bir qismiga (qismlariga) qaratishda va/yoki Qarz oluvchining Kafildan qarzini undirishda Mikromoliya tashkiloti undiruvning birinchi navbatdagi obyektini o‘z xohishiga ko‘ra bir tomonlama tanlash yoki bir vaqtning o‘zida undiruvni Garov narsasiga (predmetlariga) qaratish va Kafilga talab qo‘yish huquqini o‘zida saqlab qoladi. Undiruvni garov narsasining bir obyektiga va/yoki uning (ularning) bir qismiga qaratish va/yoki Mikroqarzni Kafildan undirish Mikromoliya tashkilotini undiruvni garov narsasining boshqa obyektiga (obyektlariga) va/yoki uning (ularning) bir qismiga qaratish va/yoki Mikroqarzni Kafildan undirishda cheklamaydi. Qarz oluvchining Mikroqarzni Sug‘urtalovchidan undirish tartibi tegishli sug‘urta shartnomasida belgilanadi.</t>
  </si>
  <si>
    <t>5. Mikroqarz bo‘yicha ta'minot:</t>
  </si>
  <si>
    <t>Qorako'l filiali boshlig'i</t>
  </si>
  <si>
    <t>Egamberdiyeva Dilnora Inayatovna</t>
  </si>
  <si>
    <t>АО СК "IMPEX INSURANCE"</t>
  </si>
  <si>
    <t>Kreditlash bo’limi boshlig’i</t>
  </si>
  <si>
    <t>QORAKO'L TUMANI DARG'ALI QFY</t>
  </si>
  <si>
    <t>1-TRO' VA IOB (JONDOR T)</t>
  </si>
  <si>
    <t>DARG'ALI MFY 10 MAKTAB</t>
  </si>
  <si>
    <t>93 547-13-19  AYOLI</t>
  </si>
  <si>
    <t>93 753-02-44 O'RTOG'I</t>
  </si>
  <si>
    <t>QORAKO'L TUMANI</t>
  </si>
  <si>
    <t>94 545-76-56 O'ZI</t>
  </si>
  <si>
    <t>ATAXANOV AKMAL AXMETDJANOVICH</t>
  </si>
  <si>
    <t>11.06.1989 y</t>
  </si>
  <si>
    <t>AD7554127</t>
  </si>
  <si>
    <t>BOBONAZAROV ASLBEK AKRAM O'G'LI</t>
  </si>
  <si>
    <t>BUXORO VILOYATI QORAKO'L TUMANI ULUG'BEK KO'CHASI 31-UY</t>
  </si>
  <si>
    <t>RUSTAMOV ALISHER NARZULLAYEVICH</t>
  </si>
  <si>
    <t>202401864005639</t>
  </si>
  <si>
    <t>AC0328614</t>
  </si>
  <si>
    <t>BUXORO VILOYATI QORAKO'L TUMANI ZARAFSHON MFY GULISTON 21 UY</t>
  </si>
  <si>
    <t>AAG 5348590 25.12.2024y.</t>
  </si>
  <si>
    <t>DAMAS-2</t>
  </si>
  <si>
    <t>80X089BB</t>
  </si>
  <si>
    <t>XWB7T12YDRP863654</t>
  </si>
  <si>
    <t>F8CB240180255</t>
  </si>
  <si>
    <t>OQ SUMMIT WHITE</t>
  </si>
  <si>
    <t>2024</t>
  </si>
  <si>
    <t>BOBONAZAROV A.A.</t>
  </si>
  <si>
    <t xml:space="preserve">BUXORO VILOYATI QORAKO'L TUMANI IIB tomonidan 28.11.2018 yilda berilgan </t>
  </si>
  <si>
    <t xml:space="preserve"> - </t>
  </si>
  <si>
    <t>№492-QRS</t>
  </si>
  <si>
    <t>28.02.2025</t>
  </si>
  <si>
    <t>Mijoz quyidagi majburiyatlarga ega:TOSHKЕNT Sh., "KAPITALBANK" AT BANKINING YAGONA FILIALI  152 470 656.00  so'm. Ayni paytda muddati o'tgan qarzdorligi mavjud emas. O‘rtacha oylik to‘lov 4 175 896.03 so‘mni tashkil qiladi</t>
  </si>
  <si>
    <t>yigirma to'rt</t>
  </si>
  <si>
    <t>N.Abduraximovga</t>
  </si>
  <si>
    <t>ARIZA</t>
  </si>
  <si>
    <t>Mijoz plastik kartasi parametrlari</t>
  </si>
  <si>
    <t>Bank nomi:</t>
  </si>
  <si>
    <t>«Asaka bank» AJ</t>
  </si>
  <si>
    <t>H/r:</t>
  </si>
  <si>
    <t xml:space="preserve">2312 0000 7000 1200 0000 </t>
  </si>
  <si>
    <t>MFO:</t>
  </si>
  <si>
    <t xml:space="preserve">00873 </t>
  </si>
  <si>
    <t>STIR:</t>
  </si>
  <si>
    <t>201589828</t>
  </si>
  <si>
    <t>Karta raqami:</t>
  </si>
  <si>
    <t>8600 1309 0209 3006</t>
  </si>
  <si>
    <t>________________</t>
  </si>
  <si>
    <t>ijrochi direktori</t>
  </si>
  <si>
    <t>N. Abduraximov</t>
  </si>
  <si>
    <t>sana</t>
  </si>
  <si>
    <t>_______________</t>
  </si>
  <si>
    <t>B. Mominov</t>
  </si>
  <si>
    <t>B. Jumanazarov</t>
  </si>
  <si>
    <t>D. Egamberdiyeva</t>
  </si>
  <si>
    <t>BUXORO VILOYATI BUXORO SHAHAR IIB</t>
  </si>
  <si>
    <t>A. ATAXANOV</t>
  </si>
  <si>
    <t>Imzolaganlar ro'yxati:</t>
  </si>
  <si>
    <t>Ijrochi direktor:</t>
  </si>
  <si>
    <t>A. BOBONAZAROV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</si>
</sst>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6"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sz val="18"/>
      <color theme="1"/>
      <name val="Calibri"/>
      <family val="2"/>
      <charset val="204"/>
      <scheme val="minor"/>
    </font>
    <font>
      <b/>
      <i/>
      <sz val="12"/>
      <color theme="1"/>
      <name val="Times New Roman"/>
      <family val="1"/>
      <charset val="204"/>
    </font>
    <font>
      <b/>
      <sz val="36"/>
      <color theme="1"/>
      <name val="Times New Roman"/>
      <family val="1"/>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
      <sz val="12"/>
      <color theme="1"/>
      <name val="Arial"/>
      <family val="2"/>
      <charset val="204"/>
    </font>
    <font>
      <b/>
      <u/>
      <sz val="12"/>
      <name val="Times New Roman"/>
      <family val="1"/>
      <charset val="204"/>
    </font>
    <font>
      <b/>
      <sz val="12"/>
      <name val="Times New Roman"/>
      <family val="1"/>
      <charset val="204"/>
    </font>
  </fonts>
  <fills count="13">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1"/>
        <bgColor indexed="64"/>
      </patternFill>
    </fill>
    <fill>
      <patternFill patternType="solid">
        <fgColor rgb="FFC00000"/>
        <bgColor indexed="64"/>
      </patternFill>
    </fill>
    <fill>
      <patternFill patternType="solid">
        <fgColor rgb="FF00B050"/>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s>
  <cellStyleXfs count="424">
    <xf numFmtId="0" fontId="0"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2" fillId="0" borderId="0">
      <alignment vertical="center"/>
    </xf>
    <xf numFmtId="0" fontId="52" fillId="0" borderId="0">
      <alignment vertical="center"/>
    </xf>
    <xf numFmtId="43" fontId="5"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9"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cellStyleXfs>
  <cellXfs count="378">
    <xf numFmtId="0" fontId="0" fillId="0" borderId="0" xfId="0"/>
    <xf numFmtId="0" fontId="6" fillId="0" borderId="1" xfId="0" applyFont="1" applyBorder="1" applyAlignment="1">
      <alignment vertical="center" wrapText="1"/>
    </xf>
    <xf numFmtId="49" fontId="6" fillId="0" borderId="1" xfId="0" applyNumberFormat="1" applyFont="1" applyBorder="1" applyAlignment="1">
      <alignment vertical="center" wrapText="1"/>
    </xf>
    <xf numFmtId="0" fontId="7" fillId="2" borderId="1" xfId="0" applyFont="1" applyFill="1" applyBorder="1" applyAlignment="1">
      <alignment vertical="center" wrapText="1"/>
    </xf>
    <xf numFmtId="0" fontId="6" fillId="0" borderId="0" xfId="0" applyFont="1"/>
    <xf numFmtId="165" fontId="6" fillId="0" borderId="1" xfId="0" applyNumberFormat="1" applyFont="1" applyBorder="1" applyAlignment="1">
      <alignment vertical="center" wrapText="1"/>
    </xf>
    <xf numFmtId="43" fontId="6" fillId="0" borderId="1" xfId="1" applyFont="1" applyBorder="1" applyAlignment="1">
      <alignment vertical="center" wrapText="1"/>
    </xf>
    <xf numFmtId="0" fontId="8" fillId="0" borderId="0" xfId="0" applyFont="1"/>
    <xf numFmtId="0" fontId="10" fillId="2" borderId="1" xfId="0" applyFont="1" applyFill="1" applyBorder="1" applyAlignment="1">
      <alignment horizontal="left" vertical="center" wrapText="1"/>
    </xf>
    <xf numFmtId="0" fontId="10" fillId="2" borderId="1" xfId="0" applyFont="1" applyFill="1" applyBorder="1" applyAlignment="1">
      <alignment horizontal="center" vertical="center" wrapText="1"/>
    </xf>
    <xf numFmtId="0" fontId="13" fillId="0" borderId="0" xfId="0" applyFont="1" applyAlignment="1" applyProtection="1">
      <alignment horizontal="center" vertical="top"/>
      <protection hidden="1"/>
    </xf>
    <xf numFmtId="0" fontId="11" fillId="0" borderId="0" xfId="0" applyFont="1" applyAlignment="1" applyProtection="1">
      <alignment horizontal="center" vertical="center"/>
      <protection hidden="1"/>
    </xf>
    <xf numFmtId="0" fontId="13" fillId="0" borderId="0" xfId="0" applyFont="1" applyAlignment="1" applyProtection="1">
      <alignment horizontal="center" vertical="center"/>
      <protection hidden="1"/>
    </xf>
    <xf numFmtId="0" fontId="9" fillId="0" borderId="0" xfId="0" applyFont="1"/>
    <xf numFmtId="0" fontId="9" fillId="0" borderId="0" xfId="0" applyFont="1" applyAlignment="1">
      <alignment horizontal="right"/>
    </xf>
    <xf numFmtId="0" fontId="14" fillId="0" borderId="0" xfId="0" applyFont="1"/>
    <xf numFmtId="0" fontId="14" fillId="0" borderId="0" xfId="0" applyFont="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xf numFmtId="0" fontId="14" fillId="0" borderId="0" xfId="0" applyFont="1" applyAlignment="1">
      <alignment horizontal="justify" vertical="top" wrapText="1"/>
    </xf>
    <xf numFmtId="0" fontId="14" fillId="0" borderId="0" xfId="0" applyFont="1" applyAlignment="1">
      <alignment wrapText="1"/>
    </xf>
    <xf numFmtId="164" fontId="6" fillId="0" borderId="1" xfId="0" applyNumberFormat="1" applyFont="1" applyBorder="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7" fillId="0" borderId="0" xfId="0" applyFont="1"/>
    <xf numFmtId="0" fontId="16" fillId="0" borderId="1" xfId="0" applyFont="1" applyBorder="1" applyAlignment="1">
      <alignment horizontal="center" vertical="center" wrapText="1"/>
    </xf>
    <xf numFmtId="0" fontId="16" fillId="0" borderId="0" xfId="0" applyFont="1" applyAlignment="1">
      <alignment horizontal="center" vertical="center" wrapText="1"/>
    </xf>
    <xf numFmtId="0" fontId="17" fillId="0" borderId="1" xfId="0" applyFont="1" applyBorder="1" applyAlignment="1">
      <alignment horizontal="center" vertical="top" wrapText="1"/>
    </xf>
    <xf numFmtId="43" fontId="17" fillId="0" borderId="1" xfId="1" applyFont="1" applyBorder="1" applyAlignment="1">
      <alignment horizontal="center" vertical="top" wrapText="1"/>
    </xf>
    <xf numFmtId="0" fontId="16" fillId="0" borderId="1" xfId="0" applyFont="1" applyBorder="1" applyAlignment="1">
      <alignment horizontal="center" vertical="top" wrapText="1"/>
    </xf>
    <xf numFmtId="43" fontId="16" fillId="0" borderId="1" xfId="0" applyNumberFormat="1" applyFont="1" applyBorder="1" applyAlignment="1">
      <alignment horizontal="center" vertical="top" wrapText="1"/>
    </xf>
    <xf numFmtId="0" fontId="16" fillId="0" borderId="0" xfId="0" applyFont="1"/>
    <xf numFmtId="0" fontId="8" fillId="0" borderId="0" xfId="0" applyFont="1" applyAlignment="1">
      <alignment horizontal="left"/>
    </xf>
    <xf numFmtId="14" fontId="14" fillId="0" borderId="1" xfId="0" applyNumberFormat="1" applyFont="1" applyBorder="1"/>
    <xf numFmtId="43" fontId="14" fillId="0" borderId="1" xfId="1" applyFont="1" applyBorder="1"/>
    <xf numFmtId="14" fontId="14" fillId="0" borderId="0" xfId="0" applyNumberFormat="1" applyFont="1"/>
    <xf numFmtId="43" fontId="14" fillId="0" borderId="0" xfId="1" applyFont="1" applyBorder="1"/>
    <xf numFmtId="0" fontId="15" fillId="0" borderId="0" xfId="0" applyFont="1"/>
    <xf numFmtId="0" fontId="15" fillId="0" borderId="0" xfId="0" applyFont="1" applyAlignment="1">
      <alignment horizontal="right"/>
    </xf>
    <xf numFmtId="0" fontId="15" fillId="0" borderId="1" xfId="0" applyFont="1" applyBorder="1" applyAlignment="1">
      <alignment horizontal="center" vertical="center" wrapText="1"/>
    </xf>
    <xf numFmtId="0" fontId="15" fillId="0" borderId="0" xfId="0" applyFont="1" applyAlignment="1">
      <alignment horizontal="center"/>
    </xf>
    <xf numFmtId="0" fontId="22" fillId="0" borderId="0" xfId="0" applyFont="1" applyAlignment="1">
      <alignment horizontal="center" wrapText="1"/>
    </xf>
    <xf numFmtId="0" fontId="14" fillId="0" borderId="0" xfId="0" applyFont="1" applyAlignment="1">
      <alignment horizontal="center" wrapText="1"/>
    </xf>
    <xf numFmtId="0" fontId="21" fillId="0" borderId="0" xfId="0" applyFont="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5" fillId="0" borderId="1" xfId="0" applyFont="1" applyBorder="1"/>
    <xf numFmtId="14" fontId="15" fillId="0" borderId="1" xfId="0" applyNumberFormat="1" applyFont="1" applyBorder="1"/>
    <xf numFmtId="43" fontId="15" fillId="0" borderId="1" xfId="1" applyFont="1" applyBorder="1"/>
    <xf numFmtId="0" fontId="6" fillId="4" borderId="1" xfId="0" applyFont="1" applyFill="1" applyBorder="1" applyAlignment="1">
      <alignment vertical="center" wrapText="1"/>
    </xf>
    <xf numFmtId="0" fontId="6" fillId="0" borderId="1" xfId="0" applyFont="1" applyBorder="1"/>
    <xf numFmtId="0" fontId="6" fillId="0" borderId="1" xfId="0" applyFont="1" applyBorder="1" applyAlignment="1">
      <alignment horizontal="left" vertical="center"/>
    </xf>
    <xf numFmtId="0" fontId="7" fillId="0" borderId="0" xfId="0" applyFont="1" applyAlignment="1">
      <alignment vertical="center"/>
    </xf>
    <xf numFmtId="0" fontId="15" fillId="0" borderId="0" xfId="0" applyFont="1" applyAlignment="1">
      <alignment horizontal="center" vertical="center" wrapText="1"/>
    </xf>
    <xf numFmtId="43" fontId="27" fillId="0" borderId="1" xfId="1" applyFont="1" applyBorder="1"/>
    <xf numFmtId="43" fontId="6" fillId="4" borderId="1" xfId="1" applyFont="1" applyFill="1" applyBorder="1" applyAlignment="1">
      <alignment vertical="center" wrapText="1"/>
    </xf>
    <xf numFmtId="0" fontId="14" fillId="0" borderId="0" xfId="0" applyFont="1" applyAlignment="1">
      <alignment horizontal="left" vertical="top" wrapText="1"/>
    </xf>
    <xf numFmtId="0" fontId="14" fillId="0" borderId="8" xfId="0" applyFont="1" applyBorder="1" applyAlignment="1">
      <alignment wrapText="1"/>
    </xf>
    <xf numFmtId="0" fontId="14" fillId="0" borderId="9" xfId="0" applyFont="1" applyBorder="1" applyAlignment="1">
      <alignment wrapText="1"/>
    </xf>
    <xf numFmtId="49" fontId="6" fillId="4" borderId="1" xfId="0" applyNumberFormat="1" applyFont="1" applyFill="1" applyBorder="1" applyAlignment="1">
      <alignment vertical="center" wrapText="1"/>
    </xf>
    <xf numFmtId="165" fontId="26" fillId="2" borderId="1" xfId="0" applyNumberFormat="1" applyFont="1" applyFill="1" applyBorder="1" applyAlignment="1">
      <alignment vertical="center" wrapText="1"/>
    </xf>
    <xf numFmtId="165" fontId="6" fillId="2" borderId="1" xfId="0" applyNumberFormat="1" applyFont="1" applyFill="1" applyBorder="1" applyAlignment="1">
      <alignment vertical="center" wrapText="1"/>
    </xf>
    <xf numFmtId="0" fontId="6"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9" fillId="0" borderId="0" xfId="0" applyFont="1" applyAlignment="1">
      <alignment horizontal="center" vertical="center" wrapText="1"/>
    </xf>
    <xf numFmtId="0" fontId="9" fillId="0" borderId="0" xfId="0" applyFont="1" applyAlignment="1">
      <alignment horizontal="center"/>
    </xf>
    <xf numFmtId="0" fontId="8" fillId="0" borderId="0" xfId="0" applyFont="1" applyAlignment="1">
      <alignment horizontal="center" vertical="center"/>
    </xf>
    <xf numFmtId="43" fontId="6" fillId="4" borderId="3" xfId="1" applyFont="1" applyFill="1" applyBorder="1" applyAlignment="1">
      <alignment vertical="center" wrapText="1"/>
    </xf>
    <xf numFmtId="0" fontId="7" fillId="2" borderId="1" xfId="0" applyFont="1" applyFill="1" applyBorder="1" applyAlignment="1">
      <alignment horizontal="right" vertical="center" wrapText="1"/>
    </xf>
    <xf numFmtId="164" fontId="6" fillId="0" borderId="0" xfId="0" applyNumberFormat="1" applyFont="1" applyAlignment="1">
      <alignment vertical="center" wrapText="1"/>
    </xf>
    <xf numFmtId="0" fontId="8" fillId="0" borderId="0" xfId="0" applyFont="1" applyAlignment="1">
      <alignment vertical="top" wrapText="1"/>
    </xf>
    <xf numFmtId="0" fontId="9" fillId="0" borderId="0" xfId="0" applyFont="1" applyAlignment="1">
      <alignment horizontal="center" wrapText="1"/>
    </xf>
    <xf numFmtId="0" fontId="8" fillId="0" borderId="0" xfId="0" applyFont="1" applyAlignment="1">
      <alignment vertical="top"/>
    </xf>
    <xf numFmtId="0" fontId="6" fillId="6" borderId="1" xfId="0" applyFont="1" applyFill="1" applyBorder="1" applyAlignment="1">
      <alignment vertical="center" wrapText="1"/>
    </xf>
    <xf numFmtId="0" fontId="6" fillId="4" borderId="15" xfId="0" applyFont="1" applyFill="1" applyBorder="1" applyAlignment="1">
      <alignment vertical="center"/>
    </xf>
    <xf numFmtId="0" fontId="6" fillId="6" borderId="13" xfId="0" applyFont="1" applyFill="1" applyBorder="1" applyAlignment="1">
      <alignment vertical="center"/>
    </xf>
    <xf numFmtId="0" fontId="6" fillId="2" borderId="1" xfId="0" applyFont="1" applyFill="1" applyBorder="1"/>
    <xf numFmtId="0" fontId="6" fillId="2" borderId="1" xfId="0" applyFont="1" applyFill="1" applyBorder="1" applyAlignment="1">
      <alignment wrapText="1"/>
    </xf>
    <xf numFmtId="165" fontId="6" fillId="2" borderId="1" xfId="0" applyNumberFormat="1" applyFont="1" applyFill="1" applyBorder="1" applyAlignment="1">
      <alignment horizontal="left" vertical="center" wrapText="1"/>
    </xf>
    <xf numFmtId="14" fontId="6" fillId="6" borderId="1" xfId="0" applyNumberFormat="1" applyFont="1" applyFill="1" applyBorder="1" applyAlignment="1">
      <alignment vertical="center" wrapText="1"/>
    </xf>
    <xf numFmtId="165" fontId="6" fillId="6" borderId="1" xfId="0" applyNumberFormat="1" applyFont="1" applyFill="1" applyBorder="1" applyAlignment="1">
      <alignment vertical="center" wrapText="1"/>
    </xf>
    <xf numFmtId="0" fontId="6" fillId="7" borderId="1" xfId="0" applyFont="1" applyFill="1" applyBorder="1" applyAlignment="1">
      <alignment vertical="center" wrapText="1"/>
    </xf>
    <xf numFmtId="9" fontId="6" fillId="7" borderId="1" xfId="0" applyNumberFormat="1" applyFont="1" applyFill="1" applyBorder="1" applyAlignment="1">
      <alignment vertical="center" wrapText="1"/>
    </xf>
    <xf numFmtId="49" fontId="6" fillId="7" borderId="1" xfId="1" applyNumberFormat="1" applyFont="1" applyFill="1" applyBorder="1" applyAlignment="1">
      <alignment vertical="center" wrapText="1"/>
    </xf>
    <xf numFmtId="40" fontId="6" fillId="7" borderId="1" xfId="1" applyNumberFormat="1" applyFont="1" applyFill="1" applyBorder="1" applyAlignment="1">
      <alignment vertical="center" wrapText="1"/>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49" fontId="6" fillId="4" borderId="1" xfId="0" applyNumberFormat="1" applyFont="1" applyFill="1" applyBorder="1" applyAlignment="1">
      <alignment horizontal="left" vertical="center" wrapText="1"/>
    </xf>
    <xf numFmtId="0" fontId="33" fillId="0" borderId="0" xfId="0" applyFont="1"/>
    <xf numFmtId="0" fontId="27" fillId="0" borderId="0" xfId="0" applyFont="1"/>
    <xf numFmtId="0" fontId="33" fillId="0" borderId="0" xfId="0" applyFont="1" applyAlignment="1">
      <alignment horizontal="right"/>
    </xf>
    <xf numFmtId="164" fontId="27" fillId="0" borderId="0" xfId="0" applyNumberFormat="1" applyFont="1"/>
    <xf numFmtId="166" fontId="27" fillId="0" borderId="0" xfId="0" applyNumberFormat="1" applyFont="1"/>
    <xf numFmtId="0" fontId="27" fillId="0" borderId="1" xfId="0" applyFont="1" applyBorder="1" applyAlignment="1">
      <alignment horizontal="center" vertical="center" wrapText="1"/>
    </xf>
    <xf numFmtId="0" fontId="27" fillId="0" borderId="0" xfId="0" applyFont="1" applyAlignment="1">
      <alignment horizontal="center" vertical="center" wrapText="1"/>
    </xf>
    <xf numFmtId="0" fontId="27" fillId="0" borderId="1" xfId="0" applyFont="1" applyBorder="1"/>
    <xf numFmtId="14" fontId="27" fillId="0" borderId="1" xfId="0" applyNumberFormat="1" applyFont="1" applyBorder="1"/>
    <xf numFmtId="167" fontId="27" fillId="0" borderId="0" xfId="0" applyNumberFormat="1" applyFont="1"/>
    <xf numFmtId="0" fontId="33" fillId="0" borderId="1" xfId="0" applyFont="1" applyBorder="1"/>
    <xf numFmtId="14" fontId="33" fillId="0" borderId="1" xfId="0" applyNumberFormat="1" applyFont="1" applyBorder="1"/>
    <xf numFmtId="43" fontId="33" fillId="0" borderId="1" xfId="1" applyFont="1" applyBorder="1"/>
    <xf numFmtId="14" fontId="27" fillId="0" borderId="0" xfId="0" applyNumberFormat="1" applyFont="1"/>
    <xf numFmtId="43" fontId="27" fillId="0" borderId="0" xfId="1" applyFont="1" applyBorder="1"/>
    <xf numFmtId="14" fontId="26" fillId="5" borderId="0" xfId="0" applyNumberFormat="1" applyFont="1" applyFill="1"/>
    <xf numFmtId="0" fontId="26" fillId="5" borderId="0" xfId="0" applyFont="1" applyFill="1"/>
    <xf numFmtId="0" fontId="26" fillId="0" borderId="0" xfId="0" applyFont="1"/>
    <xf numFmtId="168" fontId="36" fillId="5" borderId="0" xfId="0" applyNumberFormat="1" applyFont="1" applyFill="1"/>
    <xf numFmtId="0" fontId="26" fillId="4" borderId="0" xfId="0" applyFont="1" applyFill="1"/>
    <xf numFmtId="1" fontId="26" fillId="5" borderId="0" xfId="0" applyNumberFormat="1" applyFont="1" applyFill="1"/>
    <xf numFmtId="49" fontId="27" fillId="0" borderId="0" xfId="0" applyNumberFormat="1" applyFont="1" applyAlignment="1">
      <alignment horizontal="right"/>
    </xf>
    <xf numFmtId="0" fontId="37" fillId="0" borderId="0" xfId="0" applyFont="1" applyAlignment="1">
      <alignment vertical="center"/>
    </xf>
    <xf numFmtId="0" fontId="38" fillId="0" borderId="0" xfId="0" applyFont="1" applyAlignment="1">
      <alignment horizontal="right" vertical="center"/>
    </xf>
    <xf numFmtId="0" fontId="38" fillId="0" borderId="0" xfId="0" applyFont="1" applyAlignment="1">
      <alignment horizontal="right" vertical="center" wrapText="1"/>
    </xf>
    <xf numFmtId="43" fontId="14" fillId="0" borderId="1" xfId="1" applyFont="1" applyBorder="1" applyAlignment="1">
      <alignment horizontal="center" vertical="top" wrapText="1"/>
    </xf>
    <xf numFmtId="0" fontId="39" fillId="7" borderId="1" xfId="0" applyFont="1" applyFill="1" applyBorder="1"/>
    <xf numFmtId="0" fontId="39"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6" fillId="4" borderId="1" xfId="0" applyFont="1" applyFill="1" applyBorder="1"/>
    <xf numFmtId="0" fontId="39"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8" fillId="0" borderId="0" xfId="0" applyFont="1" applyAlignment="1">
      <alignment horizontal="right"/>
    </xf>
    <xf numFmtId="0" fontId="28" fillId="0" borderId="0" xfId="0" applyFont="1" applyAlignment="1">
      <alignment horizontal="justify"/>
    </xf>
    <xf numFmtId="0" fontId="28" fillId="0" borderId="0" xfId="0" applyFont="1" applyAlignment="1">
      <alignment horizontal="justify" vertical="center"/>
    </xf>
    <xf numFmtId="0" fontId="28" fillId="0" borderId="1" xfId="0" applyFont="1" applyBorder="1" applyAlignment="1">
      <alignment horizontal="justify"/>
    </xf>
    <xf numFmtId="0" fontId="28" fillId="0" borderId="0" xfId="0" applyFont="1" applyAlignment="1">
      <alignment horizontal="justify" vertical="center" wrapText="1"/>
    </xf>
    <xf numFmtId="0" fontId="28" fillId="0" borderId="0" xfId="0" applyFont="1" applyAlignment="1">
      <alignment horizontal="left"/>
    </xf>
    <xf numFmtId="0" fontId="28" fillId="0" borderId="11" xfId="0" applyFont="1" applyBorder="1" applyAlignment="1">
      <alignment horizontal="center"/>
    </xf>
    <xf numFmtId="0" fontId="28" fillId="0" borderId="0" xfId="0" applyFont="1" applyAlignment="1">
      <alignment horizontal="center"/>
    </xf>
    <xf numFmtId="0" fontId="6" fillId="3" borderId="1" xfId="0" applyFont="1" applyFill="1" applyBorder="1" applyAlignment="1">
      <alignment horizontal="center" vertical="center" wrapText="1"/>
    </xf>
    <xf numFmtId="0" fontId="14" fillId="0" borderId="0" xfId="0" applyFont="1" applyAlignment="1">
      <alignment vertical="top"/>
    </xf>
    <xf numFmtId="14" fontId="6" fillId="0" borderId="1" xfId="0" applyNumberFormat="1" applyFont="1" applyBorder="1"/>
    <xf numFmtId="0" fontId="15" fillId="0" borderId="0" xfId="0" applyFont="1" applyAlignment="1">
      <alignment horizontal="left" vertical="center" wrapText="1"/>
    </xf>
    <xf numFmtId="0" fontId="15" fillId="0" borderId="0" xfId="0" applyFont="1" applyAlignment="1">
      <alignment horizontal="right" vertical="center" wrapText="1"/>
    </xf>
    <xf numFmtId="0" fontId="0" fillId="0" borderId="0" xfId="0" applyAlignment="1">
      <alignment horizontal="left" vertical="center"/>
    </xf>
    <xf numFmtId="0" fontId="14" fillId="0" borderId="0" xfId="0" applyFont="1" applyAlignment="1">
      <alignment horizontal="left" vertical="center" wrapText="1"/>
    </xf>
    <xf numFmtId="14" fontId="6" fillId="4" borderId="1" xfId="0" applyNumberFormat="1" applyFont="1" applyFill="1" applyBorder="1" applyAlignment="1">
      <alignment vertical="center" wrapText="1"/>
    </xf>
    <xf numFmtId="0" fontId="14" fillId="0" borderId="0" xfId="0" applyFont="1" applyAlignment="1">
      <alignment horizontal="right"/>
    </xf>
    <xf numFmtId="0" fontId="7" fillId="6" borderId="1" xfId="0" applyFont="1" applyFill="1" applyBorder="1" applyAlignment="1">
      <alignment horizontal="left" vertical="center" wrapText="1"/>
    </xf>
    <xf numFmtId="0" fontId="7" fillId="6" borderId="1" xfId="0" applyFont="1" applyFill="1" applyBorder="1" applyAlignment="1">
      <alignment vertical="center" wrapText="1"/>
    </xf>
    <xf numFmtId="0" fontId="10" fillId="4" borderId="1" xfId="0" applyFont="1" applyFill="1" applyBorder="1" applyAlignment="1">
      <alignment horizontal="center" vertical="center" wrapText="1"/>
    </xf>
    <xf numFmtId="0" fontId="17" fillId="0" borderId="0" xfId="0" applyFont="1" applyAlignment="1">
      <alignment wrapText="1"/>
    </xf>
    <xf numFmtId="165" fontId="17" fillId="0" borderId="0" xfId="0" applyNumberFormat="1" applyFont="1"/>
    <xf numFmtId="0" fontId="16" fillId="0" borderId="0" xfId="0" applyFont="1" applyAlignment="1">
      <alignment vertical="center" wrapText="1"/>
    </xf>
    <xf numFmtId="0" fontId="16" fillId="0" borderId="0" xfId="0" applyFont="1" applyAlignment="1">
      <alignment horizontal="left"/>
    </xf>
    <xf numFmtId="0" fontId="9" fillId="0" borderId="0" xfId="0" applyFont="1" applyAlignment="1">
      <alignment horizontal="left"/>
    </xf>
    <xf numFmtId="14" fontId="10" fillId="4" borderId="1" xfId="0" applyNumberFormat="1" applyFont="1" applyFill="1" applyBorder="1" applyAlignment="1">
      <alignment horizontal="center" vertical="center" wrapText="1"/>
    </xf>
    <xf numFmtId="0" fontId="6" fillId="4" borderId="3" xfId="0" applyFont="1" applyFill="1" applyBorder="1" applyAlignment="1">
      <alignment vertical="center" wrapText="1"/>
    </xf>
    <xf numFmtId="49" fontId="10" fillId="4" borderId="1" xfId="0" applyNumberFormat="1" applyFont="1" applyFill="1" applyBorder="1" applyAlignment="1">
      <alignment horizontal="center" vertical="center" wrapText="1"/>
    </xf>
    <xf numFmtId="164" fontId="6" fillId="4" borderId="1" xfId="0" applyNumberFormat="1" applyFont="1" applyFill="1" applyBorder="1" applyAlignment="1">
      <alignment vertical="center" wrapText="1"/>
    </xf>
    <xf numFmtId="0" fontId="17" fillId="0" borderId="0" xfId="0" applyFont="1" applyAlignment="1">
      <alignment horizontal="center" vertical="top" wrapText="1"/>
    </xf>
    <xf numFmtId="0" fontId="41" fillId="2" borderId="1" xfId="0" applyFont="1" applyFill="1" applyBorder="1" applyAlignment="1">
      <alignment vertical="center" wrapText="1"/>
    </xf>
    <xf numFmtId="0" fontId="6" fillId="9" borderId="1" xfId="0" applyFont="1" applyFill="1" applyBorder="1" applyAlignment="1">
      <alignment vertical="center" wrapText="1"/>
    </xf>
    <xf numFmtId="0" fontId="6" fillId="3" borderId="1" xfId="0" applyFont="1" applyFill="1" applyBorder="1" applyAlignment="1">
      <alignment horizontal="center" vertical="center"/>
    </xf>
    <xf numFmtId="0" fontId="4" fillId="0" borderId="0" xfId="0" applyFont="1"/>
    <xf numFmtId="0" fontId="42" fillId="0" borderId="0" xfId="0" applyFont="1" applyAlignment="1">
      <alignment vertical="center"/>
    </xf>
    <xf numFmtId="0" fontId="43" fillId="0" borderId="0" xfId="0" applyFont="1" applyAlignment="1">
      <alignment wrapText="1"/>
    </xf>
    <xf numFmtId="0" fontId="8" fillId="0" borderId="0" xfId="0" applyFont="1" applyAlignment="1">
      <alignment wrapText="1"/>
    </xf>
    <xf numFmtId="0" fontId="45" fillId="0" borderId="0" xfId="0" applyFont="1"/>
    <xf numFmtId="0" fontId="9" fillId="0" borderId="0" xfId="0" applyFont="1" applyAlignment="1">
      <alignment horizontal="left" vertical="center" wrapText="1"/>
    </xf>
    <xf numFmtId="0" fontId="8" fillId="0" borderId="0" xfId="0" applyFont="1" applyAlignment="1">
      <alignment horizontal="left" vertical="top" wrapText="1"/>
    </xf>
    <xf numFmtId="0" fontId="31" fillId="0" borderId="0" xfId="0" applyFont="1" applyAlignment="1">
      <alignment horizontal="left"/>
    </xf>
    <xf numFmtId="0" fontId="9" fillId="0" borderId="0" xfId="0" applyFont="1" applyAlignment="1">
      <alignment horizontal="left" vertical="top" wrapText="1"/>
    </xf>
    <xf numFmtId="49" fontId="8" fillId="0" borderId="0" xfId="0" applyNumberFormat="1" applyFont="1" applyAlignment="1">
      <alignment horizontal="left" vertical="top" wrapText="1"/>
    </xf>
    <xf numFmtId="0" fontId="6" fillId="5" borderId="1" xfId="0" applyFont="1" applyFill="1" applyBorder="1" applyAlignment="1">
      <alignment vertical="center" wrapText="1"/>
    </xf>
    <xf numFmtId="0" fontId="14" fillId="0" borderId="0" xfId="0" applyFont="1" applyAlignment="1">
      <alignment horizontal="left"/>
    </xf>
    <xf numFmtId="14" fontId="6" fillId="3" borderId="1" xfId="0" applyNumberFormat="1" applyFont="1" applyFill="1" applyBorder="1" applyAlignment="1">
      <alignment horizontal="center" vertical="center" wrapText="1"/>
    </xf>
    <xf numFmtId="0" fontId="47" fillId="2" borderId="1" xfId="0" applyFont="1" applyFill="1" applyBorder="1" applyAlignment="1">
      <alignment horizontal="left" vertical="center" wrapText="1"/>
    </xf>
    <xf numFmtId="0" fontId="47" fillId="2" borderId="1" xfId="0" applyFont="1" applyFill="1" applyBorder="1" applyAlignment="1">
      <alignment vertical="center" wrapText="1"/>
    </xf>
    <xf numFmtId="0" fontId="29" fillId="4" borderId="1" xfId="0" applyFont="1" applyFill="1" applyBorder="1" applyAlignment="1">
      <alignment vertical="center" wrapText="1"/>
    </xf>
    <xf numFmtId="0" fontId="48" fillId="4" borderId="1" xfId="0" applyFont="1" applyFill="1" applyBorder="1" applyAlignment="1">
      <alignment vertical="center" wrapText="1"/>
    </xf>
    <xf numFmtId="0" fontId="50" fillId="4" borderId="1" xfId="0" applyFont="1" applyFill="1" applyBorder="1" applyAlignment="1">
      <alignment vertical="center" wrapText="1"/>
    </xf>
    <xf numFmtId="0" fontId="49" fillId="2" borderId="1" xfId="0" applyFont="1" applyFill="1" applyBorder="1" applyAlignment="1">
      <alignment vertical="center" wrapText="1"/>
    </xf>
    <xf numFmtId="0" fontId="47" fillId="10" borderId="2" xfId="0" applyFont="1" applyFill="1" applyBorder="1" applyAlignment="1">
      <alignment horizontal="left" vertical="center" wrapText="1"/>
    </xf>
    <xf numFmtId="0" fontId="47" fillId="10" borderId="24" xfId="0" applyFont="1" applyFill="1" applyBorder="1" applyAlignment="1">
      <alignment horizontal="left" vertical="center" wrapText="1"/>
    </xf>
    <xf numFmtId="43" fontId="50" fillId="4" borderId="1" xfId="1" applyFont="1" applyFill="1" applyBorder="1" applyAlignment="1">
      <alignment vertical="center" wrapText="1"/>
    </xf>
    <xf numFmtId="49" fontId="6" fillId="0" borderId="1" xfId="0" applyNumberFormat="1" applyFont="1" applyBorder="1"/>
    <xf numFmtId="0" fontId="14" fillId="11" borderId="0" xfId="0" applyFont="1" applyFill="1"/>
    <xf numFmtId="0" fontId="7" fillId="0" borderId="0" xfId="0" applyFont="1"/>
    <xf numFmtId="0" fontId="6" fillId="10" borderId="0" xfId="0" applyFont="1" applyFill="1"/>
    <xf numFmtId="164" fontId="6" fillId="10" borderId="3" xfId="0" applyNumberFormat="1" applyFont="1" applyFill="1" applyBorder="1" applyAlignment="1">
      <alignment horizontal="left" vertical="top" wrapText="1"/>
    </xf>
    <xf numFmtId="14" fontId="6" fillId="10" borderId="0" xfId="0" applyNumberFormat="1" applyFont="1" applyFill="1"/>
    <xf numFmtId="0" fontId="53" fillId="10" borderId="16" xfId="0" applyFont="1" applyFill="1" applyBorder="1"/>
    <xf numFmtId="168" fontId="7" fillId="10" borderId="0" xfId="0" applyNumberFormat="1" applyFont="1" applyFill="1"/>
    <xf numFmtId="0" fontId="6" fillId="10" borderId="19" xfId="0" applyFont="1" applyFill="1" applyBorder="1"/>
    <xf numFmtId="0" fontId="6" fillId="10" borderId="20" xfId="0" applyFont="1" applyFill="1" applyBorder="1"/>
    <xf numFmtId="0" fontId="7" fillId="0" borderId="0" xfId="0" applyFont="1" applyAlignment="1">
      <alignment wrapText="1"/>
    </xf>
    <xf numFmtId="0" fontId="7" fillId="10" borderId="0" xfId="0" applyFont="1" applyFill="1" applyAlignment="1">
      <alignment vertical="center" wrapText="1"/>
    </xf>
    <xf numFmtId="49" fontId="6" fillId="10" borderId="0" xfId="0" applyNumberFormat="1" applyFont="1" applyFill="1"/>
    <xf numFmtId="0" fontId="6" fillId="10" borderId="0" xfId="0" applyFont="1" applyFill="1" applyAlignment="1">
      <alignment vertical="center" wrapText="1"/>
    </xf>
    <xf numFmtId="49" fontId="29" fillId="4" borderId="1" xfId="0" applyNumberFormat="1" applyFont="1" applyFill="1" applyBorder="1" applyAlignment="1">
      <alignment vertical="center" wrapText="1"/>
    </xf>
    <xf numFmtId="11" fontId="6" fillId="4" borderId="1" xfId="0" applyNumberFormat="1" applyFont="1" applyFill="1" applyBorder="1" applyAlignment="1">
      <alignment vertical="center" wrapText="1"/>
    </xf>
    <xf numFmtId="0" fontId="6" fillId="4" borderId="1" xfId="0" applyFont="1" applyFill="1" applyBorder="1" applyAlignment="1">
      <alignment horizontal="left" vertical="center" wrapText="1"/>
    </xf>
    <xf numFmtId="14" fontId="10" fillId="2" borderId="1" xfId="0" applyNumberFormat="1" applyFont="1" applyFill="1" applyBorder="1" applyAlignment="1">
      <alignment horizontal="center" vertical="center" wrapText="1"/>
    </xf>
    <xf numFmtId="14" fontId="6" fillId="4" borderId="1" xfId="0" applyNumberFormat="1" applyFont="1" applyFill="1" applyBorder="1" applyAlignment="1">
      <alignment horizontal="left" vertical="center" wrapText="1"/>
    </xf>
    <xf numFmtId="43" fontId="6" fillId="10" borderId="0" xfId="0" applyNumberFormat="1" applyFont="1" applyFill="1"/>
    <xf numFmtId="0" fontId="29" fillId="10" borderId="0" xfId="0" applyFont="1" applyFill="1"/>
    <xf numFmtId="10" fontId="29" fillId="10" borderId="0" xfId="287" applyNumberFormat="1" applyFont="1" applyFill="1" applyAlignment="1">
      <alignment horizontal="center"/>
    </xf>
    <xf numFmtId="0" fontId="29" fillId="10" borderId="0" xfId="0" applyFont="1" applyFill="1" applyAlignment="1">
      <alignment horizontal="center"/>
    </xf>
    <xf numFmtId="0" fontId="7" fillId="2" borderId="13" xfId="0" applyFont="1" applyFill="1" applyBorder="1" applyAlignment="1">
      <alignment vertical="center" wrapText="1"/>
    </xf>
    <xf numFmtId="0" fontId="6" fillId="0" borderId="13" xfId="0" applyFont="1" applyBorder="1" applyAlignment="1">
      <alignment vertical="center" wrapText="1"/>
    </xf>
    <xf numFmtId="0" fontId="46" fillId="12" borderId="25" xfId="0" applyFont="1" applyFill="1" applyBorder="1" applyAlignment="1">
      <alignment vertical="center" wrapText="1"/>
    </xf>
    <xf numFmtId="0" fontId="6" fillId="12" borderId="26" xfId="0" applyFont="1" applyFill="1" applyBorder="1" applyAlignment="1">
      <alignment vertical="center" wrapText="1"/>
    </xf>
    <xf numFmtId="0" fontId="46" fillId="12" borderId="27" xfId="0" applyFont="1" applyFill="1" applyBorder="1" applyAlignment="1">
      <alignment vertical="center" wrapText="1"/>
    </xf>
    <xf numFmtId="43" fontId="6" fillId="12" borderId="28" xfId="1" applyFont="1" applyFill="1" applyBorder="1" applyAlignment="1">
      <alignment vertical="center" wrapText="1"/>
    </xf>
    <xf numFmtId="0" fontId="7" fillId="12" borderId="29" xfId="0" applyFont="1" applyFill="1" applyBorder="1" applyAlignment="1">
      <alignment vertical="center" wrapText="1"/>
    </xf>
    <xf numFmtId="43" fontId="6" fillId="12" borderId="30" xfId="1"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6" fillId="0" borderId="1" xfId="0" applyFont="1" applyBorder="1" applyAlignment="1">
      <alignment vertical="center" wrapText="1"/>
    </xf>
    <xf numFmtId="0" fontId="7" fillId="2" borderId="1" xfId="0" applyFont="1" applyFill="1" applyBorder="1" applyAlignment="1">
      <alignment vertical="center" wrapText="1"/>
    </xf>
    <xf numFmtId="0" fontId="14" fillId="0" borderId="0" xfId="0" applyFont="1" applyAlignment="1">
      <alignment horizontal="left" vertical="center" wrapText="1"/>
    </xf>
    <xf numFmtId="0" fontId="15" fillId="0" borderId="0" xfId="0" applyFont="1" applyAlignment="1">
      <alignment horizontal="left" wrapText="1"/>
    </xf>
    <xf numFmtId="0" fontId="9" fillId="0" borderId="0" xfId="0" applyFont="1" applyAlignment="1">
      <alignment horizontal="center"/>
    </xf>
    <xf numFmtId="0" fontId="14" fillId="0" borderId="1" xfId="0" applyFont="1" applyBorder="1" applyAlignment="1">
      <alignment horizontal="center" vertical="center" wrapText="1"/>
    </xf>
    <xf numFmtId="0" fontId="8" fillId="0" borderId="0" xfId="0" applyFont="1" applyAlignment="1">
      <alignment vertical="center" wrapText="1"/>
    </xf>
    <xf numFmtId="0" fontId="7" fillId="2" borderId="1" xfId="0" applyFont="1" applyFill="1" applyBorder="1" applyAlignment="1">
      <alignment horizontal="left" vertical="center" wrapText="1"/>
    </xf>
    <xf numFmtId="0" fontId="54" fillId="0" borderId="0" xfId="0" applyFont="1" applyAlignment="1" applyProtection="1">
      <alignment horizontal="center" vertical="center"/>
      <protection hidden="1"/>
    </xf>
    <xf numFmtId="0" fontId="55" fillId="0" borderId="0" xfId="0" applyFont="1" applyAlignment="1" applyProtection="1">
      <alignment horizontal="center" vertical="center"/>
      <protection hidden="1"/>
    </xf>
    <xf numFmtId="0" fontId="8" fillId="0" borderId="31" xfId="0" applyFont="1" applyBorder="1"/>
    <xf numFmtId="0" fontId="8" fillId="0" borderId="31" xfId="0" applyFont="1" applyBorder="1" applyAlignment="1">
      <alignment horizontal="left" vertical="center" wrapText="1"/>
    </xf>
    <xf numFmtId="0" fontId="7" fillId="2" borderId="1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8" fillId="0" borderId="0" xfId="0" applyFont="1" applyAlignment="1">
      <alignment horizontal="left" vertical="top" wrapText="1"/>
    </xf>
    <xf numFmtId="0" fontId="9" fillId="0" borderId="0" xfId="0" applyFont="1" applyAlignment="1">
      <alignment horizontal="center" wrapText="1"/>
    </xf>
    <xf numFmtId="0" fontId="9" fillId="0" borderId="0" xfId="0" applyFont="1" applyAlignment="1">
      <alignment horizontal="center" vertical="center" wrapText="1"/>
    </xf>
    <xf numFmtId="0" fontId="9" fillId="0" borderId="0" xfId="0" applyFont="1" applyAlignment="1">
      <alignment horizontal="center"/>
    </xf>
    <xf numFmtId="49" fontId="8" fillId="0" borderId="0" xfId="0" applyNumberFormat="1" applyFont="1" applyAlignment="1">
      <alignment horizontal="left" vertical="top" wrapText="1"/>
    </xf>
    <xf numFmtId="0" fontId="31" fillId="0" borderId="0" xfId="0" applyFont="1" applyAlignment="1">
      <alignment horizontal="left"/>
    </xf>
    <xf numFmtId="0" fontId="9" fillId="0" borderId="0" xfId="0" applyFont="1" applyAlignment="1">
      <alignment horizontal="center" vertical="top" wrapText="1"/>
    </xf>
    <xf numFmtId="0" fontId="8" fillId="0" borderId="0" xfId="0" applyFont="1" applyAlignment="1">
      <alignment vertical="top" wrapText="1"/>
    </xf>
    <xf numFmtId="0" fontId="28" fillId="4" borderId="0" xfId="0" applyFont="1" applyFill="1" applyAlignment="1">
      <alignment horizontal="left" vertical="top" wrapText="1"/>
    </xf>
    <xf numFmtId="0" fontId="28" fillId="0" borderId="0" xfId="0" applyFont="1" applyAlignment="1">
      <alignment horizontal="left" vertical="top" wrapText="1"/>
    </xf>
    <xf numFmtId="0" fontId="28" fillId="5" borderId="0" xfId="0" applyFont="1" applyFill="1" applyAlignment="1">
      <alignment horizontal="left" vertical="top" wrapText="1"/>
    </xf>
    <xf numFmtId="0" fontId="31" fillId="0" borderId="0" xfId="0" applyFont="1" applyAlignment="1">
      <alignment horizontal="center" vertical="top" wrapText="1"/>
    </xf>
    <xf numFmtId="0" fontId="9" fillId="0" borderId="0" xfId="0" applyFont="1" applyAlignment="1">
      <alignment horizontal="center" vertical="center"/>
    </xf>
    <xf numFmtId="0" fontId="8" fillId="0" borderId="0" xfId="0" applyFont="1" applyAlignment="1">
      <alignment horizontal="left" wrapText="1"/>
    </xf>
    <xf numFmtId="0" fontId="14" fillId="0" borderId="0" xfId="0" applyFont="1" applyAlignment="1">
      <alignment horizontal="justify" vertical="top" wrapText="1"/>
    </xf>
    <xf numFmtId="0" fontId="14" fillId="0" borderId="0" xfId="0" applyFont="1" applyAlignment="1">
      <alignment horizontal="left" vertical="top" wrapText="1"/>
    </xf>
    <xf numFmtId="0" fontId="15" fillId="0" borderId="0" xfId="0" applyFont="1" applyAlignment="1">
      <alignment horizontal="center" vertical="top" wrapText="1"/>
    </xf>
    <xf numFmtId="0" fontId="15" fillId="0" borderId="0" xfId="0" applyFont="1" applyAlignment="1">
      <alignment horizontal="left" vertical="center" wrapText="1"/>
    </xf>
    <xf numFmtId="0" fontId="14" fillId="0" borderId="0" xfId="0" applyFont="1" applyAlignment="1">
      <alignment horizontal="left" vertical="center" wrapText="1"/>
    </xf>
    <xf numFmtId="0" fontId="15" fillId="0" borderId="0" xfId="0" applyFont="1" applyAlignment="1">
      <alignment horizontal="center" vertical="center" wrapText="1"/>
    </xf>
    <xf numFmtId="0" fontId="33" fillId="0" borderId="0" xfId="0" applyFont="1" applyAlignment="1">
      <alignment horizontal="center" vertical="center" wrapText="1"/>
    </xf>
    <xf numFmtId="0" fontId="44" fillId="0" borderId="0" xfId="0" applyFont="1" applyAlignment="1">
      <alignment horizontal="justify" vertical="top" wrapText="1"/>
    </xf>
    <xf numFmtId="0" fontId="33" fillId="0" borderId="0" xfId="0" applyFont="1" applyAlignment="1">
      <alignment horizontal="right"/>
    </xf>
    <xf numFmtId="0" fontId="33" fillId="0" borderId="0" xfId="0" applyFont="1" applyAlignment="1">
      <alignment horizontal="center"/>
    </xf>
    <xf numFmtId="0" fontId="27" fillId="0" borderId="1" xfId="0" applyFont="1" applyBorder="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center"/>
    </xf>
    <xf numFmtId="0" fontId="27" fillId="0" borderId="0" xfId="0" applyFont="1" applyAlignment="1">
      <alignment horizontal="center" vertical="top" wrapText="1"/>
    </xf>
    <xf numFmtId="0" fontId="27" fillId="0" borderId="0" xfId="0" applyFont="1" applyAlignment="1">
      <alignment horizontal="justify" vertical="top" wrapText="1"/>
    </xf>
    <xf numFmtId="0" fontId="34" fillId="0" borderId="0" xfId="0" applyFont="1" applyAlignment="1">
      <alignment horizontal="center" vertical="center" wrapText="1"/>
    </xf>
    <xf numFmtId="0" fontId="33" fillId="0" borderId="0" xfId="0" applyFont="1" applyAlignment="1">
      <alignment horizontal="center" wrapText="1"/>
    </xf>
    <xf numFmtId="0" fontId="33" fillId="0" borderId="0" xfId="0" applyFont="1" applyAlignment="1">
      <alignment horizontal="center" vertical="top" wrapText="1"/>
    </xf>
    <xf numFmtId="0" fontId="27" fillId="0" borderId="0" xfId="0" applyFont="1" applyAlignment="1">
      <alignment horizontal="center"/>
    </xf>
    <xf numFmtId="0" fontId="27" fillId="0" borderId="0" xfId="0" applyFont="1" applyAlignment="1">
      <alignment horizontal="left" wrapText="1"/>
    </xf>
    <xf numFmtId="0" fontId="35" fillId="0" borderId="0" xfId="0" applyFont="1" applyAlignment="1">
      <alignment horizontal="center" vertical="top" wrapText="1"/>
    </xf>
    <xf numFmtId="0" fontId="27" fillId="0" borderId="0" xfId="0" applyFont="1" applyAlignment="1">
      <alignment horizontal="center" wrapText="1"/>
    </xf>
    <xf numFmtId="0" fontId="15" fillId="0" borderId="0" xfId="0" applyFont="1" applyAlignment="1">
      <alignment horizontal="right"/>
    </xf>
    <xf numFmtId="0" fontId="15" fillId="0" borderId="0" xfId="0" applyFont="1" applyAlignment="1">
      <alignment horizont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14" fillId="0" borderId="0" xfId="0" applyFont="1" applyAlignment="1">
      <alignment horizontal="center" vertical="top" wrapText="1"/>
    </xf>
    <xf numFmtId="0" fontId="20" fillId="0" borderId="0" xfId="0" applyFont="1" applyAlignment="1">
      <alignment horizontal="center" vertical="center" wrapText="1"/>
    </xf>
    <xf numFmtId="0" fontId="15" fillId="0" borderId="0" xfId="0" applyFont="1" applyAlignment="1">
      <alignment horizontal="center" wrapText="1"/>
    </xf>
    <xf numFmtId="0" fontId="14" fillId="0" borderId="0" xfId="0" applyFont="1" applyAlignment="1">
      <alignment horizontal="center"/>
    </xf>
    <xf numFmtId="0" fontId="14" fillId="0" borderId="0" xfId="0" applyFont="1" applyAlignment="1">
      <alignment horizontal="left" wrapText="1"/>
    </xf>
    <xf numFmtId="0" fontId="19" fillId="0" borderId="0" xfId="0" applyFont="1" applyAlignment="1">
      <alignment horizontal="center" vertical="top" wrapText="1"/>
    </xf>
    <xf numFmtId="0" fontId="14" fillId="0" borderId="0" xfId="0" applyFont="1" applyAlignment="1">
      <alignment horizontal="center" wrapText="1"/>
    </xf>
    <xf numFmtId="0" fontId="15" fillId="0" borderId="0" xfId="0" applyFont="1" applyAlignment="1">
      <alignment horizontal="left" vertical="top"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25" fillId="0" borderId="0" xfId="0" applyFont="1" applyAlignment="1">
      <alignment horizontal="right" vertical="top" wrapText="1"/>
    </xf>
    <xf numFmtId="0" fontId="27" fillId="0" borderId="0" xfId="0" applyFont="1" applyAlignment="1">
      <alignment horizontal="right" vertical="top"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0" xfId="0" applyFont="1" applyAlignment="1">
      <alignment horizontal="right" vertical="center" wrapText="1"/>
    </xf>
    <xf numFmtId="0" fontId="51" fillId="0" borderId="0" xfId="0" applyFont="1" applyAlignment="1">
      <alignment horizontal="center" wrapText="1"/>
    </xf>
    <xf numFmtId="0" fontId="8" fillId="0" borderId="0" xfId="0" applyFont="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left" vertical="top" wrapText="1"/>
    </xf>
    <xf numFmtId="0" fontId="9" fillId="0" borderId="0" xfId="0" applyFont="1" applyAlignment="1">
      <alignment horizontal="right" vertical="center"/>
    </xf>
    <xf numFmtId="0" fontId="14" fillId="0" borderId="8" xfId="0" applyFont="1" applyBorder="1" applyAlignment="1">
      <alignment horizontal="center" wrapText="1"/>
    </xf>
    <xf numFmtId="0" fontId="14" fillId="0" borderId="9" xfId="0" applyFont="1" applyBorder="1" applyAlignment="1">
      <alignment horizontal="center" wrapText="1"/>
    </xf>
    <xf numFmtId="0" fontId="23" fillId="0" borderId="8" xfId="0" applyFont="1" applyBorder="1" applyAlignment="1">
      <alignment horizontal="center" wrapText="1"/>
    </xf>
    <xf numFmtId="0" fontId="23" fillId="0" borderId="0" xfId="0" applyFont="1" applyAlignment="1">
      <alignment horizontal="center" wrapText="1"/>
    </xf>
    <xf numFmtId="0" fontId="23" fillId="0" borderId="9" xfId="0" applyFont="1" applyBorder="1" applyAlignment="1">
      <alignment horizontal="center" wrapText="1"/>
    </xf>
    <xf numFmtId="0" fontId="24" fillId="0" borderId="5" xfId="0" applyFont="1" applyBorder="1" applyAlignment="1">
      <alignment horizontal="center" wrapText="1"/>
    </xf>
    <xf numFmtId="0" fontId="24" fillId="0" borderId="6" xfId="0" applyFont="1" applyBorder="1" applyAlignment="1">
      <alignment horizontal="center" wrapText="1"/>
    </xf>
    <xf numFmtId="0" fontId="24" fillId="0" borderId="7" xfId="0" applyFont="1" applyBorder="1" applyAlignment="1">
      <alignment horizontal="center" wrapText="1"/>
    </xf>
    <xf numFmtId="0" fontId="32" fillId="0" borderId="8" xfId="0" applyFont="1" applyBorder="1" applyAlignment="1">
      <alignment horizontal="center" wrapText="1"/>
    </xf>
    <xf numFmtId="0" fontId="32" fillId="0" borderId="0" xfId="0" applyFont="1" applyAlignment="1">
      <alignment horizontal="center" wrapText="1"/>
    </xf>
    <xf numFmtId="0" fontId="32" fillId="0" borderId="9" xfId="0" applyFont="1" applyBorder="1" applyAlignment="1">
      <alignment horizontal="center" wrapText="1"/>
    </xf>
    <xf numFmtId="0" fontId="15" fillId="0" borderId="10" xfId="0" applyFont="1" applyBorder="1" applyAlignment="1">
      <alignment horizontal="center" wrapText="1"/>
    </xf>
    <xf numFmtId="0" fontId="15" fillId="0" borderId="11" xfId="0" applyFont="1" applyBorder="1" applyAlignment="1">
      <alignment horizontal="center" wrapText="1"/>
    </xf>
    <xf numFmtId="0" fontId="15" fillId="0" borderId="12" xfId="0" applyFont="1" applyBorder="1" applyAlignment="1">
      <alignment horizontal="center" wrapText="1"/>
    </xf>
    <xf numFmtId="0" fontId="15" fillId="0" borderId="8" xfId="0" applyFont="1" applyBorder="1" applyAlignment="1">
      <alignment horizontal="left" wrapText="1"/>
    </xf>
    <xf numFmtId="0" fontId="15" fillId="0" borderId="0" xfId="0" applyFont="1" applyAlignment="1">
      <alignment horizontal="left" wrapText="1"/>
    </xf>
    <xf numFmtId="0" fontId="15" fillId="0" borderId="9" xfId="0" applyFont="1" applyBorder="1" applyAlignment="1">
      <alignment horizontal="left" wrapText="1"/>
    </xf>
    <xf numFmtId="0" fontId="17" fillId="0" borderId="0" xfId="0" applyFont="1" applyAlignment="1">
      <alignment horizontal="justify" vertical="top" wrapText="1"/>
    </xf>
    <xf numFmtId="0" fontId="17" fillId="0" borderId="0" xfId="0" applyFont="1" applyAlignment="1">
      <alignment horizontal="center" vertical="top" wrapText="1"/>
    </xf>
    <xf numFmtId="0" fontId="17" fillId="0" borderId="4" xfId="0" applyFont="1" applyBorder="1" applyAlignment="1">
      <alignment horizontal="center" vertical="top" wrapText="1"/>
    </xf>
    <xf numFmtId="49" fontId="17" fillId="0" borderId="0" xfId="0" applyNumberFormat="1" applyFont="1" applyAlignment="1">
      <alignment horizontal="center" vertical="center" wrapText="1"/>
    </xf>
    <xf numFmtId="0" fontId="16" fillId="0" borderId="0" xfId="0" applyFont="1" applyAlignment="1">
      <alignment horizontal="center" vertical="top" wrapText="1"/>
    </xf>
    <xf numFmtId="0" fontId="17" fillId="0" borderId="0" xfId="0" applyFont="1" applyAlignment="1">
      <alignment horizontal="left" vertical="top" wrapText="1"/>
    </xf>
    <xf numFmtId="0" fontId="14" fillId="0" borderId="0" xfId="0" applyFont="1" applyAlignment="1">
      <alignment horizontal="center" vertical="center"/>
    </xf>
    <xf numFmtId="49" fontId="14" fillId="0" borderId="0" xfId="0" applyNumberFormat="1" applyFont="1" applyAlignment="1">
      <alignment horizontal="justify" vertical="top" wrapText="1"/>
    </xf>
    <xf numFmtId="0" fontId="28" fillId="0" borderId="0" xfId="0" applyFont="1" applyAlignment="1">
      <alignment horizontal="center"/>
    </xf>
    <xf numFmtId="0" fontId="28" fillId="0" borderId="3" xfId="0" applyFont="1" applyBorder="1" applyAlignment="1">
      <alignment horizontal="justify" vertical="center" wrapText="1"/>
    </xf>
    <xf numFmtId="0" fontId="28" fillId="0" borderId="18" xfId="0" applyFont="1" applyBorder="1" applyAlignment="1">
      <alignment horizontal="justify" vertical="center" wrapText="1"/>
    </xf>
    <xf numFmtId="0" fontId="28" fillId="0" borderId="2" xfId="0" applyFont="1" applyBorder="1" applyAlignment="1">
      <alignment horizontal="justify" vertical="center" wrapText="1"/>
    </xf>
    <xf numFmtId="0" fontId="28" fillId="0" borderId="3" xfId="0" applyFont="1" applyBorder="1" applyAlignment="1">
      <alignment horizontal="justify" vertical="center"/>
    </xf>
    <xf numFmtId="0" fontId="28" fillId="0" borderId="2" xfId="0" applyFont="1" applyBorder="1" applyAlignment="1">
      <alignment horizontal="justify" vertical="center"/>
    </xf>
    <xf numFmtId="0" fontId="28" fillId="0" borderId="21" xfId="0" applyFont="1" applyBorder="1" applyAlignment="1">
      <alignment horizontal="justify" vertical="center"/>
    </xf>
    <xf numFmtId="0" fontId="28" fillId="0" borderId="17" xfId="0" applyFont="1" applyBorder="1" applyAlignment="1">
      <alignment horizontal="justify" vertical="center"/>
    </xf>
    <xf numFmtId="0" fontId="28" fillId="0" borderId="22" xfId="0" applyFont="1" applyBorder="1" applyAlignment="1">
      <alignment horizontal="justify" vertical="center"/>
    </xf>
    <xf numFmtId="0" fontId="28" fillId="0" borderId="20" xfId="0" applyFont="1" applyBorder="1" applyAlignment="1">
      <alignment horizontal="justify" vertical="center"/>
    </xf>
    <xf numFmtId="0" fontId="28" fillId="0" borderId="4" xfId="0" applyFont="1" applyBorder="1" applyAlignment="1">
      <alignment horizontal="justify" vertical="center"/>
    </xf>
    <xf numFmtId="0" fontId="28" fillId="0" borderId="23" xfId="0" applyFont="1" applyBorder="1" applyAlignment="1">
      <alignment horizontal="justify" vertical="center"/>
    </xf>
    <xf numFmtId="0" fontId="28" fillId="0" borderId="1" xfId="0" applyFont="1" applyBorder="1" applyAlignment="1">
      <alignment horizontal="justify" vertical="center" wrapText="1"/>
    </xf>
    <xf numFmtId="0" fontId="28" fillId="0" borderId="17" xfId="0" applyFont="1" applyBorder="1" applyAlignment="1">
      <alignment horizontal="justify" vertical="center" wrapText="1"/>
    </xf>
    <xf numFmtId="0" fontId="28" fillId="0" borderId="11" xfId="0" applyFont="1" applyBorder="1" applyAlignment="1">
      <alignment horizontal="justify"/>
    </xf>
    <xf numFmtId="0" fontId="28" fillId="0" borderId="0" xfId="0" applyFont="1" applyAlignment="1">
      <alignment horizontal="justify" vertical="center" wrapText="1"/>
    </xf>
    <xf numFmtId="0" fontId="8" fillId="0" borderId="0" xfId="0" applyFont="1" applyAlignment="1">
      <alignment horizontal="justify" wrapText="1"/>
    </xf>
    <xf numFmtId="0" fontId="8" fillId="0" borderId="0" xfId="0" applyFont="1" applyAlignment="1">
      <alignment horizontal="justify" vertical="top" wrapText="1"/>
    </xf>
    <xf numFmtId="0" fontId="9" fillId="0" borderId="0" xfId="0" applyFont="1" applyAlignment="1">
      <alignment horizontal="right" vertical="top" wrapText="1"/>
    </xf>
    <xf numFmtId="0" fontId="37" fillId="0" borderId="0" xfId="0" applyFont="1" applyAlignment="1">
      <alignment horizontal="justify" vertical="top" wrapText="1"/>
    </xf>
    <xf numFmtId="0" fontId="37" fillId="0" borderId="0" xfId="0" applyFont="1" applyAlignment="1">
      <alignment horizontal="justify" vertical="center" wrapText="1"/>
    </xf>
    <xf numFmtId="0" fontId="14" fillId="0" borderId="0" xfId="0" applyFont="1" applyAlignment="1">
      <alignment horizontal="left"/>
    </xf>
    <xf numFmtId="0" fontId="38" fillId="0" borderId="0" xfId="0" applyFont="1" applyAlignment="1">
      <alignment vertical="center" wrapText="1"/>
    </xf>
    <xf numFmtId="0" fontId="14" fillId="0" borderId="0" xfId="0" applyFont="1" applyAlignment="1">
      <alignment vertical="top" wrapText="1"/>
    </xf>
    <xf numFmtId="0" fontId="38" fillId="0" borderId="0" xfId="0" applyFont="1" applyAlignment="1">
      <alignment horizontal="justify" vertical="center" wrapText="1"/>
    </xf>
    <xf numFmtId="0" fontId="17" fillId="0" borderId="0" xfId="0" applyFont="1" applyAlignment="1">
      <alignment horizontal="left" wrapText="1"/>
    </xf>
    <xf numFmtId="0" fontId="17" fillId="0" borderId="1" xfId="0" applyFont="1" applyBorder="1" applyAlignment="1">
      <alignment horizontal="center" vertical="center" wrapText="1"/>
    </xf>
    <xf numFmtId="0" fontId="17" fillId="0" borderId="0" xfId="0" applyFont="1" applyAlignment="1">
      <alignment horizontal="left"/>
    </xf>
    <xf numFmtId="0" fontId="16" fillId="8" borderId="3" xfId="0" applyFont="1" applyFill="1" applyBorder="1" applyAlignment="1">
      <alignment horizontal="center" vertical="center" wrapText="1"/>
    </xf>
    <xf numFmtId="0" fontId="16" fillId="8" borderId="2" xfId="0" applyFont="1" applyFill="1" applyBorder="1" applyAlignment="1">
      <alignment horizontal="center" vertical="center" wrapText="1"/>
    </xf>
    <xf numFmtId="0" fontId="16" fillId="0" borderId="0" xfId="0" applyFont="1" applyAlignment="1">
      <alignment horizontal="center" wrapText="1"/>
    </xf>
    <xf numFmtId="0" fontId="40" fillId="0" borderId="0" xfId="0" applyFont="1" applyAlignment="1">
      <alignment horizontal="left" vertical="center" wrapText="1" readingOrder="1"/>
    </xf>
    <xf numFmtId="0" fontId="17" fillId="0" borderId="0" xfId="0" applyFont="1" applyAlignment="1">
      <alignment horizontal="justify" vertical="top" wrapText="1" readingOrder="1"/>
    </xf>
    <xf numFmtId="0" fontId="16" fillId="0" borderId="4" xfId="0" applyFont="1" applyBorder="1" applyAlignment="1">
      <alignment horizontal="left" vertical="top"/>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8" fillId="0" borderId="0" xfId="0" applyFont="1" applyBorder="1"/>
    <xf numFmtId="0" fontId="18" fillId="0" borderId="0" xfId="0" applyFont="1" applyBorder="1" applyAlignment="1">
      <alignment horizontal="center"/>
    </xf>
    <xf numFmtId="0" fontId="9" fillId="0" borderId="0" xfId="0" applyFont="1" applyBorder="1" applyAlignment="1">
      <alignment horizontal="center" vertical="center"/>
    </xf>
    <xf numFmtId="0" fontId="8" fillId="0" borderId="0" xfId="0" applyFont="1" applyBorder="1" applyAlignment="1">
      <alignment horizontal="left" vertical="center" wrapText="1"/>
    </xf>
    <xf numFmtId="0" fontId="8" fillId="0" borderId="0" xfId="0" applyFont="1" applyBorder="1" applyAlignment="1">
      <alignment horizontal="center" vertical="center"/>
    </xf>
    <xf numFmtId="0" fontId="9" fillId="0" borderId="0" xfId="0" applyFont="1" applyBorder="1" applyAlignment="1">
      <alignment horizontal="center" vertical="center"/>
    </xf>
    <xf numFmtId="0" fontId="8" fillId="0" borderId="0" xfId="0" applyFont="1" applyBorder="1" applyAlignment="1">
      <alignment horizontal="center"/>
    </xf>
    <xf numFmtId="0" fontId="8" fillId="0" borderId="31" xfId="0" applyFont="1" applyBorder="1" applyAlignment="1">
      <alignment horizontal="right"/>
    </xf>
    <xf numFmtId="0" fontId="9" fillId="0" borderId="31" xfId="0" applyFont="1" applyBorder="1" applyAlignment="1">
      <alignment horizontal="left"/>
    </xf>
    <xf numFmtId="0" fontId="18" fillId="0" borderId="31" xfId="0" applyFont="1" applyBorder="1" applyAlignment="1">
      <alignment horizontal="center"/>
    </xf>
    <xf numFmtId="0" fontId="9" fillId="0" borderId="31" xfId="0" applyFont="1" applyBorder="1" applyAlignment="1">
      <alignment horizontal="center" wrapText="1"/>
    </xf>
    <xf numFmtId="0" fontId="8" fillId="0" borderId="31" xfId="0" applyFont="1" applyBorder="1" applyAlignment="1">
      <alignment horizontal="left" wrapText="1"/>
    </xf>
    <xf numFmtId="0" fontId="8" fillId="5" borderId="31" xfId="0" applyFont="1" applyFill="1" applyBorder="1" applyAlignment="1">
      <alignment horizontal="left" wrapText="1"/>
    </xf>
    <xf numFmtId="0" fontId="8" fillId="0" borderId="31" xfId="0" applyFont="1" applyBorder="1" applyAlignment="1">
      <alignment horizontal="left"/>
    </xf>
    <xf numFmtId="0" fontId="9" fillId="0" borderId="31" xfId="0" applyFont="1" applyBorder="1" applyAlignment="1">
      <alignment horizontal="right" vertical="center" wrapText="1"/>
    </xf>
    <xf numFmtId="0" fontId="15" fillId="0" borderId="0" xfId="0" applyFont="1" applyBorder="1" applyAlignment="1">
      <alignment horizontal="left" vertical="top" wrapText="1"/>
    </xf>
    <xf numFmtId="0" fontId="15" fillId="0" borderId="31" xfId="0" applyFont="1" applyBorder="1" applyAlignment="1">
      <alignment horizontal="left" vertical="top" wrapText="1"/>
    </xf>
    <xf numFmtId="0" fontId="14" fillId="0" borderId="0" xfId="0" applyFont="1" applyBorder="1" applyAlignment="1">
      <alignment horizontal="left" vertical="top" wrapText="1"/>
    </xf>
    <xf numFmtId="0" fontId="14" fillId="0" borderId="31" xfId="0" applyFont="1" applyBorder="1" applyAlignment="1">
      <alignment horizontal="left" vertical="top" wrapText="1"/>
    </xf>
    <xf numFmtId="0" fontId="14" fillId="0" borderId="0" xfId="0" applyFont="1" applyBorder="1" applyAlignment="1">
      <alignment horizontal="center" vertical="top" wrapText="1"/>
    </xf>
    <xf numFmtId="0" fontId="14" fillId="0" borderId="31" xfId="0" applyFont="1" applyBorder="1" applyAlignment="1">
      <alignment horizontal="center" vertical="top" wrapText="1"/>
    </xf>
    <xf numFmtId="0" fontId="15" fillId="0" borderId="0" xfId="0" applyFont="1" applyBorder="1" applyAlignment="1">
      <alignment horizontal="right" vertical="top" wrapText="1"/>
    </xf>
    <xf numFmtId="0" fontId="15" fillId="0" borderId="31" xfId="0" applyFont="1" applyBorder="1" applyAlignment="1">
      <alignment horizontal="right" vertical="top" wrapText="1"/>
    </xf>
    <xf numFmtId="0" fontId="14" fillId="0" borderId="0" xfId="0" applyFont="1" applyBorder="1" applyAlignment="1">
      <alignment horizontal="right" vertical="top" wrapText="1"/>
    </xf>
    <xf numFmtId="0" fontId="14" fillId="0" borderId="31" xfId="0" applyFont="1" applyBorder="1" applyAlignment="1">
      <alignment horizontal="right" vertical="top" wrapText="1"/>
    </xf>
  </cellXfs>
  <cellStyles count="424">
    <cellStyle name="Обычный" xfId="0" builtinId="0"/>
    <cellStyle name="Обычный 10" xfId="72" xr:uid="{00000000-0005-0000-0000-000001000000}"/>
    <cellStyle name="Обычный 10 2" xfId="208" xr:uid="{00000000-0005-0000-0000-000002000000}"/>
    <cellStyle name="Обычный 10 3" xfId="357" xr:uid="{00000000-0005-0000-0000-000003000000}"/>
    <cellStyle name="Обычный 11" xfId="73" xr:uid="{00000000-0005-0000-0000-000004000000}"/>
    <cellStyle name="Обычный 11 2" xfId="209" xr:uid="{00000000-0005-0000-0000-000005000000}"/>
    <cellStyle name="Обычный 11 3" xfId="358" xr:uid="{00000000-0005-0000-0000-000006000000}"/>
    <cellStyle name="Обычный 2" xfId="63" xr:uid="{00000000-0005-0000-0000-000007000000}"/>
    <cellStyle name="Обычный 3" xfId="64" xr:uid="{00000000-0005-0000-0000-000008000000}"/>
    <cellStyle name="Обычный 4" xfId="66" xr:uid="{00000000-0005-0000-0000-000009000000}"/>
    <cellStyle name="Обычный 4 2" xfId="202" xr:uid="{00000000-0005-0000-0000-00000A000000}"/>
    <cellStyle name="Обычный 4 3" xfId="351" xr:uid="{00000000-0005-0000-0000-00000B000000}"/>
    <cellStyle name="Обычный 5" xfId="67" xr:uid="{00000000-0005-0000-0000-00000C000000}"/>
    <cellStyle name="Обычный 5 2" xfId="203" xr:uid="{00000000-0005-0000-0000-00000D000000}"/>
    <cellStyle name="Обычный 5 3" xfId="352" xr:uid="{00000000-0005-0000-0000-00000E000000}"/>
    <cellStyle name="Обычный 6" xfId="68" xr:uid="{00000000-0005-0000-0000-00000F000000}"/>
    <cellStyle name="Обычный 6 2" xfId="204" xr:uid="{00000000-0005-0000-0000-000010000000}"/>
    <cellStyle name="Обычный 6 3" xfId="353" xr:uid="{00000000-0005-0000-0000-000011000000}"/>
    <cellStyle name="Обычный 7" xfId="69" xr:uid="{00000000-0005-0000-0000-000012000000}"/>
    <cellStyle name="Обычный 7 2" xfId="205" xr:uid="{00000000-0005-0000-0000-000013000000}"/>
    <cellStyle name="Обычный 7 3" xfId="354" xr:uid="{00000000-0005-0000-0000-000014000000}"/>
    <cellStyle name="Обычный 8" xfId="70" xr:uid="{00000000-0005-0000-0000-000015000000}"/>
    <cellStyle name="Обычный 8 2" xfId="206" xr:uid="{00000000-0005-0000-0000-000016000000}"/>
    <cellStyle name="Обычный 8 3" xfId="355" xr:uid="{00000000-0005-0000-0000-000017000000}"/>
    <cellStyle name="Обычный 9" xfId="71" xr:uid="{00000000-0005-0000-0000-000018000000}"/>
    <cellStyle name="Обычный 9 2" xfId="207" xr:uid="{00000000-0005-0000-0000-000019000000}"/>
    <cellStyle name="Обычный 9 3" xfId="356" xr:uid="{00000000-0005-0000-0000-00001A000000}"/>
    <cellStyle name="Процентный" xfId="287" builtinId="5"/>
    <cellStyle name="Финансовый" xfId="1" builtinId="3"/>
    <cellStyle name="Финансовый 10" xfId="125" xr:uid="{00000000-0005-0000-0000-00001D000000}"/>
    <cellStyle name="Финансовый 10 2" xfId="261" xr:uid="{00000000-0005-0000-0000-00001E000000}"/>
    <cellStyle name="Финансовый 10 3" xfId="410" xr:uid="{00000000-0005-0000-0000-00001F000000}"/>
    <cellStyle name="Финансовый 11" xfId="61" xr:uid="{00000000-0005-0000-0000-000020000000}"/>
    <cellStyle name="Финансовый 11 2" xfId="199" xr:uid="{00000000-0005-0000-0000-000021000000}"/>
    <cellStyle name="Финансовый 11 3" xfId="348" xr:uid="{00000000-0005-0000-0000-000022000000}"/>
    <cellStyle name="Финансовый 12" xfId="49" xr:uid="{00000000-0005-0000-0000-000023000000}"/>
    <cellStyle name="Финансовый 12 2" xfId="187" xr:uid="{00000000-0005-0000-0000-000024000000}"/>
    <cellStyle name="Финансовый 12 3" xfId="336" xr:uid="{00000000-0005-0000-0000-000025000000}"/>
    <cellStyle name="Финансовый 13" xfId="127" xr:uid="{00000000-0005-0000-0000-000026000000}"/>
    <cellStyle name="Финансовый 13 2" xfId="263" xr:uid="{00000000-0005-0000-0000-000027000000}"/>
    <cellStyle name="Финансовый 13 3" xfId="412" xr:uid="{00000000-0005-0000-0000-000028000000}"/>
    <cellStyle name="Финансовый 14" xfId="25" xr:uid="{00000000-0005-0000-0000-000029000000}"/>
    <cellStyle name="Финансовый 14 2" xfId="163" xr:uid="{00000000-0005-0000-0000-00002A000000}"/>
    <cellStyle name="Финансовый 14 3" xfId="312" xr:uid="{00000000-0005-0000-0000-00002B000000}"/>
    <cellStyle name="Финансовый 15" xfId="13" xr:uid="{00000000-0005-0000-0000-00002C000000}"/>
    <cellStyle name="Финансовый 15 2" xfId="151" xr:uid="{00000000-0005-0000-0000-00002D000000}"/>
    <cellStyle name="Финансовый 15 3" xfId="300" xr:uid="{00000000-0005-0000-0000-00002E000000}"/>
    <cellStyle name="Финансовый 16" xfId="139" xr:uid="{00000000-0005-0000-0000-00002F000000}"/>
    <cellStyle name="Финансовый 17" xfId="275" xr:uid="{00000000-0005-0000-0000-000030000000}"/>
    <cellStyle name="Финансовый 18" xfId="288" xr:uid="{00000000-0005-0000-0000-000031000000}"/>
    <cellStyle name="Финансовый 2" xfId="2" xr:uid="{00000000-0005-0000-0000-000032000000}"/>
    <cellStyle name="Финансовый 2 10" xfId="62" xr:uid="{00000000-0005-0000-0000-000033000000}"/>
    <cellStyle name="Финансовый 2 10 2" xfId="200" xr:uid="{00000000-0005-0000-0000-000034000000}"/>
    <cellStyle name="Финансовый 2 10 3" xfId="349" xr:uid="{00000000-0005-0000-0000-000035000000}"/>
    <cellStyle name="Финансовый 2 11" xfId="50" xr:uid="{00000000-0005-0000-0000-000036000000}"/>
    <cellStyle name="Финансовый 2 11 2" xfId="188" xr:uid="{00000000-0005-0000-0000-000037000000}"/>
    <cellStyle name="Финансовый 2 11 3" xfId="337" xr:uid="{00000000-0005-0000-0000-000038000000}"/>
    <cellStyle name="Финансовый 2 12" xfId="128" xr:uid="{00000000-0005-0000-0000-000039000000}"/>
    <cellStyle name="Финансовый 2 12 2" xfId="264" xr:uid="{00000000-0005-0000-0000-00003A000000}"/>
    <cellStyle name="Финансовый 2 12 3" xfId="413" xr:uid="{00000000-0005-0000-0000-00003B000000}"/>
    <cellStyle name="Финансовый 2 13" xfId="26" xr:uid="{00000000-0005-0000-0000-00003C000000}"/>
    <cellStyle name="Финансовый 2 13 2" xfId="164" xr:uid="{00000000-0005-0000-0000-00003D000000}"/>
    <cellStyle name="Финансовый 2 13 3" xfId="313" xr:uid="{00000000-0005-0000-0000-00003E000000}"/>
    <cellStyle name="Финансовый 2 14" xfId="14" xr:uid="{00000000-0005-0000-0000-00003F000000}"/>
    <cellStyle name="Финансовый 2 14 2" xfId="152" xr:uid="{00000000-0005-0000-0000-000040000000}"/>
    <cellStyle name="Финансовый 2 14 3" xfId="301" xr:uid="{00000000-0005-0000-0000-000041000000}"/>
    <cellStyle name="Финансовый 2 15" xfId="140" xr:uid="{00000000-0005-0000-0000-000042000000}"/>
    <cellStyle name="Финансовый 2 16" xfId="276" xr:uid="{00000000-0005-0000-0000-000043000000}"/>
    <cellStyle name="Финансовый 2 17" xfId="289" xr:uid="{00000000-0005-0000-0000-000044000000}"/>
    <cellStyle name="Финансовый 2 2" xfId="4" xr:uid="{00000000-0005-0000-0000-000045000000}"/>
    <cellStyle name="Финансовый 2 2 10" xfId="28" xr:uid="{00000000-0005-0000-0000-000046000000}"/>
    <cellStyle name="Финансовый 2 2 10 2" xfId="166" xr:uid="{00000000-0005-0000-0000-000047000000}"/>
    <cellStyle name="Финансовый 2 2 10 3" xfId="315" xr:uid="{00000000-0005-0000-0000-000048000000}"/>
    <cellStyle name="Финансовый 2 2 11" xfId="16" xr:uid="{00000000-0005-0000-0000-000049000000}"/>
    <cellStyle name="Финансовый 2 2 11 2" xfId="154" xr:uid="{00000000-0005-0000-0000-00004A000000}"/>
    <cellStyle name="Финансовый 2 2 11 3" xfId="303" xr:uid="{00000000-0005-0000-0000-00004B000000}"/>
    <cellStyle name="Финансовый 2 2 12" xfId="142" xr:uid="{00000000-0005-0000-0000-00004C000000}"/>
    <cellStyle name="Финансовый 2 2 13" xfId="278" xr:uid="{00000000-0005-0000-0000-00004D000000}"/>
    <cellStyle name="Финансовый 2 2 14" xfId="291" xr:uid="{00000000-0005-0000-0000-00004E000000}"/>
    <cellStyle name="Финансовый 2 2 2" xfId="10" xr:uid="{00000000-0005-0000-0000-00004F000000}"/>
    <cellStyle name="Финансовый 2 2 2 10" xfId="284" xr:uid="{00000000-0005-0000-0000-000050000000}"/>
    <cellStyle name="Финансовый 2 2 2 11" xfId="297" xr:uid="{00000000-0005-0000-0000-000051000000}"/>
    <cellStyle name="Финансовый 2 2 2 2" xfId="46" xr:uid="{00000000-0005-0000-0000-000052000000}"/>
    <cellStyle name="Финансовый 2 2 2 2 2" xfId="104" xr:uid="{00000000-0005-0000-0000-000053000000}"/>
    <cellStyle name="Финансовый 2 2 2 2 2 2" xfId="240" xr:uid="{00000000-0005-0000-0000-000054000000}"/>
    <cellStyle name="Финансовый 2 2 2 2 2 3" xfId="389" xr:uid="{00000000-0005-0000-0000-000055000000}"/>
    <cellStyle name="Финансовый 2 2 2 2 3" xfId="184" xr:uid="{00000000-0005-0000-0000-000056000000}"/>
    <cellStyle name="Финансовый 2 2 2 2 4" xfId="333" xr:uid="{00000000-0005-0000-0000-000057000000}"/>
    <cellStyle name="Финансовый 2 2 2 3" xfId="116" xr:uid="{00000000-0005-0000-0000-000058000000}"/>
    <cellStyle name="Финансовый 2 2 2 3 2" xfId="252" xr:uid="{00000000-0005-0000-0000-000059000000}"/>
    <cellStyle name="Финансовый 2 2 2 3 3" xfId="401" xr:uid="{00000000-0005-0000-0000-00005A000000}"/>
    <cellStyle name="Финансовый 2 2 2 4" xfId="80" xr:uid="{00000000-0005-0000-0000-00005B000000}"/>
    <cellStyle name="Финансовый 2 2 2 4 2" xfId="216" xr:uid="{00000000-0005-0000-0000-00005C000000}"/>
    <cellStyle name="Финансовый 2 2 2 4 3" xfId="365" xr:uid="{00000000-0005-0000-0000-00005D000000}"/>
    <cellStyle name="Финансовый 2 2 2 5" xfId="58" xr:uid="{00000000-0005-0000-0000-00005E000000}"/>
    <cellStyle name="Финансовый 2 2 2 5 2" xfId="196" xr:uid="{00000000-0005-0000-0000-00005F000000}"/>
    <cellStyle name="Финансовый 2 2 2 5 3" xfId="345" xr:uid="{00000000-0005-0000-0000-000060000000}"/>
    <cellStyle name="Финансовый 2 2 2 6" xfId="136" xr:uid="{00000000-0005-0000-0000-000061000000}"/>
    <cellStyle name="Финансовый 2 2 2 6 2" xfId="272" xr:uid="{00000000-0005-0000-0000-000062000000}"/>
    <cellStyle name="Финансовый 2 2 2 6 3" xfId="421" xr:uid="{00000000-0005-0000-0000-000063000000}"/>
    <cellStyle name="Финансовый 2 2 2 7" xfId="34" xr:uid="{00000000-0005-0000-0000-000064000000}"/>
    <cellStyle name="Финансовый 2 2 2 7 2" xfId="172" xr:uid="{00000000-0005-0000-0000-000065000000}"/>
    <cellStyle name="Финансовый 2 2 2 7 3" xfId="321" xr:uid="{00000000-0005-0000-0000-000066000000}"/>
    <cellStyle name="Финансовый 2 2 2 8" xfId="22" xr:uid="{00000000-0005-0000-0000-000067000000}"/>
    <cellStyle name="Финансовый 2 2 2 8 2" xfId="160" xr:uid="{00000000-0005-0000-0000-000068000000}"/>
    <cellStyle name="Финансовый 2 2 2 8 3" xfId="309" xr:uid="{00000000-0005-0000-0000-000069000000}"/>
    <cellStyle name="Финансовый 2 2 2 9" xfId="148" xr:uid="{00000000-0005-0000-0000-00006A000000}"/>
    <cellStyle name="Финансовый 2 2 3" xfId="40" xr:uid="{00000000-0005-0000-0000-00006B000000}"/>
    <cellStyle name="Финансовый 2 2 3 2" xfId="122" xr:uid="{00000000-0005-0000-0000-00006C000000}"/>
    <cellStyle name="Финансовый 2 2 3 2 2" xfId="258" xr:uid="{00000000-0005-0000-0000-00006D000000}"/>
    <cellStyle name="Финансовый 2 2 3 2 3" xfId="407" xr:uid="{00000000-0005-0000-0000-00006E000000}"/>
    <cellStyle name="Финансовый 2 2 3 3" xfId="86" xr:uid="{00000000-0005-0000-0000-00006F000000}"/>
    <cellStyle name="Финансовый 2 2 3 3 2" xfId="222" xr:uid="{00000000-0005-0000-0000-000070000000}"/>
    <cellStyle name="Финансовый 2 2 3 3 3" xfId="371" xr:uid="{00000000-0005-0000-0000-000071000000}"/>
    <cellStyle name="Финансовый 2 2 3 4" xfId="178" xr:uid="{00000000-0005-0000-0000-000072000000}"/>
    <cellStyle name="Финансовый 2 2 3 5" xfId="327" xr:uid="{00000000-0005-0000-0000-000073000000}"/>
    <cellStyle name="Финансовый 2 2 4" xfId="92" xr:uid="{00000000-0005-0000-0000-000074000000}"/>
    <cellStyle name="Финансовый 2 2 4 2" xfId="228" xr:uid="{00000000-0005-0000-0000-000075000000}"/>
    <cellStyle name="Финансовый 2 2 4 3" xfId="377" xr:uid="{00000000-0005-0000-0000-000076000000}"/>
    <cellStyle name="Финансовый 2 2 5" xfId="98" xr:uid="{00000000-0005-0000-0000-000077000000}"/>
    <cellStyle name="Финансовый 2 2 5 2" xfId="234" xr:uid="{00000000-0005-0000-0000-000078000000}"/>
    <cellStyle name="Финансовый 2 2 5 3" xfId="383" xr:uid="{00000000-0005-0000-0000-000079000000}"/>
    <cellStyle name="Финансовый 2 2 6" xfId="110" xr:uid="{00000000-0005-0000-0000-00007A000000}"/>
    <cellStyle name="Финансовый 2 2 6 2" xfId="246" xr:uid="{00000000-0005-0000-0000-00007B000000}"/>
    <cellStyle name="Финансовый 2 2 6 3" xfId="395" xr:uid="{00000000-0005-0000-0000-00007C000000}"/>
    <cellStyle name="Финансовый 2 2 7" xfId="65" xr:uid="{00000000-0005-0000-0000-00007D000000}"/>
    <cellStyle name="Финансовый 2 2 7 2" xfId="201" xr:uid="{00000000-0005-0000-0000-00007E000000}"/>
    <cellStyle name="Финансовый 2 2 7 3" xfId="350" xr:uid="{00000000-0005-0000-0000-00007F000000}"/>
    <cellStyle name="Финансовый 2 2 8" xfId="52" xr:uid="{00000000-0005-0000-0000-000080000000}"/>
    <cellStyle name="Финансовый 2 2 8 2" xfId="190" xr:uid="{00000000-0005-0000-0000-000081000000}"/>
    <cellStyle name="Финансовый 2 2 8 3" xfId="339" xr:uid="{00000000-0005-0000-0000-000082000000}"/>
    <cellStyle name="Финансовый 2 2 9" xfId="130" xr:uid="{00000000-0005-0000-0000-000083000000}"/>
    <cellStyle name="Финансовый 2 2 9 2" xfId="266" xr:uid="{00000000-0005-0000-0000-000084000000}"/>
    <cellStyle name="Финансовый 2 2 9 3" xfId="415" xr:uid="{00000000-0005-0000-0000-000085000000}"/>
    <cellStyle name="Финансовый 2 3" xfId="6" xr:uid="{00000000-0005-0000-0000-000086000000}"/>
    <cellStyle name="Финансовый 2 3 10" xfId="30" xr:uid="{00000000-0005-0000-0000-000087000000}"/>
    <cellStyle name="Финансовый 2 3 10 2" xfId="168" xr:uid="{00000000-0005-0000-0000-000088000000}"/>
    <cellStyle name="Финансовый 2 3 10 3" xfId="317" xr:uid="{00000000-0005-0000-0000-000089000000}"/>
    <cellStyle name="Финансовый 2 3 11" xfId="18" xr:uid="{00000000-0005-0000-0000-00008A000000}"/>
    <cellStyle name="Финансовый 2 3 11 2" xfId="156" xr:uid="{00000000-0005-0000-0000-00008B000000}"/>
    <cellStyle name="Финансовый 2 3 11 3" xfId="305" xr:uid="{00000000-0005-0000-0000-00008C000000}"/>
    <cellStyle name="Финансовый 2 3 12" xfId="144" xr:uid="{00000000-0005-0000-0000-00008D000000}"/>
    <cellStyle name="Финансовый 2 3 13" xfId="280" xr:uid="{00000000-0005-0000-0000-00008E000000}"/>
    <cellStyle name="Финансовый 2 3 14" xfId="293" xr:uid="{00000000-0005-0000-0000-00008F000000}"/>
    <cellStyle name="Финансовый 2 3 2" xfId="12" xr:uid="{00000000-0005-0000-0000-000090000000}"/>
    <cellStyle name="Финансовый 2 3 2 10" xfId="286" xr:uid="{00000000-0005-0000-0000-000091000000}"/>
    <cellStyle name="Финансовый 2 3 2 11" xfId="299" xr:uid="{00000000-0005-0000-0000-000092000000}"/>
    <cellStyle name="Финансовый 2 3 2 2" xfId="48" xr:uid="{00000000-0005-0000-0000-000093000000}"/>
    <cellStyle name="Финансовый 2 3 2 2 2" xfId="106" xr:uid="{00000000-0005-0000-0000-000094000000}"/>
    <cellStyle name="Финансовый 2 3 2 2 2 2" xfId="242" xr:uid="{00000000-0005-0000-0000-000095000000}"/>
    <cellStyle name="Финансовый 2 3 2 2 2 3" xfId="391" xr:uid="{00000000-0005-0000-0000-000096000000}"/>
    <cellStyle name="Финансовый 2 3 2 2 3" xfId="186" xr:uid="{00000000-0005-0000-0000-000097000000}"/>
    <cellStyle name="Финансовый 2 3 2 2 4" xfId="335" xr:uid="{00000000-0005-0000-0000-000098000000}"/>
    <cellStyle name="Финансовый 2 3 2 3" xfId="118" xr:uid="{00000000-0005-0000-0000-000099000000}"/>
    <cellStyle name="Финансовый 2 3 2 3 2" xfId="254" xr:uid="{00000000-0005-0000-0000-00009A000000}"/>
    <cellStyle name="Финансовый 2 3 2 3 3" xfId="403" xr:uid="{00000000-0005-0000-0000-00009B000000}"/>
    <cellStyle name="Финансовый 2 3 2 4" xfId="82" xr:uid="{00000000-0005-0000-0000-00009C000000}"/>
    <cellStyle name="Финансовый 2 3 2 4 2" xfId="218" xr:uid="{00000000-0005-0000-0000-00009D000000}"/>
    <cellStyle name="Финансовый 2 3 2 4 3" xfId="367" xr:uid="{00000000-0005-0000-0000-00009E000000}"/>
    <cellStyle name="Финансовый 2 3 2 5" xfId="60" xr:uid="{00000000-0005-0000-0000-00009F000000}"/>
    <cellStyle name="Финансовый 2 3 2 5 2" xfId="198" xr:uid="{00000000-0005-0000-0000-0000A0000000}"/>
    <cellStyle name="Финансовый 2 3 2 5 3" xfId="347" xr:uid="{00000000-0005-0000-0000-0000A1000000}"/>
    <cellStyle name="Финансовый 2 3 2 6" xfId="138" xr:uid="{00000000-0005-0000-0000-0000A2000000}"/>
    <cellStyle name="Финансовый 2 3 2 6 2" xfId="274" xr:uid="{00000000-0005-0000-0000-0000A3000000}"/>
    <cellStyle name="Финансовый 2 3 2 6 3" xfId="423" xr:uid="{00000000-0005-0000-0000-0000A4000000}"/>
    <cellStyle name="Финансовый 2 3 2 7" xfId="36" xr:uid="{00000000-0005-0000-0000-0000A5000000}"/>
    <cellStyle name="Финансовый 2 3 2 7 2" xfId="174" xr:uid="{00000000-0005-0000-0000-0000A6000000}"/>
    <cellStyle name="Финансовый 2 3 2 7 3" xfId="323" xr:uid="{00000000-0005-0000-0000-0000A7000000}"/>
    <cellStyle name="Финансовый 2 3 2 8" xfId="24" xr:uid="{00000000-0005-0000-0000-0000A8000000}"/>
    <cellStyle name="Финансовый 2 3 2 8 2" xfId="162" xr:uid="{00000000-0005-0000-0000-0000A9000000}"/>
    <cellStyle name="Финансовый 2 3 2 8 3" xfId="311" xr:uid="{00000000-0005-0000-0000-0000AA000000}"/>
    <cellStyle name="Финансовый 2 3 2 9" xfId="150" xr:uid="{00000000-0005-0000-0000-0000AB000000}"/>
    <cellStyle name="Финансовый 2 3 3" xfId="42" xr:uid="{00000000-0005-0000-0000-0000AC000000}"/>
    <cellStyle name="Финансовый 2 3 3 2" xfId="124" xr:uid="{00000000-0005-0000-0000-0000AD000000}"/>
    <cellStyle name="Финансовый 2 3 3 2 2" xfId="260" xr:uid="{00000000-0005-0000-0000-0000AE000000}"/>
    <cellStyle name="Финансовый 2 3 3 2 3" xfId="409" xr:uid="{00000000-0005-0000-0000-0000AF000000}"/>
    <cellStyle name="Финансовый 2 3 3 3" xfId="88" xr:uid="{00000000-0005-0000-0000-0000B0000000}"/>
    <cellStyle name="Финансовый 2 3 3 3 2" xfId="224" xr:uid="{00000000-0005-0000-0000-0000B1000000}"/>
    <cellStyle name="Финансовый 2 3 3 3 3" xfId="373" xr:uid="{00000000-0005-0000-0000-0000B2000000}"/>
    <cellStyle name="Финансовый 2 3 3 4" xfId="180" xr:uid="{00000000-0005-0000-0000-0000B3000000}"/>
    <cellStyle name="Финансовый 2 3 3 5" xfId="329" xr:uid="{00000000-0005-0000-0000-0000B4000000}"/>
    <cellStyle name="Финансовый 2 3 4" xfId="94" xr:uid="{00000000-0005-0000-0000-0000B5000000}"/>
    <cellStyle name="Финансовый 2 3 4 2" xfId="230" xr:uid="{00000000-0005-0000-0000-0000B6000000}"/>
    <cellStyle name="Финансовый 2 3 4 3" xfId="379" xr:uid="{00000000-0005-0000-0000-0000B7000000}"/>
    <cellStyle name="Финансовый 2 3 5" xfId="100" xr:uid="{00000000-0005-0000-0000-0000B8000000}"/>
    <cellStyle name="Финансовый 2 3 5 2" xfId="236" xr:uid="{00000000-0005-0000-0000-0000B9000000}"/>
    <cellStyle name="Финансовый 2 3 5 3" xfId="385" xr:uid="{00000000-0005-0000-0000-0000BA000000}"/>
    <cellStyle name="Финансовый 2 3 6" xfId="112" xr:uid="{00000000-0005-0000-0000-0000BB000000}"/>
    <cellStyle name="Финансовый 2 3 6 2" xfId="248" xr:uid="{00000000-0005-0000-0000-0000BC000000}"/>
    <cellStyle name="Финансовый 2 3 6 3" xfId="397" xr:uid="{00000000-0005-0000-0000-0000BD000000}"/>
    <cellStyle name="Финансовый 2 3 7" xfId="76" xr:uid="{00000000-0005-0000-0000-0000BE000000}"/>
    <cellStyle name="Финансовый 2 3 7 2" xfId="212" xr:uid="{00000000-0005-0000-0000-0000BF000000}"/>
    <cellStyle name="Финансовый 2 3 7 3" xfId="361" xr:uid="{00000000-0005-0000-0000-0000C0000000}"/>
    <cellStyle name="Финансовый 2 3 8" xfId="54" xr:uid="{00000000-0005-0000-0000-0000C1000000}"/>
    <cellStyle name="Финансовый 2 3 8 2" xfId="192" xr:uid="{00000000-0005-0000-0000-0000C2000000}"/>
    <cellStyle name="Финансовый 2 3 8 3" xfId="341" xr:uid="{00000000-0005-0000-0000-0000C3000000}"/>
    <cellStyle name="Финансовый 2 3 9" xfId="132" xr:uid="{00000000-0005-0000-0000-0000C4000000}"/>
    <cellStyle name="Финансовый 2 3 9 2" xfId="268" xr:uid="{00000000-0005-0000-0000-0000C5000000}"/>
    <cellStyle name="Финансовый 2 3 9 3" xfId="417" xr:uid="{00000000-0005-0000-0000-0000C6000000}"/>
    <cellStyle name="Финансовый 2 4" xfId="8" xr:uid="{00000000-0005-0000-0000-0000C7000000}"/>
    <cellStyle name="Финансовый 2 4 10" xfId="282" xr:uid="{00000000-0005-0000-0000-0000C8000000}"/>
    <cellStyle name="Финансовый 2 4 11" xfId="295" xr:uid="{00000000-0005-0000-0000-0000C9000000}"/>
    <cellStyle name="Финансовый 2 4 2" xfId="44" xr:uid="{00000000-0005-0000-0000-0000CA000000}"/>
    <cellStyle name="Финансовый 2 4 2 2" xfId="102" xr:uid="{00000000-0005-0000-0000-0000CB000000}"/>
    <cellStyle name="Финансовый 2 4 2 2 2" xfId="238" xr:uid="{00000000-0005-0000-0000-0000CC000000}"/>
    <cellStyle name="Финансовый 2 4 2 2 3" xfId="387" xr:uid="{00000000-0005-0000-0000-0000CD000000}"/>
    <cellStyle name="Финансовый 2 4 2 3" xfId="182" xr:uid="{00000000-0005-0000-0000-0000CE000000}"/>
    <cellStyle name="Финансовый 2 4 2 4" xfId="331" xr:uid="{00000000-0005-0000-0000-0000CF000000}"/>
    <cellStyle name="Финансовый 2 4 3" xfId="114" xr:uid="{00000000-0005-0000-0000-0000D0000000}"/>
    <cellStyle name="Финансовый 2 4 3 2" xfId="250" xr:uid="{00000000-0005-0000-0000-0000D1000000}"/>
    <cellStyle name="Финансовый 2 4 3 3" xfId="399" xr:uid="{00000000-0005-0000-0000-0000D2000000}"/>
    <cellStyle name="Финансовый 2 4 4" xfId="78" xr:uid="{00000000-0005-0000-0000-0000D3000000}"/>
    <cellStyle name="Финансовый 2 4 4 2" xfId="214" xr:uid="{00000000-0005-0000-0000-0000D4000000}"/>
    <cellStyle name="Финансовый 2 4 4 3" xfId="363" xr:uid="{00000000-0005-0000-0000-0000D5000000}"/>
    <cellStyle name="Финансовый 2 4 5" xfId="56" xr:uid="{00000000-0005-0000-0000-0000D6000000}"/>
    <cellStyle name="Финансовый 2 4 5 2" xfId="194" xr:uid="{00000000-0005-0000-0000-0000D7000000}"/>
    <cellStyle name="Финансовый 2 4 5 3" xfId="343" xr:uid="{00000000-0005-0000-0000-0000D8000000}"/>
    <cellStyle name="Финансовый 2 4 6" xfId="134" xr:uid="{00000000-0005-0000-0000-0000D9000000}"/>
    <cellStyle name="Финансовый 2 4 6 2" xfId="270" xr:uid="{00000000-0005-0000-0000-0000DA000000}"/>
    <cellStyle name="Финансовый 2 4 6 3" xfId="419" xr:uid="{00000000-0005-0000-0000-0000DB000000}"/>
    <cellStyle name="Финансовый 2 4 7" xfId="32" xr:uid="{00000000-0005-0000-0000-0000DC000000}"/>
    <cellStyle name="Финансовый 2 4 7 2" xfId="170" xr:uid="{00000000-0005-0000-0000-0000DD000000}"/>
    <cellStyle name="Финансовый 2 4 7 3" xfId="319" xr:uid="{00000000-0005-0000-0000-0000DE000000}"/>
    <cellStyle name="Финансовый 2 4 8" xfId="20" xr:uid="{00000000-0005-0000-0000-0000DF000000}"/>
    <cellStyle name="Финансовый 2 4 8 2" xfId="158" xr:uid="{00000000-0005-0000-0000-0000E0000000}"/>
    <cellStyle name="Финансовый 2 4 8 3" xfId="307" xr:uid="{00000000-0005-0000-0000-0000E1000000}"/>
    <cellStyle name="Финансовый 2 4 9" xfId="146" xr:uid="{00000000-0005-0000-0000-0000E2000000}"/>
    <cellStyle name="Финансовый 2 5" xfId="38" xr:uid="{00000000-0005-0000-0000-0000E3000000}"/>
    <cellStyle name="Финансовый 2 5 2" xfId="120" xr:uid="{00000000-0005-0000-0000-0000E4000000}"/>
    <cellStyle name="Финансовый 2 5 2 2" xfId="256" xr:uid="{00000000-0005-0000-0000-0000E5000000}"/>
    <cellStyle name="Финансовый 2 5 2 3" xfId="405" xr:uid="{00000000-0005-0000-0000-0000E6000000}"/>
    <cellStyle name="Финансовый 2 5 3" xfId="84" xr:uid="{00000000-0005-0000-0000-0000E7000000}"/>
    <cellStyle name="Финансовый 2 5 3 2" xfId="220" xr:uid="{00000000-0005-0000-0000-0000E8000000}"/>
    <cellStyle name="Финансовый 2 5 3 3" xfId="369" xr:uid="{00000000-0005-0000-0000-0000E9000000}"/>
    <cellStyle name="Финансовый 2 5 4" xfId="176" xr:uid="{00000000-0005-0000-0000-0000EA000000}"/>
    <cellStyle name="Финансовый 2 5 5" xfId="325" xr:uid="{00000000-0005-0000-0000-0000EB000000}"/>
    <cellStyle name="Финансовый 2 6" xfId="90" xr:uid="{00000000-0005-0000-0000-0000EC000000}"/>
    <cellStyle name="Финансовый 2 6 2" xfId="226" xr:uid="{00000000-0005-0000-0000-0000ED000000}"/>
    <cellStyle name="Финансовый 2 6 3" xfId="375" xr:uid="{00000000-0005-0000-0000-0000EE000000}"/>
    <cellStyle name="Финансовый 2 7" xfId="96" xr:uid="{00000000-0005-0000-0000-0000EF000000}"/>
    <cellStyle name="Финансовый 2 7 2" xfId="232" xr:uid="{00000000-0005-0000-0000-0000F0000000}"/>
    <cellStyle name="Финансовый 2 7 3" xfId="381" xr:uid="{00000000-0005-0000-0000-0000F1000000}"/>
    <cellStyle name="Финансовый 2 8" xfId="108" xr:uid="{00000000-0005-0000-0000-0000F2000000}"/>
    <cellStyle name="Финансовый 2 8 2" xfId="244" xr:uid="{00000000-0005-0000-0000-0000F3000000}"/>
    <cellStyle name="Финансовый 2 8 3" xfId="393" xr:uid="{00000000-0005-0000-0000-0000F4000000}"/>
    <cellStyle name="Финансовый 2 9" xfId="126" xr:uid="{00000000-0005-0000-0000-0000F5000000}"/>
    <cellStyle name="Финансовый 2 9 2" xfId="262" xr:uid="{00000000-0005-0000-0000-0000F6000000}"/>
    <cellStyle name="Финансовый 2 9 3" xfId="411" xr:uid="{00000000-0005-0000-0000-0000F7000000}"/>
    <cellStyle name="Финансовый 3" xfId="3" xr:uid="{00000000-0005-0000-0000-0000F8000000}"/>
    <cellStyle name="Финансовый 3 10" xfId="27" xr:uid="{00000000-0005-0000-0000-0000F9000000}"/>
    <cellStyle name="Финансовый 3 10 2" xfId="165" xr:uid="{00000000-0005-0000-0000-0000FA000000}"/>
    <cellStyle name="Финансовый 3 10 3" xfId="314" xr:uid="{00000000-0005-0000-0000-0000FB000000}"/>
    <cellStyle name="Финансовый 3 11" xfId="15" xr:uid="{00000000-0005-0000-0000-0000FC000000}"/>
    <cellStyle name="Финансовый 3 11 2" xfId="153" xr:uid="{00000000-0005-0000-0000-0000FD000000}"/>
    <cellStyle name="Финансовый 3 11 3" xfId="302" xr:uid="{00000000-0005-0000-0000-0000FE000000}"/>
    <cellStyle name="Финансовый 3 12" xfId="141" xr:uid="{00000000-0005-0000-0000-0000FF000000}"/>
    <cellStyle name="Финансовый 3 13" xfId="277" xr:uid="{00000000-0005-0000-0000-000000010000}"/>
    <cellStyle name="Финансовый 3 14" xfId="290" xr:uid="{00000000-0005-0000-0000-000001010000}"/>
    <cellStyle name="Финансовый 3 2" xfId="9" xr:uid="{00000000-0005-0000-0000-000002010000}"/>
    <cellStyle name="Финансовый 3 2 10" xfId="283" xr:uid="{00000000-0005-0000-0000-000003010000}"/>
    <cellStyle name="Финансовый 3 2 11" xfId="296" xr:uid="{00000000-0005-0000-0000-000004010000}"/>
    <cellStyle name="Финансовый 3 2 2" xfId="45" xr:uid="{00000000-0005-0000-0000-000005010000}"/>
    <cellStyle name="Финансовый 3 2 2 2" xfId="103" xr:uid="{00000000-0005-0000-0000-000006010000}"/>
    <cellStyle name="Финансовый 3 2 2 2 2" xfId="239" xr:uid="{00000000-0005-0000-0000-000007010000}"/>
    <cellStyle name="Финансовый 3 2 2 2 3" xfId="388" xr:uid="{00000000-0005-0000-0000-000008010000}"/>
    <cellStyle name="Финансовый 3 2 2 3" xfId="183" xr:uid="{00000000-0005-0000-0000-000009010000}"/>
    <cellStyle name="Финансовый 3 2 2 4" xfId="332" xr:uid="{00000000-0005-0000-0000-00000A010000}"/>
    <cellStyle name="Финансовый 3 2 3" xfId="115" xr:uid="{00000000-0005-0000-0000-00000B010000}"/>
    <cellStyle name="Финансовый 3 2 3 2" xfId="251" xr:uid="{00000000-0005-0000-0000-00000C010000}"/>
    <cellStyle name="Финансовый 3 2 3 3" xfId="400" xr:uid="{00000000-0005-0000-0000-00000D010000}"/>
    <cellStyle name="Финансовый 3 2 4" xfId="79" xr:uid="{00000000-0005-0000-0000-00000E010000}"/>
    <cellStyle name="Финансовый 3 2 4 2" xfId="215" xr:uid="{00000000-0005-0000-0000-00000F010000}"/>
    <cellStyle name="Финансовый 3 2 4 3" xfId="364" xr:uid="{00000000-0005-0000-0000-000010010000}"/>
    <cellStyle name="Финансовый 3 2 5" xfId="57" xr:uid="{00000000-0005-0000-0000-000011010000}"/>
    <cellStyle name="Финансовый 3 2 5 2" xfId="195" xr:uid="{00000000-0005-0000-0000-000012010000}"/>
    <cellStyle name="Финансовый 3 2 5 3" xfId="344" xr:uid="{00000000-0005-0000-0000-000013010000}"/>
    <cellStyle name="Финансовый 3 2 6" xfId="135" xr:uid="{00000000-0005-0000-0000-000014010000}"/>
    <cellStyle name="Финансовый 3 2 6 2" xfId="271" xr:uid="{00000000-0005-0000-0000-000015010000}"/>
    <cellStyle name="Финансовый 3 2 6 3" xfId="420" xr:uid="{00000000-0005-0000-0000-000016010000}"/>
    <cellStyle name="Финансовый 3 2 7" xfId="33" xr:uid="{00000000-0005-0000-0000-000017010000}"/>
    <cellStyle name="Финансовый 3 2 7 2" xfId="171" xr:uid="{00000000-0005-0000-0000-000018010000}"/>
    <cellStyle name="Финансовый 3 2 7 3" xfId="320" xr:uid="{00000000-0005-0000-0000-000019010000}"/>
    <cellStyle name="Финансовый 3 2 8" xfId="21" xr:uid="{00000000-0005-0000-0000-00001A010000}"/>
    <cellStyle name="Финансовый 3 2 8 2" xfId="159" xr:uid="{00000000-0005-0000-0000-00001B010000}"/>
    <cellStyle name="Финансовый 3 2 8 3" xfId="308" xr:uid="{00000000-0005-0000-0000-00001C010000}"/>
    <cellStyle name="Финансовый 3 2 9" xfId="147" xr:uid="{00000000-0005-0000-0000-00001D010000}"/>
    <cellStyle name="Финансовый 3 3" xfId="39" xr:uid="{00000000-0005-0000-0000-00001E010000}"/>
    <cellStyle name="Финансовый 3 3 2" xfId="121" xr:uid="{00000000-0005-0000-0000-00001F010000}"/>
    <cellStyle name="Финансовый 3 3 2 2" xfId="257" xr:uid="{00000000-0005-0000-0000-000020010000}"/>
    <cellStyle name="Финансовый 3 3 2 3" xfId="406" xr:uid="{00000000-0005-0000-0000-000021010000}"/>
    <cellStyle name="Финансовый 3 3 3" xfId="85" xr:uid="{00000000-0005-0000-0000-000022010000}"/>
    <cellStyle name="Финансовый 3 3 3 2" xfId="221" xr:uid="{00000000-0005-0000-0000-000023010000}"/>
    <cellStyle name="Финансовый 3 3 3 3" xfId="370" xr:uid="{00000000-0005-0000-0000-000024010000}"/>
    <cellStyle name="Финансовый 3 3 4" xfId="177" xr:uid="{00000000-0005-0000-0000-000025010000}"/>
    <cellStyle name="Финансовый 3 3 5" xfId="326" xr:uid="{00000000-0005-0000-0000-000026010000}"/>
    <cellStyle name="Финансовый 3 4" xfId="91" xr:uid="{00000000-0005-0000-0000-000027010000}"/>
    <cellStyle name="Финансовый 3 4 2" xfId="227" xr:uid="{00000000-0005-0000-0000-000028010000}"/>
    <cellStyle name="Финансовый 3 4 3" xfId="376" xr:uid="{00000000-0005-0000-0000-000029010000}"/>
    <cellStyle name="Финансовый 3 5" xfId="97" xr:uid="{00000000-0005-0000-0000-00002A010000}"/>
    <cellStyle name="Финансовый 3 5 2" xfId="233" xr:uid="{00000000-0005-0000-0000-00002B010000}"/>
    <cellStyle name="Финансовый 3 5 3" xfId="382" xr:uid="{00000000-0005-0000-0000-00002C010000}"/>
    <cellStyle name="Финансовый 3 6" xfId="109" xr:uid="{00000000-0005-0000-0000-00002D010000}"/>
    <cellStyle name="Финансовый 3 6 2" xfId="245" xr:uid="{00000000-0005-0000-0000-00002E010000}"/>
    <cellStyle name="Финансовый 3 6 3" xfId="394" xr:uid="{00000000-0005-0000-0000-00002F010000}"/>
    <cellStyle name="Финансовый 3 7" xfId="74" xr:uid="{00000000-0005-0000-0000-000030010000}"/>
    <cellStyle name="Финансовый 3 7 2" xfId="210" xr:uid="{00000000-0005-0000-0000-000031010000}"/>
    <cellStyle name="Финансовый 3 7 3" xfId="359" xr:uid="{00000000-0005-0000-0000-000032010000}"/>
    <cellStyle name="Финансовый 3 8" xfId="51" xr:uid="{00000000-0005-0000-0000-000033010000}"/>
    <cellStyle name="Финансовый 3 8 2" xfId="189" xr:uid="{00000000-0005-0000-0000-000034010000}"/>
    <cellStyle name="Финансовый 3 8 3" xfId="338" xr:uid="{00000000-0005-0000-0000-000035010000}"/>
    <cellStyle name="Финансовый 3 9" xfId="129" xr:uid="{00000000-0005-0000-0000-000036010000}"/>
    <cellStyle name="Финансовый 3 9 2" xfId="265" xr:uid="{00000000-0005-0000-0000-000037010000}"/>
    <cellStyle name="Финансовый 3 9 3" xfId="414" xr:uid="{00000000-0005-0000-0000-000038010000}"/>
    <cellStyle name="Финансовый 4" xfId="5" xr:uid="{00000000-0005-0000-0000-000039010000}"/>
    <cellStyle name="Финансовый 4 10" xfId="29" xr:uid="{00000000-0005-0000-0000-00003A010000}"/>
    <cellStyle name="Финансовый 4 10 2" xfId="167" xr:uid="{00000000-0005-0000-0000-00003B010000}"/>
    <cellStyle name="Финансовый 4 10 3" xfId="316" xr:uid="{00000000-0005-0000-0000-00003C010000}"/>
    <cellStyle name="Финансовый 4 11" xfId="17" xr:uid="{00000000-0005-0000-0000-00003D010000}"/>
    <cellStyle name="Финансовый 4 11 2" xfId="155" xr:uid="{00000000-0005-0000-0000-00003E010000}"/>
    <cellStyle name="Финансовый 4 11 3" xfId="304" xr:uid="{00000000-0005-0000-0000-00003F010000}"/>
    <cellStyle name="Финансовый 4 12" xfId="143" xr:uid="{00000000-0005-0000-0000-000040010000}"/>
    <cellStyle name="Финансовый 4 13" xfId="279" xr:uid="{00000000-0005-0000-0000-000041010000}"/>
    <cellStyle name="Финансовый 4 14" xfId="292" xr:uid="{00000000-0005-0000-0000-000042010000}"/>
    <cellStyle name="Финансовый 4 2" xfId="11" xr:uid="{00000000-0005-0000-0000-000043010000}"/>
    <cellStyle name="Финансовый 4 2 10" xfId="285" xr:uid="{00000000-0005-0000-0000-000044010000}"/>
    <cellStyle name="Финансовый 4 2 11" xfId="298" xr:uid="{00000000-0005-0000-0000-000045010000}"/>
    <cellStyle name="Финансовый 4 2 2" xfId="47" xr:uid="{00000000-0005-0000-0000-000046010000}"/>
    <cellStyle name="Финансовый 4 2 2 2" xfId="105" xr:uid="{00000000-0005-0000-0000-000047010000}"/>
    <cellStyle name="Финансовый 4 2 2 2 2" xfId="241" xr:uid="{00000000-0005-0000-0000-000048010000}"/>
    <cellStyle name="Финансовый 4 2 2 2 3" xfId="390" xr:uid="{00000000-0005-0000-0000-000049010000}"/>
    <cellStyle name="Финансовый 4 2 2 3" xfId="185" xr:uid="{00000000-0005-0000-0000-00004A010000}"/>
    <cellStyle name="Финансовый 4 2 2 4" xfId="334" xr:uid="{00000000-0005-0000-0000-00004B010000}"/>
    <cellStyle name="Финансовый 4 2 3" xfId="117" xr:uid="{00000000-0005-0000-0000-00004C010000}"/>
    <cellStyle name="Финансовый 4 2 3 2" xfId="253" xr:uid="{00000000-0005-0000-0000-00004D010000}"/>
    <cellStyle name="Финансовый 4 2 3 3" xfId="402" xr:uid="{00000000-0005-0000-0000-00004E010000}"/>
    <cellStyle name="Финансовый 4 2 4" xfId="81" xr:uid="{00000000-0005-0000-0000-00004F010000}"/>
    <cellStyle name="Финансовый 4 2 4 2" xfId="217" xr:uid="{00000000-0005-0000-0000-000050010000}"/>
    <cellStyle name="Финансовый 4 2 4 3" xfId="366" xr:uid="{00000000-0005-0000-0000-000051010000}"/>
    <cellStyle name="Финансовый 4 2 5" xfId="59" xr:uid="{00000000-0005-0000-0000-000052010000}"/>
    <cellStyle name="Финансовый 4 2 5 2" xfId="197" xr:uid="{00000000-0005-0000-0000-000053010000}"/>
    <cellStyle name="Финансовый 4 2 5 3" xfId="346" xr:uid="{00000000-0005-0000-0000-000054010000}"/>
    <cellStyle name="Финансовый 4 2 6" xfId="137" xr:uid="{00000000-0005-0000-0000-000055010000}"/>
    <cellStyle name="Финансовый 4 2 6 2" xfId="273" xr:uid="{00000000-0005-0000-0000-000056010000}"/>
    <cellStyle name="Финансовый 4 2 6 3" xfId="422" xr:uid="{00000000-0005-0000-0000-000057010000}"/>
    <cellStyle name="Финансовый 4 2 7" xfId="35" xr:uid="{00000000-0005-0000-0000-000058010000}"/>
    <cellStyle name="Финансовый 4 2 7 2" xfId="173" xr:uid="{00000000-0005-0000-0000-000059010000}"/>
    <cellStyle name="Финансовый 4 2 7 3" xfId="322" xr:uid="{00000000-0005-0000-0000-00005A010000}"/>
    <cellStyle name="Финансовый 4 2 8" xfId="23" xr:uid="{00000000-0005-0000-0000-00005B010000}"/>
    <cellStyle name="Финансовый 4 2 8 2" xfId="161" xr:uid="{00000000-0005-0000-0000-00005C010000}"/>
    <cellStyle name="Финансовый 4 2 8 3" xfId="310" xr:uid="{00000000-0005-0000-0000-00005D010000}"/>
    <cellStyle name="Финансовый 4 2 9" xfId="149" xr:uid="{00000000-0005-0000-0000-00005E010000}"/>
    <cellStyle name="Финансовый 4 3" xfId="41" xr:uid="{00000000-0005-0000-0000-00005F010000}"/>
    <cellStyle name="Финансовый 4 3 2" xfId="123" xr:uid="{00000000-0005-0000-0000-000060010000}"/>
    <cellStyle name="Финансовый 4 3 2 2" xfId="259" xr:uid="{00000000-0005-0000-0000-000061010000}"/>
    <cellStyle name="Финансовый 4 3 2 3" xfId="408" xr:uid="{00000000-0005-0000-0000-000062010000}"/>
    <cellStyle name="Финансовый 4 3 3" xfId="87" xr:uid="{00000000-0005-0000-0000-000063010000}"/>
    <cellStyle name="Финансовый 4 3 3 2" xfId="223" xr:uid="{00000000-0005-0000-0000-000064010000}"/>
    <cellStyle name="Финансовый 4 3 3 3" xfId="372" xr:uid="{00000000-0005-0000-0000-000065010000}"/>
    <cellStyle name="Финансовый 4 3 4" xfId="179" xr:uid="{00000000-0005-0000-0000-000066010000}"/>
    <cellStyle name="Финансовый 4 3 5" xfId="328" xr:uid="{00000000-0005-0000-0000-000067010000}"/>
    <cellStyle name="Финансовый 4 4" xfId="93" xr:uid="{00000000-0005-0000-0000-000068010000}"/>
    <cellStyle name="Финансовый 4 4 2" xfId="229" xr:uid="{00000000-0005-0000-0000-000069010000}"/>
    <cellStyle name="Финансовый 4 4 3" xfId="378" xr:uid="{00000000-0005-0000-0000-00006A010000}"/>
    <cellStyle name="Финансовый 4 5" xfId="99" xr:uid="{00000000-0005-0000-0000-00006B010000}"/>
    <cellStyle name="Финансовый 4 5 2" xfId="235" xr:uid="{00000000-0005-0000-0000-00006C010000}"/>
    <cellStyle name="Финансовый 4 5 3" xfId="384" xr:uid="{00000000-0005-0000-0000-00006D010000}"/>
    <cellStyle name="Финансовый 4 6" xfId="111" xr:uid="{00000000-0005-0000-0000-00006E010000}"/>
    <cellStyle name="Финансовый 4 6 2" xfId="247" xr:uid="{00000000-0005-0000-0000-00006F010000}"/>
    <cellStyle name="Финансовый 4 6 3" xfId="396" xr:uid="{00000000-0005-0000-0000-000070010000}"/>
    <cellStyle name="Финансовый 4 7" xfId="75" xr:uid="{00000000-0005-0000-0000-000071010000}"/>
    <cellStyle name="Финансовый 4 7 2" xfId="211" xr:uid="{00000000-0005-0000-0000-000072010000}"/>
    <cellStyle name="Финансовый 4 7 3" xfId="360" xr:uid="{00000000-0005-0000-0000-000073010000}"/>
    <cellStyle name="Финансовый 4 8" xfId="53" xr:uid="{00000000-0005-0000-0000-000074010000}"/>
    <cellStyle name="Финансовый 4 8 2" xfId="191" xr:uid="{00000000-0005-0000-0000-000075010000}"/>
    <cellStyle name="Финансовый 4 8 3" xfId="340" xr:uid="{00000000-0005-0000-0000-000076010000}"/>
    <cellStyle name="Финансовый 4 9" xfId="131" xr:uid="{00000000-0005-0000-0000-000077010000}"/>
    <cellStyle name="Финансовый 4 9 2" xfId="267" xr:uid="{00000000-0005-0000-0000-000078010000}"/>
    <cellStyle name="Финансовый 4 9 3" xfId="416" xr:uid="{00000000-0005-0000-0000-000079010000}"/>
    <cellStyle name="Финансовый 5" xfId="7" xr:uid="{00000000-0005-0000-0000-00007A010000}"/>
    <cellStyle name="Финансовый 5 10" xfId="281" xr:uid="{00000000-0005-0000-0000-00007B010000}"/>
    <cellStyle name="Финансовый 5 11" xfId="294" xr:uid="{00000000-0005-0000-0000-00007C010000}"/>
    <cellStyle name="Финансовый 5 2" xfId="43" xr:uid="{00000000-0005-0000-0000-00007D010000}"/>
    <cellStyle name="Финансовый 5 2 2" xfId="101" xr:uid="{00000000-0005-0000-0000-00007E010000}"/>
    <cellStyle name="Финансовый 5 2 2 2" xfId="237" xr:uid="{00000000-0005-0000-0000-00007F010000}"/>
    <cellStyle name="Финансовый 5 2 2 3" xfId="386" xr:uid="{00000000-0005-0000-0000-000080010000}"/>
    <cellStyle name="Финансовый 5 2 3" xfId="181" xr:uid="{00000000-0005-0000-0000-000081010000}"/>
    <cellStyle name="Финансовый 5 2 4" xfId="330" xr:uid="{00000000-0005-0000-0000-000082010000}"/>
    <cellStyle name="Финансовый 5 3" xfId="113" xr:uid="{00000000-0005-0000-0000-000083010000}"/>
    <cellStyle name="Финансовый 5 3 2" xfId="249" xr:uid="{00000000-0005-0000-0000-000084010000}"/>
    <cellStyle name="Финансовый 5 3 3" xfId="398" xr:uid="{00000000-0005-0000-0000-000085010000}"/>
    <cellStyle name="Финансовый 5 4" xfId="77" xr:uid="{00000000-0005-0000-0000-000086010000}"/>
    <cellStyle name="Финансовый 5 4 2" xfId="213" xr:uid="{00000000-0005-0000-0000-000087010000}"/>
    <cellStyle name="Финансовый 5 4 3" xfId="362" xr:uid="{00000000-0005-0000-0000-000088010000}"/>
    <cellStyle name="Финансовый 5 5" xfId="55" xr:uid="{00000000-0005-0000-0000-000089010000}"/>
    <cellStyle name="Финансовый 5 5 2" xfId="193" xr:uid="{00000000-0005-0000-0000-00008A010000}"/>
    <cellStyle name="Финансовый 5 5 3" xfId="342" xr:uid="{00000000-0005-0000-0000-00008B010000}"/>
    <cellStyle name="Финансовый 5 6" xfId="133" xr:uid="{00000000-0005-0000-0000-00008C010000}"/>
    <cellStyle name="Финансовый 5 6 2" xfId="269" xr:uid="{00000000-0005-0000-0000-00008D010000}"/>
    <cellStyle name="Финансовый 5 6 3" xfId="418" xr:uid="{00000000-0005-0000-0000-00008E010000}"/>
    <cellStyle name="Финансовый 5 7" xfId="31" xr:uid="{00000000-0005-0000-0000-00008F010000}"/>
    <cellStyle name="Финансовый 5 7 2" xfId="169" xr:uid="{00000000-0005-0000-0000-000090010000}"/>
    <cellStyle name="Финансовый 5 7 3" xfId="318" xr:uid="{00000000-0005-0000-0000-000091010000}"/>
    <cellStyle name="Финансовый 5 8" xfId="19" xr:uid="{00000000-0005-0000-0000-000092010000}"/>
    <cellStyle name="Финансовый 5 8 2" xfId="157" xr:uid="{00000000-0005-0000-0000-000093010000}"/>
    <cellStyle name="Финансовый 5 8 3" xfId="306" xr:uid="{00000000-0005-0000-0000-000094010000}"/>
    <cellStyle name="Финансовый 5 9" xfId="145" xr:uid="{00000000-0005-0000-0000-000095010000}"/>
    <cellStyle name="Финансовый 6" xfId="37" xr:uid="{00000000-0005-0000-0000-000096010000}"/>
    <cellStyle name="Финансовый 6 2" xfId="119" xr:uid="{00000000-0005-0000-0000-000097010000}"/>
    <cellStyle name="Финансовый 6 2 2" xfId="255" xr:uid="{00000000-0005-0000-0000-000098010000}"/>
    <cellStyle name="Финансовый 6 2 3" xfId="404" xr:uid="{00000000-0005-0000-0000-000099010000}"/>
    <cellStyle name="Финансовый 6 3" xfId="83" xr:uid="{00000000-0005-0000-0000-00009A010000}"/>
    <cellStyle name="Финансовый 6 3 2" xfId="219" xr:uid="{00000000-0005-0000-0000-00009B010000}"/>
    <cellStyle name="Финансовый 6 3 3" xfId="368" xr:uid="{00000000-0005-0000-0000-00009C010000}"/>
    <cellStyle name="Финансовый 6 4" xfId="175" xr:uid="{00000000-0005-0000-0000-00009D010000}"/>
    <cellStyle name="Финансовый 6 5" xfId="324" xr:uid="{00000000-0005-0000-0000-00009E010000}"/>
    <cellStyle name="Финансовый 7" xfId="89" xr:uid="{00000000-0005-0000-0000-00009F010000}"/>
    <cellStyle name="Финансовый 7 2" xfId="225" xr:uid="{00000000-0005-0000-0000-0000A0010000}"/>
    <cellStyle name="Финансовый 7 3" xfId="374" xr:uid="{00000000-0005-0000-0000-0000A1010000}"/>
    <cellStyle name="Финансовый 8" xfId="95" xr:uid="{00000000-0005-0000-0000-0000A2010000}"/>
    <cellStyle name="Финансовый 8 2" xfId="231" xr:uid="{00000000-0005-0000-0000-0000A3010000}"/>
    <cellStyle name="Финансовый 8 3" xfId="380" xr:uid="{00000000-0005-0000-0000-0000A4010000}"/>
    <cellStyle name="Финансовый 9" xfId="107" xr:uid="{00000000-0005-0000-0000-0000A5010000}"/>
    <cellStyle name="Финансовый 9 2" xfId="243" xr:uid="{00000000-0005-0000-0000-0000A6010000}"/>
    <cellStyle name="Финансовый 9 3" xfId="392" xr:uid="{00000000-0005-0000-0000-0000A7010000}"/>
  </cellStyles>
  <dxfs count="8">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77"/>
  <sheetViews>
    <sheetView zoomScaleNormal="100" workbookViewId="0">
      <selection activeCell="B7" sqref="B7"/>
    </sheetView>
  </sheetViews>
  <sheetFormatPr defaultColWidth="0" defaultRowHeight="15" zeroHeight="1" x14ac:dyDescent="0.2"/>
  <cols>
    <col min="1" max="1" width="44.42578125" style="192" customWidth="1"/>
    <col min="2" max="2" width="61.85546875" style="194" customWidth="1"/>
    <col min="3" max="3" width="20" style="184" customWidth="1"/>
    <col min="4" max="4" width="29.7109375" style="184" customWidth="1"/>
    <col min="5" max="7" width="9.140625" style="184" hidden="1" customWidth="1"/>
    <col min="8" max="8" width="62.5703125" style="184" hidden="1" customWidth="1"/>
    <col min="9" max="13" width="9.140625" style="184" hidden="1" customWidth="1"/>
    <col min="14" max="14" width="70.7109375" style="184" hidden="1" customWidth="1"/>
    <col min="15" max="16" width="9.140625" style="184" hidden="1" customWidth="1"/>
    <col min="17" max="17" width="59.7109375" style="184" hidden="1" customWidth="1"/>
    <col min="18" max="18" width="49.85546875" style="184" hidden="1" customWidth="1"/>
    <col min="19" max="16384" width="9.140625" style="184" hidden="1"/>
  </cols>
  <sheetData>
    <row r="1" spans="1:4" x14ac:dyDescent="0.2">
      <c r="A1" s="3" t="str">
        <f>CONCATENATE(B65," olish uchun ariza")</f>
        <v>mikroqarz olish uchun ariza</v>
      </c>
      <c r="B1" s="49" t="s">
        <v>423</v>
      </c>
    </row>
    <row r="2" spans="1:4" ht="30" x14ac:dyDescent="0.2">
      <c r="A2" s="3" t="str">
        <f>CONCATENATE(B65," olish uchun ariza sanasi QO’L BILAN KIRITILADI")</f>
        <v>mikroqarz olish uchun ariza sanasi QO’L BILAN KIRITILADI</v>
      </c>
      <c r="B2" s="59" t="s">
        <v>424</v>
      </c>
      <c r="D2" s="184">
        <f>180+B2</f>
        <v>45896</v>
      </c>
    </row>
    <row r="3" spans="1:4" hidden="1" x14ac:dyDescent="0.2">
      <c r="A3" s="3"/>
      <c r="B3" s="1"/>
    </row>
    <row r="4" spans="1:4" x14ac:dyDescent="0.2">
      <c r="A4" s="227" t="s">
        <v>53</v>
      </c>
      <c r="B4" s="227"/>
    </row>
    <row r="5" spans="1:4" ht="30" x14ac:dyDescent="0.2">
      <c r="A5" s="3" t="s">
        <v>54</v>
      </c>
      <c r="B5" s="49" t="s">
        <v>404</v>
      </c>
    </row>
    <row r="6" spans="1:4" ht="28.5" customHeight="1" x14ac:dyDescent="0.2">
      <c r="A6" s="3" t="s">
        <v>55</v>
      </c>
      <c r="B6" s="49" t="s">
        <v>134</v>
      </c>
      <c r="C6" s="184" t="s">
        <v>256</v>
      </c>
      <c r="D6" s="184" t="s">
        <v>134</v>
      </c>
    </row>
    <row r="7" spans="1:4" ht="30" x14ac:dyDescent="0.2">
      <c r="A7" s="3" t="s">
        <v>56</v>
      </c>
      <c r="B7" s="49" t="s">
        <v>449</v>
      </c>
    </row>
    <row r="8" spans="1:4" ht="30" hidden="1" x14ac:dyDescent="0.2">
      <c r="A8" s="3" t="s">
        <v>57</v>
      </c>
      <c r="B8" s="75" t="str">
        <f>B5</f>
        <v>ATAXANOV AKMAL AXMETDJANOVICH</v>
      </c>
    </row>
    <row r="9" spans="1:4" hidden="1" x14ac:dyDescent="0.2">
      <c r="A9" s="3" t="s">
        <v>58</v>
      </c>
      <c r="B9" s="75" t="str">
        <f>B7</f>
        <v>A. ATAXANOV</v>
      </c>
    </row>
    <row r="10" spans="1:4" ht="30" hidden="1" x14ac:dyDescent="0.2">
      <c r="A10" s="3" t="s">
        <v>59</v>
      </c>
      <c r="B10" s="75" t="str">
        <f>B8</f>
        <v>ATAXANOV AKMAL AXMETDJANOVICH</v>
      </c>
    </row>
    <row r="11" spans="1:4" hidden="1" x14ac:dyDescent="0.2">
      <c r="A11" s="3" t="s">
        <v>60</v>
      </c>
      <c r="B11" s="75" t="str">
        <f>B9</f>
        <v>A. ATAXANOV</v>
      </c>
    </row>
    <row r="12" spans="1:4" ht="30" hidden="1" x14ac:dyDescent="0.2">
      <c r="A12" s="3" t="s">
        <v>61</v>
      </c>
      <c r="B12" s="75" t="str">
        <f>B10</f>
        <v>ATAXANOV AKMAL AXMETDJANOVICH</v>
      </c>
    </row>
    <row r="13" spans="1:4" hidden="1" x14ac:dyDescent="0.2">
      <c r="A13" s="3" t="s">
        <v>62</v>
      </c>
      <c r="B13" s="75" t="str">
        <f>B11</f>
        <v>A. ATAXANOV</v>
      </c>
    </row>
    <row r="14" spans="1:4" hidden="1" x14ac:dyDescent="0.2">
      <c r="A14" s="3" t="s">
        <v>63</v>
      </c>
      <c r="B14" s="75" t="s">
        <v>66</v>
      </c>
    </row>
    <row r="15" spans="1:4" x14ac:dyDescent="0.2">
      <c r="A15" s="3" t="s">
        <v>64</v>
      </c>
      <c r="B15" s="199" t="s">
        <v>405</v>
      </c>
    </row>
    <row r="16" spans="1:4" x14ac:dyDescent="0.2">
      <c r="A16" s="3" t="s">
        <v>65</v>
      </c>
      <c r="B16" s="49" t="s">
        <v>406</v>
      </c>
    </row>
    <row r="17" spans="1:7" x14ac:dyDescent="0.2">
      <c r="A17" s="3"/>
      <c r="B17" s="49" t="s">
        <v>448</v>
      </c>
      <c r="D17" s="184" t="str">
        <f>TEXT(C17,"ДД.ММ.ГГГГ")</f>
        <v>00.01.1900</v>
      </c>
    </row>
    <row r="18" spans="1:7" x14ac:dyDescent="0.2">
      <c r="A18" s="3"/>
      <c r="B18" s="141">
        <v>45463</v>
      </c>
      <c r="C18" s="78" t="str">
        <f>TEXT(B18,"ДД.ММ.ГГГГ")</f>
        <v>20.06.2024</v>
      </c>
    </row>
    <row r="19" spans="1:7" x14ac:dyDescent="0.2">
      <c r="A19" s="3"/>
      <c r="B19" s="141">
        <f>DATE(YEAR(B18)+10,MONTH(B18),DAY(B18)-1)</f>
        <v>49114</v>
      </c>
      <c r="C19" s="78" t="str">
        <f>TEXT(B19,"ДД.ММ.ГГГГ")</f>
        <v>19.06.2034</v>
      </c>
    </row>
    <row r="20" spans="1:7" ht="71.25" x14ac:dyDescent="0.2">
      <c r="A20" s="3" t="s">
        <v>68</v>
      </c>
      <c r="B20" s="62" t="str">
        <f>""&amp;B17&amp;" tomonidan "&amp;C18&amp;" yilda berilgan"</f>
        <v>BUXORO VILOYATI BUXORO SHAHAR IIB tomonidan 20.06.2024 yilda berilgan</v>
      </c>
      <c r="C20" s="79" t="str">
        <f>""&amp;B17&amp;" tomonidan "&amp;C18&amp;" yilda berilgan"</f>
        <v>BUXORO VILOYATI BUXORO SHAHAR IIB tomonidan 20.06.2024 yilda berilgan</v>
      </c>
    </row>
    <row r="21" spans="1:7" ht="45" x14ac:dyDescent="0.2">
      <c r="A21" s="3" t="s">
        <v>69</v>
      </c>
      <c r="B21" s="62" t="str">
        <f>""&amp;C19&amp;" y."</f>
        <v>19.06.2034 y.</v>
      </c>
      <c r="C21" s="78" t="str">
        <f>""&amp;C19&amp;" yilgacha"</f>
        <v>19.06.2034 yilgacha</v>
      </c>
    </row>
    <row r="22" spans="1:7" ht="64.5" customHeight="1" x14ac:dyDescent="0.2">
      <c r="A22" s="3" t="s">
        <v>70</v>
      </c>
      <c r="B22" s="49" t="s">
        <v>397</v>
      </c>
      <c r="C22" s="78" t="str">
        <f>TEXT(B19,"ДД.ММ.ГГГГ")</f>
        <v>19.06.2034</v>
      </c>
    </row>
    <row r="23" spans="1:7" ht="30" x14ac:dyDescent="0.2">
      <c r="A23" s="3" t="s">
        <v>71</v>
      </c>
      <c r="B23" s="49" t="s">
        <v>95</v>
      </c>
      <c r="C23" s="184" t="s">
        <v>95</v>
      </c>
      <c r="D23" s="184" t="s">
        <v>96</v>
      </c>
    </row>
    <row r="24" spans="1:7" ht="30" hidden="1" x14ac:dyDescent="0.2">
      <c r="A24" s="3" t="s">
        <v>72</v>
      </c>
      <c r="B24" s="75" t="s">
        <v>93</v>
      </c>
      <c r="C24" s="184" t="s">
        <v>93</v>
      </c>
      <c r="D24" s="184" t="s">
        <v>94</v>
      </c>
      <c r="E24" s="184" t="s">
        <v>0</v>
      </c>
      <c r="F24" s="184" t="s">
        <v>1</v>
      </c>
      <c r="G24" s="184" t="s">
        <v>3</v>
      </c>
    </row>
    <row r="25" spans="1:7" ht="30" x14ac:dyDescent="0.2">
      <c r="A25" s="3" t="s">
        <v>73</v>
      </c>
      <c r="B25" s="49" t="s">
        <v>403</v>
      </c>
    </row>
    <row r="26" spans="1:7" ht="44.25" customHeight="1" x14ac:dyDescent="0.2">
      <c r="A26" s="3" t="s">
        <v>74</v>
      </c>
      <c r="B26" s="49" t="s">
        <v>399</v>
      </c>
      <c r="C26" s="184" t="s">
        <v>27</v>
      </c>
    </row>
    <row r="27" spans="1:7" ht="44.25" hidden="1" customHeight="1" x14ac:dyDescent="0.2">
      <c r="A27" s="3"/>
      <c r="B27" s="49" t="str">
        <f>IF(B23="mos keladi",B22,B28)</f>
        <v>QORAKO'L TUMANI DARG'ALI QFY</v>
      </c>
    </row>
    <row r="28" spans="1:7" ht="45" x14ac:dyDescent="0.2">
      <c r="A28" s="3" t="s">
        <v>75</v>
      </c>
      <c r="B28" s="49" t="s">
        <v>397</v>
      </c>
    </row>
    <row r="29" spans="1:7" x14ac:dyDescent="0.2">
      <c r="A29" s="3" t="s">
        <v>76</v>
      </c>
      <c r="B29" s="49" t="s">
        <v>93</v>
      </c>
      <c r="C29" s="184" t="s">
        <v>93</v>
      </c>
      <c r="D29" s="184" t="s">
        <v>94</v>
      </c>
      <c r="E29" s="184" t="s">
        <v>325</v>
      </c>
      <c r="F29" s="184" t="s">
        <v>326</v>
      </c>
      <c r="G29" s="184" t="s">
        <v>3</v>
      </c>
    </row>
    <row r="30" spans="1:7" ht="27" x14ac:dyDescent="0.2">
      <c r="A30" s="3" t="s">
        <v>77</v>
      </c>
      <c r="B30" s="175" t="s">
        <v>149</v>
      </c>
      <c r="C30" s="184" t="s">
        <v>149</v>
      </c>
      <c r="D30" s="184" t="s">
        <v>329</v>
      </c>
    </row>
    <row r="31" spans="1:7" x14ac:dyDescent="0.2">
      <c r="A31" s="3" t="s">
        <v>78</v>
      </c>
      <c r="B31" s="49" t="s">
        <v>402</v>
      </c>
    </row>
    <row r="32" spans="1:7" x14ac:dyDescent="0.2">
      <c r="A32" s="3" t="s">
        <v>63</v>
      </c>
      <c r="B32" s="49" t="s">
        <v>66</v>
      </c>
    </row>
    <row r="33" spans="1:4" ht="30" x14ac:dyDescent="0.2">
      <c r="A33" s="3" t="s">
        <v>73</v>
      </c>
      <c r="B33" s="49" t="s">
        <v>400</v>
      </c>
    </row>
    <row r="34" spans="1:4" hidden="1" x14ac:dyDescent="0.2">
      <c r="A34" s="3"/>
      <c r="B34" s="49" t="str">
        <f>IF(B23="mos keladi",B26,B35)</f>
        <v>DARG'ALI MFY 10 MAKTAB</v>
      </c>
    </row>
    <row r="35" spans="1:4" x14ac:dyDescent="0.2">
      <c r="A35" s="3" t="s">
        <v>74</v>
      </c>
      <c r="B35" s="49"/>
    </row>
    <row r="36" spans="1:4" x14ac:dyDescent="0.2">
      <c r="A36" s="3" t="s">
        <v>79</v>
      </c>
      <c r="B36" s="49"/>
    </row>
    <row r="37" spans="1:4" x14ac:dyDescent="0.2">
      <c r="A37" s="3" t="s">
        <v>80</v>
      </c>
      <c r="B37" s="49"/>
    </row>
    <row r="38" spans="1:4" x14ac:dyDescent="0.2">
      <c r="A38" s="3" t="s">
        <v>81</v>
      </c>
      <c r="B38" s="49"/>
    </row>
    <row r="39" spans="1:4" x14ac:dyDescent="0.2">
      <c r="A39" s="3" t="s">
        <v>82</v>
      </c>
      <c r="B39" s="49"/>
    </row>
    <row r="40" spans="1:4" ht="24.75" customHeight="1" x14ac:dyDescent="0.2">
      <c r="A40" s="3" t="s">
        <v>83</v>
      </c>
      <c r="B40" s="49" t="str">
        <f>B25</f>
        <v>94 545-76-56 O'ZI</v>
      </c>
    </row>
    <row r="41" spans="1:4" ht="24.75" customHeight="1" x14ac:dyDescent="0.2">
      <c r="A41" s="3" t="s">
        <v>84</v>
      </c>
      <c r="B41" s="49" t="str">
        <f>B33</f>
        <v>93 547-13-19  AYOLI</v>
      </c>
    </row>
    <row r="42" spans="1:4" ht="24.75" customHeight="1" x14ac:dyDescent="0.2">
      <c r="A42" s="3" t="s">
        <v>83</v>
      </c>
      <c r="B42" s="49" t="s">
        <v>401</v>
      </c>
    </row>
    <row r="43" spans="1:4" ht="30" x14ac:dyDescent="0.2">
      <c r="A43" s="3" t="s">
        <v>84</v>
      </c>
      <c r="B43" s="49"/>
    </row>
    <row r="44" spans="1:4" ht="23.25" x14ac:dyDescent="0.2">
      <c r="A44" s="177" t="s">
        <v>85</v>
      </c>
      <c r="B44" s="176" t="s">
        <v>341</v>
      </c>
      <c r="C44" s="184" t="s">
        <v>341</v>
      </c>
      <c r="D44" s="184" t="s">
        <v>348</v>
      </c>
    </row>
    <row r="45" spans="1:4" hidden="1" x14ac:dyDescent="0.2">
      <c r="A45" s="3"/>
      <c r="B45" s="174" t="str">
        <f>IF(B44=D44,CONCATENATE("MA'LUMOTNOMA ",B47,B46),C44)</f>
        <v>Yakka tartibdagi tadbirkor</v>
      </c>
    </row>
    <row r="46" spans="1:4" ht="93" x14ac:dyDescent="0.2">
      <c r="A46" s="177" t="s">
        <v>349</v>
      </c>
      <c r="B46" s="195"/>
    </row>
    <row r="47" spans="1:4" ht="23.25" hidden="1" x14ac:dyDescent="0.2">
      <c r="A47" s="177"/>
      <c r="B47" s="174" t="str">
        <f>CONCATENATE(C47," ",B46)</f>
        <v xml:space="preserve">№ </v>
      </c>
      <c r="C47" s="184" t="s">
        <v>15</v>
      </c>
    </row>
    <row r="48" spans="1:4" ht="93" x14ac:dyDescent="0.2">
      <c r="A48" s="177" t="s">
        <v>350</v>
      </c>
      <c r="B48" s="174"/>
    </row>
    <row r="49" spans="1:4" hidden="1" x14ac:dyDescent="0.2">
      <c r="A49" s="3" t="s">
        <v>86</v>
      </c>
      <c r="B49" s="49" t="str">
        <f>IF(B44=C44,C44,B48)</f>
        <v>Yakka tartibdagi tadbirkor</v>
      </c>
    </row>
    <row r="50" spans="1:4" ht="45" x14ac:dyDescent="0.2">
      <c r="A50" s="3" t="s">
        <v>87</v>
      </c>
      <c r="B50" s="49"/>
    </row>
    <row r="51" spans="1:4" x14ac:dyDescent="0.2">
      <c r="A51" s="3" t="s">
        <v>74</v>
      </c>
      <c r="B51" s="49"/>
    </row>
    <row r="52" spans="1:4" x14ac:dyDescent="0.2">
      <c r="A52" s="3" t="s">
        <v>88</v>
      </c>
      <c r="B52" s="49"/>
    </row>
    <row r="53" spans="1:4" x14ac:dyDescent="0.2">
      <c r="A53" s="3" t="s">
        <v>89</v>
      </c>
      <c r="B53" s="49"/>
    </row>
    <row r="54" spans="1:4" x14ac:dyDescent="0.2">
      <c r="A54" s="3" t="s">
        <v>90</v>
      </c>
      <c r="B54" s="49"/>
    </row>
    <row r="55" spans="1:4" x14ac:dyDescent="0.2">
      <c r="A55" s="3" t="s">
        <v>91</v>
      </c>
      <c r="B55" s="2"/>
    </row>
    <row r="56" spans="1:4" x14ac:dyDescent="0.2">
      <c r="A56" s="3" t="s">
        <v>92</v>
      </c>
      <c r="B56" s="2" t="s">
        <v>22</v>
      </c>
    </row>
    <row r="57" spans="1:4" ht="30" customHeight="1" x14ac:dyDescent="0.2">
      <c r="A57" s="228" t="s">
        <v>97</v>
      </c>
      <c r="B57" s="229"/>
    </row>
    <row r="58" spans="1:4" ht="20.25" hidden="1" customHeight="1" x14ac:dyDescent="0.2">
      <c r="A58" s="3" t="s">
        <v>98</v>
      </c>
      <c r="B58" s="49" t="str">
        <f>IF(B44=C44,C44,CONCATENATE(B44," ",B47))</f>
        <v>Yakka tartibdagi tadbirkor</v>
      </c>
    </row>
    <row r="59" spans="1:4" ht="31.5" hidden="1" customHeight="1" x14ac:dyDescent="0.2">
      <c r="A59" s="3" t="s">
        <v>86</v>
      </c>
      <c r="B59" s="49" t="str">
        <f>B49</f>
        <v>Yakka tartibdagi tadbirkor</v>
      </c>
    </row>
    <row r="60" spans="1:4" ht="23.25" x14ac:dyDescent="0.2">
      <c r="A60" s="177" t="s">
        <v>99</v>
      </c>
      <c r="B60" s="180">
        <v>21800000</v>
      </c>
      <c r="C60" s="202">
        <f>C63/B76</f>
        <v>0.4412328830769231</v>
      </c>
    </row>
    <row r="61" spans="1:4" x14ac:dyDescent="0.2">
      <c r="A61" s="3" t="s">
        <v>100</v>
      </c>
      <c r="B61" s="6">
        <v>0</v>
      </c>
      <c r="C61" s="203" t="s">
        <v>382</v>
      </c>
    </row>
    <row r="62" spans="1:4" hidden="1" x14ac:dyDescent="0.2">
      <c r="A62" s="3" t="s">
        <v>101</v>
      </c>
      <c r="B62" s="49">
        <f>B53</f>
        <v>0</v>
      </c>
      <c r="C62" s="201"/>
    </row>
    <row r="63" spans="1:4" ht="30" x14ac:dyDescent="0.2">
      <c r="A63" s="3" t="s">
        <v>102</v>
      </c>
      <c r="B63" s="49"/>
      <c r="C63" s="200">
        <f>SUM(grafik!E9:E20)</f>
        <v>28680137.400000002</v>
      </c>
    </row>
    <row r="64" spans="1:4" x14ac:dyDescent="0.2">
      <c r="A64" s="227" t="s">
        <v>103</v>
      </c>
      <c r="B64" s="227"/>
      <c r="C64" s="184" t="str">
        <f>PROPER(B65)</f>
        <v>Mikroqarz</v>
      </c>
      <c r="D64" s="184" t="str">
        <f>UPPER(B65)</f>
        <v>MIKROQARZ</v>
      </c>
    </row>
    <row r="65" spans="1:14" x14ac:dyDescent="0.2">
      <c r="A65" s="3" t="s">
        <v>104</v>
      </c>
      <c r="B65" s="1" t="str">
        <f>IF(B76&gt;100000001,"mikrokredit",IF(B76&lt;100000001,"mikroqarz",0))</f>
        <v>mikroqarz</v>
      </c>
      <c r="C65" s="186">
        <f>DATE(YEAR(B67),MONTH(B67)+B82,DAY(B67))</f>
        <v>46446</v>
      </c>
    </row>
    <row r="66" spans="1:14" hidden="1" x14ac:dyDescent="0.2">
      <c r="A66" s="3" t="s">
        <v>105</v>
      </c>
      <c r="B66" s="49" t="str">
        <f>B1</f>
        <v>№492-QRS</v>
      </c>
      <c r="C66" s="184">
        <f>MONTH(C65)</f>
        <v>2</v>
      </c>
      <c r="D66" s="184" t="str">
        <f>IF(C66=C68,C70,IF(C66=D68,D70,IF(C66=E68,E70,IF(C66=F68,F70,IF(C66=G68,G70,IF(C66=H68,H70,IF(C66=I68,I70,IF(C66=J68,J70,IF(C66=K68,K70,IF(C66=L68,L70,IF(C66=M68,M70,IF(C66=N68,N70,))))))))))))</f>
        <v>fevral</v>
      </c>
      <c r="E66" s="184">
        <f>DAY(C65)</f>
        <v>28</v>
      </c>
      <c r="F66" s="184">
        <f>YEAR(C65)</f>
        <v>2027</v>
      </c>
      <c r="G66" s="184">
        <f>MONTH(C65)</f>
        <v>2</v>
      </c>
      <c r="H66" s="184" t="str">
        <f>IF(C66=C68,C71,IF(C66=D68,D71,IF(C66=E68,E71,IF(C66=F68,F71,IF(C66=G68,G71,IF(C66=H68,H71,IF(C66=I68,I71,IF(C66=J68,J71,IF(C66=K68,K71,IF(C66=L68,L71,IF(C66=M68,M71,IF(C66=N68,N71,))))))))))))</f>
        <v>fevral</v>
      </c>
      <c r="I66" s="184">
        <f>YEAR(C65)</f>
        <v>2027</v>
      </c>
    </row>
    <row r="67" spans="1:14" hidden="1" x14ac:dyDescent="0.2">
      <c r="A67" s="3" t="s">
        <v>106</v>
      </c>
      <c r="B67" s="90" t="str">
        <f>B2</f>
        <v>28.02.2025</v>
      </c>
      <c r="C67" s="184">
        <f>MONTH(B67)</f>
        <v>2</v>
      </c>
      <c r="D67" s="184" t="str">
        <f>IF(C67=C68,C70,IF(C67=D68,D70,IF(C67=E68,E70,IF(C67=F68,F70,IF(C67=G68,G70,IF(C67=H68,H70,IF(C67=I68,I70,IF(C67=J68,J70,IF(C67=K68,K70,IF(C67=L68,L70,IF(C67=M68,M70,IF(C67=N68,N70,))))))))))))</f>
        <v>fevral</v>
      </c>
      <c r="E67" s="184">
        <f>DAY(B67)</f>
        <v>28</v>
      </c>
      <c r="F67" s="184">
        <f>YEAR(B67)</f>
        <v>2025</v>
      </c>
      <c r="G67" s="184">
        <f>MONTH(B67)</f>
        <v>2</v>
      </c>
      <c r="H67" s="184" t="str">
        <f>IF(C67=C68,C71,IF(C67=D68,D71,IF(C67=E68,E71,IF(C67=F68,F71,IF(C67=G68,G71,IF(C67=H68,H71,IF(C67=I68,I71,IF(C67=J68,J71,IF(C67=K68,K71,IF(C67=L68,L71,IF(C67=M68,M71,IF(C67=N68,N71,))))))))))))</f>
        <v>fevral</v>
      </c>
      <c r="I67" s="184">
        <f>YEAR(B67)</f>
        <v>2025</v>
      </c>
    </row>
    <row r="68" spans="1:14" hidden="1" x14ac:dyDescent="0.2">
      <c r="A68" s="3" t="s">
        <v>107</v>
      </c>
      <c r="B68" s="80" t="str">
        <f>""&amp;E67&amp;" "&amp;D67&amp;" "&amp;F67&amp;" y."</f>
        <v>28 fevral 2025 y.</v>
      </c>
      <c r="C68" s="184">
        <v>1</v>
      </c>
      <c r="D68" s="184">
        <v>2</v>
      </c>
      <c r="E68" s="184">
        <v>3</v>
      </c>
      <c r="F68" s="184">
        <v>4</v>
      </c>
      <c r="G68" s="184">
        <v>5</v>
      </c>
      <c r="H68" s="184">
        <v>6</v>
      </c>
      <c r="I68" s="184">
        <v>7</v>
      </c>
      <c r="J68" s="184">
        <v>8</v>
      </c>
      <c r="K68" s="184">
        <v>9</v>
      </c>
      <c r="L68" s="184">
        <v>10</v>
      </c>
      <c r="M68" s="184">
        <v>11</v>
      </c>
      <c r="N68" s="184">
        <v>12</v>
      </c>
    </row>
    <row r="69" spans="1:14" hidden="1" x14ac:dyDescent="0.2">
      <c r="A69" s="3"/>
      <c r="B69" s="80" t="str">
        <f>""&amp;E67&amp;" "&amp;H67&amp;" "&amp;F67&amp;" y."</f>
        <v>28 fevral 2025 y.</v>
      </c>
    </row>
    <row r="70" spans="1:14" hidden="1" x14ac:dyDescent="0.2">
      <c r="A70" s="3"/>
      <c r="B70" s="61" t="str">
        <f>B68</f>
        <v>28 fevral 2025 y.</v>
      </c>
      <c r="C70" s="184" t="s">
        <v>119</v>
      </c>
      <c r="D70" s="184" t="s">
        <v>120</v>
      </c>
      <c r="E70" s="184" t="s">
        <v>109</v>
      </c>
      <c r="F70" s="184" t="s">
        <v>110</v>
      </c>
      <c r="G70" s="184" t="s">
        <v>111</v>
      </c>
      <c r="H70" s="184" t="s">
        <v>112</v>
      </c>
      <c r="I70" s="184" t="s">
        <v>113</v>
      </c>
      <c r="J70" s="184" t="s">
        <v>114</v>
      </c>
      <c r="K70" s="184" t="s">
        <v>115</v>
      </c>
      <c r="L70" s="184" t="s">
        <v>116</v>
      </c>
      <c r="M70" s="184" t="s">
        <v>117</v>
      </c>
      <c r="N70" s="184" t="s">
        <v>118</v>
      </c>
    </row>
    <row r="71" spans="1:14" hidden="1" x14ac:dyDescent="0.2">
      <c r="A71" s="3"/>
      <c r="B71" s="61" t="str">
        <f>B69</f>
        <v>28 fevral 2025 y.</v>
      </c>
      <c r="C71" s="184" t="s">
        <v>119</v>
      </c>
      <c r="D71" s="184" t="s">
        <v>120</v>
      </c>
      <c r="E71" s="184" t="s">
        <v>109</v>
      </c>
      <c r="F71" s="184" t="s">
        <v>110</v>
      </c>
      <c r="G71" s="184" t="s">
        <v>111</v>
      </c>
      <c r="H71" s="184" t="s">
        <v>112</v>
      </c>
      <c r="I71" s="184" t="s">
        <v>113</v>
      </c>
      <c r="J71" s="184" t="s">
        <v>114</v>
      </c>
      <c r="K71" s="184" t="s">
        <v>115</v>
      </c>
      <c r="L71" s="184" t="s">
        <v>116</v>
      </c>
      <c r="M71" s="184" t="s">
        <v>117</v>
      </c>
      <c r="N71" s="184" t="s">
        <v>118</v>
      </c>
    </row>
    <row r="72" spans="1:14" hidden="1" x14ac:dyDescent="0.2">
      <c r="A72" s="3" t="s">
        <v>108</v>
      </c>
      <c r="B72" s="60" t="str">
        <f>""&amp;E66&amp;" "&amp;D66&amp;" "&amp;F66&amp;" y."</f>
        <v>28 fevral 2027 y.</v>
      </c>
    </row>
    <row r="73" spans="1:14" hidden="1" x14ac:dyDescent="0.2">
      <c r="A73" s="3"/>
      <c r="B73" s="60" t="str">
        <f>""&amp;E66&amp;" "&amp;H66&amp;" "&amp;F66&amp;" y."</f>
        <v>28 fevral 2027 y.</v>
      </c>
    </row>
    <row r="74" spans="1:14" ht="15.75" hidden="1" thickBot="1" x14ac:dyDescent="0.25">
      <c r="A74" s="3" t="s">
        <v>121</v>
      </c>
      <c r="B74" s="1" t="str">
        <f>""&amp;B68&amp;"dan "&amp;B66&amp;""</f>
        <v>28 fevral 2025 y.dan №492-QRS</v>
      </c>
    </row>
    <row r="75" spans="1:14" x14ac:dyDescent="0.2">
      <c r="A75" s="3" t="str">
        <f>CONCATENATE(B65," miqdori (summasi)")</f>
        <v>mikroqarz miqdori (summasi)</v>
      </c>
      <c r="B75" s="69">
        <v>50000000</v>
      </c>
    </row>
    <row r="76" spans="1:14" hidden="1" x14ac:dyDescent="0.2">
      <c r="A76" s="3" t="str">
        <f>CONCATENATE(B65," miqdori (summasi)")</f>
        <v>mikroqarz miqdori (summasi)</v>
      </c>
      <c r="B76" s="69">
        <f>B75+B154</f>
        <v>65000000</v>
      </c>
      <c r="C76" s="187" t="s">
        <v>127</v>
      </c>
    </row>
    <row r="77" spans="1:14" ht="28.5" x14ac:dyDescent="0.2">
      <c r="A77" s="156" t="s">
        <v>122</v>
      </c>
      <c r="B77" s="5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76))&gt;6,ROMAN(MID(INT(B76),1,LEN(INT(B76))-6)+0)&amp;" million "&amp;ROMAN(MID(INT(B76),LEN(INT(B76))-5,3)+0)&amp;" ming "&amp;ROMAN(MID(INT(B76),LEN(INT(B76))-2,3)+0),IF(LEN(INT(B76))&gt;3,ROMAN(MID(INT(B76),1,LEN(INT(B76))-3)+0)&amp;" ming "&amp;ROMAN(MID(INT(B76),LEN(INT(B76))-2,3)+0),ROMAN(INT(B76)))),"DCCC","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oltmish besh million so'm</v>
      </c>
      <c r="C77" s="185"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ming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76,0))&gt;6,ROMAN(MID(ROUNDDOWN(B76,0),1,LEN(ROUNDDOWN(B76,0))-6)+0)&amp;" million "&amp;ROMAN(MID(ROUNDDOWN(B76,0),LEN(ROUNDDOWN(B76,0))-5,3)+0)&amp;" "&amp;ROMAN(MID(ROUNDDOWN(B76,0),LEN(ROUNDDOWN(B76,0))-2,3)+0)&amp;" so'm",IF(LEN(ROUNDDOWN(B76,0))&gt;3,ROMAN(MID(ROUNDDOWN(B76,0),1,LEN(ROUNDDOWN(B76,0))-3)+0)&amp;" ming "&amp;ROMAN(MID(ROUNDDOWN(B76,0),LEN(ROUNDDOWN(B76,0))-2,3)+0)&amp;" so'm",ROMAN(ROUNDDOWN(B76,0))&amp;"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Oltmish besh million so'm</v>
      </c>
    </row>
    <row r="78" spans="1:14" x14ac:dyDescent="0.2">
      <c r="A78" s="3" t="s">
        <v>123</v>
      </c>
      <c r="B78" s="49" t="s">
        <v>129</v>
      </c>
      <c r="C78" s="184" t="s">
        <v>129</v>
      </c>
      <c r="D78" s="184" t="s">
        <v>128</v>
      </c>
    </row>
    <row r="79" spans="1:14" x14ac:dyDescent="0.2">
      <c r="A79" s="3" t="str">
        <f>CONCATENATE(B65,"ni to'lash sanasi (14.10.2011)")</f>
        <v>mikroqarzni to'lash sanasi (14.10.2011)</v>
      </c>
      <c r="B79" s="49">
        <v>15</v>
      </c>
      <c r="C79" s="186">
        <f>DATE(YEAR(B67),MONTH(B67)+1,DAY(B79))</f>
        <v>45731</v>
      </c>
      <c r="D79" s="184" t="s">
        <v>29</v>
      </c>
      <c r="E79" s="184" t="s">
        <v>30</v>
      </c>
      <c r="F79" s="184" t="s">
        <v>31</v>
      </c>
      <c r="G79" s="184" t="s">
        <v>32</v>
      </c>
      <c r="H79" s="184" t="s">
        <v>33</v>
      </c>
      <c r="I79" s="184" t="s">
        <v>34</v>
      </c>
      <c r="J79" s="184" t="s">
        <v>35</v>
      </c>
    </row>
    <row r="80" spans="1:14" ht="30" hidden="1" x14ac:dyDescent="0.25">
      <c r="A80" s="3" t="str">
        <f>CONCATENATE(B65,"ni to'lash sanasi (14.10.2011 y.) QO’L BILAN KIRITILADI")</f>
        <v>mikroqarzni to'lash sanasi (14.10.2011 y.) QO’L BILAN KIRITILADI</v>
      </c>
      <c r="B80" s="81">
        <f>DATE(YEAR(B67),MONTH(B67)+1,DAY(B79+C81))</f>
        <v>45733</v>
      </c>
      <c r="C80" s="188" t="str">
        <f>TEXT(C79,"ддд")</f>
        <v>Сб</v>
      </c>
      <c r="D80" s="184" t="s">
        <v>29</v>
      </c>
      <c r="E80" s="184" t="s">
        <v>30</v>
      </c>
      <c r="F80" s="184" t="s">
        <v>31</v>
      </c>
      <c r="G80" s="184" t="s">
        <v>32</v>
      </c>
      <c r="H80" s="184" t="s">
        <v>33</v>
      </c>
      <c r="I80" s="184" t="s">
        <v>34</v>
      </c>
      <c r="J80" s="184" t="s">
        <v>35</v>
      </c>
    </row>
    <row r="81" spans="1:63" ht="30" hidden="1" x14ac:dyDescent="0.2">
      <c r="A81" s="3" t="s">
        <v>124</v>
      </c>
      <c r="B81" s="82">
        <f>B80</f>
        <v>45733</v>
      </c>
      <c r="C81" s="184">
        <f>IF(C80=I80,2,IF(C80=J80,1,0))</f>
        <v>2</v>
      </c>
    </row>
    <row r="82" spans="1:63" x14ac:dyDescent="0.2">
      <c r="A82" s="3" t="str">
        <f>CONCATENATE(B65," muddati")</f>
        <v>mikroqarz muddati</v>
      </c>
      <c r="B82" s="49">
        <v>24</v>
      </c>
      <c r="C82" s="184">
        <v>6</v>
      </c>
      <c r="D82" s="184">
        <v>12</v>
      </c>
      <c r="E82" s="184">
        <v>18</v>
      </c>
      <c r="F82" s="184">
        <v>24</v>
      </c>
      <c r="G82" s="184">
        <v>36</v>
      </c>
    </row>
    <row r="83" spans="1:63" ht="30" x14ac:dyDescent="0.2">
      <c r="A83" s="3" t="str">
        <f>CONCATENATE(B65," muddati QO’L BILAN KIRITILADI")</f>
        <v>mikroqarz muddati QO’L BILAN KIRITILADI</v>
      </c>
      <c r="B83" s="152" t="s">
        <v>426</v>
      </c>
    </row>
    <row r="84" spans="1:63" ht="30" x14ac:dyDescent="0.2">
      <c r="A84" s="173" t="s">
        <v>345</v>
      </c>
      <c r="B84" s="152">
        <v>0</v>
      </c>
      <c r="BJ84" s="184">
        <v>1</v>
      </c>
      <c r="BK84" s="184">
        <v>0</v>
      </c>
    </row>
    <row r="85" spans="1:63" x14ac:dyDescent="0.2">
      <c r="A85" s="3" t="str">
        <f>CONCATENATE(B65," stavkasi")</f>
        <v>mikroqarz stavkasi</v>
      </c>
      <c r="B85" s="84">
        <v>0.6</v>
      </c>
    </row>
    <row r="86" spans="1:63" x14ac:dyDescent="0.2">
      <c r="A86" s="3" t="str">
        <f>CONCATENATE(B65," stavkasi")</f>
        <v>mikroqarz stavkasi</v>
      </c>
      <c r="B86" s="85" t="s">
        <v>383</v>
      </c>
    </row>
    <row r="87" spans="1:63" x14ac:dyDescent="0.2">
      <c r="A87" s="3" t="str">
        <f>CONCATENATE(B65," stavkasi (so’z bilan)")</f>
        <v>mikroqarz stavkasi (so’z bilan)</v>
      </c>
      <c r="B87" s="83" t="s">
        <v>384</v>
      </c>
      <c r="C87" s="184" t="s">
        <v>384</v>
      </c>
    </row>
    <row r="88" spans="1:63" x14ac:dyDescent="0.2">
      <c r="A88" s="3" t="str">
        <f>CONCATENATE("Muddati o'tgan ",B65," bo’yicha stavka")</f>
        <v>Muddati o'tgan mikroqarz bo’yicha stavka</v>
      </c>
      <c r="B88" s="84">
        <v>1</v>
      </c>
    </row>
    <row r="89" spans="1:63" x14ac:dyDescent="0.2">
      <c r="A89" s="156" t="s">
        <v>122</v>
      </c>
      <c r="B89" s="85" t="s">
        <v>386</v>
      </c>
    </row>
    <row r="90" spans="1:63" x14ac:dyDescent="0.2">
      <c r="A90" s="3" t="str">
        <f>CONCATENATE("Muddati o'tgan ",B65," bo’yicha stavka")</f>
        <v>Muddati o'tgan mikroqarz bo’yicha stavka</v>
      </c>
      <c r="B90" s="83" t="s">
        <v>385</v>
      </c>
      <c r="C90" s="184" t="s">
        <v>385</v>
      </c>
    </row>
    <row r="91" spans="1:63" x14ac:dyDescent="0.2">
      <c r="A91" s="3" t="s">
        <v>125</v>
      </c>
      <c r="B91" s="86">
        <f>IF(B78=C78,LARGE(grafik!F9:F26,1),ROUND(PMT(B85/12,B82,-B76,0),-3))</f>
        <v>5700114.1299999999</v>
      </c>
    </row>
    <row r="92" spans="1:63" x14ac:dyDescent="0.2">
      <c r="A92" s="228" t="s">
        <v>429</v>
      </c>
      <c r="B92" s="229"/>
    </row>
    <row r="93" spans="1:63" x14ac:dyDescent="0.2">
      <c r="A93" s="221" t="s">
        <v>430</v>
      </c>
      <c r="B93" s="197" t="s">
        <v>431</v>
      </c>
    </row>
    <row r="94" spans="1:63" x14ac:dyDescent="0.2">
      <c r="A94" s="221" t="s">
        <v>432</v>
      </c>
      <c r="B94" s="59" t="s">
        <v>433</v>
      </c>
    </row>
    <row r="95" spans="1:63" x14ac:dyDescent="0.2">
      <c r="A95" s="221" t="s">
        <v>434</v>
      </c>
      <c r="B95" s="90" t="s">
        <v>435</v>
      </c>
    </row>
    <row r="96" spans="1:63" x14ac:dyDescent="0.2">
      <c r="A96" s="221" t="s">
        <v>436</v>
      </c>
      <c r="B96" s="90" t="s">
        <v>437</v>
      </c>
    </row>
    <row r="97" spans="1:4" x14ac:dyDescent="0.2">
      <c r="A97" s="221" t="s">
        <v>438</v>
      </c>
      <c r="B97" s="90" t="s">
        <v>439</v>
      </c>
    </row>
    <row r="98" spans="1:4" x14ac:dyDescent="0.2">
      <c r="A98" s="227" t="s">
        <v>126</v>
      </c>
      <c r="B98" s="227"/>
    </row>
    <row r="99" spans="1:4" ht="18" x14ac:dyDescent="0.2">
      <c r="A99" s="89"/>
      <c r="B99" s="145" t="s">
        <v>131</v>
      </c>
      <c r="C99" s="189" t="s">
        <v>131</v>
      </c>
      <c r="D99" s="184" t="s">
        <v>132</v>
      </c>
    </row>
    <row r="100" spans="1:4" ht="18" x14ac:dyDescent="0.2">
      <c r="A100" s="8" t="s">
        <v>137</v>
      </c>
      <c r="B100" s="145" t="s">
        <v>134</v>
      </c>
      <c r="C100" s="190" t="s">
        <v>133</v>
      </c>
      <c r="D100" s="184" t="s">
        <v>134</v>
      </c>
    </row>
    <row r="101" spans="1:4" ht="54" x14ac:dyDescent="0.2">
      <c r="A101" s="8" t="s">
        <v>138</v>
      </c>
      <c r="B101" s="145" t="s">
        <v>136</v>
      </c>
      <c r="C101" s="184" t="s">
        <v>135</v>
      </c>
      <c r="D101" s="184" t="s">
        <v>136</v>
      </c>
    </row>
    <row r="102" spans="1:4" ht="36" x14ac:dyDescent="0.2">
      <c r="A102" s="8" t="s">
        <v>139</v>
      </c>
      <c r="B102" s="145" t="s">
        <v>407</v>
      </c>
    </row>
    <row r="103" spans="1:4" ht="54" x14ac:dyDescent="0.2">
      <c r="A103" s="8" t="s">
        <v>140</v>
      </c>
      <c r="B103" s="145" t="s">
        <v>452</v>
      </c>
    </row>
    <row r="104" spans="1:4" x14ac:dyDescent="0.2">
      <c r="A104" s="227" t="s">
        <v>141</v>
      </c>
      <c r="B104" s="227"/>
    </row>
    <row r="105" spans="1:4" ht="36" x14ac:dyDescent="0.2">
      <c r="A105" s="8" t="s">
        <v>142</v>
      </c>
      <c r="B105" s="145" t="s">
        <v>408</v>
      </c>
    </row>
    <row r="106" spans="1:4" ht="54" x14ac:dyDescent="0.2">
      <c r="A106" s="8" t="s">
        <v>143</v>
      </c>
      <c r="B106" s="145" t="s">
        <v>409</v>
      </c>
    </row>
    <row r="107" spans="1:4" ht="18" x14ac:dyDescent="0.2">
      <c r="A107" s="8" t="s">
        <v>144</v>
      </c>
      <c r="B107" s="153" t="s">
        <v>410</v>
      </c>
    </row>
    <row r="108" spans="1:4" ht="18" x14ac:dyDescent="0.2">
      <c r="A108" s="8" t="s">
        <v>145</v>
      </c>
      <c r="B108" s="151">
        <v>45652</v>
      </c>
    </row>
    <row r="109" spans="1:4" ht="18" hidden="1" x14ac:dyDescent="0.2">
      <c r="A109" s="8"/>
      <c r="B109" s="145" t="str">
        <f>TEXT(B108,"ДД.ММ.ГГГГ")</f>
        <v>26.12.2024</v>
      </c>
    </row>
    <row r="110" spans="1:4" ht="18" x14ac:dyDescent="0.2">
      <c r="A110" s="8"/>
      <c r="B110" s="9" t="s">
        <v>146</v>
      </c>
      <c r="C110" s="184" t="s">
        <v>146</v>
      </c>
      <c r="D110" s="184" t="s">
        <v>147</v>
      </c>
    </row>
    <row r="111" spans="1:4" ht="90" x14ac:dyDescent="0.2">
      <c r="A111" s="179" t="s">
        <v>347</v>
      </c>
      <c r="B111" s="178" t="s">
        <v>346</v>
      </c>
      <c r="C111" s="9" t="s">
        <v>147</v>
      </c>
    </row>
    <row r="112" spans="1:4" ht="30" x14ac:dyDescent="0.2">
      <c r="A112" s="172" t="s">
        <v>368</v>
      </c>
      <c r="B112" s="9" t="s">
        <v>407</v>
      </c>
      <c r="C112" s="9"/>
    </row>
    <row r="113" spans="1:4" ht="30" x14ac:dyDescent="0.2">
      <c r="A113" s="172" t="s">
        <v>369</v>
      </c>
      <c r="B113" s="9" t="s">
        <v>420</v>
      </c>
      <c r="C113" s="9"/>
    </row>
    <row r="114" spans="1:4" ht="60" x14ac:dyDescent="0.2">
      <c r="A114" s="172" t="str">
        <f>A120</f>
        <v>Tug’ilgan sanasi (01.10.2011 y.)</v>
      </c>
      <c r="B114" s="198">
        <v>37465</v>
      </c>
      <c r="C114" s="9"/>
    </row>
    <row r="115" spans="1:4" ht="60" x14ac:dyDescent="0.2">
      <c r="A115" s="172" t="str">
        <f>A121</f>
        <v>Pasport seriyasi (СА №1234567)</v>
      </c>
      <c r="B115" s="9" t="s">
        <v>411</v>
      </c>
      <c r="C115" s="9"/>
    </row>
    <row r="116" spans="1:4" ht="108.75" customHeight="1" x14ac:dyDescent="0.2">
      <c r="A116" s="172" t="str">
        <f>A122</f>
        <v xml:space="preserve">Kim va qachon berilgan
(Toshkent shahri Chilonzor IIB tomonidan 2011 yil __.____)
</v>
      </c>
      <c r="B116" s="9" t="s">
        <v>421</v>
      </c>
      <c r="C116" s="9"/>
    </row>
    <row r="117" spans="1:4" ht="150.75" customHeight="1" x14ac:dyDescent="0.2">
      <c r="A117" s="172" t="str">
        <f>A123</f>
        <v xml:space="preserve">doimiy ro’yhatdan o’tgan joyi
(Toshkent sh., Mirobod tumani, Nukus ko’chasi, 1 uy, 1 honadon)
</v>
      </c>
      <c r="B117" s="9" t="s">
        <v>412</v>
      </c>
      <c r="C117" s="9"/>
    </row>
    <row r="118" spans="1:4" hidden="1" x14ac:dyDescent="0.2">
      <c r="A118" s="143" t="s">
        <v>159</v>
      </c>
      <c r="B118" s="134" t="str">
        <f>IF(B100="HA",B5,B112)</f>
        <v>BOBONAZAROV ASLBEK AKRAM O'G'LI</v>
      </c>
      <c r="C118" s="158">
        <f>IF(B100="HA",B5,C112)</f>
        <v>0</v>
      </c>
    </row>
    <row r="119" spans="1:4" hidden="1" x14ac:dyDescent="0.2">
      <c r="A119" s="143"/>
      <c r="B119" s="134" t="str">
        <f>IF(B100="HA",B7,B113)</f>
        <v>BOBONAZAROV A.A.</v>
      </c>
      <c r="C119" s="158">
        <f>IF(B100="HA",B7,C113)</f>
        <v>0</v>
      </c>
    </row>
    <row r="120" spans="1:4" hidden="1" x14ac:dyDescent="0.2">
      <c r="A120" s="144" t="s">
        <v>160</v>
      </c>
      <c r="B120" s="171">
        <f>IF(B100="HA",B15,B114)</f>
        <v>37465</v>
      </c>
      <c r="C120" s="158">
        <f>IF(B100="HA",B15,C114)</f>
        <v>0</v>
      </c>
    </row>
    <row r="121" spans="1:4" hidden="1" x14ac:dyDescent="0.2">
      <c r="A121" s="144" t="s">
        <v>65</v>
      </c>
      <c r="B121" s="171" t="str">
        <f>IF(B100="HA",B16,B115)</f>
        <v>AC0328614</v>
      </c>
      <c r="C121" s="158">
        <f>IF(B100="HA",B16,C115)</f>
        <v>0</v>
      </c>
    </row>
    <row r="122" spans="1:4" ht="30" hidden="1" customHeight="1" x14ac:dyDescent="0.2">
      <c r="A122" s="144" t="s">
        <v>68</v>
      </c>
      <c r="B122" s="134" t="str">
        <f>IF(B100="HA",B20,B116)</f>
        <v xml:space="preserve">BUXORO VILOYATI QORAKO'L TUMANI IIB tomonidan 28.11.2018 yilda berilgan </v>
      </c>
      <c r="C122" s="158">
        <f>IF(B100="HA",B20,C116)</f>
        <v>0</v>
      </c>
      <c r="D122" s="184">
        <v>493193762</v>
      </c>
    </row>
    <row r="123" spans="1:4" ht="53.25" hidden="1" customHeight="1" x14ac:dyDescent="0.2">
      <c r="A123" s="144" t="s">
        <v>70</v>
      </c>
      <c r="B123" s="134" t="str">
        <f>IF(B100="HA",B22,B117)</f>
        <v>BUXORO VILOYATI QORAKO'L TUMANI ZARAFSHON MFY GULISTON 21 UY</v>
      </c>
      <c r="C123" s="134">
        <f>IF(B100="HA",B22,C117)</f>
        <v>0</v>
      </c>
    </row>
    <row r="124" spans="1:4" hidden="1" x14ac:dyDescent="0.2">
      <c r="A124" s="144" t="s">
        <v>161</v>
      </c>
      <c r="B124" s="1" t="str">
        <f>IF(B100="ha",B5,B118)</f>
        <v>BOBONAZAROV ASLBEK AKRAM O'G'LI</v>
      </c>
      <c r="C124" s="87">
        <f>IF(B100="ha",B5,C118)</f>
        <v>0</v>
      </c>
    </row>
    <row r="125" spans="1:4" hidden="1" x14ac:dyDescent="0.2">
      <c r="A125" s="144"/>
      <c r="B125" s="1" t="str">
        <f>IF(B100="ha",B7,B119)</f>
        <v>BOBONAZAROV A.A.</v>
      </c>
      <c r="C125" s="87">
        <f>IF(B100="ha",B7,C119)</f>
        <v>0</v>
      </c>
    </row>
    <row r="126" spans="1:4" hidden="1" x14ac:dyDescent="0.2">
      <c r="A126" s="3" t="s">
        <v>160</v>
      </c>
      <c r="B126" s="1">
        <f>IF(B100="ha",B15,B120)</f>
        <v>37465</v>
      </c>
      <c r="C126" s="87">
        <f>IF(B100="ha",B15,C120)</f>
        <v>0</v>
      </c>
    </row>
    <row r="127" spans="1:4" hidden="1" x14ac:dyDescent="0.2">
      <c r="A127" s="3" t="s">
        <v>65</v>
      </c>
      <c r="B127" s="1" t="str">
        <f>IF(B100="ha",B16,B121)</f>
        <v>AC0328614</v>
      </c>
      <c r="C127" s="87">
        <f>IF(B100="ha",B16,C121)</f>
        <v>0</v>
      </c>
    </row>
    <row r="128" spans="1:4" ht="60" hidden="1" x14ac:dyDescent="0.2">
      <c r="A128" s="3" t="s">
        <v>68</v>
      </c>
      <c r="B128" s="1" t="str">
        <f>IF(B100="ha",B20,B122)</f>
        <v xml:space="preserve">BUXORO VILOYATI QORAKO'L TUMANI IIB tomonidan 28.11.2018 yilda berilgan </v>
      </c>
      <c r="C128" s="87">
        <f>IF(B100="ha",B20,C122)</f>
        <v>0</v>
      </c>
    </row>
    <row r="129" spans="1:18" ht="60" hidden="1" x14ac:dyDescent="0.2">
      <c r="A129" s="3" t="s">
        <v>70</v>
      </c>
      <c r="B129" s="169" t="str">
        <f>IF(B100="ha",B22,B123)</f>
        <v>BUXORO VILOYATI QORAKO'L TUMANI ZARAFSHON MFY GULISTON 21 UY</v>
      </c>
      <c r="C129" s="88">
        <f>IF(B100="ha",B22,C123)</f>
        <v>0</v>
      </c>
    </row>
    <row r="130" spans="1:18" ht="98.25" customHeight="1" x14ac:dyDescent="0.2">
      <c r="A130" s="3" t="s">
        <v>162</v>
      </c>
      <c r="B130" s="49" t="s">
        <v>398</v>
      </c>
      <c r="C130" s="1" t="s">
        <v>48</v>
      </c>
      <c r="N130" s="184" t="str">
        <f>IF(B110=C110,B124,IF(B110=D110,C124,0))</f>
        <v>BOBONAZAROV ASLBEK AKRAM O'G'LI</v>
      </c>
    </row>
    <row r="131" spans="1:18" ht="60" x14ac:dyDescent="0.2">
      <c r="A131" s="3" t="s">
        <v>163</v>
      </c>
      <c r="B131" s="49" t="s">
        <v>413</v>
      </c>
      <c r="C131" s="51" t="s">
        <v>378</v>
      </c>
      <c r="D131" s="52" t="s">
        <v>152</v>
      </c>
      <c r="Q131" s="184" t="str">
        <f>""&amp;B102&amp;" (по генеральному доверенестью №"&amp;B107&amp;" от "&amp;B109&amp;")"</f>
        <v>BOBONAZAROV ASLBEK AKRAM O'G'LI (по генеральному доверенестью №202401864005639 от 26.12.2024)</v>
      </c>
      <c r="R131" s="184" t="str">
        <f>""&amp;B102&amp;" ("&amp;B109&amp;"y. sanasidagi reestr raqami №"&amp;B107&amp;" bo'lgan Ishonchnomaga asosan)"</f>
        <v>BOBONAZAROV ASLBEK AKRAM O'G'LI (26.12.2024y. sanasidagi reestr raqami №202401864005639 bo'lgan Ishonchnomaga asosan)</v>
      </c>
    </row>
    <row r="132" spans="1:18" ht="28.5" x14ac:dyDescent="0.2">
      <c r="A132" s="3" t="s">
        <v>27</v>
      </c>
      <c r="B132" s="49" t="s">
        <v>414</v>
      </c>
      <c r="C132" s="88" t="str">
        <f>""&amp;D133&amp;" "&amp;IF(C136=D136,"- xonali yakka tartibdagi uy-joy", IF(C136=E136,"-  xonali ko'p qavatli uydagi xonadon",0))&amp;""</f>
        <v>3 - xonali yakka tartibdagi uy-joy</v>
      </c>
      <c r="D132" s="77" t="s">
        <v>150</v>
      </c>
      <c r="E132" s="184" t="str">
        <f>IF($C$136=$D$136,I132,IF($C$136=$E$136,H132,0))</f>
        <v>3 - xonali yakka tartibdagi uy-joy</v>
      </c>
      <c r="F132" s="184" t="str">
        <f>IF($C$136=$D$136,I132,IF($C$136=$E$136,H132,0))</f>
        <v>3 - xonali yakka tartibdagi uy-joy</v>
      </c>
      <c r="H132" s="184" t="str">
        <f>"Ko'p qavatli uydagi "&amp;D133&amp;" - xonali xonadon"</f>
        <v>Ko'p qavatli uydagi 3 - xonali xonadon</v>
      </c>
      <c r="I132" s="184" t="str">
        <f>""&amp;D133&amp;" - xonali yakka tartibdagi uy-joy"</f>
        <v>3 - xonali yakka tartibdagi uy-joy</v>
      </c>
      <c r="N132" s="184" t="str">
        <f>IF(B100=C100,Q133,IF(B100=D100,Q132,0))</f>
        <v>Микрофинансовой организацией, Заемщиком и BOBONAZAROV ASLBEK AKRAM O'G'LI (по генеральному доверенестью №202401864005639 от 26.12.2024)</v>
      </c>
      <c r="Q132" s="184" t="str">
        <f>"Микрофинансовой организацией, Заемщиком и "&amp;IF(B101=D101,Q131,IF(B101=C101,B118,0))&amp;""</f>
        <v>Микрофинансовой организацией, Заемщиком и BOBONAZAROV ASLBEK AKRAM O'G'LI (по генеральному доверенестью №202401864005639 от 26.12.2024)</v>
      </c>
      <c r="R132" s="184" t="str">
        <f>"Mikromoliya tashkiloti, Qarz oluvchi va "&amp;IF(B101=D101,R131,IF(B101=C101,B118))&amp;""</f>
        <v>Mikromoliya tashkiloti, Qarz oluvchi va BOBONAZAROV ASLBEK AKRAM O'G'LI (26.12.2024y. sanasidagi reestr raqami №202401864005639 bo'lgan Ishonchnomaga asosan)</v>
      </c>
    </row>
    <row r="133" spans="1:18" ht="30" x14ac:dyDescent="0.2">
      <c r="A133" s="3" t="s">
        <v>164</v>
      </c>
      <c r="B133" s="196" t="s">
        <v>415</v>
      </c>
      <c r="C133" s="88" t="str">
        <f>C132</f>
        <v>3 - xonali yakka tartibdagi uy-joy</v>
      </c>
      <c r="D133" s="76">
        <v>3</v>
      </c>
      <c r="E133" s="184" t="str">
        <f>IF($C$136=$D$136,I133,IF($C$136=$E$136,H133,0))</f>
        <v>yer uchastkasi maydoni - , umumiy maydoni - 72,13, yashash maydoni - 37,39</v>
      </c>
      <c r="F133" s="184" t="str">
        <f>IF($C$136=$D$136,I133,IF($C$136=$E$136,H133,0))</f>
        <v>yer uchastkasi maydoni - , umumiy maydoni - 72,13, yashash maydoni - 37,39</v>
      </c>
      <c r="H133" s="184" t="str">
        <f>"umumiy maydoni - "&amp;C137&amp;", yashash maydoni - "&amp;C140&amp;""</f>
        <v>umumiy maydoni - 72,13, yashash maydoni - 37,39</v>
      </c>
      <c r="I133" s="184" t="str">
        <f>"yer uchastkasi maydoni - "&amp;C138&amp;", umumiy maydoni - "&amp;C137&amp;", yashash maydoni - "&amp;C140&amp;""</f>
        <v>yer uchastkasi maydoni - , umumiy maydoni - 72,13, yashash maydoni - 37,39</v>
      </c>
      <c r="N133" s="184" t="str">
        <f>IF(B100=C100,R133,IF(B100=D100,R132,0))</f>
        <v>Mikromoliya tashkiloti, Qarz oluvchi va BOBONAZAROV ASLBEK AKRAM O'G'LI (26.12.2024y. sanasidagi reestr raqami №202401864005639 bo'lgan Ishonchnomaga asosan)</v>
      </c>
      <c r="Q133" s="184" t="s">
        <v>52</v>
      </c>
      <c r="R133" s="184" t="s">
        <v>151</v>
      </c>
    </row>
    <row r="134" spans="1:18" ht="27" customHeight="1" x14ac:dyDescent="0.2">
      <c r="A134" s="3" t="s">
        <v>165</v>
      </c>
      <c r="B134" s="75" t="str">
        <f>"kuzov turi - "&amp;B135&amp;", kuzov raqami "&amp;B136&amp;""</f>
        <v>kuzov turi - YENGIL SEDAN, kuzov raqami XWB7T12YDRP863654</v>
      </c>
      <c r="C134" s="51" t="s">
        <v>377</v>
      </c>
      <c r="D134" s="52" t="s">
        <v>379</v>
      </c>
    </row>
    <row r="135" spans="1:18" x14ac:dyDescent="0.2">
      <c r="A135" s="70" t="s">
        <v>166</v>
      </c>
      <c r="B135" s="49" t="s">
        <v>387</v>
      </c>
      <c r="C135" s="136"/>
    </row>
    <row r="136" spans="1:18" x14ac:dyDescent="0.2">
      <c r="A136" s="70" t="s">
        <v>167</v>
      </c>
      <c r="B136" s="49" t="s">
        <v>416</v>
      </c>
      <c r="C136" s="50" t="s">
        <v>153</v>
      </c>
      <c r="D136" s="184" t="s">
        <v>153</v>
      </c>
      <c r="E136" s="184" t="s">
        <v>154</v>
      </c>
    </row>
    <row r="137" spans="1:18" ht="27" customHeight="1" x14ac:dyDescent="0.25">
      <c r="A137" s="3" t="s">
        <v>168</v>
      </c>
      <c r="B137" s="75" t="str">
        <f>"dvigatel raqami "&amp;B138&amp;", shassi raqami - "&amp;B139&amp;""</f>
        <v xml:space="preserve">dvigatel raqami F8CB240180255, shassi raqami -  - </v>
      </c>
      <c r="C137" s="50">
        <v>72.13</v>
      </c>
      <c r="D137" s="183" t="s">
        <v>155</v>
      </c>
      <c r="E137" s="184" t="str">
        <f>CONCATENATE(C137," ","kv.m")</f>
        <v>72,13 kv.m</v>
      </c>
      <c r="F137" s="193">
        <f>C137-C140</f>
        <v>34.739999999999995</v>
      </c>
    </row>
    <row r="138" spans="1:18" x14ac:dyDescent="0.25">
      <c r="A138" s="70" t="s">
        <v>169</v>
      </c>
      <c r="B138" s="197" t="s">
        <v>417</v>
      </c>
      <c r="C138" s="50"/>
      <c r="D138" s="183" t="s">
        <v>156</v>
      </c>
    </row>
    <row r="139" spans="1:18" x14ac:dyDescent="0.2">
      <c r="A139" s="70" t="s">
        <v>170</v>
      </c>
      <c r="B139" s="49" t="s">
        <v>422</v>
      </c>
      <c r="C139" s="50"/>
    </row>
    <row r="140" spans="1:18" ht="25.5" customHeight="1" x14ac:dyDescent="0.25">
      <c r="A140" s="3" t="s">
        <v>171</v>
      </c>
      <c r="B140" s="75" t="str">
        <f>"rangi -  "&amp;B141&amp;", ishlab chiqarilgan yili - "&amp;B142&amp;""</f>
        <v>rangi -  OQ SUMMIT WHITE, ishlab chiqarilgan yili - 2024</v>
      </c>
      <c r="C140" s="181" t="s">
        <v>376</v>
      </c>
      <c r="D140" s="183" t="s">
        <v>252</v>
      </c>
      <c r="E140" s="184" t="str">
        <f>CONCATENATE(C140," ","kv.m")</f>
        <v>37,39 kv.m</v>
      </c>
    </row>
    <row r="141" spans="1:18" x14ac:dyDescent="0.2">
      <c r="A141" s="70" t="s">
        <v>172</v>
      </c>
      <c r="B141" s="49" t="s">
        <v>418</v>
      </c>
      <c r="C141" s="50"/>
    </row>
    <row r="142" spans="1:18" ht="30" x14ac:dyDescent="0.25">
      <c r="A142" s="70" t="s">
        <v>173</v>
      </c>
      <c r="B142" s="59" t="s">
        <v>419</v>
      </c>
      <c r="C142" s="136">
        <v>44181</v>
      </c>
      <c r="D142" s="191" t="s">
        <v>380</v>
      </c>
    </row>
    <row r="143" spans="1:18" hidden="1" x14ac:dyDescent="0.25">
      <c r="A143" s="3" t="s">
        <v>174</v>
      </c>
      <c r="B143" s="21">
        <f>B76*1.5</f>
        <v>97500000</v>
      </c>
      <c r="C143" s="21">
        <f>B143</f>
        <v>97500000</v>
      </c>
      <c r="D143" s="183" t="s">
        <v>174</v>
      </c>
    </row>
    <row r="144" spans="1:18" ht="27.75" hidden="1" customHeight="1" x14ac:dyDescent="0.2">
      <c r="A144" s="177"/>
      <c r="B144" s="5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143))&gt;6,ROMAN(MID(INT(B143),1,LEN(INT(B143))-6)+0)&amp;" million "&amp;ROMAN(MID(INT(B143),LEN(INT(B143))-5,3)+0)&amp;" ming "&amp;ROMAN(MID(INT(B143),LEN(INT(B143))-2,3)+0),IF(LEN(INT(B143))&gt;3,ROMAN(MID(INT(B143),1,LEN(INT(B143))-3)+0)&amp;" ming "&amp;ROMAN(MID(INT(B143),LEN(INT(B143))-2,3)+0),ROMAN(INT(B143)))),"DCCC","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to'qson yetti million besh yuz ming so'm</v>
      </c>
      <c r="C144" s="154" t="str">
        <f>B144</f>
        <v>to'qson yetti million besh yuz ming so'm</v>
      </c>
      <c r="D144" s="4"/>
    </row>
    <row r="145" spans="1:4" ht="27.75" hidden="1" customHeight="1" x14ac:dyDescent="0.2">
      <c r="A145" s="3"/>
      <c r="B145" s="154" t="str">
        <f>B144</f>
        <v>to'qson yetti million besh yuz ming so'm</v>
      </c>
      <c r="C145" s="71"/>
      <c r="D145" s="4"/>
    </row>
    <row r="146" spans="1:4" ht="20.25" x14ac:dyDescent="0.2">
      <c r="A146" s="3" t="s">
        <v>342</v>
      </c>
      <c r="B146" s="55">
        <v>1660</v>
      </c>
    </row>
    <row r="147" spans="1:4" x14ac:dyDescent="0.2">
      <c r="A147" s="3" t="s">
        <v>370</v>
      </c>
      <c r="B147" s="49">
        <v>2</v>
      </c>
    </row>
    <row r="148" spans="1:4" ht="15.75" thickBot="1" x14ac:dyDescent="0.25">
      <c r="A148" s="3" t="s">
        <v>157</v>
      </c>
      <c r="B148" s="2" t="s">
        <v>148</v>
      </c>
      <c r="C148" s="184">
        <v>1</v>
      </c>
    </row>
    <row r="149" spans="1:4" hidden="1" x14ac:dyDescent="0.2">
      <c r="A149" s="3" t="s">
        <v>158</v>
      </c>
      <c r="B149" s="5" t="str">
        <f>B70</f>
        <v>28 fevral 2025 y.</v>
      </c>
      <c r="C149" s="184" t="str">
        <f>B70</f>
        <v>28 fevral 2025 y.</v>
      </c>
    </row>
    <row r="150" spans="1:4" hidden="1" x14ac:dyDescent="0.2">
      <c r="A150" s="3"/>
      <c r="B150" s="1">
        <f>YEAR(B67)</f>
        <v>2025</v>
      </c>
    </row>
    <row r="151" spans="1:4" hidden="1" x14ac:dyDescent="0.2">
      <c r="A151" s="3"/>
      <c r="B151" s="157" t="str">
        <f>D67</f>
        <v>fevral</v>
      </c>
    </row>
    <row r="152" spans="1:4" hidden="1" x14ac:dyDescent="0.2">
      <c r="A152" s="204"/>
      <c r="B152" s="205">
        <f>DAY(B67)</f>
        <v>28</v>
      </c>
    </row>
    <row r="153" spans="1:4" ht="20.25" x14ac:dyDescent="0.2">
      <c r="A153" s="206" t="s">
        <v>388</v>
      </c>
      <c r="B153" s="207" t="s">
        <v>395</v>
      </c>
    </row>
    <row r="154" spans="1:4" ht="20.25" x14ac:dyDescent="0.2">
      <c r="A154" s="208" t="s">
        <v>389</v>
      </c>
      <c r="B154" s="209">
        <v>15000000</v>
      </c>
    </row>
    <row r="155" spans="1:4" ht="15.75" thickBot="1" x14ac:dyDescent="0.25">
      <c r="A155" s="210"/>
      <c r="B155" s="211"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154))&gt;6,ROMAN(MID(INT(B154),1,LEN(INT(B154))-6)+0)&amp;" million "&amp;ROMAN(MID(INT(B154),LEN(INT(B154))-5,3)+0)&amp;" ming "&amp;ROMAN(MID(INT(B154),LEN(INT(B154))-2,3)+0),IF(LEN(INT(B154))&gt;3,ROMAN(MID(INT(B154),1,LEN(INT(B154))-3)+0)&amp;" ming "&amp;ROMAN(MID(INT(B154),LEN(INT(B154))-2,3)+0),ROMAN(INT(B154)))),"DCCC","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o'n besh million so'm</v>
      </c>
    </row>
    <row r="156" spans="1:4" x14ac:dyDescent="0.2">
      <c r="A156" s="226" t="s">
        <v>351</v>
      </c>
      <c r="B156" s="226"/>
    </row>
    <row r="157" spans="1:4" x14ac:dyDescent="0.2">
      <c r="A157" s="3" t="s">
        <v>175</v>
      </c>
      <c r="B157" s="1" t="s">
        <v>375</v>
      </c>
    </row>
    <row r="158" spans="1:4" x14ac:dyDescent="0.2">
      <c r="A158" s="3"/>
      <c r="B158" s="1" t="s">
        <v>375</v>
      </c>
    </row>
    <row r="159" spans="1:4" x14ac:dyDescent="0.2">
      <c r="A159" s="3"/>
      <c r="B159" s="1" t="s">
        <v>375</v>
      </c>
    </row>
    <row r="160" spans="1:4" x14ac:dyDescent="0.2">
      <c r="A160" s="213" t="s">
        <v>393</v>
      </c>
      <c r="B160" s="214" t="s">
        <v>447</v>
      </c>
    </row>
    <row r="161" spans="1:2" x14ac:dyDescent="0.2">
      <c r="A161" s="213"/>
      <c r="B161" s="212" t="s">
        <v>394</v>
      </c>
    </row>
    <row r="162" spans="1:2" hidden="1" x14ac:dyDescent="0.2">
      <c r="A162" s="3" t="s">
        <v>179</v>
      </c>
      <c r="B162" s="1" t="s">
        <v>176</v>
      </c>
    </row>
    <row r="163" spans="1:2" ht="28.5" hidden="1" x14ac:dyDescent="0.2">
      <c r="A163" s="3" t="s">
        <v>180</v>
      </c>
      <c r="B163" s="1" t="s">
        <v>177</v>
      </c>
    </row>
    <row r="164" spans="1:2" hidden="1" x14ac:dyDescent="0.2">
      <c r="A164" s="3" t="s">
        <v>181</v>
      </c>
      <c r="B164" s="1" t="s">
        <v>25</v>
      </c>
    </row>
    <row r="165" spans="1:2" hidden="1" x14ac:dyDescent="0.2">
      <c r="A165" s="3" t="s">
        <v>182</v>
      </c>
      <c r="B165" s="1" t="s">
        <v>23</v>
      </c>
    </row>
    <row r="166" spans="1:2" hidden="1" x14ac:dyDescent="0.2">
      <c r="A166" s="3" t="s">
        <v>183</v>
      </c>
      <c r="B166" s="1" t="s">
        <v>178</v>
      </c>
    </row>
    <row r="167" spans="1:2" hidden="1" x14ac:dyDescent="0.2">
      <c r="A167" s="3" t="s">
        <v>184</v>
      </c>
      <c r="B167" s="2" t="s">
        <v>26</v>
      </c>
    </row>
    <row r="168" spans="1:2" hidden="1" x14ac:dyDescent="0.2">
      <c r="A168" s="3" t="s">
        <v>185</v>
      </c>
      <c r="B168" s="1" t="s">
        <v>330</v>
      </c>
    </row>
    <row r="169" spans="1:2" x14ac:dyDescent="0.2">
      <c r="A169" s="3" t="s">
        <v>396</v>
      </c>
      <c r="B169" s="1" t="s">
        <v>445</v>
      </c>
    </row>
    <row r="170" spans="1:2" x14ac:dyDescent="0.2">
      <c r="A170" s="3" t="s">
        <v>373</v>
      </c>
      <c r="B170" s="1" t="s">
        <v>446</v>
      </c>
    </row>
    <row r="171" spans="1:2" x14ac:dyDescent="0.2">
      <c r="A171" s="215" t="s">
        <v>393</v>
      </c>
      <c r="B171" s="214" t="s">
        <v>447</v>
      </c>
    </row>
    <row r="172" spans="1:2" x14ac:dyDescent="0.2">
      <c r="A172" s="3" t="s">
        <v>186</v>
      </c>
      <c r="B172" s="2" t="s">
        <v>343</v>
      </c>
    </row>
    <row r="173" spans="1:2" x14ac:dyDescent="0.2">
      <c r="A173" s="3" t="s">
        <v>187</v>
      </c>
      <c r="B173" s="2" t="s">
        <v>344</v>
      </c>
    </row>
    <row r="174" spans="1:2" x14ac:dyDescent="0.2">
      <c r="A174" s="3" t="s">
        <v>188</v>
      </c>
      <c r="B174" s="1" t="str">
        <f>B1</f>
        <v>№492-QRS</v>
      </c>
    </row>
    <row r="175" spans="1:2" x14ac:dyDescent="0.2">
      <c r="A175" s="3" t="s">
        <v>189</v>
      </c>
      <c r="B175" s="5" t="str">
        <f>B70</f>
        <v>28 fevral 2025 y.</v>
      </c>
    </row>
    <row r="176" spans="1:2" x14ac:dyDescent="0.2"/>
    <row r="177" x14ac:dyDescent="0.2"/>
  </sheetData>
  <mergeCells count="7">
    <mergeCell ref="A156:B156"/>
    <mergeCell ref="A104:B104"/>
    <mergeCell ref="A4:B4"/>
    <mergeCell ref="A57:B57"/>
    <mergeCell ref="A64:B64"/>
    <mergeCell ref="A98:B98"/>
    <mergeCell ref="A92:B92"/>
  </mergeCells>
  <dataValidations disablePrompts="1" count="13">
    <dataValidation type="list" allowBlank="1" showInputMessage="1" showErrorMessage="1" sqref="B30" xr:uid="{00000000-0002-0000-0300-000000000000}">
      <formula1>$C$30:$D$30</formula1>
    </dataValidation>
    <dataValidation type="list" allowBlank="1" showInputMessage="1" showErrorMessage="1" sqref="B100" xr:uid="{00000000-0002-0000-0300-000001000000}">
      <formula1>$C$100:$D$100</formula1>
    </dataValidation>
    <dataValidation type="list" allowBlank="1" showInputMessage="1" showErrorMessage="1" sqref="B110" xr:uid="{00000000-0002-0000-0300-000002000000}">
      <formula1>$C$110:$D$110</formula1>
    </dataValidation>
    <dataValidation type="list" allowBlank="1" showInputMessage="1" showErrorMessage="1" sqref="B78" xr:uid="{00000000-0002-0000-0300-000003000000}">
      <formula1>$C$78:$D$78</formula1>
    </dataValidation>
    <dataValidation type="list" allowBlank="1" showInputMessage="1" showErrorMessage="1" sqref="C136" xr:uid="{00000000-0002-0000-0300-000004000000}">
      <formula1>$D$136:$E$136</formula1>
    </dataValidation>
    <dataValidation type="list" allowBlank="1" showInputMessage="1" showErrorMessage="1" sqref="B99" xr:uid="{00000000-0002-0000-0300-000005000000}">
      <formula1>$C$99:$D$99</formula1>
    </dataValidation>
    <dataValidation type="list" allowBlank="1" showInputMessage="1" showErrorMessage="1" sqref="B101" xr:uid="{00000000-0002-0000-0300-000006000000}">
      <formula1>$C$101:$D$101</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4" xr:uid="{00000000-0002-0000-0300-00000A000000}">
      <formula1>$BJ$84:$BK$84</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2"/>
  <sheetViews>
    <sheetView view="pageBreakPreview" topLeftCell="A110" zoomScaleNormal="55" zoomScaleSheetLayoutView="100" workbookViewId="0">
      <selection activeCell="B133" sqref="B133"/>
    </sheetView>
  </sheetViews>
  <sheetFormatPr defaultColWidth="9.140625" defaultRowHeight="15.75" x14ac:dyDescent="0.25"/>
  <cols>
    <col min="1" max="1" width="50.42578125" style="7" customWidth="1"/>
    <col min="2" max="2" width="57.42578125" style="7" customWidth="1"/>
    <col min="3" max="3" width="93.28515625" style="7" customWidth="1"/>
    <col min="4" max="7" width="9.140625" style="7" customWidth="1"/>
    <col min="8" max="8" width="111.5703125" style="7" customWidth="1"/>
    <col min="9" max="16" width="9.140625" style="7" customWidth="1"/>
    <col min="17" max="16384" width="9.140625" style="7"/>
  </cols>
  <sheetData>
    <row r="1" spans="1:3" x14ac:dyDescent="0.25">
      <c r="A1" s="242" t="str">
        <f>""&amp;malumot!C64&amp;" shartnoma "&amp;malumot!B66&amp;""</f>
        <v>Mikroqarz shartnoma №492-QRS</v>
      </c>
      <c r="B1" s="242"/>
    </row>
    <row r="3" spans="1:3" x14ac:dyDescent="0.25">
      <c r="A3" s="242" t="str">
        <f>"Toshkent shahri                                                                               "&amp;malumot!B70&amp;""</f>
        <v>Toshkent shahri                                                                               28 fevral 2025 y.</v>
      </c>
      <c r="B3" s="242"/>
    </row>
    <row r="4" spans="1:3" x14ac:dyDescent="0.25">
      <c r="A4" s="68"/>
    </row>
    <row r="5" spans="1:3" ht="132.75" customHeight="1" x14ac:dyDescent="0.25">
      <c r="A5" s="230" t="str">
        <f>""&amp;malumot!B157&amp;", bundan buyon «Mikromoliya tashkiloti» deb nomlanuvchi, ishonchnoma asosida xarakat qiluvchi "&amp;malumot!A160&amp;" "&amp;malumot!B160&amp;"  bir tomondan va o‘z manfaati yo‘lida hamda o‘z nomidan harakat qiluvchi O‘zbekiston Respublikasi fuqarosi "&amp;malumot!B5&amp;"  (pasport raqami "&amp;malumot!B16&amp;", "&amp;malumot!C20&amp;" ), bundan buyon «Qarz oluvchi» deb nomlanuvchi, boshqa tomondan, birgalikda “Tomonlar” yoki alohida “Tomon” deb nomlanuvchilar, Qarz oluvchi tomonidan "&amp;TEXT(malumot!B2,"ДД.ММ.ГГГГ")&amp;" yil,"&amp;malumot!B65&amp;" olish uchun ariza berilganligini hisobga olib, ushbu "&amp;malumot!C64&amp;" shartnomasini (bundan keyin – «Shartnoma») quyidagilar haqida tuzdilar:"</f>
        <v>«CLEVER MIKROMOLIYA TASHKILOTI» MChJ, bundan buyon «Mikromoliya tashkiloti» deb nomlanuvchi, ishonchnoma asosida xarakat qiluvchi Qorako'l filiali boshlig'i D. Egamberdiyeva  bir tomondan va o‘z manfaati yo‘lida hamda o‘z nomidan harakat qiluvchi O‘zbekiston Respublikasi fuqarosi ATAXANOV AKMAL AXMETDJANOVICH  (pasport raqami AD7554127, BUXORO VILOYATI BUXORO SHAHAR IIB tomonidan 20.06.2024 yilda berilgan ), bundan buyon «Qarz oluvchi» deb nomlanuvchi, boshqa tomondan, birgalikda “Tomonlar” yoki alohida “Tomon” deb nomlanuvchilar, Qarz oluvchi tomonidan 28.02.2025 yil,mikroqarz olish uchun ariza berilganligini hisobga olib, ushbu Mikroqarz shartnomasini (bundan keyin – «Shartnoma») quyidagilar haqida tuzdilar:</v>
      </c>
      <c r="B5" s="230"/>
    </row>
    <row r="7" spans="1:3" x14ac:dyDescent="0.25">
      <c r="A7" s="242" t="s">
        <v>262</v>
      </c>
      <c r="B7" s="242"/>
    </row>
    <row r="8" spans="1:3" ht="51.75" customHeight="1" x14ac:dyDescent="0.25">
      <c r="A8" s="230" t="str">
        <f>"1.1. Mikromoliya tashkiloti Qarz oluvchiga umumiy miqdori "&amp;FIXED(malumot!B76,2)&amp;" ("&amp;malumot!C77&amp;") bo‘lgan "&amp;malumot!B65&amp;"ni "&amp;malumot!B71&amp;" dan "&amp;malumot!B73&amp;" gacha bo'lgan muddatga naqd pul va/yoki o'tkazmasi shaklida ajratadi."</f>
        <v>1.1. Mikromoliya tashkiloti Qarz oluvchiga umumiy miqdori 65 000 000,00 (Oltmish besh million so'm) bo‘lgan mikroqarzni 28 fevral 2025 y. dan 28 fevral 2027 y. gacha bo'lgan muddatga naqd pul va/yoki o'tkazmasi shaklida ajratadi.</v>
      </c>
      <c r="B8" s="230"/>
    </row>
    <row r="9" spans="1:3" ht="36" customHeight="1" x14ac:dyDescent="0.25">
      <c r="A9" s="230" t="str">
        <f>"1.2. Qarz oluvchi to‘lovlilik, muddatlilik va ta’minlanganlik tamoyillariga amal qilgan holda "&amp;malumot!B65&amp;"dan foydalanish majburiyatini o‘z zimmasiga oladi."</f>
        <v>1.2. Qarz oluvchi to‘lovlilik, muddatlilik va ta’minlanganlik tamoyillariga amal qilgan holda mikroqarzdan foydalanish majburiyatini o‘z zimmasiga oladi.</v>
      </c>
      <c r="B9" s="230"/>
    </row>
    <row r="10" spans="1:3" x14ac:dyDescent="0.25">
      <c r="A10" s="32"/>
    </row>
    <row r="11" spans="1:3" x14ac:dyDescent="0.25">
      <c r="A11" s="232" t="str">
        <f>"2. "&amp;malumot!D64&amp;" BERISH VA QAYTARISH TARTIBI"</f>
        <v>2. MIKROQARZ BERISH VA QAYTARISH TARTIBI</v>
      </c>
      <c r="B11" s="232"/>
      <c r="C11" s="66"/>
    </row>
    <row r="12" spans="1:3" ht="36" customHeight="1" x14ac:dyDescent="0.25">
      <c r="A12" s="230" t="str">
        <f>"2.1. Ushbu Shartnomaning 1.1.-bandida ko‘rsatilgan summa miqdoridagi "&amp;malumot!B65&amp;"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230"/>
    </row>
    <row r="13" spans="1:3" ht="35.25" customHeight="1" x14ac:dyDescent="0.25">
      <c r="A13" s="230" t="str">
        <f>"2.2. "&amp;malumot!C64&amp;"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230"/>
    </row>
    <row r="14" spans="1:3" ht="35.25" customHeight="1" x14ac:dyDescent="0.25">
      <c r="A14" s="230" t="str">
        <f>"2.3. "&amp;malumot!C64&amp;"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230"/>
    </row>
    <row r="15" spans="1:3" ht="66" customHeight="1" x14ac:dyDescent="0.25">
      <c r="A15" s="230" t="str">
        <f>"2.4. Mikromoliya tashkiloti, "&amp;malumot!B65&amp;" berilgan vaqtdan boshlab, "&amp;malumot!B65&amp;" miqdorining qoldiq summasiga "&amp;malumot!B86&amp;"% ("&amp;malumot!C87&amp;") foiz yillik va yiliga 365/366 kunlik hisobidan foizlar hisoblaydi. To'lov jadvaliga muvofiq asosiy qarz bo'yicha navbatdagi to'lov buzilgan hollarda, "&amp;"foiz stavkasi oshiriladi va  Mikromoliya tashkiloti "&amp;malumot!B65&amp;"ning muddati o'tgan asosiy qarz summasiga yillik "&amp;malumot!B89&amp;" ("&amp;malumot!B90&amp;") foiz miqdorida foizlar hisoblaydi."</f>
        <v>2.4. Mikromoliya tashkiloti, mikroqarz berilgan vaqtdan boshlab, mikroqarz miqdorining qoldiq summasiga 60% (Oltmish) foiz yillik va yiliga 365/366 kunlik hisobidan foizlar hisoblaydi. To'lov jadvaliga muvofiq asosiy qarz bo'yicha navbatdagi to'lov buzilgan hollarda, foiz stavkasi oshiriladi va  Mikromoliya tashkiloti mikroqarzning muddati o'tgan asosiy qarz summasiga yillik 100 (bir yuz) foiz miqdorida foizlar hisoblaydi.</v>
      </c>
      <c r="B15" s="230"/>
    </row>
    <row r="16" spans="1:3" ht="177.75" customHeight="1" x14ac:dyDescent="0.25">
      <c r="A16" s="230" t="s">
        <v>327</v>
      </c>
      <c r="B16" s="230"/>
    </row>
    <row r="17" spans="1:11" ht="161.25" customHeight="1" x14ac:dyDescent="0.25">
      <c r="A17" s="230"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230"/>
      <c r="C17" s="162" t="s">
        <v>331</v>
      </c>
      <c r="H17" s="7" t="str">
        <f>malumot!B65</f>
        <v>mikroqarz</v>
      </c>
      <c r="I17" s="7" t="s">
        <v>332</v>
      </c>
    </row>
    <row r="18" spans="1:11" ht="100.5" customHeight="1" x14ac:dyDescent="0.25">
      <c r="A18" s="234" t="s">
        <v>371</v>
      </c>
      <c r="B18" s="234"/>
    </row>
    <row r="19" spans="1:11" ht="36" customHeight="1" x14ac:dyDescent="0.25">
      <c r="A19" s="230" t="str">
        <f>"2.7. Qarz oluvchi Mikromoliya tashkilotining "&amp;malumot!B65&amp;"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230"/>
    </row>
    <row r="20" spans="1:11" ht="48.75" customHeight="1" x14ac:dyDescent="0.25">
      <c r="A20" s="230" t="str">
        <f>"2.8. Qarz oluvchi "&amp;malumot!B65&amp;"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230"/>
    </row>
    <row r="21" spans="1:11" ht="113.25" customHeight="1" x14ac:dyDescent="0.25">
      <c r="A21" s="243"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243"/>
      <c r="C21" s="7" t="str">
        <f>"2.9. Qarz oluvchi jismoniy shaxslarning kreditlar ("&amp;malumot!B65&amp;"lar)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7" t="str">
        <f>"olingan Markaziy bank Boshqaruvining 28.09.2019 y. 24/5-son qarori bilan tasdiqlangan), qarz yuki ko‘rsatkichi har bir qarz oluvchiga qarz beruvchi tomonidan "&amp;malumot!B65&amp;" ajratishda uning summasi va "</f>
        <v xml:space="preserve">olingan Markaziy bank Boshqaruvining 28.09.2019 y. 24/5-son qarori bilan tasdiqlangan), qarz yuki ko‘rsatkichi har bir qarz oluvchiga qarz beruvchi tomonidan mikroqarz ajratishda uning summasi va </v>
      </c>
      <c r="I21" s="7" t="str">
        <f>"qarz oluvchining amaldagi kredit ("&amp;malumot!B65&amp;")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x14ac:dyDescent="0.25">
      <c r="A22" s="232" t="str">
        <f>"3. "&amp;malumot!D64&amp;" TA'MINOTI BO‘YICHA "</f>
        <v xml:space="preserve">3. MIKROQARZ TA'MINOTI BO‘YICHA </v>
      </c>
      <c r="B22" s="232"/>
    </row>
    <row r="23" spans="1:11" ht="39.75" customHeight="1" x14ac:dyDescent="0.25">
      <c r="A23" s="230" t="str">
        <f>"3.1. Ushbu Shartnoma bo‘yicha taqdim etilgan "&amp;malumot!C64&amp;" quyidagi Mikroqarz summasiga nisbatan 150% dan kam bo'lmagan garov va Mikroqarz to'lamaslik xavfini sug'urta polisi  bilan ta'minlanadi:"</f>
        <v>3.1. Ushbu Shartnoma bo‘yicha taqdim etilgan Mikroqarz quyidagi Mikroqarz summasiga nisbatan 150% dan kam bo'lmagan garov va Mikroqarz to'lamaslik xavfini sug'urta polisi  bilan ta'minlanadi:</v>
      </c>
      <c r="B23" s="230"/>
    </row>
    <row r="24" spans="1:11" ht="151.5" customHeight="1" x14ac:dyDescent="0.25">
      <c r="A24" s="238" t="str">
        <f>IF(malumot!B110=malumot!C110,shartnoma!A28,IF(malumot!B110=malumot!D110,shartnoma!A25,0))</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4" s="238"/>
    </row>
    <row r="25" spans="1:11" ht="129" hidden="1" customHeight="1" x14ac:dyDescent="0.25">
      <c r="A25" s="230" t="str">
        <f>IF(malumot!B99=malumot!C99,shartnoma!A27,IF(malumot!B99=malumot!D99,shartnoma!A26,0))</f>
        <v>3.1.1. Mikromoliya tashkiloti, Qarz oluvchi va BOBONAZAROV ASLBEK AKRAM O'G'LI (26.12.2024y. sanasidagi reestr raqami №202401864005639 bo'lgan Ishonchnomaga asosan) tomonidan 2025 yil 28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5" s="230"/>
    </row>
    <row r="26" spans="1:11" ht="129.75" hidden="1" customHeight="1" x14ac:dyDescent="0.25">
      <c r="A26" s="239" t="str">
        <f>"3.1.1. "&amp;malumot!N133&amp;" tomonidan "&amp;malumot!B150&amp;" yil "&amp;malumot!B152&amp;" "&amp;malumot!B151&amp;"da imzolangan 1-sonli navbatdagi garov predmeti qiymatini tasdiqlash dalolatnomasiga muvofiq "&amp;malumot!C130&amp;" manzilida joylashgan, "&amp;malumot!E133&amp;" bo'lgan, "&amp;malumot!E132&amp;" ko'rinishidagi ko'chmas mulk (bundan keyin “navbatdagi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BOBONAZAROV ASLBEK AKRAM O'G'LI (26.12.2024y. sanasidagi reestr raqami №202401864005639 bo'lgan Ishonchnomaga asosan) tomonidan 2025 yil 28 fevralda imzolangan 1-sonli navbatdagi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“navbatdagi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6" s="239"/>
    </row>
    <row r="27" spans="1:11" ht="131.25" hidden="1" customHeight="1" x14ac:dyDescent="0.25">
      <c r="A27" s="230" t="str">
        <f>"3.1.1. "&amp;malumot!N133&amp;" tomonidan "&amp;malumot!B150&amp;" yil "&amp;malumot!B152&amp;" "&amp;malumot!B151&amp;"da imzolangan 1-sonli Garov predmeti qiymatini tasdiqlash dalolatnomasiga muvofiq "&amp;malumot!C130&amp;" manzilida joylashgan, "&amp;malumot!E133&amp;" bo'lgan, "&amp;malumot!E132&amp;" ko'rinishidagi ko'chmas mulk (bundan keyin “Garov predmeti”), egalik huquqiga ko'ra  "&amp;malumot!C124&amp;"ga tegishli va kelishilgan garov qiymati "&amp;malumot!B150&amp;" yil "&amp;malumot!B152&amp;" "&amp;malumot!B151&amp;"da imzolangan 1-sonli Garov predmeti qiymatini tasdiqlash dalolatnomasiga muvofiq "&amp;FIXED(malumot!B143,2)&amp;" ("&amp;malumot!B145&amp;") so'mni tashkil qiladi. Garovning aniq shartlari tegishli tarzda notarial tasdiqlangan garov shartnomasi bilan belgilangan."</f>
        <v>3.1.1. Mikromoliya tashkiloti, Qarz oluvchi va BOBONAZAROV ASLBEK AKRAM O'G'LI (26.12.2024y. sanasidagi reestr raqami №202401864005639 bo'lgan Ishonchnomaga asosan) tomonidan 2025 yil 28 fevralda imzolangan 1-sonli Garov predmeti qiymatini tasdiqlash dalolatnomasiga muvofiq SAMARQAND VILOYATI TAYLOQ TUMANI CHAROG'BON MFY YANGI TAYLOQ QISHLOG'I 6 TURAR JOY 12 QAVAT 58 XONADON manzilida joylashgan, yer uchastkasi maydoni - , umumiy maydoni - 72,13, yashash maydoni - 37,39 bo'lgan, 3 - xonali yakka tartibdagi uy-joy ko'rinishidagi ko'chmas mulk (bundan keyin “Garov predmeti”), egalik huquqiga ko'ra  0ga tegishli va kelishilgan garov qiymati 2025 yil 28 fevralda imzolangan 1-sonli Garov predmeti qiymatini tasdiqlash dalolatnomasiga muvofiq 97 500 000,00 (to'qson yetti million besh yuz ming so'm) so'mni tashkil qiladi. Garovning aniq shartlari tegishli tarzda notarial tasdiqlangan garov shartnomasi bilan belgilangan.</v>
      </c>
      <c r="B27" s="230"/>
    </row>
    <row r="28" spans="1:11" ht="114" hidden="1" customHeight="1" x14ac:dyDescent="0.25">
      <c r="A28" s="239" t="str">
        <f>IF(malumot!B99=malumot!C99,A29,IF(malumot!B99=malumot!D99,A30,0))</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8" s="239"/>
      <c r="K28" s="7" t="s">
        <v>324</v>
      </c>
    </row>
    <row r="29" spans="1:11" ht="114.75" hidden="1" customHeight="1" x14ac:dyDescent="0.25">
      <c r="A29" s="239" t="str">
        <f>"3.1.1. "&amp;malumot!N133&amp;" tomonidan "&amp;malumot!B150&amp;" yil "&amp;malumot!B152&amp;" "&amp;malumot!B151&amp;"da imzolangan 1-sonli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BOBONAZAROV ASLBEK AKRAM O'G'LI (26.12.2024y. sanasidagi reestr raqami №202401864005639 bo'lgan Ishonchnomaga asosan) tomonidan 2025 yil 28 fevralda imzolangan 1-sonli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29" s="239"/>
    </row>
    <row r="30" spans="1:11" ht="115.5" hidden="1" customHeight="1" x14ac:dyDescent="0.25">
      <c r="A30" s="240" t="str">
        <f>"3.1.1. "&amp;malumot!N133&amp;" tomonidan "&amp;malumot!B150&amp;" yil "&amp;malumot!B152&amp;" "&amp;malumot!B151&amp;"da imzolangan 1-sonli navbatdagi garov predmeti qiymatini tasdiqlash dalolatnomasiga muvofiq "&amp;malumot!B141&amp;" rangli, ishlab chiqarilgan yili – "&amp;malumot!B142&amp;" yil,  dvigatel raqami "&amp;malumot!B138&amp;", shassi - "&amp;malumot!B139&amp;",  kuzov turi - "&amp;malumot!B135&amp;", kuzov raqami №"&amp;malumot!B136&amp;", davlat raqam belgisi "&amp;malumot!B133&amp;" bo'lgan "&amp;malumot!B132&amp;" rusumli avtomashinasi (bundan keyin “navbatdagi garov predmeti”), egalik huquqiga ega  "&amp;malumot!B124&amp;"ga tegishli va kelishilgan garov qiymati "&amp;malumot!B150&amp;" yil "&amp;malumot!B152&amp;" "&amp;malumot!B151&amp;"da imzolangan 1-sonli Garov predmeti qiymatini tasdiqlash dalolatnomasiga muvifiq "&amp;FIXED(malumot!B143,2)&amp;" ("&amp;malumot!B145&amp;") so'mni tashkil qiladi. Garov garovining aniq shartlari tegishli notarial rasmiylashtirilgan garov shartnomasi bilan belgilanadi."</f>
        <v>3.1.1. Mikromoliya tashkiloti, Qarz oluvchi va BOBONAZAROV ASLBEK AKRAM O'G'LI (26.12.2024y. sanasidagi reestr raqami №202401864005639 bo'lgan Ishonchnomaga asosan) tomonidan 2025 yil 28 fevralda imzolangan 1-sonli navbatdagi garov predmeti qiymatini tasdiqlash dalolatnomasiga muvofiq OQ SUMMIT WHITE rangli, ishlab chiqarilgan yili – 2024 yil,  dvigatel raqami F8CB240180255, shassi -  - ,  kuzov turi - YENGIL SEDAN, kuzov raqami №XWB7T12YDRP863654, davlat raqam belgisi 80X089BB bo'lgan DAMAS-2 rusumli avtomashinasi (bundan keyin “navbatdagi garov predmeti”), egalik huquqiga ega  BOBONAZAROV ASLBEK AKRAM O'G'LIga tegishli va kelishilgan garov qiymati 2025 yil 28 fevralda imzolangan 1-sonli Garov predmeti qiymatini tasdiqlash dalolatnomasiga muvifiq 97 500 000,00 (to'qson yetti million besh yuz ming so'm) so'mni tashkil qiladi. Garov garovining aniq shartlari tegishli notarial rasmiylashtirilgan garov shartnomasi bilan belgilanadi.</v>
      </c>
      <c r="B30" s="240"/>
    </row>
    <row r="31" spans="1:11" ht="100.15" customHeight="1" x14ac:dyDescent="0.25">
      <c r="A31" s="238" t="str">
        <f>CONCATENATE(C31,D31)</f>
        <v>3.1.2. «АО СК "IMPEX INSURANCE"» АJ sug‘urta kompaniyasi (keyingi o'rinlarda-Sug‘urtalovchi) tomonidan Mikroqarz to'lamaslik xavfini Mikroqarz summasiga nisbatan 150% dan hisoblab 15 000 000,00(o'n besh million so'm) so ' m miqdoriga sug’urta qilish. Ushbu shartnoma bo‘yicha Mikroqarz berilgunga qadar Mikromoliya tashkiloti Sug‘urtalovchi 15 000 000,00(o'n besh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B31" s="238"/>
      <c r="C31" s="7" t="str">
        <f>"3.1.2. «"&amp;malumot!B153&amp;"» АJ sug‘urta kompaniyasi (keyingi o'rinlarda-Sug‘urtalovchi) tomonidan "&amp;malumot!C64&amp;" to'lamaslik xavfini Mikroqarz summasiga nisbatan 150% dan hisoblab "&amp;FIXED(malumot!B154,2)&amp;"("&amp;malumot!B155&amp;") so ' m miqdoriga sug’urta qilish."</f>
        <v>3.1.2. «АО СК "IMPEX INSURANCE"» АJ sug‘urta kompaniyasi (keyingi o'rinlarda-Sug‘urtalovchi) tomonidan Mikroqarz to'lamaslik xavfini Mikroqarz summasiga nisbatan 150% dan hisoblab 15 000 000,00(o'n besh million so'm) so ' m miqdoriga sug’urta qilish.</v>
      </c>
      <c r="D31" s="7" t="str">
        <f>CONCATENATE(E31,F31)</f>
        <v xml:space="preserve"> Ushbu shartnoma bo‘yicha Mikroqarz berilgunga qadar Mikromoliya tashkiloti Sug‘urtalovchi 15 000 000,00(o'n besh million so'm) so ' m miqdoridagi Mikroqarzni to‘lamaslik xavfini sug‘urta qilish shartnomasini tuzadi va Sug‘urtalovchi nomiga sug‘urta mukofotini to‘laydi, Qarz oluvchi esa Mikromoliya tashkiloti tomonidan sug‘urta mukofotini to‘langan kuni Mikromoliya tashkiloti tomonidan to‘langan sug‘urta mukofotini Mikromoliya tashkilotiga to‘laydi."</v>
      </c>
      <c r="E31" s="7" t="str">
        <f>" Ushbu shartnoma bo‘yicha "&amp;malumot!C64&amp;" berilgunga qadar Mikromoliya tashkiloti Sug‘urtalovchi "&amp;FIXED(malumot!B154,2)&amp;"("&amp;malumot!B155&amp;") so ' m miqdoridagi "&amp;malumot!C64&amp;""</f>
        <v xml:space="preserve"> Ushbu shartnoma bo‘yicha Mikroqarz berilgunga qadar Mikromoliya tashkiloti Sug‘urtalovchi 15 000 000,00(o'n besh million so'm) so ' m miqdoridagi Mikroqarz</v>
      </c>
      <c r="F31" s="7" t="s">
        <v>390</v>
      </c>
    </row>
    <row r="32" spans="1:11" ht="117" customHeight="1" x14ac:dyDescent="0.25">
      <c r="A32" s="237" t="str">
        <f>CONCATENATE(A33,B33)</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2" s="237"/>
    </row>
    <row r="33" spans="1:8" ht="94.5" hidden="1" x14ac:dyDescent="0.25">
      <c r="A33" s="165" t="s">
        <v>353</v>
      </c>
      <c r="B33" s="32" t="str">
        <f>CONCATENATE(A34,B34)</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4" spans="1:8" ht="78.75" hidden="1" x14ac:dyDescent="0.25">
      <c r="A34" s="165" t="str">
        <f>" Mikromoliya tashkilotiga taqdim etilishi lozim. Garov shartnomasi belgilangan muddatda taqdim etilmagan hollarda, Mikromoliya tashkiloti Qarz oluvchining manziliga yozma bildirishnoma yuborish orqali "&amp;malumot!B65&amp;""</f>
        <v xml:space="preserve"> Mikromoliya tashkilotiga taqdim etilishi lozim. Garov shartnomasi belgilangan muddatda taqdim etilmagan hollarda, Mikromoliya tashkiloti Qarz oluvchining manziliga yozma bildirishnoma yuborish orqali mikroqarz</v>
      </c>
      <c r="B34" s="32" t="s">
        <v>334</v>
      </c>
    </row>
    <row r="35" spans="1:8" ht="85.5" customHeight="1" x14ac:dyDescent="0.25">
      <c r="A35" s="237" t="s">
        <v>263</v>
      </c>
      <c r="B35" s="237"/>
    </row>
    <row r="36" spans="1:8" ht="84" customHeight="1" x14ac:dyDescent="0.25">
      <c r="A36" s="237" t="s">
        <v>312</v>
      </c>
      <c r="B36" s="237"/>
    </row>
    <row r="37" spans="1:8" ht="114.6" customHeight="1" x14ac:dyDescent="0.25">
      <c r="A37" s="230" t="s">
        <v>391</v>
      </c>
      <c r="B37" s="230"/>
    </row>
    <row r="39" spans="1:8" x14ac:dyDescent="0.25">
      <c r="A39" s="236" t="s">
        <v>311</v>
      </c>
      <c r="B39" s="236"/>
      <c r="C39" s="74"/>
    </row>
    <row r="40" spans="1:8" x14ac:dyDescent="0.25">
      <c r="A40" s="241" t="s">
        <v>310</v>
      </c>
      <c r="B40" s="241"/>
    </row>
    <row r="41" spans="1:8" ht="116.25" customHeight="1" x14ac:dyDescent="0.25">
      <c r="A41" s="237" t="str">
        <f>CONCATENATE(C41,H41)</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ega.Usbu bandda belgilangan harakatlarni amalga oshirish uchun bo‘lgan barcha xarajatlar Qarz oluvchi xisobidan qoplanadi.</v>
      </c>
      <c r="B41" s="237"/>
      <c r="C41" s="7" t="str">
        <f>"4.1.1. Ushbu Shartnomada ko‘rsatilgan asoslar bo‘yicha Qarz oluvchiga Shartnomada ko‘zda tutilgan "&amp;malumot!B65&amp;""</f>
        <v>4.1.1. Ushbu Shartnomada ko‘rsatilgan asoslar bo‘yicha Qarz oluvchiga Shartnomada ko‘zda tutilgan mikroqarz</v>
      </c>
      <c r="H41" s="162" t="s">
        <v>381</v>
      </c>
    </row>
    <row r="42" spans="1:8" ht="39" customHeight="1" x14ac:dyDescent="0.25">
      <c r="A42" s="237" t="str">
        <f>"4.1.2.1. "&amp;malumot!C64&amp;" bo‘yicha qolgan barcha qarzdorlik, foiz to‘lovlarining muddatidan oldin qaytarilishini talab qilish, shuningdek, quyidagi holatlardan biri yuzaga kelganda undirishni garov ta'minotiga qaratish:"</f>
        <v>4.1.2.1. Mikroqarz bo‘yicha qolgan barcha qarzdorlik, foiz to‘lovlarining muddatidan oldin qaytarilishini talab qilish, shuningdek, quyidagi holatlardan biri yuzaga kelganda undirishni garov ta'minotiga qaratish:</v>
      </c>
      <c r="B42" s="237"/>
    </row>
    <row r="43" spans="1:8" x14ac:dyDescent="0.25">
      <c r="A43" s="237" t="s">
        <v>313</v>
      </c>
      <c r="B43" s="237"/>
    </row>
    <row r="44" spans="1:8" ht="30" customHeight="1" x14ac:dyDescent="0.25">
      <c r="A44" s="237" t="str">
        <f>"b) "&amp;malumot!B65&amp;" summasiga hisoblanadigan asosiy qarz bo‘yicha muddati o‘tgan qarzdorlik va/yoki foizlarning yuzaga kelishi;"</f>
        <v>b) mikroqarz summasiga hisoblanadigan asosiy qarz bo‘yicha muddati o‘tgan qarzdorlik va/yoki foizlarning yuzaga kelishi;</v>
      </c>
      <c r="B44" s="237"/>
    </row>
    <row r="45" spans="1:8" ht="37.5" customHeight="1" x14ac:dyDescent="0.25">
      <c r="A45" s="237" t="s">
        <v>314</v>
      </c>
      <c r="B45" s="237"/>
    </row>
    <row r="46" spans="1:8" ht="52.5" customHeight="1" x14ac:dyDescent="0.25">
      <c r="A46" s="237" t="s">
        <v>315</v>
      </c>
      <c r="B46" s="237"/>
    </row>
    <row r="47" spans="1:8" ht="19.5" customHeight="1" x14ac:dyDescent="0.25">
      <c r="A47" s="237" t="s">
        <v>316</v>
      </c>
      <c r="B47" s="237"/>
    </row>
    <row r="48" spans="1:8" ht="51.75" customHeight="1" x14ac:dyDescent="0.25">
      <c r="A48" s="237" t="str">
        <f>"f) Qarz oluvchi "&amp;malumot!B65&amp;" summasini olish uchun Mikromoliya tashkilotiga "&amp;malumot!B65&amp;"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8" s="237"/>
    </row>
    <row r="49" spans="1:8" ht="33.75" customHeight="1" x14ac:dyDescent="0.25">
      <c r="A49" s="237" t="s">
        <v>309</v>
      </c>
      <c r="B49" s="237"/>
    </row>
    <row r="50" spans="1:8" ht="36.75" customHeight="1" x14ac:dyDescent="0.25">
      <c r="A50" s="237" t="s">
        <v>308</v>
      </c>
      <c r="B50" s="237"/>
      <c r="C50" s="165"/>
    </row>
    <row r="51" spans="1:8" ht="90" customHeight="1" x14ac:dyDescent="0.25">
      <c r="A51" s="230" t="s">
        <v>307</v>
      </c>
      <c r="B51" s="230"/>
      <c r="C51" s="165"/>
    </row>
    <row r="52" spans="1:8" ht="70.5" customHeight="1" x14ac:dyDescent="0.25">
      <c r="A52" s="230" t="s">
        <v>306</v>
      </c>
      <c r="B52" s="230"/>
      <c r="C52" s="165"/>
    </row>
    <row r="53" spans="1:8" ht="39.75" customHeight="1" x14ac:dyDescent="0.25">
      <c r="A53" s="230" t="str">
        <f>"4.1.7. Qarz oluvchini oldindan ogohlantirmasdan "&amp;malumot!B65&amp;"ni qaytarish uchun haqiqatdan ham garov ta'minoti mavjudligini tekshirishni amalga oshirish."</f>
        <v>4.1.7. Qarz oluvchini oldindan ogohlantirmasdan mikroqarzni qaytarish uchun haqiqatdan ham garov ta'minoti mavjudligini tekshirishni amalga oshirish.</v>
      </c>
      <c r="B53" s="230"/>
      <c r="C53" s="165"/>
    </row>
    <row r="54" spans="1:8" ht="33" customHeight="1" x14ac:dyDescent="0.25">
      <c r="A54" s="230" t="s">
        <v>317</v>
      </c>
      <c r="B54" s="230"/>
      <c r="C54" s="165"/>
    </row>
    <row r="55" spans="1:8" ht="39.75" customHeight="1" x14ac:dyDescent="0.25">
      <c r="A55" s="230" t="s">
        <v>305</v>
      </c>
      <c r="B55" s="230"/>
      <c r="C55" s="165"/>
    </row>
    <row r="56" spans="1:8" ht="50.25" customHeight="1" x14ac:dyDescent="0.25">
      <c r="A56" s="230" t="str">
        <f>CONCATENATE(C56,H56)</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6" s="230"/>
      <c r="C56" s="165" t="str">
        <f>"4.1.10. Qarz oluvchi taqdim etilgan "&amp;malumot!B65&amp;"dan Shartnoma tuzilgan kundan boshlab 1 (bir) oy davomida foydalanmagan"</f>
        <v>4.1.10. Qarz oluvchi taqdim etilgan mikroqarzdan Shartnoma tuzilgan kundan boshlab 1 (bir) oy davomida foydalanmagan</v>
      </c>
      <c r="H56" s="7" t="s">
        <v>335</v>
      </c>
    </row>
    <row r="57" spans="1:8" ht="19.5" customHeight="1" x14ac:dyDescent="0.25">
      <c r="A57" s="230" t="str">
        <f>"4.1.11. Oldingi "&amp;malumot!B65&amp;" to‘liq to‘lanmagunga qadar yangi "&amp;malumot!B65&amp;" berishni rad etish."</f>
        <v>4.1.11. Oldingi mikroqarz to‘liq to‘lanmagunga qadar yangi mikroqarz berishni rad etish.</v>
      </c>
      <c r="B57" s="230"/>
      <c r="C57" s="165"/>
    </row>
    <row r="59" spans="1:8" x14ac:dyDescent="0.25">
      <c r="A59" s="232" t="s">
        <v>304</v>
      </c>
      <c r="B59" s="232"/>
      <c r="C59" s="164"/>
    </row>
    <row r="60" spans="1:8" x14ac:dyDescent="0.25">
      <c r="A60" s="235" t="s">
        <v>303</v>
      </c>
      <c r="B60" s="235"/>
      <c r="C60" s="166"/>
    </row>
    <row r="61" spans="1:8" ht="36" customHeight="1" x14ac:dyDescent="0.25">
      <c r="A61" s="230" t="str">
        <f>"5.1.1. Ushbu shartnomada nazarda tutilgan shartlar bo‘yicha "&amp;malumot!B65&amp;"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61" s="230"/>
      <c r="C61" s="165"/>
    </row>
    <row r="62" spans="1:8" ht="36.75" customHeight="1" x14ac:dyDescent="0.25">
      <c r="A62" s="230" t="str">
        <f>"5.1.2. Shartnoma tuzilgan kundan boshlab 2 (ikki) hafta mobaynida Mikromoliya tashkilotiga bu haqda yozma xabarnoma yo‘llash orqali "&amp;malumot!B65&amp;"ning foydalanilmagan summasidan voz kechish."</f>
        <v>5.1.2. Shartnoma tuzilgan kundan boshlab 2 (ikki) hafta mobaynida Mikromoliya tashkilotiga bu haqda yozma xabarnoma yo‘llash orqali mikroqarzning foydalanilmagan summasidan voz kechish.</v>
      </c>
      <c r="B62" s="230"/>
      <c r="C62" s="165"/>
    </row>
    <row r="63" spans="1:8" ht="17.25" customHeight="1" x14ac:dyDescent="0.25">
      <c r="A63" s="230" t="str">
        <f>"5.1.3. "&amp;malumot!C64&amp;" xizmatlari ko‘rsatish qoidalari bilan tanishish."</f>
        <v>5.1.3. Mikroqarz xizmatlari ko‘rsatish qoidalari bilan tanishish.</v>
      </c>
      <c r="B63" s="230"/>
      <c r="C63" s="165"/>
    </row>
    <row r="64" spans="1:8" ht="36" customHeight="1" x14ac:dyDescent="0.25">
      <c r="A64" s="230" t="str">
        <f>"5.1.4. O‘z huquq va majburiyatlari, shu jumladan "&amp;malumot!B65&amp;" xizmatlari ko‘rsatish bilan bog‘liq barcha xarajatlar haqida aniq va to‘liq ma'lumot olish."</f>
        <v>5.1.4. O‘z huquq va majburiyatlari, shu jumladan mikroqarz xizmatlari ko‘rsatish bilan bog‘liq barcha xarajatlar haqida aniq va to‘liq ma'lumot olish.</v>
      </c>
      <c r="B64" s="230"/>
      <c r="C64" s="165"/>
    </row>
    <row r="65" spans="1:8" ht="33.75" customHeight="1" x14ac:dyDescent="0.25">
      <c r="A65" s="230" t="s">
        <v>318</v>
      </c>
      <c r="B65" s="230"/>
      <c r="C65" s="165"/>
    </row>
    <row r="66" spans="1:8" x14ac:dyDescent="0.25">
      <c r="A66" s="235" t="s">
        <v>302</v>
      </c>
      <c r="B66" s="235"/>
      <c r="C66" s="166"/>
    </row>
    <row r="67" spans="1:8" ht="37.5" customHeight="1" x14ac:dyDescent="0.25">
      <c r="A67" s="230" t="str">
        <f>"5.2.1. Mikromoliya tashkilotining birinchi talabi bilan zarur hujjatlar, shuningdek "&amp;malumot!B65&amp;"dan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7" s="230"/>
      <c r="C67" s="165"/>
    </row>
    <row r="68" spans="1:8" ht="39.75" customHeight="1" x14ac:dyDescent="0.25">
      <c r="A68" s="230" t="s">
        <v>319</v>
      </c>
      <c r="B68" s="230"/>
      <c r="C68" s="165"/>
    </row>
    <row r="69" spans="1:8" ht="27" customHeight="1" x14ac:dyDescent="0.25">
      <c r="A69" s="230" t="str">
        <f>"5.2.3. To‘lov jadvaliga muvofiq "&amp;malumot!B65&amp;", shuningdek hisoblangan foizlar to‘lovlarini amalga oshirish."</f>
        <v>5.2.3. To‘lov jadvaliga muvofiq mikroqarz, shuningdek hisoblangan foizlar to‘lovlarini amalga oshirish.</v>
      </c>
      <c r="B69" s="230"/>
      <c r="C69" s="165"/>
    </row>
    <row r="70" spans="1:8" ht="84" customHeight="1" x14ac:dyDescent="0.25">
      <c r="A70" s="230" t="str">
        <f>CONCATENATE(C70,H70)</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70" s="230"/>
      <c r="C70" s="165" t="s">
        <v>336</v>
      </c>
      <c r="H70" s="7" t="str">
        <f>" "&amp;malumot!B65&amp;"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71" spans="1:8" ht="49.5" customHeight="1" x14ac:dyDescent="0.25">
      <c r="A71" s="230" t="s">
        <v>320</v>
      </c>
      <c r="B71" s="230"/>
      <c r="C71" s="165"/>
    </row>
    <row r="72" spans="1:8" ht="36" customHeight="1" x14ac:dyDescent="0.25">
      <c r="A72" s="230" t="str">
        <f>"5.2.6. Quyidagi holatlarda Mikromoliya tashkilotning birinchi talabi bilan "&amp;malumot!B65&amp;" qaytarilishi bo‘yicha qo‘shimcha garov ta'minotini taqdim etish: "</f>
        <v xml:space="preserve">5.2.6. Quyidagi holatlarda Mikromoliya tashkilotning birinchi talabi bilan mikroqarz qaytarilishi bo‘yicha qo‘shimcha garov ta'minotini taqdim etish: </v>
      </c>
      <c r="B72" s="230"/>
      <c r="C72" s="165"/>
    </row>
    <row r="73" spans="1:8" ht="51.75" customHeight="1" x14ac:dyDescent="0.25">
      <c r="A73" s="234" t="s">
        <v>337</v>
      </c>
      <c r="B73" s="234"/>
      <c r="C73" s="168"/>
    </row>
    <row r="74" spans="1:8" ht="71.25" customHeight="1" x14ac:dyDescent="0.25">
      <c r="A74" s="230" t="str">
        <f>"5.2.7. Sud qarori asosida Qarz oluvchi – jismoniy shaxsning muomalaga layoqatsizligi yoki muomalaga layoqati cheklangan yoxud to‘lash qobiliyatiga ega emasligi (bankrotligi) tan olinganda, uning vasiysi yoki homiysi "&amp;malumot!B65&amp;"ning asosiy summa bo‘yicha qarzdorlikni "&amp;malumot!B65&amp;"dan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4" s="230"/>
      <c r="C74" s="165"/>
    </row>
    <row r="75" spans="1:8" ht="33.75" customHeight="1" x14ac:dyDescent="0.25">
      <c r="A75" s="230" t="str">
        <f>"5.2.8. Mikromoliya tashkilotining "&amp;malumot!B65&amp;"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5" s="230"/>
      <c r="C75" s="165"/>
      <c r="H75" s="7" t="s">
        <v>333</v>
      </c>
    </row>
    <row r="76" spans="1:8" ht="68.25" customHeight="1" x14ac:dyDescent="0.25">
      <c r="A76" s="230" t="str">
        <f>CONCATENATE(C76,H76)</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6" s="230"/>
      <c r="C76" s="165" t="str">
        <f>"5.2.9. Mikromoliya tashkilotining talabi bo‘yicha Mikromoliya tashkiloti ko‘rgan, shu jumladan "&amp;malumot!B65&amp;" bo‘yicha (asosiy qarz, foizlar va boshqalar)"</f>
        <v>5.2.9. Mikromoliya tashkilotining talabi bo‘yicha Mikromoliya tashkiloti ko‘rgan, shu jumladan mikroqarz bo‘yicha (asosiy qarz, foizlar va boshqalar)</v>
      </c>
      <c r="H76" s="7" t="s">
        <v>338</v>
      </c>
    </row>
    <row r="77" spans="1:8" x14ac:dyDescent="0.25">
      <c r="A77" s="72"/>
    </row>
    <row r="78" spans="1:8" x14ac:dyDescent="0.25">
      <c r="A78" s="236" t="s">
        <v>301</v>
      </c>
      <c r="B78" s="236"/>
      <c r="C78" s="167"/>
    </row>
    <row r="79" spans="1:8" ht="98.25" customHeight="1" x14ac:dyDescent="0.25">
      <c r="A79" s="230" t="str">
        <f>CONCATENATE(C79,H79)</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9" s="230"/>
      <c r="C79" s="165" t="s">
        <v>339</v>
      </c>
      <c r="H79" s="7" t="str">
        <f>""&amp;malumot!B65&amp;"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80" spans="1:8" ht="37.5" customHeight="1" x14ac:dyDescent="0.25">
      <c r="A80" s="230" t="s">
        <v>300</v>
      </c>
      <c r="B80" s="230"/>
      <c r="C80" s="165"/>
    </row>
    <row r="81" spans="1:3" ht="35.25" customHeight="1" x14ac:dyDescent="0.25">
      <c r="A81" s="230" t="s">
        <v>299</v>
      </c>
      <c r="B81" s="230"/>
      <c r="C81" s="165"/>
    </row>
    <row r="82" spans="1:3" ht="33" customHeight="1" x14ac:dyDescent="0.25">
      <c r="A82" s="230" t="s">
        <v>298</v>
      </c>
      <c r="B82" s="230"/>
      <c r="C82" s="165"/>
    </row>
    <row r="84" spans="1:3" x14ac:dyDescent="0.25">
      <c r="A84" s="233" t="s">
        <v>297</v>
      </c>
      <c r="B84" s="233"/>
      <c r="C84" s="67"/>
    </row>
    <row r="85" spans="1:3" ht="162.75" customHeight="1" x14ac:dyDescent="0.25">
      <c r="A85" s="230" t="s">
        <v>296</v>
      </c>
      <c r="B85" s="230"/>
      <c r="C85" s="165"/>
    </row>
    <row r="86" spans="1:3" ht="33.75" customHeight="1" x14ac:dyDescent="0.25">
      <c r="A86" s="230" t="s">
        <v>340</v>
      </c>
      <c r="B86" s="230"/>
      <c r="C86" s="165"/>
    </row>
    <row r="87" spans="1:3" ht="51.75" customHeight="1" x14ac:dyDescent="0.25">
      <c r="A87" s="230" t="s">
        <v>295</v>
      </c>
      <c r="B87" s="230"/>
      <c r="C87" s="165"/>
    </row>
    <row r="88" spans="1:3" ht="36" customHeight="1" x14ac:dyDescent="0.25">
      <c r="A88" s="230" t="s">
        <v>294</v>
      </c>
      <c r="B88" s="230"/>
      <c r="C88" s="165"/>
    </row>
    <row r="90" spans="1:3" x14ac:dyDescent="0.25">
      <c r="A90" s="233" t="s">
        <v>293</v>
      </c>
      <c r="B90" s="233"/>
      <c r="C90" s="67"/>
    </row>
    <row r="91" spans="1:3" ht="114.75" customHeight="1" x14ac:dyDescent="0.25">
      <c r="A91" s="230" t="s">
        <v>354</v>
      </c>
      <c r="B91" s="230"/>
      <c r="C91" s="165"/>
    </row>
    <row r="92" spans="1:3" ht="36" customHeight="1" x14ac:dyDescent="0.25">
      <c r="A92" s="230" t="s">
        <v>321</v>
      </c>
      <c r="B92" s="230"/>
      <c r="C92" s="165"/>
    </row>
    <row r="93" spans="1:3" ht="64.5" customHeight="1" x14ac:dyDescent="0.25">
      <c r="A93" s="230" t="str">
        <f>"8.2. Mikromoliya tashkiloti sud organlariga murojaat qilganidan keyin Qarz oluvchi tomonidan "&amp;malumot!B65&amp;" bo‘yicha muddati o‘tgan qarzdorlikning to‘lanishi Mikromoliya tashkilotning "&amp;malumot!B65&amp;"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3" s="230"/>
      <c r="C93" s="165"/>
    </row>
    <row r="95" spans="1:3" x14ac:dyDescent="0.25">
      <c r="A95" s="231" t="s">
        <v>292</v>
      </c>
      <c r="B95" s="231"/>
      <c r="C95" s="73"/>
    </row>
    <row r="96" spans="1:3" ht="20.25" customHeight="1" x14ac:dyDescent="0.25">
      <c r="A96" s="230" t="s">
        <v>291</v>
      </c>
      <c r="B96" s="230"/>
      <c r="C96" s="165"/>
    </row>
    <row r="97" spans="1:3" ht="33.75" customHeight="1" x14ac:dyDescent="0.25">
      <c r="A97" s="230" t="str">
        <f>"9.2. Shartnomaning amal qilish muddati Qarz oluvchi "&amp;malumot!B65&amp;"ni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7" s="230"/>
      <c r="C97" s="165"/>
    </row>
    <row r="98" spans="1:3" ht="51" customHeight="1" x14ac:dyDescent="0.25">
      <c r="A98" s="230" t="s">
        <v>290</v>
      </c>
      <c r="B98" s="230"/>
      <c r="C98" s="165"/>
    </row>
    <row r="100" spans="1:3" x14ac:dyDescent="0.25">
      <c r="A100" s="232" t="s">
        <v>289</v>
      </c>
      <c r="B100" s="232"/>
      <c r="C100" s="66"/>
    </row>
    <row r="101" spans="1:3" ht="82.5" customHeight="1" x14ac:dyDescent="0.25">
      <c r="A101" s="230" t="s">
        <v>288</v>
      </c>
      <c r="B101" s="230"/>
      <c r="C101" s="165"/>
    </row>
    <row r="102" spans="1:3" ht="66" customHeight="1" x14ac:dyDescent="0.25">
      <c r="A102" s="230" t="s">
        <v>287</v>
      </c>
      <c r="B102" s="230"/>
      <c r="C102" s="165"/>
    </row>
    <row r="103" spans="1:3" ht="48" customHeight="1" x14ac:dyDescent="0.25">
      <c r="A103" s="230" t="s">
        <v>286</v>
      </c>
      <c r="B103" s="230"/>
      <c r="C103" s="165"/>
    </row>
    <row r="105" spans="1:3" x14ac:dyDescent="0.25">
      <c r="A105" s="233" t="s">
        <v>285</v>
      </c>
      <c r="B105" s="233"/>
      <c r="C105" s="150"/>
    </row>
    <row r="106" spans="1:3" ht="37.5" customHeight="1" x14ac:dyDescent="0.25">
      <c r="A106" s="230" t="s">
        <v>284</v>
      </c>
      <c r="B106" s="230"/>
      <c r="C106" s="165"/>
    </row>
    <row r="107" spans="1:3" ht="34.5" customHeight="1" x14ac:dyDescent="0.25">
      <c r="A107" s="230" t="s">
        <v>283</v>
      </c>
      <c r="B107" s="230"/>
      <c r="C107" s="165"/>
    </row>
    <row r="108" spans="1:3" ht="66.75" customHeight="1" x14ac:dyDescent="0.25">
      <c r="A108" s="230" t="s">
        <v>282</v>
      </c>
      <c r="B108" s="230"/>
      <c r="C108" s="165"/>
    </row>
    <row r="109" spans="1:3" ht="51" customHeight="1" x14ac:dyDescent="0.25">
      <c r="A109" s="230" t="s">
        <v>281</v>
      </c>
      <c r="B109" s="230"/>
      <c r="C109" s="165"/>
    </row>
    <row r="110" spans="1:3" ht="37.5" customHeight="1" x14ac:dyDescent="0.25">
      <c r="A110" s="230" t="s">
        <v>280</v>
      </c>
      <c r="B110" s="230"/>
      <c r="C110" s="165"/>
    </row>
    <row r="111" spans="1:3" ht="38.25" customHeight="1" x14ac:dyDescent="0.25">
      <c r="A111" s="230" t="s">
        <v>279</v>
      </c>
      <c r="B111" s="230"/>
      <c r="C111" s="165"/>
    </row>
    <row r="112" spans="1:3" ht="21" customHeight="1" x14ac:dyDescent="0.25">
      <c r="A112" s="230" t="s">
        <v>278</v>
      </c>
      <c r="B112" s="230"/>
      <c r="C112" s="165"/>
    </row>
    <row r="113" spans="1:3" ht="26.25" customHeight="1" x14ac:dyDescent="0.25">
      <c r="A113" s="231" t="s">
        <v>322</v>
      </c>
      <c r="B113" s="231"/>
      <c r="C113" s="73"/>
    </row>
    <row r="114" spans="1:3" x14ac:dyDescent="0.25">
      <c r="A114" s="353"/>
      <c r="B114" s="353"/>
    </row>
    <row r="115" spans="1:3" x14ac:dyDescent="0.25">
      <c r="A115" s="362" t="s">
        <v>277</v>
      </c>
      <c r="B115" s="354" t="s">
        <v>276</v>
      </c>
    </row>
    <row r="116" spans="1:3" x14ac:dyDescent="0.25">
      <c r="A116" s="224"/>
      <c r="B116" s="353"/>
    </row>
    <row r="117" spans="1:3" ht="31.5" x14ac:dyDescent="0.25">
      <c r="A117" s="363" t="str">
        <f>malumot!B158</f>
        <v>«CLEVER MIKROMOLIYA TASHKILOTI» MChJ</v>
      </c>
      <c r="B117" s="355" t="str">
        <f>malumot!B5</f>
        <v>ATAXANOV AKMAL AXMETDJANOVICH</v>
      </c>
    </row>
    <row r="118" spans="1:3" x14ac:dyDescent="0.25">
      <c r="A118" s="224"/>
      <c r="B118" s="353"/>
    </row>
    <row r="119" spans="1:3" ht="58.5" customHeight="1" x14ac:dyDescent="0.25">
      <c r="A119" s="225" t="str">
        <f>"Manzil: "&amp;malumot!B163&amp;""</f>
        <v>Manzil: Toshkent shahri, Olmazor tumani, Sagbon ko'chasi, 30 boshi berk, 6-uy</v>
      </c>
      <c r="B119" s="356" t="str">
        <f>"Manzil: "&amp;malumot!B27&amp;""</f>
        <v>Manzil: QORAKO'L TUMANI DARG'ALI QFY</v>
      </c>
    </row>
    <row r="120" spans="1:3" ht="17.25" customHeight="1" x14ac:dyDescent="0.25">
      <c r="A120" s="364" t="str">
        <f>"h/r: "&amp;malumot!B164&amp;""</f>
        <v>h/r: №20216000705068380001</v>
      </c>
      <c r="B120" s="353"/>
    </row>
    <row r="121" spans="1:3" ht="31.5" x14ac:dyDescent="0.25">
      <c r="A121" s="225" t="str">
        <f>"MFO: "&amp;malumot!B165&amp;" в "&amp;malumot!B166&amp;""</f>
        <v>MFO: №01042 в ATB “Kapitalbank” Sergeli filiali</v>
      </c>
      <c r="B121" s="356" t="str">
        <f>"Pasport: "&amp;malumot!B16&amp;", "&amp;malumot!B20&amp;""</f>
        <v>Pasport: AD7554127, BUXORO VILOYATI BUXORO SHAHAR IIB tomonidan 20.06.2024 yilda berilgan</v>
      </c>
    </row>
    <row r="122" spans="1:3" x14ac:dyDescent="0.25">
      <c r="A122" s="225" t="str">
        <f>"STIR: "&amp;malumot!B167&amp;""</f>
        <v>STIR: 306365847</v>
      </c>
      <c r="B122" s="357" t="str">
        <f>"Tel: "&amp;malumot!B40&amp;""</f>
        <v>Tel: 94 545-76-56 O'ZI</v>
      </c>
    </row>
    <row r="123" spans="1:3" x14ac:dyDescent="0.25">
      <c r="A123" s="365" t="str">
        <f>"Tel: (78) 113 31 33"</f>
        <v>Tel: (78) 113 31 33</v>
      </c>
      <c r="B123" s="357" t="str">
        <f>malumot!B41</f>
        <v>93 547-13-19  AYOLI</v>
      </c>
    </row>
    <row r="124" spans="1:3" x14ac:dyDescent="0.25">
      <c r="A124" s="365" t="s">
        <v>8</v>
      </c>
      <c r="B124" s="357" t="str">
        <f>malumot!B42</f>
        <v>93 753-02-44 O'RTOG'I</v>
      </c>
    </row>
    <row r="125" spans="1:3" x14ac:dyDescent="0.25">
      <c r="A125" s="366"/>
      <c r="B125" s="353"/>
    </row>
    <row r="126" spans="1:3" x14ac:dyDescent="0.25">
      <c r="A126" s="367" t="str">
        <f>malumot!A171</f>
        <v>Qorako'l filiali boshlig'i</v>
      </c>
      <c r="B126" s="358" t="str">
        <f>""&amp;malumot!B7&amp;"     __________________"</f>
        <v>A. ATAXANOV     __________________</v>
      </c>
    </row>
    <row r="127" spans="1:3" x14ac:dyDescent="0.25">
      <c r="A127" s="367"/>
      <c r="B127" s="358"/>
    </row>
    <row r="128" spans="1:3" x14ac:dyDescent="0.25">
      <c r="A128" s="360" t="str">
        <f>malumot!B171</f>
        <v>D. Egamberdiyeva</v>
      </c>
      <c r="B128" s="353"/>
    </row>
    <row r="129" spans="1:2" x14ac:dyDescent="0.25">
      <c r="A129" s="361"/>
      <c r="B129" s="359"/>
    </row>
    <row r="132" spans="1:2" hidden="1" x14ac:dyDescent="0.25">
      <c r="A132" s="7" t="str">
        <f>"менеджер :   "&amp;malumot!B171&amp;"______________"</f>
        <v>менеджер :   D. Egamberdiyeva______________</v>
      </c>
    </row>
  </sheetData>
  <mergeCells count="101">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 ref="A23:B23"/>
    <mergeCell ref="A22:B22"/>
    <mergeCell ref="A21:B21"/>
    <mergeCell ref="A20:B20"/>
    <mergeCell ref="A19:B19"/>
    <mergeCell ref="A32:B32"/>
    <mergeCell ref="A24:B24"/>
    <mergeCell ref="A28:B28"/>
    <mergeCell ref="A29:B29"/>
    <mergeCell ref="A30:B30"/>
    <mergeCell ref="A31:B31"/>
    <mergeCell ref="A11:B11"/>
    <mergeCell ref="A50:B50"/>
    <mergeCell ref="A51:B51"/>
    <mergeCell ref="A42:B42"/>
    <mergeCell ref="A41:B41"/>
    <mergeCell ref="A40:B40"/>
    <mergeCell ref="A39:B39"/>
    <mergeCell ref="A37:B37"/>
    <mergeCell ref="A36:B36"/>
    <mergeCell ref="A35:B35"/>
    <mergeCell ref="A52:B52"/>
    <mergeCell ref="A53:B53"/>
    <mergeCell ref="A49:B49"/>
    <mergeCell ref="A48:B48"/>
    <mergeCell ref="A47:B47"/>
    <mergeCell ref="A46:B46"/>
    <mergeCell ref="A45:B45"/>
    <mergeCell ref="A44:B44"/>
    <mergeCell ref="A43:B43"/>
    <mergeCell ref="A54:B54"/>
    <mergeCell ref="A55:B55"/>
    <mergeCell ref="A56:B56"/>
    <mergeCell ref="A57:B57"/>
    <mergeCell ref="A59:B59"/>
    <mergeCell ref="A60:B60"/>
    <mergeCell ref="A61:B61"/>
    <mergeCell ref="A62:B62"/>
    <mergeCell ref="A63:B63"/>
    <mergeCell ref="A64:B64"/>
    <mergeCell ref="A65:B65"/>
    <mergeCell ref="A66:B66"/>
    <mergeCell ref="A67:B67"/>
    <mergeCell ref="A68:B68"/>
    <mergeCell ref="A69:B69"/>
    <mergeCell ref="A75:B75"/>
    <mergeCell ref="A76:B76"/>
    <mergeCell ref="A78:B78"/>
    <mergeCell ref="A79:B79"/>
    <mergeCell ref="A70:B70"/>
    <mergeCell ref="A71:B71"/>
    <mergeCell ref="A72:B72"/>
    <mergeCell ref="A73:B73"/>
    <mergeCell ref="A74:B74"/>
    <mergeCell ref="A80:B80"/>
    <mergeCell ref="A81:B81"/>
    <mergeCell ref="A82:B82"/>
    <mergeCell ref="A84:B84"/>
    <mergeCell ref="A85:B85"/>
    <mergeCell ref="A92:B92"/>
    <mergeCell ref="A93:B93"/>
    <mergeCell ref="A95:B95"/>
    <mergeCell ref="A96:B96"/>
    <mergeCell ref="A86:B86"/>
    <mergeCell ref="A87:B87"/>
    <mergeCell ref="A88:B88"/>
    <mergeCell ref="A90:B90"/>
    <mergeCell ref="A91:B91"/>
    <mergeCell ref="A108:B108"/>
    <mergeCell ref="A126:A127"/>
    <mergeCell ref="A113:B113"/>
    <mergeCell ref="A109:B109"/>
    <mergeCell ref="A110:B110"/>
    <mergeCell ref="A111:B111"/>
    <mergeCell ref="A112:B112"/>
    <mergeCell ref="A97:B97"/>
    <mergeCell ref="A98:B98"/>
    <mergeCell ref="A100:B100"/>
    <mergeCell ref="A101:B101"/>
    <mergeCell ref="A102:B102"/>
    <mergeCell ref="A103:B103"/>
    <mergeCell ref="A105:B105"/>
    <mergeCell ref="A106:B106"/>
    <mergeCell ref="A107:B107"/>
    <mergeCell ref="B126:B127"/>
  </mergeCells>
  <printOptions horizontalCentered="1"/>
  <pageMargins left="0.70866141732283472" right="0.70866141732283472" top="0.51181102362204722" bottom="0.43307086614173229" header="0.31496062992125984" footer="0.31496062992125984"/>
  <pageSetup paperSize="9" scale="76" orientation="portrait" r:id="rId1"/>
  <rowBreaks count="3" manualBreakCount="3">
    <brk id="48" max="1" man="1"/>
    <brk id="74" max="1" man="1"/>
    <brk id="9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1:E27"/>
  <sheetViews>
    <sheetView view="pageBreakPreview" zoomScaleSheetLayoutView="100" workbookViewId="0">
      <selection activeCell="A17" sqref="A17:E18"/>
    </sheetView>
  </sheetViews>
  <sheetFormatPr defaultColWidth="9.140625" defaultRowHeight="15" outlineLevelRow="1" x14ac:dyDescent="0.25"/>
  <cols>
    <col min="1" max="1" width="23.85546875" style="15" customWidth="1"/>
    <col min="2" max="2" width="23.28515625" style="15" customWidth="1"/>
    <col min="3" max="3" width="17" style="15" customWidth="1"/>
    <col min="4" max="4" width="17.5703125" style="15" customWidth="1"/>
    <col min="5" max="5" width="19.7109375" style="15" customWidth="1"/>
    <col min="6" max="16384" width="9.140625" style="15"/>
  </cols>
  <sheetData>
    <row r="1" spans="1:5" ht="16.5" customHeight="1" x14ac:dyDescent="0.25"/>
    <row r="2" spans="1:5" ht="17.25" customHeight="1" x14ac:dyDescent="0.25">
      <c r="A2" s="246" t="str">
        <f>""&amp;malumot!B157&amp;" ijrochi direktorining
"&amp;malumot!B175&amp;"dagi "&amp;malumot!B174&amp;"-sonli buyrug‘i"</f>
        <v>«CLEVER MIKROMOLIYA TASHKILOTI» MChJ ijrochi direktorining
28 fevral 2025 y.dagi №492-QRS-sonli buyrug‘i</v>
      </c>
      <c r="B2" s="246"/>
      <c r="C2" s="246"/>
      <c r="D2" s="246"/>
      <c r="E2" s="246"/>
    </row>
    <row r="3" spans="1:5" x14ac:dyDescent="0.25">
      <c r="A3" s="246"/>
      <c r="B3" s="246"/>
      <c r="C3" s="246"/>
      <c r="D3" s="246"/>
      <c r="E3" s="246"/>
    </row>
    <row r="4" spans="1:5" x14ac:dyDescent="0.25">
      <c r="A4" s="246"/>
      <c r="B4" s="246"/>
      <c r="C4" s="246"/>
      <c r="D4" s="246"/>
      <c r="E4" s="246"/>
    </row>
    <row r="5" spans="1:5" x14ac:dyDescent="0.25">
      <c r="A5" s="244"/>
      <c r="B5" s="244"/>
      <c r="C5" s="244"/>
      <c r="D5" s="244"/>
      <c r="E5" s="244"/>
    </row>
    <row r="6" spans="1:5" ht="53.25" customHeight="1" x14ac:dyDescent="0.25">
      <c r="A6" s="244" t="str">
        <f>"Men, Abduraximov Nadirbek Kamilevich "&amp;malumot!B157&amp;" ijrochi direktori, jismoniy shaxs "&amp;malumot!B10&amp;"ga quyidagi shartlarda "&amp;malumot!B65&amp;" berishni buyuraman:"</f>
        <v>Men, Abduraximov Nadirbek Kamilevich «CLEVER MIKROMOLIYA TASHKILOTI» MChJ ijrochi direktori, jismoniy shaxs ATAXANOV AKMAL AXMETDJANOVICHga quyidagi shartlarda mikroqarz berishni buyuraman:</v>
      </c>
      <c r="B6" s="244"/>
      <c r="C6" s="244"/>
      <c r="D6" s="244"/>
      <c r="E6" s="244"/>
    </row>
    <row r="7" spans="1:5" ht="26.25" customHeight="1" x14ac:dyDescent="0.25">
      <c r="A7" s="244" t="str">
        <f>'Кредитная заявка'!A13:D13</f>
        <v>Mikroqarz summasi: 65 000 000,00 (oltmish besh million so'm) so'm.</v>
      </c>
      <c r="B7" s="244"/>
      <c r="C7" s="244"/>
      <c r="D7" s="244"/>
      <c r="E7" s="244"/>
    </row>
    <row r="8" spans="1:5" ht="21" customHeight="1" x14ac:dyDescent="0.25">
      <c r="A8" s="244" t="str">
        <f>'Кредитная заявка'!A14:D14</f>
        <v>Mikroqarz muddati: 24 (yigirma to'rt) oy.</v>
      </c>
      <c r="B8" s="244"/>
      <c r="C8" s="244"/>
      <c r="D8" s="244"/>
      <c r="E8" s="244"/>
    </row>
    <row r="9" spans="1:5" ht="27" customHeight="1" x14ac:dyDescent="0.25">
      <c r="A9" s="244" t="str">
        <f>'Кредитная заявка'!A15:D15</f>
        <v>Mikroqarzdan foydalanganlik uchun foiz stavkasi: yillik  60% (Oltmish) foiz</v>
      </c>
      <c r="B9" s="244"/>
      <c r="C9" s="244"/>
      <c r="D9" s="244"/>
      <c r="E9" s="244"/>
    </row>
    <row r="10" spans="1:5" ht="26.25" customHeight="1" x14ac:dyDescent="0.25">
      <c r="A10" s="244" t="str">
        <f>'Кредитная заявка'!A16:D16</f>
        <v>Mikroqarz bo'yicha asosiy qarz va foizlarni to'lash:</v>
      </c>
      <c r="B10" s="244"/>
      <c r="C10" s="244"/>
      <c r="D10" s="244"/>
      <c r="E10" s="244"/>
    </row>
    <row r="11" spans="1:5" ht="21.75" hidden="1" customHeight="1" x14ac:dyDescent="0.25">
      <c r="A11" s="244" t="str">
        <f>'Кредитная заявка'!A17:D17</f>
        <v xml:space="preserve"> - mikroqarz shartnomasi bo'yicha har oy differensial to'lovlari amalga oshiriladi</v>
      </c>
      <c r="B11" s="244"/>
      <c r="C11" s="244"/>
      <c r="D11" s="244"/>
      <c r="E11" s="244"/>
    </row>
    <row r="12" spans="1:5" hidden="1" x14ac:dyDescent="0.25">
      <c r="A12" s="244" t="str">
        <f>'Кредитная заявка'!A19:D19</f>
        <v xml:space="preserve"> - mikroqarz shartnomasi bo'yicha har oy differensial to'lovlari amalga oshiriladi</v>
      </c>
      <c r="B12" s="244"/>
      <c r="C12" s="244"/>
      <c r="D12" s="244"/>
      <c r="E12" s="244"/>
    </row>
    <row r="13" spans="1:5" ht="23.25" customHeight="1" x14ac:dyDescent="0.25">
      <c r="A13" s="244" t="str">
        <f>IF(malumot!B110="Avtotransport",buyruq!A12:E12,buyruq!A11:E11)</f>
        <v xml:space="preserve"> - mikroqarz shartnomasi bo'yicha har oy differensial to'lovlari amalga oshiriladi</v>
      </c>
      <c r="B13" s="244"/>
      <c r="C13" s="244"/>
      <c r="D13" s="244"/>
      <c r="E13" s="244"/>
    </row>
    <row r="14" spans="1:5" ht="45.75" customHeight="1" x14ac:dyDescent="0.25">
      <c r="A14" s="245" t="str">
        <f>IF(malumot!B110=malumot!D110,""&amp;malumot!C124&amp;"ga tegishli "&amp;malumot!C133&amp;" ko'rinishidagi ko'chmas mulkni quyidagi ma'lumotlarga muvofiq  garovga qabul qilinsin:",""&amp;malumot!B124&amp;"ga tegishli "&amp;malumot!B132&amp;" ko'rinishidagi transport vositasini quyidagi ma'lumotlarga muvofiq garovga qabul qilinsin:")</f>
        <v>BOBONAZAROV ASLBEK AKRAM O'G'LIga tegishli DAMAS-2 ko'rinishidagi transport vositasini quyidagi ma'lumotlarga muvofiq garovga qabul qilinsin:</v>
      </c>
      <c r="B14" s="245"/>
      <c r="C14" s="245"/>
      <c r="D14" s="245"/>
      <c r="E14" s="245"/>
    </row>
    <row r="15" spans="1:5" ht="50.25" hidden="1" customHeight="1" x14ac:dyDescent="0.25">
      <c r="A15" s="244" t="str">
        <f>""&amp;malumot!C124&amp;"ga tegishli "&amp;malumot!C133&amp;" ko'rinishidagi ko'chmas mulkni quyidagi ma'lumotlarga muvofiq  garovga qabul qilinsin:"</f>
        <v>0ga tegishli 3 - xonali yakka tartibdagi uy-joy ko'rinishidagi ko'chmas mulkni quyidagi ma'lumotlarga muvofiq  garovga qabul qilinsin:</v>
      </c>
      <c r="B15" s="244"/>
      <c r="C15" s="244"/>
      <c r="D15" s="244"/>
      <c r="E15" s="244"/>
    </row>
    <row r="16" spans="1:5" ht="47.25" hidden="1" customHeight="1" x14ac:dyDescent="0.25">
      <c r="A16" s="244" t="str">
        <f>""&amp;malumot!B124&amp;"ga tegishli "&amp;malumot!B132&amp;" ko'rinishidagi transport vositasini quyidagi ma'lumotlarga muvofiq garovga qabul qilinsin:"</f>
        <v>BOBONAZAROV ASLBEK AKRAM O'G'LIga tegishli DAMAS-2 ko'rinishidagi transport vositasini quyidagi ma'lumotlarga muvofiq garovga qabul qilinsin:</v>
      </c>
      <c r="B16" s="244"/>
      <c r="C16" s="244"/>
      <c r="D16" s="244"/>
      <c r="E16" s="244"/>
    </row>
    <row r="17" spans="1:5" s="37" customFormat="1" ht="60" customHeight="1" outlineLevel="1" x14ac:dyDescent="0.2">
      <c r="A17" s="39" t="str">
        <f>dalolatnoma!A29</f>
        <v>Nomi</v>
      </c>
      <c r="B17" s="39" t="str">
        <f>dalolatnoma!B29</f>
        <v>Kuzov turi  va kuzov raqami*</v>
      </c>
      <c r="C17" s="39" t="str">
        <f>dalolatnoma!C29</f>
        <v>Dvigatel va shassi raqami*</v>
      </c>
      <c r="D17" s="39" t="str">
        <f>dalolatnoma!D29</f>
        <v>Ishlab chiqarilgan yili va rangi*</v>
      </c>
      <c r="E17" s="39" t="str">
        <f>dalolatnoma!E29</f>
        <v>Kelishilgan garov qiymati, so'm</v>
      </c>
    </row>
    <row r="18" spans="1:5" ht="67.5" customHeight="1" outlineLevel="1" x14ac:dyDescent="0.25">
      <c r="A18" s="219" t="str">
        <f>dalolatnoma!A30</f>
        <v>DAMAS-2</v>
      </c>
      <c r="B18" s="219" t="str">
        <f>dalolatnoma!B30</f>
        <v>kuzov turi - YENGIL SEDAN, kuzov raqami XWB7T12YDRP863654</v>
      </c>
      <c r="C18" s="219" t="str">
        <f>dalolatnoma!C30</f>
        <v xml:space="preserve">dvigatel raqami F8CB240180255, shassi raqami -  - </v>
      </c>
      <c r="D18" s="219" t="str">
        <f>dalolatnoma!D30</f>
        <v>rangi -  OQ SUMMIT WHITE, ishlab chiqarilgan yili - 2024</v>
      </c>
      <c r="E18" s="219" t="str">
        <f>dalolatnoma!E30</f>
        <v>97 500 000,00 
(to'qson yetti million besh yuz ming so'm)</v>
      </c>
    </row>
    <row r="19" spans="1:5" ht="20.25" customHeight="1" outlineLevel="1" x14ac:dyDescent="0.25">
      <c r="A19" s="244" t="str">
        <f>dalolatnoma!A22:E22</f>
        <v>-* avtotransport egasi: BOBONAZAROV ASLBEK AKRAM O'G'LI</v>
      </c>
      <c r="B19" s="244"/>
      <c r="C19" s="244"/>
      <c r="D19" s="244"/>
      <c r="E19" s="244"/>
    </row>
    <row r="20" spans="1:5" ht="20.25" customHeight="1" outlineLevel="1" x14ac:dyDescent="0.25">
      <c r="A20" s="244" t="str">
        <f>dalolatnoma!A23:E23</f>
        <v>-* texnik pasport: AAG 5348590 25.12.2024y.</v>
      </c>
      <c r="B20" s="244"/>
      <c r="C20" s="244"/>
      <c r="D20" s="244"/>
      <c r="E20" s="244"/>
    </row>
    <row r="21" spans="1:5" ht="36" customHeight="1" outlineLevel="1" x14ac:dyDescent="0.25">
      <c r="A21" s="244" t="str">
        <f>dalolatnoma!A24:E24</f>
        <v>-* roʻyxatdan oʻtgan manzili/garaj manzili: BUXORO VILOYATI QORAKO'L TUMANI ZARAFSHON MFY GULISTON 21 UY</v>
      </c>
      <c r="B21" s="244"/>
      <c r="C21" s="244"/>
      <c r="D21" s="244"/>
      <c r="E21" s="244"/>
    </row>
    <row r="22" spans="1:5" ht="19.5" customHeight="1" outlineLevel="1" x14ac:dyDescent="0.25">
      <c r="A22" s="244" t="str">
        <f>dalolatnoma!A25:E25</f>
        <v>-* davlat raqami: 80X089BB</v>
      </c>
      <c r="B22" s="244"/>
      <c r="C22" s="244"/>
      <c r="D22" s="244"/>
      <c r="E22" s="244"/>
    </row>
    <row r="23" spans="1:5" ht="31.15" customHeight="1" x14ac:dyDescent="0.25">
      <c r="A23" s="245" t="str">
        <f>"	«"&amp;malumot!B153&amp;"» АJ sug‘urta kompaniyasi bilan Mikroqarz to'lamaslik xavfini "&amp;FIXED(malumot!B154,2)&amp;"("&amp;malumot!B155&amp;") so'm miqdoriga sug’urta qilish shartnomasi tuzilsin"</f>
        <v xml:space="preserve">	«АО СК "IMPEX INSURANCE"» АJ sug‘urta kompaniyasi bilan Mikroqarz to'lamaslik xavfini 15 000 000,00(o'n besh million so'm) so'm miqdoriga sug’urta qilish shartnomasi tuzilsin</v>
      </c>
      <c r="B23" s="245"/>
      <c r="C23" s="245"/>
      <c r="D23" s="245"/>
      <c r="E23" s="245"/>
    </row>
    <row r="24" spans="1:5" s="37" customFormat="1" x14ac:dyDescent="0.2">
      <c r="A24" s="244"/>
      <c r="B24" s="244"/>
      <c r="C24" s="244"/>
      <c r="D24" s="244"/>
      <c r="E24" s="244"/>
    </row>
    <row r="25" spans="1:5" x14ac:dyDescent="0.25">
      <c r="B25" s="37" t="str">
        <f>malumot!B157</f>
        <v>«CLEVER MIKROMOLIYA TASHKILOTI» MChJ</v>
      </c>
    </row>
    <row r="26" spans="1:5" x14ac:dyDescent="0.25">
      <c r="B26" s="37" t="s">
        <v>441</v>
      </c>
    </row>
    <row r="27" spans="1:5" x14ac:dyDescent="0.25">
      <c r="B27" s="37" t="s">
        <v>442</v>
      </c>
    </row>
  </sheetData>
  <mergeCells count="19">
    <mergeCell ref="A13:E13"/>
    <mergeCell ref="A15:E15"/>
    <mergeCell ref="A14:E14"/>
    <mergeCell ref="A21:E21"/>
    <mergeCell ref="A22:E22"/>
    <mergeCell ref="A23:E23"/>
    <mergeCell ref="A2:E4"/>
    <mergeCell ref="A24:E24"/>
    <mergeCell ref="A20:E20"/>
    <mergeCell ref="A12:E12"/>
    <mergeCell ref="A16:E16"/>
    <mergeCell ref="A5:E5"/>
    <mergeCell ref="A6:E6"/>
    <mergeCell ref="A11:E11"/>
    <mergeCell ref="A7:E7"/>
    <mergeCell ref="A8:E8"/>
    <mergeCell ref="A9:E9"/>
    <mergeCell ref="A10:E10"/>
    <mergeCell ref="A19:E19"/>
  </mergeCells>
  <pageMargins left="0.70866141732283472" right="0.70866141732283472" top="0.74803149606299213" bottom="0.74803149606299213" header="0.31496062992125984" footer="0.31496062992125984"/>
  <pageSetup paperSize="9" scale="83"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39"/>
  <sheetViews>
    <sheetView view="pageBreakPreview" zoomScaleNormal="100" zoomScaleSheetLayoutView="100" workbookViewId="0">
      <selection activeCell="E3" sqref="E3"/>
    </sheetView>
  </sheetViews>
  <sheetFormatPr defaultRowHeight="15" x14ac:dyDescent="0.25"/>
  <cols>
    <col min="1" max="1" width="22.85546875" style="63" customWidth="1"/>
    <col min="2" max="2" width="24.28515625" style="63" customWidth="1"/>
    <col min="3" max="3" width="18.42578125" style="63" customWidth="1"/>
    <col min="4" max="4" width="18" style="63" customWidth="1"/>
    <col min="5" max="5" width="25.140625" style="63"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x14ac:dyDescent="0.25">
      <c r="A1" s="249" t="str">
        <f>""&amp;malumot!B157&amp;"
mikromoliya tashkiloti
Kredit qo‘mitasining yig‘ilishi"</f>
        <v>«CLEVER MIKROMOLIYA TASHKILOTI» MChJ
mikromoliya tashkiloti
Kredit qo‘mitasining yig‘ilishi</v>
      </c>
      <c r="B1" s="249"/>
      <c r="C1" s="249"/>
      <c r="D1" s="249"/>
      <c r="E1" s="249"/>
    </row>
    <row r="2" spans="1:33" ht="29.25" customHeight="1" x14ac:dyDescent="0.25">
      <c r="A2" s="249" t="str">
        <f>""&amp;H7&amp;" protokolidan ko'chirma"</f>
        <v>№492-QRS protokolidan ko'chirma</v>
      </c>
      <c r="B2" s="249"/>
      <c r="C2" s="249"/>
      <c r="D2" s="249"/>
      <c r="E2" s="249"/>
    </row>
    <row r="3" spans="1:33" ht="29.25" customHeight="1" x14ac:dyDescent="0.25">
      <c r="A3" s="137" t="s">
        <v>203</v>
      </c>
      <c r="B3" s="53"/>
      <c r="C3" s="53"/>
      <c r="D3" s="53"/>
      <c r="E3" s="138" t="str">
        <f>malumot!B68</f>
        <v>28 fevral 2025 y.</v>
      </c>
    </row>
    <row r="4" spans="1:33" ht="21" customHeight="1" x14ac:dyDescent="0.25">
      <c r="A4" s="53"/>
      <c r="B4" s="249" t="s">
        <v>202</v>
      </c>
      <c r="C4" s="249"/>
      <c r="D4" s="249"/>
      <c r="E4" s="53"/>
    </row>
    <row r="5" spans="1:33" ht="28.5" customHeight="1" x14ac:dyDescent="0.25">
      <c r="A5" s="248" t="str">
        <f>"         "&amp;H8&amp;"."&amp;malumot!B5&amp;" ga "&amp;malumot!B65&amp;" berish masalasini ko‘rib chiqish to‘g‘risida."</f>
        <v xml:space="preserve">         1.ATAXANOV AKMAL AXMETDJANOVICH ga mikroqarz berish masalasini ko‘rib chiqish to‘g‘risida.</v>
      </c>
      <c r="B5" s="248"/>
      <c r="C5" s="248"/>
      <c r="D5" s="248"/>
      <c r="E5" s="248"/>
    </row>
    <row r="6" spans="1:33" ht="9" customHeight="1" x14ac:dyDescent="0.25"/>
    <row r="7" spans="1:33" ht="21" customHeight="1" x14ac:dyDescent="0.35">
      <c r="A7" s="244" t="str">
        <f>"      "&amp;H9&amp;" masala yuzasidan: «Clever Mikromoliya Tashkiloti» MChJ mikromoliya tashkiloti kredit bo‘yicha menejeri  "&amp;malumot!B5&amp;"ga "&amp;FIXED(malumot!B76)&amp;" ("&amp;malumot!B77&amp;") so‘m miqdorida, muddati "&amp;malumot!B82&amp;" ("&amp;malumot!B83&amp;") oyga va yillik 60 (Oltmish) foiz miqdorida "&amp;malumot!B65&amp;" berich bo‘yicha "&amp;malumot!B5&amp;"ning kredit arizasi va "&amp;malumot!B157&amp;"ning xulosasi bilan ishtirokchilarni tanishtirdi."</f>
        <v xml:space="preserve">      Birinchi masala yuzasidan: «Clever Mikromoliya Tashkiloti» MChJ mikromoliya tashkiloti kredit bo‘yicha menejeri  ATAXANOV AKMAL AXMETDJANOVICHga 65 000 000,00 (oltmish besh million so'm) so‘m miqdorida, muddati 24 (yigirma to'rt) oyga va yillik 60 (Oltmish) foiz miqdorida mikroqarz berich bo‘yicha ATAXANOV AKMAL AXMETDJANOVICHning kredit arizasi va «CLEVER MIKROMOLIYA TASHKILOTI» MChJning xulosasi bilan ishtirokchilarni tanishtirdi.</v>
      </c>
      <c r="B7" s="244"/>
      <c r="C7" s="244"/>
      <c r="D7" s="244"/>
      <c r="E7" s="244"/>
      <c r="G7" s="64" t="s">
        <v>257</v>
      </c>
      <c r="H7" s="65" t="str">
        <f>malumot!B1</f>
        <v>№492-QRS</v>
      </c>
    </row>
    <row r="8" spans="1:33" ht="44.25" customHeight="1" x14ac:dyDescent="0.35">
      <c r="A8" s="244"/>
      <c r="B8" s="244"/>
      <c r="C8" s="244"/>
      <c r="D8" s="244"/>
      <c r="E8" s="244"/>
      <c r="G8" s="64" t="s">
        <v>258</v>
      </c>
      <c r="H8" s="65">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9.75" customHeight="1" x14ac:dyDescent="0.35">
      <c r="A9" s="244"/>
      <c r="B9" s="244"/>
      <c r="C9" s="244"/>
      <c r="D9" s="244"/>
      <c r="E9" s="244"/>
      <c r="G9" s="64" t="s">
        <v>259</v>
      </c>
      <c r="H9" s="65" t="str">
        <f>IF(H8=I8,I9,IF(H8=J8,J9,IF(H8=K8,K9,IF(H8=L8,L9,IF(H8=M8,M9,IF(H8=N8,N9,IF(H8=O8,O9,IF(H8=P8,P9,IF(H8=Q8,Q9,IF(H8=R8,R9,IF(H8=S8,S9,IF(H8=T8,T9,IF(H8=U8,U9,IF(H8=V8,V9,IF(H8=W8,W9,IF(H8=X8,X9,IF(H8=Y8,Y9,IF(H8=Z8,Z9,IF(H8=AA8,AA9,IF(H8=AB8,AB9,IF(H8=AC8,AC9,IF(H8=AD8,AD9,IF(H8=AE8,AE9,IF(H8=AF8,AF9,IF(H8=AG8,AG9)))))))))))))))))))))))))</f>
        <v>Birinchi</v>
      </c>
      <c r="I9" s="159" t="s">
        <v>190</v>
      </c>
      <c r="J9" s="160" t="s">
        <v>191</v>
      </c>
      <c r="K9" s="160" t="s">
        <v>192</v>
      </c>
      <c r="L9" s="160" t="s">
        <v>365</v>
      </c>
      <c r="M9" s="160" t="s">
        <v>193</v>
      </c>
      <c r="N9" s="160" t="s">
        <v>366</v>
      </c>
      <c r="O9" s="160" t="s">
        <v>194</v>
      </c>
      <c r="P9" s="160" t="s">
        <v>195</v>
      </c>
      <c r="Q9" s="160" t="s">
        <v>196</v>
      </c>
      <c r="R9" s="160" t="s">
        <v>355</v>
      </c>
      <c r="S9" s="160" t="s">
        <v>356</v>
      </c>
      <c r="T9" s="160" t="s">
        <v>357</v>
      </c>
      <c r="U9" s="160" t="s">
        <v>358</v>
      </c>
      <c r="V9" s="160" t="s">
        <v>367</v>
      </c>
      <c r="W9" s="160" t="s">
        <v>359</v>
      </c>
      <c r="X9" s="160" t="s">
        <v>360</v>
      </c>
      <c r="Y9" s="160" t="s">
        <v>361</v>
      </c>
      <c r="Z9" s="160" t="s">
        <v>362</v>
      </c>
      <c r="AA9" s="160" t="s">
        <v>363</v>
      </c>
      <c r="AB9" s="160" t="s">
        <v>197</v>
      </c>
      <c r="AC9" s="160" t="s">
        <v>198</v>
      </c>
      <c r="AD9" s="160" t="s">
        <v>199</v>
      </c>
      <c r="AE9" s="160" t="s">
        <v>200</v>
      </c>
      <c r="AF9" s="160" t="s">
        <v>364</v>
      </c>
      <c r="AG9" s="160" t="s">
        <v>201</v>
      </c>
    </row>
    <row r="10" spans="1:33" ht="20.25" hidden="1" customHeight="1" x14ac:dyDescent="0.25">
      <c r="A10" s="244"/>
      <c r="B10" s="244"/>
      <c r="C10" s="244"/>
      <c r="D10" s="244"/>
      <c r="E10" s="244"/>
    </row>
    <row r="11" spans="1:33" ht="15.75" customHeight="1" x14ac:dyDescent="0.25">
      <c r="A11" s="245" t="str">
        <f>""&amp;malumot!C64&amp;" ta’minoti:"</f>
        <v>Mikroqarz ta’minoti:</v>
      </c>
      <c r="B11" s="245"/>
      <c r="C11" s="245"/>
      <c r="D11" s="245"/>
      <c r="E11" s="245"/>
    </row>
    <row r="12" spans="1:33" ht="7.5" customHeight="1" x14ac:dyDescent="0.25"/>
    <row r="13" spans="1:33" ht="64.5" customHeight="1" x14ac:dyDescent="0.25">
      <c r="A13" s="244" t="str">
        <f>xulosa!A18:E18</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13" s="244"/>
      <c r="C13" s="244"/>
      <c r="D13" s="244"/>
      <c r="E13" s="244"/>
    </row>
    <row r="14" spans="1:33" ht="31.9" customHeight="1" x14ac:dyDescent="0.25">
      <c r="A14" s="245" t="str">
        <f>"2. «"&amp;malumot!B153&amp;"» АJ sug‘urta kompaniyasi tomonidan Mikroqarz to'lamaslik xavfini "&amp;FIXED(malumot!B154,2)&amp;"("&amp;malumot!B155&amp;") so ' m miqdoriga sug’urta qilish"</f>
        <v>2. «АО СК "IMPEX INSURANCE"» АJ sug‘urta kompaniyasi tomonidan Mikroqarz to'lamaslik xavfini 15 000 000,00(o'n besh million so'm) so ' m miqdoriga sug’urta qilish</v>
      </c>
      <c r="B14" s="245"/>
      <c r="C14" s="245"/>
      <c r="D14" s="245"/>
      <c r="E14" s="245"/>
    </row>
    <row r="15" spans="1:33" ht="17.25" customHeight="1" x14ac:dyDescent="0.25">
      <c r="C15" s="161" t="s">
        <v>374</v>
      </c>
      <c r="D15" s="161" t="str">
        <f>""&amp;malumot!B157&amp;" kredit qo‘mitasi"</f>
        <v>«CLEVER MIKROMOLIYA TASHKILOTI» MChJ kredit qo‘mitasi</v>
      </c>
      <c r="E15" s="161" t="str">
        <f>CONCATENATE(C15,D15)</f>
        <v xml:space="preserve"> masala yuzasidan berilgan ma’lumotlarni muhokama qilib, Kredit qo‘mitasi a’zolariga taqdim etilgan zarur hujjatlarni o‘rganib, majlisda ishtirok etgan Kredit qo‘mitasi a’zolarining taklif va mulohazalarini inobatga olgan holda «CLEVER MIKROMOLIYA TASHKILOTI» MChJ kredit qo‘mitasi</v>
      </c>
    </row>
    <row r="16" spans="1:33" ht="54" customHeight="1" x14ac:dyDescent="0.25">
      <c r="A16" s="244" t="str">
        <f>CONCATENATE(H9,E15)</f>
        <v>Birinchi masala yuzasidan berilgan ma’lumotlarni muhokama qilib, Kredit qo‘mitasi a’zolariga taqdim etilgan zarur hujjatlarni o‘rganib, majlisda ishtirok etgan Kredit qo‘mitasi a’zolarining taklif va mulohazalarini inobatga olgan holda «CLEVER MIKROMOLIYA TASHKILOTI» MChJ kredit qo‘mitasi</v>
      </c>
      <c r="B16" s="244"/>
      <c r="C16" s="244"/>
      <c r="D16" s="244"/>
      <c r="E16" s="244"/>
    </row>
    <row r="17" spans="1:5" ht="24" customHeight="1" x14ac:dyDescent="0.25">
      <c r="A17" s="250" t="s">
        <v>260</v>
      </c>
      <c r="B17" s="250"/>
      <c r="C17" s="250"/>
      <c r="D17" s="250"/>
      <c r="E17" s="250"/>
    </row>
    <row r="18" spans="1:5" ht="32.25" customHeight="1" x14ac:dyDescent="0.25">
      <c r="A18" s="244" t="str">
        <f>"       "&amp;malumot!B5&amp;"ga quyidagi shartlarda "&amp;malumot!B65&amp;" berish masalasi ma’qullansin:"</f>
        <v xml:space="preserve">       ATAXANOV AKMAL AXMETDJANOVICHga quyidagi shartlarda mikroqarz berish masalasi ma’qullansin:</v>
      </c>
      <c r="B18" s="244"/>
      <c r="C18" s="244"/>
      <c r="D18" s="244"/>
      <c r="E18" s="244"/>
    </row>
    <row r="19" spans="1:5" s="139" customFormat="1" ht="18.75" customHeight="1" x14ac:dyDescent="0.25">
      <c r="A19" s="248" t="str">
        <f>"1. "&amp;malumot!C64&amp;" summasi: "&amp;FIXED(malumot!B76)&amp;" ("&amp;malumot!B77&amp;") so'm."</f>
        <v>1. Mikroqarz summasi: 65 000 000,00 (oltmish besh million so'm) so'm.</v>
      </c>
      <c r="B19" s="248"/>
      <c r="C19" s="248"/>
      <c r="D19" s="248"/>
      <c r="E19" s="248"/>
    </row>
    <row r="20" spans="1:5" s="139" customFormat="1" ht="18.75" customHeight="1" x14ac:dyDescent="0.25">
      <c r="A20" s="248" t="str">
        <f>"2. "&amp;malumot!C64&amp;" muddati: "&amp;malumot!B82&amp;" ("&amp;malumot!B83&amp;") oy "</f>
        <v xml:space="preserve">2. Mikroqarz muddati: 24 (yigirma to'rt) oy </v>
      </c>
      <c r="B20" s="248"/>
      <c r="C20" s="248"/>
      <c r="D20" s="248"/>
      <c r="E20" s="248"/>
    </row>
    <row r="21" spans="1:5" s="139" customFormat="1" ht="18.75" customHeight="1" x14ac:dyDescent="0.25">
      <c r="A21" s="248" t="str">
        <f>"3. "&amp;malumot!C64&amp;"dan foydalanganlik uchun foiz stavkasi:yillik "&amp;malumot!B86&amp;"% ("&amp;malumot!B87&amp;") foiz."</f>
        <v>3. Mikroqarzdan foydalanganlik uchun foiz stavkasi:yillik 60% (Oltmish) foiz.</v>
      </c>
      <c r="B21" s="248"/>
      <c r="C21" s="248"/>
      <c r="D21" s="248"/>
      <c r="E21" s="248"/>
    </row>
    <row r="22" spans="1:5" s="139" customFormat="1" ht="18.75" customHeight="1" x14ac:dyDescent="0.25">
      <c r="A22" s="248" t="str">
        <f>"4. "&amp;malumot!C64&amp;" bo‘yicha asosiy qarz va foizlarni to‘lash:"</f>
        <v>4. Mikroqarz bo‘yicha asosiy qarz va foizlarni to‘lash:</v>
      </c>
      <c r="B22" s="248"/>
      <c r="C22" s="248"/>
      <c r="D22" s="248"/>
      <c r="E22" s="248"/>
    </row>
    <row r="23" spans="1:5" s="139" customFormat="1" ht="18.75" customHeight="1" x14ac:dyDescent="0.25">
      <c r="A23" s="248" t="str">
        <f>'Кредитная заявка'!A19:D19</f>
        <v xml:space="preserve"> - mikroqarz shartnomasi bo'yicha har oy differensial to'lovlari amalga oshiriladi</v>
      </c>
      <c r="B23" s="248"/>
      <c r="C23" s="248"/>
      <c r="D23" s="248"/>
      <c r="E23" s="248"/>
    </row>
    <row r="24" spans="1:5" s="139" customFormat="1" ht="18.75" customHeight="1" x14ac:dyDescent="0.25">
      <c r="A24" s="248" t="s">
        <v>392</v>
      </c>
      <c r="B24" s="248"/>
      <c r="C24" s="248"/>
      <c r="D24" s="248"/>
      <c r="E24" s="248"/>
    </row>
    <row r="25" spans="1:5" ht="48" customHeight="1" x14ac:dyDescent="0.25">
      <c r="A25" s="244" t="str">
        <f>"1. garov  "&amp;xulosa!A29:E29&amp;""</f>
        <v>1. garov   - BOBONAZAROV ASLBEK AKRAM O'G'LI ga mulk huquqi asosida tegishli avtotransport vositasi DAMAS-2 , quyidagi tafsilotlarga muvofiq:</v>
      </c>
      <c r="B25" s="244"/>
      <c r="C25" s="244"/>
      <c r="D25" s="244"/>
      <c r="E25" s="244"/>
    </row>
    <row r="26" spans="1:5" ht="40.5" customHeight="1" x14ac:dyDescent="0.25">
      <c r="A26" s="17" t="str">
        <f>dalolatnoma!A29</f>
        <v>Nomi</v>
      </c>
      <c r="B26" s="17" t="str">
        <f>dalolatnoma!B29</f>
        <v>Kuzov turi  va kuzov raqami*</v>
      </c>
      <c r="C26" s="17" t="str">
        <f>dalolatnoma!C29</f>
        <v>Dvigatel va shassi raqami*</v>
      </c>
      <c r="D26" s="17" t="str">
        <f>dalolatnoma!D29</f>
        <v>Ishlab chiqarilgan yili va rangi*</v>
      </c>
      <c r="E26" s="17" t="str">
        <f>dalolatnoma!E29</f>
        <v>Kelishilgan garov qiymati, so'm</v>
      </c>
    </row>
    <row r="27" spans="1:5" ht="75.75" customHeight="1" x14ac:dyDescent="0.25">
      <c r="A27" s="17" t="str">
        <f>dalolatnoma!A30</f>
        <v>DAMAS-2</v>
      </c>
      <c r="B27" s="17" t="str">
        <f>dalolatnoma!B30</f>
        <v>kuzov turi - YENGIL SEDAN, kuzov raqami XWB7T12YDRP863654</v>
      </c>
      <c r="C27" s="17" t="str">
        <f>dalolatnoma!C30</f>
        <v xml:space="preserve">dvigatel raqami F8CB240180255, shassi raqami -  - </v>
      </c>
      <c r="D27" s="17" t="str">
        <f>dalolatnoma!D30</f>
        <v>rangi -  OQ SUMMIT WHITE, ishlab chiqarilgan yili - 2024</v>
      </c>
      <c r="E27" s="17" t="str">
        <f>dalolatnoma!E30</f>
        <v>97 500 000,00 
(to'qson yetti million besh yuz ming so'm)</v>
      </c>
    </row>
    <row r="28" spans="1:5" ht="20.25" customHeight="1" x14ac:dyDescent="0.25">
      <c r="A28" s="244" t="str">
        <f>dalolatnoma!A22:E22</f>
        <v>-* avtotransport egasi: BOBONAZAROV ASLBEK AKRAM O'G'LI</v>
      </c>
      <c r="B28" s="244"/>
      <c r="C28" s="244"/>
      <c r="D28" s="244"/>
      <c r="E28" s="244"/>
    </row>
    <row r="29" spans="1:5" ht="20.25" customHeight="1" x14ac:dyDescent="0.25">
      <c r="A29" s="244" t="str">
        <f>dalolatnoma!A23:E23</f>
        <v>-* texnik pasport: AAG 5348590 25.12.2024y.</v>
      </c>
      <c r="B29" s="244"/>
      <c r="C29" s="244"/>
      <c r="D29" s="244"/>
      <c r="E29" s="244"/>
    </row>
    <row r="30" spans="1:5" ht="34.5" customHeight="1" x14ac:dyDescent="0.25">
      <c r="A30" s="244" t="str">
        <f>dalolatnoma!A24:E24</f>
        <v>-* roʻyxatdan oʻtgan manzili/garaj manzili: BUXORO VILOYATI QORAKO'L TUMANI ZARAFSHON MFY GULISTON 21 UY</v>
      </c>
      <c r="B30" s="244"/>
      <c r="C30" s="244"/>
      <c r="D30" s="244"/>
      <c r="E30" s="244"/>
    </row>
    <row r="31" spans="1:5" ht="22.5" customHeight="1" x14ac:dyDescent="0.25">
      <c r="A31" s="244" t="str">
        <f>dalolatnoma!A25:E25</f>
        <v>-* davlat raqami: 80X089BB</v>
      </c>
      <c r="B31" s="244"/>
      <c r="C31" s="244"/>
      <c r="D31" s="244"/>
      <c r="E31" s="244"/>
    </row>
    <row r="32" spans="1:5" ht="12" customHeight="1" x14ac:dyDescent="0.25">
      <c r="A32" s="140"/>
      <c r="B32" s="140"/>
      <c r="C32" s="140"/>
      <c r="D32" s="140"/>
      <c r="E32" s="140"/>
    </row>
    <row r="33" spans="1:5" ht="34.9" customHeight="1" x14ac:dyDescent="0.25">
      <c r="A33" s="244" t="str">
        <f>"6. «"&amp;malumot!B153&amp;"» АJ sug‘urta kompaniyasi tomonidan Mikroqarz to'lamaslik xavfini "&amp;FIXED(malumot!B154,2)&amp;"("&amp;malumot!B155&amp;") so ' m miqdoriga sug’urta qilish"</f>
        <v>6. «АО СК "IMPEX INSURANCE"» АJ sug‘urta kompaniyasi tomonidan Mikroqarz to'lamaslik xavfini 15 000 000,00(o'n besh million so'm) so ' m miqdoriga sug’urta qilish</v>
      </c>
      <c r="B33" s="244"/>
      <c r="C33" s="244"/>
      <c r="D33" s="244"/>
      <c r="E33" s="244"/>
    </row>
    <row r="34" spans="1:5" ht="22.5" customHeight="1" x14ac:dyDescent="0.25">
      <c r="A34" s="244" t="str">
        <f>"7. Boshqa shartlar – "&amp;IF(malumot!B110=malumot!B111,"avtotransport vositasi",IF(malumot!B110=malumot!C111,"ko'chmas mulk",0))&amp;" shaklida garov ta'minlangandan keyin "&amp;malumot!B65&amp;" berish."</f>
        <v>7. Boshqa shartlar – 0 shaklida garov ta'minlangandan keyin mikroqarz berish.</v>
      </c>
      <c r="B34" s="244"/>
      <c r="C34" s="244"/>
      <c r="D34" s="244"/>
      <c r="E34" s="244"/>
    </row>
    <row r="36" spans="1:5" ht="24" customHeight="1" x14ac:dyDescent="0.25">
      <c r="A36" s="251" t="s">
        <v>261</v>
      </c>
      <c r="B36" s="251"/>
      <c r="C36" s="251"/>
      <c r="D36" s="251"/>
      <c r="E36" s="251"/>
    </row>
    <row r="37" spans="1:5" ht="33.75" customHeight="1" x14ac:dyDescent="0.25">
      <c r="A37" s="20"/>
      <c r="B37" s="247" t="str">
        <f>malumot!B157&amp;" ijrochi direktori"</f>
        <v>«CLEVER MIKROMOLIYA TASHKILOTI» MChJ ijrochi direktori</v>
      </c>
      <c r="C37" s="247"/>
      <c r="D37" s="217" t="s">
        <v>442</v>
      </c>
      <c r="E37" s="20"/>
    </row>
    <row r="38" spans="1:5" ht="30" customHeight="1" x14ac:dyDescent="0.25">
      <c r="A38" s="20"/>
      <c r="B38" s="247" t="str">
        <f>malumot!A169</f>
        <v>Kreditlash bo’limi boshlig’i</v>
      </c>
      <c r="C38" s="247"/>
      <c r="D38" s="217" t="str">
        <f>malumot!B169</f>
        <v>B. Mominov</v>
      </c>
      <c r="E38" s="20"/>
    </row>
    <row r="39" spans="1:5" ht="30" customHeight="1" x14ac:dyDescent="0.25">
      <c r="A39" s="20"/>
      <c r="B39" s="247" t="str">
        <f>malumot!A170</f>
        <v>Monitoring bo’limi boshlig’i</v>
      </c>
      <c r="C39" s="247"/>
      <c r="D39" s="217" t="str">
        <f>malumot!B170</f>
        <v>B. Jumanazarov</v>
      </c>
      <c r="E39" s="20"/>
    </row>
  </sheetData>
  <mergeCells count="28">
    <mergeCell ref="A22:E22"/>
    <mergeCell ref="A23:E23"/>
    <mergeCell ref="A14:E14"/>
    <mergeCell ref="A24:E24"/>
    <mergeCell ref="A36:E36"/>
    <mergeCell ref="A31:E31"/>
    <mergeCell ref="A25:E25"/>
    <mergeCell ref="A28:E28"/>
    <mergeCell ref="A29:E29"/>
    <mergeCell ref="A30:E30"/>
    <mergeCell ref="A34:E34"/>
    <mergeCell ref="A33:E33"/>
    <mergeCell ref="B37:C37"/>
    <mergeCell ref="B38:C38"/>
    <mergeCell ref="B39:C39"/>
    <mergeCell ref="A20:E20"/>
    <mergeCell ref="A1:E1"/>
    <mergeCell ref="A2:E2"/>
    <mergeCell ref="B4:D4"/>
    <mergeCell ref="A5:E5"/>
    <mergeCell ref="A7:E10"/>
    <mergeCell ref="A11:E11"/>
    <mergeCell ref="A13:E13"/>
    <mergeCell ref="A16:E16"/>
    <mergeCell ref="A17:E17"/>
    <mergeCell ref="A18:E18"/>
    <mergeCell ref="A19:E19"/>
    <mergeCell ref="A21:E21"/>
  </mergeCells>
  <pageMargins left="0.70866141732283472" right="0.70866141732283472" top="0.74803149606299213" bottom="0.74803149606299213" header="0.31496062992125984" footer="0.31496062992125984"/>
  <pageSetup paperSize="9" scale="68" orientation="portrait" verticalDpi="300"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64"/>
  <sheetViews>
    <sheetView zoomScale="70" zoomScaleNormal="70" zoomScaleSheetLayoutView="70" workbookViewId="0">
      <selection activeCell="D43" sqref="D43"/>
    </sheetView>
  </sheetViews>
  <sheetFormatPr defaultColWidth="9.140625" defaultRowHeight="15" outlineLevelCol="1" x14ac:dyDescent="0.25"/>
  <cols>
    <col min="1" max="1" width="9.140625" style="92"/>
    <col min="2" max="2" width="12.28515625" style="92" customWidth="1"/>
    <col min="3" max="3" width="16.5703125" style="92" customWidth="1"/>
    <col min="4" max="4" width="16.7109375" style="92" customWidth="1"/>
    <col min="5" max="5" width="16.5703125" style="92" customWidth="1"/>
    <col min="6" max="6" width="20.85546875" style="92" customWidth="1"/>
    <col min="7" max="7" width="10.140625" style="92" customWidth="1" outlineLevel="1"/>
    <col min="8" max="8" width="19.140625" style="92" customWidth="1"/>
    <col min="9" max="9" width="21.42578125" style="92" customWidth="1"/>
    <col min="10" max="10" width="20.85546875" style="92" customWidth="1"/>
    <col min="11" max="11" width="20.140625" style="92" customWidth="1"/>
    <col min="12" max="12" width="21.42578125" style="92" customWidth="1"/>
    <col min="13" max="13" width="25.42578125" style="92" customWidth="1"/>
    <col min="14" max="14" width="18.28515625" style="92" customWidth="1"/>
    <col min="15" max="17" width="9.140625" style="15"/>
    <col min="18" max="18" width="24.42578125" style="15" customWidth="1"/>
    <col min="19" max="16384" width="9.140625" style="15"/>
  </cols>
  <sheetData>
    <row r="1" spans="1:22" x14ac:dyDescent="0.25">
      <c r="A1" s="91"/>
      <c r="B1" s="91"/>
      <c r="C1" s="91"/>
      <c r="D1" s="91"/>
      <c r="E1" s="252" t="s">
        <v>16</v>
      </c>
      <c r="F1" s="252"/>
    </row>
    <row r="2" spans="1:22" x14ac:dyDescent="0.25">
      <c r="A2" s="91"/>
      <c r="B2" s="91"/>
      <c r="C2" s="91"/>
      <c r="D2" s="91"/>
      <c r="E2" s="91"/>
      <c r="F2" s="93" t="str">
        <f>"к договору микрозайма "&amp;malumot!B74&amp;""</f>
        <v>к договору микрозайма 28 fevral 2025 y.dan №492-QRS</v>
      </c>
    </row>
    <row r="3" spans="1:22" ht="19.5" customHeight="1" x14ac:dyDescent="0.25">
      <c r="A3" s="91"/>
      <c r="B3" s="91"/>
      <c r="C3" s="91"/>
      <c r="D3" s="91"/>
      <c r="E3" s="91"/>
      <c r="F3" s="91"/>
      <c r="H3" s="94"/>
      <c r="I3" s="94"/>
      <c r="J3" s="95"/>
      <c r="K3" s="95"/>
    </row>
    <row r="4" spans="1:22" ht="19.5" customHeight="1" x14ac:dyDescent="0.25">
      <c r="A4" s="253" t="s">
        <v>17</v>
      </c>
      <c r="B4" s="253"/>
      <c r="C4" s="253"/>
      <c r="D4" s="253"/>
      <c r="E4" s="253"/>
      <c r="F4" s="253"/>
      <c r="H4" s="94"/>
      <c r="I4" s="94"/>
      <c r="J4" s="94"/>
      <c r="K4" s="94"/>
    </row>
    <row r="5" spans="1:22" ht="19.5" customHeight="1" x14ac:dyDescent="0.25">
      <c r="L5" s="92">
        <f>malumot!B82</f>
        <v>24</v>
      </c>
    </row>
    <row r="6" spans="1:22" x14ac:dyDescent="0.25">
      <c r="A6" s="254" t="s">
        <v>15</v>
      </c>
      <c r="B6" s="255" t="s">
        <v>9</v>
      </c>
      <c r="C6" s="255" t="s">
        <v>10</v>
      </c>
      <c r="D6" s="256" t="s">
        <v>11</v>
      </c>
      <c r="E6" s="256"/>
      <c r="F6" s="256"/>
    </row>
    <row r="7" spans="1:22" s="16" customFormat="1" x14ac:dyDescent="0.25">
      <c r="A7" s="254"/>
      <c r="B7" s="255"/>
      <c r="C7" s="255"/>
      <c r="D7" s="96" t="s">
        <v>12</v>
      </c>
      <c r="E7" s="96" t="s">
        <v>13</v>
      </c>
      <c r="F7" s="96" t="s">
        <v>14</v>
      </c>
      <c r="G7" s="97"/>
      <c r="H7" s="97"/>
      <c r="I7" s="97"/>
      <c r="J7" s="97"/>
      <c r="K7" s="97"/>
      <c r="L7" s="97"/>
      <c r="M7" s="97"/>
      <c r="N7" s="97"/>
    </row>
    <row r="8" spans="1:22" x14ac:dyDescent="0.25">
      <c r="A8" s="98">
        <v>1</v>
      </c>
      <c r="B8" s="99">
        <f>malumot!B80</f>
        <v>45733</v>
      </c>
      <c r="C8" s="54">
        <f>malumot!B76</f>
        <v>65000000</v>
      </c>
      <c r="D8" s="54">
        <f>IF(IF(C8=0,L8,IF(C8&gt;1,I8))="",0,(IF(C8=0,L8,IF(C8&gt;1,I8))))</f>
        <v>2708333.33</v>
      </c>
      <c r="E8" s="54">
        <f>IF(C8=0,N6,IF(C8&gt;1,L8))</f>
        <v>1816438.4400000002</v>
      </c>
      <c r="F8" s="54">
        <f>IF(C8=0,O6,IF(C8&gt;1,M8))</f>
        <v>4524771.7700000005</v>
      </c>
      <c r="G8" s="112">
        <f>B8-malumot!B67</f>
        <v>17</v>
      </c>
      <c r="H8" s="92">
        <f>DATE(YEAR(B8),12,31)-DATE(YEAR(B8),1,1)+1</f>
        <v>365</v>
      </c>
      <c r="I8" s="100">
        <f>IF(malumot!B84=0,ROUND(C8/L5,2),"")</f>
        <v>2708333.33</v>
      </c>
      <c r="J8" s="100"/>
      <c r="K8" s="100"/>
      <c r="L8" s="94">
        <f>ROUND(C8*malumot!$B$85/H8,2)*G8</f>
        <v>1816438.4400000002</v>
      </c>
      <c r="M8" s="94">
        <f t="shared" ref="M8:M31" si="0">D8+E8</f>
        <v>4524771.7700000005</v>
      </c>
      <c r="N8" s="94"/>
      <c r="O8" s="109" t="str">
        <f>TEXT(B8,"ддд")</f>
        <v>Пн</v>
      </c>
      <c r="P8" s="111">
        <f>IF(O8=$U$8,2,IF(O8=$V$8,1,0))</f>
        <v>0</v>
      </c>
      <c r="Q8" s="111">
        <f>DAY(malumot!$B$79)+P8</f>
        <v>15</v>
      </c>
      <c r="R8" s="106"/>
      <c r="S8" s="107" t="s">
        <v>32</v>
      </c>
      <c r="T8" s="107" t="s">
        <v>33</v>
      </c>
      <c r="U8" s="107" t="s">
        <v>34</v>
      </c>
      <c r="V8" s="108" t="s">
        <v>35</v>
      </c>
    </row>
    <row r="9" spans="1:22" x14ac:dyDescent="0.25">
      <c r="A9" s="98">
        <v>2</v>
      </c>
      <c r="B9" s="99">
        <f>IF(A9&lt;=malumot!$B$82,DATE(YEAR(R9),MONTH(R9),DAY(IF(A9=malumot!$B$82,malumot!$B$67,IF(A9&lt;malumot!$B$82,(Q9),IF(A9&gt;malumot!$B$82,$H$44,0))))))</f>
        <v>45762</v>
      </c>
      <c r="C9" s="54">
        <f t="shared" ref="C9:C30" si="1">C8-D8</f>
        <v>62291666.670000002</v>
      </c>
      <c r="D9" s="54">
        <f t="shared" ref="D9:D30" si="2">IF(C9=0,L9,IF(C9&gt;1,I9))</f>
        <v>2708333.33</v>
      </c>
      <c r="E9" s="54">
        <f t="shared" ref="E9:E30" si="3">IF(C9=0,N8,IF(C9&gt;1,L9))</f>
        <v>2969520.54</v>
      </c>
      <c r="F9" s="54">
        <f t="shared" ref="F9:F30" si="4">IF(C9=0,N8,IF(C9&gt;1,M9))</f>
        <v>5677853.8700000001</v>
      </c>
      <c r="G9" s="92">
        <f>B9-B8</f>
        <v>29</v>
      </c>
      <c r="H9" s="92">
        <f t="shared" ref="H9:H31" si="5">DATE(YEAR(B9),12,31)-DATE(YEAR(B9),1,1)+1</f>
        <v>365</v>
      </c>
      <c r="I9" s="100">
        <f>IF(I8="",ROUND(C8/(L5-1),2),I8)</f>
        <v>2708333.33</v>
      </c>
      <c r="J9" s="100"/>
      <c r="K9" s="100"/>
      <c r="L9" s="94">
        <f>ROUND(C9*malumot!$B$85/H9,2)*G9</f>
        <v>2969520.54</v>
      </c>
      <c r="M9" s="94">
        <f t="shared" si="0"/>
        <v>5677853.8700000001</v>
      </c>
      <c r="N9" s="94"/>
      <c r="O9" s="109" t="str">
        <f>TEXT(R9,"ддд")</f>
        <v>Вт</v>
      </c>
      <c r="P9" s="111">
        <f t="shared" ref="P9:P31" si="6">IF(O9=$U$8,2,IF(O9=$V$8,1,0))</f>
        <v>0</v>
      </c>
      <c r="Q9" s="111">
        <f>DAY(malumot!$B$79)+P9</f>
        <v>15</v>
      </c>
      <c r="R9" s="106">
        <f>IF(A9&lt;=malumot!$B$82,DATE(YEAR($B$8),MONTH($B$8)+A8,DAY(malumot!$B$79)),0)</f>
        <v>45762</v>
      </c>
      <c r="S9" s="92"/>
      <c r="T9" s="92"/>
      <c r="U9" s="92"/>
      <c r="V9" s="92"/>
    </row>
    <row r="10" spans="1:22" x14ac:dyDescent="0.25">
      <c r="A10" s="98">
        <v>3</v>
      </c>
      <c r="B10" s="99">
        <f>IF(A10&lt;=malumot!$B$82,DATE(YEAR(R10),MONTH(R10),DAY(IF(A10=malumot!$B$82,malumot!$B$67,IF(A10&lt;malumot!$B$82,(Q10),IF(A10&gt;malumot!$B$82,$H$44,0))))))</f>
        <v>45792</v>
      </c>
      <c r="C10" s="54">
        <f t="shared" si="1"/>
        <v>59583333.340000004</v>
      </c>
      <c r="D10" s="54">
        <f t="shared" si="2"/>
        <v>2708333.33</v>
      </c>
      <c r="E10" s="54">
        <f t="shared" si="3"/>
        <v>2938356.3000000003</v>
      </c>
      <c r="F10" s="54">
        <f t="shared" si="4"/>
        <v>5646689.6300000008</v>
      </c>
      <c r="G10" s="92">
        <f t="shared" ref="G10:G31" si="7">B10-B9</f>
        <v>30</v>
      </c>
      <c r="H10" s="92">
        <f t="shared" si="5"/>
        <v>365</v>
      </c>
      <c r="I10" s="100">
        <f>I9</f>
        <v>2708333.33</v>
      </c>
      <c r="J10" s="100"/>
      <c r="K10" s="100"/>
      <c r="L10" s="94">
        <f>ROUND(C10*malumot!$B$85/H10,2)*G10</f>
        <v>2938356.3000000003</v>
      </c>
      <c r="M10" s="94">
        <f t="shared" si="0"/>
        <v>5646689.6300000008</v>
      </c>
      <c r="N10" s="94"/>
      <c r="O10" s="109" t="str">
        <f t="shared" ref="O10:O31" si="8">TEXT(R10,"ддд")</f>
        <v>Чт</v>
      </c>
      <c r="P10" s="111">
        <f t="shared" si="6"/>
        <v>0</v>
      </c>
      <c r="Q10" s="111">
        <f>DAY(malumot!$B$79)+P10</f>
        <v>15</v>
      </c>
      <c r="R10" s="106">
        <f>IF(A10&lt;=malumot!$B$82,DATE(YEAR($B$8),MONTH($B$8)+A9,DAY(malumot!$B$79)),0)</f>
        <v>45792</v>
      </c>
      <c r="S10" s="92"/>
      <c r="T10" s="92"/>
      <c r="U10" s="92"/>
      <c r="V10" s="92"/>
    </row>
    <row r="11" spans="1:22" x14ac:dyDescent="0.25">
      <c r="A11" s="98">
        <v>4</v>
      </c>
      <c r="B11" s="99">
        <f>IF(A11&lt;=malumot!$B$82,DATE(YEAR(R11),MONTH(R11),DAY(IF(A11=malumot!$B$82,malumot!$B$67,IF(A11&lt;malumot!$B$82,(Q11),IF(A11&gt;malumot!$B$82,$H$44,0))))))</f>
        <v>45824</v>
      </c>
      <c r="C11" s="54">
        <f t="shared" si="1"/>
        <v>56875000.010000005</v>
      </c>
      <c r="D11" s="54">
        <f t="shared" si="2"/>
        <v>2708333.33</v>
      </c>
      <c r="E11" s="54">
        <f t="shared" si="3"/>
        <v>2991780.8</v>
      </c>
      <c r="F11" s="54">
        <f t="shared" si="4"/>
        <v>5700114.1299999999</v>
      </c>
      <c r="G11" s="92">
        <f t="shared" si="7"/>
        <v>32</v>
      </c>
      <c r="H11" s="92">
        <f t="shared" si="5"/>
        <v>365</v>
      </c>
      <c r="I11" s="100">
        <f>I10</f>
        <v>2708333.33</v>
      </c>
      <c r="J11" s="100"/>
      <c r="K11" s="100"/>
      <c r="L11" s="94">
        <f>ROUND(C11*malumot!$B$85/H11,2)*G11</f>
        <v>2991780.8</v>
      </c>
      <c r="M11" s="94">
        <f t="shared" si="0"/>
        <v>5700114.1299999999</v>
      </c>
      <c r="N11" s="94"/>
      <c r="O11" s="109" t="str">
        <f t="shared" si="8"/>
        <v>Вс</v>
      </c>
      <c r="P11" s="111">
        <f t="shared" si="6"/>
        <v>1</v>
      </c>
      <c r="Q11" s="111">
        <f>DAY(malumot!$B$79)+P11</f>
        <v>16</v>
      </c>
      <c r="R11" s="106">
        <f>IF(A11&lt;=malumot!$B$82,DATE(YEAR($B$8),MONTH($B$8)+A10,DAY(malumot!$B$79)),0)</f>
        <v>45823</v>
      </c>
      <c r="S11" s="92"/>
      <c r="T11" s="92"/>
      <c r="U11" s="92"/>
      <c r="V11" s="92"/>
    </row>
    <row r="12" spans="1:22" x14ac:dyDescent="0.25">
      <c r="A12" s="98">
        <v>5</v>
      </c>
      <c r="B12" s="99">
        <f>IF(A12&lt;=malumot!$B$82,DATE(YEAR(R12),MONTH(R12),DAY(IF(A12=malumot!$B$82,malumot!$B$67,IF(A12&lt;malumot!$B$82,(Q12),IF(A12&gt;malumot!$B$82,$H$44,0))))))</f>
        <v>45853</v>
      </c>
      <c r="C12" s="54">
        <f t="shared" si="1"/>
        <v>54166666.680000007</v>
      </c>
      <c r="D12" s="54">
        <f t="shared" si="2"/>
        <v>2708333.33</v>
      </c>
      <c r="E12" s="54">
        <f t="shared" si="3"/>
        <v>2582191.9000000004</v>
      </c>
      <c r="F12" s="54">
        <f t="shared" si="4"/>
        <v>5290525.2300000004</v>
      </c>
      <c r="G12" s="92">
        <f t="shared" si="7"/>
        <v>29</v>
      </c>
      <c r="H12" s="92">
        <f t="shared" si="5"/>
        <v>365</v>
      </c>
      <c r="I12" s="100">
        <f>I11</f>
        <v>2708333.33</v>
      </c>
      <c r="J12" s="100">
        <f>malumot!B76</f>
        <v>65000000</v>
      </c>
      <c r="K12" s="100"/>
      <c r="L12" s="94">
        <f>ROUND(C12*malumot!$B$85/H12,2)*G12</f>
        <v>2582191.9000000004</v>
      </c>
      <c r="M12" s="94">
        <f t="shared" si="0"/>
        <v>5290525.2300000004</v>
      </c>
      <c r="N12" s="94"/>
      <c r="O12" s="109" t="str">
        <f t="shared" si="8"/>
        <v>Вт</v>
      </c>
      <c r="P12" s="111">
        <f t="shared" si="6"/>
        <v>0</v>
      </c>
      <c r="Q12" s="111">
        <f>DAY(malumot!$B$79)+P12</f>
        <v>15</v>
      </c>
      <c r="R12" s="106">
        <f>IF(A12&lt;=malumot!$B$82,DATE(YEAR($B$8),MONTH($B$8)+A11,DAY(malumot!$B$79)),0)</f>
        <v>45853</v>
      </c>
      <c r="S12" s="92"/>
      <c r="T12" s="92"/>
      <c r="U12" s="92"/>
      <c r="V12" s="92"/>
    </row>
    <row r="13" spans="1:22" x14ac:dyDescent="0.25">
      <c r="A13" s="98">
        <v>6</v>
      </c>
      <c r="B13" s="99">
        <f>IF(A13&lt;=malumot!$B$82,DATE(YEAR(R13),MONTH(R13),DAY(IF(A13=malumot!$B$82,malumot!$B$67,IF(A13&lt;malumot!$B$82,(Q13),IF(A13&gt;malumot!$B$82,$H$44,0))))))</f>
        <v>45884</v>
      </c>
      <c r="C13" s="54">
        <f t="shared" si="1"/>
        <v>51458333.350000009</v>
      </c>
      <c r="D13" s="54">
        <f t="shared" si="2"/>
        <v>2708333.33</v>
      </c>
      <c r="E13" s="54">
        <f t="shared" si="3"/>
        <v>2622260.2399999998</v>
      </c>
      <c r="F13" s="54">
        <f t="shared" si="4"/>
        <v>5330593.57</v>
      </c>
      <c r="G13" s="92">
        <f t="shared" si="7"/>
        <v>31</v>
      </c>
      <c r="H13" s="92">
        <f t="shared" si="5"/>
        <v>365</v>
      </c>
      <c r="I13" s="100">
        <f>IF(L5=H1,K13,IF(L5&gt;H1,I12))</f>
        <v>2708333.33</v>
      </c>
      <c r="J13" s="100">
        <f>SUM($I$8:I12)</f>
        <v>13541666.65</v>
      </c>
      <c r="K13" s="100">
        <f>$J$12-J13</f>
        <v>51458333.350000001</v>
      </c>
      <c r="L13" s="94">
        <f>ROUND(C13*malumot!$B$85/H13,2)*G13</f>
        <v>2622260.2399999998</v>
      </c>
      <c r="M13" s="94">
        <f t="shared" si="0"/>
        <v>5330593.57</v>
      </c>
      <c r="N13" s="94"/>
      <c r="O13" s="109" t="str">
        <f t="shared" si="8"/>
        <v>Пт</v>
      </c>
      <c r="P13" s="111">
        <f t="shared" si="6"/>
        <v>0</v>
      </c>
      <c r="Q13" s="111">
        <f>DAY(malumot!$B$79)+P13</f>
        <v>15</v>
      </c>
      <c r="R13" s="106">
        <f>IF(A13&lt;=malumot!$B$82,DATE(YEAR($B$8),MONTH($B$8)+A12,DAY(malumot!$B$79)),0)</f>
        <v>45884</v>
      </c>
      <c r="S13" s="92"/>
      <c r="T13" s="92"/>
      <c r="U13" s="92"/>
      <c r="V13" s="92"/>
    </row>
    <row r="14" spans="1:22" x14ac:dyDescent="0.25">
      <c r="A14" s="98">
        <v>7</v>
      </c>
      <c r="B14" s="99">
        <f>IF(A14&lt;=malumot!$B$82,DATE(YEAR(R14),MONTH(R14),DAY(IF(A14=malumot!$B$82,malumot!$B$67,IF(A14&lt;malumot!$B$82,(Q14),IF(A14&gt;malumot!$B$82,$H$44,0))))))</f>
        <v>45915</v>
      </c>
      <c r="C14" s="54">
        <f t="shared" si="1"/>
        <v>48750000.020000011</v>
      </c>
      <c r="D14" s="54">
        <f t="shared" si="2"/>
        <v>2708333.33</v>
      </c>
      <c r="E14" s="54">
        <f t="shared" si="3"/>
        <v>2484246.69</v>
      </c>
      <c r="F14" s="54">
        <f t="shared" si="4"/>
        <v>5192580.0199999996</v>
      </c>
      <c r="G14" s="92">
        <f t="shared" si="7"/>
        <v>31</v>
      </c>
      <c r="H14" s="92">
        <f t="shared" si="5"/>
        <v>365</v>
      </c>
      <c r="I14" s="100">
        <f>IF($L$5=A14,K14,IF($L$5&gt;A14,I13))</f>
        <v>2708333.33</v>
      </c>
      <c r="J14" s="100">
        <f>SUM($I$8:I13)</f>
        <v>16249999.98</v>
      </c>
      <c r="K14" s="100">
        <f t="shared" ref="K14:K31" si="9">$J$12-J14</f>
        <v>48750000.019999996</v>
      </c>
      <c r="L14" s="94">
        <f>ROUND(C14*malumot!$B$85/H14,2)*G14</f>
        <v>2484246.69</v>
      </c>
      <c r="M14" s="94">
        <f t="shared" si="0"/>
        <v>5192580.0199999996</v>
      </c>
      <c r="N14" s="94"/>
      <c r="O14" s="109" t="str">
        <f t="shared" si="8"/>
        <v>Пн</v>
      </c>
      <c r="P14" s="111">
        <f t="shared" si="6"/>
        <v>0</v>
      </c>
      <c r="Q14" s="111">
        <f>DAY(malumot!$B$79)+P14</f>
        <v>15</v>
      </c>
      <c r="R14" s="106">
        <f>IF(A14&lt;=malumot!$B$82,DATE(YEAR($B$8),MONTH($B$8)+A13,DAY(malumot!$B$79)),0)</f>
        <v>45915</v>
      </c>
      <c r="S14" s="92"/>
      <c r="T14" s="92"/>
      <c r="U14" s="92"/>
      <c r="V14" s="92"/>
    </row>
    <row r="15" spans="1:22" x14ac:dyDescent="0.25">
      <c r="A15" s="98">
        <v>8</v>
      </c>
      <c r="B15" s="99">
        <f>IF(A15&lt;=malumot!$B$82,DATE(YEAR(R15),MONTH(R15),DAY(IF(A15=malumot!$B$82,malumot!$B$67,IF(A15&lt;malumot!$B$82,(Q15),IF(A15&gt;malumot!$B$82,$H$44,0))))))</f>
        <v>45945</v>
      </c>
      <c r="C15" s="54">
        <f t="shared" si="1"/>
        <v>46041666.690000013</v>
      </c>
      <c r="D15" s="54">
        <f t="shared" si="2"/>
        <v>2708333.33</v>
      </c>
      <c r="E15" s="54">
        <f t="shared" si="3"/>
        <v>2270547.9</v>
      </c>
      <c r="F15" s="54">
        <f t="shared" si="4"/>
        <v>4978881.2300000004</v>
      </c>
      <c r="G15" s="92">
        <f t="shared" si="7"/>
        <v>30</v>
      </c>
      <c r="H15" s="92">
        <f t="shared" si="5"/>
        <v>365</v>
      </c>
      <c r="I15" s="100">
        <f t="shared" ref="I15:I31" si="10">IF($L$5=A15,K15,IF($L$5&gt;A15,I14))</f>
        <v>2708333.33</v>
      </c>
      <c r="J15" s="100">
        <f>SUM($I$8:I14)</f>
        <v>18958333.310000002</v>
      </c>
      <c r="K15" s="100">
        <f t="shared" si="9"/>
        <v>46041666.689999998</v>
      </c>
      <c r="L15" s="94">
        <f>ROUND(C15*malumot!$B$85/H15,2)*G15</f>
        <v>2270547.9</v>
      </c>
      <c r="M15" s="94">
        <f t="shared" si="0"/>
        <v>4978881.2300000004</v>
      </c>
      <c r="N15" s="94"/>
      <c r="O15" s="109" t="str">
        <f t="shared" si="8"/>
        <v>Ср</v>
      </c>
      <c r="P15" s="111">
        <f t="shared" si="6"/>
        <v>0</v>
      </c>
      <c r="Q15" s="111">
        <f>DAY(malumot!$B$79)+P15</f>
        <v>15</v>
      </c>
      <c r="R15" s="106">
        <f>IF(A15&lt;=malumot!$B$82,DATE(YEAR($B$8),MONTH($B$8)+A14,DAY(malumot!$B$79)),0)</f>
        <v>45945</v>
      </c>
      <c r="S15" s="92"/>
      <c r="T15" s="92"/>
      <c r="U15" s="92"/>
      <c r="V15" s="92"/>
    </row>
    <row r="16" spans="1:22" x14ac:dyDescent="0.25">
      <c r="A16" s="98">
        <v>9</v>
      </c>
      <c r="B16" s="99">
        <f>IF(A16&lt;=malumot!$B$82,DATE(YEAR(R16),MONTH(R16),DAY(IF(A16=malumot!$B$82,malumot!$B$67,IF(A16&lt;malumot!$B$82,(Q16),IF(A16&gt;malumot!$B$82,$H$44,0))))))</f>
        <v>45978</v>
      </c>
      <c r="C16" s="54">
        <f t="shared" si="1"/>
        <v>43333333.360000014</v>
      </c>
      <c r="D16" s="54">
        <f t="shared" si="2"/>
        <v>2708333.33</v>
      </c>
      <c r="E16" s="54">
        <f t="shared" si="3"/>
        <v>2350685.04</v>
      </c>
      <c r="F16" s="54">
        <f t="shared" si="4"/>
        <v>5059018.37</v>
      </c>
      <c r="G16" s="92">
        <f t="shared" si="7"/>
        <v>33</v>
      </c>
      <c r="H16" s="92">
        <f t="shared" si="5"/>
        <v>365</v>
      </c>
      <c r="I16" s="100">
        <f t="shared" si="10"/>
        <v>2708333.33</v>
      </c>
      <c r="J16" s="100">
        <f>SUM($I$8:I15)</f>
        <v>21666666.640000001</v>
      </c>
      <c r="K16" s="100">
        <f t="shared" si="9"/>
        <v>43333333.359999999</v>
      </c>
      <c r="L16" s="94">
        <f>ROUND(C16*malumot!$B$85/H16,2)*G16</f>
        <v>2350685.04</v>
      </c>
      <c r="M16" s="94">
        <f t="shared" si="0"/>
        <v>5059018.37</v>
      </c>
      <c r="N16" s="94"/>
      <c r="O16" s="109" t="str">
        <f t="shared" si="8"/>
        <v>Сб</v>
      </c>
      <c r="P16" s="111">
        <f t="shared" si="6"/>
        <v>2</v>
      </c>
      <c r="Q16" s="111">
        <f>DAY(malumot!$B$79)+P16</f>
        <v>17</v>
      </c>
      <c r="R16" s="106">
        <f>IF(A16&lt;=malumot!$B$82,DATE(YEAR($B$8),MONTH($B$8)+A15,DAY(malumot!$B$79)),0)</f>
        <v>45976</v>
      </c>
      <c r="S16" s="92"/>
      <c r="T16" s="92"/>
      <c r="U16" s="92"/>
      <c r="V16" s="92"/>
    </row>
    <row r="17" spans="1:22" x14ac:dyDescent="0.25">
      <c r="A17" s="98">
        <v>10</v>
      </c>
      <c r="B17" s="99">
        <f>IF(A17&lt;=malumot!$B$82,DATE(YEAR(R17),MONTH(R17),DAY(IF(A17=malumot!$B$82,malumot!$B$67,IF(A17&lt;malumot!$B$82,(Q17),IF(A17&gt;malumot!$B$82,$H$44,0))))))</f>
        <v>46006</v>
      </c>
      <c r="C17" s="54">
        <f t="shared" si="1"/>
        <v>40625000.030000016</v>
      </c>
      <c r="D17" s="54">
        <f t="shared" si="2"/>
        <v>2708333.33</v>
      </c>
      <c r="E17" s="54">
        <f t="shared" si="3"/>
        <v>1869862.9600000002</v>
      </c>
      <c r="F17" s="54">
        <f t="shared" si="4"/>
        <v>4578196.29</v>
      </c>
      <c r="G17" s="92">
        <f t="shared" si="7"/>
        <v>28</v>
      </c>
      <c r="H17" s="92">
        <f t="shared" si="5"/>
        <v>365</v>
      </c>
      <c r="I17" s="100">
        <f t="shared" si="10"/>
        <v>2708333.33</v>
      </c>
      <c r="J17" s="100">
        <f>SUM($I$8:I16)</f>
        <v>24374999.969999999</v>
      </c>
      <c r="K17" s="100">
        <f>$J$12-J17</f>
        <v>40625000.030000001</v>
      </c>
      <c r="L17" s="94">
        <f>ROUND(C17*malumot!$B$85/H17,2)*G17</f>
        <v>1869862.9600000002</v>
      </c>
      <c r="M17" s="94">
        <f t="shared" si="0"/>
        <v>4578196.29</v>
      </c>
      <c r="N17" s="94"/>
      <c r="O17" s="109" t="str">
        <f t="shared" si="8"/>
        <v>Пн</v>
      </c>
      <c r="P17" s="111">
        <f t="shared" si="6"/>
        <v>0</v>
      </c>
      <c r="Q17" s="111">
        <f>DAY(malumot!$B$79)+P17</f>
        <v>15</v>
      </c>
      <c r="R17" s="106">
        <f>IF(A17&lt;=malumot!$B$82,DATE(YEAR($B$8),MONTH($B$8)+A16,DAY(malumot!$B$79)),0)</f>
        <v>46006</v>
      </c>
      <c r="S17" s="92"/>
      <c r="T17" s="92"/>
      <c r="U17" s="92"/>
      <c r="V17" s="92"/>
    </row>
    <row r="18" spans="1:22" x14ac:dyDescent="0.25">
      <c r="A18" s="98">
        <v>11</v>
      </c>
      <c r="B18" s="99">
        <f>IF(A18&lt;=malumot!$B$82,DATE(YEAR(R18),MONTH(R18),DAY(IF(A18=malumot!$B$82,malumot!$B$67,IF(A18&lt;malumot!$B$82,(Q18),IF(A18&gt;malumot!$B$82,$H$44,0))))))</f>
        <v>46037</v>
      </c>
      <c r="C18" s="54">
        <f t="shared" si="1"/>
        <v>37916666.700000018</v>
      </c>
      <c r="D18" s="54">
        <f t="shared" si="2"/>
        <v>2708333.33</v>
      </c>
      <c r="E18" s="54">
        <f t="shared" si="3"/>
        <v>1932191.8699999999</v>
      </c>
      <c r="F18" s="54">
        <f t="shared" si="4"/>
        <v>4640525.2</v>
      </c>
      <c r="G18" s="92">
        <f t="shared" si="7"/>
        <v>31</v>
      </c>
      <c r="H18" s="92">
        <f t="shared" si="5"/>
        <v>365</v>
      </c>
      <c r="I18" s="100">
        <f t="shared" si="10"/>
        <v>2708333.33</v>
      </c>
      <c r="J18" s="100">
        <f>SUM($I$8:I17)</f>
        <v>27083333.299999997</v>
      </c>
      <c r="K18" s="100">
        <f t="shared" si="9"/>
        <v>37916666.700000003</v>
      </c>
      <c r="L18" s="94">
        <f>ROUND(C18*malumot!$B$85/H18,2)*G18</f>
        <v>1932191.8699999999</v>
      </c>
      <c r="M18" s="94">
        <f t="shared" si="0"/>
        <v>4640525.2</v>
      </c>
      <c r="N18" s="94"/>
      <c r="O18" s="109" t="str">
        <f t="shared" si="8"/>
        <v>Чт</v>
      </c>
      <c r="P18" s="111">
        <f t="shared" si="6"/>
        <v>0</v>
      </c>
      <c r="Q18" s="111">
        <f>DAY(malumot!$B$79)+P18</f>
        <v>15</v>
      </c>
      <c r="R18" s="106">
        <f>IF(A18&lt;=malumot!$B$82,DATE(YEAR($B$8),MONTH($B$8)+A17,DAY(malumot!$B$79)),0)</f>
        <v>46037</v>
      </c>
      <c r="S18" s="92"/>
      <c r="T18" s="92"/>
      <c r="U18" s="92"/>
      <c r="V18" s="92"/>
    </row>
    <row r="19" spans="1:22" x14ac:dyDescent="0.25">
      <c r="A19" s="98">
        <v>12</v>
      </c>
      <c r="B19" s="99">
        <f>IF(A19&lt;=malumot!$B$82,DATE(YEAR(R19),MONTH(R19),DAY(IF(A19=malumot!$B$82,malumot!$B$67,IF(A19&lt;malumot!$B$82,(Q19),IF(A19&gt;malumot!$B$82,$H$44,0))))))</f>
        <v>46069</v>
      </c>
      <c r="C19" s="54">
        <f t="shared" si="1"/>
        <v>35208333.37000002</v>
      </c>
      <c r="D19" s="54">
        <f t="shared" si="2"/>
        <v>2708333.33</v>
      </c>
      <c r="E19" s="54">
        <f t="shared" si="3"/>
        <v>1852054.72</v>
      </c>
      <c r="F19" s="54">
        <f t="shared" si="4"/>
        <v>4560388.05</v>
      </c>
      <c r="G19" s="92">
        <f t="shared" si="7"/>
        <v>32</v>
      </c>
      <c r="H19" s="92">
        <f t="shared" si="5"/>
        <v>365</v>
      </c>
      <c r="I19" s="100">
        <f t="shared" si="10"/>
        <v>2708333.33</v>
      </c>
      <c r="J19" s="100">
        <f>SUM($I$8:I18)</f>
        <v>29791666.629999995</v>
      </c>
      <c r="K19" s="100">
        <f t="shared" si="9"/>
        <v>35208333.370000005</v>
      </c>
      <c r="L19" s="94">
        <f>ROUND(C19*malumot!$B$85/H19,2)*G19</f>
        <v>1852054.72</v>
      </c>
      <c r="M19" s="94">
        <f t="shared" si="0"/>
        <v>4560388.05</v>
      </c>
      <c r="N19" s="94"/>
      <c r="O19" s="109" t="str">
        <f t="shared" si="8"/>
        <v>Вс</v>
      </c>
      <c r="P19" s="111">
        <f t="shared" si="6"/>
        <v>1</v>
      </c>
      <c r="Q19" s="111">
        <f>DAY(malumot!$B$79)+P19</f>
        <v>16</v>
      </c>
      <c r="R19" s="106">
        <f>IF(A19&lt;=malumot!$B$82,DATE(YEAR($B$8),MONTH($B$8)+A18,DAY(malumot!$B$79)),0)</f>
        <v>46068</v>
      </c>
      <c r="S19" s="92"/>
      <c r="T19" s="92"/>
      <c r="U19" s="92"/>
      <c r="V19" s="92"/>
    </row>
    <row r="20" spans="1:22" x14ac:dyDescent="0.25">
      <c r="A20" s="98">
        <v>13</v>
      </c>
      <c r="B20" s="99">
        <f>IF(A20&lt;=malumot!$B$82,DATE(YEAR(R20),MONTH(R20),DAY(IF(A20=malumot!$B$82,malumot!$B$67,IF(A20&lt;malumot!$B$82,(Q20),IF(A20&gt;malumot!$B$82,$H$44,0))))))</f>
        <v>46097</v>
      </c>
      <c r="C20" s="54">
        <f t="shared" si="1"/>
        <v>32500000.040000021</v>
      </c>
      <c r="D20" s="54">
        <f t="shared" si="2"/>
        <v>2708333.33</v>
      </c>
      <c r="E20" s="54">
        <f t="shared" si="3"/>
        <v>1495890.48</v>
      </c>
      <c r="F20" s="54">
        <f t="shared" si="4"/>
        <v>4204223.8100000005</v>
      </c>
      <c r="G20" s="92">
        <f t="shared" si="7"/>
        <v>28</v>
      </c>
      <c r="H20" s="92">
        <f t="shared" si="5"/>
        <v>365</v>
      </c>
      <c r="I20" s="100">
        <f t="shared" si="10"/>
        <v>2708333.33</v>
      </c>
      <c r="J20" s="100">
        <f>SUM($I$8:I19)</f>
        <v>32499999.959999993</v>
      </c>
      <c r="K20" s="100">
        <f>$J$12-J20</f>
        <v>32500000.040000007</v>
      </c>
      <c r="L20" s="94">
        <f>ROUND(C20*malumot!$B$85/H20,2)*G20</f>
        <v>1495890.48</v>
      </c>
      <c r="M20" s="94">
        <f t="shared" si="0"/>
        <v>4204223.8100000005</v>
      </c>
      <c r="N20" s="94"/>
      <c r="O20" s="109" t="str">
        <f t="shared" si="8"/>
        <v>Вс</v>
      </c>
      <c r="P20" s="111">
        <f t="shared" si="6"/>
        <v>1</v>
      </c>
      <c r="Q20" s="111">
        <f>DAY(malumot!$B$79)+P20</f>
        <v>16</v>
      </c>
      <c r="R20" s="106">
        <f>IF(A20&lt;=malumot!$B$82,DATE(YEAR($B$8),MONTH($B$8)+A19,DAY(malumot!$B$79)),0)</f>
        <v>46096</v>
      </c>
      <c r="S20" s="92"/>
      <c r="T20" s="92"/>
      <c r="U20" s="92"/>
      <c r="V20" s="92"/>
    </row>
    <row r="21" spans="1:22" x14ac:dyDescent="0.25">
      <c r="A21" s="98">
        <v>14</v>
      </c>
      <c r="B21" s="99">
        <f>IF(A21&lt;=malumot!$B$82,DATE(YEAR(R21),MONTH(R21),DAY(IF(A21=malumot!$B$82,malumot!$B$67,IF(A21&lt;malumot!$B$82,(Q21),IF(A21&gt;malumot!$B$82,$H$44,0))))))</f>
        <v>46127</v>
      </c>
      <c r="C21" s="54">
        <f t="shared" si="1"/>
        <v>29791666.710000023</v>
      </c>
      <c r="D21" s="54">
        <f t="shared" si="2"/>
        <v>2708333.33</v>
      </c>
      <c r="E21" s="54">
        <f t="shared" si="3"/>
        <v>1469178</v>
      </c>
      <c r="F21" s="54">
        <f t="shared" si="4"/>
        <v>4177511.33</v>
      </c>
      <c r="G21" s="92">
        <f t="shared" si="7"/>
        <v>30</v>
      </c>
      <c r="H21" s="92">
        <f t="shared" si="5"/>
        <v>365</v>
      </c>
      <c r="I21" s="100">
        <f t="shared" si="10"/>
        <v>2708333.33</v>
      </c>
      <c r="J21" s="100">
        <f>SUM($I$8:I20)</f>
        <v>35208333.289999992</v>
      </c>
      <c r="K21" s="100">
        <f t="shared" si="9"/>
        <v>29791666.710000008</v>
      </c>
      <c r="L21" s="94">
        <f>ROUND(C21*malumot!$B$85/H21,2)*G21</f>
        <v>1469178</v>
      </c>
      <c r="M21" s="94">
        <f t="shared" si="0"/>
        <v>4177511.33</v>
      </c>
      <c r="N21" s="94"/>
      <c r="O21" s="109" t="str">
        <f t="shared" si="8"/>
        <v>Ср</v>
      </c>
      <c r="P21" s="111">
        <f t="shared" si="6"/>
        <v>0</v>
      </c>
      <c r="Q21" s="111">
        <f>DAY(malumot!$B$79)+P21</f>
        <v>15</v>
      </c>
      <c r="R21" s="106">
        <f>IF(A21&lt;=malumot!$B$82,DATE(YEAR($B$8),MONTH($B$8)+A20,DAY(malumot!$B$79)),0)</f>
        <v>46127</v>
      </c>
      <c r="S21" s="92"/>
      <c r="T21" s="92"/>
      <c r="U21" s="92"/>
      <c r="V21" s="92"/>
    </row>
    <row r="22" spans="1:22" x14ac:dyDescent="0.25">
      <c r="A22" s="98">
        <v>15</v>
      </c>
      <c r="B22" s="99">
        <f>IF(A22&lt;=malumot!$B$82,DATE(YEAR(R22),MONTH(R22),DAY(IF(A22=malumot!$B$82,malumot!$B$67,IF(A22&lt;malumot!$B$82,(Q22),IF(A22&gt;malumot!$B$82,$H$44,0))))))</f>
        <v>46157</v>
      </c>
      <c r="C22" s="54">
        <f t="shared" si="1"/>
        <v>27083333.380000025</v>
      </c>
      <c r="D22" s="54">
        <f t="shared" si="2"/>
        <v>2708333.33</v>
      </c>
      <c r="E22" s="54">
        <f t="shared" si="3"/>
        <v>1335616.5</v>
      </c>
      <c r="F22" s="54">
        <f t="shared" si="4"/>
        <v>4043949.83</v>
      </c>
      <c r="G22" s="92">
        <f t="shared" si="7"/>
        <v>30</v>
      </c>
      <c r="H22" s="92">
        <f t="shared" si="5"/>
        <v>365</v>
      </c>
      <c r="I22" s="100">
        <f t="shared" si="10"/>
        <v>2708333.33</v>
      </c>
      <c r="J22" s="100">
        <f>SUM($I$8:I21)</f>
        <v>37916666.61999999</v>
      </c>
      <c r="K22" s="100">
        <f t="shared" si="9"/>
        <v>27083333.38000001</v>
      </c>
      <c r="L22" s="94">
        <f>ROUND(C22*malumot!$B$85/H22,2)*G22</f>
        <v>1335616.5</v>
      </c>
      <c r="M22" s="94">
        <f t="shared" si="0"/>
        <v>4043949.83</v>
      </c>
      <c r="N22" s="94"/>
      <c r="O22" s="109" t="str">
        <f t="shared" si="8"/>
        <v>Пт</v>
      </c>
      <c r="P22" s="111">
        <f t="shared" si="6"/>
        <v>0</v>
      </c>
      <c r="Q22" s="111">
        <f>DAY(malumot!$B$79)+P22</f>
        <v>15</v>
      </c>
      <c r="R22" s="106">
        <f>IF(A22&lt;=malumot!$B$82,DATE(YEAR($B$8),MONTH($B$8)+A21,DAY(malumot!$B$79)),0)</f>
        <v>46157</v>
      </c>
      <c r="S22" s="92"/>
      <c r="T22" s="92"/>
      <c r="U22" s="92"/>
      <c r="V22" s="92"/>
    </row>
    <row r="23" spans="1:22" x14ac:dyDescent="0.25">
      <c r="A23" s="98">
        <v>16</v>
      </c>
      <c r="B23" s="99">
        <f>IF(A23&lt;=malumot!$B$82,DATE(YEAR(R23),MONTH(R23),DAY(IF(A23=malumot!$B$82,malumot!$B$67,IF(A23&lt;malumot!$B$82,(Q23),IF(A23&gt;malumot!$B$82,$H$44,0))))))</f>
        <v>46188</v>
      </c>
      <c r="C23" s="54">
        <f t="shared" si="1"/>
        <v>24375000.050000027</v>
      </c>
      <c r="D23" s="54">
        <f t="shared" si="2"/>
        <v>2708333.33</v>
      </c>
      <c r="E23" s="54">
        <f t="shared" si="3"/>
        <v>1242123.19</v>
      </c>
      <c r="F23" s="54">
        <f t="shared" si="4"/>
        <v>3950456.52</v>
      </c>
      <c r="G23" s="92">
        <f t="shared" si="7"/>
        <v>31</v>
      </c>
      <c r="H23" s="92">
        <f t="shared" si="5"/>
        <v>365</v>
      </c>
      <c r="I23" s="100">
        <f t="shared" si="10"/>
        <v>2708333.33</v>
      </c>
      <c r="J23" s="100">
        <f>SUM($I$8:I22)</f>
        <v>40624999.949999988</v>
      </c>
      <c r="K23" s="100">
        <f t="shared" si="9"/>
        <v>24375000.050000012</v>
      </c>
      <c r="L23" s="94">
        <f>ROUND(C23*malumot!$B$85/H23,2)*G23</f>
        <v>1242123.19</v>
      </c>
      <c r="M23" s="94">
        <f t="shared" si="0"/>
        <v>3950456.52</v>
      </c>
      <c r="N23" s="94"/>
      <c r="O23" s="109" t="str">
        <f t="shared" si="8"/>
        <v>Пн</v>
      </c>
      <c r="P23" s="111">
        <f t="shared" si="6"/>
        <v>0</v>
      </c>
      <c r="Q23" s="111">
        <f>DAY(malumot!$B$79)+P23</f>
        <v>15</v>
      </c>
      <c r="R23" s="106">
        <f>IF(A23&lt;=malumot!$B$82,DATE(YEAR($B$8),MONTH($B$8)+A22,DAY(malumot!$B$79)),0)</f>
        <v>46188</v>
      </c>
      <c r="S23" s="92"/>
      <c r="T23" s="92"/>
      <c r="U23" s="92"/>
      <c r="V23" s="92"/>
    </row>
    <row r="24" spans="1:22" x14ac:dyDescent="0.25">
      <c r="A24" s="98">
        <v>17</v>
      </c>
      <c r="B24" s="99">
        <f>IF(A24&lt;=malumot!$B$82,DATE(YEAR(R24),MONTH(R24),DAY(IF(A24=malumot!$B$82,malumot!$B$67,IF(A24&lt;malumot!$B$82,(Q24),IF(A24&gt;malumot!$B$82,$H$44,0))))))</f>
        <v>46218</v>
      </c>
      <c r="C24" s="54">
        <f t="shared" si="1"/>
        <v>21666666.720000029</v>
      </c>
      <c r="D24" s="54">
        <f t="shared" si="2"/>
        <v>2708333.33</v>
      </c>
      <c r="E24" s="54">
        <f t="shared" si="3"/>
        <v>1068493.2000000002</v>
      </c>
      <c r="F24" s="54">
        <f t="shared" si="4"/>
        <v>3776826.5300000003</v>
      </c>
      <c r="G24" s="92">
        <f t="shared" si="7"/>
        <v>30</v>
      </c>
      <c r="H24" s="92">
        <f t="shared" si="5"/>
        <v>365</v>
      </c>
      <c r="I24" s="100">
        <f t="shared" si="10"/>
        <v>2708333.33</v>
      </c>
      <c r="J24" s="100">
        <f>SUM($I$8:I23)</f>
        <v>43333333.279999986</v>
      </c>
      <c r="K24" s="100">
        <f t="shared" si="9"/>
        <v>21666666.720000014</v>
      </c>
      <c r="L24" s="94">
        <f>ROUND(C24*malumot!$B$85/H24,2)*G24</f>
        <v>1068493.2000000002</v>
      </c>
      <c r="M24" s="94">
        <f t="shared" si="0"/>
        <v>3776826.5300000003</v>
      </c>
      <c r="N24" s="94"/>
      <c r="O24" s="109" t="str">
        <f t="shared" si="8"/>
        <v>Ср</v>
      </c>
      <c r="P24" s="111">
        <f t="shared" si="6"/>
        <v>0</v>
      </c>
      <c r="Q24" s="111">
        <f>DAY(malumot!$B$79)+P24</f>
        <v>15</v>
      </c>
      <c r="R24" s="106">
        <f>IF(A24&lt;=malumot!$B$82,DATE(YEAR($B$8),MONTH($B$8)+A23,DAY(malumot!$B$79)),0)</f>
        <v>46218</v>
      </c>
      <c r="S24" s="92"/>
      <c r="T24" s="92"/>
      <c r="U24" s="92"/>
      <c r="V24" s="92"/>
    </row>
    <row r="25" spans="1:22" x14ac:dyDescent="0.25">
      <c r="A25" s="98">
        <v>18</v>
      </c>
      <c r="B25" s="99">
        <f>IF(A25&lt;=malumot!$B$82,DATE(YEAR(R25),MONTH(R25),DAY(IF(A25=malumot!$B$82,malumot!$B$67,IF(A25&lt;malumot!$B$82,(Q25),IF(A25&gt;malumot!$B$82,$H$44,0))))))</f>
        <v>46251</v>
      </c>
      <c r="C25" s="54">
        <f t="shared" si="1"/>
        <v>18958333.39000003</v>
      </c>
      <c r="D25" s="54">
        <f t="shared" si="2"/>
        <v>2708333.33</v>
      </c>
      <c r="E25" s="54">
        <f t="shared" si="3"/>
        <v>1028424.54</v>
      </c>
      <c r="F25" s="54">
        <f t="shared" si="4"/>
        <v>3736757.87</v>
      </c>
      <c r="G25" s="92">
        <f t="shared" si="7"/>
        <v>33</v>
      </c>
      <c r="H25" s="92">
        <f t="shared" si="5"/>
        <v>365</v>
      </c>
      <c r="I25" s="100">
        <f t="shared" si="10"/>
        <v>2708333.33</v>
      </c>
      <c r="J25" s="100">
        <f>SUM($I$8:I24)</f>
        <v>46041666.609999985</v>
      </c>
      <c r="K25" s="100">
        <f t="shared" si="9"/>
        <v>18958333.390000015</v>
      </c>
      <c r="L25" s="94">
        <f>ROUND(C25*malumot!$B$85/H25,2)*G25</f>
        <v>1028424.54</v>
      </c>
      <c r="M25" s="94">
        <f t="shared" si="0"/>
        <v>3736757.87</v>
      </c>
      <c r="N25" s="94"/>
      <c r="O25" s="109" t="str">
        <f t="shared" si="8"/>
        <v>Сб</v>
      </c>
      <c r="P25" s="111">
        <f t="shared" si="6"/>
        <v>2</v>
      </c>
      <c r="Q25" s="111">
        <f>DAY(malumot!$B$79)+P25</f>
        <v>17</v>
      </c>
      <c r="R25" s="106">
        <f>IF(A25&lt;=malumot!$B$82,DATE(YEAR($B$8),MONTH($B$8)+A24,DAY(malumot!$B$79)),0)</f>
        <v>46249</v>
      </c>
      <c r="S25" s="92"/>
      <c r="T25" s="92"/>
      <c r="U25" s="92"/>
      <c r="V25" s="92"/>
    </row>
    <row r="26" spans="1:22" x14ac:dyDescent="0.25">
      <c r="A26" s="98">
        <v>19</v>
      </c>
      <c r="B26" s="99">
        <f>IF(A26&lt;=malumot!$B$82,DATE(YEAR(R26),MONTH(R26),DAY(IF(A26=malumot!$B$82,malumot!$B$67,IF(A26&lt;malumot!$B$82,(Q26),IF(A26&gt;malumot!$B$82,$H$44,0))))))</f>
        <v>46280</v>
      </c>
      <c r="C26" s="54">
        <f t="shared" si="1"/>
        <v>16250000.06000003</v>
      </c>
      <c r="D26" s="54">
        <f t="shared" si="2"/>
        <v>2708333.33</v>
      </c>
      <c r="E26" s="54">
        <f t="shared" si="3"/>
        <v>774657.57000000007</v>
      </c>
      <c r="F26" s="54">
        <f t="shared" si="4"/>
        <v>3482990.9000000004</v>
      </c>
      <c r="G26" s="92">
        <f t="shared" si="7"/>
        <v>29</v>
      </c>
      <c r="H26" s="92">
        <f t="shared" si="5"/>
        <v>365</v>
      </c>
      <c r="I26" s="100">
        <f t="shared" si="10"/>
        <v>2708333.33</v>
      </c>
      <c r="J26" s="100">
        <f>SUM($I$8:I25)</f>
        <v>48749999.939999983</v>
      </c>
      <c r="K26" s="100">
        <f t="shared" si="9"/>
        <v>16250000.060000017</v>
      </c>
      <c r="L26" s="94">
        <f>ROUND(C26*malumot!$B$85/H26,2)*G26</f>
        <v>774657.57000000007</v>
      </c>
      <c r="M26" s="94">
        <f t="shared" si="0"/>
        <v>3482990.9000000004</v>
      </c>
      <c r="N26" s="94"/>
      <c r="O26" s="109" t="str">
        <f t="shared" si="8"/>
        <v>Вт</v>
      </c>
      <c r="P26" s="111">
        <f t="shared" si="6"/>
        <v>0</v>
      </c>
      <c r="Q26" s="111">
        <f>DAY(malumot!$B$79)+P26</f>
        <v>15</v>
      </c>
      <c r="R26" s="106">
        <f>IF(A26&lt;=malumot!$B$82,DATE(YEAR($B$8),MONTH($B$8)+A25,DAY(malumot!$B$79)),0)</f>
        <v>46280</v>
      </c>
      <c r="S26" s="92"/>
      <c r="T26" s="92"/>
      <c r="U26" s="92"/>
      <c r="V26" s="92"/>
    </row>
    <row r="27" spans="1:22" x14ac:dyDescent="0.25">
      <c r="A27" s="98">
        <v>20</v>
      </c>
      <c r="B27" s="99">
        <f>IF(A27&lt;=malumot!$B$82,DATE(YEAR(R27),MONTH(R27),DAY(IF(A27=malumot!$B$82,malumot!$B$67,IF(A27&lt;malumot!$B$82,(Q27),IF(A27&gt;malumot!$B$82,$H$44,0))))))</f>
        <v>46310</v>
      </c>
      <c r="C27" s="54">
        <f t="shared" si="1"/>
        <v>13541666.73000003</v>
      </c>
      <c r="D27" s="54">
        <f t="shared" si="2"/>
        <v>2708333.33</v>
      </c>
      <c r="E27" s="54">
        <f t="shared" si="3"/>
        <v>667808.1</v>
      </c>
      <c r="F27" s="54">
        <f t="shared" si="4"/>
        <v>3376141.43</v>
      </c>
      <c r="G27" s="92">
        <f t="shared" si="7"/>
        <v>30</v>
      </c>
      <c r="H27" s="92">
        <f t="shared" si="5"/>
        <v>365</v>
      </c>
      <c r="I27" s="100">
        <f t="shared" si="10"/>
        <v>2708333.33</v>
      </c>
      <c r="J27" s="100">
        <f>SUM($I$8:I26)</f>
        <v>51458333.269999981</v>
      </c>
      <c r="K27" s="100">
        <f t="shared" si="9"/>
        <v>13541666.730000019</v>
      </c>
      <c r="L27" s="94">
        <f>ROUND(C27*malumot!$B$85/H27,2)*G27</f>
        <v>667808.1</v>
      </c>
      <c r="M27" s="94">
        <f t="shared" si="0"/>
        <v>3376141.43</v>
      </c>
      <c r="N27" s="94"/>
      <c r="O27" s="109" t="str">
        <f t="shared" si="8"/>
        <v>Чт</v>
      </c>
      <c r="P27" s="111">
        <f t="shared" si="6"/>
        <v>0</v>
      </c>
      <c r="Q27" s="111">
        <f>DAY(malumot!$B$79)+P27</f>
        <v>15</v>
      </c>
      <c r="R27" s="106">
        <f>IF(A27&lt;=malumot!$B$82,DATE(YEAR($B$8),MONTH($B$8)+A26,DAY(malumot!$B$79)),0)</f>
        <v>46310</v>
      </c>
      <c r="S27" s="92"/>
      <c r="T27" s="92"/>
      <c r="U27" s="92"/>
      <c r="V27" s="92"/>
    </row>
    <row r="28" spans="1:22" x14ac:dyDescent="0.25">
      <c r="A28" s="98">
        <v>21</v>
      </c>
      <c r="B28" s="99">
        <f>IF(A28&lt;=malumot!$B$82,DATE(YEAR(R28),MONTH(R28),DAY(IF(A28=malumot!$B$82,malumot!$B$67,IF(A28&lt;malumot!$B$82,(Q28),IF(A28&gt;malumot!$B$82,$H$44,0))))))</f>
        <v>46342</v>
      </c>
      <c r="C28" s="54">
        <f t="shared" si="1"/>
        <v>10833333.40000003</v>
      </c>
      <c r="D28" s="54">
        <f t="shared" si="2"/>
        <v>2708333.33</v>
      </c>
      <c r="E28" s="54">
        <f t="shared" si="3"/>
        <v>569863.04</v>
      </c>
      <c r="F28" s="54">
        <f t="shared" si="4"/>
        <v>3278196.37</v>
      </c>
      <c r="G28" s="92">
        <f t="shared" si="7"/>
        <v>32</v>
      </c>
      <c r="H28" s="92">
        <f t="shared" si="5"/>
        <v>365</v>
      </c>
      <c r="I28" s="100">
        <f t="shared" si="10"/>
        <v>2708333.33</v>
      </c>
      <c r="J28" s="100">
        <f>SUM($I$8:I27)</f>
        <v>54166666.599999979</v>
      </c>
      <c r="K28" s="100">
        <f t="shared" si="9"/>
        <v>10833333.400000021</v>
      </c>
      <c r="L28" s="94">
        <f>ROUND(C28*malumot!$B$85/H28,2)*G28</f>
        <v>569863.04</v>
      </c>
      <c r="M28" s="94">
        <f t="shared" si="0"/>
        <v>3278196.37</v>
      </c>
      <c r="N28" s="94"/>
      <c r="O28" s="109" t="str">
        <f t="shared" si="8"/>
        <v>Вс</v>
      </c>
      <c r="P28" s="111">
        <f t="shared" si="6"/>
        <v>1</v>
      </c>
      <c r="Q28" s="111">
        <f>DAY(malumot!$B$79)+P28</f>
        <v>16</v>
      </c>
      <c r="R28" s="106">
        <f>IF(A28&lt;=malumot!$B$82,DATE(YEAR($B$8),MONTH($B$8)+A27,DAY(malumot!$B$79)),0)</f>
        <v>46341</v>
      </c>
      <c r="S28" s="92"/>
      <c r="T28" s="92"/>
      <c r="U28" s="92"/>
      <c r="V28" s="92"/>
    </row>
    <row r="29" spans="1:22" x14ac:dyDescent="0.25">
      <c r="A29" s="98">
        <v>22</v>
      </c>
      <c r="B29" s="99">
        <f>IF(A29&lt;=malumot!$B$82,DATE(YEAR(R29),MONTH(R29),DAY(IF(A29=malumot!$B$82,malumot!$B$67,IF(A29&lt;malumot!$B$82,(Q29),IF(A29&gt;malumot!$B$82,$H$44,0))))))</f>
        <v>46371</v>
      </c>
      <c r="C29" s="54">
        <f t="shared" si="1"/>
        <v>8125000.0700000301</v>
      </c>
      <c r="D29" s="54">
        <f t="shared" si="2"/>
        <v>2708333.33</v>
      </c>
      <c r="E29" s="54">
        <f t="shared" si="3"/>
        <v>387328.64</v>
      </c>
      <c r="F29" s="54">
        <f t="shared" si="4"/>
        <v>3095661.97</v>
      </c>
      <c r="G29" s="92">
        <f t="shared" si="7"/>
        <v>29</v>
      </c>
      <c r="H29" s="92">
        <f t="shared" si="5"/>
        <v>365</v>
      </c>
      <c r="I29" s="100">
        <f t="shared" si="10"/>
        <v>2708333.33</v>
      </c>
      <c r="J29" s="100">
        <f>SUM($I$8:I28)</f>
        <v>56874999.929999977</v>
      </c>
      <c r="K29" s="100">
        <f t="shared" si="9"/>
        <v>8125000.0700000226</v>
      </c>
      <c r="L29" s="94">
        <f>ROUND(C29*malumot!$B$85/H29,2)*G29</f>
        <v>387328.64</v>
      </c>
      <c r="M29" s="94">
        <f t="shared" si="0"/>
        <v>3095661.97</v>
      </c>
      <c r="N29" s="94"/>
      <c r="O29" s="109" t="str">
        <f t="shared" si="8"/>
        <v>Вт</v>
      </c>
      <c r="P29" s="111">
        <f t="shared" si="6"/>
        <v>0</v>
      </c>
      <c r="Q29" s="111">
        <f>DAY(malumot!$B$79)+P29</f>
        <v>15</v>
      </c>
      <c r="R29" s="106">
        <f>IF(A29&lt;=malumot!$B$82,DATE(YEAR($B$8),MONTH($B$8)+A28,DAY(malumot!$B$79)),0)</f>
        <v>46371</v>
      </c>
      <c r="S29" s="92"/>
      <c r="T29" s="92"/>
      <c r="U29" s="92"/>
      <c r="V29" s="92"/>
    </row>
    <row r="30" spans="1:22" x14ac:dyDescent="0.25">
      <c r="A30" s="98">
        <v>23</v>
      </c>
      <c r="B30" s="99">
        <f>IF(A30&lt;=malumot!$B$82,DATE(YEAR(R30),MONTH(R30),DAY(IF(A30=malumot!$B$82,malumot!$B$67,IF(A30&lt;malumot!$B$82,(Q30),IF(A30&gt;malumot!$B$82,$H$44,0))))))</f>
        <v>46402</v>
      </c>
      <c r="C30" s="54">
        <f t="shared" si="1"/>
        <v>5416666.74000003</v>
      </c>
      <c r="D30" s="54">
        <f t="shared" si="2"/>
        <v>2708333.33</v>
      </c>
      <c r="E30" s="54">
        <f t="shared" si="3"/>
        <v>276027.41000000003</v>
      </c>
      <c r="F30" s="54">
        <f t="shared" si="4"/>
        <v>2984360.74</v>
      </c>
      <c r="G30" s="92">
        <f t="shared" si="7"/>
        <v>31</v>
      </c>
      <c r="H30" s="92">
        <f t="shared" si="5"/>
        <v>365</v>
      </c>
      <c r="I30" s="100">
        <f t="shared" si="10"/>
        <v>2708333.33</v>
      </c>
      <c r="J30" s="100">
        <f>SUM($I$8:I29)</f>
        <v>59583333.259999976</v>
      </c>
      <c r="K30" s="100">
        <f t="shared" si="9"/>
        <v>5416666.7400000244</v>
      </c>
      <c r="L30" s="94">
        <f>ROUND(C30*malumot!$B$85/H30,2)*G30</f>
        <v>276027.41000000003</v>
      </c>
      <c r="M30" s="94">
        <f t="shared" si="0"/>
        <v>2984360.74</v>
      </c>
      <c r="N30" s="94"/>
      <c r="O30" s="109" t="str">
        <f t="shared" si="8"/>
        <v>Пт</v>
      </c>
      <c r="P30" s="111">
        <f t="shared" si="6"/>
        <v>0</v>
      </c>
      <c r="Q30" s="111">
        <f>DAY(malumot!$B$79)+P30</f>
        <v>15</v>
      </c>
      <c r="R30" s="106">
        <f>IF(A30&lt;=malumot!$B$82,DATE(YEAR($B$8),MONTH($B$8)+A29,DAY(malumot!$B$79)),0)</f>
        <v>46402</v>
      </c>
      <c r="S30" s="92"/>
      <c r="T30" s="92"/>
      <c r="U30" s="92"/>
      <c r="V30" s="92"/>
    </row>
    <row r="31" spans="1:22" x14ac:dyDescent="0.25">
      <c r="A31" s="98">
        <v>24</v>
      </c>
      <c r="B31" s="99">
        <f>IF(A31&lt;=malumot!$B$82,DATE(YEAR(R31),MONTH(R31),DAY(IF(A31=malumot!$B$82,malumot!$B$67,IF(A31&lt;malumot!$B$82,(Q31),IF(A31&gt;malumot!$B$82,$H$44,0))))))</f>
        <v>46446</v>
      </c>
      <c r="C31" s="54">
        <f t="shared" ref="C31" si="11">C30-D30</f>
        <v>2708333.41000003</v>
      </c>
      <c r="D31" s="54">
        <f t="shared" ref="D31" si="12">IF(C31=0,L31,IF(C31&gt;1,I31))</f>
        <v>2708333.4100000262</v>
      </c>
      <c r="E31" s="54">
        <f t="shared" ref="E31" si="13">IF(C31=0,N30,IF(C31&gt;1,L31))</f>
        <v>195890.2</v>
      </c>
      <c r="F31" s="54">
        <f t="shared" ref="F31" si="14">IF(C31=0,N30,IF(C31&gt;1,M31))</f>
        <v>2904223.6100000264</v>
      </c>
      <c r="G31" s="92">
        <f t="shared" si="7"/>
        <v>44</v>
      </c>
      <c r="H31" s="92">
        <f t="shared" si="5"/>
        <v>365</v>
      </c>
      <c r="I31" s="100">
        <f t="shared" si="10"/>
        <v>2708333.4100000262</v>
      </c>
      <c r="J31" s="100">
        <f>SUM($I$8:I30)</f>
        <v>62291666.589999974</v>
      </c>
      <c r="K31" s="100">
        <f t="shared" si="9"/>
        <v>2708333.4100000262</v>
      </c>
      <c r="L31" s="94">
        <f>ROUND(C31*malumot!$B$85/H31,2)*G31</f>
        <v>195890.2</v>
      </c>
      <c r="M31" s="94">
        <f t="shared" si="0"/>
        <v>2904223.6100000264</v>
      </c>
      <c r="N31" s="94"/>
      <c r="O31" s="109" t="str">
        <f t="shared" si="8"/>
        <v>Пн</v>
      </c>
      <c r="P31" s="111">
        <f t="shared" si="6"/>
        <v>0</v>
      </c>
      <c r="Q31" s="111">
        <f>DAY(malumot!$B$79)+P31</f>
        <v>15</v>
      </c>
      <c r="R31" s="106">
        <f>IF(A31&lt;=malumot!$B$82,DATE(YEAR($B$8),MONTH($B$8)+A30,DAY(malumot!$B$79)),0)</f>
        <v>46433</v>
      </c>
      <c r="S31" s="92"/>
      <c r="T31" s="92"/>
      <c r="U31" s="92"/>
      <c r="V31" s="92"/>
    </row>
    <row r="32" spans="1:22" x14ac:dyDescent="0.25">
      <c r="A32" s="98">
        <f>1+A31</f>
        <v>25</v>
      </c>
      <c r="B32" s="99" t="b">
        <f>IF(A32&lt;=malumot!$B$82,DATE(YEAR(R32),MONTH(R32),DAY(IF(A32=malumot!$B$82,malumot!$B$67,IF(A32&lt;malumot!$B$82,(Q32),IF(A32&gt;malumot!$B$82,$H$44,0))))))</f>
        <v>0</v>
      </c>
      <c r="C32" s="54">
        <f t="shared" ref="C32:C42" si="15">C31-D31</f>
        <v>3.7252902984619141E-9</v>
      </c>
      <c r="D32" s="54" t="b">
        <f t="shared" ref="D32:D42" si="16">IF(C32=0,L32,IF(C32&gt;1,I32))</f>
        <v>0</v>
      </c>
      <c r="E32" s="54" t="b">
        <f t="shared" ref="E32:E42" si="17">IF(C32=0,N31,IF(C32&gt;1,L32))</f>
        <v>0</v>
      </c>
      <c r="F32" s="54" t="b">
        <f t="shared" ref="F32:F42" si="18">IF(C32=0,N31,IF(C32&gt;1,M32))</f>
        <v>0</v>
      </c>
      <c r="G32" s="92">
        <f t="shared" ref="G32:G42" si="19">B32-B31</f>
        <v>-46446</v>
      </c>
      <c r="H32" s="92">
        <f t="shared" ref="H32:H42" si="20">DATE(YEAR(B32),12,31)-DATE(YEAR(B32),1,1)+1</f>
        <v>366</v>
      </c>
      <c r="I32" s="100" t="b">
        <f t="shared" ref="I32:I42" si="21">IF($L$5=A32,K32,IF($L$5&gt;A32,I31))</f>
        <v>0</v>
      </c>
      <c r="J32" s="100">
        <f>SUM($I$8:I31)</f>
        <v>65000000</v>
      </c>
      <c r="K32" s="100">
        <f t="shared" ref="K32:K42" si="22">$J$12-J32</f>
        <v>0</v>
      </c>
      <c r="L32" s="94">
        <f>ROUND(C32*malumot!$B$85/H32,2)*G32</f>
        <v>0</v>
      </c>
      <c r="M32" s="94">
        <f t="shared" ref="M32:M42" si="23">D32+E32</f>
        <v>0</v>
      </c>
      <c r="N32" s="94"/>
      <c r="O32" s="109" t="str">
        <f t="shared" ref="O32:O42" si="24">TEXT(R32,"ддд")</f>
        <v>Сб</v>
      </c>
      <c r="P32" s="111">
        <f t="shared" ref="P32:P42" si="25">IF(O32=$U$8,2,IF(O32=$V$8,1,0))</f>
        <v>2</v>
      </c>
      <c r="Q32" s="111">
        <f>DAY(malumot!$B$79)+P32</f>
        <v>17</v>
      </c>
      <c r="R32" s="106">
        <f>IF(A32&lt;=malumot!$B$82,DATE(YEAR($B$8),MONTH($B$8)+A31,DAY(malumot!$B$79)),0)</f>
        <v>0</v>
      </c>
      <c r="S32" s="92"/>
      <c r="T32" s="92"/>
      <c r="U32" s="92"/>
      <c r="V32" s="92"/>
    </row>
    <row r="33" spans="1:22" x14ac:dyDescent="0.25">
      <c r="A33" s="98">
        <f t="shared" ref="A33:A42" si="26">1+A32</f>
        <v>26</v>
      </c>
      <c r="B33" s="99" t="b">
        <f>IF(A33&lt;=malumot!$B$82,DATE(YEAR(R33),MONTH(R33),DAY(IF(A33=malumot!$B$82,malumot!$B$67,IF(A33&lt;malumot!$B$82,(Q33),IF(A33&gt;malumot!$B$82,$H$44,0))))))</f>
        <v>0</v>
      </c>
      <c r="C33" s="54">
        <f t="shared" si="15"/>
        <v>3.7252902984619141E-9</v>
      </c>
      <c r="D33" s="54" t="b">
        <f t="shared" si="16"/>
        <v>0</v>
      </c>
      <c r="E33" s="54" t="b">
        <f t="shared" si="17"/>
        <v>0</v>
      </c>
      <c r="F33" s="54" t="b">
        <f t="shared" si="18"/>
        <v>0</v>
      </c>
      <c r="G33" s="92">
        <f t="shared" si="19"/>
        <v>0</v>
      </c>
      <c r="H33" s="92">
        <f t="shared" si="20"/>
        <v>366</v>
      </c>
      <c r="I33" s="100" t="b">
        <f t="shared" si="21"/>
        <v>0</v>
      </c>
      <c r="J33" s="100">
        <f>SUM($I$8:I32)</f>
        <v>65000000</v>
      </c>
      <c r="K33" s="100">
        <f t="shared" si="22"/>
        <v>0</v>
      </c>
      <c r="L33" s="94">
        <f>ROUND(C33*malumot!$B$85/H33,2)*G33</f>
        <v>0</v>
      </c>
      <c r="M33" s="94">
        <f t="shared" si="23"/>
        <v>0</v>
      </c>
      <c r="N33" s="94"/>
      <c r="O33" s="109" t="str">
        <f t="shared" si="24"/>
        <v>Сб</v>
      </c>
      <c r="P33" s="111">
        <f t="shared" si="25"/>
        <v>2</v>
      </c>
      <c r="Q33" s="111">
        <f>DAY(malumot!$B$79)+P33</f>
        <v>17</v>
      </c>
      <c r="R33" s="106">
        <f>IF(A33&lt;=malumot!$B$82,DATE(YEAR($B$8),MONTH($B$8)+A32,DAY(malumot!$B$79)),0)</f>
        <v>0</v>
      </c>
      <c r="S33" s="92"/>
      <c r="T33" s="92"/>
      <c r="U33" s="92"/>
      <c r="V33" s="92"/>
    </row>
    <row r="34" spans="1:22" x14ac:dyDescent="0.25">
      <c r="A34" s="98">
        <f t="shared" si="26"/>
        <v>27</v>
      </c>
      <c r="B34" s="99" t="b">
        <f>IF(A34&lt;=malumot!$B$82,DATE(YEAR(R34),MONTH(R34),DAY(IF(A34=malumot!$B$82,malumot!$B$67,IF(A34&lt;malumot!$B$82,(Q34),IF(A34&gt;malumot!$B$82,$H$44,0))))))</f>
        <v>0</v>
      </c>
      <c r="C34" s="54">
        <f t="shared" si="15"/>
        <v>3.7252902984619141E-9</v>
      </c>
      <c r="D34" s="54" t="b">
        <f t="shared" si="16"/>
        <v>0</v>
      </c>
      <c r="E34" s="54" t="b">
        <f t="shared" si="17"/>
        <v>0</v>
      </c>
      <c r="F34" s="54" t="b">
        <f t="shared" si="18"/>
        <v>0</v>
      </c>
      <c r="G34" s="92">
        <f t="shared" si="19"/>
        <v>0</v>
      </c>
      <c r="H34" s="92">
        <f t="shared" si="20"/>
        <v>366</v>
      </c>
      <c r="I34" s="100" t="b">
        <f t="shared" si="21"/>
        <v>0</v>
      </c>
      <c r="J34" s="100">
        <f>SUM($I$8:I33)</f>
        <v>65000000</v>
      </c>
      <c r="K34" s="100">
        <f t="shared" si="22"/>
        <v>0</v>
      </c>
      <c r="L34" s="94">
        <f>ROUND(C34*malumot!$B$85/H34,2)*G34</f>
        <v>0</v>
      </c>
      <c r="M34" s="94">
        <f t="shared" si="23"/>
        <v>0</v>
      </c>
      <c r="N34" s="94"/>
      <c r="O34" s="109" t="str">
        <f t="shared" si="24"/>
        <v>Сб</v>
      </c>
      <c r="P34" s="111">
        <f t="shared" si="25"/>
        <v>2</v>
      </c>
      <c r="Q34" s="111">
        <f>DAY(malumot!$B$79)+P34</f>
        <v>17</v>
      </c>
      <c r="R34" s="106">
        <f>IF(A34&lt;=malumot!$B$82,DATE(YEAR($B$8),MONTH($B$8)+A33,DAY(malumot!$B$79)),0)</f>
        <v>0</v>
      </c>
      <c r="S34" s="92"/>
      <c r="T34" s="92"/>
      <c r="U34" s="92"/>
      <c r="V34" s="92"/>
    </row>
    <row r="35" spans="1:22" x14ac:dyDescent="0.25">
      <c r="A35" s="98">
        <f t="shared" si="26"/>
        <v>28</v>
      </c>
      <c r="B35" s="99" t="b">
        <f>IF(A35&lt;=malumot!$B$82,DATE(YEAR(R35),MONTH(R35),DAY(IF(A35=malumot!$B$82,malumot!$B$67,IF(A35&lt;malumot!$B$82,(Q35),IF(A35&gt;malumot!$B$82,$H$44,0))))))</f>
        <v>0</v>
      </c>
      <c r="C35" s="54">
        <f t="shared" si="15"/>
        <v>3.7252902984619141E-9</v>
      </c>
      <c r="D35" s="54" t="b">
        <f t="shared" si="16"/>
        <v>0</v>
      </c>
      <c r="E35" s="54" t="b">
        <f t="shared" si="17"/>
        <v>0</v>
      </c>
      <c r="F35" s="54" t="b">
        <f t="shared" si="18"/>
        <v>0</v>
      </c>
      <c r="G35" s="92">
        <f t="shared" si="19"/>
        <v>0</v>
      </c>
      <c r="H35" s="92">
        <f t="shared" si="20"/>
        <v>366</v>
      </c>
      <c r="I35" s="100" t="b">
        <f t="shared" si="21"/>
        <v>0</v>
      </c>
      <c r="J35" s="100">
        <f>SUM($I$8:I34)</f>
        <v>65000000</v>
      </c>
      <c r="K35" s="100">
        <f t="shared" si="22"/>
        <v>0</v>
      </c>
      <c r="L35" s="94">
        <f>ROUND(C35*malumot!$B$85/H35,2)*G35</f>
        <v>0</v>
      </c>
      <c r="M35" s="94">
        <f t="shared" si="23"/>
        <v>0</v>
      </c>
      <c r="N35" s="94"/>
      <c r="O35" s="109" t="str">
        <f t="shared" si="24"/>
        <v>Сб</v>
      </c>
      <c r="P35" s="111">
        <f t="shared" si="25"/>
        <v>2</v>
      </c>
      <c r="Q35" s="111">
        <f>DAY(malumot!$B$79)+P35</f>
        <v>17</v>
      </c>
      <c r="R35" s="106">
        <f>IF(A35&lt;=malumot!$B$82,DATE(YEAR($B$8),MONTH($B$8)+A34,DAY(malumot!$B$79)),0)</f>
        <v>0</v>
      </c>
      <c r="S35" s="92"/>
      <c r="T35" s="92"/>
      <c r="U35" s="92"/>
      <c r="V35" s="92"/>
    </row>
    <row r="36" spans="1:22" x14ac:dyDescent="0.25">
      <c r="A36" s="98">
        <f t="shared" si="26"/>
        <v>29</v>
      </c>
      <c r="B36" s="99" t="b">
        <f>IF(A36&lt;=malumot!$B$82,DATE(YEAR(R36),MONTH(R36),DAY(IF(A36=malumot!$B$82,malumot!$B$67,IF(A36&lt;malumot!$B$82,(Q36),IF(A36&gt;malumot!$B$82,$H$44,0))))))</f>
        <v>0</v>
      </c>
      <c r="C36" s="54">
        <f t="shared" si="15"/>
        <v>3.7252902984619141E-9</v>
      </c>
      <c r="D36" s="54" t="b">
        <f t="shared" si="16"/>
        <v>0</v>
      </c>
      <c r="E36" s="54" t="b">
        <f t="shared" si="17"/>
        <v>0</v>
      </c>
      <c r="F36" s="54" t="b">
        <f t="shared" si="18"/>
        <v>0</v>
      </c>
      <c r="G36" s="92">
        <f t="shared" si="19"/>
        <v>0</v>
      </c>
      <c r="H36" s="92">
        <f t="shared" si="20"/>
        <v>366</v>
      </c>
      <c r="I36" s="100" t="b">
        <f t="shared" si="21"/>
        <v>0</v>
      </c>
      <c r="J36" s="100">
        <f>SUM($I$8:I35)</f>
        <v>65000000</v>
      </c>
      <c r="K36" s="100">
        <f t="shared" si="22"/>
        <v>0</v>
      </c>
      <c r="L36" s="94">
        <f>ROUND(C36*malumot!$B$85/H36,2)*G36</f>
        <v>0</v>
      </c>
      <c r="M36" s="94">
        <f t="shared" si="23"/>
        <v>0</v>
      </c>
      <c r="N36" s="94"/>
      <c r="O36" s="109" t="str">
        <f t="shared" si="24"/>
        <v>Сб</v>
      </c>
      <c r="P36" s="111">
        <f t="shared" si="25"/>
        <v>2</v>
      </c>
      <c r="Q36" s="111">
        <f>DAY(malumot!$B$79)+P36</f>
        <v>17</v>
      </c>
      <c r="R36" s="106">
        <f>IF(A36&lt;=malumot!$B$82,DATE(YEAR($B$8),MONTH($B$8)+A35,DAY(malumot!$B$79)),0)</f>
        <v>0</v>
      </c>
      <c r="S36" s="92"/>
      <c r="T36" s="92"/>
      <c r="U36" s="92"/>
      <c r="V36" s="92"/>
    </row>
    <row r="37" spans="1:22" x14ac:dyDescent="0.25">
      <c r="A37" s="98">
        <f t="shared" si="26"/>
        <v>30</v>
      </c>
      <c r="B37" s="99" t="b">
        <f>IF(A37&lt;=malumot!$B$82,DATE(YEAR(R37),MONTH(R37),DAY(IF(A37=malumot!$B$82,malumot!$B$67,IF(A37&lt;malumot!$B$82,(Q37),IF(A37&gt;malumot!$B$82,$H$44,0))))))</f>
        <v>0</v>
      </c>
      <c r="C37" s="54">
        <f t="shared" si="15"/>
        <v>3.7252902984619141E-9</v>
      </c>
      <c r="D37" s="54" t="b">
        <f t="shared" si="16"/>
        <v>0</v>
      </c>
      <c r="E37" s="54" t="b">
        <f t="shared" si="17"/>
        <v>0</v>
      </c>
      <c r="F37" s="54" t="b">
        <f t="shared" si="18"/>
        <v>0</v>
      </c>
      <c r="G37" s="92">
        <f t="shared" si="19"/>
        <v>0</v>
      </c>
      <c r="H37" s="92">
        <f t="shared" si="20"/>
        <v>366</v>
      </c>
      <c r="I37" s="100" t="b">
        <f t="shared" si="21"/>
        <v>0</v>
      </c>
      <c r="J37" s="100">
        <f>SUM($I$8:I36)</f>
        <v>65000000</v>
      </c>
      <c r="K37" s="100">
        <f t="shared" si="22"/>
        <v>0</v>
      </c>
      <c r="L37" s="94">
        <f>ROUND(C37*malumot!$B$85/H37,2)*G37</f>
        <v>0</v>
      </c>
      <c r="M37" s="94">
        <f t="shared" si="23"/>
        <v>0</v>
      </c>
      <c r="N37" s="94"/>
      <c r="O37" s="109" t="str">
        <f t="shared" si="24"/>
        <v>Сб</v>
      </c>
      <c r="P37" s="111">
        <f t="shared" si="25"/>
        <v>2</v>
      </c>
      <c r="Q37" s="111">
        <f>DAY(malumot!$B$79)+P37</f>
        <v>17</v>
      </c>
      <c r="R37" s="106">
        <f>IF(A37&lt;=malumot!$B$82,DATE(YEAR($B$8),MONTH($B$8)+A36,DAY(malumot!$B$79)),0)</f>
        <v>0</v>
      </c>
      <c r="S37" s="92"/>
      <c r="T37" s="92"/>
      <c r="U37" s="92"/>
      <c r="V37" s="92"/>
    </row>
    <row r="38" spans="1:22" x14ac:dyDescent="0.25">
      <c r="A38" s="98">
        <f t="shared" si="26"/>
        <v>31</v>
      </c>
      <c r="B38" s="99" t="b">
        <f>IF(A38&lt;=malumot!$B$82,DATE(YEAR(R38),MONTH(R38),DAY(IF(A38=malumot!$B$82,malumot!$B$67,IF(A38&lt;malumot!$B$82,(Q38),IF(A38&gt;malumot!$B$82,$H$44,0))))))</f>
        <v>0</v>
      </c>
      <c r="C38" s="54">
        <f t="shared" si="15"/>
        <v>3.7252902984619141E-9</v>
      </c>
      <c r="D38" s="54" t="b">
        <f t="shared" si="16"/>
        <v>0</v>
      </c>
      <c r="E38" s="54" t="b">
        <f t="shared" si="17"/>
        <v>0</v>
      </c>
      <c r="F38" s="54" t="b">
        <f t="shared" si="18"/>
        <v>0</v>
      </c>
      <c r="G38" s="92">
        <f t="shared" si="19"/>
        <v>0</v>
      </c>
      <c r="H38" s="92">
        <f t="shared" si="20"/>
        <v>366</v>
      </c>
      <c r="I38" s="100" t="b">
        <f t="shared" si="21"/>
        <v>0</v>
      </c>
      <c r="J38" s="100">
        <f>SUM($I$8:I37)</f>
        <v>65000000</v>
      </c>
      <c r="K38" s="100">
        <f t="shared" si="22"/>
        <v>0</v>
      </c>
      <c r="L38" s="94">
        <f>ROUND(C38*malumot!$B$85/H38,2)*G38</f>
        <v>0</v>
      </c>
      <c r="M38" s="94">
        <f t="shared" si="23"/>
        <v>0</v>
      </c>
      <c r="N38" s="94"/>
      <c r="O38" s="109" t="str">
        <f t="shared" si="24"/>
        <v>Сб</v>
      </c>
      <c r="P38" s="111">
        <f t="shared" si="25"/>
        <v>2</v>
      </c>
      <c r="Q38" s="111">
        <f>DAY(malumot!$B$79)+P38</f>
        <v>17</v>
      </c>
      <c r="R38" s="106">
        <f>IF(A38&lt;=malumot!$B$82,DATE(YEAR($B$8),MONTH($B$8)+A37,DAY(malumot!$B$79)),0)</f>
        <v>0</v>
      </c>
      <c r="S38" s="92"/>
      <c r="T38" s="92"/>
      <c r="U38" s="92"/>
      <c r="V38" s="92"/>
    </row>
    <row r="39" spans="1:22" x14ac:dyDescent="0.25">
      <c r="A39" s="98">
        <f t="shared" si="26"/>
        <v>32</v>
      </c>
      <c r="B39" s="99" t="b">
        <f>IF(A39&lt;=malumot!$B$82,DATE(YEAR(R39),MONTH(R39),DAY(IF(A39=malumot!$B$82,malumot!$B$67,IF(A39&lt;malumot!$B$82,(Q39),IF(A39&gt;malumot!$B$82,$H$44,0))))))</f>
        <v>0</v>
      </c>
      <c r="C39" s="54">
        <f t="shared" si="15"/>
        <v>3.7252902984619141E-9</v>
      </c>
      <c r="D39" s="54" t="b">
        <f t="shared" si="16"/>
        <v>0</v>
      </c>
      <c r="E39" s="54" t="b">
        <f t="shared" si="17"/>
        <v>0</v>
      </c>
      <c r="F39" s="54" t="b">
        <f t="shared" si="18"/>
        <v>0</v>
      </c>
      <c r="G39" s="92">
        <f t="shared" si="19"/>
        <v>0</v>
      </c>
      <c r="H39" s="92">
        <f t="shared" si="20"/>
        <v>366</v>
      </c>
      <c r="I39" s="100" t="b">
        <f t="shared" si="21"/>
        <v>0</v>
      </c>
      <c r="J39" s="100">
        <f>SUM($I$8:I38)</f>
        <v>65000000</v>
      </c>
      <c r="K39" s="100">
        <f t="shared" si="22"/>
        <v>0</v>
      </c>
      <c r="L39" s="94">
        <f>ROUND(C39*malumot!$B$85/H39,2)*G39</f>
        <v>0</v>
      </c>
      <c r="M39" s="94">
        <f t="shared" si="23"/>
        <v>0</v>
      </c>
      <c r="N39" s="94"/>
      <c r="O39" s="109" t="str">
        <f t="shared" si="24"/>
        <v>Сб</v>
      </c>
      <c r="P39" s="111">
        <f t="shared" si="25"/>
        <v>2</v>
      </c>
      <c r="Q39" s="111">
        <f>DAY(malumot!$B$79)+P39</f>
        <v>17</v>
      </c>
      <c r="R39" s="106">
        <f>IF(A39&lt;=malumot!$B$82,DATE(YEAR($B$8),MONTH($B$8)+A38,DAY(malumot!$B$79)),0)</f>
        <v>0</v>
      </c>
      <c r="S39" s="92"/>
      <c r="T39" s="92"/>
      <c r="U39" s="92"/>
      <c r="V39" s="92"/>
    </row>
    <row r="40" spans="1:22" x14ac:dyDescent="0.25">
      <c r="A40" s="98">
        <f t="shared" si="26"/>
        <v>33</v>
      </c>
      <c r="B40" s="99" t="b">
        <f>IF(A40&lt;=malumot!$B$82,DATE(YEAR(R40),MONTH(R40),DAY(IF(A40=malumot!$B$82,malumot!$B$67,IF(A40&lt;malumot!$B$82,(Q40),IF(A40&gt;malumot!$B$82,$H$44,0))))))</f>
        <v>0</v>
      </c>
      <c r="C40" s="54">
        <f t="shared" si="15"/>
        <v>3.7252902984619141E-9</v>
      </c>
      <c r="D40" s="54" t="b">
        <f t="shared" si="16"/>
        <v>0</v>
      </c>
      <c r="E40" s="54" t="b">
        <f t="shared" si="17"/>
        <v>0</v>
      </c>
      <c r="F40" s="54" t="b">
        <f t="shared" si="18"/>
        <v>0</v>
      </c>
      <c r="G40" s="92">
        <f t="shared" si="19"/>
        <v>0</v>
      </c>
      <c r="H40" s="92">
        <f t="shared" si="20"/>
        <v>366</v>
      </c>
      <c r="I40" s="100" t="b">
        <f t="shared" si="21"/>
        <v>0</v>
      </c>
      <c r="J40" s="100">
        <f>SUM($I$8:I39)</f>
        <v>65000000</v>
      </c>
      <c r="K40" s="100">
        <f t="shared" si="22"/>
        <v>0</v>
      </c>
      <c r="L40" s="94">
        <f>ROUND(C40*malumot!$B$85/H40,2)*G40</f>
        <v>0</v>
      </c>
      <c r="M40" s="94">
        <f t="shared" si="23"/>
        <v>0</v>
      </c>
      <c r="N40" s="94"/>
      <c r="O40" s="109" t="str">
        <f t="shared" si="24"/>
        <v>Сб</v>
      </c>
      <c r="P40" s="111">
        <f t="shared" si="25"/>
        <v>2</v>
      </c>
      <c r="Q40" s="111">
        <f>DAY(malumot!$B$79)+P40</f>
        <v>17</v>
      </c>
      <c r="R40" s="106">
        <f>IF(A40&lt;=malumot!$B$82,DATE(YEAR($B$8),MONTH($B$8)+A39,DAY(malumot!$B$79)),0)</f>
        <v>0</v>
      </c>
      <c r="S40" s="92"/>
      <c r="T40" s="92"/>
      <c r="U40" s="92"/>
      <c r="V40" s="92"/>
    </row>
    <row r="41" spans="1:22" x14ac:dyDescent="0.25">
      <c r="A41" s="98">
        <f t="shared" si="26"/>
        <v>34</v>
      </c>
      <c r="B41" s="99" t="b">
        <f>IF(A41&lt;=malumot!$B$82,DATE(YEAR(R41),MONTH(R41),DAY(IF(A41=malumot!$B$82,malumot!$B$67,IF(A41&lt;malumot!$B$82,(Q41),IF(A41&gt;malumot!$B$82,$H$44,0))))))</f>
        <v>0</v>
      </c>
      <c r="C41" s="54">
        <f t="shared" si="15"/>
        <v>3.7252902984619141E-9</v>
      </c>
      <c r="D41" s="54" t="b">
        <f t="shared" si="16"/>
        <v>0</v>
      </c>
      <c r="E41" s="54" t="b">
        <f t="shared" si="17"/>
        <v>0</v>
      </c>
      <c r="F41" s="54" t="b">
        <f t="shared" si="18"/>
        <v>0</v>
      </c>
      <c r="G41" s="92">
        <f t="shared" si="19"/>
        <v>0</v>
      </c>
      <c r="H41" s="92">
        <f t="shared" si="20"/>
        <v>366</v>
      </c>
      <c r="I41" s="100" t="b">
        <f t="shared" si="21"/>
        <v>0</v>
      </c>
      <c r="J41" s="100">
        <f>SUM($I$8:I40)</f>
        <v>65000000</v>
      </c>
      <c r="K41" s="100">
        <f t="shared" si="22"/>
        <v>0</v>
      </c>
      <c r="L41" s="94">
        <f>ROUND(C41*malumot!$B$85/H41,2)*G41</f>
        <v>0</v>
      </c>
      <c r="M41" s="94">
        <f t="shared" si="23"/>
        <v>0</v>
      </c>
      <c r="N41" s="94"/>
      <c r="O41" s="109" t="str">
        <f t="shared" si="24"/>
        <v>Сб</v>
      </c>
      <c r="P41" s="111">
        <f t="shared" si="25"/>
        <v>2</v>
      </c>
      <c r="Q41" s="111">
        <f>DAY(malumot!$B$79)+P41</f>
        <v>17</v>
      </c>
      <c r="R41" s="106">
        <f>IF(A41&lt;=malumot!$B$82,DATE(YEAR($B$8),MONTH($B$8)+A40,DAY(malumot!$B$79)),0)</f>
        <v>0</v>
      </c>
      <c r="S41" s="92"/>
      <c r="T41" s="92"/>
      <c r="U41" s="92"/>
      <c r="V41" s="92"/>
    </row>
    <row r="42" spans="1:22" x14ac:dyDescent="0.25">
      <c r="A42" s="98">
        <f t="shared" si="26"/>
        <v>35</v>
      </c>
      <c r="B42" s="99" t="b">
        <f>IF(A42&lt;=malumot!$B$82,DATE(YEAR(R42),MONTH(R42),DAY(IF(A42=malumot!$B$82,malumot!$B$67,IF(A42&lt;malumot!$B$82,(Q42),IF(A42&gt;malumot!$B$82,$H$44,0))))))</f>
        <v>0</v>
      </c>
      <c r="C42" s="54">
        <f t="shared" si="15"/>
        <v>3.7252902984619141E-9</v>
      </c>
      <c r="D42" s="54" t="b">
        <f t="shared" si="16"/>
        <v>0</v>
      </c>
      <c r="E42" s="54" t="b">
        <f t="shared" si="17"/>
        <v>0</v>
      </c>
      <c r="F42" s="54" t="b">
        <f t="shared" si="18"/>
        <v>0</v>
      </c>
      <c r="G42" s="92">
        <f t="shared" si="19"/>
        <v>0</v>
      </c>
      <c r="H42" s="92">
        <f t="shared" si="20"/>
        <v>366</v>
      </c>
      <c r="I42" s="100" t="b">
        <f t="shared" si="21"/>
        <v>0</v>
      </c>
      <c r="J42" s="100">
        <f>SUM($I$8:I41)</f>
        <v>65000000</v>
      </c>
      <c r="K42" s="100">
        <f t="shared" si="22"/>
        <v>0</v>
      </c>
      <c r="L42" s="94">
        <f>ROUND(C42*malumot!$B$85/H42,2)*G42</f>
        <v>0</v>
      </c>
      <c r="M42" s="94">
        <f t="shared" si="23"/>
        <v>0</v>
      </c>
      <c r="N42" s="94"/>
      <c r="O42" s="109" t="str">
        <f t="shared" si="24"/>
        <v>Сб</v>
      </c>
      <c r="P42" s="111">
        <f t="shared" si="25"/>
        <v>2</v>
      </c>
      <c r="Q42" s="111">
        <f>DAY(malumot!$B$79)+P42</f>
        <v>17</v>
      </c>
      <c r="R42" s="106">
        <f>IF(A42&lt;=malumot!$B$82,DATE(YEAR($B$8),MONTH($B$8)+A41,DAY(malumot!$B$79)),0)</f>
        <v>0</v>
      </c>
      <c r="S42" s="92"/>
      <c r="T42" s="92"/>
      <c r="U42" s="92"/>
      <c r="V42" s="92"/>
    </row>
    <row r="43" spans="1:22" x14ac:dyDescent="0.25">
      <c r="A43" s="98">
        <f t="shared" ref="A43" si="27">1+A42</f>
        <v>36</v>
      </c>
      <c r="B43" s="99" t="b">
        <f>IF(A43&lt;=malumot!$B$82,DATE(YEAR(R43),MONTH(R43),DAY(IF(A43=malumot!$B$82,malumot!$B$67,IF(A43&lt;malumot!$B$82,(Q43),IF(A43&gt;malumot!$B$82,$H$44,0))))))</f>
        <v>0</v>
      </c>
      <c r="C43" s="54">
        <f t="shared" ref="C43" si="28">C42-D42</f>
        <v>3.7252902984619141E-9</v>
      </c>
      <c r="D43" s="54" t="b">
        <f t="shared" ref="D43" si="29">IF(C43=0,L43,IF(C43&gt;1,I43))</f>
        <v>0</v>
      </c>
      <c r="E43" s="54" t="b">
        <f t="shared" ref="E43" si="30">IF(C43=0,N42,IF(C43&gt;1,L43))</f>
        <v>0</v>
      </c>
      <c r="F43" s="54" t="b">
        <f t="shared" ref="F43" si="31">IF(C43=0,N42,IF(C43&gt;1,M43))</f>
        <v>0</v>
      </c>
      <c r="G43" s="92">
        <f t="shared" ref="G43" si="32">B43-B42</f>
        <v>0</v>
      </c>
      <c r="H43" s="92">
        <f t="shared" ref="H43" si="33">DATE(YEAR(B43),12,31)-DATE(YEAR(B43),1,1)+1</f>
        <v>366</v>
      </c>
      <c r="I43" s="100" t="b">
        <f t="shared" ref="I43" si="34">IF($L$5=A43,K43,IF($L$5&gt;A43,I42))</f>
        <v>0</v>
      </c>
      <c r="J43" s="100">
        <f>SUM($I$8:I42)</f>
        <v>65000000</v>
      </c>
      <c r="K43" s="100">
        <f t="shared" ref="K43" si="35">$J$12-J43</f>
        <v>0</v>
      </c>
      <c r="L43" s="94">
        <f>ROUND(C43*malumot!$B$85/H43,2)*G43</f>
        <v>0</v>
      </c>
      <c r="M43" s="94">
        <f t="shared" ref="M43" si="36">D43+E43</f>
        <v>0</v>
      </c>
      <c r="N43" s="94"/>
      <c r="O43" s="109" t="str">
        <f t="shared" ref="O43" si="37">TEXT(R43,"ддд")</f>
        <v>Сб</v>
      </c>
      <c r="P43" s="111">
        <f t="shared" ref="P43" si="38">IF(O43=$U$8,2,IF(O43=$V$8,1,0))</f>
        <v>2</v>
      </c>
      <c r="Q43" s="111">
        <f>DAY(malumot!$B$79)+P43</f>
        <v>17</v>
      </c>
      <c r="R43" s="106">
        <f>IF(A43&lt;=malumot!$B$82,DATE(YEAR($B$8),MONTH($B$8)+A42,DAY(malumot!$B$79)),0)</f>
        <v>0</v>
      </c>
      <c r="S43" s="92"/>
      <c r="T43" s="92"/>
      <c r="U43" s="92"/>
      <c r="V43" s="92"/>
    </row>
    <row r="44" spans="1:22" x14ac:dyDescent="0.25">
      <c r="A44" s="101"/>
      <c r="B44" s="102" t="s">
        <v>7</v>
      </c>
      <c r="C44" s="103"/>
      <c r="D44" s="103">
        <f>SUM(D8:D43)</f>
        <v>65000000</v>
      </c>
      <c r="E44" s="103">
        <f t="shared" ref="E44:F44" si="39">SUM(E8:E43)</f>
        <v>39191438.270000003</v>
      </c>
      <c r="F44" s="103">
        <f t="shared" si="39"/>
        <v>104191438.27000004</v>
      </c>
    </row>
    <row r="45" spans="1:22" ht="9" customHeight="1" x14ac:dyDescent="0.25">
      <c r="B45" s="104"/>
      <c r="C45" s="105"/>
      <c r="D45" s="105"/>
      <c r="E45" s="105"/>
      <c r="F45" s="105"/>
    </row>
    <row r="46" spans="1:22" ht="47.25" customHeight="1" x14ac:dyDescent="0.25">
      <c r="A46" s="258" t="s">
        <v>18</v>
      </c>
      <c r="B46" s="258"/>
      <c r="C46" s="258"/>
      <c r="D46" s="258"/>
      <c r="E46" s="258"/>
      <c r="F46" s="258"/>
    </row>
    <row r="47" spans="1:22" ht="7.5" customHeight="1" x14ac:dyDescent="0.25"/>
    <row r="48" spans="1:22" x14ac:dyDescent="0.25">
      <c r="A48" s="259" t="e">
        <f>#REF!</f>
        <v>#REF!</v>
      </c>
      <c r="B48" s="259"/>
      <c r="C48" s="259"/>
      <c r="D48" s="259" t="e">
        <f>#REF!</f>
        <v>#REF!</v>
      </c>
      <c r="E48" s="259"/>
      <c r="F48" s="259"/>
    </row>
    <row r="49" spans="1:6" ht="11.25" customHeight="1" x14ac:dyDescent="0.25">
      <c r="A49" s="260"/>
      <c r="B49" s="260"/>
      <c r="C49" s="260"/>
      <c r="D49" s="260"/>
      <c r="E49" s="260"/>
      <c r="F49" s="260"/>
    </row>
    <row r="50" spans="1:6" ht="30" customHeight="1" x14ac:dyDescent="0.25">
      <c r="A50" s="261" t="e">
        <f>#REF!</f>
        <v>#REF!</v>
      </c>
      <c r="B50" s="261"/>
      <c r="C50" s="261"/>
      <c r="D50" s="261" t="e">
        <f>#REF!</f>
        <v>#REF!</v>
      </c>
      <c r="E50" s="261"/>
      <c r="F50" s="261"/>
    </row>
    <row r="51" spans="1:6" ht="32.25" customHeight="1" x14ac:dyDescent="0.25">
      <c r="A51" s="257" t="e">
        <f>#REF!</f>
        <v>#REF!</v>
      </c>
      <c r="B51" s="257"/>
      <c r="C51" s="257"/>
      <c r="D51" s="257" t="e">
        <f>#REF!</f>
        <v>#REF!</v>
      </c>
      <c r="E51" s="257"/>
      <c r="F51" s="257"/>
    </row>
    <row r="52" spans="1:6" x14ac:dyDescent="0.25">
      <c r="A52" s="257" t="e">
        <f>#REF!</f>
        <v>#REF!</v>
      </c>
      <c r="B52" s="257"/>
      <c r="C52" s="257"/>
      <c r="D52" s="257" t="str">
        <f>"паспорт серии "&amp;malumot!B16&amp;", "&amp;malumot!B20&amp;""</f>
        <v>паспорт серии AD7554127, BUXORO VILOYATI BUXORO SHAHAR IIB tomonidan 20.06.2024 yilda berilgan</v>
      </c>
      <c r="E52" s="257"/>
      <c r="F52" s="257"/>
    </row>
    <row r="53" spans="1:6" ht="32.25" customHeight="1" x14ac:dyDescent="0.25">
      <c r="A53" s="257" t="e">
        <f>#REF!</f>
        <v>#REF!</v>
      </c>
      <c r="B53" s="257"/>
      <c r="C53" s="257"/>
      <c r="D53" s="257"/>
      <c r="E53" s="257"/>
      <c r="F53" s="257"/>
    </row>
    <row r="54" spans="1:6" x14ac:dyDescent="0.25">
      <c r="A54" s="257" t="e">
        <f>#REF!</f>
        <v>#REF!</v>
      </c>
      <c r="B54" s="257"/>
      <c r="C54" s="257"/>
      <c r="D54" s="257" t="e">
        <f>#REF!</f>
        <v>#REF!</v>
      </c>
      <c r="E54" s="257"/>
      <c r="F54" s="257"/>
    </row>
    <row r="55" spans="1:6" x14ac:dyDescent="0.25">
      <c r="A55" s="257" t="e">
        <f>#REF!</f>
        <v>#REF!</v>
      </c>
      <c r="B55" s="257"/>
      <c r="C55" s="257"/>
      <c r="D55" s="257" t="e">
        <f>#REF!</f>
        <v>#REF!</v>
      </c>
      <c r="E55" s="257"/>
      <c r="F55" s="257"/>
    </row>
    <row r="56" spans="1:6" x14ac:dyDescent="0.25">
      <c r="A56" s="257" t="e">
        <f>#REF!</f>
        <v>#REF!</v>
      </c>
      <c r="B56" s="257"/>
      <c r="C56" s="257"/>
      <c r="D56" s="257" t="e">
        <f>#REF!</f>
        <v>#REF!</v>
      </c>
      <c r="E56" s="257"/>
      <c r="F56" s="257"/>
    </row>
    <row r="57" spans="1:6" ht="8.25" customHeight="1" x14ac:dyDescent="0.25">
      <c r="A57" s="257"/>
      <c r="B57" s="257"/>
      <c r="C57" s="257"/>
      <c r="D57" s="257"/>
      <c r="E57" s="257"/>
      <c r="F57" s="257"/>
    </row>
    <row r="58" spans="1:6" x14ac:dyDescent="0.25">
      <c r="A58" s="261" t="e">
        <f>#REF!</f>
        <v>#REF!</v>
      </c>
      <c r="B58" s="261"/>
      <c r="C58" s="261"/>
      <c r="D58" s="261" t="e">
        <f>#REF!</f>
        <v>#REF!</v>
      </c>
      <c r="E58" s="261"/>
      <c r="F58" s="261"/>
    </row>
    <row r="59" spans="1:6" ht="7.5" customHeight="1" x14ac:dyDescent="0.25">
      <c r="A59" s="261"/>
      <c r="B59" s="261"/>
      <c r="C59" s="261"/>
      <c r="D59" s="261"/>
      <c r="E59" s="261"/>
      <c r="F59" s="261"/>
    </row>
    <row r="60" spans="1:6" x14ac:dyDescent="0.25">
      <c r="A60" s="261" t="e">
        <f>#REF!</f>
        <v>#REF!</v>
      </c>
      <c r="B60" s="261"/>
      <c r="C60" s="261"/>
      <c r="D60" s="261" t="e">
        <f>#REF!</f>
        <v>#REF!</v>
      </c>
      <c r="E60" s="261"/>
      <c r="F60" s="261"/>
    </row>
    <row r="61" spans="1:6" ht="8.25" customHeight="1" x14ac:dyDescent="0.25">
      <c r="A61" s="257"/>
      <c r="B61" s="257"/>
      <c r="C61" s="257"/>
      <c r="D61" s="257"/>
      <c r="E61" s="257"/>
      <c r="F61" s="257"/>
    </row>
    <row r="62" spans="1:6" ht="30" customHeight="1" x14ac:dyDescent="0.25">
      <c r="A62" s="263"/>
      <c r="B62" s="263"/>
      <c r="C62" s="263"/>
      <c r="D62" s="264" t="e">
        <f>#REF!</f>
        <v>#REF!</v>
      </c>
      <c r="E62" s="264"/>
      <c r="F62" s="264"/>
    </row>
    <row r="63" spans="1:6" x14ac:dyDescent="0.25">
      <c r="A63" s="265"/>
      <c r="B63" s="265"/>
      <c r="C63" s="265"/>
      <c r="D63" s="265"/>
      <c r="E63" s="265"/>
      <c r="F63" s="265"/>
    </row>
    <row r="64" spans="1:6" x14ac:dyDescent="0.25">
      <c r="A64" s="262"/>
      <c r="B64" s="262"/>
      <c r="C64" s="262"/>
      <c r="D64" s="262"/>
      <c r="E64" s="262"/>
      <c r="F64" s="262"/>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7" priority="4" operator="lessThan">
      <formula>22105</formula>
    </cfRule>
  </conditionalFormatting>
  <conditionalFormatting sqref="C8:C43">
    <cfRule type="cellIs" dxfId="6" priority="3" operator="lessThan">
      <formula>1</formula>
    </cfRule>
  </conditionalFormatting>
  <conditionalFormatting sqref="C8:F43">
    <cfRule type="cellIs" dxfId="5"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x14ac:dyDescent="0.25"/>
  <cols>
    <col min="1" max="1" width="16.7109375" style="118"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24" customFormat="1" ht="36.75" customHeight="1" x14ac:dyDescent="0.25">
      <c r="A1" s="123" t="s">
        <v>15</v>
      </c>
      <c r="B1" s="124" t="s">
        <v>3</v>
      </c>
      <c r="D1" s="123"/>
      <c r="E1" s="123" t="s">
        <v>40</v>
      </c>
      <c r="F1" s="123" t="s">
        <v>41</v>
      </c>
      <c r="G1" s="123"/>
      <c r="H1" s="123"/>
      <c r="I1" s="123"/>
      <c r="J1" s="123"/>
      <c r="K1" s="123"/>
      <c r="L1" s="123" t="s">
        <v>42</v>
      </c>
      <c r="M1" s="123" t="s">
        <v>44</v>
      </c>
      <c r="N1" s="123" t="s">
        <v>43</v>
      </c>
    </row>
    <row r="2" spans="1:23" ht="15" customHeight="1" x14ac:dyDescent="0.25">
      <c r="A2" s="117">
        <v>1</v>
      </c>
      <c r="B2" t="s">
        <v>256</v>
      </c>
      <c r="C2" t="s">
        <v>67</v>
      </c>
      <c r="D2" s="119" t="s">
        <v>256</v>
      </c>
      <c r="E2" s="119" t="s">
        <v>46</v>
      </c>
      <c r="F2" s="120">
        <v>44207</v>
      </c>
      <c r="G2" s="110">
        <f>MONTH(F2)</f>
        <v>1</v>
      </c>
      <c r="H2" s="120" t="str">
        <f>IF(G2=$A$26,$A$28,IF(G2=$B$26,$B$28,IF(G2=$C$26,$C$28,IF(G2=$D$26,$D$28,IF(G2=$E$26,$E$28,IF(G2=$F$26,$F$28,IF(G2=$K$26,$K$28,IF(G2=$L$26,$L$28,IF(G2=$M$26,$M$28,IF(G2=$N$26,$N$28,IF(G2=$O$26,$O$28,IF(G2=$P$26,$P$28,0))))))))))))</f>
        <v>yanvar</v>
      </c>
      <c r="I2" s="110">
        <f>DAY(F2)</f>
        <v>11</v>
      </c>
      <c r="J2" s="122">
        <f>YEAR(F2)</f>
        <v>2021</v>
      </c>
      <c r="K2" s="120" t="str">
        <f>""&amp;I2&amp;" "&amp;H2&amp;" "&amp;J2&amp;" г."</f>
        <v>11 yanvar 2021 г.</v>
      </c>
      <c r="L2" s="119">
        <v>5</v>
      </c>
      <c r="M2" s="121">
        <v>15000000</v>
      </c>
      <c r="N2" s="119" t="s">
        <v>130</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63"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x14ac:dyDescent="0.25">
      <c r="A3" s="117">
        <v>2</v>
      </c>
      <c r="D3" s="119" t="s">
        <v>256</v>
      </c>
      <c r="E3" s="119" t="s">
        <v>45</v>
      </c>
      <c r="F3" s="120">
        <v>43775</v>
      </c>
      <c r="G3" s="110">
        <f>MONTH(F3)</f>
        <v>11</v>
      </c>
      <c r="H3" s="120" t="str">
        <f>IF(G3=$A$26,$A$28,IF(G3=$B$26,$B$28,IF(G3=$C$26,$C$28,IF(G3=$D$26,$D$28,IF(G3=$E$26,$E$28,IF(G3=$F$26,$F$28,IF(G3=$K$26,$K$28,IF(G3=$L$26,$L$28,IF(G3=$M$26,$M$28,IF(G3=$N$26,$N$28,IF(G3=$O$26,$O$28,IF(G3=$P$26,$P$28,0))))))))))))</f>
        <v>noyabr</v>
      </c>
      <c r="I3" s="110">
        <f>DAY(F3)</f>
        <v>6</v>
      </c>
      <c r="J3" s="122">
        <f>YEAR(F3)</f>
        <v>2019</v>
      </c>
      <c r="K3" s="120" t="str">
        <f>""&amp;I3&amp;" "&amp;H3&amp;" "&amp;J3&amp;" г."</f>
        <v>6 noyabr 2019 г.</v>
      </c>
      <c r="L3" s="119">
        <v>386</v>
      </c>
      <c r="M3" s="121">
        <v>15000000</v>
      </c>
      <c r="N3" s="119" t="s">
        <v>130</v>
      </c>
      <c r="O3" t="str">
        <f t="shared" ref="O3:O4" si="0">"-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1">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x14ac:dyDescent="0.25">
      <c r="A4" s="117">
        <v>3</v>
      </c>
      <c r="D4" s="119" t="s">
        <v>256</v>
      </c>
      <c r="E4" s="119" t="s">
        <v>45</v>
      </c>
      <c r="F4" s="120">
        <v>44217</v>
      </c>
      <c r="G4" s="110">
        <f>MONTH(F4)</f>
        <v>1</v>
      </c>
      <c r="H4" s="120" t="str">
        <f>IF(G4=$A$26,$A$28,IF(G4=$B$26,$B$28,IF(G4=$C$26,$C$28,IF(G4=$D$26,$D$28,IF(G4=$E$26,$E$28,IF(G4=$F$26,$F$28,IF(G4=$K$26,$K$28,IF(G4=$L$26,$L$28,IF(G4=$M$26,$M$28,IF(G4=$N$26,$N$28,IF(G4=$O$26,$O$28,IF(G4=$P$26,$P$28,0))))))))))))</f>
        <v>yanvar</v>
      </c>
      <c r="I4" s="110">
        <f>DAY(F4)</f>
        <v>21</v>
      </c>
      <c r="J4" s="122">
        <f>YEAR(F4)</f>
        <v>2021</v>
      </c>
      <c r="K4" s="120" t="str">
        <f>""&amp;I4&amp;" "&amp;H4&amp;" "&amp;J4&amp;" г."</f>
        <v>21 yanvar 2021 г.</v>
      </c>
      <c r="L4" s="119">
        <v>33</v>
      </c>
      <c r="M4" s="121">
        <v>15000000</v>
      </c>
      <c r="N4" s="119" t="s">
        <v>130</v>
      </c>
      <c r="O4" t="str">
        <f t="shared" si="0"/>
        <v>- №33 от 21 yanvar 2021 г., заключенного с ООО «Clever Mikrokredit Tashkiloti» и YUNUSOVA ZALOXAT MIRSULTANOVNA, по согласованной залоговой стоимость - 15 000 000,00 (on besh million) сум.</v>
      </c>
      <c r="P4" t="str">
        <f t="shared" si="1"/>
        <v>- №33 от 21 yanvar 2021 г., заключенного с ООО «Clever Mikrokredit Tashkiloti» и YUNUSOVA ZALOXAT MIRSULTANOVNA, по согласованной залоговой стоимость - 15 000 000,00 (on besh million) сум.</v>
      </c>
    </row>
    <row r="5" spans="1:23" ht="15" customHeight="1" x14ac:dyDescent="0.25">
      <c r="A5" s="117">
        <v>4</v>
      </c>
      <c r="D5" s="119" t="s">
        <v>256</v>
      </c>
      <c r="E5" s="119"/>
      <c r="F5" s="120"/>
      <c r="G5" s="110">
        <f t="shared" ref="G5:G21" si="2">MONTH(F5)</f>
        <v>1</v>
      </c>
      <c r="H5" s="120" t="str">
        <f t="shared" ref="H5:H21" si="3">IF(G5=$A$26,$A$28,IF(G5=$B$26,$B$28,IF(G5=$C$26,$C$28,IF(G5=$D$26,$D$28,IF(G5=$E$26,$E$28,IF(G5=$F$26,$F$28,IF(G5=$K$26,$K$28,IF(G5=$L$26,$L$28,IF(G5=$M$26,$M$28,IF(G5=$N$26,$N$28,IF(G5=$O$26,$O$28,IF(G5=$P$26,$P$28,0))))))))))))</f>
        <v>yanvar</v>
      </c>
      <c r="I5" s="110">
        <f t="shared" ref="I5:I21" si="4">DAY(F5)</f>
        <v>0</v>
      </c>
      <c r="J5" s="122">
        <f t="shared" ref="J5:J21" si="5">YEAR(F5)</f>
        <v>1900</v>
      </c>
      <c r="K5" s="120" t="str">
        <f t="shared" ref="K5:K21" si="6">""&amp;I5&amp;" "&amp;H5&amp;" "&amp;J5&amp;" г."</f>
        <v>0 yanvar 1900 г.</v>
      </c>
      <c r="L5" s="119"/>
      <c r="M5" s="121"/>
      <c r="N5" s="119"/>
      <c r="P5">
        <f t="shared" si="1"/>
        <v>0</v>
      </c>
    </row>
    <row r="6" spans="1:23" ht="15" customHeight="1" x14ac:dyDescent="0.25">
      <c r="A6" s="117">
        <v>5</v>
      </c>
      <c r="D6" s="119" t="s">
        <v>256</v>
      </c>
      <c r="E6" s="119"/>
      <c r="F6" s="120"/>
      <c r="G6" s="110">
        <f t="shared" si="2"/>
        <v>1</v>
      </c>
      <c r="H6" s="120" t="str">
        <f t="shared" si="3"/>
        <v>yanvar</v>
      </c>
      <c r="I6" s="110">
        <f t="shared" si="4"/>
        <v>0</v>
      </c>
      <c r="J6" s="122">
        <f t="shared" si="5"/>
        <v>1900</v>
      </c>
      <c r="K6" s="120" t="str">
        <f t="shared" si="6"/>
        <v>0 yanvar 1900 г.</v>
      </c>
      <c r="L6" s="119"/>
      <c r="M6" s="121"/>
      <c r="N6" s="119"/>
      <c r="P6">
        <f t="shared" si="1"/>
        <v>0</v>
      </c>
    </row>
    <row r="7" spans="1:23" ht="15" customHeight="1" x14ac:dyDescent="0.25">
      <c r="A7" s="117">
        <v>6</v>
      </c>
      <c r="D7" s="119" t="s">
        <v>256</v>
      </c>
      <c r="E7" s="119"/>
      <c r="F7" s="120"/>
      <c r="G7" s="110">
        <f t="shared" si="2"/>
        <v>1</v>
      </c>
      <c r="H7" s="120" t="str">
        <f t="shared" si="3"/>
        <v>yanvar</v>
      </c>
      <c r="I7" s="110">
        <f t="shared" si="4"/>
        <v>0</v>
      </c>
      <c r="J7" s="122">
        <f t="shared" si="5"/>
        <v>1900</v>
      </c>
      <c r="K7" s="120" t="str">
        <f t="shared" si="6"/>
        <v>0 yanvar 1900 г.</v>
      </c>
      <c r="L7" s="119"/>
      <c r="M7" s="121"/>
      <c r="N7" s="119"/>
      <c r="P7">
        <f t="shared" si="1"/>
        <v>0</v>
      </c>
    </row>
    <row r="8" spans="1:23" ht="15" customHeight="1" x14ac:dyDescent="0.25">
      <c r="A8" s="117">
        <v>7</v>
      </c>
      <c r="D8" s="119" t="s">
        <v>256</v>
      </c>
      <c r="E8" s="119"/>
      <c r="F8" s="120"/>
      <c r="G8" s="110">
        <f t="shared" si="2"/>
        <v>1</v>
      </c>
      <c r="H8" s="120" t="str">
        <f t="shared" si="3"/>
        <v>yanvar</v>
      </c>
      <c r="I8" s="110">
        <f t="shared" si="4"/>
        <v>0</v>
      </c>
      <c r="J8" s="122">
        <f t="shared" si="5"/>
        <v>1900</v>
      </c>
      <c r="K8" s="120" t="str">
        <f t="shared" si="6"/>
        <v>0 yanvar 1900 г.</v>
      </c>
      <c r="L8" s="119"/>
      <c r="M8" s="121"/>
      <c r="N8" s="119"/>
      <c r="P8">
        <f t="shared" si="1"/>
        <v>0</v>
      </c>
    </row>
    <row r="9" spans="1:23" ht="15" customHeight="1" x14ac:dyDescent="0.25">
      <c r="A9" s="117">
        <v>8</v>
      </c>
      <c r="D9" s="119" t="s">
        <v>256</v>
      </c>
      <c r="E9" s="119"/>
      <c r="F9" s="120"/>
      <c r="G9" s="110">
        <f t="shared" si="2"/>
        <v>1</v>
      </c>
      <c r="H9" s="120" t="str">
        <f t="shared" si="3"/>
        <v>yanvar</v>
      </c>
      <c r="I9" s="110">
        <f t="shared" si="4"/>
        <v>0</v>
      </c>
      <c r="J9" s="122">
        <f t="shared" si="5"/>
        <v>1900</v>
      </c>
      <c r="K9" s="120" t="str">
        <f t="shared" si="6"/>
        <v>0 yanvar 1900 г.</v>
      </c>
      <c r="L9" s="119"/>
      <c r="M9" s="121"/>
      <c r="N9" s="119"/>
      <c r="P9">
        <f t="shared" si="1"/>
        <v>0</v>
      </c>
    </row>
    <row r="10" spans="1:23" ht="15" customHeight="1" x14ac:dyDescent="0.25">
      <c r="A10" s="117">
        <v>9</v>
      </c>
      <c r="D10" s="119" t="s">
        <v>256</v>
      </c>
      <c r="E10" s="119"/>
      <c r="F10" s="120"/>
      <c r="G10" s="110">
        <f t="shared" si="2"/>
        <v>1</v>
      </c>
      <c r="H10" s="120" t="str">
        <f t="shared" si="3"/>
        <v>yanvar</v>
      </c>
      <c r="I10" s="110">
        <f t="shared" si="4"/>
        <v>0</v>
      </c>
      <c r="J10" s="122">
        <f t="shared" si="5"/>
        <v>1900</v>
      </c>
      <c r="K10" s="120" t="str">
        <f t="shared" si="6"/>
        <v>0 yanvar 1900 г.</v>
      </c>
      <c r="L10" s="119"/>
      <c r="M10" s="121"/>
      <c r="N10" s="119"/>
      <c r="P10">
        <f t="shared" si="1"/>
        <v>0</v>
      </c>
    </row>
    <row r="11" spans="1:23" ht="15" customHeight="1" x14ac:dyDescent="0.25">
      <c r="A11" s="117">
        <v>10</v>
      </c>
      <c r="D11" s="119" t="s">
        <v>256</v>
      </c>
      <c r="E11" s="119"/>
      <c r="F11" s="120"/>
      <c r="G11" s="110">
        <f t="shared" si="2"/>
        <v>1</v>
      </c>
      <c r="H11" s="120" t="str">
        <f t="shared" si="3"/>
        <v>yanvar</v>
      </c>
      <c r="I11" s="110">
        <f t="shared" si="4"/>
        <v>0</v>
      </c>
      <c r="J11" s="122">
        <f t="shared" si="5"/>
        <v>1900</v>
      </c>
      <c r="K11" s="120" t="str">
        <f t="shared" si="6"/>
        <v>0 yanvar 1900 г.</v>
      </c>
      <c r="L11" s="119"/>
      <c r="M11" s="121"/>
      <c r="N11" s="119"/>
      <c r="P11">
        <f t="shared" si="1"/>
        <v>0</v>
      </c>
    </row>
    <row r="12" spans="1:23" ht="15" customHeight="1" x14ac:dyDescent="0.25">
      <c r="A12" s="117">
        <v>11</v>
      </c>
      <c r="D12" s="119" t="s">
        <v>256</v>
      </c>
      <c r="E12" s="119"/>
      <c r="F12" s="120"/>
      <c r="G12" s="110">
        <f t="shared" si="2"/>
        <v>1</v>
      </c>
      <c r="H12" s="120" t="str">
        <f t="shared" si="3"/>
        <v>yanvar</v>
      </c>
      <c r="I12" s="110">
        <f t="shared" si="4"/>
        <v>0</v>
      </c>
      <c r="J12" s="122">
        <f t="shared" si="5"/>
        <v>1900</v>
      </c>
      <c r="K12" s="120" t="str">
        <f t="shared" si="6"/>
        <v>0 yanvar 1900 г.</v>
      </c>
      <c r="L12" s="119"/>
      <c r="M12" s="121"/>
      <c r="N12" s="119"/>
      <c r="P12">
        <f t="shared" si="1"/>
        <v>0</v>
      </c>
    </row>
    <row r="13" spans="1:23" ht="15" customHeight="1" x14ac:dyDescent="0.25">
      <c r="A13" s="117">
        <v>12</v>
      </c>
      <c r="D13" s="119" t="s">
        <v>256</v>
      </c>
      <c r="E13" s="119"/>
      <c r="F13" s="120"/>
      <c r="G13" s="110">
        <f t="shared" si="2"/>
        <v>1</v>
      </c>
      <c r="H13" s="120" t="str">
        <f t="shared" si="3"/>
        <v>yanvar</v>
      </c>
      <c r="I13" s="110">
        <f t="shared" si="4"/>
        <v>0</v>
      </c>
      <c r="J13" s="122">
        <f t="shared" si="5"/>
        <v>1900</v>
      </c>
      <c r="K13" s="120" t="str">
        <f t="shared" si="6"/>
        <v>0 yanvar 1900 г.</v>
      </c>
      <c r="L13" s="119"/>
      <c r="M13" s="121"/>
      <c r="N13" s="119"/>
      <c r="P13">
        <f t="shared" si="1"/>
        <v>0</v>
      </c>
    </row>
    <row r="14" spans="1:23" ht="15" customHeight="1" x14ac:dyDescent="0.25">
      <c r="A14" s="117">
        <v>13</v>
      </c>
      <c r="D14" s="119" t="s">
        <v>256</v>
      </c>
      <c r="E14" s="119"/>
      <c r="F14" s="120"/>
      <c r="G14" s="110">
        <f t="shared" si="2"/>
        <v>1</v>
      </c>
      <c r="H14" s="120" t="str">
        <f t="shared" si="3"/>
        <v>yanvar</v>
      </c>
      <c r="I14" s="110">
        <f t="shared" si="4"/>
        <v>0</v>
      </c>
      <c r="J14" s="122">
        <f t="shared" si="5"/>
        <v>1900</v>
      </c>
      <c r="K14" s="120" t="str">
        <f t="shared" si="6"/>
        <v>0 yanvar 1900 г.</v>
      </c>
      <c r="L14" s="119"/>
      <c r="M14" s="121"/>
      <c r="N14" s="119"/>
      <c r="P14">
        <f t="shared" si="1"/>
        <v>0</v>
      </c>
    </row>
    <row r="15" spans="1:23" ht="15" customHeight="1" x14ac:dyDescent="0.25">
      <c r="A15" s="117">
        <v>14</v>
      </c>
      <c r="D15" s="119" t="s">
        <v>256</v>
      </c>
      <c r="E15" s="119"/>
      <c r="F15" s="120"/>
      <c r="G15" s="110">
        <f t="shared" si="2"/>
        <v>1</v>
      </c>
      <c r="H15" s="120" t="str">
        <f t="shared" si="3"/>
        <v>yanvar</v>
      </c>
      <c r="I15" s="110">
        <f t="shared" si="4"/>
        <v>0</v>
      </c>
      <c r="J15" s="122">
        <f t="shared" si="5"/>
        <v>1900</v>
      </c>
      <c r="K15" s="120" t="str">
        <f t="shared" si="6"/>
        <v>0 yanvar 1900 г.</v>
      </c>
      <c r="L15" s="119"/>
      <c r="M15" s="121"/>
      <c r="N15" s="119"/>
      <c r="P15">
        <f t="shared" si="1"/>
        <v>0</v>
      </c>
    </row>
    <row r="16" spans="1:23" ht="15" customHeight="1" x14ac:dyDescent="0.25">
      <c r="A16" s="117">
        <v>15</v>
      </c>
      <c r="D16" s="119" t="s">
        <v>256</v>
      </c>
      <c r="E16" s="119"/>
      <c r="F16" s="120"/>
      <c r="G16" s="110">
        <f t="shared" si="2"/>
        <v>1</v>
      </c>
      <c r="H16" s="120" t="str">
        <f t="shared" si="3"/>
        <v>yanvar</v>
      </c>
      <c r="I16" s="110">
        <f t="shared" si="4"/>
        <v>0</v>
      </c>
      <c r="J16" s="122">
        <f t="shared" si="5"/>
        <v>1900</v>
      </c>
      <c r="K16" s="120" t="str">
        <f t="shared" si="6"/>
        <v>0 yanvar 1900 г.</v>
      </c>
      <c r="L16" s="119"/>
      <c r="M16" s="121"/>
      <c r="N16" s="119"/>
      <c r="P16">
        <f t="shared" si="1"/>
        <v>0</v>
      </c>
    </row>
    <row r="17" spans="1:17" ht="15" customHeight="1" x14ac:dyDescent="0.25">
      <c r="A17" s="117">
        <v>16</v>
      </c>
      <c r="D17" s="119" t="s">
        <v>256</v>
      </c>
      <c r="E17" s="119"/>
      <c r="F17" s="120"/>
      <c r="G17" s="110">
        <f t="shared" si="2"/>
        <v>1</v>
      </c>
      <c r="H17" s="120" t="str">
        <f t="shared" si="3"/>
        <v>yanvar</v>
      </c>
      <c r="I17" s="110">
        <f t="shared" si="4"/>
        <v>0</v>
      </c>
      <c r="J17" s="122">
        <f t="shared" si="5"/>
        <v>1900</v>
      </c>
      <c r="K17" s="120" t="str">
        <f t="shared" si="6"/>
        <v>0 yanvar 1900 г.</v>
      </c>
      <c r="L17" s="119"/>
      <c r="M17" s="121"/>
      <c r="N17" s="119"/>
      <c r="P17">
        <f t="shared" si="1"/>
        <v>0</v>
      </c>
    </row>
    <row r="18" spans="1:17" ht="15" customHeight="1" x14ac:dyDescent="0.25">
      <c r="A18" s="117">
        <v>17</v>
      </c>
      <c r="D18" s="119" t="s">
        <v>256</v>
      </c>
      <c r="E18" s="119"/>
      <c r="F18" s="120"/>
      <c r="G18" s="110">
        <f t="shared" si="2"/>
        <v>1</v>
      </c>
      <c r="H18" s="120" t="str">
        <f t="shared" si="3"/>
        <v>yanvar</v>
      </c>
      <c r="I18" s="110">
        <f t="shared" si="4"/>
        <v>0</v>
      </c>
      <c r="J18" s="122">
        <f t="shared" si="5"/>
        <v>1900</v>
      </c>
      <c r="K18" s="120" t="str">
        <f t="shared" si="6"/>
        <v>0 yanvar 1900 г.</v>
      </c>
      <c r="L18" s="119"/>
      <c r="M18" s="121"/>
      <c r="N18" s="119"/>
      <c r="P18">
        <f t="shared" si="1"/>
        <v>0</v>
      </c>
    </row>
    <row r="19" spans="1:17" ht="15" customHeight="1" x14ac:dyDescent="0.25">
      <c r="A19" s="117">
        <v>18</v>
      </c>
      <c r="D19" s="119" t="s">
        <v>256</v>
      </c>
      <c r="E19" s="119"/>
      <c r="F19" s="120"/>
      <c r="G19" s="110">
        <f t="shared" si="2"/>
        <v>1</v>
      </c>
      <c r="H19" s="120" t="str">
        <f t="shared" si="3"/>
        <v>yanvar</v>
      </c>
      <c r="I19" s="110">
        <f t="shared" si="4"/>
        <v>0</v>
      </c>
      <c r="J19" s="122">
        <f t="shared" si="5"/>
        <v>1900</v>
      </c>
      <c r="K19" s="120" t="str">
        <f t="shared" si="6"/>
        <v>0 yanvar 1900 г.</v>
      </c>
      <c r="L19" s="119"/>
      <c r="M19" s="121"/>
      <c r="N19" s="119"/>
      <c r="P19">
        <f t="shared" si="1"/>
        <v>0</v>
      </c>
    </row>
    <row r="20" spans="1:17" ht="15" customHeight="1" x14ac:dyDescent="0.25">
      <c r="A20" s="117">
        <v>19</v>
      </c>
      <c r="D20" s="119" t="s">
        <v>256</v>
      </c>
      <c r="E20" s="119"/>
      <c r="F20" s="120"/>
      <c r="G20" s="110">
        <f t="shared" si="2"/>
        <v>1</v>
      </c>
      <c r="H20" s="120" t="str">
        <f t="shared" si="3"/>
        <v>yanvar</v>
      </c>
      <c r="I20" s="110">
        <f t="shared" si="4"/>
        <v>0</v>
      </c>
      <c r="J20" s="122">
        <f t="shared" si="5"/>
        <v>1900</v>
      </c>
      <c r="K20" s="120" t="str">
        <f t="shared" si="6"/>
        <v>0 yanvar 1900 г.</v>
      </c>
      <c r="L20" s="119"/>
      <c r="M20" s="121"/>
      <c r="N20" s="119"/>
      <c r="P20">
        <f t="shared" si="1"/>
        <v>0</v>
      </c>
    </row>
    <row r="21" spans="1:17" ht="15" customHeight="1" x14ac:dyDescent="0.25">
      <c r="A21" s="117">
        <v>20</v>
      </c>
      <c r="D21" s="119" t="s">
        <v>256</v>
      </c>
      <c r="E21" s="119"/>
      <c r="F21" s="120"/>
      <c r="G21" s="110">
        <f t="shared" si="2"/>
        <v>1</v>
      </c>
      <c r="H21" s="120" t="str">
        <f t="shared" si="3"/>
        <v>yanvar</v>
      </c>
      <c r="I21" s="110">
        <f t="shared" si="4"/>
        <v>0</v>
      </c>
      <c r="J21" s="122">
        <f t="shared" si="5"/>
        <v>1900</v>
      </c>
      <c r="K21" s="120" t="str">
        <f t="shared" si="6"/>
        <v>0 yanvar 1900 г.</v>
      </c>
      <c r="L21" s="119"/>
      <c r="M21" s="121"/>
      <c r="N21" s="119"/>
      <c r="P21">
        <f t="shared" si="1"/>
        <v>0</v>
      </c>
    </row>
    <row r="22" spans="1:17" x14ac:dyDescent="0.25">
      <c r="M22" s="125">
        <f>SUM(M2:M21)+malumot!B143</f>
        <v>142500000</v>
      </c>
      <c r="Q22" t="s">
        <v>255</v>
      </c>
    </row>
    <row r="23" spans="1:17" x14ac:dyDescent="0.25">
      <c r="A23" s="106"/>
      <c r="B23" s="107"/>
      <c r="C23" s="107"/>
      <c r="D23" s="107"/>
      <c r="E23" s="107"/>
      <c r="F23" s="107"/>
      <c r="G23" s="107"/>
      <c r="H23" s="107"/>
      <c r="I23" s="107"/>
      <c r="J23" s="107"/>
      <c r="K23" s="107"/>
      <c r="L23" s="107"/>
      <c r="M23" s="107"/>
      <c r="N23" s="107"/>
      <c r="O23" s="107"/>
    </row>
    <row r="24" spans="1:17" x14ac:dyDescent="0.25">
      <c r="A24" s="107"/>
      <c r="B24" s="107"/>
      <c r="C24" s="107"/>
      <c r="D24" s="107"/>
      <c r="E24" s="107"/>
      <c r="F24" s="107"/>
      <c r="G24" s="107"/>
      <c r="H24" s="107"/>
      <c r="I24" s="107"/>
      <c r="J24" s="107"/>
      <c r="K24" s="107"/>
      <c r="L24" s="107"/>
      <c r="M24" s="107"/>
      <c r="N24" s="107"/>
      <c r="O24" s="107"/>
    </row>
    <row r="25" spans="1:17" x14ac:dyDescent="0.25">
      <c r="A25" s="107">
        <f>MONTH(F2)</f>
        <v>1</v>
      </c>
      <c r="B25" s="107" t="str">
        <f>IF(A25=A26,A28,IF(A25=B26,B28,IF(A25=C26,C28,IF(A25=D26,D28,IF(A25=E26,E28,IF(A25=F26,F28,IF(A25=K26,K28,IF(A25=L26,L28,IF(A25=M26,M28,IF(A25=N26,N28,IF(A25=O26,O28,IF(A25=#REF!,#REF!,))))))))))))</f>
        <v>yanvar</v>
      </c>
      <c r="C25" s="107">
        <f>DAY(F2)</f>
        <v>11</v>
      </c>
      <c r="D25" s="107">
        <f>YEAR(F2)</f>
        <v>2021</v>
      </c>
      <c r="E25" s="107"/>
      <c r="F25" s="107"/>
      <c r="G25" s="107"/>
      <c r="H25" s="107"/>
      <c r="I25" s="107"/>
      <c r="J25" s="107"/>
      <c r="K25" s="107"/>
      <c r="L25" s="107"/>
      <c r="M25" s="107"/>
      <c r="N25" s="107"/>
      <c r="O25" s="107"/>
    </row>
    <row r="26" spans="1:17" x14ac:dyDescent="0.25">
      <c r="A26" s="107">
        <v>1</v>
      </c>
      <c r="B26" s="107">
        <v>2</v>
      </c>
      <c r="C26" s="107">
        <v>3</v>
      </c>
      <c r="D26" s="107">
        <v>4</v>
      </c>
      <c r="E26" s="107">
        <v>5</v>
      </c>
      <c r="F26" s="107">
        <v>6</v>
      </c>
      <c r="G26" s="107"/>
      <c r="H26" s="107"/>
      <c r="I26" s="107"/>
      <c r="J26" s="107"/>
      <c r="K26" s="107">
        <v>7</v>
      </c>
      <c r="L26" s="107">
        <v>8</v>
      </c>
      <c r="M26" s="107">
        <v>9</v>
      </c>
      <c r="N26" s="107">
        <v>10</v>
      </c>
      <c r="O26" s="107">
        <v>11</v>
      </c>
      <c r="P26" s="107">
        <v>12</v>
      </c>
    </row>
    <row r="27" spans="1:17" x14ac:dyDescent="0.25">
      <c r="A27" s="107"/>
      <c r="B27" s="107"/>
      <c r="C27" s="107"/>
      <c r="D27" s="107"/>
      <c r="E27" s="107"/>
      <c r="F27" s="107"/>
      <c r="G27" s="107"/>
      <c r="H27" s="107"/>
      <c r="I27" s="107"/>
      <c r="J27" s="107"/>
      <c r="K27" s="107"/>
      <c r="L27" s="107"/>
      <c r="M27" s="107"/>
      <c r="N27" s="107"/>
      <c r="O27" s="107"/>
    </row>
    <row r="28" spans="1:17" x14ac:dyDescent="0.25">
      <c r="A28" s="107" t="s">
        <v>119</v>
      </c>
      <c r="B28" s="107" t="s">
        <v>120</v>
      </c>
      <c r="C28" s="107" t="s">
        <v>109</v>
      </c>
      <c r="D28" s="107" t="s">
        <v>110</v>
      </c>
      <c r="E28" s="107" t="s">
        <v>111</v>
      </c>
      <c r="F28" s="107" t="s">
        <v>112</v>
      </c>
      <c r="G28" s="107"/>
      <c r="H28" s="107"/>
      <c r="I28" s="107"/>
      <c r="J28" s="107"/>
      <c r="K28" s="107" t="s">
        <v>24</v>
      </c>
      <c r="L28" s="107" t="s">
        <v>114</v>
      </c>
      <c r="M28" s="107" t="s">
        <v>254</v>
      </c>
      <c r="N28" s="107" t="s">
        <v>253</v>
      </c>
      <c r="O28" s="107" t="s">
        <v>117</v>
      </c>
      <c r="P28" s="107" t="s">
        <v>118</v>
      </c>
    </row>
    <row r="29" spans="1:17" x14ac:dyDescent="0.25">
      <c r="A29" s="107" t="s">
        <v>119</v>
      </c>
      <c r="B29" s="107" t="s">
        <v>120</v>
      </c>
      <c r="C29" s="107" t="s">
        <v>109</v>
      </c>
      <c r="D29" s="107" t="s">
        <v>110</v>
      </c>
      <c r="E29" s="107" t="s">
        <v>111</v>
      </c>
      <c r="F29" s="107" t="s">
        <v>112</v>
      </c>
      <c r="G29" s="107"/>
      <c r="H29" s="107"/>
      <c r="I29" s="107"/>
      <c r="J29" s="107"/>
      <c r="K29" s="107" t="s">
        <v>28</v>
      </c>
      <c r="L29" s="107" t="s">
        <v>114</v>
      </c>
      <c r="M29" s="107" t="s">
        <v>254</v>
      </c>
      <c r="N29" s="107" t="s">
        <v>253</v>
      </c>
      <c r="O29" s="107" t="s">
        <v>117</v>
      </c>
      <c r="P29" s="107" t="s">
        <v>118</v>
      </c>
    </row>
    <row r="30" spans="1:17" x14ac:dyDescent="0.25">
      <c r="A30" s="107"/>
      <c r="B30" s="107"/>
      <c r="C30" s="107"/>
      <c r="D30" s="107"/>
      <c r="E30" s="107"/>
      <c r="F30" s="107"/>
      <c r="G30" s="107"/>
      <c r="H30" s="107"/>
      <c r="I30" s="107"/>
      <c r="J30" s="107"/>
      <c r="K30" s="107"/>
      <c r="L30" s="108"/>
      <c r="M30" s="108"/>
      <c r="N30" s="108"/>
      <c r="O30" s="108"/>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64"/>
  <sheetViews>
    <sheetView view="pageBreakPreview" topLeftCell="A17" zoomScaleSheetLayoutView="100" workbookViewId="0">
      <selection activeCell="D37" sqref="D37"/>
    </sheetView>
  </sheetViews>
  <sheetFormatPr defaultColWidth="9.140625" defaultRowHeight="15" outlineLevelCol="1" x14ac:dyDescent="0.25"/>
  <cols>
    <col min="1" max="1" width="9.140625" style="15"/>
    <col min="2" max="2" width="10.140625" style="15" bestFit="1" customWidth="1"/>
    <col min="3" max="3" width="16.5703125" style="15" customWidth="1"/>
    <col min="4" max="4" width="17.140625" style="15" customWidth="1"/>
    <col min="5" max="5" width="17.85546875" style="15" customWidth="1"/>
    <col min="6" max="6" width="20.85546875" style="15" customWidth="1"/>
    <col min="7" max="7" width="10.140625" style="15" customWidth="1" outlineLevel="1"/>
    <col min="8" max="16384" width="9.140625" style="15"/>
  </cols>
  <sheetData>
    <row r="1" spans="1:8" x14ac:dyDescent="0.25">
      <c r="A1" s="37"/>
      <c r="B1" s="37"/>
      <c r="C1" s="37"/>
      <c r="D1" s="37"/>
      <c r="E1" s="266" t="s">
        <v>16</v>
      </c>
      <c r="F1" s="266"/>
    </row>
    <row r="2" spans="1:8" x14ac:dyDescent="0.25">
      <c r="A2" s="37"/>
      <c r="B2" s="37"/>
      <c r="C2" s="37"/>
      <c r="D2" s="37"/>
      <c r="E2" s="37"/>
      <c r="F2" s="38" t="str">
        <f>"к договору микрозайма "&amp;malumot!B74&amp;""</f>
        <v>к договору микрозайма 28 fevral 2025 y.dan №492-QRS</v>
      </c>
    </row>
    <row r="3" spans="1:8" ht="6.75" customHeight="1" x14ac:dyDescent="0.25">
      <c r="A3" s="37"/>
      <c r="B3" s="37"/>
      <c r="C3" s="37"/>
      <c r="D3" s="37"/>
      <c r="E3" s="37"/>
      <c r="F3" s="37"/>
    </row>
    <row r="4" spans="1:8" x14ac:dyDescent="0.25">
      <c r="A4" s="267" t="s">
        <v>17</v>
      </c>
      <c r="B4" s="267"/>
      <c r="C4" s="267"/>
      <c r="D4" s="267"/>
      <c r="E4" s="267"/>
      <c r="F4" s="267"/>
    </row>
    <row r="5" spans="1:8" ht="7.5" customHeight="1" x14ac:dyDescent="0.25"/>
    <row r="6" spans="1:8" x14ac:dyDescent="0.25">
      <c r="A6" s="268" t="s">
        <v>15</v>
      </c>
      <c r="B6" s="269" t="s">
        <v>9</v>
      </c>
      <c r="C6" s="269" t="s">
        <v>10</v>
      </c>
      <c r="D6" s="270" t="s">
        <v>11</v>
      </c>
      <c r="E6" s="270"/>
      <c r="F6" s="270"/>
    </row>
    <row r="7" spans="1:8" s="16" customFormat="1" x14ac:dyDescent="0.25">
      <c r="A7" s="268"/>
      <c r="B7" s="269"/>
      <c r="C7" s="269"/>
      <c r="D7" s="17" t="s">
        <v>12</v>
      </c>
      <c r="E7" s="17" t="s">
        <v>13</v>
      </c>
      <c r="F7" s="17" t="s">
        <v>14</v>
      </c>
    </row>
    <row r="8" spans="1:8" x14ac:dyDescent="0.25">
      <c r="A8" s="18">
        <v>1</v>
      </c>
      <c r="B8" s="33">
        <f>'График дифференц'!B8</f>
        <v>45733</v>
      </c>
      <c r="C8" s="34">
        <f>malumot!B76</f>
        <v>65000000</v>
      </c>
      <c r="D8" s="34">
        <f>IF(A8&lt;malumot!$B$82,'График аннуитет.'!F8-'График аннуитет.'!E8,'График аннуитет.'!C8)</f>
        <v>3883675.6899999995</v>
      </c>
      <c r="E8" s="34">
        <f>ROUND(C8*malumot!$B$85/H8,2)*'График аннуитет.'!G8</f>
        <v>1816438.4400000002</v>
      </c>
      <c r="F8" s="34">
        <f>malumot!B91</f>
        <v>5700114.1299999999</v>
      </c>
      <c r="G8" s="15">
        <f>B8-malumot!B67</f>
        <v>17</v>
      </c>
      <c r="H8" s="15">
        <f>DATE(YEAR(B8),12,31)-DATE(YEAR(B8),1,1)+1</f>
        <v>365</v>
      </c>
    </row>
    <row r="9" spans="1:8" x14ac:dyDescent="0.25">
      <c r="A9" s="18">
        <v>2</v>
      </c>
      <c r="B9" s="33">
        <f>'График дифференц'!B9</f>
        <v>45762</v>
      </c>
      <c r="C9" s="34">
        <f t="shared" ref="C9:C30" si="0">C8-D8</f>
        <v>61116324.310000002</v>
      </c>
      <c r="D9" s="34">
        <f>IF(A9&lt;malumot!$B$82,'График аннуитет.'!F9-'График аннуитет.'!E9,'График аннуитет.'!C9)</f>
        <v>2786623.6199999996</v>
      </c>
      <c r="E9" s="34">
        <f>ROUND(C9*malumot!$B$85/H9,2)*'График аннуитет.'!G9</f>
        <v>2913490.5100000002</v>
      </c>
      <c r="F9" s="34">
        <f>IF(A9&lt;malumot!$B$82,'График аннуитет.'!F8,'График аннуитет.'!D9+'График аннуитет.'!E9)</f>
        <v>5700114.1299999999</v>
      </c>
      <c r="G9" s="15">
        <f>B9-B8</f>
        <v>29</v>
      </c>
      <c r="H9" s="15">
        <f t="shared" ref="H9:H31" si="1">DATE(YEAR(B9),12,31)-DATE(YEAR(B9),1,1)+1</f>
        <v>365</v>
      </c>
    </row>
    <row r="10" spans="1:8" x14ac:dyDescent="0.25">
      <c r="A10" s="18">
        <v>3</v>
      </c>
      <c r="B10" s="33">
        <f>'График дифференц'!B10</f>
        <v>45792</v>
      </c>
      <c r="C10" s="34">
        <f t="shared" si="0"/>
        <v>58329700.690000005</v>
      </c>
      <c r="D10" s="34">
        <f>IF(A10&lt;malumot!$B$82,'График аннуитет.'!F10-'График аннуитет.'!E10,'График аннуитет.'!C10)</f>
        <v>2823580.9299999997</v>
      </c>
      <c r="E10" s="34">
        <f>ROUND(C10*malumot!$B$85/H10,2)*'График аннуитет.'!G10</f>
        <v>2876533.2</v>
      </c>
      <c r="F10" s="34">
        <f>IF(A10&lt;malumot!$B$82,'График аннуитет.'!F9,'График аннуитет.'!D10+'График аннуитет.'!E10)</f>
        <v>5700114.1299999999</v>
      </c>
      <c r="G10" s="15">
        <f t="shared" ref="G10:G24" si="2">B10-B9</f>
        <v>30</v>
      </c>
      <c r="H10" s="15">
        <f t="shared" si="1"/>
        <v>365</v>
      </c>
    </row>
    <row r="11" spans="1:8" x14ac:dyDescent="0.25">
      <c r="A11" s="18">
        <v>4</v>
      </c>
      <c r="B11" s="33">
        <f>'График дифференц'!B11</f>
        <v>45824</v>
      </c>
      <c r="C11" s="34">
        <f t="shared" si="0"/>
        <v>55506119.760000005</v>
      </c>
      <c r="D11" s="34">
        <f>IF(A11&lt;malumot!$B$82,'График аннуитет.'!F11-'График аннуитет.'!E11,'График аннуитет.'!C11)</f>
        <v>2780340.05</v>
      </c>
      <c r="E11" s="34">
        <f>ROUND(C11*malumot!$B$85/H11,2)*'График аннуитет.'!G11</f>
        <v>2919774.08</v>
      </c>
      <c r="F11" s="34">
        <f>IF(A11&lt;malumot!$B$82,'График аннуитет.'!F10,'График аннуитет.'!D11+'График аннуитет.'!E11)</f>
        <v>5700114.1299999999</v>
      </c>
      <c r="G11" s="15">
        <f t="shared" si="2"/>
        <v>32</v>
      </c>
      <c r="H11" s="15">
        <f t="shared" si="1"/>
        <v>365</v>
      </c>
    </row>
    <row r="12" spans="1:8" x14ac:dyDescent="0.25">
      <c r="A12" s="18">
        <v>5</v>
      </c>
      <c r="B12" s="33">
        <f>'График дифференц'!B12</f>
        <v>45853</v>
      </c>
      <c r="C12" s="34">
        <f t="shared" si="0"/>
        <v>52725779.710000008</v>
      </c>
      <c r="D12" s="34">
        <f>IF(A12&lt;malumot!$B$82,'График аннуитет.'!F12-'График аннуитет.'!E12,'График аннуитет.'!C12)</f>
        <v>3186611.34</v>
      </c>
      <c r="E12" s="34">
        <f>ROUND(C12*malumot!$B$85/H12,2)*'График аннуитет.'!G12</f>
        <v>2513502.79</v>
      </c>
      <c r="F12" s="34">
        <f>IF(A12&lt;malumot!$B$82,'График аннуитет.'!F11,'График аннуитет.'!D12+'График аннуитет.'!E12)</f>
        <v>5700114.1299999999</v>
      </c>
      <c r="G12" s="15">
        <f t="shared" si="2"/>
        <v>29</v>
      </c>
      <c r="H12" s="15">
        <f t="shared" si="1"/>
        <v>365</v>
      </c>
    </row>
    <row r="13" spans="1:8" x14ac:dyDescent="0.25">
      <c r="A13" s="18">
        <v>6</v>
      </c>
      <c r="B13" s="33">
        <f>'График дифференц'!B13</f>
        <v>45884</v>
      </c>
      <c r="C13" s="34">
        <f t="shared" si="0"/>
        <v>49539168.370000005</v>
      </c>
      <c r="D13" s="34">
        <f>IF(A13&lt;malumot!$B$82,'График аннуитет.'!F13-'График аннуитет.'!E13,'График аннуитет.'!C13)</f>
        <v>3175652.38</v>
      </c>
      <c r="E13" s="34">
        <f>ROUND(C13*malumot!$B$85/H13,2)*'График аннуитет.'!G13</f>
        <v>2524461.75</v>
      </c>
      <c r="F13" s="34">
        <f>IF(A13&lt;malumot!$B$82,'График аннуитет.'!F12,'График аннуитет.'!D13+'График аннуитет.'!E13)</f>
        <v>5700114.1299999999</v>
      </c>
      <c r="G13" s="15">
        <f t="shared" si="2"/>
        <v>31</v>
      </c>
      <c r="H13" s="15">
        <f t="shared" si="1"/>
        <v>365</v>
      </c>
    </row>
    <row r="14" spans="1:8" x14ac:dyDescent="0.25">
      <c r="A14" s="18">
        <v>7</v>
      </c>
      <c r="B14" s="33">
        <f>'График дифференц'!B14</f>
        <v>45915</v>
      </c>
      <c r="C14" s="34">
        <f t="shared" si="0"/>
        <v>46363515.990000002</v>
      </c>
      <c r="D14" s="34">
        <f>IF(A14&lt;malumot!$B$82,'График аннуитет.'!F14-'График аннуитет.'!E14,'График аннуитет.'!C14)</f>
        <v>3337480.13</v>
      </c>
      <c r="E14" s="34">
        <f>ROUND(C14*malumot!$B$85/H14,2)*'График аннуитет.'!G14</f>
        <v>2362634</v>
      </c>
      <c r="F14" s="34">
        <f>IF(A14&lt;malumot!$B$82,'График аннуитет.'!F13,'График аннуитет.'!D14+'График аннуитет.'!E14)</f>
        <v>5700114.1299999999</v>
      </c>
      <c r="G14" s="15">
        <f t="shared" si="2"/>
        <v>31</v>
      </c>
      <c r="H14" s="15">
        <f t="shared" si="1"/>
        <v>365</v>
      </c>
    </row>
    <row r="15" spans="1:8" x14ac:dyDescent="0.25">
      <c r="A15" s="18">
        <v>8</v>
      </c>
      <c r="B15" s="33">
        <f>'График дифференц'!B15</f>
        <v>45945</v>
      </c>
      <c r="C15" s="34">
        <f t="shared" si="0"/>
        <v>43026035.859999999</v>
      </c>
      <c r="D15" s="34">
        <f>IF(A15&lt;malumot!$B$82,'График аннуитет.'!F15-'График аннуитет.'!E15,'График аннуитет.'!C15)</f>
        <v>3578282.23</v>
      </c>
      <c r="E15" s="34">
        <f>ROUND(C15*malumot!$B$85/H15,2)*'График аннуитет.'!G15</f>
        <v>2121831.9</v>
      </c>
      <c r="F15" s="34">
        <f>IF(A15&lt;malumot!$B$82,'График аннуитет.'!F14,'График аннуитет.'!D15+'График аннуитет.'!E15)</f>
        <v>5700114.1299999999</v>
      </c>
      <c r="G15" s="15">
        <f t="shared" si="2"/>
        <v>30</v>
      </c>
      <c r="H15" s="15">
        <f t="shared" si="1"/>
        <v>365</v>
      </c>
    </row>
    <row r="16" spans="1:8" x14ac:dyDescent="0.25">
      <c r="A16" s="18">
        <v>9</v>
      </c>
      <c r="B16" s="33">
        <f>'График дифференц'!B16</f>
        <v>45978</v>
      </c>
      <c r="C16" s="34">
        <f t="shared" si="0"/>
        <v>39447753.630000003</v>
      </c>
      <c r="D16" s="34">
        <f>IF(A16&lt;malumot!$B$82,'График аннуитет.'!F16-'График аннуитет.'!E16,'График аннуитет.'!C16)</f>
        <v>3560208.67</v>
      </c>
      <c r="E16" s="34">
        <f>ROUND(C16*malumot!$B$85/H16,2)*'График аннуитет.'!G16</f>
        <v>2139905.46</v>
      </c>
      <c r="F16" s="34">
        <f>IF(A16&lt;malumot!$B$82,'График аннуитет.'!F15,'График аннуитет.'!D16+'График аннуитет.'!E16)</f>
        <v>5700114.1299999999</v>
      </c>
      <c r="G16" s="15">
        <f t="shared" si="2"/>
        <v>33</v>
      </c>
      <c r="H16" s="15">
        <f t="shared" si="1"/>
        <v>365</v>
      </c>
    </row>
    <row r="17" spans="1:8" x14ac:dyDescent="0.25">
      <c r="A17" s="18">
        <v>10</v>
      </c>
      <c r="B17" s="33">
        <f>'График дифференц'!B17</f>
        <v>46006</v>
      </c>
      <c r="C17" s="34">
        <f t="shared" si="0"/>
        <v>35887544.960000001</v>
      </c>
      <c r="D17" s="34">
        <f>IF(A17&lt;malumot!$B$82,'График аннуитет.'!F17-'График аннуитет.'!E17,'График аннуитет.'!C17)</f>
        <v>4048303.9699999997</v>
      </c>
      <c r="E17" s="34">
        <f>ROUND(C17*malumot!$B$85/H17,2)*'График аннуитет.'!G17</f>
        <v>1651810.1600000001</v>
      </c>
      <c r="F17" s="34">
        <f>IF(A17&lt;malumot!$B$82,'График аннуитет.'!F16,'График аннуитет.'!D17+'График аннуитет.'!E17)</f>
        <v>5700114.1299999999</v>
      </c>
      <c r="G17" s="15">
        <f t="shared" si="2"/>
        <v>28</v>
      </c>
      <c r="H17" s="15">
        <f t="shared" si="1"/>
        <v>365</v>
      </c>
    </row>
    <row r="18" spans="1:8" x14ac:dyDescent="0.25">
      <c r="A18" s="18">
        <v>11</v>
      </c>
      <c r="B18" s="33">
        <f>'График дифференц'!B18</f>
        <v>46037</v>
      </c>
      <c r="C18" s="34">
        <f t="shared" si="0"/>
        <v>31839240.990000002</v>
      </c>
      <c r="D18" s="34">
        <f>IF(A18&lt;malumot!$B$82,'График аннуитет.'!F18-'График аннуитет.'!E18,'График аннуитет.'!C18)</f>
        <v>4077621.25</v>
      </c>
      <c r="E18" s="34">
        <f>ROUND(C18*malumot!$B$85/H18,2)*'График аннуитет.'!G18</f>
        <v>1622492.8800000001</v>
      </c>
      <c r="F18" s="34">
        <f>IF(A18&lt;malumot!$B$82,'График аннуитет.'!F17,'График аннуитет.'!D18+'График аннуитет.'!E18)</f>
        <v>5700114.1299999999</v>
      </c>
      <c r="G18" s="15">
        <f t="shared" si="2"/>
        <v>31</v>
      </c>
      <c r="H18" s="15">
        <f t="shared" si="1"/>
        <v>365</v>
      </c>
    </row>
    <row r="19" spans="1:8" x14ac:dyDescent="0.25">
      <c r="A19" s="18">
        <v>12</v>
      </c>
      <c r="B19" s="33">
        <f>'График дифференц'!B19</f>
        <v>46069</v>
      </c>
      <c r="C19" s="34">
        <f t="shared" si="0"/>
        <v>27761619.740000002</v>
      </c>
      <c r="D19" s="34">
        <f>IF(A19&lt;malumot!$B$82,'График аннуитет.'!F19-'График аннуитет.'!E19,'График аннуитет.'!C19)</f>
        <v>4239776.8499999996</v>
      </c>
      <c r="E19" s="34">
        <f>ROUND(C19*malumot!$B$85/H19,2)*'График аннуитет.'!G19</f>
        <v>1460337.28</v>
      </c>
      <c r="F19" s="34">
        <f>IF(A19&lt;malumot!$B$82,'График аннуитет.'!F18,'График аннуитет.'!D19+'График аннуитет.'!E19)</f>
        <v>5700114.1299999999</v>
      </c>
      <c r="G19" s="15">
        <f>B19-B18</f>
        <v>32</v>
      </c>
      <c r="H19" s="15">
        <f t="shared" si="1"/>
        <v>365</v>
      </c>
    </row>
    <row r="20" spans="1:8" x14ac:dyDescent="0.25">
      <c r="A20" s="18">
        <v>13</v>
      </c>
      <c r="B20" s="33">
        <f>'График дифференц'!B20</f>
        <v>46097</v>
      </c>
      <c r="C20" s="34">
        <f t="shared" si="0"/>
        <v>23521842.890000001</v>
      </c>
      <c r="D20" s="34">
        <f>IF(A20&lt;malumot!$B$82,'График аннуитет.'!F20-'График аннуитет.'!E20,'График аннуитет.'!C20)</f>
        <v>4617465.01</v>
      </c>
      <c r="E20" s="34">
        <f>ROUND(C20*malumot!$B$85/H20,2)*'График аннуитет.'!G20</f>
        <v>1082649.1200000001</v>
      </c>
      <c r="F20" s="34">
        <f>IF(A20&lt;malumot!$B$82,'График аннуитет.'!F19,'График аннуитет.'!D20+'График аннуитет.'!E20)</f>
        <v>5700114.1299999999</v>
      </c>
      <c r="G20" s="15">
        <f t="shared" si="2"/>
        <v>28</v>
      </c>
      <c r="H20" s="15">
        <f t="shared" si="1"/>
        <v>365</v>
      </c>
    </row>
    <row r="21" spans="1:8" x14ac:dyDescent="0.25">
      <c r="A21" s="18">
        <v>14</v>
      </c>
      <c r="B21" s="33">
        <f>'График дифференц'!B21</f>
        <v>46127</v>
      </c>
      <c r="C21" s="34">
        <f t="shared" si="0"/>
        <v>18904377.880000003</v>
      </c>
      <c r="D21" s="34">
        <f>IF(A21&lt;malumot!$B$82,'График аннуитет.'!F21-'График аннуитет.'!E21,'График аннуитет.'!C21)</f>
        <v>4767843.43</v>
      </c>
      <c r="E21" s="34">
        <f>ROUND(C21*malumot!$B$85/H21,2)*'График аннуитет.'!G21</f>
        <v>932270.7</v>
      </c>
      <c r="F21" s="34">
        <f>IF(A21&lt;malumot!$B$82,'График аннуитет.'!F20,'График аннуитет.'!D21+'График аннуитет.'!E21)</f>
        <v>5700114.1299999999</v>
      </c>
      <c r="G21" s="15">
        <f t="shared" si="2"/>
        <v>30</v>
      </c>
      <c r="H21" s="15">
        <f t="shared" si="1"/>
        <v>365</v>
      </c>
    </row>
    <row r="22" spans="1:8" x14ac:dyDescent="0.25">
      <c r="A22" s="18">
        <v>15</v>
      </c>
      <c r="B22" s="33">
        <f>'График дифференц'!B22</f>
        <v>46157</v>
      </c>
      <c r="C22" s="34">
        <f t="shared" si="0"/>
        <v>14136534.450000003</v>
      </c>
      <c r="D22" s="34">
        <f>IF(A22&lt;malumot!$B$82,'График аннуитет.'!F22-'График аннуитет.'!E22,'График аннуитет.'!C22)</f>
        <v>5002969.93</v>
      </c>
      <c r="E22" s="34">
        <f>ROUND(C22*malumot!$B$85/H22,2)*'График аннуитет.'!G22</f>
        <v>697144.2</v>
      </c>
      <c r="F22" s="34">
        <f>IF(A22&lt;malumot!$B$82,'График аннуитет.'!F21,'График аннуитет.'!D22+'График аннуитет.'!E22)</f>
        <v>5700114.1299999999</v>
      </c>
      <c r="G22" s="15">
        <f t="shared" si="2"/>
        <v>30</v>
      </c>
      <c r="H22" s="15">
        <f t="shared" si="1"/>
        <v>365</v>
      </c>
    </row>
    <row r="23" spans="1:8" x14ac:dyDescent="0.25">
      <c r="A23" s="18">
        <v>16</v>
      </c>
      <c r="B23" s="33">
        <f>'График дифференц'!B23</f>
        <v>46188</v>
      </c>
      <c r="C23" s="34">
        <f t="shared" si="0"/>
        <v>9133564.5200000033</v>
      </c>
      <c r="D23" s="34">
        <f>IF(A23&lt;malumot!$B$82,'График аннуитет.'!F23-'График аннуитет.'!E23,'График аннуитет.'!C23)</f>
        <v>5234677.6500000004</v>
      </c>
      <c r="E23" s="34">
        <f>ROUND(C23*malumot!$B$85/H23,2)*'График аннуитет.'!G23</f>
        <v>465436.48</v>
      </c>
      <c r="F23" s="34">
        <f>IF(A23&lt;malumot!$B$82,'График аннуитет.'!F22,'График аннуитет.'!D23+'График аннуитет.'!E23)</f>
        <v>5700114.1299999999</v>
      </c>
      <c r="G23" s="15">
        <f t="shared" si="2"/>
        <v>31</v>
      </c>
      <c r="H23" s="15">
        <f t="shared" si="1"/>
        <v>365</v>
      </c>
    </row>
    <row r="24" spans="1:8" x14ac:dyDescent="0.25">
      <c r="A24" s="18">
        <v>17</v>
      </c>
      <c r="B24" s="33">
        <f>'График дифференц'!B24</f>
        <v>46218</v>
      </c>
      <c r="C24" s="34">
        <f t="shared" si="0"/>
        <v>3898886.8700000029</v>
      </c>
      <c r="D24" s="34">
        <f>IF(A24&lt;malumot!$B$82,'График аннуитет.'!F24-'График аннуитет.'!E24,'График аннуитет.'!C24)</f>
        <v>5507840.2299999995</v>
      </c>
      <c r="E24" s="34">
        <f>ROUND(C24*malumot!$B$85/H24,2)*'График аннуитет.'!G24</f>
        <v>192273.9</v>
      </c>
      <c r="F24" s="34">
        <f>IF(A24&lt;malumot!$B$82,'График аннуитет.'!F23,'График аннуитет.'!D24+'График аннуитет.'!E24)</f>
        <v>5700114.1299999999</v>
      </c>
      <c r="G24" s="15">
        <f t="shared" si="2"/>
        <v>30</v>
      </c>
      <c r="H24" s="15">
        <f t="shared" si="1"/>
        <v>365</v>
      </c>
    </row>
    <row r="25" spans="1:8" x14ac:dyDescent="0.25">
      <c r="A25" s="18">
        <v>18</v>
      </c>
      <c r="B25" s="33">
        <f>'График дифференц'!B25</f>
        <v>46251</v>
      </c>
      <c r="C25" s="34">
        <f t="shared" si="0"/>
        <v>-1608953.3599999966</v>
      </c>
      <c r="D25" s="34">
        <f>IF(A25&lt;malumot!$B$82,'График аннуитет.'!F25-'График аннуитет.'!E25,'График аннуитет.'!C25)</f>
        <v>5787394.1799999997</v>
      </c>
      <c r="E25" s="34">
        <f>ROUND(C25*malumot!$B$85/H25,2)*'График аннуитет.'!G25</f>
        <v>-87280.05</v>
      </c>
      <c r="F25" s="34">
        <f>IF(A25&lt;malumot!$B$82,'График аннуитет.'!F24,'График аннуитет.'!D25+'График аннуитет.'!E25)</f>
        <v>5700114.1299999999</v>
      </c>
      <c r="G25" s="15">
        <f>B25-B24</f>
        <v>33</v>
      </c>
      <c r="H25" s="15">
        <f t="shared" si="1"/>
        <v>365</v>
      </c>
    </row>
    <row r="26" spans="1:8" x14ac:dyDescent="0.25">
      <c r="A26" s="18">
        <v>19</v>
      </c>
      <c r="B26" s="33">
        <f>'График дифференц'!B26</f>
        <v>46280</v>
      </c>
      <c r="C26" s="34">
        <f t="shared" si="0"/>
        <v>-7396347.5399999963</v>
      </c>
      <c r="D26" s="34">
        <f>IF(A26&lt;malumot!$B$82,'График аннуитет.'!F26-'График аннуитет.'!E26,'График аннуитет.'!C26)</f>
        <v>6052707.1499999994</v>
      </c>
      <c r="E26" s="34">
        <f>ROUND(C26*malumot!$B$85/H26,2)*'График аннуитет.'!G26</f>
        <v>-352593.01999999996</v>
      </c>
      <c r="F26" s="34">
        <f>IF(A26&lt;malumot!$B$82,'График аннуитет.'!F25,'График аннуитет.'!D26+'График аннуитет.'!E26)</f>
        <v>5700114.1299999999</v>
      </c>
      <c r="G26" s="15">
        <f t="shared" ref="G26:G30" si="3">B26-B25</f>
        <v>29</v>
      </c>
      <c r="H26" s="15">
        <f t="shared" si="1"/>
        <v>365</v>
      </c>
    </row>
    <row r="27" spans="1:8" x14ac:dyDescent="0.25">
      <c r="A27" s="18">
        <v>20</v>
      </c>
      <c r="B27" s="33">
        <f>'График дифференц'!B27</f>
        <v>46310</v>
      </c>
      <c r="C27" s="34">
        <f t="shared" si="0"/>
        <v>-13449054.689999996</v>
      </c>
      <c r="D27" s="34">
        <f>IF(A27&lt;malumot!$B$82,'График аннуитет.'!F27-'График аннуитет.'!E27,'График аннуитет.'!C27)</f>
        <v>6363355.3300000001</v>
      </c>
      <c r="E27" s="34">
        <f>ROUND(C27*malumot!$B$85/H27,2)*'График аннуитет.'!G27</f>
        <v>-663241.20000000007</v>
      </c>
      <c r="F27" s="34">
        <f>IF(A27&lt;malumot!$B$82,'График аннуитет.'!F26,'График аннуитет.'!D27+'График аннуитет.'!E27)</f>
        <v>5700114.1299999999</v>
      </c>
      <c r="G27" s="15">
        <f t="shared" si="3"/>
        <v>30</v>
      </c>
      <c r="H27" s="15">
        <f t="shared" si="1"/>
        <v>365</v>
      </c>
    </row>
    <row r="28" spans="1:8" x14ac:dyDescent="0.25">
      <c r="A28" s="18">
        <v>21</v>
      </c>
      <c r="B28" s="33">
        <f>'График дифференц'!B28</f>
        <v>46342</v>
      </c>
      <c r="C28" s="34">
        <f t="shared" si="0"/>
        <v>-19812410.019999996</v>
      </c>
      <c r="D28" s="34">
        <f>IF(A28&lt;malumot!$B$82,'График аннуитет.'!F28-'График аннуитет.'!E28,'График аннуитет.'!C28)</f>
        <v>6742301.3300000001</v>
      </c>
      <c r="E28" s="34">
        <f>ROUND(C28*malumot!$B$85/H28,2)*'График аннуитет.'!G28</f>
        <v>-1042187.2</v>
      </c>
      <c r="F28" s="34">
        <f>IF(A28&lt;malumot!$B$82,'График аннуитет.'!F27,'График аннуитет.'!D28+'График аннуитет.'!E28)</f>
        <v>5700114.1299999999</v>
      </c>
      <c r="G28" s="15">
        <f t="shared" si="3"/>
        <v>32</v>
      </c>
      <c r="H28" s="15">
        <f t="shared" si="1"/>
        <v>365</v>
      </c>
    </row>
    <row r="29" spans="1:8" x14ac:dyDescent="0.25">
      <c r="A29" s="18">
        <v>22</v>
      </c>
      <c r="B29" s="33">
        <f>'График дифференц'!B29</f>
        <v>46371</v>
      </c>
      <c r="C29" s="34">
        <f t="shared" si="0"/>
        <v>-26554711.349999994</v>
      </c>
      <c r="D29" s="34">
        <f>IF(A29&lt;malumot!$B$82,'График аннуитет.'!F29-'График аннуитет.'!E29,'График аннуитет.'!C29)</f>
        <v>6966009.9500000002</v>
      </c>
      <c r="E29" s="34">
        <f>ROUND(C29*malumot!$B$85/H29,2)*'График аннуитет.'!G29</f>
        <v>-1265895.82</v>
      </c>
      <c r="F29" s="34">
        <f>IF(A29&lt;malumot!$B$82,'График аннуитет.'!F28,'График аннуитет.'!D29+'График аннуитет.'!E29)</f>
        <v>5700114.1299999999</v>
      </c>
      <c r="G29" s="15">
        <f t="shared" si="3"/>
        <v>29</v>
      </c>
      <c r="H29" s="15">
        <f t="shared" si="1"/>
        <v>365</v>
      </c>
    </row>
    <row r="30" spans="1:8" x14ac:dyDescent="0.25">
      <c r="A30" s="18">
        <v>23</v>
      </c>
      <c r="B30" s="33">
        <f>'График дифференц'!B30</f>
        <v>46402</v>
      </c>
      <c r="C30" s="34">
        <f t="shared" si="0"/>
        <v>-33520721.299999993</v>
      </c>
      <c r="D30" s="34">
        <f>IF(A30&lt;malumot!$B$82,'График аннуитет.'!F30-'График аннуитет.'!E30,'График аннуитет.'!C30)</f>
        <v>7408293.4900000002</v>
      </c>
      <c r="E30" s="34">
        <f>ROUND(C30*malumot!$B$85/H30,2)*'График аннуитет.'!G30</f>
        <v>-1708179.3599999999</v>
      </c>
      <c r="F30" s="34">
        <f>IF(A30&lt;malumot!$B$82,'График аннуитет.'!F29,'График аннуитет.'!D30+'График аннуитет.'!E30)</f>
        <v>5700114.1299999999</v>
      </c>
      <c r="G30" s="15">
        <f t="shared" si="3"/>
        <v>31</v>
      </c>
      <c r="H30" s="15">
        <f t="shared" si="1"/>
        <v>365</v>
      </c>
    </row>
    <row r="31" spans="1:8" x14ac:dyDescent="0.25">
      <c r="A31" s="18">
        <v>24</v>
      </c>
      <c r="B31" s="33">
        <f>'График дифференц'!B31</f>
        <v>46446</v>
      </c>
      <c r="C31" s="34">
        <f t="shared" ref="C31" si="4">C30-D30</f>
        <v>-40929014.789999992</v>
      </c>
      <c r="D31" s="34">
        <f>IF(A31&lt;malumot!$B$82,'График аннуитет.'!F31-'График аннуитет.'!E31,'График аннуитет.'!C31)</f>
        <v>-40929014.789999992</v>
      </c>
      <c r="E31" s="34">
        <f>ROUND(C31*malumot!$B$85/H31,2)*'График аннуитет.'!G31</f>
        <v>-2960345.08</v>
      </c>
      <c r="F31" s="34">
        <f>IF(A31&lt;malumot!$B$82,'График аннуитет.'!F30,'График аннуитет.'!D31+'График аннуитет.'!E31)</f>
        <v>-43889359.86999999</v>
      </c>
      <c r="G31" s="15">
        <f>B31-B30</f>
        <v>44</v>
      </c>
      <c r="H31" s="15">
        <f t="shared" si="1"/>
        <v>365</v>
      </c>
    </row>
    <row r="32" spans="1:8" x14ac:dyDescent="0.25">
      <c r="A32" s="18">
        <f>1+A31</f>
        <v>25</v>
      </c>
      <c r="B32" s="33" t="b">
        <f>'График дифференц'!B32</f>
        <v>0</v>
      </c>
      <c r="C32" s="34">
        <f t="shared" ref="C32:C43" si="5">C31-D31</f>
        <v>0</v>
      </c>
      <c r="D32" s="34">
        <f>IF(A32&lt;malumot!$B$82,'График аннуитет.'!F32-'График аннуитет.'!E32,'График аннуитет.'!C32)</f>
        <v>0</v>
      </c>
      <c r="E32" s="34">
        <f>ROUND(C32*malumot!$B$85/H32,2)*'График аннуитет.'!G32</f>
        <v>0</v>
      </c>
      <c r="F32" s="34">
        <f>IF(A32&lt;malumot!$B$82,'График аннуитет.'!F31,'График аннуитет.'!D32+'График аннуитет.'!E32)</f>
        <v>0</v>
      </c>
      <c r="G32" s="15">
        <f t="shared" ref="G32:G43" si="6">B32-B31</f>
        <v>-46446</v>
      </c>
      <c r="H32" s="15">
        <f t="shared" ref="H32:H43" si="7">DATE(YEAR(B32),12,31)-DATE(YEAR(B32),1,1)+1</f>
        <v>366</v>
      </c>
    </row>
    <row r="33" spans="1:8" x14ac:dyDescent="0.25">
      <c r="A33" s="18">
        <f t="shared" ref="A33:A43" si="8">1+A32</f>
        <v>26</v>
      </c>
      <c r="B33" s="33" t="b">
        <f>'График дифференц'!B33</f>
        <v>0</v>
      </c>
      <c r="C33" s="34">
        <f t="shared" si="5"/>
        <v>0</v>
      </c>
      <c r="D33" s="34">
        <f>IF(A33&lt;malumot!$B$82,'График аннуитет.'!F33-'График аннуитет.'!E33,'График аннуитет.'!C33)</f>
        <v>0</v>
      </c>
      <c r="E33" s="34">
        <f>ROUND(C33*malumot!$B$85/H33,2)*'График аннуитет.'!G33</f>
        <v>0</v>
      </c>
      <c r="F33" s="34">
        <f>IF(A33&lt;malumot!$B$82,'График аннуитет.'!F32,'График аннуитет.'!D33+'График аннуитет.'!E33)</f>
        <v>0</v>
      </c>
      <c r="G33" s="15">
        <f t="shared" si="6"/>
        <v>0</v>
      </c>
      <c r="H33" s="15">
        <f t="shared" si="7"/>
        <v>366</v>
      </c>
    </row>
    <row r="34" spans="1:8" x14ac:dyDescent="0.25">
      <c r="A34" s="18">
        <f t="shared" si="8"/>
        <v>27</v>
      </c>
      <c r="B34" s="33" t="b">
        <f>'График дифференц'!B34</f>
        <v>0</v>
      </c>
      <c r="C34" s="34">
        <f t="shared" si="5"/>
        <v>0</v>
      </c>
      <c r="D34" s="34">
        <f>IF(A34&lt;malumot!$B$82,'График аннуитет.'!F34-'График аннуитет.'!E34,'График аннуитет.'!C34)</f>
        <v>0</v>
      </c>
      <c r="E34" s="34">
        <f>ROUND(C34*malumot!$B$85/H34,2)*'График аннуитет.'!G34</f>
        <v>0</v>
      </c>
      <c r="F34" s="34">
        <f>IF(A34&lt;malumot!$B$82,'График аннуитет.'!F33,'График аннуитет.'!D34+'График аннуитет.'!E34)</f>
        <v>0</v>
      </c>
      <c r="G34" s="15">
        <f t="shared" si="6"/>
        <v>0</v>
      </c>
      <c r="H34" s="15">
        <f t="shared" si="7"/>
        <v>366</v>
      </c>
    </row>
    <row r="35" spans="1:8" x14ac:dyDescent="0.25">
      <c r="A35" s="18">
        <f t="shared" si="8"/>
        <v>28</v>
      </c>
      <c r="B35" s="33" t="b">
        <f>'График дифференц'!B35</f>
        <v>0</v>
      </c>
      <c r="C35" s="34">
        <f t="shared" si="5"/>
        <v>0</v>
      </c>
      <c r="D35" s="34">
        <f>IF(A35&lt;malumot!$B$82,'График аннуитет.'!F35-'График аннуитет.'!E35,'График аннуитет.'!C35)</f>
        <v>0</v>
      </c>
      <c r="E35" s="34">
        <f>ROUND(C35*malumot!$B$85/H35,2)*'График аннуитет.'!G35</f>
        <v>0</v>
      </c>
      <c r="F35" s="34">
        <f>IF(A35&lt;malumot!$B$82,'График аннуитет.'!F34,'График аннуитет.'!D35+'График аннуитет.'!E35)</f>
        <v>0</v>
      </c>
      <c r="G35" s="15">
        <f t="shared" si="6"/>
        <v>0</v>
      </c>
      <c r="H35" s="15">
        <f t="shared" si="7"/>
        <v>366</v>
      </c>
    </row>
    <row r="36" spans="1:8" x14ac:dyDescent="0.25">
      <c r="A36" s="18">
        <f t="shared" si="8"/>
        <v>29</v>
      </c>
      <c r="B36" s="33" t="b">
        <f>'График дифференц'!B36</f>
        <v>0</v>
      </c>
      <c r="C36" s="34">
        <f t="shared" si="5"/>
        <v>0</v>
      </c>
      <c r="D36" s="34">
        <f>IF(A36&lt;malumot!$B$82,'График аннуитет.'!F36-'График аннуитет.'!E36,'График аннуитет.'!C36)</f>
        <v>0</v>
      </c>
      <c r="E36" s="34">
        <f>ROUND(C36*malumot!$B$85/H36,2)*'График аннуитет.'!G36</f>
        <v>0</v>
      </c>
      <c r="F36" s="34">
        <f>IF(A36&lt;malumot!$B$82,'График аннуитет.'!F35,'График аннуитет.'!D36+'График аннуитет.'!E36)</f>
        <v>0</v>
      </c>
      <c r="G36" s="15">
        <f t="shared" si="6"/>
        <v>0</v>
      </c>
      <c r="H36" s="15">
        <f t="shared" si="7"/>
        <v>366</v>
      </c>
    </row>
    <row r="37" spans="1:8" x14ac:dyDescent="0.25">
      <c r="A37" s="18">
        <f t="shared" si="8"/>
        <v>30</v>
      </c>
      <c r="B37" s="33" t="b">
        <f>'График дифференц'!B37</f>
        <v>0</v>
      </c>
      <c r="C37" s="34">
        <f t="shared" si="5"/>
        <v>0</v>
      </c>
      <c r="D37" s="34">
        <f>IF(A37&lt;malumot!$B$82,'График аннуитет.'!F37-'График аннуитет.'!E37,'График аннуитет.'!C37)</f>
        <v>0</v>
      </c>
      <c r="E37" s="34">
        <f>ROUND(C37*malumot!$B$85/H37,2)*'График аннуитет.'!G37</f>
        <v>0</v>
      </c>
      <c r="F37" s="34">
        <f>IF(A37&lt;malumot!$B$82,'График аннуитет.'!F36,'График аннуитет.'!D37+'График аннуитет.'!E37)</f>
        <v>0</v>
      </c>
      <c r="G37" s="15">
        <f t="shared" si="6"/>
        <v>0</v>
      </c>
      <c r="H37" s="15">
        <f t="shared" si="7"/>
        <v>366</v>
      </c>
    </row>
    <row r="38" spans="1:8" x14ac:dyDescent="0.25">
      <c r="A38" s="18">
        <f t="shared" si="8"/>
        <v>31</v>
      </c>
      <c r="B38" s="33" t="b">
        <f>'График дифференц'!B38</f>
        <v>0</v>
      </c>
      <c r="C38" s="34">
        <f t="shared" si="5"/>
        <v>0</v>
      </c>
      <c r="D38" s="34">
        <f>IF(A38&lt;malumot!$B$82,'График аннуитет.'!F38-'График аннуитет.'!E38,'График аннуитет.'!C38)</f>
        <v>0</v>
      </c>
      <c r="E38" s="34">
        <f>ROUND(C38*malumot!$B$85/H38,2)*'График аннуитет.'!G38</f>
        <v>0</v>
      </c>
      <c r="F38" s="34">
        <f>IF(A38&lt;malumot!$B$82,'График аннуитет.'!F37,'График аннуитет.'!D38+'График аннуитет.'!E38)</f>
        <v>0</v>
      </c>
      <c r="G38" s="15">
        <f t="shared" si="6"/>
        <v>0</v>
      </c>
      <c r="H38" s="15">
        <f t="shared" si="7"/>
        <v>366</v>
      </c>
    </row>
    <row r="39" spans="1:8" x14ac:dyDescent="0.25">
      <c r="A39" s="18">
        <f t="shared" si="8"/>
        <v>32</v>
      </c>
      <c r="B39" s="33" t="b">
        <f>'График дифференц'!B39</f>
        <v>0</v>
      </c>
      <c r="C39" s="34">
        <f t="shared" si="5"/>
        <v>0</v>
      </c>
      <c r="D39" s="34">
        <f>IF(A39&lt;malumot!$B$82,'График аннуитет.'!F39-'График аннуитет.'!E39,'График аннуитет.'!C39)</f>
        <v>0</v>
      </c>
      <c r="E39" s="34">
        <f>ROUND(C39*malumot!$B$85/H39,2)*'График аннуитет.'!G39</f>
        <v>0</v>
      </c>
      <c r="F39" s="34">
        <f>IF(A39&lt;malumot!$B$82,'График аннуитет.'!F38,'График аннуитет.'!D39+'График аннуитет.'!E39)</f>
        <v>0</v>
      </c>
      <c r="G39" s="15">
        <f t="shared" si="6"/>
        <v>0</v>
      </c>
      <c r="H39" s="15">
        <f t="shared" si="7"/>
        <v>366</v>
      </c>
    </row>
    <row r="40" spans="1:8" x14ac:dyDescent="0.25">
      <c r="A40" s="18">
        <f t="shared" si="8"/>
        <v>33</v>
      </c>
      <c r="B40" s="33" t="b">
        <f>'График дифференц'!B40</f>
        <v>0</v>
      </c>
      <c r="C40" s="34">
        <f t="shared" si="5"/>
        <v>0</v>
      </c>
      <c r="D40" s="34">
        <f>IF(A40&lt;malumot!$B$82,'График аннуитет.'!F40-'График аннуитет.'!E40,'График аннуитет.'!C40)</f>
        <v>0</v>
      </c>
      <c r="E40" s="34">
        <f>ROUND(C40*malumot!$B$85/H40,2)*'График аннуитет.'!G40</f>
        <v>0</v>
      </c>
      <c r="F40" s="34">
        <f>IF(A40&lt;malumot!$B$82,'График аннуитет.'!F39,'График аннуитет.'!D40+'График аннуитет.'!E40)</f>
        <v>0</v>
      </c>
      <c r="G40" s="15">
        <f t="shared" si="6"/>
        <v>0</v>
      </c>
      <c r="H40" s="15">
        <f t="shared" si="7"/>
        <v>366</v>
      </c>
    </row>
    <row r="41" spans="1:8" x14ac:dyDescent="0.25">
      <c r="A41" s="18">
        <f t="shared" si="8"/>
        <v>34</v>
      </c>
      <c r="B41" s="33" t="b">
        <f>'График дифференц'!B41</f>
        <v>0</v>
      </c>
      <c r="C41" s="34">
        <f t="shared" si="5"/>
        <v>0</v>
      </c>
      <c r="D41" s="34">
        <f>IF(A41&lt;malumot!$B$82,'График аннуитет.'!F41-'График аннуитет.'!E41,'График аннуитет.'!C41)</f>
        <v>0</v>
      </c>
      <c r="E41" s="34">
        <f>ROUND(C41*malumot!$B$85/H41,2)*'График аннуитет.'!G41</f>
        <v>0</v>
      </c>
      <c r="F41" s="34">
        <f>IF(A41&lt;malumot!$B$82,'График аннуитет.'!F40,'График аннуитет.'!D41+'График аннуитет.'!E41)</f>
        <v>0</v>
      </c>
      <c r="G41" s="15">
        <f t="shared" si="6"/>
        <v>0</v>
      </c>
      <c r="H41" s="15">
        <f t="shared" si="7"/>
        <v>366</v>
      </c>
    </row>
    <row r="42" spans="1:8" x14ac:dyDescent="0.25">
      <c r="A42" s="18">
        <f t="shared" si="8"/>
        <v>35</v>
      </c>
      <c r="B42" s="33" t="b">
        <f>'График дифференц'!B42</f>
        <v>0</v>
      </c>
      <c r="C42" s="34">
        <f t="shared" si="5"/>
        <v>0</v>
      </c>
      <c r="D42" s="34">
        <f>IF(A42&lt;malumot!$B$82,'График аннуитет.'!F42-'График аннуитет.'!E42,'График аннуитет.'!C42)</f>
        <v>0</v>
      </c>
      <c r="E42" s="34">
        <f>ROUND(C42*malumot!$B$85/H42,2)*'График аннуитет.'!G42</f>
        <v>0</v>
      </c>
      <c r="F42" s="34">
        <f>IF(A42&lt;malumot!$B$82,'График аннуитет.'!F41,'График аннуитет.'!D42+'График аннуитет.'!E42)</f>
        <v>0</v>
      </c>
      <c r="G42" s="15">
        <f t="shared" si="6"/>
        <v>0</v>
      </c>
      <c r="H42" s="15">
        <f t="shared" si="7"/>
        <v>366</v>
      </c>
    </row>
    <row r="43" spans="1:8" x14ac:dyDescent="0.25">
      <c r="A43" s="18">
        <f t="shared" si="8"/>
        <v>36</v>
      </c>
      <c r="B43" s="33" t="b">
        <f>'График дифференц'!B43</f>
        <v>0</v>
      </c>
      <c r="C43" s="34">
        <f t="shared" si="5"/>
        <v>0</v>
      </c>
      <c r="D43" s="34">
        <f>IF(A43&lt;malumot!$B$82,'График аннуитет.'!F43-'График аннуитет.'!E43,'График аннуитет.'!C43)</f>
        <v>0</v>
      </c>
      <c r="E43" s="34">
        <f>ROUND(C43*malumot!$B$85/H43,2)*'График аннуитет.'!G43</f>
        <v>0</v>
      </c>
      <c r="F43" s="34">
        <f>IF(A43&lt;malumot!$B$82,'График аннуитет.'!F42,'График аннуитет.'!D43+'График аннуитет.'!E43)</f>
        <v>0</v>
      </c>
      <c r="G43" s="15">
        <f t="shared" si="6"/>
        <v>0</v>
      </c>
      <c r="H43" s="15">
        <f t="shared" si="7"/>
        <v>366</v>
      </c>
    </row>
    <row r="44" spans="1:8" x14ac:dyDescent="0.25">
      <c r="A44" s="46"/>
      <c r="B44" s="47" t="s">
        <v>7</v>
      </c>
      <c r="C44" s="48"/>
      <c r="D44" s="48">
        <f>SUM(D8:D43)</f>
        <v>65000000</v>
      </c>
      <c r="E44" s="48">
        <f t="shared" ref="E44:F44" si="9">SUM(E8:E43)</f>
        <v>22213265.119999997</v>
      </c>
      <c r="F44" s="48">
        <f t="shared" si="9"/>
        <v>87213265.119999975</v>
      </c>
    </row>
    <row r="45" spans="1:8" ht="9" customHeight="1" x14ac:dyDescent="0.25">
      <c r="B45" s="35"/>
      <c r="C45" s="36"/>
      <c r="D45" s="36"/>
      <c r="E45" s="36"/>
      <c r="F45" s="36"/>
    </row>
    <row r="46" spans="1:8" ht="47.25" customHeight="1" x14ac:dyDescent="0.25">
      <c r="A46" s="244" t="s">
        <v>18</v>
      </c>
      <c r="B46" s="244"/>
      <c r="C46" s="244"/>
      <c r="D46" s="244"/>
      <c r="E46" s="244"/>
      <c r="F46" s="244"/>
    </row>
    <row r="47" spans="1:8" ht="7.5" customHeight="1" x14ac:dyDescent="0.25"/>
    <row r="48" spans="1:8" x14ac:dyDescent="0.25">
      <c r="A48" s="272" t="e">
        <f>#REF!</f>
        <v>#REF!</v>
      </c>
      <c r="B48" s="272"/>
      <c r="C48" s="272"/>
      <c r="D48" s="272" t="e">
        <f>#REF!</f>
        <v>#REF!</v>
      </c>
      <c r="E48" s="272"/>
      <c r="F48" s="272"/>
    </row>
    <row r="49" spans="1:6" ht="11.25" customHeight="1" x14ac:dyDescent="0.25">
      <c r="A49" s="273"/>
      <c r="B49" s="273"/>
      <c r="C49" s="273"/>
      <c r="D49" s="273"/>
      <c r="E49" s="273"/>
      <c r="F49" s="273"/>
    </row>
    <row r="50" spans="1:6" ht="30" customHeight="1" x14ac:dyDescent="0.25">
      <c r="A50" s="246" t="e">
        <f>#REF!</f>
        <v>#REF!</v>
      </c>
      <c r="B50" s="246"/>
      <c r="C50" s="246"/>
      <c r="D50" s="246" t="e">
        <f>#REF!</f>
        <v>#REF!</v>
      </c>
      <c r="E50" s="246"/>
      <c r="F50" s="246"/>
    </row>
    <row r="51" spans="1:6" ht="32.25" customHeight="1" x14ac:dyDescent="0.25">
      <c r="A51" s="271" t="e">
        <f>#REF!</f>
        <v>#REF!</v>
      </c>
      <c r="B51" s="271"/>
      <c r="C51" s="271"/>
      <c r="D51" s="271" t="e">
        <f>#REF!</f>
        <v>#REF!</v>
      </c>
      <c r="E51" s="271"/>
      <c r="F51" s="271"/>
    </row>
    <row r="52" spans="1:6" x14ac:dyDescent="0.25">
      <c r="A52" s="271" t="e">
        <f>#REF!</f>
        <v>#REF!</v>
      </c>
      <c r="B52" s="271"/>
      <c r="C52" s="271"/>
      <c r="D52" s="271" t="str">
        <f>"паспорт серии "&amp;malumot!B16&amp;", "&amp;malumot!B20&amp;""</f>
        <v>паспорт серии AD7554127, BUXORO VILOYATI BUXORO SHAHAR IIB tomonidan 20.06.2024 yilda berilgan</v>
      </c>
      <c r="E52" s="271"/>
      <c r="F52" s="271"/>
    </row>
    <row r="53" spans="1:6" ht="32.25" customHeight="1" x14ac:dyDescent="0.25">
      <c r="A53" s="271" t="e">
        <f>#REF!</f>
        <v>#REF!</v>
      </c>
      <c r="B53" s="271"/>
      <c r="C53" s="271"/>
      <c r="D53" s="271"/>
      <c r="E53" s="271"/>
      <c r="F53" s="271"/>
    </row>
    <row r="54" spans="1:6" x14ac:dyDescent="0.25">
      <c r="A54" s="271" t="e">
        <f>#REF!</f>
        <v>#REF!</v>
      </c>
      <c r="B54" s="271"/>
      <c r="C54" s="271"/>
      <c r="D54" s="271" t="e">
        <f>#REF!</f>
        <v>#REF!</v>
      </c>
      <c r="E54" s="271"/>
      <c r="F54" s="271"/>
    </row>
    <row r="55" spans="1:6" x14ac:dyDescent="0.25">
      <c r="A55" s="271" t="e">
        <f>#REF!</f>
        <v>#REF!</v>
      </c>
      <c r="B55" s="271"/>
      <c r="C55" s="271"/>
      <c r="D55" s="271" t="e">
        <f>#REF!</f>
        <v>#REF!</v>
      </c>
      <c r="E55" s="271"/>
      <c r="F55" s="271"/>
    </row>
    <row r="56" spans="1:6" x14ac:dyDescent="0.25">
      <c r="A56" s="271" t="e">
        <f>#REF!</f>
        <v>#REF!</v>
      </c>
      <c r="B56" s="271"/>
      <c r="C56" s="271"/>
      <c r="D56" s="271" t="e">
        <f>#REF!</f>
        <v>#REF!</v>
      </c>
      <c r="E56" s="271"/>
      <c r="F56" s="271"/>
    </row>
    <row r="57" spans="1:6" ht="8.25" customHeight="1" x14ac:dyDescent="0.25">
      <c r="A57" s="271"/>
      <c r="B57" s="271"/>
      <c r="C57" s="271"/>
      <c r="D57" s="271"/>
      <c r="E57" s="271"/>
      <c r="F57" s="271"/>
    </row>
    <row r="58" spans="1:6" x14ac:dyDescent="0.25">
      <c r="A58" s="246" t="e">
        <f>#REF!</f>
        <v>#REF!</v>
      </c>
      <c r="B58" s="246"/>
      <c r="C58" s="246"/>
      <c r="D58" s="246" t="e">
        <f>#REF!</f>
        <v>#REF!</v>
      </c>
      <c r="E58" s="246"/>
      <c r="F58" s="246"/>
    </row>
    <row r="59" spans="1:6" ht="7.5" customHeight="1" x14ac:dyDescent="0.25">
      <c r="A59" s="246"/>
      <c r="B59" s="246"/>
      <c r="C59" s="246"/>
      <c r="D59" s="246"/>
      <c r="E59" s="246"/>
      <c r="F59" s="246"/>
    </row>
    <row r="60" spans="1:6" x14ac:dyDescent="0.25">
      <c r="A60" s="246" t="e">
        <f>#REF!</f>
        <v>#REF!</v>
      </c>
      <c r="B60" s="246"/>
      <c r="C60" s="246"/>
      <c r="D60" s="246" t="e">
        <f>#REF!</f>
        <v>#REF!</v>
      </c>
      <c r="E60" s="246"/>
      <c r="F60" s="246"/>
    </row>
    <row r="61" spans="1:6" ht="8.25" customHeight="1" x14ac:dyDescent="0.25">
      <c r="A61" s="271"/>
      <c r="B61" s="271"/>
      <c r="C61" s="271"/>
      <c r="D61" s="271"/>
      <c r="E61" s="271"/>
      <c r="F61" s="271"/>
    </row>
    <row r="62" spans="1:6" ht="30" customHeight="1" x14ac:dyDescent="0.25">
      <c r="A62" s="275"/>
      <c r="B62" s="275"/>
      <c r="C62" s="275"/>
      <c r="D62" s="276"/>
      <c r="E62" s="276"/>
      <c r="F62" s="276"/>
    </row>
    <row r="63" spans="1:6" x14ac:dyDescent="0.25">
      <c r="A63" s="277"/>
      <c r="B63" s="277"/>
      <c r="C63" s="277"/>
      <c r="D63" s="277"/>
      <c r="E63" s="277"/>
      <c r="F63" s="277"/>
    </row>
    <row r="64" spans="1:6" x14ac:dyDescent="0.25">
      <c r="A64" s="274"/>
      <c r="B64" s="274"/>
      <c r="C64" s="274"/>
      <c r="D64" s="274"/>
      <c r="E64" s="274"/>
      <c r="F64" s="274"/>
    </row>
  </sheetData>
  <mergeCells count="40">
    <mergeCell ref="A64:C64"/>
    <mergeCell ref="D64:F64"/>
    <mergeCell ref="A61:C61"/>
    <mergeCell ref="D61:F61"/>
    <mergeCell ref="A62:C62"/>
    <mergeCell ref="D62:F62"/>
    <mergeCell ref="A63:C63"/>
    <mergeCell ref="D63:F63"/>
    <mergeCell ref="A58:C58"/>
    <mergeCell ref="D58:F58"/>
    <mergeCell ref="A59:C59"/>
    <mergeCell ref="D59:F59"/>
    <mergeCell ref="A60:C60"/>
    <mergeCell ref="D60:F60"/>
    <mergeCell ref="A55:C55"/>
    <mergeCell ref="D55:F55"/>
    <mergeCell ref="A56:C56"/>
    <mergeCell ref="D56:F56"/>
    <mergeCell ref="A57:C57"/>
    <mergeCell ref="D57:F57"/>
    <mergeCell ref="A54:C54"/>
    <mergeCell ref="D54:F54"/>
    <mergeCell ref="A46:F46"/>
    <mergeCell ref="A48:C48"/>
    <mergeCell ref="D48:F48"/>
    <mergeCell ref="A49:C49"/>
    <mergeCell ref="D49:F49"/>
    <mergeCell ref="A50:C50"/>
    <mergeCell ref="D50:F50"/>
    <mergeCell ref="A51:C51"/>
    <mergeCell ref="D51:F51"/>
    <mergeCell ref="A52:C52"/>
    <mergeCell ref="D52:F53"/>
    <mergeCell ref="A53:C53"/>
    <mergeCell ref="E1:F1"/>
    <mergeCell ref="A4:F4"/>
    <mergeCell ref="A6:A7"/>
    <mergeCell ref="B6:B7"/>
    <mergeCell ref="C6:C7"/>
    <mergeCell ref="D6:F6"/>
  </mergeCells>
  <conditionalFormatting sqref="B8:B43">
    <cfRule type="cellIs" dxfId="4" priority="4" operator="lessThan">
      <formula>22105</formula>
    </cfRule>
  </conditionalFormatting>
  <conditionalFormatting sqref="C8:C43">
    <cfRule type="cellIs" dxfId="3" priority="3" operator="lessThan">
      <formula>1</formula>
    </cfRule>
  </conditionalFormatting>
  <conditionalFormatting sqref="C8:F43">
    <cfRule type="cellIs" dxfId="2" priority="1" operator="lessThan">
      <formula>0.1</formula>
    </cfRule>
  </conditionalFormatting>
  <pageMargins left="0.7" right="0.7" top="0.75" bottom="0.75" header="0.3" footer="0.3"/>
  <pageSetup paperSize="9" scale="92"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57"/>
  <sheetViews>
    <sheetView view="pageBreakPreview" topLeftCell="A41" zoomScaleSheetLayoutView="100" workbookViewId="0">
      <selection activeCell="A48" sqref="A48:XFD48"/>
    </sheetView>
  </sheetViews>
  <sheetFormatPr defaultColWidth="9.140625" defaultRowHeight="15" outlineLevelRow="1" x14ac:dyDescent="0.25"/>
  <cols>
    <col min="1" max="2" width="23.7109375" style="15" customWidth="1"/>
    <col min="3" max="3" width="18.28515625" style="15" customWidth="1"/>
    <col min="4" max="5" width="17" style="15" customWidth="1"/>
    <col min="6" max="16384" width="9.140625" style="15"/>
  </cols>
  <sheetData>
    <row r="1" spans="1:5" ht="36" customHeight="1" x14ac:dyDescent="0.25">
      <c r="A1" s="246" t="str">
        <f>""&amp;malumot!B157&amp;"
mikromoliya tashkilotining Xulosasi"</f>
        <v>«CLEVER MIKROMOLIYA TASHKILOTI» MChJ
mikromoliya tashkilotining Xulosasi</v>
      </c>
      <c r="B1" s="246"/>
      <c r="C1" s="246"/>
      <c r="D1" s="246"/>
      <c r="E1" s="246"/>
    </row>
    <row r="2" spans="1:5" x14ac:dyDescent="0.25">
      <c r="A2" s="244"/>
      <c r="B2" s="244"/>
      <c r="C2" s="244"/>
      <c r="D2" s="244"/>
      <c r="E2" s="244"/>
    </row>
    <row r="3" spans="1:5" x14ac:dyDescent="0.25">
      <c r="A3" s="246" t="s">
        <v>204</v>
      </c>
      <c r="B3" s="246"/>
      <c r="C3" s="246"/>
      <c r="D3" s="246"/>
      <c r="E3" s="246"/>
    </row>
    <row r="4" spans="1:5" x14ac:dyDescent="0.25">
      <c r="A4" s="244" t="str">
        <f>"Mijozning to'liq ismi sharifi: "&amp;malumot!B5&amp;""</f>
        <v>Mijozning to'liq ismi sharifi: ATAXANOV AKMAL AXMETDJANOVICH</v>
      </c>
      <c r="B4" s="244"/>
      <c r="C4" s="244"/>
      <c r="D4" s="244"/>
      <c r="E4" s="244"/>
    </row>
    <row r="5" spans="1:5" x14ac:dyDescent="0.25">
      <c r="A5" s="244" t="str">
        <f>"Tug'ilgan sanasi: "&amp;malumot!B15&amp;""</f>
        <v>Tug'ilgan sanasi: 11.06.1989 y</v>
      </c>
      <c r="B5" s="244"/>
      <c r="C5" s="244"/>
      <c r="D5" s="244"/>
      <c r="E5" s="244"/>
    </row>
    <row r="6" spans="1:5" ht="31.5" customHeight="1" x14ac:dyDescent="0.25">
      <c r="A6" s="244" t="str">
        <f>"Pasport seriyasi "&amp;malumot!B16&amp;" "&amp;malumot!B20&amp;", amal qilish muddati - "&amp;malumot!B21&amp;""</f>
        <v>Pasport seriyasi AD7554127 BUXORO VILOYATI BUXORO SHAHAR IIB tomonidan 20.06.2024 yilda berilgan, amal qilish muddati - 19.06.2034 y.</v>
      </c>
      <c r="B6" s="244"/>
      <c r="C6" s="244"/>
      <c r="D6" s="244"/>
      <c r="E6" s="244"/>
    </row>
    <row r="7" spans="1:5" ht="48" customHeight="1" x14ac:dyDescent="0.25">
      <c r="A7" s="244" t="str">
        <f>"Ro‘yxatdan o‘tgan manzili: "&amp;malumot!B28&amp;", mo'ljal: "&amp;malumot!B26&amp;""</f>
        <v>Ro‘yxatdan o‘tgan manzili: QORAKO'L TUMANI DARG'ALI QFY, mo'ljal: DARG'ALI MFY 10 MAKTAB</v>
      </c>
      <c r="B7" s="244"/>
      <c r="C7" s="244"/>
      <c r="D7" s="244"/>
      <c r="E7" s="244"/>
    </row>
    <row r="8" spans="1:5" ht="23.25" customHeight="1" x14ac:dyDescent="0.25">
      <c r="A8" s="244" t="str">
        <f>"Ish joyi: "&amp;malumot!B52&amp;" lavozimi "&amp;malumot!B49&amp;"da "&amp;malumot!B44&amp;""</f>
        <v>Ish joyi:  lavozimi Yakka tartibdagi tadbirkorda Yakka tartibdagi tadbirkor</v>
      </c>
      <c r="B8" s="244"/>
      <c r="C8" s="244"/>
      <c r="D8" s="244"/>
      <c r="E8" s="244"/>
    </row>
    <row r="9" spans="1:5" x14ac:dyDescent="0.25">
      <c r="A9" s="244"/>
      <c r="B9" s="244"/>
      <c r="C9" s="244"/>
      <c r="D9" s="244"/>
      <c r="E9" s="244"/>
    </row>
    <row r="10" spans="1:5" x14ac:dyDescent="0.25">
      <c r="A10" s="246" t="str">
        <f>"Mijoz tomonidan so’ralgan "&amp;malumot!B65&amp;" shartlari:"</f>
        <v>Mijoz tomonidan so’ralgan mikroqarz shartlari:</v>
      </c>
      <c r="B10" s="246"/>
      <c r="C10" s="246"/>
      <c r="D10" s="246"/>
      <c r="E10" s="246"/>
    </row>
    <row r="11" spans="1:5" x14ac:dyDescent="0.25">
      <c r="A11" s="244" t="str">
        <f>'Кредитная заявка'!A13:D13</f>
        <v>Mikroqarz summasi: 65 000 000,00 (oltmish besh million so'm) so'm.</v>
      </c>
      <c r="B11" s="244"/>
      <c r="C11" s="244"/>
      <c r="D11" s="244"/>
      <c r="E11" s="244"/>
    </row>
    <row r="12" spans="1:5" x14ac:dyDescent="0.25">
      <c r="A12" s="244" t="str">
        <f>'Кредитная заявка'!A14:D14</f>
        <v>Mikroqarz muddati: 24 (yigirma to'rt) oy.</v>
      </c>
      <c r="B12" s="244"/>
      <c r="C12" s="244"/>
      <c r="D12" s="244"/>
      <c r="E12" s="244"/>
    </row>
    <row r="13" spans="1:5" x14ac:dyDescent="0.25">
      <c r="A13" s="244" t="str">
        <f>'Кредитная заявка'!A15:D15</f>
        <v>Mikroqarzdan foydalanganlik uchun foiz stavkasi: yillik  60% (Oltmish) foiz</v>
      </c>
      <c r="B13" s="244"/>
      <c r="C13" s="244"/>
      <c r="D13" s="244"/>
      <c r="E13" s="244"/>
    </row>
    <row r="14" spans="1:5" x14ac:dyDescent="0.25">
      <c r="A14" s="244" t="str">
        <f>'Кредитная заявка'!A16:D16</f>
        <v>Mikroqarz bo'yicha asosiy qarz va foizlarni to'lash:</v>
      </c>
      <c r="B14" s="244"/>
      <c r="C14" s="244"/>
      <c r="D14" s="244"/>
      <c r="E14" s="244"/>
    </row>
    <row r="15" spans="1:5" ht="18.75" customHeight="1" x14ac:dyDescent="0.25">
      <c r="A15" s="244" t="str">
        <f>'Кредитная заявка'!A19:D19</f>
        <v xml:space="preserve"> - mikroqarz shartnomasi bo'yicha har oy differensial to'lovlari amalga oshiriladi</v>
      </c>
      <c r="B15" s="244"/>
      <c r="C15" s="244"/>
      <c r="D15" s="244"/>
      <c r="E15" s="244"/>
    </row>
    <row r="16" spans="1:5" ht="14.25" customHeight="1" x14ac:dyDescent="0.25">
      <c r="A16" s="245" t="str">
        <f>'Кредитная заявка'!A20:D20</f>
        <v xml:space="preserve">  Oxirgi yakuniy to'lov mikroqarz shartnomasi tuzilgan kundan boshlab oxirgi oyning oxirgi kunida amalga oshiriladi</v>
      </c>
      <c r="B16" s="245"/>
      <c r="C16" s="245"/>
      <c r="D16" s="245"/>
      <c r="E16" s="245"/>
    </row>
    <row r="17" spans="1:5" x14ac:dyDescent="0.25">
      <c r="A17" s="244" t="str">
        <f>'Кредитная заявка'!A21:D21</f>
        <v>Mikroqarz ta’minoti::</v>
      </c>
      <c r="B17" s="244"/>
      <c r="C17" s="244"/>
      <c r="D17" s="244"/>
      <c r="E17" s="244"/>
    </row>
    <row r="18" spans="1:5" ht="67.5" customHeight="1" x14ac:dyDescent="0.25">
      <c r="A18" s="244" t="str">
        <f>'Кредитная заявка'!A22:D22</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18" s="244"/>
      <c r="C18" s="244"/>
      <c r="D18" s="244"/>
      <c r="E18" s="244"/>
    </row>
    <row r="19" spans="1:5" x14ac:dyDescent="0.25">
      <c r="A19" s="246" t="s">
        <v>205</v>
      </c>
      <c r="B19" s="246"/>
      <c r="C19" s="246"/>
      <c r="D19" s="246"/>
      <c r="E19" s="246"/>
    </row>
    <row r="20" spans="1:5" ht="21" customHeight="1" x14ac:dyDescent="0.25">
      <c r="A20" s="244" t="str">
        <f>"Anketaga muvofiq "&amp;malumot!B9&amp;"ning o‘rtacha oylik daromadi  "&amp;FIXED(malumot!B60)&amp;" so‘mni tashkil etdi."</f>
        <v>Anketaga muvofiq A. ATAXANOVning o‘rtacha oylik daromadi  21 800 000,00 so‘mni tashkil etdi.</v>
      </c>
      <c r="B20" s="244"/>
      <c r="C20" s="244"/>
      <c r="D20" s="244"/>
      <c r="E20" s="244"/>
    </row>
    <row r="21" spans="1:5" ht="21" customHeight="1" x14ac:dyDescent="0.25">
      <c r="A21" s="244" t="str">
        <f>"Mijozning o'rtacha oylik xarajatlari "&amp;FIXED(mijoz_anketasi!F27)&amp;" so'mni tashkil etdi"</f>
        <v>Mijozning o'rtacha oylik xarajatlari 1 700 000,00 so'mni tashkil etdi</v>
      </c>
      <c r="B21" s="244"/>
      <c r="C21" s="244"/>
      <c r="D21" s="244"/>
      <c r="E21" s="244"/>
    </row>
    <row r="22" spans="1:5" ht="18" hidden="1" customHeight="1" x14ac:dyDescent="0.25">
      <c r="A22" s="244" t="str">
        <f>IF(malumot!B78=malumot!C78,xulosa!A23:E23,xulosa!A24:E24)</f>
        <v>Mikroqarz shartnomasi bo'yicha birinchi oy uchun to'lov 5 700 114,13 so'mni tashkil etadi.</v>
      </c>
      <c r="B22" s="244"/>
      <c r="C22" s="244"/>
      <c r="D22" s="244"/>
      <c r="E22" s="244"/>
    </row>
    <row r="23" spans="1:5" ht="21" hidden="1" customHeight="1" x14ac:dyDescent="0.25">
      <c r="A23" s="244" t="str">
        <f>""&amp;malumot!C64&amp;" shartnomasi bo'yicha birinchi oy uchun to'lov "&amp;FIXED(malumot!B91)&amp;" so'mni tashkil etadi."</f>
        <v>Mikroqarz shartnomasi bo'yicha birinchi oy uchun to'lov 5 700 114,13 so'mni tashkil etadi.</v>
      </c>
      <c r="B23" s="244"/>
      <c r="C23" s="244"/>
      <c r="D23" s="244"/>
      <c r="E23" s="244"/>
    </row>
    <row r="24" spans="1:5" ht="19.5" customHeight="1" x14ac:dyDescent="0.25">
      <c r="A24" s="244" t="str">
        <f>""&amp;malumot!C64&amp;" bo‘yicha oylik "&amp;malumot!B78&amp;" to‘lovi miqdori "&amp;FIXED(malumot!B91)&amp;" so‘mni tashkil etadi."</f>
        <v>Mikroqarz bo‘yicha oylik differensial to‘lovi miqdori 5 700 114,13 so‘mni tashkil etadi.</v>
      </c>
      <c r="B24" s="244"/>
      <c r="C24" s="244"/>
      <c r="D24" s="244"/>
      <c r="E24" s="244"/>
    </row>
    <row r="25" spans="1:5" ht="48.75" customHeight="1" x14ac:dyDescent="0.25">
      <c r="A25" s="245" t="s">
        <v>425</v>
      </c>
      <c r="B25" s="245"/>
      <c r="C25" s="245"/>
      <c r="D25" s="245"/>
      <c r="E25" s="245"/>
    </row>
    <row r="26" spans="1:5" x14ac:dyDescent="0.25">
      <c r="A26" s="246" t="str">
        <f>""&amp;malumot!C64&amp;" bo’yicha ta’minot:"</f>
        <v>Mikroqarz bo’yicha ta’minot:</v>
      </c>
      <c r="B26" s="246"/>
      <c r="C26" s="246"/>
      <c r="D26" s="246"/>
      <c r="E26" s="246"/>
    </row>
    <row r="27" spans="1:5" ht="31.5" hidden="1" customHeight="1" x14ac:dyDescent="0.25">
      <c r="A27" s="244" t="str">
        <f>" - "&amp;malumot!B124&amp;" ga mulk huquqi asosida tegishli avtotransport vositasi "&amp;malumot!B132&amp;" , quyidagi tafsilotlarga muvofiq:"</f>
        <v xml:space="preserve"> - BOBONAZAROV ASLBEK AKRAM O'G'LI ga mulk huquqi asosida tegishli avtotransport vositasi DAMAS-2 , quyidagi tafsilotlarga muvofiq:</v>
      </c>
      <c r="B27" s="244"/>
      <c r="C27" s="244"/>
      <c r="D27" s="244"/>
      <c r="E27" s="244"/>
    </row>
    <row r="28" spans="1:5" ht="67.5" hidden="1" customHeight="1" x14ac:dyDescent="0.25">
      <c r="A28" s="244" t="str">
        <f>" -   "&amp;malumot!C124&amp;" ga mulk huquqi asosida tegishli ko'chmas mulk shaklida "&amp;malumot!C133&amp;", manzili: "&amp;malumot!C130&amp;", quyidagi tafsilotlarga muvofiq:"</f>
        <v xml:space="preserve"> -   0 ga mulk huquqi asosida tegishli ko'chmas mulk shaklida 3 - xonali yakka tartibdagi uy-joy, manzili: SAMARQAND VILOYATI TAYLOQ TUMANI CHAROG'BON MFY YANGI TAYLOQ QISHLOG'I 6 TURAR JOY 12 QAVAT 58 XONADON, quyidagi tafsilotlarga muvofiq:</v>
      </c>
      <c r="B28" s="244"/>
      <c r="C28" s="244"/>
      <c r="D28" s="244"/>
      <c r="E28" s="244"/>
    </row>
    <row r="29" spans="1:5" ht="44.25" customHeight="1" x14ac:dyDescent="0.25">
      <c r="A29" s="244" t="str">
        <f>IF(malumot!B110="Avtotransport",xulosa!A27:E27,xulosa!A28:E28)</f>
        <v xml:space="preserve"> - BOBONAZAROV ASLBEK AKRAM O'G'LI ga mulk huquqi asosida tegishli avtotransport vositasi DAMAS-2 , quyidagi tafsilotlarga muvofiq:</v>
      </c>
      <c r="B29" s="244"/>
      <c r="C29" s="244"/>
      <c r="D29" s="244"/>
      <c r="E29" s="244"/>
    </row>
    <row r="30" spans="1:5" s="16" customFormat="1" ht="47.25" customHeight="1" outlineLevel="1" x14ac:dyDescent="0.25">
      <c r="A30" s="39" t="str">
        <f>dalolatnoma!A29</f>
        <v>Nomi</v>
      </c>
      <c r="B30" s="39" t="str">
        <f>dalolatnoma!B29</f>
        <v>Kuzov turi  va kuzov raqami*</v>
      </c>
      <c r="C30" s="39" t="str">
        <f>dalolatnoma!C29</f>
        <v>Dvigatel va shassi raqami*</v>
      </c>
      <c r="D30" s="39" t="str">
        <f>dalolatnoma!D29</f>
        <v>Ishlab chiqarilgan yili va rangi*</v>
      </c>
      <c r="E30" s="39" t="str">
        <f>dalolatnoma!E29</f>
        <v>Kelishilgan garov qiymati, so'm</v>
      </c>
    </row>
    <row r="31" spans="1:5" s="20" customFormat="1" ht="102.75" customHeight="1" outlineLevel="1" x14ac:dyDescent="0.25">
      <c r="A31" s="17" t="str">
        <f>dalolatnoma!A30</f>
        <v>DAMAS-2</v>
      </c>
      <c r="B31" s="17" t="str">
        <f>dalolatnoma!B30</f>
        <v>kuzov turi - YENGIL SEDAN, kuzov raqami XWB7T12YDRP863654</v>
      </c>
      <c r="C31" s="17" t="str">
        <f>dalolatnoma!C30</f>
        <v xml:space="preserve">dvigatel raqami F8CB240180255, shassi raqami -  - </v>
      </c>
      <c r="D31" s="17" t="str">
        <f>dalolatnoma!D30</f>
        <v>rangi -  OQ SUMMIT WHITE, ishlab chiqarilgan yili - 2024</v>
      </c>
      <c r="E31" s="17" t="str">
        <f>dalolatnoma!E30</f>
        <v>97 500 000,00 
(to'qson yetti million besh yuz ming so'm)</v>
      </c>
    </row>
    <row r="32" spans="1:5" ht="15.75" customHeight="1" outlineLevel="1" x14ac:dyDescent="0.25">
      <c r="A32" s="244" t="str">
        <f>dalolatnoma!A22</f>
        <v>-* avtotransport egasi: BOBONAZAROV ASLBEK AKRAM O'G'LI</v>
      </c>
      <c r="B32" s="244"/>
      <c r="C32" s="244"/>
      <c r="D32" s="244"/>
      <c r="E32" s="244"/>
    </row>
    <row r="33" spans="1:5" ht="15" customHeight="1" outlineLevel="1" x14ac:dyDescent="0.25">
      <c r="A33" s="244" t="str">
        <f>dalolatnoma!A23</f>
        <v>-* texnik pasport: AAG 5348590 25.12.2024y.</v>
      </c>
      <c r="B33" s="244"/>
      <c r="C33" s="244"/>
      <c r="D33" s="244"/>
      <c r="E33" s="244"/>
    </row>
    <row r="34" spans="1:5" ht="33" customHeight="1" outlineLevel="1" x14ac:dyDescent="0.25">
      <c r="A34" s="244" t="str">
        <f>dalolatnoma!A24</f>
        <v>-* roʻyxatdan oʻtgan manzili/garaj manzili: BUXORO VILOYATI QORAKO'L TUMANI ZARAFSHON MFY GULISTON 21 UY</v>
      </c>
      <c r="B34" s="244"/>
      <c r="C34" s="244"/>
      <c r="D34" s="244"/>
      <c r="E34" s="244"/>
    </row>
    <row r="35" spans="1:5" ht="25.5" customHeight="1" outlineLevel="1" x14ac:dyDescent="0.25">
      <c r="A35" s="244" t="str">
        <f>dalolatnoma!A25</f>
        <v>-* davlat raqami: 80X089BB</v>
      </c>
      <c r="B35" s="244"/>
      <c r="C35" s="244"/>
      <c r="D35" s="244"/>
      <c r="E35" s="244"/>
    </row>
    <row r="36" spans="1:5" ht="39" customHeight="1" x14ac:dyDescent="0.25">
      <c r="A36" s="246" t="str">
        <f>""&amp;malumot!B157&amp;"
mikromoliya tashkilotining Xulosasi"</f>
        <v>«CLEVER MIKROMOLIYA TASHKILOTI» MChJ
mikromoliya tashkilotining Xulosasi</v>
      </c>
      <c r="B36" s="246"/>
      <c r="C36" s="246"/>
      <c r="D36" s="246"/>
      <c r="E36" s="246"/>
    </row>
    <row r="37" spans="1:5" ht="33.75" customHeight="1" x14ac:dyDescent="0.25">
      <c r="A37" s="244" t="str">
        <f>""&amp;malumot!B157&amp;" kredit qo‘mitasining xulosasiga quyidagi shartlarda "&amp;malumot!B10&amp;"ga "&amp;malumot!B65&amp;" berish masalasi kiritiladi:"</f>
        <v>«CLEVER MIKROMOLIYA TASHKILOTI» MChJ kredit qo‘mitasining xulosasiga quyidagi shartlarda ATAXANOV AKMAL AXMETDJANOVICHga mikroqarz berish masalasi kiritiladi:</v>
      </c>
      <c r="B37" s="244"/>
      <c r="C37" s="244"/>
      <c r="D37" s="244"/>
      <c r="E37" s="244"/>
    </row>
    <row r="38" spans="1:5" x14ac:dyDescent="0.25">
      <c r="A38" s="244" t="str">
        <f>A11</f>
        <v>Mikroqarz summasi: 65 000 000,00 (oltmish besh million so'm) so'm.</v>
      </c>
      <c r="B38" s="244"/>
      <c r="C38" s="244"/>
      <c r="D38" s="244"/>
      <c r="E38" s="244"/>
    </row>
    <row r="39" spans="1:5" x14ac:dyDescent="0.25">
      <c r="A39" s="244" t="str">
        <f t="shared" ref="A39:A45" si="0">A12</f>
        <v>Mikroqarz muddati: 24 (yigirma to'rt) oy.</v>
      </c>
      <c r="B39" s="244"/>
      <c r="C39" s="244"/>
      <c r="D39" s="244"/>
      <c r="E39" s="244"/>
    </row>
    <row r="40" spans="1:5" x14ac:dyDescent="0.25">
      <c r="A40" s="244" t="str">
        <f t="shared" si="0"/>
        <v>Mikroqarzdan foydalanganlik uchun foiz stavkasi: yillik  60% (Oltmish) foiz</v>
      </c>
      <c r="B40" s="244"/>
      <c r="C40" s="244"/>
      <c r="D40" s="244"/>
      <c r="E40" s="244"/>
    </row>
    <row r="41" spans="1:5" x14ac:dyDescent="0.25">
      <c r="A41" s="244" t="str">
        <f t="shared" si="0"/>
        <v>Mikroqarz bo'yicha asosiy qarz va foizlarni to'lash:</v>
      </c>
      <c r="B41" s="244"/>
      <c r="C41" s="244"/>
      <c r="D41" s="244"/>
      <c r="E41" s="244"/>
    </row>
    <row r="42" spans="1:5" ht="20.25" customHeight="1" x14ac:dyDescent="0.25">
      <c r="A42" s="244" t="str">
        <f t="shared" si="0"/>
        <v xml:space="preserve"> - mikroqarz shartnomasi bo'yicha har oy differensial to'lovlari amalga oshiriladi</v>
      </c>
      <c r="B42" s="244"/>
      <c r="C42" s="244"/>
      <c r="D42" s="244"/>
      <c r="E42" s="244"/>
    </row>
    <row r="43" spans="1:5" ht="35.25" customHeight="1" x14ac:dyDescent="0.25">
      <c r="A43" s="244" t="str">
        <f t="shared" si="0"/>
        <v xml:space="preserve">  Oxirgi yakuniy to'lov mikroqarz shartnomasi tuzilgan kundan boshlab oxirgi oyning oxirgi kunida amalga oshiriladi</v>
      </c>
      <c r="B43" s="244"/>
      <c r="C43" s="244"/>
      <c r="D43" s="244"/>
      <c r="E43" s="244"/>
    </row>
    <row r="44" spans="1:5" ht="22.5" customHeight="1" x14ac:dyDescent="0.25">
      <c r="A44" s="244" t="str">
        <f t="shared" si="0"/>
        <v>Mikroqarz ta’minoti::</v>
      </c>
      <c r="B44" s="244"/>
      <c r="C44" s="244"/>
      <c r="D44" s="244"/>
      <c r="E44" s="244"/>
    </row>
    <row r="45" spans="1:5" ht="69" customHeight="1" x14ac:dyDescent="0.25">
      <c r="A45" s="244" t="str">
        <f t="shared" si="0"/>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45" s="244"/>
      <c r="C45" s="244"/>
      <c r="D45" s="244"/>
      <c r="E45" s="244"/>
    </row>
    <row r="46" spans="1:5" x14ac:dyDescent="0.25">
      <c r="A46" s="244"/>
      <c r="B46" s="244"/>
      <c r="C46" s="244"/>
      <c r="D46" s="244"/>
      <c r="E46" s="244"/>
    </row>
    <row r="47" spans="1:5" ht="29.25" customHeight="1" x14ac:dyDescent="0.25">
      <c r="A47" s="244" t="str">
        <f>""&amp;malumot!B157&amp;" mikromoliya tashkilotining xulosasi  "&amp;TEXT(malumot!B2,"ДД.ММ.ГГГГ")&amp;" y. tayyorlangan"</f>
        <v>«CLEVER MIKROMOLIYA TASHKILOTI» MChJ mikromoliya tashkilotining xulosasi  28.02.2025 y. tayyorlangan</v>
      </c>
      <c r="B47" s="244"/>
      <c r="C47" s="244"/>
      <c r="D47" s="244"/>
      <c r="E47" s="244"/>
    </row>
    <row r="48" spans="1:5" hidden="1" x14ac:dyDescent="0.25">
      <c r="A48" s="244"/>
      <c r="B48" s="244"/>
      <c r="C48" s="244"/>
      <c r="D48" s="244"/>
      <c r="E48" s="244"/>
    </row>
    <row r="49" spans="1:5" ht="15.75" hidden="1" customHeight="1" x14ac:dyDescent="0.25">
      <c r="A49" s="245"/>
      <c r="B49" s="245"/>
      <c r="C49" s="245"/>
      <c r="D49" s="22"/>
      <c r="E49" s="23"/>
    </row>
    <row r="50" spans="1:5" ht="35.25" hidden="1" customHeight="1" x14ac:dyDescent="0.25">
      <c r="A50" s="245"/>
      <c r="B50" s="245"/>
      <c r="C50" s="245"/>
      <c r="D50" s="23"/>
      <c r="E50" s="23"/>
    </row>
    <row r="51" spans="1:5" hidden="1" x14ac:dyDescent="0.25">
      <c r="A51" s="244"/>
      <c r="B51" s="244"/>
      <c r="C51" s="244"/>
      <c r="D51" s="244"/>
      <c r="E51" s="244"/>
    </row>
    <row r="52" spans="1:5" ht="59.25" customHeight="1" x14ac:dyDescent="0.25">
      <c r="A52" s="244" t="str">
        <f>""&amp;malumot!B157&amp;" mikromoliya tashkilotining Kredit qo‘mitasi a’zolari "&amp;malumot!B157&amp;" mikromoliya tashkilotining xulosasi va Mijoz tomonidan taqdim etilgan ma’lumotlar bilan tanishdilar:"</f>
        <v>«CLEVER MIKROMOLIYA TASHKILOTI» MChJ mikromoliya tashkilotining Kredit qo‘mitasi a’zolari «CLEVER MIKROMOLIYA TASHKILOTI» MChJ mikromoliya tashkilotining xulosasi va Mijoz tomonidan taqdim etilgan ma’lumotlar bilan tanishdilar:</v>
      </c>
      <c r="B52" s="244"/>
      <c r="C52" s="244"/>
      <c r="D52" s="244"/>
      <c r="E52" s="244"/>
    </row>
    <row r="53" spans="1:5" x14ac:dyDescent="0.25">
      <c r="A53" s="19"/>
      <c r="B53" s="278" t="s">
        <v>450</v>
      </c>
      <c r="C53" s="278"/>
      <c r="D53" s="19"/>
      <c r="E53" s="19"/>
    </row>
    <row r="54" spans="1:5" x14ac:dyDescent="0.25">
      <c r="B54" s="15" t="str">
        <f>malumot!A160</f>
        <v>Qorako'l filiali boshlig'i</v>
      </c>
      <c r="C54" s="37" t="str">
        <f>malumot!B160</f>
        <v>D. Egamberdiyeva</v>
      </c>
    </row>
    <row r="55" spans="1:5" x14ac:dyDescent="0.25">
      <c r="B55" s="15" t="str">
        <f>malumot!A169</f>
        <v>Kreditlash bo’limi boshlig’i</v>
      </c>
      <c r="C55" s="37" t="str">
        <f>malumot!B169</f>
        <v>B. Mominov</v>
      </c>
    </row>
    <row r="56" spans="1:5" x14ac:dyDescent="0.25">
      <c r="B56" s="15" t="str">
        <f>malumot!A170</f>
        <v>Monitoring bo’limi boshlig’i</v>
      </c>
      <c r="C56" s="37" t="str">
        <f>malumot!B170</f>
        <v>B. Jumanazarov</v>
      </c>
    </row>
    <row r="57" spans="1:5" x14ac:dyDescent="0.25">
      <c r="B57" s="216" t="s">
        <v>451</v>
      </c>
      <c r="C57" s="37" t="s">
        <v>442</v>
      </c>
    </row>
  </sheetData>
  <mergeCells count="51">
    <mergeCell ref="A6:E6"/>
    <mergeCell ref="A1:E1"/>
    <mergeCell ref="A2:E2"/>
    <mergeCell ref="A3:E3"/>
    <mergeCell ref="A4:E4"/>
    <mergeCell ref="A5:E5"/>
    <mergeCell ref="A7:E7"/>
    <mergeCell ref="A8:E8"/>
    <mergeCell ref="A9:E9"/>
    <mergeCell ref="A26:E26"/>
    <mergeCell ref="A10:E10"/>
    <mergeCell ref="A11:E11"/>
    <mergeCell ref="A12:E12"/>
    <mergeCell ref="A13:E13"/>
    <mergeCell ref="A23:E23"/>
    <mergeCell ref="A22:E22"/>
    <mergeCell ref="A21:E21"/>
    <mergeCell ref="A32:E32"/>
    <mergeCell ref="A14:E14"/>
    <mergeCell ref="A15:E15"/>
    <mergeCell ref="A16:E16"/>
    <mergeCell ref="A17:E17"/>
    <mergeCell ref="A18:E18"/>
    <mergeCell ref="A27:E27"/>
    <mergeCell ref="A19:E19"/>
    <mergeCell ref="A20:E20"/>
    <mergeCell ref="A24:E24"/>
    <mergeCell ref="A25:E25"/>
    <mergeCell ref="A28:E28"/>
    <mergeCell ref="A29:E29"/>
    <mergeCell ref="A33:E33"/>
    <mergeCell ref="A34:E34"/>
    <mergeCell ref="A35:E35"/>
    <mergeCell ref="A36:E36"/>
    <mergeCell ref="A49:C49"/>
    <mergeCell ref="B53:C53"/>
    <mergeCell ref="A52:E52"/>
    <mergeCell ref="A37:E37"/>
    <mergeCell ref="A38:E38"/>
    <mergeCell ref="A39:E39"/>
    <mergeCell ref="A40:E40"/>
    <mergeCell ref="A41:E41"/>
    <mergeCell ref="A42:E42"/>
    <mergeCell ref="A43:E43"/>
    <mergeCell ref="A44:E44"/>
    <mergeCell ref="A45:E45"/>
    <mergeCell ref="A46:E46"/>
    <mergeCell ref="A47:E47"/>
    <mergeCell ref="A48:E48"/>
    <mergeCell ref="A51:E51"/>
    <mergeCell ref="A50:C50"/>
  </mergeCells>
  <pageMargins left="0.7" right="0.7" top="0.75" bottom="0.75" header="0.3" footer="0.3"/>
  <pageSetup paperSize="9" scale="84" orientation="portrait" r:id="rId1"/>
  <rowBreaks count="1" manualBreakCount="1">
    <brk id="35"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2:F62"/>
  <sheetViews>
    <sheetView view="pageBreakPreview" zoomScaleNormal="100" zoomScaleSheetLayoutView="100" workbookViewId="0">
      <selection activeCell="C67" sqref="C67"/>
    </sheetView>
  </sheetViews>
  <sheetFormatPr defaultColWidth="9.140625" defaultRowHeight="15" outlineLevelRow="1" x14ac:dyDescent="0.25"/>
  <cols>
    <col min="1" max="1" width="28.42578125" style="15" customWidth="1"/>
    <col min="2" max="2" width="22.85546875" style="15" customWidth="1"/>
    <col min="3" max="3" width="22.42578125" style="15" customWidth="1"/>
    <col min="4" max="4" width="21.42578125" style="15" customWidth="1"/>
    <col min="5" max="5" width="21.5703125" style="15" customWidth="1"/>
    <col min="6" max="16384" width="9.140625" style="15"/>
  </cols>
  <sheetData>
    <row r="2" spans="1:5" ht="37.5" customHeight="1" x14ac:dyDescent="0.25">
      <c r="A2" s="267" t="str">
        <f>"GAROV PREDMETI QIYMATINI KELISHISH 
№"&amp;malumot!B148&amp;" SONLI DALOLATNOMASI
 "</f>
        <v xml:space="preserve">GAROV PREDMETI QIYMATINI KELISHISH 
№1 SONLI DALOLATNOMASI
 </v>
      </c>
      <c r="B2" s="267"/>
      <c r="C2" s="267"/>
      <c r="D2" s="267"/>
      <c r="E2" s="267"/>
    </row>
    <row r="3" spans="1:5" x14ac:dyDescent="0.25">
      <c r="A3" s="40"/>
      <c r="B3" s="40"/>
      <c r="C3" s="40"/>
      <c r="D3" s="40"/>
      <c r="E3" s="40"/>
    </row>
    <row r="4" spans="1:5" x14ac:dyDescent="0.25">
      <c r="A4" s="37" t="s">
        <v>208</v>
      </c>
      <c r="B4" s="37"/>
      <c r="C4" s="37"/>
      <c r="D4" s="37"/>
      <c r="E4" s="37" t="str">
        <f>malumot!B149</f>
        <v>28 fevral 2025 y.</v>
      </c>
    </row>
    <row r="5" spans="1:5" ht="9" customHeight="1" x14ac:dyDescent="0.25">
      <c r="A5" s="244"/>
      <c r="B5" s="244"/>
      <c r="C5" s="244"/>
      <c r="D5" s="244"/>
      <c r="E5" s="244"/>
    </row>
    <row r="6" spans="1:5" ht="77.25" customHeight="1" x14ac:dyDescent="0.25">
      <c r="A6" s="244" t="str">
        <f>IF(malumot!B110="avtotransport",dalolatnoma!A10:E10,dalolatnoma!A7:E7)</f>
        <v>«CLEVER MIKROMOLIYA TASHKILOTI» MChJning (1-tomon) vakili bo‘lgan  Qorako'l filiali boshlig'i D. Egamberdiyeva,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6" s="244"/>
      <c r="C6" s="244"/>
      <c r="D6" s="244"/>
      <c r="E6" s="244"/>
    </row>
    <row r="7" spans="1:5" ht="88.5" hidden="1" customHeight="1" x14ac:dyDescent="0.25">
      <c r="A7" s="244" t="str">
        <f>IF(malumot!B100="ha",dalolatnoma!A9:E9,dalolatnoma!A8:E8)</f>
        <v xml:space="preserve">«CLEVER MIKROMOLIYA TASHKILOTI» MChJning (1-tomon) vakili bo‘lgan  Qorako'l filiali boshlig'i D. Egamberdiyeva,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7" s="244"/>
      <c r="C7" s="244"/>
      <c r="D7" s="244"/>
      <c r="E7" s="244"/>
    </row>
    <row r="8" spans="1:5" ht="88.5" hidden="1" customHeight="1" x14ac:dyDescent="0.25">
      <c r="A8" s="244"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Qorako'l filiali boshlig'i D. Egamberdiyeva,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8" s="244"/>
      <c r="C8" s="244"/>
      <c r="D8" s="244"/>
      <c r="E8" s="244"/>
    </row>
    <row r="9" spans="1:5" ht="88.5" hidden="1" customHeight="1" x14ac:dyDescent="0.25">
      <c r="A9" s="244" t="str">
        <f>""&amp;malumot!B157&amp;"ning (1-tomon) vakili bo‘lgan  "&amp;malumot!A160&amp;" "&amp;malumot!B160&amp;", va O‘zbekiston Respublikasi fuqarosi  "&amp;malumot!B5&amp;" (2-tomon) va garov egasi "&amp;malumot!C124&amp;" (3-tomon) "&amp;malumot!B74&amp;" "&amp;malumot!C64&amp;" shartnomasiga muvofiq 1-tomon 2-tomonga berilgan "&amp;malumot!B65&amp;" bo‘yicha ta’minot sifatida taqdim etilgan, 2-tomonga mulk huquqi asosida tegishli bo‘lgan mulkning garov qiymatini kelishish muzokaralari o’tkazildi. "</f>
        <v xml:space="preserve">«CLEVER MIKROMOLIYA TASHKILOTI» MChJning (1-tomon) vakili bo‘lgan  Qorako'l filiali boshlig'i D. Egamberdiyeva, va O‘zbekiston Respublikasi fuqarosi  ATAXANOV AKMAL AXMETDJANOVICH (2-tomon) va garov egasi 0 (3-tomon) 28 fevral 2025 y.dan №492-QRS Mikroqarz shartnomasiga muvofiq 1-tomon 2-tomonga berilgan mikroqarz bo‘yicha ta’minot sifatida taqdim etilgan, 2-tomonga mulk huquqi asosida tegishli bo‘lgan mulkning garov qiymatini kelishish muzokaralari o’tkazildi. </v>
      </c>
      <c r="B9" s="244"/>
      <c r="C9" s="244"/>
      <c r="D9" s="244"/>
      <c r="E9" s="244"/>
    </row>
    <row r="10" spans="1:5" ht="88.5" hidden="1" customHeight="1" x14ac:dyDescent="0.25">
      <c r="A10" s="244" t="str">
        <f>IF(malumot!B100="ha",dalolatnoma!A12:E12,dalolatnoma!A11:E11)</f>
        <v>«CLEVER MIKROMOLIYA TASHKILOTI» MChJning (1-tomon) vakili bo‘lgan  Qorako'l filiali boshlig'i D. Egamberdiyeva,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10" s="244"/>
      <c r="C10" s="244"/>
      <c r="D10" s="244"/>
      <c r="E10" s="244"/>
    </row>
    <row r="11" spans="1:5" ht="88.5" hidden="1" customHeight="1" x14ac:dyDescent="0.25">
      <c r="A11" s="244" t="str">
        <f>""&amp;malumot!B157&amp;"ning (1-tomon) vakili bo‘lgan  "&amp;malumot!A160&amp;" "&amp;malumot!B160&amp;", O‘zbekiston Respublikasi fuqarosi "&amp;malumot!B5&amp;" (2-tomon) va garovga beruvchi O‘zbekiston Respublikasi fuqarosi "&amp;malumot!B124&amp;" (3-tomon) o’rtalarida, "&amp;malumot!B74&amp;"-sonli "&amp;malumot!C64&amp;" shartnomasiga muvofiq 1-tomon 2-tomonga berilgan "&amp;malumot!B65&amp;" bo‘yicha ta’minot sifatida taqdim etilgan, 3-tomonga mulk huquqi asosida tegishli bo‘lgan mulkning garov qiymatini kelishish muzokaralari o’tkazildi."</f>
        <v>«CLEVER MIKROMOLIYA TASHKILOTI» MChJning (1-tomon) vakili bo‘lgan  Qorako'l filiali boshlig'i D. Egamberdiyeva, O‘zbekiston Respublikasi fuqarosi ATAXANOV AKMAL AXMETDJANOVICH (2-tomon) va garovga beruvchi O‘zbekiston Respublikasi fuqarosi BOBONAZAROV ASLBEK AKRAM O'G'LI (3-tomon) o’rtalarida, 28 fevral 2025 y.dan №492-QRS-sonli Mikroqarz shartnomasiga muvofiq 1-tomon 2-tomonga berilgan mikroqarz bo‘yicha ta’minot sifatida taqdim etilgan, 3-tomonga mulk huquqi asosida tegishli bo‘lgan mulkning garov qiymatini kelishish muzokaralari o’tkazildi.</v>
      </c>
      <c r="B11" s="244"/>
      <c r="C11" s="244"/>
      <c r="D11" s="244"/>
      <c r="E11" s="244"/>
    </row>
    <row r="12" spans="1:5" ht="88.5" hidden="1" customHeight="1" x14ac:dyDescent="0.25">
      <c r="A12" s="244" t="str">
        <f>""&amp;malumot!B157&amp;"ning (1-tomon) vakili bo‘lgan  "&amp;malumot!A160&amp;" "&amp;malumot!B160&amp;", O‘zbekiston Respublikasi fuqarosi va garovga beruvchi "&amp;malumot!B5&amp;" (2-tomon) o’rtalarida, "&amp;malumot!B74&amp;"-sonli "&amp;malumot!C64&amp;" shartnomasiga muvofiq 1-tomon 2-tomonga berilgan "&amp;malumot!B65&amp;" bo‘yicha ta’minot sifatida taqdim etilgan, 2-tomonga mulk huquqi asosida tegishli bo‘lgan mulkning garov qiymatini kelishish muzokaralari o’tkazildi."</f>
        <v>«CLEVER MIKROMOLIYA TASHKILOTI» MChJning (1-tomon) vakili bo‘lgan  Qorako'l filiali boshlig'i D. Egamberdiyeva, O‘zbekiston Respublikasi fuqarosi va garovga beruvchi ATAXANOV AKMAL AXMETDJANOVICH (2-tomon) o’rtalarida, 28 fevral 2025 y.dan №492-QRS-sonli Mikroqarz shartnomasiga muvofiq 1-tomon 2-tomonga berilgan mikroqarz bo‘yicha ta’minot sifatida taqdim etilgan, 2-tomonga mulk huquqi asosida tegishli bo‘lgan mulkning garov qiymatini kelishish muzokaralari o’tkazildi.</v>
      </c>
      <c r="B12" s="244"/>
      <c r="C12" s="244"/>
      <c r="D12" s="244"/>
      <c r="E12" s="244"/>
    </row>
    <row r="13" spans="1:5" ht="88.5" hidden="1" customHeight="1" x14ac:dyDescent="0.25">
      <c r="A13" s="244" t="str">
        <f>"Garov predmeti sifatida "&amp;malumot!B132&amp;", 3-tomonga egalik huquqi tegishli bo'lgan, quyidagi tafsilotlarga ega avtotransport vositasi taqdim etiladi:"</f>
        <v>Garov predmeti sifatida DAMAS-2, 3-tomonga egalik huquqi tegishli bo'lgan, quyidagi tafsilotlarga ega avtotransport vositasi taqdim etiladi:</v>
      </c>
      <c r="B13" s="244"/>
      <c r="C13" s="244"/>
      <c r="D13" s="244"/>
      <c r="E13" s="244"/>
    </row>
    <row r="14" spans="1:5" ht="88.5" hidden="1" customHeight="1" x14ac:dyDescent="0.25">
      <c r="A14" s="244" t="str">
        <f>"Garov predmeti sifatida "&amp;malumot!B132&amp;", 2-tomonga egalik huquqi tegishli bo'lgan, quyidagi tafsilotlarga ega avtotransport vositasi taqdim etiladi:"</f>
        <v>Garov predmeti sifatida DAMAS-2, 2-tomonga egalik huquqi tegishli bo'lgan, quyidagi tafsilotlarga ega avtotransport vositasi taqdim etiladi:</v>
      </c>
      <c r="B14" s="244"/>
      <c r="C14" s="244"/>
      <c r="D14" s="244"/>
      <c r="E14" s="244"/>
    </row>
    <row r="15" spans="1:5" ht="88.5" hidden="1" customHeight="1" x14ac:dyDescent="0.25">
      <c r="A15" s="244" t="str">
        <f>IF(malumot!B100="ha",dalolatnoma!A14:E14,dalolatnoma!A13:E13)</f>
        <v>Garov predmeti sifatida DAMAS-2, 3-tomonga egalik huquqi tegishli bo'lgan, quyidagi tafsilotlarga ega avtotransport vositasi taqdim etiladi:</v>
      </c>
      <c r="B15" s="244"/>
      <c r="C15" s="244"/>
      <c r="D15" s="244"/>
      <c r="E15" s="244"/>
    </row>
    <row r="16" spans="1:5" ht="88.5" hidden="1" customHeight="1" x14ac:dyDescent="0.25">
      <c r="A16" s="244" t="str">
        <f>"Garov predmeti sifatida "&amp;malumot!C133&amp;", 2-tomonga egalik huquqi tegishli bo'lgan, quyidagi tafsilotlarga ega ko'chmas mulk taqdim etiladi:"</f>
        <v>Garov predmeti sifatida 3 - xonali yakka tartibdagi uy-joy, 2-tomonga egalik huquqi tegishli bo'lgan, quyidagi tafsilotlarga ega ko'chmas mulk taqdim etiladi:</v>
      </c>
      <c r="B16" s="244"/>
      <c r="C16" s="244"/>
      <c r="D16" s="244"/>
      <c r="E16" s="244"/>
    </row>
    <row r="17" spans="1:5" ht="13.5" hidden="1" customHeight="1" x14ac:dyDescent="0.25">
      <c r="A17" s="244" t="str">
        <f>"Garov predmeti sifatida "&amp;malumot!C133&amp;", 3-tomonga egalik huquqi tegishli bo'lgan, quyidagi tafsilotlarga ega ko'chmas mulk taqdim etiladi:"</f>
        <v>Garov predmeti sifatida 3 - xonali yakka tartibdagi uy-joy, 3-tomonga egalik huquqi tegishli bo'lgan, quyidagi tafsilotlarga ega ko'chmas mulk taqdim etiladi:</v>
      </c>
      <c r="B17" s="244"/>
      <c r="C17" s="244"/>
      <c r="D17" s="244"/>
      <c r="E17" s="244"/>
    </row>
    <row r="18" spans="1:5" ht="11.25" hidden="1" customHeight="1" x14ac:dyDescent="0.25">
      <c r="A18" s="244" t="str">
        <f>IF(malumot!B100="ha",dalolatnoma!A16:E16,dalolatnoma!A17:E17)</f>
        <v>Garov predmeti sifatida 3 - xonali yakka tartibdagi uy-joy, 3-tomonga egalik huquqi tegishli bo'lgan, quyidagi tafsilotlarga ega ko'chmas mulk taqdim etiladi:</v>
      </c>
      <c r="B18" s="244"/>
      <c r="C18" s="244"/>
      <c r="D18" s="244"/>
      <c r="E18" s="244"/>
    </row>
    <row r="19" spans="1:5" ht="36.75" customHeight="1" x14ac:dyDescent="0.25">
      <c r="A19" s="244" t="str">
        <f>IF(malumot!B110="Avtotransport",dalolatnoma!A15:E15,dalolatnoma!A18:E18)</f>
        <v>Garov predmeti sifatida DAMAS-2, 3-tomonga egalik huquqi tegishli bo'lgan, quyidagi tafsilotlarga ega avtotransport vositasi taqdim etiladi:</v>
      </c>
      <c r="B19" s="244"/>
      <c r="C19" s="244"/>
      <c r="D19" s="244"/>
      <c r="E19" s="244"/>
    </row>
    <row r="20" spans="1:5" ht="48" customHeight="1" outlineLevel="1" x14ac:dyDescent="0.25">
      <c r="A20" s="39" t="s">
        <v>206</v>
      </c>
      <c r="B20" s="284" t="str">
        <f>IF(malumot!B110=malumot!C110,"Kuzov turi  va kuzov raqami*","Foydali maydoni")</f>
        <v>Kuzov turi  va kuzov raqami*</v>
      </c>
      <c r="C20" s="285"/>
      <c r="D20" s="39" t="str">
        <f>IF(malumot!B110=malumot!C110,"Dvigatel va shassi raqami*","Yashash maydoni")</f>
        <v>Dvigatel va shassi raqami*</v>
      </c>
      <c r="E20" s="39" t="str">
        <f>IF(malumot!B110=malumot!C110,"Ishlab chiqarilgan yili va rangi**","Umumiy maydoni")</f>
        <v>Ishlab chiqarilgan yili va rangi**</v>
      </c>
    </row>
    <row r="21" spans="1:5" ht="83.25" customHeight="1" outlineLevel="1" x14ac:dyDescent="0.25">
      <c r="A21" s="17" t="str">
        <f>IF(malumot!B110=malumot!C110,malumot!B132,malumot!C132)</f>
        <v>DAMAS-2</v>
      </c>
      <c r="B21" s="269" t="str">
        <f>IF(malumot!B110=malumot!C110,malumot!B134,CONCATENATE(malumot!F137," ","kv.m"))</f>
        <v>kuzov turi - YENGIL SEDAN, kuzov raqami XWB7T12YDRP863654</v>
      </c>
      <c r="C21" s="269"/>
      <c r="D21" s="17" t="str">
        <f>IF(malumot!B110=malumot!C110,malumot!B137,malumot!E140)</f>
        <v xml:space="preserve">dvigatel raqami F8CB240180255, shassi raqami -  - </v>
      </c>
      <c r="E21" s="17" t="str">
        <f>IF(malumot!B110=malumot!C110,malumot!B140,malumot!E137)</f>
        <v>rangi -  OQ SUMMIT WHITE, ishlab chiqarilgan yili - 2024</v>
      </c>
    </row>
    <row r="22" spans="1:5" ht="17.25" customHeight="1" outlineLevel="1" x14ac:dyDescent="0.25">
      <c r="A22" s="244" t="str">
        <f>"-* "&amp;IF(malumot!B110=malumot!C110,"avtotransport "&amp;"egasi: "&amp;malumot!B124&amp;"","ko'chmas mulk"&amp;" egasi: "&amp;malumot!B124&amp;"")</f>
        <v>-* avtotransport egasi: BOBONAZAROV ASLBEK AKRAM O'G'LI</v>
      </c>
      <c r="B22" s="244"/>
      <c r="C22" s="244"/>
      <c r="D22" s="244"/>
      <c r="E22" s="244"/>
    </row>
    <row r="23" spans="1:5" outlineLevel="1" x14ac:dyDescent="0.25">
      <c r="A23" s="244" t="str">
        <f>IF(malumot!B110=malumot!C110,"-* texnik pasport: "&amp;malumot!B131&amp;"","-* reest raqami: "&amp;malumot!C131&amp;"")</f>
        <v>-* texnik pasport: AAG 5348590 25.12.2024y.</v>
      </c>
      <c r="B23" s="244"/>
      <c r="C23" s="244"/>
      <c r="D23" s="244"/>
      <c r="E23" s="244"/>
    </row>
    <row r="24" spans="1:5" s="182" customFormat="1" outlineLevel="1" x14ac:dyDescent="0.25">
      <c r="A24" s="244" t="str">
        <f>IF(malumot!B110=malumot!C110,"-* roʻyxatdan oʻtgan manzili/garaj manzili: "&amp;malumot!B129&amp;"","-*  kadastr raqami: "&amp;malumot!C134&amp;"")</f>
        <v>-* roʻyxatdan oʻtgan manzili/garaj manzili: BUXORO VILOYATI QORAKO'L TUMANI ZARAFSHON MFY GULISTON 21 UY</v>
      </c>
      <c r="B24" s="244"/>
      <c r="C24" s="244"/>
      <c r="D24" s="244"/>
      <c r="E24" s="244"/>
    </row>
    <row r="25" spans="1:5" ht="33" customHeight="1" outlineLevel="1" x14ac:dyDescent="0.25">
      <c r="A25" s="244" t="str">
        <f>IF(malumot!B110=malumot!C110,"-* davlat raqami: "&amp;malumot!B133&amp;"","-* manzili: "&amp;malumot!C130&amp;"")</f>
        <v>-* davlat raqami: 80X089BB</v>
      </c>
      <c r="B25" s="244"/>
      <c r="C25" s="244"/>
      <c r="D25" s="244"/>
      <c r="E25" s="244"/>
    </row>
    <row r="26" spans="1:5" ht="65.25" customHeight="1" x14ac:dyDescent="0.25">
      <c r="A26" s="244" t="str">
        <f>IF(malumot!B100="ha",dalolatnoma!A28:E28,dalolatnoma!A27:E27)</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6" s="244"/>
      <c r="C26" s="244"/>
      <c r="D26" s="244"/>
      <c r="E26" s="244"/>
    </row>
    <row r="27" spans="1:5" ht="66" hidden="1" customHeight="1" x14ac:dyDescent="0.25">
      <c r="A27" s="244" t="str">
        <f>"Tomonlar o’rtasida o’tkazilgan muzokaralar natijalariga ko‘ra, 2-tomon ta’minot sifatida quyidagi tafsilotlarga ega bo’lgan garov predmetini taqdim etadi, 1-tomon esa ushbu garov predmetini  "&amp;malumot!B74&amp;" "&amp;malumot!B65&amp;"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7" s="244"/>
      <c r="C27" s="244"/>
      <c r="D27" s="244"/>
      <c r="E27" s="244"/>
    </row>
    <row r="28" spans="1:5" ht="58.5" hidden="1" customHeight="1" x14ac:dyDescent="0.25">
      <c r="A28" s="244" t="str">
        <f>"Tomonlar o’rtasida o’tkazilgan muzokaralar natijalariga ko‘ra, 2-tomon ta’minot sifatida quyidagi tafsilotlarga ega bo’lgan garov predmetini taqdim etadi, 1-tomon esa ushbu garov predmetini  "&amp;malumot!B74&amp;" "&amp;malumot!C64&amp;" shartnomasi bo‘yicha berilgan "&amp;malumot!B65&amp;" bo‘yicha  
"&amp;FIXED(malumot!B143,2)&amp;" ("&amp;malumot!B144&amp;") so’m bo‘lgan kelishilgan garov qiymatida qabul qiladi::"</f>
        <v>Tomonlar o’rtasida o’tkazilgan muzokaralar natijalariga ko‘ra, 2-tomon ta’minot sifatida quyidagi tafsilotlarga ega bo’lgan garov predmetini taqdim etadi, 1-tomon esa ushbu garov predmetini  28 fevral 2025 y.dan №492-QRS Mikroqarz shartnomasi bo‘yicha berilgan mikroqarz bo‘yicha  
97 500 000,00 (to'qson yetti million besh yuz ming so'm) so’m bo‘lgan kelishilgan garov qiymatida qabul qiladi::</v>
      </c>
      <c r="B28" s="244"/>
      <c r="C28" s="244"/>
      <c r="D28" s="244"/>
      <c r="E28" s="244"/>
    </row>
    <row r="29" spans="1:5" ht="51.75" customHeight="1" outlineLevel="1" x14ac:dyDescent="0.25">
      <c r="A29" s="39" t="s">
        <v>206</v>
      </c>
      <c r="B29" s="39" t="str">
        <f>B20</f>
        <v>Kuzov turi  va kuzov raqami*</v>
      </c>
      <c r="C29" s="39" t="str">
        <f>D20</f>
        <v>Dvigatel va shassi raqami*</v>
      </c>
      <c r="D29" s="39" t="str">
        <f>IF(malumot!B110=malumot!C110,"Ishlab chiqarilgan yili va rangi*","Foydalanishga topshirilgan sanasi")</f>
        <v>Ishlab chiqarilgan yili va rangi*</v>
      </c>
      <c r="E29" s="39" t="s">
        <v>207</v>
      </c>
    </row>
    <row r="30" spans="1:5" ht="76.5" customHeight="1" outlineLevel="1" x14ac:dyDescent="0.25">
      <c r="A30" s="17" t="str">
        <f>A21</f>
        <v>DAMAS-2</v>
      </c>
      <c r="B30" s="17" t="str">
        <f>B21</f>
        <v>kuzov turi - YENGIL SEDAN, kuzov raqami XWB7T12YDRP863654</v>
      </c>
      <c r="C30" s="17" t="str">
        <f>D21</f>
        <v xml:space="preserve">dvigatel raqami F8CB240180255, shassi raqami -  - </v>
      </c>
      <c r="D30" s="17" t="str">
        <f>IF(malumot!B110=malumot!C110,E21,TEXT(malumot!C142,"ДД.ММ.ГГГГ"))</f>
        <v>rangi -  OQ SUMMIT WHITE, ishlab chiqarilgan yili - 2024</v>
      </c>
      <c r="E30" s="17" t="str">
        <f>""&amp;FIXED(malumot!B143,2)&amp;" 
("&amp;malumot!B144&amp;")"</f>
        <v>97 500 000,00 
(to'qson yetti million besh yuz ming so'm)</v>
      </c>
    </row>
    <row r="31" spans="1:5" ht="16.5" customHeight="1" x14ac:dyDescent="0.25">
      <c r="A31" s="16"/>
      <c r="B31" s="16"/>
      <c r="C31" s="16"/>
      <c r="D31" s="16"/>
      <c r="E31" s="16"/>
    </row>
    <row r="32" spans="1:5" ht="56.25" hidden="1" customHeight="1" outlineLevel="1" x14ac:dyDescent="0.25">
      <c r="A32" s="39" t="s">
        <v>5</v>
      </c>
      <c r="B32" s="39" t="s">
        <v>19</v>
      </c>
      <c r="C32" s="39" t="s">
        <v>20</v>
      </c>
      <c r="D32" s="39" t="s">
        <v>21</v>
      </c>
      <c r="E32" s="39" t="s">
        <v>6</v>
      </c>
    </row>
    <row r="33" spans="1:5" ht="15.75" hidden="1" customHeight="1" outlineLevel="1" x14ac:dyDescent="0.25">
      <c r="A33" s="17" t="e">
        <f>#REF!</f>
        <v>#REF!</v>
      </c>
      <c r="B33" s="116" t="e">
        <f>#REF!</f>
        <v>#REF!</v>
      </c>
      <c r="C33" s="116" t="e">
        <f>#REF!</f>
        <v>#REF!</v>
      </c>
      <c r="D33" s="116" t="e">
        <f>#REF!</f>
        <v>#REF!</v>
      </c>
      <c r="E33" s="279" t="str">
        <f>""&amp;FIXED(malumot!C143,2)&amp;" ("&amp;malumot!B144&amp;")"</f>
        <v>97 500 000,00 (to'qson yetti million besh yuz ming so'm)</v>
      </c>
    </row>
    <row r="34" spans="1:5" ht="15.75" hidden="1" customHeight="1" outlineLevel="1" x14ac:dyDescent="0.25">
      <c r="A34" s="17"/>
      <c r="B34" s="116"/>
      <c r="C34" s="116"/>
      <c r="D34" s="116"/>
      <c r="E34" s="280"/>
    </row>
    <row r="35" spans="1:5" ht="15.75" hidden="1" customHeight="1" outlineLevel="1" x14ac:dyDescent="0.25">
      <c r="A35" s="17" t="e">
        <f>#REF!</f>
        <v>#REF!</v>
      </c>
      <c r="B35" s="116" t="e">
        <f>#REF!</f>
        <v>#REF!</v>
      </c>
      <c r="C35" s="116" t="e">
        <f>#REF!</f>
        <v>#REF!</v>
      </c>
      <c r="D35" s="116" t="e">
        <f>#REF!</f>
        <v>#REF!</v>
      </c>
      <c r="E35" s="280"/>
    </row>
    <row r="36" spans="1:5" ht="15.75" hidden="1" customHeight="1" outlineLevel="1" x14ac:dyDescent="0.25">
      <c r="A36" s="17" t="e">
        <f>#REF!</f>
        <v>#REF!</v>
      </c>
      <c r="B36" s="116" t="e">
        <f>#REF!</f>
        <v>#REF!</v>
      </c>
      <c r="C36" s="116" t="e">
        <f>#REF!</f>
        <v>#REF!</v>
      </c>
      <c r="D36" s="116" t="e">
        <f>#REF!</f>
        <v>#REF!</v>
      </c>
      <c r="E36" s="280"/>
    </row>
    <row r="37" spans="1:5" ht="15.75" hidden="1" customHeight="1" outlineLevel="1" x14ac:dyDescent="0.25">
      <c r="A37" s="17" t="e">
        <f>#REF!</f>
        <v>#REF!</v>
      </c>
      <c r="B37" s="116" t="e">
        <f>#REF!</f>
        <v>#REF!</v>
      </c>
      <c r="C37" s="116" t="e">
        <f>#REF!</f>
        <v>#REF!</v>
      </c>
      <c r="D37" s="116" t="e">
        <f>#REF!</f>
        <v>#REF!</v>
      </c>
      <c r="E37" s="280"/>
    </row>
    <row r="38" spans="1:5" ht="15.75" hidden="1" customHeight="1" outlineLevel="1" x14ac:dyDescent="0.25">
      <c r="A38" s="17" t="e">
        <f>#REF!</f>
        <v>#REF!</v>
      </c>
      <c r="B38" s="116" t="e">
        <f>#REF!</f>
        <v>#REF!</v>
      </c>
      <c r="C38" s="116" t="e">
        <f>#REF!</f>
        <v>#REF!</v>
      </c>
      <c r="D38" s="116" t="e">
        <f>#REF!</f>
        <v>#REF!</v>
      </c>
      <c r="E38" s="280"/>
    </row>
    <row r="39" spans="1:5" ht="15.75" hidden="1" customHeight="1" outlineLevel="1" x14ac:dyDescent="0.25">
      <c r="A39" s="17" t="e">
        <f>#REF!</f>
        <v>#REF!</v>
      </c>
      <c r="B39" s="116" t="e">
        <f>#REF!</f>
        <v>#REF!</v>
      </c>
      <c r="C39" s="116" t="e">
        <f>#REF!</f>
        <v>#REF!</v>
      </c>
      <c r="D39" s="116" t="e">
        <f>#REF!</f>
        <v>#REF!</v>
      </c>
      <c r="E39" s="280"/>
    </row>
    <row r="40" spans="1:5" ht="15.75" hidden="1" customHeight="1" outlineLevel="1" x14ac:dyDescent="0.25">
      <c r="A40" s="17" t="e">
        <f>#REF!</f>
        <v>#REF!</v>
      </c>
      <c r="B40" s="116" t="e">
        <f>#REF!</f>
        <v>#REF!</v>
      </c>
      <c r="C40" s="116" t="e">
        <f>#REF!</f>
        <v>#REF!</v>
      </c>
      <c r="D40" s="116" t="e">
        <f>#REF!</f>
        <v>#REF!</v>
      </c>
      <c r="E40" s="280"/>
    </row>
    <row r="41" spans="1:5" ht="15.75" hidden="1" customHeight="1" outlineLevel="1" x14ac:dyDescent="0.25">
      <c r="A41" s="17" t="e">
        <f>#REF!</f>
        <v>#REF!</v>
      </c>
      <c r="B41" s="116" t="e">
        <f>#REF!</f>
        <v>#REF!</v>
      </c>
      <c r="C41" s="116" t="e">
        <f>#REF!</f>
        <v>#REF!</v>
      </c>
      <c r="D41" s="116" t="e">
        <f>#REF!</f>
        <v>#REF!</v>
      </c>
      <c r="E41" s="280"/>
    </row>
    <row r="42" spans="1:5" ht="15.75" hidden="1" customHeight="1" outlineLevel="1" x14ac:dyDescent="0.25">
      <c r="A42" s="17" t="e">
        <f>#REF!</f>
        <v>#REF!</v>
      </c>
      <c r="B42" s="116" t="e">
        <f>#REF!</f>
        <v>#REF!</v>
      </c>
      <c r="C42" s="116" t="e">
        <f>#REF!</f>
        <v>#REF!</v>
      </c>
      <c r="D42" s="116" t="e">
        <f>#REF!</f>
        <v>#REF!</v>
      </c>
      <c r="E42" s="280"/>
    </row>
    <row r="43" spans="1:5" ht="15.75" hidden="1" customHeight="1" outlineLevel="1" x14ac:dyDescent="0.25">
      <c r="A43" s="17" t="e">
        <f>#REF!</f>
        <v>#REF!</v>
      </c>
      <c r="B43" s="17" t="e">
        <f>#REF!</f>
        <v>#REF!</v>
      </c>
      <c r="C43" s="17" t="e">
        <f>#REF!</f>
        <v>#REF!</v>
      </c>
      <c r="D43" s="17" t="e">
        <f>#REF!</f>
        <v>#REF!</v>
      </c>
      <c r="E43" s="281"/>
    </row>
    <row r="44" spans="1:5" s="37" customFormat="1" ht="15.75" hidden="1" customHeight="1" outlineLevel="1" x14ac:dyDescent="0.2">
      <c r="A44" s="39" t="e">
        <f>#REF!</f>
        <v>#REF!</v>
      </c>
      <c r="B44" s="39" t="e">
        <f>#REF!</f>
        <v>#REF!</v>
      </c>
      <c r="C44" s="39" t="e">
        <f>#REF!</f>
        <v>#REF!</v>
      </c>
      <c r="D44" s="39" t="e">
        <f>#REF!</f>
        <v>#REF!</v>
      </c>
      <c r="E44" s="39" t="str">
        <f>FIXED(malumot!C143,2)</f>
        <v>97 500 000,00</v>
      </c>
    </row>
    <row r="45" spans="1:5" ht="12.75" customHeight="1" collapsed="1" x14ac:dyDescent="0.25">
      <c r="A45" s="16"/>
      <c r="B45" s="16"/>
      <c r="C45" s="16"/>
      <c r="D45" s="16"/>
      <c r="E45" s="16"/>
    </row>
    <row r="46" spans="1:5" ht="93.75" hidden="1" customHeight="1" x14ac:dyDescent="0.25">
      <c r="A46" s="244"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46" s="244"/>
      <c r="C46" s="244"/>
      <c r="D46" s="244"/>
      <c r="E46" s="244"/>
    </row>
    <row r="47" spans="1:5" ht="42" customHeight="1" x14ac:dyDescent="0.25">
      <c r="A47" s="244" t="s">
        <v>210</v>
      </c>
      <c r="B47" s="244"/>
      <c r="C47" s="244"/>
      <c r="D47" s="244"/>
      <c r="E47" s="244"/>
    </row>
    <row r="48" spans="1:5" ht="35.25" customHeight="1" x14ac:dyDescent="0.25">
      <c r="A48" s="244" t="str">
        <f>"Shunday qilib, garov predmetining kelishilgan garov qiymati  "&amp;FIXED(malumot!B143)&amp;" ("&amp;malumot!B144&amp;") so‘mni tashkil etadi."</f>
        <v>Shunday qilib, garov predmetining kelishilgan garov qiymati  97 500 000,00 (to'qson yetti million besh yuz ming so'm) so‘mni tashkil etadi.</v>
      </c>
      <c r="B48" s="244"/>
      <c r="C48" s="244"/>
      <c r="D48" s="244"/>
      <c r="E48" s="244"/>
    </row>
    <row r="49" spans="1:6" ht="35.25" hidden="1" customHeight="1" x14ac:dyDescent="0.25">
      <c r="A49" s="19"/>
      <c r="B49" s="19"/>
      <c r="C49" s="19"/>
      <c r="D49" s="19">
        <f>IF(malumot!B99=malumot!C99,malumot!C143,IF(malumot!B99=malumot!D99,'Данные для послед. Залога'!M22,0))</f>
        <v>97500000</v>
      </c>
      <c r="E49" s="19" t="str">
        <f>IF(malumot!B99=malumot!C99,malumot!B144,IF(malumot!B99=malumot!D99,'Данные для послед. Залога'!Q22,0))</f>
        <v>to'qson yetti million besh yuz ming so'm</v>
      </c>
    </row>
    <row r="50" spans="1:6" x14ac:dyDescent="0.25">
      <c r="A50" s="278" t="s">
        <v>211</v>
      </c>
      <c r="B50" s="278"/>
      <c r="C50" s="278"/>
      <c r="D50" s="22"/>
      <c r="E50" s="22"/>
    </row>
    <row r="51" spans="1:6" x14ac:dyDescent="0.25">
      <c r="A51" s="245" t="str">
        <f>malumot!B158</f>
        <v>«CLEVER MIKROMOLIYA TASHKILOTI» MChJ</v>
      </c>
      <c r="B51" s="245"/>
      <c r="C51" s="245"/>
      <c r="D51" s="170"/>
      <c r="E51" s="170"/>
    </row>
    <row r="52" spans="1:6" ht="15" customHeight="1" x14ac:dyDescent="0.25">
      <c r="A52" s="245" t="str">
        <f>""&amp;malumot!A160&amp;""</f>
        <v>Qorako'l filiali boshlig'i</v>
      </c>
      <c r="B52" s="245"/>
      <c r="C52" s="245"/>
      <c r="D52" s="278" t="str">
        <f>"_______________   "&amp;malumot!B160&amp;""</f>
        <v>_______________   D. Egamberdiyeva</v>
      </c>
      <c r="E52" s="278"/>
    </row>
    <row r="53" spans="1:6" x14ac:dyDescent="0.25">
      <c r="A53" s="56"/>
      <c r="B53" s="56"/>
      <c r="C53" s="56"/>
      <c r="D53" s="56"/>
      <c r="E53" s="56"/>
    </row>
    <row r="54" spans="1:6" x14ac:dyDescent="0.25">
      <c r="A54" s="278"/>
      <c r="B54" s="278"/>
      <c r="C54" s="278"/>
      <c r="D54" s="56"/>
      <c r="E54" s="56"/>
    </row>
    <row r="55" spans="1:6" hidden="1" x14ac:dyDescent="0.25">
      <c r="A55" s="245" t="s">
        <v>47</v>
      </c>
      <c r="B55" s="245"/>
      <c r="C55" s="245"/>
      <c r="D55" s="56"/>
      <c r="E55" s="56"/>
    </row>
    <row r="56" spans="1:6" hidden="1" x14ac:dyDescent="0.25">
      <c r="A56" s="245" t="str">
        <f>malumot!B158</f>
        <v>«CLEVER MIKROMOLIYA TASHKILOTI» MChJ</v>
      </c>
      <c r="B56" s="245"/>
      <c r="C56" s="245"/>
      <c r="D56" s="245" t="str">
        <f>"_______________   "&amp;malumot!B169&amp;""</f>
        <v>_______________   B. Mominov</v>
      </c>
      <c r="E56" s="245"/>
    </row>
    <row r="57" spans="1:6" ht="12.75" customHeight="1" x14ac:dyDescent="0.25">
      <c r="A57" s="245"/>
      <c r="B57" s="245"/>
      <c r="C57" s="245"/>
      <c r="D57" s="245"/>
      <c r="E57" s="245"/>
    </row>
    <row r="58" spans="1:6" x14ac:dyDescent="0.25">
      <c r="A58" s="278" t="s">
        <v>212</v>
      </c>
      <c r="B58" s="278"/>
      <c r="C58" s="278"/>
      <c r="D58" s="245"/>
      <c r="E58" s="245"/>
    </row>
    <row r="59" spans="1:6" ht="31.5" customHeight="1" x14ac:dyDescent="0.25">
      <c r="A59" s="245" t="s">
        <v>213</v>
      </c>
      <c r="B59" s="245"/>
      <c r="C59" s="245"/>
      <c r="D59" s="278" t="str">
        <f>"_______________  "&amp;malumot!B7&amp;""</f>
        <v>_______________  A. ATAXANOV</v>
      </c>
      <c r="E59" s="278"/>
    </row>
    <row r="60" spans="1:6" ht="12.75" customHeight="1" x14ac:dyDescent="0.25">
      <c r="A60" s="245"/>
      <c r="B60" s="245"/>
      <c r="C60" s="245"/>
      <c r="D60" s="282" t="str">
        <f>IF(malumot!B100="да","",malumot!B125)</f>
        <v>BOBONAZAROV A.A.</v>
      </c>
      <c r="E60" s="282"/>
    </row>
    <row r="61" spans="1:6" ht="17.25" customHeight="1" x14ac:dyDescent="0.25">
      <c r="A61" s="278" t="str">
        <f>+IF(malumot!B100="ha"," ","3-tomondan:")</f>
        <v>3-tomondan:</v>
      </c>
      <c r="B61" s="278"/>
      <c r="C61" s="278"/>
      <c r="D61" s="283"/>
      <c r="E61" s="283"/>
      <c r="F61" s="15">
        <f>IF(malumot!B101=malumot!D101,B7,"")</f>
        <v>0</v>
      </c>
    </row>
    <row r="62" spans="1:6" ht="29.25" customHeight="1" x14ac:dyDescent="0.25">
      <c r="A62" s="245" t="str">
        <f>+IF(malumot!B100="ha"," ","O'zbekiston Respublikasi fuqarosi")</f>
        <v>O'zbekiston Respublikasi fuqarosi</v>
      </c>
      <c r="B62" s="245"/>
      <c r="C62" s="245"/>
      <c r="D62" s="278" t="str">
        <f>"_______________ "&amp;malumot!B103</f>
        <v>_______________ A. BOBONAZAROV</v>
      </c>
      <c r="E62" s="278"/>
    </row>
  </sheetData>
  <mergeCells count="49">
    <mergeCell ref="A61:C61"/>
    <mergeCell ref="D61:E61"/>
    <mergeCell ref="A62:C62"/>
    <mergeCell ref="D62:E62"/>
    <mergeCell ref="A14:E14"/>
    <mergeCell ref="A15:E15"/>
    <mergeCell ref="A16:E16"/>
    <mergeCell ref="A17:E17"/>
    <mergeCell ref="A18:E18"/>
    <mergeCell ref="A19:E19"/>
    <mergeCell ref="A24:E24"/>
    <mergeCell ref="B20:C20"/>
    <mergeCell ref="B21:C21"/>
    <mergeCell ref="A22:E22"/>
    <mergeCell ref="A23:E23"/>
    <mergeCell ref="A58:C58"/>
    <mergeCell ref="D58:E58"/>
    <mergeCell ref="A59:C59"/>
    <mergeCell ref="D59:E59"/>
    <mergeCell ref="A60:C60"/>
    <mergeCell ref="D60:E60"/>
    <mergeCell ref="A26:E26"/>
    <mergeCell ref="A25:E25"/>
    <mergeCell ref="A54:C54"/>
    <mergeCell ref="A55:C55"/>
    <mergeCell ref="A57:C57"/>
    <mergeCell ref="D57:E57"/>
    <mergeCell ref="A2:E2"/>
    <mergeCell ref="A11:E11"/>
    <mergeCell ref="A12:E12"/>
    <mergeCell ref="A13:E13"/>
    <mergeCell ref="A10:E10"/>
    <mergeCell ref="A5:E5"/>
    <mergeCell ref="A6:E6"/>
    <mergeCell ref="A7:E7"/>
    <mergeCell ref="A8:E8"/>
    <mergeCell ref="A9:E9"/>
    <mergeCell ref="A56:C56"/>
    <mergeCell ref="D56:E56"/>
    <mergeCell ref="A27:E27"/>
    <mergeCell ref="A50:C50"/>
    <mergeCell ref="A51:C51"/>
    <mergeCell ref="A52:C52"/>
    <mergeCell ref="D52:E52"/>
    <mergeCell ref="A46:E46"/>
    <mergeCell ref="A47:E47"/>
    <mergeCell ref="E33:E43"/>
    <mergeCell ref="A28:E28"/>
    <mergeCell ref="A48:E48"/>
  </mergeCells>
  <printOptions horizontalCentered="1"/>
  <pageMargins left="0.70866141732283472" right="0.70866141732283472" top="0.74803149606299213" bottom="0.74803149606299213" header="0.31496062992125984" footer="0.31496062992125984"/>
  <pageSetup paperSize="9" scale="6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pageSetUpPr fitToPage="1"/>
  </sheetPr>
  <dimension ref="A1:P64"/>
  <sheetViews>
    <sheetView view="pageBreakPreview" topLeftCell="A26" zoomScaleNormal="100" zoomScaleSheetLayoutView="100" workbookViewId="0">
      <selection activeCell="H52" sqref="H52"/>
    </sheetView>
  </sheetViews>
  <sheetFormatPr defaultColWidth="9.140625" defaultRowHeight="15" outlineLevelCol="1" x14ac:dyDescent="0.25"/>
  <cols>
    <col min="1" max="1" width="9.140625" style="15"/>
    <col min="2" max="2" width="13.7109375" style="15" customWidth="1"/>
    <col min="3" max="3" width="20.140625" style="15" customWidth="1"/>
    <col min="4" max="4" width="20.28515625" style="15" customWidth="1"/>
    <col min="5" max="5" width="19.5703125" style="15" customWidth="1"/>
    <col min="6" max="6" width="18.28515625" style="15" customWidth="1"/>
    <col min="7" max="7" width="10.140625" style="15" customWidth="1" outlineLevel="1"/>
    <col min="8" max="8" width="19.7109375" style="15" customWidth="1"/>
    <col min="9" max="10" width="9.140625" style="15" customWidth="1"/>
    <col min="11" max="16384" width="9.140625" style="15"/>
  </cols>
  <sheetData>
    <row r="1" spans="1:16" ht="27.75" customHeight="1" x14ac:dyDescent="0.25"/>
    <row r="2" spans="1:16" ht="34.5" customHeight="1" x14ac:dyDescent="0.25">
      <c r="A2" s="37"/>
      <c r="B2" s="37"/>
      <c r="C2" s="37"/>
      <c r="D2" s="37"/>
      <c r="E2" s="266"/>
      <c r="F2" s="266"/>
      <c r="G2" s="20"/>
    </row>
    <row r="3" spans="1:16" ht="75" customHeight="1" x14ac:dyDescent="0.25">
      <c r="A3" s="37"/>
      <c r="B3" s="37"/>
      <c r="C3" s="37"/>
      <c r="D3" s="37"/>
      <c r="E3" s="286" t="str">
        <f>""&amp;malumot!B74&amp;" 
"&amp;malumot!B65&amp;" shartnomasiga 
1 sonli ilova"</f>
        <v>28 fevral 2025 y.dan №492-QRS 
mikroqarz shartnomasiga 
1 sonli ilova</v>
      </c>
      <c r="F3" s="286"/>
      <c r="G3" s="20"/>
    </row>
    <row r="4" spans="1:16" x14ac:dyDescent="0.25">
      <c r="A4" s="37"/>
      <c r="B4" s="37"/>
      <c r="C4" s="37"/>
      <c r="D4" s="37"/>
      <c r="E4" s="37"/>
      <c r="F4" s="37"/>
    </row>
    <row r="5" spans="1:16" x14ac:dyDescent="0.25">
      <c r="A5" s="267" t="s">
        <v>264</v>
      </c>
      <c r="B5" s="267"/>
      <c r="C5" s="267"/>
      <c r="D5" s="267"/>
      <c r="E5" s="267"/>
      <c r="F5" s="267"/>
    </row>
    <row r="7" spans="1:16" ht="15" customHeight="1" x14ac:dyDescent="0.25">
      <c r="A7" s="268" t="s">
        <v>15</v>
      </c>
      <c r="B7" s="269" t="s">
        <v>265</v>
      </c>
      <c r="C7" s="269" t="s">
        <v>266</v>
      </c>
      <c r="D7" s="270" t="s">
        <v>267</v>
      </c>
      <c r="E7" s="270"/>
      <c r="F7" s="270"/>
    </row>
    <row r="8" spans="1:16" s="16" customFormat="1" x14ac:dyDescent="0.25">
      <c r="A8" s="268"/>
      <c r="B8" s="269"/>
      <c r="C8" s="269"/>
      <c r="D8" s="17" t="s">
        <v>268</v>
      </c>
      <c r="E8" s="17" t="s">
        <v>269</v>
      </c>
      <c r="F8" s="17" t="s">
        <v>270</v>
      </c>
    </row>
    <row r="9" spans="1:16" x14ac:dyDescent="0.25">
      <c r="A9" s="18">
        <v>1</v>
      </c>
      <c r="B9" s="33">
        <f>'График аннуитет.'!B8</f>
        <v>45733</v>
      </c>
      <c r="C9" s="34">
        <f>IF(malumot!$B$78=malumot!$C$78,'График дифференц'!C8,IF(malumot!$B$78=malumot!$D$78,'График аннуитет.'!C8))</f>
        <v>65000000</v>
      </c>
      <c r="D9" s="34">
        <f>IF(malumot!$B$78=malumot!$C$78,'График дифференц'!D8,IF(malumot!$B$78=malumot!$D$78,'График аннуитет.'!D8))</f>
        <v>2708333.33</v>
      </c>
      <c r="E9" s="34">
        <f>IF(malumot!$B$78=malumot!$C$78,'График дифференц'!E8,IF(malumot!$B$78=malumot!$D$78,'График аннуитет.'!E8))</f>
        <v>1816438.4400000002</v>
      </c>
      <c r="F9" s="34">
        <f>IF(malumot!$B$78=malumot!$C$78,'График дифференц'!F8,IF(malumot!$B$78=malumot!$D$78,'График аннуитет.'!F8))</f>
        <v>4524771.7700000005</v>
      </c>
    </row>
    <row r="10" spans="1:16" x14ac:dyDescent="0.25">
      <c r="A10" s="18">
        <v>2</v>
      </c>
      <c r="B10" s="33">
        <f>'График аннуитет.'!B9</f>
        <v>45762</v>
      </c>
      <c r="C10" s="34">
        <f>IF(malumot!$B$78=malumot!$C$78,'График дифференц'!C9,IF(malumot!$B$78=malumot!$D$78,'График аннуитет.'!C9))</f>
        <v>62291666.670000002</v>
      </c>
      <c r="D10" s="34">
        <f>IF(malumot!$B$78=malumot!$C$78,'График дифференц'!D9,IF(malumot!$B$78=malumot!$D$78,'График аннуитет.'!D9))</f>
        <v>2708333.33</v>
      </c>
      <c r="E10" s="34">
        <f>IF(malumot!$B$78=malumot!$C$78,'График дифференц'!E9,IF(malumot!$B$78=malumot!$D$78,'График аннуитет.'!E9))</f>
        <v>2969520.54</v>
      </c>
      <c r="F10" s="34">
        <f>IF(malumot!$B$78=malumot!$C$78,'График дифференц'!F9,IF(malumot!$B$78=malumot!$D$78,'График аннуитет.'!F9))</f>
        <v>5677853.8700000001</v>
      </c>
    </row>
    <row r="11" spans="1:16" x14ac:dyDescent="0.25">
      <c r="A11" s="18">
        <v>3</v>
      </c>
      <c r="B11" s="33">
        <f>'График аннуитет.'!B10</f>
        <v>45792</v>
      </c>
      <c r="C11" s="34">
        <f>IF(malumot!$B$78=malumot!$C$78,'График дифференц'!C10,IF(malumot!$B$78=malumot!$D$78,'График аннуитет.'!C10))</f>
        <v>59583333.340000004</v>
      </c>
      <c r="D11" s="34">
        <f>IF(malumot!$B$78=malumot!$C$78,'График дифференц'!D10,IF(malumot!$B$78=malumot!$D$78,'График аннуитет.'!D10))</f>
        <v>2708333.33</v>
      </c>
      <c r="E11" s="34">
        <f>IF(malumot!$B$78=malumot!$C$78,'График дифференц'!E10,IF(malumot!$B$78=malumot!$D$78,'График аннуитет.'!E10))</f>
        <v>2938356.3000000003</v>
      </c>
      <c r="F11" s="34">
        <f>IF(malumot!$B$78=malumot!$C$78,'График дифференц'!F10,IF(malumot!$B$78=malumot!$D$78,'График аннуитет.'!F10))</f>
        <v>5646689.6300000008</v>
      </c>
    </row>
    <row r="12" spans="1:16" x14ac:dyDescent="0.25">
      <c r="A12" s="18">
        <v>4</v>
      </c>
      <c r="B12" s="33">
        <f>'График аннуитет.'!B11</f>
        <v>45824</v>
      </c>
      <c r="C12" s="34">
        <f>IF(malumot!$B$78=malumot!$C$78,'График дифференц'!C11,IF(malumot!$B$78=malumot!$D$78,'График аннуитет.'!C11))</f>
        <v>56875000.010000005</v>
      </c>
      <c r="D12" s="34">
        <f>IF(malumot!$B$78=malumot!$C$78,'График дифференц'!D11,IF(malumot!$B$78=malumot!$D$78,'График аннуитет.'!D11))</f>
        <v>2708333.33</v>
      </c>
      <c r="E12" s="34">
        <f>IF(malumot!$B$78=malumot!$C$78,'График дифференц'!E11,IF(malumot!$B$78=malumot!$D$78,'График аннуитет.'!E11))</f>
        <v>2991780.8</v>
      </c>
      <c r="F12" s="34">
        <f>IF(malumot!$B$78=malumot!$C$78,'График дифференц'!F11,IF(malumot!$B$78=malumot!$D$78,'График аннуитет.'!F11))</f>
        <v>5700114.1299999999</v>
      </c>
      <c r="H12" s="287" t="s">
        <v>372</v>
      </c>
      <c r="I12" s="287"/>
      <c r="J12" s="287"/>
      <c r="K12" s="287"/>
      <c r="L12" s="287"/>
      <c r="M12" s="287"/>
      <c r="N12" s="287"/>
      <c r="O12" s="287"/>
      <c r="P12" s="287"/>
    </row>
    <row r="13" spans="1:16" x14ac:dyDescent="0.25">
      <c r="A13" s="18">
        <v>5</v>
      </c>
      <c r="B13" s="33">
        <f>'График аннуитет.'!B12</f>
        <v>45853</v>
      </c>
      <c r="C13" s="34">
        <f>IF(malumot!$B$78=malumot!$C$78,'График дифференц'!C12,IF(malumot!$B$78=malumot!$D$78,'График аннуитет.'!C12))</f>
        <v>54166666.680000007</v>
      </c>
      <c r="D13" s="34">
        <f>IF(malumot!$B$78=malumot!$C$78,'График дифференц'!D12,IF(malumot!$B$78=malumot!$D$78,'График аннуитет.'!D12))</f>
        <v>2708333.33</v>
      </c>
      <c r="E13" s="34">
        <f>IF(malumot!$B$78=malumot!$C$78,'График дифференц'!E12,IF(malumot!$B$78=malumot!$D$78,'График аннуитет.'!E12))</f>
        <v>2582191.9000000004</v>
      </c>
      <c r="F13" s="34">
        <f>IF(malumot!$B$78=malumot!$C$78,'График дифференц'!F12,IF(malumot!$B$78=malumot!$D$78,'График аннуитет.'!F12))</f>
        <v>5290525.2300000004</v>
      </c>
      <c r="H13" s="287"/>
      <c r="I13" s="287"/>
      <c r="J13" s="287"/>
      <c r="K13" s="287"/>
      <c r="L13" s="287"/>
      <c r="M13" s="287"/>
      <c r="N13" s="287"/>
      <c r="O13" s="287"/>
      <c r="P13" s="287"/>
    </row>
    <row r="14" spans="1:16" x14ac:dyDescent="0.25">
      <c r="A14" s="18">
        <v>6</v>
      </c>
      <c r="B14" s="33">
        <f>'График аннуитет.'!B13</f>
        <v>45884</v>
      </c>
      <c r="C14" s="34">
        <f>IF(malumot!$B$78=malumot!$C$78,'График дифференц'!C13,IF(malumot!$B$78=malumot!$D$78,'График аннуитет.'!C13))</f>
        <v>51458333.350000009</v>
      </c>
      <c r="D14" s="34">
        <f>IF(malumot!$B$78=malumot!$C$78,'График дифференц'!D13,IF(malumot!$B$78=malumot!$D$78,'График аннуитет.'!D13))</f>
        <v>2708333.33</v>
      </c>
      <c r="E14" s="34">
        <f>IF(malumot!$B$78=malumot!$C$78,'График дифференц'!E13,IF(malumot!$B$78=malumot!$D$78,'График аннуитет.'!E13))</f>
        <v>2622260.2399999998</v>
      </c>
      <c r="F14" s="34">
        <f>IF(malumot!$B$78=malumot!$C$78,'График дифференц'!F13,IF(malumot!$B$78=malumot!$D$78,'График аннуитет.'!F13))</f>
        <v>5330593.57</v>
      </c>
      <c r="H14" s="287"/>
      <c r="I14" s="287"/>
      <c r="J14" s="287"/>
      <c r="K14" s="287"/>
      <c r="L14" s="287"/>
      <c r="M14" s="287"/>
      <c r="N14" s="287"/>
      <c r="O14" s="287"/>
      <c r="P14" s="287"/>
    </row>
    <row r="15" spans="1:16" x14ac:dyDescent="0.25">
      <c r="A15" s="18">
        <v>7</v>
      </c>
      <c r="B15" s="33">
        <f>'График аннуитет.'!B14</f>
        <v>45915</v>
      </c>
      <c r="C15" s="34">
        <f>IF(malumot!$B$78=malumot!$C$78,'График дифференц'!C14,IF(malumot!$B$78=malumot!$D$78,'График аннуитет.'!C14))</f>
        <v>48750000.020000011</v>
      </c>
      <c r="D15" s="34">
        <f>IF(malumot!$B$78=malumot!$C$78,'График дифференц'!D14,IF(malumot!$B$78=malumot!$D$78,'График аннуитет.'!D14))</f>
        <v>2708333.33</v>
      </c>
      <c r="E15" s="34">
        <f>IF(malumot!$B$78=malumot!$C$78,'График дифференц'!E14,IF(malumot!$B$78=malumot!$D$78,'График аннуитет.'!E14))</f>
        <v>2484246.69</v>
      </c>
      <c r="F15" s="34">
        <f>IF(malumot!$B$78=malumot!$C$78,'График дифференц'!F14,IF(malumot!$B$78=malumot!$D$78,'График аннуитет.'!F14))</f>
        <v>5192580.0199999996</v>
      </c>
      <c r="H15" s="287"/>
      <c r="I15" s="287"/>
      <c r="J15" s="287"/>
      <c r="K15" s="287"/>
      <c r="L15" s="287"/>
      <c r="M15" s="287"/>
      <c r="N15" s="287"/>
      <c r="O15" s="287"/>
      <c r="P15" s="287"/>
    </row>
    <row r="16" spans="1:16" x14ac:dyDescent="0.25">
      <c r="A16" s="18">
        <v>8</v>
      </c>
      <c r="B16" s="33">
        <f>'График аннуитет.'!B15</f>
        <v>45945</v>
      </c>
      <c r="C16" s="34">
        <f>IF(malumot!$B$78=malumot!$C$78,'График дифференц'!C15,IF(malumot!$B$78=malumot!$D$78,'График аннуитет.'!C15))</f>
        <v>46041666.690000013</v>
      </c>
      <c r="D16" s="34">
        <f>IF(malumot!$B$78=malumot!$C$78,'График дифференц'!D15,IF(malumot!$B$78=malumot!$D$78,'График аннуитет.'!D15))</f>
        <v>2708333.33</v>
      </c>
      <c r="E16" s="34">
        <f>IF(malumot!$B$78=malumot!$C$78,'График дифференц'!E15,IF(malumot!$B$78=malumot!$D$78,'График аннуитет.'!E15))</f>
        <v>2270547.9</v>
      </c>
      <c r="F16" s="34">
        <f>IF(malumot!$B$78=malumot!$C$78,'График дифференц'!F15,IF(malumot!$B$78=malumot!$D$78,'График аннуитет.'!F15))</f>
        <v>4978881.2300000004</v>
      </c>
      <c r="H16" s="287"/>
      <c r="I16" s="287"/>
      <c r="J16" s="287"/>
      <c r="K16" s="287"/>
      <c r="L16" s="287"/>
      <c r="M16" s="287"/>
      <c r="N16" s="287"/>
      <c r="O16" s="287"/>
      <c r="P16" s="287"/>
    </row>
    <row r="17" spans="1:16" x14ac:dyDescent="0.25">
      <c r="A17" s="18">
        <v>9</v>
      </c>
      <c r="B17" s="33">
        <f>'График аннуитет.'!B16</f>
        <v>45978</v>
      </c>
      <c r="C17" s="34">
        <f>IF(malumot!$B$78=malumot!$C$78,'График дифференц'!C16,IF(malumot!$B$78=malumot!$D$78,'График аннуитет.'!C16))</f>
        <v>43333333.360000014</v>
      </c>
      <c r="D17" s="34">
        <f>IF(malumot!$B$78=malumot!$C$78,'График дифференц'!D16,IF(malumot!$B$78=malumot!$D$78,'График аннуитет.'!D16))</f>
        <v>2708333.33</v>
      </c>
      <c r="E17" s="34">
        <f>IF(malumot!$B$78=malumot!$C$78,'График дифференц'!E16,IF(malumot!$B$78=malumot!$D$78,'График аннуитет.'!E16))</f>
        <v>2350685.04</v>
      </c>
      <c r="F17" s="34">
        <f>IF(malumot!$B$78=malumot!$C$78,'График дифференц'!F16,IF(malumot!$B$78=malumot!$D$78,'График аннуитет.'!F16))</f>
        <v>5059018.37</v>
      </c>
      <c r="H17" s="287"/>
      <c r="I17" s="287"/>
      <c r="J17" s="287"/>
      <c r="K17" s="287"/>
      <c r="L17" s="287"/>
      <c r="M17" s="287"/>
      <c r="N17" s="287"/>
      <c r="O17" s="287"/>
      <c r="P17" s="287"/>
    </row>
    <row r="18" spans="1:16" x14ac:dyDescent="0.25">
      <c r="A18" s="18">
        <v>10</v>
      </c>
      <c r="B18" s="33">
        <f>'График аннуитет.'!B17</f>
        <v>46006</v>
      </c>
      <c r="C18" s="34">
        <f>IF(malumot!$B$78=malumot!$C$78,'График дифференц'!C17,IF(malumot!$B$78=malumot!$D$78,'График аннуитет.'!C17))</f>
        <v>40625000.030000016</v>
      </c>
      <c r="D18" s="34">
        <f>IF(malumot!$B$78=malumot!$C$78,'График дифференц'!D17,IF(malumot!$B$78=malumot!$D$78,'График аннуитет.'!D17))</f>
        <v>2708333.33</v>
      </c>
      <c r="E18" s="34">
        <f>IF(malumot!$B$78=malumot!$C$78,'График дифференц'!E17,IF(malumot!$B$78=malumot!$D$78,'График аннуитет.'!E17))</f>
        <v>1869862.9600000002</v>
      </c>
      <c r="F18" s="34">
        <f>IF(malumot!$B$78=malumot!$C$78,'График дифференц'!F17,IF(malumot!$B$78=malumot!$D$78,'График аннуитет.'!F17))</f>
        <v>4578196.29</v>
      </c>
      <c r="H18" s="287"/>
      <c r="I18" s="287"/>
      <c r="J18" s="287"/>
      <c r="K18" s="287"/>
      <c r="L18" s="287"/>
      <c r="M18" s="287"/>
      <c r="N18" s="287"/>
      <c r="O18" s="287"/>
      <c r="P18" s="287"/>
    </row>
    <row r="19" spans="1:16" x14ac:dyDescent="0.25">
      <c r="A19" s="18">
        <v>11</v>
      </c>
      <c r="B19" s="33">
        <f>'График аннуитет.'!B18</f>
        <v>46037</v>
      </c>
      <c r="C19" s="34">
        <f>IF(malumot!$B$78=malumot!$C$78,'График дифференц'!C18,IF(malumot!$B$78=malumot!$D$78,'График аннуитет.'!C18))</f>
        <v>37916666.700000018</v>
      </c>
      <c r="D19" s="34">
        <f>IF(malumot!$B$78=malumot!$C$78,'График дифференц'!D18,IF(malumot!$B$78=malumot!$D$78,'График аннуитет.'!D18))</f>
        <v>2708333.33</v>
      </c>
      <c r="E19" s="34">
        <f>IF(malumot!$B$78=malumot!$C$78,'График дифференц'!E18,IF(malumot!$B$78=malumot!$D$78,'График аннуитет.'!E18))</f>
        <v>1932191.8699999999</v>
      </c>
      <c r="F19" s="34">
        <f>IF(malumot!$B$78=malumot!$C$78,'График дифференц'!F18,IF(malumot!$B$78=malumot!$D$78,'График аннуитет.'!F18))</f>
        <v>4640525.2</v>
      </c>
      <c r="H19" s="287"/>
      <c r="I19" s="287"/>
      <c r="J19" s="287"/>
      <c r="K19" s="287"/>
      <c r="L19" s="287"/>
      <c r="M19" s="287"/>
      <c r="N19" s="287"/>
      <c r="O19" s="287"/>
      <c r="P19" s="287"/>
    </row>
    <row r="20" spans="1:16" x14ac:dyDescent="0.25">
      <c r="A20" s="18">
        <v>12</v>
      </c>
      <c r="B20" s="33">
        <f>'График аннуитет.'!B19</f>
        <v>46069</v>
      </c>
      <c r="C20" s="34">
        <f>IF(malumot!$B$78=malumot!$C$78,'График дифференц'!C19,IF(malumot!$B$78=malumot!$D$78,'График аннуитет.'!C19))</f>
        <v>35208333.37000002</v>
      </c>
      <c r="D20" s="34">
        <f>IF(malumot!$B$78=malumot!$C$78,'График дифференц'!D19,IF(malumot!$B$78=malumot!$D$78,'График аннуитет.'!D19))</f>
        <v>2708333.33</v>
      </c>
      <c r="E20" s="34">
        <f>IF(malumot!$B$78=malumot!$C$78,'График дифференц'!E19,IF(malumot!$B$78=malumot!$D$78,'График аннуитет.'!E19))</f>
        <v>1852054.72</v>
      </c>
      <c r="F20" s="34">
        <f>IF(malumot!$B$78=malumot!$C$78,'График дифференц'!F19,IF(malumot!$B$78=malumot!$D$78,'График аннуитет.'!F19))</f>
        <v>4560388.05</v>
      </c>
      <c r="H20" s="287"/>
      <c r="I20" s="287"/>
      <c r="J20" s="287"/>
      <c r="K20" s="287"/>
      <c r="L20" s="287"/>
      <c r="M20" s="287"/>
      <c r="N20" s="287"/>
      <c r="O20" s="287"/>
      <c r="P20" s="287"/>
    </row>
    <row r="21" spans="1:16" x14ac:dyDescent="0.25">
      <c r="A21" s="18">
        <v>13</v>
      </c>
      <c r="B21" s="33">
        <f>'График аннуитет.'!B20</f>
        <v>46097</v>
      </c>
      <c r="C21" s="34">
        <f>IF(malumot!$B$78=malumot!$C$78,'График дифференц'!C20,IF(malumot!$B$78=malumot!$D$78,'График аннуитет.'!C20))</f>
        <v>32500000.040000021</v>
      </c>
      <c r="D21" s="34">
        <f>IF(malumot!$B$78=malumot!$C$78,'График дифференц'!D20,IF(malumot!$B$78=malumot!$D$78,'График аннуитет.'!D20))</f>
        <v>2708333.33</v>
      </c>
      <c r="E21" s="34">
        <f>IF(malumot!$B$78=malumot!$C$78,'График дифференц'!E20,IF(malumot!$B$78=malumot!$D$78,'График аннуитет.'!E20))</f>
        <v>1495890.48</v>
      </c>
      <c r="F21" s="34">
        <f>IF(malumot!$B$78=malumot!$C$78,'График дифференц'!F20,IF(malumot!$B$78=malumot!$D$78,'График аннуитет.'!F20))</f>
        <v>4204223.8100000005</v>
      </c>
      <c r="H21" s="287"/>
      <c r="I21" s="287"/>
      <c r="J21" s="287"/>
      <c r="K21" s="287"/>
      <c r="L21" s="287"/>
      <c r="M21" s="287"/>
      <c r="N21" s="287"/>
      <c r="O21" s="287"/>
      <c r="P21" s="287"/>
    </row>
    <row r="22" spans="1:16" x14ac:dyDescent="0.25">
      <c r="A22" s="18">
        <v>14</v>
      </c>
      <c r="B22" s="33">
        <f>'График аннуитет.'!B21</f>
        <v>46127</v>
      </c>
      <c r="C22" s="34">
        <f>IF(malumot!$B$78=malumot!$C$78,'График дифференц'!C21,IF(malumot!$B$78=malumot!$D$78,'График аннуитет.'!C21))</f>
        <v>29791666.710000023</v>
      </c>
      <c r="D22" s="34">
        <f>IF(malumot!$B$78=malumot!$C$78,'График дифференц'!D21,IF(malumot!$B$78=malumot!$D$78,'График аннуитет.'!D21))</f>
        <v>2708333.33</v>
      </c>
      <c r="E22" s="34">
        <f>IF(malumot!$B$78=malumot!$C$78,'График дифференц'!E21,IF(malumot!$B$78=malumot!$D$78,'График аннуитет.'!E21))</f>
        <v>1469178</v>
      </c>
      <c r="F22" s="34">
        <f>IF(malumot!$B$78=malumot!$C$78,'График дифференц'!F21,IF(malumot!$B$78=malumot!$D$78,'График аннуитет.'!F21))</f>
        <v>4177511.33</v>
      </c>
      <c r="H22" s="287"/>
      <c r="I22" s="287"/>
      <c r="J22" s="287"/>
      <c r="K22" s="287"/>
      <c r="L22" s="287"/>
      <c r="M22" s="287"/>
      <c r="N22" s="287"/>
      <c r="O22" s="287"/>
      <c r="P22" s="287"/>
    </row>
    <row r="23" spans="1:16" x14ac:dyDescent="0.25">
      <c r="A23" s="18">
        <v>15</v>
      </c>
      <c r="B23" s="33">
        <f>'График аннуитет.'!B22</f>
        <v>46157</v>
      </c>
      <c r="C23" s="34">
        <f>IF(malumot!$B$78=malumot!$C$78,'График дифференц'!C22,IF(malumot!$B$78=malumot!$D$78,'График аннуитет.'!C22))</f>
        <v>27083333.380000025</v>
      </c>
      <c r="D23" s="34">
        <f>IF(malumot!$B$78=malumot!$C$78,'График дифференц'!D22,IF(malumot!$B$78=malumot!$D$78,'График аннуитет.'!D22))</f>
        <v>2708333.33</v>
      </c>
      <c r="E23" s="34">
        <f>IF(malumot!$B$78=malumot!$C$78,'График дифференц'!E22,IF(malumot!$B$78=malumot!$D$78,'График аннуитет.'!E22))</f>
        <v>1335616.5</v>
      </c>
      <c r="F23" s="34">
        <f>IF(malumot!$B$78=malumot!$C$78,'График дифференц'!F22,IF(malumot!$B$78=malumot!$D$78,'График аннуитет.'!F22))</f>
        <v>4043949.83</v>
      </c>
      <c r="H23" s="287"/>
      <c r="I23" s="287"/>
      <c r="J23" s="287"/>
      <c r="K23" s="287"/>
      <c r="L23" s="287"/>
      <c r="M23" s="287"/>
      <c r="N23" s="287"/>
      <c r="O23" s="287"/>
      <c r="P23" s="287"/>
    </row>
    <row r="24" spans="1:16" x14ac:dyDescent="0.25">
      <c r="A24" s="18">
        <v>16</v>
      </c>
      <c r="B24" s="33">
        <f>'График аннуитет.'!B23</f>
        <v>46188</v>
      </c>
      <c r="C24" s="34">
        <f>IF(malumot!$B$78=malumot!$C$78,'График дифференц'!C23,IF(malumot!$B$78=malumot!$D$78,'График аннуитет.'!C23))</f>
        <v>24375000.050000027</v>
      </c>
      <c r="D24" s="34">
        <f>IF(malumot!$B$78=malumot!$C$78,'График дифференц'!D23,IF(malumot!$B$78=malumot!$D$78,'График аннуитет.'!D23))</f>
        <v>2708333.33</v>
      </c>
      <c r="E24" s="34">
        <f>IF(malumot!$B$78=malumot!$C$78,'График дифференц'!E23,IF(malumot!$B$78=malumot!$D$78,'График аннуитет.'!E23))</f>
        <v>1242123.19</v>
      </c>
      <c r="F24" s="34">
        <f>IF(malumot!$B$78=malumot!$C$78,'График дифференц'!F23,IF(malumot!$B$78=malumot!$D$78,'График аннуитет.'!F23))</f>
        <v>3950456.52</v>
      </c>
      <c r="H24" s="287"/>
      <c r="I24" s="287"/>
      <c r="J24" s="287"/>
      <c r="K24" s="287"/>
      <c r="L24" s="287"/>
      <c r="M24" s="287"/>
      <c r="N24" s="287"/>
      <c r="O24" s="287"/>
      <c r="P24" s="287"/>
    </row>
    <row r="25" spans="1:16" x14ac:dyDescent="0.25">
      <c r="A25" s="18">
        <v>17</v>
      </c>
      <c r="B25" s="33">
        <f>'График аннуитет.'!B24</f>
        <v>46218</v>
      </c>
      <c r="C25" s="34">
        <f>IF(malumot!$B$78=malumot!$C$78,'График дифференц'!C24,IF(malumot!$B$78=malumot!$D$78,'График аннуитет.'!C24))</f>
        <v>21666666.720000029</v>
      </c>
      <c r="D25" s="34">
        <f>IF(malumot!$B$78=malumot!$C$78,'График дифференц'!D24,IF(malumot!$B$78=malumot!$D$78,'График аннуитет.'!D24))</f>
        <v>2708333.33</v>
      </c>
      <c r="E25" s="34">
        <f>IF(malumot!$B$78=malumot!$C$78,'График дифференц'!E24,IF(malumot!$B$78=malumot!$D$78,'График аннуитет.'!E24))</f>
        <v>1068493.2000000002</v>
      </c>
      <c r="F25" s="34">
        <f>IF(malumot!$B$78=malumot!$C$78,'График дифференц'!F24,IF(malumot!$B$78=malumot!$D$78,'График аннуитет.'!F24))</f>
        <v>3776826.5300000003</v>
      </c>
    </row>
    <row r="26" spans="1:16" x14ac:dyDescent="0.25">
      <c r="A26" s="18">
        <v>18</v>
      </c>
      <c r="B26" s="33">
        <f>'График аннуитет.'!B25</f>
        <v>46251</v>
      </c>
      <c r="C26" s="34">
        <f>IF(malumot!$B$78=malumot!$C$78,'График дифференц'!C25,IF(malumot!$B$78=malumot!$D$78,'График аннуитет.'!C25))</f>
        <v>18958333.39000003</v>
      </c>
      <c r="D26" s="34">
        <f>IF(malumot!$B$78=malumot!$C$78,'График дифференц'!D25,IF(malumot!$B$78=malumot!$D$78,'График аннуитет.'!D25))</f>
        <v>2708333.33</v>
      </c>
      <c r="E26" s="34">
        <f>IF(malumot!$B$78=malumot!$C$78,'График дифференц'!E25,IF(malumot!$B$78=malumot!$D$78,'График аннуитет.'!E25))</f>
        <v>1028424.54</v>
      </c>
      <c r="F26" s="34">
        <f>IF(malumot!$B$78=malumot!$C$78,'График дифференц'!F25,IF(malumot!$B$78=malumot!$D$78,'График аннуитет.'!F25))</f>
        <v>3736757.87</v>
      </c>
    </row>
    <row r="27" spans="1:16" x14ac:dyDescent="0.25">
      <c r="A27" s="18">
        <f>1+A26</f>
        <v>19</v>
      </c>
      <c r="B27" s="33">
        <f>'График аннуитет.'!B26</f>
        <v>46280</v>
      </c>
      <c r="C27" s="34">
        <f>IF(malumot!$B$78=malumot!$C$78,'График дифференц'!C26,IF(malumot!$B$78=malumot!$D$78,'График аннуитет.'!C26))</f>
        <v>16250000.06000003</v>
      </c>
      <c r="D27" s="34">
        <f>IF(malumot!$B$78=malumot!$C$78,'График дифференц'!D26,IF(malumot!$B$78=malumot!$D$78,'График аннуитет.'!D26))</f>
        <v>2708333.33</v>
      </c>
      <c r="E27" s="34">
        <f>IF(malumot!$B$78=malumot!$C$78,'График дифференц'!E26,IF(malumot!$B$78=malumot!$D$78,'График аннуитет.'!E26))</f>
        <v>774657.57000000007</v>
      </c>
      <c r="F27" s="34">
        <f>IF(malumot!$B$78=malumot!$C$78,'График дифференц'!F26,IF(malumot!$B$78=malumot!$D$78,'График аннуитет.'!F26))</f>
        <v>3482990.9000000004</v>
      </c>
    </row>
    <row r="28" spans="1:16" x14ac:dyDescent="0.25">
      <c r="A28" s="18">
        <f t="shared" ref="A28:A43" si="0">1+A27</f>
        <v>20</v>
      </c>
      <c r="B28" s="33">
        <f>'График аннуитет.'!B27</f>
        <v>46310</v>
      </c>
      <c r="C28" s="34">
        <f>IF(malumot!$B$78=malumot!$C$78,'График дифференц'!C27,IF(malumot!$B$78=malumot!$D$78,'График аннуитет.'!C27))</f>
        <v>13541666.73000003</v>
      </c>
      <c r="D28" s="34">
        <f>IF(malumot!$B$78=malumot!$C$78,'График дифференц'!D27,IF(malumot!$B$78=malumot!$D$78,'График аннуитет.'!D27))</f>
        <v>2708333.33</v>
      </c>
      <c r="E28" s="34">
        <f>IF(malumot!$B$78=malumot!$C$78,'График дифференц'!E27,IF(malumot!$B$78=malumot!$D$78,'График аннуитет.'!E27))</f>
        <v>667808.1</v>
      </c>
      <c r="F28" s="34">
        <f>IF(malumot!$B$78=malumot!$C$78,'График дифференц'!F27,IF(malumot!$B$78=malumot!$D$78,'График аннуитет.'!F27))</f>
        <v>3376141.43</v>
      </c>
    </row>
    <row r="29" spans="1:16" x14ac:dyDescent="0.25">
      <c r="A29" s="18">
        <f t="shared" si="0"/>
        <v>21</v>
      </c>
      <c r="B29" s="33">
        <f>'График аннуитет.'!B28</f>
        <v>46342</v>
      </c>
      <c r="C29" s="34">
        <f>IF(malumot!$B$78=malumot!$C$78,'График дифференц'!C28,IF(malumot!$B$78=malumot!$D$78,'График аннуитет.'!C28))</f>
        <v>10833333.40000003</v>
      </c>
      <c r="D29" s="34">
        <f>IF(malumot!$B$78=malumot!$C$78,'График дифференц'!D28,IF(malumot!$B$78=malumot!$D$78,'График аннуитет.'!D28))</f>
        <v>2708333.33</v>
      </c>
      <c r="E29" s="34">
        <f>IF(malumot!$B$78=malumot!$C$78,'График дифференц'!E28,IF(malumot!$B$78=malumot!$D$78,'График аннуитет.'!E28))</f>
        <v>569863.04</v>
      </c>
      <c r="F29" s="34">
        <f>IF(malumot!$B$78=malumot!$C$78,'График дифференц'!F28,IF(malumot!$B$78=malumot!$D$78,'График аннуитет.'!F28))</f>
        <v>3278196.37</v>
      </c>
    </row>
    <row r="30" spans="1:16" x14ac:dyDescent="0.25">
      <c r="A30" s="18">
        <f t="shared" si="0"/>
        <v>22</v>
      </c>
      <c r="B30" s="33">
        <f>'График аннуитет.'!B29</f>
        <v>46371</v>
      </c>
      <c r="C30" s="34">
        <f>IF(malumot!$B$78=malumot!$C$78,'График дифференц'!C29,IF(malumot!$B$78=malumot!$D$78,'График аннуитет.'!C29))</f>
        <v>8125000.0700000301</v>
      </c>
      <c r="D30" s="34">
        <f>IF(malumot!$B$78=malumot!$C$78,'График дифференц'!D29,IF(malumot!$B$78=malumot!$D$78,'График аннуитет.'!D29))</f>
        <v>2708333.33</v>
      </c>
      <c r="E30" s="34">
        <f>IF(malumot!$B$78=malumot!$C$78,'График дифференц'!E29,IF(malumot!$B$78=malumot!$D$78,'График аннуитет.'!E29))</f>
        <v>387328.64</v>
      </c>
      <c r="F30" s="34">
        <f>IF(malumot!$B$78=malumot!$C$78,'График дифференц'!F29,IF(malumot!$B$78=malumot!$D$78,'График аннуитет.'!F29))</f>
        <v>3095661.97</v>
      </c>
    </row>
    <row r="31" spans="1:16" x14ac:dyDescent="0.25">
      <c r="A31" s="18">
        <f t="shared" si="0"/>
        <v>23</v>
      </c>
      <c r="B31" s="33">
        <f>'График аннуитет.'!B30</f>
        <v>46402</v>
      </c>
      <c r="C31" s="34">
        <f>IF(malumot!$B$78=malumot!$C$78,'График дифференц'!C30,IF(malumot!$B$78=malumot!$D$78,'График аннуитет.'!C30))</f>
        <v>5416666.74000003</v>
      </c>
      <c r="D31" s="34">
        <f>IF(malumot!$B$78=malumot!$C$78,'График дифференц'!D30,IF(malumot!$B$78=malumot!$D$78,'График аннуитет.'!D30))</f>
        <v>2708333.33</v>
      </c>
      <c r="E31" s="34">
        <f>IF(malumot!$B$78=malumot!$C$78,'График дифференц'!E30,IF(malumot!$B$78=malumot!$D$78,'График аннуитет.'!E30))</f>
        <v>276027.41000000003</v>
      </c>
      <c r="F31" s="34">
        <f>IF(malumot!$B$78=malumot!$C$78,'График дифференц'!F30,IF(malumot!$B$78=malumot!$D$78,'График аннуитет.'!F30))</f>
        <v>2984360.74</v>
      </c>
    </row>
    <row r="32" spans="1:16" x14ac:dyDescent="0.25">
      <c r="A32" s="18">
        <f t="shared" si="0"/>
        <v>24</v>
      </c>
      <c r="B32" s="33">
        <f>'График аннуитет.'!B31</f>
        <v>46446</v>
      </c>
      <c r="C32" s="34">
        <f>IF(malumot!$B$78=malumot!$C$78,'График дифференц'!C31,IF(malumot!$B$78=malumot!$D$78,'График аннуитет.'!C31))</f>
        <v>2708333.41000003</v>
      </c>
      <c r="D32" s="34">
        <f>IF(malumot!$B$78=malumot!$C$78,'График дифференц'!D31,IF(malumot!$B$78=malumot!$D$78,'График аннуитет.'!D31))</f>
        <v>2708333.4100000262</v>
      </c>
      <c r="E32" s="34">
        <f>IF(malumot!$B$78=malumot!$C$78,'График дифференц'!E31,IF(malumot!$B$78=malumot!$D$78,'График аннуитет.'!E31))</f>
        <v>195890.2</v>
      </c>
      <c r="F32" s="34">
        <f>IF(malumot!$B$78=malumot!$C$78,'График дифференц'!F31,IF(malumot!$B$78=malumot!$D$78,'График аннуитет.'!F31))</f>
        <v>2904223.6100000264</v>
      </c>
    </row>
    <row r="33" spans="1:6" hidden="1" x14ac:dyDescent="0.25">
      <c r="A33" s="18">
        <f t="shared" si="0"/>
        <v>25</v>
      </c>
      <c r="B33" s="33" t="str">
        <f>IF('График аннуитет.'!B32=FALSE,"",'График аннуитет.'!B32)</f>
        <v/>
      </c>
      <c r="C33" s="34">
        <f>IF(malumot!$B$78=malumot!$C$78,'График дифференц'!C32,IF(malumot!$B$78=malumot!$D$78,'График аннуитет.'!C32))</f>
        <v>3.7252902984619141E-9</v>
      </c>
      <c r="D33" s="34" t="b">
        <f>IF(malumot!$B$78=malumot!$C$78,'График дифференц'!D32,IF(malumot!$B$78=malumot!$D$78,'График аннуитет.'!D32))</f>
        <v>0</v>
      </c>
      <c r="E33" s="34" t="b">
        <f>IF(malumot!$B$78=malumot!$C$78,'График дифференц'!E32,IF(malumot!$B$78=malumot!$D$78,'График аннуитет.'!E32))</f>
        <v>0</v>
      </c>
      <c r="F33" s="34" t="b">
        <f>IF(malumot!$B$78=malumot!$C$78,'График дифференц'!F32,IF(malumot!$B$78=malumot!$D$78,'График аннуитет.'!F32))</f>
        <v>0</v>
      </c>
    </row>
    <row r="34" spans="1:6" hidden="1" x14ac:dyDescent="0.25">
      <c r="A34" s="18">
        <f t="shared" si="0"/>
        <v>26</v>
      </c>
      <c r="B34" s="33" t="str">
        <f>IF('График аннуитет.'!B33=FALSE,"",'График аннуитет.'!B33)</f>
        <v/>
      </c>
      <c r="C34" s="34">
        <f>IF(malumot!$B$78=malumot!$C$78,'График дифференц'!C33,IF(malumot!$B$78=malumot!$D$78,'График аннуитет.'!C33))</f>
        <v>3.7252902984619141E-9</v>
      </c>
      <c r="D34" s="34" t="b">
        <f>IF(malumot!$B$78=malumot!$C$78,'График дифференц'!D33,IF(malumot!$B$78=malumot!$D$78,'График аннуитет.'!D33))</f>
        <v>0</v>
      </c>
      <c r="E34" s="34" t="b">
        <f>IF(malumot!$B$78=malumot!$C$78,'График дифференц'!E33,IF(malumot!$B$78=malumot!$D$78,'График аннуитет.'!E33))</f>
        <v>0</v>
      </c>
      <c r="F34" s="34" t="b">
        <f>IF(malumot!$B$78=malumot!$C$78,'График дифференц'!F33,IF(malumot!$B$78=malumot!$D$78,'График аннуитет.'!F33))</f>
        <v>0</v>
      </c>
    </row>
    <row r="35" spans="1:6" hidden="1" x14ac:dyDescent="0.25">
      <c r="A35" s="18">
        <f t="shared" si="0"/>
        <v>27</v>
      </c>
      <c r="B35" s="33" t="str">
        <f>IF('График аннуитет.'!B34=FALSE,"",'График аннуитет.'!B34)</f>
        <v/>
      </c>
      <c r="C35" s="34">
        <f>IF(malumot!$B$78=malumot!$C$78,'График дифференц'!C34,IF(malumot!$B$78=malumot!$D$78,'График аннуитет.'!C34))</f>
        <v>3.7252902984619141E-9</v>
      </c>
      <c r="D35" s="34" t="b">
        <f>IF(malumot!$B$78=malumot!$C$78,'График дифференц'!D34,IF(malumot!$B$78=malumot!$D$78,'График аннуитет.'!D34))</f>
        <v>0</v>
      </c>
      <c r="E35" s="34" t="b">
        <f>IF(malumot!$B$78=malumot!$C$78,'График дифференц'!E34,IF(malumot!$B$78=malumot!$D$78,'График аннуитет.'!E34))</f>
        <v>0</v>
      </c>
      <c r="F35" s="34" t="b">
        <f>IF(malumot!$B$78=malumot!$C$78,'График дифференц'!F34,IF(malumot!$B$78=malumot!$D$78,'График аннуитет.'!F34))</f>
        <v>0</v>
      </c>
    </row>
    <row r="36" spans="1:6" hidden="1" x14ac:dyDescent="0.25">
      <c r="A36" s="18">
        <f t="shared" si="0"/>
        <v>28</v>
      </c>
      <c r="B36" s="33" t="str">
        <f>IF('График аннуитет.'!B35=FALSE,"",'График аннуитет.'!B35)</f>
        <v/>
      </c>
      <c r="C36" s="34">
        <f>IF(malumot!$B$78=malumot!$C$78,'График дифференц'!C35,IF(malumot!$B$78=malumot!$D$78,'График аннуитет.'!C35))</f>
        <v>3.7252902984619141E-9</v>
      </c>
      <c r="D36" s="34" t="b">
        <f>IF(malumot!$B$78=malumot!$C$78,'График дифференц'!D35,IF(malumot!$B$78=malumot!$D$78,'График аннуитет.'!D35))</f>
        <v>0</v>
      </c>
      <c r="E36" s="34" t="b">
        <f>IF(malumot!$B$78=malumot!$C$78,'График дифференц'!E35,IF(malumot!$B$78=malumot!$D$78,'График аннуитет.'!E35))</f>
        <v>0</v>
      </c>
      <c r="F36" s="34" t="b">
        <f>IF(malumot!$B$78=malumot!$C$78,'График дифференц'!F35,IF(malumot!$B$78=malumot!$D$78,'График аннуитет.'!F35))</f>
        <v>0</v>
      </c>
    </row>
    <row r="37" spans="1:6" hidden="1" x14ac:dyDescent="0.25">
      <c r="A37" s="18">
        <f t="shared" si="0"/>
        <v>29</v>
      </c>
      <c r="B37" s="33" t="str">
        <f>IF('График аннуитет.'!B36=FALSE,"",'График аннуитет.'!B36)</f>
        <v/>
      </c>
      <c r="C37" s="34">
        <f>IF(malumot!$B$78=malumot!$C$78,'График дифференц'!C36,IF(malumot!$B$78=malumot!$D$78,'График аннуитет.'!C36))</f>
        <v>3.7252902984619141E-9</v>
      </c>
      <c r="D37" s="34" t="b">
        <f>IF(malumot!$B$78=malumot!$C$78,'График дифференц'!D36,IF(malumot!$B$78=malumot!$D$78,'График аннуитет.'!D36))</f>
        <v>0</v>
      </c>
      <c r="E37" s="34" t="b">
        <f>IF(malumot!$B$78=malumot!$C$78,'График дифференц'!E36,IF(malumot!$B$78=malumot!$D$78,'График аннуитет.'!E36))</f>
        <v>0</v>
      </c>
      <c r="F37" s="34" t="b">
        <f>IF(malumot!$B$78=malumot!$C$78,'График дифференц'!F36,IF(malumot!$B$78=malumot!$D$78,'График аннуитет.'!F36))</f>
        <v>0</v>
      </c>
    </row>
    <row r="38" spans="1:6" hidden="1" x14ac:dyDescent="0.25">
      <c r="A38" s="18">
        <f t="shared" si="0"/>
        <v>30</v>
      </c>
      <c r="B38" s="33" t="str">
        <f>IF('График аннуитет.'!B37=FALSE,"",'График аннуитет.'!B37)</f>
        <v/>
      </c>
      <c r="C38" s="34">
        <f>IF(malumot!$B$78=malumot!$C$78,'График дифференц'!C37,IF(malumot!$B$78=malumot!$D$78,'График аннуитет.'!C37))</f>
        <v>3.7252902984619141E-9</v>
      </c>
      <c r="D38" s="34" t="b">
        <f>IF(malumot!$B$78=malumot!$C$78,'График дифференц'!D37,IF(malumot!$B$78=malumot!$D$78,'График аннуитет.'!D37))</f>
        <v>0</v>
      </c>
      <c r="E38" s="34" t="b">
        <f>IF(malumot!$B$78=malumot!$C$78,'График дифференц'!E37,IF(malumot!$B$78=malumot!$D$78,'График аннуитет.'!E37))</f>
        <v>0</v>
      </c>
      <c r="F38" s="34" t="b">
        <f>IF(malumot!$B$78=malumot!$C$78,'График дифференц'!F37,IF(malumot!$B$78=malumot!$D$78,'График аннуитет.'!F37))</f>
        <v>0</v>
      </c>
    </row>
    <row r="39" spans="1:6" hidden="1" x14ac:dyDescent="0.25">
      <c r="A39" s="18">
        <f t="shared" si="0"/>
        <v>31</v>
      </c>
      <c r="B39" s="33" t="str">
        <f>IF('График аннуитет.'!B38=FALSE,"",'График аннуитет.'!B38)</f>
        <v/>
      </c>
      <c r="C39" s="34">
        <f>IF(malumot!$B$78=malumot!$C$78,'График дифференц'!C38,IF(malumot!$B$78=malumot!$D$78,'График аннуитет.'!C38))</f>
        <v>3.7252902984619141E-9</v>
      </c>
      <c r="D39" s="34" t="b">
        <f>IF(malumot!$B$78=malumot!$C$78,'График дифференц'!D38,IF(malumot!$B$78=malumot!$D$78,'График аннуитет.'!D38))</f>
        <v>0</v>
      </c>
      <c r="E39" s="34" t="b">
        <f>IF(malumot!$B$78=malumot!$C$78,'График дифференц'!E38,IF(malumot!$B$78=malumot!$D$78,'График аннуитет.'!E38))</f>
        <v>0</v>
      </c>
      <c r="F39" s="34" t="b">
        <f>IF(malumot!$B$78=malumot!$C$78,'График дифференц'!F38,IF(malumot!$B$78=malumot!$D$78,'График аннуитет.'!F38))</f>
        <v>0</v>
      </c>
    </row>
    <row r="40" spans="1:6" hidden="1" x14ac:dyDescent="0.25">
      <c r="A40" s="18">
        <f t="shared" si="0"/>
        <v>32</v>
      </c>
      <c r="B40" s="33" t="str">
        <f>IF('График аннуитет.'!B39=FALSE,"",'График аннуитет.'!B39)</f>
        <v/>
      </c>
      <c r="C40" s="34">
        <f>IF(malumot!$B$78=malumot!$C$78,'График дифференц'!C39,IF(malumot!$B$78=malumot!$D$78,'График аннуитет.'!C39))</f>
        <v>3.7252902984619141E-9</v>
      </c>
      <c r="D40" s="34" t="b">
        <f>IF(malumot!$B$78=malumot!$C$78,'График дифференц'!D39,IF(malumot!$B$78=malumot!$D$78,'График аннуитет.'!D39))</f>
        <v>0</v>
      </c>
      <c r="E40" s="34" t="b">
        <f>IF(malumot!$B$78=malumot!$C$78,'График дифференц'!E39,IF(malumot!$B$78=malumot!$D$78,'График аннуитет.'!E39))</f>
        <v>0</v>
      </c>
      <c r="F40" s="34" t="b">
        <f>IF(malumot!$B$78=malumot!$C$78,'График дифференц'!F39,IF(malumot!$B$78=malumot!$D$78,'График аннуитет.'!F39))</f>
        <v>0</v>
      </c>
    </row>
    <row r="41" spans="1:6" hidden="1" x14ac:dyDescent="0.25">
      <c r="A41" s="18">
        <f t="shared" si="0"/>
        <v>33</v>
      </c>
      <c r="B41" s="33" t="str">
        <f>IF('График аннуитет.'!B40=FALSE,"",'График аннуитет.'!B40)</f>
        <v/>
      </c>
      <c r="C41" s="34">
        <f>IF(malumot!$B$78=malumot!$C$78,'График дифференц'!C40,IF(malumot!$B$78=malumot!$D$78,'График аннуитет.'!C40))</f>
        <v>3.7252902984619141E-9</v>
      </c>
      <c r="D41" s="34" t="b">
        <f>IF(malumot!$B$78=malumot!$C$78,'График дифференц'!D40,IF(malumot!$B$78=malumot!$D$78,'График аннуитет.'!D40))</f>
        <v>0</v>
      </c>
      <c r="E41" s="34" t="b">
        <f>IF(malumot!$B$78=malumot!$C$78,'График дифференц'!E40,IF(malumot!$B$78=malumot!$D$78,'График аннуитет.'!E40))</f>
        <v>0</v>
      </c>
      <c r="F41" s="34" t="b">
        <f>IF(malumot!$B$78=malumot!$C$78,'График дифференц'!F40,IF(malumot!$B$78=malumot!$D$78,'График аннуитет.'!F40))</f>
        <v>0</v>
      </c>
    </row>
    <row r="42" spans="1:6" hidden="1" x14ac:dyDescent="0.25">
      <c r="A42" s="18">
        <f t="shared" si="0"/>
        <v>34</v>
      </c>
      <c r="B42" s="33" t="str">
        <f>IF('График аннуитет.'!B41=FALSE,"",'График аннуитет.'!B41)</f>
        <v/>
      </c>
      <c r="C42" s="34">
        <f>IF(malumot!$B$78=malumot!$C$78,'График дифференц'!C41,IF(malumot!$B$78=malumot!$D$78,'График аннуитет.'!C41))</f>
        <v>3.7252902984619141E-9</v>
      </c>
      <c r="D42" s="34" t="b">
        <f>IF(malumot!$B$78=malumot!$C$78,'График дифференц'!D41,IF(malumot!$B$78=malumot!$D$78,'График аннуитет.'!D41))</f>
        <v>0</v>
      </c>
      <c r="E42" s="34" t="b">
        <f>IF(malumot!$B$78=malumot!$C$78,'График дифференц'!E41,IF(malumot!$B$78=malumot!$D$78,'График аннуитет.'!E41))</f>
        <v>0</v>
      </c>
      <c r="F42" s="34" t="b">
        <f>IF(malumot!$B$78=malumot!$C$78,'График дифференц'!F41,IF(malumot!$B$78=malumot!$D$78,'График аннуитет.'!F41))</f>
        <v>0</v>
      </c>
    </row>
    <row r="43" spans="1:6" hidden="1" x14ac:dyDescent="0.25">
      <c r="A43" s="18">
        <f t="shared" si="0"/>
        <v>35</v>
      </c>
      <c r="B43" s="33" t="str">
        <f>IF('График аннуитет.'!B42=FALSE,"",'График аннуитет.'!B42)</f>
        <v/>
      </c>
      <c r="C43" s="34">
        <f>IF(malumot!$B$78=malumot!$C$78,'График дифференц'!C42,IF(malumot!$B$78=malumot!$D$78,'График аннуитет.'!C42))</f>
        <v>3.7252902984619141E-9</v>
      </c>
      <c r="D43" s="34" t="b">
        <f>IF(malumot!$B$78=malumot!$C$78,'График дифференц'!D42,IF(malumot!$B$78=malumot!$D$78,'График аннуитет.'!D42))</f>
        <v>0</v>
      </c>
      <c r="E43" s="34" t="b">
        <f>IF(malumot!$B$78=malumot!$C$78,'График дифференц'!E42,IF(malumot!$B$78=malumot!$D$78,'График аннуитет.'!E42))</f>
        <v>0</v>
      </c>
      <c r="F43" s="34" t="b">
        <f>IF(malumot!$B$78=malumot!$C$78,'График дифференц'!F42,IF(malumot!$B$78=malumot!$D$78,'График аннуитет.'!F42))</f>
        <v>0</v>
      </c>
    </row>
    <row r="44" spans="1:6" hidden="1" x14ac:dyDescent="0.25">
      <c r="A44" s="18">
        <f>1+A43</f>
        <v>36</v>
      </c>
      <c r="B44" s="33" t="str">
        <f>IF('График аннуитет.'!B43=FALSE,"",'График аннуитет.'!B43)</f>
        <v/>
      </c>
      <c r="C44" s="34">
        <f>IF(malumot!$B$78=malumot!$C$78,'График дифференц'!C43,IF(malumot!$B$78=malumot!$D$78,'График аннуитет.'!C43))</f>
        <v>3.7252902984619141E-9</v>
      </c>
      <c r="D44" s="34" t="b">
        <f>IF(malumot!$B$78=malumot!$C$78,'График дифференц'!D43,IF(malumot!$B$78=malumot!$D$78,'График аннуитет.'!D43))</f>
        <v>0</v>
      </c>
      <c r="E44" s="34" t="b">
        <f>IF(malumot!$B$78=malumot!$C$78,'График дифференц'!E43,IF(malumot!$B$78=malumot!$D$78,'График аннуитет.'!E43))</f>
        <v>0</v>
      </c>
      <c r="F44" s="34" t="b">
        <f>IF(malumot!$B$78=malumot!$C$78,'График дифференц'!F43,IF(malumot!$B$78=malumot!$D$78,'График аннуитет.'!F43))</f>
        <v>0</v>
      </c>
    </row>
    <row r="45" spans="1:6" ht="15" customHeight="1" x14ac:dyDescent="0.25">
      <c r="A45" s="46"/>
      <c r="B45" s="47" t="s">
        <v>209</v>
      </c>
      <c r="C45" s="48"/>
      <c r="D45" s="48">
        <f>SUM(D9:D44)</f>
        <v>65000000</v>
      </c>
      <c r="E45" s="48">
        <f t="shared" ref="E45:F45" si="1">SUM(E9:E44)</f>
        <v>39191438.270000003</v>
      </c>
      <c r="F45" s="48">
        <f t="shared" si="1"/>
        <v>104191438.27000004</v>
      </c>
    </row>
    <row r="46" spans="1:6" ht="14.25" customHeight="1" x14ac:dyDescent="0.25">
      <c r="B46" s="35"/>
      <c r="C46" s="36"/>
      <c r="D46" s="36"/>
      <c r="E46" s="36"/>
      <c r="F46" s="36"/>
    </row>
    <row r="47" spans="1:6" ht="47.25" customHeight="1" x14ac:dyDescent="0.25">
      <c r="A47" s="244" t="str">
        <f>"*"&amp;malumot!C64&amp;" bo‘yicha to‘lovlar to‘lov jadvalida ko‘rsatilmagan sanalarda to‘langan taqdirda, to‘lov summasi mikroqarz shartnomasining 2.2.-bandiga muvofiq "&amp;malumot!B65&amp;" qoldig‘iga hisoblangan foizlar summasiga o‘zgartiriladi."</f>
        <v>*Mikroqarz bo‘yicha to‘lovlar to‘lov jadvalida ko‘rsatilmagan sanalarda to‘langan taqdirda, to‘lov summasi mikroqarz shartnomasining 2.2.-bandiga muvofiq mikroqarz qoldig‘iga hisoblangan foizlar summasiga o‘zgartiriladi.</v>
      </c>
      <c r="B47" s="244"/>
      <c r="C47" s="244"/>
      <c r="D47" s="244"/>
      <c r="E47" s="244"/>
      <c r="F47" s="244"/>
    </row>
    <row r="48" spans="1:6" ht="7.5" customHeight="1" x14ac:dyDescent="0.25"/>
    <row r="49" spans="1:6" ht="15" customHeight="1" x14ac:dyDescent="0.25">
      <c r="A49" s="272" t="s">
        <v>271</v>
      </c>
      <c r="B49" s="272"/>
      <c r="C49" s="272"/>
      <c r="D49" s="272" t="s">
        <v>276</v>
      </c>
      <c r="E49" s="272"/>
      <c r="F49" s="272"/>
    </row>
    <row r="50" spans="1:6" ht="11.25" customHeight="1" x14ac:dyDescent="0.25">
      <c r="A50" s="273"/>
      <c r="B50" s="273"/>
      <c r="C50" s="273"/>
      <c r="D50" s="273"/>
      <c r="E50" s="273"/>
      <c r="F50" s="273"/>
    </row>
    <row r="51" spans="1:6" ht="30" customHeight="1" x14ac:dyDescent="0.25">
      <c r="A51" s="368" t="str">
        <f>shartnoma!A117</f>
        <v>«CLEVER MIKROMOLIYA TASHKILOTI» MChJ</v>
      </c>
      <c r="B51" s="368"/>
      <c r="C51" s="369"/>
      <c r="D51" s="246" t="str">
        <f>shartnoma!B117</f>
        <v>ATAXANOV AKMAL AXMETDJANOVICH</v>
      </c>
      <c r="E51" s="246"/>
      <c r="F51" s="246"/>
    </row>
    <row r="52" spans="1:6" ht="47.25" customHeight="1" x14ac:dyDescent="0.25">
      <c r="A52" s="370" t="str">
        <f>shartnoma!A119</f>
        <v>Manzil: Toshkent shahri, Olmazor tumani, Sagbon ko'chasi, 30 boshi berk, 6-uy</v>
      </c>
      <c r="B52" s="370"/>
      <c r="C52" s="371"/>
      <c r="D52" s="245" t="str">
        <f>shartnoma!B119</f>
        <v>Manzil: QORAKO'L TUMANI DARG'ALI QFY</v>
      </c>
      <c r="E52" s="245"/>
      <c r="F52" s="245"/>
    </row>
    <row r="53" spans="1:6" ht="15" customHeight="1" x14ac:dyDescent="0.25">
      <c r="A53" s="370" t="str">
        <f>shartnoma!A120</f>
        <v>h/r: №20216000705068380001</v>
      </c>
      <c r="B53" s="370"/>
      <c r="C53" s="371"/>
      <c r="D53" s="245" t="str">
        <f>shartnoma!B121</f>
        <v>Pasport: AD7554127, BUXORO VILOYATI BUXORO SHAHAR IIB tomonidan 20.06.2024 yilda berilgan</v>
      </c>
      <c r="E53" s="245"/>
      <c r="F53" s="245"/>
    </row>
    <row r="54" spans="1:6" ht="32.25" customHeight="1" x14ac:dyDescent="0.25">
      <c r="A54" s="370" t="str">
        <f>shartnoma!A121</f>
        <v>MFO: №01042 в ATB “Kapitalbank” Sergeli filiali</v>
      </c>
      <c r="B54" s="370"/>
      <c r="C54" s="371"/>
      <c r="D54" s="245"/>
      <c r="E54" s="245"/>
      <c r="F54" s="245"/>
    </row>
    <row r="55" spans="1:6" ht="15" customHeight="1" x14ac:dyDescent="0.25">
      <c r="A55" s="370" t="str">
        <f>shartnoma!A122</f>
        <v>STIR: 306365847</v>
      </c>
      <c r="B55" s="370"/>
      <c r="C55" s="371"/>
      <c r="D55" s="245" t="str">
        <f>shartnoma!B122</f>
        <v>Tel: 94 545-76-56 O'ZI</v>
      </c>
      <c r="E55" s="245"/>
      <c r="F55" s="245"/>
    </row>
    <row r="56" spans="1:6" ht="15" customHeight="1" x14ac:dyDescent="0.25">
      <c r="A56" s="370" t="str">
        <f>shartnoma!A123</f>
        <v>Tel: (78) 113 31 33</v>
      </c>
      <c r="B56" s="370"/>
      <c r="C56" s="371"/>
      <c r="D56" s="245" t="str">
        <f>shartnoma!B123</f>
        <v>93 547-13-19  AYOLI</v>
      </c>
      <c r="E56" s="245"/>
      <c r="F56" s="245"/>
    </row>
    <row r="57" spans="1:6" ht="15" customHeight="1" x14ac:dyDescent="0.25">
      <c r="A57" s="370" t="str">
        <f>shartnoma!A124</f>
        <v>(78) 113 31 34</v>
      </c>
      <c r="B57" s="370"/>
      <c r="C57" s="371"/>
      <c r="D57" s="245" t="str">
        <f>shartnoma!B124</f>
        <v>93 753-02-44 O'RTOG'I</v>
      </c>
      <c r="E57" s="245"/>
      <c r="F57" s="245"/>
    </row>
    <row r="58" spans="1:6" ht="23.25" customHeight="1" x14ac:dyDescent="0.25">
      <c r="A58" s="372"/>
      <c r="B58" s="372"/>
      <c r="C58" s="373"/>
      <c r="D58" s="271" t="str">
        <f>IF(shartnoma!B125=0,"",shartnoma!B125)</f>
        <v/>
      </c>
      <c r="E58" s="271"/>
      <c r="F58" s="271"/>
    </row>
    <row r="59" spans="1:6" ht="22.5" customHeight="1" x14ac:dyDescent="0.25">
      <c r="A59" s="374" t="str">
        <f>malumot!A171</f>
        <v>Qorako'l filiali boshlig'i</v>
      </c>
      <c r="B59" s="374"/>
      <c r="C59" s="375"/>
      <c r="D59" s="246" t="str">
        <f>shartnoma!B126</f>
        <v>A. ATAXANOV     __________________</v>
      </c>
      <c r="E59" s="246"/>
      <c r="F59" s="246"/>
    </row>
    <row r="60" spans="1:6" ht="15" customHeight="1" x14ac:dyDescent="0.25">
      <c r="A60" s="376" t="str">
        <f>malumot!B160</f>
        <v>D. Egamberdiyeva</v>
      </c>
      <c r="B60" s="376"/>
      <c r="C60" s="377"/>
      <c r="D60" s="246"/>
      <c r="E60" s="246"/>
      <c r="F60" s="246"/>
    </row>
    <row r="61" spans="1:6" ht="24" customHeight="1" x14ac:dyDescent="0.25">
      <c r="A61" s="271"/>
      <c r="B61" s="271"/>
      <c r="C61" s="271"/>
      <c r="D61" s="271"/>
      <c r="E61" s="271"/>
      <c r="F61" s="271"/>
    </row>
    <row r="62" spans="1:6" ht="30" customHeight="1" x14ac:dyDescent="0.25">
      <c r="A62" s="275"/>
      <c r="B62" s="275"/>
      <c r="C62" s="275"/>
      <c r="D62" s="276"/>
      <c r="E62" s="276"/>
      <c r="F62" s="276"/>
    </row>
    <row r="63" spans="1:6" x14ac:dyDescent="0.25">
      <c r="A63" s="277"/>
      <c r="B63" s="277"/>
      <c r="C63" s="277"/>
      <c r="D63" s="277"/>
      <c r="E63" s="277"/>
      <c r="F63" s="277"/>
    </row>
    <row r="64" spans="1:6" x14ac:dyDescent="0.25">
      <c r="A64" s="274"/>
      <c r="B64" s="274"/>
      <c r="C64" s="274"/>
      <c r="D64" s="274"/>
      <c r="E64" s="274"/>
      <c r="F64" s="274"/>
    </row>
  </sheetData>
  <mergeCells count="40">
    <mergeCell ref="H12:P24"/>
    <mergeCell ref="A64:C64"/>
    <mergeCell ref="D64:F64"/>
    <mergeCell ref="A61:C61"/>
    <mergeCell ref="D61:F61"/>
    <mergeCell ref="A62:C62"/>
    <mergeCell ref="D62:F62"/>
    <mergeCell ref="A63:C63"/>
    <mergeCell ref="D63:F63"/>
    <mergeCell ref="A59:C59"/>
    <mergeCell ref="D59:F59"/>
    <mergeCell ref="A60:C60"/>
    <mergeCell ref="D60:F60"/>
    <mergeCell ref="A56:C56"/>
    <mergeCell ref="D56:F56"/>
    <mergeCell ref="A57:C57"/>
    <mergeCell ref="D57:F57"/>
    <mergeCell ref="A58:C58"/>
    <mergeCell ref="D58:F58"/>
    <mergeCell ref="A55:C55"/>
    <mergeCell ref="D55:F55"/>
    <mergeCell ref="A47:F47"/>
    <mergeCell ref="A49:C49"/>
    <mergeCell ref="D49:F49"/>
    <mergeCell ref="A50:C50"/>
    <mergeCell ref="D50:F50"/>
    <mergeCell ref="A51:C51"/>
    <mergeCell ref="D51:F51"/>
    <mergeCell ref="A52:C52"/>
    <mergeCell ref="D52:F52"/>
    <mergeCell ref="A53:C53"/>
    <mergeCell ref="D53:F54"/>
    <mergeCell ref="A54:C54"/>
    <mergeCell ref="E2:F2"/>
    <mergeCell ref="A5:F5"/>
    <mergeCell ref="A7:A8"/>
    <mergeCell ref="B7:B8"/>
    <mergeCell ref="C7:C8"/>
    <mergeCell ref="D7:F7"/>
    <mergeCell ref="E3:F3"/>
  </mergeCells>
  <conditionalFormatting sqref="B9:B44">
    <cfRule type="cellIs" dxfId="1" priority="2" operator="lessThan">
      <formula>22105</formula>
    </cfRule>
  </conditionalFormatting>
  <conditionalFormatting sqref="C9:F44">
    <cfRule type="cellIs" dxfId="0" priority="1" operator="lessThan">
      <formula>0.1</formula>
    </cfRule>
  </conditionalFormatting>
  <printOptions horizontalCentered="1"/>
  <pageMargins left="0.70866141732283472" right="0.70866141732283472" top="0.39370078740157483" bottom="0.74803149606299213" header="0.31496062992125984" footer="0.31496062992125984"/>
  <pageSetup paperSize="9" scale="8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398BF-58CB-4F88-B063-4887C1FE3EB5}">
  <sheetPr>
    <tabColor rgb="FF00B050"/>
  </sheetPr>
  <dimension ref="A1:D23"/>
  <sheetViews>
    <sheetView view="pageBreakPreview" topLeftCell="A4" zoomScale="115" zoomScaleNormal="130" zoomScaleSheetLayoutView="115" workbookViewId="0">
      <selection activeCell="K11" sqref="K11"/>
    </sheetView>
  </sheetViews>
  <sheetFormatPr defaultRowHeight="15.75" x14ac:dyDescent="0.25"/>
  <cols>
    <col min="1" max="1" width="16.42578125" style="7" customWidth="1"/>
    <col min="2" max="2" width="18.42578125" style="7" customWidth="1"/>
    <col min="3" max="3" width="17.5703125" style="7" customWidth="1"/>
    <col min="4" max="4" width="28.5703125" style="7" customWidth="1"/>
    <col min="5" max="16384" width="9.140625" style="7"/>
  </cols>
  <sheetData>
    <row r="1" spans="1:4" ht="33.75" customHeight="1" x14ac:dyDescent="0.25">
      <c r="C1" s="290" t="str">
        <f>malumot!B157&amp;" Ijrochi direktori"</f>
        <v>«CLEVER MIKROMOLIYA TASHKILOTI» MChJ Ijrochi direktori</v>
      </c>
      <c r="D1" s="290"/>
    </row>
    <row r="2" spans="1:4" x14ac:dyDescent="0.25">
      <c r="C2" s="291" t="s">
        <v>427</v>
      </c>
      <c r="D2" s="291"/>
    </row>
    <row r="3" spans="1:4" x14ac:dyDescent="0.25">
      <c r="C3" s="13"/>
      <c r="D3" s="13"/>
    </row>
    <row r="4" spans="1:4" ht="38.25" customHeight="1" x14ac:dyDescent="0.25">
      <c r="C4" s="289" t="str">
        <f>malumot!B22&amp;" manzilida istiqomat qiluvchi"</f>
        <v>QORAKO'L TUMANI DARG'ALI QFY manzilida istiqomat qiluvchi</v>
      </c>
      <c r="D4" s="289"/>
    </row>
    <row r="5" spans="1:4" ht="33.75" customHeight="1" x14ac:dyDescent="0.25">
      <c r="C5" s="289" t="str">
        <f>malumot!B5&amp;" tomonidan"</f>
        <v>ATAXANOV AKMAL AXMETDJANOVICH tomonidan</v>
      </c>
      <c r="D5" s="289"/>
    </row>
    <row r="6" spans="1:4" ht="34.5" customHeight="1" x14ac:dyDescent="0.25">
      <c r="C6" s="288" t="str">
        <f>"Pasport: "&amp;malumot!B16&amp;", "&amp;malumot!B20</f>
        <v>Pasport: AD7554127, BUXORO VILOYATI BUXORO SHAHAR IIB tomonidan 20.06.2024 yilda berilgan</v>
      </c>
      <c r="D6" s="288"/>
    </row>
    <row r="8" spans="1:4" x14ac:dyDescent="0.25">
      <c r="A8" s="233" t="s">
        <v>428</v>
      </c>
      <c r="B8" s="233"/>
      <c r="C8" s="233"/>
      <c r="D8" s="233"/>
    </row>
    <row r="9" spans="1:4" ht="66" customHeight="1" x14ac:dyDescent="0.25">
      <c r="A9" s="288" t="str">
        <f>"       Men, " &amp; malumot!B5 &amp; " sizdan " &amp; malumot!B2 &amp; " yildagi " &amp; malumot!B1 &amp; "-sonli kredit shartnomasiga asosan " &amp; malumot!B75  &amp; "(" &amp; malumot!B77 &amp; ")"  &amp; "so'm pul mablag'larini quyidagi rekvizitlar asosida o'tkazib berishingizni so'rayman: "</f>
        <v xml:space="preserve">       Men, ATAXANOV AKMAL AXMETDJANOVICH sizdan 28.02.2025 yildagi №492-QRS-sonli kredit shartnomasiga asosan 50000000(oltmish besh million so'm)so'm pul mablag'larini quyidagi rekvizitlar asosida o'tkazib berishingizni so'rayman: </v>
      </c>
      <c r="B9" s="288"/>
      <c r="C9" s="288"/>
      <c r="D9" s="288"/>
    </row>
    <row r="10" spans="1:4" x14ac:dyDescent="0.25">
      <c r="A10" s="220" t="str">
        <f>malumot!A93</f>
        <v>Bank nomi:</v>
      </c>
      <c r="B10" s="288" t="str">
        <f>malumot!B93</f>
        <v>«Asaka bank» AJ</v>
      </c>
      <c r="C10" s="288"/>
      <c r="D10" s="220"/>
    </row>
    <row r="11" spans="1:4" x14ac:dyDescent="0.25">
      <c r="A11" s="220" t="str">
        <f>malumot!A94</f>
        <v>H/r:</v>
      </c>
      <c r="B11" s="288" t="str">
        <f>malumot!B94</f>
        <v xml:space="preserve">2312 0000 7000 1200 0000 </v>
      </c>
      <c r="C11" s="288"/>
      <c r="D11" s="220"/>
    </row>
    <row r="12" spans="1:4" x14ac:dyDescent="0.25">
      <c r="A12" s="220" t="str">
        <f>malumot!A95</f>
        <v>MFO:</v>
      </c>
      <c r="B12" s="288" t="str">
        <f>malumot!B95</f>
        <v xml:space="preserve">00873 </v>
      </c>
      <c r="C12" s="288"/>
      <c r="D12" s="220"/>
    </row>
    <row r="13" spans="1:4" x14ac:dyDescent="0.25">
      <c r="A13" s="220" t="str">
        <f>malumot!A96</f>
        <v>STIR:</v>
      </c>
      <c r="B13" s="288" t="str">
        <f>malumot!B96</f>
        <v>201589828</v>
      </c>
      <c r="C13" s="288"/>
      <c r="D13" s="220"/>
    </row>
    <row r="14" spans="1:4" x14ac:dyDescent="0.25">
      <c r="A14" s="220" t="str">
        <f>malumot!A97</f>
        <v>Karta raqami:</v>
      </c>
      <c r="B14" s="288" t="str">
        <f>malumot!B97</f>
        <v>8600 1309 0209 3006</v>
      </c>
      <c r="C14" s="288"/>
      <c r="D14" s="220"/>
    </row>
    <row r="15" spans="1:4" x14ac:dyDescent="0.25">
      <c r="A15" s="220"/>
      <c r="B15" s="220"/>
      <c r="C15" s="220"/>
      <c r="D15" s="220"/>
    </row>
    <row r="16" spans="1:4" x14ac:dyDescent="0.25">
      <c r="A16" s="289" t="str">
        <f>malumot!B5</f>
        <v>ATAXANOV AKMAL AXMETDJANOVICH</v>
      </c>
      <c r="B16" s="289"/>
      <c r="C16" s="289"/>
      <c r="D16" s="222" t="s">
        <v>440</v>
      </c>
    </row>
    <row r="17" spans="1:4" x14ac:dyDescent="0.25">
      <c r="A17" s="13"/>
      <c r="B17" s="13"/>
      <c r="C17" s="13"/>
      <c r="D17" s="223" t="s">
        <v>328</v>
      </c>
    </row>
    <row r="18" spans="1:4" x14ac:dyDescent="0.25">
      <c r="A18" s="13"/>
      <c r="B18" s="13"/>
      <c r="C18" s="13"/>
      <c r="D18" s="13"/>
    </row>
    <row r="19" spans="1:4" x14ac:dyDescent="0.25">
      <c r="A19" s="13"/>
      <c r="B19" s="13"/>
      <c r="C19" s="13"/>
      <c r="D19" s="13"/>
    </row>
    <row r="20" spans="1:4" ht="48.75" customHeight="1" x14ac:dyDescent="0.25">
      <c r="A20" s="290" t="str">
        <f>malumot!B157&amp;" ijrochi direktori"</f>
        <v>«CLEVER MIKROMOLIYA TASHKILOTI» MChJ ijrochi direktori</v>
      </c>
      <c r="B20" s="290"/>
      <c r="C20" s="13"/>
      <c r="D20" s="218" t="s">
        <v>442</v>
      </c>
    </row>
    <row r="23" spans="1:4" x14ac:dyDescent="0.25">
      <c r="A23" s="7" t="s">
        <v>443</v>
      </c>
      <c r="B23" s="7" t="s">
        <v>444</v>
      </c>
    </row>
  </sheetData>
  <mergeCells count="14">
    <mergeCell ref="B14:C14"/>
    <mergeCell ref="A16:C16"/>
    <mergeCell ref="A20:B20"/>
    <mergeCell ref="C1:D1"/>
    <mergeCell ref="C2:D2"/>
    <mergeCell ref="A8:D8"/>
    <mergeCell ref="C4:D4"/>
    <mergeCell ref="C5:D5"/>
    <mergeCell ref="C6:D6"/>
    <mergeCell ref="A9:D9"/>
    <mergeCell ref="B10:C10"/>
    <mergeCell ref="B11:C11"/>
    <mergeCell ref="B12:C12"/>
    <mergeCell ref="B13:C13"/>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topLeftCell="A15" zoomScaleSheetLayoutView="100" workbookViewId="0">
      <selection activeCell="B40" sqref="B40:F40"/>
    </sheetView>
  </sheetViews>
  <sheetFormatPr defaultColWidth="9.140625" defaultRowHeight="15" x14ac:dyDescent="0.25"/>
  <cols>
    <col min="1" max="1" width="3.42578125" style="15" customWidth="1"/>
    <col min="2" max="3" width="17.85546875" style="20" customWidth="1"/>
    <col min="4" max="4" width="15" style="20" customWidth="1"/>
    <col min="5" max="5" width="17.85546875" style="20" customWidth="1"/>
    <col min="6" max="6" width="9" style="20" customWidth="1"/>
    <col min="7" max="7" width="4.7109375" style="20" customWidth="1"/>
    <col min="8" max="16384" width="9.140625" style="15"/>
  </cols>
  <sheetData>
    <row r="1" spans="2:7" ht="15.75" thickBot="1" x14ac:dyDescent="0.3"/>
    <row r="2" spans="2:7" ht="62.25" customHeight="1" x14ac:dyDescent="0.35">
      <c r="B2" s="297" t="str">
        <f>malumot!B158</f>
        <v>«CLEVER MIKROMOLIYA TASHKILOTI» MChJ</v>
      </c>
      <c r="C2" s="298"/>
      <c r="D2" s="298"/>
      <c r="E2" s="298"/>
      <c r="F2" s="299"/>
      <c r="G2" s="41"/>
    </row>
    <row r="3" spans="2:7" x14ac:dyDescent="0.25">
      <c r="B3" s="292"/>
      <c r="C3" s="277"/>
      <c r="D3" s="277"/>
      <c r="E3" s="277"/>
      <c r="F3" s="293"/>
      <c r="G3" s="42"/>
    </row>
    <row r="4" spans="2:7" ht="8.25" customHeight="1" x14ac:dyDescent="0.25">
      <c r="B4" s="57"/>
      <c r="F4" s="58"/>
      <c r="G4" s="42"/>
    </row>
    <row r="5" spans="2:7" ht="12" customHeight="1" x14ac:dyDescent="0.25">
      <c r="B5" s="44"/>
      <c r="C5" s="42"/>
      <c r="D5" s="42"/>
      <c r="E5" s="42"/>
      <c r="F5" s="45"/>
      <c r="G5" s="42"/>
    </row>
    <row r="6" spans="2:7" ht="6.75" customHeight="1" x14ac:dyDescent="0.25">
      <c r="B6" s="44"/>
      <c r="C6" s="42"/>
      <c r="D6" s="42"/>
      <c r="E6" s="42"/>
      <c r="F6" s="45"/>
      <c r="G6" s="42"/>
    </row>
    <row r="7" spans="2:7" ht="6.75" customHeight="1" x14ac:dyDescent="0.25">
      <c r="B7" s="44"/>
      <c r="C7" s="42"/>
      <c r="D7" s="42"/>
      <c r="E7" s="42"/>
      <c r="F7" s="45"/>
      <c r="G7" s="42"/>
    </row>
    <row r="8" spans="2:7" x14ac:dyDescent="0.25">
      <c r="B8" s="44"/>
      <c r="C8" s="42"/>
      <c r="D8" s="42"/>
      <c r="E8" s="42"/>
      <c r="F8" s="45"/>
      <c r="G8" s="42"/>
    </row>
    <row r="9" spans="2:7" x14ac:dyDescent="0.25">
      <c r="B9" s="44"/>
      <c r="C9" s="42"/>
      <c r="D9" s="42"/>
      <c r="E9" s="42"/>
      <c r="F9" s="45"/>
      <c r="G9" s="42"/>
    </row>
    <row r="10" spans="2:7" x14ac:dyDescent="0.25">
      <c r="B10" s="292" t="s">
        <v>27</v>
      </c>
      <c r="C10" s="277"/>
      <c r="D10" s="277"/>
      <c r="E10" s="277"/>
      <c r="F10" s="293"/>
      <c r="G10" s="42"/>
    </row>
    <row r="11" spans="2:7" x14ac:dyDescent="0.25">
      <c r="B11" s="292" t="s">
        <v>27</v>
      </c>
      <c r="C11" s="277"/>
      <c r="D11" s="277"/>
      <c r="E11" s="277"/>
      <c r="F11" s="293"/>
      <c r="G11" s="42"/>
    </row>
    <row r="12" spans="2:7" ht="135" customHeight="1" x14ac:dyDescent="0.8">
      <c r="B12" s="300" t="str">
        <f>malumot!B5</f>
        <v>ATAXANOV AKMAL AXMETDJANOVICH</v>
      </c>
      <c r="C12" s="301"/>
      <c r="D12" s="301"/>
      <c r="E12" s="301"/>
      <c r="F12" s="302"/>
      <c r="G12" s="43"/>
    </row>
    <row r="13" spans="2:7" x14ac:dyDescent="0.25">
      <c r="B13" s="292"/>
      <c r="C13" s="277"/>
      <c r="D13" s="277"/>
      <c r="E13" s="277"/>
      <c r="F13" s="293"/>
      <c r="G13" s="42"/>
    </row>
    <row r="14" spans="2:7" x14ac:dyDescent="0.25">
      <c r="B14" s="44"/>
      <c r="C14" s="42"/>
      <c r="D14" s="42"/>
      <c r="E14" s="42"/>
      <c r="F14" s="45"/>
      <c r="G14" s="42"/>
    </row>
    <row r="15" spans="2:7" x14ac:dyDescent="0.25">
      <c r="B15" s="44"/>
      <c r="C15" s="42"/>
      <c r="D15" s="42"/>
      <c r="E15" s="42"/>
      <c r="F15" s="45"/>
      <c r="G15" s="42"/>
    </row>
    <row r="16" spans="2:7" x14ac:dyDescent="0.25">
      <c r="B16" s="44"/>
      <c r="C16" s="42"/>
      <c r="D16" s="42"/>
      <c r="E16" s="42"/>
      <c r="F16" s="45"/>
      <c r="G16" s="42"/>
    </row>
    <row r="17" spans="2:7" x14ac:dyDescent="0.25">
      <c r="B17" s="44"/>
      <c r="C17" s="42"/>
      <c r="D17" s="42"/>
      <c r="E17" s="42"/>
      <c r="F17" s="45"/>
      <c r="G17" s="42"/>
    </row>
    <row r="18" spans="2:7" x14ac:dyDescent="0.25">
      <c r="B18" s="292"/>
      <c r="C18" s="277"/>
      <c r="D18" s="277"/>
      <c r="E18" s="277"/>
      <c r="F18" s="293"/>
      <c r="G18" s="42"/>
    </row>
    <row r="19" spans="2:7" ht="20.25" x14ac:dyDescent="0.3">
      <c r="B19" s="294" t="str">
        <f>""&amp;malumot!C64&amp;" shartnoma "&amp;malumot!B74&amp;""</f>
        <v>Mikroqarz shartnoma 28 fevral 2025 y.dan №492-QRS</v>
      </c>
      <c r="C19" s="295"/>
      <c r="D19" s="295"/>
      <c r="E19" s="295"/>
      <c r="F19" s="296"/>
      <c r="G19" s="42"/>
    </row>
    <row r="20" spans="2:7" x14ac:dyDescent="0.25">
      <c r="B20" s="292"/>
      <c r="C20" s="277"/>
      <c r="D20" s="277"/>
      <c r="E20" s="277"/>
      <c r="F20" s="293"/>
      <c r="G20" s="42"/>
    </row>
    <row r="21" spans="2:7" x14ac:dyDescent="0.25">
      <c r="B21" s="292"/>
      <c r="C21" s="277"/>
      <c r="D21" s="277"/>
      <c r="E21" s="277"/>
      <c r="F21" s="293"/>
      <c r="G21" s="42"/>
    </row>
    <row r="22" spans="2:7" x14ac:dyDescent="0.25">
      <c r="B22" s="292"/>
      <c r="C22" s="277"/>
      <c r="D22" s="277"/>
      <c r="E22" s="277"/>
      <c r="F22" s="293"/>
      <c r="G22" s="42"/>
    </row>
    <row r="23" spans="2:7" x14ac:dyDescent="0.25">
      <c r="B23" s="292"/>
      <c r="C23" s="277"/>
      <c r="D23" s="277"/>
      <c r="E23" s="277"/>
      <c r="F23" s="293"/>
      <c r="G23" s="42"/>
    </row>
    <row r="24" spans="2:7" x14ac:dyDescent="0.25">
      <c r="B24" s="306" t="str">
        <f>" Foiz stavkasi: "&amp;malumot!B86&amp;"%"</f>
        <v xml:space="preserve"> Foiz stavkasi: 60%</v>
      </c>
      <c r="C24" s="307"/>
      <c r="D24" s="307"/>
      <c r="E24" s="307"/>
      <c r="F24" s="308"/>
      <c r="G24" s="42"/>
    </row>
    <row r="25" spans="2:7" ht="15" customHeight="1" x14ac:dyDescent="0.25">
      <c r="B25" s="306" t="str">
        <f>" "&amp;malumot!C64&amp;" muddati: "&amp;malumot!B82&amp;" oy"</f>
        <v xml:space="preserve"> Mikroqarz muddati: 24 oy</v>
      </c>
      <c r="C25" s="307"/>
      <c r="D25" s="307"/>
      <c r="E25" s="307"/>
      <c r="F25" s="308"/>
      <c r="G25" s="42"/>
    </row>
    <row r="26" spans="2:7" x14ac:dyDescent="0.25">
      <c r="B26" s="306" t="str">
        <f>" "&amp;malumot!C64&amp;" miqdori: "&amp;FIXED(malumot!B76,2)&amp;" so'm"</f>
        <v xml:space="preserve"> Mikroqarz miqdori: 65 000 000,00 so'm</v>
      </c>
      <c r="C26" s="307"/>
      <c r="D26" s="307"/>
      <c r="E26" s="307"/>
      <c r="F26" s="308"/>
      <c r="G26" s="42"/>
    </row>
    <row r="27" spans="2:7" x14ac:dyDescent="0.25">
      <c r="B27" s="292"/>
      <c r="C27" s="277"/>
      <c r="D27" s="277"/>
      <c r="E27" s="277"/>
      <c r="F27" s="293"/>
      <c r="G27" s="42"/>
    </row>
    <row r="28" spans="2:7" hidden="1" x14ac:dyDescent="0.25">
      <c r="G28" s="42"/>
    </row>
    <row r="29" spans="2:7" x14ac:dyDescent="0.25">
      <c r="B29" s="292"/>
      <c r="C29" s="277"/>
      <c r="D29" s="277"/>
      <c r="E29" s="277"/>
      <c r="F29" s="293"/>
      <c r="G29" s="42"/>
    </row>
    <row r="30" spans="2:7" ht="12.75" customHeight="1" x14ac:dyDescent="0.25">
      <c r="B30" s="44"/>
      <c r="C30" s="42"/>
      <c r="D30" s="42"/>
      <c r="E30" s="42"/>
      <c r="F30" s="45"/>
      <c r="G30" s="42"/>
    </row>
    <row r="31" spans="2:7" x14ac:dyDescent="0.25">
      <c r="B31" s="44"/>
      <c r="C31" s="42"/>
      <c r="D31" s="42"/>
      <c r="E31" s="42"/>
      <c r="F31" s="45"/>
      <c r="G31" s="42"/>
    </row>
    <row r="32" spans="2:7" ht="2.25" customHeight="1" x14ac:dyDescent="0.25">
      <c r="B32" s="44"/>
      <c r="C32" s="42"/>
      <c r="D32" s="42"/>
      <c r="E32" s="42"/>
      <c r="F32" s="45"/>
      <c r="G32" s="42"/>
    </row>
    <row r="33" spans="2:7" x14ac:dyDescent="0.25">
      <c r="B33" s="44"/>
      <c r="C33" s="42"/>
      <c r="D33" s="42"/>
      <c r="E33" s="42"/>
      <c r="F33" s="45"/>
      <c r="G33" s="42"/>
    </row>
    <row r="34" spans="2:7" x14ac:dyDescent="0.25">
      <c r="B34" s="44"/>
      <c r="C34" s="42"/>
      <c r="D34" s="42"/>
      <c r="E34" s="42"/>
      <c r="F34" s="45"/>
      <c r="G34" s="42"/>
    </row>
    <row r="35" spans="2:7" x14ac:dyDescent="0.25">
      <c r="B35" s="44"/>
      <c r="C35" s="42"/>
      <c r="D35" s="42"/>
      <c r="E35" s="42"/>
      <c r="F35" s="45"/>
      <c r="G35" s="42"/>
    </row>
    <row r="36" spans="2:7" x14ac:dyDescent="0.25">
      <c r="B36" s="44"/>
      <c r="C36" s="42"/>
      <c r="D36" s="42"/>
      <c r="E36" s="42"/>
      <c r="F36" s="45"/>
      <c r="G36" s="42"/>
    </row>
    <row r="37" spans="2:7" x14ac:dyDescent="0.25">
      <c r="B37" s="44"/>
      <c r="C37" s="42"/>
      <c r="D37" s="42"/>
      <c r="E37" s="42"/>
      <c r="F37" s="45"/>
      <c r="G37" s="42"/>
    </row>
    <row r="38" spans="2:7" x14ac:dyDescent="0.25">
      <c r="B38" s="44"/>
      <c r="C38" s="42"/>
      <c r="D38" s="42"/>
      <c r="E38" s="42"/>
      <c r="F38" s="45"/>
      <c r="G38" s="42"/>
    </row>
    <row r="39" spans="2:7" x14ac:dyDescent="0.25">
      <c r="B39" s="44"/>
      <c r="C39" s="42"/>
      <c r="D39" s="42"/>
      <c r="E39" s="42"/>
      <c r="F39" s="45"/>
      <c r="G39" s="42"/>
    </row>
    <row r="40" spans="2:7" ht="15.75" thickBot="1" x14ac:dyDescent="0.3">
      <c r="B40" s="303" t="str">
        <f>"Toshkent sh., "&amp;malumot!B70&amp;""</f>
        <v>Toshkent sh., 28 fevral 2025 y.</v>
      </c>
      <c r="C40" s="304"/>
      <c r="D40" s="304"/>
      <c r="E40" s="304"/>
      <c r="F40" s="305"/>
      <c r="G40" s="42"/>
    </row>
    <row r="41" spans="2:7" x14ac:dyDescent="0.25">
      <c r="B41" s="277"/>
      <c r="C41" s="277"/>
      <c r="D41" s="277"/>
      <c r="E41" s="277"/>
      <c r="F41" s="277"/>
      <c r="G41" s="42"/>
    </row>
    <row r="42" spans="2:7" x14ac:dyDescent="0.25">
      <c r="B42" s="277"/>
      <c r="C42" s="277"/>
      <c r="D42" s="277"/>
      <c r="E42" s="277"/>
      <c r="F42" s="277"/>
      <c r="G42" s="42"/>
    </row>
  </sheetData>
  <mergeCells count="20">
    <mergeCell ref="B40:F40"/>
    <mergeCell ref="B41:F41"/>
    <mergeCell ref="B42:F42"/>
    <mergeCell ref="B21:F21"/>
    <mergeCell ref="B22:F22"/>
    <mergeCell ref="B23:F23"/>
    <mergeCell ref="B27:F27"/>
    <mergeCell ref="B29:F29"/>
    <mergeCell ref="B24:F24"/>
    <mergeCell ref="B25:F25"/>
    <mergeCell ref="B26:F26"/>
    <mergeCell ref="B18:F18"/>
    <mergeCell ref="B19:F19"/>
    <mergeCell ref="B20:F20"/>
    <mergeCell ref="B2:F2"/>
    <mergeCell ref="B3:F3"/>
    <mergeCell ref="B10:F10"/>
    <mergeCell ref="B11:F11"/>
    <mergeCell ref="B12:F12"/>
    <mergeCell ref="B13:F13"/>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tabSelected="1" view="pageBreakPreview" topLeftCell="A15" zoomScaleSheetLayoutView="100" workbookViewId="0">
      <selection activeCell="F27" sqref="F27"/>
    </sheetView>
  </sheetViews>
  <sheetFormatPr defaultColWidth="9.140625" defaultRowHeight="12.75" x14ac:dyDescent="0.2"/>
  <cols>
    <col min="1" max="6" width="14.28515625" style="24" customWidth="1"/>
    <col min="7" max="16384" width="9.140625" style="24"/>
  </cols>
  <sheetData>
    <row r="1" spans="1:6" x14ac:dyDescent="0.2">
      <c r="A1" s="313" t="s">
        <v>217</v>
      </c>
      <c r="B1" s="313"/>
      <c r="C1" s="313"/>
      <c r="D1" s="313"/>
      <c r="E1" s="313"/>
      <c r="F1" s="313"/>
    </row>
    <row r="2" spans="1:6" ht="35.25" customHeight="1" x14ac:dyDescent="0.2">
      <c r="A2" s="314" t="s">
        <v>323</v>
      </c>
      <c r="B2" s="314"/>
      <c r="C2" s="314"/>
      <c r="D2" s="314"/>
      <c r="E2" s="314"/>
      <c r="F2" s="314"/>
    </row>
    <row r="3" spans="1:6" x14ac:dyDescent="0.2">
      <c r="A3" s="313" t="s">
        <v>218</v>
      </c>
      <c r="B3" s="313"/>
      <c r="C3" s="313"/>
      <c r="D3" s="313"/>
      <c r="E3" s="313"/>
      <c r="F3" s="313"/>
    </row>
    <row r="4" spans="1:6" x14ac:dyDescent="0.2">
      <c r="A4" s="309" t="str">
        <f>xulosa!A4:E4</f>
        <v>Mijozning to'liq ismi sharifi: ATAXANOV AKMAL AXMETDJANOVICH</v>
      </c>
      <c r="B4" s="309"/>
      <c r="C4" s="309"/>
      <c r="D4" s="309"/>
      <c r="E4" s="309"/>
      <c r="F4" s="309"/>
    </row>
    <row r="5" spans="1:6" x14ac:dyDescent="0.2">
      <c r="A5" s="309" t="str">
        <f>xulosa!A5:E5</f>
        <v>Tug'ilgan sanasi: 11.06.1989 y</v>
      </c>
      <c r="B5" s="309"/>
      <c r="C5" s="309"/>
      <c r="D5" s="309"/>
      <c r="E5" s="309"/>
      <c r="F5" s="309"/>
    </row>
    <row r="6" spans="1:6" ht="32.25" customHeight="1" x14ac:dyDescent="0.2">
      <c r="A6" s="309" t="str">
        <f>xulosa!A6:E6</f>
        <v>Pasport seriyasi AD7554127 BUXORO VILOYATI BUXORO SHAHAR IIB tomonidan 20.06.2024 yilda berilgan, amal qilish muddati - 19.06.2034 y.</v>
      </c>
      <c r="B6" s="309"/>
      <c r="C6" s="309"/>
      <c r="D6" s="309"/>
      <c r="E6" s="309"/>
      <c r="F6" s="309"/>
    </row>
    <row r="7" spans="1:6" x14ac:dyDescent="0.2">
      <c r="A7" s="309" t="str">
        <f>"Fuqaroligi: "&amp;malumot!B32&amp;""</f>
        <v>Fuqaroligi: O’zbekiston Respublikasi</v>
      </c>
      <c r="B7" s="309"/>
      <c r="C7" s="309"/>
      <c r="D7" s="309"/>
      <c r="E7" s="309"/>
      <c r="F7" s="309"/>
    </row>
    <row r="8" spans="1:6" ht="26.25" customHeight="1" x14ac:dyDescent="0.2">
      <c r="A8" s="309" t="str">
        <f>xulosa!A7:E7</f>
        <v>Ro‘yxatdan o‘tgan manzili: QORAKO'L TUMANI DARG'ALI QFY, mo'ljal: DARG'ALI MFY 10 MAKTAB</v>
      </c>
      <c r="B8" s="309"/>
      <c r="C8" s="309"/>
      <c r="D8" s="309"/>
      <c r="E8" s="309"/>
      <c r="F8" s="309"/>
    </row>
    <row r="9" spans="1:6" x14ac:dyDescent="0.2">
      <c r="A9" s="309" t="str">
        <f>IF(malumot!B23="mos keladi"," ",mijoz_anketasi!A10:F10)</f>
        <v xml:space="preserve"> </v>
      </c>
      <c r="B9" s="309"/>
      <c r="C9" s="309"/>
      <c r="D9" s="309"/>
      <c r="E9" s="309"/>
      <c r="F9" s="309"/>
    </row>
    <row r="10" spans="1:6" ht="31.5" hidden="1" customHeight="1" x14ac:dyDescent="0.2">
      <c r="A10" s="309" t="str">
        <f>"Haqiqatdan yashash joy manzili: "&amp;malumot!B28&amp;""</f>
        <v>Haqiqatdan yashash joy manzili: QORAKO'L TUMANI DARG'ALI QFY</v>
      </c>
      <c r="B10" s="309"/>
      <c r="C10" s="309"/>
      <c r="D10" s="309"/>
      <c r="E10" s="309"/>
      <c r="F10" s="309"/>
    </row>
    <row r="11" spans="1:6" ht="16.5" hidden="1" customHeight="1" x14ac:dyDescent="0.2">
      <c r="A11" s="309" t="str">
        <f>xulosa!A8:E8</f>
        <v>Ish joyi:  lavozimi Yakka tartibdagi tadbirkorda Yakka tartibdagi tadbirkor</v>
      </c>
      <c r="B11" s="309"/>
      <c r="C11" s="309"/>
      <c r="D11" s="309"/>
      <c r="E11" s="309"/>
      <c r="F11" s="309"/>
    </row>
    <row r="12" spans="1:6" x14ac:dyDescent="0.2">
      <c r="A12" s="313" t="s">
        <v>219</v>
      </c>
      <c r="B12" s="313"/>
      <c r="C12" s="313"/>
      <c r="D12" s="313"/>
      <c r="E12" s="313"/>
      <c r="F12" s="313"/>
    </row>
    <row r="13" spans="1:6" x14ac:dyDescent="0.2">
      <c r="A13" s="309" t="str">
        <f>"Uy telefoni raqami: "&amp;malumot!B40&amp;""</f>
        <v>Uy telefoni raqami: 94 545-76-56 O'ZI</v>
      </c>
      <c r="B13" s="309"/>
      <c r="C13" s="309"/>
      <c r="D13" s="309"/>
      <c r="E13" s="309"/>
      <c r="F13" s="309"/>
    </row>
    <row r="14" spans="1:6" x14ac:dyDescent="0.2">
      <c r="A14" s="309" t="str">
        <f>"Uyali telefon raqami: "&amp;malumot!B41&amp;""</f>
        <v>Uyali telefon raqami: 93 547-13-19  AYOLI</v>
      </c>
      <c r="B14" s="309"/>
      <c r="C14" s="309"/>
      <c r="D14" s="309"/>
      <c r="E14" s="309"/>
      <c r="F14" s="309"/>
    </row>
    <row r="15" spans="1:6" x14ac:dyDescent="0.2">
      <c r="A15" s="309" t="str">
        <f>"Uyali telefon raqami: "&amp;malumot!B42&amp;""</f>
        <v>Uyali telefon raqami: 93 753-02-44 O'RTOG'I</v>
      </c>
      <c r="B15" s="309"/>
      <c r="C15" s="309"/>
      <c r="D15" s="309"/>
      <c r="E15" s="309"/>
      <c r="F15" s="309"/>
    </row>
    <row r="16" spans="1:6" hidden="1" x14ac:dyDescent="0.2">
      <c r="A16" s="309" t="str">
        <f>"Uyali telefon raqami: "&amp;malumot!B42&amp;""</f>
        <v>Uyali telefon raqami: 93 753-02-44 O'RTOG'I</v>
      </c>
      <c r="B16" s="309"/>
      <c r="C16" s="309"/>
      <c r="D16" s="309"/>
      <c r="E16" s="309"/>
      <c r="F16" s="309"/>
    </row>
    <row r="17" spans="1:6" x14ac:dyDescent="0.2">
      <c r="A17" s="309" t="str">
        <f>"Ish telefoni raqami: "&amp;malumot!B43&amp;""</f>
        <v xml:space="preserve">Ish telefoni raqami: </v>
      </c>
      <c r="B17" s="309"/>
      <c r="C17" s="309"/>
      <c r="D17" s="309"/>
      <c r="E17" s="309"/>
      <c r="F17" s="309"/>
    </row>
    <row r="18" spans="1:6" x14ac:dyDescent="0.2">
      <c r="A18" s="313" t="s">
        <v>220</v>
      </c>
      <c r="B18" s="313"/>
      <c r="C18" s="313"/>
      <c r="D18" s="313"/>
      <c r="E18" s="313"/>
      <c r="F18" s="313"/>
    </row>
    <row r="19" spans="1:6" x14ac:dyDescent="0.2">
      <c r="A19" s="309" t="str">
        <f>"Muassasa nomlanishi:"&amp;malumot!B58&amp;""</f>
        <v>Muassasa nomlanishi:Yakka tartibdagi tadbirkor</v>
      </c>
      <c r="B19" s="309"/>
      <c r="C19" s="309"/>
      <c r="D19" s="309"/>
      <c r="E19" s="309"/>
      <c r="F19" s="309"/>
    </row>
    <row r="20" spans="1:6" x14ac:dyDescent="0.2">
      <c r="A20" s="309" t="str">
        <f>"Ro‘yxatdan o‘tish manzili:"&amp;malumot!B50&amp;""</f>
        <v>Ro‘yxatdan o‘tish manzili:</v>
      </c>
      <c r="B20" s="309"/>
      <c r="C20" s="309"/>
      <c r="D20" s="309"/>
      <c r="E20" s="309"/>
      <c r="F20" s="309"/>
    </row>
    <row r="21" spans="1:6" x14ac:dyDescent="0.2">
      <c r="A21" s="309" t="str">
        <f>"Lavozimi: "&amp;malumot!B59&amp;""</f>
        <v>Lavozimi: Yakka tartibdagi tadbirkor</v>
      </c>
      <c r="B21" s="309"/>
      <c r="C21" s="309"/>
      <c r="D21" s="309"/>
      <c r="E21" s="309"/>
      <c r="F21" s="309"/>
    </row>
    <row r="22" spans="1:6" x14ac:dyDescent="0.2">
      <c r="A22" s="313" t="s">
        <v>221</v>
      </c>
      <c r="B22" s="310"/>
      <c r="C22" s="310"/>
      <c r="D22" s="310"/>
      <c r="E22" s="310"/>
      <c r="F22" s="310"/>
    </row>
    <row r="23" spans="1:6" s="26" customFormat="1" ht="25.5" x14ac:dyDescent="0.25">
      <c r="A23" s="25" t="s">
        <v>222</v>
      </c>
      <c r="B23" s="25" t="s">
        <v>223</v>
      </c>
      <c r="C23" s="25" t="s">
        <v>224</v>
      </c>
      <c r="D23" s="25" t="s">
        <v>225</v>
      </c>
      <c r="E23" s="25" t="s">
        <v>226</v>
      </c>
      <c r="F23" s="25" t="s">
        <v>227</v>
      </c>
    </row>
    <row r="24" spans="1:6" ht="51" x14ac:dyDescent="0.2">
      <c r="A24" s="27" t="s">
        <v>228</v>
      </c>
      <c r="B24" s="28">
        <f>malumot!B60</f>
        <v>21800000</v>
      </c>
      <c r="C24" s="28">
        <v>0</v>
      </c>
      <c r="D24" s="28">
        <v>0</v>
      </c>
      <c r="E24" s="27" t="s">
        <v>231</v>
      </c>
      <c r="F24" s="28">
        <v>700000</v>
      </c>
    </row>
    <row r="25" spans="1:6" ht="25.5" x14ac:dyDescent="0.2">
      <c r="A25" s="27" t="s">
        <v>229</v>
      </c>
      <c r="B25" s="28">
        <v>0</v>
      </c>
      <c r="C25" s="28">
        <v>0</v>
      </c>
      <c r="D25" s="28">
        <v>0</v>
      </c>
      <c r="E25" s="27" t="s">
        <v>232</v>
      </c>
      <c r="F25" s="28">
        <v>500000</v>
      </c>
    </row>
    <row r="26" spans="1:6" ht="28.5" customHeight="1" x14ac:dyDescent="0.2">
      <c r="A26" s="27" t="s">
        <v>230</v>
      </c>
      <c r="B26" s="28">
        <f>malumot!B61</f>
        <v>0</v>
      </c>
      <c r="C26" s="28">
        <v>0</v>
      </c>
      <c r="D26" s="28">
        <v>0</v>
      </c>
      <c r="E26" s="27" t="s">
        <v>233</v>
      </c>
      <c r="F26" s="28">
        <v>500000</v>
      </c>
    </row>
    <row r="27" spans="1:6" s="31" customFormat="1" x14ac:dyDescent="0.2">
      <c r="A27" s="29" t="s">
        <v>209</v>
      </c>
      <c r="B27" s="30">
        <f>B24+B25+B26</f>
        <v>21800000</v>
      </c>
      <c r="C27" s="30">
        <f t="shared" ref="C27:F27" si="0">SUM(C24:C26)</f>
        <v>0</v>
      </c>
      <c r="D27" s="30">
        <f t="shared" si="0"/>
        <v>0</v>
      </c>
      <c r="E27" s="29"/>
      <c r="F27" s="30">
        <f t="shared" si="0"/>
        <v>1700000</v>
      </c>
    </row>
    <row r="28" spans="1:6" ht="31.5" customHeight="1" x14ac:dyDescent="0.2">
      <c r="A28" s="309" t="str">
        <f>"Men, "&amp;malumot!B5&amp;", ushbu anketada ko‘rsatilgan barcha ma'lumotlar anketa to'ldirilgan sanada  to'g'ri va aniq ekanligini tasdiqlayman."</f>
        <v>Men, ATAXANOV AKMAL AXMETDJANOVICH, ushbu anketada ko‘rsatilgan barcha ma'lumotlar anketa to'ldirilgan sanada  to'g'ri va aniq ekanligini tasdiqlayman.</v>
      </c>
      <c r="B28" s="309"/>
      <c r="C28" s="309"/>
      <c r="D28" s="309"/>
      <c r="E28" s="309"/>
      <c r="F28" s="309"/>
    </row>
    <row r="29" spans="1:6" x14ac:dyDescent="0.2">
      <c r="A29" s="309" t="str">
        <f>"Men,  "&amp;malumot!B5&amp;", quyidagilarni tan olaman va roziman::"</f>
        <v>Men,  ATAXANOV AKMAL AXMETDJANOVICH, quyidagilarni tan olaman va roziman::</v>
      </c>
      <c r="B29" s="309"/>
      <c r="C29" s="309"/>
      <c r="D29" s="309"/>
      <c r="E29" s="309"/>
      <c r="F29" s="309"/>
    </row>
    <row r="30" spans="1:6" ht="45.75" customHeight="1" x14ac:dyDescent="0.2">
      <c r="A30" s="309" t="str">
        <f>"1.  Ushbu anketada ko‘rsatilgan har qanday ma’lumot  "&amp;malumot!B157&amp;", uning xodimlari va huquqiy vorislari tomonidan istalgan manbaa va ma’lumotlardan foydalangan holda istalgan vaqtda tekshirilishi va qayta tekshirilishi mumkin."</f>
        <v>1.  Ushbu anketada ko‘rsatilgan har qanday ma’lumot  «CLEVER MIKROMOLIYA TASHKILOTI» MChJ, uning xodimlari va huquqiy vorislari tomonidan istalgan manbaa va ma’lumotlardan foydalangan holda istalgan vaqtda tekshirilishi va qayta tekshirilishi mumkin.</v>
      </c>
      <c r="B30" s="309"/>
      <c r="C30" s="309"/>
      <c r="D30" s="309"/>
      <c r="E30" s="309"/>
      <c r="F30" s="309"/>
    </row>
    <row r="31" spans="1:6" ht="42.75" customHeight="1" x14ac:dyDescent="0.2">
      <c r="A31" s="309" t="str">
        <f>"2. Mazkur anketaning "&amp;malumot!B157&amp;" tomonidan qabul qilinishi “Clever Mikromoliya Tashkiloti” MChJ tomonidan menga "&amp;malumot!B65&amp;" berish majburiyatini yuklamaydi."</f>
        <v>2. Mazkur anketaning «CLEVER MIKROMOLIYA TASHKILOTI» MChJ tomonidan qabul qilinishi “Clever Mikromoliya Tashkiloti” MChJ tomonidan menga mikroqarz berish majburiyatini yuklamaydi.</v>
      </c>
      <c r="B31" s="309"/>
      <c r="C31" s="309"/>
      <c r="D31" s="309"/>
      <c r="E31" s="309"/>
      <c r="F31" s="309"/>
    </row>
    <row r="32" spans="1:6" ht="71.25" customHeight="1" x14ac:dyDescent="0.2">
      <c r="A32" s="309" t="s">
        <v>234</v>
      </c>
      <c r="B32" s="309"/>
      <c r="C32" s="309"/>
      <c r="D32" s="309"/>
      <c r="E32" s="309"/>
      <c r="F32" s="309"/>
    </row>
    <row r="33" spans="1:6" x14ac:dyDescent="0.2">
      <c r="A33" s="309"/>
      <c r="B33" s="309"/>
      <c r="C33" s="309"/>
      <c r="D33" s="309"/>
      <c r="E33" s="309"/>
      <c r="F33" s="309"/>
    </row>
    <row r="34" spans="1:6" ht="12.75" customHeight="1" x14ac:dyDescent="0.2">
      <c r="A34" s="310" t="s">
        <v>235</v>
      </c>
      <c r="B34" s="310"/>
      <c r="C34" s="310"/>
      <c r="D34" s="155" t="s">
        <v>158</v>
      </c>
      <c r="E34" s="310" t="s">
        <v>236</v>
      </c>
      <c r="F34" s="310"/>
    </row>
    <row r="35" spans="1:6" ht="25.5" customHeight="1" x14ac:dyDescent="0.2">
      <c r="A35" s="311"/>
      <c r="B35" s="311"/>
      <c r="C35" s="311"/>
      <c r="D35" s="312" t="str">
        <f>malumot!B2</f>
        <v>28.02.2025</v>
      </c>
      <c r="E35" s="311"/>
      <c r="F35" s="311"/>
    </row>
    <row r="36" spans="1:6" ht="25.5" customHeight="1" x14ac:dyDescent="0.2">
      <c r="A36" s="311"/>
      <c r="B36" s="311"/>
      <c r="C36" s="311"/>
      <c r="D36" s="312"/>
      <c r="E36" s="311"/>
      <c r="F36" s="311"/>
    </row>
    <row r="37" spans="1:6" x14ac:dyDescent="0.2">
      <c r="A37" s="309"/>
      <c r="B37" s="309"/>
      <c r="C37" s="309"/>
      <c r="D37" s="309"/>
      <c r="E37" s="309"/>
      <c r="F37" s="309"/>
    </row>
    <row r="38" spans="1:6" x14ac:dyDescent="0.2">
      <c r="A38" s="309"/>
      <c r="B38" s="309"/>
      <c r="C38" s="309"/>
      <c r="D38" s="309"/>
      <c r="E38" s="309"/>
      <c r="F38" s="309"/>
    </row>
    <row r="39" spans="1:6" x14ac:dyDescent="0.2">
      <c r="A39" s="309"/>
      <c r="B39" s="309"/>
      <c r="C39" s="309"/>
      <c r="D39" s="309"/>
      <c r="E39" s="309"/>
      <c r="F39" s="309"/>
    </row>
    <row r="40" spans="1:6" x14ac:dyDescent="0.2">
      <c r="A40" s="309"/>
      <c r="B40" s="309"/>
      <c r="C40" s="309"/>
      <c r="D40" s="309"/>
      <c r="E40" s="309"/>
      <c r="F40" s="309"/>
    </row>
    <row r="41" spans="1:6" x14ac:dyDescent="0.2">
      <c r="A41" s="309"/>
      <c r="B41" s="309"/>
      <c r="C41" s="309"/>
      <c r="D41" s="309"/>
      <c r="E41" s="309"/>
      <c r="F41" s="309"/>
    </row>
    <row r="42" spans="1:6" x14ac:dyDescent="0.2">
      <c r="A42" s="309"/>
      <c r="B42" s="309"/>
      <c r="C42" s="309"/>
      <c r="D42" s="309"/>
      <c r="E42" s="309"/>
      <c r="F42" s="309"/>
    </row>
    <row r="43" spans="1:6" x14ac:dyDescent="0.2">
      <c r="A43" s="309"/>
      <c r="B43" s="309"/>
      <c r="C43" s="309"/>
      <c r="D43" s="309"/>
      <c r="E43" s="309"/>
      <c r="F43" s="309"/>
    </row>
  </sheetData>
  <mergeCells count="41">
    <mergeCell ref="A15:F15"/>
    <mergeCell ref="A1:F1"/>
    <mergeCell ref="A2:F2"/>
    <mergeCell ref="A3:F3"/>
    <mergeCell ref="A4:F4"/>
    <mergeCell ref="A5:F5"/>
    <mergeCell ref="A6:F6"/>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29:F29"/>
    <mergeCell ref="A30:F30"/>
    <mergeCell ref="A31:F31"/>
    <mergeCell ref="A32:F32"/>
    <mergeCell ref="A33:F33"/>
    <mergeCell ref="A41:F41"/>
    <mergeCell ref="A42:F42"/>
    <mergeCell ref="A43:F43"/>
    <mergeCell ref="A34:C34"/>
    <mergeCell ref="E34:F34"/>
    <mergeCell ref="A35:C35"/>
    <mergeCell ref="D35:D36"/>
    <mergeCell ref="E35:F36"/>
    <mergeCell ref="A36:C36"/>
    <mergeCell ref="A37:F37"/>
    <mergeCell ref="A38:F38"/>
    <mergeCell ref="A39:F39"/>
    <mergeCell ref="A40:F40"/>
  </mergeCells>
  <pageMargins left="0.7" right="0.7" top="0.75" bottom="0.75" header="0.3" footer="0.3"/>
  <pageSetup paperSize="9" scale="9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zoomScale="85" zoomScaleNormal="100" zoomScaleSheetLayoutView="85" workbookViewId="0">
      <selection activeCell="A32" sqref="A32"/>
    </sheetView>
  </sheetViews>
  <sheetFormatPr defaultRowHeight="15" x14ac:dyDescent="0.25"/>
  <cols>
    <col min="1" max="1" width="54.42578125" style="15" customWidth="1"/>
    <col min="2" max="2" width="32.28515625" style="15" customWidth="1"/>
  </cols>
  <sheetData>
    <row r="3" spans="1:2" ht="35.25" customHeight="1" x14ac:dyDescent="0.25">
      <c r="A3" s="315" t="s">
        <v>214</v>
      </c>
      <c r="B3" s="315"/>
    </row>
    <row r="4" spans="1:2" ht="92.25" customHeight="1" x14ac:dyDescent="0.25">
      <c r="A4" s="244" t="str">
        <f>"     Men, fuqaro "&amp;malumot!B5&amp;" "&amp;malumot!B159&amp;" bilan "&amp;malumot!B69&amp;" sanasidagi "&amp;malumot!B66&amp;"-sonli shartnomaning garov ta'minoti sifatida taqdim etilayotgan mulk "&amp;malumot!B132&amp;" rusumli avtotransport vositasini qonunga xilof ravishda o‘zlashtirmaslikka, yashirmaslikka, nobud qilmaslikka yoki unga shikast yetkazmaslik majburiyatini olaman."</f>
        <v xml:space="preserve">     Men, fuqaro ATAXANOV AKMAL AXMETDJANOVICH «CLEVER MIKROMOLIYA TASHKILOTI» MChJ bilan 28 fevral 2025 y. sanasidagi №492-QRS-sonli shartnomaning garov ta'minoti sifatida taqdim etilayotgan mulk DAMAS-2 rusumli avtotransport vositasini qonunga xilof ravishda o‘zlashtirmaslikka, yashirmaslikka, nobud qilmaslikka yoki unga shikast yetkazmaslik majburiyatini olaman.</v>
      </c>
      <c r="B4" s="244"/>
    </row>
    <row r="5" spans="1:2" ht="56.25" customHeight="1" x14ac:dyDescent="0.25">
      <c r="A5" s="316" t="s">
        <v>215</v>
      </c>
      <c r="B5" s="316"/>
    </row>
    <row r="6" spans="1:2" ht="42.75" customHeight="1" x14ac:dyDescent="0.25"/>
    <row r="7" spans="1:2" x14ac:dyDescent="0.25">
      <c r="A7" s="15" t="str">
        <f>malumot!B5</f>
        <v>ATAXANOV AKMAL AXMETDJANOVICH</v>
      </c>
      <c r="B7" s="142" t="s">
        <v>216</v>
      </c>
    </row>
    <row r="8" spans="1:2" ht="26.25" customHeight="1" x14ac:dyDescent="0.25"/>
    <row r="9" spans="1:2" ht="26.25" customHeight="1" x14ac:dyDescent="0.25"/>
    <row r="10" spans="1:2" ht="26.25" customHeight="1" x14ac:dyDescent="0.25"/>
    <row r="11" spans="1:2" x14ac:dyDescent="0.25">
      <c r="A11" s="15" t="str">
        <f>"sana:   "&amp;TEXT(malumot!B2,"ДД.ММ.ГГГГ")&amp;" y."</f>
        <v>sana:   28.02.2025 y.</v>
      </c>
    </row>
  </sheetData>
  <mergeCells count="3">
    <mergeCell ref="A3:B3"/>
    <mergeCell ref="A4:B4"/>
    <mergeCell ref="A5:B5"/>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644C5-8A6B-4797-BF15-0CBB7C5C1FA6}">
  <sheetPr>
    <tabColor rgb="FF00B050"/>
  </sheetPr>
  <dimension ref="A1"/>
  <sheetViews>
    <sheetView workbookViewId="0"/>
  </sheetViews>
  <sheetFormatPr defaultRowHeight="15" x14ac:dyDescent="0.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A2" sqref="A2:E2"/>
    </sheetView>
  </sheetViews>
  <sheetFormatPr defaultColWidth="9.140625" defaultRowHeight="15.75" x14ac:dyDescent="0.25"/>
  <cols>
    <col min="1" max="2" width="17.42578125" style="127" customWidth="1"/>
    <col min="3" max="3" width="29.85546875" style="127" customWidth="1"/>
    <col min="4" max="4" width="18.140625" style="127" customWidth="1"/>
    <col min="5" max="5" width="6.5703125" style="127" customWidth="1"/>
    <col min="6" max="16384" width="9.140625" style="127"/>
  </cols>
  <sheetData>
    <row r="2" spans="1:5" x14ac:dyDescent="0.25">
      <c r="A2" s="317" t="s">
        <v>237</v>
      </c>
      <c r="B2" s="317"/>
      <c r="C2" s="317"/>
      <c r="D2" s="317"/>
      <c r="E2" s="317"/>
    </row>
    <row r="3" spans="1:5" x14ac:dyDescent="0.25">
      <c r="E3" s="126" t="str">
        <f>malumot!B68</f>
        <v>28 fevral 2025 y.</v>
      </c>
    </row>
    <row r="5" spans="1:5" s="128" customFormat="1" ht="27" customHeight="1" x14ac:dyDescent="0.25">
      <c r="A5" s="321" t="s">
        <v>238</v>
      </c>
      <c r="B5" s="322"/>
      <c r="C5" s="318" t="str">
        <f>malumot!B8</f>
        <v>ATAXANOV AKMAL AXMETDJANOVICH</v>
      </c>
      <c r="D5" s="319"/>
      <c r="E5" s="320"/>
    </row>
    <row r="7" spans="1:5" ht="15.75" customHeight="1" x14ac:dyDescent="0.25">
      <c r="A7" s="323" t="s">
        <v>352</v>
      </c>
      <c r="B7" s="324"/>
      <c r="C7" s="325"/>
      <c r="D7" s="129" t="s">
        <v>133</v>
      </c>
      <c r="E7" s="129"/>
    </row>
    <row r="8" spans="1:5" x14ac:dyDescent="0.25">
      <c r="A8" s="326"/>
      <c r="B8" s="327"/>
      <c r="C8" s="328"/>
      <c r="D8" s="129" t="s">
        <v>242</v>
      </c>
      <c r="E8" s="129"/>
    </row>
    <row r="9" spans="1:5" ht="15.75" customHeight="1" x14ac:dyDescent="0.25">
      <c r="A9" s="329" t="s">
        <v>239</v>
      </c>
      <c r="B9" s="329"/>
      <c r="C9" s="329"/>
      <c r="D9" s="129" t="s">
        <v>133</v>
      </c>
      <c r="E9" s="129"/>
    </row>
    <row r="10" spans="1:5" x14ac:dyDescent="0.25">
      <c r="A10" s="329"/>
      <c r="B10" s="329"/>
      <c r="C10" s="329"/>
      <c r="D10" s="129" t="s">
        <v>242</v>
      </c>
      <c r="E10" s="129"/>
    </row>
    <row r="11" spans="1:5" ht="15.75" customHeight="1" x14ac:dyDescent="0.25">
      <c r="A11" s="329" t="s">
        <v>240</v>
      </c>
      <c r="B11" s="329"/>
      <c r="C11" s="329"/>
      <c r="D11" s="129" t="s">
        <v>133</v>
      </c>
      <c r="E11" s="129"/>
    </row>
    <row r="12" spans="1:5" x14ac:dyDescent="0.25">
      <c r="A12" s="329"/>
      <c r="B12" s="329"/>
      <c r="C12" s="329"/>
      <c r="D12" s="129" t="s">
        <v>242</v>
      </c>
      <c r="E12" s="129"/>
    </row>
    <row r="13" spans="1:5" ht="34.5" customHeight="1" x14ac:dyDescent="0.25">
      <c r="A13" s="330" t="s">
        <v>241</v>
      </c>
      <c r="B13" s="330"/>
      <c r="C13" s="330"/>
      <c r="D13" s="330"/>
      <c r="E13" s="330"/>
    </row>
    <row r="14" spans="1:5" ht="16.5" thickBot="1" x14ac:dyDescent="0.3">
      <c r="A14" s="331"/>
      <c r="B14" s="331"/>
      <c r="C14" s="331"/>
      <c r="D14" s="331"/>
      <c r="E14" s="331"/>
    </row>
    <row r="15" spans="1:5" ht="16.5" thickBot="1" x14ac:dyDescent="0.3">
      <c r="A15" s="331"/>
      <c r="B15" s="331"/>
      <c r="C15" s="331"/>
      <c r="D15" s="331"/>
      <c r="E15" s="331"/>
    </row>
    <row r="16" spans="1:5" ht="16.5" thickBot="1" x14ac:dyDescent="0.3">
      <c r="A16" s="331"/>
      <c r="B16" s="331"/>
      <c r="C16" s="331"/>
      <c r="D16" s="331"/>
      <c r="E16" s="331"/>
    </row>
    <row r="18" spans="1:8" ht="18.75" customHeight="1" x14ac:dyDescent="0.25">
      <c r="A18" s="329" t="s">
        <v>243</v>
      </c>
      <c r="B18" s="329"/>
      <c r="C18" s="329"/>
      <c r="D18" s="129" t="s">
        <v>133</v>
      </c>
      <c r="E18" s="129"/>
    </row>
    <row r="19" spans="1:8" ht="18.75" customHeight="1" x14ac:dyDescent="0.25">
      <c r="A19" s="329"/>
      <c r="B19" s="329"/>
      <c r="C19" s="329"/>
      <c r="D19" s="129" t="s">
        <v>242</v>
      </c>
      <c r="E19" s="129"/>
    </row>
    <row r="20" spans="1:8" ht="29.25" customHeight="1" x14ac:dyDescent="0.25">
      <c r="A20" s="329" t="s">
        <v>244</v>
      </c>
      <c r="B20" s="329"/>
      <c r="C20" s="329"/>
      <c r="D20" s="129" t="s">
        <v>133</v>
      </c>
      <c r="E20" s="129"/>
    </row>
    <row r="21" spans="1:8" ht="29.25" customHeight="1" x14ac:dyDescent="0.25">
      <c r="A21" s="329"/>
      <c r="B21" s="329"/>
      <c r="C21" s="329"/>
      <c r="D21" s="129" t="s">
        <v>242</v>
      </c>
      <c r="E21" s="129"/>
    </row>
    <row r="23" spans="1:8" ht="15.75" customHeight="1" x14ac:dyDescent="0.25">
      <c r="A23" s="330" t="s">
        <v>245</v>
      </c>
      <c r="B23" s="330"/>
      <c r="C23" s="330"/>
      <c r="D23" s="330"/>
      <c r="E23" s="330"/>
    </row>
    <row r="24" spans="1:8" ht="16.5" thickBot="1" x14ac:dyDescent="0.3">
      <c r="A24" s="331"/>
      <c r="B24" s="331"/>
      <c r="C24" s="331"/>
      <c r="D24" s="331"/>
      <c r="E24" s="331"/>
    </row>
    <row r="25" spans="1:8" ht="16.5" thickBot="1" x14ac:dyDescent="0.3">
      <c r="A25" s="331"/>
      <c r="B25" s="331"/>
      <c r="C25" s="331"/>
      <c r="D25" s="331"/>
      <c r="E25" s="331"/>
    </row>
    <row r="26" spans="1:8" ht="16.5" thickBot="1" x14ac:dyDescent="0.3">
      <c r="A26" s="331"/>
      <c r="B26" s="331"/>
      <c r="C26" s="331"/>
      <c r="D26" s="331"/>
      <c r="E26" s="331"/>
    </row>
    <row r="28" spans="1:8" ht="78.75" customHeight="1" x14ac:dyDescent="0.25">
      <c r="A28" s="332" t="s">
        <v>246</v>
      </c>
      <c r="B28" s="332"/>
      <c r="C28" s="332"/>
      <c r="D28" s="332"/>
      <c r="E28" s="332"/>
    </row>
    <row r="30" spans="1:8" ht="33" customHeight="1" x14ac:dyDescent="0.25">
      <c r="A30" s="332" t="s">
        <v>247</v>
      </c>
      <c r="B30" s="332"/>
      <c r="C30" s="332"/>
      <c r="D30" s="332"/>
      <c r="E30" s="332"/>
      <c r="F30" s="130"/>
      <c r="G30" s="130"/>
      <c r="H30" s="130"/>
    </row>
    <row r="33" spans="1:5" ht="16.5" thickBot="1" x14ac:dyDescent="0.3">
      <c r="A33" s="131" t="str">
        <f>C5</f>
        <v>ATAXANOV AKMAL AXMETDJANOVICH</v>
      </c>
      <c r="D33" s="132"/>
      <c r="E33" s="133"/>
    </row>
  </sheetData>
  <mergeCells count="18">
    <mergeCell ref="A28:E28"/>
    <mergeCell ref="A30:E30"/>
    <mergeCell ref="A18:C19"/>
    <mergeCell ref="A20:C21"/>
    <mergeCell ref="A23:E23"/>
    <mergeCell ref="A24:E24"/>
    <mergeCell ref="A25:E25"/>
    <mergeCell ref="A26:E26"/>
    <mergeCell ref="A11:C12"/>
    <mergeCell ref="A13:E13"/>
    <mergeCell ref="A16:E16"/>
    <mergeCell ref="A15:E15"/>
    <mergeCell ref="A14:E14"/>
    <mergeCell ref="A2:E2"/>
    <mergeCell ref="C5:E5"/>
    <mergeCell ref="A5:B5"/>
    <mergeCell ref="A7:C8"/>
    <mergeCell ref="A9:C10"/>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8"/>
  <sheetViews>
    <sheetView view="pageBreakPreview" zoomScaleSheetLayoutView="100" workbookViewId="0">
      <selection activeCell="A29" sqref="A29:D29"/>
    </sheetView>
  </sheetViews>
  <sheetFormatPr defaultColWidth="9.140625" defaultRowHeight="15.75" x14ac:dyDescent="0.25"/>
  <cols>
    <col min="1" max="1" width="20.140625" style="7" customWidth="1"/>
    <col min="2" max="2" width="18.7109375" style="7" customWidth="1"/>
    <col min="3" max="3" width="19.7109375" style="7" customWidth="1"/>
    <col min="4" max="4" width="28.7109375" style="7" customWidth="1"/>
    <col min="5" max="16384" width="9.140625" style="7"/>
  </cols>
  <sheetData>
    <row r="1" spans="1:4" ht="66.75" customHeight="1" x14ac:dyDescent="0.25">
      <c r="C1" s="335" t="str">
        <f>""&amp;malumot!B157&amp;"ning
"&amp;malumot!A160&amp;""</f>
        <v>«CLEVER MIKROMOLIYA TASHKILOTI» MChJning
Qorako'l filiali boshlig'i</v>
      </c>
      <c r="D1" s="335"/>
    </row>
    <row r="2" spans="1:4" x14ac:dyDescent="0.25">
      <c r="C2" s="13"/>
      <c r="D2" s="14" t="str">
        <f>""&amp;malumot!B160&amp;"ga"</f>
        <v>D. Egamberdiyevaga</v>
      </c>
    </row>
    <row r="4" spans="1:4" x14ac:dyDescent="0.25">
      <c r="A4" s="233" t="str">
        <f>""&amp;malumot!C64&amp;" olish uchun Ariza"</f>
        <v>Mikroqarz olish uchun Ariza</v>
      </c>
      <c r="B4" s="233"/>
      <c r="C4" s="233"/>
      <c r="D4" s="233"/>
    </row>
    <row r="5" spans="1:4" x14ac:dyDescent="0.25">
      <c r="A5" s="233"/>
      <c r="B5" s="233"/>
      <c r="C5" s="233"/>
      <c r="D5" s="233"/>
    </row>
    <row r="6" spans="1:4" ht="63" customHeight="1" x14ac:dyDescent="0.25">
      <c r="A6" s="333" t="str">
        <f>""&amp;malumot!B28&amp;".-da yashovchi O‘zbekiston Respublikasi fuqarosi "&amp;malumot!B8&amp;"dan. "</f>
        <v xml:space="preserve">QORAKO'L TUMANI DARG'ALI QFY.-da yashovchi O‘zbekiston Respublikasi fuqarosi ATAXANOV AKMAL AXMETDJANOVICHdan. </v>
      </c>
      <c r="B6" s="333"/>
      <c r="C6" s="333"/>
      <c r="D6" s="333"/>
    </row>
    <row r="7" spans="1:4" ht="15.75" customHeight="1" x14ac:dyDescent="0.25">
      <c r="A7" s="333" t="str">
        <f>"Tug'ilgan kuni: "&amp;malumot!B15&amp;""</f>
        <v>Tug'ilgan kuni: 11.06.1989 y</v>
      </c>
      <c r="B7" s="333"/>
      <c r="C7" s="333"/>
      <c r="D7" s="333"/>
    </row>
    <row r="8" spans="1:4" ht="33" customHeight="1" x14ac:dyDescent="0.25">
      <c r="A8" s="333" t="str">
        <f>"Pasport seriyasi: "&amp;malumot!B16&amp;" "&amp;malumot!B20&amp;""</f>
        <v>Pasport seriyasi: AD7554127 BUXORO VILOYATI BUXORO SHAHAR IIB tomonidan 20.06.2024 yilda berilgan</v>
      </c>
      <c r="B8" s="333"/>
      <c r="C8" s="333"/>
      <c r="D8" s="333"/>
    </row>
    <row r="9" spans="1:4" ht="16.5" customHeight="1" x14ac:dyDescent="0.25">
      <c r="A9" s="333" t="str">
        <f>"Asosiy ish joyi : "&amp;malumot!B58&amp;""</f>
        <v>Asosiy ish joyi : Yakka tartibdagi tadbirkor</v>
      </c>
      <c r="B9" s="333"/>
      <c r="C9" s="333"/>
      <c r="D9" s="333"/>
    </row>
    <row r="10" spans="1:4" ht="15.75" customHeight="1" x14ac:dyDescent="0.25">
      <c r="A10" s="333" t="str">
        <f>"Lavozimi: "&amp;malumot!B59&amp;""</f>
        <v>Lavozimi: Yakka tartibdagi tadbirkor</v>
      </c>
      <c r="B10" s="333"/>
      <c r="C10" s="333"/>
      <c r="D10" s="333"/>
    </row>
    <row r="11" spans="1:4" x14ac:dyDescent="0.25">
      <c r="A11" s="333" t="str">
        <f>"O’rtacha oylik daromadi: "&amp;FIXED(malumot!B60,2)&amp;" so'm."</f>
        <v>O’rtacha oylik daromadi: 21 800 000,00 so'm.</v>
      </c>
      <c r="B11" s="333"/>
      <c r="C11" s="333"/>
      <c r="D11" s="333"/>
    </row>
    <row r="12" spans="1:4" x14ac:dyDescent="0.25">
      <c r="A12" s="333" t="str">
        <f>"Menga quyidagi shartlarda "&amp;malumot!B65&amp;" berishingizni so’rayman:"</f>
        <v>Menga quyidagi shartlarda mikroqarz berishingizni so’rayman:</v>
      </c>
      <c r="B12" s="333"/>
      <c r="C12" s="333"/>
      <c r="D12" s="333"/>
    </row>
    <row r="13" spans="1:4" x14ac:dyDescent="0.25">
      <c r="A13" s="333" t="str">
        <f>""&amp;malumot!C64&amp;" summasi: "&amp;FIXED(malumot!B76,2)&amp;" ("&amp;malumot!B77&amp;") so'm."</f>
        <v>Mikroqarz summasi: 65 000 000,00 (oltmish besh million so'm) so'm.</v>
      </c>
      <c r="B13" s="333"/>
      <c r="C13" s="333"/>
      <c r="D13" s="333"/>
    </row>
    <row r="14" spans="1:4" x14ac:dyDescent="0.25">
      <c r="A14" s="333" t="str">
        <f>""&amp;malumot!C64&amp;" muddati: "&amp;malumot!B82&amp;" ("&amp;malumot!B83&amp;") oy."</f>
        <v>Mikroqarz muddati: 24 (yigirma to'rt) oy.</v>
      </c>
      <c r="B14" s="333"/>
      <c r="C14" s="333"/>
      <c r="D14" s="333"/>
    </row>
    <row r="15" spans="1:4" ht="17.25" customHeight="1" x14ac:dyDescent="0.25">
      <c r="A15" s="333" t="str">
        <f>""&amp;malumot!C64&amp;"dan foydalanganlik uchun foiz stavkasi: yillik  "&amp;malumot!B86&amp;"% ("&amp;malumot!B87&amp;") foiz"</f>
        <v>Mikroqarzdan foydalanganlik uchun foiz stavkasi: yillik  60% (Oltmish) foiz</v>
      </c>
      <c r="B15" s="333"/>
      <c r="C15" s="333"/>
      <c r="D15" s="333"/>
    </row>
    <row r="16" spans="1:4" x14ac:dyDescent="0.25">
      <c r="A16" s="333" t="str">
        <f>""&amp;malumot!C64&amp;" bo'yicha asosiy qarz va foizlarni to'lash:"</f>
        <v>Mikroqarz bo'yicha asosiy qarz va foizlarni to'lash:</v>
      </c>
      <c r="B16" s="333"/>
      <c r="C16" s="333"/>
      <c r="D16" s="333"/>
    </row>
    <row r="17" spans="1:5" ht="20.25" hidden="1" customHeight="1" x14ac:dyDescent="0.25">
      <c r="A17" s="334" t="str">
        <f>" - "&amp;malumot!B65&amp;" shartnomasi bo'yicha har oy differensial to'lovlari amalga oshiriladi"</f>
        <v xml:space="preserve"> - mikroqarz shartnomasi bo'yicha har oy differensial to'lovlari amalga oshiriladi</v>
      </c>
      <c r="B17" s="334"/>
      <c r="C17" s="334"/>
      <c r="D17" s="334"/>
    </row>
    <row r="18" spans="1:5" ht="33.75" hidden="1" customHeight="1" x14ac:dyDescent="0.25">
      <c r="A18" s="334" t="str">
        <f>" - "&amp;malumot!B65&amp;" shartnomasi bo'yicha har oy annuitet to'lovlari amalga oshiriladi"</f>
        <v xml:space="preserve"> - mikroqarz shartnomasi bo'yicha har oy annuitet to'lovlari amalga oshiriladi</v>
      </c>
      <c r="B18" s="334"/>
      <c r="C18" s="334"/>
      <c r="D18" s="334"/>
    </row>
    <row r="19" spans="1:5" ht="33.75" customHeight="1" x14ac:dyDescent="0.25">
      <c r="A19" s="334" t="str">
        <f>IF(malumot!B78=malumot!C78,'Кредитная заявка'!A17:D17,IF(malumot!B78=malumot!D78,'Кредитная заявка'!A18:D18))</f>
        <v xml:space="preserve"> - mikroqarz shartnomasi bo'yicha har oy differensial to'lovlari amalga oshiriladi</v>
      </c>
      <c r="B19" s="334"/>
      <c r="C19" s="334"/>
      <c r="D19" s="334"/>
    </row>
    <row r="20" spans="1:5" ht="33.75" hidden="1" customHeight="1" x14ac:dyDescent="0.25">
      <c r="A20" s="333" t="str">
        <f>IF(DAY(malumot!E67)&lt;15,"   ","  Oxirgi yakuniy to'lov "&amp;malumot!B65&amp;" shartnomasi tuzilgan kundan boshlab oxirgi oyning oxirgi kunida amalga oshiriladi")</f>
        <v xml:space="preserve">  Oxirgi yakuniy to'lov mikroqarz shartnomasi tuzilgan kundan boshlab oxirgi oyning oxirgi kunida amalga oshiriladi</v>
      </c>
      <c r="B20" s="333"/>
      <c r="C20" s="333"/>
      <c r="D20" s="333"/>
    </row>
    <row r="21" spans="1:5" x14ac:dyDescent="0.25">
      <c r="A21" s="333" t="str">
        <f>""&amp;malumot!C64&amp;" ta’minoti::"</f>
        <v>Mikroqarz ta’minoti::</v>
      </c>
      <c r="B21" s="333"/>
      <c r="C21" s="333"/>
      <c r="D21" s="333"/>
    </row>
    <row r="22" spans="1:5" ht="81" customHeight="1" x14ac:dyDescent="0.25">
      <c r="A22" s="334" t="str">
        <f>"1. "&amp;IF(malumot!B110="Avtotransport",A26,A23)&amp;""</f>
        <v xml:space="preserve">1.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2" s="334"/>
      <c r="C22" s="334"/>
      <c r="D22" s="334"/>
    </row>
    <row r="23" spans="1:5" ht="79.5" hidden="1" customHeight="1" x14ac:dyDescent="0.25">
      <c r="A23" s="334" t="str">
        <f>IF(malumot!B99=malumot!C99,A25,IF(malumot!B99=malumot!D99,A24,0))</f>
        <v xml:space="preserve"> Egalik huquqi 0ga tegishli bo'lgan umumiy maydoni - 72,13  va yashash maydoni - 37,39 3 - xonali yakka tartibdagi uy-joy, SAMARQAND VILOYATI TAYLOQ TUMANI CHAROG'BON MFY YANGI TAYLOQ QISHLOG'I 6 TURAR JOY 12 QAVAT 58 XONADON </v>
      </c>
      <c r="B23" s="334"/>
      <c r="C23" s="334"/>
      <c r="D23" s="334"/>
    </row>
    <row r="24" spans="1:5" ht="96.75" hidden="1" customHeight="1" x14ac:dyDescent="0.25">
      <c r="A24" s="334" t="str">
        <f>" - Navbatdagi garov (ipoteka) Egalik huquqi asosida  "&amp;malumot!C124&amp;"ga "&amp;malumot!C133&amp;", umumiy maydoni - "&amp;malumot!C137&amp;" va yashash maydoni - "&amp;malumot!C140&amp;", manzili: "&amp;malumot!C130&amp;"."</f>
        <v xml:space="preserve"> - Navbatdagi garov (ipoteka) Egalik huquqi asosida  0ga 3 - xonali yakka tartibdagi uy-joy, umumiy maydoni - 72,13 va yashash maydoni - 37,39, manzili: SAMARQAND VILOYATI TAYLOQ TUMANI CHAROG'BON MFY YANGI TAYLOQ QISHLOG'I 6 TURAR JOY 12 QAVAT 58 XONADON.</v>
      </c>
      <c r="B24" s="334"/>
      <c r="C24" s="334"/>
      <c r="D24" s="334"/>
      <c r="E24" s="162"/>
    </row>
    <row r="25" spans="1:5" ht="92.25" hidden="1" customHeight="1" x14ac:dyDescent="0.25">
      <c r="A25" s="334" t="str">
        <f>" Egalik huquqi "&amp;malumot!C124&amp;"ga tegishli bo'lgan umumiy maydoni - "&amp;malumot!C137&amp;"  va yashash maydoni - "&amp;malumot!C140&amp;" "&amp;malumot!C133&amp;", "&amp;malumot!C130&amp;" "</f>
        <v xml:space="preserve"> Egalik huquqi 0ga tegishli bo'lgan umumiy maydoni - 72,13  va yashash maydoni - 37,39 3 - xonali yakka tartibdagi uy-joy, SAMARQAND VILOYATI TAYLOQ TUMANI CHAROG'BON MFY YANGI TAYLOQ QISHLOG'I 6 TURAR JOY 12 QAVAT 58 XONADON </v>
      </c>
      <c r="B25" s="334"/>
      <c r="C25" s="334"/>
      <c r="D25" s="334"/>
    </row>
    <row r="26" spans="1:5" ht="78" hidden="1" customHeight="1" x14ac:dyDescent="0.25">
      <c r="A26" s="334" t="str">
        <f>IF(malumot!B99=malumot!C99,'Кредитная заявка'!A28:D28,IF(malumot!B99=malumot!D99,'Кредитная заявка'!A27:D27,0))</f>
        <v xml:space="preserve">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6" s="334"/>
      <c r="C26" s="334"/>
      <c r="D26" s="334"/>
    </row>
    <row r="27" spans="1:5" ht="93" hidden="1" customHeight="1" x14ac:dyDescent="0.25">
      <c r="A27" s="334" t="str">
        <f>" Egalik huquqi "&amp;malumot!B124&amp;"ga tegishli bo'lgan "&amp;malumot!B132&amp;", "&amp;malumot!B140&amp;", davlat raqam belgisi "&amp;malumot!B133&amp;", "&amp;malumot!B134&amp;", "&amp;malumot!B137&amp;" avtotransport vositasi "</f>
        <v xml:space="preserve"> Egalik huquqi BOBONAZAROV ASLBEK AKRAM O'G'LIga tegishli bo'lgan DAMAS-2, rangi -  OQ SUMMIT WHITE, ishlab chiqarilgan yili - 2024, davlat raqam belgisi 80X089BB, kuzov turi - YENGIL SEDAN, kuzov raqami XWB7T12YDRP863654, dvigatel raqami F8CB240180255, shassi raqami -  -  avtotransport vositasi </v>
      </c>
      <c r="B27" s="334"/>
      <c r="C27" s="334"/>
      <c r="D27" s="334"/>
    </row>
    <row r="28" spans="1:5" ht="93.75" hidden="1" customHeight="1" x14ac:dyDescent="0.25">
      <c r="A28" s="334" t="str">
        <f>"  Egalik huquqi "&amp;malumot!B124&amp;"ga tegishli bo'lgan garovga olingan avtomobil markasi   "&amp;malumot!B132&amp;", "&amp;malumot!B140&amp;", davlat raqam belgisi "&amp;malumot!B133&amp;", "&amp;malumot!B134&amp;", "&amp;malumot!B137&amp;""</f>
        <v xml:space="preserve">  Egalik huquqi BOBONAZAROV ASLBEK AKRAM O'G'LIga tegishli bo'lgan garovga olingan avtomobil markasi   DAMAS-2, rangi -  OQ SUMMIT WHITE, ishlab chiqarilgan yili - 2024, davlat raqam belgisi 80X089BB, kuzov turi - YENGIL SEDAN, kuzov raqami XWB7T12YDRP863654, dvigatel raqami F8CB240180255, shassi raqami -  - </v>
      </c>
      <c r="B28" s="334"/>
      <c r="C28" s="334"/>
      <c r="D28" s="334"/>
    </row>
    <row r="29" spans="1:5" ht="33" customHeight="1" x14ac:dyDescent="0.25">
      <c r="A29" s="230" t="str">
        <f>"2. 	«"&amp;malumot!B153&amp;"» АJ sug‘urta kompaniyasi tomonidan Mikroqarz to'lamaslik xavfini "&amp;FIXED(malumot!B154,2)&amp;"("&amp;malumot!B155&amp;") so ' m miqdoriga sug’urta qilish"</f>
        <v>2. 	«АО СК "IMPEX INSURANCE"» АJ sug‘urta kompaniyasi tomonidan Mikroqarz to'lamaslik xavfini 15 000 000,00(o'n besh million so'm) so ' m miqdoriga sug’urta qilish</v>
      </c>
      <c r="B29" s="230"/>
      <c r="C29" s="230"/>
      <c r="D29" s="230"/>
    </row>
    <row r="30" spans="1:5" ht="10.5" customHeight="1" x14ac:dyDescent="0.25">
      <c r="A30" s="333"/>
      <c r="B30" s="333"/>
      <c r="C30" s="333"/>
      <c r="D30" s="333"/>
    </row>
    <row r="31" spans="1:5" ht="53.25" customHeight="1" x14ac:dyDescent="0.25">
      <c r="A31" s="334" t="str">
        <f>"Mazkur ariza bilan "&amp;malumot!B157&amp;"ga men va soʻralayotgan "&amp;malumot!B65&amp;" boʻyicha barcha zarur maʼlumotlarni quyida ko’rsatilgan tashkilotlarga taqdim etish va olishga roziligimni bildirib, ushbu amaliyotlarni o’tkazish uchun huquq beraman:"</f>
        <v>Mazkur ariza bilan «CLEVER MIKROMOLIYA TASHKILOTI» MChJga men va soʻralayotgan mikroqarz boʻyicha barcha zarur maʼlumotlarni quyida ko’rsatilgan tashkilotlarga taqdim etish va olishga roziligimni bildirib, ushbu amaliyotlarni o’tkazish uchun huquq beraman:</v>
      </c>
      <c r="B31" s="334"/>
      <c r="C31" s="334"/>
      <c r="D31" s="334"/>
    </row>
    <row r="32" spans="1:5" ht="15.75" customHeight="1" x14ac:dyDescent="0.25">
      <c r="A32" s="334" t="s">
        <v>248</v>
      </c>
      <c r="B32" s="334"/>
      <c r="C32" s="334"/>
      <c r="D32" s="334"/>
    </row>
    <row r="33" spans="1:4" x14ac:dyDescent="0.25">
      <c r="A33" s="334" t="s">
        <v>249</v>
      </c>
      <c r="B33" s="334"/>
      <c r="C33" s="334"/>
      <c r="D33" s="334"/>
    </row>
    <row r="34" spans="1:4" x14ac:dyDescent="0.25">
      <c r="A34" s="334" t="s">
        <v>250</v>
      </c>
      <c r="B34" s="334"/>
      <c r="C34" s="334"/>
      <c r="D34" s="334"/>
    </row>
    <row r="35" spans="1:4" x14ac:dyDescent="0.25">
      <c r="A35" s="333" t="str">
        <f>"Ariza berilgan sana: "&amp;TEXT(malumot!B2,"ДД.ММ.ГГГГ")&amp;"y."</f>
        <v>Ariza berilgan sana: 28.02.2025y.</v>
      </c>
      <c r="B35" s="333"/>
      <c r="C35" s="333"/>
      <c r="D35" s="333"/>
    </row>
    <row r="36" spans="1:4" x14ac:dyDescent="0.25">
      <c r="A36" s="333"/>
      <c r="B36" s="333"/>
      <c r="C36" s="333"/>
      <c r="D36" s="333"/>
    </row>
    <row r="37" spans="1:4" x14ac:dyDescent="0.25">
      <c r="A37" s="333" t="s">
        <v>251</v>
      </c>
      <c r="B37" s="333"/>
      <c r="C37" s="333"/>
      <c r="D37" s="333"/>
    </row>
    <row r="38" spans="1:4" x14ac:dyDescent="0.25">
      <c r="A38" s="333"/>
      <c r="B38" s="333"/>
      <c r="C38" s="333"/>
      <c r="D38" s="333"/>
    </row>
    <row r="39" spans="1:4" x14ac:dyDescent="0.25">
      <c r="A39" s="333"/>
      <c r="B39" s="333"/>
      <c r="C39" s="333"/>
      <c r="D39" s="333"/>
    </row>
    <row r="40" spans="1:4" ht="15.75" customHeight="1" x14ac:dyDescent="0.25">
      <c r="A40" s="289" t="str">
        <f>malumot!B5</f>
        <v>ATAXANOV AKMAL AXMETDJANOVICH</v>
      </c>
      <c r="B40" s="289"/>
      <c r="C40" s="289"/>
      <c r="D40" s="11" t="s">
        <v>4</v>
      </c>
    </row>
    <row r="41" spans="1:4" x14ac:dyDescent="0.25">
      <c r="A41" s="10"/>
      <c r="B41" s="10"/>
      <c r="D41" s="12" t="s">
        <v>328</v>
      </c>
    </row>
    <row r="42" spans="1:4" x14ac:dyDescent="0.25">
      <c r="A42" s="333"/>
      <c r="B42" s="333"/>
      <c r="C42" s="333"/>
      <c r="D42" s="333"/>
    </row>
    <row r="43" spans="1:4" x14ac:dyDescent="0.25">
      <c r="A43" s="333"/>
      <c r="B43" s="333"/>
      <c r="C43" s="333"/>
      <c r="D43" s="333"/>
    </row>
    <row r="44" spans="1:4" x14ac:dyDescent="0.25">
      <c r="A44" s="333"/>
      <c r="B44" s="333"/>
      <c r="C44" s="333"/>
      <c r="D44" s="333"/>
    </row>
    <row r="45" spans="1:4" x14ac:dyDescent="0.25">
      <c r="A45" s="333"/>
      <c r="B45" s="333"/>
      <c r="C45" s="333"/>
      <c r="D45" s="333"/>
    </row>
    <row r="46" spans="1:4" x14ac:dyDescent="0.25">
      <c r="A46" s="333"/>
      <c r="B46" s="333"/>
      <c r="C46" s="333"/>
      <c r="D46" s="333"/>
    </row>
    <row r="47" spans="1:4" x14ac:dyDescent="0.25">
      <c r="A47" s="333"/>
      <c r="B47" s="333"/>
      <c r="C47" s="333"/>
      <c r="D47" s="333"/>
    </row>
    <row r="48" spans="1:4" x14ac:dyDescent="0.25">
      <c r="A48" s="333"/>
      <c r="B48" s="333"/>
      <c r="C48" s="333"/>
      <c r="D48" s="333"/>
    </row>
    <row r="49" spans="1:4" x14ac:dyDescent="0.25">
      <c r="A49" s="333"/>
      <c r="B49" s="333"/>
      <c r="C49" s="333"/>
      <c r="D49" s="333"/>
    </row>
    <row r="50" spans="1:4" x14ac:dyDescent="0.25">
      <c r="A50" s="333"/>
      <c r="B50" s="333"/>
      <c r="C50" s="333"/>
      <c r="D50" s="333"/>
    </row>
    <row r="51" spans="1:4" x14ac:dyDescent="0.25">
      <c r="A51" s="333"/>
      <c r="B51" s="333"/>
      <c r="C51" s="333"/>
      <c r="D51" s="333"/>
    </row>
    <row r="52" spans="1:4" x14ac:dyDescent="0.25">
      <c r="A52" s="333"/>
      <c r="B52" s="333"/>
      <c r="C52" s="333"/>
      <c r="D52" s="333"/>
    </row>
    <row r="53" spans="1:4" x14ac:dyDescent="0.25">
      <c r="A53" s="333"/>
      <c r="B53" s="333"/>
      <c r="C53" s="333"/>
      <c r="D53" s="333"/>
    </row>
    <row r="54" spans="1:4" x14ac:dyDescent="0.25">
      <c r="A54" s="333"/>
      <c r="B54" s="333"/>
      <c r="C54" s="333"/>
      <c r="D54" s="333"/>
    </row>
    <row r="55" spans="1:4" x14ac:dyDescent="0.25">
      <c r="A55" s="333"/>
      <c r="B55" s="333"/>
      <c r="C55" s="333"/>
      <c r="D55" s="333"/>
    </row>
    <row r="56" spans="1:4" x14ac:dyDescent="0.25">
      <c r="A56" s="333"/>
      <c r="B56" s="333"/>
      <c r="C56" s="333"/>
      <c r="D56" s="333"/>
    </row>
    <row r="57" spans="1:4" x14ac:dyDescent="0.25">
      <c r="A57" s="333"/>
      <c r="B57" s="333"/>
      <c r="C57" s="333"/>
      <c r="D57" s="333"/>
    </row>
    <row r="58" spans="1:4" x14ac:dyDescent="0.25">
      <c r="A58" s="333"/>
      <c r="B58" s="333"/>
      <c r="C58" s="333"/>
      <c r="D58" s="333"/>
    </row>
    <row r="59" spans="1:4" x14ac:dyDescent="0.25">
      <c r="A59" s="333"/>
      <c r="B59" s="333"/>
      <c r="C59" s="333"/>
      <c r="D59" s="333"/>
    </row>
    <row r="60" spans="1:4" x14ac:dyDescent="0.25">
      <c r="A60" s="333"/>
      <c r="B60" s="333"/>
      <c r="C60" s="333"/>
      <c r="D60" s="333"/>
    </row>
    <row r="61" spans="1:4" x14ac:dyDescent="0.25">
      <c r="A61" s="333"/>
      <c r="B61" s="333"/>
      <c r="C61" s="333"/>
      <c r="D61" s="333"/>
    </row>
    <row r="62" spans="1:4" x14ac:dyDescent="0.25">
      <c r="A62" s="333"/>
      <c r="B62" s="333"/>
      <c r="C62" s="333"/>
      <c r="D62" s="333"/>
    </row>
    <row r="63" spans="1:4" x14ac:dyDescent="0.25">
      <c r="A63" s="333"/>
      <c r="B63" s="333"/>
      <c r="C63" s="333"/>
      <c r="D63" s="333"/>
    </row>
    <row r="64" spans="1:4" x14ac:dyDescent="0.25">
      <c r="A64" s="333"/>
      <c r="B64" s="333"/>
      <c r="C64" s="333"/>
      <c r="D64" s="333"/>
    </row>
    <row r="65" spans="1:4" x14ac:dyDescent="0.25">
      <c r="A65" s="333"/>
      <c r="B65" s="333"/>
      <c r="C65" s="333"/>
      <c r="D65" s="333"/>
    </row>
    <row r="66" spans="1:4" x14ac:dyDescent="0.25">
      <c r="A66" s="333"/>
      <c r="B66" s="333"/>
      <c r="C66" s="333"/>
      <c r="D66" s="333"/>
    </row>
    <row r="67" spans="1:4" x14ac:dyDescent="0.25">
      <c r="A67" s="333"/>
      <c r="B67" s="333"/>
      <c r="C67" s="333"/>
      <c r="D67" s="333"/>
    </row>
    <row r="68" spans="1:4" x14ac:dyDescent="0.25">
      <c r="A68" s="333"/>
      <c r="B68" s="333"/>
      <c r="C68" s="333"/>
      <c r="D68" s="333"/>
    </row>
    <row r="69" spans="1:4" x14ac:dyDescent="0.25">
      <c r="A69" s="333"/>
      <c r="B69" s="333"/>
      <c r="C69" s="333"/>
      <c r="D69" s="333"/>
    </row>
    <row r="70" spans="1:4" x14ac:dyDescent="0.25">
      <c r="A70" s="333"/>
      <c r="B70" s="333"/>
      <c r="C70" s="333"/>
      <c r="D70" s="333"/>
    </row>
    <row r="71" spans="1:4" x14ac:dyDescent="0.25">
      <c r="A71" s="333"/>
      <c r="B71" s="333"/>
      <c r="C71" s="333"/>
      <c r="D71" s="333"/>
    </row>
    <row r="72" spans="1:4" x14ac:dyDescent="0.25">
      <c r="A72" s="333"/>
      <c r="B72" s="333"/>
      <c r="C72" s="333"/>
      <c r="D72" s="333"/>
    </row>
    <row r="73" spans="1:4" x14ac:dyDescent="0.25">
      <c r="A73" s="333"/>
      <c r="B73" s="333"/>
      <c r="C73" s="333"/>
      <c r="D73" s="333"/>
    </row>
    <row r="74" spans="1:4" x14ac:dyDescent="0.25">
      <c r="A74" s="333"/>
      <c r="B74" s="333"/>
      <c r="C74" s="333"/>
      <c r="D74" s="333"/>
    </row>
    <row r="75" spans="1:4" x14ac:dyDescent="0.25">
      <c r="A75" s="333"/>
      <c r="B75" s="333"/>
      <c r="C75" s="333"/>
      <c r="D75" s="333"/>
    </row>
    <row r="76" spans="1:4" x14ac:dyDescent="0.25">
      <c r="A76" s="333"/>
      <c r="B76" s="333"/>
      <c r="C76" s="333"/>
      <c r="D76" s="333"/>
    </row>
    <row r="77" spans="1:4" x14ac:dyDescent="0.25">
      <c r="A77" s="333"/>
      <c r="B77" s="333"/>
      <c r="C77" s="333"/>
      <c r="D77" s="333"/>
    </row>
    <row r="78" spans="1:4" x14ac:dyDescent="0.25">
      <c r="A78" s="333"/>
      <c r="B78" s="333"/>
      <c r="C78" s="333"/>
      <c r="D78" s="333"/>
    </row>
  </sheetData>
  <mergeCells count="75">
    <mergeCell ref="A4:D4"/>
    <mergeCell ref="A5:D5"/>
    <mergeCell ref="C1:D1"/>
    <mergeCell ref="A6:D6"/>
    <mergeCell ref="A7:D7"/>
    <mergeCell ref="A8:D8"/>
    <mergeCell ref="A9:D9"/>
    <mergeCell ref="A10:D10"/>
    <mergeCell ref="A11:D11"/>
    <mergeCell ref="A12:D12"/>
    <mergeCell ref="A18:D18"/>
    <mergeCell ref="A19:D19"/>
    <mergeCell ref="A26:D26"/>
    <mergeCell ref="A27:D27"/>
    <mergeCell ref="A24:D24"/>
    <mergeCell ref="A23:D23"/>
    <mergeCell ref="A20:D20"/>
    <mergeCell ref="A21:D21"/>
    <mergeCell ref="A22:D22"/>
    <mergeCell ref="A25:D25"/>
    <mergeCell ref="A13:D13"/>
    <mergeCell ref="A14:D14"/>
    <mergeCell ref="A15:D15"/>
    <mergeCell ref="A16:D16"/>
    <mergeCell ref="A17:D17"/>
    <mergeCell ref="A31:D31"/>
    <mergeCell ref="A32:D32"/>
    <mergeCell ref="A33:D33"/>
    <mergeCell ref="A34:D34"/>
    <mergeCell ref="A28:D28"/>
    <mergeCell ref="A30:D30"/>
    <mergeCell ref="A29:D29"/>
    <mergeCell ref="A35:D35"/>
    <mergeCell ref="A42:D42"/>
    <mergeCell ref="A43:D43"/>
    <mergeCell ref="A44:D44"/>
    <mergeCell ref="A45:D45"/>
    <mergeCell ref="A36:D36"/>
    <mergeCell ref="A37:D37"/>
    <mergeCell ref="A38:D38"/>
    <mergeCell ref="A39:D39"/>
    <mergeCell ref="A46:D46"/>
    <mergeCell ref="A47:D47"/>
    <mergeCell ref="A48:D48"/>
    <mergeCell ref="A49:D49"/>
    <mergeCell ref="A50:D50"/>
    <mergeCell ref="A51:D51"/>
    <mergeCell ref="A52:D52"/>
    <mergeCell ref="A53:D53"/>
    <mergeCell ref="A54:D54"/>
    <mergeCell ref="A55:D55"/>
    <mergeCell ref="A63:D63"/>
    <mergeCell ref="A64:D64"/>
    <mergeCell ref="A65:D65"/>
    <mergeCell ref="A56:D56"/>
    <mergeCell ref="A57:D57"/>
    <mergeCell ref="A58:D58"/>
    <mergeCell ref="A59:D59"/>
    <mergeCell ref="A60:D60"/>
    <mergeCell ref="A76:D76"/>
    <mergeCell ref="A77:D77"/>
    <mergeCell ref="A78:D78"/>
    <mergeCell ref="A40:C40"/>
    <mergeCell ref="A71:D71"/>
    <mergeCell ref="A72:D72"/>
    <mergeCell ref="A73:D73"/>
    <mergeCell ref="A74:D74"/>
    <mergeCell ref="A75:D75"/>
    <mergeCell ref="A66:D66"/>
    <mergeCell ref="A67:D67"/>
    <mergeCell ref="A68:D68"/>
    <mergeCell ref="A69:D69"/>
    <mergeCell ref="A70:D70"/>
    <mergeCell ref="A61:D61"/>
    <mergeCell ref="A62:D62"/>
  </mergeCells>
  <pageMargins left="0.7" right="0.7" top="0.75" bottom="0.75" header="0.3" footer="0.3"/>
  <pageSetup paperSize="9" scale="8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x14ac:dyDescent="0.25"/>
  <cols>
    <col min="1" max="1" width="33.85546875" style="15" customWidth="1"/>
    <col min="2" max="2" width="21.28515625" style="15" customWidth="1"/>
    <col min="3" max="3" width="19.140625" style="15" customWidth="1"/>
    <col min="4" max="5" width="21.28515625" style="15" customWidth="1"/>
    <col min="6" max="16384" width="9.140625" style="15"/>
  </cols>
  <sheetData>
    <row r="2" spans="1:5" x14ac:dyDescent="0.25">
      <c r="A2" s="113" t="s">
        <v>49</v>
      </c>
    </row>
    <row r="3" spans="1:5" x14ac:dyDescent="0.25">
      <c r="A3" s="113" t="s">
        <v>50</v>
      </c>
    </row>
    <row r="6" spans="1:5" ht="20.25" customHeight="1" x14ac:dyDescent="0.25">
      <c r="E6" s="114" t="s">
        <v>36</v>
      </c>
    </row>
    <row r="7" spans="1:5" x14ac:dyDescent="0.25">
      <c r="E7" s="114" t="s">
        <v>51</v>
      </c>
    </row>
    <row r="9" spans="1:5" ht="107.25" customHeight="1" x14ac:dyDescent="0.25">
      <c r="A9" s="337" t="str">
        <f>"          Между ООО «Clever Mikrokredit Tashkiloti» и "&amp;malumot!B5&amp;"  (паспорт: "&amp;malumot!B16&amp;" "&amp;malumot!B20&amp;") заключен договор микрозайма "&amp;malumot!B74&amp;", на сумму "&amp;FIXED(malumot!B76)&amp;" ("&amp;malumot!B77&amp;") сум, сроком на "&amp;malumot!B82&amp;" ("&amp;malumot!B83&amp;") месяцев. В качестве своевременного исполнения обязательств по договору Микрозайма "&amp;malumot!B74&amp;" планирует предоставить нижеследующее "&amp;IF(malumot!B110=malumot!C110,"автотранспортного средство марки "&amp;malumot!B132&amp;" принадлежащее на правах собственности "&amp;malumot!B124&amp;"","недвижимого имущества в виде "&amp;malumot!C133&amp;", общей площадью - "&amp;malumot!C137&amp;" и жилой площадью - "&amp;malumot!C140&amp;", расположенного по адресу: "&amp;malumot!C130&amp;", принадлежащее на правах собственности "&amp;malumot!C124&amp;".")</f>
        <v xml:space="preserve">          Между ООО «Clever Mikrokredit Tashkiloti» и ATAXANOV AKMAL AXMETDJANOVICH  (паспорт: AD7554127 BUXORO VILOYATI BUXORO SHAHAR IIB tomonidan 20.06.2024 yilda berilgan) заключен договор микрозайма 28 fevral 2025 y.dan №492-QRS, на сумму 65 000 000,00 (oltmish besh million so'm) сум, сроком на 24 (yigirma to'rt) месяцев. В качестве своевременного исполнения обязательств по договору Микрозайма 28 fevral 2025 y.dan №492-QRS планирует предоставить нижеследующее автотранспортного средство марки DAMAS-2 принадлежащее на правах собственности BOBONAZAROV ASLBEK AKRAM O'G'LI</v>
      </c>
      <c r="B9" s="337"/>
      <c r="C9" s="337"/>
      <c r="D9" s="337"/>
      <c r="E9" s="337"/>
    </row>
    <row r="11" spans="1:5" ht="28.5" x14ac:dyDescent="0.25">
      <c r="A11" s="39" t="str">
        <f>buyruq!A17</f>
        <v>Nomi</v>
      </c>
      <c r="B11" s="39" t="str">
        <f>buyruq!B17</f>
        <v>Kuzov turi  va kuzov raqami*</v>
      </c>
      <c r="C11" s="39" t="str">
        <f>buyruq!C17</f>
        <v>Dvigatel va shassi raqami*</v>
      </c>
      <c r="D11" s="39" t="str">
        <f>buyruq!D17</f>
        <v>Ishlab chiqarilgan yili va rangi*</v>
      </c>
      <c r="E11" s="39" t="str">
        <f>buyruq!E17</f>
        <v>Kelishilgan garov qiymati, so'm</v>
      </c>
    </row>
    <row r="12" spans="1:5" ht="73.5" customHeight="1" x14ac:dyDescent="0.25">
      <c r="A12" s="39" t="str">
        <f>buyruq!A18</f>
        <v>DAMAS-2</v>
      </c>
      <c r="B12" s="39" t="str">
        <f>buyruq!B18</f>
        <v>kuzov turi - YENGIL SEDAN, kuzov raqami XWB7T12YDRP863654</v>
      </c>
      <c r="C12" s="39" t="str">
        <f>buyruq!C18</f>
        <v xml:space="preserve">dvigatel raqami F8CB240180255, shassi raqami -  - </v>
      </c>
      <c r="D12" s="39" t="str">
        <f>buyruq!D18</f>
        <v>rangi -  OQ SUMMIT WHITE, ishlab chiqarilgan yili - 2024</v>
      </c>
      <c r="E12" s="39" t="str">
        <f>buyruq!E18</f>
        <v>97 500 000,00 
(to'qson yetti million besh yuz ming so'm)</v>
      </c>
    </row>
    <row r="13" spans="1:5" x14ac:dyDescent="0.25">
      <c r="A13" s="338" t="str">
        <f>buyruq!A19:E19</f>
        <v>-* avtotransport egasi: BOBONAZAROV ASLBEK AKRAM O'G'LI</v>
      </c>
      <c r="B13" s="338"/>
      <c r="C13" s="338"/>
      <c r="D13" s="338"/>
      <c r="E13" s="338"/>
    </row>
    <row r="14" spans="1:5" x14ac:dyDescent="0.25">
      <c r="A14" s="338" t="str">
        <f>buyruq!A20:E20</f>
        <v>-* texnik pasport: AAG 5348590 25.12.2024y.</v>
      </c>
      <c r="B14" s="338"/>
      <c r="C14" s="338"/>
      <c r="D14" s="338"/>
      <c r="E14" s="338"/>
    </row>
    <row r="15" spans="1:5" x14ac:dyDescent="0.25">
      <c r="A15" s="338" t="str">
        <f>buyruq!A21:E21</f>
        <v>-* roʻyxatdan oʻtgan manzili/garaj manzili: BUXORO VILOYATI QORAKO'L TUMANI ZARAFSHON MFY GULISTON 21 UY</v>
      </c>
      <c r="B15" s="338"/>
      <c r="C15" s="338"/>
      <c r="D15" s="338"/>
      <c r="E15" s="338"/>
    </row>
    <row r="16" spans="1:5" x14ac:dyDescent="0.25">
      <c r="A16" s="338" t="str">
        <f>buyruq!A22:E22</f>
        <v>-* davlat raqami: 80X089BB</v>
      </c>
      <c r="B16" s="338"/>
      <c r="C16" s="338"/>
      <c r="D16" s="338"/>
      <c r="E16" s="338"/>
    </row>
    <row r="17" spans="1:5" ht="3" customHeight="1" x14ac:dyDescent="0.25"/>
    <row r="19" spans="1:5" ht="59.25" hidden="1" customHeight="1" x14ac:dyDescent="0.25">
      <c r="A19" s="39" t="str">
        <f>dalolatnoma!A32</f>
        <v>Наименование</v>
      </c>
      <c r="B19" s="39" t="str">
        <f>dalolatnoma!B32</f>
        <v>Полезная площадь</v>
      </c>
      <c r="C19" s="39" t="str">
        <f>dalolatnoma!C32</f>
        <v>Жилая площадь</v>
      </c>
      <c r="D19" s="39" t="str">
        <f>dalolatnoma!D32</f>
        <v>Общая площадь</v>
      </c>
      <c r="E19" s="39" t="str">
        <f>dalolatnoma!E32</f>
        <v>Согласованная залоговая стоимость, сум</v>
      </c>
    </row>
    <row r="20" spans="1:5" ht="17.25" hidden="1" customHeight="1" x14ac:dyDescent="0.25">
      <c r="A20" s="17" t="e">
        <f>dalolatnoma!A33</f>
        <v>#REF!</v>
      </c>
      <c r="B20" s="17" t="e">
        <f>dalolatnoma!B33</f>
        <v>#REF!</v>
      </c>
      <c r="C20" s="17" t="e">
        <f>dalolatnoma!C33</f>
        <v>#REF!</v>
      </c>
      <c r="D20" s="17" t="e">
        <f>dalolatnoma!D33</f>
        <v>#REF!</v>
      </c>
      <c r="E20" s="279" t="str">
        <f>""&amp;FIXED(malumot!C143,2)&amp;" ("&amp;malumot!C144&amp;")"</f>
        <v>97 500 000,00 (to'qson yetti million besh yuz ming so'm)</v>
      </c>
    </row>
    <row r="21" spans="1:5" ht="17.25" hidden="1" customHeight="1" x14ac:dyDescent="0.25">
      <c r="A21" s="17">
        <f>dalolatnoma!A34</f>
        <v>0</v>
      </c>
      <c r="B21" s="17">
        <f>dalolatnoma!B34</f>
        <v>0</v>
      </c>
      <c r="C21" s="17">
        <f>dalolatnoma!C34</f>
        <v>0</v>
      </c>
      <c r="D21" s="17">
        <f>dalolatnoma!D34</f>
        <v>0</v>
      </c>
      <c r="E21" s="280"/>
    </row>
    <row r="22" spans="1:5" ht="17.25" hidden="1" customHeight="1" x14ac:dyDescent="0.25">
      <c r="A22" s="17" t="e">
        <f>dalolatnoma!A35</f>
        <v>#REF!</v>
      </c>
      <c r="B22" s="17" t="e">
        <f>dalolatnoma!B35</f>
        <v>#REF!</v>
      </c>
      <c r="C22" s="17" t="e">
        <f>dalolatnoma!C35</f>
        <v>#REF!</v>
      </c>
      <c r="D22" s="17" t="e">
        <f>dalolatnoma!D35</f>
        <v>#REF!</v>
      </c>
      <c r="E22" s="280"/>
    </row>
    <row r="23" spans="1:5" ht="17.25" hidden="1" customHeight="1" x14ac:dyDescent="0.25">
      <c r="A23" s="17" t="e">
        <f>dalolatnoma!A36</f>
        <v>#REF!</v>
      </c>
      <c r="B23" s="17" t="e">
        <f>dalolatnoma!B36</f>
        <v>#REF!</v>
      </c>
      <c r="C23" s="17" t="e">
        <f>dalolatnoma!C36</f>
        <v>#REF!</v>
      </c>
      <c r="D23" s="17" t="e">
        <f>dalolatnoma!D36</f>
        <v>#REF!</v>
      </c>
      <c r="E23" s="280"/>
    </row>
    <row r="24" spans="1:5" ht="17.25" hidden="1" customHeight="1" x14ac:dyDescent="0.25">
      <c r="A24" s="17" t="e">
        <f>dalolatnoma!A37</f>
        <v>#REF!</v>
      </c>
      <c r="B24" s="17" t="e">
        <f>dalolatnoma!B37</f>
        <v>#REF!</v>
      </c>
      <c r="C24" s="17" t="e">
        <f>dalolatnoma!C37</f>
        <v>#REF!</v>
      </c>
      <c r="D24" s="17" t="e">
        <f>dalolatnoma!D37</f>
        <v>#REF!</v>
      </c>
      <c r="E24" s="280"/>
    </row>
    <row r="25" spans="1:5" ht="15.75" hidden="1" customHeight="1" x14ac:dyDescent="0.25">
      <c r="A25" s="17" t="e">
        <f>dalolatnoma!A38</f>
        <v>#REF!</v>
      </c>
      <c r="B25" s="17" t="e">
        <f>dalolatnoma!B38</f>
        <v>#REF!</v>
      </c>
      <c r="C25" s="17" t="e">
        <f>dalolatnoma!C38</f>
        <v>#REF!</v>
      </c>
      <c r="D25" s="17" t="e">
        <f>dalolatnoma!D38</f>
        <v>#REF!</v>
      </c>
      <c r="E25" s="280"/>
    </row>
    <row r="26" spans="1:5" ht="17.25" hidden="1" customHeight="1" x14ac:dyDescent="0.25">
      <c r="A26" s="17" t="e">
        <f>dalolatnoma!A39</f>
        <v>#REF!</v>
      </c>
      <c r="B26" s="17" t="e">
        <f>dalolatnoma!B39</f>
        <v>#REF!</v>
      </c>
      <c r="C26" s="17" t="e">
        <f>dalolatnoma!C39</f>
        <v>#REF!</v>
      </c>
      <c r="D26" s="17" t="e">
        <f>dalolatnoma!D39</f>
        <v>#REF!</v>
      </c>
      <c r="E26" s="280"/>
    </row>
    <row r="27" spans="1:5" ht="17.25" hidden="1" customHeight="1" x14ac:dyDescent="0.25">
      <c r="A27" s="17" t="e">
        <f>dalolatnoma!A40</f>
        <v>#REF!</v>
      </c>
      <c r="B27" s="17" t="e">
        <f>dalolatnoma!B40</f>
        <v>#REF!</v>
      </c>
      <c r="C27" s="17" t="e">
        <f>dalolatnoma!C40</f>
        <v>#REF!</v>
      </c>
      <c r="D27" s="17" t="e">
        <f>dalolatnoma!D40</f>
        <v>#REF!</v>
      </c>
      <c r="E27" s="280"/>
    </row>
    <row r="28" spans="1:5" ht="17.25" hidden="1" customHeight="1" x14ac:dyDescent="0.25">
      <c r="A28" s="17" t="e">
        <f>dalolatnoma!A41</f>
        <v>#REF!</v>
      </c>
      <c r="B28" s="17" t="e">
        <f>dalolatnoma!B41</f>
        <v>#REF!</v>
      </c>
      <c r="C28" s="17" t="e">
        <f>dalolatnoma!C41</f>
        <v>#REF!</v>
      </c>
      <c r="D28" s="17" t="e">
        <f>dalolatnoma!D41</f>
        <v>#REF!</v>
      </c>
      <c r="E28" s="280"/>
    </row>
    <row r="29" spans="1:5" ht="17.25" hidden="1" customHeight="1" x14ac:dyDescent="0.25">
      <c r="A29" s="17" t="e">
        <f>dalolatnoma!A42</f>
        <v>#REF!</v>
      </c>
      <c r="B29" s="17" t="e">
        <f>dalolatnoma!B42</f>
        <v>#REF!</v>
      </c>
      <c r="C29" s="17" t="e">
        <f>dalolatnoma!C42</f>
        <v>#REF!</v>
      </c>
      <c r="D29" s="17" t="e">
        <f>dalolatnoma!D42</f>
        <v>#REF!</v>
      </c>
      <c r="E29" s="280"/>
    </row>
    <row r="30" spans="1:5" ht="17.25" hidden="1" customHeight="1" x14ac:dyDescent="0.25">
      <c r="A30" s="17" t="e">
        <f>dalolatnoma!A43</f>
        <v>#REF!</v>
      </c>
      <c r="B30" s="17" t="e">
        <f>dalolatnoma!B43</f>
        <v>#REF!</v>
      </c>
      <c r="C30" s="17" t="e">
        <f>dalolatnoma!C43</f>
        <v>#REF!</v>
      </c>
      <c r="D30" s="17" t="e">
        <f>dalolatnoma!D43</f>
        <v>#REF!</v>
      </c>
      <c r="E30" s="281"/>
    </row>
    <row r="31" spans="1:5" ht="17.25" hidden="1" customHeight="1" x14ac:dyDescent="0.25">
      <c r="A31" s="17" t="e">
        <f>dalolatnoma!A44</f>
        <v>#REF!</v>
      </c>
      <c r="B31" s="17" t="e">
        <f>dalolatnoma!B44</f>
        <v>#REF!</v>
      </c>
      <c r="C31" s="17" t="e">
        <f>dalolatnoma!C44</f>
        <v>#REF!</v>
      </c>
      <c r="D31" s="17" t="e">
        <f>dalolatnoma!D44</f>
        <v>#REF!</v>
      </c>
      <c r="E31" s="17" t="str">
        <f>dalolatnoma!E44</f>
        <v>97 500 000,00</v>
      </c>
    </row>
    <row r="32" spans="1:5" ht="18.75" hidden="1" customHeight="1" x14ac:dyDescent="0.25">
      <c r="A32" s="337" t="e">
        <f>_xlfn.SINGLE(dalolatnoma!#REF!)</f>
        <v>#REF!</v>
      </c>
      <c r="B32" s="337"/>
      <c r="C32" s="337"/>
      <c r="D32" s="337"/>
      <c r="E32" s="337"/>
    </row>
    <row r="33" spans="1:5" ht="24.75" hidden="1" customHeight="1" x14ac:dyDescent="0.25">
      <c r="A33" s="337" t="e">
        <f>_xlfn.SINGLE(dalolatnoma!#REF!)</f>
        <v>#REF!</v>
      </c>
      <c r="B33" s="337"/>
      <c r="C33" s="337"/>
      <c r="D33" s="337"/>
      <c r="E33" s="337"/>
    </row>
    <row r="34" spans="1:5" ht="30.75" hidden="1" customHeight="1" x14ac:dyDescent="0.25">
      <c r="A34" s="337" t="e">
        <f>_xlfn.SINGLE(dalolatnoma!#REF!)</f>
        <v>#REF!</v>
      </c>
      <c r="B34" s="337"/>
      <c r="C34" s="337"/>
      <c r="D34" s="337"/>
      <c r="E34" s="337"/>
    </row>
    <row r="35" spans="1:5" ht="15" hidden="1" customHeight="1" x14ac:dyDescent="0.25">
      <c r="A35" s="337" t="e">
        <f>_xlfn.SINGLE(dalolatnoma!#REF!)</f>
        <v>#REF!</v>
      </c>
      <c r="B35" s="337"/>
      <c r="C35" s="337"/>
      <c r="D35" s="337"/>
      <c r="E35" s="337"/>
    </row>
    <row r="36" spans="1:5" x14ac:dyDescent="0.25">
      <c r="A36" s="22"/>
      <c r="B36" s="22"/>
      <c r="C36" s="22"/>
      <c r="D36" s="22"/>
      <c r="E36" s="22"/>
    </row>
    <row r="37" spans="1:5" s="135" customFormat="1" ht="51" customHeight="1" x14ac:dyDescent="0.25">
      <c r="A37" s="336" t="str">
        <f>dalolatnoma!A46:E46</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36"/>
      <c r="C37" s="336"/>
      <c r="D37" s="336"/>
      <c r="E37" s="336"/>
    </row>
    <row r="38" spans="1:5" ht="40.5" customHeight="1" x14ac:dyDescent="0.25">
      <c r="A38" s="337" t="str">
        <f>dalolatnoma!A47:E47</f>
        <v>Shu bilan birga, garov predmetining kelishilgan garov qiymati deganda ushbu mulk garov sifatida taqdim etilgan/qabul qilingan qiymati tushuniladi.</v>
      </c>
      <c r="B38" s="337"/>
      <c r="C38" s="337"/>
      <c r="D38" s="337"/>
      <c r="E38" s="337"/>
    </row>
    <row r="39" spans="1:5" ht="39" customHeight="1" x14ac:dyDescent="0.25">
      <c r="A39" s="337"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28 fevral 2025 y.dan №492-QRS, при сохранении запрета.</v>
      </c>
      <c r="B39" s="337"/>
      <c r="C39" s="337"/>
      <c r="D39" s="337"/>
      <c r="E39" s="337"/>
    </row>
    <row r="40" spans="1:5" x14ac:dyDescent="0.25">
      <c r="A40" s="340"/>
      <c r="B40" s="340"/>
      <c r="C40" s="340"/>
      <c r="D40" s="340"/>
      <c r="E40" s="340"/>
    </row>
    <row r="41" spans="1:5" x14ac:dyDescent="0.25">
      <c r="A41" s="341" t="s">
        <v>37</v>
      </c>
      <c r="B41" s="341"/>
      <c r="C41" s="341"/>
      <c r="D41" s="341"/>
      <c r="E41" s="341"/>
    </row>
    <row r="42" spans="1:5" x14ac:dyDescent="0.25">
      <c r="A42" s="340"/>
      <c r="B42" s="340"/>
      <c r="C42" s="340"/>
      <c r="D42" s="340"/>
      <c r="E42" s="340"/>
    </row>
    <row r="43" spans="1:5" x14ac:dyDescent="0.25">
      <c r="A43" s="341" t="s">
        <v>38</v>
      </c>
      <c r="B43" s="341"/>
      <c r="C43" s="341"/>
      <c r="D43" s="341"/>
      <c r="E43" s="341"/>
    </row>
    <row r="44" spans="1:5" ht="28.5" customHeight="1" x14ac:dyDescent="0.25">
      <c r="A44" s="339" t="s">
        <v>39</v>
      </c>
      <c r="B44" s="339"/>
      <c r="C44" s="339"/>
      <c r="D44" s="339"/>
      <c r="E44" s="115" t="s">
        <v>2</v>
      </c>
    </row>
  </sheetData>
  <mergeCells count="18">
    <mergeCell ref="A44:D44"/>
    <mergeCell ref="A38:E38"/>
    <mergeCell ref="A39:E39"/>
    <mergeCell ref="A40:E40"/>
    <mergeCell ref="A41:E41"/>
    <mergeCell ref="A42:E42"/>
    <mergeCell ref="A43:E43"/>
    <mergeCell ref="A37:E37"/>
    <mergeCell ref="E20:E30"/>
    <mergeCell ref="A9:E9"/>
    <mergeCell ref="A32:E32"/>
    <mergeCell ref="A33:E33"/>
    <mergeCell ref="A34:E34"/>
    <mergeCell ref="A35:E35"/>
    <mergeCell ref="A16:E16"/>
    <mergeCell ref="A15:E15"/>
    <mergeCell ref="A14:E14"/>
    <mergeCell ref="A13:E1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6">
    <tabColor rgb="FF00B050"/>
  </sheetPr>
  <dimension ref="A1:I29"/>
  <sheetViews>
    <sheetView view="pageBreakPreview" topLeftCell="A13" zoomScale="115" zoomScaleNormal="100" zoomScaleSheetLayoutView="115" workbookViewId="0">
      <selection activeCell="A10" sqref="A10:B10"/>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7" t="str">
        <f>""&amp;" "&amp;malumot!B74&amp;"-sonli "&amp;" "&amp;malumot!C64&amp;" shartnomasi bo‘yicha
 garovga qo‘yilgan mol-mulkni tekshirish bo’yicha "&amp;malumot!B5&amp;" bilan tuzilgan dalolatnomasi"</f>
        <v xml:space="preserve"> 28 fevral 2025 y.dan №492-QRS-sonli  Mikroqarz shartnomasi bo‘yicha
 garovga qo‘yilgan mol-mulkni tekshirish bo’yicha ATAXANOV AKMAL AXMETDJANOVICH bilan tuzilgan dalolatnomasi</v>
      </c>
      <c r="B2" s="347"/>
      <c r="C2" s="347"/>
      <c r="D2" s="347"/>
      <c r="E2" s="347"/>
      <c r="F2" s="347"/>
      <c r="G2" s="347"/>
      <c r="H2" s="347"/>
      <c r="I2" s="31"/>
    </row>
    <row r="3" spans="1:9" x14ac:dyDescent="0.2">
      <c r="A3" s="347"/>
      <c r="B3" s="347"/>
      <c r="C3" s="347"/>
      <c r="D3" s="347"/>
      <c r="E3" s="347"/>
      <c r="F3" s="347"/>
      <c r="G3" s="347"/>
      <c r="H3" s="347"/>
      <c r="I3" s="31"/>
    </row>
    <row r="5" spans="1:9" x14ac:dyDescent="0.2">
      <c r="A5" s="24" t="s">
        <v>203</v>
      </c>
      <c r="H5" s="147" t="str">
        <f>TEXT(+malumot!B2+360,"ДД.ММ.ГГГГ")</f>
        <v>23.02.2026</v>
      </c>
    </row>
    <row r="7" spans="1:9" ht="45" customHeight="1" x14ac:dyDescent="0.2">
      <c r="A7" s="349" t="str">
        <f>"      Men, "&amp;malumot!B157&amp;" "&amp;malumot!A160&amp;"i "&amp;malumot!B160&amp;", jismoniy shaxs "&amp;" "&amp;malumot!B5&amp;" "&amp;" "&amp;malumot!B74&amp;"-sonli "&amp;malumot!C64&amp;" shartnomasi bo‘yicha garovga qo‘yilgan mol-mulkni ko‘zdan kechirdim"</f>
        <v xml:space="preserve">      Men, «CLEVER MIKROMOLIYA TASHKILOTI» MChJ Qorako'l filiali boshlig'ii D. Egamberdiyeva, jismoniy shaxs  ATAXANOV AKMAL AXMETDJANOVICH  28 fevral 2025 y.dan №492-QRS-sonli Mikroqarz shartnomasi bo‘yicha garovga qo‘yilgan mol-mulkni ko‘zdan kechirdim</v>
      </c>
      <c r="B7" s="349"/>
      <c r="C7" s="349"/>
      <c r="D7" s="349"/>
      <c r="E7" s="349"/>
      <c r="F7" s="349"/>
      <c r="G7" s="349"/>
      <c r="H7" s="349"/>
    </row>
    <row r="8" spans="1:9" ht="19.5" customHeight="1" x14ac:dyDescent="0.2">
      <c r="A8" s="350" t="s">
        <v>272</v>
      </c>
      <c r="B8" s="350"/>
      <c r="C8" s="350"/>
      <c r="D8" s="350"/>
      <c r="E8" s="350"/>
      <c r="F8" s="350"/>
      <c r="G8" s="350"/>
      <c r="H8" s="350"/>
    </row>
    <row r="9" spans="1:9" s="148" customFormat="1" ht="32.25" customHeight="1" x14ac:dyDescent="0.25">
      <c r="A9" s="345" t="str">
        <f>' Акт мониторинга 1'!A9</f>
        <v>Nomi</v>
      </c>
      <c r="B9" s="346"/>
      <c r="C9" s="345" t="str">
        <f>' Акт мониторинга 1'!C9</f>
        <v>Kuzov turi  va kuzov raqami*</v>
      </c>
      <c r="D9" s="346"/>
      <c r="E9" s="345" t="str">
        <f>' Акт мониторинга 1'!E9</f>
        <v>Dvigatel va shassi raqami*</v>
      </c>
      <c r="F9" s="346"/>
      <c r="G9" s="345" t="str">
        <f>' Акт мониторинга 1'!G9</f>
        <v>Ishlab chiqarilgan yili va rangi**</v>
      </c>
      <c r="H9" s="346"/>
    </row>
    <row r="10" spans="1:9" s="146" customFormat="1" ht="58.5" customHeight="1" x14ac:dyDescent="0.2">
      <c r="A10" s="343" t="str">
        <f>' Акт мониторинга 1'!A10</f>
        <v>DAMAS-2</v>
      </c>
      <c r="B10" s="343"/>
      <c r="C10" s="343" t="str">
        <f>' Акт мониторинга 1'!C10</f>
        <v>kuzov turi - YENGIL SEDAN, kuzov raqami XWB7T12YDRP863654</v>
      </c>
      <c r="D10" s="343"/>
      <c r="E10" s="343" t="str">
        <f>' Акт мониторинга 1'!E10</f>
        <v xml:space="preserve">dvigatel raqami F8CB240180255, shassi raqami -  - </v>
      </c>
      <c r="F10" s="343"/>
      <c r="G10" s="343" t="str">
        <f>' Акт мониторинга 1'!G10</f>
        <v>rangi -  OQ SUMMIT WHITE, ishlab chiqarilgan yili - 2024</v>
      </c>
      <c r="H10" s="343"/>
    </row>
    <row r="11" spans="1:9" ht="19.5" customHeight="1" x14ac:dyDescent="0.2">
      <c r="A11" s="344" t="str">
        <f>dalolatnoma!A22:E22</f>
        <v>-* avtotransport egasi: BOBONAZAROV ASLBEK AKRAM O'G'LI</v>
      </c>
      <c r="B11" s="344"/>
      <c r="C11" s="344"/>
      <c r="D11" s="344"/>
      <c r="E11" s="344"/>
      <c r="F11" s="344"/>
      <c r="G11" s="344"/>
      <c r="H11" s="344"/>
    </row>
    <row r="12" spans="1:9" ht="19.5" customHeight="1" x14ac:dyDescent="0.2">
      <c r="A12" s="344" t="str">
        <f>dalolatnoma!A23:E23</f>
        <v>-* texnik pasport: AAG 5348590 25.12.2024y.</v>
      </c>
      <c r="B12" s="344"/>
      <c r="C12" s="344"/>
      <c r="D12" s="344"/>
      <c r="E12" s="344"/>
      <c r="F12" s="344"/>
      <c r="G12" s="344"/>
      <c r="H12" s="344"/>
    </row>
    <row r="13" spans="1:9" ht="19.5" customHeight="1" x14ac:dyDescent="0.2">
      <c r="A13" s="344" t="str">
        <f>dalolatnoma!A24:E24</f>
        <v>-* roʻyxatdan oʻtgan manzili/garaj manzili: BUXORO VILOYATI QORAKO'L TUMANI ZARAFSHON MFY GULISTON 21 UY</v>
      </c>
      <c r="B13" s="344"/>
      <c r="C13" s="344"/>
      <c r="D13" s="344"/>
      <c r="E13" s="344"/>
      <c r="F13" s="344"/>
      <c r="G13" s="344"/>
      <c r="H13" s="344"/>
    </row>
    <row r="14" spans="1:9" ht="19.5" customHeight="1" x14ac:dyDescent="0.2">
      <c r="A14" s="344" t="str">
        <f>dalolatnoma!A25:E25</f>
        <v>-* davlat raqami: 80X089BB</v>
      </c>
      <c r="B14" s="344"/>
      <c r="C14" s="344"/>
      <c r="D14" s="344"/>
      <c r="E14" s="344"/>
      <c r="F14" s="344"/>
      <c r="G14" s="344"/>
      <c r="H14" s="344"/>
    </row>
    <row r="15" spans="1:9" ht="33.75" customHeight="1" x14ac:dyDescent="0.2">
      <c r="A15" s="348" t="str">
        <f>+"Shu bilan birga, yuqoridagi mulkning kelishilgan garov qiymati "&amp;dalolatnoma!E30</f>
        <v>Shu bilan birga, yuqoridagi mulkning kelishilgan garov qiymati 97 500 000,00 
(to'qson yetti million besh yuz ming so'm)</v>
      </c>
      <c r="B15" s="348"/>
      <c r="C15" s="348"/>
      <c r="D15" s="348"/>
      <c r="E15" s="348"/>
      <c r="F15" s="348"/>
      <c r="G15" s="348"/>
      <c r="H15" s="348"/>
    </row>
    <row r="17" spans="1:8" ht="35.25" customHeight="1" x14ac:dyDescent="0.2">
      <c r="A17" s="342" t="s">
        <v>273</v>
      </c>
      <c r="B17" s="342"/>
      <c r="C17" s="342"/>
      <c r="D17" s="342"/>
      <c r="E17" s="342"/>
      <c r="F17" s="342"/>
      <c r="G17" s="342"/>
      <c r="H17" s="342"/>
    </row>
    <row r="21" spans="1:8" s="31" customFormat="1" x14ac:dyDescent="0.2"/>
    <row r="22" spans="1:8" s="31" customFormat="1" x14ac:dyDescent="0.2">
      <c r="A22" s="31" t="str">
        <f>malumot!A160</f>
        <v>Qorako'l filiali boshlig'i</v>
      </c>
      <c r="H22" s="149" t="str">
        <f>malumot!B160</f>
        <v>D. Egamberdiyeva</v>
      </c>
    </row>
    <row r="23" spans="1:8" s="31" customFormat="1" ht="32.25" customHeight="1" x14ac:dyDescent="0.2">
      <c r="H23" s="149"/>
    </row>
    <row r="24" spans="1:8" s="31" customFormat="1" ht="16.5" customHeight="1" x14ac:dyDescent="0.2">
      <c r="A24" s="31" t="s">
        <v>274</v>
      </c>
      <c r="H24" s="31" t="str">
        <f>malumot!B170</f>
        <v>B. Jumanazarov</v>
      </c>
    </row>
    <row r="25" spans="1:8" s="31" customFormat="1" ht="60" customHeight="1" x14ac:dyDescent="0.2"/>
    <row r="26" spans="1:8" s="31" customFormat="1" x14ac:dyDescent="0.2">
      <c r="A26" s="31" t="s">
        <v>275</v>
      </c>
      <c r="H26" s="149" t="str">
        <f>malumot!B7</f>
        <v>A. ATAXANOV</v>
      </c>
    </row>
    <row r="27" spans="1:8" s="31" customFormat="1" x14ac:dyDescent="0.2"/>
    <row r="28" spans="1:8" s="31" customFormat="1" x14ac:dyDescent="0.2"/>
    <row r="29" spans="1:8"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5">
    <tabColor rgb="FF00B050"/>
  </sheetPr>
  <dimension ref="A1:I30"/>
  <sheetViews>
    <sheetView view="pageBreakPreview" zoomScaleNormal="100" zoomScaleSheetLayoutView="100" workbookViewId="0">
      <selection activeCell="A11" sqref="A11:H11"/>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9" width="9.140625" style="24" hidden="1" customWidth="1"/>
    <col min="10" max="10" width="9.140625" style="24" customWidth="1"/>
    <col min="11" max="11" width="0.5703125" style="24" customWidth="1"/>
    <col min="12" max="16384" width="9.140625" style="24"/>
  </cols>
  <sheetData>
    <row r="1" spans="1:9" x14ac:dyDescent="0.2">
      <c r="A1" s="31"/>
      <c r="B1" s="31"/>
      <c r="C1" s="31"/>
      <c r="D1" s="31"/>
      <c r="E1" s="31"/>
      <c r="F1" s="31"/>
      <c r="G1" s="31"/>
      <c r="H1" s="31"/>
      <c r="I1" s="31"/>
    </row>
    <row r="2" spans="1:9" x14ac:dyDescent="0.2">
      <c r="A2" s="347" t="str">
        <f>""&amp;" "&amp;malumot!B74&amp;"-sonli "&amp;" "&amp;malumot!C64&amp;" shartnomasi bo‘yicha
 garovga qo‘yilgan mol-mulkni tekshirish bo’yicha "&amp;malumot!B5&amp;" bilan tuzilgan dalolatnomasi"</f>
        <v xml:space="preserve"> 28 fevral 2025 y.dan №492-QRS-sonli  Mikroqarz shartnomasi bo‘yicha
 garovga qo‘yilgan mol-mulkni tekshirish bo’yicha ATAXANOV AKMAL AXMETDJANOVICH bilan tuzilgan dalolatnomasi</v>
      </c>
      <c r="B2" s="347"/>
      <c r="C2" s="347"/>
      <c r="D2" s="347"/>
      <c r="E2" s="347"/>
      <c r="F2" s="347"/>
      <c r="G2" s="347"/>
      <c r="H2" s="347"/>
      <c r="I2" s="31"/>
    </row>
    <row r="3" spans="1:9" x14ac:dyDescent="0.2">
      <c r="A3" s="347"/>
      <c r="B3" s="347"/>
      <c r="C3" s="347"/>
      <c r="D3" s="347"/>
      <c r="E3" s="347"/>
      <c r="F3" s="347"/>
      <c r="G3" s="347"/>
      <c r="H3" s="347"/>
      <c r="I3" s="31"/>
    </row>
    <row r="5" spans="1:9" x14ac:dyDescent="0.2">
      <c r="A5" s="24" t="s">
        <v>203</v>
      </c>
      <c r="F5" s="163"/>
      <c r="H5" s="147" t="str">
        <f>TEXT(malumot!D2,"ДД.ММ.ГГГГ")</f>
        <v>27.08.2025</v>
      </c>
    </row>
    <row r="7" spans="1:9" ht="45" customHeight="1" x14ac:dyDescent="0.2">
      <c r="A7" s="349" t="str">
        <f>"      Men, “СLEVER MIKROMOLYA TASHKILOTI” "&amp;malumot!A160&amp;"i "&amp;malumot!B160&amp;", jismoniy shaxs "&amp;" "&amp;malumot!B5&amp;" "&amp;" "&amp;malumot!B74&amp;"-sonli "&amp;malumot!B65&amp;" shartnomasi bo‘yicha garovga qo‘yilgan mol-mulkni ko‘zdan kechirdim"</f>
        <v xml:space="preserve">      Men, “СLEVER MIKROMOLYA TASHKILOTI” Qorako'l filiali boshlig'ii D. Egamberdiyeva, jismoniy shaxs  ATAXANOV AKMAL AXMETDJANOVICH  28 fevral 2025 y.dan №492-QRS-sonli mikroqarz shartnomasi bo‘yicha garovga qo‘yilgan mol-mulkni ko‘zdan kechirdim</v>
      </c>
      <c r="B7" s="349"/>
      <c r="C7" s="349"/>
      <c r="D7" s="349"/>
      <c r="E7" s="349"/>
      <c r="F7" s="349"/>
      <c r="G7" s="349"/>
      <c r="H7" s="349"/>
    </row>
    <row r="8" spans="1:9" ht="19.5" customHeight="1" x14ac:dyDescent="0.2">
      <c r="A8" s="350" t="s">
        <v>272</v>
      </c>
      <c r="B8" s="350"/>
      <c r="C8" s="350"/>
      <c r="D8" s="350"/>
      <c r="E8" s="350"/>
      <c r="F8" s="350"/>
      <c r="G8" s="350"/>
      <c r="H8" s="350"/>
    </row>
    <row r="9" spans="1:9" s="148" customFormat="1" ht="32.25" customHeight="1" x14ac:dyDescent="0.25">
      <c r="A9" s="345" t="str">
        <f>dalolatnoma!A20</f>
        <v>Nomi</v>
      </c>
      <c r="B9" s="346"/>
      <c r="C9" s="345" t="str">
        <f>dalolatnoma!B20</f>
        <v>Kuzov turi  va kuzov raqami*</v>
      </c>
      <c r="D9" s="346"/>
      <c r="E9" s="345" t="str">
        <f>dalolatnoma!D20</f>
        <v>Dvigatel va shassi raqami*</v>
      </c>
      <c r="F9" s="346"/>
      <c r="G9" s="345" t="str">
        <f>dalolatnoma!E20</f>
        <v>Ishlab chiqarilgan yili va rangi**</v>
      </c>
      <c r="H9" s="346"/>
    </row>
    <row r="10" spans="1:9" s="146" customFormat="1" ht="58.5" customHeight="1" x14ac:dyDescent="0.2">
      <c r="A10" s="343" t="str">
        <f>dalolatnoma!A21</f>
        <v>DAMAS-2</v>
      </c>
      <c r="B10" s="343"/>
      <c r="C10" s="343" t="str">
        <f>dalolatnoma!B21</f>
        <v>kuzov turi - YENGIL SEDAN, kuzov raqami XWB7T12YDRP863654</v>
      </c>
      <c r="D10" s="343"/>
      <c r="E10" s="343" t="str">
        <f>dalolatnoma!D21</f>
        <v xml:space="preserve">dvigatel raqami F8CB240180255, shassi raqami -  - </v>
      </c>
      <c r="F10" s="343"/>
      <c r="G10" s="343" t="str">
        <f>dalolatnoma!E21</f>
        <v>rangi -  OQ SUMMIT WHITE, ishlab chiqarilgan yili - 2024</v>
      </c>
      <c r="H10" s="343"/>
    </row>
    <row r="11" spans="1:9" ht="19.5" customHeight="1" x14ac:dyDescent="0.2">
      <c r="A11" s="344" t="str">
        <f>dalolatnoma!A22:E22</f>
        <v>-* avtotransport egasi: BOBONAZAROV ASLBEK AKRAM O'G'LI</v>
      </c>
      <c r="B11" s="344"/>
      <c r="C11" s="344"/>
      <c r="D11" s="344"/>
      <c r="E11" s="344"/>
      <c r="F11" s="344"/>
      <c r="G11" s="344"/>
      <c r="H11" s="344"/>
    </row>
    <row r="12" spans="1:9" ht="19.5" customHeight="1" x14ac:dyDescent="0.2">
      <c r="A12" s="344" t="str">
        <f>dalolatnoma!A23:E23</f>
        <v>-* texnik pasport: AAG 5348590 25.12.2024y.</v>
      </c>
      <c r="B12" s="344"/>
      <c r="C12" s="344"/>
      <c r="D12" s="344"/>
      <c r="E12" s="344"/>
      <c r="F12" s="344"/>
      <c r="G12" s="344"/>
      <c r="H12" s="344"/>
    </row>
    <row r="13" spans="1:9" ht="19.5" customHeight="1" x14ac:dyDescent="0.2">
      <c r="A13" s="344" t="str">
        <f>dalolatnoma!A24:E24</f>
        <v>-* roʻyxatdan oʻtgan manzili/garaj manzili: BUXORO VILOYATI QORAKO'L TUMANI ZARAFSHON MFY GULISTON 21 UY</v>
      </c>
      <c r="B13" s="344"/>
      <c r="C13" s="344"/>
      <c r="D13" s="344"/>
      <c r="E13" s="344"/>
      <c r="F13" s="344"/>
      <c r="G13" s="344"/>
      <c r="H13" s="344"/>
    </row>
    <row r="14" spans="1:9" ht="19.5" customHeight="1" x14ac:dyDescent="0.2">
      <c r="A14" s="344" t="str">
        <f>dalolatnoma!A25:E25</f>
        <v>-* davlat raqami: 80X089BB</v>
      </c>
      <c r="B14" s="344"/>
      <c r="C14" s="344"/>
      <c r="D14" s="344"/>
      <c r="E14" s="344"/>
      <c r="F14" s="344"/>
      <c r="G14" s="344"/>
      <c r="H14" s="344"/>
    </row>
    <row r="15" spans="1:9" ht="33.75" customHeight="1" x14ac:dyDescent="0.2">
      <c r="A15" s="348" t="str">
        <f>+"Shu bilan birga, yuqoridagi mulkning kelishilgan garov qiymati "&amp;dalolatnoma!E30</f>
        <v>Shu bilan birga, yuqoridagi mulkning kelishilgan garov qiymati 97 500 000,00 
(to'qson yetti million besh yuz ming so'm)</v>
      </c>
      <c r="B15" s="348"/>
      <c r="C15" s="348"/>
      <c r="D15" s="348"/>
      <c r="E15" s="348"/>
      <c r="F15" s="348"/>
      <c r="G15" s="348"/>
      <c r="H15" s="348"/>
    </row>
    <row r="17" spans="1:8" ht="27" customHeight="1" x14ac:dyDescent="0.2">
      <c r="A17" s="342" t="s">
        <v>273</v>
      </c>
      <c r="B17" s="342"/>
      <c r="C17" s="342"/>
      <c r="D17" s="342"/>
      <c r="E17" s="342"/>
      <c r="F17" s="342"/>
      <c r="G17" s="342"/>
      <c r="H17" s="342"/>
    </row>
    <row r="21" spans="1:8" s="31" customFormat="1" x14ac:dyDescent="0.2"/>
    <row r="22" spans="1:8" s="31" customFormat="1" x14ac:dyDescent="0.2">
      <c r="A22" s="31" t="str">
        <f>malumot!A160</f>
        <v>Qorako'l filiali boshlig'i</v>
      </c>
      <c r="H22" s="149" t="str">
        <f>malumot!B160</f>
        <v>D. Egamberdiyeva</v>
      </c>
    </row>
    <row r="23" spans="1:8" s="31" customFormat="1" ht="32.25" customHeight="1" x14ac:dyDescent="0.2">
      <c r="H23" s="149"/>
    </row>
    <row r="24" spans="1:8" s="31" customFormat="1" ht="16.5" customHeight="1" x14ac:dyDescent="0.2">
      <c r="A24" s="31" t="s">
        <v>274</v>
      </c>
      <c r="H24" s="31" t="str">
        <f>malumot!B170</f>
        <v>B. Jumanazarov</v>
      </c>
    </row>
    <row r="25" spans="1:8" s="31" customFormat="1" ht="60" customHeight="1" x14ac:dyDescent="0.2"/>
    <row r="26" spans="1:8" s="31" customFormat="1" x14ac:dyDescent="0.2">
      <c r="A26" s="31" t="s">
        <v>275</v>
      </c>
      <c r="H26" s="149" t="str">
        <f>malumot!B7</f>
        <v>A. ATAXANOV</v>
      </c>
    </row>
    <row r="27" spans="1:8" s="31" customFormat="1" x14ac:dyDescent="0.2"/>
    <row r="28" spans="1:8" s="31" customFormat="1" x14ac:dyDescent="0.2"/>
    <row r="29" spans="1:8" s="31" customFormat="1" x14ac:dyDescent="0.2"/>
    <row r="30" spans="1:8" s="31" customFormat="1" x14ac:dyDescent="0.2"/>
  </sheetData>
  <mergeCells count="17">
    <mergeCell ref="A17:H17"/>
    <mergeCell ref="A8:H8"/>
    <mergeCell ref="A9:B9"/>
    <mergeCell ref="C9:D9"/>
    <mergeCell ref="E9:F9"/>
    <mergeCell ref="G9:H9"/>
    <mergeCell ref="A10:B10"/>
    <mergeCell ref="C10:D10"/>
    <mergeCell ref="E10:F10"/>
    <mergeCell ref="G10:H10"/>
    <mergeCell ref="A11:H11"/>
    <mergeCell ref="A12:H12"/>
    <mergeCell ref="A13:H13"/>
    <mergeCell ref="A14:H14"/>
    <mergeCell ref="A7:H7"/>
    <mergeCell ref="A2:H3"/>
    <mergeCell ref="A15:H15"/>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A10" sqref="A10:B10"/>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7" t="str">
        <f>""&amp;" "&amp;malumot!B74&amp;"-sonli "&amp;" "&amp;malumot!C64&amp;" shartnomasi bo‘yicha
 garovga qo‘yilgan mol-mulkni tekshirish bo’yicha "&amp;malumot!B5&amp;" bilan tuzilgan dalolatnomasi"</f>
        <v xml:space="preserve"> 28 fevral 2025 y.dan №492-QRS-sonli  Mikroqarz shartnomasi bo‘yicha
 garovga qo‘yilgan mol-mulkni tekshirish bo’yicha ATAXANOV AKMAL AXMETDJANOVICH bilan tuzilgan dalolatnomasi</v>
      </c>
      <c r="B2" s="347"/>
      <c r="C2" s="347"/>
      <c r="D2" s="347"/>
      <c r="E2" s="347"/>
      <c r="F2" s="347"/>
      <c r="G2" s="347"/>
      <c r="H2" s="347"/>
      <c r="I2" s="31"/>
    </row>
    <row r="3" spans="1:9" x14ac:dyDescent="0.2">
      <c r="A3" s="347"/>
      <c r="B3" s="347"/>
      <c r="C3" s="347"/>
      <c r="D3" s="347"/>
      <c r="E3" s="347"/>
      <c r="F3" s="347"/>
      <c r="G3" s="347"/>
      <c r="H3" s="347"/>
      <c r="I3" s="31"/>
    </row>
    <row r="5" spans="1:9" x14ac:dyDescent="0.2">
      <c r="A5" s="24" t="s">
        <v>203</v>
      </c>
      <c r="H5" s="147" t="str">
        <f>TEXT(+malumot!B2+540,"ДД.ММ.ГГГГ")</f>
        <v>22.08.2026</v>
      </c>
    </row>
    <row r="7" spans="1:9" ht="45" customHeight="1" x14ac:dyDescent="0.2">
      <c r="A7" s="349" t="str">
        <f>"      Men, "&amp;malumot!B157&amp;" "&amp;malumot!A160&amp;"i "&amp;malumot!B160&amp;", jismoniy shaxs "&amp;" "&amp;malumot!B5&amp;" "&amp;" "&amp;malumot!B74&amp;"-sonli "&amp;malumot!C64&amp;" shartnomasi bo‘yicha garovga qo‘yilgan mol-mulkni ko‘zdan kechirdim"</f>
        <v xml:space="preserve">      Men, «CLEVER MIKROMOLIYA TASHKILOTI» MChJ Qorako'l filiali boshlig'ii D. Egamberdiyeva, jismoniy shaxs  ATAXANOV AKMAL AXMETDJANOVICH  28 fevral 2025 y.dan №492-QRS-sonli Mikroqarz shartnomasi bo‘yicha garovga qo‘yilgan mol-mulkni ko‘zdan kechirdim</v>
      </c>
      <c r="B7" s="349"/>
      <c r="C7" s="349"/>
      <c r="D7" s="349"/>
      <c r="E7" s="349"/>
      <c r="F7" s="349"/>
      <c r="G7" s="349"/>
      <c r="H7" s="349"/>
    </row>
    <row r="8" spans="1:9" ht="19.5" customHeight="1" x14ac:dyDescent="0.2">
      <c r="A8" s="350" t="s">
        <v>272</v>
      </c>
      <c r="B8" s="350"/>
      <c r="C8" s="350"/>
      <c r="D8" s="350"/>
      <c r="E8" s="350"/>
      <c r="F8" s="350"/>
      <c r="G8" s="350"/>
      <c r="H8" s="350"/>
    </row>
    <row r="9" spans="1:9" s="148" customFormat="1" ht="32.25" customHeight="1" x14ac:dyDescent="0.25">
      <c r="A9" s="345" t="str">
        <f>' Акт мониторинга 1'!A9</f>
        <v>Nomi</v>
      </c>
      <c r="B9" s="346"/>
      <c r="C9" s="345" t="str">
        <f>' Акт мониторинга 1'!C9</f>
        <v>Kuzov turi  va kuzov raqami*</v>
      </c>
      <c r="D9" s="346"/>
      <c r="E9" s="345" t="str">
        <f>' Акт мониторинга 1'!E9</f>
        <v>Dvigatel va shassi raqami*</v>
      </c>
      <c r="F9" s="346"/>
      <c r="G9" s="345" t="str">
        <f>' Акт мониторинга 1'!G9</f>
        <v>Ishlab chiqarilgan yili va rangi**</v>
      </c>
      <c r="H9" s="346"/>
    </row>
    <row r="10" spans="1:9" s="146" customFormat="1" ht="58.5" customHeight="1" x14ac:dyDescent="0.2">
      <c r="A10" s="351" t="str">
        <f>' Акт мониторинга 1'!A10</f>
        <v>DAMAS-2</v>
      </c>
      <c r="B10" s="352"/>
      <c r="C10" s="351" t="str">
        <f>' Акт мониторинга 1'!C10</f>
        <v>kuzov turi - YENGIL SEDAN, kuzov raqami XWB7T12YDRP863654</v>
      </c>
      <c r="D10" s="352"/>
      <c r="E10" s="351" t="str">
        <f>' Акт мониторинга 1'!E10</f>
        <v xml:space="preserve">dvigatel raqami F8CB240180255, shassi raqami -  - </v>
      </c>
      <c r="F10" s="352"/>
      <c r="G10" s="351" t="str">
        <f>' Акт мониторинга 1'!G10</f>
        <v>rangi -  OQ SUMMIT WHITE, ishlab chiqarilgan yili - 2024</v>
      </c>
      <c r="H10" s="352"/>
    </row>
    <row r="11" spans="1:9" ht="19.5" customHeight="1" x14ac:dyDescent="0.2">
      <c r="A11" s="344" t="str">
        <f>dalolatnoma!A22:E22</f>
        <v>-* avtotransport egasi: BOBONAZAROV ASLBEK AKRAM O'G'LI</v>
      </c>
      <c r="B11" s="344"/>
      <c r="C11" s="344"/>
      <c r="D11" s="344"/>
      <c r="E11" s="344"/>
      <c r="F11" s="344"/>
      <c r="G11" s="344"/>
      <c r="H11" s="344"/>
    </row>
    <row r="12" spans="1:9" ht="19.5" customHeight="1" x14ac:dyDescent="0.2">
      <c r="A12" s="344" t="str">
        <f>dalolatnoma!A23:E23</f>
        <v>-* texnik pasport: AAG 5348590 25.12.2024y.</v>
      </c>
      <c r="B12" s="344"/>
      <c r="C12" s="344"/>
      <c r="D12" s="344"/>
      <c r="E12" s="344"/>
      <c r="F12" s="344"/>
      <c r="G12" s="344"/>
      <c r="H12" s="344"/>
    </row>
    <row r="13" spans="1:9" ht="19.5" customHeight="1" x14ac:dyDescent="0.2">
      <c r="A13" s="344" t="str">
        <f>dalolatnoma!A24:E24</f>
        <v>-* roʻyxatdan oʻtgan manzili/garaj manzili: BUXORO VILOYATI QORAKO'L TUMANI ZARAFSHON MFY GULISTON 21 UY</v>
      </c>
      <c r="B13" s="344"/>
      <c r="C13" s="344"/>
      <c r="D13" s="344"/>
      <c r="E13" s="344"/>
      <c r="F13" s="344"/>
      <c r="G13" s="344"/>
      <c r="H13" s="344"/>
    </row>
    <row r="14" spans="1:9" ht="19.5" customHeight="1" x14ac:dyDescent="0.2">
      <c r="A14" s="344" t="str">
        <f>dalolatnoma!A25:E25</f>
        <v>-* davlat raqami: 80X089BB</v>
      </c>
      <c r="B14" s="344"/>
      <c r="C14" s="344"/>
      <c r="D14" s="344"/>
      <c r="E14" s="344"/>
      <c r="F14" s="344"/>
      <c r="G14" s="344"/>
      <c r="H14" s="344"/>
    </row>
    <row r="15" spans="1:9" ht="33.75" customHeight="1" x14ac:dyDescent="0.2">
      <c r="A15" s="348" t="str">
        <f>+"Shu bilan birga, yuqoridagi mulkning kelishilgan garov qiymati "&amp;dalolatnoma!E30</f>
        <v>Shu bilan birga, yuqoridagi mulkning kelishilgan garov qiymati 97 500 000,00 
(to'qson yetti million besh yuz ming so'm)</v>
      </c>
      <c r="B15" s="348"/>
      <c r="C15" s="348"/>
      <c r="D15" s="348"/>
      <c r="E15" s="348"/>
      <c r="F15" s="348"/>
      <c r="G15" s="348"/>
      <c r="H15" s="348"/>
    </row>
    <row r="17" spans="1:8" s="146" customFormat="1" ht="32.25" customHeight="1" x14ac:dyDescent="0.2">
      <c r="A17" s="342" t="s">
        <v>273</v>
      </c>
      <c r="B17" s="342"/>
      <c r="C17" s="342"/>
      <c r="D17" s="342"/>
      <c r="E17" s="342"/>
      <c r="F17" s="342"/>
      <c r="G17" s="342"/>
      <c r="H17" s="342"/>
    </row>
    <row r="21" spans="1:8" s="31" customFormat="1" x14ac:dyDescent="0.2"/>
    <row r="22" spans="1:8" s="31" customFormat="1" x14ac:dyDescent="0.2">
      <c r="A22" s="31" t="str">
        <f>malumot!A160</f>
        <v>Qorako'l filiali boshlig'i</v>
      </c>
      <c r="H22" s="149" t="str">
        <f>malumot!B160</f>
        <v>D. Egamberdiyeva</v>
      </c>
    </row>
    <row r="23" spans="1:8" s="31" customFormat="1" ht="32.25" customHeight="1" x14ac:dyDescent="0.2">
      <c r="H23" s="149"/>
    </row>
    <row r="24" spans="1:8" s="31" customFormat="1" ht="16.5" customHeight="1" x14ac:dyDescent="0.2">
      <c r="A24" s="31" t="s">
        <v>274</v>
      </c>
      <c r="H24" s="31" t="str">
        <f>malumot!B170</f>
        <v>B. Jumanazarov</v>
      </c>
    </row>
    <row r="25" spans="1:8" s="31" customFormat="1" ht="60" customHeight="1" x14ac:dyDescent="0.2"/>
    <row r="26" spans="1:8" s="31" customFormat="1" x14ac:dyDescent="0.2">
      <c r="A26" s="31" t="s">
        <v>275</v>
      </c>
      <c r="H26" s="149" t="str">
        <f>malumot!B7</f>
        <v>A. ATAXANOV</v>
      </c>
    </row>
    <row r="27" spans="1:8" s="31" customFormat="1" x14ac:dyDescent="0.2"/>
    <row r="28" spans="1:8" s="31" customFormat="1" x14ac:dyDescent="0.2"/>
    <row r="29" spans="1:8"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view="pageBreakPreview" topLeftCell="A6" zoomScaleNormal="100" zoomScaleSheetLayoutView="100" workbookViewId="0">
      <selection activeCell="G22" sqref="G22"/>
    </sheetView>
  </sheetViews>
  <sheetFormatPr defaultColWidth="9.140625" defaultRowHeight="12.75" x14ac:dyDescent="0.2"/>
  <cols>
    <col min="1" max="2" width="11" style="24" customWidth="1"/>
    <col min="3" max="4" width="14.42578125" style="24" customWidth="1"/>
    <col min="5" max="6" width="13.5703125" style="24" customWidth="1"/>
    <col min="7" max="7" width="9.140625" style="24"/>
    <col min="8" max="8" width="19" style="24" bestFit="1" customWidth="1"/>
    <col min="9" max="16384" width="9.140625" style="24"/>
  </cols>
  <sheetData>
    <row r="1" spans="1:9" x14ac:dyDescent="0.2">
      <c r="A1" s="31"/>
      <c r="B1" s="31"/>
      <c r="C1" s="31"/>
      <c r="D1" s="31"/>
      <c r="E1" s="31"/>
      <c r="F1" s="31"/>
      <c r="G1" s="31"/>
      <c r="H1" s="31"/>
      <c r="I1" s="31"/>
    </row>
    <row r="2" spans="1:9" x14ac:dyDescent="0.2">
      <c r="A2" s="347" t="str">
        <f>""&amp;" "&amp;malumot!B74&amp;"-sonli "&amp;" "&amp;malumot!C64&amp;" shartnomasi bo‘yicha
 garovga qo‘yilgan mol-mulkni tekshirish bo’yicha "&amp;malumot!B5&amp;" bilan tuzilgan dalolatnomasi"</f>
        <v xml:space="preserve"> 28 fevral 2025 y.dan №492-QRS-sonli  Mikroqarz shartnomasi bo‘yicha
 garovga qo‘yilgan mol-mulkni tekshirish bo’yicha ATAXANOV AKMAL AXMETDJANOVICH bilan tuzilgan dalolatnomasi</v>
      </c>
      <c r="B2" s="347"/>
      <c r="C2" s="347"/>
      <c r="D2" s="347"/>
      <c r="E2" s="347"/>
      <c r="F2" s="347"/>
      <c r="G2" s="347"/>
      <c r="H2" s="347"/>
      <c r="I2" s="31"/>
    </row>
    <row r="3" spans="1:9" x14ac:dyDescent="0.2">
      <c r="A3" s="347"/>
      <c r="B3" s="347"/>
      <c r="C3" s="347"/>
      <c r="D3" s="347"/>
      <c r="E3" s="347"/>
      <c r="F3" s="347"/>
      <c r="G3" s="347"/>
      <c r="H3" s="347"/>
      <c r="I3" s="31"/>
    </row>
    <row r="5" spans="1:9" x14ac:dyDescent="0.2">
      <c r="A5" s="24" t="s">
        <v>203</v>
      </c>
      <c r="H5" s="147" t="str">
        <f>TEXT(+malumot!B2+720,"ДД.ММ.ГГГГ")</f>
        <v>18.02.2027</v>
      </c>
    </row>
    <row r="7" spans="1:9" ht="45" customHeight="1" x14ac:dyDescent="0.2">
      <c r="A7" s="349" t="str">
        <f>"      Men, "&amp;malumot!B157&amp;" "&amp;malumot!A160&amp;"i "&amp;malumot!B160&amp;", jismoniy shaxs "&amp;" "&amp;malumot!B5&amp;" "&amp;" "&amp;malumot!B74&amp;"-sonli "&amp;malumot!C64&amp;" shartnomasi bo‘yicha garovga qo‘yilgan mol-mulkni ko‘zdan kechirdim"</f>
        <v xml:space="preserve">      Men, «CLEVER MIKROMOLIYA TASHKILOTI» MChJ Qorako'l filiali boshlig'ii D. Egamberdiyeva, jismoniy shaxs  ATAXANOV AKMAL AXMETDJANOVICH  28 fevral 2025 y.dan №492-QRS-sonli Mikroqarz shartnomasi bo‘yicha garovga qo‘yilgan mol-mulkni ko‘zdan kechirdim</v>
      </c>
      <c r="B7" s="349"/>
      <c r="C7" s="349"/>
      <c r="D7" s="349"/>
      <c r="E7" s="349"/>
      <c r="F7" s="349"/>
      <c r="G7" s="349"/>
      <c r="H7" s="349"/>
    </row>
    <row r="8" spans="1:9" ht="19.5" customHeight="1" x14ac:dyDescent="0.2">
      <c r="A8" s="350" t="s">
        <v>272</v>
      </c>
      <c r="B8" s="350"/>
      <c r="C8" s="350"/>
      <c r="D8" s="350"/>
      <c r="E8" s="350"/>
      <c r="F8" s="350"/>
      <c r="G8" s="350"/>
      <c r="H8" s="350"/>
    </row>
    <row r="9" spans="1:9" s="148" customFormat="1" ht="32.25" customHeight="1" x14ac:dyDescent="0.25">
      <c r="A9" s="345" t="str">
        <f>' Акт мониторинга 1'!A9</f>
        <v>Nomi</v>
      </c>
      <c r="B9" s="346"/>
      <c r="C9" s="345" t="str">
        <f>' Акт мониторинга 1'!C9</f>
        <v>Kuzov turi  va kuzov raqami*</v>
      </c>
      <c r="D9" s="346"/>
      <c r="E9" s="345" t="str">
        <f>' Акт мониторинга 1'!E9</f>
        <v>Dvigatel va shassi raqami*</v>
      </c>
      <c r="F9" s="346"/>
      <c r="G9" s="345" t="str">
        <f>' Акт мониторинга 1'!G9</f>
        <v>Ishlab chiqarilgan yili va rangi**</v>
      </c>
      <c r="H9" s="346"/>
    </row>
    <row r="10" spans="1:9" s="146" customFormat="1" ht="58.5" customHeight="1" x14ac:dyDescent="0.2">
      <c r="A10" s="343" t="str">
        <f>' Акт мониторинга 1'!A10</f>
        <v>DAMAS-2</v>
      </c>
      <c r="B10" s="343"/>
      <c r="C10" s="343" t="str">
        <f>' Акт мониторинга 1'!C10</f>
        <v>kuzov turi - YENGIL SEDAN, kuzov raqami XWB7T12YDRP863654</v>
      </c>
      <c r="D10" s="343"/>
      <c r="E10" s="343" t="str">
        <f>' Акт мониторинга 1'!E10</f>
        <v xml:space="preserve">dvigatel raqami F8CB240180255, shassi raqami -  - </v>
      </c>
      <c r="F10" s="343"/>
      <c r="G10" s="343" t="str">
        <f>' Акт мониторинга 1'!G10</f>
        <v>rangi -  OQ SUMMIT WHITE, ishlab chiqarilgan yili - 2024</v>
      </c>
      <c r="H10" s="343"/>
    </row>
    <row r="11" spans="1:9" ht="19.5" customHeight="1" x14ac:dyDescent="0.2">
      <c r="A11" s="344" t="str">
        <f>dalolatnoma!A22:E22</f>
        <v>-* avtotransport egasi: BOBONAZAROV ASLBEK AKRAM O'G'LI</v>
      </c>
      <c r="B11" s="344"/>
      <c r="C11" s="344"/>
      <c r="D11" s="344"/>
      <c r="E11" s="344"/>
      <c r="F11" s="344"/>
      <c r="G11" s="344"/>
      <c r="H11" s="344"/>
    </row>
    <row r="12" spans="1:9" ht="19.5" customHeight="1" x14ac:dyDescent="0.2">
      <c r="A12" s="344" t="str">
        <f>dalolatnoma!A23:E23</f>
        <v>-* texnik pasport: AAG 5348590 25.12.2024y.</v>
      </c>
      <c r="B12" s="344"/>
      <c r="C12" s="344"/>
      <c r="D12" s="344"/>
      <c r="E12" s="344"/>
      <c r="F12" s="344"/>
      <c r="G12" s="344"/>
      <c r="H12" s="344"/>
    </row>
    <row r="13" spans="1:9" ht="19.5" customHeight="1" x14ac:dyDescent="0.2">
      <c r="A13" s="344" t="str">
        <f>dalolatnoma!A24:E24</f>
        <v>-* roʻyxatdan oʻtgan manzili/garaj manzili: BUXORO VILOYATI QORAKO'L TUMANI ZARAFSHON MFY GULISTON 21 UY</v>
      </c>
      <c r="B13" s="344"/>
      <c r="C13" s="344"/>
      <c r="D13" s="344"/>
      <c r="E13" s="344"/>
      <c r="F13" s="344"/>
      <c r="G13" s="344"/>
      <c r="H13" s="344"/>
    </row>
    <row r="14" spans="1:9" ht="19.5" customHeight="1" x14ac:dyDescent="0.2">
      <c r="A14" s="344" t="str">
        <f>dalolatnoma!A25:E25</f>
        <v>-* davlat raqami: 80X089BB</v>
      </c>
      <c r="B14" s="344"/>
      <c r="C14" s="344"/>
      <c r="D14" s="344"/>
      <c r="E14" s="344"/>
      <c r="F14" s="344"/>
      <c r="G14" s="344"/>
      <c r="H14" s="344"/>
    </row>
    <row r="15" spans="1:9" ht="33.75" customHeight="1" x14ac:dyDescent="0.2">
      <c r="A15" s="348" t="str">
        <f>+"Shu bilan birga, yuqoridagi mulkning kelishilgan garov qiymati "&amp;dalolatnoma!E30</f>
        <v>Shu bilan birga, yuqoridagi mulkning kelishilgan garov qiymati 97 500 000,00 
(to'qson yetti million besh yuz ming so'm)</v>
      </c>
      <c r="B15" s="348"/>
      <c r="C15" s="348"/>
      <c r="D15" s="348"/>
      <c r="E15" s="348"/>
      <c r="F15" s="348"/>
      <c r="G15" s="348"/>
      <c r="H15" s="348"/>
    </row>
    <row r="17" spans="1:8" ht="28.5" customHeight="1" x14ac:dyDescent="0.2">
      <c r="A17" s="342" t="s">
        <v>273</v>
      </c>
      <c r="B17" s="342"/>
      <c r="C17" s="342"/>
      <c r="D17" s="342"/>
      <c r="E17" s="342"/>
      <c r="F17" s="342"/>
      <c r="G17" s="342"/>
      <c r="H17" s="342"/>
    </row>
    <row r="21" spans="1:8" s="31" customFormat="1" x14ac:dyDescent="0.2"/>
    <row r="22" spans="1:8" s="31" customFormat="1" x14ac:dyDescent="0.2">
      <c r="A22" s="31" t="str">
        <f>malumot!A160</f>
        <v>Qorako'l filiali boshlig'i</v>
      </c>
      <c r="H22" s="149" t="str">
        <f>malumot!B160</f>
        <v>D. Egamberdiyeva</v>
      </c>
    </row>
    <row r="23" spans="1:8" s="31" customFormat="1" ht="32.25" customHeight="1" x14ac:dyDescent="0.2">
      <c r="H23" s="149"/>
    </row>
    <row r="24" spans="1:8" s="31" customFormat="1" ht="16.5" customHeight="1" x14ac:dyDescent="0.2">
      <c r="A24" s="31" t="s">
        <v>274</v>
      </c>
      <c r="H24" s="31" t="str">
        <f>malumot!B170</f>
        <v>B. Jumanazarov</v>
      </c>
    </row>
    <row r="25" spans="1:8" s="31" customFormat="1" ht="60" customHeight="1" x14ac:dyDescent="0.2"/>
    <row r="26" spans="1:8" s="31" customFormat="1" x14ac:dyDescent="0.2">
      <c r="A26" s="31" t="s">
        <v>275</v>
      </c>
      <c r="H26" s="149" t="str">
        <f>malumot!B7</f>
        <v>A. ATAXANOV</v>
      </c>
    </row>
    <row r="27" spans="1:8" s="31" customFormat="1" x14ac:dyDescent="0.2"/>
    <row r="28" spans="1:8" s="31" customFormat="1" x14ac:dyDescent="0.2"/>
    <row r="29" spans="1:8" s="31" customFormat="1" x14ac:dyDescent="0.2"/>
  </sheetData>
  <mergeCells count="17">
    <mergeCell ref="G9:H9"/>
    <mergeCell ref="A2:H3"/>
    <mergeCell ref="A13:H13"/>
    <mergeCell ref="A14:H14"/>
    <mergeCell ref="A15:H15"/>
    <mergeCell ref="A7:H7"/>
    <mergeCell ref="A8:H8"/>
    <mergeCell ref="A9:B9"/>
    <mergeCell ref="C9:D9"/>
    <mergeCell ref="E9:F9"/>
    <mergeCell ref="A17:H17"/>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22</vt:i4>
      </vt:variant>
      <vt:variant>
        <vt:lpstr>Именованные диапазоны</vt:lpstr>
      </vt:variant>
      <vt:variant>
        <vt:i4>11</vt:i4>
      </vt:variant>
    </vt:vector>
  </HeadingPairs>
  <TitlesOfParts>
    <vt:vector size="33" baseType="lpstr">
      <vt:lpstr>malumot</vt:lpstr>
      <vt:lpstr>shartnoma</vt:lpstr>
      <vt:lpstr>buyruq</vt:lpstr>
      <vt:lpstr>bayonnoma</vt:lpstr>
      <vt:lpstr>График дифференц</vt:lpstr>
      <vt:lpstr>Данные для послед. Залога</vt:lpstr>
      <vt:lpstr>График аннуитет.</vt:lpstr>
      <vt:lpstr>xulosa</vt:lpstr>
      <vt:lpstr>dalolatnoma</vt:lpstr>
      <vt:lpstr>grafik</vt:lpstr>
      <vt:lpstr>ariza</vt:lpstr>
      <vt:lpstr>muqova</vt:lpstr>
      <vt:lpstr>mijoz_anketasi</vt:lpstr>
      <vt:lpstr>majburiyatnoma</vt:lpstr>
      <vt:lpstr>Лист2</vt:lpstr>
      <vt:lpstr>Анкета 2</vt:lpstr>
      <vt:lpstr>Кредитная заявка</vt:lpstr>
      <vt:lpstr>Письмо</vt:lpstr>
      <vt:lpstr> Акт мониторинга 2</vt:lpstr>
      <vt:lpstr> Акт мониторинга 1</vt:lpstr>
      <vt:lpstr> Акт мониторинга 3</vt:lpstr>
      <vt:lpstr> Акт мониторинга 4</vt:lpstr>
      <vt:lpstr>ariza!Область_печати</vt:lpstr>
      <vt:lpstr>bayonnoma!Область_печати</vt:lpstr>
      <vt:lpstr>buyruq!Область_печати</vt:lpstr>
      <vt:lpstr>dalolatnoma!Область_печати</vt:lpstr>
      <vt:lpstr>grafik!Область_печати</vt:lpstr>
      <vt:lpstr>mijoz_anketasi!Область_печати</vt:lpstr>
      <vt:lpstr>muqova!Область_печати</vt:lpstr>
      <vt:lpstr>shartnoma!Область_печати</vt:lpstr>
      <vt:lpstr>xulosa!Область_печати</vt:lpstr>
      <vt:lpstr>'График аннуитет.'!Область_печати</vt:lpstr>
      <vt:lpstr>'Кредитная заявка'!Область_печати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r.saipova</dc:creator>
  <cp:lastModifiedBy>Admin</cp:lastModifiedBy>
  <cp:lastPrinted>2025-02-05T10:01:57Z</cp:lastPrinted>
  <dcterms:created xsi:type="dcterms:W3CDTF">2015-06-05T18:19:34Z</dcterms:created>
  <dcterms:modified xsi:type="dcterms:W3CDTF">2025-03-24T07:46:53Z</dcterms:modified>
</cp:coreProperties>
</file>