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Z:\Кредитный дела 2025\03 март\№548 алмалык\"/>
    </mc:Choice>
  </mc:AlternateContent>
  <xr:revisionPtr revIDLastSave="0" documentId="13_ncr:1_{38E8C968-421F-42A5-962E-90D2DAEEFA3D}" xr6:coauthVersionLast="47" xr6:coauthVersionMax="47" xr10:uidLastSave="{00000000-0000-0000-0000-000000000000}"/>
  <bookViews>
    <workbookView xWindow="-120" yWindow="-120" windowWidth="29040" windowHeight="15840" tabRatio="915" firstSheet="3" activeTab="3"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3">'Акт согласования'!$A$1:$E$81</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договор!$A$1:$B$128</definedName>
    <definedName name="_xlnm.Print_Area" localSheetId="12">'заявление залогодателя'!$A$3:$B$21</definedName>
    <definedName name="_xlnm.Print_Area" localSheetId="7">'Кредитная заявка'!$A$1:$D$40</definedName>
    <definedName name="_xlnm.Print_Area" localSheetId="15">обложка!$A$1:$G$42</definedName>
    <definedName name="_xlnm.Print_Area" localSheetId="0">'Протокол  (2)'!$A$1:$E$56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13" l="1"/>
  <c r="B9" i="1"/>
  <c r="B11" i="1" s="1"/>
  <c r="B13" i="1" s="1"/>
  <c r="B8" i="1"/>
  <c r="B10" i="1" s="1"/>
  <c r="B12" i="1" s="1"/>
  <c r="B82" i="1"/>
  <c r="B76" i="1" l="1"/>
  <c r="B122" i="1"/>
  <c r="B119" i="1" l="1"/>
  <c r="B120" i="1"/>
  <c r="A31" i="12" l="1"/>
  <c r="A32" i="12" s="1"/>
  <c r="A33" i="12" s="1"/>
  <c r="A31" i="15"/>
  <c r="A32" i="15" s="1"/>
  <c r="B65" i="1"/>
  <c r="A10" i="16"/>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34" i="12" l="1"/>
  <c r="A33" i="15"/>
  <c r="H24" i="29"/>
  <c r="H24" i="28"/>
  <c r="H24" i="27"/>
  <c r="A22" i="26"/>
  <c r="H24" i="26"/>
  <c r="B7" i="13"/>
  <c r="B126" i="19"/>
  <c r="E69" i="3"/>
  <c r="A69" i="3"/>
  <c r="A77" i="3"/>
  <c r="A75" i="3"/>
  <c r="A71" i="3"/>
  <c r="A66" i="3"/>
  <c r="A55" i="3"/>
  <c r="A1" i="3"/>
  <c r="C1" i="2"/>
  <c r="D17" i="23"/>
  <c r="E17" i="23" s="1"/>
  <c r="A1" i="23"/>
  <c r="A56" i="23"/>
  <c r="A55" i="23"/>
  <c r="D58" i="16"/>
  <c r="A35" i="12" l="1"/>
  <c r="A34" i="15"/>
  <c r="A110" i="1"/>
  <c r="A109" i="1"/>
  <c r="A108" i="1"/>
  <c r="A107" i="1"/>
  <c r="H9" i="23"/>
  <c r="A57" i="16"/>
  <c r="A18" i="23" l="1"/>
  <c r="A7" i="23"/>
  <c r="A36" i="12"/>
  <c r="A35" i="15"/>
  <c r="B58" i="1"/>
  <c r="B49" i="1"/>
  <c r="B59" i="1" s="1"/>
  <c r="A37" i="12" l="1"/>
  <c r="A36" i="15"/>
  <c r="A16" i="4"/>
  <c r="A17" i="4"/>
  <c r="A7" i="24"/>
  <c r="B47" i="1"/>
  <c r="B45" i="1" s="1"/>
  <c r="B27" i="1"/>
  <c r="B34" i="1"/>
  <c r="B116" i="1"/>
  <c r="B114" i="1"/>
  <c r="B113" i="1"/>
  <c r="B112" i="1"/>
  <c r="B111" i="1"/>
  <c r="D80" i="7" l="1"/>
  <c r="B118" i="1"/>
  <c r="B8" i="13"/>
  <c r="B117" i="1"/>
  <c r="A38" i="12"/>
  <c r="A37" i="15"/>
  <c r="D77" i="7"/>
  <c r="A39" i="12" l="1"/>
  <c r="A38" i="15"/>
  <c r="A70" i="7"/>
  <c r="A69" i="7"/>
  <c r="B6" i="13"/>
  <c r="D2" i="2"/>
  <c r="C76" i="1"/>
  <c r="A40" i="12" l="1"/>
  <c r="A39" i="15"/>
  <c r="A31" i="4"/>
  <c r="A30" i="2"/>
  <c r="H77" i="19"/>
  <c r="A77" i="19" s="1"/>
  <c r="H21" i="19"/>
  <c r="A72" i="19"/>
  <c r="H68" i="19"/>
  <c r="A68" i="19" s="1"/>
  <c r="A55" i="19"/>
  <c r="A5" i="23"/>
  <c r="A15" i="19"/>
  <c r="A12" i="19"/>
  <c r="A33" i="19"/>
  <c r="B32" i="19" s="1"/>
  <c r="A31" i="19" s="1"/>
  <c r="A87" i="1"/>
  <c r="A10" i="3"/>
  <c r="A17" i="2"/>
  <c r="A18" i="2"/>
  <c r="A9" i="19"/>
  <c r="A19" i="19"/>
  <c r="A46" i="19"/>
  <c r="A70" i="19"/>
  <c r="A95" i="19"/>
  <c r="C64" i="1"/>
  <c r="A47" i="16" s="1"/>
  <c r="C21" i="19"/>
  <c r="A51" i="19"/>
  <c r="A62" i="19"/>
  <c r="A73" i="19"/>
  <c r="C39" i="19"/>
  <c r="A39" i="19" s="1"/>
  <c r="A65" i="19"/>
  <c r="C74" i="19"/>
  <c r="A74" i="19" s="1"/>
  <c r="H17" i="19"/>
  <c r="A17" i="19" s="1"/>
  <c r="I21" i="19"/>
  <c r="A42" i="19"/>
  <c r="A59" i="19"/>
  <c r="A91" i="19"/>
  <c r="A20" i="19"/>
  <c r="C54" i="19"/>
  <c r="A54" i="19" s="1"/>
  <c r="A60" i="19"/>
  <c r="A67" i="19"/>
  <c r="A20" i="23"/>
  <c r="A51" i="23"/>
  <c r="D64" i="1"/>
  <c r="A22" i="19" s="1"/>
  <c r="A1" i="1"/>
  <c r="A79" i="1"/>
  <c r="A85" i="1"/>
  <c r="A2" i="1"/>
  <c r="A81" i="1"/>
  <c r="A86" i="1"/>
  <c r="A75" i="1"/>
  <c r="A82" i="1"/>
  <c r="A89" i="1"/>
  <c r="A78" i="1"/>
  <c r="A84" i="1"/>
  <c r="A41" i="12" l="1"/>
  <c r="A40" i="15"/>
  <c r="A13" i="2"/>
  <c r="A16" i="2"/>
  <c r="A21" i="2"/>
  <c r="A14" i="23"/>
  <c r="A4" i="2"/>
  <c r="B26" i="9"/>
  <c r="A22" i="23"/>
  <c r="A14" i="19"/>
  <c r="A15" i="2"/>
  <c r="A24" i="23"/>
  <c r="A21" i="23"/>
  <c r="A40" i="19"/>
  <c r="A23" i="23"/>
  <c r="B25" i="9"/>
  <c r="A21" i="19"/>
  <c r="A13" i="19"/>
  <c r="A14" i="2"/>
  <c r="A26" i="3"/>
  <c r="A61" i="19"/>
  <c r="A23" i="19"/>
  <c r="A11" i="19"/>
  <c r="A42" i="12" l="1"/>
  <c r="A41" i="15"/>
  <c r="H7" i="23"/>
  <c r="A2" i="23" s="1"/>
  <c r="A43" i="12" l="1"/>
  <c r="A42" i="15"/>
  <c r="A47" i="8"/>
  <c r="A80" i="7"/>
  <c r="A79" i="7"/>
  <c r="A43" i="15" l="1"/>
  <c r="A120" i="19"/>
  <c r="A53" i="16" s="1"/>
  <c r="A30" i="4"/>
  <c r="B122" i="19"/>
  <c r="D55" i="16" s="1"/>
  <c r="A15" i="4"/>
  <c r="A14" i="4"/>
  <c r="A13" i="4"/>
  <c r="A7" i="3"/>
  <c r="C8" i="15"/>
  <c r="J12" i="15"/>
  <c r="A10" i="4" l="1"/>
  <c r="A9" i="4" s="1"/>
  <c r="D59" i="16"/>
  <c r="B124" i="19"/>
  <c r="D57" i="16" s="1"/>
  <c r="B123" i="19"/>
  <c r="D56" i="16" s="1"/>
  <c r="B119" i="19"/>
  <c r="D52" i="16" s="1"/>
  <c r="B117" i="19"/>
  <c r="D51" i="16" s="1"/>
  <c r="A123" i="19" l="1"/>
  <c r="A56" i="16" s="1"/>
  <c r="A122" i="19"/>
  <c r="A55" i="16" s="1"/>
  <c r="A121" i="19"/>
  <c r="A54" i="16" s="1"/>
  <c r="A119" i="19"/>
  <c r="A52" i="16" s="1"/>
  <c r="E25" i="8" l="1"/>
  <c r="B24" i="9"/>
  <c r="B2" i="9"/>
  <c r="A22" i="29"/>
  <c r="A22" i="28"/>
  <c r="H5" i="29"/>
  <c r="H5" i="28"/>
  <c r="H5" i="27"/>
  <c r="A22" i="27"/>
  <c r="H22" i="26"/>
  <c r="D2" i="1"/>
  <c r="H5" i="26" s="1"/>
  <c r="A24" i="13"/>
  <c r="A22" i="13"/>
  <c r="A34" i="2"/>
  <c r="A29" i="4"/>
  <c r="A28" i="4"/>
  <c r="A20" i="4"/>
  <c r="A7" i="4"/>
  <c r="A11" i="24"/>
  <c r="A42" i="7"/>
  <c r="A41" i="7"/>
  <c r="A40" i="7"/>
  <c r="A25" i="7"/>
  <c r="A23" i="7"/>
  <c r="A14" i="7"/>
  <c r="A13" i="7"/>
  <c r="A2" i="7"/>
  <c r="A53" i="3"/>
  <c r="A52" i="3"/>
  <c r="A51" i="3"/>
  <c r="A35" i="3"/>
  <c r="A33" i="3"/>
  <c r="A31" i="3"/>
  <c r="A8" i="3"/>
  <c r="A5" i="3"/>
  <c r="A4" i="3"/>
  <c r="A11" i="8"/>
  <c r="A10" i="8"/>
  <c r="A9" i="8"/>
  <c r="A12" i="2"/>
  <c r="A11" i="2"/>
  <c r="A7" i="2"/>
  <c r="B164" i="1"/>
  <c r="I126" i="1"/>
  <c r="H126" i="1"/>
  <c r="I125" i="1"/>
  <c r="F125" i="1" s="1"/>
  <c r="H125" i="1"/>
  <c r="C125" i="1"/>
  <c r="C126" i="1" s="1"/>
  <c r="A16" i="7" s="1"/>
  <c r="C122" i="1"/>
  <c r="C121" i="1"/>
  <c r="C120" i="1"/>
  <c r="C119" i="1"/>
  <c r="C118" i="1"/>
  <c r="D79" i="7" s="1"/>
  <c r="C117" i="1"/>
  <c r="B136" i="1"/>
  <c r="B137" i="1" s="1"/>
  <c r="B133" i="1"/>
  <c r="B130" i="1"/>
  <c r="A24" i="7"/>
  <c r="C137" i="1" l="1"/>
  <c r="B138" i="1"/>
  <c r="A17" i="8"/>
  <c r="A6" i="2"/>
  <c r="E48" i="7"/>
  <c r="A66" i="7"/>
  <c r="A15" i="7"/>
  <c r="A19" i="7" s="1"/>
  <c r="A24" i="2"/>
  <c r="E125" i="1"/>
  <c r="A34" i="3"/>
  <c r="A27" i="3"/>
  <c r="A29" i="3" s="1"/>
  <c r="A26" i="23" s="1"/>
  <c r="A32" i="3"/>
  <c r="A17" i="7"/>
  <c r="A18" i="7" s="1"/>
  <c r="A50" i="3"/>
  <c r="A22" i="7"/>
  <c r="B9" i="13"/>
  <c r="A20" i="3"/>
  <c r="A25" i="2"/>
  <c r="A16" i="8"/>
  <c r="A27" i="2"/>
  <c r="A39" i="7"/>
  <c r="A28" i="2"/>
  <c r="A28" i="3"/>
  <c r="F126" i="1"/>
  <c r="E126" i="1"/>
  <c r="A8" i="8"/>
  <c r="A56" i="3" l="1"/>
  <c r="A14" i="13" l="1"/>
  <c r="A13" i="13" s="1"/>
  <c r="A15" i="13"/>
  <c r="A21" i="4"/>
  <c r="A10" i="2"/>
  <c r="A9" i="2"/>
  <c r="A19" i="4"/>
  <c r="A126" i="19" l="1"/>
  <c r="A59" i="16" s="1"/>
  <c r="B66" i="1" l="1"/>
  <c r="A1" i="19" s="1"/>
  <c r="H26" i="29"/>
  <c r="H26" i="28"/>
  <c r="H26" i="27"/>
  <c r="H22" i="29"/>
  <c r="A10" i="29"/>
  <c r="H22" i="28"/>
  <c r="A10" i="28"/>
  <c r="H22" i="27"/>
  <c r="A10" i="27"/>
  <c r="H26" i="26"/>
  <c r="A10" i="26"/>
  <c r="D74" i="7" l="1"/>
  <c r="A74" i="7"/>
  <c r="A131" i="19"/>
  <c r="B102" i="1"/>
  <c r="R124" i="1" l="1"/>
  <c r="R125" i="1" s="1"/>
  <c r="N126" i="1" s="1"/>
  <c r="A25" i="13"/>
  <c r="A26" i="13" s="1"/>
  <c r="A28" i="13" s="1"/>
  <c r="Q124" i="1"/>
  <c r="Q125" i="1" s="1"/>
  <c r="N125" i="1" s="1"/>
  <c r="A20" i="13" l="1"/>
  <c r="C81" i="7" s="1"/>
  <c r="B24" i="4"/>
  <c r="B67" i="1" l="1"/>
  <c r="C78" i="1" s="1"/>
  <c r="C79" i="1" s="1"/>
  <c r="C80" i="1" s="1"/>
  <c r="B79" i="1" s="1"/>
  <c r="B80" i="1" s="1"/>
  <c r="B145" i="1" l="1"/>
  <c r="B143" i="1"/>
  <c r="C18" i="1" l="1"/>
  <c r="B20" i="1" l="1"/>
  <c r="C20" i="1"/>
  <c r="A5" i="19" s="1"/>
  <c r="G10" i="29"/>
  <c r="G10" i="28"/>
  <c r="G10" i="26"/>
  <c r="G10" i="27"/>
  <c r="B115" i="1" l="1"/>
  <c r="B121" i="1"/>
  <c r="B121" i="19"/>
  <c r="D53" i="16" s="1"/>
  <c r="A8" i="2"/>
  <c r="B33" i="23"/>
  <c r="C33" i="23"/>
  <c r="D33" i="23"/>
  <c r="E33" i="23"/>
  <c r="A33" i="23"/>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A48" i="23"/>
  <c r="F27" i="4" l="1"/>
  <c r="A21" i="3" s="1"/>
  <c r="D25" i="21" l="1"/>
  <c r="C25" i="21"/>
  <c r="A25" i="21"/>
  <c r="B25" i="21" s="1"/>
  <c r="M22" i="21"/>
  <c r="E67" i="7" l="1"/>
  <c r="O2" i="21"/>
  <c r="P2" i="21" s="1"/>
  <c r="P5" i="21"/>
  <c r="P13" i="21"/>
  <c r="P17" i="21"/>
  <c r="P21" i="21"/>
  <c r="O4" i="21"/>
  <c r="P4" i="21" s="1"/>
  <c r="P15" i="21"/>
  <c r="P16" i="21"/>
  <c r="P20" i="21"/>
  <c r="P7" i="21"/>
  <c r="P8" i="21"/>
  <c r="P9" i="21"/>
  <c r="P10" i="21"/>
  <c r="P18" i="21"/>
  <c r="P6" i="21"/>
  <c r="P14" i="21"/>
  <c r="O3" i="21"/>
  <c r="P3" i="21" s="1"/>
  <c r="P11" i="21"/>
  <c r="P12" i="21"/>
  <c r="P19" i="21"/>
  <c r="B51" i="7"/>
  <c r="B34" i="23" s="1"/>
  <c r="A51" i="7"/>
  <c r="A34" i="23" s="1"/>
  <c r="W2" i="21" l="1"/>
  <c r="A64" i="7" s="1"/>
  <c r="C136" i="1"/>
  <c r="D67" i="7" l="1"/>
  <c r="E45" i="23"/>
  <c r="E34" i="23"/>
  <c r="E51" i="7"/>
  <c r="A38" i="20"/>
  <c r="A37" i="20"/>
  <c r="B19" i="20"/>
  <c r="C19" i="20"/>
  <c r="D19" i="20"/>
  <c r="E19" i="20"/>
  <c r="A19" i="20"/>
  <c r="E37" i="7" l="1"/>
  <c r="E36" i="7"/>
  <c r="E35" i="7"/>
  <c r="E34" i="7"/>
  <c r="E33" i="7"/>
  <c r="E32" i="7"/>
  <c r="E31" i="7"/>
  <c r="E30" i="7"/>
  <c r="E29" i="7"/>
  <c r="E28" i="7"/>
  <c r="L5" i="15"/>
  <c r="I8" i="15" l="1"/>
  <c r="E20" i="20"/>
  <c r="B26" i="4"/>
  <c r="B27" i="4" s="1"/>
  <c r="A33" i="20" l="1"/>
  <c r="A47" i="23"/>
  <c r="C19" i="1"/>
  <c r="B21" i="1" s="1"/>
  <c r="A6" i="3" l="1"/>
  <c r="C21" i="1"/>
  <c r="B8" i="15"/>
  <c r="C5" i="22"/>
  <c r="A33" i="22" s="1"/>
  <c r="B9" i="16" l="1"/>
  <c r="R32" i="15"/>
  <c r="R33" i="15"/>
  <c r="R34" i="15"/>
  <c r="R35" i="15"/>
  <c r="R36" i="15"/>
  <c r="R37" i="15"/>
  <c r="R38" i="15"/>
  <c r="R39" i="15"/>
  <c r="R40" i="15"/>
  <c r="R41" i="15"/>
  <c r="R42" i="15"/>
  <c r="R43" i="15"/>
  <c r="R28" i="15"/>
  <c r="O28" i="15" s="1"/>
  <c r="P28" i="15" s="1"/>
  <c r="Q28" i="15" s="1"/>
  <c r="B28" i="15" s="1"/>
  <c r="B29" i="16" s="1"/>
  <c r="R29" i="15"/>
  <c r="O29" i="15" s="1"/>
  <c r="P29" i="15" s="1"/>
  <c r="Q29" i="15" s="1"/>
  <c r="B29" i="15" s="1"/>
  <c r="B30" i="16" s="1"/>
  <c r="R27" i="15"/>
  <c r="O27" i="15" s="1"/>
  <c r="P27" i="15" s="1"/>
  <c r="Q27" i="15" s="1"/>
  <c r="B27" i="15" s="1"/>
  <c r="B28" i="16" s="1"/>
  <c r="R30" i="15"/>
  <c r="O30" i="15" s="1"/>
  <c r="P30" i="15" s="1"/>
  <c r="Q30" i="15" s="1"/>
  <c r="B30" i="15" s="1"/>
  <c r="B31" i="16" s="1"/>
  <c r="R31" i="15"/>
  <c r="R26" i="15"/>
  <c r="O26" i="15" s="1"/>
  <c r="P26" i="15" s="1"/>
  <c r="Q26" i="15" s="1"/>
  <c r="B26" i="15" s="1"/>
  <c r="B27" i="16" s="1"/>
  <c r="R20" i="15"/>
  <c r="R21" i="15"/>
  <c r="R23" i="15"/>
  <c r="R22" i="15"/>
  <c r="R10" i="15"/>
  <c r="R9" i="15"/>
  <c r="G8" i="15"/>
  <c r="R12" i="15"/>
  <c r="R19" i="15"/>
  <c r="H8" i="15"/>
  <c r="R15" i="15"/>
  <c r="O8" i="15"/>
  <c r="P8" i="15" s="1"/>
  <c r="Q8" i="15" s="1"/>
  <c r="R16" i="15"/>
  <c r="R17" i="15"/>
  <c r="R18" i="15"/>
  <c r="R11" i="15"/>
  <c r="R13" i="15"/>
  <c r="R14" i="15"/>
  <c r="B8" i="12"/>
  <c r="R24" i="15"/>
  <c r="R25" i="15"/>
  <c r="O39" i="15" l="1"/>
  <c r="P39" i="15" s="1"/>
  <c r="Q39" i="15" s="1"/>
  <c r="B39" i="15" s="1"/>
  <c r="B40" i="16" s="1"/>
  <c r="O40" i="15"/>
  <c r="P40" i="15" s="1"/>
  <c r="Q40" i="15" s="1"/>
  <c r="B40" i="15" s="1"/>
  <c r="B41" i="16" s="1"/>
  <c r="O32" i="15"/>
  <c r="P32" i="15" s="1"/>
  <c r="Q32" i="15" s="1"/>
  <c r="B32" i="15" s="1"/>
  <c r="B33" i="16" s="1"/>
  <c r="O41" i="15"/>
  <c r="P41" i="15" s="1"/>
  <c r="Q41" i="15" s="1"/>
  <c r="B41" i="15" s="1"/>
  <c r="B42" i="16" s="1"/>
  <c r="O33" i="15"/>
  <c r="P33" i="15" s="1"/>
  <c r="Q33" i="15" s="1"/>
  <c r="B33" i="15" s="1"/>
  <c r="B34" i="16" s="1"/>
  <c r="O42" i="15"/>
  <c r="P42" i="15" s="1"/>
  <c r="Q42" i="15" s="1"/>
  <c r="B42" i="15" s="1"/>
  <c r="B43" i="16" s="1"/>
  <c r="O34" i="15"/>
  <c r="P34" i="15" s="1"/>
  <c r="Q34" i="15" s="1"/>
  <c r="B34" i="15" s="1"/>
  <c r="B35" i="16" s="1"/>
  <c r="O43" i="15"/>
  <c r="P43" i="15" s="1"/>
  <c r="Q43" i="15" s="1"/>
  <c r="B43" i="15"/>
  <c r="B44" i="16" s="1"/>
  <c r="O35" i="15"/>
  <c r="P35" i="15" s="1"/>
  <c r="Q35" i="15" s="1"/>
  <c r="B35" i="15" s="1"/>
  <c r="B36" i="16" s="1"/>
  <c r="O36" i="15"/>
  <c r="P36" i="15" s="1"/>
  <c r="Q36" i="15" s="1"/>
  <c r="B36" i="15" s="1"/>
  <c r="B37" i="16" s="1"/>
  <c r="O37" i="15"/>
  <c r="P37" i="15" s="1"/>
  <c r="Q37" i="15" s="1"/>
  <c r="B37" i="15" s="1"/>
  <c r="B38" i="16" s="1"/>
  <c r="O38" i="15"/>
  <c r="P38" i="15" s="1"/>
  <c r="Q38" i="15" s="1"/>
  <c r="B38" i="15" s="1"/>
  <c r="B39" i="16" s="1"/>
  <c r="B26" i="12"/>
  <c r="O31" i="15"/>
  <c r="P31" i="15" s="1"/>
  <c r="Q31" i="15" s="1"/>
  <c r="B31" i="15" s="1"/>
  <c r="B32" i="16" s="1"/>
  <c r="B30" i="12"/>
  <c r="B27" i="12"/>
  <c r="B29" i="12"/>
  <c r="B28" i="12"/>
  <c r="O18" i="15"/>
  <c r="P18" i="15" s="1"/>
  <c r="Q18" i="15" s="1"/>
  <c r="B18" i="15" s="1"/>
  <c r="B19" i="16" s="1"/>
  <c r="O24" i="15"/>
  <c r="P24" i="15" s="1"/>
  <c r="Q24" i="15" s="1"/>
  <c r="B24" i="15" s="1"/>
  <c r="B25" i="16" s="1"/>
  <c r="O15" i="15"/>
  <c r="P15" i="15" s="1"/>
  <c r="Q15" i="15" s="1"/>
  <c r="B15" i="15" s="1"/>
  <c r="B16" i="16" s="1"/>
  <c r="O13" i="15"/>
  <c r="P13" i="15" s="1"/>
  <c r="Q13" i="15" s="1"/>
  <c r="B13" i="15" s="1"/>
  <c r="O17" i="15"/>
  <c r="P17" i="15" s="1"/>
  <c r="Q17" i="15" s="1"/>
  <c r="B17" i="15" s="1"/>
  <c r="B18" i="16" s="1"/>
  <c r="O16" i="15"/>
  <c r="P16" i="15" s="1"/>
  <c r="Q16" i="15" s="1"/>
  <c r="B16" i="15" s="1"/>
  <c r="B17" i="16" s="1"/>
  <c r="O22" i="15"/>
  <c r="P22" i="15" s="1"/>
  <c r="Q22" i="15" s="1"/>
  <c r="B22" i="15" s="1"/>
  <c r="B23" i="16" s="1"/>
  <c r="O23" i="15"/>
  <c r="P23" i="15" s="1"/>
  <c r="Q23" i="15" s="1"/>
  <c r="B23" i="15" s="1"/>
  <c r="B24" i="16" s="1"/>
  <c r="O21" i="15"/>
  <c r="P21" i="15" s="1"/>
  <c r="Q21" i="15" s="1"/>
  <c r="B21" i="15" s="1"/>
  <c r="B22" i="16" s="1"/>
  <c r="O20" i="15"/>
  <c r="P20" i="15" s="1"/>
  <c r="Q20" i="15" s="1"/>
  <c r="B20" i="15" s="1"/>
  <c r="B21" i="16" s="1"/>
  <c r="L8" i="15"/>
  <c r="O11" i="15"/>
  <c r="P11" i="15" s="1"/>
  <c r="Q11" i="15" s="1"/>
  <c r="O10" i="15"/>
  <c r="P10" i="15" s="1"/>
  <c r="Q10" i="15" s="1"/>
  <c r="O9" i="15"/>
  <c r="P9" i="15" s="1"/>
  <c r="Q9" i="15" s="1"/>
  <c r="O19" i="15"/>
  <c r="P19" i="15" s="1"/>
  <c r="Q19" i="15" s="1"/>
  <c r="B19" i="15" s="1"/>
  <c r="O14" i="15"/>
  <c r="P14" i="15" s="1"/>
  <c r="Q14" i="15" s="1"/>
  <c r="B14" i="15" s="1"/>
  <c r="B15" i="16" s="1"/>
  <c r="O12" i="15"/>
  <c r="P12" i="15" s="1"/>
  <c r="Q12" i="15" s="1"/>
  <c r="O25" i="15"/>
  <c r="P25" i="15" s="1"/>
  <c r="Q25" i="15" s="1"/>
  <c r="B25" i="15" s="1"/>
  <c r="B26" i="16" s="1"/>
  <c r="H40" i="15" l="1"/>
  <c r="B40" i="12"/>
  <c r="G40" i="15"/>
  <c r="H32" i="15"/>
  <c r="B32" i="12"/>
  <c r="H32" i="12" s="1"/>
  <c r="H39" i="15"/>
  <c r="G39" i="15"/>
  <c r="B39" i="12"/>
  <c r="B41" i="12"/>
  <c r="G41" i="15"/>
  <c r="H41" i="15"/>
  <c r="H38" i="15"/>
  <c r="G38" i="15"/>
  <c r="B38" i="12"/>
  <c r="B35" i="12"/>
  <c r="H35" i="15"/>
  <c r="G35" i="15"/>
  <c r="G42" i="15"/>
  <c r="H42" i="15"/>
  <c r="B42" i="12"/>
  <c r="H37" i="15"/>
  <c r="G37" i="15"/>
  <c r="B37" i="12"/>
  <c r="H34" i="15"/>
  <c r="B34" i="12"/>
  <c r="G34" i="15"/>
  <c r="B36" i="12"/>
  <c r="H36" i="15"/>
  <c r="G36" i="15"/>
  <c r="H33" i="15"/>
  <c r="G33" i="15"/>
  <c r="B33" i="12"/>
  <c r="G43" i="15"/>
  <c r="H43" i="15"/>
  <c r="B43" i="12"/>
  <c r="G32" i="15"/>
  <c r="B13" i="12"/>
  <c r="B14" i="16"/>
  <c r="B19" i="12"/>
  <c r="B20" i="16"/>
  <c r="B23" i="12"/>
  <c r="B21" i="12"/>
  <c r="B22" i="12"/>
  <c r="B20" i="12"/>
  <c r="B24" i="12"/>
  <c r="E8" i="15"/>
  <c r="B31" i="12"/>
  <c r="H31" i="15"/>
  <c r="B25" i="12"/>
  <c r="H25" i="15"/>
  <c r="B16" i="12"/>
  <c r="H16" i="15"/>
  <c r="G16" i="15"/>
  <c r="B17" i="12"/>
  <c r="G17" i="15"/>
  <c r="H17" i="15"/>
  <c r="B15" i="12"/>
  <c r="H15" i="15"/>
  <c r="B18" i="12"/>
  <c r="H18" i="15"/>
  <c r="G18" i="15"/>
  <c r="H13" i="15"/>
  <c r="H20" i="15"/>
  <c r="H21" i="15"/>
  <c r="G21" i="15"/>
  <c r="G23" i="15"/>
  <c r="H23" i="15"/>
  <c r="H22" i="15"/>
  <c r="G22" i="15"/>
  <c r="G14" i="15"/>
  <c r="H14" i="15"/>
  <c r="B14" i="12"/>
  <c r="G15" i="15"/>
  <c r="B9" i="15"/>
  <c r="H19" i="15"/>
  <c r="G20" i="15"/>
  <c r="G19" i="15"/>
  <c r="B10" i="15"/>
  <c r="B11" i="16" s="1"/>
  <c r="B12" i="15"/>
  <c r="B13" i="16" s="1"/>
  <c r="B11" i="15"/>
  <c r="B12" i="16" s="1"/>
  <c r="D17" i="1"/>
  <c r="G32" i="12" l="1"/>
  <c r="G33" i="12"/>
  <c r="H33" i="12"/>
  <c r="G42" i="12"/>
  <c r="H42" i="12"/>
  <c r="H38" i="12"/>
  <c r="G38" i="12"/>
  <c r="H39" i="12"/>
  <c r="G39" i="12"/>
  <c r="G40" i="12"/>
  <c r="H40" i="12"/>
  <c r="G34" i="12"/>
  <c r="H34" i="12"/>
  <c r="H36" i="12"/>
  <c r="G36" i="12"/>
  <c r="H35" i="12"/>
  <c r="G35" i="12"/>
  <c r="G41" i="12"/>
  <c r="H41" i="12"/>
  <c r="H43" i="12"/>
  <c r="G43" i="12"/>
  <c r="G37" i="12"/>
  <c r="H37" i="12"/>
  <c r="G9" i="15"/>
  <c r="B10" i="16"/>
  <c r="G10" i="15"/>
  <c r="H10" i="15"/>
  <c r="B10" i="12"/>
  <c r="H9" i="15"/>
  <c r="G13" i="15"/>
  <c r="G12" i="15"/>
  <c r="H12" i="15"/>
  <c r="B12" i="12"/>
  <c r="H11" i="15"/>
  <c r="G11" i="15"/>
  <c r="B11" i="12"/>
  <c r="B9" i="12"/>
  <c r="I67" i="1"/>
  <c r="G67" i="1"/>
  <c r="C10" i="28" l="1"/>
  <c r="C10" i="26"/>
  <c r="C10" i="29"/>
  <c r="C10" i="27"/>
  <c r="A128" i="19" l="1"/>
  <c r="A61" i="16" s="1"/>
  <c r="A117" i="19"/>
  <c r="A51" i="16" s="1"/>
  <c r="E10" i="29" l="1"/>
  <c r="E10" i="26"/>
  <c r="E10" i="27"/>
  <c r="E10" i="28"/>
  <c r="F67" i="1" l="1"/>
  <c r="E67" i="1"/>
  <c r="A20" i="2" s="1"/>
  <c r="C67" i="1"/>
  <c r="C65" i="1"/>
  <c r="C66" i="1" l="1"/>
  <c r="I66" i="1"/>
  <c r="G66" i="1"/>
  <c r="D67" i="1"/>
  <c r="B144" i="1" s="1"/>
  <c r="H67" i="1"/>
  <c r="B69" i="1" s="1"/>
  <c r="A4" i="24" s="1"/>
  <c r="E66" i="1"/>
  <c r="F66" i="1"/>
  <c r="A30" i="19" l="1"/>
  <c r="A26" i="19"/>
  <c r="A29" i="19"/>
  <c r="A28" i="19" s="1"/>
  <c r="A27" i="19"/>
  <c r="B68" i="1"/>
  <c r="D66" i="1"/>
  <c r="B72" i="1" s="1"/>
  <c r="H66" i="1"/>
  <c r="B73" i="1" s="1"/>
  <c r="E3" i="23" l="1"/>
  <c r="B74" i="1"/>
  <c r="B70" i="1"/>
  <c r="A3" i="19" s="1"/>
  <c r="E3" i="22"/>
  <c r="B71" i="1"/>
  <c r="A8" i="19" s="1"/>
  <c r="A12" i="7" l="1"/>
  <c r="A7" i="28"/>
  <c r="A7" i="27"/>
  <c r="A7" i="29"/>
  <c r="A7" i="26"/>
  <c r="A11" i="7"/>
  <c r="A9" i="7"/>
  <c r="A8" i="7"/>
  <c r="A45" i="7"/>
  <c r="B19" i="9"/>
  <c r="F3" i="16"/>
  <c r="A2" i="27"/>
  <c r="A2" i="28"/>
  <c r="A2" i="29"/>
  <c r="A2" i="26"/>
  <c r="A46" i="7"/>
  <c r="B165" i="1"/>
  <c r="A4" i="8" s="1"/>
  <c r="B142" i="1"/>
  <c r="E4" i="7" s="1"/>
  <c r="A39" i="20"/>
  <c r="B40" i="9"/>
  <c r="A19" i="2"/>
  <c r="A25" i="23" s="1"/>
  <c r="D60" i="15"/>
  <c r="A58" i="15"/>
  <c r="A56" i="15"/>
  <c r="D52" i="15"/>
  <c r="D48" i="15"/>
  <c r="A48" i="15"/>
  <c r="A7" i="7" l="1"/>
  <c r="A10" i="7"/>
  <c r="A6" i="7" s="1"/>
  <c r="A44" i="7"/>
  <c r="A15" i="3"/>
  <c r="H27" i="15"/>
  <c r="G27" i="15"/>
  <c r="G28" i="15"/>
  <c r="H28" i="15"/>
  <c r="G30" i="15"/>
  <c r="G31" i="15"/>
  <c r="H30" i="15"/>
  <c r="G29" i="15"/>
  <c r="H29" i="15"/>
  <c r="G26" i="15"/>
  <c r="H26" i="15"/>
  <c r="H24" i="15"/>
  <c r="G24" i="15"/>
  <c r="G25" i="15"/>
  <c r="F2" i="15" l="1"/>
  <c r="B62" i="1" l="1"/>
  <c r="D55" i="15" l="1"/>
  <c r="D70" i="7"/>
  <c r="B19" i="13" l="1"/>
  <c r="B10" i="13"/>
  <c r="D56" i="15" l="1"/>
  <c r="D54" i="15" l="1"/>
  <c r="A61" i="7" l="1"/>
  <c r="A44" i="23" s="1"/>
  <c r="B61" i="7"/>
  <c r="B44" i="23" s="1"/>
  <c r="C61" i="7"/>
  <c r="C44" i="23" s="1"/>
  <c r="D61" i="7"/>
  <c r="D44" i="23" s="1"/>
  <c r="A62" i="7"/>
  <c r="A45" i="23" s="1"/>
  <c r="B35" i="23"/>
  <c r="C35" i="23"/>
  <c r="D35" i="23"/>
  <c r="B53" i="7"/>
  <c r="B36" i="23" s="1"/>
  <c r="C53" i="7"/>
  <c r="C36" i="23" s="1"/>
  <c r="D53" i="7"/>
  <c r="D36" i="23" s="1"/>
  <c r="B54" i="7"/>
  <c r="B37" i="23" s="1"/>
  <c r="C54" i="7"/>
  <c r="C37" i="23" s="1"/>
  <c r="D54" i="7"/>
  <c r="D37" i="23" s="1"/>
  <c r="B55" i="7"/>
  <c r="B38" i="23" s="1"/>
  <c r="C55" i="7"/>
  <c r="C38" i="23" s="1"/>
  <c r="D55" i="7"/>
  <c r="D38" i="23" s="1"/>
  <c r="B56" i="7"/>
  <c r="B39" i="23" s="1"/>
  <c r="C56" i="7"/>
  <c r="C39" i="23" s="1"/>
  <c r="D56" i="7"/>
  <c r="D39" i="23" s="1"/>
  <c r="B57" i="7"/>
  <c r="B40" i="23" s="1"/>
  <c r="C57" i="7"/>
  <c r="C40" i="23" s="1"/>
  <c r="D57" i="7"/>
  <c r="D40" i="23" s="1"/>
  <c r="B58" i="7"/>
  <c r="B41" i="23" s="1"/>
  <c r="C58" i="7"/>
  <c r="C41" i="23" s="1"/>
  <c r="D58" i="7"/>
  <c r="D41" i="23" s="1"/>
  <c r="B59" i="7"/>
  <c r="B42" i="23" s="1"/>
  <c r="C59" i="7"/>
  <c r="C42" i="23" s="1"/>
  <c r="D59" i="7"/>
  <c r="D42" i="23" s="1"/>
  <c r="B60" i="7"/>
  <c r="B43" i="23" s="1"/>
  <c r="C60" i="7"/>
  <c r="C43" i="23" s="1"/>
  <c r="D60" i="7"/>
  <c r="D43" i="23" s="1"/>
  <c r="C51" i="7"/>
  <c r="C34" i="23" s="1"/>
  <c r="D51" i="7"/>
  <c r="D34" i="23" s="1"/>
  <c r="A35" i="23"/>
  <c r="A53" i="7"/>
  <c r="A36" i="23" s="1"/>
  <c r="A54" i="7"/>
  <c r="A37" i="23" s="1"/>
  <c r="A55" i="7"/>
  <c r="A38" i="23" s="1"/>
  <c r="A56" i="7"/>
  <c r="A39" i="23" s="1"/>
  <c r="A57" i="7"/>
  <c r="A40" i="23" s="1"/>
  <c r="A58" i="7"/>
  <c r="A41" i="23" s="1"/>
  <c r="A59" i="7"/>
  <c r="A42" i="23" s="1"/>
  <c r="A60" i="7"/>
  <c r="A43" i="23" s="1"/>
  <c r="A49" i="23"/>
  <c r="A39" i="8"/>
  <c r="E38" i="7"/>
  <c r="D62" i="7" s="1"/>
  <c r="D45" i="23" s="1"/>
  <c r="D38" i="7"/>
  <c r="C62" i="7" s="1"/>
  <c r="C45" i="23" s="1"/>
  <c r="C38" i="7"/>
  <c r="B62" i="7" s="1"/>
  <c r="B45" i="23" s="1"/>
  <c r="A48" i="3" l="1"/>
  <c r="A30" i="20"/>
  <c r="B47" i="3"/>
  <c r="B29" i="20"/>
  <c r="B48" i="3"/>
  <c r="B30" i="20"/>
  <c r="D47" i="3"/>
  <c r="D29" i="20"/>
  <c r="D48" i="3"/>
  <c r="D30" i="20"/>
  <c r="A47" i="3"/>
  <c r="A29" i="20"/>
  <c r="C47" i="3"/>
  <c r="C29" i="20"/>
  <c r="C48" i="3"/>
  <c r="C30" i="20"/>
  <c r="A49" i="3"/>
  <c r="A31" i="20"/>
  <c r="A45" i="3"/>
  <c r="A27" i="20"/>
  <c r="D46" i="3"/>
  <c r="D28" i="20"/>
  <c r="C45" i="3"/>
  <c r="C27" i="20"/>
  <c r="C46" i="3"/>
  <c r="C28" i="20"/>
  <c r="B45" i="3"/>
  <c r="B27" i="20"/>
  <c r="D45" i="3"/>
  <c r="D27" i="20"/>
  <c r="A46" i="3"/>
  <c r="A28" i="20"/>
  <c r="B46" i="3"/>
  <c r="B28" i="20"/>
  <c r="A41" i="3"/>
  <c r="A23" i="20"/>
  <c r="D41" i="3"/>
  <c r="D23" i="20"/>
  <c r="D49" i="3"/>
  <c r="D31" i="20"/>
  <c r="A44" i="3"/>
  <c r="A26" i="20"/>
  <c r="A40" i="3"/>
  <c r="A22" i="20"/>
  <c r="C38" i="3"/>
  <c r="C20" i="20"/>
  <c r="B44" i="3"/>
  <c r="B26" i="20"/>
  <c r="D42" i="3"/>
  <c r="D24" i="20"/>
  <c r="C41" i="3"/>
  <c r="C23" i="20"/>
  <c r="B40" i="3"/>
  <c r="B22" i="20"/>
  <c r="A43" i="3"/>
  <c r="A25" i="20"/>
  <c r="A39" i="3"/>
  <c r="A21" i="20"/>
  <c r="D43" i="3"/>
  <c r="D25" i="20"/>
  <c r="C42" i="3"/>
  <c r="C24" i="20"/>
  <c r="B41" i="3"/>
  <c r="B23" i="20"/>
  <c r="D39" i="3"/>
  <c r="D21" i="20"/>
  <c r="C49" i="3"/>
  <c r="C31" i="20"/>
  <c r="D38" i="3"/>
  <c r="D20" i="20"/>
  <c r="C44" i="3"/>
  <c r="C26" i="20"/>
  <c r="B43" i="3"/>
  <c r="B25" i="20"/>
  <c r="C40" i="3"/>
  <c r="C22" i="20"/>
  <c r="B39" i="3"/>
  <c r="B21" i="20"/>
  <c r="A38" i="3"/>
  <c r="A20" i="20"/>
  <c r="B49" i="3"/>
  <c r="B31" i="20"/>
  <c r="A42" i="3"/>
  <c r="A24" i="20"/>
  <c r="B38" i="3"/>
  <c r="B20" i="20"/>
  <c r="D44" i="3"/>
  <c r="D26" i="20"/>
  <c r="C43" i="3"/>
  <c r="C25" i="20"/>
  <c r="B42" i="3"/>
  <c r="B24" i="20"/>
  <c r="D40" i="3"/>
  <c r="D22" i="20"/>
  <c r="C39" i="3"/>
  <c r="C21" i="20"/>
  <c r="A40" i="8"/>
  <c r="A34" i="20"/>
  <c r="A41" i="8"/>
  <c r="A35" i="20"/>
  <c r="D33" i="8"/>
  <c r="C28" i="8"/>
  <c r="D26" i="8"/>
  <c r="D35" i="8"/>
  <c r="C31" i="8"/>
  <c r="D32" i="8"/>
  <c r="B31" i="8"/>
  <c r="D27" i="8"/>
  <c r="D36" i="8"/>
  <c r="C35" i="8"/>
  <c r="C32" i="8"/>
  <c r="D29" i="8"/>
  <c r="C27" i="8"/>
  <c r="C36" i="8"/>
  <c r="B35" i="8"/>
  <c r="D31" i="8"/>
  <c r="D28" i="8"/>
  <c r="B27" i="8"/>
  <c r="B36" i="8"/>
  <c r="C37" i="8"/>
  <c r="D30" i="8"/>
  <c r="D34" i="8"/>
  <c r="D37" i="8"/>
  <c r="C33" i="8"/>
  <c r="C30" i="8"/>
  <c r="C29" i="8"/>
  <c r="C26" i="8"/>
  <c r="C34" i="8"/>
  <c r="B33" i="8"/>
  <c r="B32" i="8"/>
  <c r="B30" i="8"/>
  <c r="B29" i="8"/>
  <c r="B28" i="8"/>
  <c r="B26" i="8"/>
  <c r="B34" i="8"/>
  <c r="B37" i="8"/>
  <c r="A33" i="8"/>
  <c r="A32" i="8"/>
  <c r="A31" i="8"/>
  <c r="A30" i="8"/>
  <c r="A29" i="8"/>
  <c r="A28" i="8"/>
  <c r="A27" i="8"/>
  <c r="A26" i="8"/>
  <c r="A36" i="8"/>
  <c r="A35" i="8"/>
  <c r="A34" i="8"/>
  <c r="A37" i="8"/>
  <c r="C142" i="1"/>
  <c r="A9" i="20" l="1"/>
  <c r="N123" i="1"/>
  <c r="E38" i="3"/>
  <c r="E62" i="7"/>
  <c r="E31" i="20" s="1"/>
  <c r="A46" i="23"/>
  <c r="E26" i="8" l="1"/>
  <c r="A23" i="2"/>
  <c r="A38" i="8"/>
  <c r="A32" i="20"/>
  <c r="E37" i="8"/>
  <c r="E49" i="3"/>
  <c r="D60" i="12"/>
  <c r="A58" i="12"/>
  <c r="A56" i="12"/>
  <c r="D52" i="12"/>
  <c r="D48" i="12"/>
  <c r="A48" i="12"/>
  <c r="C8" i="12"/>
  <c r="C9" i="16" s="1"/>
  <c r="A25" i="19" l="1"/>
  <c r="A24" i="19" l="1"/>
  <c r="B12" i="9"/>
  <c r="A12" i="8"/>
  <c r="E18" i="8"/>
  <c r="E11" i="20" s="1"/>
  <c r="D18" i="8"/>
  <c r="D11" i="20" s="1"/>
  <c r="C18" i="8"/>
  <c r="C11" i="20" s="1"/>
  <c r="B18" i="8"/>
  <c r="B11" i="20" s="1"/>
  <c r="A18" i="8"/>
  <c r="A11" i="20" s="1"/>
  <c r="D78" i="7"/>
  <c r="E21" i="7"/>
  <c r="D48" i="7" s="1"/>
  <c r="D28" i="23" s="1"/>
  <c r="D21" i="7"/>
  <c r="C48" i="7" s="1"/>
  <c r="C28" i="23" s="1"/>
  <c r="B21" i="7"/>
  <c r="B48" i="7" s="1"/>
  <c r="B28" i="23" s="1"/>
  <c r="A21" i="7"/>
  <c r="A48" i="7" s="1"/>
  <c r="A28" i="23" s="1"/>
  <c r="A32" i="23" l="1"/>
  <c r="A14" i="26"/>
  <c r="A14" i="29"/>
  <c r="A14" i="28"/>
  <c r="A14" i="27"/>
  <c r="A30" i="23"/>
  <c r="A12" i="27"/>
  <c r="A12" i="29"/>
  <c r="A12" i="28"/>
  <c r="A12" i="26"/>
  <c r="D19" i="8"/>
  <c r="D12" i="20" s="1"/>
  <c r="C19" i="8"/>
  <c r="C12" i="20" s="1"/>
  <c r="B19" i="8"/>
  <c r="B12" i="20" s="1"/>
  <c r="A23" i="8"/>
  <c r="A16" i="20" s="1"/>
  <c r="A19" i="8"/>
  <c r="A12" i="20" s="1"/>
  <c r="A21" i="8"/>
  <c r="A14" i="20" s="1"/>
  <c r="D35" i="4"/>
  <c r="D27" i="4"/>
  <c r="C27" i="4"/>
  <c r="D31" i="3"/>
  <c r="C31" i="3"/>
  <c r="B31" i="3"/>
  <c r="A14" i="3"/>
  <c r="A60" i="3" s="1"/>
  <c r="A11" i="4"/>
  <c r="A8" i="4"/>
  <c r="A6" i="4"/>
  <c r="A5" i="4"/>
  <c r="A4" i="4"/>
  <c r="A39" i="2"/>
  <c r="A17" i="3"/>
  <c r="A63" i="3" s="1"/>
  <c r="A12" i="3"/>
  <c r="A51" i="15" l="1"/>
  <c r="A55" i="15"/>
  <c r="A60" i="15"/>
  <c r="D62" i="15"/>
  <c r="A50" i="15"/>
  <c r="A54" i="15"/>
  <c r="A53" i="15"/>
  <c r="A52" i="15"/>
  <c r="D51" i="15"/>
  <c r="D58" i="15"/>
  <c r="D50" i="15"/>
  <c r="A60" i="12"/>
  <c r="A54" i="12"/>
  <c r="A51" i="12"/>
  <c r="A55" i="12"/>
  <c r="A52" i="12"/>
  <c r="A13" i="3"/>
  <c r="A59" i="3" s="1"/>
  <c r="A53" i="12"/>
  <c r="D56" i="12"/>
  <c r="D54" i="12"/>
  <c r="D55" i="12"/>
  <c r="D51" i="12"/>
  <c r="D58" i="12"/>
  <c r="D50" i="12"/>
  <c r="A50" i="12"/>
  <c r="A58" i="3"/>
  <c r="A61" i="3"/>
  <c r="A13" i="8"/>
  <c r="A16" i="3"/>
  <c r="A62" i="3" s="1"/>
  <c r="A14" i="8"/>
  <c r="A15" i="8" s="1"/>
  <c r="A11" i="3"/>
  <c r="A57" i="3" s="1"/>
  <c r="E31" i="3"/>
  <c r="A26" i="2"/>
  <c r="A22" i="2" s="1"/>
  <c r="A15" i="27" l="1"/>
  <c r="A15" i="26"/>
  <c r="A15" i="29"/>
  <c r="A15" i="28"/>
  <c r="A31" i="23"/>
  <c r="A13" i="27"/>
  <c r="A13" i="28"/>
  <c r="A13" i="29"/>
  <c r="A13" i="26"/>
  <c r="A29" i="23"/>
  <c r="A11" i="29"/>
  <c r="A11" i="28"/>
  <c r="A11" i="27"/>
  <c r="A11" i="26"/>
  <c r="E28" i="23"/>
  <c r="A22" i="8"/>
  <c r="A15" i="20" s="1"/>
  <c r="A20" i="8"/>
  <c r="A13" i="20" s="1"/>
  <c r="E19" i="8"/>
  <c r="E12" i="20" s="1"/>
  <c r="A18" i="3"/>
  <c r="A16" i="23" s="1"/>
  <c r="F2" i="12"/>
  <c r="A64"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s="1"/>
  <c r="M8" i="15" l="1"/>
  <c r="F8" i="15" s="1"/>
  <c r="L9" i="15"/>
  <c r="E9" i="15" s="1"/>
  <c r="I10" i="15"/>
  <c r="I11" i="15" s="1"/>
  <c r="I12" i="15" s="1"/>
  <c r="I13" i="15" s="1"/>
  <c r="D9" i="15" l="1"/>
  <c r="C10" i="15" s="1"/>
  <c r="L10" i="15" s="1"/>
  <c r="E10" i="15" s="1"/>
  <c r="J14" i="15"/>
  <c r="K14" i="15" s="1"/>
  <c r="I14" i="15" s="1"/>
  <c r="J13" i="15"/>
  <c r="K13" i="15" s="1"/>
  <c r="I15" i="15" l="1"/>
  <c r="J15" i="15"/>
  <c r="K15" i="15" s="1"/>
  <c r="M9" i="15"/>
  <c r="F9" i="15" s="1"/>
  <c r="D10" i="15"/>
  <c r="C11" i="15" s="1"/>
  <c r="L11" i="15" s="1"/>
  <c r="E11" i="15" s="1"/>
  <c r="I16" i="15" l="1"/>
  <c r="I17" i="15" s="1"/>
  <c r="I18" i="15" s="1"/>
  <c r="J16" i="15"/>
  <c r="K16" i="15" s="1"/>
  <c r="M10" i="15"/>
  <c r="F10" i="15" s="1"/>
  <c r="D11" i="15"/>
  <c r="C12" i="15" s="1"/>
  <c r="L12" i="15" s="1"/>
  <c r="E12" i="15" s="1"/>
  <c r="J19" i="15" l="1"/>
  <c r="K19" i="15" s="1"/>
  <c r="I19" i="15" s="1"/>
  <c r="J20" i="15" s="1"/>
  <c r="K20" i="15" s="1"/>
  <c r="J18" i="15"/>
  <c r="K18" i="15" s="1"/>
  <c r="J17" i="15"/>
  <c r="K17" i="15" s="1"/>
  <c r="M11" i="15"/>
  <c r="F11" i="15" s="1"/>
  <c r="D12" i="15"/>
  <c r="M12" i="15" s="1"/>
  <c r="F12" i="15" s="1"/>
  <c r="I20" i="15" l="1"/>
  <c r="I21" i="15" s="1"/>
  <c r="I22" i="15" s="1"/>
  <c r="C13" i="15"/>
  <c r="L13" i="15" s="1"/>
  <c r="E13" i="15" s="1"/>
  <c r="J23" i="15" l="1"/>
  <c r="K23" i="15" s="1"/>
  <c r="I23" i="15" s="1"/>
  <c r="J24" i="15" s="1"/>
  <c r="K24" i="15" s="1"/>
  <c r="J22" i="15"/>
  <c r="K22" i="15" s="1"/>
  <c r="J21" i="15"/>
  <c r="K21" i="15" s="1"/>
  <c r="D13" i="15"/>
  <c r="C14" i="15" s="1"/>
  <c r="L14" i="15" s="1"/>
  <c r="E14" i="15" s="1"/>
  <c r="I24" i="15" l="1"/>
  <c r="J25" i="15" s="1"/>
  <c r="K25" i="15" s="1"/>
  <c r="I25" i="15" s="1"/>
  <c r="I26" i="15" s="1"/>
  <c r="M13" i="15"/>
  <c r="F13" i="15" s="1"/>
  <c r="D14" i="15"/>
  <c r="C15" i="15" s="1"/>
  <c r="L15" i="15" s="1"/>
  <c r="J26" i="15" l="1"/>
  <c r="K26" i="15" s="1"/>
  <c r="J27" i="15"/>
  <c r="K27" i="15" s="1"/>
  <c r="I27" i="15" s="1"/>
  <c r="M14" i="15"/>
  <c r="F14" i="15" s="1"/>
  <c r="E15" i="15"/>
  <c r="D15" i="15"/>
  <c r="C16" i="15" s="1"/>
  <c r="L16" i="15" s="1"/>
  <c r="E16" i="15" s="1"/>
  <c r="I28" i="15" l="1"/>
  <c r="J28" i="15"/>
  <c r="K28" i="15" s="1"/>
  <c r="M15" i="15"/>
  <c r="F15" i="15" s="1"/>
  <c r="D16" i="15"/>
  <c r="C17" i="15" s="1"/>
  <c r="J29" i="15" l="1"/>
  <c r="K29" i="15" s="1"/>
  <c r="I29" i="15" s="1"/>
  <c r="L17" i="15"/>
  <c r="E17" i="15" s="1"/>
  <c r="M16" i="15"/>
  <c r="F16" i="15" s="1"/>
  <c r="J30" i="15" l="1"/>
  <c r="K30" i="15" s="1"/>
  <c r="I30" i="15" s="1"/>
  <c r="D17" i="15"/>
  <c r="J31" i="15" l="1"/>
  <c r="K31" i="15" s="1"/>
  <c r="I31" i="15" s="1"/>
  <c r="C18" i="15"/>
  <c r="M17" i="15"/>
  <c r="F17" i="15" s="1"/>
  <c r="J32" i="15" l="1"/>
  <c r="K32" i="15" s="1"/>
  <c r="I32" i="15"/>
  <c r="I33" i="15" s="1"/>
  <c r="I34" i="15" s="1"/>
  <c r="I35" i="15" s="1"/>
  <c r="I36" i="15" s="1"/>
  <c r="L18" i="15"/>
  <c r="E18" i="15" s="1"/>
  <c r="J33" i="15" l="1"/>
  <c r="K33" i="15" s="1"/>
  <c r="J37" i="15"/>
  <c r="K37" i="15" s="1"/>
  <c r="I37" i="15" s="1"/>
  <c r="J38" i="15" s="1"/>
  <c r="K38" i="15" s="1"/>
  <c r="J36" i="15"/>
  <c r="K36" i="15" s="1"/>
  <c r="J35" i="15"/>
  <c r="K35" i="15" s="1"/>
  <c r="J34" i="15"/>
  <c r="K34" i="15" s="1"/>
  <c r="D18" i="15"/>
  <c r="I38" i="15" l="1"/>
  <c r="I39" i="15" s="1"/>
  <c r="M18" i="15"/>
  <c r="F18" i="15" s="1"/>
  <c r="C19" i="15"/>
  <c r="J39" i="15" l="1"/>
  <c r="K39" i="15" s="1"/>
  <c r="J40" i="15"/>
  <c r="K40" i="15" s="1"/>
  <c r="I40" i="15"/>
  <c r="L19" i="15"/>
  <c r="E19" i="15" s="1"/>
  <c r="J41" i="15" l="1"/>
  <c r="K41" i="15" s="1"/>
  <c r="I41" i="15"/>
  <c r="D19" i="15"/>
  <c r="J42" i="15" l="1"/>
  <c r="K42" i="15" s="1"/>
  <c r="I42" i="15"/>
  <c r="J43" i="15" s="1"/>
  <c r="K43" i="15" s="1"/>
  <c r="I43" i="15" s="1"/>
  <c r="C20" i="15"/>
  <c r="M19" i="15"/>
  <c r="F19" i="15" s="1"/>
  <c r="L20" i="15" l="1"/>
  <c r="E20" i="15" s="1"/>
  <c r="D20" i="15" l="1"/>
  <c r="M20" i="15" l="1"/>
  <c r="F20" i="15" s="1"/>
  <c r="C21" i="15"/>
  <c r="L21" i="15" l="1"/>
  <c r="E21" i="15" s="1"/>
  <c r="D21" i="15" l="1"/>
  <c r="C22" i="15" s="1"/>
  <c r="M21" i="15" l="1"/>
  <c r="F21" i="15" s="1"/>
  <c r="L22" i="15"/>
  <c r="E22" i="15" s="1"/>
  <c r="D22" i="15" l="1"/>
  <c r="C23" i="15" l="1"/>
  <c r="M22" i="15"/>
  <c r="F22" i="15" s="1"/>
  <c r="L23" i="15" l="1"/>
  <c r="E23" i="15" s="1"/>
  <c r="D23" i="15" l="1"/>
  <c r="C24" i="15" l="1"/>
  <c r="M23" i="15"/>
  <c r="F23" i="15" s="1"/>
  <c r="L24" i="15" l="1"/>
  <c r="E24" i="15" s="1"/>
  <c r="D24" i="15" l="1"/>
  <c r="M24" i="15" l="1"/>
  <c r="F24" i="15" s="1"/>
  <c r="C25" i="15"/>
  <c r="L25" i="15" l="1"/>
  <c r="E25" i="15" s="1"/>
  <c r="D25" i="15" l="1"/>
  <c r="M25" i="15" s="1"/>
  <c r="F25" i="15" s="1"/>
  <c r="C26" i="15" l="1"/>
  <c r="L26" i="15" l="1"/>
  <c r="D26" i="15" s="1"/>
  <c r="C27" i="15" l="1"/>
  <c r="E26" i="15"/>
  <c r="L27" i="15" l="1"/>
  <c r="D27" i="15" s="1"/>
  <c r="C28" i="15" s="1"/>
  <c r="M26" i="15"/>
  <c r="F26" i="15" s="1"/>
  <c r="E27" i="15" l="1"/>
  <c r="M27" i="15" s="1"/>
  <c r="F27" i="15" s="1"/>
  <c r="L28" i="15"/>
  <c r="D28" i="15" s="1"/>
  <c r="E28" i="15" l="1"/>
  <c r="M28" i="15" s="1"/>
  <c r="F28" i="15" s="1"/>
  <c r="C29" i="15"/>
  <c r="L29" i="15" l="1"/>
  <c r="D29" i="15" s="1"/>
  <c r="E29" i="15" l="1"/>
  <c r="M29" i="15" s="1"/>
  <c r="F29" i="15" s="1"/>
  <c r="C30" i="15"/>
  <c r="L30" i="15" l="1"/>
  <c r="D30" i="15" s="1"/>
  <c r="E30" i="15" l="1"/>
  <c r="M30" i="15" s="1"/>
  <c r="F30" i="15" s="1"/>
  <c r="C31" i="15"/>
  <c r="L31" i="15" l="1"/>
  <c r="D31" i="15" s="1"/>
  <c r="C32" i="15" s="1"/>
  <c r="L32" i="15" l="1"/>
  <c r="E32" i="15" s="1"/>
  <c r="E31" i="15"/>
  <c r="E44" i="15" s="1"/>
  <c r="D44" i="15"/>
  <c r="D32" i="15" l="1"/>
  <c r="C33" i="15" s="1"/>
  <c r="L33" i="15" s="1"/>
  <c r="E33" i="15" s="1"/>
  <c r="M31" i="15"/>
  <c r="F31" i="15" s="1"/>
  <c r="F44" i="15" s="1"/>
  <c r="M32" i="15" l="1"/>
  <c r="F32" i="15" s="1"/>
  <c r="D33" i="15"/>
  <c r="C34" i="15" s="1"/>
  <c r="L34" i="15" l="1"/>
  <c r="E34" i="15" s="1"/>
  <c r="M33" i="15"/>
  <c r="F33" i="15" s="1"/>
  <c r="D34" i="15" l="1"/>
  <c r="C35" i="15" s="1"/>
  <c r="L35" i="15" s="1"/>
  <c r="E35" i="15" s="1"/>
  <c r="M34" i="15" l="1"/>
  <c r="F34" i="15" s="1"/>
  <c r="D35" i="15"/>
  <c r="C36" i="15" l="1"/>
  <c r="M35" i="15"/>
  <c r="F35" i="15" s="1"/>
  <c r="L36" i="15" l="1"/>
  <c r="E36" i="15" s="1"/>
  <c r="D36" i="15" l="1"/>
  <c r="M36" i="15" l="1"/>
  <c r="F36" i="15" s="1"/>
  <c r="C37" i="15"/>
  <c r="L37" i="15" l="1"/>
  <c r="E37" i="15" s="1"/>
  <c r="D37" i="15" l="1"/>
  <c r="M37" i="15" l="1"/>
  <c r="F37" i="15" s="1"/>
  <c r="C38" i="15"/>
  <c r="L38" i="15" l="1"/>
  <c r="E38" i="15" s="1"/>
  <c r="D38" i="15" l="1"/>
  <c r="M38" i="15" l="1"/>
  <c r="F38" i="15" s="1"/>
  <c r="C39" i="15"/>
  <c r="L39" i="15" l="1"/>
  <c r="E39" i="15" s="1"/>
  <c r="D39" i="15" l="1"/>
  <c r="C40" i="15" l="1"/>
  <c r="M39" i="15"/>
  <c r="F39" i="15" s="1"/>
  <c r="L40" i="15" l="1"/>
  <c r="E40" i="15" s="1"/>
  <c r="D40" i="15" l="1"/>
  <c r="M40" i="15" l="1"/>
  <c r="F40" i="15" s="1"/>
  <c r="C41" i="15"/>
  <c r="L41" i="15" l="1"/>
  <c r="E41" i="15" s="1"/>
  <c r="D41" i="15" l="1"/>
  <c r="M41" i="15" l="1"/>
  <c r="F41" i="15" s="1"/>
  <c r="C42" i="15"/>
  <c r="L42" i="15" l="1"/>
  <c r="E42" i="15" s="1"/>
  <c r="D42" i="15" l="1"/>
  <c r="M42" i="15" l="1"/>
  <c r="F42" i="15" s="1"/>
  <c r="C43" i="15"/>
  <c r="L43" i="15" l="1"/>
  <c r="E43" i="15" s="1"/>
  <c r="D43" i="15" l="1"/>
  <c r="M43" i="15" l="1"/>
  <c r="F43" i="15" s="1"/>
  <c r="D14" i="16" l="1"/>
  <c r="E15" i="16" l="1"/>
  <c r="D15" i="16" l="1"/>
  <c r="C16" i="16" l="1"/>
  <c r="E16" i="16" l="1"/>
  <c r="D16" i="16" l="1"/>
  <c r="C17" i="16" l="1"/>
  <c r="E17" i="16" l="1"/>
  <c r="D17" i="16" l="1"/>
  <c r="C18" i="16" l="1"/>
  <c r="E18" i="16" l="1"/>
  <c r="D18" i="16" l="1"/>
  <c r="C19" i="16" l="1"/>
  <c r="E19" i="16" l="1"/>
  <c r="D19" i="16" l="1"/>
  <c r="C20" i="16" l="1"/>
  <c r="E20" i="16" l="1"/>
  <c r="D20" i="16" l="1"/>
  <c r="C21" i="16" l="1"/>
  <c r="E21" i="16" l="1"/>
  <c r="D21" i="16" l="1"/>
  <c r="C22" i="16" l="1"/>
  <c r="E22" i="16" l="1"/>
  <c r="D22" i="16" l="1"/>
  <c r="C23" i="16" l="1"/>
  <c r="E23" i="16" l="1"/>
  <c r="D23" i="16" l="1"/>
  <c r="C24" i="16" l="1"/>
  <c r="E24" i="16" l="1"/>
  <c r="D24" i="16" l="1"/>
  <c r="C25" i="16" l="1"/>
  <c r="E25" i="16" l="1"/>
  <c r="D25" i="16" l="1"/>
  <c r="C26" i="16" l="1"/>
  <c r="C27" i="16" l="1"/>
  <c r="D26" i="16"/>
  <c r="E26" i="16"/>
  <c r="C28" i="16" l="1"/>
  <c r="D27" i="16"/>
  <c r="D28" i="16" l="1"/>
  <c r="C29" i="16" l="1"/>
  <c r="C30" i="16" l="1"/>
  <c r="D29" i="16"/>
  <c r="C31" i="16" l="1"/>
  <c r="D30" i="16"/>
  <c r="D31" i="16" l="1"/>
  <c r="C32" i="16" l="1"/>
  <c r="C33" i="16" l="1"/>
  <c r="D32" i="16"/>
  <c r="E32" i="16"/>
  <c r="F32" i="16" l="1"/>
  <c r="C34" i="16"/>
  <c r="D33" i="16"/>
  <c r="C35" i="16" l="1"/>
  <c r="D34" i="16"/>
  <c r="D35" i="16" l="1"/>
  <c r="C36" i="16"/>
  <c r="D36" i="16" l="1"/>
  <c r="C37" i="16" l="1"/>
  <c r="C38" i="16" l="1"/>
  <c r="D37" i="16"/>
  <c r="C39" i="16" l="1"/>
  <c r="D38" i="16"/>
  <c r="D39" i="16" l="1"/>
  <c r="C40" i="16" l="1"/>
  <c r="C41" i="16" l="1"/>
  <c r="D40" i="16"/>
  <c r="D41" i="16" l="1"/>
  <c r="C42" i="16" l="1"/>
  <c r="C43" i="16" l="1"/>
  <c r="D42" i="16"/>
  <c r="C44" i="16" l="1"/>
  <c r="D43" i="16"/>
  <c r="D44" i="16" l="1"/>
  <c r="D9" i="16"/>
  <c r="D10" i="16"/>
  <c r="D11" i="16"/>
  <c r="D12" i="16"/>
  <c r="D45" i="16" s="1"/>
  <c r="D13" i="16"/>
  <c r="F44" i="16"/>
  <c r="F9" i="16"/>
  <c r="F10" i="16"/>
  <c r="F11" i="16"/>
  <c r="F12" i="16"/>
  <c r="F13" i="16"/>
  <c r="F14" i="16"/>
  <c r="F15" i="16"/>
  <c r="F16" i="16"/>
  <c r="F17" i="16"/>
  <c r="F18" i="16"/>
  <c r="F19" i="16"/>
  <c r="F20" i="16"/>
  <c r="F21" i="16"/>
  <c r="F22" i="16"/>
  <c r="F23" i="16"/>
  <c r="F24" i="16"/>
  <c r="F25" i="16"/>
  <c r="F26" i="16"/>
  <c r="F27" i="16"/>
  <c r="F28" i="16"/>
  <c r="F29" i="16"/>
  <c r="F30" i="16"/>
  <c r="F31" i="16"/>
  <c r="F33" i="16"/>
  <c r="F34" i="16"/>
  <c r="F35" i="16"/>
  <c r="F36" i="16"/>
  <c r="F37" i="16"/>
  <c r="F38" i="16"/>
  <c r="F39" i="16"/>
  <c r="F40" i="16"/>
  <c r="F41" i="16"/>
  <c r="F42" i="16"/>
  <c r="F43" i="16"/>
  <c r="B90" i="1"/>
  <c r="F8" i="12" s="1"/>
  <c r="E44" i="16"/>
  <c r="E10" i="16"/>
  <c r="E11" i="16"/>
  <c r="E12" i="16"/>
  <c r="E13" i="16"/>
  <c r="E14" i="16"/>
  <c r="E27" i="16"/>
  <c r="E28" i="16"/>
  <c r="E29" i="16"/>
  <c r="E30" i="16"/>
  <c r="E31" i="16"/>
  <c r="E33" i="16"/>
  <c r="E34" i="16"/>
  <c r="E35" i="16"/>
  <c r="E36" i="16"/>
  <c r="E37" i="16"/>
  <c r="E38" i="16"/>
  <c r="E39" i="16"/>
  <c r="E40" i="16"/>
  <c r="E41" i="16"/>
  <c r="E42" i="16"/>
  <c r="E43" i="16"/>
  <c r="C15" i="16"/>
  <c r="C14" i="16"/>
  <c r="C13" i="16"/>
  <c r="C12" i="16"/>
  <c r="C11" i="16"/>
  <c r="C10" i="16"/>
  <c r="E45" i="16" l="1"/>
  <c r="F45" i="16"/>
  <c r="BL75" i="1"/>
  <c r="D8" i="12"/>
  <c r="F9" i="12"/>
  <c r="A23" i="3"/>
  <c r="A22" i="3" s="1"/>
  <c r="A24" i="3"/>
  <c r="BL77" i="1"/>
  <c r="BL60" i="1" s="1"/>
  <c r="C9" i="12" l="1"/>
  <c r="F10" i="12"/>
  <c r="F11" i="12" l="1"/>
  <c r="E9" i="12"/>
  <c r="D9" i="12" l="1"/>
  <c r="F12" i="12"/>
  <c r="F13" i="12" l="1"/>
  <c r="C10" i="12"/>
  <c r="F14" i="12" l="1"/>
  <c r="E10" i="12"/>
  <c r="D10" i="12" l="1"/>
  <c r="F15" i="12"/>
  <c r="F16" i="12" l="1"/>
  <c r="C11"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D19" i="12"/>
  <c r="F19" i="12" s="1"/>
  <c r="C20" i="12" l="1"/>
  <c r="E20" i="12" l="1"/>
  <c r="D20" i="12"/>
  <c r="F20" i="12" s="1"/>
  <c r="C21" i="12" l="1"/>
  <c r="E21" i="12"/>
  <c r="D21" i="12"/>
  <c r="F21" i="12" s="1"/>
  <c r="C22" i="12" l="1"/>
  <c r="E22" i="12" l="1"/>
  <c r="D22" i="12"/>
  <c r="F22" i="12" s="1"/>
  <c r="C23" i="12" l="1"/>
  <c r="E23" i="12" l="1"/>
  <c r="D23" i="12"/>
  <c r="F23" i="12" s="1"/>
  <c r="C24" i="12" l="1"/>
  <c r="D24" i="12" l="1"/>
  <c r="C25" i="12" s="1"/>
  <c r="E24" i="12"/>
  <c r="D25" i="12" l="1"/>
  <c r="C26" i="12"/>
  <c r="E25" i="12"/>
  <c r="F24" i="12"/>
  <c r="D26" i="12" l="1"/>
  <c r="C27" i="12"/>
  <c r="E26" i="12"/>
  <c r="F25" i="12"/>
  <c r="D27" i="12" l="1"/>
  <c r="E27" i="12"/>
  <c r="F26" i="12"/>
  <c r="F27" i="12" l="1"/>
  <c r="C28" i="12"/>
  <c r="E28" i="12" l="1"/>
  <c r="D28" i="12"/>
  <c r="F28" i="12" s="1"/>
  <c r="C29" i="12" l="1"/>
  <c r="E29" i="12" l="1"/>
  <c r="D29" i="12"/>
  <c r="F29" i="12" s="1"/>
  <c r="C30" i="12" l="1"/>
  <c r="E30" i="12" l="1"/>
  <c r="D30" i="12"/>
  <c r="F30" i="12" s="1"/>
  <c r="C31" i="12" l="1"/>
  <c r="E31" i="12" l="1"/>
  <c r="E44" i="12" s="1"/>
  <c r="D31" i="12"/>
  <c r="F31" i="12" l="1"/>
  <c r="F44" i="12" s="1"/>
  <c r="D44" i="12"/>
  <c r="C32" i="12"/>
  <c r="D32" i="12" l="1"/>
  <c r="C33" i="12"/>
  <c r="E32" i="12"/>
  <c r="D33" i="12" l="1"/>
  <c r="E33" i="12"/>
  <c r="C34" i="12"/>
  <c r="F32" i="12"/>
  <c r="E34" i="12" l="1"/>
  <c r="D34" i="12"/>
  <c r="F34" i="12" s="1"/>
  <c r="F33" i="12"/>
  <c r="C35" i="12" l="1"/>
  <c r="D35" i="12" l="1"/>
  <c r="E35" i="12"/>
  <c r="F35" i="12" l="1"/>
  <c r="C36" i="12"/>
  <c r="D36" i="12" l="1"/>
  <c r="C37" i="12"/>
  <c r="E36" i="12"/>
  <c r="D37" i="12" l="1"/>
  <c r="E37" i="12"/>
  <c r="C38" i="12"/>
  <c r="F36" i="12"/>
  <c r="E38" i="12" l="1"/>
  <c r="D38" i="12"/>
  <c r="F38" i="12" s="1"/>
  <c r="F37" i="12"/>
  <c r="C39" i="12" l="1"/>
  <c r="E39" i="12" l="1"/>
  <c r="D39" i="12"/>
  <c r="F39" i="12" s="1"/>
  <c r="C40" i="12" l="1"/>
  <c r="D40" i="12" l="1"/>
  <c r="C41" i="12"/>
  <c r="E40" i="12"/>
  <c r="D41" i="12" l="1"/>
  <c r="E41" i="12"/>
  <c r="C42" i="12"/>
  <c r="F40" i="12"/>
  <c r="E42" i="12" l="1"/>
  <c r="D42" i="12"/>
  <c r="F42" i="12" s="1"/>
  <c r="F41" i="12"/>
  <c r="C43" i="12" l="1"/>
  <c r="E43" i="12" l="1"/>
  <c r="D43" i="12"/>
  <c r="F43" i="12" s="1"/>
</calcChain>
</file>

<file path=xl/sharedStrings.xml><?xml version="1.0" encoding="utf-8"?>
<sst xmlns="http://schemas.openxmlformats.org/spreadsheetml/2006/main" count="633" uniqueCount="447">
  <si>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</si>
  <si>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</si>
  <si>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</si>
  <si>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</si>
  <si>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</si>
  <si>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</si>
  <si>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</si>
  <si>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</si>
  <si>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</si>
  <si>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</si>
  <si>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</si>
  <si>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</si>
  <si>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</si>
  <si>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</si>
  <si>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</si>
  <si>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</si>
  <si>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</si>
  <si>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</si>
  <si>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</si>
  <si>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</si>
  <si>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</si>
  <si>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</si>
  <si>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 кадастра</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</si>
  <si>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</si>
  <si>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</si>
  <si>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</si>
  <si>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</si>
  <si>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</si>
  <si>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</si>
  <si>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</si>
  <si>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</si>
  <si>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</si>
  <si>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</si>
  <si>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</si>
  <si>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</si>
  <si>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</si>
  <si>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</si>
  <si>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</si>
  <si>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</si>
  <si>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</si>
  <si>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</si>
  <si>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</si>
  <si>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</si>
  <si>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</si>
  <si>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</si>
  <si>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</si>
  <si>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SHOUSMANOVA DAVLATXON XXX</t>
  </si>
  <si>
    <t>SHOUSMANOVA D</t>
  </si>
  <si>
    <t>AC 0623976</t>
  </si>
  <si>
    <t>FARGONA VILOYATI QOQON SHAHAR GUZAR 266 12</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</si>
  <si>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</si>
  <si>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</si>
  <si>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</si>
  <si>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</si>
  <si>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№14:13:02:01:03:1179:0006:058 от 16.12.2020 г.</t>
  </si>
  <si>
    <t>1718238/R-A1419303</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</si>
  <si>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</si>
  <si>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</si>
  <si>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</si>
  <si>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</si>
  <si>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</si>
  <si>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</si>
  <si>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</si>
  <si>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</si>
  <si>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</si>
  <si>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</si>
  <si>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</si>
  <si>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</si>
  <si>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</si>
  <si>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</si>
  <si>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</si>
  <si>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</si>
  <si>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</si>
  <si>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</si>
  <si>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</si>
  <si>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</si>
  <si>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</si>
  <si>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</si>
  <si>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</si>
  <si>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</si>
  <si>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</si>
  <si>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</si>
  <si>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</si>
  <si>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</si>
  <si>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</si>
  <si>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</si>
  <si>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</si>
  <si>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</si>
  <si>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</si>
  <si>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</si>
  <si>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</si>
  <si>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</si>
  <si>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</si>
  <si>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</si>
  <si>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</si>
  <si>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</si>
  <si>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</si>
  <si>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</si>
  <si>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</si>
  <si>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</si>
  <si>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</si>
  <si>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</si>
  <si>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</si>
  <si>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</si>
  <si>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</si>
  <si>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</si>
  <si>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</si>
  <si>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</si>
  <si>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</si>
  <si>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</si>
  <si>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</si>
  <si>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</si>
  <si>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</si>
  <si>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</si>
  <si>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</si>
  <si>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</si>
  <si>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</si>
  <si>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</si>
  <si>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</si>
  <si>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</si>
  <si>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</si>
  <si>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</si>
  <si>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</si>
  <si>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</si>
  <si>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</si>
  <si>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</si>
  <si>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</si>
  <si>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</si>
  <si>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</si>
  <si>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</si>
  <si>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</si>
  <si>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</si>
  <si>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</si>
  <si>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</si>
  <si>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</si>
  <si>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</si>
  <si>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</si>
  <si>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</si>
  <si>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</si>
  <si>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</si>
  <si>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</si>
  <si>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</si>
  <si>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</si>
  <si>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</si>
  <si>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</si>
  <si>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</si>
  <si>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</si>
  <si>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</si>
  <si>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</si>
  <si>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</si>
  <si>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</si>
  <si>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</si>
  <si>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</si>
  <si>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</si>
  <si>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</si>
  <si>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</si>
  <si>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</si>
  <si>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03.05.1952 y.</t>
  </si>
  <si>
    <t>FARGONA VILOYATI QOQON SHAHAR IIB tomonidan 05.08.2018 y.</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</si>
  <si>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</si>
  <si>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</si>
  <si>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</si>
  <si>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</si>
  <si>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</si>
  <si>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</si>
  <si>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</si>
  <si>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</si>
  <si>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</si>
  <si>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</si>
  <si>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</si>
  <si>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</si>
  <si>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</si>
  <si>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</si>
  <si>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</si>
  <si>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</si>
  <si>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</si>
  <si>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</si>
  <si>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</si>
  <si>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</si>
  <si>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</si>
  <si>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</si>
  <si>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</si>
  <si>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</si>
  <si>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</si>
  <si>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</si>
  <si>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</si>
  <si>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</si>
  <si>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</si>
  <si>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</si>
  <si>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</si>
  <si>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</si>
  <si>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</si>
  <si>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</si>
  <si>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</si>
  <si>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</si>
  <si>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</si>
  <si>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Kreditlash bo’limi boshlig’i</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</si>
  <si>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</si>
  <si>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</si>
  <si>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</si>
  <si>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</si>
  <si>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</si>
  <si>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</si>
  <si>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</si>
  <si>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</si>
  <si>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</si>
  <si>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</si>
  <si>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</si>
  <si>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</si>
  <si>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</si>
  <si>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</si>
  <si>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</si>
  <si>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</si>
  <si>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</si>
  <si>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</si>
  <si>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</si>
  <si>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</si>
  <si>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</si>
  <si>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Kuzov turi  va kuzov raqami*</t>
  </si>
  <si>
    <t>Dvigatel va shassi raqami*</t>
  </si>
  <si>
    <t>Ishlab chiqarilgan yili va rangi*</t>
  </si>
  <si>
    <t>Kelishilgan garov qiymati, so'm</t>
  </si>
  <si>
    <t xml:space="preserve">Toshkent shahri </t>
  </si>
  <si>
    <t>Foydali maydoni</t>
  </si>
  <si>
    <t>Yashasha maydoni</t>
  </si>
  <si>
    <t>Umumiy maydoni</t>
  </si>
  <si>
    <t>Yashash xona</t>
  </si>
  <si>
    <t>Noturar joy</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</si>
  <si>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</si>
  <si>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</si>
  <si>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</si>
  <si>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</si>
  <si>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</si>
  <si>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</si>
  <si>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</si>
  <si>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</si>
  <si>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</si>
  <si>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</si>
  <si>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</si>
  <si>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</si>
  <si>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</si>
  <si>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</si>
  <si>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</si>
  <si>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</si>
  <si>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</si>
  <si>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</si>
  <si>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</si>
  <si>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</si>
  <si>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</si>
  <si>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</si>
  <si>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</si>
  <si>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</si>
  <si>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</si>
  <si>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</si>
  <si>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</si>
  <si>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</si>
  <si>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</si>
  <si>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</si>
  <si>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</si>
  <si>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</si>
  <si>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</si>
  <si>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</si>
  <si>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</si>
  <si>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</si>
  <si>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</si>
  <si>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</si>
  <si>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</si>
  <si>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</si>
  <si>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</si>
  <si>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</si>
  <si>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</si>
  <si>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</si>
  <si>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72.13 kv.m.</t>
  </si>
  <si>
    <t>37.39 kv.m</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</si>
  <si>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</si>
  <si>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</si>
  <si>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</si>
  <si>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</si>
  <si>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</si>
  <si>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</si>
  <si>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</si>
  <si>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</si>
  <si>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</si>
  <si>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</si>
  <si>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</si>
  <si>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Yer uchastkasining foydalanish maydoni, m²</t>
  </si>
  <si>
    <t>Yashash maydoni, m²</t>
  </si>
  <si>
    <t>Umumiy maydoni, m²</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</si>
  <si>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</si>
  <si>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</si>
  <si>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</si>
  <si>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</si>
  <si>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</si>
  <si>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</si>
  <si>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</si>
  <si>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</si>
  <si>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</si>
  <si>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</si>
  <si>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</si>
  <si>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Kuzov turi  va kuzov raqami</t>
  </si>
  <si>
    <t>Dvigatel va shassi raqami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</si>
  <si>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</si>
  <si>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</si>
  <si>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</si>
  <si>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</si>
  <si>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</si>
  <si>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</si>
  <si>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</si>
  <si>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</si>
  <si>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</si>
  <si>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</si>
  <si>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</si>
  <si>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</si>
  <si>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</si>
  <si>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</si>
  <si>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</si>
  <si>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</si>
  <si>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</si>
  <si>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</si>
  <si>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</si>
  <si>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</si>
  <si>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</si>
  <si>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</si>
  <si>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</si>
  <si>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</si>
  <si>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</si>
  <si>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</si>
  <si>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</si>
  <si>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</si>
  <si>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</si>
  <si>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</si>
  <si>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</si>
  <si>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</si>
  <si>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</si>
  <si>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</si>
  <si>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</si>
  <si>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</si>
  <si>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</si>
  <si>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</si>
  <si>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</si>
  <si>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</si>
  <si>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</si>
  <si>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</si>
  <si>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</si>
  <si>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</si>
  <si>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</si>
  <si>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</si>
  <si>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</si>
  <si>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</si>
  <si>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</si>
  <si>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</si>
  <si>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</si>
  <si>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</si>
  <si>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</si>
  <si>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</si>
  <si>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</si>
  <si>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</si>
  <si>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</si>
  <si>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</si>
  <si>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</si>
  <si>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</si>
  <si>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</si>
  <si>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</si>
  <si>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</si>
  <si>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</si>
  <si>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</si>
  <si>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</si>
  <si>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</si>
  <si>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</si>
  <si>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</si>
  <si>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</si>
  <si>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</si>
  <si>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</si>
  <si>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</si>
  <si>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</si>
  <si>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</si>
  <si>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</si>
  <si>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</si>
  <si>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</si>
  <si>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</si>
  <si>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</si>
  <si>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</si>
  <si>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</si>
  <si>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</si>
  <si>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</si>
  <si>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</si>
  <si>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</si>
  <si>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</si>
  <si>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</si>
  <si>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</si>
  <si>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</si>
  <si>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</si>
  <si>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</si>
  <si>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</si>
  <si>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</si>
  <si>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</si>
  <si>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</si>
  <si>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</si>
  <si>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</si>
  <si>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</si>
  <si>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</si>
  <si>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</si>
  <si>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</si>
  <si>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</si>
  <si>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</si>
  <si>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</si>
  <si>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xml:space="preserve"> Jumanazarov B.T</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</si>
  <si>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</si>
  <si>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</si>
  <si>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</si>
  <si>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</si>
  <si>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</si>
  <si>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</si>
  <si>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Kuzov turi YENGIL SEDAN, Kuzov raqami XWBJF69VELA059410</t>
  </si>
  <si>
    <t>Mominov B.X.</t>
  </si>
  <si>
    <t>Abduraximov Nаdirbek Kamilevich</t>
  </si>
  <si>
    <t>Yerjanov V.Y.</t>
  </si>
  <si>
    <t>Yerjanov Vladimir Yusupovich</t>
  </si>
  <si>
    <t>Olmaliq filiali boshlig'i</t>
  </si>
  <si>
    <t>Ijrochi direktori</t>
  </si>
  <si>
    <t>Mijoz quyidagi majburiyatlarga ega:"SHAFFOF-MOLIYA"MCHJ 339 733.33 so'm va 5 152 140.00so'm. Ayni paytda muddati o'tgan qarzdorligi mavjud emas. O‘rtacha oylik to‘lov 1 200 294.67so‘mni tashkil qiladi.</t>
  </si>
  <si>
    <t>1-TRO` VA IOB (OLMALIQ SHAHAR)</t>
  </si>
  <si>
    <t>MIRZAKULOV RUSTAMJON MUXAMADJANOVICH</t>
  </si>
  <si>
    <t>03.12.1988y</t>
  </si>
  <si>
    <t>AD9977942</t>
  </si>
  <si>
    <t>TOSHKENT VILOYATI OLMALIQ SHAHAR O`ZBEKISTON MFY OQTOSHKO`CHASI 47-UY</t>
  </si>
  <si>
    <t>07.03.2025</t>
  </si>
  <si>
    <t>AAG  3632549  05.03.2024 y.</t>
  </si>
  <si>
    <t>KIA SEITOS G08M</t>
  </si>
  <si>
    <t>10L832HB</t>
  </si>
  <si>
    <t>YENGIL KROSSOVER</t>
  </si>
  <si>
    <t>KNAER81AER7519713</t>
  </si>
  <si>
    <t>G4NHPH325362</t>
  </si>
  <si>
    <t>OQ BELIY JEMCHUG-OK</t>
  </si>
  <si>
    <t>2023</t>
  </si>
  <si>
    <t>19 KANECHKASI SHANXAY</t>
  </si>
  <si>
    <t xml:space="preserve">  94 404 44 09 O`ZI</t>
  </si>
  <si>
    <t>99 086 26 77  AYOLI</t>
  </si>
  <si>
    <t>93 607 50 18 OPASI</t>
  </si>
  <si>
    <t>№548-AL</t>
  </si>
  <si>
    <t>MIRZAKULOV R.M.</t>
  </si>
  <si>
    <t>IIV 27404</t>
  </si>
  <si>
    <t>OLMALIK SHAHRI</t>
  </si>
  <si>
    <t>94 404 44 09 O`ZI</t>
  </si>
  <si>
    <t xml:space="preserve"> - </t>
  </si>
  <si>
    <t>1. Abduraximov Nаdirbek Kamilevich</t>
  </si>
  <si>
    <t>Abduraximov 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</si>
</sst>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8">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sz val="12"/>
      <color rgb="FF585858"/>
      <name val="SegoeUI"/>
    </font>
    <font>
      <b/>
      <i/>
      <sz val="12"/>
      <color theme="1"/>
      <name val="Times New Roman"/>
      <family val="1"/>
      <charset val="204"/>
    </font>
    <font>
      <b/>
      <sz val="36"/>
      <color theme="1"/>
      <name val="Times New Roman"/>
      <family val="1"/>
      <charset val="204"/>
    </font>
    <font>
      <sz val="12"/>
      <name val="Arial"/>
      <family val="2"/>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11"/>
      <color theme="0"/>
      <name val="Arial"/>
      <family val="2"/>
      <charset val="204"/>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
      <patternFill patternType="solid">
        <fgColor theme="1" tint="4.9989318521683403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647">
    <xf numFmtId="0" fontId="0"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7" fillId="0" borderId="0">
      <alignment vertical="center"/>
    </xf>
    <xf numFmtId="0" fontId="57" fillId="0" borderId="0">
      <alignment vertical="center"/>
    </xf>
    <xf numFmtId="43" fontId="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cellStyleXfs>
  <cellXfs count="371">
    <xf numFmtId="0" fontId="0" fillId="0" borderId="0" xfId="0"/>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6" fillId="2" borderId="1" xfId="0" applyFont="1" applyFill="1" applyBorder="1" applyAlignment="1">
      <alignment vertical="center" wrapText="1"/>
    </xf>
    <xf numFmtId="0" fontId="5" fillId="0" borderId="0" xfId="0" applyFont="1"/>
    <xf numFmtId="0" fontId="7" fillId="0" borderId="0" xfId="0" applyFont="1"/>
    <xf numFmtId="0" fontId="6" fillId="0" borderId="0" xfId="0" applyFont="1" applyAlignment="1">
      <alignment vertical="center" wrapText="1"/>
    </xf>
    <xf numFmtId="0" fontId="5" fillId="0" borderId="0" xfId="0" applyFont="1" applyAlignment="1">
      <alignment vertical="center" wrapText="1"/>
    </xf>
    <xf numFmtId="165" fontId="5" fillId="0" borderId="1" xfId="0" applyNumberFormat="1" applyFont="1" applyBorder="1" applyAlignment="1">
      <alignment vertical="center" wrapText="1"/>
    </xf>
    <xf numFmtId="0" fontId="8" fillId="0" borderId="0" xfId="0" applyFont="1"/>
    <xf numFmtId="0" fontId="8" fillId="0" borderId="0" xfId="0" applyFont="1" applyAlignment="1">
      <alignment horizontal="right"/>
    </xf>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3"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13"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4" fillId="0" borderId="0" xfId="0" applyFont="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xf numFmtId="0" fontId="14" fillId="0" borderId="0" xfId="0" applyFont="1" applyAlignment="1">
      <alignment horizontal="justify" vertical="top" wrapText="1"/>
    </xf>
    <xf numFmtId="0" fontId="14" fillId="0" borderId="0" xfId="0" applyFont="1" applyAlignment="1">
      <alignment wrapText="1"/>
    </xf>
    <xf numFmtId="164" fontId="5" fillId="0" borderId="1" xfId="0" applyNumberFormat="1" applyFont="1" applyBorder="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7" fillId="0" borderId="0" xfId="0" applyFont="1"/>
    <xf numFmtId="0" fontId="16" fillId="0" borderId="1" xfId="0" applyFont="1" applyBorder="1" applyAlignment="1">
      <alignment horizontal="center" vertical="center" wrapText="1"/>
    </xf>
    <xf numFmtId="0" fontId="16" fillId="0" borderId="0" xfId="0" applyFont="1" applyAlignment="1">
      <alignment horizontal="center" vertical="center" wrapText="1"/>
    </xf>
    <xf numFmtId="0" fontId="17" fillId="0" borderId="1" xfId="0" applyFont="1" applyBorder="1" applyAlignment="1">
      <alignment horizontal="center" vertical="top" wrapText="1"/>
    </xf>
    <xf numFmtId="43" fontId="17" fillId="0" borderId="1" xfId="1" applyFont="1" applyBorder="1" applyAlignment="1">
      <alignment horizontal="center" vertical="top" wrapText="1"/>
    </xf>
    <xf numFmtId="0" fontId="16" fillId="0" borderId="1" xfId="0" applyFont="1" applyBorder="1" applyAlignment="1">
      <alignment horizontal="center" vertical="top" wrapText="1"/>
    </xf>
    <xf numFmtId="43" fontId="16" fillId="0" borderId="1" xfId="0" applyNumberFormat="1" applyFont="1" applyBorder="1" applyAlignment="1">
      <alignment horizontal="center" vertical="top" wrapText="1"/>
    </xf>
    <xf numFmtId="0" fontId="16" fillId="0" borderId="0" xfId="0" applyFont="1"/>
    <xf numFmtId="0" fontId="8" fillId="0" borderId="0" xfId="0" applyFont="1" applyAlignment="1">
      <alignment horizontal="left"/>
    </xf>
    <xf numFmtId="14" fontId="14" fillId="0" borderId="1" xfId="0" applyNumberFormat="1" applyFont="1" applyBorder="1"/>
    <xf numFmtId="43" fontId="14" fillId="0" borderId="1" xfId="1" applyFont="1" applyBorder="1"/>
    <xf numFmtId="14" fontId="14" fillId="0" borderId="0" xfId="0" applyNumberFormat="1" applyFont="1"/>
    <xf numFmtId="43" fontId="14" fillId="0" borderId="0" xfId="1" applyFont="1" applyBorder="1"/>
    <xf numFmtId="0" fontId="15" fillId="0" borderId="0" xfId="0" applyFont="1"/>
    <xf numFmtId="0" fontId="15" fillId="0" borderId="0" xfId="0" applyFont="1" applyAlignment="1">
      <alignment horizontal="right"/>
    </xf>
    <xf numFmtId="0" fontId="15" fillId="0" borderId="1" xfId="0" applyFont="1" applyBorder="1" applyAlignment="1">
      <alignment horizontal="center" vertical="center" wrapText="1"/>
    </xf>
    <xf numFmtId="0" fontId="15" fillId="0" borderId="0" xfId="0" applyFont="1" applyAlignment="1">
      <alignment horizontal="center"/>
    </xf>
    <xf numFmtId="0" fontId="22" fillId="0" borderId="0" xfId="0" applyFont="1" applyAlignment="1">
      <alignment horizontal="center" wrapText="1"/>
    </xf>
    <xf numFmtId="0" fontId="14" fillId="0" borderId="0" xfId="0" applyFont="1" applyAlignment="1">
      <alignment horizontal="center" wrapText="1"/>
    </xf>
    <xf numFmtId="0" fontId="21" fillId="0" borderId="0" xfId="0" applyFont="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5" fillId="0" borderId="1" xfId="0" applyFont="1" applyBorder="1"/>
    <xf numFmtId="14" fontId="15" fillId="0" borderId="1" xfId="0" applyNumberFormat="1" applyFont="1" applyBorder="1"/>
    <xf numFmtId="43" fontId="15" fillId="0" borderId="1" xfId="1" applyFont="1" applyBorder="1"/>
    <xf numFmtId="0" fontId="5" fillId="4" borderId="1" xfId="0" applyFont="1" applyFill="1" applyBorder="1" applyAlignment="1">
      <alignment vertical="center" wrapText="1"/>
    </xf>
    <xf numFmtId="16" fontId="5" fillId="0" borderId="0" xfId="0" applyNumberFormat="1" applyFont="1"/>
    <xf numFmtId="0" fontId="5" fillId="0" borderId="1" xfId="0" applyFont="1" applyBorder="1"/>
    <xf numFmtId="0" fontId="5" fillId="0" borderId="1" xfId="0" applyFont="1" applyBorder="1" applyAlignment="1">
      <alignment horizontal="left" vertical="center"/>
    </xf>
    <xf numFmtId="0" fontId="14" fillId="0" borderId="1" xfId="0" applyFont="1" applyBorder="1" applyAlignment="1">
      <alignment horizontal="justify" vertical="top" wrapText="1"/>
    </xf>
    <xf numFmtId="0" fontId="15" fillId="0" borderId="1" xfId="0" applyFont="1" applyBorder="1" applyAlignment="1">
      <alignment horizontal="justify" vertical="top" wrapText="1"/>
    </xf>
    <xf numFmtId="0" fontId="6" fillId="0" borderId="0" xfId="0" applyFont="1" applyAlignment="1">
      <alignment vertical="center"/>
    </xf>
    <xf numFmtId="0" fontId="15" fillId="0" borderId="0" xfId="0" applyFont="1" applyAlignment="1">
      <alignment horizontal="center" vertical="center" wrapText="1"/>
    </xf>
    <xf numFmtId="43" fontId="14" fillId="0" borderId="1" xfId="1" applyFont="1" applyBorder="1" applyAlignment="1">
      <alignment horizontal="justify" vertical="top" wrapText="1"/>
    </xf>
    <xf numFmtId="43" fontId="15" fillId="0" borderId="1" xfId="1" applyFont="1" applyBorder="1" applyAlignment="1">
      <alignment horizontal="justify" vertical="top" wrapText="1"/>
    </xf>
    <xf numFmtId="43" fontId="15" fillId="0" borderId="1" xfId="1" applyFont="1" applyBorder="1" applyAlignment="1">
      <alignment horizontal="center" vertical="top" wrapText="1"/>
    </xf>
    <xf numFmtId="43" fontId="27" fillId="0" borderId="1" xfId="1" applyFont="1" applyBorder="1"/>
    <xf numFmtId="43" fontId="5" fillId="4" borderId="1" xfId="1" applyFont="1" applyFill="1" applyBorder="1" applyAlignment="1">
      <alignment vertical="center" wrapText="1"/>
    </xf>
    <xf numFmtId="0" fontId="14" fillId="0" borderId="0" xfId="0" applyFont="1" applyAlignment="1">
      <alignment horizontal="left" vertical="top" wrapText="1"/>
    </xf>
    <xf numFmtId="0" fontId="14" fillId="0" borderId="8" xfId="0" applyFont="1" applyBorder="1" applyAlignment="1">
      <alignment wrapText="1"/>
    </xf>
    <xf numFmtId="0" fontId="14" fillId="0" borderId="9" xfId="0" applyFont="1" applyBorder="1" applyAlignment="1">
      <alignment wrapText="1"/>
    </xf>
    <xf numFmtId="49" fontId="8" fillId="0" borderId="0" xfId="0" applyNumberFormat="1" applyFont="1" applyAlignment="1">
      <alignment horizontal="right"/>
    </xf>
    <xf numFmtId="49" fontId="5" fillId="4" borderId="1" xfId="0" applyNumberFormat="1" applyFont="1" applyFill="1" applyBorder="1" applyAlignment="1">
      <alignment vertical="center" wrapText="1"/>
    </xf>
    <xf numFmtId="165" fontId="26" fillId="2" borderId="1" xfId="0" applyNumberFormat="1" applyFont="1" applyFill="1" applyBorder="1" applyAlignment="1">
      <alignment vertical="center" wrapText="1"/>
    </xf>
    <xf numFmtId="0" fontId="7" fillId="5" borderId="0" xfId="0" applyFont="1" applyFill="1"/>
    <xf numFmtId="0" fontId="29" fillId="0" borderId="0" xfId="0" applyFont="1"/>
    <xf numFmtId="165" fontId="5" fillId="2" borderId="1" xfId="0" applyNumberFormat="1" applyFont="1" applyFill="1" applyBorder="1" applyAlignment="1">
      <alignment vertical="center" wrapText="1"/>
    </xf>
    <xf numFmtId="0" fontId="5"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1" fillId="4" borderId="1" xfId="0" applyFont="1" applyFill="1" applyBorder="1"/>
    <xf numFmtId="0" fontId="32" fillId="0" borderId="0" xfId="0" applyFont="1"/>
    <xf numFmtId="0" fontId="9"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vertical="center"/>
    </xf>
    <xf numFmtId="0" fontId="9" fillId="0" borderId="0" xfId="0" applyFont="1" applyAlignment="1">
      <alignment horizontal="center" vertical="center"/>
    </xf>
    <xf numFmtId="43" fontId="5" fillId="4" borderId="3" xfId="1" applyFont="1" applyFill="1" applyBorder="1" applyAlignment="1">
      <alignment vertical="center" wrapText="1"/>
    </xf>
    <xf numFmtId="0" fontId="35" fillId="5" borderId="16" xfId="0" applyFont="1" applyFill="1" applyBorder="1"/>
    <xf numFmtId="0" fontId="6" fillId="2" borderId="1" xfId="0" applyFont="1" applyFill="1" applyBorder="1" applyAlignment="1">
      <alignment horizontal="right" vertical="center" wrapText="1"/>
    </xf>
    <xf numFmtId="164" fontId="5" fillId="0" borderId="0" xfId="0" applyNumberFormat="1"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top" wrapText="1"/>
    </xf>
    <xf numFmtId="0" fontId="8" fillId="0" borderId="0" xfId="0" applyFont="1" applyAlignment="1">
      <alignment horizontal="center" wrapText="1"/>
    </xf>
    <xf numFmtId="0" fontId="9" fillId="0" borderId="0" xfId="0" applyFont="1" applyAlignment="1">
      <alignment horizontal="center" wrapText="1"/>
    </xf>
    <xf numFmtId="0" fontId="18" fillId="0" borderId="0" xfId="0" applyFont="1" applyAlignment="1">
      <alignment horizontal="center"/>
    </xf>
    <xf numFmtId="0" fontId="8" fillId="0" borderId="0" xfId="0" applyFont="1" applyAlignment="1">
      <alignment vertical="top"/>
    </xf>
    <xf numFmtId="0" fontId="5" fillId="6" borderId="1" xfId="0" applyFont="1" applyFill="1" applyBorder="1" applyAlignment="1">
      <alignment vertical="center" wrapText="1"/>
    </xf>
    <xf numFmtId="14" fontId="5" fillId="4" borderId="0" xfId="0" applyNumberFormat="1" applyFont="1" applyFill="1"/>
    <xf numFmtId="0" fontId="5" fillId="4" borderId="15" xfId="0" applyFont="1" applyFill="1" applyBorder="1" applyAlignment="1">
      <alignment vertical="center"/>
    </xf>
    <xf numFmtId="0" fontId="5" fillId="6" borderId="13" xfId="0" applyFont="1" applyFill="1" applyBorder="1" applyAlignment="1">
      <alignment vertical="center"/>
    </xf>
    <xf numFmtId="0" fontId="5" fillId="6" borderId="0" xfId="0" applyFont="1" applyFill="1"/>
    <xf numFmtId="0" fontId="5" fillId="2" borderId="1" xfId="0" applyFont="1" applyFill="1" applyBorder="1"/>
    <xf numFmtId="0" fontId="5" fillId="2" borderId="1" xfId="0" applyFont="1" applyFill="1" applyBorder="1" applyAlignment="1">
      <alignment wrapText="1"/>
    </xf>
    <xf numFmtId="165" fontId="5" fillId="2" borderId="1" xfId="0" applyNumberFormat="1" applyFont="1" applyFill="1" applyBorder="1" applyAlignment="1">
      <alignment horizontal="left" vertical="center" wrapText="1"/>
    </xf>
    <xf numFmtId="14" fontId="5" fillId="6" borderId="1" xfId="0" applyNumberFormat="1" applyFont="1" applyFill="1" applyBorder="1" applyAlignment="1">
      <alignment vertical="center" wrapText="1"/>
    </xf>
    <xf numFmtId="165" fontId="5" fillId="6" borderId="1" xfId="0" applyNumberFormat="1" applyFont="1" applyFill="1" applyBorder="1" applyAlignment="1">
      <alignment vertical="center" wrapText="1"/>
    </xf>
    <xf numFmtId="0" fontId="5" fillId="7" borderId="1" xfId="0" applyFont="1" applyFill="1" applyBorder="1" applyAlignment="1">
      <alignment vertical="center" wrapText="1"/>
    </xf>
    <xf numFmtId="9" fontId="5" fillId="7" borderId="1" xfId="0" applyNumberFormat="1" applyFont="1" applyFill="1" applyBorder="1" applyAlignment="1">
      <alignment vertical="center" wrapText="1"/>
    </xf>
    <xf numFmtId="49" fontId="5" fillId="7" borderId="1" xfId="1" applyNumberFormat="1" applyFont="1" applyFill="1" applyBorder="1" applyAlignment="1">
      <alignment vertical="center" wrapText="1"/>
    </xf>
    <xf numFmtId="40" fontId="5" fillId="7" borderId="1" xfId="1" applyNumberFormat="1" applyFont="1" applyFill="1" applyBorder="1" applyAlignment="1">
      <alignment vertical="center" wrapText="1"/>
    </xf>
    <xf numFmtId="0" fontId="5"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49" fontId="5" fillId="4" borderId="1" xfId="0" applyNumberFormat="1" applyFont="1" applyFill="1" applyBorder="1" applyAlignment="1">
      <alignment horizontal="left" vertical="center" wrapText="1"/>
    </xf>
    <xf numFmtId="0" fontId="36" fillId="0" borderId="0" xfId="0" applyFont="1"/>
    <xf numFmtId="0" fontId="27" fillId="0" borderId="0" xfId="0" applyFont="1"/>
    <xf numFmtId="0" fontId="36" fillId="0" borderId="0" xfId="0" applyFont="1" applyAlignment="1">
      <alignment horizontal="right"/>
    </xf>
    <xf numFmtId="164" fontId="27" fillId="0" borderId="0" xfId="0" applyNumberFormat="1" applyFont="1"/>
    <xf numFmtId="166" fontId="27" fillId="0" borderId="0" xfId="0" applyNumberFormat="1" applyFont="1"/>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1" xfId="0" applyFont="1" applyBorder="1"/>
    <xf numFmtId="14" fontId="27" fillId="0" borderId="1" xfId="0" applyNumberFormat="1" applyFont="1" applyBorder="1"/>
    <xf numFmtId="167" fontId="27"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7" fillId="0" borderId="0" xfId="0" applyNumberFormat="1" applyFont="1"/>
    <xf numFmtId="43" fontId="27" fillId="0" borderId="0" xfId="1" applyFont="1" applyBorder="1"/>
    <xf numFmtId="14" fontId="26" fillId="5" borderId="0" xfId="0" applyNumberFormat="1" applyFont="1" applyFill="1"/>
    <xf numFmtId="0" fontId="26" fillId="5" borderId="0" xfId="0" applyFont="1" applyFill="1"/>
    <xf numFmtId="0" fontId="26" fillId="0" borderId="0" xfId="0" applyFont="1"/>
    <xf numFmtId="168" fontId="39" fillId="5" borderId="0" xfId="0" applyNumberFormat="1" applyFont="1" applyFill="1"/>
    <xf numFmtId="0" fontId="26" fillId="4" borderId="0" xfId="0" applyFont="1" applyFill="1"/>
    <xf numFmtId="1" fontId="26" fillId="5" borderId="0" xfId="0" applyNumberFormat="1" applyFont="1" applyFill="1"/>
    <xf numFmtId="49" fontId="27"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2" fontId="15" fillId="0" borderId="1" xfId="0" applyNumberFormat="1" applyFont="1" applyBorder="1" applyAlignment="1">
      <alignment horizontal="justify" vertical="top" wrapText="1"/>
    </xf>
    <xf numFmtId="43" fontId="14" fillId="0" borderId="1" xfId="1" applyFont="1" applyBorder="1" applyAlignment="1">
      <alignment horizontal="center" vertical="top" wrapText="1"/>
    </xf>
    <xf numFmtId="43" fontId="14" fillId="0" borderId="1" xfId="1" applyFont="1" applyBorder="1" applyAlignment="1">
      <alignment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6"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8" fillId="0" borderId="0" xfId="0" applyFont="1" applyAlignment="1">
      <alignment horizontal="right"/>
    </xf>
    <xf numFmtId="0" fontId="28" fillId="0" borderId="0" xfId="0" applyFont="1" applyAlignment="1">
      <alignment horizontal="justify"/>
    </xf>
    <xf numFmtId="0" fontId="28" fillId="0" borderId="0" xfId="0" applyFont="1" applyAlignment="1">
      <alignment horizontal="justify" vertical="center"/>
    </xf>
    <xf numFmtId="0" fontId="28" fillId="0" borderId="1" xfId="0" applyFont="1" applyBorder="1" applyAlignment="1">
      <alignment horizontal="justify"/>
    </xf>
    <xf numFmtId="0" fontId="28" fillId="0" borderId="0" xfId="0" applyFont="1" applyAlignment="1">
      <alignment horizontal="justify" vertical="center" wrapText="1"/>
    </xf>
    <xf numFmtId="0" fontId="28" fillId="0" borderId="0" xfId="0" applyFont="1" applyAlignment="1">
      <alignment horizontal="left"/>
    </xf>
    <xf numFmtId="0" fontId="28" fillId="0" borderId="11" xfId="0" applyFont="1" applyBorder="1" applyAlignment="1">
      <alignment horizontal="center"/>
    </xf>
    <xf numFmtId="0" fontId="28" fillId="0" borderId="0" xfId="0" applyFont="1" applyAlignment="1">
      <alignment horizontal="center"/>
    </xf>
    <xf numFmtId="0" fontId="5" fillId="3" borderId="1" xfId="0" applyFont="1" applyFill="1" applyBorder="1" applyAlignment="1">
      <alignment horizontal="center" vertical="center" wrapText="1"/>
    </xf>
    <xf numFmtId="0" fontId="14" fillId="0" borderId="0" xfId="0" applyFont="1" applyAlignment="1">
      <alignment vertical="top"/>
    </xf>
    <xf numFmtId="14" fontId="5" fillId="0" borderId="1" xfId="0" applyNumberFormat="1" applyFont="1" applyBorder="1"/>
    <xf numFmtId="0" fontId="30" fillId="0" borderId="0" xfId="0" applyFont="1" applyAlignment="1">
      <alignment horizontal="justify" vertical="top" wrapText="1"/>
    </xf>
    <xf numFmtId="0" fontId="15" fillId="0" borderId="0" xfId="0" applyFont="1" applyAlignment="1">
      <alignment horizontal="left" vertical="center" wrapText="1"/>
    </xf>
    <xf numFmtId="0" fontId="15" fillId="0" borderId="0" xfId="0" applyFont="1" applyAlignment="1">
      <alignment horizontal="right" vertical="center" wrapText="1"/>
    </xf>
    <xf numFmtId="0" fontId="0" fillId="0" borderId="0" xfId="0" applyAlignment="1">
      <alignment horizontal="left" vertical="center"/>
    </xf>
    <xf numFmtId="0" fontId="14" fillId="0" borderId="0" xfId="0" applyFont="1" applyAlignment="1">
      <alignment horizontal="left" vertical="center" wrapText="1"/>
    </xf>
    <xf numFmtId="14" fontId="5" fillId="4" borderId="1" xfId="0" applyNumberFormat="1" applyFont="1" applyFill="1" applyBorder="1" applyAlignment="1">
      <alignment vertical="center" wrapText="1"/>
    </xf>
    <xf numFmtId="0" fontId="14" fillId="0" borderId="0" xfId="0" applyFont="1" applyAlignment="1">
      <alignment horizontal="right"/>
    </xf>
    <xf numFmtId="0" fontId="6" fillId="6" borderId="1" xfId="0" applyFont="1" applyFill="1" applyBorder="1" applyAlignment="1">
      <alignment horizontal="left" vertical="center" wrapText="1"/>
    </xf>
    <xf numFmtId="0" fontId="6" fillId="6" borderId="1" xfId="0" applyFont="1" applyFill="1" applyBorder="1" applyAlignment="1">
      <alignment vertical="center" wrapText="1"/>
    </xf>
    <xf numFmtId="11" fontId="5" fillId="4" borderId="1" xfId="0" applyNumberFormat="1" applyFont="1" applyFill="1" applyBorder="1" applyAlignment="1">
      <alignment vertical="center" wrapText="1"/>
    </xf>
    <xf numFmtId="0" fontId="10" fillId="4" borderId="1" xfId="0" applyFont="1" applyFill="1" applyBorder="1" applyAlignment="1">
      <alignment horizontal="center" vertical="center" wrapText="1"/>
    </xf>
    <xf numFmtId="0" fontId="17" fillId="0" borderId="0" xfId="0" applyFont="1" applyAlignment="1">
      <alignment wrapText="1"/>
    </xf>
    <xf numFmtId="165" fontId="17" fillId="0" borderId="0" xfId="0" applyNumberFormat="1" applyFont="1"/>
    <xf numFmtId="0" fontId="16" fillId="0" borderId="0" xfId="0" applyFont="1" applyAlignment="1">
      <alignment vertical="center" wrapText="1"/>
    </xf>
    <xf numFmtId="0" fontId="16" fillId="0" borderId="0" xfId="0" applyFont="1" applyAlignment="1">
      <alignment horizontal="left"/>
    </xf>
    <xf numFmtId="0" fontId="9" fillId="0" borderId="0" xfId="0" applyFont="1" applyAlignment="1">
      <alignment horizontal="left"/>
    </xf>
    <xf numFmtId="14" fontId="10" fillId="4" borderId="1" xfId="0" applyNumberFormat="1" applyFont="1" applyFill="1" applyBorder="1" applyAlignment="1">
      <alignment horizontal="center" vertical="center" wrapText="1"/>
    </xf>
    <xf numFmtId="164" fontId="5" fillId="4" borderId="3" xfId="0" applyNumberFormat="1" applyFont="1" applyFill="1" applyBorder="1" applyAlignment="1">
      <alignment horizontal="left" vertical="top" wrapText="1"/>
    </xf>
    <xf numFmtId="0" fontId="5" fillId="4" borderId="3" xfId="0" applyFont="1" applyFill="1" applyBorder="1" applyAlignment="1">
      <alignment vertical="center" wrapText="1"/>
    </xf>
    <xf numFmtId="49" fontId="10" fillId="4" borderId="1" xfId="0" applyNumberFormat="1" applyFont="1" applyFill="1" applyBorder="1" applyAlignment="1">
      <alignment horizontal="center" vertical="center" wrapText="1"/>
    </xf>
    <xf numFmtId="164" fontId="5" fillId="4" borderId="1" xfId="0" applyNumberFormat="1" applyFont="1" applyFill="1" applyBorder="1" applyAlignment="1">
      <alignment vertical="center" wrapText="1"/>
    </xf>
    <xf numFmtId="0" fontId="17" fillId="0" borderId="0" xfId="0" applyFont="1" applyAlignment="1">
      <alignment horizontal="center" vertical="top" wrapText="1"/>
    </xf>
    <xf numFmtId="0" fontId="5" fillId="5" borderId="0" xfId="0" applyFont="1" applyFill="1"/>
    <xf numFmtId="0" fontId="45" fillId="2" borderId="1" xfId="0" applyFont="1" applyFill="1" applyBorder="1" applyAlignment="1">
      <alignment vertical="center" wrapText="1"/>
    </xf>
    <xf numFmtId="0" fontId="5" fillId="9" borderId="1" xfId="0" applyFont="1" applyFill="1" applyBorder="1" applyAlignment="1">
      <alignment vertical="center" wrapText="1"/>
    </xf>
    <xf numFmtId="0" fontId="5" fillId="3" borderId="1" xfId="0" applyFont="1" applyFill="1" applyBorder="1" applyAlignment="1">
      <alignment horizontal="center" vertical="center"/>
    </xf>
    <xf numFmtId="0" fontId="5" fillId="10" borderId="0" xfId="0" applyFont="1" applyFill="1"/>
    <xf numFmtId="0" fontId="43" fillId="0" borderId="0" xfId="0" applyFont="1" applyAlignment="1">
      <alignment vertical="center"/>
    </xf>
    <xf numFmtId="0" fontId="3" fillId="0" borderId="0" xfId="0" applyFont="1"/>
    <xf numFmtId="0" fontId="46" fillId="0" borderId="0" xfId="0" applyFont="1" applyAlignment="1">
      <alignment vertical="center"/>
    </xf>
    <xf numFmtId="0" fontId="47" fillId="0" borderId="0" xfId="0" applyFont="1" applyAlignment="1">
      <alignment wrapText="1"/>
    </xf>
    <xf numFmtId="0" fontId="8" fillId="0" borderId="0" xfId="0" applyFont="1" applyAlignment="1">
      <alignment wrapText="1"/>
    </xf>
    <xf numFmtId="0" fontId="15" fillId="0" borderId="0" xfId="0" applyFont="1" applyAlignment="1">
      <alignment horizontal="right" wrapText="1"/>
    </xf>
    <xf numFmtId="0" fontId="49" fillId="0" borderId="0" xfId="0" applyFont="1"/>
    <xf numFmtId="49" fontId="5" fillId="0" borderId="0" xfId="0" applyNumberFormat="1" applyFont="1"/>
    <xf numFmtId="0" fontId="50" fillId="0" borderId="0" xfId="0" applyFont="1"/>
    <xf numFmtId="0" fontId="9" fillId="0" borderId="0" xfId="0" applyFont="1" applyAlignment="1">
      <alignment horizontal="left" wrapText="1"/>
    </xf>
    <xf numFmtId="0" fontId="9" fillId="0" borderId="0" xfId="0" applyFont="1" applyAlignment="1">
      <alignment horizontal="left" vertical="center" wrapText="1"/>
    </xf>
    <xf numFmtId="0" fontId="8" fillId="0" borderId="0" xfId="0" applyFont="1" applyAlignment="1">
      <alignment horizontal="left" vertical="top" wrapText="1"/>
    </xf>
    <xf numFmtId="0" fontId="33"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26" fillId="0" borderId="19" xfId="0" applyFont="1" applyBorder="1"/>
    <xf numFmtId="0" fontId="26" fillId="0" borderId="20" xfId="0" applyFont="1" applyBorder="1"/>
    <xf numFmtId="0" fontId="26" fillId="0" borderId="4" xfId="0" applyFont="1" applyBorder="1"/>
    <xf numFmtId="0" fontId="48" fillId="0" borderId="0" xfId="0" applyFont="1" applyAlignment="1">
      <alignment vertical="top" wrapText="1"/>
    </xf>
    <xf numFmtId="0" fontId="48" fillId="0" borderId="4" xfId="0" applyFont="1" applyBorder="1" applyAlignment="1">
      <alignment vertical="top" wrapText="1"/>
    </xf>
    <xf numFmtId="0" fontId="48" fillId="0" borderId="18" xfId="0" applyFont="1" applyBorder="1" applyAlignment="1">
      <alignment vertical="top" wrapText="1"/>
    </xf>
    <xf numFmtId="0" fontId="30" fillId="0" borderId="18" xfId="0" applyFont="1" applyBorder="1" applyAlignment="1">
      <alignment horizontal="justify" vertical="top" wrapText="1"/>
    </xf>
    <xf numFmtId="0" fontId="5" fillId="5" borderId="1" xfId="0" applyFont="1" applyFill="1" applyBorder="1" applyAlignment="1">
      <alignment vertical="center" wrapText="1"/>
    </xf>
    <xf numFmtId="0" fontId="14" fillId="0" borderId="0" xfId="0" applyFont="1" applyAlignment="1">
      <alignment horizontal="left"/>
    </xf>
    <xf numFmtId="0" fontId="9" fillId="0" borderId="0" xfId="0" applyFont="1" applyAlignment="1">
      <alignment horizontal="right" wrapText="1"/>
    </xf>
    <xf numFmtId="14" fontId="5" fillId="3" borderId="1" xfId="0" applyNumberFormat="1" applyFont="1" applyFill="1" applyBorder="1" applyAlignment="1">
      <alignment horizontal="center" vertical="center" wrapText="1"/>
    </xf>
    <xf numFmtId="0" fontId="5" fillId="4" borderId="1" xfId="0" applyFont="1" applyFill="1" applyBorder="1" applyAlignment="1">
      <alignment horizontal="left" vertical="center" wrapText="1"/>
    </xf>
    <xf numFmtId="0" fontId="52" fillId="2" borderId="1" xfId="0" applyFont="1" applyFill="1" applyBorder="1" applyAlignment="1">
      <alignment horizontal="left" vertical="center" wrapText="1"/>
    </xf>
    <xf numFmtId="0" fontId="52" fillId="2" borderId="1" xfId="0" applyFont="1" applyFill="1" applyBorder="1" applyAlignment="1">
      <alignment vertical="center" wrapText="1"/>
    </xf>
    <xf numFmtId="0" fontId="8" fillId="0" borderId="0" xfId="0" applyFont="1" applyAlignment="1">
      <alignment horizontal="center"/>
    </xf>
    <xf numFmtId="0" fontId="29" fillId="4" borderId="1" xfId="0" applyFont="1" applyFill="1" applyBorder="1" applyAlignment="1">
      <alignment vertical="center" wrapText="1"/>
    </xf>
    <xf numFmtId="0" fontId="53" fillId="4" borderId="1" xfId="0" applyFont="1" applyFill="1" applyBorder="1" applyAlignment="1">
      <alignment vertical="center" wrapText="1"/>
    </xf>
    <xf numFmtId="0" fontId="55" fillId="4" borderId="1" xfId="0" applyFont="1" applyFill="1" applyBorder="1" applyAlignment="1">
      <alignment vertical="center" wrapText="1"/>
    </xf>
    <xf numFmtId="0" fontId="54" fillId="2" borderId="1" xfId="0" applyFont="1" applyFill="1" applyBorder="1" applyAlignment="1">
      <alignment vertical="center" wrapText="1"/>
    </xf>
    <xf numFmtId="0" fontId="9" fillId="0" borderId="0" xfId="0" applyFont="1" applyAlignment="1">
      <alignment wrapText="1"/>
    </xf>
    <xf numFmtId="0" fontId="52" fillId="11" borderId="2" xfId="0" applyFont="1" applyFill="1" applyBorder="1" applyAlignment="1">
      <alignment horizontal="left" vertical="center" wrapText="1"/>
    </xf>
    <xf numFmtId="0" fontId="52" fillId="11" borderId="24" xfId="0" applyFont="1" applyFill="1" applyBorder="1" applyAlignment="1">
      <alignment horizontal="left" vertical="center" wrapText="1"/>
    </xf>
    <xf numFmtId="43" fontId="55" fillId="4" borderId="1" xfId="1" applyFont="1" applyFill="1" applyBorder="1" applyAlignment="1">
      <alignment vertical="center" wrapText="1"/>
    </xf>
    <xf numFmtId="0" fontId="15" fillId="0" borderId="0" xfId="0" applyFont="1" applyAlignment="1">
      <alignment horizontal="left"/>
    </xf>
    <xf numFmtId="14" fontId="10" fillId="2" borderId="1" xfId="0" applyNumberFormat="1" applyFont="1" applyFill="1" applyBorder="1" applyAlignment="1">
      <alignment horizontal="center" vertical="center" wrapText="1"/>
    </xf>
    <xf numFmtId="41" fontId="5" fillId="0" borderId="1" xfId="139" applyFont="1" applyBorder="1" applyAlignment="1">
      <alignment vertical="center" wrapText="1"/>
    </xf>
    <xf numFmtId="0" fontId="19" fillId="0" borderId="0" xfId="0" applyFont="1"/>
    <xf numFmtId="0" fontId="29" fillId="11" borderId="0" xfId="0" applyFont="1" applyFill="1"/>
    <xf numFmtId="43" fontId="26" fillId="11" borderId="0" xfId="0" applyNumberFormat="1" applyFont="1" applyFill="1"/>
    <xf numFmtId="10" fontId="29" fillId="11" borderId="0" xfId="140" applyNumberFormat="1" applyFont="1" applyFill="1" applyAlignment="1">
      <alignment horizontal="center" vertical="center"/>
    </xf>
    <xf numFmtId="0" fontId="29" fillId="11" borderId="0" xfId="0" applyFont="1" applyFill="1" applyAlignment="1">
      <alignment horizontal="center" vertical="center"/>
    </xf>
    <xf numFmtId="43" fontId="5" fillId="12" borderId="0" xfId="0" applyNumberFormat="1" applyFont="1" applyFill="1"/>
    <xf numFmtId="0" fontId="5" fillId="12" borderId="0" xfId="0" applyFont="1" applyFill="1"/>
    <xf numFmtId="14" fontId="5" fillId="0" borderId="1" xfId="0" applyNumberFormat="1" applyFont="1" applyBorder="1" applyAlignment="1">
      <alignment vertical="center" wrapText="1"/>
    </xf>
    <xf numFmtId="0" fontId="5" fillId="4" borderId="1" xfId="0" quotePrefix="1" applyFont="1" applyFill="1" applyBorder="1" applyAlignment="1">
      <alignment vertical="center" wrapText="1"/>
    </xf>
    <xf numFmtId="3" fontId="5" fillId="4" borderId="1" xfId="0" applyNumberFormat="1" applyFont="1" applyFill="1" applyBorder="1" applyAlignment="1">
      <alignment vertical="center" wrapText="1"/>
    </xf>
    <xf numFmtId="0" fontId="6" fillId="4" borderId="1" xfId="0" applyFont="1" applyFill="1" applyBorder="1" applyAlignment="1">
      <alignment vertical="center" wrapText="1"/>
    </xf>
    <xf numFmtId="0" fontId="14" fillId="0" borderId="0" xfId="0" applyFont="1" applyAlignment="1">
      <alignment horizontal="justify" vertical="top" wrapText="1"/>
    </xf>
    <xf numFmtId="0" fontId="48" fillId="0" borderId="0" xfId="0" applyFont="1" applyAlignment="1">
      <alignment horizontal="justify" vertical="top" wrapText="1"/>
    </xf>
    <xf numFmtId="0" fontId="15" fillId="0" borderId="0" xfId="0" applyFont="1" applyAlignment="1">
      <alignment horizontal="left"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4" fillId="0" borderId="17" xfId="0" applyFont="1" applyBorder="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xf>
    <xf numFmtId="0" fontId="15" fillId="0" borderId="0" xfId="0" applyFont="1" applyAlignment="1">
      <alignment horizontal="center" vertical="center" wrapText="1"/>
    </xf>
    <xf numFmtId="0" fontId="14" fillId="0" borderId="0" xfId="0" applyFont="1" applyAlignment="1">
      <alignment horizontal="left" vertical="top" wrapText="1"/>
    </xf>
    <xf numFmtId="0" fontId="36" fillId="0" borderId="0" xfId="0" applyFont="1" applyAlignment="1">
      <alignment horizontal="center" vertical="center" wrapText="1"/>
    </xf>
    <xf numFmtId="0" fontId="27" fillId="0" borderId="0" xfId="0" applyFont="1" applyAlignment="1">
      <alignment horizontal="center"/>
    </xf>
    <xf numFmtId="0" fontId="27" fillId="0" borderId="0" xfId="0" applyFont="1" applyAlignment="1">
      <alignment horizontal="center" vertical="top" wrapText="1"/>
    </xf>
    <xf numFmtId="0" fontId="27" fillId="0" borderId="0" xfId="0" applyFont="1" applyAlignment="1">
      <alignment horizontal="left" wrapText="1"/>
    </xf>
    <xf numFmtId="0" fontId="38" fillId="0" borderId="0" xfId="0" applyFont="1" applyAlignment="1">
      <alignment horizontal="center" vertical="top" wrapText="1"/>
    </xf>
    <xf numFmtId="0" fontId="27" fillId="0" borderId="0" xfId="0" applyFont="1" applyAlignment="1">
      <alignment horizontal="center" wrapText="1"/>
    </xf>
    <xf numFmtId="0" fontId="36" fillId="0" borderId="0" xfId="0" applyFont="1" applyAlignment="1">
      <alignment horizontal="center" vertical="top" wrapText="1"/>
    </xf>
    <xf numFmtId="0" fontId="27"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right"/>
    </xf>
    <xf numFmtId="0" fontId="36" fillId="0" borderId="0" xfId="0"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4" fillId="0" borderId="0" xfId="0" applyFont="1" applyAlignment="1">
      <alignment horizontal="center"/>
    </xf>
    <xf numFmtId="0" fontId="14" fillId="0" borderId="0" xfId="0" applyFont="1" applyAlignment="1">
      <alignment horizontal="center" vertical="top" wrapText="1"/>
    </xf>
    <xf numFmtId="0" fontId="14" fillId="0" borderId="0" xfId="0" applyFont="1" applyAlignment="1">
      <alignment horizontal="left" wrapText="1"/>
    </xf>
    <xf numFmtId="0" fontId="19" fillId="0" borderId="0" xfId="0" applyFont="1" applyAlignment="1">
      <alignment horizontal="center" vertical="top" wrapText="1"/>
    </xf>
    <xf numFmtId="0" fontId="14" fillId="0" borderId="0" xfId="0" applyFont="1" applyAlignment="1">
      <alignment horizontal="center" wrapText="1"/>
    </xf>
    <xf numFmtId="0" fontId="15" fillId="0" borderId="0" xfId="0" applyFont="1" applyAlignment="1">
      <alignment horizontal="center" vertical="top" wrapText="1"/>
    </xf>
    <xf numFmtId="0" fontId="20" fillId="0" borderId="0" xfId="0" applyFont="1" applyAlignment="1">
      <alignment horizontal="center" vertical="center" wrapText="1"/>
    </xf>
    <xf numFmtId="0" fontId="15" fillId="0" borderId="0" xfId="0" applyFont="1" applyAlignment="1">
      <alignment horizontal="center" wrapText="1"/>
    </xf>
    <xf numFmtId="0" fontId="15" fillId="0" borderId="0" xfId="0" applyFont="1" applyAlignment="1">
      <alignment horizontal="right"/>
    </xf>
    <xf numFmtId="0" fontId="15" fillId="0" borderId="0" xfId="0"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xf>
    <xf numFmtId="0" fontId="17" fillId="0" borderId="0" xfId="0" applyFont="1" applyAlignment="1">
      <alignment horizontal="justify" vertical="top" wrapText="1"/>
    </xf>
    <xf numFmtId="0" fontId="16" fillId="0" borderId="0" xfId="0" applyFont="1" applyAlignment="1">
      <alignment horizontal="center" vertical="top" wrapText="1"/>
    </xf>
    <xf numFmtId="0" fontId="17" fillId="0" borderId="0" xfId="0" applyFont="1" applyAlignment="1">
      <alignment horizontal="left" vertical="top" wrapText="1"/>
    </xf>
    <xf numFmtId="0" fontId="17" fillId="0" borderId="0" xfId="0" applyFont="1" applyAlignment="1">
      <alignment horizontal="center" vertical="top" wrapText="1"/>
    </xf>
    <xf numFmtId="0" fontId="17" fillId="0" borderId="4" xfId="0" applyFont="1" applyBorder="1" applyAlignment="1">
      <alignment horizontal="center" vertical="top" wrapText="1"/>
    </xf>
    <xf numFmtId="49" fontId="17" fillId="0" borderId="0" xfId="0" applyNumberFormat="1" applyFont="1" applyAlignment="1">
      <alignment horizontal="center" vertical="center" wrapText="1"/>
    </xf>
    <xf numFmtId="0" fontId="28" fillId="0" borderId="0" xfId="0" applyFont="1" applyAlignment="1">
      <alignment horizontal="justify" vertical="center" wrapText="1"/>
    </xf>
    <xf numFmtId="0" fontId="28" fillId="0" borderId="1" xfId="0" applyFont="1" applyBorder="1" applyAlignment="1">
      <alignment horizontal="justify" vertical="center" wrapText="1"/>
    </xf>
    <xf numFmtId="0" fontId="28" fillId="0" borderId="17" xfId="0" applyFont="1" applyBorder="1" applyAlignment="1">
      <alignment horizontal="justify" vertical="center" wrapText="1"/>
    </xf>
    <xf numFmtId="0" fontId="28" fillId="0" borderId="11" xfId="0" applyFont="1" applyBorder="1" applyAlignment="1">
      <alignment horizontal="justify"/>
    </xf>
    <xf numFmtId="0" fontId="28" fillId="0" borderId="0" xfId="0" applyFont="1" applyAlignment="1">
      <alignment horizontal="center"/>
    </xf>
    <xf numFmtId="0" fontId="28" fillId="0" borderId="3" xfId="0" applyFont="1" applyBorder="1" applyAlignment="1">
      <alignment horizontal="justify" vertical="center" wrapText="1"/>
    </xf>
    <xf numFmtId="0" fontId="28" fillId="0" borderId="18" xfId="0" applyFont="1" applyBorder="1" applyAlignment="1">
      <alignment horizontal="justify" vertical="center" wrapText="1"/>
    </xf>
    <xf numFmtId="0" fontId="28" fillId="0" borderId="2" xfId="0" applyFont="1" applyBorder="1" applyAlignment="1">
      <alignment horizontal="justify" vertical="center" wrapText="1"/>
    </xf>
    <xf numFmtId="0" fontId="28" fillId="0" borderId="3" xfId="0" applyFont="1" applyBorder="1" applyAlignment="1">
      <alignment horizontal="justify" vertical="center"/>
    </xf>
    <xf numFmtId="0" fontId="28" fillId="0" borderId="2" xfId="0" applyFont="1" applyBorder="1" applyAlignment="1">
      <alignment horizontal="justify" vertical="center"/>
    </xf>
    <xf numFmtId="0" fontId="28" fillId="0" borderId="21" xfId="0" applyFont="1" applyBorder="1" applyAlignment="1">
      <alignment horizontal="justify" vertical="center"/>
    </xf>
    <xf numFmtId="0" fontId="28" fillId="0" borderId="17" xfId="0" applyFont="1" applyBorder="1" applyAlignment="1">
      <alignment horizontal="justify" vertical="center"/>
    </xf>
    <xf numFmtId="0" fontId="28" fillId="0" borderId="22" xfId="0" applyFont="1" applyBorder="1" applyAlignment="1">
      <alignment horizontal="justify" vertical="center"/>
    </xf>
    <xf numFmtId="0" fontId="28" fillId="0" borderId="20" xfId="0" applyFont="1" applyBorder="1" applyAlignment="1">
      <alignment horizontal="justify" vertical="center"/>
    </xf>
    <xf numFmtId="0" fontId="28" fillId="0" borderId="4" xfId="0" applyFont="1" applyBorder="1" applyAlignment="1">
      <alignment horizontal="justify" vertical="center"/>
    </xf>
    <xf numFmtId="0" fontId="28" fillId="0" borderId="23" xfId="0" applyFont="1" applyBorder="1" applyAlignment="1">
      <alignment horizontal="justify" vertical="center"/>
    </xf>
    <xf numFmtId="0" fontId="9" fillId="0" borderId="0" xfId="0" applyFont="1" applyAlignment="1">
      <alignment horizontal="center"/>
    </xf>
    <xf numFmtId="0" fontId="9" fillId="0" borderId="0" xfId="0" applyFont="1" applyAlignment="1">
      <alignment horizontal="right" vertical="top" wrapText="1"/>
    </xf>
    <xf numFmtId="0" fontId="8" fillId="0" borderId="0" xfId="0" applyFont="1" applyAlignment="1">
      <alignment horizontal="justify" wrapText="1"/>
    </xf>
    <xf numFmtId="0" fontId="8" fillId="0" borderId="0" xfId="0" applyFont="1" applyAlignment="1">
      <alignment horizontal="justify" vertical="top" wrapText="1"/>
    </xf>
    <xf numFmtId="0" fontId="9" fillId="0" borderId="0" xfId="0" applyFont="1" applyAlignment="1">
      <alignment horizontal="left" vertical="center" wrapText="1"/>
    </xf>
    <xf numFmtId="0" fontId="14" fillId="0" borderId="0" xfId="0" applyFont="1" applyAlignment="1">
      <alignment horizontal="center" vertical="center"/>
    </xf>
    <xf numFmtId="49" fontId="14" fillId="0" borderId="0" xfId="0" applyNumberFormat="1" applyFont="1" applyAlignment="1">
      <alignment horizontal="justify" vertical="top" wrapText="1"/>
    </xf>
    <xf numFmtId="0" fontId="14" fillId="0" borderId="0" xfId="0" applyFont="1" applyAlignment="1">
      <alignment horizontal="left" vertical="top"/>
    </xf>
    <xf numFmtId="0" fontId="9" fillId="0" borderId="0" xfId="0" applyFont="1" applyAlignment="1">
      <alignment horizontal="center" vertical="center"/>
    </xf>
    <xf numFmtId="0" fontId="8" fillId="0" borderId="0" xfId="0" applyFont="1" applyAlignment="1">
      <alignment horizontal="left" vertical="top" wrapText="1"/>
    </xf>
    <xf numFmtId="0" fontId="28" fillId="0" borderId="0" xfId="0" applyFont="1" applyAlignment="1">
      <alignment horizontal="left" vertical="top" wrapText="1"/>
    </xf>
    <xf numFmtId="49" fontId="8" fillId="0" borderId="0" xfId="0" applyNumberFormat="1" applyFont="1" applyAlignment="1">
      <alignment horizontal="left" vertical="top" wrapText="1"/>
    </xf>
    <xf numFmtId="0" fontId="9" fillId="0" borderId="0" xfId="0" applyFont="1" applyAlignment="1">
      <alignment horizontal="center" vertical="center" wrapText="1"/>
    </xf>
    <xf numFmtId="0" fontId="8" fillId="0" borderId="0" xfId="0" applyFont="1" applyAlignment="1">
      <alignment horizontal="left" wrapText="1"/>
    </xf>
    <xf numFmtId="0" fontId="8" fillId="0" borderId="0" xfId="0" applyFont="1" applyAlignment="1">
      <alignment vertical="top" wrapText="1"/>
    </xf>
    <xf numFmtId="0" fontId="28" fillId="5" borderId="0" xfId="0" applyFont="1" applyFill="1" applyAlignment="1">
      <alignment horizontal="left" vertical="top" wrapText="1"/>
    </xf>
    <xf numFmtId="0" fontId="33" fillId="0" borderId="0" xfId="0" applyFont="1" applyAlignment="1">
      <alignment horizontal="center" vertical="top" wrapText="1"/>
    </xf>
    <xf numFmtId="0" fontId="9" fillId="0" borderId="0" xfId="0" applyFont="1" applyAlignment="1">
      <alignment horizontal="center" vertical="top" wrapText="1"/>
    </xf>
    <xf numFmtId="0" fontId="33" fillId="0" borderId="0" xfId="0" applyFont="1" applyAlignment="1">
      <alignment horizontal="left"/>
    </xf>
    <xf numFmtId="0" fontId="9" fillId="0" borderId="0" xfId="0" applyFont="1" applyAlignment="1">
      <alignment horizontal="center" wrapText="1"/>
    </xf>
    <xf numFmtId="0" fontId="56" fillId="0" borderId="0" xfId="0" applyFont="1" applyAlignment="1">
      <alignment horizontal="center" wrapText="1"/>
    </xf>
    <xf numFmtId="0" fontId="15" fillId="0" borderId="0" xfId="0" applyFont="1" applyAlignment="1">
      <alignment horizontal="left" vertical="top" wrapText="1"/>
    </xf>
    <xf numFmtId="0" fontId="8" fillId="0" borderId="0" xfId="0" applyFont="1" applyAlignment="1">
      <alignment horizontal="left"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25" fillId="0" borderId="0" xfId="0" applyFont="1" applyAlignment="1">
      <alignment horizontal="right" vertical="top" wrapText="1"/>
    </xf>
    <xf numFmtId="0" fontId="14" fillId="0" borderId="3" xfId="0" applyFont="1" applyBorder="1" applyAlignment="1">
      <alignment horizontal="center" vertical="top" wrapText="1"/>
    </xf>
    <xf numFmtId="0" fontId="14" fillId="0" borderId="2" xfId="0" applyFont="1" applyBorder="1" applyAlignment="1">
      <alignment horizontal="center" vertical="top" wrapText="1"/>
    </xf>
    <xf numFmtId="0" fontId="14" fillId="0" borderId="17" xfId="0" applyFont="1" applyBorder="1" applyAlignment="1">
      <alignment horizontal="justify" vertical="top" wrapText="1"/>
    </xf>
    <xf numFmtId="0" fontId="27" fillId="0" borderId="3" xfId="0" applyFont="1" applyBorder="1" applyAlignment="1">
      <alignment horizontal="center" vertical="top" wrapText="1"/>
    </xf>
    <xf numFmtId="0" fontId="27" fillId="0" borderId="2" xfId="0" applyFont="1" applyBorder="1" applyAlignment="1">
      <alignment horizontal="center" vertical="top" wrapText="1"/>
    </xf>
    <xf numFmtId="0" fontId="15" fillId="0" borderId="3" xfId="0" applyFont="1" applyBorder="1" applyAlignment="1">
      <alignment horizontal="center" vertical="top" wrapText="1"/>
    </xf>
    <xf numFmtId="0" fontId="15" fillId="0" borderId="2" xfId="0" applyFont="1" applyBorder="1" applyAlignment="1">
      <alignment horizontal="center" vertical="top"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5" fillId="0" borderId="0" xfId="0" applyFont="1" applyAlignment="1">
      <alignment horizontal="right" vertical="top" wrapText="1"/>
    </xf>
    <xf numFmtId="0" fontId="15" fillId="0" borderId="10" xfId="0" applyFont="1" applyBorder="1" applyAlignment="1">
      <alignment horizontal="center" wrapText="1"/>
    </xf>
    <xf numFmtId="0" fontId="15" fillId="0" borderId="11" xfId="0" applyFont="1" applyBorder="1" applyAlignment="1">
      <alignment horizontal="center" wrapText="1"/>
    </xf>
    <xf numFmtId="0" fontId="15" fillId="0" borderId="12"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5" fillId="0" borderId="8" xfId="0" applyFont="1" applyBorder="1" applyAlignment="1">
      <alignment horizontal="left" wrapText="1"/>
    </xf>
    <xf numFmtId="0" fontId="15" fillId="0" borderId="9" xfId="0" applyFont="1" applyBorder="1" applyAlignment="1">
      <alignment horizontal="left" wrapText="1"/>
    </xf>
    <xf numFmtId="0" fontId="23" fillId="0" borderId="8" xfId="0" applyFont="1" applyBorder="1" applyAlignment="1">
      <alignment horizontal="center" wrapText="1"/>
    </xf>
    <xf numFmtId="0" fontId="23" fillId="0" borderId="0" xfId="0" applyFont="1" applyAlignment="1">
      <alignment horizontal="center" wrapText="1"/>
    </xf>
    <xf numFmtId="0" fontId="23" fillId="0" borderId="9" xfId="0" applyFont="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7" xfId="0" applyFont="1" applyBorder="1" applyAlignment="1">
      <alignment horizontal="center" wrapText="1"/>
    </xf>
    <xf numFmtId="0" fontId="34" fillId="0" borderId="8" xfId="0" applyFont="1" applyBorder="1" applyAlignment="1">
      <alignment horizontal="center" wrapText="1"/>
    </xf>
    <xf numFmtId="0" fontId="34" fillId="0" borderId="0" xfId="0" applyFont="1" applyAlignment="1">
      <alignment horizontal="center" wrapText="1"/>
    </xf>
    <xf numFmtId="0" fontId="34" fillId="0" borderId="9" xfId="0" applyFont="1" applyBorder="1" applyAlignment="1">
      <alignment horizontal="center" wrapText="1"/>
    </xf>
    <xf numFmtId="0" fontId="41" fillId="0" borderId="0" xfId="0" applyFont="1" applyAlignment="1">
      <alignment vertical="center" wrapText="1"/>
    </xf>
    <xf numFmtId="0" fontId="40" fillId="0" borderId="0" xfId="0" applyFont="1" applyAlignment="1">
      <alignment horizontal="justify" vertical="center" wrapText="1"/>
    </xf>
    <xf numFmtId="0" fontId="14" fillId="0" borderId="0" xfId="0" applyFont="1" applyAlignment="1">
      <alignment vertical="top" wrapText="1"/>
    </xf>
    <xf numFmtId="0" fontId="41" fillId="0" borderId="0" xfId="0" applyFont="1" applyAlignment="1">
      <alignment horizontal="justify" vertical="center" wrapText="1"/>
    </xf>
    <xf numFmtId="0" fontId="40" fillId="0" borderId="0" xfId="0" applyFont="1" applyAlignment="1">
      <alignment horizontal="justify" vertical="top" wrapText="1"/>
    </xf>
    <xf numFmtId="0" fontId="14" fillId="0" borderId="0" xfId="0" applyFont="1" applyAlignment="1">
      <alignment horizontal="left"/>
    </xf>
    <xf numFmtId="0" fontId="17" fillId="0" borderId="0" xfId="0" applyFont="1" applyAlignment="1">
      <alignment horizontal="left" wrapText="1"/>
    </xf>
    <xf numFmtId="0" fontId="16" fillId="0" borderId="4" xfId="0" applyFont="1" applyBorder="1" applyAlignment="1">
      <alignment horizontal="left" vertical="top"/>
    </xf>
    <xf numFmtId="0" fontId="16" fillId="8" borderId="3"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0" xfId="0" applyFont="1" applyAlignment="1">
      <alignment horizontal="left"/>
    </xf>
    <xf numFmtId="0" fontId="17" fillId="0" borderId="0" xfId="0" applyFont="1" applyAlignment="1">
      <alignment horizontal="justify" vertical="top" wrapText="1" readingOrder="1"/>
    </xf>
    <xf numFmtId="0" fontId="16" fillId="0" borderId="0" xfId="0" applyFont="1" applyAlignment="1">
      <alignment horizontal="center" wrapText="1"/>
    </xf>
    <xf numFmtId="0" fontId="44" fillId="0" borderId="0" xfId="0" applyFont="1" applyAlignment="1">
      <alignment horizontal="left" vertical="center" wrapText="1" readingOrder="1"/>
    </xf>
  </cellXfs>
  <cellStyles count="1647">
    <cellStyle name="Обычный" xfId="0" builtinId="0"/>
    <cellStyle name="Обычный 10" xfId="72" xr:uid="{00000000-0005-0000-0000-000001000000}"/>
    <cellStyle name="Обычный 10 2" xfId="483" xr:uid="{488BC1C9-D2F7-4609-8150-1C7FE8E94E43}"/>
    <cellStyle name="Обычный 10 2 2" xfId="755" xr:uid="{B29F6A08-AE3F-47B2-BE65-9F4472E59102}"/>
    <cellStyle name="Обычный 10 2 2 2" xfId="1299" xr:uid="{DC1D53DF-66CE-4805-BCD4-3F9FBFAFAF93}"/>
    <cellStyle name="Обычный 10 2 3" xfId="1027" xr:uid="{A248D41E-A3D5-42A7-99BF-A1B4F08681D9}"/>
    <cellStyle name="Обычный 10 2 4" xfId="1573" xr:uid="{E7207A47-03D0-4F52-BEC7-0F3A7BC0484E}"/>
    <cellStyle name="Обычный 10 3" xfId="619" xr:uid="{DB7785F3-A04A-49B1-916C-18E4A251C0A4}"/>
    <cellStyle name="Обычный 10 3 2" xfId="1163" xr:uid="{B6376876-46A2-48F1-8B8C-C59B508BEDDB}"/>
    <cellStyle name="Обычный 10 4" xfId="891" xr:uid="{E289C1F1-A8F7-4067-A208-9808C89FCA61}"/>
    <cellStyle name="Обычный 10 5" xfId="347" xr:uid="{5F3F7E79-B297-4629-9930-2F3DDD547C5E}"/>
    <cellStyle name="Обычный 10 6" xfId="1436" xr:uid="{28CBEFC9-5C13-4D88-89CC-2759A8C910EC}"/>
    <cellStyle name="Обычный 10 7" xfId="211" xr:uid="{AD4E0C6C-42DF-4D34-854E-F4377975E022}"/>
    <cellStyle name="Обычный 11" xfId="73" xr:uid="{00000000-0005-0000-0000-000002000000}"/>
    <cellStyle name="Обычный 11 2" xfId="484" xr:uid="{03908A1C-1BC2-4E97-90FB-85FB7CF0C304}"/>
    <cellStyle name="Обычный 11 2 2" xfId="756" xr:uid="{D7D989EC-EE8E-406C-8E65-093F7549D3D1}"/>
    <cellStyle name="Обычный 11 2 2 2" xfId="1300" xr:uid="{D19ACD80-6180-4BCF-B198-4BE803180021}"/>
    <cellStyle name="Обычный 11 2 3" xfId="1028" xr:uid="{0216D3BA-A23E-463F-AF18-2772E2FDDD04}"/>
    <cellStyle name="Обычный 11 2 4" xfId="1574" xr:uid="{83381369-223C-4AFF-AB33-FFB252392AAB}"/>
    <cellStyle name="Обычный 11 3" xfId="620" xr:uid="{A596CAD6-FF42-4F58-838D-8C5C0263585B}"/>
    <cellStyle name="Обычный 11 3 2" xfId="1164" xr:uid="{417E47BB-4165-4864-8E86-97264B88C5B3}"/>
    <cellStyle name="Обычный 11 4" xfId="892" xr:uid="{9963078B-FB7C-416B-B705-B4B6715F8E9C}"/>
    <cellStyle name="Обычный 11 5" xfId="348" xr:uid="{5F59AA8A-C96F-4BF8-B910-79CF2F83A5A7}"/>
    <cellStyle name="Обычный 11 6" xfId="1437" xr:uid="{640A4E43-EFED-4177-B7ED-08ED4334BBE4}"/>
    <cellStyle name="Обычный 11 7" xfId="212" xr:uid="{B3D1F242-6ABB-4CEF-889D-D5CB7044E359}"/>
    <cellStyle name="Обычный 2" xfId="63" xr:uid="{00000000-0005-0000-0000-000003000000}"/>
    <cellStyle name="Обычный 3" xfId="64" xr:uid="{00000000-0005-0000-0000-000004000000}"/>
    <cellStyle name="Обычный 4" xfId="66" xr:uid="{00000000-0005-0000-0000-000005000000}"/>
    <cellStyle name="Обычный 4 2" xfId="477" xr:uid="{1296F276-4C2E-42AA-B25F-8C7111AD52D9}"/>
    <cellStyle name="Обычный 4 2 2" xfId="749" xr:uid="{CCFAE8A8-500B-40D1-9863-84EAE0D22637}"/>
    <cellStyle name="Обычный 4 2 2 2" xfId="1293" xr:uid="{EFCFB8FD-5371-4390-B657-FDA95EAC139A}"/>
    <cellStyle name="Обычный 4 2 3" xfId="1021" xr:uid="{8B184E83-8915-47AE-8D4C-3A400DA21120}"/>
    <cellStyle name="Обычный 4 2 4" xfId="1567" xr:uid="{B413DE6C-6A23-458F-99C9-B47BD3632F4F}"/>
    <cellStyle name="Обычный 4 3" xfId="613" xr:uid="{2ED2490A-3C68-4268-8706-D0CDBC76B5B4}"/>
    <cellStyle name="Обычный 4 3 2" xfId="1157" xr:uid="{951EE199-FB9A-46C4-909E-2E9476428873}"/>
    <cellStyle name="Обычный 4 4" xfId="885" xr:uid="{BEA0549E-61EA-4746-BD9C-460E64CB249E}"/>
    <cellStyle name="Обычный 4 5" xfId="341" xr:uid="{B6E639A9-98AF-4C0A-8C13-67DA3166D3BF}"/>
    <cellStyle name="Обычный 4 6" xfId="1430" xr:uid="{CE2D7409-EF31-49D2-90D6-FAB5A2839ED5}"/>
    <cellStyle name="Обычный 4 7" xfId="205" xr:uid="{7488FD8C-6808-48DA-89D0-0CAE5CEEF768}"/>
    <cellStyle name="Обычный 5" xfId="67" xr:uid="{00000000-0005-0000-0000-000006000000}"/>
    <cellStyle name="Обычный 5 2" xfId="478" xr:uid="{294EB786-0D91-4E2A-AEA6-0A36E0298FE3}"/>
    <cellStyle name="Обычный 5 2 2" xfId="750" xr:uid="{71F0DF27-C9CC-40B5-B3E6-E6270734680E}"/>
    <cellStyle name="Обычный 5 2 2 2" xfId="1294" xr:uid="{E9EFD752-904D-4956-A6FA-217F00D4C7F9}"/>
    <cellStyle name="Обычный 5 2 3" xfId="1022" xr:uid="{6F02C349-7DAB-4AEA-BA5E-78A3DC02302C}"/>
    <cellStyle name="Обычный 5 2 4" xfId="1568" xr:uid="{58428277-C5A8-44EF-9AEA-4D33F1C92F0B}"/>
    <cellStyle name="Обычный 5 3" xfId="614" xr:uid="{5C2C7AB3-C38E-42A4-AF00-97053FF8F3E9}"/>
    <cellStyle name="Обычный 5 3 2" xfId="1158" xr:uid="{0AFD397B-4758-4B74-9E59-1A279D1EA6A3}"/>
    <cellStyle name="Обычный 5 4" xfId="886" xr:uid="{463EEEA4-97FB-413F-859D-377569B5496A}"/>
    <cellStyle name="Обычный 5 5" xfId="342" xr:uid="{1C062687-1D91-42C6-AB22-E707CE1599F5}"/>
    <cellStyle name="Обычный 5 6" xfId="1431" xr:uid="{7AC402A1-F1FF-4820-BF6E-291CFBD6EDF8}"/>
    <cellStyle name="Обычный 5 7" xfId="206" xr:uid="{5B972030-000A-4B5A-9109-56B635710022}"/>
    <cellStyle name="Обычный 6" xfId="68" xr:uid="{00000000-0005-0000-0000-000007000000}"/>
    <cellStyle name="Обычный 6 2" xfId="479" xr:uid="{3EC86366-37CD-43D1-B61B-BB7241599DDE}"/>
    <cellStyle name="Обычный 6 2 2" xfId="751" xr:uid="{D7B94A53-D6DA-4F9E-91D5-AABD31C83D0C}"/>
    <cellStyle name="Обычный 6 2 2 2" xfId="1295" xr:uid="{8AAAC0E0-45ED-4989-8898-C8730ADE0534}"/>
    <cellStyle name="Обычный 6 2 3" xfId="1023" xr:uid="{87544813-3AA2-4487-8BFF-ADA88795F612}"/>
    <cellStyle name="Обычный 6 2 4" xfId="1569" xr:uid="{CFD5E8B9-E587-4A42-8E22-3EEAB3BE95AC}"/>
    <cellStyle name="Обычный 6 3" xfId="615" xr:uid="{6821E6A4-BB72-431F-86BF-933156D3F5B4}"/>
    <cellStyle name="Обычный 6 3 2" xfId="1159" xr:uid="{B29681CC-FC78-4705-B3A4-868868C4BA31}"/>
    <cellStyle name="Обычный 6 4" xfId="887" xr:uid="{9CC3849D-7907-4C1B-86F2-90271DC0A4D9}"/>
    <cellStyle name="Обычный 6 5" xfId="343" xr:uid="{88524D3B-8228-4978-8A99-DD972E13ABC7}"/>
    <cellStyle name="Обычный 6 6" xfId="1432" xr:uid="{93DFE2B1-07CE-48EA-AB05-AAE194BACD58}"/>
    <cellStyle name="Обычный 6 7" xfId="207" xr:uid="{3645FEBF-6E29-4E32-8E08-36BBB0363645}"/>
    <cellStyle name="Обычный 7" xfId="69" xr:uid="{00000000-0005-0000-0000-000008000000}"/>
    <cellStyle name="Обычный 7 2" xfId="480" xr:uid="{B51A4B17-B353-4AD0-BAD1-B7F444EBD383}"/>
    <cellStyle name="Обычный 7 2 2" xfId="752" xr:uid="{F4FEF10A-3F16-4B6F-BC22-73F97B36C392}"/>
    <cellStyle name="Обычный 7 2 2 2" xfId="1296" xr:uid="{8D97612E-81BD-4C85-86AF-DD9E61C9D592}"/>
    <cellStyle name="Обычный 7 2 3" xfId="1024" xr:uid="{F6B97979-1E05-4B20-BF9D-26E9AA385663}"/>
    <cellStyle name="Обычный 7 2 4" xfId="1570" xr:uid="{4C6432D2-E528-4691-B06E-C1CD4E45C64A}"/>
    <cellStyle name="Обычный 7 3" xfId="616" xr:uid="{E3B6B627-2D06-43A0-A96C-0068E26319CE}"/>
    <cellStyle name="Обычный 7 3 2" xfId="1160" xr:uid="{27259A5D-7B76-433E-BC0E-1E065E8673F4}"/>
    <cellStyle name="Обычный 7 4" xfId="888" xr:uid="{8BA8D11E-ABEB-4844-857F-0CFEBA8EEC65}"/>
    <cellStyle name="Обычный 7 5" xfId="344" xr:uid="{E2F6603A-3FFE-4CAA-9C92-C3FFC0F64F7C}"/>
    <cellStyle name="Обычный 7 6" xfId="1433" xr:uid="{159A5D6E-FC99-4F3E-95B7-7B2F62D1A22C}"/>
    <cellStyle name="Обычный 7 7" xfId="208" xr:uid="{C0D4BB93-4E8B-4A4B-B314-11F3B3F58339}"/>
    <cellStyle name="Обычный 8" xfId="70" xr:uid="{00000000-0005-0000-0000-000009000000}"/>
    <cellStyle name="Обычный 8 2" xfId="481" xr:uid="{F383C379-48F2-4DFB-A47F-4C5931F5DC5A}"/>
    <cellStyle name="Обычный 8 2 2" xfId="753" xr:uid="{01D0BAB7-75C9-48B1-B5FC-B70FD7E3C4D3}"/>
    <cellStyle name="Обычный 8 2 2 2" xfId="1297" xr:uid="{D82722E4-58E8-46E8-B207-7142AB44CB7B}"/>
    <cellStyle name="Обычный 8 2 3" xfId="1025" xr:uid="{AFB5C081-CE63-4D99-81CE-43EDEFE2CE51}"/>
    <cellStyle name="Обычный 8 2 4" xfId="1571" xr:uid="{37DFEB93-BE40-40DD-9DB5-B8C7965169D7}"/>
    <cellStyle name="Обычный 8 3" xfId="617" xr:uid="{B934F128-905E-4957-9B6A-9976F8B250EA}"/>
    <cellStyle name="Обычный 8 3 2" xfId="1161" xr:uid="{187B6204-D60A-4CA0-A3AD-AAF03ADD376D}"/>
    <cellStyle name="Обычный 8 4" xfId="889" xr:uid="{EB774A29-D74E-4FE9-A00C-B059DD235A50}"/>
    <cellStyle name="Обычный 8 5" xfId="345" xr:uid="{38DE3F50-E808-4DA7-9ABF-9EFD63C0B1A4}"/>
    <cellStyle name="Обычный 8 6" xfId="1434" xr:uid="{CF28F77C-06DC-4DA3-A875-2036F0053157}"/>
    <cellStyle name="Обычный 8 7" xfId="209" xr:uid="{07B5AE1D-F124-4FF5-A580-73DC9F752655}"/>
    <cellStyle name="Обычный 9" xfId="71" xr:uid="{00000000-0005-0000-0000-00000A000000}"/>
    <cellStyle name="Обычный 9 2" xfId="482" xr:uid="{AD4B549E-1F0C-4156-83C9-5F44BF9195AB}"/>
    <cellStyle name="Обычный 9 2 2" xfId="754" xr:uid="{2FA6F085-06FC-4651-A4CB-A073F915E36D}"/>
    <cellStyle name="Обычный 9 2 2 2" xfId="1298" xr:uid="{5319C3A0-6F7A-4436-9F0A-79CF96592A39}"/>
    <cellStyle name="Обычный 9 2 3" xfId="1026" xr:uid="{B4888DF3-F155-4229-B4EE-97C2B5970E24}"/>
    <cellStyle name="Обычный 9 2 4" xfId="1572" xr:uid="{34D2AD0D-A009-40E4-A64A-3CE560AC813F}"/>
    <cellStyle name="Обычный 9 3" xfId="618" xr:uid="{2FD1BD95-84A8-4C9B-90D0-92F738B9849F}"/>
    <cellStyle name="Обычный 9 3 2" xfId="1162" xr:uid="{E7A225EA-0052-49CF-9B3B-1424FFF17EB3}"/>
    <cellStyle name="Обычный 9 4" xfId="890" xr:uid="{AC997D91-944D-4980-8550-9C5BFB3DECB6}"/>
    <cellStyle name="Обычный 9 5" xfId="346" xr:uid="{8C0CA466-CC41-4A3A-8D12-5C58EBCCA810}"/>
    <cellStyle name="Обычный 9 6" xfId="1435" xr:uid="{1EC96944-6EBF-4EEA-97B7-D3D00EA2704B}"/>
    <cellStyle name="Обычный 9 7" xfId="210" xr:uid="{9AD5AE95-42C0-4089-BAE8-CDA468E95B42}"/>
    <cellStyle name="Процентный" xfId="140" builtinId="5"/>
    <cellStyle name="Финансовый" xfId="1" builtinId="3"/>
    <cellStyle name="Финансовый [0]" xfId="139" builtinId="6"/>
    <cellStyle name="Финансовый [0] 2" xfId="1503" xr:uid="{36176178-087F-41F0-940E-AB2266FDEA34}"/>
    <cellStyle name="Финансовый 10" xfId="125" xr:uid="{00000000-0005-0000-0000-00000E000000}"/>
    <cellStyle name="Финансовый 10 2" xfId="536" xr:uid="{811E9D38-AAF6-4164-B697-1A9C91325B66}"/>
    <cellStyle name="Финансовый 10 2 2" xfId="808" xr:uid="{5903B247-14D9-4AC0-9650-1B6915FFD5B5}"/>
    <cellStyle name="Финансовый 10 2 2 2" xfId="1352" xr:uid="{4431A2B0-16AC-4CC4-A303-1DBE27E1511A}"/>
    <cellStyle name="Финансовый 10 2 3" xfId="1080" xr:uid="{11DA5CBC-828D-4009-83C7-78D374826E10}"/>
    <cellStyle name="Финансовый 10 2 4" xfId="1626" xr:uid="{2C3175AD-8B14-483C-9F9D-F6B901F670E6}"/>
    <cellStyle name="Финансовый 10 3" xfId="672" xr:uid="{4913D7C1-4AF8-4D02-9E6A-A1D691980D7E}"/>
    <cellStyle name="Финансовый 10 3 2" xfId="1216" xr:uid="{5045EEE4-746D-47F5-BE18-3A4839A2C060}"/>
    <cellStyle name="Финансовый 10 4" xfId="944" xr:uid="{47AB17F9-DC08-4149-9166-5545E2D66DF7}"/>
    <cellStyle name="Финансовый 10 5" xfId="400" xr:uid="{2F3B1DF5-16FD-414B-8187-168E1DACDBE7}"/>
    <cellStyle name="Финансовый 10 6" xfId="1489" xr:uid="{CEB7749B-6234-4F4E-8837-9507345119DC}"/>
    <cellStyle name="Финансовый 10 7" xfId="264" xr:uid="{6587BBFF-347B-444E-8B1A-B6F9C0E60F40}"/>
    <cellStyle name="Финансовый 11" xfId="61" xr:uid="{00000000-0005-0000-0000-00000F000000}"/>
    <cellStyle name="Финансовый 11 2" xfId="474" xr:uid="{0385D1CF-3C62-4505-A2E6-86F66CE4FEF3}"/>
    <cellStyle name="Финансовый 11 2 2" xfId="746" xr:uid="{04E7915F-677D-4341-853D-804EF41878A3}"/>
    <cellStyle name="Финансовый 11 2 2 2" xfId="1290" xr:uid="{FD33FBFF-7528-4DAE-83FF-00EC797D2F3B}"/>
    <cellStyle name="Финансовый 11 2 3" xfId="1018" xr:uid="{6A71F814-C4BE-451B-9DDE-7BAFB83499B0}"/>
    <cellStyle name="Финансовый 11 2 4" xfId="1564" xr:uid="{70C4A8FF-2D02-4FD5-86DE-CCC13147ABC6}"/>
    <cellStyle name="Финансовый 11 3" xfId="610" xr:uid="{F84FCB58-622E-485D-A509-6658F08EBA10}"/>
    <cellStyle name="Финансовый 11 3 2" xfId="1154" xr:uid="{EE7CA448-23BB-4BF1-8462-93CC03E6A47C}"/>
    <cellStyle name="Финансовый 11 4" xfId="882" xr:uid="{E2B1312A-E3BE-4282-BFD1-27BC1DF034D9}"/>
    <cellStyle name="Финансовый 11 5" xfId="338" xr:uid="{ABD1B88F-8038-49FD-A019-8C52B3B96701}"/>
    <cellStyle name="Финансовый 11 6" xfId="1426" xr:uid="{B48E9059-96E7-4FFE-8BAD-BB6724EC1063}"/>
    <cellStyle name="Финансовый 11 7" xfId="201" xr:uid="{EBECA348-9CA1-4980-A06D-3FFB0D87F085}"/>
    <cellStyle name="Финансовый 12" xfId="49" xr:uid="{00000000-0005-0000-0000-000010000000}"/>
    <cellStyle name="Финансовый 12 2" xfId="462" xr:uid="{70C97075-9B44-4493-BC23-507115D264A5}"/>
    <cellStyle name="Финансовый 12 2 2" xfId="734" xr:uid="{611115CA-7E38-49FB-B8D3-9852B8BB1518}"/>
    <cellStyle name="Финансовый 12 2 2 2" xfId="1278" xr:uid="{6FBD7A8C-705D-4A3B-B56D-98586B99A168}"/>
    <cellStyle name="Финансовый 12 2 3" xfId="1006" xr:uid="{6523647A-C018-4201-B5DE-F54220BD7D9E}"/>
    <cellStyle name="Финансовый 12 2 4" xfId="1552" xr:uid="{DD3E18C1-32F4-41CA-9164-F5C6A9F128F0}"/>
    <cellStyle name="Финансовый 12 3" xfId="598" xr:uid="{D2B578A6-8D4A-4D0A-A835-D0130930A1A3}"/>
    <cellStyle name="Финансовый 12 3 2" xfId="1142" xr:uid="{68631EF2-8036-4CCA-8E7D-4BDD60697C20}"/>
    <cellStyle name="Финансовый 12 4" xfId="870" xr:uid="{44ACB84D-F8D7-49CA-BBF3-0B1B720DDE71}"/>
    <cellStyle name="Финансовый 12 5" xfId="326" xr:uid="{9E826EE0-E1F9-4DB3-967D-44F195F5EDA3}"/>
    <cellStyle name="Финансовый 12 6" xfId="1414" xr:uid="{C1BF89F6-8E12-4C41-87D1-D3593835151D}"/>
    <cellStyle name="Финансовый 12 7" xfId="189" xr:uid="{95FD1043-4B76-4FC1-BA18-044A0C0651F1}"/>
    <cellStyle name="Финансовый 13" xfId="127" xr:uid="{00000000-0005-0000-0000-000011000000}"/>
    <cellStyle name="Финансовый 13 2" xfId="538" xr:uid="{0CBF9C48-7868-4F73-BD24-11BEBA0077E1}"/>
    <cellStyle name="Финансовый 13 2 2" xfId="810" xr:uid="{C5AFE1DD-6CC4-43FF-BB26-F069270C6EE2}"/>
    <cellStyle name="Финансовый 13 2 2 2" xfId="1354" xr:uid="{8E4FCDCC-0C5A-45A7-B0B9-CE85CC717A97}"/>
    <cellStyle name="Финансовый 13 2 3" xfId="1082" xr:uid="{5650D671-12C1-4AFD-943B-477CE7EBBFFA}"/>
    <cellStyle name="Финансовый 13 2 4" xfId="1628" xr:uid="{641290AC-059F-4567-8B4B-E02E1CA8019C}"/>
    <cellStyle name="Финансовый 13 3" xfId="674" xr:uid="{06D8AF7B-0D3C-4E7C-B85E-6880F24A0B36}"/>
    <cellStyle name="Финансовый 13 3 2" xfId="1218" xr:uid="{DD1F6F47-C95D-46EB-A3C8-F5CE929F376B}"/>
    <cellStyle name="Финансовый 13 4" xfId="946" xr:uid="{CE0FC9AC-EA15-4173-94AB-6109F16094D8}"/>
    <cellStyle name="Финансовый 13 5" xfId="402" xr:uid="{84CA5242-C944-4345-B0BC-025EE63A11A9}"/>
    <cellStyle name="Финансовый 13 6" xfId="1491" xr:uid="{BE8F27AA-00A3-4842-9D95-4FA64C68B522}"/>
    <cellStyle name="Финансовый 13 7" xfId="266" xr:uid="{CD05541D-7867-410E-8064-002820AC2810}"/>
    <cellStyle name="Финансовый 14" xfId="25" xr:uid="{00000000-0005-0000-0000-000012000000}"/>
    <cellStyle name="Финансовый 14 2" xfId="438" xr:uid="{92366B69-4877-40BD-8AFA-BF4D6318E1CE}"/>
    <cellStyle name="Финансовый 14 2 2" xfId="710" xr:uid="{625F6A8D-97A1-45C0-9E8C-96296BB5C2E8}"/>
    <cellStyle name="Финансовый 14 2 2 2" xfId="1254" xr:uid="{EF3674BB-2570-4EAB-964B-2CCE29AC31FC}"/>
    <cellStyle name="Финансовый 14 2 3" xfId="982" xr:uid="{0811E6B6-887A-4F84-83D7-865941AE003A}"/>
    <cellStyle name="Финансовый 14 2 4" xfId="1528" xr:uid="{6BDA2106-5DA3-4333-B71B-555A3873CB65}"/>
    <cellStyle name="Финансовый 14 3" xfId="574" xr:uid="{F2EA73CA-2974-445C-929E-FE21F7657803}"/>
    <cellStyle name="Финансовый 14 3 2" xfId="1118" xr:uid="{172EDDC2-8091-432E-A693-89538E99FD68}"/>
    <cellStyle name="Финансовый 14 4" xfId="846" xr:uid="{C105C072-1DF5-47C2-A63A-EE276A7CCEB8}"/>
    <cellStyle name="Финансовый 14 5" xfId="302" xr:uid="{B5125964-7AFD-43EE-86F5-38CA01F63688}"/>
    <cellStyle name="Финансовый 14 6" xfId="1390" xr:uid="{18C14457-AC6C-48A5-AAFB-258A4B8CC230}"/>
    <cellStyle name="Финансовый 14 7" xfId="165" xr:uid="{7E0F7BC2-3F3E-4BFB-8C76-BD638D474A5C}"/>
    <cellStyle name="Финансовый 15" xfId="13" xr:uid="{00000000-0005-0000-0000-000013000000}"/>
    <cellStyle name="Финансовый 15 2" xfId="426" xr:uid="{F884C02E-10DC-4DE3-9BFC-34567AD20DF6}"/>
    <cellStyle name="Финансовый 15 2 2" xfId="698" xr:uid="{A1747382-5885-48C1-B2EA-11955BAA874D}"/>
    <cellStyle name="Финансовый 15 2 2 2" xfId="1242" xr:uid="{5C055916-8F36-4B74-BC06-BCE0FD9A43D8}"/>
    <cellStyle name="Финансовый 15 2 3" xfId="970" xr:uid="{15F36472-910A-484E-B472-A1E644F6B356}"/>
    <cellStyle name="Финансовый 15 2 4" xfId="1516" xr:uid="{B22CD222-4B4D-4AF1-BEC7-732C1E1C688A}"/>
    <cellStyle name="Финансовый 15 3" xfId="562" xr:uid="{2A142401-8CC8-459D-992C-E82608C7148C}"/>
    <cellStyle name="Финансовый 15 3 2" xfId="1106" xr:uid="{98736D4C-05F1-4D7B-85E7-09D59324980E}"/>
    <cellStyle name="Финансовый 15 4" xfId="834" xr:uid="{1981AD29-B822-49B0-97B6-0C3FDBE2B830}"/>
    <cellStyle name="Финансовый 15 5" xfId="290" xr:uid="{EDABE6D1-460B-48A5-A2F9-BEAFC1E92CA6}"/>
    <cellStyle name="Финансовый 15 6" xfId="1378" xr:uid="{886607A2-CBF9-4090-A46C-461E7D2738B6}"/>
    <cellStyle name="Финансовый 15 7" xfId="153" xr:uid="{512EF777-DAB8-40C6-BDCD-331224A0849A}"/>
    <cellStyle name="Финансовый 16" xfId="414" xr:uid="{22188AAF-4DE7-456A-898E-DB69A4DAFE55}"/>
    <cellStyle name="Финансовый 16 2" xfId="686" xr:uid="{5B994E38-C8F5-4258-AD50-C6C02832BABA}"/>
    <cellStyle name="Финансовый 16 2 2" xfId="1230" xr:uid="{2CC2BD83-D33F-4059-95C6-F015D17628E8}"/>
    <cellStyle name="Финансовый 16 3" xfId="958" xr:uid="{2D5C330D-CFF5-4640-8B24-5667B3E7E1C5}"/>
    <cellStyle name="Финансовый 16 4" xfId="1504" xr:uid="{13F641B4-D3C1-49C6-856D-7AEAF0DBD784}"/>
    <cellStyle name="Финансовый 17" xfId="550" xr:uid="{EF66568F-B327-41D5-872E-D4A08E68342E}"/>
    <cellStyle name="Финансовый 17 2" xfId="1094" xr:uid="{96D06E65-3A49-490B-88EE-A1195F353163}"/>
    <cellStyle name="Финансовый 18" xfId="822" xr:uid="{0A3FB01D-45D0-48A8-933D-F70DB6D45979}"/>
    <cellStyle name="Финансовый 19" xfId="278" xr:uid="{3114BFDB-4B0B-4C09-A469-EAB3C9992E70}"/>
    <cellStyle name="Финансовый 2" xfId="2" xr:uid="{00000000-0005-0000-0000-000014000000}"/>
    <cellStyle name="Финансовый 2 10" xfId="62" xr:uid="{00000000-0005-0000-0000-000015000000}"/>
    <cellStyle name="Финансовый 2 10 2" xfId="475" xr:uid="{8F911329-E2EE-41DF-A75D-08E389F62CA5}"/>
    <cellStyle name="Финансовый 2 10 2 2" xfId="747" xr:uid="{AF81E562-4569-40C4-8E8A-2BB021F401AD}"/>
    <cellStyle name="Финансовый 2 10 2 2 2" xfId="1291" xr:uid="{83FC5796-3B8B-440F-B952-65999EA2418C}"/>
    <cellStyle name="Финансовый 2 10 2 3" xfId="1019" xr:uid="{C38BD79C-13E8-4580-81CE-41BB76D168DC}"/>
    <cellStyle name="Финансовый 2 10 2 4" xfId="1565" xr:uid="{15CB2385-4A73-4D80-8388-FAE14B89F706}"/>
    <cellStyle name="Финансовый 2 10 3" xfId="611" xr:uid="{5F525C98-7CDE-4686-BEFB-0C2DCBD6370B}"/>
    <cellStyle name="Финансовый 2 10 3 2" xfId="1155" xr:uid="{9FD510B2-ADF3-4314-8980-F9A2175C4ABA}"/>
    <cellStyle name="Финансовый 2 10 4" xfId="883" xr:uid="{CF753CE1-5F35-459F-839E-70C2FD8D9E6D}"/>
    <cellStyle name="Финансовый 2 10 5" xfId="339" xr:uid="{0BFE70E6-0C67-47B2-B050-378025B2E913}"/>
    <cellStyle name="Финансовый 2 10 6" xfId="1427" xr:uid="{856E1653-5249-45F0-B219-5A086503C883}"/>
    <cellStyle name="Финансовый 2 10 7" xfId="202" xr:uid="{B6A203D3-AEFB-42C9-B6B4-2A2A1BEC6B4C}"/>
    <cellStyle name="Финансовый 2 11" xfId="50" xr:uid="{00000000-0005-0000-0000-000016000000}"/>
    <cellStyle name="Финансовый 2 11 2" xfId="463" xr:uid="{A457ABB6-C511-4435-9C0B-4E2F5E6CC018}"/>
    <cellStyle name="Финансовый 2 11 2 2" xfId="735" xr:uid="{E1CAD250-0386-442A-9C5B-A3DB03CE1F11}"/>
    <cellStyle name="Финансовый 2 11 2 2 2" xfId="1279" xr:uid="{2C4AB01D-C95B-4013-B32B-15CFE38A6B73}"/>
    <cellStyle name="Финансовый 2 11 2 3" xfId="1007" xr:uid="{33A42DF3-D09E-4A96-B1ED-DC66D3060C67}"/>
    <cellStyle name="Финансовый 2 11 2 4" xfId="1553" xr:uid="{8E4DA945-DE09-459A-BBD8-62AEFDC919DE}"/>
    <cellStyle name="Финансовый 2 11 3" xfId="599" xr:uid="{849768A2-92EC-4144-82CC-40F6CC506439}"/>
    <cellStyle name="Финансовый 2 11 3 2" xfId="1143" xr:uid="{75B45146-6ABF-4FF8-8A88-50FB9F0BDB64}"/>
    <cellStyle name="Финансовый 2 11 4" xfId="871" xr:uid="{63BB7EB8-1C76-414B-964D-F0886D64E148}"/>
    <cellStyle name="Финансовый 2 11 5" xfId="327" xr:uid="{65AD625B-766E-4D3B-BCD4-1B7F7F716596}"/>
    <cellStyle name="Финансовый 2 11 6" xfId="1415" xr:uid="{69B7BE1F-A92D-4594-90B7-AA61B120A9DC}"/>
    <cellStyle name="Финансовый 2 11 7" xfId="190" xr:uid="{B9B7FBC3-ED96-4944-AE5C-538298C0ED02}"/>
    <cellStyle name="Финансовый 2 12" xfId="128" xr:uid="{00000000-0005-0000-0000-000017000000}"/>
    <cellStyle name="Финансовый 2 12 2" xfId="539" xr:uid="{8E73C014-C657-425A-A030-560A367E9BDD}"/>
    <cellStyle name="Финансовый 2 12 2 2" xfId="811" xr:uid="{03373B2A-1C29-4816-B0D0-8F4AC0F83A9E}"/>
    <cellStyle name="Финансовый 2 12 2 2 2" xfId="1355" xr:uid="{DA50354E-2BF5-4875-AA9C-5C6255474B71}"/>
    <cellStyle name="Финансовый 2 12 2 3" xfId="1083" xr:uid="{94E03DCB-4B0B-4CAD-82A8-C85F5EFD9969}"/>
    <cellStyle name="Финансовый 2 12 2 4" xfId="1629" xr:uid="{AAA39332-40B2-4B5F-B2B2-917B234B4FA7}"/>
    <cellStyle name="Финансовый 2 12 3" xfId="675" xr:uid="{FF366E88-B4A2-4FC6-A9A9-BCDB4C73FED3}"/>
    <cellStyle name="Финансовый 2 12 3 2" xfId="1219" xr:uid="{75D9EB69-B3F3-4E2B-BE13-C3BABC9B2CA0}"/>
    <cellStyle name="Финансовый 2 12 4" xfId="947" xr:uid="{D442BDD6-5957-421C-8078-E5601A08A58B}"/>
    <cellStyle name="Финансовый 2 12 5" xfId="403" xr:uid="{D5B0D8AB-95E4-4F5F-AA0A-89E8F5BB71D7}"/>
    <cellStyle name="Финансовый 2 12 6" xfId="1492" xr:uid="{155E2F1B-9ACA-416B-BED4-BC1FBA673AC2}"/>
    <cellStyle name="Финансовый 2 12 7" xfId="267" xr:uid="{779F7014-D7EA-4B41-920D-83168574F965}"/>
    <cellStyle name="Финансовый 2 13" xfId="26" xr:uid="{00000000-0005-0000-0000-000018000000}"/>
    <cellStyle name="Финансовый 2 13 2" xfId="439" xr:uid="{2E7F6F78-BC1D-47BA-B5CA-5112AE2BAD8A}"/>
    <cellStyle name="Финансовый 2 13 2 2" xfId="711" xr:uid="{F91B3E48-C327-487F-8C7C-61A151AC7709}"/>
    <cellStyle name="Финансовый 2 13 2 2 2" xfId="1255" xr:uid="{A57163E5-9822-45AA-B933-C0901EF9254B}"/>
    <cellStyle name="Финансовый 2 13 2 3" xfId="983" xr:uid="{2024A5EE-3505-4C4C-86CF-500EB847617D}"/>
    <cellStyle name="Финансовый 2 13 2 4" xfId="1529" xr:uid="{BEAB8445-84B0-4DA0-951B-A02492521565}"/>
    <cellStyle name="Финансовый 2 13 3" xfId="575" xr:uid="{70A755A7-05A2-4FA7-B165-3BAAD09D36DB}"/>
    <cellStyle name="Финансовый 2 13 3 2" xfId="1119" xr:uid="{20EF9E03-4723-4EA9-B8FE-43323EC9EA76}"/>
    <cellStyle name="Финансовый 2 13 4" xfId="847" xr:uid="{778209A4-9835-449C-A266-20299A39ED5D}"/>
    <cellStyle name="Финансовый 2 13 5" xfId="303" xr:uid="{4E4DEA83-8133-4ACC-9D9C-B6706439426D}"/>
    <cellStyle name="Финансовый 2 13 6" xfId="1391" xr:uid="{24262290-FB72-4244-9CAD-2BA7C455D798}"/>
    <cellStyle name="Финансовый 2 13 7" xfId="166" xr:uid="{6A86668E-2ACF-46B1-91AB-9B5CFDC46751}"/>
    <cellStyle name="Финансовый 2 14" xfId="14" xr:uid="{00000000-0005-0000-0000-000019000000}"/>
    <cellStyle name="Финансовый 2 14 2" xfId="427" xr:uid="{1AC401B6-9735-4981-AC6C-0734ADECCAC6}"/>
    <cellStyle name="Финансовый 2 14 2 2" xfId="699" xr:uid="{96C56D59-D916-4A25-9A47-3E32838F35E3}"/>
    <cellStyle name="Финансовый 2 14 2 2 2" xfId="1243" xr:uid="{2DC2B509-F903-4A64-9D35-39AFECA2BAA9}"/>
    <cellStyle name="Финансовый 2 14 2 3" xfId="971" xr:uid="{95678FE6-1575-4CED-916A-442EDED4C6EB}"/>
    <cellStyle name="Финансовый 2 14 2 4" xfId="1517" xr:uid="{BF857AC0-6E13-40AD-B5C1-21E0D1375625}"/>
    <cellStyle name="Финансовый 2 14 3" xfId="563" xr:uid="{6AD0CB2E-8C3A-4E4A-B409-51822F330E6F}"/>
    <cellStyle name="Финансовый 2 14 3 2" xfId="1107" xr:uid="{4B52CD49-59F1-4413-A650-B67A573FBFDA}"/>
    <cellStyle name="Финансовый 2 14 4" xfId="835" xr:uid="{E6B3B597-2AAC-4B9C-8259-0F610D826757}"/>
    <cellStyle name="Финансовый 2 14 5" xfId="291" xr:uid="{4F0C5144-EFE9-4D65-AA55-0C0464ECDE61}"/>
    <cellStyle name="Финансовый 2 14 6" xfId="1379" xr:uid="{61E3F34C-0C34-485C-8E2D-168495AF06E8}"/>
    <cellStyle name="Финансовый 2 14 7" xfId="154" xr:uid="{8243CB6F-D86E-4D77-9867-CDCD726F614C}"/>
    <cellStyle name="Финансовый 2 15" xfId="415" xr:uid="{8C011D9D-AD16-4EC4-93FA-92D50E17A819}"/>
    <cellStyle name="Финансовый 2 15 2" xfId="687" xr:uid="{79DC4339-9A46-4222-8C55-0F92A14F57CD}"/>
    <cellStyle name="Финансовый 2 15 2 2" xfId="1231" xr:uid="{179405FC-A1B9-4340-B91E-F1381A2EA5E5}"/>
    <cellStyle name="Финансовый 2 15 3" xfId="959" xr:uid="{F78B2D70-1E52-4D8C-A14E-1C82688C5CC1}"/>
    <cellStyle name="Финансовый 2 15 4" xfId="1505" xr:uid="{D7DB61FE-4CA0-4D17-A4B0-62EB749DE9DD}"/>
    <cellStyle name="Финансовый 2 16" xfId="551" xr:uid="{6995B574-081A-4E16-8A38-9F57B7F2B853}"/>
    <cellStyle name="Финансовый 2 16 2" xfId="1095" xr:uid="{322E310E-F0C8-4A2A-A308-19FCCBA68596}"/>
    <cellStyle name="Финансовый 2 17" xfId="823" xr:uid="{242966F9-14C2-4515-AB17-697191AC5203}"/>
    <cellStyle name="Финансовый 2 18" xfId="279" xr:uid="{6F4A719B-14CA-43C3-B307-0C025418D1CB}"/>
    <cellStyle name="Финансовый 2 19" xfId="1367" xr:uid="{F5AC5C75-106F-43F2-B61D-BA18BF84548C}"/>
    <cellStyle name="Финансовый 2 2" xfId="4" xr:uid="{00000000-0005-0000-0000-00001A000000}"/>
    <cellStyle name="Финансовый 2 2 10" xfId="28" xr:uid="{00000000-0005-0000-0000-00001B000000}"/>
    <cellStyle name="Финансовый 2 2 10 2" xfId="441" xr:uid="{E504D2E7-8AF8-4DA5-9018-F827C6FAEB8F}"/>
    <cellStyle name="Финансовый 2 2 10 2 2" xfId="713" xr:uid="{96CACF0D-77B3-4D48-9239-E1AF855D1E44}"/>
    <cellStyle name="Финансовый 2 2 10 2 2 2" xfId="1257" xr:uid="{FEFA764E-E072-4699-BF56-1E4D1408FC1D}"/>
    <cellStyle name="Финансовый 2 2 10 2 3" xfId="985" xr:uid="{B9398B43-46D9-4449-A6F4-12EBF9180646}"/>
    <cellStyle name="Финансовый 2 2 10 2 4" xfId="1531" xr:uid="{5C21AAE7-9A4C-4E5B-8245-1705EB14EDF5}"/>
    <cellStyle name="Финансовый 2 2 10 3" xfId="577" xr:uid="{A539C3AC-88DF-4E2D-904A-36008E8F04AC}"/>
    <cellStyle name="Финансовый 2 2 10 3 2" xfId="1121" xr:uid="{8BB91859-AB98-4666-B5C1-A98F7ACE2CA6}"/>
    <cellStyle name="Финансовый 2 2 10 4" xfId="849" xr:uid="{185B48B8-043B-4952-8383-18093646251F}"/>
    <cellStyle name="Финансовый 2 2 10 5" xfId="305" xr:uid="{7B425855-6108-44DC-A581-F7709B48804D}"/>
    <cellStyle name="Финансовый 2 2 10 6" xfId="1393" xr:uid="{874010C0-31C3-4AA1-888B-A7ACF4EF17A8}"/>
    <cellStyle name="Финансовый 2 2 10 7" xfId="168" xr:uid="{EF81C7B3-8BFB-416C-AA20-830C40546542}"/>
    <cellStyle name="Финансовый 2 2 11" xfId="16" xr:uid="{00000000-0005-0000-0000-00001C000000}"/>
    <cellStyle name="Финансовый 2 2 11 2" xfId="429" xr:uid="{57C0122B-2F81-4C19-ABBB-180D036A5481}"/>
    <cellStyle name="Финансовый 2 2 11 2 2" xfId="701" xr:uid="{89FA39DF-BEF6-483B-A986-0BFD64A797D8}"/>
    <cellStyle name="Финансовый 2 2 11 2 2 2" xfId="1245" xr:uid="{008F06C7-28A7-4F0B-8D91-8C94B2B067C8}"/>
    <cellStyle name="Финансовый 2 2 11 2 3" xfId="973" xr:uid="{1D137E3F-81D3-4696-81E0-9CDC0E470A55}"/>
    <cellStyle name="Финансовый 2 2 11 2 4" xfId="1519" xr:uid="{B0F2D159-DC3D-4AEE-A0A1-BCCC81805816}"/>
    <cellStyle name="Финансовый 2 2 11 3" xfId="565" xr:uid="{0D72CA4C-9B31-4871-83B2-55EEB208A8A5}"/>
    <cellStyle name="Финансовый 2 2 11 3 2" xfId="1109" xr:uid="{C5BDBC02-F50C-48EF-872A-D78B4BE6235A}"/>
    <cellStyle name="Финансовый 2 2 11 4" xfId="837" xr:uid="{314922E6-49F2-474F-B202-147CB255810E}"/>
    <cellStyle name="Финансовый 2 2 11 5" xfId="293" xr:uid="{A7B14799-CA11-485E-9DB8-4653849B5417}"/>
    <cellStyle name="Финансовый 2 2 11 6" xfId="1381" xr:uid="{D0DF0409-390F-47C1-A121-BB022D33CF9F}"/>
    <cellStyle name="Финансовый 2 2 11 7" xfId="156" xr:uid="{08437F77-05D5-4D93-83F3-E2F9C0DF7BFD}"/>
    <cellStyle name="Финансовый 2 2 12" xfId="417" xr:uid="{6497BA14-5E27-4D89-AD56-7CF7A46CD017}"/>
    <cellStyle name="Финансовый 2 2 12 2" xfId="689" xr:uid="{2182E7B8-224A-4A81-AD1C-7B6303BDB3C8}"/>
    <cellStyle name="Финансовый 2 2 12 2 2" xfId="1233" xr:uid="{C2028900-A555-4853-AEAF-DAC2FBF15B32}"/>
    <cellStyle name="Финансовый 2 2 12 3" xfId="961" xr:uid="{4FD1B172-0445-4355-836A-7C73884ADD1B}"/>
    <cellStyle name="Финансовый 2 2 12 4" xfId="1507" xr:uid="{CB544F32-3F9C-45C3-8D1F-A83002A34194}"/>
    <cellStyle name="Финансовый 2 2 13" xfId="553" xr:uid="{DC4826EF-7138-4B24-A321-1AD59BE51BB8}"/>
    <cellStyle name="Финансовый 2 2 13 2" xfId="1097" xr:uid="{475693E6-B79C-47AD-B86E-6B14E3056469}"/>
    <cellStyle name="Финансовый 2 2 14" xfId="825" xr:uid="{D53DE3EA-D859-4FBD-A42F-379DE9973789}"/>
    <cellStyle name="Финансовый 2 2 15" xfId="281" xr:uid="{60038198-B1A5-44A3-A583-698BB96BE1C8}"/>
    <cellStyle name="Финансовый 2 2 16" xfId="1369" xr:uid="{1358992E-0173-46AA-8EC6-07503720937E}"/>
    <cellStyle name="Финансовый 2 2 17" xfId="144" xr:uid="{91E63EB5-BF05-43D5-AC27-B3AC5FE34835}"/>
    <cellStyle name="Финансовый 2 2 2" xfId="10" xr:uid="{00000000-0005-0000-0000-00001D000000}"/>
    <cellStyle name="Финансовый 2 2 2 10" xfId="559" xr:uid="{284814C1-AA9B-4DEA-9AD0-DA23D9E009A1}"/>
    <cellStyle name="Финансовый 2 2 2 10 2" xfId="1103" xr:uid="{13D42374-1571-49EA-9EF7-443CCFE53FFE}"/>
    <cellStyle name="Финансовый 2 2 2 11" xfId="831" xr:uid="{1C6F00A5-E506-4065-AE4C-D89927ED0FEF}"/>
    <cellStyle name="Финансовый 2 2 2 12" xfId="287" xr:uid="{2BFEFB24-18C3-4993-B9D8-AE65EADA2353}"/>
    <cellStyle name="Финансовый 2 2 2 13" xfId="1375" xr:uid="{BE343DDB-0542-4F8C-ACD3-C1B694653229}"/>
    <cellStyle name="Финансовый 2 2 2 14" xfId="150" xr:uid="{E81617AC-801B-43A0-BC22-136D0507854D}"/>
    <cellStyle name="Финансовый 2 2 2 2" xfId="46" xr:uid="{00000000-0005-0000-0000-00001E000000}"/>
    <cellStyle name="Финансовый 2 2 2 2 2" xfId="104" xr:uid="{00000000-0005-0000-0000-00001F000000}"/>
    <cellStyle name="Финансовый 2 2 2 2 2 2" xfId="515" xr:uid="{2468C657-FC43-4594-8E31-2C27D7C144F1}"/>
    <cellStyle name="Финансовый 2 2 2 2 2 2 2" xfId="787" xr:uid="{BD733711-3943-46D8-A488-497303438922}"/>
    <cellStyle name="Финансовый 2 2 2 2 2 2 2 2" xfId="1331" xr:uid="{B4DDEA68-7966-45EE-9EAC-F695F777506C}"/>
    <cellStyle name="Финансовый 2 2 2 2 2 2 3" xfId="1059" xr:uid="{DF172AE6-DA17-47C6-BD30-4075DF020EC4}"/>
    <cellStyle name="Финансовый 2 2 2 2 2 2 4" xfId="1605" xr:uid="{9EDA4301-4F8E-49DC-93FA-5DB85D418E1C}"/>
    <cellStyle name="Финансовый 2 2 2 2 2 3" xfId="651" xr:uid="{18385CB0-9745-468A-86F0-ED2DEFB6CDC6}"/>
    <cellStyle name="Финансовый 2 2 2 2 2 3 2" xfId="1195" xr:uid="{9DB57A19-31CC-4D07-96E2-5B6C8FC8BBFE}"/>
    <cellStyle name="Финансовый 2 2 2 2 2 4" xfId="923" xr:uid="{050473E5-E33E-4EBF-A631-24D3A5079343}"/>
    <cellStyle name="Финансовый 2 2 2 2 2 5" xfId="379" xr:uid="{762FC31B-3EEC-4246-AB01-3061104513AC}"/>
    <cellStyle name="Финансовый 2 2 2 2 2 6" xfId="1468" xr:uid="{A8EC8C4C-6370-48D8-982F-3F57DC4D445E}"/>
    <cellStyle name="Финансовый 2 2 2 2 2 7" xfId="243" xr:uid="{DA0FFBC6-175F-4332-B89D-E7327144D8EA}"/>
    <cellStyle name="Финансовый 2 2 2 2 3" xfId="459" xr:uid="{D6E16CB4-D82B-475C-92F9-8D45FBB4D5C7}"/>
    <cellStyle name="Финансовый 2 2 2 2 3 2" xfId="731" xr:uid="{D9D18456-B1E3-40FE-AD12-11BED85805CC}"/>
    <cellStyle name="Финансовый 2 2 2 2 3 2 2" xfId="1275" xr:uid="{BB845538-68EF-4B79-8228-7D6369D031E2}"/>
    <cellStyle name="Финансовый 2 2 2 2 3 3" xfId="1003" xr:uid="{AF7B0A53-CFD6-4055-84A5-8F413F6652AF}"/>
    <cellStyle name="Финансовый 2 2 2 2 3 4" xfId="1549" xr:uid="{606DD699-FAA0-4418-9595-5019687E356F}"/>
    <cellStyle name="Финансовый 2 2 2 2 4" xfId="595" xr:uid="{55C2FF13-B6AE-4844-B937-8699E2E54C59}"/>
    <cellStyle name="Финансовый 2 2 2 2 4 2" xfId="1139" xr:uid="{438CFE09-B560-4337-B93F-51E519E60ECC}"/>
    <cellStyle name="Финансовый 2 2 2 2 5" xfId="867" xr:uid="{F8E7C380-3EC0-4BB8-B767-E5461B270A62}"/>
    <cellStyle name="Финансовый 2 2 2 2 6" xfId="323" xr:uid="{8FD80139-E939-4D7B-A2A8-C216C5FE4FDF}"/>
    <cellStyle name="Финансовый 2 2 2 2 7" xfId="1411" xr:uid="{5DDEBB74-11DF-4AEA-B2DC-7853ECD214AF}"/>
    <cellStyle name="Финансовый 2 2 2 2 8" xfId="186" xr:uid="{2BB3F649-BDFF-4F6D-973D-6FD620C06B31}"/>
    <cellStyle name="Финансовый 2 2 2 3" xfId="116" xr:uid="{00000000-0005-0000-0000-000020000000}"/>
    <cellStyle name="Финансовый 2 2 2 3 2" xfId="527" xr:uid="{7A6381A0-E521-4C78-8D30-3C28699E376F}"/>
    <cellStyle name="Финансовый 2 2 2 3 2 2" xfId="799" xr:uid="{AB8A4B42-70F4-4374-B558-0FFD541F723E}"/>
    <cellStyle name="Финансовый 2 2 2 3 2 2 2" xfId="1343" xr:uid="{971372B8-79CD-4FE5-9F68-4A59F2CFE6B9}"/>
    <cellStyle name="Финансовый 2 2 2 3 2 3" xfId="1071" xr:uid="{3A0C844E-D3BF-4392-A98A-EE05DB7DCA00}"/>
    <cellStyle name="Финансовый 2 2 2 3 2 4" xfId="1617" xr:uid="{E31CCDBF-3AE3-4F8C-A7CB-79E90F30B35B}"/>
    <cellStyle name="Финансовый 2 2 2 3 3" xfId="663" xr:uid="{50D7D588-68C6-4520-8866-974DF2F8024E}"/>
    <cellStyle name="Финансовый 2 2 2 3 3 2" xfId="1207" xr:uid="{214BDC03-F05A-4BBD-9636-CD34396F76B1}"/>
    <cellStyle name="Финансовый 2 2 2 3 4" xfId="935" xr:uid="{1BA2B8BD-76AA-4AF6-A296-79E7EDE8CB2E}"/>
    <cellStyle name="Финансовый 2 2 2 3 5" xfId="391" xr:uid="{5932F72A-40A3-480B-9D7A-75D6826AB004}"/>
    <cellStyle name="Финансовый 2 2 2 3 6" xfId="1480" xr:uid="{AC79B0EC-43B8-4CA8-9A88-AF6086C9C43D}"/>
    <cellStyle name="Финансовый 2 2 2 3 7" xfId="255" xr:uid="{19F1F614-E964-48C5-AE57-963FC69B8BCD}"/>
    <cellStyle name="Финансовый 2 2 2 4" xfId="80" xr:uid="{00000000-0005-0000-0000-000021000000}"/>
    <cellStyle name="Финансовый 2 2 2 4 2" xfId="491" xr:uid="{9A4F1646-1C7B-4382-81E3-3178F84309BA}"/>
    <cellStyle name="Финансовый 2 2 2 4 2 2" xfId="763" xr:uid="{DB03C99E-467F-4213-BC1B-5D1C89E7C53E}"/>
    <cellStyle name="Финансовый 2 2 2 4 2 2 2" xfId="1307" xr:uid="{8F608453-E1A9-4D2C-A035-78570D97ECAF}"/>
    <cellStyle name="Финансовый 2 2 2 4 2 3" xfId="1035" xr:uid="{C928ADE6-51C7-40D2-AE2E-69C3D8C67283}"/>
    <cellStyle name="Финансовый 2 2 2 4 2 4" xfId="1581" xr:uid="{46CE6BF7-10EE-4436-8FF6-42A9AFCA719B}"/>
    <cellStyle name="Финансовый 2 2 2 4 3" xfId="627" xr:uid="{0BCEB718-A2A2-4617-A716-27C31AFA0387}"/>
    <cellStyle name="Финансовый 2 2 2 4 3 2" xfId="1171" xr:uid="{C6759FFE-D155-450F-98A2-387AD073DC1C}"/>
    <cellStyle name="Финансовый 2 2 2 4 4" xfId="899" xr:uid="{6637582A-A398-4CA6-B2F9-CA9F015830CA}"/>
    <cellStyle name="Финансовый 2 2 2 4 5" xfId="355" xr:uid="{1578E9C0-6682-471E-86F1-2EB30C4D69AF}"/>
    <cellStyle name="Финансовый 2 2 2 4 6" xfId="1444" xr:uid="{472095D0-319F-4A25-928B-FBE6BD126F31}"/>
    <cellStyle name="Финансовый 2 2 2 4 7" xfId="219" xr:uid="{7776EF60-9471-440E-BABC-B4757227D5C7}"/>
    <cellStyle name="Финансовый 2 2 2 5" xfId="58" xr:uid="{00000000-0005-0000-0000-000022000000}"/>
    <cellStyle name="Финансовый 2 2 2 5 2" xfId="471" xr:uid="{EC726164-9822-446D-AC37-95089641012C}"/>
    <cellStyle name="Финансовый 2 2 2 5 2 2" xfId="743" xr:uid="{0FCA8BD4-865D-4567-A50E-4110CA629816}"/>
    <cellStyle name="Финансовый 2 2 2 5 2 2 2" xfId="1287" xr:uid="{435EF505-7195-496A-AF37-1CCD61D7A734}"/>
    <cellStyle name="Финансовый 2 2 2 5 2 3" xfId="1015" xr:uid="{8E156422-E15C-46CA-B796-488118E2961A}"/>
    <cellStyle name="Финансовый 2 2 2 5 2 4" xfId="1561" xr:uid="{C1799A97-6739-4420-A7B1-33DB448E427D}"/>
    <cellStyle name="Финансовый 2 2 2 5 3" xfId="607" xr:uid="{B405D97D-3884-41DE-B9F1-DF48FFE1576D}"/>
    <cellStyle name="Финансовый 2 2 2 5 3 2" xfId="1151" xr:uid="{D1908C38-2CC1-46E5-B19F-27EA896FE005}"/>
    <cellStyle name="Финансовый 2 2 2 5 4" xfId="879" xr:uid="{596C3116-6892-46FC-A387-5E1170C58E7F}"/>
    <cellStyle name="Финансовый 2 2 2 5 5" xfId="335" xr:uid="{3DBCDC01-42BB-4BA1-93B4-D517CC0BAEB3}"/>
    <cellStyle name="Финансовый 2 2 2 5 6" xfId="1423" xr:uid="{A91F4595-EC18-4A3E-8CF5-1E8B0C49CB50}"/>
    <cellStyle name="Финансовый 2 2 2 5 7" xfId="198" xr:uid="{EE45E3DC-ECE8-46FF-8F4B-69B31D61BFA1}"/>
    <cellStyle name="Финансовый 2 2 2 6" xfId="136" xr:uid="{00000000-0005-0000-0000-000023000000}"/>
    <cellStyle name="Финансовый 2 2 2 6 2" xfId="547" xr:uid="{AB3198BF-4FEB-4945-8B50-FA47EF1CA47D}"/>
    <cellStyle name="Финансовый 2 2 2 6 2 2" xfId="819" xr:uid="{AFC7B4FD-2E63-4A17-8C55-2062661F5AF8}"/>
    <cellStyle name="Финансовый 2 2 2 6 2 2 2" xfId="1363" xr:uid="{3A4FC089-9530-4859-AE1D-55D1D20AF267}"/>
    <cellStyle name="Финансовый 2 2 2 6 2 3" xfId="1091" xr:uid="{BC9D118B-9812-4DE5-AA4B-80890D34EADB}"/>
    <cellStyle name="Финансовый 2 2 2 6 2 4" xfId="1637" xr:uid="{66CF6AC1-699D-4C84-89D0-DBD685420E83}"/>
    <cellStyle name="Финансовый 2 2 2 6 3" xfId="683" xr:uid="{7F1E0913-7B29-4DA6-8294-9643BAEA43EE}"/>
    <cellStyle name="Финансовый 2 2 2 6 3 2" xfId="1227" xr:uid="{7C893451-39FD-4C58-9844-790A9081399E}"/>
    <cellStyle name="Финансовый 2 2 2 6 4" xfId="955" xr:uid="{462331DE-CE49-48D2-B90D-F02741DFBF1F}"/>
    <cellStyle name="Финансовый 2 2 2 6 5" xfId="411" xr:uid="{29F6C5BA-5833-45AA-AA41-2BDE38D48F70}"/>
    <cellStyle name="Финансовый 2 2 2 6 6" xfId="1500" xr:uid="{C188D943-CA48-44EE-89AE-B41BF21AE170}"/>
    <cellStyle name="Финансовый 2 2 2 6 7" xfId="275" xr:uid="{1856750F-CDD1-4DEB-9BC2-7FB784396C56}"/>
    <cellStyle name="Финансовый 2 2 2 7" xfId="34" xr:uid="{00000000-0005-0000-0000-000024000000}"/>
    <cellStyle name="Финансовый 2 2 2 7 2" xfId="447" xr:uid="{51042376-931C-4D9C-BD8D-6F707CB54AD0}"/>
    <cellStyle name="Финансовый 2 2 2 7 2 2" xfId="719" xr:uid="{3192DF5F-7AFF-472E-88B1-4C3FF80F5A2B}"/>
    <cellStyle name="Финансовый 2 2 2 7 2 2 2" xfId="1263" xr:uid="{3662FD94-FAF7-4BEE-89DD-32F8BEF6596B}"/>
    <cellStyle name="Финансовый 2 2 2 7 2 3" xfId="991" xr:uid="{11CE3DF3-9448-4AC2-9195-144DFBAF98A1}"/>
    <cellStyle name="Финансовый 2 2 2 7 2 4" xfId="1537" xr:uid="{2D324AEF-2B1E-4CB5-AA35-21B3652BEC1C}"/>
    <cellStyle name="Финансовый 2 2 2 7 3" xfId="583" xr:uid="{2C37D2F5-CE61-414D-AD22-00B70220861C}"/>
    <cellStyle name="Финансовый 2 2 2 7 3 2" xfId="1127" xr:uid="{125D40E5-F959-4531-9318-9BAAFBD3292D}"/>
    <cellStyle name="Финансовый 2 2 2 7 4" xfId="855" xr:uid="{253D8E48-1418-4904-91F8-6562663D976F}"/>
    <cellStyle name="Финансовый 2 2 2 7 5" xfId="311" xr:uid="{D9DE9440-B3BE-49D8-B25C-57AE05D78FAC}"/>
    <cellStyle name="Финансовый 2 2 2 7 6" xfId="1399" xr:uid="{F32A269E-A136-4305-9DEC-DDA84D862744}"/>
    <cellStyle name="Финансовый 2 2 2 7 7" xfId="174" xr:uid="{0AD5AB5E-E491-479A-91BE-77E8B3FC9E64}"/>
    <cellStyle name="Финансовый 2 2 2 8" xfId="22" xr:uid="{00000000-0005-0000-0000-000025000000}"/>
    <cellStyle name="Финансовый 2 2 2 8 2" xfId="435" xr:uid="{48E1DE37-5A73-48A0-B4F7-8D1DFA5BCCA3}"/>
    <cellStyle name="Финансовый 2 2 2 8 2 2" xfId="707" xr:uid="{ACC668FD-5ED7-4491-907C-E2CE1DFA379E}"/>
    <cellStyle name="Финансовый 2 2 2 8 2 2 2" xfId="1251" xr:uid="{EC369069-AC63-4990-9696-69F5EB2FF076}"/>
    <cellStyle name="Финансовый 2 2 2 8 2 3" xfId="979" xr:uid="{37B82709-8899-4F6D-B960-452EC7EF5963}"/>
    <cellStyle name="Финансовый 2 2 2 8 2 4" xfId="1525" xr:uid="{923D79AF-9C3E-4BDC-B60F-2660999C8F7B}"/>
    <cellStyle name="Финансовый 2 2 2 8 3" xfId="571" xr:uid="{28E544B7-BAD2-4729-9C4B-DC1BC272811A}"/>
    <cellStyle name="Финансовый 2 2 2 8 3 2" xfId="1115" xr:uid="{5FD65BD5-1B13-4809-A09E-D947627C909F}"/>
    <cellStyle name="Финансовый 2 2 2 8 4" xfId="843" xr:uid="{78AA27AD-E2AA-4020-AD64-FBE365F4DB34}"/>
    <cellStyle name="Финансовый 2 2 2 8 5" xfId="299" xr:uid="{D04DB12D-5474-4831-AAF6-3EFC7710B9B4}"/>
    <cellStyle name="Финансовый 2 2 2 8 6" xfId="1387" xr:uid="{F5AF3921-2466-4A7D-A812-BF00F99332E9}"/>
    <cellStyle name="Финансовый 2 2 2 8 7" xfId="162" xr:uid="{32D07224-9091-4E60-BC75-69BCE5B2D091}"/>
    <cellStyle name="Финансовый 2 2 2 9" xfId="423" xr:uid="{7F89F97B-1868-446A-B4D8-31509AB4C955}"/>
    <cellStyle name="Финансовый 2 2 2 9 2" xfId="695" xr:uid="{9E21766B-FB7C-4AF7-AE3D-7C92EB7AF5C5}"/>
    <cellStyle name="Финансовый 2 2 2 9 2 2" xfId="1239" xr:uid="{2D59CEAF-D985-4F00-8B83-066FF808FD3A}"/>
    <cellStyle name="Финансовый 2 2 2 9 3" xfId="967" xr:uid="{A8CB4AF1-52F1-47D1-8003-F6B388CFC68C}"/>
    <cellStyle name="Финансовый 2 2 2 9 4" xfId="1513" xr:uid="{CBDDF1EB-7E83-4606-B383-7C529B8AC757}"/>
    <cellStyle name="Финансовый 2 2 3" xfId="40" xr:uid="{00000000-0005-0000-0000-000026000000}"/>
    <cellStyle name="Финансовый 2 2 3 2" xfId="122" xr:uid="{00000000-0005-0000-0000-000027000000}"/>
    <cellStyle name="Финансовый 2 2 3 2 2" xfId="533" xr:uid="{23402821-1027-4F14-A3A5-4253834D4678}"/>
    <cellStyle name="Финансовый 2 2 3 2 2 2" xfId="805" xr:uid="{3091BE13-3FA4-4F49-AB96-CEAA83346C09}"/>
    <cellStyle name="Финансовый 2 2 3 2 2 2 2" xfId="1349" xr:uid="{368DD632-36E8-49CB-B5CB-36413FE83040}"/>
    <cellStyle name="Финансовый 2 2 3 2 2 3" xfId="1077" xr:uid="{EE55EBD7-ADA2-4C3A-BC52-3DFD0F4E1563}"/>
    <cellStyle name="Финансовый 2 2 3 2 2 4" xfId="1623" xr:uid="{2751A7BE-6723-4AF7-9275-256CF9898AB0}"/>
    <cellStyle name="Финансовый 2 2 3 2 3" xfId="669" xr:uid="{25A55DC9-BEE8-4E18-B9B6-264A0D10AA12}"/>
    <cellStyle name="Финансовый 2 2 3 2 3 2" xfId="1213" xr:uid="{5352253E-1B78-4B45-92B0-4150EB02FB31}"/>
    <cellStyle name="Финансовый 2 2 3 2 4" xfId="941" xr:uid="{C8E92939-81D4-49F6-BB6A-477BFD77D0F4}"/>
    <cellStyle name="Финансовый 2 2 3 2 5" xfId="397" xr:uid="{92CFD5D6-1DB5-4C3E-8373-4D5CA0B9EAFF}"/>
    <cellStyle name="Финансовый 2 2 3 2 6" xfId="1486" xr:uid="{A2D71BF9-6192-49C5-B8F6-2FD6A51EE27B}"/>
    <cellStyle name="Финансовый 2 2 3 2 7" xfId="261" xr:uid="{97890673-BC4B-40F7-9315-BC4EF7AD19E1}"/>
    <cellStyle name="Финансовый 2 2 3 3" xfId="86" xr:uid="{00000000-0005-0000-0000-000028000000}"/>
    <cellStyle name="Финансовый 2 2 3 3 2" xfId="497" xr:uid="{3698CBC6-90A9-4508-80E7-87A117310424}"/>
    <cellStyle name="Финансовый 2 2 3 3 2 2" xfId="769" xr:uid="{41B51989-D500-4A9D-B34F-7553CF15CEE7}"/>
    <cellStyle name="Финансовый 2 2 3 3 2 2 2" xfId="1313" xr:uid="{C0370319-E096-4CA6-A5D7-9CCAAF1B9833}"/>
    <cellStyle name="Финансовый 2 2 3 3 2 3" xfId="1041" xr:uid="{CA983B5D-22E9-4973-8FE8-FDE737454143}"/>
    <cellStyle name="Финансовый 2 2 3 3 2 4" xfId="1587" xr:uid="{BC8FF415-7D75-49DE-9BC0-E6C7E1693AED}"/>
    <cellStyle name="Финансовый 2 2 3 3 3" xfId="633" xr:uid="{98F95D2B-D5C4-4DE6-B135-8C4F3E5A02F2}"/>
    <cellStyle name="Финансовый 2 2 3 3 3 2" xfId="1177" xr:uid="{B10536E1-4C33-460B-8E78-F4B0028F17FC}"/>
    <cellStyle name="Финансовый 2 2 3 3 4" xfId="905" xr:uid="{DE6716D2-8EAA-4A5E-98C6-3EA66E0BC61A}"/>
    <cellStyle name="Финансовый 2 2 3 3 5" xfId="361" xr:uid="{CA07DD30-0956-4F85-A9AE-FCFFC7E836B8}"/>
    <cellStyle name="Финансовый 2 2 3 3 6" xfId="1450" xr:uid="{BE37E369-BE92-4536-8F43-E00E4206B5B4}"/>
    <cellStyle name="Финансовый 2 2 3 3 7" xfId="225" xr:uid="{698AF113-D2C8-40E0-85C3-C08C656ED27C}"/>
    <cellStyle name="Финансовый 2 2 3 4" xfId="453" xr:uid="{DC94B10F-58F0-4F7E-A1E4-990FAB25D8D1}"/>
    <cellStyle name="Финансовый 2 2 3 4 2" xfId="725" xr:uid="{FF7FB061-898A-4932-9B36-2E1BA434F767}"/>
    <cellStyle name="Финансовый 2 2 3 4 2 2" xfId="1269" xr:uid="{8FE650D2-E474-4C04-80F5-3D59F168D3DC}"/>
    <cellStyle name="Финансовый 2 2 3 4 3" xfId="997" xr:uid="{AE5CB781-03B2-4A3C-A604-C3AB0FBCD0F5}"/>
    <cellStyle name="Финансовый 2 2 3 4 4" xfId="1543" xr:uid="{F276496C-7926-4F67-B89B-2443852F5674}"/>
    <cellStyle name="Финансовый 2 2 3 5" xfId="589" xr:uid="{6FF3DA97-5E46-489F-8772-AB00C396EC52}"/>
    <cellStyle name="Финансовый 2 2 3 5 2" xfId="1133" xr:uid="{5DE1283D-B14F-4646-A082-465D1E96C6BA}"/>
    <cellStyle name="Финансовый 2 2 3 6" xfId="861" xr:uid="{1DCB8E8B-E151-49E4-B88C-6290AC11F8AD}"/>
    <cellStyle name="Финансовый 2 2 3 7" xfId="317" xr:uid="{2FEA1764-7871-4984-B805-28D8201289DF}"/>
    <cellStyle name="Финансовый 2 2 3 8" xfId="1405" xr:uid="{9758D0C0-9247-42D2-A8EB-7C2FEF144C6E}"/>
    <cellStyle name="Финансовый 2 2 3 9" xfId="180" xr:uid="{C68DAF6B-755C-4027-8B54-F146365CF12E}"/>
    <cellStyle name="Финансовый 2 2 4" xfId="92" xr:uid="{00000000-0005-0000-0000-000029000000}"/>
    <cellStyle name="Финансовый 2 2 4 2" xfId="503" xr:uid="{D49C5B32-3461-4A92-A40F-C4CBECECA6A7}"/>
    <cellStyle name="Финансовый 2 2 4 2 2" xfId="775" xr:uid="{1CC46FD0-A1BE-46E6-AB76-CD763837DF70}"/>
    <cellStyle name="Финансовый 2 2 4 2 2 2" xfId="1319" xr:uid="{3A0B05C2-E6FA-4FB8-8F42-83BDB1E3AEFA}"/>
    <cellStyle name="Финансовый 2 2 4 2 3" xfId="1047" xr:uid="{257583A5-AEEA-42FC-9A10-D243D42CBF5A}"/>
    <cellStyle name="Финансовый 2 2 4 2 4" xfId="1593" xr:uid="{3DA19042-5593-407F-9426-576A8BC25DDA}"/>
    <cellStyle name="Финансовый 2 2 4 3" xfId="639" xr:uid="{570B56DF-4B05-4848-BF2F-963DF910AA9B}"/>
    <cellStyle name="Финансовый 2 2 4 3 2" xfId="1183" xr:uid="{E612274D-BC72-4821-A37C-37ECBFD8351D}"/>
    <cellStyle name="Финансовый 2 2 4 4" xfId="911" xr:uid="{6045A8A7-C26B-4364-B7F0-42419689A71F}"/>
    <cellStyle name="Финансовый 2 2 4 5" xfId="367" xr:uid="{D9E967A5-2E20-48BE-9A28-A7B122DA042E}"/>
    <cellStyle name="Финансовый 2 2 4 6" xfId="1456" xr:uid="{896365E6-C046-44E6-9762-50CB5151FD2B}"/>
    <cellStyle name="Финансовый 2 2 4 7" xfId="231" xr:uid="{94949617-6FF6-42ED-BB72-4EB086753AA4}"/>
    <cellStyle name="Финансовый 2 2 5" xfId="98" xr:uid="{00000000-0005-0000-0000-00002A000000}"/>
    <cellStyle name="Финансовый 2 2 5 2" xfId="509" xr:uid="{05A8B7FB-8AD3-42EE-84C1-DCBC6717EC6B}"/>
    <cellStyle name="Финансовый 2 2 5 2 2" xfId="781" xr:uid="{CA0A5616-4DF5-4B02-8F54-2E6067C12BC0}"/>
    <cellStyle name="Финансовый 2 2 5 2 2 2" xfId="1325" xr:uid="{E6A5CF48-D2FC-49E7-8519-CCA967969650}"/>
    <cellStyle name="Финансовый 2 2 5 2 3" xfId="1053" xr:uid="{5CA34B92-0025-4793-A636-54EDF64410BA}"/>
    <cellStyle name="Финансовый 2 2 5 2 4" xfId="1599" xr:uid="{4CB52132-3D71-4CA6-9E09-DC6167606C31}"/>
    <cellStyle name="Финансовый 2 2 5 3" xfId="645" xr:uid="{85C7B77C-1A13-4B65-B1E1-C174D76F1EB4}"/>
    <cellStyle name="Финансовый 2 2 5 3 2" xfId="1189" xr:uid="{C3091CA4-ACD9-4F58-9DF5-B702DFD832EB}"/>
    <cellStyle name="Финансовый 2 2 5 4" xfId="917" xr:uid="{93B60770-1CF7-4FD0-8854-8750C151D9AF}"/>
    <cellStyle name="Финансовый 2 2 5 5" xfId="373" xr:uid="{53D241B0-47D3-4F2B-94D8-A2C06ACDB33C}"/>
    <cellStyle name="Финансовый 2 2 5 6" xfId="1462" xr:uid="{BA05214D-40AB-47E0-B0F6-86D01CC78BDA}"/>
    <cellStyle name="Финансовый 2 2 5 7" xfId="237" xr:uid="{A16F1B5D-2151-4BE7-8EDF-677612BDF922}"/>
    <cellStyle name="Финансовый 2 2 6" xfId="110" xr:uid="{00000000-0005-0000-0000-00002B000000}"/>
    <cellStyle name="Финансовый 2 2 6 2" xfId="521" xr:uid="{01A7B7E3-5877-42C7-90EF-6727B4BA17F2}"/>
    <cellStyle name="Финансовый 2 2 6 2 2" xfId="793" xr:uid="{3A6CB04C-7317-4F64-9EFE-13C24047C337}"/>
    <cellStyle name="Финансовый 2 2 6 2 2 2" xfId="1337" xr:uid="{D71410EE-02BD-4824-8696-0DC6BB33C32C}"/>
    <cellStyle name="Финансовый 2 2 6 2 3" xfId="1065" xr:uid="{37BC5FE3-76F9-44E7-B0C8-8E526AD4647B}"/>
    <cellStyle name="Финансовый 2 2 6 2 4" xfId="1611" xr:uid="{CC1BC5D9-BB07-4259-A43B-F6E53E260632}"/>
    <cellStyle name="Финансовый 2 2 6 3" xfId="657" xr:uid="{C6C0C3FD-5349-4130-9CE1-C900846E5A3C}"/>
    <cellStyle name="Финансовый 2 2 6 3 2" xfId="1201" xr:uid="{837FB652-4083-45E4-90AC-954012253BAD}"/>
    <cellStyle name="Финансовый 2 2 6 4" xfId="929" xr:uid="{BD3CD545-2B6E-4205-B5D1-D632FCAAF500}"/>
    <cellStyle name="Финансовый 2 2 6 5" xfId="385" xr:uid="{AB57E4A4-8A24-4D84-A5E3-4E3D3310AC28}"/>
    <cellStyle name="Финансовый 2 2 6 6" xfId="1474" xr:uid="{71D443D8-A3C1-4C96-83EC-1821E5F390E7}"/>
    <cellStyle name="Финансовый 2 2 6 7" xfId="249" xr:uid="{55D27E97-7AAE-496E-AE0E-A80276261D03}"/>
    <cellStyle name="Финансовый 2 2 7" xfId="65" xr:uid="{00000000-0005-0000-0000-00002C000000}"/>
    <cellStyle name="Финансовый 2 2 7 2" xfId="476" xr:uid="{6208C1FD-17D2-4EED-A4AA-92CF31A72C5D}"/>
    <cellStyle name="Финансовый 2 2 7 2 2" xfId="748" xr:uid="{5C9B3E74-1111-48E3-859C-B9874605F5C8}"/>
    <cellStyle name="Финансовый 2 2 7 2 2 2" xfId="1292" xr:uid="{43A73C99-7243-4FDB-91EC-43C43BCF85BF}"/>
    <cellStyle name="Финансовый 2 2 7 2 3" xfId="1020" xr:uid="{DF0FF4E5-C4C8-494B-B82E-14FE875ECAC3}"/>
    <cellStyle name="Финансовый 2 2 7 2 4" xfId="1566" xr:uid="{359B005F-9D67-4E0C-ADCF-410253F3F61E}"/>
    <cellStyle name="Финансовый 2 2 7 3" xfId="612" xr:uid="{AEC1EED3-DAE3-4980-8ACA-19981F072250}"/>
    <cellStyle name="Финансовый 2 2 7 3 2" xfId="1156" xr:uid="{29D39CC8-20D9-4D86-878E-05441AB9CF86}"/>
    <cellStyle name="Финансовый 2 2 7 4" xfId="884" xr:uid="{B2A54281-ED7C-43AC-9BED-ECAE856EC611}"/>
    <cellStyle name="Финансовый 2 2 7 5" xfId="340" xr:uid="{05BDA5DC-32B4-419D-869D-26F890B53C0E}"/>
    <cellStyle name="Финансовый 2 2 7 6" xfId="1429" xr:uid="{80880A1D-91C5-46F3-8AA6-DDF4F8649930}"/>
    <cellStyle name="Финансовый 2 2 7 7" xfId="204" xr:uid="{CB016E5E-F3AF-4BE6-8EF1-718ED4429136}"/>
    <cellStyle name="Финансовый 2 2 8" xfId="52" xr:uid="{00000000-0005-0000-0000-00002D000000}"/>
    <cellStyle name="Финансовый 2 2 8 2" xfId="465" xr:uid="{C358CD96-A74A-4724-B2A3-E9734961E8F5}"/>
    <cellStyle name="Финансовый 2 2 8 2 2" xfId="737" xr:uid="{E3FFA08B-3FFC-4B73-83C0-D8836CCDE9D7}"/>
    <cellStyle name="Финансовый 2 2 8 2 2 2" xfId="1281" xr:uid="{E8089C5C-3E74-4A85-B680-BBB37DBC1A7A}"/>
    <cellStyle name="Финансовый 2 2 8 2 3" xfId="1009" xr:uid="{F7DB4101-53C2-42FF-B39A-457CEF3E89D0}"/>
    <cellStyle name="Финансовый 2 2 8 2 4" xfId="1555" xr:uid="{31F1096C-9A17-4B34-BB3C-A232A199D43F}"/>
    <cellStyle name="Финансовый 2 2 8 3" xfId="601" xr:uid="{3042DFA9-9F94-41B9-94BC-4C5CBE89AFB1}"/>
    <cellStyle name="Финансовый 2 2 8 3 2" xfId="1145" xr:uid="{5966BF21-E233-4F61-898D-0F29CE1D22CF}"/>
    <cellStyle name="Финансовый 2 2 8 4" xfId="873" xr:uid="{3B8EFE60-A2C3-45BB-9B25-2F9BDF965C35}"/>
    <cellStyle name="Финансовый 2 2 8 5" xfId="329" xr:uid="{5FB9FE98-3E7D-4795-8DF6-3119FF29BA69}"/>
    <cellStyle name="Финансовый 2 2 8 6" xfId="1417" xr:uid="{7FB62F1F-3D62-49CE-A384-7BE9430BA604}"/>
    <cellStyle name="Финансовый 2 2 8 7" xfId="192" xr:uid="{218D9908-1B8F-4690-A47C-8833645DD090}"/>
    <cellStyle name="Финансовый 2 2 9" xfId="130" xr:uid="{00000000-0005-0000-0000-00002E000000}"/>
    <cellStyle name="Финансовый 2 2 9 2" xfId="541" xr:uid="{83B6150A-9615-4516-9141-4B4A09454BF4}"/>
    <cellStyle name="Финансовый 2 2 9 2 2" xfId="813" xr:uid="{25BF8E1D-0F3F-4600-8901-1B8DA2A582DB}"/>
    <cellStyle name="Финансовый 2 2 9 2 2 2" xfId="1357" xr:uid="{146F06AE-043D-43B4-A9CB-72174E577557}"/>
    <cellStyle name="Финансовый 2 2 9 2 3" xfId="1085" xr:uid="{12F80DC7-ADE3-408B-8FB5-114A491CC689}"/>
    <cellStyle name="Финансовый 2 2 9 2 4" xfId="1631" xr:uid="{1D7E5C58-AABE-4FF0-9950-E0DE74A9FD24}"/>
    <cellStyle name="Финансовый 2 2 9 3" xfId="677" xr:uid="{FF1BA712-EC95-4D77-BD05-FCA783D91F8C}"/>
    <cellStyle name="Финансовый 2 2 9 3 2" xfId="1221" xr:uid="{ECCB1FF8-2515-4DCE-9152-70D69BF2389A}"/>
    <cellStyle name="Финансовый 2 2 9 4" xfId="949" xr:uid="{6BF96756-A6E9-4018-AB09-3BBBF532E4FA}"/>
    <cellStyle name="Финансовый 2 2 9 5" xfId="405" xr:uid="{0D551B70-476E-44C9-879E-93239D65F43C}"/>
    <cellStyle name="Финансовый 2 2 9 6" xfId="1494" xr:uid="{948B20D9-FFC0-4B89-AF66-EFD28D69C31C}"/>
    <cellStyle name="Финансовый 2 2 9 7" xfId="269" xr:uid="{CB46EF74-5AC8-491C-BBBA-6C83645AD829}"/>
    <cellStyle name="Финансовый 2 20" xfId="142" xr:uid="{6D28745A-8B3A-4BD7-92BA-BDA5E2195DA4}"/>
    <cellStyle name="Финансовый 2 3" xfId="6" xr:uid="{00000000-0005-0000-0000-00002F000000}"/>
    <cellStyle name="Финансовый 2 3 10" xfId="30" xr:uid="{00000000-0005-0000-0000-000030000000}"/>
    <cellStyle name="Финансовый 2 3 10 2" xfId="443" xr:uid="{30F339BA-4F02-4F47-ADFE-69DCE86A24EF}"/>
    <cellStyle name="Финансовый 2 3 10 2 2" xfId="715" xr:uid="{581F2E55-B591-485B-892C-AB8BBB3D8E30}"/>
    <cellStyle name="Финансовый 2 3 10 2 2 2" xfId="1259" xr:uid="{08C43D0E-DC01-4395-A32E-C10554368394}"/>
    <cellStyle name="Финансовый 2 3 10 2 3" xfId="987" xr:uid="{E60096B5-7BFE-4753-BA72-3628B73161CE}"/>
    <cellStyle name="Финансовый 2 3 10 2 4" xfId="1533" xr:uid="{8A434B60-A872-4904-B108-F1F1EFBA2E23}"/>
    <cellStyle name="Финансовый 2 3 10 3" xfId="579" xr:uid="{BE56B566-5EE9-46A6-BDA4-A20E579656B3}"/>
    <cellStyle name="Финансовый 2 3 10 3 2" xfId="1123" xr:uid="{DCBD9DFB-EC04-4C9E-A9B6-B23513991A6F}"/>
    <cellStyle name="Финансовый 2 3 10 4" xfId="851" xr:uid="{35A17766-D9CE-4A8D-AA43-F0199FA46E96}"/>
    <cellStyle name="Финансовый 2 3 10 5" xfId="307" xr:uid="{39E901E8-5A28-4D84-A8F1-B341D7BABCDA}"/>
    <cellStyle name="Финансовый 2 3 10 6" xfId="1395" xr:uid="{E82AB4AF-2011-49BB-897E-524B79EA949B}"/>
    <cellStyle name="Финансовый 2 3 10 7" xfId="170" xr:uid="{6FA02FFD-5A39-423A-BF1E-B033D783E86C}"/>
    <cellStyle name="Финансовый 2 3 11" xfId="18" xr:uid="{00000000-0005-0000-0000-000031000000}"/>
    <cellStyle name="Финансовый 2 3 11 2" xfId="431" xr:uid="{5A49CDEE-3B7E-4982-85CD-70FBD4D87F86}"/>
    <cellStyle name="Финансовый 2 3 11 2 2" xfId="703" xr:uid="{9C9B364A-ECA4-453E-8935-46281611C983}"/>
    <cellStyle name="Финансовый 2 3 11 2 2 2" xfId="1247" xr:uid="{BA9C3C27-39A0-4A86-91E2-AA5096542850}"/>
    <cellStyle name="Финансовый 2 3 11 2 3" xfId="975" xr:uid="{12F35D2C-F268-4781-BD8A-8C8E42B82E5E}"/>
    <cellStyle name="Финансовый 2 3 11 2 4" xfId="1521" xr:uid="{F675C81C-368B-4504-A575-2155B1646531}"/>
    <cellStyle name="Финансовый 2 3 11 3" xfId="567" xr:uid="{499A2302-332A-4DD3-A13F-FF33CB41ACB6}"/>
    <cellStyle name="Финансовый 2 3 11 3 2" xfId="1111" xr:uid="{5C7055C1-DFF5-4369-B544-563D3D393D6B}"/>
    <cellStyle name="Финансовый 2 3 11 4" xfId="839" xr:uid="{2221ED7E-B9CE-4068-A32D-200673F40BAA}"/>
    <cellStyle name="Финансовый 2 3 11 5" xfId="295" xr:uid="{702B4FB2-AFA0-42A5-8718-B361B780BF66}"/>
    <cellStyle name="Финансовый 2 3 11 6" xfId="1383" xr:uid="{62909D26-6A46-4728-B05D-5DAF2C8D18A1}"/>
    <cellStyle name="Финансовый 2 3 11 7" xfId="158" xr:uid="{CF6E16FE-FC07-4C61-AA80-86A19B70AC54}"/>
    <cellStyle name="Финансовый 2 3 12" xfId="419" xr:uid="{090128C1-62FA-4ECB-A69F-E96EDC613ED2}"/>
    <cellStyle name="Финансовый 2 3 12 2" xfId="691" xr:uid="{3D4AD0F8-5C1D-4739-A0B5-FB72B5D229C7}"/>
    <cellStyle name="Финансовый 2 3 12 2 2" xfId="1235" xr:uid="{644CD014-5559-4A68-82F4-F1B9FB63AC79}"/>
    <cellStyle name="Финансовый 2 3 12 3" xfId="963" xr:uid="{931723F4-D7DB-425D-BF33-1D2A5DC66B8B}"/>
    <cellStyle name="Финансовый 2 3 12 4" xfId="1509" xr:uid="{A4F8E881-8C40-4093-AD61-3D80001C1AC5}"/>
    <cellStyle name="Финансовый 2 3 13" xfId="555" xr:uid="{D95A7BAF-956C-41A1-BE43-B1FB0474BEF1}"/>
    <cellStyle name="Финансовый 2 3 13 2" xfId="1099" xr:uid="{9DB1029E-4E46-485B-B39F-92A129829251}"/>
    <cellStyle name="Финансовый 2 3 14" xfId="827" xr:uid="{DE89C257-6B94-4E4F-9C63-D739E7FDF29F}"/>
    <cellStyle name="Финансовый 2 3 15" xfId="283" xr:uid="{31244BB2-212C-405A-AD0D-2813FADCF5B7}"/>
    <cellStyle name="Финансовый 2 3 16" xfId="1371" xr:uid="{C3EB634C-D51E-492F-898D-C12357D2BAB6}"/>
    <cellStyle name="Финансовый 2 3 17" xfId="146" xr:uid="{96F8E2A8-E0DC-4BAB-B9D1-53029C60A3F3}"/>
    <cellStyle name="Финансовый 2 3 2" xfId="12" xr:uid="{00000000-0005-0000-0000-000032000000}"/>
    <cellStyle name="Финансовый 2 3 2 10" xfId="561" xr:uid="{7FAA2A83-6237-437D-8584-4B8DE6ADE26B}"/>
    <cellStyle name="Финансовый 2 3 2 10 2" xfId="1105" xr:uid="{1E787005-6477-41C5-8F6E-5E9C75BA1495}"/>
    <cellStyle name="Финансовый 2 3 2 11" xfId="833" xr:uid="{5C02E2AA-EEAA-47EC-8C42-59D5AD27A9CA}"/>
    <cellStyle name="Финансовый 2 3 2 12" xfId="289" xr:uid="{6B697789-3620-4409-B4C2-9783E9555BB6}"/>
    <cellStyle name="Финансовый 2 3 2 13" xfId="1377" xr:uid="{9EC4637A-A44F-489C-83E6-95E695428611}"/>
    <cellStyle name="Финансовый 2 3 2 14" xfId="152" xr:uid="{302F295D-AD4D-45D3-803A-D22F93B77036}"/>
    <cellStyle name="Финансовый 2 3 2 2" xfId="48" xr:uid="{00000000-0005-0000-0000-000033000000}"/>
    <cellStyle name="Финансовый 2 3 2 2 2" xfId="106" xr:uid="{00000000-0005-0000-0000-000034000000}"/>
    <cellStyle name="Финансовый 2 3 2 2 2 2" xfId="517" xr:uid="{1CCA0114-6BAA-42B5-9484-73A1BCEBD0D8}"/>
    <cellStyle name="Финансовый 2 3 2 2 2 2 2" xfId="789" xr:uid="{508C0CD8-CC9A-4975-A405-F22579563B86}"/>
    <cellStyle name="Финансовый 2 3 2 2 2 2 2 2" xfId="1333" xr:uid="{A082112E-9982-4910-8647-D75757150F68}"/>
    <cellStyle name="Финансовый 2 3 2 2 2 2 3" xfId="1061" xr:uid="{50B1C893-66CF-4D25-B7B8-8ACEBAA07728}"/>
    <cellStyle name="Финансовый 2 3 2 2 2 2 4" xfId="1607" xr:uid="{A1B2B4FD-1155-4A56-A84D-D4F4EDCB6727}"/>
    <cellStyle name="Финансовый 2 3 2 2 2 3" xfId="653" xr:uid="{FD5B455D-29B9-4B49-978B-9A585D98DE9C}"/>
    <cellStyle name="Финансовый 2 3 2 2 2 3 2" xfId="1197" xr:uid="{734D1C1E-230A-4EB4-9653-61DB4C4F2DFF}"/>
    <cellStyle name="Финансовый 2 3 2 2 2 4" xfId="925" xr:uid="{249A074F-AECE-4CCB-8792-533DD8C50FBD}"/>
    <cellStyle name="Финансовый 2 3 2 2 2 5" xfId="381" xr:uid="{3A20FA09-1842-484D-BC0A-2B8C0E049F15}"/>
    <cellStyle name="Финансовый 2 3 2 2 2 6" xfId="1470" xr:uid="{9AEF455D-0A83-41EE-A403-92FFC50D08A5}"/>
    <cellStyle name="Финансовый 2 3 2 2 2 7" xfId="245" xr:uid="{1ECAAACF-1971-4B3E-9449-70B887BAE215}"/>
    <cellStyle name="Финансовый 2 3 2 2 3" xfId="461" xr:uid="{08F9B8F2-9F26-4488-A639-124FBD86EA16}"/>
    <cellStyle name="Финансовый 2 3 2 2 3 2" xfId="733" xr:uid="{A6ADD82E-1179-4CE0-AA98-67251D39D146}"/>
    <cellStyle name="Финансовый 2 3 2 2 3 2 2" xfId="1277" xr:uid="{32AE9672-F3B6-459A-A1B1-B87B5BDBC405}"/>
    <cellStyle name="Финансовый 2 3 2 2 3 3" xfId="1005" xr:uid="{3F038DDD-9F70-4BE3-B42D-B0855C80CAA0}"/>
    <cellStyle name="Финансовый 2 3 2 2 3 4" xfId="1551" xr:uid="{38AF59B8-6CB4-41CE-AF0A-E7D6CCE9C2E1}"/>
    <cellStyle name="Финансовый 2 3 2 2 4" xfId="597" xr:uid="{3BAE8918-4924-4A89-8526-B23A16E843BC}"/>
    <cellStyle name="Финансовый 2 3 2 2 4 2" xfId="1141" xr:uid="{3EECA15B-0196-4D00-9303-1428EA8E97D9}"/>
    <cellStyle name="Финансовый 2 3 2 2 5" xfId="869" xr:uid="{73E95A91-4655-4365-BADA-CB3BA76767EF}"/>
    <cellStyle name="Финансовый 2 3 2 2 6" xfId="325" xr:uid="{88FF82E7-0AD8-47E1-8967-97521830D817}"/>
    <cellStyle name="Финансовый 2 3 2 2 7" xfId="1413" xr:uid="{CC2C764F-6D22-4906-9E0A-43B522151BAD}"/>
    <cellStyle name="Финансовый 2 3 2 2 8" xfId="188" xr:uid="{AE449287-1B72-405B-B3CC-D79BAB0309B4}"/>
    <cellStyle name="Финансовый 2 3 2 3" xfId="118" xr:uid="{00000000-0005-0000-0000-000035000000}"/>
    <cellStyle name="Финансовый 2 3 2 3 2" xfId="529" xr:uid="{3A54903E-29DC-41E1-A6F6-D74A766D61F1}"/>
    <cellStyle name="Финансовый 2 3 2 3 2 2" xfId="801" xr:uid="{4493A2CB-6CBF-4604-8743-0F3D7C264351}"/>
    <cellStyle name="Финансовый 2 3 2 3 2 2 2" xfId="1345" xr:uid="{C02FF68A-7C06-48F4-A193-5B7744214773}"/>
    <cellStyle name="Финансовый 2 3 2 3 2 3" xfId="1073" xr:uid="{69B75ACD-0509-41E7-8251-55749EBC2503}"/>
    <cellStyle name="Финансовый 2 3 2 3 2 4" xfId="1619" xr:uid="{6F85E926-8273-4CF8-B55E-A55B78887C99}"/>
    <cellStyle name="Финансовый 2 3 2 3 3" xfId="665" xr:uid="{C03F47A6-B176-40F5-9D54-F643147A18C1}"/>
    <cellStyle name="Финансовый 2 3 2 3 3 2" xfId="1209" xr:uid="{AF532503-EC94-44D8-A69D-E18E59B280C4}"/>
    <cellStyle name="Финансовый 2 3 2 3 4" xfId="937" xr:uid="{0CB537CB-D52D-4D28-B857-3279E847F01A}"/>
    <cellStyle name="Финансовый 2 3 2 3 5" xfId="393" xr:uid="{44BA492C-D9D8-44C1-9107-7559AD690114}"/>
    <cellStyle name="Финансовый 2 3 2 3 6" xfId="1482" xr:uid="{7DEA64B9-3E8A-43C1-90D3-0186A598B4B8}"/>
    <cellStyle name="Финансовый 2 3 2 3 7" xfId="257" xr:uid="{79F7712B-436F-4B51-8510-0A1CD0B20DC5}"/>
    <cellStyle name="Финансовый 2 3 2 4" xfId="82" xr:uid="{00000000-0005-0000-0000-000036000000}"/>
    <cellStyle name="Финансовый 2 3 2 4 2" xfId="493" xr:uid="{5D833D2E-93E0-4EEC-AE0E-D205FC6C1FCE}"/>
    <cellStyle name="Финансовый 2 3 2 4 2 2" xfId="765" xr:uid="{95DEF505-6FD1-4BFB-9F0E-0B6B606888FD}"/>
    <cellStyle name="Финансовый 2 3 2 4 2 2 2" xfId="1309" xr:uid="{43E57FF4-AFAE-4382-9409-3ED2276DC346}"/>
    <cellStyle name="Финансовый 2 3 2 4 2 3" xfId="1037" xr:uid="{0F77DFA6-4938-422D-93C0-18063997587B}"/>
    <cellStyle name="Финансовый 2 3 2 4 2 4" xfId="1583" xr:uid="{B71A8460-4F3F-48F5-B17C-ED89B7FC5593}"/>
    <cellStyle name="Финансовый 2 3 2 4 3" xfId="629" xr:uid="{1B9507AD-896E-4DEF-B481-1B07047855CC}"/>
    <cellStyle name="Финансовый 2 3 2 4 3 2" xfId="1173" xr:uid="{B7478437-9788-4D99-B3AF-EFF2332D40C9}"/>
    <cellStyle name="Финансовый 2 3 2 4 4" xfId="901" xr:uid="{14F755FE-D145-4274-9F9C-AE23FEA39432}"/>
    <cellStyle name="Финансовый 2 3 2 4 5" xfId="357" xr:uid="{6DC282A8-A343-4A0E-B51A-E13028E222DC}"/>
    <cellStyle name="Финансовый 2 3 2 4 6" xfId="1446" xr:uid="{786E99D6-CDA1-411B-82EB-B9AFB8DBCBFC}"/>
    <cellStyle name="Финансовый 2 3 2 4 7" xfId="221" xr:uid="{AA40B1B6-88C1-482E-9F88-3CCE8871BC31}"/>
    <cellStyle name="Финансовый 2 3 2 5" xfId="60" xr:uid="{00000000-0005-0000-0000-000037000000}"/>
    <cellStyle name="Финансовый 2 3 2 5 2" xfId="473" xr:uid="{F7D1058F-FE02-4C67-A156-5AC2FCFBE83F}"/>
    <cellStyle name="Финансовый 2 3 2 5 2 2" xfId="745" xr:uid="{66CF7CAB-994E-4B7E-99EE-BEC65B0BD9EA}"/>
    <cellStyle name="Финансовый 2 3 2 5 2 2 2" xfId="1289" xr:uid="{81C5CE9B-E65B-46BD-9FCE-CE1D1C009394}"/>
    <cellStyle name="Финансовый 2 3 2 5 2 3" xfId="1017" xr:uid="{ED12CD5E-B9E2-493A-8C76-187C8948E875}"/>
    <cellStyle name="Финансовый 2 3 2 5 2 4" xfId="1563" xr:uid="{3DC4B20F-F608-4D18-9E39-8312E32E584D}"/>
    <cellStyle name="Финансовый 2 3 2 5 3" xfId="609" xr:uid="{AC269C60-8FD1-4DEE-A172-E13A482291CE}"/>
    <cellStyle name="Финансовый 2 3 2 5 3 2" xfId="1153" xr:uid="{AAEEFE03-4CD3-449B-BC44-B150E923B588}"/>
    <cellStyle name="Финансовый 2 3 2 5 4" xfId="881" xr:uid="{4A6D42E4-E9F8-491F-9CE4-BF7D49EFC27C}"/>
    <cellStyle name="Финансовый 2 3 2 5 5" xfId="337" xr:uid="{C64402D0-1933-4E55-9CD8-55003DF3ABBD}"/>
    <cellStyle name="Финансовый 2 3 2 5 6" xfId="1425" xr:uid="{9EF98D8B-0FE2-4358-BD0C-71E865586061}"/>
    <cellStyle name="Финансовый 2 3 2 5 7" xfId="200" xr:uid="{217CEB1D-3C78-4F4E-8D1E-59A3786F46A5}"/>
    <cellStyle name="Финансовый 2 3 2 6" xfId="138" xr:uid="{00000000-0005-0000-0000-000038000000}"/>
    <cellStyle name="Финансовый 2 3 2 6 2" xfId="549" xr:uid="{C9A4D7AA-81AE-4FC2-85CB-9A2BC52E750A}"/>
    <cellStyle name="Финансовый 2 3 2 6 2 2" xfId="821" xr:uid="{2B783437-11D5-464B-AD70-A716D8FF2C6A}"/>
    <cellStyle name="Финансовый 2 3 2 6 2 2 2" xfId="1365" xr:uid="{B4234336-B250-49A7-8EC4-EDB1E80DBC5E}"/>
    <cellStyle name="Финансовый 2 3 2 6 2 3" xfId="1093" xr:uid="{8E855FC8-D246-406F-9377-3F0CD316A03A}"/>
    <cellStyle name="Финансовый 2 3 2 6 2 4" xfId="1639" xr:uid="{CC093F24-67CD-41EA-970B-96E6DF2D100E}"/>
    <cellStyle name="Финансовый 2 3 2 6 3" xfId="685" xr:uid="{AABD8231-D282-452F-83AE-0D03966618BB}"/>
    <cellStyle name="Финансовый 2 3 2 6 3 2" xfId="1229" xr:uid="{25A5F126-97FD-409F-8D64-3412D5F20B6C}"/>
    <cellStyle name="Финансовый 2 3 2 6 4" xfId="957" xr:uid="{38446B6F-46E8-412F-A0A3-FE4E01C81A43}"/>
    <cellStyle name="Финансовый 2 3 2 6 5" xfId="413" xr:uid="{B8B0C4E3-60CC-422D-A526-DDCAB88CF49E}"/>
    <cellStyle name="Финансовый 2 3 2 6 6" xfId="1502" xr:uid="{72DD6030-404B-41EC-AB4C-6D212FD9C56B}"/>
    <cellStyle name="Финансовый 2 3 2 6 7" xfId="277" xr:uid="{B3DB25CC-43D1-4128-8748-F2D96405932E}"/>
    <cellStyle name="Финансовый 2 3 2 7" xfId="36" xr:uid="{00000000-0005-0000-0000-000039000000}"/>
    <cellStyle name="Финансовый 2 3 2 7 2" xfId="449" xr:uid="{D99934F1-0714-4D6F-9270-B8A57CD4E60B}"/>
    <cellStyle name="Финансовый 2 3 2 7 2 2" xfId="721" xr:uid="{0847DC17-A50D-4BEA-9F59-03509D43642E}"/>
    <cellStyle name="Финансовый 2 3 2 7 2 2 2" xfId="1265" xr:uid="{AE984189-1F45-466F-9407-9A38CBBCA80A}"/>
    <cellStyle name="Финансовый 2 3 2 7 2 3" xfId="993" xr:uid="{C6C376AE-21BC-4EBA-8396-96945EF4922F}"/>
    <cellStyle name="Финансовый 2 3 2 7 2 4" xfId="1539" xr:uid="{F69CF4A5-A4B3-4A40-83B7-D1E7FBFC9243}"/>
    <cellStyle name="Финансовый 2 3 2 7 3" xfId="585" xr:uid="{502CD23F-584E-4781-B6BB-1C6D1AC5E9F6}"/>
    <cellStyle name="Финансовый 2 3 2 7 3 2" xfId="1129" xr:uid="{5FC330BC-E037-4D3F-B1BE-285F096391CC}"/>
    <cellStyle name="Финансовый 2 3 2 7 4" xfId="857" xr:uid="{8485B3F9-6825-4619-8165-C403709D60FD}"/>
    <cellStyle name="Финансовый 2 3 2 7 5" xfId="313" xr:uid="{9393DC96-F760-4EC9-B08F-4F65AACCD81C}"/>
    <cellStyle name="Финансовый 2 3 2 7 6" xfId="1401" xr:uid="{6FB5316C-BB69-48B4-96B4-117E938AFA45}"/>
    <cellStyle name="Финансовый 2 3 2 7 7" xfId="176" xr:uid="{33B4BD0E-E9AC-4640-B756-4D57C2A3219E}"/>
    <cellStyle name="Финансовый 2 3 2 8" xfId="24" xr:uid="{00000000-0005-0000-0000-00003A000000}"/>
    <cellStyle name="Финансовый 2 3 2 8 2" xfId="437" xr:uid="{89E458B7-B8C7-47B4-88E7-A85DF86ECE03}"/>
    <cellStyle name="Финансовый 2 3 2 8 2 2" xfId="709" xr:uid="{60E998B8-9B1C-4346-9879-DA9149D3352A}"/>
    <cellStyle name="Финансовый 2 3 2 8 2 2 2" xfId="1253" xr:uid="{B4814993-06D3-48D8-9464-374E73773F1C}"/>
    <cellStyle name="Финансовый 2 3 2 8 2 3" xfId="981" xr:uid="{21187EEB-C639-4A3A-9A9B-2DF6B5618FB5}"/>
    <cellStyle name="Финансовый 2 3 2 8 2 4" xfId="1527" xr:uid="{38B50678-A2FE-4146-9224-8069F8E59AE9}"/>
    <cellStyle name="Финансовый 2 3 2 8 3" xfId="573" xr:uid="{F8349C27-3A8F-473B-95D8-2D2DAB0614FD}"/>
    <cellStyle name="Финансовый 2 3 2 8 3 2" xfId="1117" xr:uid="{E7437EA1-2E57-4B75-9645-E14FEF200023}"/>
    <cellStyle name="Финансовый 2 3 2 8 4" xfId="845" xr:uid="{3DB31769-95D2-4BC1-87CF-88F72EF709C1}"/>
    <cellStyle name="Финансовый 2 3 2 8 5" xfId="301" xr:uid="{1CB8E961-4D70-4A3F-95D2-C60B18E869BD}"/>
    <cellStyle name="Финансовый 2 3 2 8 6" xfId="1389" xr:uid="{CBD673EC-A446-43DD-AAFB-DC9AFE137AB1}"/>
    <cellStyle name="Финансовый 2 3 2 8 7" xfId="164" xr:uid="{708198B1-C414-4F0D-B5E9-EB327FBF35B9}"/>
    <cellStyle name="Финансовый 2 3 2 9" xfId="425" xr:uid="{A4FD7F64-B090-4D3D-91E8-05DCB8E436B3}"/>
    <cellStyle name="Финансовый 2 3 2 9 2" xfId="697" xr:uid="{4B4B8C35-56A9-45EC-AC8B-3CD4A4204478}"/>
    <cellStyle name="Финансовый 2 3 2 9 2 2" xfId="1241" xr:uid="{5ACA8A39-B5C1-4232-95F4-060EB5502697}"/>
    <cellStyle name="Финансовый 2 3 2 9 3" xfId="969" xr:uid="{3DA98F62-D056-412C-9144-35D74B6A4049}"/>
    <cellStyle name="Финансовый 2 3 2 9 4" xfId="1515" xr:uid="{94682577-BAFB-419E-998F-B825DE40D2E9}"/>
    <cellStyle name="Финансовый 2 3 3" xfId="42" xr:uid="{00000000-0005-0000-0000-00003B000000}"/>
    <cellStyle name="Финансовый 2 3 3 2" xfId="124" xr:uid="{00000000-0005-0000-0000-00003C000000}"/>
    <cellStyle name="Финансовый 2 3 3 2 2" xfId="535" xr:uid="{C2ED9C35-E460-48E4-811D-F024B7A278E2}"/>
    <cellStyle name="Финансовый 2 3 3 2 2 2" xfId="807" xr:uid="{859FA6A6-446B-49D3-B3DE-C997840C976A}"/>
    <cellStyle name="Финансовый 2 3 3 2 2 2 2" xfId="1351" xr:uid="{7BC69F76-51CF-46C5-819F-D02659629431}"/>
    <cellStyle name="Финансовый 2 3 3 2 2 3" xfId="1079" xr:uid="{8856E0D2-9859-481E-A5D4-B22E151C1315}"/>
    <cellStyle name="Финансовый 2 3 3 2 2 4" xfId="1625" xr:uid="{08A237FB-9542-4C63-B906-55839E440358}"/>
    <cellStyle name="Финансовый 2 3 3 2 3" xfId="671" xr:uid="{AAAE3D04-4B5B-4FC1-ADC7-0D78FAF5A37A}"/>
    <cellStyle name="Финансовый 2 3 3 2 3 2" xfId="1215" xr:uid="{2D53FC48-6DDB-4DAC-ACEC-436F28C74104}"/>
    <cellStyle name="Финансовый 2 3 3 2 4" xfId="943" xr:uid="{D42510C1-A340-40EB-9C7E-93E3FB8C3931}"/>
    <cellStyle name="Финансовый 2 3 3 2 5" xfId="399" xr:uid="{0B6DE0B6-939E-46AB-AC50-F1BBCD55C430}"/>
    <cellStyle name="Финансовый 2 3 3 2 6" xfId="1488" xr:uid="{A6C018BC-B5BE-4422-BA09-AA63C4D948B0}"/>
    <cellStyle name="Финансовый 2 3 3 2 7" xfId="263" xr:uid="{BFC9B5D3-F140-42B3-AB4A-29FAADD1553B}"/>
    <cellStyle name="Финансовый 2 3 3 3" xfId="88" xr:uid="{00000000-0005-0000-0000-00003D000000}"/>
    <cellStyle name="Финансовый 2 3 3 3 2" xfId="499" xr:uid="{9190A0F4-1F4B-43FA-A238-57775DD392F9}"/>
    <cellStyle name="Финансовый 2 3 3 3 2 2" xfId="771" xr:uid="{FF84C541-6547-4360-8ACE-F36797CF3F86}"/>
    <cellStyle name="Финансовый 2 3 3 3 2 2 2" xfId="1315" xr:uid="{5D8DA4F5-AE15-429E-9258-74EBF05C44D4}"/>
    <cellStyle name="Финансовый 2 3 3 3 2 3" xfId="1043" xr:uid="{EEA7C7E4-B98F-4174-AA6F-C6F84328226D}"/>
    <cellStyle name="Финансовый 2 3 3 3 2 4" xfId="1589" xr:uid="{52E82184-74E1-459D-8A9D-A5E4075EC102}"/>
    <cellStyle name="Финансовый 2 3 3 3 3" xfId="635" xr:uid="{77BE382D-CC73-47E5-9175-055DFE0DB179}"/>
    <cellStyle name="Финансовый 2 3 3 3 3 2" xfId="1179" xr:uid="{85E6C108-EB47-4CDB-96E5-F351E3F6656A}"/>
    <cellStyle name="Финансовый 2 3 3 3 4" xfId="907" xr:uid="{E4CB977E-258E-4CDC-859A-5F8DBE258066}"/>
    <cellStyle name="Финансовый 2 3 3 3 5" xfId="363" xr:uid="{235D8552-0B05-4CD8-808B-3C4026C90E05}"/>
    <cellStyle name="Финансовый 2 3 3 3 6" xfId="1452" xr:uid="{DD263EC8-28EF-4D4F-B475-0E90DBCF737F}"/>
    <cellStyle name="Финансовый 2 3 3 3 7" xfId="227" xr:uid="{C9053267-E08D-4075-90C2-9A70A8A1AECA}"/>
    <cellStyle name="Финансовый 2 3 3 4" xfId="455" xr:uid="{4486FF49-07A3-45F9-844D-3A233AC9AFD5}"/>
    <cellStyle name="Финансовый 2 3 3 4 2" xfId="727" xr:uid="{96342F64-B7FA-40D2-808F-C3D3626ADCB1}"/>
    <cellStyle name="Финансовый 2 3 3 4 2 2" xfId="1271" xr:uid="{127CB178-1B20-4866-9460-0BA05F17774C}"/>
    <cellStyle name="Финансовый 2 3 3 4 3" xfId="999" xr:uid="{CC058535-FF41-4E53-A352-3A85B33B2F83}"/>
    <cellStyle name="Финансовый 2 3 3 4 4" xfId="1545" xr:uid="{FE9EFE39-99C1-4F60-9D98-0950B9D2B5B5}"/>
    <cellStyle name="Финансовый 2 3 3 5" xfId="591" xr:uid="{16FBC093-7BEA-489D-A301-C44E71AB7486}"/>
    <cellStyle name="Финансовый 2 3 3 5 2" xfId="1135" xr:uid="{7DB0DE2B-5307-4A58-B8A8-45F41066B5E6}"/>
    <cellStyle name="Финансовый 2 3 3 6" xfId="863" xr:uid="{DD672EF1-C9CC-4E64-AD98-B72E031F0CB4}"/>
    <cellStyle name="Финансовый 2 3 3 7" xfId="319" xr:uid="{8083F0F5-8B98-4DE2-9FED-4CB2773CC7E9}"/>
    <cellStyle name="Финансовый 2 3 3 8" xfId="1407" xr:uid="{59243BA7-53B6-449B-A234-D288ACB79F55}"/>
    <cellStyle name="Финансовый 2 3 3 9" xfId="182" xr:uid="{5DF50FA9-0D0A-4D92-ADC4-FB50D5AD96EB}"/>
    <cellStyle name="Финансовый 2 3 4" xfId="94" xr:uid="{00000000-0005-0000-0000-00003E000000}"/>
    <cellStyle name="Финансовый 2 3 4 2" xfId="505" xr:uid="{86F21FE6-9DEB-4D68-8C80-E6D7F7DD6920}"/>
    <cellStyle name="Финансовый 2 3 4 2 2" xfId="777" xr:uid="{4A0043E9-D3E5-4E38-BE19-13DD89AABF47}"/>
    <cellStyle name="Финансовый 2 3 4 2 2 2" xfId="1321" xr:uid="{BDE300B9-5162-49A4-927C-EFF650537FC6}"/>
    <cellStyle name="Финансовый 2 3 4 2 3" xfId="1049" xr:uid="{C1FC58FC-C1E8-4339-85F0-25CF47C128B7}"/>
    <cellStyle name="Финансовый 2 3 4 2 4" xfId="1595" xr:uid="{278FB4E8-B0E6-4AE4-A78A-9284954B466E}"/>
    <cellStyle name="Финансовый 2 3 4 3" xfId="641" xr:uid="{A78AA1B7-F982-49B0-AD5C-39807D274D5F}"/>
    <cellStyle name="Финансовый 2 3 4 3 2" xfId="1185" xr:uid="{C0A6569A-F6F4-49FC-98BB-9B2BD494F8F8}"/>
    <cellStyle name="Финансовый 2 3 4 4" xfId="913" xr:uid="{F69E0651-4B1F-4DFB-A689-8BB259F0F9AC}"/>
    <cellStyle name="Финансовый 2 3 4 5" xfId="369" xr:uid="{1319A64F-C22B-40BB-A5A5-3BB355DDAAAC}"/>
    <cellStyle name="Финансовый 2 3 4 6" xfId="1458" xr:uid="{B8E038A0-A399-417D-9B41-4835C9D9801D}"/>
    <cellStyle name="Финансовый 2 3 4 7" xfId="233" xr:uid="{10121E95-39BE-4D15-B475-CCF65F130A97}"/>
    <cellStyle name="Финансовый 2 3 5" xfId="100" xr:uid="{00000000-0005-0000-0000-00003F000000}"/>
    <cellStyle name="Финансовый 2 3 5 2" xfId="511" xr:uid="{C1C4E2F0-C792-4268-8DD0-D8AA5366B3C5}"/>
    <cellStyle name="Финансовый 2 3 5 2 2" xfId="783" xr:uid="{C3E70009-8180-4479-BDBE-589645C50708}"/>
    <cellStyle name="Финансовый 2 3 5 2 2 2" xfId="1327" xr:uid="{D71E80B4-9548-4635-B68C-20D03178334A}"/>
    <cellStyle name="Финансовый 2 3 5 2 3" xfId="1055" xr:uid="{5649A912-1A9D-4213-9F64-F51B87C5E337}"/>
    <cellStyle name="Финансовый 2 3 5 2 4" xfId="1601" xr:uid="{33F2AA70-C708-4604-B1EC-4F706CFE486D}"/>
    <cellStyle name="Финансовый 2 3 5 3" xfId="647" xr:uid="{5DBF2781-0734-4D70-9E8B-B335086464B9}"/>
    <cellStyle name="Финансовый 2 3 5 3 2" xfId="1191" xr:uid="{D4DD1859-FF2C-49BC-8235-EBB04C90D2EC}"/>
    <cellStyle name="Финансовый 2 3 5 4" xfId="919" xr:uid="{AB1A565B-3531-402B-B79E-20E62A89726C}"/>
    <cellStyle name="Финансовый 2 3 5 5" xfId="375" xr:uid="{2EE09D8B-A542-4EEA-88EA-3EC7B0824B92}"/>
    <cellStyle name="Финансовый 2 3 5 6" xfId="1464" xr:uid="{C06A8D1F-7AD0-4CE5-85DF-59B56C7A0CA9}"/>
    <cellStyle name="Финансовый 2 3 5 7" xfId="239" xr:uid="{FD15BCFD-EA5E-40C3-91C3-C6A4C5003D4F}"/>
    <cellStyle name="Финансовый 2 3 6" xfId="112" xr:uid="{00000000-0005-0000-0000-000040000000}"/>
    <cellStyle name="Финансовый 2 3 6 2" xfId="523" xr:uid="{A8504412-FECA-4431-B176-9A8EE6881EDF}"/>
    <cellStyle name="Финансовый 2 3 6 2 2" xfId="795" xr:uid="{7EE607EA-28F2-408B-A3B5-93BD7A32D017}"/>
    <cellStyle name="Финансовый 2 3 6 2 2 2" xfId="1339" xr:uid="{B52FA1D1-BDAA-4C28-9736-581E63B86767}"/>
    <cellStyle name="Финансовый 2 3 6 2 3" xfId="1067" xr:uid="{C55A88EE-ADA5-40D5-9DF3-1A82EF86C65E}"/>
    <cellStyle name="Финансовый 2 3 6 2 4" xfId="1613" xr:uid="{1A86AB1E-BE9B-4389-A2D2-0B8AC9B42AE7}"/>
    <cellStyle name="Финансовый 2 3 6 3" xfId="659" xr:uid="{430FB86F-EF83-4761-B68A-EEE15013EC3F}"/>
    <cellStyle name="Финансовый 2 3 6 3 2" xfId="1203" xr:uid="{14D8D593-5D43-4017-B032-BDC4030274B1}"/>
    <cellStyle name="Финансовый 2 3 6 4" xfId="931" xr:uid="{A4715C9F-7C2F-4540-9CAA-5CD464EDFB5E}"/>
    <cellStyle name="Финансовый 2 3 6 5" xfId="387" xr:uid="{C98C3DE8-D4EC-43A9-870F-75F4F54D9F2C}"/>
    <cellStyle name="Финансовый 2 3 6 6" xfId="1476" xr:uid="{7B6678AC-0E25-49E6-89AA-DC3E86D2F79A}"/>
    <cellStyle name="Финансовый 2 3 6 7" xfId="251" xr:uid="{84D863C1-C459-4168-AE7E-492D50E4F4D5}"/>
    <cellStyle name="Финансовый 2 3 7" xfId="76" xr:uid="{00000000-0005-0000-0000-000041000000}"/>
    <cellStyle name="Финансовый 2 3 7 2" xfId="487" xr:uid="{9B0ABFE6-3885-4B71-8432-309E169537EC}"/>
    <cellStyle name="Финансовый 2 3 7 2 2" xfId="759" xr:uid="{BA04E3FF-A679-45CE-A0F7-1812775495EF}"/>
    <cellStyle name="Финансовый 2 3 7 2 2 2" xfId="1303" xr:uid="{F70AAD9F-2693-4347-83FB-A9E06E4216B7}"/>
    <cellStyle name="Финансовый 2 3 7 2 3" xfId="1031" xr:uid="{4B2BFE48-9550-4C54-B4F8-6FF1ACA28E50}"/>
    <cellStyle name="Финансовый 2 3 7 2 4" xfId="1577" xr:uid="{D882B320-395E-4101-A0E0-6ABC95069DF3}"/>
    <cellStyle name="Финансовый 2 3 7 3" xfId="623" xr:uid="{660EB68E-46A2-4800-8C0D-B27CE3F120F2}"/>
    <cellStyle name="Финансовый 2 3 7 3 2" xfId="1167" xr:uid="{6A9F1827-4EDC-43C6-B261-974F649E1158}"/>
    <cellStyle name="Финансовый 2 3 7 4" xfId="895" xr:uid="{5CED187B-E7CD-40CC-92F6-2DD9B84AF170}"/>
    <cellStyle name="Финансовый 2 3 7 5" xfId="351" xr:uid="{B55378D7-F2BE-4B06-8252-603AC8929255}"/>
    <cellStyle name="Финансовый 2 3 7 6" xfId="1440" xr:uid="{E720221B-54C0-4981-99C0-2D7D0007F2B8}"/>
    <cellStyle name="Финансовый 2 3 7 7" xfId="215" xr:uid="{729FBD1A-107A-471F-A152-D4A34FA45343}"/>
    <cellStyle name="Финансовый 2 3 8" xfId="54" xr:uid="{00000000-0005-0000-0000-000042000000}"/>
    <cellStyle name="Финансовый 2 3 8 2" xfId="467" xr:uid="{303ED42C-C6EB-4E2D-8081-194B47779F3C}"/>
    <cellStyle name="Финансовый 2 3 8 2 2" xfId="739" xr:uid="{21A6668E-7B0C-4173-A3A8-5095E2106D6D}"/>
    <cellStyle name="Финансовый 2 3 8 2 2 2" xfId="1283" xr:uid="{04A088C6-71F3-494A-9998-A0FB2E46B9B4}"/>
    <cellStyle name="Финансовый 2 3 8 2 3" xfId="1011" xr:uid="{A26E36C4-89F1-4C61-94E5-3496DB8C7B33}"/>
    <cellStyle name="Финансовый 2 3 8 2 4" xfId="1557" xr:uid="{72C27244-4F72-4762-A2A1-A549F9CF6B0A}"/>
    <cellStyle name="Финансовый 2 3 8 3" xfId="603" xr:uid="{99ADDB7C-109E-467A-840C-2A753F42C9A1}"/>
    <cellStyle name="Финансовый 2 3 8 3 2" xfId="1147" xr:uid="{83D5B85E-CA64-4C15-9B21-93F23D47F662}"/>
    <cellStyle name="Финансовый 2 3 8 4" xfId="875" xr:uid="{13A32675-85E5-458A-8DC9-016C09402358}"/>
    <cellStyle name="Финансовый 2 3 8 5" xfId="331" xr:uid="{E901CED6-E1E1-4C19-8671-66643CEF2E46}"/>
    <cellStyle name="Финансовый 2 3 8 6" xfId="1419" xr:uid="{D23D76F3-951A-4BAF-8B27-EF6F72C99520}"/>
    <cellStyle name="Финансовый 2 3 8 7" xfId="194" xr:uid="{26F38F41-7754-4DEB-99A9-887CE2109389}"/>
    <cellStyle name="Финансовый 2 3 9" xfId="132" xr:uid="{00000000-0005-0000-0000-000043000000}"/>
    <cellStyle name="Финансовый 2 3 9 2" xfId="543" xr:uid="{3A68781A-B006-4FDE-A952-8E7A0939F94E}"/>
    <cellStyle name="Финансовый 2 3 9 2 2" xfId="815" xr:uid="{528F7D1E-C5CE-4BA2-B5EF-109F9A8FE5A9}"/>
    <cellStyle name="Финансовый 2 3 9 2 2 2" xfId="1359" xr:uid="{C7D94E58-31C3-4F81-9E16-177A2EF29A3C}"/>
    <cellStyle name="Финансовый 2 3 9 2 3" xfId="1087" xr:uid="{6BF76564-432D-496D-BC93-81E3FFC36369}"/>
    <cellStyle name="Финансовый 2 3 9 2 4" xfId="1633" xr:uid="{5C168A34-C2AC-4AAB-B453-DFFE566A5E2A}"/>
    <cellStyle name="Финансовый 2 3 9 3" xfId="679" xr:uid="{F22318C5-5426-4BDE-A4BF-204A9E0EA3CA}"/>
    <cellStyle name="Финансовый 2 3 9 3 2" xfId="1223" xr:uid="{B58E9C5E-1E74-4898-BD15-95EF66D8D012}"/>
    <cellStyle name="Финансовый 2 3 9 4" xfId="951" xr:uid="{13595426-AC7C-4EFA-8A3D-904D93FD9262}"/>
    <cellStyle name="Финансовый 2 3 9 5" xfId="407" xr:uid="{27BA2616-A07C-4A96-98CA-3369D0B0540C}"/>
    <cellStyle name="Финансовый 2 3 9 6" xfId="1496" xr:uid="{BC4DDB29-E802-4BA4-AE97-5C998AA0B851}"/>
    <cellStyle name="Финансовый 2 3 9 7" xfId="271" xr:uid="{BF4B8D30-1953-4A2C-A94C-8BA752D63076}"/>
    <cellStyle name="Финансовый 2 4" xfId="8" xr:uid="{00000000-0005-0000-0000-000044000000}"/>
    <cellStyle name="Финансовый 2 4 10" xfId="557" xr:uid="{56B9D848-DD0D-463F-95AC-4C934C1276ED}"/>
    <cellStyle name="Финансовый 2 4 10 2" xfId="1101" xr:uid="{D3C87105-3B96-4C51-AEB7-4FF25746164B}"/>
    <cellStyle name="Финансовый 2 4 11" xfId="829" xr:uid="{B7A56DA4-C374-43B1-9C7A-11325CF5531B}"/>
    <cellStyle name="Финансовый 2 4 12" xfId="285" xr:uid="{153416A4-FBBF-4730-9017-4173756D3721}"/>
    <cellStyle name="Финансовый 2 4 13" xfId="1373" xr:uid="{7A6E43F7-1945-4636-8357-A024167B6CE0}"/>
    <cellStyle name="Финансовый 2 4 14" xfId="148" xr:uid="{52E83216-A5F0-4BC2-B484-51E94C864F57}"/>
    <cellStyle name="Финансовый 2 4 2" xfId="44" xr:uid="{00000000-0005-0000-0000-000045000000}"/>
    <cellStyle name="Финансовый 2 4 2 2" xfId="102" xr:uid="{00000000-0005-0000-0000-000046000000}"/>
    <cellStyle name="Финансовый 2 4 2 2 2" xfId="513" xr:uid="{2E6FF551-B2F5-46B7-A4EA-A2DC8F2A9B7D}"/>
    <cellStyle name="Финансовый 2 4 2 2 2 2" xfId="785" xr:uid="{42AF5289-8F94-44A5-B09D-11545BE6EE8D}"/>
    <cellStyle name="Финансовый 2 4 2 2 2 2 2" xfId="1329" xr:uid="{D70B337E-ABBA-41BB-9F36-6EE7F4BC1DCC}"/>
    <cellStyle name="Финансовый 2 4 2 2 2 3" xfId="1057" xr:uid="{7092764A-1295-49AF-8DF0-C73FEE8B7AB9}"/>
    <cellStyle name="Финансовый 2 4 2 2 2 4" xfId="1603" xr:uid="{CE8FEE3B-E647-42E8-B525-3DA30235F8DD}"/>
    <cellStyle name="Финансовый 2 4 2 2 3" xfId="649" xr:uid="{3127845D-E6E1-4F37-B8CF-0AA2D7C0FED3}"/>
    <cellStyle name="Финансовый 2 4 2 2 3 2" xfId="1193" xr:uid="{DB4B7D1E-48C9-41C6-8329-4A69A15A7293}"/>
    <cellStyle name="Финансовый 2 4 2 2 4" xfId="921" xr:uid="{E8E33F2F-7D5F-41A6-A9EF-29C560933083}"/>
    <cellStyle name="Финансовый 2 4 2 2 5" xfId="377" xr:uid="{6DE93DA6-181C-4988-992F-3D4C1B99727B}"/>
    <cellStyle name="Финансовый 2 4 2 2 6" xfId="1466" xr:uid="{373C6D64-F5A4-46B6-BEEE-818BF1F06071}"/>
    <cellStyle name="Финансовый 2 4 2 2 7" xfId="241" xr:uid="{1DEBE1FC-8E2B-4AC5-B900-73FED5823A3D}"/>
    <cellStyle name="Финансовый 2 4 2 3" xfId="457" xr:uid="{ABC2F82E-6787-4E3D-9B99-7F926C9D12D5}"/>
    <cellStyle name="Финансовый 2 4 2 3 2" xfId="729" xr:uid="{29547EC6-29EE-4A22-9D8B-AA113C15BE05}"/>
    <cellStyle name="Финансовый 2 4 2 3 2 2" xfId="1273" xr:uid="{487A3117-8547-4E12-B70F-35EE16B6F62D}"/>
    <cellStyle name="Финансовый 2 4 2 3 3" xfId="1001" xr:uid="{0FC3D281-1C46-40C1-B722-BDE5DF647371}"/>
    <cellStyle name="Финансовый 2 4 2 3 4" xfId="1547" xr:uid="{BBFF0B5C-1919-47E9-B6F1-2D17BBE8FFC4}"/>
    <cellStyle name="Финансовый 2 4 2 4" xfId="593" xr:uid="{5DDE1777-83D1-48B6-A700-941A81ECA0DC}"/>
    <cellStyle name="Финансовый 2 4 2 4 2" xfId="1137" xr:uid="{E47BB1B1-5193-4A66-BEC2-6B2CFA949600}"/>
    <cellStyle name="Финансовый 2 4 2 5" xfId="865" xr:uid="{AC4CE3B1-0329-4B9D-A338-548FAB58579C}"/>
    <cellStyle name="Финансовый 2 4 2 6" xfId="321" xr:uid="{4DDE45AC-BA2C-4D51-AEE4-5EDE0ECB74C4}"/>
    <cellStyle name="Финансовый 2 4 2 7" xfId="1409" xr:uid="{F5BFDFE8-ED13-43D2-9F62-97CC9BBEA0E5}"/>
    <cellStyle name="Финансовый 2 4 2 8" xfId="184" xr:uid="{53E9DA20-DCF8-4741-843E-D652F7FF3CB7}"/>
    <cellStyle name="Финансовый 2 4 3" xfId="114" xr:uid="{00000000-0005-0000-0000-000047000000}"/>
    <cellStyle name="Финансовый 2 4 3 2" xfId="525" xr:uid="{89DAD75D-DB05-4ECD-9AF7-F3BA6B9CF0E5}"/>
    <cellStyle name="Финансовый 2 4 3 2 2" xfId="797" xr:uid="{69EC7FE0-6487-4AC0-A9E7-41F626A0D224}"/>
    <cellStyle name="Финансовый 2 4 3 2 2 2" xfId="1341" xr:uid="{BB891B65-9F33-4918-88C1-70555D4AE157}"/>
    <cellStyle name="Финансовый 2 4 3 2 3" xfId="1069" xr:uid="{3188B44C-CBBD-4570-8614-9AB1D60A7928}"/>
    <cellStyle name="Финансовый 2 4 3 2 4" xfId="1615" xr:uid="{CFA30E56-68B7-4448-AE32-4274A093B00D}"/>
    <cellStyle name="Финансовый 2 4 3 3" xfId="661" xr:uid="{B9E94336-1D34-47F6-9273-42124A96C8AD}"/>
    <cellStyle name="Финансовый 2 4 3 3 2" xfId="1205" xr:uid="{73B25AD6-C2A1-4ACA-A34A-0A7CC0DA1721}"/>
    <cellStyle name="Финансовый 2 4 3 4" xfId="933" xr:uid="{1660EF7E-19D7-49CD-AD69-A5B2BED7237D}"/>
    <cellStyle name="Финансовый 2 4 3 5" xfId="389" xr:uid="{81EAE8C7-D1B0-4D52-9527-484D3D8C24E7}"/>
    <cellStyle name="Финансовый 2 4 3 6" xfId="1478" xr:uid="{DD21931B-212D-4B6F-867E-4ABD5AACE2EC}"/>
    <cellStyle name="Финансовый 2 4 3 7" xfId="253" xr:uid="{161669F4-3C6E-44F0-9A32-C61C7CE2F226}"/>
    <cellStyle name="Финансовый 2 4 4" xfId="78" xr:uid="{00000000-0005-0000-0000-000048000000}"/>
    <cellStyle name="Финансовый 2 4 4 2" xfId="489" xr:uid="{B00F3F58-FFC3-4232-AC25-80204510D61F}"/>
    <cellStyle name="Финансовый 2 4 4 2 2" xfId="761" xr:uid="{07A77BE2-BEA4-498A-916A-216866D92ECA}"/>
    <cellStyle name="Финансовый 2 4 4 2 2 2" xfId="1305" xr:uid="{75108A36-8CCD-4D0D-99B9-4781F747E8A6}"/>
    <cellStyle name="Финансовый 2 4 4 2 3" xfId="1033" xr:uid="{B0ED07FE-EB96-42B2-BF2B-B0A3F6E84079}"/>
    <cellStyle name="Финансовый 2 4 4 2 4" xfId="1579" xr:uid="{C42AE030-D97C-44BE-A127-2B0818B71E80}"/>
    <cellStyle name="Финансовый 2 4 4 3" xfId="625" xr:uid="{1597B76D-C9AD-4597-A5C2-CE4F873E5A57}"/>
    <cellStyle name="Финансовый 2 4 4 3 2" xfId="1169" xr:uid="{409AC79C-02FA-400E-9B73-3893C61FA212}"/>
    <cellStyle name="Финансовый 2 4 4 4" xfId="897" xr:uid="{5E61B2BF-592E-427A-AFEC-DE72A022654C}"/>
    <cellStyle name="Финансовый 2 4 4 5" xfId="353" xr:uid="{6B4A3C59-7E26-434B-87E0-3B128E459B28}"/>
    <cellStyle name="Финансовый 2 4 4 6" xfId="1442" xr:uid="{04D60958-4F29-4C5D-A8B9-B7AEAC30D43C}"/>
    <cellStyle name="Финансовый 2 4 4 7" xfId="217" xr:uid="{14A4EEE4-D0C0-435C-BA23-C881C8037371}"/>
    <cellStyle name="Финансовый 2 4 5" xfId="56" xr:uid="{00000000-0005-0000-0000-000049000000}"/>
    <cellStyle name="Финансовый 2 4 5 2" xfId="469" xr:uid="{11C37AE3-2D51-4F46-9C66-EAA5D5348134}"/>
    <cellStyle name="Финансовый 2 4 5 2 2" xfId="741" xr:uid="{8D3F2974-42EE-4ED0-BBF4-3588D6626CAF}"/>
    <cellStyle name="Финансовый 2 4 5 2 2 2" xfId="1285" xr:uid="{11B2D095-F143-497B-868A-99865FF35C9A}"/>
    <cellStyle name="Финансовый 2 4 5 2 3" xfId="1013" xr:uid="{A451A824-4691-4767-B370-7D5AAC4681AB}"/>
    <cellStyle name="Финансовый 2 4 5 2 4" xfId="1559" xr:uid="{ACC025CB-A2F3-44C8-BA2E-86D1C3277ADF}"/>
    <cellStyle name="Финансовый 2 4 5 3" xfId="605" xr:uid="{00653DB7-9468-407E-B0DA-22173C13628A}"/>
    <cellStyle name="Финансовый 2 4 5 3 2" xfId="1149" xr:uid="{793BD454-7E2B-4AEE-AF27-8B06BC009C12}"/>
    <cellStyle name="Финансовый 2 4 5 4" xfId="877" xr:uid="{BB5E14AC-A55D-4926-8532-D6FD7498BDA6}"/>
    <cellStyle name="Финансовый 2 4 5 5" xfId="333" xr:uid="{E45425F4-03AB-4A43-8178-11D9A00A3170}"/>
    <cellStyle name="Финансовый 2 4 5 6" xfId="1421" xr:uid="{CD28C17A-7FEA-47C8-8A77-ED6898483581}"/>
    <cellStyle name="Финансовый 2 4 5 7" xfId="196" xr:uid="{D5C97EC6-5250-48A6-85B8-5B2FCF8101B9}"/>
    <cellStyle name="Финансовый 2 4 6" xfId="134" xr:uid="{00000000-0005-0000-0000-00004A000000}"/>
    <cellStyle name="Финансовый 2 4 6 2" xfId="545" xr:uid="{EF9C95DF-3824-471F-91D3-0C0CDBA7C217}"/>
    <cellStyle name="Финансовый 2 4 6 2 2" xfId="817" xr:uid="{CEC19EDB-040F-46F5-A69A-15D3A8487E38}"/>
    <cellStyle name="Финансовый 2 4 6 2 2 2" xfId="1361" xr:uid="{DA5D1309-C9E1-4C77-8C93-13C4B1476735}"/>
    <cellStyle name="Финансовый 2 4 6 2 3" xfId="1089" xr:uid="{B2FF6B6E-1B12-48F7-88DD-9D96773EDE48}"/>
    <cellStyle name="Финансовый 2 4 6 2 4" xfId="1635" xr:uid="{911C6F7A-0811-4172-AEBD-8817D03D2719}"/>
    <cellStyle name="Финансовый 2 4 6 3" xfId="681" xr:uid="{70E32B84-CB3F-4FB4-B083-EE8588BB0DB8}"/>
    <cellStyle name="Финансовый 2 4 6 3 2" xfId="1225" xr:uid="{0C228EC1-CEBE-47B9-8652-11C293879891}"/>
    <cellStyle name="Финансовый 2 4 6 4" xfId="953" xr:uid="{FDE9756F-4301-4D04-983C-47D7667AC6BC}"/>
    <cellStyle name="Финансовый 2 4 6 5" xfId="409" xr:uid="{FB798B21-96F0-4088-A70A-5B80DCC3A466}"/>
    <cellStyle name="Финансовый 2 4 6 6" xfId="1498" xr:uid="{3DCF8FE8-6113-40CF-A1A2-16CE3C0A8DFA}"/>
    <cellStyle name="Финансовый 2 4 6 7" xfId="273" xr:uid="{CC57961A-0BEA-453A-8842-18C7EB0F3F7C}"/>
    <cellStyle name="Финансовый 2 4 7" xfId="32" xr:uid="{00000000-0005-0000-0000-00004B000000}"/>
    <cellStyle name="Финансовый 2 4 7 2" xfId="445" xr:uid="{FEADE81E-0007-441B-AD21-F235D725447E}"/>
    <cellStyle name="Финансовый 2 4 7 2 2" xfId="717" xr:uid="{6E9BBF4A-4BB7-4EAA-A61A-B5018BDB6D61}"/>
    <cellStyle name="Финансовый 2 4 7 2 2 2" xfId="1261" xr:uid="{2BC1FFB0-9A99-445F-B29B-A8D6C23398DF}"/>
    <cellStyle name="Финансовый 2 4 7 2 3" xfId="989" xr:uid="{660521E1-3BA6-43D9-860B-9F942D7751F0}"/>
    <cellStyle name="Финансовый 2 4 7 2 4" xfId="1535" xr:uid="{FF1A2137-2376-4AFA-BEF3-2F4A6E80E116}"/>
    <cellStyle name="Финансовый 2 4 7 3" xfId="581" xr:uid="{C9FDAA97-C5C6-4B3B-86FC-765B9B4E27C0}"/>
    <cellStyle name="Финансовый 2 4 7 3 2" xfId="1125" xr:uid="{6F1639FC-730A-468C-93F3-BAEAD6F0BC8F}"/>
    <cellStyle name="Финансовый 2 4 7 4" xfId="853" xr:uid="{C175D9B7-F0C1-4AF4-81BC-D49B81878931}"/>
    <cellStyle name="Финансовый 2 4 7 5" xfId="309" xr:uid="{4BBA5491-F5DD-4906-B4E7-946661396174}"/>
    <cellStyle name="Финансовый 2 4 7 6" xfId="1397" xr:uid="{38F9B618-151D-4C11-80CD-A3EF9A3ECC67}"/>
    <cellStyle name="Финансовый 2 4 7 7" xfId="172" xr:uid="{0AF86DA9-A151-48F1-BD26-0DE972E76844}"/>
    <cellStyle name="Финансовый 2 4 8" xfId="20" xr:uid="{00000000-0005-0000-0000-00004C000000}"/>
    <cellStyle name="Финансовый 2 4 8 2" xfId="433" xr:uid="{BDADFED3-59C2-45EA-BC4C-96F50BB587E4}"/>
    <cellStyle name="Финансовый 2 4 8 2 2" xfId="705" xr:uid="{E1BFFF43-27A6-4723-9AD8-63A7C47C123A}"/>
    <cellStyle name="Финансовый 2 4 8 2 2 2" xfId="1249" xr:uid="{2E2F9543-3734-4AD2-915D-A142AF762156}"/>
    <cellStyle name="Финансовый 2 4 8 2 3" xfId="977" xr:uid="{5A78F6AC-333D-4D59-AF2B-8225915BAA4B}"/>
    <cellStyle name="Финансовый 2 4 8 2 4" xfId="1523" xr:uid="{2BB36DDD-4540-4227-B207-E17816512C37}"/>
    <cellStyle name="Финансовый 2 4 8 3" xfId="569" xr:uid="{D1E08EA7-F0EF-406E-8194-D900F8A455A5}"/>
    <cellStyle name="Финансовый 2 4 8 3 2" xfId="1113" xr:uid="{7B232D43-7D19-4414-AF24-B5B9EE2B461A}"/>
    <cellStyle name="Финансовый 2 4 8 4" xfId="841" xr:uid="{42E1D30D-3DEF-4A29-A22A-274E42EF90D7}"/>
    <cellStyle name="Финансовый 2 4 8 5" xfId="297" xr:uid="{B5B74D7D-182C-4D04-B6E1-152C2A624600}"/>
    <cellStyle name="Финансовый 2 4 8 6" xfId="1385" xr:uid="{2464CBD8-7904-4BA0-A624-DAC60C0D9584}"/>
    <cellStyle name="Финансовый 2 4 8 7" xfId="160" xr:uid="{C0D34377-8880-46D7-8041-CAE7F068C7CA}"/>
    <cellStyle name="Финансовый 2 4 9" xfId="421" xr:uid="{32927397-3989-4122-BC3B-9523B60B2CC1}"/>
    <cellStyle name="Финансовый 2 4 9 2" xfId="693" xr:uid="{679BB6DE-944B-4B68-8709-7781C840539B}"/>
    <cellStyle name="Финансовый 2 4 9 2 2" xfId="1237" xr:uid="{7C7E8A8E-B3A6-47DD-8952-FFD2347CBD50}"/>
    <cellStyle name="Финансовый 2 4 9 3" xfId="965" xr:uid="{26A0C6F2-FEDE-4250-820C-E7FF6737B939}"/>
    <cellStyle name="Финансовый 2 4 9 4" xfId="1511" xr:uid="{5CEA9693-BAF7-4275-9F7A-EA712D2ED600}"/>
    <cellStyle name="Финансовый 2 5" xfId="38" xr:uid="{00000000-0005-0000-0000-00004D000000}"/>
    <cellStyle name="Финансовый 2 5 2" xfId="120" xr:uid="{00000000-0005-0000-0000-00004E000000}"/>
    <cellStyle name="Финансовый 2 5 2 2" xfId="531" xr:uid="{8152328E-45EE-4EB0-A8F3-4FE2A1D639DD}"/>
    <cellStyle name="Финансовый 2 5 2 2 2" xfId="803" xr:uid="{7804B769-9F7C-4051-9C72-25E44B3EF766}"/>
    <cellStyle name="Финансовый 2 5 2 2 2 2" xfId="1347" xr:uid="{006357C8-CF16-4402-AFED-C278ABD863BA}"/>
    <cellStyle name="Финансовый 2 5 2 2 3" xfId="1075" xr:uid="{261ABF99-A459-423E-ADDB-F96E27E209EA}"/>
    <cellStyle name="Финансовый 2 5 2 2 4" xfId="1621" xr:uid="{214F54C7-F6DB-4147-B50B-7CF2D7D4554A}"/>
    <cellStyle name="Финансовый 2 5 2 3" xfId="667" xr:uid="{E22C9F04-C27B-46F8-9DA2-42ADDA229E7E}"/>
    <cellStyle name="Финансовый 2 5 2 3 2" xfId="1211" xr:uid="{DB12FAEC-DA77-4D85-8D38-B98C0CFAC254}"/>
    <cellStyle name="Финансовый 2 5 2 4" xfId="939" xr:uid="{F7338079-FFE8-4B5F-B709-F1D0170DA5A4}"/>
    <cellStyle name="Финансовый 2 5 2 5" xfId="395" xr:uid="{3D1CC1E9-1039-46D3-B85C-8EEB3D0E11CF}"/>
    <cellStyle name="Финансовый 2 5 2 6" xfId="1484" xr:uid="{B5340A33-8D60-43FD-94DD-E7730D6646C3}"/>
    <cellStyle name="Финансовый 2 5 2 7" xfId="259" xr:uid="{04D740CD-9056-48DD-87B2-71D5C378C953}"/>
    <cellStyle name="Финансовый 2 5 3" xfId="84" xr:uid="{00000000-0005-0000-0000-00004F000000}"/>
    <cellStyle name="Финансовый 2 5 3 2" xfId="495" xr:uid="{869BC3CB-A164-41FB-BB9B-464252F53977}"/>
    <cellStyle name="Финансовый 2 5 3 2 2" xfId="767" xr:uid="{690515D0-401A-4990-BB1B-FF7995EC9A11}"/>
    <cellStyle name="Финансовый 2 5 3 2 2 2" xfId="1311" xr:uid="{0ADF8162-81FB-4ED4-853F-9FB4F6BC0041}"/>
    <cellStyle name="Финансовый 2 5 3 2 3" xfId="1039" xr:uid="{5663B0BC-109D-44B0-B6C7-164F9478F257}"/>
    <cellStyle name="Финансовый 2 5 3 2 4" xfId="1585" xr:uid="{104DA750-00FA-4FF4-B4C9-737493B69289}"/>
    <cellStyle name="Финансовый 2 5 3 3" xfId="631" xr:uid="{F3DCB5E7-A3C7-4A30-8D0E-12FC03761120}"/>
    <cellStyle name="Финансовый 2 5 3 3 2" xfId="1175" xr:uid="{9E5B54B9-B92F-43A8-893C-1AD83360126C}"/>
    <cellStyle name="Финансовый 2 5 3 4" xfId="903" xr:uid="{4888E9EA-B48F-4AA8-80AD-54ABE8F83ED7}"/>
    <cellStyle name="Финансовый 2 5 3 5" xfId="359" xr:uid="{E931F5CA-22A2-410E-8D69-5B7B96325C3B}"/>
    <cellStyle name="Финансовый 2 5 3 6" xfId="1448" xr:uid="{72AD741F-8F24-4427-BAF8-18D6C3EE0046}"/>
    <cellStyle name="Финансовый 2 5 3 7" xfId="223" xr:uid="{D7B2A942-AAAA-4E27-81A9-C9DA53C41AF5}"/>
    <cellStyle name="Финансовый 2 5 4" xfId="451" xr:uid="{A3B434D9-37C6-4E9A-9EEB-17E9922176B8}"/>
    <cellStyle name="Финансовый 2 5 4 2" xfId="723" xr:uid="{B026E0BC-D3E9-468F-8BF0-13B95058A855}"/>
    <cellStyle name="Финансовый 2 5 4 2 2" xfId="1267" xr:uid="{C482E69E-45DB-4D32-926F-A462684471AD}"/>
    <cellStyle name="Финансовый 2 5 4 3" xfId="995" xr:uid="{01491FDE-F26D-40F9-ABB8-6D41DDB9E97F}"/>
    <cellStyle name="Финансовый 2 5 4 4" xfId="1541" xr:uid="{21F3FC0D-23D2-4E54-81E2-517E766EF285}"/>
    <cellStyle name="Финансовый 2 5 5" xfId="587" xr:uid="{EF23C9F1-D220-4AD8-AB2B-405013DA1AF1}"/>
    <cellStyle name="Финансовый 2 5 5 2" xfId="1131" xr:uid="{A0849459-EAC4-40A3-BE44-97641FAD3E47}"/>
    <cellStyle name="Финансовый 2 5 6" xfId="859" xr:uid="{BEE531C2-E414-46FD-8CDD-8587B0E84B4B}"/>
    <cellStyle name="Финансовый 2 5 7" xfId="315" xr:uid="{8889F2DF-3396-4182-9CAF-3EE6F0A8AE88}"/>
    <cellStyle name="Финансовый 2 5 8" xfId="1403" xr:uid="{E9EF925D-205A-40D3-AD8E-394D7C22ED6E}"/>
    <cellStyle name="Финансовый 2 5 9" xfId="178" xr:uid="{06BC56CD-5D35-46B0-AB57-4F47B9DB602C}"/>
    <cellStyle name="Финансовый 2 6" xfId="90" xr:uid="{00000000-0005-0000-0000-000050000000}"/>
    <cellStyle name="Финансовый 2 6 2" xfId="501" xr:uid="{21531CE4-79DF-4521-9162-258FEC36DD96}"/>
    <cellStyle name="Финансовый 2 6 2 2" xfId="773" xr:uid="{9902E547-CB50-4FB4-97C6-6EA71E8E134D}"/>
    <cellStyle name="Финансовый 2 6 2 2 2" xfId="1317" xr:uid="{2C05E24C-8B95-4094-B663-1E7CB46BF354}"/>
    <cellStyle name="Финансовый 2 6 2 3" xfId="1045" xr:uid="{B42540E5-B071-4B0A-B461-76BF3E864D5A}"/>
    <cellStyle name="Финансовый 2 6 2 4" xfId="1591" xr:uid="{8090FAA0-5316-4CA3-9B51-707D2CE32947}"/>
    <cellStyle name="Финансовый 2 6 3" xfId="637" xr:uid="{506BF3C7-CDF3-4281-B2FA-C4721FDED30C}"/>
    <cellStyle name="Финансовый 2 6 3 2" xfId="1181" xr:uid="{3C876ABF-88B8-4F9F-95A7-C772A755159F}"/>
    <cellStyle name="Финансовый 2 6 4" xfId="909" xr:uid="{FA7955C2-30A3-4075-8409-A62C081E560F}"/>
    <cellStyle name="Финансовый 2 6 5" xfId="365" xr:uid="{38E64493-C45C-4F26-81CC-D43123702748}"/>
    <cellStyle name="Финансовый 2 6 6" xfId="1454" xr:uid="{6F9CE7E4-2751-4CC4-B95F-BE833C820FFC}"/>
    <cellStyle name="Финансовый 2 6 7" xfId="229" xr:uid="{E96C66D6-944F-4982-86E3-0EF4C4F1286E}"/>
    <cellStyle name="Финансовый 2 7" xfId="96" xr:uid="{00000000-0005-0000-0000-000051000000}"/>
    <cellStyle name="Финансовый 2 7 2" xfId="507" xr:uid="{26541F04-0EA0-4A20-95DF-84AC3ED61BDB}"/>
    <cellStyle name="Финансовый 2 7 2 2" xfId="779" xr:uid="{AB795BE4-4451-49C8-B7CA-0D997FB79061}"/>
    <cellStyle name="Финансовый 2 7 2 2 2" xfId="1323" xr:uid="{3A40FB6E-5990-4400-B40C-A7388104FE1A}"/>
    <cellStyle name="Финансовый 2 7 2 3" xfId="1051" xr:uid="{A3BF4006-D0EA-4314-A5AE-13C33DF7E5D0}"/>
    <cellStyle name="Финансовый 2 7 2 4" xfId="1597" xr:uid="{9391FF84-C83E-40D5-86F0-9BC1640C5C29}"/>
    <cellStyle name="Финансовый 2 7 3" xfId="643" xr:uid="{90840006-6FBF-4399-8098-C5F8C463F9B6}"/>
    <cellStyle name="Финансовый 2 7 3 2" xfId="1187" xr:uid="{44520557-923B-489D-816F-6E3D5D7A95E3}"/>
    <cellStyle name="Финансовый 2 7 4" xfId="915" xr:uid="{7F5BE83D-814A-41E3-B78E-6824C2566BA2}"/>
    <cellStyle name="Финансовый 2 7 5" xfId="371" xr:uid="{AB191F7D-2562-4F2A-9B3A-83E953356289}"/>
    <cellStyle name="Финансовый 2 7 6" xfId="1460" xr:uid="{B0F40FC4-8F85-4722-86C7-4C34A3D53867}"/>
    <cellStyle name="Финансовый 2 7 7" xfId="235" xr:uid="{6D03EF5F-BD87-4A3B-ABDE-9611B488D0EE}"/>
    <cellStyle name="Финансовый 2 8" xfId="108" xr:uid="{00000000-0005-0000-0000-000052000000}"/>
    <cellStyle name="Финансовый 2 8 2" xfId="519" xr:uid="{F211B2D0-8E42-4258-AD82-FD173F2F7214}"/>
    <cellStyle name="Финансовый 2 8 2 2" xfId="791" xr:uid="{211E0B7A-476B-4DC6-B893-09397D3D86E7}"/>
    <cellStyle name="Финансовый 2 8 2 2 2" xfId="1335" xr:uid="{EE41BBAF-37EF-4C8B-A4FB-77955F7D33AC}"/>
    <cellStyle name="Финансовый 2 8 2 3" xfId="1063" xr:uid="{AB0FC6E1-2648-42F4-A9D0-F67861C9BD24}"/>
    <cellStyle name="Финансовый 2 8 2 4" xfId="1609" xr:uid="{A71EFA4A-FAC1-4F56-BD00-E685A2017778}"/>
    <cellStyle name="Финансовый 2 8 3" xfId="655" xr:uid="{23A62B7E-D498-4BD3-A3F8-473431A5907E}"/>
    <cellStyle name="Финансовый 2 8 3 2" xfId="1199" xr:uid="{3D6AD494-4FF1-4B47-8B99-1CE9EB3261C8}"/>
    <cellStyle name="Финансовый 2 8 4" xfId="927" xr:uid="{D121AF84-6ECE-442E-B02C-7DBE62E64161}"/>
    <cellStyle name="Финансовый 2 8 5" xfId="383" xr:uid="{CFA28C6B-4987-4D9D-B3F9-4E7F82F4953C}"/>
    <cellStyle name="Финансовый 2 8 6" xfId="1472" xr:uid="{73EC411A-3F0C-45A1-BA4D-77FAA8028FC4}"/>
    <cellStyle name="Финансовый 2 8 7" xfId="247" xr:uid="{9307CE3F-9CE6-452F-93FD-F522FED37104}"/>
    <cellStyle name="Финансовый 2 9" xfId="126" xr:uid="{00000000-0005-0000-0000-000053000000}"/>
    <cellStyle name="Финансовый 2 9 2" xfId="537" xr:uid="{854B02C2-48F8-4F65-8DC1-DF55846F1643}"/>
    <cellStyle name="Финансовый 2 9 2 2" xfId="809" xr:uid="{5F9E9C95-9824-48F4-B9DA-90A130C5BAC4}"/>
    <cellStyle name="Финансовый 2 9 2 2 2" xfId="1353" xr:uid="{A93A56E5-D877-4A94-BB23-17F87AC1CEDE}"/>
    <cellStyle name="Финансовый 2 9 2 3" xfId="1081" xr:uid="{EACA5735-FAE5-47CB-84B2-ACDA29419217}"/>
    <cellStyle name="Финансовый 2 9 2 4" xfId="1627" xr:uid="{F33B2B5B-B32F-4B8C-B8D7-0707E1163354}"/>
    <cellStyle name="Финансовый 2 9 3" xfId="673" xr:uid="{6E1F9FAF-B097-4C73-82CA-838E02D19F86}"/>
    <cellStyle name="Финансовый 2 9 3 2" xfId="1217" xr:uid="{FE9B5450-0252-4F48-B7BD-1EBD0CFB7E4D}"/>
    <cellStyle name="Финансовый 2 9 4" xfId="945" xr:uid="{B31C3101-88AB-4386-8B53-9978C0390DCC}"/>
    <cellStyle name="Финансовый 2 9 5" xfId="401" xr:uid="{5B1C9DEE-8267-4BE3-B088-8BF6944D20D1}"/>
    <cellStyle name="Финансовый 2 9 6" xfId="1490" xr:uid="{7786E578-40A9-4FBA-BAD4-724659DF5958}"/>
    <cellStyle name="Финансовый 2 9 7" xfId="265" xr:uid="{5CC5B979-BC0D-4EDF-B68A-9FFEAF75DA7D}"/>
    <cellStyle name="Финансовый 20" xfId="1366" xr:uid="{D1873EAC-5AE4-4211-A67E-C19218214637}"/>
    <cellStyle name="Финансовый 21" xfId="1428" xr:uid="{BEC1690F-CBBC-4D3D-B1CC-AB86F7D33CAD}"/>
    <cellStyle name="Финансовый 22" xfId="1642" xr:uid="{4C70270C-FD45-4D92-84D0-59E0FB1C7FF7}"/>
    <cellStyle name="Финансовый 23" xfId="1640" xr:uid="{60112A19-A086-44B0-A3D6-C5C1F01BB272}"/>
    <cellStyle name="Финансовый 24" xfId="1646" xr:uid="{A1D6E586-7929-47D0-B7FC-355BC8940D42}"/>
    <cellStyle name="Финансовый 25" xfId="1644" xr:uid="{1BDAF5C6-803F-4665-97A4-086E4974AFD1}"/>
    <cellStyle name="Финансовый 26" xfId="1643" xr:uid="{440F8E60-9191-4C7D-B9CD-C9FA1BF83C99}"/>
    <cellStyle name="Финансовый 27" xfId="1641" xr:uid="{A9A4A4AE-D0C3-4EDB-A435-D60B1D57F720}"/>
    <cellStyle name="Финансовый 28" xfId="1645" xr:uid="{3E5EC8AA-25D4-4347-BC98-43A820AB488B}"/>
    <cellStyle name="Финансовый 29" xfId="141" xr:uid="{A7CA6715-0045-4DB1-8259-F2703010BC34}"/>
    <cellStyle name="Финансовый 3" xfId="3" xr:uid="{00000000-0005-0000-0000-000054000000}"/>
    <cellStyle name="Финансовый 3 10" xfId="27" xr:uid="{00000000-0005-0000-0000-000055000000}"/>
    <cellStyle name="Финансовый 3 10 2" xfId="440" xr:uid="{AE471D0F-4237-4711-8473-1B1D9DA59386}"/>
    <cellStyle name="Финансовый 3 10 2 2" xfId="712" xr:uid="{170BC3AA-12D7-44E8-BF3B-B7BB73833E5C}"/>
    <cellStyle name="Финансовый 3 10 2 2 2" xfId="1256" xr:uid="{E4D85DD6-B30D-4AB3-8B70-A1434F43312C}"/>
    <cellStyle name="Финансовый 3 10 2 3" xfId="984" xr:uid="{1FF1B7D1-D6E8-4EE0-9CE0-AD2B8CF3224F}"/>
    <cellStyle name="Финансовый 3 10 2 4" xfId="1530" xr:uid="{8F4DF9BA-D838-46AF-A6AD-394733F66254}"/>
    <cellStyle name="Финансовый 3 10 3" xfId="576" xr:uid="{9FF8B036-0B57-4041-B649-09C364DF0359}"/>
    <cellStyle name="Финансовый 3 10 3 2" xfId="1120" xr:uid="{F4D10D72-0DB7-4335-B5EB-75A991450FEA}"/>
    <cellStyle name="Финансовый 3 10 4" xfId="848" xr:uid="{B68B9FED-E0A0-4392-942B-4F3FB8C7AAA5}"/>
    <cellStyle name="Финансовый 3 10 5" xfId="304" xr:uid="{A464C938-8E66-4F48-A288-E1266DA749A6}"/>
    <cellStyle name="Финансовый 3 10 6" xfId="1392" xr:uid="{E6DDF5B0-77A1-4FE9-8EA3-EEE57B48C873}"/>
    <cellStyle name="Финансовый 3 10 7" xfId="167" xr:uid="{DE7838CF-7BFA-44D9-A2FE-7B30F6A35E96}"/>
    <cellStyle name="Финансовый 3 11" xfId="15" xr:uid="{00000000-0005-0000-0000-000056000000}"/>
    <cellStyle name="Финансовый 3 11 2" xfId="428" xr:uid="{F785E3DF-366E-474F-A269-60E4C16D1448}"/>
    <cellStyle name="Финансовый 3 11 2 2" xfId="700" xr:uid="{8A3D4603-90C1-44B5-BE75-D6D118AD873B}"/>
    <cellStyle name="Финансовый 3 11 2 2 2" xfId="1244" xr:uid="{6DA30E8D-E50B-49AD-928D-08FDB6E38031}"/>
    <cellStyle name="Финансовый 3 11 2 3" xfId="972" xr:uid="{B172DBDD-8C19-4921-8760-5EE68CA203E3}"/>
    <cellStyle name="Финансовый 3 11 2 4" xfId="1518" xr:uid="{B0BC1945-E39A-4316-9FA3-5022F7B2BEEF}"/>
    <cellStyle name="Финансовый 3 11 3" xfId="564" xr:uid="{64C7D002-9E3B-47CD-91BE-ACD7B8570485}"/>
    <cellStyle name="Финансовый 3 11 3 2" xfId="1108" xr:uid="{242FE8F3-58B9-4B6A-8735-8CA2562B02D5}"/>
    <cellStyle name="Финансовый 3 11 4" xfId="836" xr:uid="{329918DF-18AE-4DE2-87B6-A9F06C5C787D}"/>
    <cellStyle name="Финансовый 3 11 5" xfId="292" xr:uid="{C9DEBC20-E1DF-40C2-A424-1F520A38FD8C}"/>
    <cellStyle name="Финансовый 3 11 6" xfId="1380" xr:uid="{6312684D-05BE-4404-B793-25DC7BD0731F}"/>
    <cellStyle name="Финансовый 3 11 7" xfId="155" xr:uid="{FF83DDA6-CAEE-4F26-8C75-154203D9A6FE}"/>
    <cellStyle name="Финансовый 3 12" xfId="416" xr:uid="{0DB2BD9A-3F3A-4D47-88E6-FF436D518E0E}"/>
    <cellStyle name="Финансовый 3 12 2" xfId="688" xr:uid="{375535A2-08EA-4640-98A9-CE455977BBBB}"/>
    <cellStyle name="Финансовый 3 12 2 2" xfId="1232" xr:uid="{19FCBE0B-791F-4F01-B44A-4560E8443E75}"/>
    <cellStyle name="Финансовый 3 12 3" xfId="960" xr:uid="{FE624D3A-BDF6-44FE-838E-1C143B42EC10}"/>
    <cellStyle name="Финансовый 3 12 4" xfId="1506" xr:uid="{8E56B153-60A0-4F8F-A8CD-DA0433A6E0DF}"/>
    <cellStyle name="Финансовый 3 13" xfId="552" xr:uid="{32E43AEC-D78C-47CD-B049-ACFC3AEE0214}"/>
    <cellStyle name="Финансовый 3 13 2" xfId="1096" xr:uid="{CD6E3A30-CD72-4575-9C0B-8EC0FE6CCBEC}"/>
    <cellStyle name="Финансовый 3 14" xfId="824" xr:uid="{07F7343C-1AE8-48A7-89B9-D118A43849F0}"/>
    <cellStyle name="Финансовый 3 15" xfId="280" xr:uid="{E3145687-1B83-44D4-B861-FAAAABE1C340}"/>
    <cellStyle name="Финансовый 3 16" xfId="1368" xr:uid="{0085678F-630A-4F8C-A814-F13CD0A885AA}"/>
    <cellStyle name="Финансовый 3 17" xfId="143" xr:uid="{DA27EA7A-265A-4DD6-B757-3744B6F8F37A}"/>
    <cellStyle name="Финансовый 3 2" xfId="9" xr:uid="{00000000-0005-0000-0000-000057000000}"/>
    <cellStyle name="Финансовый 3 2 10" xfId="558" xr:uid="{35C49773-04EA-40ED-AEA3-F07F9EA55C7F}"/>
    <cellStyle name="Финансовый 3 2 10 2" xfId="1102" xr:uid="{9C4DCF42-6AEE-483E-AF80-26A9CF49775F}"/>
    <cellStyle name="Финансовый 3 2 11" xfId="830" xr:uid="{9983C0E7-6298-412E-8A7F-CEEBD8291A3A}"/>
    <cellStyle name="Финансовый 3 2 12" xfId="286" xr:uid="{73724F1C-D224-4701-80DA-5312378B1A5C}"/>
    <cellStyle name="Финансовый 3 2 13" xfId="1374" xr:uid="{9749383E-28DE-4621-B579-E68111B67017}"/>
    <cellStyle name="Финансовый 3 2 14" xfId="149" xr:uid="{AD31CDA3-5466-408A-B759-03F077B20847}"/>
    <cellStyle name="Финансовый 3 2 2" xfId="45" xr:uid="{00000000-0005-0000-0000-000058000000}"/>
    <cellStyle name="Финансовый 3 2 2 2" xfId="103" xr:uid="{00000000-0005-0000-0000-000059000000}"/>
    <cellStyle name="Финансовый 3 2 2 2 2" xfId="514" xr:uid="{C83732FF-06DA-488C-A620-A8E7D9A7A9A1}"/>
    <cellStyle name="Финансовый 3 2 2 2 2 2" xfId="786" xr:uid="{AA589A19-4ECA-44B4-AC7A-DF0B93EB4AB3}"/>
    <cellStyle name="Финансовый 3 2 2 2 2 2 2" xfId="1330" xr:uid="{59FCAAC4-847A-4668-8A13-7F3C1F93D451}"/>
    <cellStyle name="Финансовый 3 2 2 2 2 3" xfId="1058" xr:uid="{12769DFA-921E-4E04-87E9-F92D7CD5AA3F}"/>
    <cellStyle name="Финансовый 3 2 2 2 2 4" xfId="1604" xr:uid="{6246A71A-C335-4449-9C8A-8CF739293B73}"/>
    <cellStyle name="Финансовый 3 2 2 2 3" xfId="650" xr:uid="{0C6F11B0-DBC8-4019-B355-CCD6F070D5D3}"/>
    <cellStyle name="Финансовый 3 2 2 2 3 2" xfId="1194" xr:uid="{AB735F4F-672F-4B3A-9A14-8C92A66C35B2}"/>
    <cellStyle name="Финансовый 3 2 2 2 4" xfId="922" xr:uid="{96764A34-1A39-4359-A288-DF4BBB608830}"/>
    <cellStyle name="Финансовый 3 2 2 2 5" xfId="378" xr:uid="{4ED0DA8D-5B52-4943-AB96-E459950A9E68}"/>
    <cellStyle name="Финансовый 3 2 2 2 6" xfId="1467" xr:uid="{58B1C5F8-B210-4034-8804-DEDF4D4655C5}"/>
    <cellStyle name="Финансовый 3 2 2 2 7" xfId="242" xr:uid="{7AA70BFE-ECC3-4D93-9EB5-08ED652246F3}"/>
    <cellStyle name="Финансовый 3 2 2 3" xfId="458" xr:uid="{FC8E61D0-9A82-4617-BAD5-8D9049C114DB}"/>
    <cellStyle name="Финансовый 3 2 2 3 2" xfId="730" xr:uid="{899AF1AE-5F51-44F6-81F7-7CC587ECB445}"/>
    <cellStyle name="Финансовый 3 2 2 3 2 2" xfId="1274" xr:uid="{671FCDC8-1884-475A-8957-F6BDED0E2E3D}"/>
    <cellStyle name="Финансовый 3 2 2 3 3" xfId="1002" xr:uid="{7C7A10E8-1674-48DD-9F8B-CB984952DD6A}"/>
    <cellStyle name="Финансовый 3 2 2 3 4" xfId="1548" xr:uid="{06AEAB04-8754-4490-BEB0-10AFFF1B7A9C}"/>
    <cellStyle name="Финансовый 3 2 2 4" xfId="594" xr:uid="{75F215E3-79DA-42DA-ABAC-7E0E689F0145}"/>
    <cellStyle name="Финансовый 3 2 2 4 2" xfId="1138" xr:uid="{6B65AC02-E24B-4BF8-822D-FC3BB4A803F8}"/>
    <cellStyle name="Финансовый 3 2 2 5" xfId="866" xr:uid="{951F563F-9B16-44C5-8176-A49349EEF32E}"/>
    <cellStyle name="Финансовый 3 2 2 6" xfId="322" xr:uid="{996CBDFE-ED1A-4416-BD59-1A3AF64C93B2}"/>
    <cellStyle name="Финансовый 3 2 2 7" xfId="1410" xr:uid="{1D3AB881-74FA-4694-9B5C-322D1CBF49D5}"/>
    <cellStyle name="Финансовый 3 2 2 8" xfId="185" xr:uid="{88AE931D-9BB7-4427-9B09-66B2C8262331}"/>
    <cellStyle name="Финансовый 3 2 3" xfId="115" xr:uid="{00000000-0005-0000-0000-00005A000000}"/>
    <cellStyle name="Финансовый 3 2 3 2" xfId="526" xr:uid="{A3563301-1A0E-459D-8130-8D2E8D3A3937}"/>
    <cellStyle name="Финансовый 3 2 3 2 2" xfId="798" xr:uid="{E7F0E956-4025-48D3-8547-0A247C1DC173}"/>
    <cellStyle name="Финансовый 3 2 3 2 2 2" xfId="1342" xr:uid="{F8D528D7-2980-43A6-95AF-37661CAABACD}"/>
    <cellStyle name="Финансовый 3 2 3 2 3" xfId="1070" xr:uid="{4CC816EE-769F-44FE-A74F-48AFE8262CC2}"/>
    <cellStyle name="Финансовый 3 2 3 2 4" xfId="1616" xr:uid="{5B2DCF1D-E7B0-488E-96DF-72C40FBB9C1A}"/>
    <cellStyle name="Финансовый 3 2 3 3" xfId="662" xr:uid="{B4315A7F-4049-426D-8DBC-9E376FF9EEB1}"/>
    <cellStyle name="Финансовый 3 2 3 3 2" xfId="1206" xr:uid="{F66274EE-6871-4BAF-A36F-A87F78CCAFFD}"/>
    <cellStyle name="Финансовый 3 2 3 4" xfId="934" xr:uid="{50E25BA8-99D3-4810-8144-1B6F61674278}"/>
    <cellStyle name="Финансовый 3 2 3 5" xfId="390" xr:uid="{0672510E-F371-44A5-9DA5-3556B56CF121}"/>
    <cellStyle name="Финансовый 3 2 3 6" xfId="1479" xr:uid="{E807FA00-EB01-4EC1-9E50-4ED00CE32CB6}"/>
    <cellStyle name="Финансовый 3 2 3 7" xfId="254" xr:uid="{39D74187-4E35-40D3-93B0-FA376B270D2F}"/>
    <cellStyle name="Финансовый 3 2 4" xfId="79" xr:uid="{00000000-0005-0000-0000-00005B000000}"/>
    <cellStyle name="Финансовый 3 2 4 2" xfId="490" xr:uid="{C3D73FA7-B172-400F-B121-16F4DCE2BE76}"/>
    <cellStyle name="Финансовый 3 2 4 2 2" xfId="762" xr:uid="{D56225DF-3734-4E09-9F44-6830D4373390}"/>
    <cellStyle name="Финансовый 3 2 4 2 2 2" xfId="1306" xr:uid="{B9C4B598-2E7D-4DB1-9D69-EAB228088E4E}"/>
    <cellStyle name="Финансовый 3 2 4 2 3" xfId="1034" xr:uid="{1F7B7A69-5D6C-4771-A565-CDA6ED61B879}"/>
    <cellStyle name="Финансовый 3 2 4 2 4" xfId="1580" xr:uid="{A4AFCBF3-51EC-43E8-90E7-8F9BA2A5CF56}"/>
    <cellStyle name="Финансовый 3 2 4 3" xfId="626" xr:uid="{B651BAF7-3A81-4345-9847-5A64BE567E4F}"/>
    <cellStyle name="Финансовый 3 2 4 3 2" xfId="1170" xr:uid="{63E51147-0200-47C5-96B0-A4945A7515A2}"/>
    <cellStyle name="Финансовый 3 2 4 4" xfId="898" xr:uid="{4EA7959C-0AD3-4ED9-858F-FF11716CA132}"/>
    <cellStyle name="Финансовый 3 2 4 5" xfId="354" xr:uid="{1FC1ECB2-E4B9-4F06-9136-3671764040A0}"/>
    <cellStyle name="Финансовый 3 2 4 6" xfId="1443" xr:uid="{CF1A2A9B-9AF2-4714-BCF1-E0CF737CD7BF}"/>
    <cellStyle name="Финансовый 3 2 4 7" xfId="218" xr:uid="{BCA433D3-658D-4455-A17D-F3EAF0039E6D}"/>
    <cellStyle name="Финансовый 3 2 5" xfId="57" xr:uid="{00000000-0005-0000-0000-00005C000000}"/>
    <cellStyle name="Финансовый 3 2 5 2" xfId="470" xr:uid="{D1B68E2C-DFD3-4D93-B193-AFE95D4BFF4D}"/>
    <cellStyle name="Финансовый 3 2 5 2 2" xfId="742" xr:uid="{A6ECDBB0-8042-40AE-80A4-8F6E7BAD0225}"/>
    <cellStyle name="Финансовый 3 2 5 2 2 2" xfId="1286" xr:uid="{7AC02B91-5BDE-4B7D-9153-EEA6D44CBE32}"/>
    <cellStyle name="Финансовый 3 2 5 2 3" xfId="1014" xr:uid="{BB7BAFBD-976A-4FE4-9F5B-990B77F1916F}"/>
    <cellStyle name="Финансовый 3 2 5 2 4" xfId="1560" xr:uid="{BF1171CE-5F68-4E25-B070-D2EEE43348A3}"/>
    <cellStyle name="Финансовый 3 2 5 3" xfId="606" xr:uid="{D5532C2A-FD03-416D-8CFA-F59B769C665A}"/>
    <cellStyle name="Финансовый 3 2 5 3 2" xfId="1150" xr:uid="{F03FA337-3B95-45A0-A16F-CCC0ADD0FCDA}"/>
    <cellStyle name="Финансовый 3 2 5 4" xfId="878" xr:uid="{AD2F18FD-019C-404E-B58D-A393D2F35F85}"/>
    <cellStyle name="Финансовый 3 2 5 5" xfId="334" xr:uid="{B942DC38-B420-4725-8818-225213848A89}"/>
    <cellStyle name="Финансовый 3 2 5 6" xfId="1422" xr:uid="{AA25159E-2165-42B0-910E-8D5FB64F5546}"/>
    <cellStyle name="Финансовый 3 2 5 7" xfId="197" xr:uid="{252E5A58-9324-4D68-B3CF-E18B8BD14082}"/>
    <cellStyle name="Финансовый 3 2 6" xfId="135" xr:uid="{00000000-0005-0000-0000-00005D000000}"/>
    <cellStyle name="Финансовый 3 2 6 2" xfId="546" xr:uid="{7A1832B8-634C-4852-ACBD-C5EBFE23D56F}"/>
    <cellStyle name="Финансовый 3 2 6 2 2" xfId="818" xr:uid="{CD4C47F8-D516-41A4-A131-39BB7CC2EA3C}"/>
    <cellStyle name="Финансовый 3 2 6 2 2 2" xfId="1362" xr:uid="{15F3BFF8-AFB7-488B-B3D5-84AC9ABE3D02}"/>
    <cellStyle name="Финансовый 3 2 6 2 3" xfId="1090" xr:uid="{01735037-8766-402E-8D37-6739C2E224F2}"/>
    <cellStyle name="Финансовый 3 2 6 2 4" xfId="1636" xr:uid="{0DDFA99E-5F63-4E6A-9828-703A43951839}"/>
    <cellStyle name="Финансовый 3 2 6 3" xfId="682" xr:uid="{675E9369-C2C9-4150-9659-AE72A11D9AE7}"/>
    <cellStyle name="Финансовый 3 2 6 3 2" xfId="1226" xr:uid="{F98C1D5F-254C-48C0-991A-FBAF792364AD}"/>
    <cellStyle name="Финансовый 3 2 6 4" xfId="954" xr:uid="{26ECCAE1-09C4-4516-9F42-0D7B795CAFE6}"/>
    <cellStyle name="Финансовый 3 2 6 5" xfId="410" xr:uid="{4D6404EA-89C8-44AB-BFB6-068312930091}"/>
    <cellStyle name="Финансовый 3 2 6 6" xfId="1499" xr:uid="{D284CEDD-E2C2-4C90-9B8B-2E438577C493}"/>
    <cellStyle name="Финансовый 3 2 6 7" xfId="274" xr:uid="{C34A860A-5131-419F-9101-771337788510}"/>
    <cellStyle name="Финансовый 3 2 7" xfId="33" xr:uid="{00000000-0005-0000-0000-00005E000000}"/>
    <cellStyle name="Финансовый 3 2 7 2" xfId="446" xr:uid="{6C13EEBA-D9F6-4EEE-A5A7-262E87914245}"/>
    <cellStyle name="Финансовый 3 2 7 2 2" xfId="718" xr:uid="{32290532-F8D5-4FF0-9FAC-02505E5D1049}"/>
    <cellStyle name="Финансовый 3 2 7 2 2 2" xfId="1262" xr:uid="{0EA0FC35-35E1-4092-981B-1AB892324355}"/>
    <cellStyle name="Финансовый 3 2 7 2 3" xfId="990" xr:uid="{540AB118-2DB5-4055-983E-83F6C89F22EE}"/>
    <cellStyle name="Финансовый 3 2 7 2 4" xfId="1536" xr:uid="{6E5F0D49-A00F-4F9D-A42D-96750698CF94}"/>
    <cellStyle name="Финансовый 3 2 7 3" xfId="582" xr:uid="{D9EC16F5-0591-4782-A8FD-BB1F55908B08}"/>
    <cellStyle name="Финансовый 3 2 7 3 2" xfId="1126" xr:uid="{FBE78524-7B0E-4690-872F-7FFC034AA57F}"/>
    <cellStyle name="Финансовый 3 2 7 4" xfId="854" xr:uid="{D51AA1F8-2AE9-4839-ACD5-7B57C313ABC5}"/>
    <cellStyle name="Финансовый 3 2 7 5" xfId="310" xr:uid="{D90B3D13-F0EC-4963-A44B-3905A69016CE}"/>
    <cellStyle name="Финансовый 3 2 7 6" xfId="1398" xr:uid="{0B36B4BB-CEDE-434E-AA8D-1D539FD76247}"/>
    <cellStyle name="Финансовый 3 2 7 7" xfId="173" xr:uid="{0A67BC5D-66E1-40B5-8D47-0D91E7BC2996}"/>
    <cellStyle name="Финансовый 3 2 8" xfId="21" xr:uid="{00000000-0005-0000-0000-00005F000000}"/>
    <cellStyle name="Финансовый 3 2 8 2" xfId="434" xr:uid="{7D6CF396-FD03-4210-97A5-CF4CBBB6F6C9}"/>
    <cellStyle name="Финансовый 3 2 8 2 2" xfId="706" xr:uid="{8E020B16-2D3B-4D2A-9841-78CDAAB0A5F3}"/>
    <cellStyle name="Финансовый 3 2 8 2 2 2" xfId="1250" xr:uid="{B2C68BE8-D5F0-4A46-8526-2EDD3B3A070B}"/>
    <cellStyle name="Финансовый 3 2 8 2 3" xfId="978" xr:uid="{618EB22D-3616-4111-8BC8-083197861B8B}"/>
    <cellStyle name="Финансовый 3 2 8 2 4" xfId="1524" xr:uid="{7FCA646A-C3BE-4F30-B3C2-F9E76D0BE8BF}"/>
    <cellStyle name="Финансовый 3 2 8 3" xfId="570" xr:uid="{A39DB6B4-8E64-4CD0-9083-EBAFE6BF31D7}"/>
    <cellStyle name="Финансовый 3 2 8 3 2" xfId="1114" xr:uid="{779A1CDE-9079-438C-9310-6842A3D7FC11}"/>
    <cellStyle name="Финансовый 3 2 8 4" xfId="842" xr:uid="{AFCF80B5-B9E0-4718-BB7C-8FF5CBF48EDF}"/>
    <cellStyle name="Финансовый 3 2 8 5" xfId="298" xr:uid="{E36A1635-1B32-40BA-8F65-B021E22A176B}"/>
    <cellStyle name="Финансовый 3 2 8 6" xfId="1386" xr:uid="{5C078F0D-D697-4D13-A2A8-44B6D6EA668E}"/>
    <cellStyle name="Финансовый 3 2 8 7" xfId="161" xr:uid="{B97C70B1-7BE9-480E-848E-491955208690}"/>
    <cellStyle name="Финансовый 3 2 9" xfId="422" xr:uid="{93206B7B-C93F-4EF2-A6C9-73BBE1512BC9}"/>
    <cellStyle name="Финансовый 3 2 9 2" xfId="694" xr:uid="{A5E33328-7870-4558-BB66-B4747E7D7476}"/>
    <cellStyle name="Финансовый 3 2 9 2 2" xfId="1238" xr:uid="{7FA1E681-9584-4382-A261-5B124B9EABE9}"/>
    <cellStyle name="Финансовый 3 2 9 3" xfId="966" xr:uid="{B0C54B24-96A0-4FBC-A5F2-974E9EADE0EB}"/>
    <cellStyle name="Финансовый 3 2 9 4" xfId="1512" xr:uid="{C6BD6203-A687-4F8F-BBBD-5F289ED5773C}"/>
    <cellStyle name="Финансовый 3 3" xfId="39" xr:uid="{00000000-0005-0000-0000-000060000000}"/>
    <cellStyle name="Финансовый 3 3 2" xfId="121" xr:uid="{00000000-0005-0000-0000-000061000000}"/>
    <cellStyle name="Финансовый 3 3 2 2" xfId="532" xr:uid="{963785D0-73AC-418D-BBDF-9BB0EEBC6C41}"/>
    <cellStyle name="Финансовый 3 3 2 2 2" xfId="804" xr:uid="{6075EA6B-9785-4160-844E-BC85A2A7797C}"/>
    <cellStyle name="Финансовый 3 3 2 2 2 2" xfId="1348" xr:uid="{9BA8E93E-25CA-49F3-B969-B0CF1F4D0E6B}"/>
    <cellStyle name="Финансовый 3 3 2 2 3" xfId="1076" xr:uid="{FD06105C-8171-4CD5-8B76-84C28B362F2F}"/>
    <cellStyle name="Финансовый 3 3 2 2 4" xfId="1622" xr:uid="{BFDAFFD0-7670-474A-95F6-D475FA5DB144}"/>
    <cellStyle name="Финансовый 3 3 2 3" xfId="668" xr:uid="{2AFDCD49-2369-469D-BA74-61663E580A28}"/>
    <cellStyle name="Финансовый 3 3 2 3 2" xfId="1212" xr:uid="{C66FBE03-6669-4B40-AF20-6AB5E6EB69FA}"/>
    <cellStyle name="Финансовый 3 3 2 4" xfId="940" xr:uid="{9ECB342F-C224-478D-9A69-1EEB45EC84C0}"/>
    <cellStyle name="Финансовый 3 3 2 5" xfId="396" xr:uid="{B15428DB-BFA6-4D10-BF9A-E0C9917E5E55}"/>
    <cellStyle name="Финансовый 3 3 2 6" xfId="1485" xr:uid="{80948F77-87EA-4D20-8C75-56347AD0C0D2}"/>
    <cellStyle name="Финансовый 3 3 2 7" xfId="260" xr:uid="{E6CB775E-516A-4A6A-8A88-70155BFDA603}"/>
    <cellStyle name="Финансовый 3 3 3" xfId="85" xr:uid="{00000000-0005-0000-0000-000062000000}"/>
    <cellStyle name="Финансовый 3 3 3 2" xfId="496" xr:uid="{A79274CD-6047-41A8-B939-3C438E396A3B}"/>
    <cellStyle name="Финансовый 3 3 3 2 2" xfId="768" xr:uid="{BAD3DB52-F367-4FA7-991A-852468C44FAF}"/>
    <cellStyle name="Финансовый 3 3 3 2 2 2" xfId="1312" xr:uid="{0777949B-5C7B-4727-8CED-0F244B8C30CF}"/>
    <cellStyle name="Финансовый 3 3 3 2 3" xfId="1040" xr:uid="{C7CD26E9-6BAB-4FC3-8F23-FB88B6A3101C}"/>
    <cellStyle name="Финансовый 3 3 3 2 4" xfId="1586" xr:uid="{9003BBB5-0920-46C4-A1D6-B0716A566988}"/>
    <cellStyle name="Финансовый 3 3 3 3" xfId="632" xr:uid="{AAD8DF43-BDB4-4106-9600-15FC2F89A05A}"/>
    <cellStyle name="Финансовый 3 3 3 3 2" xfId="1176" xr:uid="{9AEFB54F-7690-4109-8EED-EE326B7FB427}"/>
    <cellStyle name="Финансовый 3 3 3 4" xfId="904" xr:uid="{72A23D70-2E50-4607-A47E-9C119AA467FB}"/>
    <cellStyle name="Финансовый 3 3 3 5" xfId="360" xr:uid="{1D894C14-82BD-432A-AE8A-AF971DBA3017}"/>
    <cellStyle name="Финансовый 3 3 3 6" xfId="1449" xr:uid="{93DA892F-6B98-4774-B665-B22D6DA14465}"/>
    <cellStyle name="Финансовый 3 3 3 7" xfId="224" xr:uid="{6BC4B3D8-4F68-491D-9568-5FFB23195D02}"/>
    <cellStyle name="Финансовый 3 3 4" xfId="452" xr:uid="{FD7D5C82-B50B-4CF3-86AF-3E2EC8904896}"/>
    <cellStyle name="Финансовый 3 3 4 2" xfId="724" xr:uid="{C41C75AB-A29C-43FB-BF71-BC5FC9B7209A}"/>
    <cellStyle name="Финансовый 3 3 4 2 2" xfId="1268" xr:uid="{3F08B108-A521-44ED-8536-992FB9DDB7F0}"/>
    <cellStyle name="Финансовый 3 3 4 3" xfId="996" xr:uid="{1CD1053B-4B74-43E1-91D3-529A08841077}"/>
    <cellStyle name="Финансовый 3 3 4 4" xfId="1542" xr:uid="{0E09D561-7D98-42FF-9909-8839F664A143}"/>
    <cellStyle name="Финансовый 3 3 5" xfId="588" xr:uid="{F45D0F7E-A419-4FE9-BF72-BAB54D5EA41E}"/>
    <cellStyle name="Финансовый 3 3 5 2" xfId="1132" xr:uid="{996BB0DB-1A6E-4CEB-99C8-5D14E01B281A}"/>
    <cellStyle name="Финансовый 3 3 6" xfId="860" xr:uid="{8AB656BD-2AC1-477B-A76F-B82443F4507A}"/>
    <cellStyle name="Финансовый 3 3 7" xfId="316" xr:uid="{EB849AFF-98B1-41C8-9660-F901143A1930}"/>
    <cellStyle name="Финансовый 3 3 8" xfId="1404" xr:uid="{2C3C5F50-0D9E-433B-B05D-DF2CDE1ABB8B}"/>
    <cellStyle name="Финансовый 3 3 9" xfId="179" xr:uid="{6BB231E8-B414-45DA-A7D0-37B53ED2128E}"/>
    <cellStyle name="Финансовый 3 4" xfId="91" xr:uid="{00000000-0005-0000-0000-000063000000}"/>
    <cellStyle name="Финансовый 3 4 2" xfId="502" xr:uid="{EE9F4C6A-C5F6-4A9F-876F-E75ECAA30AA3}"/>
    <cellStyle name="Финансовый 3 4 2 2" xfId="774" xr:uid="{BE8FF5B0-0D3E-43FF-A37C-BB7D69A1509E}"/>
    <cellStyle name="Финансовый 3 4 2 2 2" xfId="1318" xr:uid="{3D05415B-9A80-489F-9EF0-FC8CEDFC37F1}"/>
    <cellStyle name="Финансовый 3 4 2 3" xfId="1046" xr:uid="{0325711A-CD08-40E3-9C9F-574ED5818C1B}"/>
    <cellStyle name="Финансовый 3 4 2 4" xfId="1592" xr:uid="{885A75CE-CE79-42EE-9027-FDA1DD2D8E45}"/>
    <cellStyle name="Финансовый 3 4 3" xfId="638" xr:uid="{C7AF39B0-42E3-448E-9102-2D6530991AE5}"/>
    <cellStyle name="Финансовый 3 4 3 2" xfId="1182" xr:uid="{71ED8282-E8B5-44AA-9C04-0BF7922B3F89}"/>
    <cellStyle name="Финансовый 3 4 4" xfId="910" xr:uid="{CF7FE993-0C62-4528-BE5E-09304D6446FB}"/>
    <cellStyle name="Финансовый 3 4 5" xfId="366" xr:uid="{6E1099CF-5416-418E-B313-ACA496DB5877}"/>
    <cellStyle name="Финансовый 3 4 6" xfId="1455" xr:uid="{6C95B5C4-DA1F-480C-8F26-1A32A87E150B}"/>
    <cellStyle name="Финансовый 3 4 7" xfId="230" xr:uid="{AE0425E3-474E-45CF-BCFF-D58EDA91D7D7}"/>
    <cellStyle name="Финансовый 3 5" xfId="97" xr:uid="{00000000-0005-0000-0000-000064000000}"/>
    <cellStyle name="Финансовый 3 5 2" xfId="508" xr:uid="{F0EB94F1-AB14-43C0-A8F8-24F837A62F7E}"/>
    <cellStyle name="Финансовый 3 5 2 2" xfId="780" xr:uid="{29170876-DD33-4489-B773-FBCBCA5F454F}"/>
    <cellStyle name="Финансовый 3 5 2 2 2" xfId="1324" xr:uid="{E400B0CB-B96F-47B5-9FEE-411457479891}"/>
    <cellStyle name="Финансовый 3 5 2 3" xfId="1052" xr:uid="{F92641E2-1985-435E-AACE-84C3F797E333}"/>
    <cellStyle name="Финансовый 3 5 2 4" xfId="1598" xr:uid="{AFF0B4B9-312E-427D-85F5-A1B585A3BE7C}"/>
    <cellStyle name="Финансовый 3 5 3" xfId="644" xr:uid="{6594E72C-23A0-49C1-BF9C-5D38E8F774BF}"/>
    <cellStyle name="Финансовый 3 5 3 2" xfId="1188" xr:uid="{8EF16206-734E-42AC-AD03-374011D140D5}"/>
    <cellStyle name="Финансовый 3 5 4" xfId="916" xr:uid="{3106E001-FBA3-4B04-ADED-9F6E3E28D794}"/>
    <cellStyle name="Финансовый 3 5 5" xfId="372" xr:uid="{F650BF0A-1334-4EE4-BB60-17540C4189EB}"/>
    <cellStyle name="Финансовый 3 5 6" xfId="1461" xr:uid="{C3BD0E76-58AA-423A-9CB7-8A3321C7E019}"/>
    <cellStyle name="Финансовый 3 5 7" xfId="236" xr:uid="{FBF1BB04-E301-47A4-857A-C24DC32F3D56}"/>
    <cellStyle name="Финансовый 3 6" xfId="109" xr:uid="{00000000-0005-0000-0000-000065000000}"/>
    <cellStyle name="Финансовый 3 6 2" xfId="520" xr:uid="{B17F7D21-3F3E-4943-8515-E4A1DDD1EFAA}"/>
    <cellStyle name="Финансовый 3 6 2 2" xfId="792" xr:uid="{4443CD55-846E-43C3-89E8-CA991F280035}"/>
    <cellStyle name="Финансовый 3 6 2 2 2" xfId="1336" xr:uid="{7B00CDB6-0911-41D3-B3A1-F6EAC3EB9C2F}"/>
    <cellStyle name="Финансовый 3 6 2 3" xfId="1064" xr:uid="{9E31D70E-0B69-441E-87EF-893CC9B4A7F0}"/>
    <cellStyle name="Финансовый 3 6 2 4" xfId="1610" xr:uid="{43FC8458-91B9-4BC0-8881-0C2A9EF247A4}"/>
    <cellStyle name="Финансовый 3 6 3" xfId="656" xr:uid="{1E4B81AB-CEBC-4592-B355-3DD11E807B2B}"/>
    <cellStyle name="Финансовый 3 6 3 2" xfId="1200" xr:uid="{5F29537A-D45B-42F0-B863-D6F9E2E61DCC}"/>
    <cellStyle name="Финансовый 3 6 4" xfId="928" xr:uid="{07E191EB-144F-4F3A-8863-E718773C09A8}"/>
    <cellStyle name="Финансовый 3 6 5" xfId="384" xr:uid="{D1C92535-44BE-44AA-AE14-6937BEDF7BF4}"/>
    <cellStyle name="Финансовый 3 6 6" xfId="1473" xr:uid="{ED0AA1AA-0F59-47BE-85A3-A541B57D7F6F}"/>
    <cellStyle name="Финансовый 3 6 7" xfId="248" xr:uid="{4229ADAA-71A5-42C3-88B1-0CA72729BB4D}"/>
    <cellStyle name="Финансовый 3 7" xfId="74" xr:uid="{00000000-0005-0000-0000-000066000000}"/>
    <cellStyle name="Финансовый 3 7 2" xfId="485" xr:uid="{411663AF-E829-40BB-9155-F3E83082862B}"/>
    <cellStyle name="Финансовый 3 7 2 2" xfId="757" xr:uid="{C224559D-14C9-4ECA-9D46-D39DB239EF3E}"/>
    <cellStyle name="Финансовый 3 7 2 2 2" xfId="1301" xr:uid="{2CCC4D65-4DAA-4014-9458-33D2119C51BC}"/>
    <cellStyle name="Финансовый 3 7 2 3" xfId="1029" xr:uid="{EEA5D6C0-3A60-4FCD-B337-52514E6C5B10}"/>
    <cellStyle name="Финансовый 3 7 2 4" xfId="1575" xr:uid="{41AE88AF-BCAE-4574-B51C-4532E728889C}"/>
    <cellStyle name="Финансовый 3 7 3" xfId="621" xr:uid="{EE2401DD-01D4-48CC-BD9E-30640E505888}"/>
    <cellStyle name="Финансовый 3 7 3 2" xfId="1165" xr:uid="{140A853C-93AB-4319-B3C7-AABA348A2F39}"/>
    <cellStyle name="Финансовый 3 7 4" xfId="893" xr:uid="{03B97C38-70AA-4C6E-AEF0-16BFE215335E}"/>
    <cellStyle name="Финансовый 3 7 5" xfId="349" xr:uid="{5609BBA3-17C8-4C5C-8687-218490D5987A}"/>
    <cellStyle name="Финансовый 3 7 6" xfId="1438" xr:uid="{4EA3CE83-6DEA-4C16-8096-715097947FA4}"/>
    <cellStyle name="Финансовый 3 7 7" xfId="213" xr:uid="{EE51F699-68E0-48CA-BA24-2540CB5D9AF1}"/>
    <cellStyle name="Финансовый 3 8" xfId="51" xr:uid="{00000000-0005-0000-0000-000067000000}"/>
    <cellStyle name="Финансовый 3 8 2" xfId="464" xr:uid="{E07204C2-1A90-4311-941A-0DBA8C43933B}"/>
    <cellStyle name="Финансовый 3 8 2 2" xfId="736" xr:uid="{1003A4E2-773E-4096-ABB8-326D20878863}"/>
    <cellStyle name="Финансовый 3 8 2 2 2" xfId="1280" xr:uid="{B085B87D-2104-4708-919C-FAC8827229CB}"/>
    <cellStyle name="Финансовый 3 8 2 3" xfId="1008" xr:uid="{963DF72D-CAC6-4DE5-961D-9E34ACFE38D2}"/>
    <cellStyle name="Финансовый 3 8 2 4" xfId="1554" xr:uid="{8181889E-1F74-4DB9-918C-2B276111912F}"/>
    <cellStyle name="Финансовый 3 8 3" xfId="600" xr:uid="{BF971C54-A1AA-413B-8244-B0E71719D8EA}"/>
    <cellStyle name="Финансовый 3 8 3 2" xfId="1144" xr:uid="{F088C88A-4473-4623-8E45-DD18CA8BE5DA}"/>
    <cellStyle name="Финансовый 3 8 4" xfId="872" xr:uid="{D9F1A777-5FE4-429E-8F40-D8130F497E10}"/>
    <cellStyle name="Финансовый 3 8 5" xfId="328" xr:uid="{97A878DD-643B-45BF-99BC-6969B8BA5E31}"/>
    <cellStyle name="Финансовый 3 8 6" xfId="1416" xr:uid="{06B5009B-787F-4BB2-9762-EDACAD1AC152}"/>
    <cellStyle name="Финансовый 3 8 7" xfId="191" xr:uid="{3EB94923-B625-4054-AC68-3A43036C619D}"/>
    <cellStyle name="Финансовый 3 9" xfId="129" xr:uid="{00000000-0005-0000-0000-000068000000}"/>
    <cellStyle name="Финансовый 3 9 2" xfId="540" xr:uid="{A8A4FEF4-662D-417E-B6F0-3C50A1BEE684}"/>
    <cellStyle name="Финансовый 3 9 2 2" xfId="812" xr:uid="{781281ED-AC40-4FE2-827A-C10F11FFA5C7}"/>
    <cellStyle name="Финансовый 3 9 2 2 2" xfId="1356" xr:uid="{CEF9254F-8775-4A0F-BB81-A0DE682C51DE}"/>
    <cellStyle name="Финансовый 3 9 2 3" xfId="1084" xr:uid="{3D5E82BB-2A46-42D8-A8BE-E30BF9693399}"/>
    <cellStyle name="Финансовый 3 9 2 4" xfId="1630" xr:uid="{427C30A0-FC47-4641-94F8-C71CBAB7AC1E}"/>
    <cellStyle name="Финансовый 3 9 3" xfId="676" xr:uid="{2FF458FE-69E2-4CBC-92EA-3A34F8DAA1C3}"/>
    <cellStyle name="Финансовый 3 9 3 2" xfId="1220" xr:uid="{1DD8EA42-19F2-4689-A07A-11AE8331055C}"/>
    <cellStyle name="Финансовый 3 9 4" xfId="948" xr:uid="{28E6B171-11C5-48E4-95A2-A98A11B324FF}"/>
    <cellStyle name="Финансовый 3 9 5" xfId="404" xr:uid="{988C6EDE-BA29-4762-9DD8-C4966EF20C80}"/>
    <cellStyle name="Финансовый 3 9 6" xfId="1493" xr:uid="{2566802D-FAF3-4CBC-8865-C70B00C3EBFB}"/>
    <cellStyle name="Финансовый 3 9 7" xfId="268" xr:uid="{AE0A0917-258A-44A5-B9F8-BF728EAF57E1}"/>
    <cellStyle name="Финансовый 30" xfId="203" xr:uid="{B6FB42E3-14D9-4952-A0CC-94DEAB04CBBF}"/>
    <cellStyle name="Финансовый 4" xfId="5" xr:uid="{00000000-0005-0000-0000-000069000000}"/>
    <cellStyle name="Финансовый 4 10" xfId="29" xr:uid="{00000000-0005-0000-0000-00006A000000}"/>
    <cellStyle name="Финансовый 4 10 2" xfId="442" xr:uid="{6011B71D-CE98-42EC-BCD8-9632475EF0C7}"/>
    <cellStyle name="Финансовый 4 10 2 2" xfId="714" xr:uid="{B3D34CE9-0010-4C39-BCEB-D9071B8DC793}"/>
    <cellStyle name="Финансовый 4 10 2 2 2" xfId="1258" xr:uid="{9052439A-C3A8-4A6B-B888-608B2EED2EA6}"/>
    <cellStyle name="Финансовый 4 10 2 3" xfId="986" xr:uid="{1D9638B2-8E7D-4270-9FCB-E85F95DEB6F4}"/>
    <cellStyle name="Финансовый 4 10 2 4" xfId="1532" xr:uid="{F46B09AB-8BD4-400F-90EC-E0595DA07EFA}"/>
    <cellStyle name="Финансовый 4 10 3" xfId="578" xr:uid="{16995A50-A9E3-4542-8A0A-F68141E6ED32}"/>
    <cellStyle name="Финансовый 4 10 3 2" xfId="1122" xr:uid="{847336DE-F452-424E-A37F-AA68A1EAFC16}"/>
    <cellStyle name="Финансовый 4 10 4" xfId="850" xr:uid="{84BF2FC4-FF07-428E-BD03-5DBDD6258A1E}"/>
    <cellStyle name="Финансовый 4 10 5" xfId="306" xr:uid="{729FC7E7-7F9E-4856-9450-0469F94B7F58}"/>
    <cellStyle name="Финансовый 4 10 6" xfId="1394" xr:uid="{308AE81C-F6F2-42CB-9A20-589F74692271}"/>
    <cellStyle name="Финансовый 4 10 7" xfId="169" xr:uid="{A6E34859-A00B-4F79-A710-81BEF942B71D}"/>
    <cellStyle name="Финансовый 4 11" xfId="17" xr:uid="{00000000-0005-0000-0000-00006B000000}"/>
    <cellStyle name="Финансовый 4 11 2" xfId="430" xr:uid="{3B724F22-F1BB-43B2-902B-B55F638F4204}"/>
    <cellStyle name="Финансовый 4 11 2 2" xfId="702" xr:uid="{A25B2307-DA9A-402C-942B-7AA6B4D71EA8}"/>
    <cellStyle name="Финансовый 4 11 2 2 2" xfId="1246" xr:uid="{93DEDC89-B4A3-4B0C-8ACE-EBC765649107}"/>
    <cellStyle name="Финансовый 4 11 2 3" xfId="974" xr:uid="{8E5CB531-935C-4822-A979-5BE803E44558}"/>
    <cellStyle name="Финансовый 4 11 2 4" xfId="1520" xr:uid="{D55BF3D4-6C72-4966-8BCE-59B0231B1B40}"/>
    <cellStyle name="Финансовый 4 11 3" xfId="566" xr:uid="{419DF1C8-90D3-4E85-84B9-BD752A2F75D7}"/>
    <cellStyle name="Финансовый 4 11 3 2" xfId="1110" xr:uid="{DBC6D798-53CA-4A87-A0C8-EFEE8E9FC973}"/>
    <cellStyle name="Финансовый 4 11 4" xfId="838" xr:uid="{DE7C1A7C-79A3-49D7-99A5-5CF2B0732512}"/>
    <cellStyle name="Финансовый 4 11 5" xfId="294" xr:uid="{4AD9549A-F1ED-4623-B383-64A23EEADCCC}"/>
    <cellStyle name="Финансовый 4 11 6" xfId="1382" xr:uid="{31962DCE-5634-45A0-9EA7-165811BCF170}"/>
    <cellStyle name="Финансовый 4 11 7" xfId="157" xr:uid="{E71044D0-9325-4D30-B7BA-7BEC49D4FEAB}"/>
    <cellStyle name="Финансовый 4 12" xfId="418" xr:uid="{8CB8D565-324D-4890-8824-BC4DDE37B718}"/>
    <cellStyle name="Финансовый 4 12 2" xfId="690" xr:uid="{B1EC14BE-CB26-4381-BD09-8CEDD2BEE7A3}"/>
    <cellStyle name="Финансовый 4 12 2 2" xfId="1234" xr:uid="{B7B47134-8CC5-4C8E-A58D-F607A3B29B1B}"/>
    <cellStyle name="Финансовый 4 12 3" xfId="962" xr:uid="{1EE6671F-4152-41E4-91EB-903FAE33ADCD}"/>
    <cellStyle name="Финансовый 4 12 4" xfId="1508" xr:uid="{CB51718D-E97B-4730-B49A-AFA5ACB45E28}"/>
    <cellStyle name="Финансовый 4 13" xfId="554" xr:uid="{5EAFB771-9931-4BAE-9CEA-0EEC686CEDEA}"/>
    <cellStyle name="Финансовый 4 13 2" xfId="1098" xr:uid="{F7F9D5CC-D440-4569-8288-698FAA3D86F9}"/>
    <cellStyle name="Финансовый 4 14" xfId="826" xr:uid="{CDBB306A-0C72-4053-9DEE-323AE962D055}"/>
    <cellStyle name="Финансовый 4 15" xfId="282" xr:uid="{6E9D2249-D524-4B70-8DCC-FF3E142B3D7B}"/>
    <cellStyle name="Финансовый 4 16" xfId="1370" xr:uid="{3BE4C164-26C0-4656-B1F5-41379951A0B1}"/>
    <cellStyle name="Финансовый 4 17" xfId="145" xr:uid="{4A0BDF7A-3E73-497F-A9ED-0B19419B05B2}"/>
    <cellStyle name="Финансовый 4 2" xfId="11" xr:uid="{00000000-0005-0000-0000-00006C000000}"/>
    <cellStyle name="Финансовый 4 2 10" xfId="560" xr:uid="{B6DCB87B-F693-422A-B149-4D829BA8BF11}"/>
    <cellStyle name="Финансовый 4 2 10 2" xfId="1104" xr:uid="{8D0B3F72-E84E-4E51-BF2B-23A8FB3F71A1}"/>
    <cellStyle name="Финансовый 4 2 11" xfId="832" xr:uid="{8572D9E3-8CCC-49D1-B0E7-51A48387219C}"/>
    <cellStyle name="Финансовый 4 2 12" xfId="288" xr:uid="{119825F6-ED66-489A-96E0-6A6583F093D8}"/>
    <cellStyle name="Финансовый 4 2 13" xfId="1376" xr:uid="{D24F0D22-9885-4898-9625-1BD713CAF906}"/>
    <cellStyle name="Финансовый 4 2 14" xfId="151" xr:uid="{889E3555-BC4E-46A2-85D8-FD43069E3E72}"/>
    <cellStyle name="Финансовый 4 2 2" xfId="47" xr:uid="{00000000-0005-0000-0000-00006D000000}"/>
    <cellStyle name="Финансовый 4 2 2 2" xfId="105" xr:uid="{00000000-0005-0000-0000-00006E000000}"/>
    <cellStyle name="Финансовый 4 2 2 2 2" xfId="516" xr:uid="{72212950-A38C-4A02-8FAB-35C985EDB87A}"/>
    <cellStyle name="Финансовый 4 2 2 2 2 2" xfId="788" xr:uid="{8FEA2164-884C-4F55-BDFD-268B0FD16E9F}"/>
    <cellStyle name="Финансовый 4 2 2 2 2 2 2" xfId="1332" xr:uid="{152987DC-675E-4E46-9F83-07C48EA8E36A}"/>
    <cellStyle name="Финансовый 4 2 2 2 2 3" xfId="1060" xr:uid="{C659C84B-98F2-48CF-B538-95545E40BE92}"/>
    <cellStyle name="Финансовый 4 2 2 2 2 4" xfId="1606" xr:uid="{3FC0567B-4667-4B0F-8C76-BEDF7FFC0800}"/>
    <cellStyle name="Финансовый 4 2 2 2 3" xfId="652" xr:uid="{C3832729-2901-468F-A5DC-42BC7A302FCD}"/>
    <cellStyle name="Финансовый 4 2 2 2 3 2" xfId="1196" xr:uid="{7B92C544-93A0-4633-B68F-6771C81AF882}"/>
    <cellStyle name="Финансовый 4 2 2 2 4" xfId="924" xr:uid="{219423BD-8C14-4D5A-81FA-4B8976218EDE}"/>
    <cellStyle name="Финансовый 4 2 2 2 5" xfId="380" xr:uid="{A8ABA232-FFBD-4E26-8B07-26B7D5ABCD8C}"/>
    <cellStyle name="Финансовый 4 2 2 2 6" xfId="1469" xr:uid="{34C4E739-E362-4719-BCC2-2D3BE5302A46}"/>
    <cellStyle name="Финансовый 4 2 2 2 7" xfId="244" xr:uid="{1719E857-8F96-4DAA-8756-60328876BFA6}"/>
    <cellStyle name="Финансовый 4 2 2 3" xfId="460" xr:uid="{4BD1407B-A6FC-4ED1-9AF5-8D5F2CB10242}"/>
    <cellStyle name="Финансовый 4 2 2 3 2" xfId="732" xr:uid="{A6D9B9FE-DB12-4F4E-BEC6-B2866558DBD0}"/>
    <cellStyle name="Финансовый 4 2 2 3 2 2" xfId="1276" xr:uid="{0DAF5F41-BE09-4240-8F37-52B5EA26820A}"/>
    <cellStyle name="Финансовый 4 2 2 3 3" xfId="1004" xr:uid="{EC0F9CCE-EE52-4B4D-A10F-92673B7B291D}"/>
    <cellStyle name="Финансовый 4 2 2 3 4" xfId="1550" xr:uid="{65BA3B72-79C3-484A-BED0-01C31094569A}"/>
    <cellStyle name="Финансовый 4 2 2 4" xfId="596" xr:uid="{1D7943C8-233C-40E5-BB94-7ECE6896EA7B}"/>
    <cellStyle name="Финансовый 4 2 2 4 2" xfId="1140" xr:uid="{472A1EF9-2ACD-4940-869F-61D575BC6973}"/>
    <cellStyle name="Финансовый 4 2 2 5" xfId="868" xr:uid="{76350932-2E50-4C7B-B2FE-6C8FBD20FB38}"/>
    <cellStyle name="Финансовый 4 2 2 6" xfId="324" xr:uid="{C41B4644-0857-4041-8967-F7BF8A614DA8}"/>
    <cellStyle name="Финансовый 4 2 2 7" xfId="1412" xr:uid="{DBA6F235-3101-4A06-9ACA-F2F1238E83CF}"/>
    <cellStyle name="Финансовый 4 2 2 8" xfId="187" xr:uid="{4905DB58-E4EF-4F34-8E51-205B5788311D}"/>
    <cellStyle name="Финансовый 4 2 3" xfId="117" xr:uid="{00000000-0005-0000-0000-00006F000000}"/>
    <cellStyle name="Финансовый 4 2 3 2" xfId="528" xr:uid="{C09BD113-7741-4C0C-807E-E217F046CC7E}"/>
    <cellStyle name="Финансовый 4 2 3 2 2" xfId="800" xr:uid="{867FF351-518D-464F-A21C-718B673F4CA3}"/>
    <cellStyle name="Финансовый 4 2 3 2 2 2" xfId="1344" xr:uid="{4B5344EF-F4E1-47DE-BE59-F0806A15121E}"/>
    <cellStyle name="Финансовый 4 2 3 2 3" xfId="1072" xr:uid="{CEA489A0-7E1D-424E-9CD1-000C22D84D80}"/>
    <cellStyle name="Финансовый 4 2 3 2 4" xfId="1618" xr:uid="{1BE011C7-4082-4DC0-AA50-98A76EB7DF71}"/>
    <cellStyle name="Финансовый 4 2 3 3" xfId="664" xr:uid="{CC271EB2-24FC-4516-9CD2-856A8D579680}"/>
    <cellStyle name="Финансовый 4 2 3 3 2" xfId="1208" xr:uid="{6662438C-3D4F-4B04-B3B2-D896E2522D3D}"/>
    <cellStyle name="Финансовый 4 2 3 4" xfId="936" xr:uid="{6144A4A4-4838-486F-B951-F96A1017CF91}"/>
    <cellStyle name="Финансовый 4 2 3 5" xfId="392" xr:uid="{A56EAF1E-A915-4807-9A53-4318593B354B}"/>
    <cellStyle name="Финансовый 4 2 3 6" xfId="1481" xr:uid="{0C63D03E-9654-4A1F-857C-EA65EAB8A237}"/>
    <cellStyle name="Финансовый 4 2 3 7" xfId="256" xr:uid="{DB954268-5181-4379-AE14-C246BAB923BE}"/>
    <cellStyle name="Финансовый 4 2 4" xfId="81" xr:uid="{00000000-0005-0000-0000-000070000000}"/>
    <cellStyle name="Финансовый 4 2 4 2" xfId="492" xr:uid="{23DEA326-15C6-4AAD-AA44-1C4BF3897E62}"/>
    <cellStyle name="Финансовый 4 2 4 2 2" xfId="764" xr:uid="{2276BD8F-D554-437E-8CDA-85AD181DA83C}"/>
    <cellStyle name="Финансовый 4 2 4 2 2 2" xfId="1308" xr:uid="{324B75D1-D2E0-4C59-8A69-4E458E7CB913}"/>
    <cellStyle name="Финансовый 4 2 4 2 3" xfId="1036" xr:uid="{8931EE42-46ED-4043-94B3-4DDC971E4608}"/>
    <cellStyle name="Финансовый 4 2 4 2 4" xfId="1582" xr:uid="{23906F66-B285-48F6-8801-71582A57658C}"/>
    <cellStyle name="Финансовый 4 2 4 3" xfId="628" xr:uid="{B479560A-EB3C-431B-B907-741966E33872}"/>
    <cellStyle name="Финансовый 4 2 4 3 2" xfId="1172" xr:uid="{E5E2A42E-27D6-404C-AC58-DB71B4C878F2}"/>
    <cellStyle name="Финансовый 4 2 4 4" xfId="900" xr:uid="{3BC07912-BDFE-4B03-B353-E895FB4EF2F3}"/>
    <cellStyle name="Финансовый 4 2 4 5" xfId="356" xr:uid="{DD7798BF-9499-44BF-86EC-874195EDE5A9}"/>
    <cellStyle name="Финансовый 4 2 4 6" xfId="1445" xr:uid="{C52238E3-BC74-401D-814C-1AA2CC322833}"/>
    <cellStyle name="Финансовый 4 2 4 7" xfId="220" xr:uid="{D54D534C-A8F8-4401-B50B-F040E92606E9}"/>
    <cellStyle name="Финансовый 4 2 5" xfId="59" xr:uid="{00000000-0005-0000-0000-000071000000}"/>
    <cellStyle name="Финансовый 4 2 5 2" xfId="472" xr:uid="{993148BC-3A37-48C8-B03B-26779BC03D20}"/>
    <cellStyle name="Финансовый 4 2 5 2 2" xfId="744" xr:uid="{1225BE4C-2FBB-463A-B7C9-2FB3FD29AC20}"/>
    <cellStyle name="Финансовый 4 2 5 2 2 2" xfId="1288" xr:uid="{7D5737D4-C9C9-4897-89F6-C67198847361}"/>
    <cellStyle name="Финансовый 4 2 5 2 3" xfId="1016" xr:uid="{5BCC731F-BE30-444C-8F37-60919EB135AB}"/>
    <cellStyle name="Финансовый 4 2 5 2 4" xfId="1562" xr:uid="{C6493C19-963C-4325-8521-DA1D15CFF7F4}"/>
    <cellStyle name="Финансовый 4 2 5 3" xfId="608" xr:uid="{C70B2216-F1E5-491A-A540-74A035C4ADB7}"/>
    <cellStyle name="Финансовый 4 2 5 3 2" xfId="1152" xr:uid="{2E27AF9C-64BA-4592-946E-B50839904B7F}"/>
    <cellStyle name="Финансовый 4 2 5 4" xfId="880" xr:uid="{CB0C5AC2-76FF-41EF-B465-115711BC2106}"/>
    <cellStyle name="Финансовый 4 2 5 5" xfId="336" xr:uid="{651AF586-E5DD-4887-805D-EA40126834B9}"/>
    <cellStyle name="Финансовый 4 2 5 6" xfId="1424" xr:uid="{114D39BD-E58D-46C4-A749-82208B2DD526}"/>
    <cellStyle name="Финансовый 4 2 5 7" xfId="199" xr:uid="{DF7A11D8-C6EE-4827-AB7A-EC604974D8E0}"/>
    <cellStyle name="Финансовый 4 2 6" xfId="137" xr:uid="{00000000-0005-0000-0000-000072000000}"/>
    <cellStyle name="Финансовый 4 2 6 2" xfId="548" xr:uid="{78FFF98D-C90E-4A2E-9F6D-66CE28AE6FBC}"/>
    <cellStyle name="Финансовый 4 2 6 2 2" xfId="820" xr:uid="{077F389B-2682-4578-94F4-3B53A8A8CD31}"/>
    <cellStyle name="Финансовый 4 2 6 2 2 2" xfId="1364" xr:uid="{C46A0EFF-0A4D-4AF4-9441-270E886737FA}"/>
    <cellStyle name="Финансовый 4 2 6 2 3" xfId="1092" xr:uid="{FB4E8E46-F8C0-44CE-8F9F-12EF990AD7C8}"/>
    <cellStyle name="Финансовый 4 2 6 2 4" xfId="1638" xr:uid="{CF579B2A-A10F-4078-80F5-DE0E30512BCA}"/>
    <cellStyle name="Финансовый 4 2 6 3" xfId="684" xr:uid="{3FBEBFAD-8704-46E6-A1D4-1508B24E5203}"/>
    <cellStyle name="Финансовый 4 2 6 3 2" xfId="1228" xr:uid="{040D0272-215A-47D5-AB67-992C315621D3}"/>
    <cellStyle name="Финансовый 4 2 6 4" xfId="956" xr:uid="{3E29A626-C334-44AA-8CA6-5C97143C8C7A}"/>
    <cellStyle name="Финансовый 4 2 6 5" xfId="412" xr:uid="{4B06A1D0-46B1-4C35-B674-1246724AC4D4}"/>
    <cellStyle name="Финансовый 4 2 6 6" xfId="1501" xr:uid="{59552AF7-10EB-4F7E-9E4B-C95A4272CF37}"/>
    <cellStyle name="Финансовый 4 2 6 7" xfId="276" xr:uid="{69AF04B0-E99C-4CBA-B579-F3C4265D01A8}"/>
    <cellStyle name="Финансовый 4 2 7" xfId="35" xr:uid="{00000000-0005-0000-0000-000073000000}"/>
    <cellStyle name="Финансовый 4 2 7 2" xfId="448" xr:uid="{47C6B803-28BC-4CF7-8F72-40DFE53EC661}"/>
    <cellStyle name="Финансовый 4 2 7 2 2" xfId="720" xr:uid="{1DF6964C-00E3-4951-8684-030D80BF9B80}"/>
    <cellStyle name="Финансовый 4 2 7 2 2 2" xfId="1264" xr:uid="{DE8E44E4-48D4-46F6-BE4C-CFE97C32CB85}"/>
    <cellStyle name="Финансовый 4 2 7 2 3" xfId="992" xr:uid="{BD80FF05-C959-4D08-AE9A-BC9321BCCAF6}"/>
    <cellStyle name="Финансовый 4 2 7 2 4" xfId="1538" xr:uid="{1FEDA3A4-4ED1-476F-B271-191B17C3A746}"/>
    <cellStyle name="Финансовый 4 2 7 3" xfId="584" xr:uid="{454D6FB8-CA99-4AD5-B73B-A448FDAA6419}"/>
    <cellStyle name="Финансовый 4 2 7 3 2" xfId="1128" xr:uid="{78ADC5A6-38C7-4864-B48E-3EF5AA25BA17}"/>
    <cellStyle name="Финансовый 4 2 7 4" xfId="856" xr:uid="{5781FBE6-2A1B-40BC-AF78-73E3DF81B39C}"/>
    <cellStyle name="Финансовый 4 2 7 5" xfId="312" xr:uid="{B7CE5851-FC12-481B-BE5D-8FAB8A86FB7C}"/>
    <cellStyle name="Финансовый 4 2 7 6" xfId="1400" xr:uid="{8C3E35EF-CEB8-4FAF-8A08-0BC60E438814}"/>
    <cellStyle name="Финансовый 4 2 7 7" xfId="175" xr:uid="{2D8B3A65-3828-459A-911A-4EFF4AED8169}"/>
    <cellStyle name="Финансовый 4 2 8" xfId="23" xr:uid="{00000000-0005-0000-0000-000074000000}"/>
    <cellStyle name="Финансовый 4 2 8 2" xfId="436" xr:uid="{972600DF-D234-48DB-B8EE-17C4ED1C445B}"/>
    <cellStyle name="Финансовый 4 2 8 2 2" xfId="708" xr:uid="{23F6854F-8CFD-4873-AC98-1D0165EACAD6}"/>
    <cellStyle name="Финансовый 4 2 8 2 2 2" xfId="1252" xr:uid="{EA444D3B-5309-44B5-95DD-69A30FA29B7F}"/>
    <cellStyle name="Финансовый 4 2 8 2 3" xfId="980" xr:uid="{BD379E05-10A7-4B39-9A95-193DB2EF5800}"/>
    <cellStyle name="Финансовый 4 2 8 2 4" xfId="1526" xr:uid="{077133EF-5052-428A-8C55-1971A8ADCCF3}"/>
    <cellStyle name="Финансовый 4 2 8 3" xfId="572" xr:uid="{3A646B8C-F73C-4BDB-829D-41B6A17C476E}"/>
    <cellStyle name="Финансовый 4 2 8 3 2" xfId="1116" xr:uid="{872AFE72-76DA-4158-A316-1DE86A925530}"/>
    <cellStyle name="Финансовый 4 2 8 4" xfId="844" xr:uid="{5D3726D9-59FB-437F-9F21-A82467C35897}"/>
    <cellStyle name="Финансовый 4 2 8 5" xfId="300" xr:uid="{77DFFADC-2924-43DA-AE56-B0941E3D1A87}"/>
    <cellStyle name="Финансовый 4 2 8 6" xfId="1388" xr:uid="{0E1A9B8C-8E90-475F-84C8-62E4AA8C3307}"/>
    <cellStyle name="Финансовый 4 2 8 7" xfId="163" xr:uid="{C6D79075-45FC-407D-9514-B69908FE6B9F}"/>
    <cellStyle name="Финансовый 4 2 9" xfId="424" xr:uid="{D1CA9F5E-6C9B-4B94-822C-2AABBF059C60}"/>
    <cellStyle name="Финансовый 4 2 9 2" xfId="696" xr:uid="{E1E781C1-D921-4B16-A15C-DDE5B34D87D0}"/>
    <cellStyle name="Финансовый 4 2 9 2 2" xfId="1240" xr:uid="{0641CD97-3D28-4AB1-AD75-EF05F455DF97}"/>
    <cellStyle name="Финансовый 4 2 9 3" xfId="968" xr:uid="{7AD8B2F5-2899-4DCE-965C-496BD23AAE06}"/>
    <cellStyle name="Финансовый 4 2 9 4" xfId="1514" xr:uid="{CFC02A36-B98B-42BC-802D-EC40E64F4A34}"/>
    <cellStyle name="Финансовый 4 3" xfId="41" xr:uid="{00000000-0005-0000-0000-000075000000}"/>
    <cellStyle name="Финансовый 4 3 2" xfId="123" xr:uid="{00000000-0005-0000-0000-000076000000}"/>
    <cellStyle name="Финансовый 4 3 2 2" xfId="534" xr:uid="{36A2F852-2327-4C1B-9E5B-B1272B297269}"/>
    <cellStyle name="Финансовый 4 3 2 2 2" xfId="806" xr:uid="{F23D95D7-DDCA-4EDD-AEB4-5A05DC96E2A1}"/>
    <cellStyle name="Финансовый 4 3 2 2 2 2" xfId="1350" xr:uid="{DA12C6D6-57A4-444F-AF1A-7BD624A0FA9B}"/>
    <cellStyle name="Финансовый 4 3 2 2 3" xfId="1078" xr:uid="{8B66B553-6B0D-4139-9CBA-7588306F7B84}"/>
    <cellStyle name="Финансовый 4 3 2 2 4" xfId="1624" xr:uid="{5D48D976-D45B-41EB-A9BF-FAB30C5EF8B1}"/>
    <cellStyle name="Финансовый 4 3 2 3" xfId="670" xr:uid="{0B598BE6-B702-4D2D-9F38-0ADEC359D854}"/>
    <cellStyle name="Финансовый 4 3 2 3 2" xfId="1214" xr:uid="{613F42EC-FBB3-43CB-9BF5-4F37EBF493AC}"/>
    <cellStyle name="Финансовый 4 3 2 4" xfId="942" xr:uid="{76C2D088-DF98-4042-86BF-F916E6EC8BC1}"/>
    <cellStyle name="Финансовый 4 3 2 5" xfId="398" xr:uid="{D07C702F-B823-4626-90EF-53490B69029E}"/>
    <cellStyle name="Финансовый 4 3 2 6" xfId="1487" xr:uid="{CADBACBD-941B-447F-AE54-0301DA7D0615}"/>
    <cellStyle name="Финансовый 4 3 2 7" xfId="262" xr:uid="{BA8BB1AC-0C53-4FEF-9B4B-314C2355B5DC}"/>
    <cellStyle name="Финансовый 4 3 3" xfId="87" xr:uid="{00000000-0005-0000-0000-000077000000}"/>
    <cellStyle name="Финансовый 4 3 3 2" xfId="498" xr:uid="{45FB97A5-CF82-40EC-90CF-0965198BA984}"/>
    <cellStyle name="Финансовый 4 3 3 2 2" xfId="770" xr:uid="{3ED3E53C-F60D-457B-B63D-D8777594F5B5}"/>
    <cellStyle name="Финансовый 4 3 3 2 2 2" xfId="1314" xr:uid="{096CFB41-9A42-4F11-A86E-A6C66B460BE7}"/>
    <cellStyle name="Финансовый 4 3 3 2 3" xfId="1042" xr:uid="{9F768688-60B3-4303-80C0-577F43D8F933}"/>
    <cellStyle name="Финансовый 4 3 3 2 4" xfId="1588" xr:uid="{6E3E357F-DC5D-4AB3-A9C0-7939C5C0D541}"/>
    <cellStyle name="Финансовый 4 3 3 3" xfId="634" xr:uid="{D646C438-4F26-43DD-AB77-12B99302AAAB}"/>
    <cellStyle name="Финансовый 4 3 3 3 2" xfId="1178" xr:uid="{96C0F926-0ECE-4255-90FF-8C6ED3454629}"/>
    <cellStyle name="Финансовый 4 3 3 4" xfId="906" xr:uid="{E7765F4C-F0A5-40AF-A489-52A7895C6FA6}"/>
    <cellStyle name="Финансовый 4 3 3 5" xfId="362" xr:uid="{86298498-EB56-4688-8FF8-E7D07838F008}"/>
    <cellStyle name="Финансовый 4 3 3 6" xfId="1451" xr:uid="{6A5BF42E-F35A-4FFF-A158-EF4D40993362}"/>
    <cellStyle name="Финансовый 4 3 3 7" xfId="226" xr:uid="{EEEF8094-9322-4F0B-93E9-3037531AC834}"/>
    <cellStyle name="Финансовый 4 3 4" xfId="454" xr:uid="{56076E9A-83B5-4B70-9165-1CC1411E701D}"/>
    <cellStyle name="Финансовый 4 3 4 2" xfId="726" xr:uid="{0BA92F3F-2C4F-4D45-AC84-35E059D3B2ED}"/>
    <cellStyle name="Финансовый 4 3 4 2 2" xfId="1270" xr:uid="{E8D2F5E0-3014-491A-9F23-A9F9B9097314}"/>
    <cellStyle name="Финансовый 4 3 4 3" xfId="998" xr:uid="{17E9F1D6-1EAC-4A0F-982B-8CDECF614DFD}"/>
    <cellStyle name="Финансовый 4 3 4 4" xfId="1544" xr:uid="{05D3B794-26A2-4147-89C8-FF1921CCBF7D}"/>
    <cellStyle name="Финансовый 4 3 5" xfId="590" xr:uid="{A21E3D74-5088-40C7-BD67-F3351CD45B6A}"/>
    <cellStyle name="Финансовый 4 3 5 2" xfId="1134" xr:uid="{28A92AA8-8BC8-4CE3-9E1A-892CCF3838CD}"/>
    <cellStyle name="Финансовый 4 3 6" xfId="862" xr:uid="{3B4E7C81-C9DD-4074-9228-0FEB6DDDD924}"/>
    <cellStyle name="Финансовый 4 3 7" xfId="318" xr:uid="{36164862-29EC-45F0-8261-0D448B3511B8}"/>
    <cellStyle name="Финансовый 4 3 8" xfId="1406" xr:uid="{3970C534-81DD-46E6-ABAF-CCF9C484B10B}"/>
    <cellStyle name="Финансовый 4 3 9" xfId="181" xr:uid="{34CC11B8-2D2E-47CA-B445-8E2E572ADF4B}"/>
    <cellStyle name="Финансовый 4 4" xfId="93" xr:uid="{00000000-0005-0000-0000-000078000000}"/>
    <cellStyle name="Финансовый 4 4 2" xfId="504" xr:uid="{A4C0ABF0-4264-48E8-8A31-11537EAAFC64}"/>
    <cellStyle name="Финансовый 4 4 2 2" xfId="776" xr:uid="{921F1087-D7B0-4544-A888-D8CA3134246F}"/>
    <cellStyle name="Финансовый 4 4 2 2 2" xfId="1320" xr:uid="{7B284B40-3797-49A2-A538-C0BDECF1E74C}"/>
    <cellStyle name="Финансовый 4 4 2 3" xfId="1048" xr:uid="{F5C584BF-2E3A-4E6C-A0E4-AD4B09E731E9}"/>
    <cellStyle name="Финансовый 4 4 2 4" xfId="1594" xr:uid="{6900BA90-F073-4683-9C11-001B5FAA726A}"/>
    <cellStyle name="Финансовый 4 4 3" xfId="640" xr:uid="{53E070B0-5127-477A-A3CB-0ECC816B3E46}"/>
    <cellStyle name="Финансовый 4 4 3 2" xfId="1184" xr:uid="{4564E5E1-F4C7-492E-967A-79615A8292B5}"/>
    <cellStyle name="Финансовый 4 4 4" xfId="912" xr:uid="{E884ADBA-170E-4F0A-84F6-1A965DF2FFD0}"/>
    <cellStyle name="Финансовый 4 4 5" xfId="368" xr:uid="{DA6D3E90-A1F2-4D47-87F6-C183FD533EBE}"/>
    <cellStyle name="Финансовый 4 4 6" xfId="1457" xr:uid="{09DFEB95-046A-4CCF-9EAA-AF6645725710}"/>
    <cellStyle name="Финансовый 4 4 7" xfId="232" xr:uid="{2D5C1CDA-FF73-4D92-9BAC-6229C96C3AC6}"/>
    <cellStyle name="Финансовый 4 5" xfId="99" xr:uid="{00000000-0005-0000-0000-000079000000}"/>
    <cellStyle name="Финансовый 4 5 2" xfId="510" xr:uid="{F61959A4-B84C-4DE1-A279-46BF55BA9E62}"/>
    <cellStyle name="Финансовый 4 5 2 2" xfId="782" xr:uid="{F6C76527-936C-411C-8C1F-986713646538}"/>
    <cellStyle name="Финансовый 4 5 2 2 2" xfId="1326" xr:uid="{CB322C0E-116D-491E-AA73-D568699E5F8B}"/>
    <cellStyle name="Финансовый 4 5 2 3" xfId="1054" xr:uid="{30ED71FF-0BE8-433E-B9B6-D7AE18D1E786}"/>
    <cellStyle name="Финансовый 4 5 2 4" xfId="1600" xr:uid="{80C8F34A-C5BB-4B0F-9C1C-5AEA440F834F}"/>
    <cellStyle name="Финансовый 4 5 3" xfId="646" xr:uid="{77713102-5F75-4A66-A5F5-78AB0C383616}"/>
    <cellStyle name="Финансовый 4 5 3 2" xfId="1190" xr:uid="{812FE0D0-2D1F-482D-9434-0C8525DFBC74}"/>
    <cellStyle name="Финансовый 4 5 4" xfId="918" xr:uid="{29EF97F8-24DD-4C2D-9EB9-0B3ABA188827}"/>
    <cellStyle name="Финансовый 4 5 5" xfId="374" xr:uid="{22B5FF2F-BB99-468D-ABF6-3CA59CCC60F5}"/>
    <cellStyle name="Финансовый 4 5 6" xfId="1463" xr:uid="{FC1925CE-F514-49A7-989B-C97674D8116C}"/>
    <cellStyle name="Финансовый 4 5 7" xfId="238" xr:uid="{3520A1B3-EF32-480B-8AFD-67FF5DA2D323}"/>
    <cellStyle name="Финансовый 4 6" xfId="111" xr:uid="{00000000-0005-0000-0000-00007A000000}"/>
    <cellStyle name="Финансовый 4 6 2" xfId="522" xr:uid="{FCED7642-40CD-4C47-9B0B-4BC98BB693EA}"/>
    <cellStyle name="Финансовый 4 6 2 2" xfId="794" xr:uid="{5A02578C-13F3-45E4-9EB8-8324C60895B9}"/>
    <cellStyle name="Финансовый 4 6 2 2 2" xfId="1338" xr:uid="{32621771-8C75-4E6A-9425-0AB5D6A53A2A}"/>
    <cellStyle name="Финансовый 4 6 2 3" xfId="1066" xr:uid="{EC3017C7-D85B-4517-9EC3-C3E796ADC6B6}"/>
    <cellStyle name="Финансовый 4 6 2 4" xfId="1612" xr:uid="{D599D63B-A34F-4982-8E8E-FD7F3E23BE6E}"/>
    <cellStyle name="Финансовый 4 6 3" xfId="658" xr:uid="{EEA8FC1E-662B-4C3B-B697-DC1BACF40097}"/>
    <cellStyle name="Финансовый 4 6 3 2" xfId="1202" xr:uid="{E39CCEAB-8392-4E02-BA9F-3312A6148BAE}"/>
    <cellStyle name="Финансовый 4 6 4" xfId="930" xr:uid="{BA8A05B6-DDF7-4091-A9EA-DEA4AF830668}"/>
    <cellStyle name="Финансовый 4 6 5" xfId="386" xr:uid="{9759DEED-0EB6-4D04-BE9D-4A0AD3A356CE}"/>
    <cellStyle name="Финансовый 4 6 6" xfId="1475" xr:uid="{18B249F1-47F1-43CE-9963-6B67B94F0048}"/>
    <cellStyle name="Финансовый 4 6 7" xfId="250" xr:uid="{4521518E-0C85-4D3C-A5B1-9505463578C5}"/>
    <cellStyle name="Финансовый 4 7" xfId="75" xr:uid="{00000000-0005-0000-0000-00007B000000}"/>
    <cellStyle name="Финансовый 4 7 2" xfId="486" xr:uid="{BB5CB898-D889-4F48-9532-41B7D06ADBE7}"/>
    <cellStyle name="Финансовый 4 7 2 2" xfId="758" xr:uid="{AEA3873F-B440-414E-9CEB-E85B6103DE0D}"/>
    <cellStyle name="Финансовый 4 7 2 2 2" xfId="1302" xr:uid="{59340CF0-2FE5-4CCE-952E-502E98AF152A}"/>
    <cellStyle name="Финансовый 4 7 2 3" xfId="1030" xr:uid="{B2BBF577-690B-4FA2-BBCF-5241901D69DC}"/>
    <cellStyle name="Финансовый 4 7 2 4" xfId="1576" xr:uid="{E3E6BABB-99A7-46B1-8B2B-3EFA22303A40}"/>
    <cellStyle name="Финансовый 4 7 3" xfId="622" xr:uid="{7A7A5F7C-0B6F-47AE-AE3D-69059EFCFCD3}"/>
    <cellStyle name="Финансовый 4 7 3 2" xfId="1166" xr:uid="{67557519-5FCE-4B81-A3C4-C52C72300B1A}"/>
    <cellStyle name="Финансовый 4 7 4" xfId="894" xr:uid="{2299D5C2-75EC-460F-89CE-FE0AD9497645}"/>
    <cellStyle name="Финансовый 4 7 5" xfId="350" xr:uid="{DA1728E3-E533-49EC-B60B-2B11C597B776}"/>
    <cellStyle name="Финансовый 4 7 6" xfId="1439" xr:uid="{7EC5D393-1633-413F-AAF0-9301F821CEE0}"/>
    <cellStyle name="Финансовый 4 7 7" xfId="214" xr:uid="{0FD8A950-8CE7-49FB-A0F0-43CAB91F1DF2}"/>
    <cellStyle name="Финансовый 4 8" xfId="53" xr:uid="{00000000-0005-0000-0000-00007C000000}"/>
    <cellStyle name="Финансовый 4 8 2" xfId="466" xr:uid="{DF600B28-BB35-4A30-97B2-54B577ECBE99}"/>
    <cellStyle name="Финансовый 4 8 2 2" xfId="738" xr:uid="{57719452-0E41-49ED-B35E-D8C4A343610B}"/>
    <cellStyle name="Финансовый 4 8 2 2 2" xfId="1282" xr:uid="{52BDE2BE-4EBF-4730-9F1F-63FFABB5CD2F}"/>
    <cellStyle name="Финансовый 4 8 2 3" xfId="1010" xr:uid="{0D26ED20-F5B9-4556-9CC8-52F1240404F3}"/>
    <cellStyle name="Финансовый 4 8 2 4" xfId="1556" xr:uid="{375C289C-C85E-4DE6-AAF4-D5526B11D482}"/>
    <cellStyle name="Финансовый 4 8 3" xfId="602" xr:uid="{56C4E5C0-0F60-4CB0-8647-5BAE311893E4}"/>
    <cellStyle name="Финансовый 4 8 3 2" xfId="1146" xr:uid="{1FE73ED2-7B47-439C-881C-B2D3B9EF544C}"/>
    <cellStyle name="Финансовый 4 8 4" xfId="874" xr:uid="{BA1D8195-7B3A-4CF3-A7FA-0821742D637B}"/>
    <cellStyle name="Финансовый 4 8 5" xfId="330" xr:uid="{A3212299-1158-4017-B113-195CB2EDFB4D}"/>
    <cellStyle name="Финансовый 4 8 6" xfId="1418" xr:uid="{1F615ED7-D669-409B-ACD0-623C7DBB0971}"/>
    <cellStyle name="Финансовый 4 8 7" xfId="193" xr:uid="{55050F6F-FFAA-4C95-BD4C-1834226C638D}"/>
    <cellStyle name="Финансовый 4 9" xfId="131" xr:uid="{00000000-0005-0000-0000-00007D000000}"/>
    <cellStyle name="Финансовый 4 9 2" xfId="542" xr:uid="{BF3CB020-9C11-4263-83B6-96DB7D653C7C}"/>
    <cellStyle name="Финансовый 4 9 2 2" xfId="814" xr:uid="{8FB599A6-3EF2-4366-B3FE-F8370485E3B7}"/>
    <cellStyle name="Финансовый 4 9 2 2 2" xfId="1358" xr:uid="{FE61CB23-D280-415B-89B7-F76E6C2BAFFC}"/>
    <cellStyle name="Финансовый 4 9 2 3" xfId="1086" xr:uid="{869C4752-96E0-4C11-8E2C-263B82E61BD2}"/>
    <cellStyle name="Финансовый 4 9 2 4" xfId="1632" xr:uid="{6A657E7E-F5C8-4570-9DAE-C8B711C460C0}"/>
    <cellStyle name="Финансовый 4 9 3" xfId="678" xr:uid="{761B0A35-E5F6-4D5B-B0AC-A05D2B6ECC92}"/>
    <cellStyle name="Финансовый 4 9 3 2" xfId="1222" xr:uid="{0AFA0B03-5B23-4778-9382-A4E1AED24EFB}"/>
    <cellStyle name="Финансовый 4 9 4" xfId="950" xr:uid="{6326A8CC-0B1C-408B-93EA-1ED1EB8686FC}"/>
    <cellStyle name="Финансовый 4 9 5" xfId="406" xr:uid="{6B3B6DE9-1C44-455F-BBA3-942FAB9EAD73}"/>
    <cellStyle name="Финансовый 4 9 6" xfId="1495" xr:uid="{BF6366F8-0CED-420F-8D2C-01C5147B55B1}"/>
    <cellStyle name="Финансовый 4 9 7" xfId="270" xr:uid="{2A912E56-DC17-4ACE-9015-EEF1A5CA4F64}"/>
    <cellStyle name="Финансовый 5" xfId="7" xr:uid="{00000000-0005-0000-0000-00007E000000}"/>
    <cellStyle name="Финансовый 5 10" xfId="556" xr:uid="{D32E999B-77AE-4C1A-906E-2648ADEF55B2}"/>
    <cellStyle name="Финансовый 5 10 2" xfId="1100" xr:uid="{1648498B-7D33-45F3-A24D-702203E0D8C6}"/>
    <cellStyle name="Финансовый 5 11" xfId="828" xr:uid="{8C41E092-78D8-4C47-948F-4E32C6D4E519}"/>
    <cellStyle name="Финансовый 5 12" xfId="284" xr:uid="{9729FEA4-4220-448B-8B91-3FDA2AB3616C}"/>
    <cellStyle name="Финансовый 5 13" xfId="1372" xr:uid="{E6904281-E955-4E2B-805D-4858F2015F22}"/>
    <cellStyle name="Финансовый 5 14" xfId="147" xr:uid="{BEFD292F-5F30-4421-BADB-6D68430820A7}"/>
    <cellStyle name="Финансовый 5 2" xfId="43" xr:uid="{00000000-0005-0000-0000-00007F000000}"/>
    <cellStyle name="Финансовый 5 2 2" xfId="101" xr:uid="{00000000-0005-0000-0000-000080000000}"/>
    <cellStyle name="Финансовый 5 2 2 2" xfId="512" xr:uid="{2D2B5D09-01E1-4F16-8214-BA35027B8035}"/>
    <cellStyle name="Финансовый 5 2 2 2 2" xfId="784" xr:uid="{D2657280-03C0-448A-8274-7001C992E414}"/>
    <cellStyle name="Финансовый 5 2 2 2 2 2" xfId="1328" xr:uid="{6071E92B-A96B-4E36-AEBA-4D99F10C15AA}"/>
    <cellStyle name="Финансовый 5 2 2 2 3" xfId="1056" xr:uid="{B102BBD1-3C30-4E48-A3C9-29DCE1FD4A10}"/>
    <cellStyle name="Финансовый 5 2 2 2 4" xfId="1602" xr:uid="{15B2032D-A5E4-464A-B83E-0A2538AB6ED8}"/>
    <cellStyle name="Финансовый 5 2 2 3" xfId="648" xr:uid="{DEB75718-C574-4D6E-AA46-2B5FC06ED19B}"/>
    <cellStyle name="Финансовый 5 2 2 3 2" xfId="1192" xr:uid="{5FF11E25-30A9-414A-B451-5E4482376002}"/>
    <cellStyle name="Финансовый 5 2 2 4" xfId="920" xr:uid="{C2ABD2F6-3FE5-4843-9D3E-36DF58559D0C}"/>
    <cellStyle name="Финансовый 5 2 2 5" xfId="376" xr:uid="{17FD101B-02C6-4DD9-994F-FC77B8E0C3F7}"/>
    <cellStyle name="Финансовый 5 2 2 6" xfId="1465" xr:uid="{444779A6-111C-4538-94AD-44E89CA8FF71}"/>
    <cellStyle name="Финансовый 5 2 2 7" xfId="240" xr:uid="{58BBED66-F830-4F4B-A390-A8460F71069E}"/>
    <cellStyle name="Финансовый 5 2 3" xfId="456" xr:uid="{B72BD4E3-81FB-4F54-A183-0BE94583D850}"/>
    <cellStyle name="Финансовый 5 2 3 2" xfId="728" xr:uid="{C504401E-FC44-484C-884E-272339758908}"/>
    <cellStyle name="Финансовый 5 2 3 2 2" xfId="1272" xr:uid="{F4115D7B-FACB-4A22-AB7D-3032C602E7FB}"/>
    <cellStyle name="Финансовый 5 2 3 3" xfId="1000" xr:uid="{C0C60363-37ED-4371-95CE-594CF8DB6E94}"/>
    <cellStyle name="Финансовый 5 2 3 4" xfId="1546" xr:uid="{DE101AC4-7985-4FE7-916E-41882F45E1BD}"/>
    <cellStyle name="Финансовый 5 2 4" xfId="592" xr:uid="{4916F435-D174-485F-AE83-8BF261F198D4}"/>
    <cellStyle name="Финансовый 5 2 4 2" xfId="1136" xr:uid="{D83D02E5-DB27-412E-96B2-CED52B15CE79}"/>
    <cellStyle name="Финансовый 5 2 5" xfId="864" xr:uid="{29D9C661-F46C-4BD9-BF1B-AE6AC788706B}"/>
    <cellStyle name="Финансовый 5 2 6" xfId="320" xr:uid="{4FD5FE65-7597-4542-8F12-08F43AF46959}"/>
    <cellStyle name="Финансовый 5 2 7" xfId="1408" xr:uid="{23EE1BA7-7661-415E-8BD6-BCD024E78BB0}"/>
    <cellStyle name="Финансовый 5 2 8" xfId="183" xr:uid="{80A56CE1-4E0F-41BC-8EC2-33A81F57513B}"/>
    <cellStyle name="Финансовый 5 3" xfId="113" xr:uid="{00000000-0005-0000-0000-000081000000}"/>
    <cellStyle name="Финансовый 5 3 2" xfId="524" xr:uid="{BAA167A9-108E-438C-A31B-488DDBC236C3}"/>
    <cellStyle name="Финансовый 5 3 2 2" xfId="796" xr:uid="{D8472F45-7F87-4A78-A734-709CE5FF28C8}"/>
    <cellStyle name="Финансовый 5 3 2 2 2" xfId="1340" xr:uid="{9F11172E-9956-4A45-8C7A-253FE71D45EF}"/>
    <cellStyle name="Финансовый 5 3 2 3" xfId="1068" xr:uid="{514BB3C6-0430-4736-86B9-9A5D5E6EF3DE}"/>
    <cellStyle name="Финансовый 5 3 2 4" xfId="1614" xr:uid="{A6E3D0F5-9E1D-405B-957D-2EB4EF1CCFE9}"/>
    <cellStyle name="Финансовый 5 3 3" xfId="660" xr:uid="{93717DBE-74BD-4698-ABE5-2ED257FC3DB2}"/>
    <cellStyle name="Финансовый 5 3 3 2" xfId="1204" xr:uid="{2E312FB8-1CB6-4C43-9500-AFE44604AA3B}"/>
    <cellStyle name="Финансовый 5 3 4" xfId="932" xr:uid="{85D8607C-BC89-4496-82FC-B5C864C567BC}"/>
    <cellStyle name="Финансовый 5 3 5" xfId="388" xr:uid="{C9817B61-9449-4659-A992-0D4C851DDEBC}"/>
    <cellStyle name="Финансовый 5 3 6" xfId="1477" xr:uid="{BED090DE-1A18-46FD-8734-9CF93E7A4EAB}"/>
    <cellStyle name="Финансовый 5 3 7" xfId="252" xr:uid="{2CEB72E0-35F5-4D71-AF18-9D3A7D17A22C}"/>
    <cellStyle name="Финансовый 5 4" xfId="77" xr:uid="{00000000-0005-0000-0000-000082000000}"/>
    <cellStyle name="Финансовый 5 4 2" xfId="488" xr:uid="{1B93F4E5-1D03-435E-94E4-E7FDF96E2AE0}"/>
    <cellStyle name="Финансовый 5 4 2 2" xfId="760" xr:uid="{D94807E7-2C00-4CBC-B742-ECE1E0272182}"/>
    <cellStyle name="Финансовый 5 4 2 2 2" xfId="1304" xr:uid="{68D2B212-6A3F-40E5-96A4-6D593CE95A0E}"/>
    <cellStyle name="Финансовый 5 4 2 3" xfId="1032" xr:uid="{E485EFDC-4769-4836-AD1D-631D4C2B32EA}"/>
    <cellStyle name="Финансовый 5 4 2 4" xfId="1578" xr:uid="{91CE3598-C259-4C94-9D2F-6DD61713B904}"/>
    <cellStyle name="Финансовый 5 4 3" xfId="624" xr:uid="{ED7ECF7D-B8E0-4788-B188-9CCA77B92837}"/>
    <cellStyle name="Финансовый 5 4 3 2" xfId="1168" xr:uid="{8676486B-6413-4DEF-ABEC-85FC8F96EBC4}"/>
    <cellStyle name="Финансовый 5 4 4" xfId="896" xr:uid="{74FFBC3B-A5F8-494D-B799-C2BB86244906}"/>
    <cellStyle name="Финансовый 5 4 5" xfId="352" xr:uid="{3368D19E-F683-4F60-AB97-EEF35B1378B2}"/>
    <cellStyle name="Финансовый 5 4 6" xfId="1441" xr:uid="{31A37ECA-E3B5-4E24-A981-6EF8D2C91DAD}"/>
    <cellStyle name="Финансовый 5 4 7" xfId="216" xr:uid="{7EBAAB8A-7E48-4B4E-951E-B0E7B541DE22}"/>
    <cellStyle name="Финансовый 5 5" xfId="55" xr:uid="{00000000-0005-0000-0000-000083000000}"/>
    <cellStyle name="Финансовый 5 5 2" xfId="468" xr:uid="{D2660780-3B50-430B-9877-8C7F81E4329F}"/>
    <cellStyle name="Финансовый 5 5 2 2" xfId="740" xr:uid="{1B47316F-2C8F-42E6-9104-4C0180E4E83F}"/>
    <cellStyle name="Финансовый 5 5 2 2 2" xfId="1284" xr:uid="{D74C0FE5-B3EE-4460-BF8A-BFB2FD43968F}"/>
    <cellStyle name="Финансовый 5 5 2 3" xfId="1012" xr:uid="{151F4253-1F05-45A4-984E-158B5BA5D148}"/>
    <cellStyle name="Финансовый 5 5 2 4" xfId="1558" xr:uid="{F1AB86B8-E246-4866-B461-CACF30492DC8}"/>
    <cellStyle name="Финансовый 5 5 3" xfId="604" xr:uid="{D238AE49-9C7D-4FE4-9341-7B6E81388293}"/>
    <cellStyle name="Финансовый 5 5 3 2" xfId="1148" xr:uid="{C11F929F-3F46-467C-98AD-9E15EDB8E42A}"/>
    <cellStyle name="Финансовый 5 5 4" xfId="876" xr:uid="{0165E407-9F17-499F-A046-DD50296EFCB0}"/>
    <cellStyle name="Финансовый 5 5 5" xfId="332" xr:uid="{A1DE214C-E455-41E9-8825-0D3F275F482F}"/>
    <cellStyle name="Финансовый 5 5 6" xfId="1420" xr:uid="{B3FBA7EE-AC53-4582-A2A2-4CDAC3D6AFA1}"/>
    <cellStyle name="Финансовый 5 5 7" xfId="195" xr:uid="{0074F3E3-CBFF-4FAF-96B1-D7954F0A2C1A}"/>
    <cellStyle name="Финансовый 5 6" xfId="133" xr:uid="{00000000-0005-0000-0000-000084000000}"/>
    <cellStyle name="Финансовый 5 6 2" xfId="544" xr:uid="{635AFEDC-B4CB-4FB3-8BD0-1051099C8888}"/>
    <cellStyle name="Финансовый 5 6 2 2" xfId="816" xr:uid="{C90F2A03-B20B-498E-B4B6-4905637AF21C}"/>
    <cellStyle name="Финансовый 5 6 2 2 2" xfId="1360" xr:uid="{0A4D7297-69B8-452A-A7AD-9AEA291B5EF5}"/>
    <cellStyle name="Финансовый 5 6 2 3" xfId="1088" xr:uid="{6C50B5D8-3B2D-445B-8B24-C1C82DBCD661}"/>
    <cellStyle name="Финансовый 5 6 2 4" xfId="1634" xr:uid="{DEED8010-1BAF-4C19-A011-BB95AC6D85A6}"/>
    <cellStyle name="Финансовый 5 6 3" xfId="680" xr:uid="{871B0A1E-0B0C-45D2-AEC8-E3E082B6AF07}"/>
    <cellStyle name="Финансовый 5 6 3 2" xfId="1224" xr:uid="{80A276D2-874E-451B-BB50-69CA759B02CE}"/>
    <cellStyle name="Финансовый 5 6 4" xfId="952" xr:uid="{97EC9559-DCF6-45F9-A69B-DA3268484F71}"/>
    <cellStyle name="Финансовый 5 6 5" xfId="408" xr:uid="{15C7A10F-907D-4825-9B5B-D8904AFA04C0}"/>
    <cellStyle name="Финансовый 5 6 6" xfId="1497" xr:uid="{3BF9FE47-FBCC-49D8-92E1-1026D1BFAF4F}"/>
    <cellStyle name="Финансовый 5 6 7" xfId="272" xr:uid="{BA36730E-56F7-4841-A11B-498A74CA68DF}"/>
    <cellStyle name="Финансовый 5 7" xfId="31" xr:uid="{00000000-0005-0000-0000-000085000000}"/>
    <cellStyle name="Финансовый 5 7 2" xfId="444" xr:uid="{4353CB82-7FC6-4B2B-A8C3-672C9D5FDD3B}"/>
    <cellStyle name="Финансовый 5 7 2 2" xfId="716" xr:uid="{E4F8E322-3EBD-4913-B264-CE31BEABC8AF}"/>
    <cellStyle name="Финансовый 5 7 2 2 2" xfId="1260" xr:uid="{D9087503-31BE-4078-9D0C-7F7CA35FDB1A}"/>
    <cellStyle name="Финансовый 5 7 2 3" xfId="988" xr:uid="{4CFEB15B-6E7D-4964-B87B-6DBA7AFE30C6}"/>
    <cellStyle name="Финансовый 5 7 2 4" xfId="1534" xr:uid="{08C38C79-76B6-40B9-A5A8-EECFCB930048}"/>
    <cellStyle name="Финансовый 5 7 3" xfId="580" xr:uid="{30FFCB0B-0864-45BB-9929-4B9D38F1A88B}"/>
    <cellStyle name="Финансовый 5 7 3 2" xfId="1124" xr:uid="{9DB817D6-DECF-4E93-80B4-FCC40289A0F4}"/>
    <cellStyle name="Финансовый 5 7 4" xfId="852" xr:uid="{C987EE4E-3C27-4E82-BD24-6F39E8F156B2}"/>
    <cellStyle name="Финансовый 5 7 5" xfId="308" xr:uid="{4031BC2C-B627-4F23-A7D5-D729D3246849}"/>
    <cellStyle name="Финансовый 5 7 6" xfId="1396" xr:uid="{113FF0FB-A945-4042-9D51-E6B4B90B5DF3}"/>
    <cellStyle name="Финансовый 5 7 7" xfId="171" xr:uid="{C1AE8908-531E-407F-B394-CA15DCC85956}"/>
    <cellStyle name="Финансовый 5 8" xfId="19" xr:uid="{00000000-0005-0000-0000-000086000000}"/>
    <cellStyle name="Финансовый 5 8 2" xfId="432" xr:uid="{475BBF3A-9B90-45CB-AE53-01CC935A08BE}"/>
    <cellStyle name="Финансовый 5 8 2 2" xfId="704" xr:uid="{8E3EC2DD-3FAF-4947-8808-EDC07A074B1C}"/>
    <cellStyle name="Финансовый 5 8 2 2 2" xfId="1248" xr:uid="{76C019A9-E9D2-48FC-8FA7-03A81DC719B7}"/>
    <cellStyle name="Финансовый 5 8 2 3" xfId="976" xr:uid="{1AE9B7F8-44DC-4A60-B0DD-DF4DF12A9F78}"/>
    <cellStyle name="Финансовый 5 8 2 4" xfId="1522" xr:uid="{E0A22F80-3D3B-41C6-821A-441227EF2263}"/>
    <cellStyle name="Финансовый 5 8 3" xfId="568" xr:uid="{5A2A1224-19A6-4921-A9E8-A32990CA8DFA}"/>
    <cellStyle name="Финансовый 5 8 3 2" xfId="1112" xr:uid="{09E313AB-42CA-4414-979C-1A1921EAD280}"/>
    <cellStyle name="Финансовый 5 8 4" xfId="840" xr:uid="{73E8E269-1D33-4C30-B4C2-C3F1497E5A86}"/>
    <cellStyle name="Финансовый 5 8 5" xfId="296" xr:uid="{39C9F619-9D2C-4628-9853-1DC611CAD1BA}"/>
    <cellStyle name="Финансовый 5 8 6" xfId="1384" xr:uid="{DE0A891B-5D21-4713-B25A-B48F15BD3325}"/>
    <cellStyle name="Финансовый 5 8 7" xfId="159" xr:uid="{B0A1976B-51EE-46E3-ABDA-C5BE11F031F1}"/>
    <cellStyle name="Финансовый 5 9" xfId="420" xr:uid="{6A0B99CD-915D-46DA-A174-226DE4C9F552}"/>
    <cellStyle name="Финансовый 5 9 2" xfId="692" xr:uid="{4473A658-6BA9-4714-A721-F3313CEB22A7}"/>
    <cellStyle name="Финансовый 5 9 2 2" xfId="1236" xr:uid="{E28E5436-0CC3-4D15-AAC1-5E854BC0ECD9}"/>
    <cellStyle name="Финансовый 5 9 3" xfId="964" xr:uid="{437E6B3B-243B-4541-AA13-531C21560E27}"/>
    <cellStyle name="Финансовый 5 9 4" xfId="1510" xr:uid="{02C12F5F-B606-41D0-B1D4-1942232FFF24}"/>
    <cellStyle name="Финансовый 6" xfId="37" xr:uid="{00000000-0005-0000-0000-000087000000}"/>
    <cellStyle name="Финансовый 6 2" xfId="119" xr:uid="{00000000-0005-0000-0000-000088000000}"/>
    <cellStyle name="Финансовый 6 2 2" xfId="530" xr:uid="{5F17C683-7B81-4780-9219-BFBECDA5197C}"/>
    <cellStyle name="Финансовый 6 2 2 2" xfId="802" xr:uid="{25B00787-FFB9-4F96-9CF6-8631CC0FC4A3}"/>
    <cellStyle name="Финансовый 6 2 2 2 2" xfId="1346" xr:uid="{65637513-06E7-486B-9ECF-D94718364F55}"/>
    <cellStyle name="Финансовый 6 2 2 3" xfId="1074" xr:uid="{25A258A0-7DEE-4287-A031-2AF8DD820685}"/>
    <cellStyle name="Финансовый 6 2 2 4" xfId="1620" xr:uid="{37EA98DC-73D4-40E2-A34E-80610D134A69}"/>
    <cellStyle name="Финансовый 6 2 3" xfId="666" xr:uid="{84329371-C3A2-4062-AC60-262C350DBEA5}"/>
    <cellStyle name="Финансовый 6 2 3 2" xfId="1210" xr:uid="{1DCB700B-B610-4605-92E7-88618FC6223E}"/>
    <cellStyle name="Финансовый 6 2 4" xfId="938" xr:uid="{5BCD6F54-97C6-4B8A-B588-CE17EDFA347F}"/>
    <cellStyle name="Финансовый 6 2 5" xfId="394" xr:uid="{0C54662D-E12F-4D18-9B41-50219CED4693}"/>
    <cellStyle name="Финансовый 6 2 6" xfId="1483" xr:uid="{FC75D659-14DE-46DC-8E1B-EBC7D188D950}"/>
    <cellStyle name="Финансовый 6 2 7" xfId="258" xr:uid="{766BABC7-F3C9-4FA1-8322-ED1B8D2A7936}"/>
    <cellStyle name="Финансовый 6 3" xfId="83" xr:uid="{00000000-0005-0000-0000-000089000000}"/>
    <cellStyle name="Финансовый 6 3 2" xfId="494" xr:uid="{33622B72-8F59-4616-8F9B-DE9743F3C436}"/>
    <cellStyle name="Финансовый 6 3 2 2" xfId="766" xr:uid="{4D4FC273-F04E-4C9B-BF14-C15035400DA3}"/>
    <cellStyle name="Финансовый 6 3 2 2 2" xfId="1310" xr:uid="{0334D176-42FA-4A70-B836-85FF62C08FEE}"/>
    <cellStyle name="Финансовый 6 3 2 3" xfId="1038" xr:uid="{D73FCA4A-4481-43CB-AB2A-D31E89568628}"/>
    <cellStyle name="Финансовый 6 3 2 4" xfId="1584" xr:uid="{CA85032E-97AF-4D2E-AE3A-2FE30A0F5127}"/>
    <cellStyle name="Финансовый 6 3 3" xfId="630" xr:uid="{B9934488-BE4B-4750-8685-06FA8A0348F9}"/>
    <cellStyle name="Финансовый 6 3 3 2" xfId="1174" xr:uid="{946B8B04-F1FD-42AE-AD56-A62D1B956D0E}"/>
    <cellStyle name="Финансовый 6 3 4" xfId="902" xr:uid="{41741544-7862-4F34-BEE1-9B52175EC102}"/>
    <cellStyle name="Финансовый 6 3 5" xfId="358" xr:uid="{17CE6022-2BDD-4639-B8EF-872C8B743394}"/>
    <cellStyle name="Финансовый 6 3 6" xfId="1447" xr:uid="{86325294-56D1-49E7-87E2-31EAAA754D28}"/>
    <cellStyle name="Финансовый 6 3 7" xfId="222" xr:uid="{653B4544-85C8-4AD0-858F-C60F367376E0}"/>
    <cellStyle name="Финансовый 6 4" xfId="450" xr:uid="{0BDCB3B8-02AA-43C8-86C5-80F0EF12DC6F}"/>
    <cellStyle name="Финансовый 6 4 2" xfId="722" xr:uid="{CFFD94DB-6621-42AB-BBD6-7C69E23EB570}"/>
    <cellStyle name="Финансовый 6 4 2 2" xfId="1266" xr:uid="{323F570B-FCF2-4575-8033-54899D57C35E}"/>
    <cellStyle name="Финансовый 6 4 3" xfId="994" xr:uid="{697C2C15-B462-4C23-A0EF-AD03FE6DD7B9}"/>
    <cellStyle name="Финансовый 6 4 4" xfId="1540" xr:uid="{0D87EF7C-2354-4729-AF15-9171FC823D61}"/>
    <cellStyle name="Финансовый 6 5" xfId="586" xr:uid="{D99E2740-460D-410F-A908-538F3A9F2C4B}"/>
    <cellStyle name="Финансовый 6 5 2" xfId="1130" xr:uid="{1A2A159D-2558-44EF-AD2A-69AF34FBA7B2}"/>
    <cellStyle name="Финансовый 6 6" xfId="858" xr:uid="{153EA3F1-4E90-4584-AE0A-439576E95039}"/>
    <cellStyle name="Финансовый 6 7" xfId="314" xr:uid="{E9F17970-BA1F-452C-9DE1-5889ABA65293}"/>
    <cellStyle name="Финансовый 6 8" xfId="1402" xr:uid="{33B61A67-F4AA-4D38-A06A-373465C6E757}"/>
    <cellStyle name="Финансовый 6 9" xfId="177" xr:uid="{08EDE60B-9593-4E8A-BA1C-0DF2577818E9}"/>
    <cellStyle name="Финансовый 7" xfId="89" xr:uid="{00000000-0005-0000-0000-00008A000000}"/>
    <cellStyle name="Финансовый 7 2" xfId="500" xr:uid="{D325CFD3-DBCD-4407-A238-410696D2AD05}"/>
    <cellStyle name="Финансовый 7 2 2" xfId="772" xr:uid="{793B2AB8-7BB2-4DD9-8EE1-52C622B175B6}"/>
    <cellStyle name="Финансовый 7 2 2 2" xfId="1316" xr:uid="{586FF475-D349-40CA-BE45-B879AAD430E7}"/>
    <cellStyle name="Финансовый 7 2 3" xfId="1044" xr:uid="{50D34DDD-51EC-4C7E-979F-7F71ED26DE49}"/>
    <cellStyle name="Финансовый 7 2 4" xfId="1590" xr:uid="{382D0C7F-19E9-4953-810E-8F01295A7503}"/>
    <cellStyle name="Финансовый 7 3" xfId="636" xr:uid="{9CF3CBE0-C56C-4617-B0D8-A32FD9405620}"/>
    <cellStyle name="Финансовый 7 3 2" xfId="1180" xr:uid="{1529AE68-3DF5-40E1-A447-97E1984E5FD4}"/>
    <cellStyle name="Финансовый 7 4" xfId="908" xr:uid="{5FB754E7-A7A4-4943-B04D-5974AA388C34}"/>
    <cellStyle name="Финансовый 7 5" xfId="364" xr:uid="{1BD77CE8-A9CF-459C-BCF4-FDD8BDDF5055}"/>
    <cellStyle name="Финансовый 7 6" xfId="1453" xr:uid="{0BB2968C-E1FC-4A60-BA19-B52B8EEFA285}"/>
    <cellStyle name="Финансовый 7 7" xfId="228" xr:uid="{AF0122C2-B24F-4F8E-8781-57BC41C687F8}"/>
    <cellStyle name="Финансовый 8" xfId="95" xr:uid="{00000000-0005-0000-0000-00008B000000}"/>
    <cellStyle name="Финансовый 8 2" xfId="506" xr:uid="{B1E9F6CC-4179-4AD1-B85E-3744EA79C659}"/>
    <cellStyle name="Финансовый 8 2 2" xfId="778" xr:uid="{09B681E8-0F8A-47B9-8CFA-725428AD4780}"/>
    <cellStyle name="Финансовый 8 2 2 2" xfId="1322" xr:uid="{FC5F7F8A-4210-4823-9367-6C8DC13E4F24}"/>
    <cellStyle name="Финансовый 8 2 3" xfId="1050" xr:uid="{EB2BA6E3-89D3-49A5-A2B8-D6F9F07844C9}"/>
    <cellStyle name="Финансовый 8 2 4" xfId="1596" xr:uid="{A7881148-D3D6-4848-8307-AE135202EF2A}"/>
    <cellStyle name="Финансовый 8 3" xfId="642" xr:uid="{F4C2EAF5-5F60-4E22-85AD-B29EB1E7C45A}"/>
    <cellStyle name="Финансовый 8 3 2" xfId="1186" xr:uid="{4A35C7BF-E9A7-4466-8CAD-6E7F8D0B1286}"/>
    <cellStyle name="Финансовый 8 4" xfId="914" xr:uid="{BD46A5BC-E773-4959-99BA-34F739B26ACB}"/>
    <cellStyle name="Финансовый 8 5" xfId="370" xr:uid="{AEC3F339-FD54-4CCD-B08C-CB52CD0EDB08}"/>
    <cellStyle name="Финансовый 8 6" xfId="1459" xr:uid="{17FC3466-485B-499A-84B3-D15B67129BE3}"/>
    <cellStyle name="Финансовый 8 7" xfId="234" xr:uid="{218E29A2-B866-4BD6-91B7-31F7801559BE}"/>
    <cellStyle name="Финансовый 9" xfId="107" xr:uid="{00000000-0005-0000-0000-00008C000000}"/>
    <cellStyle name="Финансовый 9 2" xfId="518" xr:uid="{E9835BFB-C593-45E5-8DA1-EFF3954EDEFC}"/>
    <cellStyle name="Финансовый 9 2 2" xfId="790" xr:uid="{D386B9CD-FE17-4DB9-98C3-1BE51A8B8FB8}"/>
    <cellStyle name="Финансовый 9 2 2 2" xfId="1334" xr:uid="{C310613A-1B32-4820-A57E-8D8DB72EBFBD}"/>
    <cellStyle name="Финансовый 9 2 3" xfId="1062" xr:uid="{B8492C1D-9494-4469-9503-26BDC39A2E5E}"/>
    <cellStyle name="Финансовый 9 2 4" xfId="1608" xr:uid="{F5EC14C1-4580-4EF1-979D-306385F04794}"/>
    <cellStyle name="Финансовый 9 3" xfId="654" xr:uid="{18A28F9A-2253-4A7F-B6B1-25826B9E4B5D}"/>
    <cellStyle name="Финансовый 9 3 2" xfId="1198" xr:uid="{1FAFE7BF-186D-4C63-9237-2652650DC698}"/>
    <cellStyle name="Финансовый 9 4" xfId="926" xr:uid="{2FD0D316-AA41-4B0F-BB05-AFB90C964EAB}"/>
    <cellStyle name="Финансовый 9 5" xfId="382" xr:uid="{C8D41871-CE85-4AA6-B9B6-BB13318B5A91}"/>
    <cellStyle name="Финансовый 9 6" xfId="1471" xr:uid="{9494166D-EF99-4F61-A380-3F553F493350}"/>
    <cellStyle name="Финансовый 9 7" xfId="246" xr:uid="{7B8C99C9-3A96-4420-A258-AC9374BD00AA}"/>
  </cellStyles>
  <dxfs count="9">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56"/>
  <sheetViews>
    <sheetView view="pageBreakPreview" zoomScaleSheetLayoutView="100" workbookViewId="0">
      <selection activeCell="A55" sqref="A55:B55"/>
    </sheetView>
  </sheetViews>
  <sheetFormatPr defaultRowHeight="15"/>
  <cols>
    <col min="1" max="1" width="22.85546875" style="75" customWidth="1"/>
    <col min="2" max="2" width="24.28515625" style="75" customWidth="1"/>
    <col min="3" max="3" width="21.28515625" style="75" customWidth="1"/>
    <col min="4" max="4" width="18" style="75" customWidth="1"/>
    <col min="5" max="5" width="25.140625" style="75"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47" t="str">
        <f>""&amp;'Общие данные'!B147&amp;"mikromoliya tashkilotiKredit qo‘mitasining yig‘ilishi"</f>
        <v>«CLEVER MIKROMOLIYA TASHKILOTI» MChJmikromoliya tashkilotiKredit qo‘mitasining yig‘ilishi</v>
      </c>
      <c r="B1" s="247"/>
      <c r="C1" s="247"/>
      <c r="D1" s="247"/>
      <c r="E1" s="247"/>
    </row>
    <row r="2" spans="1:33" ht="29.25" customHeight="1">
      <c r="A2" s="247" t="str">
        <f>""&amp;H7&amp;" protokolidan ko'chirma"</f>
        <v>№548-AL protokolidan ko'chirma</v>
      </c>
      <c r="B2" s="247"/>
      <c r="C2" s="247"/>
      <c r="D2" s="247"/>
      <c r="E2" s="247"/>
    </row>
    <row r="3" spans="1:33" ht="29.25" customHeight="1">
      <c r="A3" s="160" t="s">
        <v>214</v>
      </c>
      <c r="B3" s="59"/>
      <c r="C3" s="59"/>
      <c r="D3" s="59"/>
      <c r="E3" s="161" t="str">
        <f>'Общие данные'!B68</f>
        <v>7 mart 2025 y.</v>
      </c>
    </row>
    <row r="4" spans="1:33" ht="29.25" customHeight="1">
      <c r="A4" s="59"/>
      <c r="B4" s="247" t="s">
        <v>213</v>
      </c>
      <c r="C4" s="247"/>
      <c r="D4" s="247"/>
      <c r="E4" s="59"/>
    </row>
    <row r="5" spans="1:33" ht="36" customHeight="1">
      <c r="A5" s="245" t="str">
        <f>"         "&amp;H8&amp;"."&amp;'Общие данные'!B5&amp;" ga "&amp;'Общие данные'!B65&amp;" berish masalasini ko‘rib chiqish to‘g‘risida."</f>
        <v xml:space="preserve">         1.MIRZAKULOV RUSTAMJON MUXAMADJANOVICH ga mikroqarz berish masalasini ko‘rib chiqish to‘g‘risida.</v>
      </c>
      <c r="B5" s="245"/>
      <c r="C5" s="245"/>
      <c r="D5" s="245"/>
      <c r="E5" s="245"/>
    </row>
    <row r="7" spans="1:33" ht="21" customHeight="1">
      <c r="A7" s="238"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MIRZAKULOV RUSTAMJON MUXAMADJANOVICHga 55 000 000,00 (ellik besh million so'm) so‘m miqdorida, muddati 12 (o'n ikki) oyga va yillik 60 (Oltmish) foiz miqdorida mikroqarz berich bo‘yicha MIRZAKULOV RUSTAMJON MUXAMADJANOVICHning kredit arizasi va «CLEVER MIKROMOLIYA TASHKILOTI» MChJning xulosasi bilan ishtirokchilarni tanishtirdi.</v>
      </c>
      <c r="B7" s="238"/>
      <c r="C7" s="238"/>
      <c r="D7" s="238"/>
      <c r="E7" s="238"/>
      <c r="G7" s="76" t="s">
        <v>278</v>
      </c>
      <c r="H7" s="77" t="str">
        <f>'Общие данные'!B1</f>
        <v>№548-AL</v>
      </c>
    </row>
    <row r="8" spans="1:33" ht="23.25">
      <c r="A8" s="238"/>
      <c r="B8" s="238"/>
      <c r="C8" s="238"/>
      <c r="D8" s="238"/>
      <c r="E8" s="238"/>
      <c r="G8" s="76" t="s">
        <v>279</v>
      </c>
      <c r="H8" s="77">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16.5" customHeight="1">
      <c r="A9" s="238"/>
      <c r="B9" s="238"/>
      <c r="C9" s="238"/>
      <c r="D9" s="238"/>
      <c r="E9" s="238"/>
      <c r="G9" s="76" t="s">
        <v>280</v>
      </c>
      <c r="H9" s="77" t="str">
        <f>IF(H8=I8,I9,IF(H8=J8,J9,IF(H8=K8,K9,IF(H8=L8,L9,IF(H8=M8,M9,IF(H8=N8,N9,IF(H8=O8,O9,IF(H8=P8,P9,IF(H8=Q8,Q9,IF(H8=R8,R9,IF(H8=S8,S9,IF(H8=T8,T9,IF(H8=U8,U9,IF(H8=V8,V9,IF(H8=W8,W9,IF(H8=X8,X9,IF(H8=Y8,Y9,IF(H8=Z8,Z9,IF(H8=AA8,AA9,IF(H8=AB8,AB9,IF(H8=AC8,AC9,IF(H8=AD8,AD9,IF(H8=AE8,AE9,IF(H8=AF8,AF9,IF(H8=AG8,AG9)))))))))))))))))))))))))</f>
        <v>Birinchi</v>
      </c>
      <c r="I9" s="187" t="s">
        <v>201</v>
      </c>
      <c r="J9" s="188" t="s">
        <v>202</v>
      </c>
      <c r="K9" s="188" t="s">
        <v>203</v>
      </c>
      <c r="L9" s="188" t="s">
        <v>395</v>
      </c>
      <c r="M9" s="188" t="s">
        <v>204</v>
      </c>
      <c r="N9" s="188" t="s">
        <v>396</v>
      </c>
      <c r="O9" s="188" t="s">
        <v>205</v>
      </c>
      <c r="P9" s="188" t="s">
        <v>206</v>
      </c>
      <c r="Q9" s="188" t="s">
        <v>207</v>
      </c>
      <c r="R9" s="188" t="s">
        <v>385</v>
      </c>
      <c r="S9" s="188" t="s">
        <v>386</v>
      </c>
      <c r="T9" s="188" t="s">
        <v>387</v>
      </c>
      <c r="U9" s="188" t="s">
        <v>388</v>
      </c>
      <c r="V9" s="188" t="s">
        <v>397</v>
      </c>
      <c r="W9" s="188" t="s">
        <v>389</v>
      </c>
      <c r="X9" s="188" t="s">
        <v>390</v>
      </c>
      <c r="Y9" s="188" t="s">
        <v>391</v>
      </c>
      <c r="Z9" s="188" t="s">
        <v>392</v>
      </c>
      <c r="AA9" s="188" t="s">
        <v>393</v>
      </c>
      <c r="AB9" s="188" t="s">
        <v>208</v>
      </c>
      <c r="AC9" s="188" t="s">
        <v>209</v>
      </c>
      <c r="AD9" s="188" t="s">
        <v>210</v>
      </c>
      <c r="AE9" s="188" t="s">
        <v>211</v>
      </c>
      <c r="AF9" s="188" t="s">
        <v>394</v>
      </c>
      <c r="AG9" s="188" t="s">
        <v>212</v>
      </c>
    </row>
    <row r="10" spans="1:33" ht="10.5" hidden="1" customHeight="1">
      <c r="A10" s="238"/>
      <c r="B10" s="238"/>
      <c r="C10" s="238"/>
      <c r="D10" s="238"/>
      <c r="E10" s="238"/>
    </row>
    <row r="11" spans="1:33" ht="9" hidden="1" customHeight="1">
      <c r="A11" s="238"/>
      <c r="B11" s="238"/>
      <c r="C11" s="238"/>
      <c r="D11" s="238"/>
      <c r="E11" s="238"/>
    </row>
    <row r="12" spans="1:33" ht="3" customHeight="1">
      <c r="A12" s="238"/>
      <c r="B12" s="238"/>
      <c r="C12" s="238"/>
      <c r="D12" s="238"/>
      <c r="E12" s="238"/>
    </row>
    <row r="13" spans="1:33" ht="7.5" customHeight="1"/>
    <row r="14" spans="1:33" ht="15.75" customHeight="1">
      <c r="A14" s="248" t="str">
        <f>""&amp;'Общие данные'!C64&amp;" ta’minoti:"</f>
        <v>Mikroqarz ta’minoti:</v>
      </c>
      <c r="B14" s="248"/>
      <c r="C14" s="248"/>
      <c r="D14" s="248"/>
      <c r="E14" s="248"/>
    </row>
    <row r="15" spans="1:33" ht="7.5" customHeight="1"/>
    <row r="16" spans="1:33" ht="64.5" customHeight="1">
      <c r="A16" s="238" t="str">
        <f>'Заключение КК'!A18:E18</f>
        <v xml:space="preserve">  Egalik huquqi MIRZAKULOV RUSTAMJON MUXAMADJANOVICHga tegishli bo'lgan garovga olingan avtomobil markasi   KIA SEITOS G08M, rangi -  OQ BELIY JEMCHUG-OK, ishlab chiqarilgan yili - 2023, davlat raqam belgisi 10L832HB, Kuzov turi YENGIL SEDAN, Kuzov raqami XWBJF69VELA059410, dvigatel raqami G4NHPH325362, shassi raqami -  - </v>
      </c>
      <c r="B16" s="238"/>
      <c r="C16" s="238"/>
      <c r="D16" s="238"/>
      <c r="E16" s="238"/>
    </row>
    <row r="17" spans="1:5" ht="17.25" customHeight="1">
      <c r="C17" s="189" t="s">
        <v>404</v>
      </c>
      <c r="D17" s="189" t="str">
        <f>""&amp;'Общие данные'!B147&amp;" kredit qo‘mitasi"</f>
        <v>«CLEVER MIKROMOLIYA TASHKILOTI» MChJ kredit qo‘mitasi</v>
      </c>
      <c r="E17" s="189"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8"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8"/>
      <c r="C18" s="238"/>
      <c r="D18" s="238"/>
      <c r="E18" s="238"/>
    </row>
    <row r="19" spans="1:5" ht="24" customHeight="1">
      <c r="A19" s="249" t="s">
        <v>281</v>
      </c>
      <c r="B19" s="249"/>
      <c r="C19" s="249"/>
      <c r="D19" s="249"/>
      <c r="E19" s="249"/>
    </row>
    <row r="20" spans="1:5" ht="32.25" customHeight="1">
      <c r="A20" s="238" t="str">
        <f>"       "&amp;'Общие данные'!B5&amp;"ga quyidagi shartlarda "&amp;'Общие данные'!B65&amp;" berish masalasi ma’qullansin:"</f>
        <v xml:space="preserve">       MIRZAKULOV RUSTAMJON MUXAMADJANOVICHga quyidagi shartlarda mikroqarz berish masalasi ma’qullansin:</v>
      </c>
      <c r="B20" s="238"/>
      <c r="C20" s="238"/>
      <c r="D20" s="238"/>
      <c r="E20" s="238"/>
    </row>
    <row r="21" spans="1:5" s="162" customFormat="1" ht="18.75" customHeight="1">
      <c r="A21" s="245" t="str">
        <f>"1. "&amp;'Общие данные'!C64&amp;" summasi: "&amp;FIXED('Общие данные'!B75)&amp;" ("&amp;'Общие данные'!B76&amp;") so'm."</f>
        <v>1. Mikroqarz summasi: 55 000 000,00 (ellik besh million so'm) so'm.</v>
      </c>
      <c r="B21" s="245"/>
      <c r="C21" s="245"/>
      <c r="D21" s="245"/>
      <c r="E21" s="245"/>
    </row>
    <row r="22" spans="1:5" s="162" customFormat="1" ht="18.75" customHeight="1">
      <c r="A22" s="245" t="str">
        <f>"2. "&amp;'Общие данные'!C64&amp;" muddati: "&amp;'Общие данные'!B81&amp;" ("&amp;'Общие данные'!B82&amp;") oy "</f>
        <v xml:space="preserve">2. Mikroqarz muddati: 12 (o'n ikki) oy </v>
      </c>
      <c r="B22" s="245"/>
      <c r="C22" s="245"/>
      <c r="D22" s="245"/>
      <c r="E22" s="245"/>
    </row>
    <row r="23" spans="1:5" s="162" customFormat="1" ht="18.75" customHeight="1">
      <c r="A23" s="245" t="str">
        <f>"3. "&amp;'Общие данные'!C64&amp;"dan foydalanganlik uchun foiz stavkasi:yillik "&amp;'Общие данные'!B85&amp;"% ("&amp;'Общие данные'!B86&amp;") foiz."</f>
        <v>3. Mikroqarzdan foydalanganlik uchun foiz stavkasi:yillik 60% (Oltmish) foiz.</v>
      </c>
      <c r="B23" s="245"/>
      <c r="C23" s="245"/>
      <c r="D23" s="245"/>
      <c r="E23" s="245"/>
    </row>
    <row r="24" spans="1:5" s="162" customFormat="1" ht="18.75" customHeight="1">
      <c r="A24" s="245" t="str">
        <f>"4. "&amp;'Общие данные'!C64&amp;" bo‘yicha asosiy qarz va foizlarni to‘lash:"</f>
        <v>4. Mikroqarz bo‘yicha asosiy qarz va foizlarni to‘lash:</v>
      </c>
      <c r="B24" s="245"/>
      <c r="C24" s="245"/>
      <c r="D24" s="245"/>
      <c r="E24" s="245"/>
    </row>
    <row r="25" spans="1:5" s="162" customFormat="1" ht="18.75" customHeight="1">
      <c r="A25" s="245" t="str">
        <f>'Кредитная заявка'!A19:D19</f>
        <v xml:space="preserve"> - mikroqarz shartnomasi bo'yicha har oy differensial to'lovlari amalga oshiriladi</v>
      </c>
      <c r="B25" s="245"/>
      <c r="C25" s="245"/>
      <c r="D25" s="245"/>
      <c r="E25" s="245"/>
    </row>
    <row r="26" spans="1:5" ht="48" customHeight="1">
      <c r="A26" s="238" t="str">
        <f>"5. "&amp;'Общие данные'!C64&amp;" bo‘yicha garov  "&amp;'Заключение КК'!A29:E29&amp;""</f>
        <v>5. Mikroqarz bo‘yicha garov   - MIRZAKULOV RUSTAMJON MUXAMADJANOVICH ga mulk huquqi asosida tegishli avtotransport vositasi KIA SEITOS G08M , quyidagi tafsilotlarga muvofiq:</v>
      </c>
      <c r="B26" s="238"/>
      <c r="C26" s="238"/>
      <c r="D26" s="238"/>
      <c r="E26" s="238"/>
    </row>
    <row r="27" spans="1:5" ht="40.5" customHeight="1">
      <c r="A27" s="20" t="str">
        <f>'Акт согласования'!A47</f>
        <v>Nomi</v>
      </c>
      <c r="B27" s="20" t="str">
        <f>'Акт согласования'!B47</f>
        <v>Kuzov turi  va kuzov raqami*</v>
      </c>
      <c r="C27" s="20" t="str">
        <f>'Акт согласования'!C47</f>
        <v>Dvigatel va shassi raqami*</v>
      </c>
      <c r="D27" s="20" t="str">
        <f>'Акт согласования'!D47</f>
        <v>Ishlab chiqarilgan yili va rangi*</v>
      </c>
      <c r="E27" s="20" t="str">
        <f>'Акт согласования'!E47</f>
        <v>Kelishilgan garov qiymati, so'm</v>
      </c>
    </row>
    <row r="28" spans="1:5" ht="75.75" customHeight="1">
      <c r="A28" s="20" t="str">
        <f>'Акт согласования'!A48</f>
        <v>KIA SEITOS G08M</v>
      </c>
      <c r="B28" s="20" t="str">
        <f>'Акт согласования'!B48</f>
        <v>Kuzov turi YENGIL SEDAN, Kuzov raqami XWBJF69VELA059410</v>
      </c>
      <c r="C28" s="20" t="str">
        <f>'Акт согласования'!C48</f>
        <v xml:space="preserve">dvigatel raqami G4NHPH325362, shassi raqami -  - </v>
      </c>
      <c r="D28" s="20" t="str">
        <f>'Акт согласования'!D48</f>
        <v>rangi -  OQ BELIY JEMCHUG-OK, ishlab chiqarilgan yili - 2023</v>
      </c>
      <c r="E28" s="20" t="str">
        <f>'Акт согласования'!E48</f>
        <v>82 500 000,00 (sakson ikki million besh yuz ming so'm)</v>
      </c>
    </row>
    <row r="29" spans="1:5" ht="20.25" customHeight="1">
      <c r="A29" s="238" t="str">
        <f>'Акт согласования'!A22:E22</f>
        <v>-* avtotransport egasi: MIRZAKULOV RUSTAMJON MUXAMADJANOVICH</v>
      </c>
      <c r="B29" s="238"/>
      <c r="C29" s="238"/>
      <c r="D29" s="238"/>
      <c r="E29" s="238"/>
    </row>
    <row r="30" spans="1:5" ht="20.25" customHeight="1">
      <c r="A30" s="238" t="str">
        <f>'Акт согласования'!A23:E23</f>
        <v>-* texnik pasport: AAG  3632549  05.03.2024 y.</v>
      </c>
      <c r="B30" s="238"/>
      <c r="C30" s="238"/>
      <c r="D30" s="238"/>
      <c r="E30" s="238"/>
    </row>
    <row r="31" spans="1:5" ht="34.5" customHeight="1">
      <c r="A31" s="238" t="str">
        <f>'Акт согласования'!A24:E24</f>
        <v>-* roʻyxatdan oʻtgan manzili/garaj manzili: TOSHKENT VILOYATI OLMALIQ SHAHAR O`ZBEKISTON MFY OQTOSHKO`CHASI 47-UY</v>
      </c>
      <c r="B31" s="238"/>
      <c r="C31" s="238"/>
      <c r="D31" s="238"/>
      <c r="E31" s="238"/>
    </row>
    <row r="32" spans="1:5" ht="20.25" customHeight="1">
      <c r="A32" s="238" t="str">
        <f>'Акт согласования'!A25:E25</f>
        <v>-* davlat raqami: 10L832HB</v>
      </c>
      <c r="B32" s="238"/>
      <c r="C32" s="238"/>
      <c r="D32" s="238"/>
      <c r="E32" s="238"/>
    </row>
    <row r="33" spans="1:5" ht="51" hidden="1" customHeight="1">
      <c r="A33" s="42" t="str">
        <f>'Акт согласования'!A50</f>
        <v>Наименование</v>
      </c>
      <c r="B33" s="42" t="str">
        <f>'Акт согласования'!B50</f>
        <v>Полезная площадь</v>
      </c>
      <c r="C33" s="42" t="str">
        <f>'Акт согласования'!C50</f>
        <v>Жилая площадь</v>
      </c>
      <c r="D33" s="42" t="str">
        <f>'Акт согласования'!D50</f>
        <v>Общая площадь</v>
      </c>
      <c r="E33" s="42" t="str">
        <f>'Акт согласования'!E50</f>
        <v>Согласованная залоговая стоимость, сум</v>
      </c>
    </row>
    <row r="34" spans="1:5" hidden="1">
      <c r="A34" s="42" t="str">
        <f>'Акт согласования'!A51</f>
        <v>Yashash xona</v>
      </c>
      <c r="B34" s="42">
        <f>'Акт согласования'!B51</f>
        <v>0</v>
      </c>
      <c r="C34" s="42">
        <f>'Акт согласования'!C51</f>
        <v>37.39</v>
      </c>
      <c r="D34" s="42">
        <f>'Акт согласования'!D51</f>
        <v>37.39</v>
      </c>
      <c r="E34" s="241" t="str">
        <f>""&amp;FIXED('Общие данные'!C136,2)&amp;" ("&amp;'Общие данные'!B137&amp;")"</f>
        <v>82 500 000,00 (sakson ikki million besh yuz ming so'm)</v>
      </c>
    </row>
    <row r="35" spans="1:5" hidden="1">
      <c r="A35" s="42">
        <f>'Акт согласования'!A52</f>
        <v>0</v>
      </c>
      <c r="B35" s="42">
        <f>'Акт согласования'!B52</f>
        <v>0</v>
      </c>
      <c r="C35" s="42">
        <f>'Акт согласования'!C52</f>
        <v>0</v>
      </c>
      <c r="D35" s="42">
        <f>'Акт согласования'!D52</f>
        <v>0</v>
      </c>
      <c r="E35" s="242"/>
    </row>
    <row r="36" spans="1:5" hidden="1">
      <c r="A36" s="42" t="str">
        <f>'Акт согласования'!A53</f>
        <v>Noturar joy</v>
      </c>
      <c r="B36" s="42">
        <f>'Акт согласования'!B53</f>
        <v>34.74</v>
      </c>
      <c r="C36" s="42">
        <f>'Акт согласования'!C53</f>
        <v>0</v>
      </c>
      <c r="D36" s="42">
        <f>'Акт согласования'!D53</f>
        <v>34.74</v>
      </c>
      <c r="E36" s="242"/>
    </row>
    <row r="37" spans="1:5" hidden="1">
      <c r="A37" s="42">
        <f>'Акт согласования'!A54</f>
        <v>0</v>
      </c>
      <c r="B37" s="42">
        <f>'Акт согласования'!B54</f>
        <v>0</v>
      </c>
      <c r="C37" s="42">
        <f>'Акт согласования'!C54</f>
        <v>0</v>
      </c>
      <c r="D37" s="42">
        <f>'Акт согласования'!D54</f>
        <v>0</v>
      </c>
      <c r="E37" s="242"/>
    </row>
    <row r="38" spans="1:5" hidden="1">
      <c r="A38" s="42">
        <f>'Акт согласования'!A55</f>
        <v>0</v>
      </c>
      <c r="B38" s="42">
        <f>'Акт согласования'!B55</f>
        <v>0</v>
      </c>
      <c r="C38" s="42">
        <f>'Акт согласования'!C55</f>
        <v>0</v>
      </c>
      <c r="D38" s="42">
        <f>'Акт согласования'!D55</f>
        <v>0</v>
      </c>
      <c r="E38" s="242"/>
    </row>
    <row r="39" spans="1:5" hidden="1">
      <c r="A39" s="42">
        <f>'Акт согласования'!A56</f>
        <v>0</v>
      </c>
      <c r="B39" s="42">
        <f>'Акт согласования'!B56</f>
        <v>0</v>
      </c>
      <c r="C39" s="42">
        <f>'Акт согласования'!C56</f>
        <v>0</v>
      </c>
      <c r="D39" s="42">
        <f>'Акт согласования'!D56</f>
        <v>0</v>
      </c>
      <c r="E39" s="242"/>
    </row>
    <row r="40" spans="1:5" hidden="1">
      <c r="A40" s="42">
        <f>'Акт согласования'!A57</f>
        <v>0</v>
      </c>
      <c r="B40" s="42">
        <f>'Акт согласования'!B57</f>
        <v>0</v>
      </c>
      <c r="C40" s="42">
        <f>'Акт согласования'!C57</f>
        <v>0</v>
      </c>
      <c r="D40" s="42">
        <f>'Акт согласования'!D57</f>
        <v>0</v>
      </c>
      <c r="E40" s="242"/>
    </row>
    <row r="41" spans="1:5" hidden="1">
      <c r="A41" s="42">
        <f>'Акт согласования'!A58</f>
        <v>0</v>
      </c>
      <c r="B41" s="42">
        <f>'Акт согласования'!B58</f>
        <v>0</v>
      </c>
      <c r="C41" s="42">
        <f>'Акт согласования'!C58</f>
        <v>0</v>
      </c>
      <c r="D41" s="42">
        <f>'Акт согласования'!D58</f>
        <v>0</v>
      </c>
      <c r="E41" s="242"/>
    </row>
    <row r="42" spans="1:5" hidden="1">
      <c r="A42" s="42">
        <f>'Акт согласования'!A59</f>
        <v>0</v>
      </c>
      <c r="B42" s="42">
        <f>'Акт согласования'!B59</f>
        <v>0</v>
      </c>
      <c r="C42" s="42">
        <f>'Акт согласования'!C59</f>
        <v>0</v>
      </c>
      <c r="D42" s="42">
        <f>'Акт согласования'!D59</f>
        <v>0</v>
      </c>
      <c r="E42" s="242"/>
    </row>
    <row r="43" spans="1:5" hidden="1">
      <c r="A43" s="42">
        <f>'Акт согласования'!A60</f>
        <v>0</v>
      </c>
      <c r="B43" s="42">
        <f>'Акт согласования'!B60</f>
        <v>0</v>
      </c>
      <c r="C43" s="42">
        <f>'Акт согласования'!C60</f>
        <v>0</v>
      </c>
      <c r="D43" s="42">
        <f>'Акт согласования'!D60</f>
        <v>0</v>
      </c>
      <c r="E43" s="242"/>
    </row>
    <row r="44" spans="1:5" hidden="1">
      <c r="A44" s="42">
        <f>'Акт согласования'!A61</f>
        <v>0</v>
      </c>
      <c r="B44" s="42">
        <f>'Акт согласования'!B61</f>
        <v>0</v>
      </c>
      <c r="C44" s="42">
        <f>'Акт согласования'!C61</f>
        <v>0</v>
      </c>
      <c r="D44" s="42">
        <f>'Акт согласования'!D61</f>
        <v>0</v>
      </c>
      <c r="E44" s="243"/>
    </row>
    <row r="45" spans="1:5" hidden="1">
      <c r="A45" s="42" t="str">
        <f>'Акт согласования'!A62</f>
        <v>JAMI</v>
      </c>
      <c r="B45" s="42">
        <f>'Акт согласования'!B62</f>
        <v>34.74</v>
      </c>
      <c r="C45" s="42">
        <f>'Акт согласования'!C62</f>
        <v>37.39</v>
      </c>
      <c r="D45" s="42">
        <f>'Акт согласования'!D62</f>
        <v>72.13</v>
      </c>
      <c r="E45" s="42" t="str">
        <f>FIXED('Общие данные'!C136,2)</f>
        <v>82 500 000,00</v>
      </c>
    </row>
    <row r="46" spans="1:5" ht="21.75" hidden="1" customHeight="1">
      <c r="A46" s="244" t="str">
        <f>'Акт согласования'!A39:E39</f>
        <v>-* ko'chmas mulk egasi: SHOUSMANOVA DAVLATXON XXX</v>
      </c>
      <c r="B46" s="244"/>
      <c r="C46" s="244"/>
      <c r="D46" s="244"/>
      <c r="E46" s="244"/>
    </row>
    <row r="47" spans="1:5" ht="21.75" hidden="1" customHeight="1">
      <c r="A47" s="244" t="str">
        <f>'Акт согласования'!A40:E40</f>
        <v>-* reestr raqami: 1718238/R-A1419303</v>
      </c>
      <c r="B47" s="244"/>
      <c r="C47" s="244"/>
      <c r="D47" s="244"/>
      <c r="E47" s="244"/>
    </row>
    <row r="48" spans="1:5" ht="21.75" hidden="1" customHeight="1">
      <c r="A48" s="244" t="str">
        <f>'Акт согласования'!A41:E41</f>
        <v>-* kadastr raqami: №14:13:02:01:03:1179:0006:058 от 16.12.2020 г.</v>
      </c>
      <c r="B48" s="244"/>
      <c r="C48" s="244"/>
      <c r="D48" s="244"/>
      <c r="E48" s="244"/>
    </row>
    <row r="49" spans="1:5" ht="21.75" hidden="1" customHeight="1">
      <c r="A49" s="244" t="str">
        <f>'Акт согласования'!A42:E42</f>
        <v>-* manzil: SAMARQAND VILOYATI TAYLOQ TUMANI CHAROG'BON MFY YANGI TAYLOQ QISHLOG'I 6 TURAR JOY 12 QAVAT 58 XONADON</v>
      </c>
      <c r="B49" s="244"/>
      <c r="C49" s="244"/>
      <c r="D49" s="244"/>
      <c r="E49" s="244"/>
    </row>
    <row r="50" spans="1:5" ht="12" customHeight="1">
      <c r="A50" s="163"/>
      <c r="B50" s="163"/>
      <c r="C50" s="163"/>
      <c r="D50" s="163"/>
      <c r="E50" s="163"/>
    </row>
    <row r="51" spans="1:5" ht="33" customHeight="1">
      <c r="A51" s="238"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51" s="238"/>
      <c r="C51" s="238"/>
      <c r="D51" s="238"/>
      <c r="E51" s="238"/>
    </row>
    <row r="53" spans="1:5" ht="29.25" customHeight="1">
      <c r="A53" s="239" t="s">
        <v>282</v>
      </c>
      <c r="B53" s="239"/>
      <c r="C53" s="239"/>
      <c r="D53" s="239"/>
      <c r="E53" s="239"/>
    </row>
    <row r="54" spans="1:5" ht="29.25" customHeight="1">
      <c r="A54" s="224" t="s">
        <v>445</v>
      </c>
      <c r="B54" s="224"/>
      <c r="C54" s="204"/>
      <c r="D54" s="205"/>
      <c r="E54" s="205"/>
    </row>
    <row r="55" spans="1:5" ht="29.25" customHeight="1">
      <c r="A55" s="240" t="str">
        <f>"2. "&amp;'Общие данные'!B159&amp;""</f>
        <v>2. Mominov B.X.</v>
      </c>
      <c r="B55" s="240"/>
      <c r="C55" s="204"/>
      <c r="D55" s="206"/>
      <c r="E55" s="206"/>
    </row>
    <row r="56" spans="1:5" ht="29.25" customHeight="1">
      <c r="A56" s="246" t="str">
        <f>"3. "&amp;'Общие данные'!B160&amp;""</f>
        <v>3.  Jumanazarov B.T</v>
      </c>
      <c r="B56" s="246"/>
      <c r="C56" s="159"/>
      <c r="D56" s="207"/>
      <c r="E56" s="207"/>
    </row>
  </sheetData>
  <mergeCells count="29">
    <mergeCell ref="A56:B56"/>
    <mergeCell ref="A22:E22"/>
    <mergeCell ref="A1:E1"/>
    <mergeCell ref="A2:E2"/>
    <mergeCell ref="B4:D4"/>
    <mergeCell ref="A5:E5"/>
    <mergeCell ref="A7:E12"/>
    <mergeCell ref="A14:E14"/>
    <mergeCell ref="A16:E16"/>
    <mergeCell ref="A18:E18"/>
    <mergeCell ref="A19:E19"/>
    <mergeCell ref="A20:E20"/>
    <mergeCell ref="A21:E21"/>
    <mergeCell ref="A48:E48"/>
    <mergeCell ref="A23:E23"/>
    <mergeCell ref="A24:E24"/>
    <mergeCell ref="A25:E25"/>
    <mergeCell ref="A26:E26"/>
    <mergeCell ref="A29:E29"/>
    <mergeCell ref="A30:E30"/>
    <mergeCell ref="A31:E31"/>
    <mergeCell ref="A51:E51"/>
    <mergeCell ref="A53:E53"/>
    <mergeCell ref="A55:B55"/>
    <mergeCell ref="A32:E32"/>
    <mergeCell ref="E34:E44"/>
    <mergeCell ref="A46:E46"/>
    <mergeCell ref="A47:E47"/>
    <mergeCell ref="A49:E49"/>
  </mergeCells>
  <pageMargins left="0.70866141732283472" right="0.70866141732283472" top="0.74803149606299213" bottom="0.74803149606299213" header="0.31496062992125984" footer="0.31496062992125984"/>
  <pageSetup paperSize="9" scale="73"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topLeftCell="A6" zoomScale="70" zoomScaleNormal="70" zoomScaleSheetLayoutView="70" workbookViewId="0">
      <selection activeCell="A43" sqref="A32:R43"/>
    </sheetView>
  </sheetViews>
  <sheetFormatPr defaultColWidth="9.140625" defaultRowHeight="15" outlineLevelCol="1"/>
  <cols>
    <col min="1" max="1" width="9.140625" style="112"/>
    <col min="2" max="2" width="12.28515625" style="112" customWidth="1"/>
    <col min="3" max="3" width="16.5703125" style="112" customWidth="1"/>
    <col min="4" max="4" width="16.7109375" style="112" customWidth="1"/>
    <col min="5" max="5" width="16.5703125" style="112" customWidth="1"/>
    <col min="6" max="6" width="20.85546875" style="112" customWidth="1"/>
    <col min="7" max="7" width="10.140625" style="112" customWidth="1" outlineLevel="1"/>
    <col min="8" max="8" width="19.140625" style="112" customWidth="1"/>
    <col min="9" max="9" width="21.42578125" style="112" customWidth="1"/>
    <col min="10" max="10" width="20.85546875" style="112" customWidth="1"/>
    <col min="11" max="11" width="20.140625" style="112" customWidth="1"/>
    <col min="12" max="12" width="21.42578125" style="112" customWidth="1"/>
    <col min="13" max="13" width="25.42578125" style="112" customWidth="1"/>
    <col min="14" max="14" width="18.28515625" style="112" customWidth="1"/>
    <col min="15" max="17" width="9.140625" style="18"/>
    <col min="18" max="18" width="24.42578125" style="18" customWidth="1"/>
    <col min="19" max="16384" width="9.140625" style="18"/>
  </cols>
  <sheetData>
    <row r="1" spans="1:22">
      <c r="A1" s="111"/>
      <c r="B1" s="111"/>
      <c r="C1" s="111"/>
      <c r="D1" s="111"/>
      <c r="E1" s="259" t="s">
        <v>16</v>
      </c>
      <c r="F1" s="259"/>
    </row>
    <row r="2" spans="1:22">
      <c r="A2" s="111"/>
      <c r="B2" s="111"/>
      <c r="C2" s="111"/>
      <c r="D2" s="111"/>
      <c r="E2" s="111"/>
      <c r="F2" s="113" t="str">
        <f>"к договору микрозайма "&amp;'Общие данные'!B74&amp;""</f>
        <v>к договору микрозайма 7 mart 2025 y.dan №548-AL</v>
      </c>
    </row>
    <row r="3" spans="1:22" ht="19.5" customHeight="1">
      <c r="A3" s="111"/>
      <c r="B3" s="111"/>
      <c r="C3" s="111"/>
      <c r="D3" s="111"/>
      <c r="E3" s="111"/>
      <c r="F3" s="111"/>
      <c r="H3" s="114"/>
      <c r="I3" s="114"/>
      <c r="J3" s="115"/>
      <c r="K3" s="115"/>
    </row>
    <row r="4" spans="1:22" ht="19.5" customHeight="1">
      <c r="A4" s="260" t="s">
        <v>17</v>
      </c>
      <c r="B4" s="260"/>
      <c r="C4" s="260"/>
      <c r="D4" s="260"/>
      <c r="E4" s="260"/>
      <c r="F4" s="260"/>
      <c r="H4" s="114"/>
      <c r="I4" s="114"/>
      <c r="J4" s="114"/>
      <c r="K4" s="114"/>
    </row>
    <row r="5" spans="1:22" ht="19.5" customHeight="1">
      <c r="L5" s="112">
        <f>'Общие данные'!B81</f>
        <v>12</v>
      </c>
    </row>
    <row r="6" spans="1:22">
      <c r="A6" s="261" t="s">
        <v>15</v>
      </c>
      <c r="B6" s="262" t="s">
        <v>9</v>
      </c>
      <c r="C6" s="262" t="s">
        <v>10</v>
      </c>
      <c r="D6" s="263" t="s">
        <v>11</v>
      </c>
      <c r="E6" s="263"/>
      <c r="F6" s="263"/>
    </row>
    <row r="7" spans="1:22" s="19" customFormat="1">
      <c r="A7" s="261"/>
      <c r="B7" s="262"/>
      <c r="C7" s="262"/>
      <c r="D7" s="116" t="s">
        <v>12</v>
      </c>
      <c r="E7" s="116" t="s">
        <v>13</v>
      </c>
      <c r="F7" s="116" t="s">
        <v>14</v>
      </c>
      <c r="G7" s="117"/>
      <c r="H7" s="117"/>
      <c r="I7" s="117"/>
      <c r="J7" s="117"/>
      <c r="K7" s="117"/>
      <c r="L7" s="117"/>
      <c r="M7" s="117"/>
      <c r="N7" s="117"/>
    </row>
    <row r="8" spans="1:22">
      <c r="A8" s="118">
        <v>1</v>
      </c>
      <c r="B8" s="119">
        <f>'Общие данные'!B79</f>
        <v>45754</v>
      </c>
      <c r="C8" s="63">
        <f>'Общие данные'!B75</f>
        <v>55000000</v>
      </c>
      <c r="D8" s="63">
        <f>IF(IF(C8=0,L8,IF(C8&gt;1,I8))="",0,(IF(C8=0,L8,IF(C8&gt;1,I8))))</f>
        <v>4583333.33</v>
      </c>
      <c r="E8" s="63">
        <f>IF(C8=0,N6,IF(C8&gt;1,L8))</f>
        <v>2802739.7600000002</v>
      </c>
      <c r="F8" s="63">
        <f>IF(C8=0,O6,IF(C8&gt;1,M8))</f>
        <v>7386073.0899999999</v>
      </c>
      <c r="G8" s="132">
        <f>B8-'Общие данные'!B67</f>
        <v>31</v>
      </c>
      <c r="H8" s="112">
        <f>DATE(YEAR(B8),12,31)-DATE(YEAR(B8),1,1)+1</f>
        <v>365</v>
      </c>
      <c r="I8" s="120">
        <f>IF('Общие данные'!B83=0,ROUND(C8/L5,2),"")</f>
        <v>4583333.33</v>
      </c>
      <c r="J8" s="120"/>
      <c r="K8" s="120"/>
      <c r="L8" s="114">
        <f>ROUND(C8*'Общие данные'!$B$84/H8,2)*G8</f>
        <v>2802739.7600000002</v>
      </c>
      <c r="M8" s="114">
        <f t="shared" ref="M8:M31" si="0">D8+E8</f>
        <v>7386073.0899999999</v>
      </c>
      <c r="N8" s="114"/>
      <c r="O8" s="129" t="str">
        <f>TEXT(B8,"ддд")</f>
        <v>Пн</v>
      </c>
      <c r="P8" s="131">
        <f>IF(O8=$U$8,2,IF(O8=$V$8,1,0))</f>
        <v>0</v>
      </c>
      <c r="Q8" s="131">
        <f>DAY('Общие данные'!$B$78)+P8</f>
        <v>7</v>
      </c>
      <c r="R8" s="126"/>
      <c r="S8" s="127" t="s">
        <v>33</v>
      </c>
      <c r="T8" s="127" t="s">
        <v>34</v>
      </c>
      <c r="U8" s="127" t="s">
        <v>35</v>
      </c>
      <c r="V8" s="128" t="s">
        <v>36</v>
      </c>
    </row>
    <row r="9" spans="1:22">
      <c r="A9" s="118">
        <v>2</v>
      </c>
      <c r="B9" s="119">
        <f>IF(A9&lt;='Общие данные'!$B$81,DATE(YEAR(R9),MONTH(R9),DAY(R9)+P9),0)</f>
        <v>45784</v>
      </c>
      <c r="C9" s="63">
        <f>C8-D8</f>
        <v>50416666.670000002</v>
      </c>
      <c r="D9" s="63">
        <f t="shared" ref="D9:D31" si="1">IF(C9=0,L9,IF(C9&gt;1,I9))</f>
        <v>4583333.33</v>
      </c>
      <c r="E9" s="63">
        <f>IF(C9=0,N8,IF(C9&gt;1,L9))</f>
        <v>2486301.3000000003</v>
      </c>
      <c r="F9" s="63">
        <f>IF(C9=0,N8,IF(C9&gt;1,M9))</f>
        <v>7069634.6300000008</v>
      </c>
      <c r="G9" s="112">
        <f>B9-B8</f>
        <v>30</v>
      </c>
      <c r="H9" s="112">
        <f t="shared" ref="H9:H31" si="2">DATE(YEAR(B9),12,31)-DATE(YEAR(B9),1,1)+1</f>
        <v>365</v>
      </c>
      <c r="I9" s="120">
        <f>IF(I8="",ROUND(C8/(L5-1),2),I8)</f>
        <v>4583333.33</v>
      </c>
      <c r="J9" s="120"/>
      <c r="K9" s="120"/>
      <c r="L9" s="114">
        <f>ROUND(C9*'Общие данные'!$B$84/H9,2)*G9</f>
        <v>2486301.3000000003</v>
      </c>
      <c r="M9" s="114">
        <f t="shared" si="0"/>
        <v>7069634.6300000008</v>
      </c>
      <c r="N9" s="114"/>
      <c r="O9" s="129" t="str">
        <f>TEXT(R9,"ддд")</f>
        <v>Ср</v>
      </c>
      <c r="P9" s="131">
        <f t="shared" ref="P9:P31" si="3">IF(O9=$U$8,2,IF(O9=$V$8,1,0))</f>
        <v>0</v>
      </c>
      <c r="Q9" s="131">
        <f>DAY('Общие данные'!$B$78)+P9</f>
        <v>7</v>
      </c>
      <c r="R9" s="126">
        <f>IF(A9&lt;='Общие данные'!$B$81,DATE(YEAR($B$8),MONTH($B$8)+A8,DAY('Общие данные'!$B$78)),0)</f>
        <v>45784</v>
      </c>
      <c r="S9" s="112"/>
      <c r="T9" s="112"/>
      <c r="U9" s="112"/>
      <c r="V9" s="112"/>
    </row>
    <row r="10" spans="1:22">
      <c r="A10" s="118">
        <v>3</v>
      </c>
      <c r="B10" s="119">
        <f>IF(A10&lt;='Общие данные'!$B$81,DATE(YEAR(R10),MONTH(R10),DAY(R10)+P10),0)</f>
        <v>45817</v>
      </c>
      <c r="C10" s="63">
        <f t="shared" ref="C10:C31" si="4">C9-D9</f>
        <v>45833333.340000004</v>
      </c>
      <c r="D10" s="63">
        <f t="shared" si="1"/>
        <v>4583333.33</v>
      </c>
      <c r="E10" s="63">
        <f t="shared" ref="E10:E31" si="5">IF(C10=0,N9,IF(C10&gt;1,L10))</f>
        <v>2486301.5100000002</v>
      </c>
      <c r="F10" s="63">
        <f t="shared" ref="F10:F31" si="6">IF(C10=0,N9,IF(C10&gt;1,M10))</f>
        <v>7069634.8399999999</v>
      </c>
      <c r="G10" s="112">
        <f t="shared" ref="G10:G31" si="7">B10-B9</f>
        <v>33</v>
      </c>
      <c r="H10" s="112">
        <f t="shared" si="2"/>
        <v>365</v>
      </c>
      <c r="I10" s="120">
        <f>I9</f>
        <v>4583333.33</v>
      </c>
      <c r="J10" s="120"/>
      <c r="K10" s="120"/>
      <c r="L10" s="114">
        <f>ROUND(C10*'Общие данные'!$B$84/H10,2)*G10</f>
        <v>2486301.5100000002</v>
      </c>
      <c r="M10" s="114">
        <f t="shared" si="0"/>
        <v>7069634.8399999999</v>
      </c>
      <c r="N10" s="114"/>
      <c r="O10" s="129" t="str">
        <f t="shared" ref="O10:O31" si="8">TEXT(R10,"ддд")</f>
        <v>Сб</v>
      </c>
      <c r="P10" s="131">
        <f t="shared" si="3"/>
        <v>2</v>
      </c>
      <c r="Q10" s="131">
        <f>DAY('Общие данные'!$B$78)+P10</f>
        <v>9</v>
      </c>
      <c r="R10" s="126">
        <f>IF(A10&lt;='Общие данные'!$B$81,DATE(YEAR($B$8),MONTH($B$8)+A9,DAY('Общие данные'!$B$78)),0)</f>
        <v>45815</v>
      </c>
      <c r="S10" s="112"/>
      <c r="T10" s="112"/>
      <c r="U10" s="112"/>
      <c r="V10" s="112"/>
    </row>
    <row r="11" spans="1:22">
      <c r="A11" s="118">
        <v>4</v>
      </c>
      <c r="B11" s="119">
        <f>IF(A11&lt;='Общие данные'!$B$81,DATE(YEAR(R11),MONTH(R11),DAY(R11)+P11),0)</f>
        <v>45845</v>
      </c>
      <c r="C11" s="63">
        <f t="shared" si="4"/>
        <v>41250000.010000005</v>
      </c>
      <c r="D11" s="63">
        <f t="shared" si="1"/>
        <v>4583333.33</v>
      </c>
      <c r="E11" s="63">
        <f t="shared" si="5"/>
        <v>1898630.1600000001</v>
      </c>
      <c r="F11" s="63">
        <f t="shared" si="6"/>
        <v>6481963.4900000002</v>
      </c>
      <c r="G11" s="112">
        <f t="shared" si="7"/>
        <v>28</v>
      </c>
      <c r="H11" s="112">
        <f t="shared" si="2"/>
        <v>365</v>
      </c>
      <c r="I11" s="120">
        <f>I10</f>
        <v>4583333.33</v>
      </c>
      <c r="J11" s="120"/>
      <c r="K11" s="120"/>
      <c r="L11" s="114">
        <f>ROUND(C11*'Общие данные'!$B$84/H11,2)*G11</f>
        <v>1898630.1600000001</v>
      </c>
      <c r="M11" s="114">
        <f t="shared" si="0"/>
        <v>6481963.4900000002</v>
      </c>
      <c r="N11" s="114"/>
      <c r="O11" s="129" t="str">
        <f t="shared" si="8"/>
        <v>Пн</v>
      </c>
      <c r="P11" s="131">
        <f t="shared" si="3"/>
        <v>0</v>
      </c>
      <c r="Q11" s="131">
        <f>DAY('Общие данные'!$B$78)+P11</f>
        <v>7</v>
      </c>
      <c r="R11" s="126">
        <f>IF(A11&lt;='Общие данные'!$B$81,DATE(YEAR($B$8),MONTH($B$8)+A10,DAY('Общие данные'!$B$78)),0)</f>
        <v>45845</v>
      </c>
      <c r="S11" s="112"/>
      <c r="T11" s="112"/>
      <c r="U11" s="112"/>
      <c r="V11" s="112"/>
    </row>
    <row r="12" spans="1:22">
      <c r="A12" s="118">
        <v>5</v>
      </c>
      <c r="B12" s="119">
        <f>IF(A12&lt;='Общие данные'!$B$81,DATE(YEAR(R12),MONTH(R12),DAY(R12)+P12),0)</f>
        <v>45876</v>
      </c>
      <c r="C12" s="63">
        <f t="shared" si="4"/>
        <v>36666666.680000007</v>
      </c>
      <c r="D12" s="63">
        <f t="shared" si="1"/>
        <v>4583333.33</v>
      </c>
      <c r="E12" s="63">
        <f t="shared" si="5"/>
        <v>1868493.07</v>
      </c>
      <c r="F12" s="63">
        <f t="shared" si="6"/>
        <v>6451826.4000000004</v>
      </c>
      <c r="G12" s="112">
        <f t="shared" si="7"/>
        <v>31</v>
      </c>
      <c r="H12" s="112">
        <f t="shared" si="2"/>
        <v>365</v>
      </c>
      <c r="I12" s="120">
        <f>I11</f>
        <v>4583333.33</v>
      </c>
      <c r="J12" s="120">
        <f>'Общие данные'!B75</f>
        <v>55000000</v>
      </c>
      <c r="K12" s="120"/>
      <c r="L12" s="114">
        <f>ROUND(C12*'Общие данные'!$B$84/H12,2)*G12</f>
        <v>1868493.07</v>
      </c>
      <c r="M12" s="114">
        <f t="shared" si="0"/>
        <v>6451826.4000000004</v>
      </c>
      <c r="N12" s="114"/>
      <c r="O12" s="129" t="str">
        <f t="shared" si="8"/>
        <v>Чт</v>
      </c>
      <c r="P12" s="131">
        <f t="shared" si="3"/>
        <v>0</v>
      </c>
      <c r="Q12" s="131">
        <f>DAY('Общие данные'!$B$78)+P12</f>
        <v>7</v>
      </c>
      <c r="R12" s="126">
        <f>IF(A12&lt;='Общие данные'!$B$81,DATE(YEAR($B$8),MONTH($B$8)+A11,DAY('Общие данные'!$B$78)),0)</f>
        <v>45876</v>
      </c>
      <c r="S12" s="112"/>
      <c r="T12" s="112"/>
      <c r="U12" s="112"/>
      <c r="V12" s="112"/>
    </row>
    <row r="13" spans="1:22">
      <c r="A13" s="118">
        <v>6</v>
      </c>
      <c r="B13" s="119">
        <f>IF(A13&lt;='Общие данные'!$B$81,DATE(YEAR(R13),MONTH(R13),DAY(IF(A13='Общие данные'!$B$81,'Общие данные'!$B$67,IF(A13&lt;'Общие данные'!$B$81,(Q13),IF(A13&gt;'Общие данные'!$B$81,$H$44,0))))))</f>
        <v>45908</v>
      </c>
      <c r="C13" s="63">
        <f t="shared" ref="C13:C30" si="9">C12-D12</f>
        <v>32083333.350000009</v>
      </c>
      <c r="D13" s="63">
        <f t="shared" ref="D13:D30" si="10">IF(C13=0,L13,IF(C13&gt;1,I13))</f>
        <v>4583333.33</v>
      </c>
      <c r="E13" s="63">
        <f t="shared" ref="E13:E30" si="11">IF(C13=0,N12,IF(C13&gt;1,L13))</f>
        <v>1687671.36</v>
      </c>
      <c r="F13" s="63">
        <f t="shared" ref="F13:F30" si="12">IF(C13=0,N12,IF(C13&gt;1,M13))</f>
        <v>6271004.6900000004</v>
      </c>
      <c r="G13" s="112">
        <f t="shared" si="7"/>
        <v>32</v>
      </c>
      <c r="H13" s="112">
        <f t="shared" si="2"/>
        <v>365</v>
      </c>
      <c r="I13" s="120">
        <f>IF(L5=H1,K13,IF(L5&gt;H1,I12))</f>
        <v>4583333.33</v>
      </c>
      <c r="J13" s="120">
        <f>SUM($I$8:I12)</f>
        <v>22916666.649999999</v>
      </c>
      <c r="K13" s="120">
        <f>$J$12-J13</f>
        <v>32083333.350000001</v>
      </c>
      <c r="L13" s="114">
        <f>ROUND(C13*'Общие данные'!$B$84/H13,2)*G13</f>
        <v>1687671.36</v>
      </c>
      <c r="M13" s="114">
        <f t="shared" si="0"/>
        <v>6271004.6900000004</v>
      </c>
      <c r="N13" s="114"/>
      <c r="O13" s="129" t="str">
        <f t="shared" si="8"/>
        <v>Вс</v>
      </c>
      <c r="P13" s="131">
        <f t="shared" si="3"/>
        <v>1</v>
      </c>
      <c r="Q13" s="131">
        <f>DAY('Общие данные'!$B$78)+P13</f>
        <v>8</v>
      </c>
      <c r="R13" s="126">
        <f>IF(A13&lt;='Общие данные'!$B$81,DATE(YEAR($B$8),MONTH($B$8)+A12,DAY('Общие данные'!$B$78)),0)</f>
        <v>45907</v>
      </c>
      <c r="S13" s="112"/>
      <c r="T13" s="112"/>
      <c r="U13" s="112"/>
      <c r="V13" s="112"/>
    </row>
    <row r="14" spans="1:22">
      <c r="A14" s="118">
        <v>7</v>
      </c>
      <c r="B14" s="119">
        <f>IF(A14&lt;='Общие данные'!$B$81,DATE(YEAR(R14),MONTH(R14),DAY(IF(A14='Общие данные'!$B$81,'Общие данные'!$B$67,IF(A14&lt;'Общие данные'!$B$81,(Q14),IF(A14&gt;'Общие данные'!$B$81,$H$44,0))))))</f>
        <v>45937</v>
      </c>
      <c r="C14" s="63">
        <f t="shared" si="9"/>
        <v>27500000.020000011</v>
      </c>
      <c r="D14" s="63">
        <f t="shared" si="10"/>
        <v>4583333.33</v>
      </c>
      <c r="E14" s="63">
        <f t="shared" si="11"/>
        <v>1310958.9200000002</v>
      </c>
      <c r="F14" s="63">
        <f t="shared" si="12"/>
        <v>5894292.25</v>
      </c>
      <c r="G14" s="112">
        <f t="shared" si="7"/>
        <v>29</v>
      </c>
      <c r="H14" s="112">
        <f t="shared" si="2"/>
        <v>365</v>
      </c>
      <c r="I14" s="120">
        <f>IF($L$5=A14,K14,IF($L$5&gt;A14,I13))</f>
        <v>4583333.33</v>
      </c>
      <c r="J14" s="120">
        <f>SUM($I$8:I13)</f>
        <v>27499999.979999997</v>
      </c>
      <c r="K14" s="120">
        <f t="shared" ref="K14:K31" si="13">$J$12-J14</f>
        <v>27500000.020000003</v>
      </c>
      <c r="L14" s="114">
        <f>ROUND(C14*'Общие данные'!$B$84/H14,2)*G14</f>
        <v>1310958.9200000002</v>
      </c>
      <c r="M14" s="114">
        <f t="shared" si="0"/>
        <v>5894292.25</v>
      </c>
      <c r="N14" s="114"/>
      <c r="O14" s="129" t="str">
        <f t="shared" si="8"/>
        <v>Вт</v>
      </c>
      <c r="P14" s="131">
        <f t="shared" si="3"/>
        <v>0</v>
      </c>
      <c r="Q14" s="131">
        <f>DAY('Общие данные'!$B$78)+P14</f>
        <v>7</v>
      </c>
      <c r="R14" s="126">
        <f>IF(A14&lt;='Общие данные'!$B$81,DATE(YEAR($B$8),MONTH($B$8)+A13,DAY('Общие данные'!$B$78)),0)</f>
        <v>45937</v>
      </c>
      <c r="S14" s="112"/>
      <c r="T14" s="112"/>
      <c r="U14" s="112"/>
      <c r="V14" s="112"/>
    </row>
    <row r="15" spans="1:22">
      <c r="A15" s="118">
        <v>8</v>
      </c>
      <c r="B15" s="119">
        <f>IF(A15&lt;='Общие данные'!$B$81,DATE(YEAR(R15),MONTH(R15),DAY(IF(A15='Общие данные'!$B$81,'Общие данные'!$B$67,IF(A15&lt;'Общие данные'!$B$81,(Q15),IF(A15&gt;'Общие данные'!$B$81,$H$44,0))))))</f>
        <v>45968</v>
      </c>
      <c r="C15" s="63">
        <f t="shared" si="9"/>
        <v>22916666.690000013</v>
      </c>
      <c r="D15" s="63">
        <f t="shared" si="10"/>
        <v>4583333.33</v>
      </c>
      <c r="E15" s="63">
        <f t="shared" si="11"/>
        <v>1167808.1300000001</v>
      </c>
      <c r="F15" s="63">
        <f t="shared" si="12"/>
        <v>5751141.46</v>
      </c>
      <c r="G15" s="112">
        <f t="shared" si="7"/>
        <v>31</v>
      </c>
      <c r="H15" s="112">
        <f t="shared" si="2"/>
        <v>365</v>
      </c>
      <c r="I15" s="120">
        <f t="shared" ref="I15:I31" si="14">IF($L$5=A15,K15,IF($L$5&gt;A15,I14))</f>
        <v>4583333.33</v>
      </c>
      <c r="J15" s="120">
        <f>SUM($I$8:I14)</f>
        <v>32083333.309999995</v>
      </c>
      <c r="K15" s="120">
        <f t="shared" si="13"/>
        <v>22916666.690000005</v>
      </c>
      <c r="L15" s="114">
        <f>ROUND(C15*'Общие данные'!$B$84/H15,2)*G15</f>
        <v>1167808.1300000001</v>
      </c>
      <c r="M15" s="114">
        <f t="shared" si="0"/>
        <v>5751141.46</v>
      </c>
      <c r="N15" s="114"/>
      <c r="O15" s="129" t="str">
        <f t="shared" si="8"/>
        <v>Пт</v>
      </c>
      <c r="P15" s="131">
        <f t="shared" si="3"/>
        <v>0</v>
      </c>
      <c r="Q15" s="131">
        <f>DAY('Общие данные'!$B$78)+P15</f>
        <v>7</v>
      </c>
      <c r="R15" s="126">
        <f>IF(A15&lt;='Общие данные'!$B$81,DATE(YEAR($B$8),MONTH($B$8)+A14,DAY('Общие данные'!$B$78)),0)</f>
        <v>45968</v>
      </c>
      <c r="S15" s="112"/>
      <c r="T15" s="112"/>
      <c r="U15" s="112"/>
      <c r="V15" s="112"/>
    </row>
    <row r="16" spans="1:22">
      <c r="A16" s="118">
        <v>9</v>
      </c>
      <c r="B16" s="119">
        <f>IF(A16&lt;='Общие данные'!$B$81,DATE(YEAR(R16),MONTH(R16),DAY(IF(A16='Общие данные'!$B$81,'Общие данные'!$B$67,IF(A16&lt;'Общие данные'!$B$81,(Q16),IF(A16&gt;'Общие данные'!$B$81,$H$44,0))))))</f>
        <v>45999</v>
      </c>
      <c r="C16" s="63">
        <f t="shared" si="9"/>
        <v>18333333.360000014</v>
      </c>
      <c r="D16" s="63">
        <f t="shared" si="10"/>
        <v>4583333.33</v>
      </c>
      <c r="E16" s="63">
        <f t="shared" si="11"/>
        <v>934246.69000000006</v>
      </c>
      <c r="F16" s="63">
        <f t="shared" si="12"/>
        <v>5517580.0200000005</v>
      </c>
      <c r="G16" s="112">
        <f t="shared" si="7"/>
        <v>31</v>
      </c>
      <c r="H16" s="112">
        <f t="shared" si="2"/>
        <v>365</v>
      </c>
      <c r="I16" s="120">
        <f t="shared" si="14"/>
        <v>4583333.33</v>
      </c>
      <c r="J16" s="120">
        <f>SUM($I$8:I15)</f>
        <v>36666666.639999993</v>
      </c>
      <c r="K16" s="120">
        <f t="shared" si="13"/>
        <v>18333333.360000007</v>
      </c>
      <c r="L16" s="114">
        <f>ROUND(C16*'Общие данные'!$B$84/H16,2)*G16</f>
        <v>934246.69000000006</v>
      </c>
      <c r="M16" s="114">
        <f t="shared" si="0"/>
        <v>5517580.0200000005</v>
      </c>
      <c r="N16" s="114"/>
      <c r="O16" s="129" t="str">
        <f t="shared" si="8"/>
        <v>Вс</v>
      </c>
      <c r="P16" s="131">
        <f t="shared" si="3"/>
        <v>1</v>
      </c>
      <c r="Q16" s="131">
        <f>DAY('Общие данные'!$B$78)+P16</f>
        <v>8</v>
      </c>
      <c r="R16" s="126">
        <f>IF(A16&lt;='Общие данные'!$B$81,DATE(YEAR($B$8),MONTH($B$8)+A15,DAY('Общие данные'!$B$78)),0)</f>
        <v>45998</v>
      </c>
      <c r="S16" s="112"/>
      <c r="T16" s="112"/>
      <c r="U16" s="112"/>
      <c r="V16" s="112"/>
    </row>
    <row r="17" spans="1:22">
      <c r="A17" s="118">
        <v>10</v>
      </c>
      <c r="B17" s="119">
        <f>IF(A17&lt;='Общие данные'!$B$81,DATE(YEAR(R17),MONTH(R17),DAY(IF(A17='Общие данные'!$B$81,'Общие данные'!$B$67,IF(A17&lt;'Общие данные'!$B$81,(Q17),IF(A17&gt;'Общие данные'!$B$81,$H$44,0))))))</f>
        <v>46029</v>
      </c>
      <c r="C17" s="63">
        <f t="shared" si="9"/>
        <v>13750000.030000014</v>
      </c>
      <c r="D17" s="63">
        <f t="shared" si="10"/>
        <v>4583333.33</v>
      </c>
      <c r="E17" s="63">
        <f t="shared" si="11"/>
        <v>678082.20000000007</v>
      </c>
      <c r="F17" s="63">
        <f t="shared" si="12"/>
        <v>5261415.53</v>
      </c>
      <c r="G17" s="112">
        <f t="shared" si="7"/>
        <v>30</v>
      </c>
      <c r="H17" s="112">
        <f t="shared" si="2"/>
        <v>365</v>
      </c>
      <c r="I17" s="120">
        <f t="shared" si="14"/>
        <v>4583333.33</v>
      </c>
      <c r="J17" s="120">
        <f>SUM($I$8:I16)</f>
        <v>41249999.969999991</v>
      </c>
      <c r="K17" s="120">
        <f>$J$12-J17</f>
        <v>13750000.030000009</v>
      </c>
      <c r="L17" s="114">
        <f>ROUND(C17*'Общие данные'!$B$84/H17,2)*G17</f>
        <v>678082.20000000007</v>
      </c>
      <c r="M17" s="114">
        <f t="shared" si="0"/>
        <v>5261415.53</v>
      </c>
      <c r="N17" s="114"/>
      <c r="O17" s="129" t="str">
        <f t="shared" si="8"/>
        <v>Ср</v>
      </c>
      <c r="P17" s="131">
        <f t="shared" si="3"/>
        <v>0</v>
      </c>
      <c r="Q17" s="131">
        <f>DAY('Общие данные'!$B$78)+P17</f>
        <v>7</v>
      </c>
      <c r="R17" s="126">
        <f>IF(A17&lt;='Общие данные'!$B$81,DATE(YEAR($B$8),MONTH($B$8)+A16,DAY('Общие данные'!$B$78)),0)</f>
        <v>46029</v>
      </c>
      <c r="S17" s="112"/>
      <c r="T17" s="112"/>
      <c r="U17" s="112"/>
      <c r="V17" s="112"/>
    </row>
    <row r="18" spans="1:22">
      <c r="A18" s="118">
        <v>11</v>
      </c>
      <c r="B18" s="119">
        <f>IF(A18&lt;='Общие данные'!$B$81,DATE(YEAR(R18),MONTH(R18),DAY(IF(A18='Общие данные'!$B$81,'Общие данные'!$B$67,IF(A18&lt;'Общие данные'!$B$81,(Q18),IF(A18&gt;'Общие данные'!$B$81,$H$44,0))))))</f>
        <v>46062</v>
      </c>
      <c r="C18" s="63">
        <f t="shared" si="9"/>
        <v>9166666.7000000142</v>
      </c>
      <c r="D18" s="63">
        <f t="shared" si="10"/>
        <v>4583333.33</v>
      </c>
      <c r="E18" s="63">
        <f t="shared" si="11"/>
        <v>497260.17</v>
      </c>
      <c r="F18" s="63">
        <f t="shared" si="12"/>
        <v>5080593.5</v>
      </c>
      <c r="G18" s="112">
        <f t="shared" si="7"/>
        <v>33</v>
      </c>
      <c r="H18" s="112">
        <f t="shared" si="2"/>
        <v>365</v>
      </c>
      <c r="I18" s="120">
        <f t="shared" si="14"/>
        <v>4583333.33</v>
      </c>
      <c r="J18" s="120">
        <f>SUM($I$8:I17)</f>
        <v>45833333.29999999</v>
      </c>
      <c r="K18" s="120">
        <f t="shared" si="13"/>
        <v>9166666.7000000104</v>
      </c>
      <c r="L18" s="114">
        <f>ROUND(C18*'Общие данные'!$B$84/H18,2)*G18</f>
        <v>497260.17</v>
      </c>
      <c r="M18" s="114">
        <f t="shared" si="0"/>
        <v>5080593.5</v>
      </c>
      <c r="N18" s="114"/>
      <c r="O18" s="129" t="str">
        <f t="shared" si="8"/>
        <v>Сб</v>
      </c>
      <c r="P18" s="131">
        <f t="shared" si="3"/>
        <v>2</v>
      </c>
      <c r="Q18" s="131">
        <f>DAY('Общие данные'!$B$78)+P18</f>
        <v>9</v>
      </c>
      <c r="R18" s="126">
        <f>IF(A18&lt;='Общие данные'!$B$81,DATE(YEAR($B$8),MONTH($B$8)+A17,DAY('Общие данные'!$B$78)),0)</f>
        <v>46060</v>
      </c>
      <c r="S18" s="112"/>
      <c r="T18" s="112"/>
      <c r="U18" s="112"/>
      <c r="V18" s="112"/>
    </row>
    <row r="19" spans="1:22">
      <c r="A19" s="118">
        <v>12</v>
      </c>
      <c r="B19" s="119">
        <f>IF(A19&lt;='Общие данные'!$B$81,DATE(YEAR(R19),MONTH(R19),DAY(IF(A19='Общие данные'!$B$81,'Общие данные'!$B$67,IF(A19&lt;'Общие данные'!$B$81,(Q19),IF(A19&gt;'Общие данные'!$B$81,$H$44,0))))))</f>
        <v>46088</v>
      </c>
      <c r="C19" s="63">
        <f t="shared" si="9"/>
        <v>4583333.3700000141</v>
      </c>
      <c r="D19" s="63">
        <f t="shared" si="10"/>
        <v>4583333.3700000122</v>
      </c>
      <c r="E19" s="63">
        <f t="shared" si="11"/>
        <v>195890.5</v>
      </c>
      <c r="F19" s="63">
        <f t="shared" si="12"/>
        <v>4779223.8700000122</v>
      </c>
      <c r="G19" s="112">
        <f t="shared" si="7"/>
        <v>26</v>
      </c>
      <c r="H19" s="112">
        <f t="shared" si="2"/>
        <v>365</v>
      </c>
      <c r="I19" s="120">
        <f t="shared" si="14"/>
        <v>4583333.3700000122</v>
      </c>
      <c r="J19" s="120">
        <f>SUM($I$8:I18)</f>
        <v>50416666.629999988</v>
      </c>
      <c r="K19" s="120">
        <f t="shared" si="13"/>
        <v>4583333.3700000122</v>
      </c>
      <c r="L19" s="114">
        <f>ROUND(C19*'Общие данные'!$B$84/H19,2)*G19</f>
        <v>195890.5</v>
      </c>
      <c r="M19" s="114">
        <f t="shared" si="0"/>
        <v>4779223.8700000122</v>
      </c>
      <c r="N19" s="114"/>
      <c r="O19" s="129" t="str">
        <f t="shared" si="8"/>
        <v>Сб</v>
      </c>
      <c r="P19" s="131">
        <f t="shared" si="3"/>
        <v>2</v>
      </c>
      <c r="Q19" s="131">
        <f>DAY('Общие данные'!$B$78)+P19</f>
        <v>9</v>
      </c>
      <c r="R19" s="126">
        <f>IF(A19&lt;='Общие данные'!$B$81,DATE(YEAR($B$8),MONTH($B$8)+A18,DAY('Общие данные'!$B$78)),0)</f>
        <v>46088</v>
      </c>
      <c r="S19" s="112"/>
      <c r="T19" s="112"/>
      <c r="U19" s="112"/>
      <c r="V19" s="112"/>
    </row>
    <row r="20" spans="1:22">
      <c r="A20" s="118">
        <v>13</v>
      </c>
      <c r="B20" s="119" t="b">
        <f>IF(A20&lt;='Общие данные'!$B$81,DATE(YEAR(R20),MONTH(R20),DAY(IF(A20='Общие данные'!$B$81,'Общие данные'!$B$67,IF(A20&lt;'Общие данные'!$B$81,(Q20),IF(A20&gt;'Общие данные'!$B$81,$H$44,0))))))</f>
        <v>0</v>
      </c>
      <c r="C20" s="63">
        <f t="shared" si="9"/>
        <v>0</v>
      </c>
      <c r="D20" s="63">
        <f t="shared" si="10"/>
        <v>0</v>
      </c>
      <c r="E20" s="63">
        <f t="shared" si="11"/>
        <v>0</v>
      </c>
      <c r="F20" s="63">
        <f t="shared" si="12"/>
        <v>0</v>
      </c>
      <c r="G20" s="112">
        <f t="shared" si="7"/>
        <v>-46088</v>
      </c>
      <c r="H20" s="112">
        <f t="shared" si="2"/>
        <v>366</v>
      </c>
      <c r="I20" s="120" t="b">
        <f t="shared" si="14"/>
        <v>0</v>
      </c>
      <c r="J20" s="120">
        <f>SUM($I$8:I19)</f>
        <v>55000000</v>
      </c>
      <c r="K20" s="120">
        <f>$J$12-J20</f>
        <v>0</v>
      </c>
      <c r="L20" s="114">
        <f>ROUND(C20*'Общие данные'!$B$84/H20,2)*G20</f>
        <v>0</v>
      </c>
      <c r="M20" s="114">
        <f t="shared" si="0"/>
        <v>0</v>
      </c>
      <c r="N20" s="114"/>
      <c r="O20" s="129" t="str">
        <f t="shared" si="8"/>
        <v>Сб</v>
      </c>
      <c r="P20" s="131">
        <f t="shared" si="3"/>
        <v>2</v>
      </c>
      <c r="Q20" s="131">
        <f>DAY('Общие данные'!$B$78)+P20</f>
        <v>9</v>
      </c>
      <c r="R20" s="126">
        <f>IF(A20&lt;='Общие данные'!$B$81,DATE(YEAR($B$8),MONTH($B$8)+A19,DAY('Общие данные'!$B$78)),0)</f>
        <v>0</v>
      </c>
      <c r="S20" s="112"/>
      <c r="T20" s="112"/>
      <c r="U20" s="112"/>
      <c r="V20" s="112"/>
    </row>
    <row r="21" spans="1:22">
      <c r="A21" s="118">
        <v>14</v>
      </c>
      <c r="B21" s="119" t="b">
        <f>IF(A21&lt;='Общие данные'!$B$81,DATE(YEAR(R21),MONTH(R21),DAY(IF(A21='Общие данные'!$B$81,'Общие данные'!$B$67,IF(A21&lt;'Общие данные'!$B$81,(Q21),IF(A21&gt;'Общие данные'!$B$81,$H$44,0))))))</f>
        <v>0</v>
      </c>
      <c r="C21" s="63">
        <f t="shared" si="9"/>
        <v>0</v>
      </c>
      <c r="D21" s="63">
        <f t="shared" si="10"/>
        <v>0</v>
      </c>
      <c r="E21" s="63">
        <f t="shared" si="11"/>
        <v>0</v>
      </c>
      <c r="F21" s="63">
        <f t="shared" si="12"/>
        <v>0</v>
      </c>
      <c r="G21" s="112">
        <f t="shared" si="7"/>
        <v>0</v>
      </c>
      <c r="H21" s="112">
        <f t="shared" si="2"/>
        <v>366</v>
      </c>
      <c r="I21" s="120" t="b">
        <f t="shared" si="14"/>
        <v>0</v>
      </c>
      <c r="J21" s="120">
        <f>SUM($I$8:I20)</f>
        <v>55000000</v>
      </c>
      <c r="K21" s="120">
        <f t="shared" si="13"/>
        <v>0</v>
      </c>
      <c r="L21" s="114">
        <f>ROUND(C21*'Общие данные'!$B$84/H21,2)*G21</f>
        <v>0</v>
      </c>
      <c r="M21" s="114">
        <f t="shared" si="0"/>
        <v>0</v>
      </c>
      <c r="N21" s="114"/>
      <c r="O21" s="129" t="str">
        <f t="shared" si="8"/>
        <v>Сб</v>
      </c>
      <c r="P21" s="131">
        <f t="shared" si="3"/>
        <v>2</v>
      </c>
      <c r="Q21" s="131">
        <f>DAY('Общие данные'!$B$78)+P21</f>
        <v>9</v>
      </c>
      <c r="R21" s="126">
        <f>IF(A21&lt;='Общие данные'!$B$81,DATE(YEAR($B$8),MONTH($B$8)+A20,DAY('Общие данные'!$B$78)),0)</f>
        <v>0</v>
      </c>
      <c r="S21" s="112"/>
      <c r="T21" s="112"/>
      <c r="U21" s="112"/>
      <c r="V21" s="112"/>
    </row>
    <row r="22" spans="1:22">
      <c r="A22" s="118">
        <v>15</v>
      </c>
      <c r="B22" s="119" t="b">
        <f>IF(A22&lt;='Общие данные'!$B$81,DATE(YEAR(R22),MONTH(R22),DAY(IF(A22='Общие данные'!$B$81,'Общие данные'!$B$67,IF(A22&lt;'Общие данные'!$B$81,(Q22),IF(A22&gt;'Общие данные'!$B$81,$H$44,0))))))</f>
        <v>0</v>
      </c>
      <c r="C22" s="63">
        <f t="shared" si="9"/>
        <v>0</v>
      </c>
      <c r="D22" s="63">
        <f t="shared" si="10"/>
        <v>0</v>
      </c>
      <c r="E22" s="63">
        <f t="shared" si="11"/>
        <v>0</v>
      </c>
      <c r="F22" s="63">
        <f t="shared" si="12"/>
        <v>0</v>
      </c>
      <c r="G22" s="112">
        <f t="shared" si="7"/>
        <v>0</v>
      </c>
      <c r="H22" s="112">
        <f t="shared" si="2"/>
        <v>366</v>
      </c>
      <c r="I22" s="120" t="b">
        <f t="shared" si="14"/>
        <v>0</v>
      </c>
      <c r="J22" s="120">
        <f>SUM($I$8:I21)</f>
        <v>55000000</v>
      </c>
      <c r="K22" s="120">
        <f t="shared" si="13"/>
        <v>0</v>
      </c>
      <c r="L22" s="114">
        <f>ROUND(C22*'Общие данные'!$B$84/H22,2)*G22</f>
        <v>0</v>
      </c>
      <c r="M22" s="114">
        <f t="shared" si="0"/>
        <v>0</v>
      </c>
      <c r="N22" s="114"/>
      <c r="O22" s="129" t="str">
        <f t="shared" si="8"/>
        <v>Сб</v>
      </c>
      <c r="P22" s="131">
        <f t="shared" si="3"/>
        <v>2</v>
      </c>
      <c r="Q22" s="131">
        <f>DAY('Общие данные'!$B$78)+P22</f>
        <v>9</v>
      </c>
      <c r="R22" s="126">
        <f>IF(A22&lt;='Общие данные'!$B$81,DATE(YEAR($B$8),MONTH($B$8)+A21,DAY('Общие данные'!$B$78)),0)</f>
        <v>0</v>
      </c>
      <c r="S22" s="112"/>
      <c r="T22" s="112"/>
      <c r="U22" s="112"/>
      <c r="V22" s="112"/>
    </row>
    <row r="23" spans="1:22">
      <c r="A23" s="118">
        <v>16</v>
      </c>
      <c r="B23" s="119" t="b">
        <f>IF(A23&lt;='Общие данные'!$B$81,DATE(YEAR(R23),MONTH(R23),DAY(IF(A23='Общие данные'!$B$81,'Общие данные'!$B$67,IF(A23&lt;'Общие данные'!$B$81,(Q23),IF(A23&gt;'Общие данные'!$B$81,$H$44,0))))))</f>
        <v>0</v>
      </c>
      <c r="C23" s="63">
        <f t="shared" si="9"/>
        <v>0</v>
      </c>
      <c r="D23" s="63">
        <f t="shared" si="10"/>
        <v>0</v>
      </c>
      <c r="E23" s="63">
        <f t="shared" si="11"/>
        <v>0</v>
      </c>
      <c r="F23" s="63">
        <f t="shared" si="12"/>
        <v>0</v>
      </c>
      <c r="G23" s="112">
        <f t="shared" si="7"/>
        <v>0</v>
      </c>
      <c r="H23" s="112">
        <f t="shared" si="2"/>
        <v>366</v>
      </c>
      <c r="I23" s="120" t="b">
        <f t="shared" si="14"/>
        <v>0</v>
      </c>
      <c r="J23" s="120">
        <f>SUM($I$8:I22)</f>
        <v>55000000</v>
      </c>
      <c r="K23" s="120">
        <f t="shared" si="13"/>
        <v>0</v>
      </c>
      <c r="L23" s="114">
        <f>ROUND(C23*'Общие данные'!$B$84/H23,2)*G23</f>
        <v>0</v>
      </c>
      <c r="M23" s="114">
        <f t="shared" si="0"/>
        <v>0</v>
      </c>
      <c r="N23" s="114"/>
      <c r="O23" s="129" t="str">
        <f t="shared" si="8"/>
        <v>Сб</v>
      </c>
      <c r="P23" s="131">
        <f t="shared" si="3"/>
        <v>2</v>
      </c>
      <c r="Q23" s="131">
        <f>DAY('Общие данные'!$B$78)+P23</f>
        <v>9</v>
      </c>
      <c r="R23" s="126">
        <f>IF(A23&lt;='Общие данные'!$B$81,DATE(YEAR($B$8),MONTH($B$8)+A22,DAY('Общие данные'!$B$78)),0)</f>
        <v>0</v>
      </c>
      <c r="S23" s="112"/>
      <c r="T23" s="112"/>
      <c r="U23" s="112"/>
      <c r="V23" s="112"/>
    </row>
    <row r="24" spans="1:22">
      <c r="A24" s="118">
        <v>17</v>
      </c>
      <c r="B24" s="119" t="b">
        <f>IF(A24&lt;='Общие данные'!$B$81,DATE(YEAR(R24),MONTH(R24),DAY(IF(A24='Общие данные'!$B$81,'Общие данные'!$B$67,IF(A24&lt;'Общие данные'!$B$81,(Q24),IF(A24&gt;'Общие данные'!$B$81,$H$44,0))))))</f>
        <v>0</v>
      </c>
      <c r="C24" s="63">
        <f t="shared" si="9"/>
        <v>0</v>
      </c>
      <c r="D24" s="63">
        <f t="shared" si="10"/>
        <v>0</v>
      </c>
      <c r="E24" s="63">
        <f t="shared" si="11"/>
        <v>0</v>
      </c>
      <c r="F24" s="63">
        <f t="shared" si="12"/>
        <v>0</v>
      </c>
      <c r="G24" s="112">
        <f t="shared" si="7"/>
        <v>0</v>
      </c>
      <c r="H24" s="112">
        <f t="shared" si="2"/>
        <v>366</v>
      </c>
      <c r="I24" s="120" t="b">
        <f t="shared" si="14"/>
        <v>0</v>
      </c>
      <c r="J24" s="120">
        <f>SUM($I$8:I23)</f>
        <v>55000000</v>
      </c>
      <c r="K24" s="120">
        <f t="shared" si="13"/>
        <v>0</v>
      </c>
      <c r="L24" s="114">
        <f>ROUND(C24*'Общие данные'!$B$84/H24,2)*G24</f>
        <v>0</v>
      </c>
      <c r="M24" s="114">
        <f t="shared" si="0"/>
        <v>0</v>
      </c>
      <c r="N24" s="114"/>
      <c r="O24" s="129" t="str">
        <f t="shared" si="8"/>
        <v>Сб</v>
      </c>
      <c r="P24" s="131">
        <f t="shared" si="3"/>
        <v>2</v>
      </c>
      <c r="Q24" s="131">
        <f>DAY('Общие данные'!$B$78)+P24</f>
        <v>9</v>
      </c>
      <c r="R24" s="126">
        <f>IF(A24&lt;='Общие данные'!$B$81,DATE(YEAR($B$8),MONTH($B$8)+A23,DAY('Общие данные'!$B$78)),0)</f>
        <v>0</v>
      </c>
      <c r="S24" s="112"/>
      <c r="T24" s="112"/>
      <c r="U24" s="112"/>
      <c r="V24" s="112"/>
    </row>
    <row r="25" spans="1:22">
      <c r="A25" s="118">
        <v>18</v>
      </c>
      <c r="B25" s="119" t="b">
        <f>IF(A25&lt;='Общие данные'!$B$81,DATE(YEAR(R25),MONTH(R25),DAY(IF(A25='Общие данные'!$B$81,'Общие данные'!$B$67,IF(A25&lt;'Общие данные'!$B$81,(Q25),IF(A25&gt;'Общие данные'!$B$81,$H$44,0))))))</f>
        <v>0</v>
      </c>
      <c r="C25" s="63">
        <f t="shared" si="9"/>
        <v>0</v>
      </c>
      <c r="D25" s="63">
        <f t="shared" si="10"/>
        <v>0</v>
      </c>
      <c r="E25" s="63">
        <f t="shared" si="11"/>
        <v>0</v>
      </c>
      <c r="F25" s="63">
        <f t="shared" si="12"/>
        <v>0</v>
      </c>
      <c r="G25" s="112">
        <f t="shared" si="7"/>
        <v>0</v>
      </c>
      <c r="H25" s="112">
        <f t="shared" si="2"/>
        <v>366</v>
      </c>
      <c r="I25" s="120" t="b">
        <f t="shared" si="14"/>
        <v>0</v>
      </c>
      <c r="J25" s="120">
        <f>SUM($I$8:I24)</f>
        <v>55000000</v>
      </c>
      <c r="K25" s="120">
        <f t="shared" si="13"/>
        <v>0</v>
      </c>
      <c r="L25" s="114">
        <f>ROUND(C25*'Общие данные'!$B$84/H25,2)*G25</f>
        <v>0</v>
      </c>
      <c r="M25" s="114">
        <f t="shared" si="0"/>
        <v>0</v>
      </c>
      <c r="N25" s="114"/>
      <c r="O25" s="129" t="str">
        <f t="shared" si="8"/>
        <v>Сб</v>
      </c>
      <c r="P25" s="131">
        <f t="shared" si="3"/>
        <v>2</v>
      </c>
      <c r="Q25" s="131">
        <f>DAY('Общие данные'!$B$78)+P25</f>
        <v>9</v>
      </c>
      <c r="R25" s="126">
        <f>IF(A25&lt;='Общие данные'!$B$81,DATE(YEAR($B$8),MONTH($B$8)+A24,DAY('Общие данные'!$B$78)),0)</f>
        <v>0</v>
      </c>
      <c r="S25" s="112"/>
      <c r="T25" s="112"/>
      <c r="U25" s="112"/>
      <c r="V25" s="112"/>
    </row>
    <row r="26" spans="1:22">
      <c r="A26" s="118">
        <v>19</v>
      </c>
      <c r="B26" s="119" t="b">
        <f>IF(A26&lt;='Общие данные'!$B$81,DATE(YEAR(R26),MONTH(R26),DAY(IF(A26='Общие данные'!$B$81,'Общие данные'!$B$67,IF(A26&lt;'Общие данные'!$B$81,(Q26),IF(A26&gt;'Общие данные'!$B$81,$H$44,0))))))</f>
        <v>0</v>
      </c>
      <c r="C26" s="63">
        <f t="shared" si="9"/>
        <v>0</v>
      </c>
      <c r="D26" s="63">
        <f t="shared" si="10"/>
        <v>0</v>
      </c>
      <c r="E26" s="63">
        <f t="shared" si="11"/>
        <v>0</v>
      </c>
      <c r="F26" s="63">
        <f t="shared" si="12"/>
        <v>0</v>
      </c>
      <c r="G26" s="112">
        <f t="shared" si="7"/>
        <v>0</v>
      </c>
      <c r="H26" s="112">
        <f t="shared" si="2"/>
        <v>366</v>
      </c>
      <c r="I26" s="120" t="b">
        <f t="shared" si="14"/>
        <v>0</v>
      </c>
      <c r="J26" s="120">
        <f>SUM($I$8:I25)</f>
        <v>55000000</v>
      </c>
      <c r="K26" s="120">
        <f t="shared" si="13"/>
        <v>0</v>
      </c>
      <c r="L26" s="114">
        <f>ROUND(C26*'Общие данные'!$B$84/H26,2)*G26</f>
        <v>0</v>
      </c>
      <c r="M26" s="114">
        <f t="shared" si="0"/>
        <v>0</v>
      </c>
      <c r="N26" s="114"/>
      <c r="O26" s="129" t="str">
        <f t="shared" si="8"/>
        <v>Сб</v>
      </c>
      <c r="P26" s="131">
        <f t="shared" si="3"/>
        <v>2</v>
      </c>
      <c r="Q26" s="131">
        <f>DAY('Общие данные'!$B$78)+P26</f>
        <v>9</v>
      </c>
      <c r="R26" s="126">
        <f>IF(A26&lt;='Общие данные'!$B$81,DATE(YEAR($B$8),MONTH($B$8)+A25,DAY('Общие данные'!$B$78)),0)</f>
        <v>0</v>
      </c>
      <c r="S26" s="112"/>
      <c r="T26" s="112"/>
      <c r="U26" s="112"/>
      <c r="V26" s="112"/>
    </row>
    <row r="27" spans="1:22">
      <c r="A27" s="118">
        <v>20</v>
      </c>
      <c r="B27" s="119" t="b">
        <f>IF(A27&lt;='Общие данные'!$B$81,DATE(YEAR(R27),MONTH(R27),DAY(IF(A27='Общие данные'!$B$81,'Общие данные'!$B$67,IF(A27&lt;'Общие данные'!$B$81,(Q27),IF(A27&gt;'Общие данные'!$B$81,$H$44,0))))))</f>
        <v>0</v>
      </c>
      <c r="C27" s="63">
        <f t="shared" si="9"/>
        <v>0</v>
      </c>
      <c r="D27" s="63">
        <f t="shared" si="10"/>
        <v>0</v>
      </c>
      <c r="E27" s="63">
        <f t="shared" si="11"/>
        <v>0</v>
      </c>
      <c r="F27" s="63">
        <f t="shared" si="12"/>
        <v>0</v>
      </c>
      <c r="G27" s="112">
        <f t="shared" si="7"/>
        <v>0</v>
      </c>
      <c r="H27" s="112">
        <f t="shared" si="2"/>
        <v>366</v>
      </c>
      <c r="I27" s="120" t="b">
        <f t="shared" si="14"/>
        <v>0</v>
      </c>
      <c r="J27" s="120">
        <f>SUM($I$8:I26)</f>
        <v>55000000</v>
      </c>
      <c r="K27" s="120">
        <f t="shared" si="13"/>
        <v>0</v>
      </c>
      <c r="L27" s="114">
        <f>ROUND(C27*'Общие данные'!$B$84/H27,2)*G27</f>
        <v>0</v>
      </c>
      <c r="M27" s="114">
        <f t="shared" si="0"/>
        <v>0</v>
      </c>
      <c r="N27" s="114"/>
      <c r="O27" s="129" t="str">
        <f t="shared" si="8"/>
        <v>Сб</v>
      </c>
      <c r="P27" s="131">
        <f t="shared" si="3"/>
        <v>2</v>
      </c>
      <c r="Q27" s="131">
        <f>DAY('Общие данные'!$B$78)+P27</f>
        <v>9</v>
      </c>
      <c r="R27" s="126">
        <f>IF(A27&lt;='Общие данные'!$B$81,DATE(YEAR($B$8),MONTH($B$8)+A26,DAY('Общие данные'!$B$78)),0)</f>
        <v>0</v>
      </c>
      <c r="S27" s="112"/>
      <c r="T27" s="112"/>
      <c r="U27" s="112"/>
      <c r="V27" s="112"/>
    </row>
    <row r="28" spans="1:22">
      <c r="A28" s="118">
        <v>21</v>
      </c>
      <c r="B28" s="119" t="b">
        <f>IF(A28&lt;='Общие данные'!$B$81,DATE(YEAR(R28),MONTH(R28),DAY(IF(A28='Общие данные'!$B$81,'Общие данные'!$B$67,IF(A28&lt;'Общие данные'!$B$81,(Q28),IF(A28&gt;'Общие данные'!$B$81,$H$44,0))))))</f>
        <v>0</v>
      </c>
      <c r="C28" s="63">
        <f t="shared" si="9"/>
        <v>0</v>
      </c>
      <c r="D28" s="63">
        <f t="shared" si="10"/>
        <v>0</v>
      </c>
      <c r="E28" s="63">
        <f t="shared" si="11"/>
        <v>0</v>
      </c>
      <c r="F28" s="63">
        <f t="shared" si="12"/>
        <v>0</v>
      </c>
      <c r="G28" s="112">
        <f t="shared" si="7"/>
        <v>0</v>
      </c>
      <c r="H28" s="112">
        <f t="shared" si="2"/>
        <v>366</v>
      </c>
      <c r="I28" s="120" t="b">
        <f t="shared" si="14"/>
        <v>0</v>
      </c>
      <c r="J28" s="120">
        <f>SUM($I$8:I27)</f>
        <v>55000000</v>
      </c>
      <c r="K28" s="120">
        <f t="shared" si="13"/>
        <v>0</v>
      </c>
      <c r="L28" s="114">
        <f>ROUND(C28*'Общие данные'!$B$84/H28,2)*G28</f>
        <v>0</v>
      </c>
      <c r="M28" s="114">
        <f t="shared" si="0"/>
        <v>0</v>
      </c>
      <c r="N28" s="114"/>
      <c r="O28" s="129" t="str">
        <f t="shared" si="8"/>
        <v>Сб</v>
      </c>
      <c r="P28" s="131">
        <f t="shared" si="3"/>
        <v>2</v>
      </c>
      <c r="Q28" s="131">
        <f>DAY('Общие данные'!$B$78)+P28</f>
        <v>9</v>
      </c>
      <c r="R28" s="126">
        <f>IF(A28&lt;='Общие данные'!$B$81,DATE(YEAR($B$8),MONTH($B$8)+A27,DAY('Общие данные'!$B$78)),0)</f>
        <v>0</v>
      </c>
      <c r="S28" s="112"/>
      <c r="T28" s="112"/>
      <c r="U28" s="112"/>
      <c r="V28" s="112"/>
    </row>
    <row r="29" spans="1:22">
      <c r="A29" s="118">
        <v>22</v>
      </c>
      <c r="B29" s="119" t="b">
        <f>IF(A29&lt;='Общие данные'!$B$81,DATE(YEAR(R29),MONTH(R29),DAY(IF(A29='Общие данные'!$B$81,'Общие данные'!$B$67,IF(A29&lt;'Общие данные'!$B$81,(Q29),IF(A29&gt;'Общие данные'!$B$81,$H$44,0))))))</f>
        <v>0</v>
      </c>
      <c r="C29" s="63">
        <f t="shared" si="9"/>
        <v>0</v>
      </c>
      <c r="D29" s="63">
        <f t="shared" si="10"/>
        <v>0</v>
      </c>
      <c r="E29" s="63">
        <f t="shared" si="11"/>
        <v>0</v>
      </c>
      <c r="F29" s="63">
        <f t="shared" si="12"/>
        <v>0</v>
      </c>
      <c r="G29" s="112">
        <f t="shared" si="7"/>
        <v>0</v>
      </c>
      <c r="H29" s="112">
        <f t="shared" si="2"/>
        <v>366</v>
      </c>
      <c r="I29" s="120" t="b">
        <f t="shared" si="14"/>
        <v>0</v>
      </c>
      <c r="J29" s="120">
        <f>SUM($I$8:I28)</f>
        <v>55000000</v>
      </c>
      <c r="K29" s="120">
        <f t="shared" si="13"/>
        <v>0</v>
      </c>
      <c r="L29" s="114">
        <f>ROUND(C29*'Общие данные'!$B$84/H29,2)*G29</f>
        <v>0</v>
      </c>
      <c r="M29" s="114">
        <f t="shared" si="0"/>
        <v>0</v>
      </c>
      <c r="N29" s="114"/>
      <c r="O29" s="129" t="str">
        <f t="shared" si="8"/>
        <v>Сб</v>
      </c>
      <c r="P29" s="131">
        <f t="shared" si="3"/>
        <v>2</v>
      </c>
      <c r="Q29" s="131">
        <f>DAY('Общие данные'!$B$78)+P29</f>
        <v>9</v>
      </c>
      <c r="R29" s="126">
        <f>IF(A29&lt;='Общие данные'!$B$81,DATE(YEAR($B$8),MONTH($B$8)+A28,DAY('Общие данные'!$B$78)),0)</f>
        <v>0</v>
      </c>
      <c r="S29" s="112"/>
      <c r="T29" s="112"/>
      <c r="U29" s="112"/>
      <c r="V29" s="112"/>
    </row>
    <row r="30" spans="1:22">
      <c r="A30" s="118">
        <v>23</v>
      </c>
      <c r="B30" s="119" t="b">
        <f>IF(A30&lt;='Общие данные'!$B$81,DATE(YEAR(R30),MONTH(R30),DAY(IF(A30='Общие данные'!$B$81,'Общие данные'!$B$67,IF(A30&lt;'Общие данные'!$B$81,(Q30),IF(A30&gt;'Общие данные'!$B$81,$H$44,0))))))</f>
        <v>0</v>
      </c>
      <c r="C30" s="63">
        <f t="shared" si="9"/>
        <v>0</v>
      </c>
      <c r="D30" s="63">
        <f t="shared" si="10"/>
        <v>0</v>
      </c>
      <c r="E30" s="63">
        <f t="shared" si="11"/>
        <v>0</v>
      </c>
      <c r="F30" s="63">
        <f t="shared" si="12"/>
        <v>0</v>
      </c>
      <c r="G30" s="112">
        <f t="shared" si="7"/>
        <v>0</v>
      </c>
      <c r="H30" s="112">
        <f t="shared" si="2"/>
        <v>366</v>
      </c>
      <c r="I30" s="120" t="b">
        <f t="shared" si="14"/>
        <v>0</v>
      </c>
      <c r="J30" s="120">
        <f>SUM($I$8:I29)</f>
        <v>55000000</v>
      </c>
      <c r="K30" s="120">
        <f t="shared" si="13"/>
        <v>0</v>
      </c>
      <c r="L30" s="114">
        <f>ROUND(C30*'Общие данные'!$B$84/H30,2)*G30</f>
        <v>0</v>
      </c>
      <c r="M30" s="114">
        <f t="shared" si="0"/>
        <v>0</v>
      </c>
      <c r="N30" s="114"/>
      <c r="O30" s="129" t="str">
        <f t="shared" si="8"/>
        <v>Сб</v>
      </c>
      <c r="P30" s="131">
        <f t="shared" si="3"/>
        <v>2</v>
      </c>
      <c r="Q30" s="131">
        <f>DAY('Общие данные'!$B$78)+P30</f>
        <v>9</v>
      </c>
      <c r="R30" s="126">
        <f>IF(A30&lt;='Общие данные'!$B$81,DATE(YEAR($B$8),MONTH($B$8)+A29,DAY('Общие данные'!$B$78)),0)</f>
        <v>0</v>
      </c>
      <c r="S30" s="112"/>
      <c r="T30" s="112"/>
      <c r="U30" s="112"/>
      <c r="V30" s="112"/>
    </row>
    <row r="31" spans="1:22">
      <c r="A31" s="118">
        <f>1+A30</f>
        <v>24</v>
      </c>
      <c r="B31" s="119" t="b">
        <f>IF(A31&lt;='Общие данные'!$B$81,DATE(YEAR(R31),MONTH(R31),DAY(IF(A31='Общие данные'!$B$81,'Общие данные'!$B$67,IF(A31&lt;'Общие данные'!$B$81,(Q31),IF(A31&gt;'Общие данные'!$B$81,$H$44,0))))))</f>
        <v>0</v>
      </c>
      <c r="C31" s="63">
        <f t="shared" si="4"/>
        <v>0</v>
      </c>
      <c r="D31" s="63">
        <f t="shared" si="1"/>
        <v>0</v>
      </c>
      <c r="E31" s="63">
        <f t="shared" si="5"/>
        <v>0</v>
      </c>
      <c r="F31" s="63">
        <f t="shared" si="6"/>
        <v>0</v>
      </c>
      <c r="G31" s="112">
        <f t="shared" si="7"/>
        <v>0</v>
      </c>
      <c r="H31" s="112">
        <f t="shared" si="2"/>
        <v>366</v>
      </c>
      <c r="I31" s="120" t="b">
        <f t="shared" si="14"/>
        <v>0</v>
      </c>
      <c r="J31" s="120">
        <f>SUM($I$8:I30)</f>
        <v>55000000</v>
      </c>
      <c r="K31" s="120">
        <f t="shared" si="13"/>
        <v>0</v>
      </c>
      <c r="L31" s="114">
        <f>ROUND(C31*'Общие данные'!$B$84/H31,2)*G31</f>
        <v>0</v>
      </c>
      <c r="M31" s="114">
        <f t="shared" si="0"/>
        <v>0</v>
      </c>
      <c r="N31" s="114"/>
      <c r="O31" s="129" t="str">
        <f t="shared" si="8"/>
        <v>Сб</v>
      </c>
      <c r="P31" s="131">
        <f t="shared" si="3"/>
        <v>2</v>
      </c>
      <c r="Q31" s="131">
        <f>DAY('Общие данные'!$B$78)+P31</f>
        <v>9</v>
      </c>
      <c r="R31" s="126">
        <f>IF(A31&lt;='Общие данные'!$B$81,DATE(YEAR($B$8),MONTH($B$8)+A30,DAY('Общие данные'!$B$78)),0)</f>
        <v>0</v>
      </c>
      <c r="S31" s="112"/>
      <c r="T31" s="112"/>
      <c r="U31" s="112"/>
      <c r="V31" s="112"/>
    </row>
    <row r="32" spans="1:22">
      <c r="A32" s="118">
        <f t="shared" ref="A32:A43" si="15">1+A31</f>
        <v>25</v>
      </c>
      <c r="B32" s="119" t="b">
        <f>IF(A32&lt;='Общие данные'!$B$81,DATE(YEAR(R32),MONTH(R32),DAY(IF(A32='Общие данные'!$B$81,'Общие данные'!$B$67,IF(A32&lt;'Общие данные'!$B$81,(Q32),IF(A32&gt;'Общие данные'!$B$81,$H$44,0))))))</f>
        <v>0</v>
      </c>
      <c r="C32" s="63">
        <f t="shared" ref="C32:C43" si="16">C31-D31</f>
        <v>0</v>
      </c>
      <c r="D32" s="63">
        <f t="shared" ref="D32:D43" si="17">IF(C32=0,L32,IF(C32&gt;1,I32))</f>
        <v>0</v>
      </c>
      <c r="E32" s="63">
        <f t="shared" ref="E32:E43" si="18">IF(C32=0,N31,IF(C32&gt;1,L32))</f>
        <v>0</v>
      </c>
      <c r="F32" s="63">
        <f t="shared" ref="F32:F43" si="19">IF(C32=0,N31,IF(C32&gt;1,M32))</f>
        <v>0</v>
      </c>
      <c r="G32" s="112">
        <f t="shared" ref="G32:G43" si="20">B32-B31</f>
        <v>0</v>
      </c>
      <c r="H32" s="112">
        <f t="shared" ref="H32:H43" si="21">DATE(YEAR(B32),12,31)-DATE(YEAR(B32),1,1)+1</f>
        <v>366</v>
      </c>
      <c r="I32" s="120" t="b">
        <f t="shared" ref="I32:I43" si="22">IF($L$5=A32,K32,IF($L$5&gt;A32,I31))</f>
        <v>0</v>
      </c>
      <c r="J32" s="120">
        <f>SUM($I$8:I31)</f>
        <v>55000000</v>
      </c>
      <c r="K32" s="120">
        <f t="shared" ref="K32:K43" si="23">$J$12-J32</f>
        <v>0</v>
      </c>
      <c r="L32" s="114">
        <f>ROUND(C32*'Общие данные'!$B$84/H32,2)*G32</f>
        <v>0</v>
      </c>
      <c r="M32" s="114">
        <f t="shared" ref="M32:M43" si="24">D32+E32</f>
        <v>0</v>
      </c>
      <c r="N32" s="114"/>
      <c r="O32" s="129" t="str">
        <f t="shared" ref="O32:O43" si="25">TEXT(R32,"ддд")</f>
        <v>Сб</v>
      </c>
      <c r="P32" s="131">
        <f t="shared" ref="P32:P43" si="26">IF(O32=$U$8,2,IF(O32=$V$8,1,0))</f>
        <v>2</v>
      </c>
      <c r="Q32" s="131">
        <f>DAY('Общие данные'!$B$78)+P32</f>
        <v>9</v>
      </c>
      <c r="R32" s="126">
        <f>IF(A32&lt;='Общие данные'!$B$81,DATE(YEAR($B$8),MONTH($B$8)+A31,DAY('Общие данные'!$B$78)),0)</f>
        <v>0</v>
      </c>
      <c r="S32" s="112"/>
      <c r="T32" s="112"/>
      <c r="U32" s="112"/>
      <c r="V32" s="112"/>
    </row>
    <row r="33" spans="1:22">
      <c r="A33" s="118">
        <f t="shared" si="15"/>
        <v>26</v>
      </c>
      <c r="B33" s="119" t="b">
        <f>IF(A33&lt;='Общие данные'!$B$81,DATE(YEAR(R33),MONTH(R33),DAY(IF(A33='Общие данные'!$B$81,'Общие данные'!$B$67,IF(A33&lt;'Общие данные'!$B$81,(Q33),IF(A33&gt;'Общие данные'!$B$81,$H$44,0))))))</f>
        <v>0</v>
      </c>
      <c r="C33" s="63">
        <f t="shared" si="16"/>
        <v>0</v>
      </c>
      <c r="D33" s="63">
        <f t="shared" si="17"/>
        <v>0</v>
      </c>
      <c r="E33" s="63">
        <f t="shared" si="18"/>
        <v>0</v>
      </c>
      <c r="F33" s="63">
        <f t="shared" si="19"/>
        <v>0</v>
      </c>
      <c r="G33" s="112">
        <f t="shared" si="20"/>
        <v>0</v>
      </c>
      <c r="H33" s="112">
        <f t="shared" si="21"/>
        <v>366</v>
      </c>
      <c r="I33" s="120" t="b">
        <f t="shared" si="22"/>
        <v>0</v>
      </c>
      <c r="J33" s="120">
        <f>SUM($I$8:I32)</f>
        <v>55000000</v>
      </c>
      <c r="K33" s="120">
        <f t="shared" si="23"/>
        <v>0</v>
      </c>
      <c r="L33" s="114">
        <f>ROUND(C33*'Общие данные'!$B$84/H33,2)*G33</f>
        <v>0</v>
      </c>
      <c r="M33" s="114">
        <f t="shared" si="24"/>
        <v>0</v>
      </c>
      <c r="N33" s="114"/>
      <c r="O33" s="129" t="str">
        <f t="shared" si="25"/>
        <v>Сб</v>
      </c>
      <c r="P33" s="131">
        <f t="shared" si="26"/>
        <v>2</v>
      </c>
      <c r="Q33" s="131">
        <f>DAY('Общие данные'!$B$78)+P33</f>
        <v>9</v>
      </c>
      <c r="R33" s="126">
        <f>IF(A33&lt;='Общие данные'!$B$81,DATE(YEAR($B$8),MONTH($B$8)+A32,DAY('Общие данные'!$B$78)),0)</f>
        <v>0</v>
      </c>
      <c r="S33" s="112"/>
      <c r="T33" s="112"/>
      <c r="U33" s="112"/>
      <c r="V33" s="112"/>
    </row>
    <row r="34" spans="1:22">
      <c r="A34" s="118">
        <f t="shared" si="15"/>
        <v>27</v>
      </c>
      <c r="B34" s="119" t="b">
        <f>IF(A34&lt;='Общие данные'!$B$81,DATE(YEAR(R34),MONTH(R34),DAY(IF(A34='Общие данные'!$B$81,'Общие данные'!$B$67,IF(A34&lt;'Общие данные'!$B$81,(Q34),IF(A34&gt;'Общие данные'!$B$81,$H$44,0))))))</f>
        <v>0</v>
      </c>
      <c r="C34" s="63">
        <f t="shared" si="16"/>
        <v>0</v>
      </c>
      <c r="D34" s="63">
        <f t="shared" si="17"/>
        <v>0</v>
      </c>
      <c r="E34" s="63">
        <f t="shared" si="18"/>
        <v>0</v>
      </c>
      <c r="F34" s="63">
        <f t="shared" si="19"/>
        <v>0</v>
      </c>
      <c r="G34" s="112">
        <f t="shared" si="20"/>
        <v>0</v>
      </c>
      <c r="H34" s="112">
        <f t="shared" si="21"/>
        <v>366</v>
      </c>
      <c r="I34" s="120" t="b">
        <f t="shared" si="22"/>
        <v>0</v>
      </c>
      <c r="J34" s="120">
        <f>SUM($I$8:I33)</f>
        <v>55000000</v>
      </c>
      <c r="K34" s="120">
        <f t="shared" si="23"/>
        <v>0</v>
      </c>
      <c r="L34" s="114">
        <f>ROUND(C34*'Общие данные'!$B$84/H34,2)*G34</f>
        <v>0</v>
      </c>
      <c r="M34" s="114">
        <f t="shared" si="24"/>
        <v>0</v>
      </c>
      <c r="N34" s="114"/>
      <c r="O34" s="129" t="str">
        <f t="shared" si="25"/>
        <v>Сб</v>
      </c>
      <c r="P34" s="131">
        <f t="shared" si="26"/>
        <v>2</v>
      </c>
      <c r="Q34" s="131">
        <f>DAY('Общие данные'!$B$78)+P34</f>
        <v>9</v>
      </c>
      <c r="R34" s="126">
        <f>IF(A34&lt;='Общие данные'!$B$81,DATE(YEAR($B$8),MONTH($B$8)+A33,DAY('Общие данные'!$B$78)),0)</f>
        <v>0</v>
      </c>
      <c r="S34" s="112"/>
      <c r="T34" s="112"/>
      <c r="U34" s="112"/>
      <c r="V34" s="112"/>
    </row>
    <row r="35" spans="1:22">
      <c r="A35" s="118">
        <f t="shared" si="15"/>
        <v>28</v>
      </c>
      <c r="B35" s="119" t="b">
        <f>IF(A35&lt;='Общие данные'!$B$81,DATE(YEAR(R35),MONTH(R35),DAY(IF(A35='Общие данные'!$B$81,'Общие данные'!$B$67,IF(A35&lt;'Общие данные'!$B$81,(Q35),IF(A35&gt;'Общие данные'!$B$81,$H$44,0))))))</f>
        <v>0</v>
      </c>
      <c r="C35" s="63">
        <f t="shared" si="16"/>
        <v>0</v>
      </c>
      <c r="D35" s="63">
        <f t="shared" si="17"/>
        <v>0</v>
      </c>
      <c r="E35" s="63">
        <f t="shared" si="18"/>
        <v>0</v>
      </c>
      <c r="F35" s="63">
        <f t="shared" si="19"/>
        <v>0</v>
      </c>
      <c r="G35" s="112">
        <f t="shared" si="20"/>
        <v>0</v>
      </c>
      <c r="H35" s="112">
        <f t="shared" si="21"/>
        <v>366</v>
      </c>
      <c r="I35" s="120" t="b">
        <f t="shared" si="22"/>
        <v>0</v>
      </c>
      <c r="J35" s="120">
        <f>SUM($I$8:I34)</f>
        <v>55000000</v>
      </c>
      <c r="K35" s="120">
        <f t="shared" si="23"/>
        <v>0</v>
      </c>
      <c r="L35" s="114">
        <f>ROUND(C35*'Общие данные'!$B$84/H35,2)*G35</f>
        <v>0</v>
      </c>
      <c r="M35" s="114">
        <f t="shared" si="24"/>
        <v>0</v>
      </c>
      <c r="N35" s="114"/>
      <c r="O35" s="129" t="str">
        <f t="shared" si="25"/>
        <v>Сб</v>
      </c>
      <c r="P35" s="131">
        <f t="shared" si="26"/>
        <v>2</v>
      </c>
      <c r="Q35" s="131">
        <f>DAY('Общие данные'!$B$78)+P35</f>
        <v>9</v>
      </c>
      <c r="R35" s="126">
        <f>IF(A35&lt;='Общие данные'!$B$81,DATE(YEAR($B$8),MONTH($B$8)+A34,DAY('Общие данные'!$B$78)),0)</f>
        <v>0</v>
      </c>
      <c r="S35" s="112"/>
      <c r="T35" s="112"/>
      <c r="U35" s="112"/>
      <c r="V35" s="112"/>
    </row>
    <row r="36" spans="1:22">
      <c r="A36" s="118">
        <f t="shared" si="15"/>
        <v>29</v>
      </c>
      <c r="B36" s="119" t="b">
        <f>IF(A36&lt;='Общие данные'!$B$81,DATE(YEAR(R36),MONTH(R36),DAY(IF(A36='Общие данные'!$B$81,'Общие данные'!$B$67,IF(A36&lt;'Общие данные'!$B$81,(Q36),IF(A36&gt;'Общие данные'!$B$81,$H$44,0))))))</f>
        <v>0</v>
      </c>
      <c r="C36" s="63">
        <f t="shared" si="16"/>
        <v>0</v>
      </c>
      <c r="D36" s="63">
        <f t="shared" si="17"/>
        <v>0</v>
      </c>
      <c r="E36" s="63">
        <f t="shared" si="18"/>
        <v>0</v>
      </c>
      <c r="F36" s="63">
        <f t="shared" si="19"/>
        <v>0</v>
      </c>
      <c r="G36" s="112">
        <f t="shared" si="20"/>
        <v>0</v>
      </c>
      <c r="H36" s="112">
        <f t="shared" si="21"/>
        <v>366</v>
      </c>
      <c r="I36" s="120" t="b">
        <f t="shared" si="22"/>
        <v>0</v>
      </c>
      <c r="J36" s="120">
        <f>SUM($I$8:I35)</f>
        <v>55000000</v>
      </c>
      <c r="K36" s="120">
        <f t="shared" si="23"/>
        <v>0</v>
      </c>
      <c r="L36" s="114">
        <f>ROUND(C36*'Общие данные'!$B$84/H36,2)*G36</f>
        <v>0</v>
      </c>
      <c r="M36" s="114">
        <f t="shared" si="24"/>
        <v>0</v>
      </c>
      <c r="N36" s="114"/>
      <c r="O36" s="129" t="str">
        <f t="shared" si="25"/>
        <v>Сб</v>
      </c>
      <c r="P36" s="131">
        <f t="shared" si="26"/>
        <v>2</v>
      </c>
      <c r="Q36" s="131">
        <f>DAY('Общие данные'!$B$78)+P36</f>
        <v>9</v>
      </c>
      <c r="R36" s="126">
        <f>IF(A36&lt;='Общие данные'!$B$81,DATE(YEAR($B$8),MONTH($B$8)+A35,DAY('Общие данные'!$B$78)),0)</f>
        <v>0</v>
      </c>
      <c r="S36" s="112"/>
      <c r="T36" s="112"/>
      <c r="U36" s="112"/>
      <c r="V36" s="112"/>
    </row>
    <row r="37" spans="1:22">
      <c r="A37" s="118">
        <f t="shared" si="15"/>
        <v>30</v>
      </c>
      <c r="B37" s="119" t="b">
        <f>IF(A37&lt;='Общие данные'!$B$81,DATE(YEAR(R37),MONTH(R37),DAY(IF(A37='Общие данные'!$B$81,'Общие данные'!$B$67,IF(A37&lt;'Общие данные'!$B$81,(Q37),IF(A37&gt;'Общие данные'!$B$81,$H$44,0))))))</f>
        <v>0</v>
      </c>
      <c r="C37" s="63">
        <f t="shared" si="16"/>
        <v>0</v>
      </c>
      <c r="D37" s="63">
        <f t="shared" si="17"/>
        <v>0</v>
      </c>
      <c r="E37" s="63">
        <f t="shared" si="18"/>
        <v>0</v>
      </c>
      <c r="F37" s="63">
        <f t="shared" si="19"/>
        <v>0</v>
      </c>
      <c r="G37" s="112">
        <f t="shared" si="20"/>
        <v>0</v>
      </c>
      <c r="H37" s="112">
        <f t="shared" si="21"/>
        <v>366</v>
      </c>
      <c r="I37" s="120" t="b">
        <f t="shared" si="22"/>
        <v>0</v>
      </c>
      <c r="J37" s="120">
        <f>SUM($I$8:I36)</f>
        <v>55000000</v>
      </c>
      <c r="K37" s="120">
        <f t="shared" si="23"/>
        <v>0</v>
      </c>
      <c r="L37" s="114">
        <f>ROUND(C37*'Общие данные'!$B$84/H37,2)*G37</f>
        <v>0</v>
      </c>
      <c r="M37" s="114">
        <f t="shared" si="24"/>
        <v>0</v>
      </c>
      <c r="N37" s="114"/>
      <c r="O37" s="129" t="str">
        <f t="shared" si="25"/>
        <v>Сб</v>
      </c>
      <c r="P37" s="131">
        <f t="shared" si="26"/>
        <v>2</v>
      </c>
      <c r="Q37" s="131">
        <f>DAY('Общие данные'!$B$78)+P37</f>
        <v>9</v>
      </c>
      <c r="R37" s="126">
        <f>IF(A37&lt;='Общие данные'!$B$81,DATE(YEAR($B$8),MONTH($B$8)+A36,DAY('Общие данные'!$B$78)),0)</f>
        <v>0</v>
      </c>
      <c r="S37" s="112"/>
      <c r="T37" s="112"/>
      <c r="U37" s="112"/>
      <c r="V37" s="112"/>
    </row>
    <row r="38" spans="1:22">
      <c r="A38" s="118">
        <f t="shared" si="15"/>
        <v>31</v>
      </c>
      <c r="B38" s="119" t="b">
        <f>IF(A38&lt;='Общие данные'!$B$81,DATE(YEAR(R38),MONTH(R38),DAY(IF(A38='Общие данные'!$B$81,'Общие данные'!$B$67,IF(A38&lt;'Общие данные'!$B$81,(Q38),IF(A38&gt;'Общие данные'!$B$81,$H$44,0))))))</f>
        <v>0</v>
      </c>
      <c r="C38" s="63">
        <f t="shared" si="16"/>
        <v>0</v>
      </c>
      <c r="D38" s="63">
        <f t="shared" si="17"/>
        <v>0</v>
      </c>
      <c r="E38" s="63">
        <f t="shared" si="18"/>
        <v>0</v>
      </c>
      <c r="F38" s="63">
        <f t="shared" si="19"/>
        <v>0</v>
      </c>
      <c r="G38" s="112">
        <f t="shared" si="20"/>
        <v>0</v>
      </c>
      <c r="H38" s="112">
        <f t="shared" si="21"/>
        <v>366</v>
      </c>
      <c r="I38" s="120" t="b">
        <f t="shared" si="22"/>
        <v>0</v>
      </c>
      <c r="J38" s="120">
        <f>SUM($I$8:I37)</f>
        <v>55000000</v>
      </c>
      <c r="K38" s="120">
        <f t="shared" si="23"/>
        <v>0</v>
      </c>
      <c r="L38" s="114">
        <f>ROUND(C38*'Общие данные'!$B$84/H38,2)*G38</f>
        <v>0</v>
      </c>
      <c r="M38" s="114">
        <f t="shared" si="24"/>
        <v>0</v>
      </c>
      <c r="N38" s="114"/>
      <c r="O38" s="129" t="str">
        <f t="shared" si="25"/>
        <v>Сб</v>
      </c>
      <c r="P38" s="131">
        <f t="shared" si="26"/>
        <v>2</v>
      </c>
      <c r="Q38" s="131">
        <f>DAY('Общие данные'!$B$78)+P38</f>
        <v>9</v>
      </c>
      <c r="R38" s="126">
        <f>IF(A38&lt;='Общие данные'!$B$81,DATE(YEAR($B$8),MONTH($B$8)+A37,DAY('Общие данные'!$B$78)),0)</f>
        <v>0</v>
      </c>
      <c r="S38" s="112"/>
      <c r="T38" s="112"/>
      <c r="U38" s="112"/>
      <c r="V38" s="112"/>
    </row>
    <row r="39" spans="1:22">
      <c r="A39" s="118">
        <f t="shared" si="15"/>
        <v>32</v>
      </c>
      <c r="B39" s="119" t="b">
        <f>IF(A39&lt;='Общие данные'!$B$81,DATE(YEAR(R39),MONTH(R39),DAY(IF(A39='Общие данные'!$B$81,'Общие данные'!$B$67,IF(A39&lt;'Общие данные'!$B$81,(Q39),IF(A39&gt;'Общие данные'!$B$81,$H$44,0))))))</f>
        <v>0</v>
      </c>
      <c r="C39" s="63">
        <f t="shared" si="16"/>
        <v>0</v>
      </c>
      <c r="D39" s="63">
        <f t="shared" si="17"/>
        <v>0</v>
      </c>
      <c r="E39" s="63">
        <f t="shared" si="18"/>
        <v>0</v>
      </c>
      <c r="F39" s="63">
        <f t="shared" si="19"/>
        <v>0</v>
      </c>
      <c r="G39" s="112">
        <f t="shared" si="20"/>
        <v>0</v>
      </c>
      <c r="H39" s="112">
        <f t="shared" si="21"/>
        <v>366</v>
      </c>
      <c r="I39" s="120" t="b">
        <f t="shared" si="22"/>
        <v>0</v>
      </c>
      <c r="J39" s="120">
        <f>SUM($I$8:I38)</f>
        <v>55000000</v>
      </c>
      <c r="K39" s="120">
        <f t="shared" si="23"/>
        <v>0</v>
      </c>
      <c r="L39" s="114">
        <f>ROUND(C39*'Общие данные'!$B$84/H39,2)*G39</f>
        <v>0</v>
      </c>
      <c r="M39" s="114">
        <f t="shared" si="24"/>
        <v>0</v>
      </c>
      <c r="N39" s="114"/>
      <c r="O39" s="129" t="str">
        <f t="shared" si="25"/>
        <v>Сб</v>
      </c>
      <c r="P39" s="131">
        <f t="shared" si="26"/>
        <v>2</v>
      </c>
      <c r="Q39" s="131">
        <f>DAY('Общие данные'!$B$78)+P39</f>
        <v>9</v>
      </c>
      <c r="R39" s="126">
        <f>IF(A39&lt;='Общие данные'!$B$81,DATE(YEAR($B$8),MONTH($B$8)+A38,DAY('Общие данные'!$B$78)),0)</f>
        <v>0</v>
      </c>
      <c r="S39" s="112"/>
      <c r="T39" s="112"/>
      <c r="U39" s="112"/>
      <c r="V39" s="112"/>
    </row>
    <row r="40" spans="1:22">
      <c r="A40" s="118">
        <f t="shared" si="15"/>
        <v>33</v>
      </c>
      <c r="B40" s="119" t="b">
        <f>IF(A40&lt;='Общие данные'!$B$81,DATE(YEAR(R40),MONTH(R40),DAY(IF(A40='Общие данные'!$B$81,'Общие данные'!$B$67,IF(A40&lt;'Общие данные'!$B$81,(Q40),IF(A40&gt;'Общие данные'!$B$81,$H$44,0))))))</f>
        <v>0</v>
      </c>
      <c r="C40" s="63">
        <f t="shared" si="16"/>
        <v>0</v>
      </c>
      <c r="D40" s="63">
        <f t="shared" si="17"/>
        <v>0</v>
      </c>
      <c r="E40" s="63">
        <f t="shared" si="18"/>
        <v>0</v>
      </c>
      <c r="F40" s="63">
        <f t="shared" si="19"/>
        <v>0</v>
      </c>
      <c r="G40" s="112">
        <f t="shared" si="20"/>
        <v>0</v>
      </c>
      <c r="H40" s="112">
        <f t="shared" si="21"/>
        <v>366</v>
      </c>
      <c r="I40" s="120" t="b">
        <f t="shared" si="22"/>
        <v>0</v>
      </c>
      <c r="J40" s="120">
        <f>SUM($I$8:I39)</f>
        <v>55000000</v>
      </c>
      <c r="K40" s="120">
        <f t="shared" si="23"/>
        <v>0</v>
      </c>
      <c r="L40" s="114">
        <f>ROUND(C40*'Общие данные'!$B$84/H40,2)*G40</f>
        <v>0</v>
      </c>
      <c r="M40" s="114">
        <f t="shared" si="24"/>
        <v>0</v>
      </c>
      <c r="N40" s="114"/>
      <c r="O40" s="129" t="str">
        <f t="shared" si="25"/>
        <v>Сб</v>
      </c>
      <c r="P40" s="131">
        <f t="shared" si="26"/>
        <v>2</v>
      </c>
      <c r="Q40" s="131">
        <f>DAY('Общие данные'!$B$78)+P40</f>
        <v>9</v>
      </c>
      <c r="R40" s="126">
        <f>IF(A40&lt;='Общие данные'!$B$81,DATE(YEAR($B$8),MONTH($B$8)+A39,DAY('Общие данные'!$B$78)),0)</f>
        <v>0</v>
      </c>
      <c r="S40" s="112"/>
      <c r="T40" s="112"/>
      <c r="U40" s="112"/>
      <c r="V40" s="112"/>
    </row>
    <row r="41" spans="1:22">
      <c r="A41" s="118">
        <f t="shared" si="15"/>
        <v>34</v>
      </c>
      <c r="B41" s="119" t="b">
        <f>IF(A41&lt;='Общие данные'!$B$81,DATE(YEAR(R41),MONTH(R41),DAY(IF(A41='Общие данные'!$B$81,'Общие данные'!$B$67,IF(A41&lt;'Общие данные'!$B$81,(Q41),IF(A41&gt;'Общие данные'!$B$81,$H$44,0))))))</f>
        <v>0</v>
      </c>
      <c r="C41" s="63">
        <f t="shared" si="16"/>
        <v>0</v>
      </c>
      <c r="D41" s="63">
        <f t="shared" si="17"/>
        <v>0</v>
      </c>
      <c r="E41" s="63">
        <f t="shared" si="18"/>
        <v>0</v>
      </c>
      <c r="F41" s="63">
        <f t="shared" si="19"/>
        <v>0</v>
      </c>
      <c r="G41" s="112">
        <f t="shared" si="20"/>
        <v>0</v>
      </c>
      <c r="H41" s="112">
        <f t="shared" si="21"/>
        <v>366</v>
      </c>
      <c r="I41" s="120" t="b">
        <f t="shared" si="22"/>
        <v>0</v>
      </c>
      <c r="J41" s="120">
        <f>SUM($I$8:I40)</f>
        <v>55000000</v>
      </c>
      <c r="K41" s="120">
        <f t="shared" si="23"/>
        <v>0</v>
      </c>
      <c r="L41" s="114">
        <f>ROUND(C41*'Общие данные'!$B$84/H41,2)*G41</f>
        <v>0</v>
      </c>
      <c r="M41" s="114">
        <f t="shared" si="24"/>
        <v>0</v>
      </c>
      <c r="N41" s="114"/>
      <c r="O41" s="129" t="str">
        <f t="shared" si="25"/>
        <v>Сб</v>
      </c>
      <c r="P41" s="131">
        <f t="shared" si="26"/>
        <v>2</v>
      </c>
      <c r="Q41" s="131">
        <f>DAY('Общие данные'!$B$78)+P41</f>
        <v>9</v>
      </c>
      <c r="R41" s="126">
        <f>IF(A41&lt;='Общие данные'!$B$81,DATE(YEAR($B$8),MONTH($B$8)+A40,DAY('Общие данные'!$B$78)),0)</f>
        <v>0</v>
      </c>
      <c r="S41" s="112"/>
      <c r="T41" s="112"/>
      <c r="U41" s="112"/>
      <c r="V41" s="112"/>
    </row>
    <row r="42" spans="1:22">
      <c r="A42" s="118">
        <f t="shared" si="15"/>
        <v>35</v>
      </c>
      <c r="B42" s="119" t="b">
        <f>IF(A42&lt;='Общие данные'!$B$81,DATE(YEAR(R42),MONTH(R42),DAY(IF(A42='Общие данные'!$B$81,'Общие данные'!$B$67,IF(A42&lt;'Общие данные'!$B$81,(Q42),IF(A42&gt;'Общие данные'!$B$81,$H$44,0))))))</f>
        <v>0</v>
      </c>
      <c r="C42" s="63">
        <f t="shared" si="16"/>
        <v>0</v>
      </c>
      <c r="D42" s="63">
        <f t="shared" si="17"/>
        <v>0</v>
      </c>
      <c r="E42" s="63">
        <f t="shared" si="18"/>
        <v>0</v>
      </c>
      <c r="F42" s="63">
        <f t="shared" si="19"/>
        <v>0</v>
      </c>
      <c r="G42" s="112">
        <f t="shared" si="20"/>
        <v>0</v>
      </c>
      <c r="H42" s="112">
        <f t="shared" si="21"/>
        <v>366</v>
      </c>
      <c r="I42" s="120" t="b">
        <f t="shared" si="22"/>
        <v>0</v>
      </c>
      <c r="J42" s="120">
        <f>SUM($I$8:I41)</f>
        <v>55000000</v>
      </c>
      <c r="K42" s="120">
        <f t="shared" si="23"/>
        <v>0</v>
      </c>
      <c r="L42" s="114">
        <f>ROUND(C42*'Общие данные'!$B$84/H42,2)*G42</f>
        <v>0</v>
      </c>
      <c r="M42" s="114">
        <f t="shared" si="24"/>
        <v>0</v>
      </c>
      <c r="N42" s="114"/>
      <c r="O42" s="129" t="str">
        <f t="shared" si="25"/>
        <v>Сб</v>
      </c>
      <c r="P42" s="131">
        <f t="shared" si="26"/>
        <v>2</v>
      </c>
      <c r="Q42" s="131">
        <f>DAY('Общие данные'!$B$78)+P42</f>
        <v>9</v>
      </c>
      <c r="R42" s="126">
        <f>IF(A42&lt;='Общие данные'!$B$81,DATE(YEAR($B$8),MONTH($B$8)+A41,DAY('Общие данные'!$B$78)),0)</f>
        <v>0</v>
      </c>
      <c r="S42" s="112"/>
      <c r="T42" s="112"/>
      <c r="U42" s="112"/>
      <c r="V42" s="112"/>
    </row>
    <row r="43" spans="1:22">
      <c r="A43" s="118">
        <f t="shared" si="15"/>
        <v>36</v>
      </c>
      <c r="B43" s="119" t="b">
        <f>IF(A43&lt;='Общие данные'!$B$81,DATE(YEAR(R43),MONTH(R43),DAY(IF(A43='Общие данные'!$B$81,'Общие данные'!$B$67,IF(A43&lt;'Общие данные'!$B$81,(Q43),IF(A43&gt;'Общие данные'!$B$81,$H$44,0))))))</f>
        <v>0</v>
      </c>
      <c r="C43" s="63">
        <f t="shared" si="16"/>
        <v>0</v>
      </c>
      <c r="D43" s="63">
        <f t="shared" si="17"/>
        <v>0</v>
      </c>
      <c r="E43" s="63">
        <f t="shared" si="18"/>
        <v>0</v>
      </c>
      <c r="F43" s="63">
        <f t="shared" si="19"/>
        <v>0</v>
      </c>
      <c r="G43" s="112">
        <f t="shared" si="20"/>
        <v>0</v>
      </c>
      <c r="H43" s="112">
        <f t="shared" si="21"/>
        <v>366</v>
      </c>
      <c r="I43" s="120" t="b">
        <f t="shared" si="22"/>
        <v>0</v>
      </c>
      <c r="J43" s="120">
        <f>SUM($I$8:I42)</f>
        <v>55000000</v>
      </c>
      <c r="K43" s="120">
        <f t="shared" si="23"/>
        <v>0</v>
      </c>
      <c r="L43" s="114">
        <f>ROUND(C43*'Общие данные'!$B$84/H43,2)*G43</f>
        <v>0</v>
      </c>
      <c r="M43" s="114">
        <f t="shared" si="24"/>
        <v>0</v>
      </c>
      <c r="N43" s="114"/>
      <c r="O43" s="129" t="str">
        <f t="shared" si="25"/>
        <v>Сб</v>
      </c>
      <c r="P43" s="131">
        <f t="shared" si="26"/>
        <v>2</v>
      </c>
      <c r="Q43" s="131">
        <f>DAY('Общие данные'!$B$78)+P43</f>
        <v>9</v>
      </c>
      <c r="R43" s="126">
        <f>IF(A43&lt;='Общие данные'!$B$81,DATE(YEAR($B$8),MONTH($B$8)+A42,DAY('Общие данные'!$B$78)),0)</f>
        <v>0</v>
      </c>
      <c r="S43" s="112"/>
      <c r="T43" s="112"/>
      <c r="U43" s="112"/>
      <c r="V43" s="112"/>
    </row>
    <row r="44" spans="1:22">
      <c r="A44" s="121"/>
      <c r="B44" s="122" t="s">
        <v>7</v>
      </c>
      <c r="C44" s="123"/>
      <c r="D44" s="123">
        <f>SUM(D8:D31)</f>
        <v>55000000</v>
      </c>
      <c r="E44" s="123">
        <f>SUM(E8:E31)</f>
        <v>18014383.770000003</v>
      </c>
      <c r="F44" s="123">
        <f>SUM(F8:F31)</f>
        <v>73014383.770000011</v>
      </c>
    </row>
    <row r="45" spans="1:22" ht="9" customHeight="1">
      <c r="B45" s="124"/>
      <c r="C45" s="125"/>
      <c r="D45" s="125"/>
      <c r="E45" s="125"/>
      <c r="F45" s="125"/>
    </row>
    <row r="46" spans="1:22" ht="47.25" customHeight="1">
      <c r="A46" s="256" t="s">
        <v>18</v>
      </c>
      <c r="B46" s="256"/>
      <c r="C46" s="256"/>
      <c r="D46" s="256"/>
      <c r="E46" s="256"/>
      <c r="F46" s="256"/>
    </row>
    <row r="47" spans="1:22" ht="7.5" customHeight="1"/>
    <row r="48" spans="1:22">
      <c r="A48" s="257" t="e">
        <f>#REF!</f>
        <v>#REF!</v>
      </c>
      <c r="B48" s="257"/>
      <c r="C48" s="257"/>
      <c r="D48" s="257" t="e">
        <f>#REF!</f>
        <v>#REF!</v>
      </c>
      <c r="E48" s="257"/>
      <c r="F48" s="257"/>
    </row>
    <row r="49" spans="1:6" ht="11.25" customHeight="1">
      <c r="A49" s="258"/>
      <c r="B49" s="258"/>
      <c r="C49" s="258"/>
      <c r="D49" s="258"/>
      <c r="E49" s="258"/>
      <c r="F49" s="258"/>
    </row>
    <row r="50" spans="1:6" ht="30" customHeight="1">
      <c r="A50" s="255" t="e">
        <f>#REF!</f>
        <v>#REF!</v>
      </c>
      <c r="B50" s="255"/>
      <c r="C50" s="255"/>
      <c r="D50" s="255" t="e">
        <f>#REF!</f>
        <v>#REF!</v>
      </c>
      <c r="E50" s="255"/>
      <c r="F50" s="255"/>
    </row>
    <row r="51" spans="1:6" ht="32.25" customHeight="1">
      <c r="A51" s="251" t="e">
        <f>#REF!</f>
        <v>#REF!</v>
      </c>
      <c r="B51" s="251"/>
      <c r="C51" s="251"/>
      <c r="D51" s="251" t="e">
        <f>#REF!</f>
        <v>#REF!</v>
      </c>
      <c r="E51" s="251"/>
      <c r="F51" s="251"/>
    </row>
    <row r="52" spans="1:6">
      <c r="A52" s="251" t="e">
        <f>#REF!</f>
        <v>#REF!</v>
      </c>
      <c r="B52" s="251"/>
      <c r="C52" s="251"/>
      <c r="D52" s="251" t="str">
        <f>"паспорт серии "&amp;'Общие данные'!B16&amp;", "&amp;'Общие данные'!B20&amp;""</f>
        <v>паспорт серии AD9977942, IIV 27404 tomonidan 26.12.2024 yilda berilgan</v>
      </c>
      <c r="E52" s="251"/>
      <c r="F52" s="251"/>
    </row>
    <row r="53" spans="1:6" ht="32.25" customHeight="1">
      <c r="A53" s="251" t="e">
        <f>#REF!</f>
        <v>#REF!</v>
      </c>
      <c r="B53" s="251"/>
      <c r="C53" s="251"/>
      <c r="D53" s="251"/>
      <c r="E53" s="251"/>
      <c r="F53" s="251"/>
    </row>
    <row r="54" spans="1:6">
      <c r="A54" s="251" t="e">
        <f>#REF!</f>
        <v>#REF!</v>
      </c>
      <c r="B54" s="251"/>
      <c r="C54" s="251"/>
      <c r="D54" s="251" t="e">
        <f>#REF!</f>
        <v>#REF!</v>
      </c>
      <c r="E54" s="251"/>
      <c r="F54" s="251"/>
    </row>
    <row r="55" spans="1:6">
      <c r="A55" s="251" t="e">
        <f>#REF!</f>
        <v>#REF!</v>
      </c>
      <c r="B55" s="251"/>
      <c r="C55" s="251"/>
      <c r="D55" s="251" t="e">
        <f>#REF!</f>
        <v>#REF!</v>
      </c>
      <c r="E55" s="251"/>
      <c r="F55" s="251"/>
    </row>
    <row r="56" spans="1:6">
      <c r="A56" s="251" t="e">
        <f>#REF!</f>
        <v>#REF!</v>
      </c>
      <c r="B56" s="251"/>
      <c r="C56" s="251"/>
      <c r="D56" s="251" t="e">
        <f>#REF!</f>
        <v>#REF!</v>
      </c>
      <c r="E56" s="251"/>
      <c r="F56" s="251"/>
    </row>
    <row r="57" spans="1:6" ht="8.25" customHeight="1">
      <c r="A57" s="251"/>
      <c r="B57" s="251"/>
      <c r="C57" s="251"/>
      <c r="D57" s="251"/>
      <c r="E57" s="251"/>
      <c r="F57" s="251"/>
    </row>
    <row r="58" spans="1:6">
      <c r="A58" s="255" t="e">
        <f>#REF!</f>
        <v>#REF!</v>
      </c>
      <c r="B58" s="255"/>
      <c r="C58" s="255"/>
      <c r="D58" s="255" t="e">
        <f>#REF!</f>
        <v>#REF!</v>
      </c>
      <c r="E58" s="255"/>
      <c r="F58" s="255"/>
    </row>
    <row r="59" spans="1:6" ht="7.5" customHeight="1">
      <c r="A59" s="255"/>
      <c r="B59" s="255"/>
      <c r="C59" s="255"/>
      <c r="D59" s="255"/>
      <c r="E59" s="255"/>
      <c r="F59" s="255"/>
    </row>
    <row r="60" spans="1:6">
      <c r="A60" s="255" t="e">
        <f>#REF!</f>
        <v>#REF!</v>
      </c>
      <c r="B60" s="255"/>
      <c r="C60" s="255"/>
      <c r="D60" s="255" t="e">
        <f>#REF!</f>
        <v>#REF!</v>
      </c>
      <c r="E60" s="255"/>
      <c r="F60" s="255"/>
    </row>
    <row r="61" spans="1:6" ht="8.25" customHeight="1">
      <c r="A61" s="251"/>
      <c r="B61" s="251"/>
      <c r="C61" s="251"/>
      <c r="D61" s="251"/>
      <c r="E61" s="251"/>
      <c r="F61" s="251"/>
    </row>
    <row r="62" spans="1:6" ht="30" customHeight="1">
      <c r="A62" s="252"/>
      <c r="B62" s="252"/>
      <c r="C62" s="252"/>
      <c r="D62" s="253" t="e">
        <f>#REF!</f>
        <v>#REF!</v>
      </c>
      <c r="E62" s="253"/>
      <c r="F62" s="253"/>
    </row>
    <row r="63" spans="1:6">
      <c r="A63" s="254"/>
      <c r="B63" s="254"/>
      <c r="C63" s="254"/>
      <c r="D63" s="254"/>
      <c r="E63" s="254"/>
      <c r="F63" s="254"/>
    </row>
    <row r="64" spans="1:6">
      <c r="A64" s="250"/>
      <c r="B64" s="250"/>
      <c r="C64" s="250"/>
      <c r="D64" s="250"/>
      <c r="E64" s="250"/>
      <c r="F64" s="250"/>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8" priority="4" operator="lessThan">
      <formula>22105</formula>
    </cfRule>
  </conditionalFormatting>
  <conditionalFormatting sqref="C8:C43">
    <cfRule type="cellIs" dxfId="7" priority="3" operator="lessThan">
      <formula>1</formula>
    </cfRule>
  </conditionalFormatting>
  <conditionalFormatting sqref="C8:F43">
    <cfRule type="cellIs" dxfId="6"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40"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46" customFormat="1" ht="36.75" customHeight="1">
      <c r="A1" s="145" t="s">
        <v>15</v>
      </c>
      <c r="B1" s="146" t="s">
        <v>3</v>
      </c>
      <c r="D1" s="145"/>
      <c r="E1" s="145" t="s">
        <v>41</v>
      </c>
      <c r="F1" s="145" t="s">
        <v>42</v>
      </c>
      <c r="G1" s="145"/>
      <c r="H1" s="145"/>
      <c r="I1" s="145"/>
      <c r="J1" s="145"/>
      <c r="K1" s="145"/>
      <c r="L1" s="145" t="s">
        <v>43</v>
      </c>
      <c r="M1" s="145" t="s">
        <v>45</v>
      </c>
      <c r="N1" s="145" t="s">
        <v>44</v>
      </c>
    </row>
    <row r="2" spans="1:23" ht="15" customHeight="1">
      <c r="A2" s="139">
        <v>1</v>
      </c>
      <c r="B2" t="s">
        <v>277</v>
      </c>
      <c r="C2" t="s">
        <v>74</v>
      </c>
      <c r="D2" s="141" t="s">
        <v>277</v>
      </c>
      <c r="E2" s="141" t="s">
        <v>51</v>
      </c>
      <c r="F2" s="142">
        <v>44207</v>
      </c>
      <c r="G2" s="130">
        <f>MONTH(F2)</f>
        <v>1</v>
      </c>
      <c r="H2" s="142" t="str">
        <f>IF(G2=$A$26,$A$28,IF(G2=$B$26,$B$28,IF(G2=$C$26,$C$28,IF(G2=$D$26,$D$28,IF(G2=$E$26,$E$28,IF(G2=$F$26,$F$28,IF(G2=$K$26,$K$28,IF(G2=$L$26,$L$28,IF(G2=$M$26,$M$28,IF(G2=$N$26,$N$28,IF(G2=$O$26,$O$28,IF(G2=$P$26,$P$28,0))))))))))))</f>
        <v>yanvar</v>
      </c>
      <c r="I2" s="130">
        <f>DAY(F2)</f>
        <v>11</v>
      </c>
      <c r="J2" s="144">
        <f>YEAR(F2)</f>
        <v>2021</v>
      </c>
      <c r="K2" s="142" t="str">
        <f>""&amp;I2&amp;" "&amp;H2&amp;" "&amp;J2&amp;" г."</f>
        <v>11 yanvar 2021 г.</v>
      </c>
      <c r="L2" s="141">
        <v>5</v>
      </c>
      <c r="M2" s="143">
        <v>15000000</v>
      </c>
      <c r="N2" s="141" t="s">
        <v>137</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5" t="str">
        <f>""&amp;P2&amp;""&amp;P3&amp;""&amp;P4&amp;""&amp;P5&amp;""&amp;P6&amp;""&amp;P7&amp;""&amp;P8&amp;""&amp;P9&amp;""&amp;P10&amp;""&amp;P11&amp;""&amp;P12&amp;""&amp;P13&amp;""&amp;P14&amp;""&amp;P15&amp;""&amp;P16&amp;""&amp;P17&amp;""&amp;P18&amp;""&amp;P19&amp;""&amp;P20&amp;""&amp;P21&amp;""</f>
        <v>- №5 от 11 yanvar 2021 г., заключенного с ООО «Clever Mikrokredit Tashkiloti» и TULYAGANOV XODJIAKBAR IRGASHEVICH, по согласованной залоговой стоимость - 15 000 000,00 (on besh million) сум.- №386 от 6 noyabr 2019 г., заключенного с ООО «Clever Mikrokredit Tashkiloti» и YUNUSOVA ZALOXAT MIRSULTANOVNA, по согласованной залоговой стоимость - 15 000 000,00 (on besh million) сум.- №33 от 21 yanvar 2021 г., заключенного с ООО «Clever Mikrokredit Tashkiloti» и YUNUSOVA ZALOXAT MIRSULTANOVNA, по согласованной залоговой стоимость - 15 000 000,00 (on besh million) сум.00000000000000000</v>
      </c>
    </row>
    <row r="3" spans="1:23" ht="15" customHeight="1">
      <c r="A3" s="139">
        <v>2</v>
      </c>
      <c r="D3" s="141" t="s">
        <v>277</v>
      </c>
      <c r="E3" s="141" t="s">
        <v>50</v>
      </c>
      <c r="F3" s="142">
        <v>43775</v>
      </c>
      <c r="G3" s="130">
        <f>MONTH(F3)</f>
        <v>11</v>
      </c>
      <c r="H3" s="142" t="str">
        <f>IF(G3=$A$26,$A$28,IF(G3=$B$26,$B$28,IF(G3=$C$26,$C$28,IF(G3=$D$26,$D$28,IF(G3=$E$26,$E$28,IF(G3=$F$26,$F$28,IF(G3=$K$26,$K$28,IF(G3=$L$26,$L$28,IF(G3=$M$26,$M$28,IF(G3=$N$26,$N$28,IF(G3=$O$26,$O$28,IF(G3=$P$26,$P$28,0))))))))))))</f>
        <v>noyabr</v>
      </c>
      <c r="I3" s="130">
        <f>DAY(F3)</f>
        <v>6</v>
      </c>
      <c r="J3" s="144">
        <f>YEAR(F3)</f>
        <v>2019</v>
      </c>
      <c r="K3" s="142" t="str">
        <f>""&amp;I3&amp;" "&amp;H3&amp;" "&amp;J3&amp;" г."</f>
        <v>6 noyabr 2019 г.</v>
      </c>
      <c r="L3" s="141">
        <v>386</v>
      </c>
      <c r="M3" s="143">
        <v>15000000</v>
      </c>
      <c r="N3" s="141" t="s">
        <v>137</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39">
        <v>3</v>
      </c>
      <c r="D4" s="141" t="s">
        <v>277</v>
      </c>
      <c r="E4" s="141" t="s">
        <v>50</v>
      </c>
      <c r="F4" s="142">
        <v>44217</v>
      </c>
      <c r="G4" s="130">
        <f>MONTH(F4)</f>
        <v>1</v>
      </c>
      <c r="H4" s="142" t="str">
        <f>IF(G4=$A$26,$A$28,IF(G4=$B$26,$B$28,IF(G4=$C$26,$C$28,IF(G4=$D$26,$D$28,IF(G4=$E$26,$E$28,IF(G4=$F$26,$F$28,IF(G4=$K$26,$K$28,IF(G4=$L$26,$L$28,IF(G4=$M$26,$M$28,IF(G4=$N$26,$N$28,IF(G4=$O$26,$O$28,IF(G4=$P$26,$P$28,0))))))))))))</f>
        <v>yanvar</v>
      </c>
      <c r="I4" s="130">
        <f>DAY(F4)</f>
        <v>21</v>
      </c>
      <c r="J4" s="144">
        <f>YEAR(F4)</f>
        <v>2021</v>
      </c>
      <c r="K4" s="142" t="str">
        <f>""&amp;I4&amp;" "&amp;H4&amp;" "&amp;J4&amp;" г."</f>
        <v>21 yanvar 2021 г.</v>
      </c>
      <c r="L4" s="141">
        <v>33</v>
      </c>
      <c r="M4" s="143">
        <v>15000000</v>
      </c>
      <c r="N4" s="141" t="s">
        <v>137</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39">
        <v>4</v>
      </c>
      <c r="D5" s="141" t="s">
        <v>277</v>
      </c>
      <c r="E5" s="141"/>
      <c r="F5" s="142"/>
      <c r="G5" s="130">
        <f t="shared" ref="G5:G21" si="2">MONTH(F5)</f>
        <v>1</v>
      </c>
      <c r="H5" s="142" t="str">
        <f t="shared" ref="H5:H21" si="3">IF(G5=$A$26,$A$28,IF(G5=$B$26,$B$28,IF(G5=$C$26,$C$28,IF(G5=$D$26,$D$28,IF(G5=$E$26,$E$28,IF(G5=$F$26,$F$28,IF(G5=$K$26,$K$28,IF(G5=$L$26,$L$28,IF(G5=$M$26,$M$28,IF(G5=$N$26,$N$28,IF(G5=$O$26,$O$28,IF(G5=$P$26,$P$28,0))))))))))))</f>
        <v>yanvar</v>
      </c>
      <c r="I5" s="130">
        <f t="shared" ref="I5:I21" si="4">DAY(F5)</f>
        <v>0</v>
      </c>
      <c r="J5" s="144">
        <f t="shared" ref="J5:J21" si="5">YEAR(F5)</f>
        <v>1900</v>
      </c>
      <c r="K5" s="142" t="str">
        <f t="shared" ref="K5:K21" si="6">""&amp;I5&amp;" "&amp;H5&amp;" "&amp;J5&amp;" г."</f>
        <v>0 yanvar 1900 г.</v>
      </c>
      <c r="L5" s="141"/>
      <c r="M5" s="143"/>
      <c r="N5" s="141"/>
      <c r="P5">
        <f t="shared" si="1"/>
        <v>0</v>
      </c>
    </row>
    <row r="6" spans="1:23" ht="15" customHeight="1">
      <c r="A6" s="139">
        <v>5</v>
      </c>
      <c r="D6" s="141" t="s">
        <v>277</v>
      </c>
      <c r="E6" s="141"/>
      <c r="F6" s="142"/>
      <c r="G6" s="130">
        <f t="shared" si="2"/>
        <v>1</v>
      </c>
      <c r="H6" s="142" t="str">
        <f t="shared" si="3"/>
        <v>yanvar</v>
      </c>
      <c r="I6" s="130">
        <f t="shared" si="4"/>
        <v>0</v>
      </c>
      <c r="J6" s="144">
        <f t="shared" si="5"/>
        <v>1900</v>
      </c>
      <c r="K6" s="142" t="str">
        <f t="shared" si="6"/>
        <v>0 yanvar 1900 г.</v>
      </c>
      <c r="L6" s="141"/>
      <c r="M6" s="143"/>
      <c r="N6" s="141"/>
      <c r="P6">
        <f t="shared" si="1"/>
        <v>0</v>
      </c>
    </row>
    <row r="7" spans="1:23" ht="15" customHeight="1">
      <c r="A7" s="139">
        <v>6</v>
      </c>
      <c r="D7" s="141" t="s">
        <v>277</v>
      </c>
      <c r="E7" s="141"/>
      <c r="F7" s="142"/>
      <c r="G7" s="130">
        <f t="shared" si="2"/>
        <v>1</v>
      </c>
      <c r="H7" s="142" t="str">
        <f t="shared" si="3"/>
        <v>yanvar</v>
      </c>
      <c r="I7" s="130">
        <f t="shared" si="4"/>
        <v>0</v>
      </c>
      <c r="J7" s="144">
        <f t="shared" si="5"/>
        <v>1900</v>
      </c>
      <c r="K7" s="142" t="str">
        <f t="shared" si="6"/>
        <v>0 yanvar 1900 г.</v>
      </c>
      <c r="L7" s="141"/>
      <c r="M7" s="143"/>
      <c r="N7" s="141"/>
      <c r="P7">
        <f t="shared" si="1"/>
        <v>0</v>
      </c>
    </row>
    <row r="8" spans="1:23" ht="15" customHeight="1">
      <c r="A8" s="139">
        <v>7</v>
      </c>
      <c r="D8" s="141" t="s">
        <v>277</v>
      </c>
      <c r="E8" s="141"/>
      <c r="F8" s="142"/>
      <c r="G8" s="130">
        <f t="shared" si="2"/>
        <v>1</v>
      </c>
      <c r="H8" s="142" t="str">
        <f t="shared" si="3"/>
        <v>yanvar</v>
      </c>
      <c r="I8" s="130">
        <f t="shared" si="4"/>
        <v>0</v>
      </c>
      <c r="J8" s="144">
        <f t="shared" si="5"/>
        <v>1900</v>
      </c>
      <c r="K8" s="142" t="str">
        <f t="shared" si="6"/>
        <v>0 yanvar 1900 г.</v>
      </c>
      <c r="L8" s="141"/>
      <c r="M8" s="143"/>
      <c r="N8" s="141"/>
      <c r="P8">
        <f t="shared" si="1"/>
        <v>0</v>
      </c>
    </row>
    <row r="9" spans="1:23" ht="15" customHeight="1">
      <c r="A9" s="139">
        <v>8</v>
      </c>
      <c r="D9" s="141" t="s">
        <v>277</v>
      </c>
      <c r="E9" s="141"/>
      <c r="F9" s="142"/>
      <c r="G9" s="130">
        <f t="shared" si="2"/>
        <v>1</v>
      </c>
      <c r="H9" s="142" t="str">
        <f t="shared" si="3"/>
        <v>yanvar</v>
      </c>
      <c r="I9" s="130">
        <f t="shared" si="4"/>
        <v>0</v>
      </c>
      <c r="J9" s="144">
        <f t="shared" si="5"/>
        <v>1900</v>
      </c>
      <c r="K9" s="142" t="str">
        <f t="shared" si="6"/>
        <v>0 yanvar 1900 г.</v>
      </c>
      <c r="L9" s="141"/>
      <c r="M9" s="143"/>
      <c r="N9" s="141"/>
      <c r="P9">
        <f t="shared" si="1"/>
        <v>0</v>
      </c>
    </row>
    <row r="10" spans="1:23" ht="15" customHeight="1">
      <c r="A10" s="139">
        <v>9</v>
      </c>
      <c r="D10" s="141" t="s">
        <v>277</v>
      </c>
      <c r="E10" s="141"/>
      <c r="F10" s="142"/>
      <c r="G10" s="130">
        <f t="shared" si="2"/>
        <v>1</v>
      </c>
      <c r="H10" s="142" t="str">
        <f t="shared" si="3"/>
        <v>yanvar</v>
      </c>
      <c r="I10" s="130">
        <f t="shared" si="4"/>
        <v>0</v>
      </c>
      <c r="J10" s="144">
        <f t="shared" si="5"/>
        <v>1900</v>
      </c>
      <c r="K10" s="142" t="str">
        <f t="shared" si="6"/>
        <v>0 yanvar 1900 г.</v>
      </c>
      <c r="L10" s="141"/>
      <c r="M10" s="143"/>
      <c r="N10" s="141"/>
      <c r="P10">
        <f t="shared" si="1"/>
        <v>0</v>
      </c>
    </row>
    <row r="11" spans="1:23" ht="15" customHeight="1">
      <c r="A11" s="139">
        <v>10</v>
      </c>
      <c r="D11" s="141" t="s">
        <v>277</v>
      </c>
      <c r="E11" s="141"/>
      <c r="F11" s="142"/>
      <c r="G11" s="130">
        <f t="shared" si="2"/>
        <v>1</v>
      </c>
      <c r="H11" s="142" t="str">
        <f t="shared" si="3"/>
        <v>yanvar</v>
      </c>
      <c r="I11" s="130">
        <f t="shared" si="4"/>
        <v>0</v>
      </c>
      <c r="J11" s="144">
        <f t="shared" si="5"/>
        <v>1900</v>
      </c>
      <c r="K11" s="142" t="str">
        <f t="shared" si="6"/>
        <v>0 yanvar 1900 г.</v>
      </c>
      <c r="L11" s="141"/>
      <c r="M11" s="143"/>
      <c r="N11" s="141"/>
      <c r="P11">
        <f t="shared" si="1"/>
        <v>0</v>
      </c>
    </row>
    <row r="12" spans="1:23" ht="15" customHeight="1">
      <c r="A12" s="139">
        <v>11</v>
      </c>
      <c r="D12" s="141" t="s">
        <v>277</v>
      </c>
      <c r="E12" s="141"/>
      <c r="F12" s="142"/>
      <c r="G12" s="130">
        <f t="shared" si="2"/>
        <v>1</v>
      </c>
      <c r="H12" s="142" t="str">
        <f t="shared" si="3"/>
        <v>yanvar</v>
      </c>
      <c r="I12" s="130">
        <f t="shared" si="4"/>
        <v>0</v>
      </c>
      <c r="J12" s="144">
        <f t="shared" si="5"/>
        <v>1900</v>
      </c>
      <c r="K12" s="142" t="str">
        <f t="shared" si="6"/>
        <v>0 yanvar 1900 г.</v>
      </c>
      <c r="L12" s="141"/>
      <c r="M12" s="143"/>
      <c r="N12" s="141"/>
      <c r="P12">
        <f t="shared" si="1"/>
        <v>0</v>
      </c>
    </row>
    <row r="13" spans="1:23" ht="15" customHeight="1">
      <c r="A13" s="139">
        <v>12</v>
      </c>
      <c r="D13" s="141" t="s">
        <v>277</v>
      </c>
      <c r="E13" s="141"/>
      <c r="F13" s="142"/>
      <c r="G13" s="130">
        <f t="shared" si="2"/>
        <v>1</v>
      </c>
      <c r="H13" s="142" t="str">
        <f t="shared" si="3"/>
        <v>yanvar</v>
      </c>
      <c r="I13" s="130">
        <f t="shared" si="4"/>
        <v>0</v>
      </c>
      <c r="J13" s="144">
        <f t="shared" si="5"/>
        <v>1900</v>
      </c>
      <c r="K13" s="142" t="str">
        <f t="shared" si="6"/>
        <v>0 yanvar 1900 г.</v>
      </c>
      <c r="L13" s="141"/>
      <c r="M13" s="143"/>
      <c r="N13" s="141"/>
      <c r="P13">
        <f t="shared" si="1"/>
        <v>0</v>
      </c>
    </row>
    <row r="14" spans="1:23" ht="15" customHeight="1">
      <c r="A14" s="139">
        <v>13</v>
      </c>
      <c r="D14" s="141" t="s">
        <v>277</v>
      </c>
      <c r="E14" s="141"/>
      <c r="F14" s="142"/>
      <c r="G14" s="130">
        <f t="shared" si="2"/>
        <v>1</v>
      </c>
      <c r="H14" s="142" t="str">
        <f t="shared" si="3"/>
        <v>yanvar</v>
      </c>
      <c r="I14" s="130">
        <f t="shared" si="4"/>
        <v>0</v>
      </c>
      <c r="J14" s="144">
        <f t="shared" si="5"/>
        <v>1900</v>
      </c>
      <c r="K14" s="142" t="str">
        <f t="shared" si="6"/>
        <v>0 yanvar 1900 г.</v>
      </c>
      <c r="L14" s="141"/>
      <c r="M14" s="143"/>
      <c r="N14" s="141"/>
      <c r="P14">
        <f t="shared" si="1"/>
        <v>0</v>
      </c>
    </row>
    <row r="15" spans="1:23" ht="15" customHeight="1">
      <c r="A15" s="139">
        <v>14</v>
      </c>
      <c r="D15" s="141" t="s">
        <v>277</v>
      </c>
      <c r="E15" s="141"/>
      <c r="F15" s="142"/>
      <c r="G15" s="130">
        <f t="shared" si="2"/>
        <v>1</v>
      </c>
      <c r="H15" s="142" t="str">
        <f t="shared" si="3"/>
        <v>yanvar</v>
      </c>
      <c r="I15" s="130">
        <f t="shared" si="4"/>
        <v>0</v>
      </c>
      <c r="J15" s="144">
        <f t="shared" si="5"/>
        <v>1900</v>
      </c>
      <c r="K15" s="142" t="str">
        <f t="shared" si="6"/>
        <v>0 yanvar 1900 г.</v>
      </c>
      <c r="L15" s="141"/>
      <c r="M15" s="143"/>
      <c r="N15" s="141"/>
      <c r="P15">
        <f t="shared" si="1"/>
        <v>0</v>
      </c>
    </row>
    <row r="16" spans="1:23" ht="15" customHeight="1">
      <c r="A16" s="139">
        <v>15</v>
      </c>
      <c r="D16" s="141" t="s">
        <v>277</v>
      </c>
      <c r="E16" s="141"/>
      <c r="F16" s="142"/>
      <c r="G16" s="130">
        <f t="shared" si="2"/>
        <v>1</v>
      </c>
      <c r="H16" s="142" t="str">
        <f t="shared" si="3"/>
        <v>yanvar</v>
      </c>
      <c r="I16" s="130">
        <f t="shared" si="4"/>
        <v>0</v>
      </c>
      <c r="J16" s="144">
        <f t="shared" si="5"/>
        <v>1900</v>
      </c>
      <c r="K16" s="142" t="str">
        <f t="shared" si="6"/>
        <v>0 yanvar 1900 г.</v>
      </c>
      <c r="L16" s="141"/>
      <c r="M16" s="143"/>
      <c r="N16" s="141"/>
      <c r="P16">
        <f t="shared" si="1"/>
        <v>0</v>
      </c>
    </row>
    <row r="17" spans="1:17" ht="15" customHeight="1">
      <c r="A17" s="139">
        <v>16</v>
      </c>
      <c r="D17" s="141" t="s">
        <v>277</v>
      </c>
      <c r="E17" s="141"/>
      <c r="F17" s="142"/>
      <c r="G17" s="130">
        <f t="shared" si="2"/>
        <v>1</v>
      </c>
      <c r="H17" s="142" t="str">
        <f t="shared" si="3"/>
        <v>yanvar</v>
      </c>
      <c r="I17" s="130">
        <f t="shared" si="4"/>
        <v>0</v>
      </c>
      <c r="J17" s="144">
        <f t="shared" si="5"/>
        <v>1900</v>
      </c>
      <c r="K17" s="142" t="str">
        <f t="shared" si="6"/>
        <v>0 yanvar 1900 г.</v>
      </c>
      <c r="L17" s="141"/>
      <c r="M17" s="143"/>
      <c r="N17" s="141"/>
      <c r="P17">
        <f t="shared" si="1"/>
        <v>0</v>
      </c>
    </row>
    <row r="18" spans="1:17" ht="15" customHeight="1">
      <c r="A18" s="139">
        <v>17</v>
      </c>
      <c r="D18" s="141" t="s">
        <v>277</v>
      </c>
      <c r="E18" s="141"/>
      <c r="F18" s="142"/>
      <c r="G18" s="130">
        <f t="shared" si="2"/>
        <v>1</v>
      </c>
      <c r="H18" s="142" t="str">
        <f t="shared" si="3"/>
        <v>yanvar</v>
      </c>
      <c r="I18" s="130">
        <f t="shared" si="4"/>
        <v>0</v>
      </c>
      <c r="J18" s="144">
        <f t="shared" si="5"/>
        <v>1900</v>
      </c>
      <c r="K18" s="142" t="str">
        <f t="shared" si="6"/>
        <v>0 yanvar 1900 г.</v>
      </c>
      <c r="L18" s="141"/>
      <c r="M18" s="143"/>
      <c r="N18" s="141"/>
      <c r="P18">
        <f t="shared" si="1"/>
        <v>0</v>
      </c>
    </row>
    <row r="19" spans="1:17" ht="15" customHeight="1">
      <c r="A19" s="139">
        <v>18</v>
      </c>
      <c r="D19" s="141" t="s">
        <v>277</v>
      </c>
      <c r="E19" s="141"/>
      <c r="F19" s="142"/>
      <c r="G19" s="130">
        <f t="shared" si="2"/>
        <v>1</v>
      </c>
      <c r="H19" s="142" t="str">
        <f t="shared" si="3"/>
        <v>yanvar</v>
      </c>
      <c r="I19" s="130">
        <f t="shared" si="4"/>
        <v>0</v>
      </c>
      <c r="J19" s="144">
        <f t="shared" si="5"/>
        <v>1900</v>
      </c>
      <c r="K19" s="142" t="str">
        <f t="shared" si="6"/>
        <v>0 yanvar 1900 г.</v>
      </c>
      <c r="L19" s="141"/>
      <c r="M19" s="143"/>
      <c r="N19" s="141"/>
      <c r="P19">
        <f t="shared" si="1"/>
        <v>0</v>
      </c>
    </row>
    <row r="20" spans="1:17" ht="15" customHeight="1">
      <c r="A20" s="139">
        <v>19</v>
      </c>
      <c r="D20" s="141" t="s">
        <v>277</v>
      </c>
      <c r="E20" s="141"/>
      <c r="F20" s="142"/>
      <c r="G20" s="130">
        <f t="shared" si="2"/>
        <v>1</v>
      </c>
      <c r="H20" s="142" t="str">
        <f t="shared" si="3"/>
        <v>yanvar</v>
      </c>
      <c r="I20" s="130">
        <f t="shared" si="4"/>
        <v>0</v>
      </c>
      <c r="J20" s="144">
        <f t="shared" si="5"/>
        <v>1900</v>
      </c>
      <c r="K20" s="142" t="str">
        <f t="shared" si="6"/>
        <v>0 yanvar 1900 г.</v>
      </c>
      <c r="L20" s="141"/>
      <c r="M20" s="143"/>
      <c r="N20" s="141"/>
      <c r="P20">
        <f t="shared" si="1"/>
        <v>0</v>
      </c>
    </row>
    <row r="21" spans="1:17" ht="15" customHeight="1">
      <c r="A21" s="139">
        <v>20</v>
      </c>
      <c r="D21" s="141" t="s">
        <v>277</v>
      </c>
      <c r="E21" s="141"/>
      <c r="F21" s="142"/>
      <c r="G21" s="130">
        <f t="shared" si="2"/>
        <v>1</v>
      </c>
      <c r="H21" s="142" t="str">
        <f t="shared" si="3"/>
        <v>yanvar</v>
      </c>
      <c r="I21" s="130">
        <f t="shared" si="4"/>
        <v>0</v>
      </c>
      <c r="J21" s="144">
        <f t="shared" si="5"/>
        <v>1900</v>
      </c>
      <c r="K21" s="142" t="str">
        <f t="shared" si="6"/>
        <v>0 yanvar 1900 г.</v>
      </c>
      <c r="L21" s="141"/>
      <c r="M21" s="143"/>
      <c r="N21" s="141"/>
      <c r="P21">
        <f t="shared" si="1"/>
        <v>0</v>
      </c>
    </row>
    <row r="22" spans="1:17">
      <c r="M22" s="147">
        <f>SUM(M2:M21)+'Общие данные'!B136</f>
        <v>127500000</v>
      </c>
      <c r="Q22" t="s">
        <v>276</v>
      </c>
    </row>
    <row r="23" spans="1:17">
      <c r="A23" s="126"/>
      <c r="B23" s="127"/>
      <c r="C23" s="127"/>
      <c r="D23" s="127"/>
      <c r="E23" s="127"/>
      <c r="F23" s="127"/>
      <c r="G23" s="127"/>
      <c r="H23" s="127"/>
      <c r="I23" s="127"/>
      <c r="J23" s="127"/>
      <c r="K23" s="127"/>
      <c r="L23" s="127"/>
      <c r="M23" s="127"/>
      <c r="N23" s="127"/>
      <c r="O23" s="127"/>
    </row>
    <row r="24" spans="1:17">
      <c r="A24" s="127"/>
      <c r="B24" s="127"/>
      <c r="C24" s="127"/>
      <c r="D24" s="127"/>
      <c r="E24" s="127"/>
      <c r="F24" s="127"/>
      <c r="G24" s="127"/>
      <c r="H24" s="127"/>
      <c r="I24" s="127"/>
      <c r="J24" s="127"/>
      <c r="K24" s="127"/>
      <c r="L24" s="127"/>
      <c r="M24" s="127"/>
      <c r="N24" s="127"/>
      <c r="O24" s="127"/>
    </row>
    <row r="25" spans="1:17">
      <c r="A25" s="127">
        <f>MONTH(F2)</f>
        <v>1</v>
      </c>
      <c r="B25" s="127" t="str">
        <f>IF(A25=A26,A28,IF(A25=B26,B28,IF(A25=C26,C28,IF(A25=D26,D28,IF(A25=E26,E28,IF(A25=F26,F28,IF(A25=K26,K28,IF(A25=L26,L28,IF(A25=M26,M28,IF(A25=N26,N28,IF(A25=O26,O28,IF(A25=#REF!,#REF!,))))))))))))</f>
        <v>yanvar</v>
      </c>
      <c r="C25" s="127">
        <f>DAY(F2)</f>
        <v>11</v>
      </c>
      <c r="D25" s="127">
        <f>YEAR(F2)</f>
        <v>2021</v>
      </c>
      <c r="E25" s="127"/>
      <c r="F25" s="127"/>
      <c r="G25" s="127"/>
      <c r="H25" s="127"/>
      <c r="I25" s="127"/>
      <c r="J25" s="127"/>
      <c r="K25" s="127"/>
      <c r="L25" s="127"/>
      <c r="M25" s="127"/>
      <c r="N25" s="127"/>
      <c r="O25" s="127"/>
    </row>
    <row r="26" spans="1:17">
      <c r="A26" s="127">
        <v>1</v>
      </c>
      <c r="B26" s="127">
        <v>2</v>
      </c>
      <c r="C26" s="127">
        <v>3</v>
      </c>
      <c r="D26" s="127">
        <v>4</v>
      </c>
      <c r="E26" s="127">
        <v>5</v>
      </c>
      <c r="F26" s="127">
        <v>6</v>
      </c>
      <c r="G26" s="127"/>
      <c r="H26" s="127"/>
      <c r="I26" s="127"/>
      <c r="J26" s="127"/>
      <c r="K26" s="127">
        <v>7</v>
      </c>
      <c r="L26" s="127">
        <v>8</v>
      </c>
      <c r="M26" s="127">
        <v>9</v>
      </c>
      <c r="N26" s="127">
        <v>10</v>
      </c>
      <c r="O26" s="127">
        <v>11</v>
      </c>
      <c r="P26" s="127">
        <v>12</v>
      </c>
    </row>
    <row r="27" spans="1:17">
      <c r="A27" s="127"/>
      <c r="B27" s="127"/>
      <c r="C27" s="127"/>
      <c r="D27" s="127"/>
      <c r="E27" s="127"/>
      <c r="F27" s="127"/>
      <c r="G27" s="127"/>
      <c r="H27" s="127"/>
      <c r="I27" s="127"/>
      <c r="J27" s="127"/>
      <c r="K27" s="127"/>
      <c r="L27" s="127"/>
      <c r="M27" s="127"/>
      <c r="N27" s="127"/>
      <c r="O27" s="127"/>
    </row>
    <row r="28" spans="1:17">
      <c r="A28" s="127" t="s">
        <v>126</v>
      </c>
      <c r="B28" s="127" t="s">
        <v>127</v>
      </c>
      <c r="C28" s="127" t="s">
        <v>116</v>
      </c>
      <c r="D28" s="127" t="s">
        <v>117</v>
      </c>
      <c r="E28" s="127" t="s">
        <v>118</v>
      </c>
      <c r="F28" s="127" t="s">
        <v>119</v>
      </c>
      <c r="G28" s="127"/>
      <c r="H28" s="127"/>
      <c r="I28" s="127"/>
      <c r="J28" s="127"/>
      <c r="K28" s="127" t="s">
        <v>25</v>
      </c>
      <c r="L28" s="127" t="s">
        <v>121</v>
      </c>
      <c r="M28" s="127" t="s">
        <v>275</v>
      </c>
      <c r="N28" s="127" t="s">
        <v>274</v>
      </c>
      <c r="O28" s="127" t="s">
        <v>124</v>
      </c>
      <c r="P28" s="127" t="s">
        <v>125</v>
      </c>
    </row>
    <row r="29" spans="1:17">
      <c r="A29" s="127" t="s">
        <v>126</v>
      </c>
      <c r="B29" s="127" t="s">
        <v>127</v>
      </c>
      <c r="C29" s="127" t="s">
        <v>116</v>
      </c>
      <c r="D29" s="127" t="s">
        <v>117</v>
      </c>
      <c r="E29" s="127" t="s">
        <v>118</v>
      </c>
      <c r="F29" s="127" t="s">
        <v>119</v>
      </c>
      <c r="G29" s="127"/>
      <c r="H29" s="127"/>
      <c r="I29" s="127"/>
      <c r="J29" s="127"/>
      <c r="K29" s="127" t="s">
        <v>29</v>
      </c>
      <c r="L29" s="127" t="s">
        <v>121</v>
      </c>
      <c r="M29" s="127" t="s">
        <v>275</v>
      </c>
      <c r="N29" s="127" t="s">
        <v>274</v>
      </c>
      <c r="O29" s="127" t="s">
        <v>124</v>
      </c>
      <c r="P29" s="127" t="s">
        <v>125</v>
      </c>
    </row>
    <row r="30" spans="1:17">
      <c r="A30" s="127"/>
      <c r="B30" s="127"/>
      <c r="C30" s="127"/>
      <c r="D30" s="127"/>
      <c r="E30" s="127"/>
      <c r="F30" s="127"/>
      <c r="G30" s="127"/>
      <c r="H30" s="127"/>
      <c r="I30" s="127"/>
      <c r="J30" s="127"/>
      <c r="K30" s="127"/>
      <c r="L30" s="128"/>
      <c r="M30" s="128"/>
      <c r="N30" s="128"/>
      <c r="O30" s="128"/>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L165"/>
  <sheetViews>
    <sheetView tabSelected="1" topLeftCell="A139" zoomScaleNormal="100" workbookViewId="0">
      <selection activeCell="B61" sqref="B61"/>
    </sheetView>
  </sheetViews>
  <sheetFormatPr defaultColWidth="9.140625" defaultRowHeight="15"/>
  <cols>
    <col min="1" max="1" width="68" style="6" customWidth="1"/>
    <col min="2" max="2" width="66.140625" style="7" customWidth="1"/>
    <col min="3" max="3" width="64" style="4" hidden="1" customWidth="1"/>
    <col min="4" max="4" width="29.7109375" style="4" hidden="1" customWidth="1"/>
    <col min="5" max="7" width="9.140625" style="4" hidden="1" customWidth="1"/>
    <col min="8" max="8" width="62.5703125" style="4" hidden="1" customWidth="1"/>
    <col min="9" max="13" width="9.140625" style="4" hidden="1" customWidth="1"/>
    <col min="14" max="14" width="70.7109375" style="4" hidden="1" customWidth="1"/>
    <col min="15" max="16" width="9.140625" style="4" hidden="1" customWidth="1"/>
    <col min="17" max="17" width="59.7109375" style="4" hidden="1" customWidth="1"/>
    <col min="18" max="18" width="49.85546875" style="4" hidden="1" customWidth="1"/>
    <col min="19" max="60" width="9.140625" style="4" hidden="1" customWidth="1"/>
    <col min="61" max="61" width="0" style="4" hidden="1" customWidth="1"/>
    <col min="62" max="62" width="9.140625" style="4" hidden="1" customWidth="1"/>
    <col min="63" max="63" width="8.5703125" style="4" hidden="1" customWidth="1"/>
    <col min="64" max="64" width="47.140625" style="4" bestFit="1" customWidth="1"/>
    <col min="65" max="68" width="9.140625" style="4" customWidth="1"/>
    <col min="69" max="16384" width="9.140625" style="4"/>
  </cols>
  <sheetData>
    <row r="1" spans="1:4">
      <c r="A1" s="3" t="str">
        <f>CONCATENATE(B65," olish uchun ariza")</f>
        <v>mikroqarz olish uchun ariza</v>
      </c>
      <c r="B1" s="52" t="s">
        <v>439</v>
      </c>
    </row>
    <row r="2" spans="1:4">
      <c r="A2" s="3" t="str">
        <f>CONCATENATE(B65," olish uchun ariza sanasi QO’L BILAN KIRITILADI")</f>
        <v>mikroqarz olish uchun ariza sanasi QO’L BILAN KIRITILADI</v>
      </c>
      <c r="B2" s="69" t="s">
        <v>426</v>
      </c>
      <c r="D2" s="193">
        <f>180+B2</f>
        <v>45903</v>
      </c>
    </row>
    <row r="3" spans="1:4">
      <c r="A3" s="3"/>
      <c r="B3" s="1"/>
    </row>
    <row r="4" spans="1:4">
      <c r="A4" s="264" t="s">
        <v>60</v>
      </c>
      <c r="B4" s="264"/>
    </row>
    <row r="5" spans="1:4">
      <c r="A5" s="3" t="s">
        <v>61</v>
      </c>
      <c r="B5" s="52" t="s">
        <v>422</v>
      </c>
    </row>
    <row r="6" spans="1:4" ht="30">
      <c r="A6" s="3" t="s">
        <v>62</v>
      </c>
      <c r="B6" s="52" t="s">
        <v>141</v>
      </c>
      <c r="C6" s="4" t="s">
        <v>277</v>
      </c>
      <c r="D6" s="4" t="s">
        <v>141</v>
      </c>
    </row>
    <row r="7" spans="1:4">
      <c r="A7" s="3" t="s">
        <v>63</v>
      </c>
      <c r="B7" s="52" t="s">
        <v>440</v>
      </c>
    </row>
    <row r="8" spans="1:4" hidden="1">
      <c r="A8" s="3" t="s">
        <v>64</v>
      </c>
      <c r="B8" s="93" t="str">
        <f>B5</f>
        <v>MIRZAKULOV RUSTAMJON MUXAMADJANOVICH</v>
      </c>
    </row>
    <row r="9" spans="1:4" hidden="1">
      <c r="A9" s="3" t="s">
        <v>65</v>
      </c>
      <c r="B9" s="93" t="str">
        <f>B7</f>
        <v>MIRZAKULOV R.M.</v>
      </c>
    </row>
    <row r="10" spans="1:4" hidden="1">
      <c r="A10" s="3" t="s">
        <v>66</v>
      </c>
      <c r="B10" s="93" t="str">
        <f>B8</f>
        <v>MIRZAKULOV RUSTAMJON MUXAMADJANOVICH</v>
      </c>
    </row>
    <row r="11" spans="1:4" hidden="1">
      <c r="A11" s="3" t="s">
        <v>67</v>
      </c>
      <c r="B11" s="93" t="str">
        <f>B9</f>
        <v>MIRZAKULOV R.M.</v>
      </c>
    </row>
    <row r="12" spans="1:4" hidden="1">
      <c r="A12" s="3" t="s">
        <v>68</v>
      </c>
      <c r="B12" s="93" t="str">
        <f>B10</f>
        <v>MIRZAKULOV RUSTAMJON MUXAMADJANOVICH</v>
      </c>
    </row>
    <row r="13" spans="1:4" hidden="1">
      <c r="A13" s="3" t="s">
        <v>69</v>
      </c>
      <c r="B13" s="93" t="str">
        <f>B11</f>
        <v>MIRZAKULOV R.M.</v>
      </c>
    </row>
    <row r="14" spans="1:4" hidden="1">
      <c r="A14" s="3" t="s">
        <v>70</v>
      </c>
      <c r="B14" s="93" t="s">
        <v>73</v>
      </c>
    </row>
    <row r="15" spans="1:4">
      <c r="A15" s="3" t="s">
        <v>71</v>
      </c>
      <c r="B15" s="164" t="s">
        <v>423</v>
      </c>
    </row>
    <row r="16" spans="1:4">
      <c r="A16" s="3" t="s">
        <v>72</v>
      </c>
      <c r="B16" s="52" t="s">
        <v>424</v>
      </c>
    </row>
    <row r="17" spans="1:61">
      <c r="A17" s="3"/>
      <c r="B17" s="52" t="s">
        <v>441</v>
      </c>
      <c r="C17" s="94"/>
      <c r="D17" s="5" t="str">
        <f>TEXT(C17,"ДД.ММ.ГГГГ")</f>
        <v>00.01.1900</v>
      </c>
    </row>
    <row r="18" spans="1:61">
      <c r="A18" s="3"/>
      <c r="B18" s="164">
        <v>45652</v>
      </c>
      <c r="C18" s="98" t="str">
        <f>TEXT(B18,"ДД.ММ.ГГГГ")</f>
        <v>26.12.2024</v>
      </c>
      <c r="D18" s="5"/>
    </row>
    <row r="19" spans="1:61">
      <c r="A19" s="3"/>
      <c r="B19" s="164">
        <v>49303</v>
      </c>
      <c r="C19" s="98" t="str">
        <f>TEXT(B19,"ДД.ММ.ГГГГ")</f>
        <v>25.12.2034</v>
      </c>
      <c r="D19" s="5"/>
    </row>
    <row r="20" spans="1:61" ht="45">
      <c r="A20" s="3" t="s">
        <v>75</v>
      </c>
      <c r="B20" s="74" t="str">
        <f>""&amp;B17&amp;" tomonidan "&amp;C18&amp;" yilda berilgan"</f>
        <v>IIV 27404 tomonidan 26.12.2024 yilda berilgan</v>
      </c>
      <c r="C20" s="99" t="str">
        <f>""&amp;B17&amp;" tomonidan "&amp;C18&amp;" yilda berilgan"</f>
        <v>IIV 27404 tomonidan 26.12.2024 yilda berilgan</v>
      </c>
    </row>
    <row r="21" spans="1:61" ht="45">
      <c r="A21" s="3" t="s">
        <v>76</v>
      </c>
      <c r="B21" s="74" t="str">
        <f>""&amp;C19&amp;" y."</f>
        <v>25.12.2034 y.</v>
      </c>
      <c r="C21" s="98" t="str">
        <f>""&amp;C19&amp;" yilgacha"</f>
        <v>25.12.2034 yilgacha</v>
      </c>
      <c r="BI21" s="4" t="s">
        <v>28</v>
      </c>
    </row>
    <row r="22" spans="1:61" ht="60" customHeight="1">
      <c r="A22" s="3" t="s">
        <v>77</v>
      </c>
      <c r="B22" s="52" t="s">
        <v>425</v>
      </c>
    </row>
    <row r="23" spans="1:61" ht="30">
      <c r="A23" s="3" t="s">
        <v>78</v>
      </c>
      <c r="B23" s="52" t="s">
        <v>102</v>
      </c>
      <c r="C23" s="5" t="s">
        <v>102</v>
      </c>
      <c r="D23" s="5" t="s">
        <v>103</v>
      </c>
    </row>
    <row r="24" spans="1:61" ht="30" hidden="1">
      <c r="A24" s="3" t="s">
        <v>79</v>
      </c>
      <c r="B24" s="93" t="s">
        <v>100</v>
      </c>
      <c r="C24" s="5" t="s">
        <v>100</v>
      </c>
      <c r="D24" s="5" t="s">
        <v>101</v>
      </c>
      <c r="E24" s="5" t="s">
        <v>0</v>
      </c>
      <c r="F24" s="5" t="s">
        <v>1</v>
      </c>
      <c r="G24" s="4" t="s">
        <v>3</v>
      </c>
    </row>
    <row r="25" spans="1:61">
      <c r="A25" s="3" t="s">
        <v>80</v>
      </c>
      <c r="B25" s="52" t="s">
        <v>436</v>
      </c>
    </row>
    <row r="26" spans="1:61" ht="44.25" customHeight="1">
      <c r="A26" s="3" t="s">
        <v>81</v>
      </c>
      <c r="B26" s="235" t="s">
        <v>435</v>
      </c>
      <c r="C26" s="4" t="s">
        <v>28</v>
      </c>
    </row>
    <row r="27" spans="1:61" ht="44.25" hidden="1" customHeight="1">
      <c r="A27" s="3"/>
      <c r="B27" s="52" t="str">
        <f>IF(B23="mos keladi",B22,B28)</f>
        <v>TOSHKENT VILOYATI OLMALIQ SHAHAR O`ZBEKISTON MFY OQTOSHKO`CHASI 47-UY</v>
      </c>
    </row>
    <row r="28" spans="1:61" ht="30">
      <c r="A28" s="3" t="s">
        <v>82</v>
      </c>
      <c r="B28" s="52" t="s">
        <v>425</v>
      </c>
    </row>
    <row r="29" spans="1:61">
      <c r="A29" s="3" t="s">
        <v>83</v>
      </c>
      <c r="B29" s="52" t="s">
        <v>100</v>
      </c>
      <c r="C29" s="128" t="s">
        <v>100</v>
      </c>
      <c r="D29" s="128" t="s">
        <v>101</v>
      </c>
      <c r="E29" s="128" t="s">
        <v>354</v>
      </c>
      <c r="F29" s="128" t="s">
        <v>355</v>
      </c>
      <c r="G29" s="128" t="s">
        <v>3</v>
      </c>
      <c r="H29" s="128"/>
      <c r="I29" s="128"/>
      <c r="J29" s="128"/>
    </row>
    <row r="30" spans="1:61" ht="27">
      <c r="A30" s="3" t="s">
        <v>84</v>
      </c>
      <c r="B30" s="217" t="s">
        <v>156</v>
      </c>
      <c r="C30" s="5" t="s">
        <v>156</v>
      </c>
      <c r="D30" s="5" t="s">
        <v>358</v>
      </c>
    </row>
    <row r="31" spans="1:61">
      <c r="A31" s="3" t="s">
        <v>85</v>
      </c>
      <c r="B31" s="52" t="s">
        <v>442</v>
      </c>
    </row>
    <row r="32" spans="1:61">
      <c r="A32" s="3" t="s">
        <v>70</v>
      </c>
      <c r="B32" s="52" t="s">
        <v>73</v>
      </c>
    </row>
    <row r="33" spans="1:4">
      <c r="A33" s="3" t="s">
        <v>80</v>
      </c>
      <c r="B33" s="237" t="s">
        <v>436</v>
      </c>
    </row>
    <row r="34" spans="1:4" hidden="1">
      <c r="A34" s="3"/>
      <c r="B34" s="52" t="str">
        <f>IF(B23="mos keladi",B26,B35)</f>
        <v>19 KANECHKASI SHANXAY</v>
      </c>
    </row>
    <row r="35" spans="1:4">
      <c r="A35" s="3" t="s">
        <v>81</v>
      </c>
      <c r="B35" s="52"/>
    </row>
    <row r="36" spans="1:4">
      <c r="A36" s="3" t="s">
        <v>86</v>
      </c>
      <c r="B36" s="52"/>
    </row>
    <row r="37" spans="1:4">
      <c r="A37" s="3" t="s">
        <v>87</v>
      </c>
      <c r="B37" s="52">
        <v>5</v>
      </c>
    </row>
    <row r="38" spans="1:4">
      <c r="A38" s="3" t="s">
        <v>88</v>
      </c>
      <c r="B38" s="52"/>
    </row>
    <row r="39" spans="1:4">
      <c r="A39" s="3" t="s">
        <v>89</v>
      </c>
      <c r="B39" s="52"/>
    </row>
    <row r="40" spans="1:4" ht="24.75" customHeight="1">
      <c r="A40" s="3" t="s">
        <v>90</v>
      </c>
      <c r="B40" s="52" t="s">
        <v>443</v>
      </c>
    </row>
    <row r="41" spans="1:4" ht="24.75" customHeight="1">
      <c r="A41" s="3" t="s">
        <v>91</v>
      </c>
      <c r="B41" s="52" t="s">
        <v>437</v>
      </c>
    </row>
    <row r="42" spans="1:4" ht="24.75" customHeight="1">
      <c r="A42" s="3" t="s">
        <v>90</v>
      </c>
      <c r="B42" s="236" t="s">
        <v>438</v>
      </c>
    </row>
    <row r="43" spans="1:4">
      <c r="A43" s="3" t="s">
        <v>91</v>
      </c>
      <c r="B43" s="52"/>
    </row>
    <row r="44" spans="1:4" ht="23.25">
      <c r="A44" s="219" t="s">
        <v>92</v>
      </c>
      <c r="B44" s="218" t="s">
        <v>370</v>
      </c>
      <c r="C44" s="4" t="s">
        <v>370</v>
      </c>
      <c r="D44" s="4" t="s">
        <v>378</v>
      </c>
    </row>
    <row r="45" spans="1:4" hidden="1">
      <c r="A45" s="3"/>
      <c r="B45" s="216" t="str">
        <f>IF(B44=D44,CONCATENATE("MA'LUMOTNOMA ",B47,B46),C44)</f>
        <v>Yakka tartibdagi tadbirkor</v>
      </c>
    </row>
    <row r="46" spans="1:4" ht="46.5">
      <c r="A46" s="219" t="s">
        <v>379</v>
      </c>
      <c r="B46" s="216" t="s">
        <v>28</v>
      </c>
    </row>
    <row r="47" spans="1:4" ht="23.25" hidden="1">
      <c r="A47" s="219"/>
      <c r="B47" s="216" t="str">
        <f>CONCATENATE(C47," ",B46)</f>
        <v xml:space="preserve">№  </v>
      </c>
      <c r="C47" s="4" t="s">
        <v>15</v>
      </c>
    </row>
    <row r="48" spans="1:4" ht="69.75">
      <c r="A48" s="219" t="s">
        <v>380</v>
      </c>
      <c r="B48" s="216" t="s">
        <v>28</v>
      </c>
    </row>
    <row r="49" spans="1:64" hidden="1">
      <c r="A49" s="3" t="s">
        <v>93</v>
      </c>
      <c r="B49" s="52" t="str">
        <f>IF(B44=C44,C44,B48)</f>
        <v>Yakka tartibdagi tadbirkor</v>
      </c>
    </row>
    <row r="50" spans="1:64" ht="30">
      <c r="A50" s="3" t="s">
        <v>94</v>
      </c>
      <c r="B50" s="52"/>
    </row>
    <row r="51" spans="1:64">
      <c r="A51" s="3" t="s">
        <v>81</v>
      </c>
      <c r="B51" s="52"/>
    </row>
    <row r="52" spans="1:64">
      <c r="A52" s="3" t="s">
        <v>95</v>
      </c>
      <c r="B52" s="52"/>
    </row>
    <row r="53" spans="1:64">
      <c r="A53" s="3" t="s">
        <v>96</v>
      </c>
      <c r="B53" s="52"/>
    </row>
    <row r="54" spans="1:64">
      <c r="A54" s="3" t="s">
        <v>97</v>
      </c>
      <c r="B54" s="52"/>
    </row>
    <row r="55" spans="1:64">
      <c r="A55" s="3" t="s">
        <v>98</v>
      </c>
      <c r="B55" s="2"/>
    </row>
    <row r="56" spans="1:64">
      <c r="A56" s="3" t="s">
        <v>99</v>
      </c>
      <c r="B56" s="2" t="s">
        <v>23</v>
      </c>
    </row>
    <row r="57" spans="1:64" ht="30" customHeight="1">
      <c r="A57" s="265" t="s">
        <v>104</v>
      </c>
      <c r="B57" s="266"/>
    </row>
    <row r="58" spans="1:64" ht="20.25" hidden="1" customHeight="1">
      <c r="A58" s="3" t="s">
        <v>105</v>
      </c>
      <c r="B58" s="52" t="str">
        <f>IF(B44=C44,C44,CONCATENATE(B44," ",B47))</f>
        <v>Yakka tartibdagi tadbirkor</v>
      </c>
    </row>
    <row r="59" spans="1:64" ht="31.5" hidden="1" customHeight="1">
      <c r="A59" s="3" t="s">
        <v>93</v>
      </c>
      <c r="B59" s="52" t="str">
        <f>B49</f>
        <v>Yakka tartibdagi tadbirkor</v>
      </c>
    </row>
    <row r="60" spans="1:64" ht="23.25">
      <c r="A60" s="219" t="s">
        <v>106</v>
      </c>
      <c r="B60" s="223">
        <v>17800000</v>
      </c>
      <c r="BL60" s="230">
        <f>BL77/B75</f>
        <v>0.32753425036363643</v>
      </c>
    </row>
    <row r="61" spans="1:64" ht="15.75" thickBot="1">
      <c r="A61" s="3" t="s">
        <v>107</v>
      </c>
      <c r="B61" s="226">
        <v>0</v>
      </c>
      <c r="C61" s="128"/>
      <c r="D61" s="128"/>
      <c r="E61" s="128"/>
      <c r="F61" s="128"/>
      <c r="G61" s="128"/>
      <c r="H61" s="128"/>
      <c r="I61" s="128"/>
      <c r="J61" s="128"/>
      <c r="K61" s="128"/>
      <c r="L61" s="128"/>
      <c r="M61" s="128"/>
      <c r="N61" s="128"/>
      <c r="O61" s="128"/>
      <c r="BL61" s="231" t="s">
        <v>410</v>
      </c>
    </row>
    <row r="62" spans="1:64" ht="15.75" hidden="1" thickBot="1">
      <c r="A62" s="3" t="s">
        <v>108</v>
      </c>
      <c r="B62" s="52">
        <f>B53</f>
        <v>0</v>
      </c>
      <c r="C62" s="128"/>
      <c r="D62" s="128"/>
      <c r="E62" s="128"/>
      <c r="F62" s="128"/>
      <c r="G62" s="128"/>
      <c r="H62" s="128"/>
      <c r="I62" s="128"/>
      <c r="J62" s="128"/>
      <c r="K62" s="128"/>
      <c r="L62" s="128"/>
      <c r="M62" s="128"/>
      <c r="N62" s="128"/>
      <c r="O62" s="128"/>
      <c r="BL62" s="228"/>
    </row>
    <row r="63" spans="1:64" ht="15.75" hidden="1" thickBot="1">
      <c r="A63" s="3" t="s">
        <v>109</v>
      </c>
      <c r="B63" s="52"/>
      <c r="C63" s="5"/>
      <c r="D63" s="5"/>
      <c r="E63" s="5"/>
      <c r="F63" s="5"/>
      <c r="G63" s="5"/>
      <c r="H63" s="5"/>
      <c r="I63" s="5"/>
      <c r="J63" s="5"/>
      <c r="K63" s="5"/>
      <c r="L63" s="5"/>
      <c r="M63" s="5"/>
      <c r="N63" s="5"/>
      <c r="O63" s="5"/>
      <c r="BL63" s="228"/>
    </row>
    <row r="64" spans="1:64" ht="15.75" hidden="1" thickBot="1">
      <c r="A64" s="264" t="s">
        <v>110</v>
      </c>
      <c r="B64" s="264"/>
      <c r="C64" s="128" t="str">
        <f>PROPER(B65)</f>
        <v>Mikroqarz</v>
      </c>
      <c r="D64" s="128" t="str">
        <f>UPPER(B65)</f>
        <v>MIKROQARZ</v>
      </c>
      <c r="E64" s="128"/>
      <c r="F64" s="128"/>
      <c r="G64" s="128"/>
      <c r="H64" s="128"/>
      <c r="I64" s="128"/>
      <c r="J64" s="128"/>
      <c r="K64" s="128"/>
      <c r="L64" s="128"/>
      <c r="M64" s="128"/>
      <c r="N64" s="128"/>
      <c r="O64" s="128"/>
      <c r="P64" s="128"/>
      <c r="Q64" s="128"/>
      <c r="R64" s="128"/>
      <c r="S64" s="128"/>
      <c r="T64" s="128"/>
      <c r="U64" s="128"/>
      <c r="V64" s="128"/>
      <c r="BL64" s="228"/>
    </row>
    <row r="65" spans="1:64" ht="15.75" hidden="1" thickBot="1">
      <c r="A65" s="3" t="s">
        <v>111</v>
      </c>
      <c r="B65" s="1" t="str">
        <f>IF(B75&gt;100000001,"mikrokredit",IF(B75&lt;100000001,"mikroqarz",0))</f>
        <v>mikroqarz</v>
      </c>
      <c r="C65" s="126">
        <f>DATE(YEAR(B67),MONTH(B67)+B81,DAY(B67))</f>
        <v>46088</v>
      </c>
      <c r="D65" s="127"/>
      <c r="E65" s="127"/>
      <c r="F65" s="127"/>
      <c r="G65" s="127"/>
      <c r="H65" s="127"/>
      <c r="I65" s="127"/>
      <c r="J65" s="127"/>
      <c r="K65" s="127"/>
      <c r="L65" s="127"/>
      <c r="M65" s="127"/>
      <c r="N65" s="127"/>
      <c r="O65" s="128"/>
      <c r="P65" s="128"/>
      <c r="Q65" s="128"/>
      <c r="R65" s="128"/>
      <c r="S65" s="128"/>
      <c r="T65" s="128"/>
      <c r="U65" s="128"/>
      <c r="V65" s="128"/>
      <c r="BL65" s="228"/>
    </row>
    <row r="66" spans="1:64" ht="15.75" hidden="1" thickBot="1">
      <c r="A66" s="3" t="s">
        <v>112</v>
      </c>
      <c r="B66" s="52" t="str">
        <f>B1</f>
        <v>№548-AL</v>
      </c>
      <c r="C66" s="127">
        <f>MONTH(C65)</f>
        <v>3</v>
      </c>
      <c r="D66" s="127" t="str">
        <f>IF(C66=C68,C70,IF(C66=D68,D70,IF(C66=E68,E70,IF(C66=F68,F70,IF(C66=G68,G70,IF(C66=H68,H70,IF(C66=I68,I70,IF(C66=J68,J70,IF(C66=K68,K70,IF(C66=L68,L70,IF(C66=M68,M70,IF(C66=N68,N70,))))))))))))</f>
        <v>mart</v>
      </c>
      <c r="E66" s="127">
        <f>DAY(C65)</f>
        <v>7</v>
      </c>
      <c r="F66" s="127">
        <f>YEAR(C65)</f>
        <v>2026</v>
      </c>
      <c r="G66" s="127">
        <f>MONTH(C65)</f>
        <v>3</v>
      </c>
      <c r="H66" s="127" t="str">
        <f>IF(C66=C68,C71,IF(C66=D68,D71,IF(C66=E68,E71,IF(C66=F68,F71,IF(C66=G68,G71,IF(C66=H68,H71,IF(C66=I68,I71,IF(C66=J68,J71,IF(C66=K68,K71,IF(C66=L68,L71,IF(C66=M68,M71,IF(C66=N68,N71,))))))))))))</f>
        <v>mart</v>
      </c>
      <c r="I66" s="127">
        <f>YEAR(C65)</f>
        <v>2026</v>
      </c>
      <c r="J66" s="127"/>
      <c r="K66" s="127"/>
      <c r="L66" s="127"/>
      <c r="M66" s="127"/>
      <c r="N66" s="127"/>
      <c r="O66" s="128"/>
      <c r="P66" s="128"/>
      <c r="Q66" s="128"/>
      <c r="R66" s="128"/>
      <c r="S66" s="128"/>
      <c r="T66" s="128"/>
      <c r="U66" s="128"/>
      <c r="V66" s="128"/>
      <c r="BL66" s="228"/>
    </row>
    <row r="67" spans="1:64" ht="15.75" hidden="1" thickBot="1">
      <c r="A67" s="3" t="s">
        <v>113</v>
      </c>
      <c r="B67" s="110" t="str">
        <f>B2</f>
        <v>07.03.2025</v>
      </c>
      <c r="C67" s="127">
        <f>MONTH(B67)</f>
        <v>3</v>
      </c>
      <c r="D67" s="127" t="str">
        <f>IF(C67=C68,C70,IF(C67=D68,D70,IF(C67=E68,E70,IF(C67=F68,F70,IF(C67=G68,G70,IF(C67=H68,H70,IF(C67=I68,I70,IF(C67=J68,J70,IF(C67=K68,K70,IF(C67=L68,L70,IF(C67=M68,M70,IF(C67=N68,N70,))))))))))))</f>
        <v>mart</v>
      </c>
      <c r="E67" s="127">
        <f>DAY(B67)</f>
        <v>7</v>
      </c>
      <c r="F67" s="127">
        <f>YEAR(B67)</f>
        <v>2025</v>
      </c>
      <c r="G67" s="127">
        <f>MONTH(B67)</f>
        <v>3</v>
      </c>
      <c r="H67" s="127" t="str">
        <f>IF(C67=C68,C71,IF(C67=D68,D71,IF(C67=E68,E71,IF(C67=F68,F71,IF(C67=G68,G71,IF(C67=H68,H71,IF(C67=I68,I71,IF(C67=J68,J71,IF(C67=K68,K71,IF(C67=L68,L71,IF(C67=M68,M71,IF(C67=N68,N71,))))))))))))</f>
        <v>mart</v>
      </c>
      <c r="I67" s="127">
        <f>YEAR(B67)</f>
        <v>2025</v>
      </c>
      <c r="J67" s="127"/>
      <c r="K67" s="127"/>
      <c r="L67" s="127"/>
      <c r="M67" s="127"/>
      <c r="N67" s="127"/>
      <c r="O67" s="128"/>
      <c r="P67" s="128"/>
      <c r="Q67" s="128"/>
      <c r="R67" s="128"/>
      <c r="S67" s="128"/>
      <c r="T67" s="128"/>
      <c r="U67" s="128"/>
      <c r="V67" s="128"/>
      <c r="BL67" s="228"/>
    </row>
    <row r="68" spans="1:64" ht="15.75" hidden="1" thickBot="1">
      <c r="A68" s="3" t="s">
        <v>114</v>
      </c>
      <c r="B68" s="100" t="str">
        <f>""&amp;E67&amp;" "&amp;D67&amp;" "&amp;F67&amp;" y."</f>
        <v>7 mart 2025 y.</v>
      </c>
      <c r="C68" s="127">
        <v>1</v>
      </c>
      <c r="D68" s="127">
        <v>2</v>
      </c>
      <c r="E68" s="127">
        <v>3</v>
      </c>
      <c r="F68" s="127">
        <v>4</v>
      </c>
      <c r="G68" s="127">
        <v>5</v>
      </c>
      <c r="H68" s="127">
        <v>6</v>
      </c>
      <c r="I68" s="127">
        <v>7</v>
      </c>
      <c r="J68" s="127">
        <v>8</v>
      </c>
      <c r="K68" s="127">
        <v>9</v>
      </c>
      <c r="L68" s="127">
        <v>10</v>
      </c>
      <c r="M68" s="127">
        <v>11</v>
      </c>
      <c r="N68" s="127">
        <v>12</v>
      </c>
      <c r="O68" s="128"/>
      <c r="P68" s="128"/>
      <c r="Q68" s="128"/>
      <c r="R68" s="128"/>
      <c r="S68" s="128"/>
      <c r="T68" s="128"/>
      <c r="U68" s="128"/>
      <c r="V68" s="128"/>
      <c r="BL68" s="228"/>
    </row>
    <row r="69" spans="1:64" ht="15.75" hidden="1" thickBot="1">
      <c r="A69" s="3"/>
      <c r="B69" s="100" t="str">
        <f>""&amp;E67&amp;" "&amp;H67&amp;" "&amp;F67&amp;" y."</f>
        <v>7 mart 2025 y.</v>
      </c>
      <c r="C69" s="127"/>
      <c r="D69" s="127"/>
      <c r="E69" s="127"/>
      <c r="F69" s="127"/>
      <c r="G69" s="127"/>
      <c r="H69" s="127"/>
      <c r="I69" s="127"/>
      <c r="J69" s="127"/>
      <c r="K69" s="127"/>
      <c r="L69" s="127"/>
      <c r="M69" s="127"/>
      <c r="N69" s="127"/>
      <c r="O69" s="128"/>
      <c r="P69" s="128"/>
      <c r="Q69" s="128"/>
      <c r="R69" s="128"/>
      <c r="S69" s="128"/>
      <c r="T69" s="128"/>
      <c r="U69" s="128"/>
      <c r="V69" s="128"/>
      <c r="BL69" s="228"/>
    </row>
    <row r="70" spans="1:64" ht="15.75" hidden="1" thickBot="1">
      <c r="A70" s="3"/>
      <c r="B70" s="73" t="str">
        <f>B68</f>
        <v>7 mart 2025 y.</v>
      </c>
      <c r="C70" s="181" t="s">
        <v>126</v>
      </c>
      <c r="D70" s="181" t="s">
        <v>127</v>
      </c>
      <c r="E70" s="181" t="s">
        <v>116</v>
      </c>
      <c r="F70" s="181" t="s">
        <v>117</v>
      </c>
      <c r="G70" s="181" t="s">
        <v>118</v>
      </c>
      <c r="H70" s="181" t="s">
        <v>119</v>
      </c>
      <c r="I70" s="181" t="s">
        <v>120</v>
      </c>
      <c r="J70" s="181" t="s">
        <v>121</v>
      </c>
      <c r="K70" s="181" t="s">
        <v>122</v>
      </c>
      <c r="L70" s="181" t="s">
        <v>123</v>
      </c>
      <c r="M70" s="181" t="s">
        <v>124</v>
      </c>
      <c r="N70" s="181" t="s">
        <v>125</v>
      </c>
      <c r="O70" s="128"/>
      <c r="P70" s="128"/>
      <c r="Q70" s="128"/>
      <c r="R70" s="128"/>
      <c r="S70" s="128"/>
      <c r="T70" s="128"/>
      <c r="U70" s="128"/>
      <c r="V70" s="128"/>
      <c r="BL70" s="228"/>
    </row>
    <row r="71" spans="1:64" ht="15.75" hidden="1" thickBot="1">
      <c r="A71" s="3"/>
      <c r="B71" s="73" t="str">
        <f>B69</f>
        <v>7 mart 2025 y.</v>
      </c>
      <c r="C71" s="181" t="s">
        <v>126</v>
      </c>
      <c r="D71" s="181" t="s">
        <v>127</v>
      </c>
      <c r="E71" s="181" t="s">
        <v>116</v>
      </c>
      <c r="F71" s="181" t="s">
        <v>117</v>
      </c>
      <c r="G71" s="181" t="s">
        <v>118</v>
      </c>
      <c r="H71" s="181" t="s">
        <v>119</v>
      </c>
      <c r="I71" s="181" t="s">
        <v>120</v>
      </c>
      <c r="J71" s="181" t="s">
        <v>121</v>
      </c>
      <c r="K71" s="181" t="s">
        <v>122</v>
      </c>
      <c r="L71" s="181" t="s">
        <v>123</v>
      </c>
      <c r="M71" s="181" t="s">
        <v>124</v>
      </c>
      <c r="N71" s="181" t="s">
        <v>125</v>
      </c>
      <c r="O71" s="128"/>
      <c r="P71" s="128"/>
      <c r="Q71" s="128"/>
      <c r="R71" s="128"/>
      <c r="S71" s="128"/>
      <c r="T71" s="128"/>
      <c r="U71" s="128"/>
      <c r="V71" s="128"/>
      <c r="BL71" s="228"/>
    </row>
    <row r="72" spans="1:64" ht="15.75" hidden="1" thickBot="1">
      <c r="A72" s="3" t="s">
        <v>115</v>
      </c>
      <c r="B72" s="70" t="str">
        <f>""&amp;E66&amp;" "&amp;D66&amp;" "&amp;F66&amp;" y."</f>
        <v>7 mart 2026 y.</v>
      </c>
      <c r="C72" s="127"/>
      <c r="D72" s="127"/>
      <c r="E72" s="127"/>
      <c r="F72" s="127"/>
      <c r="G72" s="127"/>
      <c r="H72" s="127"/>
      <c r="I72" s="127"/>
      <c r="J72" s="128"/>
      <c r="K72" s="128"/>
      <c r="L72" s="128"/>
      <c r="M72" s="128"/>
      <c r="N72" s="128"/>
      <c r="O72" s="128"/>
      <c r="P72" s="128"/>
      <c r="Q72" s="128"/>
      <c r="R72" s="128"/>
      <c r="S72" s="128"/>
      <c r="T72" s="128"/>
      <c r="U72" s="128"/>
      <c r="V72" s="128"/>
      <c r="BL72" s="228"/>
    </row>
    <row r="73" spans="1:64" ht="15.75" hidden="1" thickBot="1">
      <c r="A73" s="3"/>
      <c r="B73" s="70" t="str">
        <f>""&amp;E66&amp;" "&amp;H66&amp;" "&amp;F66&amp;" y."</f>
        <v>7 mart 2026 y.</v>
      </c>
      <c r="C73" s="127"/>
      <c r="D73" s="127"/>
      <c r="E73" s="127"/>
      <c r="F73" s="127"/>
      <c r="G73" s="127"/>
      <c r="H73" s="127"/>
      <c r="I73" s="127"/>
      <c r="J73" s="128"/>
      <c r="K73" s="128"/>
      <c r="L73" s="128"/>
      <c r="M73" s="128"/>
      <c r="N73" s="128"/>
      <c r="O73" s="128"/>
      <c r="P73" s="128"/>
      <c r="Q73" s="128"/>
      <c r="R73" s="128"/>
      <c r="S73" s="128"/>
      <c r="T73" s="128"/>
      <c r="U73" s="128"/>
      <c r="V73" s="128"/>
      <c r="BL73" s="228"/>
    </row>
    <row r="74" spans="1:64" ht="15.75" hidden="1" thickBot="1">
      <c r="A74" s="3" t="s">
        <v>128</v>
      </c>
      <c r="B74" s="1" t="str">
        <f>""&amp;B68&amp;"dan "&amp;B66&amp;""</f>
        <v>7 mart 2025 y.dan №548-AL</v>
      </c>
      <c r="D74" s="71"/>
      <c r="E74" s="71"/>
      <c r="F74" s="71"/>
      <c r="G74" s="71"/>
      <c r="H74" s="71"/>
      <c r="I74" s="71"/>
      <c r="J74" s="5"/>
      <c r="K74" s="5"/>
      <c r="L74" s="5"/>
      <c r="M74" s="5"/>
      <c r="N74" s="5"/>
      <c r="O74" s="5"/>
      <c r="P74" s="72"/>
      <c r="Q74" s="72"/>
      <c r="R74" s="72"/>
      <c r="S74" s="72"/>
      <c r="T74" s="72"/>
      <c r="U74" s="72"/>
      <c r="V74" s="72"/>
      <c r="BL74" s="228"/>
    </row>
    <row r="75" spans="1:64">
      <c r="A75" s="3" t="str">
        <f>CONCATENATE(B65," miqdori (summasi)")</f>
        <v>mikroqarz miqdori (summasi)</v>
      </c>
      <c r="B75" s="83">
        <v>55000000</v>
      </c>
      <c r="C75" s="84" t="s">
        <v>134</v>
      </c>
      <c r="D75" s="71"/>
      <c r="E75" s="71"/>
      <c r="F75" s="71"/>
      <c r="G75" s="71"/>
      <c r="H75" s="71"/>
      <c r="I75" s="71"/>
      <c r="J75" s="5"/>
      <c r="K75" s="5"/>
      <c r="L75" s="5"/>
      <c r="M75" s="5"/>
      <c r="N75" s="5"/>
      <c r="O75" s="5"/>
      <c r="P75" s="72"/>
      <c r="Q75" s="72"/>
      <c r="R75" s="72"/>
      <c r="S75" s="72"/>
      <c r="T75" s="72"/>
      <c r="U75" s="72"/>
      <c r="V75" s="72"/>
      <c r="BL75" s="229">
        <f>SUM(График!E9:E20)</f>
        <v>18014383.770000003</v>
      </c>
    </row>
    <row r="76" spans="1:64">
      <c r="A76" s="182" t="s">
        <v>129</v>
      </c>
      <c r="B76" s="64"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ellik besh million so'm</v>
      </c>
      <c r="C76" s="17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Ellik besh million so'm</v>
      </c>
      <c r="D76" s="71"/>
      <c r="E76" s="71"/>
      <c r="F76" s="71"/>
      <c r="G76" s="71"/>
      <c r="H76" s="71"/>
      <c r="I76" s="71"/>
      <c r="J76" s="5"/>
      <c r="K76" s="5"/>
      <c r="L76" s="5"/>
      <c r="M76" s="5"/>
      <c r="N76" s="5"/>
      <c r="O76" s="5"/>
      <c r="P76" s="72"/>
      <c r="Q76" s="72"/>
      <c r="R76" s="72"/>
      <c r="S76" s="72"/>
      <c r="T76" s="72"/>
      <c r="U76" s="72"/>
      <c r="V76" s="72"/>
      <c r="BL76" s="233"/>
    </row>
    <row r="77" spans="1:64">
      <c r="A77" s="3" t="s">
        <v>130</v>
      </c>
      <c r="B77" s="52" t="s">
        <v>136</v>
      </c>
      <c r="C77" s="127" t="s">
        <v>136</v>
      </c>
      <c r="D77" s="127" t="s">
        <v>135</v>
      </c>
      <c r="E77" s="127"/>
      <c r="F77" s="127"/>
      <c r="G77" s="127"/>
      <c r="H77" s="127"/>
      <c r="I77" s="127"/>
      <c r="J77" s="128"/>
      <c r="K77" s="128"/>
      <c r="L77" s="128"/>
      <c r="M77" s="128"/>
      <c r="N77" s="128"/>
      <c r="O77" s="128"/>
      <c r="P77" s="128"/>
      <c r="Q77" s="128"/>
      <c r="R77" s="128"/>
      <c r="S77" s="72"/>
      <c r="T77" s="72"/>
      <c r="U77" s="72"/>
      <c r="V77" s="72"/>
      <c r="BL77" s="232">
        <f>SUM(График!E9:E20)</f>
        <v>18014383.770000003</v>
      </c>
    </row>
    <row r="78" spans="1:64">
      <c r="A78" s="3" t="str">
        <f>CONCATENATE(B65,"ni to'lash sanasi (14.10.2011)")</f>
        <v>mikroqarzni to'lash sanasi (14.10.2011)</v>
      </c>
      <c r="B78" s="52">
        <v>7</v>
      </c>
      <c r="C78" s="126">
        <f>DATE(YEAR(B67),MONTH(B67)+1,DAY(B78))</f>
        <v>45754</v>
      </c>
      <c r="D78" s="127" t="s">
        <v>30</v>
      </c>
      <c r="E78" s="127" t="s">
        <v>31</v>
      </c>
      <c r="F78" s="127" t="s">
        <v>32</v>
      </c>
      <c r="G78" s="127" t="s">
        <v>33</v>
      </c>
      <c r="H78" s="127" t="s">
        <v>34</v>
      </c>
      <c r="I78" s="127" t="s">
        <v>35</v>
      </c>
      <c r="J78" s="128" t="s">
        <v>36</v>
      </c>
      <c r="K78" s="128"/>
      <c r="L78" s="128"/>
      <c r="M78" s="128"/>
      <c r="N78" s="128"/>
      <c r="O78" s="128"/>
      <c r="P78" s="128"/>
      <c r="Q78" s="128"/>
      <c r="R78" s="128"/>
      <c r="S78" s="72"/>
      <c r="T78" s="72"/>
      <c r="U78" s="72"/>
      <c r="V78" s="72"/>
    </row>
    <row r="79" spans="1:64" hidden="1">
      <c r="A79" s="3" t="str">
        <f>CONCATENATE(B65,"ni to'lash sanasi (14.10.2011 y.) QO’L BILAN KIRITILADI")</f>
        <v>mikroqarzni to'lash sanasi (14.10.2011 y.) QO’L BILAN KIRITILADI</v>
      </c>
      <c r="B79" s="101">
        <f>DATE(YEAR(B67),MONTH(B67)+1,DAY(B78+C80))</f>
        <v>45754</v>
      </c>
      <c r="C79" s="129" t="str">
        <f>TEXT(C78,"ддд")</f>
        <v>Пн</v>
      </c>
      <c r="D79" s="127" t="s">
        <v>30</v>
      </c>
      <c r="E79" s="127" t="s">
        <v>31</v>
      </c>
      <c r="F79" s="127" t="s">
        <v>32</v>
      </c>
      <c r="G79" s="127" t="s">
        <v>33</v>
      </c>
      <c r="H79" s="127" t="s">
        <v>34</v>
      </c>
      <c r="I79" s="127" t="s">
        <v>35</v>
      </c>
      <c r="J79" s="128" t="s">
        <v>36</v>
      </c>
      <c r="K79" s="128"/>
      <c r="L79" s="128"/>
      <c r="M79" s="128"/>
      <c r="N79" s="128"/>
      <c r="O79" s="128"/>
      <c r="P79" s="128"/>
      <c r="Q79" s="128"/>
      <c r="R79" s="128"/>
      <c r="S79" s="72"/>
      <c r="T79" s="72"/>
      <c r="U79" s="72"/>
      <c r="V79" s="72"/>
    </row>
    <row r="80" spans="1:64" hidden="1">
      <c r="A80" s="3" t="s">
        <v>131</v>
      </c>
      <c r="B80" s="102">
        <f>B79</f>
        <v>45754</v>
      </c>
      <c r="C80" s="130">
        <f>IF(C79=I79,2,IF(C79=J79,1,0))</f>
        <v>0</v>
      </c>
      <c r="D80" s="130"/>
      <c r="E80" s="128"/>
      <c r="F80" s="128"/>
      <c r="G80" s="128"/>
      <c r="H80" s="128"/>
      <c r="I80" s="128"/>
      <c r="J80" s="128"/>
      <c r="K80" s="128"/>
      <c r="L80" s="128"/>
      <c r="M80" s="128"/>
      <c r="N80" s="128"/>
      <c r="O80" s="128"/>
      <c r="P80" s="128"/>
      <c r="Q80" s="128"/>
      <c r="R80" s="128"/>
      <c r="S80" s="72"/>
      <c r="T80" s="72"/>
      <c r="U80" s="72"/>
      <c r="V80" s="72"/>
    </row>
    <row r="81" spans="1:63">
      <c r="A81" s="3" t="str">
        <f>CONCATENATE(B65," muddati")</f>
        <v>mikroqarz muddati</v>
      </c>
      <c r="B81" s="52">
        <v>12</v>
      </c>
      <c r="C81" s="130">
        <v>6</v>
      </c>
      <c r="D81" s="130">
        <v>12</v>
      </c>
      <c r="E81" s="128">
        <v>18</v>
      </c>
      <c r="F81" s="128">
        <v>24</v>
      </c>
      <c r="G81" s="128">
        <v>36</v>
      </c>
      <c r="H81" s="128"/>
      <c r="I81" s="128"/>
      <c r="J81" s="128"/>
      <c r="K81" s="128"/>
      <c r="L81" s="128"/>
      <c r="M81" s="128"/>
      <c r="N81" s="128"/>
      <c r="O81" s="128"/>
      <c r="P81" s="128"/>
      <c r="Q81" s="128"/>
      <c r="R81" s="128"/>
      <c r="S81" s="72"/>
      <c r="T81" s="72"/>
      <c r="U81" s="72"/>
      <c r="V81" s="72"/>
    </row>
    <row r="82" spans="1:63">
      <c r="A82" s="3" t="str">
        <f>CONCATENATE(B65," muddati QO’L BILAN KIRITILADI")</f>
        <v>mikroqarz muddati QO’L BILAN KIRITILADI</v>
      </c>
      <c r="B82" s="177" t="str">
        <f>IF(B81=C81,"olti",IF(B81=D81,"o'n ikki",IF(B81=E81,"o'n sakkiz",IF(B81=F81,"yigirma to'rt",IF(B81=G81,"o'ttiz olti",0)))))</f>
        <v>o'n ikki</v>
      </c>
      <c r="C82" s="128"/>
      <c r="D82" s="128"/>
      <c r="E82" s="128"/>
      <c r="F82" s="128"/>
      <c r="G82" s="128"/>
      <c r="H82" s="128"/>
      <c r="I82" s="128"/>
      <c r="J82" s="128"/>
      <c r="K82" s="128"/>
      <c r="L82" s="128"/>
      <c r="M82" s="128"/>
      <c r="N82" s="128"/>
      <c r="O82" s="128"/>
      <c r="P82" s="128"/>
      <c r="Q82" s="128"/>
      <c r="R82" s="128"/>
    </row>
    <row r="83" spans="1:63" ht="30">
      <c r="A83" s="214" t="s">
        <v>375</v>
      </c>
      <c r="B83" s="177">
        <v>0</v>
      </c>
      <c r="C83" s="128"/>
      <c r="D83" s="128"/>
      <c r="E83" s="128"/>
      <c r="F83" s="128"/>
      <c r="G83" s="128"/>
      <c r="H83" s="128"/>
      <c r="I83" s="128"/>
      <c r="J83" s="128"/>
      <c r="K83" s="128"/>
      <c r="L83" s="128"/>
      <c r="M83" s="128"/>
      <c r="N83" s="128"/>
      <c r="O83" s="128"/>
      <c r="P83" s="128"/>
      <c r="Q83" s="128"/>
      <c r="R83" s="128"/>
      <c r="BJ83" s="5">
        <v>1</v>
      </c>
      <c r="BK83" s="5">
        <v>0</v>
      </c>
    </row>
    <row r="84" spans="1:63">
      <c r="A84" s="3" t="str">
        <f>CONCATENATE(B65," stavkasi")</f>
        <v>mikroqarz stavkasi</v>
      </c>
      <c r="B84" s="104">
        <v>0.6</v>
      </c>
      <c r="C84" s="128"/>
      <c r="D84" s="128"/>
      <c r="E84" s="128"/>
      <c r="F84" s="128"/>
      <c r="G84" s="128"/>
      <c r="H84" s="128"/>
      <c r="I84" s="128"/>
      <c r="J84" s="128"/>
      <c r="K84" s="128"/>
      <c r="L84" s="128"/>
      <c r="M84" s="128"/>
      <c r="N84" s="128"/>
      <c r="O84" s="128"/>
      <c r="P84" s="128"/>
      <c r="Q84" s="128"/>
      <c r="R84" s="128"/>
    </row>
    <row r="85" spans="1:63">
      <c r="A85" s="3" t="str">
        <f>CONCATENATE(B65," stavkasi")</f>
        <v>mikroqarz stavkasi</v>
      </c>
      <c r="B85" s="105" t="s">
        <v>408</v>
      </c>
      <c r="C85" s="128"/>
      <c r="D85" s="128"/>
      <c r="E85" s="128"/>
      <c r="F85" s="128"/>
      <c r="G85" s="128"/>
      <c r="H85" s="128"/>
      <c r="I85" s="128"/>
      <c r="J85" s="128"/>
      <c r="K85" s="128"/>
      <c r="L85" s="128"/>
      <c r="M85" s="128"/>
      <c r="N85" s="128"/>
      <c r="O85" s="128"/>
      <c r="P85" s="128"/>
      <c r="Q85" s="128"/>
      <c r="R85" s="128"/>
    </row>
    <row r="86" spans="1:63">
      <c r="A86" s="3" t="str">
        <f>CONCATENATE(B65," stavkasi (so’z bilan)")</f>
        <v>mikroqarz stavkasi (so’z bilan)</v>
      </c>
      <c r="B86" s="103" t="s">
        <v>409</v>
      </c>
      <c r="C86" s="128" t="s">
        <v>409</v>
      </c>
      <c r="D86" s="128"/>
      <c r="E86" s="128"/>
      <c r="F86" s="128"/>
      <c r="G86" s="128"/>
      <c r="H86" s="128"/>
      <c r="I86" s="128"/>
      <c r="J86" s="128"/>
      <c r="K86" s="128"/>
      <c r="L86" s="128"/>
      <c r="M86" s="128"/>
      <c r="N86" s="128"/>
      <c r="O86" s="128"/>
      <c r="P86" s="128"/>
      <c r="Q86" s="128"/>
      <c r="R86" s="128"/>
    </row>
    <row r="87" spans="1:63">
      <c r="A87" s="3" t="str">
        <f>CONCATENATE("Muddati o'tgan ",B65," bo’yicha stavka")</f>
        <v>Muddati o'tgan mikroqarz bo’yicha stavka</v>
      </c>
      <c r="B87" s="104">
        <v>1</v>
      </c>
      <c r="C87" s="128"/>
      <c r="D87" s="128"/>
      <c r="E87" s="128"/>
      <c r="F87" s="128"/>
      <c r="G87" s="128"/>
      <c r="H87" s="128"/>
      <c r="I87" s="128"/>
      <c r="J87" s="128"/>
      <c r="K87" s="128"/>
      <c r="L87" s="128"/>
      <c r="M87" s="128"/>
      <c r="N87" s="128"/>
      <c r="O87" s="128"/>
      <c r="P87" s="128"/>
      <c r="Q87" s="128"/>
      <c r="R87" s="128"/>
    </row>
    <row r="88" spans="1:63">
      <c r="A88" s="182" t="s">
        <v>129</v>
      </c>
      <c r="B88" s="105" t="s">
        <v>411</v>
      </c>
      <c r="C88" s="128"/>
      <c r="D88" s="128"/>
      <c r="E88" s="128"/>
      <c r="F88" s="128"/>
      <c r="G88" s="128"/>
      <c r="H88" s="128"/>
      <c r="I88" s="128"/>
      <c r="J88" s="128"/>
      <c r="K88" s="128"/>
      <c r="L88" s="128"/>
      <c r="M88" s="128"/>
      <c r="N88" s="128"/>
      <c r="O88" s="128"/>
      <c r="P88" s="128"/>
      <c r="Q88" s="128"/>
      <c r="R88" s="128"/>
    </row>
    <row r="89" spans="1:63">
      <c r="A89" s="3" t="str">
        <f>CONCATENATE("Muddati o'tgan ",B65," bo’yicha stavka")</f>
        <v>Muddati o'tgan mikroqarz bo’yicha stavka</v>
      </c>
      <c r="B89" s="103" t="s">
        <v>412</v>
      </c>
      <c r="C89" s="128" t="s">
        <v>412</v>
      </c>
      <c r="D89" s="128"/>
      <c r="E89" s="128"/>
      <c r="F89" s="128"/>
      <c r="G89" s="128"/>
      <c r="H89" s="128"/>
      <c r="I89" s="128"/>
      <c r="J89" s="128"/>
      <c r="K89" s="128"/>
      <c r="L89" s="128"/>
      <c r="M89" s="128"/>
      <c r="N89" s="128"/>
      <c r="O89" s="128"/>
      <c r="P89" s="128"/>
      <c r="Q89" s="128"/>
      <c r="R89" s="128"/>
    </row>
    <row r="90" spans="1:63">
      <c r="A90" s="3" t="s">
        <v>132</v>
      </c>
      <c r="B90" s="106">
        <f>IF(B77=C77,LARGE(График!F9:F26,1),ROUND(PMT(B84/12,B81,-B75,0),-3))</f>
        <v>7386073.0899999999</v>
      </c>
      <c r="C90" s="128"/>
      <c r="D90" s="128"/>
      <c r="E90" s="128"/>
      <c r="F90" s="128"/>
      <c r="G90" s="128"/>
      <c r="H90" s="128"/>
      <c r="I90" s="128"/>
      <c r="J90" s="128"/>
      <c r="K90" s="128"/>
      <c r="L90" s="128"/>
      <c r="M90" s="128"/>
      <c r="N90" s="128"/>
      <c r="O90" s="128"/>
      <c r="P90" s="128"/>
      <c r="Q90" s="128"/>
      <c r="R90" s="128"/>
    </row>
    <row r="91" spans="1:63">
      <c r="A91" s="264" t="s">
        <v>133</v>
      </c>
      <c r="B91" s="264"/>
      <c r="C91" s="128"/>
      <c r="D91" s="128"/>
      <c r="E91" s="128"/>
      <c r="F91" s="128"/>
      <c r="G91" s="128"/>
      <c r="H91" s="128"/>
      <c r="I91" s="128"/>
      <c r="J91" s="128"/>
      <c r="K91" s="128"/>
      <c r="L91" s="128"/>
      <c r="M91" s="128"/>
      <c r="N91" s="128"/>
      <c r="O91" s="128"/>
      <c r="P91" s="128"/>
      <c r="Q91" s="128"/>
      <c r="R91" s="128"/>
    </row>
    <row r="92" spans="1:63" ht="18">
      <c r="A92" s="109"/>
      <c r="B92" s="169" t="s">
        <v>138</v>
      </c>
      <c r="C92" s="201" t="s">
        <v>138</v>
      </c>
      <c r="D92" s="128" t="s">
        <v>139</v>
      </c>
      <c r="E92" s="128"/>
      <c r="F92" s="128"/>
      <c r="G92" s="128"/>
      <c r="H92" s="128"/>
      <c r="I92" s="128"/>
      <c r="J92" s="128"/>
      <c r="K92" s="128"/>
      <c r="L92" s="128"/>
      <c r="M92" s="128"/>
      <c r="N92" s="128"/>
      <c r="O92" s="128"/>
      <c r="P92" s="128"/>
      <c r="Q92" s="128"/>
      <c r="R92" s="128"/>
    </row>
    <row r="93" spans="1:63" ht="18">
      <c r="A93" s="11" t="s">
        <v>144</v>
      </c>
      <c r="B93" s="169" t="s">
        <v>140</v>
      </c>
      <c r="C93" s="202" t="s">
        <v>140</v>
      </c>
      <c r="D93" s="203" t="s">
        <v>141</v>
      </c>
      <c r="E93" s="128"/>
      <c r="F93" s="128"/>
      <c r="G93" s="128"/>
      <c r="H93" s="128"/>
      <c r="I93" s="128"/>
      <c r="J93" s="128"/>
      <c r="K93" s="128"/>
      <c r="L93" s="128"/>
      <c r="M93" s="128"/>
      <c r="N93" s="128"/>
      <c r="O93" s="128"/>
      <c r="P93" s="128"/>
      <c r="Q93" s="128"/>
      <c r="R93" s="128"/>
    </row>
    <row r="94" spans="1:63" ht="36">
      <c r="A94" s="11" t="s">
        <v>145</v>
      </c>
      <c r="B94" s="169" t="s">
        <v>142</v>
      </c>
      <c r="C94" s="5" t="s">
        <v>142</v>
      </c>
      <c r="D94" s="5" t="s">
        <v>143</v>
      </c>
      <c r="E94" s="128"/>
      <c r="F94" s="128"/>
      <c r="G94" s="128"/>
      <c r="H94" s="128"/>
      <c r="I94" s="128"/>
    </row>
    <row r="95" spans="1:63" ht="36">
      <c r="A95" s="11" t="s">
        <v>146</v>
      </c>
      <c r="B95" s="169"/>
      <c r="C95" s="5"/>
      <c r="D95" s="5"/>
    </row>
    <row r="96" spans="1:63" ht="36">
      <c r="A96" s="11" t="s">
        <v>147</v>
      </c>
      <c r="B96" s="169"/>
      <c r="C96" s="5"/>
      <c r="D96" s="5"/>
    </row>
    <row r="97" spans="1:4">
      <c r="A97" s="264" t="s">
        <v>148</v>
      </c>
      <c r="B97" s="264"/>
      <c r="C97" s="5"/>
      <c r="D97" s="5"/>
    </row>
    <row r="98" spans="1:4" ht="36">
      <c r="A98" s="11" t="s">
        <v>149</v>
      </c>
      <c r="B98" s="169"/>
      <c r="C98" s="5"/>
      <c r="D98" s="5"/>
    </row>
    <row r="99" spans="1:4" ht="36">
      <c r="A99" s="11" t="s">
        <v>150</v>
      </c>
      <c r="B99" s="169"/>
      <c r="C99" s="5"/>
      <c r="D99" s="5"/>
    </row>
    <row r="100" spans="1:4" ht="18">
      <c r="A100" s="11" t="s">
        <v>151</v>
      </c>
      <c r="B100" s="178"/>
      <c r="C100" s="5"/>
      <c r="D100" s="5"/>
    </row>
    <row r="101" spans="1:4" ht="18">
      <c r="A101" s="11" t="s">
        <v>152</v>
      </c>
      <c r="B101" s="175"/>
      <c r="C101" s="5"/>
      <c r="D101" s="5"/>
    </row>
    <row r="102" spans="1:4" ht="18" hidden="1">
      <c r="A102" s="11"/>
      <c r="B102" s="169" t="str">
        <f>TEXT(B101,"ДД.ММ.ГГГГ")</f>
        <v>00.01.1900</v>
      </c>
      <c r="C102" s="5"/>
      <c r="D102" s="5"/>
    </row>
    <row r="103" spans="1:4" ht="18">
      <c r="A103" s="11"/>
      <c r="B103" s="12" t="s">
        <v>153</v>
      </c>
      <c r="C103" s="5" t="s">
        <v>153</v>
      </c>
      <c r="D103" s="5" t="s">
        <v>154</v>
      </c>
    </row>
    <row r="104" spans="1:4" ht="60">
      <c r="A104" s="222" t="s">
        <v>377</v>
      </c>
      <c r="B104" s="221" t="s">
        <v>376</v>
      </c>
      <c r="C104" s="12" t="s">
        <v>154</v>
      </c>
      <c r="D104" s="5"/>
    </row>
    <row r="105" spans="1:4" ht="30">
      <c r="A105" s="213" t="s">
        <v>398</v>
      </c>
      <c r="B105" s="12"/>
      <c r="C105" s="12"/>
      <c r="D105" s="5"/>
    </row>
    <row r="106" spans="1:4" ht="30">
      <c r="A106" s="213" t="s">
        <v>399</v>
      </c>
      <c r="B106" s="12"/>
      <c r="C106" s="12"/>
      <c r="D106" s="5"/>
    </row>
    <row r="107" spans="1:4" ht="60">
      <c r="A107" s="213" t="str">
        <f>A113</f>
        <v>Tug’ilgan sanasi (01.10.2011 y.)</v>
      </c>
      <c r="B107" s="225"/>
      <c r="C107" s="12"/>
      <c r="D107" s="5"/>
    </row>
    <row r="108" spans="1:4" ht="60">
      <c r="A108" s="213" t="str">
        <f>A114</f>
        <v>Pasport seriyasi (СА №1234567)</v>
      </c>
      <c r="B108" s="12"/>
      <c r="C108" s="12"/>
      <c r="D108" s="5"/>
    </row>
    <row r="109" spans="1:4" ht="150">
      <c r="A109" s="213" t="str">
        <f>A115</f>
        <v xml:space="preserve">Kim va qachon berilgan
(Toshkent shahri Chilonzor IIB tomonidan 2011 yil __.____)
</v>
      </c>
      <c r="B109" s="12"/>
      <c r="C109" s="12"/>
      <c r="D109" s="5"/>
    </row>
    <row r="110" spans="1:4" ht="150">
      <c r="A110" s="213" t="str">
        <f>A116</f>
        <v xml:space="preserve">doimiy ro’yhatdan o’tgan joyi
(Toshkent sh., Mirobod tumani, Nukus ko’chasi, 1 uy, 1 honadon)
</v>
      </c>
      <c r="B110" s="12"/>
      <c r="C110" s="12"/>
      <c r="D110" s="5"/>
    </row>
    <row r="111" spans="1:4" hidden="1">
      <c r="A111" s="166" t="s">
        <v>168</v>
      </c>
      <c r="B111" s="156" t="str">
        <f>IF(B93="HA",B5,B105)</f>
        <v>MIRZAKULOV RUSTAMJON MUXAMADJANOVICH</v>
      </c>
      <c r="C111" s="184" t="s">
        <v>46</v>
      </c>
      <c r="D111" s="5"/>
    </row>
    <row r="112" spans="1:4" hidden="1">
      <c r="A112" s="166"/>
      <c r="B112" s="156" t="str">
        <f>IF(B93="HA",B7,B106)</f>
        <v>MIRZAKULOV R.M.</v>
      </c>
      <c r="C112" s="184" t="s">
        <v>47</v>
      </c>
      <c r="D112" s="5"/>
    </row>
    <row r="113" spans="1:18" hidden="1">
      <c r="A113" s="167" t="s">
        <v>169</v>
      </c>
      <c r="B113" s="211" t="str">
        <f>IF(B93="HA",B15,B107)</f>
        <v>03.12.1988y</v>
      </c>
      <c r="C113" s="184" t="s">
        <v>157</v>
      </c>
      <c r="D113" s="5"/>
    </row>
    <row r="114" spans="1:18" hidden="1">
      <c r="A114" s="167" t="s">
        <v>72</v>
      </c>
      <c r="B114" s="211" t="str">
        <f>IF(B93="HA",B16,B108)</f>
        <v>AD9977942</v>
      </c>
      <c r="C114" s="184" t="s">
        <v>48</v>
      </c>
      <c r="D114" s="5"/>
    </row>
    <row r="115" spans="1:18" ht="30" hidden="1" customHeight="1">
      <c r="A115" s="167" t="s">
        <v>75</v>
      </c>
      <c r="B115" s="156" t="str">
        <f>IF(B93="HA",B20,B109)</f>
        <v>IIV 27404 tomonidan 26.12.2024 yilda berilgan</v>
      </c>
      <c r="C115" s="184" t="s">
        <v>158</v>
      </c>
      <c r="D115" s="78">
        <v>493193762</v>
      </c>
    </row>
    <row r="116" spans="1:18" ht="53.25" hidden="1" customHeight="1">
      <c r="A116" s="167" t="s">
        <v>77</v>
      </c>
      <c r="B116" s="156" t="str">
        <f>IF(B93="HA",B22,B110)</f>
        <v>TOSHKENT VILOYATI OLMALIQ SHAHAR O`ZBEKISTON MFY OQTOSHKO`CHASI 47-UY</v>
      </c>
      <c r="C116" s="156" t="s">
        <v>49</v>
      </c>
      <c r="D116" s="5"/>
    </row>
    <row r="117" spans="1:18">
      <c r="A117" s="167" t="s">
        <v>170</v>
      </c>
      <c r="B117" s="1" t="str">
        <f>IF(B93="ha",B5,B111)</f>
        <v>MIRZAKULOV RUSTAMJON MUXAMADJANOVICH</v>
      </c>
      <c r="C117" s="107" t="str">
        <f>IF(B93="да",B5,C111)</f>
        <v>SHOUSMANOVA DAVLATXON XXX</v>
      </c>
    </row>
    <row r="118" spans="1:18">
      <c r="A118" s="167"/>
      <c r="B118" s="1" t="str">
        <f>IF(B93="ha",B7,B112)</f>
        <v>MIRZAKULOV R.M.</v>
      </c>
      <c r="C118" s="107" t="str">
        <f>IF(B93="да",B7,C112)</f>
        <v>SHOUSMANOVA D</v>
      </c>
    </row>
    <row r="119" spans="1:18">
      <c r="A119" s="3" t="s">
        <v>169</v>
      </c>
      <c r="B119" s="234" t="str">
        <f>IF(B93="HA",B15,B107)</f>
        <v>03.12.1988y</v>
      </c>
      <c r="C119" s="107" t="str">
        <f>IF(B93="да",B15,C113)</f>
        <v>03.05.1952 y.</v>
      </c>
    </row>
    <row r="120" spans="1:18">
      <c r="A120" s="3" t="s">
        <v>72</v>
      </c>
      <c r="B120" s="1" t="str">
        <f>IF(B93="HA",B16,B108)</f>
        <v>AD9977942</v>
      </c>
      <c r="C120" s="107" t="str">
        <f>IF(B93="да",B16,C114)</f>
        <v>AC 0623976</v>
      </c>
    </row>
    <row r="121" spans="1:18" ht="45">
      <c r="A121" s="3" t="s">
        <v>75</v>
      </c>
      <c r="B121" s="1" t="str">
        <f>IF(B93="HA",B20,B109)</f>
        <v>IIV 27404 tomonidan 26.12.2024 yilda berilgan</v>
      </c>
      <c r="C121" s="107" t="str">
        <f>IF(B93="да",B20,C115)</f>
        <v>FARGONA VILOYATI QOQON SHAHAR IIB tomonidan 05.08.2018 y.</v>
      </c>
    </row>
    <row r="122" spans="1:18" ht="45">
      <c r="A122" s="3" t="s">
        <v>77</v>
      </c>
      <c r="B122" s="208" t="str">
        <f>B22</f>
        <v>TOSHKENT VILOYATI OLMALIQ SHAHAR O`ZBEKISTON MFY OQTOSHKO`CHASI 47-UY</v>
      </c>
      <c r="C122" s="108" t="str">
        <f>IF(B93="да",B28,C116)</f>
        <v>FARGONA VILOYATI QOQON SHAHAR GUZAR 266 12</v>
      </c>
    </row>
    <row r="123" spans="1:18" ht="42.75">
      <c r="A123" s="3" t="s">
        <v>171</v>
      </c>
      <c r="B123" s="52" t="s">
        <v>421</v>
      </c>
      <c r="C123" s="1" t="s">
        <v>53</v>
      </c>
      <c r="N123" s="4" t="str">
        <f>IF(B103=C103,B117,IF(B103=D103,C117,0))</f>
        <v>MIRZAKULOV RUSTAMJON MUXAMADJANOVICH</v>
      </c>
    </row>
    <row r="124" spans="1:18" ht="45">
      <c r="A124" s="3" t="s">
        <v>172</v>
      </c>
      <c r="B124" s="52" t="s">
        <v>427</v>
      </c>
      <c r="C124" s="55" t="s">
        <v>55</v>
      </c>
      <c r="D124" s="58" t="s">
        <v>161</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30">
      <c r="A125" s="3" t="s">
        <v>173</v>
      </c>
      <c r="B125" s="52" t="s">
        <v>428</v>
      </c>
      <c r="C125" s="108" t="str">
        <f>""&amp;D126&amp;" "&amp;IF(C129=D129,"- xonali yakka tartibdagi uy-joy", IF(C129=E129,"-  xonali ko'p qavatli uydagi xonadon",0))&amp;""</f>
        <v>3 - xonali yakka tartibdagi uy-joy</v>
      </c>
      <c r="D125" s="96" t="s">
        <v>159</v>
      </c>
      <c r="E125" s="97" t="str">
        <f>IF($C$129=$D$129,I125,IF($C$129=$E$129,H125,0))</f>
        <v>3 - xonali yakka tartibdagi uy-joy</v>
      </c>
      <c r="F125" s="185" t="str">
        <f>IF($C$129=$D$129,I125,IF($C$129=$E$129,H125,0))</f>
        <v>3 - xonali yakka tartibdagi uy-joy</v>
      </c>
      <c r="G125" s="97"/>
      <c r="H125" s="97" t="str">
        <f>"Ko'p qavatli uydagi "&amp;D126&amp;" - xonali xonadon"</f>
        <v>Ko'p qavatli uydagi 3 - xonali xonadon</v>
      </c>
      <c r="I125" s="97" t="str">
        <f>""&amp;D126&amp;" - xonali yakka tartibdagi uy-joy"</f>
        <v>3 - xonali yakka tartibdagi uy-joy</v>
      </c>
      <c r="J125" s="97"/>
      <c r="K125" s="97"/>
      <c r="L125" s="97"/>
      <c r="M125" s="97"/>
      <c r="N125" s="4" t="str">
        <f>IF(B93=C93,Q126,IF(B93=D93,Q125,0))</f>
        <v>Микрофинансовой организацией и Заемщиком</v>
      </c>
      <c r="Q125" s="4" t="str">
        <f>"Микрофинансовой организацией, Заемщиком и "&amp;IF(B94=D94,Q124,IF(B94=C94,B111,0))&amp;""</f>
        <v>Микрофинансовой организацией, Заемщиком и MIRZAKULOV RUSTAMJON MUXAMADJANOVICH</v>
      </c>
      <c r="R125" s="4" t="str">
        <f>"Mikromoliya tashkiloti, Qarz oluvchi va "&amp;IF(B94=D94,R124,IF(B94=C94,B111))&amp;""</f>
        <v>Mikromoliya tashkiloti, Qarz oluvchi va MIRZAKULOV RUSTAMJON MUXAMADJANOVICH</v>
      </c>
    </row>
    <row r="126" spans="1:18">
      <c r="A126" s="3" t="s">
        <v>174</v>
      </c>
      <c r="B126" s="168" t="s">
        <v>429</v>
      </c>
      <c r="C126" s="108" t="str">
        <f>C125</f>
        <v>3 - xonali yakka tartibdagi uy-joy</v>
      </c>
      <c r="D126" s="95">
        <v>3</v>
      </c>
      <c r="E126" s="97" t="str">
        <f>IF($C$129=$D$129,I126,IF($C$129=$E$129,H126,0))</f>
        <v>yer uchastkasi maydoni - , umumiy maydoni - 72.13 kv.m., yashah maydoni - 37.39 kv.m</v>
      </c>
      <c r="F126" s="185" t="str">
        <f>IF($C$129=$D$129,I126,IF($C$129=$E$129,H126,0))</f>
        <v>yer uchastkasi maydoni - , umumiy maydoni - 72.13 kv.m., yashah maydoni - 37.39 kv.m</v>
      </c>
      <c r="G126" s="97"/>
      <c r="H126" s="97" t="str">
        <f>"umumiy maydoni - "&amp;C130&amp;", yashash maydoni - "&amp;C133&amp;""</f>
        <v>umumiy maydoni - 72.13 kv.m., yashash maydoni - 37.39 kv.m</v>
      </c>
      <c r="I126" s="97" t="str">
        <f>"yer uchastkasi maydoni - "&amp;C131&amp;", umumiy maydoni - "&amp;C130&amp;", yashah maydoni - "&amp;C133&amp;""</f>
        <v>yer uchastkasi maydoni - , umumiy maydoni - 72.13 kv.m., yashah maydoni - 37.39 kv.m</v>
      </c>
      <c r="J126" s="97"/>
      <c r="K126" s="97"/>
      <c r="L126" s="97"/>
      <c r="M126" s="97"/>
      <c r="N126" s="4" t="str">
        <f>IF(B93=C93,R126,IF(B93=D93,R125,0))</f>
        <v>Mikromoliya tashkiloti va Qarz oluvchi</v>
      </c>
      <c r="Q126" s="4" t="s">
        <v>59</v>
      </c>
      <c r="R126" s="4" t="s">
        <v>160</v>
      </c>
    </row>
    <row r="127" spans="1:18" ht="27" customHeight="1">
      <c r="A127" s="3" t="s">
        <v>175</v>
      </c>
      <c r="B127" s="93" t="s">
        <v>413</v>
      </c>
      <c r="C127" s="55" t="s">
        <v>54</v>
      </c>
      <c r="D127" s="58" t="s">
        <v>22</v>
      </c>
    </row>
    <row r="128" spans="1:18">
      <c r="A128" s="85" t="s">
        <v>176</v>
      </c>
      <c r="B128" s="52" t="s">
        <v>430</v>
      </c>
      <c r="C128" s="158"/>
      <c r="D128" s="58"/>
    </row>
    <row r="129" spans="1:5">
      <c r="A129" s="85" t="s">
        <v>177</v>
      </c>
      <c r="B129" s="52" t="s">
        <v>431</v>
      </c>
      <c r="C129" s="54" t="s">
        <v>162</v>
      </c>
      <c r="D129" s="186" t="s">
        <v>162</v>
      </c>
      <c r="E129" s="5" t="s">
        <v>163</v>
      </c>
    </row>
    <row r="130" spans="1:5" ht="27" customHeight="1">
      <c r="A130" s="3" t="s">
        <v>178</v>
      </c>
      <c r="B130" s="93" t="str">
        <f>"dvigatel raqami "&amp;B131&amp;", shassi raqami - "&amp;B132&amp;""</f>
        <v xml:space="preserve">dvigatel raqami G4NHPH325362, shassi raqami -  - </v>
      </c>
      <c r="C130" s="54" t="s">
        <v>272</v>
      </c>
      <c r="D130" s="4" t="s">
        <v>164</v>
      </c>
    </row>
    <row r="131" spans="1:5">
      <c r="A131" s="85" t="s">
        <v>179</v>
      </c>
      <c r="B131" s="212" t="s">
        <v>432</v>
      </c>
      <c r="C131" s="54"/>
      <c r="D131" s="4" t="s">
        <v>165</v>
      </c>
    </row>
    <row r="132" spans="1:5">
      <c r="A132" s="85" t="s">
        <v>180</v>
      </c>
      <c r="B132" s="52" t="s">
        <v>444</v>
      </c>
      <c r="C132" s="54"/>
    </row>
    <row r="133" spans="1:5" ht="25.5" hidden="1" customHeight="1">
      <c r="A133" s="3" t="s">
        <v>181</v>
      </c>
      <c r="B133" s="93" t="str">
        <f>"rangi -  "&amp;B134&amp;", ishlab chiqarilgan yili - "&amp;B135&amp;""</f>
        <v>rangi -  OQ BELIY JEMCHUG-OK, ishlab chiqarilgan yili - 2023</v>
      </c>
      <c r="C133" s="54" t="s">
        <v>273</v>
      </c>
      <c r="D133" s="4" t="s">
        <v>271</v>
      </c>
    </row>
    <row r="134" spans="1:5">
      <c r="A134" s="85" t="s">
        <v>182</v>
      </c>
      <c r="B134" s="52" t="s">
        <v>433</v>
      </c>
      <c r="C134" s="54"/>
    </row>
    <row r="135" spans="1:5">
      <c r="A135" s="85" t="s">
        <v>183</v>
      </c>
      <c r="B135" s="69" t="s">
        <v>434</v>
      </c>
      <c r="C135" s="54"/>
    </row>
    <row r="136" spans="1:5" hidden="1">
      <c r="A136" s="3" t="s">
        <v>184</v>
      </c>
      <c r="B136" s="24">
        <f>B75*1.5</f>
        <v>82500000</v>
      </c>
      <c r="C136" s="24">
        <f>B136</f>
        <v>82500000</v>
      </c>
    </row>
    <row r="137" spans="1:5" ht="27.75" hidden="1" customHeight="1">
      <c r="A137" s="219"/>
      <c r="B137" s="64"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sakson ikki million besh yuz ming so'm</v>
      </c>
      <c r="C137" s="179" t="str">
        <f>B137</f>
        <v>sakson ikki million besh yuz ming so'm</v>
      </c>
    </row>
    <row r="138" spans="1:5" ht="27.75" hidden="1" customHeight="1">
      <c r="A138" s="3"/>
      <c r="B138" s="179" t="str">
        <f>B137</f>
        <v>sakson ikki million besh yuz ming so'm</v>
      </c>
      <c r="C138" s="86"/>
    </row>
    <row r="139" spans="1:5" ht="20.25">
      <c r="A139" s="3" t="s">
        <v>371</v>
      </c>
      <c r="B139" s="64">
        <v>41964</v>
      </c>
    </row>
    <row r="140" spans="1:5">
      <c r="A140" s="3" t="s">
        <v>400</v>
      </c>
      <c r="B140" s="52">
        <v>4</v>
      </c>
    </row>
    <row r="141" spans="1:5">
      <c r="A141" s="3" t="s">
        <v>166</v>
      </c>
      <c r="B141" s="2" t="s">
        <v>155</v>
      </c>
      <c r="C141" s="4">
        <v>1</v>
      </c>
    </row>
    <row r="142" spans="1:5" hidden="1">
      <c r="A142" s="3" t="s">
        <v>167</v>
      </c>
      <c r="B142" s="8" t="str">
        <f>B70</f>
        <v>7 mart 2025 y.</v>
      </c>
      <c r="C142" s="53" t="str">
        <f>B70</f>
        <v>7 mart 2025 y.</v>
      </c>
    </row>
    <row r="143" spans="1:5" hidden="1">
      <c r="A143" s="3"/>
      <c r="B143" s="1">
        <f>YEAR(B67)</f>
        <v>2025</v>
      </c>
      <c r="C143" s="53"/>
    </row>
    <row r="144" spans="1:5" hidden="1">
      <c r="A144" s="3"/>
      <c r="B144" s="183" t="str">
        <f>D67</f>
        <v>mart</v>
      </c>
      <c r="C144" s="53"/>
    </row>
    <row r="145" spans="1:3" hidden="1">
      <c r="A145" s="3"/>
      <c r="B145" s="1">
        <f>DAY(B67)</f>
        <v>7</v>
      </c>
      <c r="C145" s="53"/>
    </row>
    <row r="146" spans="1:3">
      <c r="A146" s="264" t="s">
        <v>381</v>
      </c>
      <c r="B146" s="264"/>
    </row>
    <row r="147" spans="1:3">
      <c r="A147" s="3" t="s">
        <v>185</v>
      </c>
      <c r="B147" s="1" t="s">
        <v>405</v>
      </c>
    </row>
    <row r="148" spans="1:3">
      <c r="A148" s="3"/>
      <c r="B148" s="1" t="s">
        <v>405</v>
      </c>
    </row>
    <row r="149" spans="1:3">
      <c r="A149" s="3"/>
      <c r="B149" s="1" t="s">
        <v>405</v>
      </c>
    </row>
    <row r="150" spans="1:3">
      <c r="A150" s="3" t="s">
        <v>418</v>
      </c>
      <c r="B150" s="1" t="s">
        <v>416</v>
      </c>
    </row>
    <row r="151" spans="1:3">
      <c r="A151" s="3"/>
      <c r="B151" s="1" t="s">
        <v>417</v>
      </c>
    </row>
    <row r="152" spans="1:3">
      <c r="A152" s="3" t="s">
        <v>189</v>
      </c>
      <c r="B152" s="1" t="s">
        <v>186</v>
      </c>
    </row>
    <row r="153" spans="1:3" ht="28.5">
      <c r="A153" s="3" t="s">
        <v>190</v>
      </c>
      <c r="B153" s="1" t="s">
        <v>187</v>
      </c>
    </row>
    <row r="154" spans="1:3">
      <c r="A154" s="3" t="s">
        <v>191</v>
      </c>
      <c r="B154" s="1" t="s">
        <v>26</v>
      </c>
    </row>
    <row r="155" spans="1:3">
      <c r="A155" s="3" t="s">
        <v>192</v>
      </c>
      <c r="B155" s="1" t="s">
        <v>24</v>
      </c>
    </row>
    <row r="156" spans="1:3">
      <c r="A156" s="3" t="s">
        <v>193</v>
      </c>
      <c r="B156" s="1" t="s">
        <v>188</v>
      </c>
    </row>
    <row r="157" spans="1:3">
      <c r="A157" s="3" t="s">
        <v>194</v>
      </c>
      <c r="B157" s="2" t="s">
        <v>27</v>
      </c>
    </row>
    <row r="158" spans="1:3">
      <c r="A158" s="3" t="s">
        <v>195</v>
      </c>
      <c r="B158" s="1" t="s">
        <v>359</v>
      </c>
    </row>
    <row r="159" spans="1:3">
      <c r="A159" s="3" t="s">
        <v>196</v>
      </c>
      <c r="B159" s="1" t="s">
        <v>414</v>
      </c>
    </row>
    <row r="160" spans="1:3">
      <c r="A160" s="3" t="s">
        <v>403</v>
      </c>
      <c r="B160" s="1" t="s">
        <v>406</v>
      </c>
    </row>
    <row r="161" spans="1:2">
      <c r="A161" s="3" t="s">
        <v>418</v>
      </c>
      <c r="B161" s="1" t="s">
        <v>416</v>
      </c>
    </row>
    <row r="162" spans="1:2">
      <c r="A162" s="3" t="s">
        <v>197</v>
      </c>
      <c r="B162" s="2" t="s">
        <v>372</v>
      </c>
    </row>
    <row r="163" spans="1:2">
      <c r="A163" s="3" t="s">
        <v>198</v>
      </c>
      <c r="B163" s="2" t="s">
        <v>373</v>
      </c>
    </row>
    <row r="164" spans="1:2">
      <c r="A164" s="3" t="s">
        <v>199</v>
      </c>
      <c r="B164" s="1" t="str">
        <f>B1</f>
        <v>№548-AL</v>
      </c>
    </row>
    <row r="165" spans="1:2">
      <c r="A165" s="3" t="s">
        <v>200</v>
      </c>
      <c r="B165" s="8" t="str">
        <f>B70</f>
        <v>7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478032C2-587B-4555-9F52-D36D42FDA044}">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24" zoomScaleSheetLayoutView="100" workbookViewId="0">
      <selection activeCell="A42" sqref="A42"/>
    </sheetView>
  </sheetViews>
  <sheetFormatPr defaultColWidth="9.140625" defaultRowHeight="15" outlineLevelCol="1"/>
  <cols>
    <col min="1" max="1" width="9.140625" style="18"/>
    <col min="2" max="2" width="10.140625" style="18" bestFit="1" customWidth="1"/>
    <col min="3" max="3" width="16.5703125" style="18" customWidth="1"/>
    <col min="4" max="5" width="15.7109375" style="18" bestFit="1" customWidth="1"/>
    <col min="6" max="6" width="20.85546875" style="18" customWidth="1"/>
    <col min="7" max="7" width="10.140625" style="18" customWidth="1" outlineLevel="1"/>
    <col min="8" max="16384" width="9.140625" style="18"/>
  </cols>
  <sheetData>
    <row r="1" spans="1:8">
      <c r="A1" s="40"/>
      <c r="B1" s="40"/>
      <c r="C1" s="40"/>
      <c r="D1" s="40"/>
      <c r="E1" s="275" t="s">
        <v>16</v>
      </c>
      <c r="F1" s="275"/>
    </row>
    <row r="2" spans="1:8">
      <c r="A2" s="40"/>
      <c r="B2" s="40"/>
      <c r="C2" s="40"/>
      <c r="D2" s="40"/>
      <c r="E2" s="40"/>
      <c r="F2" s="41" t="str">
        <f>"к договору микрозайма "&amp;'Общие данные'!B74&amp;""</f>
        <v>к договору микрозайма 7 mart 2025 y.dan №548-AL</v>
      </c>
    </row>
    <row r="3" spans="1:8" ht="6.75" customHeight="1">
      <c r="A3" s="40"/>
      <c r="B3" s="40"/>
      <c r="C3" s="40"/>
      <c r="D3" s="40"/>
      <c r="E3" s="40"/>
      <c r="F3" s="40"/>
    </row>
    <row r="4" spans="1:8">
      <c r="A4" s="276" t="s">
        <v>17</v>
      </c>
      <c r="B4" s="276"/>
      <c r="C4" s="276"/>
      <c r="D4" s="276"/>
      <c r="E4" s="276"/>
      <c r="F4" s="276"/>
    </row>
    <row r="5" spans="1:8" ht="7.5" customHeight="1"/>
    <row r="6" spans="1:8">
      <c r="A6" s="277" t="s">
        <v>15</v>
      </c>
      <c r="B6" s="278" t="s">
        <v>9</v>
      </c>
      <c r="C6" s="278" t="s">
        <v>10</v>
      </c>
      <c r="D6" s="279" t="s">
        <v>11</v>
      </c>
      <c r="E6" s="279"/>
      <c r="F6" s="279"/>
    </row>
    <row r="7" spans="1:8" s="19" customFormat="1" ht="30">
      <c r="A7" s="277"/>
      <c r="B7" s="278"/>
      <c r="C7" s="278"/>
      <c r="D7" s="20" t="s">
        <v>12</v>
      </c>
      <c r="E7" s="20" t="s">
        <v>13</v>
      </c>
      <c r="F7" s="20" t="s">
        <v>14</v>
      </c>
    </row>
    <row r="8" spans="1:8">
      <c r="A8" s="21">
        <v>1</v>
      </c>
      <c r="B8" s="36">
        <f>'График дифференц'!B8</f>
        <v>45754</v>
      </c>
      <c r="C8" s="37">
        <f>'Общие данные'!B75</f>
        <v>55000000</v>
      </c>
      <c r="D8" s="37">
        <f>IF(A8&lt;'Общие данные'!$B$81,'График аннуитет.'!F8-'График аннуитет.'!E8,'График аннуитет.'!C8)</f>
        <v>4583333.33</v>
      </c>
      <c r="E8" s="37">
        <f>ROUND(C8*'Общие данные'!$B$84/H8,2)*'График аннуитет.'!G8</f>
        <v>2802739.7600000002</v>
      </c>
      <c r="F8" s="37">
        <f>'Общие данные'!B90</f>
        <v>7386073.0899999999</v>
      </c>
      <c r="G8" s="18">
        <f>B8-'Общие данные'!B67</f>
        <v>31</v>
      </c>
      <c r="H8" s="18">
        <f>DATE(YEAR(B8),12,31)-DATE(YEAR(B8),1,1)+1</f>
        <v>365</v>
      </c>
    </row>
    <row r="9" spans="1:8">
      <c r="A9" s="21">
        <v>2</v>
      </c>
      <c r="B9" s="36">
        <f>'График дифференц'!B9</f>
        <v>45784</v>
      </c>
      <c r="C9" s="37">
        <f>C8-D8</f>
        <v>50416666.670000002</v>
      </c>
      <c r="D9" s="37">
        <f>IF(A9&lt;'Общие данные'!$B$81,'График аннуитет.'!F9-'График аннуитет.'!E9,'График аннуитет.'!C9)</f>
        <v>4899771.7899999991</v>
      </c>
      <c r="E9" s="37">
        <f>ROUND(C9*'Общие данные'!$B$84/H9,2)*'График аннуитет.'!G9</f>
        <v>2486301.3000000003</v>
      </c>
      <c r="F9" s="37">
        <f>IF(A9&lt;'Общие данные'!$B$81,'График аннуитет.'!F8,'График аннуитет.'!D9+'График аннуитет.'!E9)</f>
        <v>7386073.0899999999</v>
      </c>
      <c r="G9" s="18">
        <f>B9-B8</f>
        <v>30</v>
      </c>
      <c r="H9" s="18">
        <f t="shared" ref="H9:H31" si="0">DATE(YEAR(B9),12,31)-DATE(YEAR(B9),1,1)+1</f>
        <v>365</v>
      </c>
    </row>
    <row r="10" spans="1:8">
      <c r="A10" s="21">
        <v>3</v>
      </c>
      <c r="B10" s="36">
        <f>'График дифференц'!B10</f>
        <v>45817</v>
      </c>
      <c r="C10" s="37">
        <f t="shared" ref="C10:C31" si="1">C9-D9</f>
        <v>45516894.880000003</v>
      </c>
      <c r="D10" s="37">
        <f>IF(A10&lt;'Общие данные'!$B$81,'График аннуитет.'!F10-'График аннуитет.'!E10,'График аннуитет.'!C10)</f>
        <v>4916937.5199999996</v>
      </c>
      <c r="E10" s="37">
        <f>ROUND(C10*'Общие данные'!$B$84/H10,2)*'График аннуитет.'!G10</f>
        <v>2469135.5699999998</v>
      </c>
      <c r="F10" s="37">
        <f>IF(A10&lt;'Общие данные'!$B$81,'График аннуитет.'!F9,'График аннуитет.'!D10+'График аннуитет.'!E10)</f>
        <v>7386073.0899999999</v>
      </c>
      <c r="G10" s="18">
        <f t="shared" ref="G10:G24" si="2">B10-B9</f>
        <v>33</v>
      </c>
      <c r="H10" s="18">
        <f t="shared" si="0"/>
        <v>365</v>
      </c>
    </row>
    <row r="11" spans="1:8">
      <c r="A11" s="21">
        <v>4</v>
      </c>
      <c r="B11" s="36">
        <f>'График дифференц'!B11</f>
        <v>45845</v>
      </c>
      <c r="C11" s="37">
        <f t="shared" si="1"/>
        <v>40599957.359999999</v>
      </c>
      <c r="D11" s="37">
        <f>IF(A11&lt;'Общие данные'!$B$81,'График аннуитет.'!F11-'График аннуитет.'!E11,'График аннуитет.'!C11)</f>
        <v>5517362.6099999994</v>
      </c>
      <c r="E11" s="37">
        <f>ROUND(C11*'Общие данные'!$B$84/H11,2)*'График аннуитет.'!G11</f>
        <v>1868710.48</v>
      </c>
      <c r="F11" s="37">
        <f>IF(A11&lt;'Общие данные'!$B$81,'График аннуитет.'!F10,'График аннуитет.'!D11+'График аннуитет.'!E11)</f>
        <v>7386073.0899999999</v>
      </c>
      <c r="G11" s="18">
        <f t="shared" si="2"/>
        <v>28</v>
      </c>
      <c r="H11" s="18">
        <f t="shared" si="0"/>
        <v>365</v>
      </c>
    </row>
    <row r="12" spans="1:8">
      <c r="A12" s="21">
        <v>5</v>
      </c>
      <c r="B12" s="36">
        <f>'График дифференц'!B12</f>
        <v>45876</v>
      </c>
      <c r="C12" s="37">
        <f t="shared" si="1"/>
        <v>35082594.75</v>
      </c>
      <c r="D12" s="37">
        <f>IF(A12&lt;'Общие данные'!$B$81,'График аннуитет.'!F12-'График аннуитет.'!E12,'График аннуитет.'!C12)</f>
        <v>5598302.4699999997</v>
      </c>
      <c r="E12" s="37">
        <f>ROUND(C12*'Общие данные'!$B$84/H12,2)*'График аннуитет.'!G12</f>
        <v>1787770.6199999999</v>
      </c>
      <c r="F12" s="37">
        <f>IF(A12&lt;'Общие данные'!$B$81,'График аннуитет.'!F11,'График аннуитет.'!D12+'График аннуитет.'!E12)</f>
        <v>7386073.0899999999</v>
      </c>
      <c r="G12" s="18">
        <f t="shared" si="2"/>
        <v>31</v>
      </c>
      <c r="H12" s="18">
        <f t="shared" si="0"/>
        <v>365</v>
      </c>
    </row>
    <row r="13" spans="1:8">
      <c r="A13" s="21">
        <v>6</v>
      </c>
      <c r="B13" s="36">
        <f>'График дифференц'!B13</f>
        <v>45908</v>
      </c>
      <c r="C13" s="37">
        <f t="shared" si="1"/>
        <v>29484292.280000001</v>
      </c>
      <c r="D13" s="37">
        <f>IF(A13&lt;'Общие данные'!$B$81,'График аннуитет.'!F13-'График аннуитет.'!E13,'График аннуитет.'!C13)</f>
        <v>5835118.5299999993</v>
      </c>
      <c r="E13" s="37">
        <f>ROUND(C13*'Общие данные'!$B$84/H13,2)*'График аннуитет.'!G13</f>
        <v>1550954.56</v>
      </c>
      <c r="F13" s="37">
        <f>IF(A13&lt;'Общие данные'!$B$81,'График аннуитет.'!F12,'График аннуитет.'!D13+'График аннуитет.'!E13)</f>
        <v>7386073.0899999999</v>
      </c>
      <c r="G13" s="18">
        <f t="shared" si="2"/>
        <v>32</v>
      </c>
      <c r="H13" s="18">
        <f t="shared" si="0"/>
        <v>365</v>
      </c>
    </row>
    <row r="14" spans="1:8">
      <c r="A14" s="21">
        <v>7</v>
      </c>
      <c r="B14" s="36">
        <f>'График дифференц'!B14</f>
        <v>45937</v>
      </c>
      <c r="C14" s="37">
        <f t="shared" si="1"/>
        <v>23649173.75</v>
      </c>
      <c r="D14" s="37">
        <f>IF(A14&lt;'Общие данные'!$B$81,'График аннуитет.'!F14-'График аннуитет.'!E14,'График аннуитет.'!C14)</f>
        <v>6258687.9399999995</v>
      </c>
      <c r="E14" s="37">
        <f>ROUND(C14*'Общие данные'!$B$84/H14,2)*'График аннуитет.'!G14</f>
        <v>1127385.1499999999</v>
      </c>
      <c r="F14" s="37">
        <f>IF(A14&lt;'Общие данные'!$B$81,'График аннуитет.'!F13,'График аннуитет.'!D14+'График аннуитет.'!E14)</f>
        <v>7386073.0899999999</v>
      </c>
      <c r="G14" s="18">
        <f t="shared" si="2"/>
        <v>29</v>
      </c>
      <c r="H14" s="18">
        <f t="shared" si="0"/>
        <v>365</v>
      </c>
    </row>
    <row r="15" spans="1:8">
      <c r="A15" s="21">
        <v>8</v>
      </c>
      <c r="B15" s="36">
        <f>'График дифференц'!B15</f>
        <v>45968</v>
      </c>
      <c r="C15" s="37">
        <f t="shared" si="1"/>
        <v>17390485.810000002</v>
      </c>
      <c r="D15" s="37">
        <f>IF(A15&lt;'Общие данные'!$B$81,'График аннуитет.'!F15-'График аннуитет.'!E15,'График аннуитет.'!C15)</f>
        <v>6499872.9900000002</v>
      </c>
      <c r="E15" s="37">
        <f>ROUND(C15*'Общие данные'!$B$84/H15,2)*'График аннуитет.'!G15</f>
        <v>886200.1</v>
      </c>
      <c r="F15" s="37">
        <f>IF(A15&lt;'Общие данные'!$B$81,'График аннуитет.'!F14,'График аннуитет.'!D15+'График аннуитет.'!E15)</f>
        <v>7386073.0899999999</v>
      </c>
      <c r="G15" s="18">
        <f t="shared" si="2"/>
        <v>31</v>
      </c>
      <c r="H15" s="18">
        <f t="shared" si="0"/>
        <v>365</v>
      </c>
    </row>
    <row r="16" spans="1:8">
      <c r="A16" s="21">
        <v>9</v>
      </c>
      <c r="B16" s="36">
        <f>'График дифференц'!B16</f>
        <v>45999</v>
      </c>
      <c r="C16" s="37">
        <f t="shared" si="1"/>
        <v>10890612.820000002</v>
      </c>
      <c r="D16" s="37">
        <f>IF(A16&lt;'Общие данные'!$B$81,'График аннуитет.'!F16-'График аннуитет.'!E16,'График аннуитет.'!C16)</f>
        <v>6831099.3099999996</v>
      </c>
      <c r="E16" s="37">
        <f>ROUND(C16*'Общие данные'!$B$84/H16,2)*'График аннуитет.'!G16</f>
        <v>554973.78</v>
      </c>
      <c r="F16" s="37">
        <f>IF(A16&lt;'Общие данные'!$B$81,'График аннуитет.'!F15,'График аннуитет.'!D16+'График аннуитет.'!E16)</f>
        <v>7386073.0899999999</v>
      </c>
      <c r="G16" s="18">
        <f t="shared" si="2"/>
        <v>31</v>
      </c>
      <c r="H16" s="18">
        <f t="shared" si="0"/>
        <v>365</v>
      </c>
    </row>
    <row r="17" spans="1:8">
      <c r="A17" s="21">
        <v>10</v>
      </c>
      <c r="B17" s="36">
        <f>'График дифференц'!B17</f>
        <v>46029</v>
      </c>
      <c r="C17" s="37">
        <f t="shared" si="1"/>
        <v>4059513.5100000026</v>
      </c>
      <c r="D17" s="37">
        <f>IF(A17&lt;'Общие данные'!$B$81,'График аннуитет.'!F17-'График аннуитет.'!E17,'График аннуитет.'!C17)</f>
        <v>7185877.9900000002</v>
      </c>
      <c r="E17" s="37">
        <f>ROUND(C17*'Общие данные'!$B$84/H17,2)*'График аннуитет.'!G17</f>
        <v>200195.1</v>
      </c>
      <c r="F17" s="37">
        <f>IF(A17&lt;'Общие данные'!$B$81,'График аннуитет.'!F16,'График аннуитет.'!D17+'График аннуитет.'!E17)</f>
        <v>7386073.0899999999</v>
      </c>
      <c r="G17" s="18">
        <f t="shared" si="2"/>
        <v>30</v>
      </c>
      <c r="H17" s="18">
        <f t="shared" si="0"/>
        <v>365</v>
      </c>
    </row>
    <row r="18" spans="1:8">
      <c r="A18" s="21">
        <v>11</v>
      </c>
      <c r="B18" s="36">
        <f>'График дифференц'!B18</f>
        <v>46062</v>
      </c>
      <c r="C18" s="37">
        <f t="shared" si="1"/>
        <v>-3126364.4799999977</v>
      </c>
      <c r="D18" s="37">
        <f>IF(A18&lt;'Общие данные'!$B$81,'График аннуитет.'!F18-'График аннуитет.'!E18,'График аннуитет.'!C18)</f>
        <v>7555667.6799999997</v>
      </c>
      <c r="E18" s="37">
        <f>ROUND(C18*'Общие данные'!$B$84/H18,2)*'График аннуитет.'!G18</f>
        <v>-169594.59</v>
      </c>
      <c r="F18" s="37">
        <f>IF(A18&lt;'Общие данные'!$B$81,'График аннуитет.'!F17,'График аннуитет.'!D18+'График аннуитет.'!E18)</f>
        <v>7386073.0899999999</v>
      </c>
      <c r="G18" s="18">
        <f t="shared" si="2"/>
        <v>33</v>
      </c>
      <c r="H18" s="18">
        <f t="shared" si="0"/>
        <v>365</v>
      </c>
    </row>
    <row r="19" spans="1:8">
      <c r="A19" s="21">
        <v>12</v>
      </c>
      <c r="B19" s="36">
        <f>'График дифференц'!B19</f>
        <v>46088</v>
      </c>
      <c r="C19" s="37">
        <f t="shared" si="1"/>
        <v>-10682032.159999996</v>
      </c>
      <c r="D19" s="37">
        <f>IF(A19&lt;'Общие данные'!$B$81,'График аннуитет.'!F19-'График аннуитет.'!E19,'График аннуитет.'!C19)</f>
        <v>-10682032.159999996</v>
      </c>
      <c r="E19" s="37">
        <f>ROUND(C19*'Общие данные'!$B$84/H19,2)*'График аннуитет.'!G19</f>
        <v>-456547</v>
      </c>
      <c r="F19" s="37">
        <f>IF(A19&lt;'Общие данные'!$B$81,'График аннуитет.'!F18,'График аннуитет.'!D19+'График аннуитет.'!E19)</f>
        <v>-11138579.159999996</v>
      </c>
      <c r="G19" s="18">
        <f>B19-B18</f>
        <v>26</v>
      </c>
      <c r="H19" s="18">
        <f t="shared" si="0"/>
        <v>365</v>
      </c>
    </row>
    <row r="20" spans="1:8">
      <c r="A20" s="21">
        <v>13</v>
      </c>
      <c r="B20" s="36" t="b">
        <f>'График дифференц'!B20</f>
        <v>0</v>
      </c>
      <c r="C20" s="37">
        <f t="shared" si="1"/>
        <v>0</v>
      </c>
      <c r="D20" s="37">
        <f>IF(A20&lt;'Общие данные'!$B$81,'График аннуитет.'!F20-'График аннуитет.'!E20,'График аннуитет.'!C20)</f>
        <v>0</v>
      </c>
      <c r="E20" s="37">
        <f>ROUND(C20*'Общие данные'!$B$84/H20,2)*'График аннуитет.'!G20</f>
        <v>0</v>
      </c>
      <c r="F20" s="37">
        <f>IF(A20&lt;'Общие данные'!$B$81,'График аннуитет.'!F19,'График аннуитет.'!D20+'График аннуитет.'!E20)</f>
        <v>0</v>
      </c>
      <c r="G20" s="18">
        <f t="shared" si="2"/>
        <v>-46088</v>
      </c>
      <c r="H20" s="18">
        <f t="shared" si="0"/>
        <v>366</v>
      </c>
    </row>
    <row r="21" spans="1:8">
      <c r="A21" s="21">
        <v>14</v>
      </c>
      <c r="B21" s="36" t="b">
        <f>'График дифференц'!B21</f>
        <v>0</v>
      </c>
      <c r="C21" s="37">
        <f t="shared" si="1"/>
        <v>0</v>
      </c>
      <c r="D21" s="37">
        <f>IF(A21&lt;'Общие данные'!$B$81,'График аннуитет.'!F21-'График аннуитет.'!E21,'График аннуитет.'!C21)</f>
        <v>0</v>
      </c>
      <c r="E21" s="37">
        <f>ROUND(C21*'Общие данные'!$B$84/H21,2)*'График аннуитет.'!G21</f>
        <v>0</v>
      </c>
      <c r="F21" s="37">
        <f>IF(A21&lt;'Общие данные'!$B$81,'График аннуитет.'!F20,'График аннуитет.'!D21+'График аннуитет.'!E21)</f>
        <v>0</v>
      </c>
      <c r="G21" s="18">
        <f t="shared" si="2"/>
        <v>0</v>
      </c>
      <c r="H21" s="18">
        <f t="shared" si="0"/>
        <v>366</v>
      </c>
    </row>
    <row r="22" spans="1:8">
      <c r="A22" s="21">
        <v>15</v>
      </c>
      <c r="B22" s="36" t="b">
        <f>'График дифференц'!B22</f>
        <v>0</v>
      </c>
      <c r="C22" s="37">
        <f t="shared" si="1"/>
        <v>0</v>
      </c>
      <c r="D22" s="37">
        <f>IF(A22&lt;'Общие данные'!$B$81,'График аннуитет.'!F22-'График аннуитет.'!E22,'График аннуитет.'!C22)</f>
        <v>0</v>
      </c>
      <c r="E22" s="37">
        <f>ROUND(C22*'Общие данные'!$B$84/H22,2)*'График аннуитет.'!G22</f>
        <v>0</v>
      </c>
      <c r="F22" s="37">
        <f>IF(A22&lt;'Общие данные'!$B$81,'График аннуитет.'!F21,'График аннуитет.'!D22+'График аннуитет.'!E22)</f>
        <v>0</v>
      </c>
      <c r="G22" s="18">
        <f t="shared" si="2"/>
        <v>0</v>
      </c>
      <c r="H22" s="18">
        <f t="shared" si="0"/>
        <v>366</v>
      </c>
    </row>
    <row r="23" spans="1:8">
      <c r="A23" s="21">
        <v>16</v>
      </c>
      <c r="B23" s="36" t="b">
        <f>'График дифференц'!B23</f>
        <v>0</v>
      </c>
      <c r="C23" s="37">
        <f t="shared" si="1"/>
        <v>0</v>
      </c>
      <c r="D23" s="37">
        <f>IF(A23&lt;'Общие данные'!$B$81,'График аннуитет.'!F23-'График аннуитет.'!E23,'График аннуитет.'!C23)</f>
        <v>0</v>
      </c>
      <c r="E23" s="37">
        <f>ROUND(C23*'Общие данные'!$B$84/H23,2)*'График аннуитет.'!G23</f>
        <v>0</v>
      </c>
      <c r="F23" s="37">
        <f>IF(A23&lt;'Общие данные'!$B$81,'График аннуитет.'!F22,'График аннуитет.'!D23+'График аннуитет.'!E23)</f>
        <v>0</v>
      </c>
      <c r="G23" s="18">
        <f t="shared" si="2"/>
        <v>0</v>
      </c>
      <c r="H23" s="18">
        <f t="shared" si="0"/>
        <v>366</v>
      </c>
    </row>
    <row r="24" spans="1:8">
      <c r="A24" s="21">
        <v>17</v>
      </c>
      <c r="B24" s="36" t="b">
        <f>'График дифференц'!B24</f>
        <v>0</v>
      </c>
      <c r="C24" s="37">
        <f t="shared" si="1"/>
        <v>0</v>
      </c>
      <c r="D24" s="37">
        <f>IF(A24&lt;'Общие данные'!$B$81,'График аннуитет.'!F24-'График аннуитет.'!E24,'График аннуитет.'!C24)</f>
        <v>0</v>
      </c>
      <c r="E24" s="37">
        <f>ROUND(C24*'Общие данные'!$B$84/H24,2)*'График аннуитет.'!G24</f>
        <v>0</v>
      </c>
      <c r="F24" s="37">
        <f>IF(A24&lt;'Общие данные'!$B$81,'График аннуитет.'!F23,'График аннуитет.'!D24+'График аннуитет.'!E24)</f>
        <v>0</v>
      </c>
      <c r="G24" s="18">
        <f t="shared" si="2"/>
        <v>0</v>
      </c>
      <c r="H24" s="18">
        <f t="shared" si="0"/>
        <v>366</v>
      </c>
    </row>
    <row r="25" spans="1:8">
      <c r="A25" s="21">
        <v>18</v>
      </c>
      <c r="B25" s="36" t="b">
        <f>'График дифференц'!B25</f>
        <v>0</v>
      </c>
      <c r="C25" s="37">
        <f t="shared" si="1"/>
        <v>0</v>
      </c>
      <c r="D25" s="37">
        <f>IF(A25&lt;'Общие данные'!$B$81,'График аннуитет.'!F25-'График аннуитет.'!E25,'График аннуитет.'!C25)</f>
        <v>0</v>
      </c>
      <c r="E25" s="37">
        <f>ROUND(C25*'Общие данные'!$B$84/H25,2)*'График аннуитет.'!G25</f>
        <v>0</v>
      </c>
      <c r="F25" s="37">
        <f>IF(A25&lt;'Общие данные'!$B$81,'График аннуитет.'!F24,'График аннуитет.'!D25+'График аннуитет.'!E25)</f>
        <v>0</v>
      </c>
      <c r="G25" s="18">
        <f>B25-B24</f>
        <v>0</v>
      </c>
      <c r="H25" s="18">
        <f t="shared" si="0"/>
        <v>366</v>
      </c>
    </row>
    <row r="26" spans="1:8">
      <c r="A26" s="21">
        <v>19</v>
      </c>
      <c r="B26" s="36" t="b">
        <f>'График дифференц'!B26</f>
        <v>0</v>
      </c>
      <c r="C26" s="37">
        <f t="shared" si="1"/>
        <v>0</v>
      </c>
      <c r="D26" s="37">
        <f>IF(A26&lt;'Общие данные'!$B$81,'График аннуитет.'!F26-'График аннуитет.'!E26,'График аннуитет.'!C26)</f>
        <v>0</v>
      </c>
      <c r="E26" s="37">
        <f>ROUND(C26*'Общие данные'!$B$84/H26,2)*'График аннуитет.'!G26</f>
        <v>0</v>
      </c>
      <c r="F26" s="37">
        <f>IF(A26&lt;'Общие данные'!$B$81,'График аннуитет.'!F25,'График аннуитет.'!D26+'График аннуитет.'!E26)</f>
        <v>0</v>
      </c>
      <c r="G26" s="18">
        <f t="shared" ref="G26:G31" si="3">B26-B25</f>
        <v>0</v>
      </c>
      <c r="H26" s="18">
        <f t="shared" si="0"/>
        <v>366</v>
      </c>
    </row>
    <row r="27" spans="1:8">
      <c r="A27" s="21">
        <v>20</v>
      </c>
      <c r="B27" s="36" t="b">
        <f>'График дифференц'!B27</f>
        <v>0</v>
      </c>
      <c r="C27" s="37">
        <f t="shared" si="1"/>
        <v>0</v>
      </c>
      <c r="D27" s="37">
        <f>IF(A27&lt;'Общие данные'!$B$81,'График аннуитет.'!F27-'График аннуитет.'!E27,'График аннуитет.'!C27)</f>
        <v>0</v>
      </c>
      <c r="E27" s="37">
        <f>ROUND(C27*'Общие данные'!$B$84/H27,2)*'График аннуитет.'!G27</f>
        <v>0</v>
      </c>
      <c r="F27" s="37">
        <f>IF(A27&lt;'Общие данные'!$B$81,'График аннуитет.'!F26,'График аннуитет.'!D27+'График аннуитет.'!E27)</f>
        <v>0</v>
      </c>
      <c r="G27" s="18">
        <f t="shared" si="3"/>
        <v>0</v>
      </c>
      <c r="H27" s="18">
        <f t="shared" si="0"/>
        <v>366</v>
      </c>
    </row>
    <row r="28" spans="1:8">
      <c r="A28" s="21">
        <v>21</v>
      </c>
      <c r="B28" s="36" t="b">
        <f>'График дифференц'!B28</f>
        <v>0</v>
      </c>
      <c r="C28" s="37">
        <f t="shared" si="1"/>
        <v>0</v>
      </c>
      <c r="D28" s="37">
        <f>IF(A28&lt;'Общие данные'!$B$81,'График аннуитет.'!F28-'График аннуитет.'!E28,'График аннуитет.'!C28)</f>
        <v>0</v>
      </c>
      <c r="E28" s="37">
        <f>ROUND(C28*'Общие данные'!$B$84/H28,2)*'График аннуитет.'!G28</f>
        <v>0</v>
      </c>
      <c r="F28" s="37">
        <f>IF(A28&lt;'Общие данные'!$B$81,'График аннуитет.'!F27,'График аннуитет.'!D28+'График аннуитет.'!E28)</f>
        <v>0</v>
      </c>
      <c r="G28" s="18">
        <f t="shared" si="3"/>
        <v>0</v>
      </c>
      <c r="H28" s="18">
        <f t="shared" si="0"/>
        <v>366</v>
      </c>
    </row>
    <row r="29" spans="1:8">
      <c r="A29" s="21">
        <v>22</v>
      </c>
      <c r="B29" s="36" t="b">
        <f>'График дифференц'!B29</f>
        <v>0</v>
      </c>
      <c r="C29" s="37">
        <f t="shared" si="1"/>
        <v>0</v>
      </c>
      <c r="D29" s="37">
        <f>IF(A29&lt;'Общие данные'!$B$81,'График аннуитет.'!F29-'График аннуитет.'!E29,'График аннуитет.'!C29)</f>
        <v>0</v>
      </c>
      <c r="E29" s="37">
        <f>ROUND(C29*'Общие данные'!$B$84/H29,2)*'График аннуитет.'!G29</f>
        <v>0</v>
      </c>
      <c r="F29" s="37">
        <f>IF(A29&lt;'Общие данные'!$B$81,'График аннуитет.'!F28,'График аннуитет.'!D29+'График аннуитет.'!E29)</f>
        <v>0</v>
      </c>
      <c r="G29" s="18">
        <f t="shared" si="3"/>
        <v>0</v>
      </c>
      <c r="H29" s="18">
        <f t="shared" si="0"/>
        <v>366</v>
      </c>
    </row>
    <row r="30" spans="1:8">
      <c r="A30" s="21">
        <v>23</v>
      </c>
      <c r="B30" s="36" t="b">
        <f>'График дифференц'!B30</f>
        <v>0</v>
      </c>
      <c r="C30" s="37">
        <f t="shared" si="1"/>
        <v>0</v>
      </c>
      <c r="D30" s="37">
        <f>IF(A30&lt;'Общие данные'!$B$81,'График аннуитет.'!F30-'График аннуитет.'!E30,'График аннуитет.'!C30)</f>
        <v>0</v>
      </c>
      <c r="E30" s="37">
        <f>ROUND(C30*'Общие данные'!$B$84/H30,2)*'График аннуитет.'!G30</f>
        <v>0</v>
      </c>
      <c r="F30" s="37">
        <f>IF(A30&lt;'Общие данные'!$B$81,'График аннуитет.'!F29,'График аннуитет.'!D30+'График аннуитет.'!E30)</f>
        <v>0</v>
      </c>
      <c r="G30" s="18">
        <f t="shared" si="3"/>
        <v>0</v>
      </c>
      <c r="H30" s="18">
        <f t="shared" si="0"/>
        <v>366</v>
      </c>
    </row>
    <row r="31" spans="1:8">
      <c r="A31" s="21">
        <f>1+A30</f>
        <v>24</v>
      </c>
      <c r="B31" s="36" t="b">
        <f>'График дифференц'!B31</f>
        <v>0</v>
      </c>
      <c r="C31" s="37">
        <f t="shared" si="1"/>
        <v>0</v>
      </c>
      <c r="D31" s="37">
        <f>IF(A31&lt;'Общие данные'!$B$81,'График аннуитет.'!F31-'График аннуитет.'!E31,'График аннуитет.'!C31)</f>
        <v>0</v>
      </c>
      <c r="E31" s="37">
        <f>ROUND(C31*'Общие данные'!$B$84/H31,2)*'График аннуитет.'!G31</f>
        <v>0</v>
      </c>
      <c r="F31" s="37">
        <f>IF(A31&lt;'Общие данные'!$B$81,'График аннуитет.'!F30,'График аннуитет.'!D31+'График аннуитет.'!E31)</f>
        <v>0</v>
      </c>
      <c r="G31" s="18">
        <f t="shared" si="3"/>
        <v>0</v>
      </c>
      <c r="H31" s="18">
        <f t="shared" si="0"/>
        <v>366</v>
      </c>
    </row>
    <row r="32" spans="1:8">
      <c r="A32" s="21">
        <f t="shared" ref="A32:A43" si="4">1+A31</f>
        <v>25</v>
      </c>
      <c r="B32" s="36" t="b">
        <f>'График дифференц'!B32</f>
        <v>0</v>
      </c>
      <c r="C32" s="37">
        <f t="shared" ref="C32:C43" si="5">C31-D31</f>
        <v>0</v>
      </c>
      <c r="D32" s="37">
        <f>IF(A32&lt;'Общие данные'!$B$81,'График аннуитет.'!F32-'График аннуитет.'!E32,'График аннуитет.'!C32)</f>
        <v>0</v>
      </c>
      <c r="E32" s="37">
        <f>ROUND(C32*'Общие данные'!$B$84/H32,2)*'График аннуитет.'!G32</f>
        <v>0</v>
      </c>
      <c r="F32" s="37">
        <f>IF(A32&lt;'Общие данные'!$B$81,'График аннуитет.'!F31,'График аннуитет.'!D32+'График аннуитет.'!E32)</f>
        <v>0</v>
      </c>
      <c r="G32" s="18">
        <f t="shared" ref="G32:G43" si="6">B32-B31</f>
        <v>0</v>
      </c>
      <c r="H32" s="18">
        <f t="shared" ref="H32:H43" si="7">DATE(YEAR(B32),12,31)-DATE(YEAR(B32),1,1)+1</f>
        <v>366</v>
      </c>
    </row>
    <row r="33" spans="1:8">
      <c r="A33" s="21">
        <f t="shared" si="4"/>
        <v>26</v>
      </c>
      <c r="B33" s="36" t="b">
        <f>'График дифференц'!B33</f>
        <v>0</v>
      </c>
      <c r="C33" s="37">
        <f t="shared" si="5"/>
        <v>0</v>
      </c>
      <c r="D33" s="37">
        <f>IF(A33&lt;'Общие данные'!$B$81,'График аннуитет.'!F33-'График аннуитет.'!E33,'График аннуитет.'!C33)</f>
        <v>0</v>
      </c>
      <c r="E33" s="37">
        <f>ROUND(C33*'Общие данные'!$B$84/H33,2)*'График аннуитет.'!G33</f>
        <v>0</v>
      </c>
      <c r="F33" s="37">
        <f>IF(A33&lt;'Общие данные'!$B$81,'График аннуитет.'!F32,'График аннуитет.'!D33+'График аннуитет.'!E33)</f>
        <v>0</v>
      </c>
      <c r="G33" s="18">
        <f t="shared" si="6"/>
        <v>0</v>
      </c>
      <c r="H33" s="18">
        <f t="shared" si="7"/>
        <v>366</v>
      </c>
    </row>
    <row r="34" spans="1:8">
      <c r="A34" s="21">
        <f t="shared" si="4"/>
        <v>27</v>
      </c>
      <c r="B34" s="36" t="b">
        <f>'График дифференц'!B34</f>
        <v>0</v>
      </c>
      <c r="C34" s="37">
        <f t="shared" si="5"/>
        <v>0</v>
      </c>
      <c r="D34" s="37">
        <f>IF(A34&lt;'Общие данные'!$B$81,'График аннуитет.'!F34-'График аннуитет.'!E34,'График аннуитет.'!C34)</f>
        <v>0</v>
      </c>
      <c r="E34" s="37">
        <f>ROUND(C34*'Общие данные'!$B$84/H34,2)*'График аннуитет.'!G34</f>
        <v>0</v>
      </c>
      <c r="F34" s="37">
        <f>IF(A34&lt;'Общие данные'!$B$81,'График аннуитет.'!F33,'График аннуитет.'!D34+'График аннуитет.'!E34)</f>
        <v>0</v>
      </c>
      <c r="G34" s="18">
        <f t="shared" si="6"/>
        <v>0</v>
      </c>
      <c r="H34" s="18">
        <f t="shared" si="7"/>
        <v>366</v>
      </c>
    </row>
    <row r="35" spans="1:8">
      <c r="A35" s="21">
        <f t="shared" si="4"/>
        <v>28</v>
      </c>
      <c r="B35" s="36" t="b">
        <f>'График дифференц'!B35</f>
        <v>0</v>
      </c>
      <c r="C35" s="37">
        <f t="shared" si="5"/>
        <v>0</v>
      </c>
      <c r="D35" s="37">
        <f>IF(A35&lt;'Общие данные'!$B$81,'График аннуитет.'!F35-'График аннуитет.'!E35,'График аннуитет.'!C35)</f>
        <v>0</v>
      </c>
      <c r="E35" s="37">
        <f>ROUND(C35*'Общие данные'!$B$84/H35,2)*'График аннуитет.'!G35</f>
        <v>0</v>
      </c>
      <c r="F35" s="37">
        <f>IF(A35&lt;'Общие данные'!$B$81,'График аннуитет.'!F34,'График аннуитет.'!D35+'График аннуитет.'!E35)</f>
        <v>0</v>
      </c>
      <c r="G35" s="18">
        <f t="shared" si="6"/>
        <v>0</v>
      </c>
      <c r="H35" s="18">
        <f t="shared" si="7"/>
        <v>366</v>
      </c>
    </row>
    <row r="36" spans="1:8">
      <c r="A36" s="21">
        <f t="shared" si="4"/>
        <v>29</v>
      </c>
      <c r="B36" s="36" t="b">
        <f>'График дифференц'!B36</f>
        <v>0</v>
      </c>
      <c r="C36" s="37">
        <f t="shared" si="5"/>
        <v>0</v>
      </c>
      <c r="D36" s="37">
        <f>IF(A36&lt;'Общие данные'!$B$81,'График аннуитет.'!F36-'График аннуитет.'!E36,'График аннуитет.'!C36)</f>
        <v>0</v>
      </c>
      <c r="E36" s="37">
        <f>ROUND(C36*'Общие данные'!$B$84/H36,2)*'График аннуитет.'!G36</f>
        <v>0</v>
      </c>
      <c r="F36" s="37">
        <f>IF(A36&lt;'Общие данные'!$B$81,'График аннуитет.'!F35,'График аннуитет.'!D36+'График аннуитет.'!E36)</f>
        <v>0</v>
      </c>
      <c r="G36" s="18">
        <f t="shared" si="6"/>
        <v>0</v>
      </c>
      <c r="H36" s="18">
        <f t="shared" si="7"/>
        <v>366</v>
      </c>
    </row>
    <row r="37" spans="1:8">
      <c r="A37" s="21">
        <f t="shared" si="4"/>
        <v>30</v>
      </c>
      <c r="B37" s="36" t="b">
        <f>'График дифференц'!B37</f>
        <v>0</v>
      </c>
      <c r="C37" s="37">
        <f t="shared" si="5"/>
        <v>0</v>
      </c>
      <c r="D37" s="37">
        <f>IF(A37&lt;'Общие данные'!$B$81,'График аннуитет.'!F37-'График аннуитет.'!E37,'График аннуитет.'!C37)</f>
        <v>0</v>
      </c>
      <c r="E37" s="37">
        <f>ROUND(C37*'Общие данные'!$B$84/H37,2)*'График аннуитет.'!G37</f>
        <v>0</v>
      </c>
      <c r="F37" s="37">
        <f>IF(A37&lt;'Общие данные'!$B$81,'График аннуитет.'!F36,'График аннуитет.'!D37+'График аннуитет.'!E37)</f>
        <v>0</v>
      </c>
      <c r="G37" s="18">
        <f t="shared" si="6"/>
        <v>0</v>
      </c>
      <c r="H37" s="18">
        <f t="shared" si="7"/>
        <v>366</v>
      </c>
    </row>
    <row r="38" spans="1:8">
      <c r="A38" s="21">
        <f t="shared" si="4"/>
        <v>31</v>
      </c>
      <c r="B38" s="36" t="b">
        <f>'График дифференц'!B38</f>
        <v>0</v>
      </c>
      <c r="C38" s="37">
        <f t="shared" si="5"/>
        <v>0</v>
      </c>
      <c r="D38" s="37">
        <f>IF(A38&lt;'Общие данные'!$B$81,'График аннуитет.'!F38-'График аннуитет.'!E38,'График аннуитет.'!C38)</f>
        <v>0</v>
      </c>
      <c r="E38" s="37">
        <f>ROUND(C38*'Общие данные'!$B$84/H38,2)*'График аннуитет.'!G38</f>
        <v>0</v>
      </c>
      <c r="F38" s="37">
        <f>IF(A38&lt;'Общие данные'!$B$81,'График аннуитет.'!F37,'График аннуитет.'!D38+'График аннуитет.'!E38)</f>
        <v>0</v>
      </c>
      <c r="G38" s="18">
        <f t="shared" si="6"/>
        <v>0</v>
      </c>
      <c r="H38" s="18">
        <f t="shared" si="7"/>
        <v>366</v>
      </c>
    </row>
    <row r="39" spans="1:8">
      <c r="A39" s="21">
        <f t="shared" si="4"/>
        <v>32</v>
      </c>
      <c r="B39" s="36" t="b">
        <f>'График дифференц'!B39</f>
        <v>0</v>
      </c>
      <c r="C39" s="37">
        <f t="shared" si="5"/>
        <v>0</v>
      </c>
      <c r="D39" s="37">
        <f>IF(A39&lt;'Общие данные'!$B$81,'График аннуитет.'!F39-'График аннуитет.'!E39,'График аннуитет.'!C39)</f>
        <v>0</v>
      </c>
      <c r="E39" s="37">
        <f>ROUND(C39*'Общие данные'!$B$84/H39,2)*'График аннуитет.'!G39</f>
        <v>0</v>
      </c>
      <c r="F39" s="37">
        <f>IF(A39&lt;'Общие данные'!$B$81,'График аннуитет.'!F38,'График аннуитет.'!D39+'График аннуитет.'!E39)</f>
        <v>0</v>
      </c>
      <c r="G39" s="18">
        <f t="shared" si="6"/>
        <v>0</v>
      </c>
      <c r="H39" s="18">
        <f t="shared" si="7"/>
        <v>366</v>
      </c>
    </row>
    <row r="40" spans="1:8">
      <c r="A40" s="21">
        <f t="shared" si="4"/>
        <v>33</v>
      </c>
      <c r="B40" s="36" t="b">
        <f>'График дифференц'!B40</f>
        <v>0</v>
      </c>
      <c r="C40" s="37">
        <f t="shared" si="5"/>
        <v>0</v>
      </c>
      <c r="D40" s="37">
        <f>IF(A40&lt;'Общие данные'!$B$81,'График аннуитет.'!F40-'График аннуитет.'!E40,'График аннуитет.'!C40)</f>
        <v>0</v>
      </c>
      <c r="E40" s="37">
        <f>ROUND(C40*'Общие данные'!$B$84/H40,2)*'График аннуитет.'!G40</f>
        <v>0</v>
      </c>
      <c r="F40" s="37">
        <f>IF(A40&lt;'Общие данные'!$B$81,'График аннуитет.'!F39,'График аннуитет.'!D40+'График аннуитет.'!E40)</f>
        <v>0</v>
      </c>
      <c r="G40" s="18">
        <f t="shared" si="6"/>
        <v>0</v>
      </c>
      <c r="H40" s="18">
        <f t="shared" si="7"/>
        <v>366</v>
      </c>
    </row>
    <row r="41" spans="1:8">
      <c r="A41" s="21">
        <f t="shared" si="4"/>
        <v>34</v>
      </c>
      <c r="B41" s="36" t="b">
        <f>'График дифференц'!B41</f>
        <v>0</v>
      </c>
      <c r="C41" s="37">
        <f t="shared" si="5"/>
        <v>0</v>
      </c>
      <c r="D41" s="37">
        <f>IF(A41&lt;'Общие данные'!$B$81,'График аннуитет.'!F41-'График аннуитет.'!E41,'График аннуитет.'!C41)</f>
        <v>0</v>
      </c>
      <c r="E41" s="37">
        <f>ROUND(C41*'Общие данные'!$B$84/H41,2)*'График аннуитет.'!G41</f>
        <v>0</v>
      </c>
      <c r="F41" s="37">
        <f>IF(A41&lt;'Общие данные'!$B$81,'График аннуитет.'!F40,'График аннуитет.'!D41+'График аннуитет.'!E41)</f>
        <v>0</v>
      </c>
      <c r="G41" s="18">
        <f t="shared" si="6"/>
        <v>0</v>
      </c>
      <c r="H41" s="18">
        <f t="shared" si="7"/>
        <v>366</v>
      </c>
    </row>
    <row r="42" spans="1:8">
      <c r="A42" s="21">
        <f t="shared" si="4"/>
        <v>35</v>
      </c>
      <c r="B42" s="36" t="b">
        <f>'График дифференц'!B42</f>
        <v>0</v>
      </c>
      <c r="C42" s="37">
        <f t="shared" si="5"/>
        <v>0</v>
      </c>
      <c r="D42" s="37">
        <f>IF(A42&lt;'Общие данные'!$B$81,'График аннуитет.'!F42-'График аннуитет.'!E42,'График аннуитет.'!C42)</f>
        <v>0</v>
      </c>
      <c r="E42" s="37">
        <f>ROUND(C42*'Общие данные'!$B$84/H42,2)*'График аннуитет.'!G42</f>
        <v>0</v>
      </c>
      <c r="F42" s="37">
        <f>IF(A42&lt;'Общие данные'!$B$81,'График аннуитет.'!F41,'График аннуитет.'!D42+'График аннуитет.'!E42)</f>
        <v>0</v>
      </c>
      <c r="G42" s="18">
        <f t="shared" si="6"/>
        <v>0</v>
      </c>
      <c r="H42" s="18">
        <f t="shared" si="7"/>
        <v>366</v>
      </c>
    </row>
    <row r="43" spans="1:8">
      <c r="A43" s="21">
        <f t="shared" si="4"/>
        <v>36</v>
      </c>
      <c r="B43" s="36" t="b">
        <f>'График дифференц'!B43</f>
        <v>0</v>
      </c>
      <c r="C43" s="37">
        <f t="shared" si="5"/>
        <v>0</v>
      </c>
      <c r="D43" s="37">
        <f>IF(A43&lt;'Общие данные'!$B$81,'График аннуитет.'!F43-'График аннуитет.'!E43,'График аннуитет.'!C43)</f>
        <v>0</v>
      </c>
      <c r="E43" s="37">
        <f>ROUND(C43*'Общие данные'!$B$84/H43,2)*'График аннуитет.'!G43</f>
        <v>0</v>
      </c>
      <c r="F43" s="37">
        <f>IF(A43&lt;'Общие данные'!$B$81,'График аннуитет.'!F42,'График аннуитет.'!D43+'График аннуитет.'!E43)</f>
        <v>0</v>
      </c>
      <c r="G43" s="18">
        <f t="shared" si="6"/>
        <v>0</v>
      </c>
      <c r="H43" s="18">
        <f t="shared" si="7"/>
        <v>366</v>
      </c>
    </row>
    <row r="44" spans="1:8">
      <c r="A44" s="49"/>
      <c r="B44" s="50" t="s">
        <v>7</v>
      </c>
      <c r="C44" s="51"/>
      <c r="D44" s="51">
        <f>SUM(D8:D31)</f>
        <v>55000000.000000007</v>
      </c>
      <c r="E44" s="51">
        <f>SUM(E8:E31)</f>
        <v>15108224.83</v>
      </c>
      <c r="F44" s="51">
        <f>SUM(F8:F31)</f>
        <v>70108224.830000028</v>
      </c>
    </row>
    <row r="45" spans="1:8" ht="9" customHeight="1">
      <c r="B45" s="38"/>
      <c r="C45" s="39"/>
      <c r="D45" s="39"/>
      <c r="E45" s="39"/>
      <c r="F45" s="39"/>
    </row>
    <row r="46" spans="1:8" ht="47.25" customHeight="1">
      <c r="A46" s="238" t="s">
        <v>18</v>
      </c>
      <c r="B46" s="238"/>
      <c r="C46" s="238"/>
      <c r="D46" s="238"/>
      <c r="E46" s="238"/>
      <c r="F46" s="238"/>
    </row>
    <row r="47" spans="1:8" ht="7.5" customHeight="1"/>
    <row r="48" spans="1:8">
      <c r="A48" s="273" t="e">
        <f>#REF!</f>
        <v>#REF!</v>
      </c>
      <c r="B48" s="273"/>
      <c r="C48" s="273"/>
      <c r="D48" s="273" t="e">
        <f>#REF!</f>
        <v>#REF!</v>
      </c>
      <c r="E48" s="273"/>
      <c r="F48" s="273"/>
    </row>
    <row r="49" spans="1:6" ht="11.25" customHeight="1">
      <c r="A49" s="274"/>
      <c r="B49" s="274"/>
      <c r="C49" s="274"/>
      <c r="D49" s="274"/>
      <c r="E49" s="274"/>
      <c r="F49" s="274"/>
    </row>
    <row r="50" spans="1:6" ht="30" customHeight="1">
      <c r="A50" s="272" t="e">
        <f>#REF!</f>
        <v>#REF!</v>
      </c>
      <c r="B50" s="272"/>
      <c r="C50" s="272"/>
      <c r="D50" s="272" t="e">
        <f>#REF!</f>
        <v>#REF!</v>
      </c>
      <c r="E50" s="272"/>
      <c r="F50" s="272"/>
    </row>
    <row r="51" spans="1:6" ht="32.25" customHeight="1">
      <c r="A51" s="268" t="e">
        <f>#REF!</f>
        <v>#REF!</v>
      </c>
      <c r="B51" s="268"/>
      <c r="C51" s="268"/>
      <c r="D51" s="268" t="e">
        <f>#REF!</f>
        <v>#REF!</v>
      </c>
      <c r="E51" s="268"/>
      <c r="F51" s="268"/>
    </row>
    <row r="52" spans="1:6">
      <c r="A52" s="268" t="e">
        <f>#REF!</f>
        <v>#REF!</v>
      </c>
      <c r="B52" s="268"/>
      <c r="C52" s="268"/>
      <c r="D52" s="268" t="str">
        <f>"паспорт серии "&amp;'Общие данные'!B16&amp;", "&amp;'Общие данные'!B20&amp;""</f>
        <v>паспорт серии AD9977942, IIV 27404 tomonidan 26.12.2024 yilda berilgan</v>
      </c>
      <c r="E52" s="268"/>
      <c r="F52" s="268"/>
    </row>
    <row r="53" spans="1:6" ht="32.25" customHeight="1">
      <c r="A53" s="268" t="e">
        <f>#REF!</f>
        <v>#REF!</v>
      </c>
      <c r="B53" s="268"/>
      <c r="C53" s="268"/>
      <c r="D53" s="268"/>
      <c r="E53" s="268"/>
      <c r="F53" s="268"/>
    </row>
    <row r="54" spans="1:6">
      <c r="A54" s="268" t="e">
        <f>#REF!</f>
        <v>#REF!</v>
      </c>
      <c r="B54" s="268"/>
      <c r="C54" s="268"/>
      <c r="D54" s="268" t="e">
        <f>#REF!</f>
        <v>#REF!</v>
      </c>
      <c r="E54" s="268"/>
      <c r="F54" s="268"/>
    </row>
    <row r="55" spans="1:6">
      <c r="A55" s="268" t="e">
        <f>#REF!</f>
        <v>#REF!</v>
      </c>
      <c r="B55" s="268"/>
      <c r="C55" s="268"/>
      <c r="D55" s="268" t="e">
        <f>#REF!</f>
        <v>#REF!</v>
      </c>
      <c r="E55" s="268"/>
      <c r="F55" s="268"/>
    </row>
    <row r="56" spans="1:6">
      <c r="A56" s="268" t="e">
        <f>#REF!</f>
        <v>#REF!</v>
      </c>
      <c r="B56" s="268"/>
      <c r="C56" s="268"/>
      <c r="D56" s="268" t="e">
        <f>#REF!</f>
        <v>#REF!</v>
      </c>
      <c r="E56" s="268"/>
      <c r="F56" s="268"/>
    </row>
    <row r="57" spans="1:6" ht="8.25" customHeight="1">
      <c r="A57" s="268"/>
      <c r="B57" s="268"/>
      <c r="C57" s="268"/>
      <c r="D57" s="268"/>
      <c r="E57" s="268"/>
      <c r="F57" s="268"/>
    </row>
    <row r="58" spans="1:6">
      <c r="A58" s="272" t="e">
        <f>#REF!</f>
        <v>#REF!</v>
      </c>
      <c r="B58" s="272"/>
      <c r="C58" s="272"/>
      <c r="D58" s="272" t="e">
        <f>#REF!</f>
        <v>#REF!</v>
      </c>
      <c r="E58" s="272"/>
      <c r="F58" s="272"/>
    </row>
    <row r="59" spans="1:6" ht="7.5" customHeight="1">
      <c r="A59" s="272"/>
      <c r="B59" s="272"/>
      <c r="C59" s="272"/>
      <c r="D59" s="272"/>
      <c r="E59" s="272"/>
      <c r="F59" s="272"/>
    </row>
    <row r="60" spans="1:6">
      <c r="A60" s="272" t="e">
        <f>#REF!</f>
        <v>#REF!</v>
      </c>
      <c r="B60" s="272"/>
      <c r="C60" s="272"/>
      <c r="D60" s="272" t="e">
        <f>#REF!</f>
        <v>#REF!</v>
      </c>
      <c r="E60" s="272"/>
      <c r="F60" s="272"/>
    </row>
    <row r="61" spans="1:6" ht="8.25" customHeight="1">
      <c r="A61" s="268"/>
      <c r="B61" s="268"/>
      <c r="C61" s="268"/>
      <c r="D61" s="268"/>
      <c r="E61" s="268"/>
      <c r="F61" s="268"/>
    </row>
    <row r="62" spans="1:6" ht="30" customHeight="1">
      <c r="A62" s="269"/>
      <c r="B62" s="269"/>
      <c r="C62" s="269"/>
      <c r="D62" s="270"/>
      <c r="E62" s="270"/>
      <c r="F62" s="270"/>
    </row>
    <row r="63" spans="1:6">
      <c r="A63" s="271"/>
      <c r="B63" s="271"/>
      <c r="C63" s="271"/>
      <c r="D63" s="271"/>
      <c r="E63" s="271"/>
      <c r="F63" s="271"/>
    </row>
    <row r="64" spans="1:6">
      <c r="A64" s="267"/>
      <c r="B64" s="267"/>
      <c r="C64" s="267"/>
      <c r="D64" s="267"/>
      <c r="E64" s="267"/>
      <c r="F64" s="267"/>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5" priority="5" operator="lessThan">
      <formula>22105</formula>
    </cfRule>
  </conditionalFormatting>
  <conditionalFormatting sqref="C8:C43">
    <cfRule type="cellIs" dxfId="4" priority="3" operator="lessThan">
      <formula>1</formula>
    </cfRule>
  </conditionalFormatting>
  <conditionalFormatting sqref="C8:F43">
    <cfRule type="cellIs" dxfId="3"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1" zoomScaleSheetLayoutView="100" workbookViewId="0">
      <selection activeCell="B52" sqref="B52"/>
    </sheetView>
  </sheetViews>
  <sheetFormatPr defaultColWidth="9.140625" defaultRowHeight="12.75"/>
  <cols>
    <col min="1" max="6" width="14.28515625" style="27" customWidth="1"/>
    <col min="7" max="16384" width="9.140625" style="27"/>
  </cols>
  <sheetData>
    <row r="1" spans="1:6">
      <c r="A1" s="281" t="s">
        <v>236</v>
      </c>
      <c r="B1" s="281"/>
      <c r="C1" s="281"/>
      <c r="D1" s="281"/>
      <c r="E1" s="281"/>
      <c r="F1" s="281"/>
    </row>
    <row r="2" spans="1:6" ht="35.25" customHeight="1">
      <c r="A2" s="282" t="s">
        <v>352</v>
      </c>
      <c r="B2" s="282"/>
      <c r="C2" s="282"/>
      <c r="D2" s="282"/>
      <c r="E2" s="282"/>
      <c r="F2" s="282"/>
    </row>
    <row r="3" spans="1:6">
      <c r="A3" s="281" t="s">
        <v>237</v>
      </c>
      <c r="B3" s="281"/>
      <c r="C3" s="281"/>
      <c r="D3" s="281"/>
      <c r="E3" s="281"/>
      <c r="F3" s="281"/>
    </row>
    <row r="4" spans="1:6">
      <c r="A4" s="280" t="str">
        <f>'Заключение КК'!A4:E4</f>
        <v>Mijozning to'liq ismi sharifi: MIRZAKULOV RUSTAMJON MUXAMADJANOVICH</v>
      </c>
      <c r="B4" s="280"/>
      <c r="C4" s="280"/>
      <c r="D4" s="280"/>
      <c r="E4" s="280"/>
      <c r="F4" s="280"/>
    </row>
    <row r="5" spans="1:6">
      <c r="A5" s="280" t="str">
        <f>'Заключение КК'!A5:E5</f>
        <v>Tug'ilgan sanasi: 03.12.1988y</v>
      </c>
      <c r="B5" s="280"/>
      <c r="C5" s="280"/>
      <c r="D5" s="280"/>
      <c r="E5" s="280"/>
      <c r="F5" s="280"/>
    </row>
    <row r="6" spans="1:6" ht="32.25" customHeight="1">
      <c r="A6" s="280" t="str">
        <f>'Заключение КК'!A6:E6</f>
        <v>Pasport seriyasi AD9977942 IIV 27404 tomonidan 26.12.2024 yilda berilgan, amal qilish muddati - 25.12.2034 y.</v>
      </c>
      <c r="B6" s="280"/>
      <c r="C6" s="280"/>
      <c r="D6" s="280"/>
      <c r="E6" s="280"/>
      <c r="F6" s="280"/>
    </row>
    <row r="7" spans="1:6">
      <c r="A7" s="280" t="str">
        <f>"Fuqaroligi: "&amp;'Общие данные'!B32&amp;""</f>
        <v>Fuqaroligi: O’zbekiston Respublikasi</v>
      </c>
      <c r="B7" s="280"/>
      <c r="C7" s="280"/>
      <c r="D7" s="280"/>
      <c r="E7" s="280"/>
      <c r="F7" s="280"/>
    </row>
    <row r="8" spans="1:6" ht="26.25" customHeight="1">
      <c r="A8" s="280" t="str">
        <f>'Заключение КК'!A7:E7</f>
        <v>Ro‘yxatdan o‘tgan manzili: TOSHKENT VILOYATI OLMALIQ SHAHAR O`ZBEKISTON MFY OQTOSHKO`CHASI 47-UY, mo'ljal: 19 KANECHKASI SHANXAY</v>
      </c>
      <c r="B8" s="280"/>
      <c r="C8" s="280"/>
      <c r="D8" s="280"/>
      <c r="E8" s="280"/>
      <c r="F8" s="280"/>
    </row>
    <row r="9" spans="1:6">
      <c r="A9" s="280" t="str">
        <f>IF('Общие данные'!B23="mos keladi"," ",'Анкета Клиента'!A10:F10)</f>
        <v xml:space="preserve"> </v>
      </c>
      <c r="B9" s="280"/>
      <c r="C9" s="280"/>
      <c r="D9" s="280"/>
      <c r="E9" s="280"/>
      <c r="F9" s="280"/>
    </row>
    <row r="10" spans="1:6" ht="31.5" hidden="1" customHeight="1">
      <c r="A10" s="280" t="str">
        <f>"Haqiqatdan yashash joy manzili: "&amp;'Общие данные'!B28&amp;""</f>
        <v>Haqiqatdan yashash joy manzili: TOSHKENT VILOYATI OLMALIQ SHAHAR O`ZBEKISTON MFY OQTOSHKO`CHASI 47-UY</v>
      </c>
      <c r="B10" s="280"/>
      <c r="C10" s="280"/>
      <c r="D10" s="280"/>
      <c r="E10" s="280"/>
      <c r="F10" s="280"/>
    </row>
    <row r="11" spans="1:6" ht="16.5" hidden="1" customHeight="1">
      <c r="A11" s="280" t="str">
        <f>'Заключение КК'!A8:E8</f>
        <v>Ish joyi:  lavozimi Yakka tartibdagi tadbirkorda Yakka tartibdagi tadbirkor</v>
      </c>
      <c r="B11" s="280"/>
      <c r="C11" s="280"/>
      <c r="D11" s="280"/>
      <c r="E11" s="280"/>
      <c r="F11" s="280"/>
    </row>
    <row r="12" spans="1:6">
      <c r="A12" s="281" t="s">
        <v>238</v>
      </c>
      <c r="B12" s="281"/>
      <c r="C12" s="281"/>
      <c r="D12" s="281"/>
      <c r="E12" s="281"/>
      <c r="F12" s="281"/>
    </row>
    <row r="13" spans="1:6">
      <c r="A13" s="280" t="str">
        <f>"Uy telefoni raqami: "&amp;'Общие данные'!B40&amp;""</f>
        <v>Uy telefoni raqami: 94 404 44 09 O`ZI</v>
      </c>
      <c r="B13" s="280"/>
      <c r="C13" s="280"/>
      <c r="D13" s="280"/>
      <c r="E13" s="280"/>
      <c r="F13" s="280"/>
    </row>
    <row r="14" spans="1:6">
      <c r="A14" s="280" t="str">
        <f>"Uyali telefon raqami: "&amp;'Общие данные'!B41&amp;""</f>
        <v>Uyali telefon raqami: 99 086 26 77  AYOLI</v>
      </c>
      <c r="B14" s="280"/>
      <c r="C14" s="280"/>
      <c r="D14" s="280"/>
      <c r="E14" s="280"/>
      <c r="F14" s="280"/>
    </row>
    <row r="15" spans="1:6">
      <c r="A15" s="280" t="str">
        <f>"Uyali telefon raqami: "&amp;'Общие данные'!B42&amp;""</f>
        <v>Uyali telefon raqami: 93 607 50 18 OPASI</v>
      </c>
      <c r="B15" s="280"/>
      <c r="C15" s="280"/>
      <c r="D15" s="280"/>
      <c r="E15" s="280"/>
      <c r="F15" s="280"/>
    </row>
    <row r="16" spans="1:6" hidden="1">
      <c r="A16" s="280" t="str">
        <f>"Uyali telefon raqami: "&amp;'Общие данные'!B42&amp;""</f>
        <v>Uyali telefon raqami: 93 607 50 18 OPASI</v>
      </c>
      <c r="B16" s="280"/>
      <c r="C16" s="280"/>
      <c r="D16" s="280"/>
      <c r="E16" s="280"/>
      <c r="F16" s="280"/>
    </row>
    <row r="17" spans="1:6">
      <c r="A17" s="280" t="str">
        <f>"Ish telefoni raqami: "&amp;'Общие данные'!B43&amp;""</f>
        <v xml:space="preserve">Ish telefoni raqami: </v>
      </c>
      <c r="B17" s="280"/>
      <c r="C17" s="280"/>
      <c r="D17" s="280"/>
      <c r="E17" s="280"/>
      <c r="F17" s="280"/>
    </row>
    <row r="18" spans="1:6">
      <c r="A18" s="281" t="s">
        <v>239</v>
      </c>
      <c r="B18" s="281"/>
      <c r="C18" s="281"/>
      <c r="D18" s="281"/>
      <c r="E18" s="281"/>
      <c r="F18" s="281"/>
    </row>
    <row r="19" spans="1:6">
      <c r="A19" s="280" t="str">
        <f>"Muassasa nomlanishi:"&amp;'Общие данные'!B58&amp;""</f>
        <v>Muassasa nomlanishi:Yakka tartibdagi tadbirkor</v>
      </c>
      <c r="B19" s="280"/>
      <c r="C19" s="280"/>
      <c r="D19" s="280"/>
      <c r="E19" s="280"/>
      <c r="F19" s="280"/>
    </row>
    <row r="20" spans="1:6">
      <c r="A20" s="280" t="str">
        <f>"Ro‘yxatdan o‘tish manzili:"&amp;'Общие данные'!B50&amp;""</f>
        <v>Ro‘yxatdan o‘tish manzili:</v>
      </c>
      <c r="B20" s="280"/>
      <c r="C20" s="280"/>
      <c r="D20" s="280"/>
      <c r="E20" s="280"/>
      <c r="F20" s="280"/>
    </row>
    <row r="21" spans="1:6">
      <c r="A21" s="280" t="str">
        <f>"Lavozimi: "&amp;'Общие данные'!B59&amp;""</f>
        <v>Lavozimi: Yakka tartibdagi tadbirkor</v>
      </c>
      <c r="B21" s="280"/>
      <c r="C21" s="280"/>
      <c r="D21" s="280"/>
      <c r="E21" s="280"/>
      <c r="F21" s="280"/>
    </row>
    <row r="22" spans="1:6">
      <c r="A22" s="281" t="s">
        <v>240</v>
      </c>
      <c r="B22" s="283"/>
      <c r="C22" s="283"/>
      <c r="D22" s="283"/>
      <c r="E22" s="283"/>
      <c r="F22" s="283"/>
    </row>
    <row r="23" spans="1:6" s="29" customFormat="1" ht="25.5">
      <c r="A23" s="28" t="s">
        <v>241</v>
      </c>
      <c r="B23" s="28" t="s">
        <v>242</v>
      </c>
      <c r="C23" s="28" t="s">
        <v>243</v>
      </c>
      <c r="D23" s="28" t="s">
        <v>244</v>
      </c>
      <c r="E23" s="28" t="s">
        <v>245</v>
      </c>
      <c r="F23" s="28" t="s">
        <v>246</v>
      </c>
    </row>
    <row r="24" spans="1:6" ht="51">
      <c r="A24" s="30" t="s">
        <v>247</v>
      </c>
      <c r="B24" s="31">
        <f>'Общие данные'!B60</f>
        <v>17800000</v>
      </c>
      <c r="C24" s="31">
        <v>0</v>
      </c>
      <c r="D24" s="31">
        <v>0</v>
      </c>
      <c r="E24" s="30" t="s">
        <v>250</v>
      </c>
      <c r="F24" s="31">
        <v>700000</v>
      </c>
    </row>
    <row r="25" spans="1:6" ht="25.5">
      <c r="A25" s="30" t="s">
        <v>248</v>
      </c>
      <c r="B25" s="31">
        <v>0</v>
      </c>
      <c r="C25" s="31">
        <v>0</v>
      </c>
      <c r="D25" s="31">
        <v>0</v>
      </c>
      <c r="E25" s="30" t="s">
        <v>251</v>
      </c>
      <c r="F25" s="31">
        <v>400000</v>
      </c>
    </row>
    <row r="26" spans="1:6" ht="28.5" customHeight="1">
      <c r="A26" s="30" t="s">
        <v>249</v>
      </c>
      <c r="B26" s="31">
        <f>'Общие данные'!B61</f>
        <v>0</v>
      </c>
      <c r="C26" s="31">
        <v>0</v>
      </c>
      <c r="D26" s="31">
        <v>0</v>
      </c>
      <c r="E26" s="30" t="s">
        <v>252</v>
      </c>
      <c r="F26" s="31">
        <v>400000</v>
      </c>
    </row>
    <row r="27" spans="1:6" s="34" customFormat="1">
      <c r="A27" s="32" t="s">
        <v>228</v>
      </c>
      <c r="B27" s="33">
        <f>B24+B25+B26</f>
        <v>17800000</v>
      </c>
      <c r="C27" s="33">
        <f t="shared" ref="C27:F27" si="0">SUM(C24:C26)</f>
        <v>0</v>
      </c>
      <c r="D27" s="33">
        <f t="shared" si="0"/>
        <v>0</v>
      </c>
      <c r="E27" s="32"/>
      <c r="F27" s="33">
        <f t="shared" si="0"/>
        <v>1500000</v>
      </c>
    </row>
    <row r="28" spans="1:6" ht="31.5" customHeight="1">
      <c r="A28" s="280" t="str">
        <f>"Men, "&amp;'Общие данные'!B5&amp;", ushbu anketada ko‘rsatilgan barcha ma'lumotlar anketa to'ldirilgan sanada  to'g'ri va aniq ekanligini tasdiqlayman."</f>
        <v>Men, MIRZAKULOV RUSTAMJON MUXAMADJANOVICH, ushbu anketada ko‘rsatilgan barcha ma'lumotlar anketa to'ldirilgan sanada  to'g'ri va aniq ekanligini tasdiqlayman.</v>
      </c>
      <c r="B28" s="280"/>
      <c r="C28" s="280"/>
      <c r="D28" s="280"/>
      <c r="E28" s="280"/>
      <c r="F28" s="280"/>
    </row>
    <row r="29" spans="1:6">
      <c r="A29" s="280" t="str">
        <f>"Men,  "&amp;'Общие данные'!B5&amp;", quyidagilarni tan olaman va roziman::"</f>
        <v>Men,  MIRZAKULOV RUSTAMJON MUXAMADJANOVICH, quyidagilarni tan olaman va roziman::</v>
      </c>
      <c r="B29" s="280"/>
      <c r="C29" s="280"/>
      <c r="D29" s="280"/>
      <c r="E29" s="280"/>
      <c r="F29" s="280"/>
    </row>
    <row r="30" spans="1:6" ht="45.75" customHeight="1">
      <c r="A30" s="280"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80"/>
      <c r="C30" s="280"/>
      <c r="D30" s="280"/>
      <c r="E30" s="280"/>
      <c r="F30" s="280"/>
    </row>
    <row r="31" spans="1:6" ht="42.75" customHeight="1">
      <c r="A31" s="280"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80"/>
      <c r="C31" s="280"/>
      <c r="D31" s="280"/>
      <c r="E31" s="280"/>
      <c r="F31" s="280"/>
    </row>
    <row r="32" spans="1:6" ht="71.25" customHeight="1">
      <c r="A32" s="280" t="s">
        <v>253</v>
      </c>
      <c r="B32" s="280"/>
      <c r="C32" s="280"/>
      <c r="D32" s="280"/>
      <c r="E32" s="280"/>
      <c r="F32" s="280"/>
    </row>
    <row r="33" spans="1:6">
      <c r="A33" s="280"/>
      <c r="B33" s="280"/>
      <c r="C33" s="280"/>
      <c r="D33" s="280"/>
      <c r="E33" s="280"/>
      <c r="F33" s="280"/>
    </row>
    <row r="34" spans="1:6" ht="12.75" customHeight="1">
      <c r="A34" s="283" t="s">
        <v>254</v>
      </c>
      <c r="B34" s="283"/>
      <c r="C34" s="283"/>
      <c r="D34" s="180" t="s">
        <v>167</v>
      </c>
      <c r="E34" s="283" t="s">
        <v>255</v>
      </c>
      <c r="F34" s="283"/>
    </row>
    <row r="35" spans="1:6" ht="25.5" customHeight="1">
      <c r="A35" s="284"/>
      <c r="B35" s="284"/>
      <c r="C35" s="284"/>
      <c r="D35" s="285" t="str">
        <f>'Общие данные'!B2</f>
        <v>07.03.2025</v>
      </c>
      <c r="E35" s="284"/>
      <c r="F35" s="284"/>
    </row>
    <row r="36" spans="1:6" ht="25.5" customHeight="1">
      <c r="A36" s="284"/>
      <c r="B36" s="284"/>
      <c r="C36" s="284"/>
      <c r="D36" s="285"/>
      <c r="E36" s="284"/>
      <c r="F36" s="284"/>
    </row>
    <row r="37" spans="1:6">
      <c r="A37" s="280"/>
      <c r="B37" s="280"/>
      <c r="C37" s="280"/>
      <c r="D37" s="280"/>
      <c r="E37" s="280"/>
      <c r="F37" s="280"/>
    </row>
    <row r="38" spans="1:6">
      <c r="A38" s="280"/>
      <c r="B38" s="280"/>
      <c r="C38" s="280"/>
      <c r="D38" s="280"/>
      <c r="E38" s="280"/>
      <c r="F38" s="280"/>
    </row>
    <row r="39" spans="1:6">
      <c r="A39" s="280"/>
      <c r="B39" s="280"/>
      <c r="C39" s="280"/>
      <c r="D39" s="280"/>
      <c r="E39" s="280"/>
      <c r="F39" s="280"/>
    </row>
    <row r="40" spans="1:6">
      <c r="A40" s="280"/>
      <c r="B40" s="280"/>
      <c r="C40" s="280"/>
      <c r="D40" s="280"/>
      <c r="E40" s="280"/>
      <c r="F40" s="280"/>
    </row>
    <row r="41" spans="1:6">
      <c r="A41" s="280"/>
      <c r="B41" s="280"/>
      <c r="C41" s="280"/>
      <c r="D41" s="280"/>
      <c r="E41" s="280"/>
      <c r="F41" s="280"/>
    </row>
    <row r="42" spans="1:6">
      <c r="A42" s="280"/>
      <c r="B42" s="280"/>
      <c r="C42" s="280"/>
      <c r="D42" s="280"/>
      <c r="E42" s="280"/>
      <c r="F42" s="280"/>
    </row>
    <row r="43" spans="1:6">
      <c r="A43" s="280"/>
      <c r="B43" s="280"/>
      <c r="C43" s="280"/>
      <c r="D43" s="280"/>
      <c r="E43" s="280"/>
      <c r="F43" s="280"/>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SheetLayoutView="100" workbookViewId="0">
      <selection activeCell="A30" sqref="A30:E30"/>
    </sheetView>
  </sheetViews>
  <sheetFormatPr defaultColWidth="9.140625" defaultRowHeight="15.75"/>
  <cols>
    <col min="1" max="2" width="17.42578125" style="149" customWidth="1"/>
    <col min="3" max="3" width="29.85546875" style="149" customWidth="1"/>
    <col min="4" max="4" width="18.140625" style="149" customWidth="1"/>
    <col min="5" max="5" width="6.5703125" style="149" customWidth="1"/>
    <col min="6" max="16384" width="9.140625" style="149"/>
  </cols>
  <sheetData>
    <row r="2" spans="1:5">
      <c r="A2" s="290" t="s">
        <v>256</v>
      </c>
      <c r="B2" s="290"/>
      <c r="C2" s="290"/>
      <c r="D2" s="290"/>
      <c r="E2" s="290"/>
    </row>
    <row r="3" spans="1:5">
      <c r="E3" s="148" t="str">
        <f>'Общие данные'!B68</f>
        <v>7 mart 2025 y.</v>
      </c>
    </row>
    <row r="5" spans="1:5" s="150" customFormat="1" ht="27" customHeight="1">
      <c r="A5" s="294" t="s">
        <v>257</v>
      </c>
      <c r="B5" s="295"/>
      <c r="C5" s="291" t="str">
        <f>'Общие данные'!B8</f>
        <v>MIRZAKULOV RUSTAMJON MUXAMADJANOVICH</v>
      </c>
      <c r="D5" s="292"/>
      <c r="E5" s="293"/>
    </row>
    <row r="7" spans="1:5" ht="15.75" customHeight="1">
      <c r="A7" s="296" t="s">
        <v>382</v>
      </c>
      <c r="B7" s="297"/>
      <c r="C7" s="298"/>
      <c r="D7" s="151" t="s">
        <v>140</v>
      </c>
      <c r="E7" s="151"/>
    </row>
    <row r="8" spans="1:5">
      <c r="A8" s="299"/>
      <c r="B8" s="300"/>
      <c r="C8" s="301"/>
      <c r="D8" s="151" t="s">
        <v>261</v>
      </c>
      <c r="E8" s="151"/>
    </row>
    <row r="9" spans="1:5" ht="15.75" customHeight="1">
      <c r="A9" s="287" t="s">
        <v>258</v>
      </c>
      <c r="B9" s="287"/>
      <c r="C9" s="287"/>
      <c r="D9" s="151" t="s">
        <v>140</v>
      </c>
      <c r="E9" s="151"/>
    </row>
    <row r="10" spans="1:5">
      <c r="A10" s="287"/>
      <c r="B10" s="287"/>
      <c r="C10" s="287"/>
      <c r="D10" s="151" t="s">
        <v>261</v>
      </c>
      <c r="E10" s="151"/>
    </row>
    <row r="11" spans="1:5" ht="15.75" customHeight="1">
      <c r="A11" s="287" t="s">
        <v>259</v>
      </c>
      <c r="B11" s="287"/>
      <c r="C11" s="287"/>
      <c r="D11" s="151" t="s">
        <v>140</v>
      </c>
      <c r="E11" s="151"/>
    </row>
    <row r="12" spans="1:5">
      <c r="A12" s="287"/>
      <c r="B12" s="287"/>
      <c r="C12" s="287"/>
      <c r="D12" s="151" t="s">
        <v>261</v>
      </c>
      <c r="E12" s="151"/>
    </row>
    <row r="13" spans="1:5" ht="34.5" customHeight="1">
      <c r="A13" s="288" t="s">
        <v>260</v>
      </c>
      <c r="B13" s="288"/>
      <c r="C13" s="288"/>
      <c r="D13" s="288"/>
      <c r="E13" s="288"/>
    </row>
    <row r="14" spans="1:5" ht="16.5" thickBot="1">
      <c r="A14" s="289"/>
      <c r="B14" s="289"/>
      <c r="C14" s="289"/>
      <c r="D14" s="289"/>
      <c r="E14" s="289"/>
    </row>
    <row r="15" spans="1:5" ht="16.5" thickBot="1">
      <c r="A15" s="289"/>
      <c r="B15" s="289"/>
      <c r="C15" s="289"/>
      <c r="D15" s="289"/>
      <c r="E15" s="289"/>
    </row>
    <row r="16" spans="1:5" ht="16.5" thickBot="1">
      <c r="A16" s="289"/>
      <c r="B16" s="289"/>
      <c r="C16" s="289"/>
      <c r="D16" s="289"/>
      <c r="E16" s="289"/>
    </row>
    <row r="18" spans="1:8" ht="18.75" customHeight="1">
      <c r="A18" s="287" t="s">
        <v>262</v>
      </c>
      <c r="B18" s="287"/>
      <c r="C18" s="287"/>
      <c r="D18" s="151" t="s">
        <v>140</v>
      </c>
      <c r="E18" s="151"/>
    </row>
    <row r="19" spans="1:8" ht="18.75" customHeight="1">
      <c r="A19" s="287"/>
      <c r="B19" s="287"/>
      <c r="C19" s="287"/>
      <c r="D19" s="151" t="s">
        <v>261</v>
      </c>
      <c r="E19" s="151"/>
    </row>
    <row r="20" spans="1:8" ht="29.25" customHeight="1">
      <c r="A20" s="287" t="s">
        <v>263</v>
      </c>
      <c r="B20" s="287"/>
      <c r="C20" s="287"/>
      <c r="D20" s="151" t="s">
        <v>140</v>
      </c>
      <c r="E20" s="151"/>
    </row>
    <row r="21" spans="1:8" ht="29.25" customHeight="1">
      <c r="A21" s="287"/>
      <c r="B21" s="287"/>
      <c r="C21" s="287"/>
      <c r="D21" s="151" t="s">
        <v>261</v>
      </c>
      <c r="E21" s="151"/>
    </row>
    <row r="23" spans="1:8" ht="15.75" customHeight="1">
      <c r="A23" s="288" t="s">
        <v>264</v>
      </c>
      <c r="B23" s="288"/>
      <c r="C23" s="288"/>
      <c r="D23" s="288"/>
      <c r="E23" s="288"/>
    </row>
    <row r="24" spans="1:8" ht="16.5" thickBot="1">
      <c r="A24" s="289"/>
      <c r="B24" s="289"/>
      <c r="C24" s="289"/>
      <c r="D24" s="289"/>
      <c r="E24" s="289"/>
    </row>
    <row r="25" spans="1:8" ht="16.5" thickBot="1">
      <c r="A25" s="289"/>
      <c r="B25" s="289"/>
      <c r="C25" s="289"/>
      <c r="D25" s="289"/>
      <c r="E25" s="289"/>
    </row>
    <row r="26" spans="1:8" ht="16.5" thickBot="1">
      <c r="A26" s="289"/>
      <c r="B26" s="289"/>
      <c r="C26" s="289"/>
      <c r="D26" s="289"/>
      <c r="E26" s="289"/>
    </row>
    <row r="28" spans="1:8" ht="78.75" customHeight="1">
      <c r="A28" s="286" t="s">
        <v>265</v>
      </c>
      <c r="B28" s="286"/>
      <c r="C28" s="286"/>
      <c r="D28" s="286"/>
      <c r="E28" s="286"/>
    </row>
    <row r="30" spans="1:8" ht="33" customHeight="1">
      <c r="A30" s="286" t="s">
        <v>266</v>
      </c>
      <c r="B30" s="286"/>
      <c r="C30" s="286"/>
      <c r="D30" s="286"/>
      <c r="E30" s="286"/>
      <c r="F30" s="152"/>
      <c r="G30" s="152"/>
      <c r="H30" s="152"/>
    </row>
    <row r="33" spans="1:5" ht="16.5" thickBot="1">
      <c r="A33" s="153" t="str">
        <f>C5</f>
        <v>MIRZAKULOV RUSTAMJON MUXAMADJANOVICH</v>
      </c>
      <c r="D33" s="154"/>
      <c r="E33" s="155"/>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85" zoomScaleSheetLayoutView="85" workbookViewId="0">
      <selection activeCell="A13" sqref="A13:D13"/>
    </sheetView>
  </sheetViews>
  <sheetFormatPr defaultColWidth="9.140625" defaultRowHeight="15.75"/>
  <cols>
    <col min="1" max="1" width="20.140625" style="9" customWidth="1"/>
    <col min="2" max="2" width="18.7109375" style="9" customWidth="1"/>
    <col min="3" max="3" width="19.7109375" style="9" customWidth="1"/>
    <col min="4" max="4" width="28.7109375" style="9" customWidth="1"/>
    <col min="5" max="16384" width="9.140625" style="9"/>
  </cols>
  <sheetData>
    <row r="1" spans="1:4" ht="66" customHeight="1">
      <c r="C1" s="303" t="str">
        <f>""&amp;'Общие данные'!B147&amp;"ning"&amp;'Общие данные'!A150&amp;"i"</f>
        <v>«CLEVER MIKROMOLIYA TASHKILOTI» MChJningOlmaliq filiali boshlig'ii</v>
      </c>
      <c r="D1" s="303"/>
    </row>
    <row r="2" spans="1:4">
      <c r="C2" s="16"/>
      <c r="D2" s="17" t="str">
        <f>""&amp;'Общие данные'!B150&amp;"ga"</f>
        <v>Yerjanov V.Y.ga</v>
      </c>
    </row>
    <row r="4" spans="1:4">
      <c r="A4" s="302" t="str">
        <f>""&amp;'Общие данные'!C64&amp;" olish uchun Ariza"</f>
        <v>Mikroqarz olish uchun Ariza</v>
      </c>
      <c r="B4" s="302"/>
      <c r="C4" s="302"/>
      <c r="D4" s="302"/>
    </row>
    <row r="5" spans="1:4">
      <c r="A5" s="302"/>
      <c r="B5" s="302"/>
      <c r="C5" s="302"/>
      <c r="D5" s="302"/>
    </row>
    <row r="6" spans="1:4" ht="53.25" customHeight="1">
      <c r="A6" s="304" t="str">
        <f>""&amp;'Общие данные'!B28&amp;".-da yashovchi O‘zbekiston Respublikasi fuqarosi "&amp;'Общие данные'!B8&amp;"dan. "</f>
        <v xml:space="preserve">TOSHKENT VILOYATI OLMALIQ SHAHAR O`ZBEKISTON MFY OQTOSHKO`CHASI 47-UY.-da yashovchi O‘zbekiston Respublikasi fuqarosi MIRZAKULOV RUSTAMJON MUXAMADJANOVICHdan. </v>
      </c>
      <c r="B6" s="304"/>
      <c r="C6" s="304"/>
      <c r="D6" s="304"/>
    </row>
    <row r="7" spans="1:4" ht="15.75" customHeight="1">
      <c r="A7" s="304" t="str">
        <f>"Tug'ilgan kuni: "&amp;'Общие данные'!B15&amp;""</f>
        <v>Tug'ilgan kuni: 03.12.1988y</v>
      </c>
      <c r="B7" s="304"/>
      <c r="C7" s="304"/>
      <c r="D7" s="304"/>
    </row>
    <row r="8" spans="1:4" ht="33" customHeight="1">
      <c r="A8" s="304" t="str">
        <f>"Pasport seriyasi: "&amp;'Общие данные'!B16&amp;" "&amp;'Общие данные'!B20&amp;""</f>
        <v>Pasport seriyasi: AD9977942 IIV 27404 tomonidan 26.12.2024 yilda berilgan</v>
      </c>
      <c r="B8" s="304"/>
      <c r="C8" s="304"/>
      <c r="D8" s="304"/>
    </row>
    <row r="9" spans="1:4" ht="16.5" customHeight="1">
      <c r="A9" s="304" t="str">
        <f>"Asosiy ish joyi : "&amp;'Общие данные'!B58&amp;""</f>
        <v>Asosiy ish joyi : Yakka tartibdagi tadbirkor</v>
      </c>
      <c r="B9" s="304"/>
      <c r="C9" s="304"/>
      <c r="D9" s="304"/>
    </row>
    <row r="10" spans="1:4" ht="15.75" customHeight="1">
      <c r="A10" s="304" t="str">
        <f>"Lavozimi: "&amp;'Общие данные'!B59&amp;""</f>
        <v>Lavozimi: Yakka tartibdagi tadbirkor</v>
      </c>
      <c r="B10" s="304"/>
      <c r="C10" s="304"/>
      <c r="D10" s="304"/>
    </row>
    <row r="11" spans="1:4">
      <c r="A11" s="304" t="str">
        <f>"O’rtacha oylik daromadi: "&amp;FIXED('Общие данные'!B60,2)&amp;" so'm."</f>
        <v>O’rtacha oylik daromadi: 17 800 000,00 so'm.</v>
      </c>
      <c r="B11" s="304"/>
      <c r="C11" s="304"/>
      <c r="D11" s="304"/>
    </row>
    <row r="12" spans="1:4">
      <c r="A12" s="304" t="str">
        <f>"Menga quyidagi shartlarda "&amp;'Общие данные'!B65&amp;" berishingizni so’rayman:"</f>
        <v>Menga quyidagi shartlarda mikroqarz berishingizni so’rayman:</v>
      </c>
      <c r="B12" s="304"/>
      <c r="C12" s="304"/>
      <c r="D12" s="304"/>
    </row>
    <row r="13" spans="1:4">
      <c r="A13" s="304" t="str">
        <f>""&amp;'Общие данные'!C64&amp;" summasi: "&amp;FIXED('Общие данные'!B75,2)&amp;" ("&amp;'Общие данные'!B76&amp;") so'm."</f>
        <v>Mikroqarz summasi: 55 000 000,00 (ellik besh million so'm) so'm.</v>
      </c>
      <c r="B13" s="304"/>
      <c r="C13" s="304"/>
      <c r="D13" s="304"/>
    </row>
    <row r="14" spans="1:4">
      <c r="A14" s="304" t="str">
        <f>""&amp;'Общие данные'!C64&amp;" muddati: "&amp;'Общие данные'!B81&amp;" ("&amp;'Общие данные'!B82&amp;") oy."</f>
        <v>Mikroqarz muddati: 12 (o'n ikki) oy.</v>
      </c>
      <c r="B14" s="304"/>
      <c r="C14" s="304"/>
      <c r="D14" s="304"/>
    </row>
    <row r="15" spans="1:4" ht="17.25" customHeight="1">
      <c r="A15" s="304" t="str">
        <f>""&amp;'Общие данные'!C64&amp;"dan foydalanganlik uchun foiz stavkasi: yillik  "&amp;'Общие данные'!B85&amp;"% ("&amp;'Общие данные'!B86&amp;") foiz"</f>
        <v>Mikroqarzdan foydalanganlik uchun foiz stavkasi: yillik  60% (Oltmish) foiz</v>
      </c>
      <c r="B15" s="304"/>
      <c r="C15" s="304"/>
      <c r="D15" s="304"/>
    </row>
    <row r="16" spans="1:4">
      <c r="A16" s="304" t="str">
        <f>""&amp;'Общие данные'!C64&amp;" bo'yicha asosiy qarz va foizlarni to'lash:"</f>
        <v>Mikroqarz bo'yicha asosiy qarz va foizlarni to'lash:</v>
      </c>
      <c r="B16" s="304"/>
      <c r="C16" s="304"/>
      <c r="D16" s="304"/>
    </row>
    <row r="17" spans="1:5" ht="20.25" hidden="1" customHeight="1">
      <c r="A17" s="305" t="str">
        <f>" - "&amp;'Общие данные'!B65&amp;" shartnomasi bo'yicha har oy differensial to'lovlari amalga oshiriladi"</f>
        <v xml:space="preserve"> - mikroqarz shartnomasi bo'yicha har oy differensial to'lovlari amalga oshiriladi</v>
      </c>
      <c r="B17" s="305"/>
      <c r="C17" s="305"/>
      <c r="D17" s="305"/>
    </row>
    <row r="18" spans="1:5" ht="33.75" hidden="1" customHeight="1">
      <c r="A18" s="305" t="str">
        <f>" - "&amp;'Общие данные'!B65&amp;" shartnomasi bo'yicha har oy annuitet to'lovlari amalga oshiriladi"</f>
        <v xml:space="preserve"> - mikroqarz shartnomasi bo'yicha har oy annuitet to'lovlari amalga oshiriladi</v>
      </c>
      <c r="B18" s="305"/>
      <c r="C18" s="305"/>
      <c r="D18" s="305"/>
    </row>
    <row r="19" spans="1:5" ht="33.75" customHeight="1">
      <c r="A19" s="305"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305"/>
      <c r="C19" s="305"/>
      <c r="D19" s="305"/>
    </row>
    <row r="20" spans="1:5" ht="33.75" hidden="1" customHeight="1">
      <c r="A20" s="304" t="str">
        <f>IF(DAY('Общие данные'!E67)&lt;15,"   ","  Oxirgi yakuniy to'lov "&amp;'Общие данные'!B65&amp;" shartnomasi tuzilgan kundan boshlab oxirgi oyning oxirgi kunida amalga oshiriladi")</f>
        <v xml:space="preserve">   </v>
      </c>
      <c r="B20" s="304"/>
      <c r="C20" s="304"/>
      <c r="D20" s="304"/>
    </row>
    <row r="21" spans="1:5">
      <c r="A21" s="304" t="str">
        <f>""&amp;'Общие данные'!C64&amp;" ta’minoti::"</f>
        <v>Mikroqarz ta’minoti::</v>
      </c>
      <c r="B21" s="304"/>
      <c r="C21" s="304"/>
      <c r="D21" s="304"/>
    </row>
    <row r="22" spans="1:5" ht="90" customHeight="1">
      <c r="A22" s="305" t="str">
        <f>IF('Общие данные'!B103="Avtotransport",A26,A23)</f>
        <v xml:space="preserve">  Egalik huquqi MIRZAKULOV RUSTAMJON MUXAMADJANOVICHga tegishli bo'lgan garovga olingan avtomobil markasi   KIA SEITOS G08M, rangi -  OQ BELIY JEMCHUG-OK, ishlab chiqarilgan yili - 2023, davlat raqam belgisi 10L832HB, Kuzov turi YENGIL SEDAN, Kuzov raqami XWBJF69VELA059410, dvigatel raqami G4NHPH325362, shassi raqami -  - </v>
      </c>
      <c r="B22" s="305"/>
      <c r="C22" s="305"/>
      <c r="D22" s="305"/>
    </row>
    <row r="23" spans="1:5" ht="79.5" hidden="1" customHeight="1">
      <c r="A23" s="305" t="str">
        <f>IF('Общие данные'!B92='Общие данные'!C92,A25,IF('Общие данные'!B92='Общие данные'!D92,A24,0))</f>
        <v xml:space="preserve"> Egalik huquqi SHOUSMANOVA DAVLATXON XXXga tegishli bo'lgan umumiy maydoni - 72.13 kv.m.  va yashash maydoni - 37.39 kv.m 3 - xonali yakka tartibdagi uy-joy, SAMARQAND VILOYATI TAYLOQ TUMANI CHAROG'BON MFY YANGI TAYLOQ QISHLOG'I 6 TURAR JOY 12 QAVAT 58 XONADON </v>
      </c>
      <c r="B23" s="305"/>
      <c r="C23" s="305"/>
      <c r="D23" s="305"/>
    </row>
    <row r="24" spans="1:5" ht="96.75" hidden="1" customHeight="1">
      <c r="A24" s="305"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SHOUSMANOVA DAVLATXON XXXga 3 - xonali yakka tartibdagi uy-joy, umumiy maydoni - 72.13 kv.m. va yashash maydoni - 37.39 kv.m, manzili: SAMARQAND VILOYATI TAYLOQ TUMANI CHAROG'BON MFY YANGI TAYLOQ QISHLOG'I 6 TURAR JOY 12 QAVAT 58 XONADON.</v>
      </c>
      <c r="B24" s="305"/>
      <c r="C24" s="305"/>
      <c r="D24" s="305"/>
      <c r="E24" s="190"/>
    </row>
    <row r="25" spans="1:5" ht="92.25" hidden="1" customHeight="1">
      <c r="A25" s="305"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SHOUSMANOVA DAVLATXON XXXga tegishli bo'lgan umumiy maydoni - 72.13 kv.m.  va yashash maydoni - 37.39 kv.m 3 - xonali yakka tartibdagi uy-joy, SAMARQAND VILOYATI TAYLOQ TUMANI CHAROG'BON MFY YANGI TAYLOQ QISHLOG'I 6 TURAR JOY 12 QAVAT 58 XONADON </v>
      </c>
      <c r="B25" s="305"/>
      <c r="C25" s="305"/>
      <c r="D25" s="305"/>
    </row>
    <row r="26" spans="1:5" ht="78" hidden="1" customHeight="1">
      <c r="A26" s="305" t="str">
        <f>IF('Общие данные'!B92='Общие данные'!C92,'Кредитная заявка'!A28:D28,IF('Общие данные'!B92='Общие данные'!D92,'Кредитная заявка'!A27:D27,0))</f>
        <v xml:space="preserve">  Egalik huquqi MIRZAKULOV RUSTAMJON MUXAMADJANOVICHga tegishli bo'lgan garovga olingan avtomobil markasi   KIA SEITOS G08M, rangi -  OQ BELIY JEMCHUG-OK, ishlab chiqarilgan yili - 2023, davlat raqam belgisi 10L832HB, Kuzov turi YENGIL SEDAN, Kuzov raqami XWBJF69VELA059410, dvigatel raqami G4NHPH325362, shassi raqami -  - </v>
      </c>
      <c r="B26" s="305"/>
      <c r="C26" s="305"/>
      <c r="D26" s="305"/>
    </row>
    <row r="27" spans="1:5" ht="93" hidden="1" customHeight="1">
      <c r="A27" s="305"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MIRZAKULOV RUSTAMJON MUXAMADJANOVICHga tegishli bo'lgan KIA SEITOS G08M, rangi -  OQ BELIY JEMCHUG-OK, ishlab chiqarilgan yili - 2023, davlat raqam belgisi 10L832HB, Kuzov turi YENGIL SEDAN, Kuzov raqami XWBJF69VELA059410, dvigatel raqami G4NHPH325362, shassi raqami -  -  avtotransport vositasi </v>
      </c>
      <c r="B27" s="305"/>
      <c r="C27" s="305"/>
      <c r="D27" s="305"/>
    </row>
    <row r="28" spans="1:5" ht="93.75" hidden="1" customHeight="1">
      <c r="A28" s="305"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MIRZAKULOV RUSTAMJON MUXAMADJANOVICHga tegishli bo'lgan garovga olingan avtomobil markasi   KIA SEITOS G08M, rangi -  OQ BELIY JEMCHUG-OK, ishlab chiqarilgan yili - 2023, davlat raqam belgisi 10L832HB, Kuzov turi YENGIL SEDAN, Kuzov raqami XWBJF69VELA059410, dvigatel raqami G4NHPH325362, shassi raqami -  - </v>
      </c>
      <c r="B28" s="305"/>
      <c r="C28" s="305"/>
      <c r="D28" s="305"/>
    </row>
    <row r="29" spans="1:5" ht="10.5" customHeight="1">
      <c r="A29" s="304"/>
      <c r="B29" s="304"/>
      <c r="C29" s="304"/>
      <c r="D29" s="304"/>
    </row>
    <row r="30" spans="1:5" ht="53.25" customHeight="1">
      <c r="A30" s="305"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05"/>
      <c r="C30" s="305"/>
      <c r="D30" s="305"/>
    </row>
    <row r="31" spans="1:5" ht="15.75" customHeight="1">
      <c r="A31" s="305" t="s">
        <v>267</v>
      </c>
      <c r="B31" s="305"/>
      <c r="C31" s="305"/>
      <c r="D31" s="305"/>
    </row>
    <row r="32" spans="1:5">
      <c r="A32" s="305" t="s">
        <v>268</v>
      </c>
      <c r="B32" s="305"/>
      <c r="C32" s="305"/>
      <c r="D32" s="305"/>
    </row>
    <row r="33" spans="1:4">
      <c r="A33" s="305" t="s">
        <v>269</v>
      </c>
      <c r="B33" s="305"/>
      <c r="C33" s="305"/>
      <c r="D33" s="305"/>
    </row>
    <row r="34" spans="1:4">
      <c r="A34" s="304" t="str">
        <f>"Ariza berilgan sana: "&amp;TEXT('Общие данные'!B2,"ДД.ММ.ГГГГ")&amp;"y."</f>
        <v>Ariza berilgan sana: 07.03.2025y.</v>
      </c>
      <c r="B34" s="304"/>
      <c r="C34" s="304"/>
      <c r="D34" s="304"/>
    </row>
    <row r="35" spans="1:4">
      <c r="A35" s="304"/>
      <c r="B35" s="304"/>
      <c r="C35" s="304"/>
      <c r="D35" s="304"/>
    </row>
    <row r="36" spans="1:4">
      <c r="A36" s="304" t="s">
        <v>270</v>
      </c>
      <c r="B36" s="304"/>
      <c r="C36" s="304"/>
      <c r="D36" s="304"/>
    </row>
    <row r="37" spans="1:4">
      <c r="A37" s="304"/>
      <c r="B37" s="304"/>
      <c r="C37" s="304"/>
      <c r="D37" s="304"/>
    </row>
    <row r="38" spans="1:4">
      <c r="A38" s="304"/>
      <c r="B38" s="304"/>
      <c r="C38" s="304"/>
      <c r="D38" s="304"/>
    </row>
    <row r="39" spans="1:4" ht="15.75" customHeight="1">
      <c r="A39" s="306" t="str">
        <f>'Общие данные'!B5</f>
        <v>MIRZAKULOV RUSTAMJON MUXAMADJANOVICH</v>
      </c>
      <c r="B39" s="306"/>
      <c r="C39" s="306"/>
      <c r="D39" s="14" t="s">
        <v>4</v>
      </c>
    </row>
    <row r="40" spans="1:4">
      <c r="A40" s="13"/>
      <c r="B40" s="13"/>
      <c r="D40" s="15" t="s">
        <v>357</v>
      </c>
    </row>
    <row r="41" spans="1:4">
      <c r="A41" s="304"/>
      <c r="B41" s="304"/>
      <c r="C41" s="304"/>
      <c r="D41" s="304"/>
    </row>
    <row r="42" spans="1:4">
      <c r="A42" s="304"/>
      <c r="B42" s="304"/>
      <c r="C42" s="304"/>
      <c r="D42" s="304"/>
    </row>
    <row r="43" spans="1:4">
      <c r="A43" s="304"/>
      <c r="B43" s="304"/>
      <c r="C43" s="304"/>
      <c r="D43" s="304"/>
    </row>
    <row r="44" spans="1:4">
      <c r="A44" s="304"/>
      <c r="B44" s="304"/>
      <c r="C44" s="304"/>
      <c r="D44" s="304"/>
    </row>
    <row r="45" spans="1:4">
      <c r="A45" s="304"/>
      <c r="B45" s="304"/>
      <c r="C45" s="304"/>
      <c r="D45" s="304"/>
    </row>
    <row r="46" spans="1:4">
      <c r="A46" s="304"/>
      <c r="B46" s="304"/>
      <c r="C46" s="304"/>
      <c r="D46" s="304"/>
    </row>
    <row r="47" spans="1:4">
      <c r="A47" s="304"/>
      <c r="B47" s="304"/>
      <c r="C47" s="304"/>
      <c r="D47" s="304"/>
    </row>
    <row r="48" spans="1:4">
      <c r="A48" s="304"/>
      <c r="B48" s="304"/>
      <c r="C48" s="304"/>
      <c r="D48" s="304"/>
    </row>
    <row r="49" spans="1:4">
      <c r="A49" s="304"/>
      <c r="B49" s="304"/>
      <c r="C49" s="304"/>
      <c r="D49" s="304"/>
    </row>
    <row r="50" spans="1:4">
      <c r="A50" s="304"/>
      <c r="B50" s="304"/>
      <c r="C50" s="304"/>
      <c r="D50" s="304"/>
    </row>
    <row r="51" spans="1:4">
      <c r="A51" s="304"/>
      <c r="B51" s="304"/>
      <c r="C51" s="304"/>
      <c r="D51" s="304"/>
    </row>
    <row r="52" spans="1:4">
      <c r="A52" s="304"/>
      <c r="B52" s="304"/>
      <c r="C52" s="304"/>
      <c r="D52" s="304"/>
    </row>
    <row r="53" spans="1:4">
      <c r="A53" s="304"/>
      <c r="B53" s="304"/>
      <c r="C53" s="304"/>
      <c r="D53" s="304"/>
    </row>
    <row r="54" spans="1:4">
      <c r="A54" s="304"/>
      <c r="B54" s="304"/>
      <c r="C54" s="304"/>
      <c r="D54" s="304"/>
    </row>
    <row r="55" spans="1:4">
      <c r="A55" s="304"/>
      <c r="B55" s="304"/>
      <c r="C55" s="304"/>
      <c r="D55" s="304"/>
    </row>
    <row r="56" spans="1:4">
      <c r="A56" s="304"/>
      <c r="B56" s="304"/>
      <c r="C56" s="304"/>
      <c r="D56" s="304"/>
    </row>
    <row r="57" spans="1:4">
      <c r="A57" s="304"/>
      <c r="B57" s="304"/>
      <c r="C57" s="304"/>
      <c r="D57" s="304"/>
    </row>
    <row r="58" spans="1:4">
      <c r="A58" s="304"/>
      <c r="B58" s="304"/>
      <c r="C58" s="304"/>
      <c r="D58" s="304"/>
    </row>
    <row r="59" spans="1:4">
      <c r="A59" s="304"/>
      <c r="B59" s="304"/>
      <c r="C59" s="304"/>
      <c r="D59" s="304"/>
    </row>
    <row r="60" spans="1:4">
      <c r="A60" s="304"/>
      <c r="B60" s="304"/>
      <c r="C60" s="304"/>
      <c r="D60" s="304"/>
    </row>
    <row r="61" spans="1:4">
      <c r="A61" s="304"/>
      <c r="B61" s="304"/>
      <c r="C61" s="304"/>
      <c r="D61" s="304"/>
    </row>
    <row r="62" spans="1:4">
      <c r="A62" s="304"/>
      <c r="B62" s="304"/>
      <c r="C62" s="304"/>
      <c r="D62" s="304"/>
    </row>
    <row r="63" spans="1:4">
      <c r="A63" s="304"/>
      <c r="B63" s="304"/>
      <c r="C63" s="304"/>
      <c r="D63" s="304"/>
    </row>
    <row r="64" spans="1:4">
      <c r="A64" s="304"/>
      <c r="B64" s="304"/>
      <c r="C64" s="304"/>
      <c r="D64" s="304"/>
    </row>
    <row r="65" spans="1:4">
      <c r="A65" s="304"/>
      <c r="B65" s="304"/>
      <c r="C65" s="304"/>
      <c r="D65" s="304"/>
    </row>
    <row r="66" spans="1:4">
      <c r="A66" s="304"/>
      <c r="B66" s="304"/>
      <c r="C66" s="304"/>
      <c r="D66" s="304"/>
    </row>
    <row r="67" spans="1:4">
      <c r="A67" s="304"/>
      <c r="B67" s="304"/>
      <c r="C67" s="304"/>
      <c r="D67" s="304"/>
    </row>
    <row r="68" spans="1:4">
      <c r="A68" s="304"/>
      <c r="B68" s="304"/>
      <c r="C68" s="304"/>
      <c r="D68" s="304"/>
    </row>
    <row r="69" spans="1:4">
      <c r="A69" s="304"/>
      <c r="B69" s="304"/>
      <c r="C69" s="304"/>
      <c r="D69" s="304"/>
    </row>
    <row r="70" spans="1:4">
      <c r="A70" s="304"/>
      <c r="B70" s="304"/>
      <c r="C70" s="304"/>
      <c r="D70" s="304"/>
    </row>
    <row r="71" spans="1:4">
      <c r="A71" s="304"/>
      <c r="B71" s="304"/>
      <c r="C71" s="304"/>
      <c r="D71" s="304"/>
    </row>
    <row r="72" spans="1:4">
      <c r="A72" s="304"/>
      <c r="B72" s="304"/>
      <c r="C72" s="304"/>
      <c r="D72" s="304"/>
    </row>
    <row r="73" spans="1:4">
      <c r="A73" s="304"/>
      <c r="B73" s="304"/>
      <c r="C73" s="304"/>
      <c r="D73" s="304"/>
    </row>
    <row r="74" spans="1:4">
      <c r="A74" s="304"/>
      <c r="B74" s="304"/>
      <c r="C74" s="304"/>
      <c r="D74" s="304"/>
    </row>
    <row r="75" spans="1:4">
      <c r="A75" s="304"/>
      <c r="B75" s="304"/>
      <c r="C75" s="304"/>
      <c r="D75" s="304"/>
    </row>
    <row r="76" spans="1:4">
      <c r="A76" s="304"/>
      <c r="B76" s="304"/>
      <c r="C76" s="304"/>
      <c r="D76" s="304"/>
    </row>
    <row r="77" spans="1:4">
      <c r="A77" s="304"/>
      <c r="B77" s="304"/>
      <c r="C77" s="304"/>
      <c r="D77" s="304"/>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SheetLayoutView="85" workbookViewId="0">
      <selection activeCell="A4" sqref="A4:B4"/>
    </sheetView>
  </sheetViews>
  <sheetFormatPr defaultRowHeight="15"/>
  <cols>
    <col min="1" max="1" width="54.42578125" style="18" customWidth="1"/>
    <col min="2" max="2" width="32.28515625" style="18" customWidth="1"/>
  </cols>
  <sheetData>
    <row r="3" spans="1:2" ht="35.25" customHeight="1">
      <c r="A3" s="307" t="s">
        <v>233</v>
      </c>
      <c r="B3" s="307"/>
    </row>
    <row r="4" spans="1:2" ht="92.25" customHeight="1">
      <c r="A4" s="238"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MIRZAKULOV RUSTAMJON MUXAMADJANOVICH «CLEVER MIKROMOLIYA TASHKILOTI» MChJ bilan 7 mart 2025 y. sanasidagi №548-AL-sonli shartnomaning garov ta'minoti sifatida taqdim etilayotgan mulk KIA SEITOS G08M rusumli avtotransport vositasini qonunga xilof ravishda o‘zlashtirmaslikka, yashirmaslikka, nobud qilmaslikka yoki unga shikast yetkazmaslik majburiyatini olaman.</v>
      </c>
      <c r="B4" s="238"/>
    </row>
    <row r="5" spans="1:2" ht="56.25" customHeight="1">
      <c r="A5" s="308" t="s">
        <v>234</v>
      </c>
      <c r="B5" s="308"/>
    </row>
    <row r="6" spans="1:2" ht="42.75" customHeight="1"/>
    <row r="7" spans="1:2">
      <c r="A7" s="18" t="str">
        <f>'Общие данные'!B5</f>
        <v>MIRZAKULOV RUSTAMJON MUXAMADJANOVICH</v>
      </c>
      <c r="B7" s="165" t="s">
        <v>235</v>
      </c>
    </row>
    <row r="8" spans="1:2" ht="26.25" customHeight="1"/>
    <row r="9" spans="1:2" ht="26.25" customHeight="1"/>
    <row r="10" spans="1:2" ht="26.25" customHeight="1"/>
    <row r="11" spans="1:2">
      <c r="A11" s="18" t="str">
        <f>"sana:   "&amp;TEXT('Общие данные'!B2,"ДД.ММ.ГГГГ")&amp;" y."</f>
        <v>sana:   07.03.2025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77"/>
  <sheetViews>
    <sheetView view="pageBreakPreview" topLeftCell="A7" zoomScaleSheetLayoutView="100" workbookViewId="0">
      <selection activeCell="A25" sqref="A25:XFD25"/>
    </sheetView>
  </sheetViews>
  <sheetFormatPr defaultColWidth="9.140625" defaultRowHeight="15" outlineLevelRow="1"/>
  <cols>
    <col min="1" max="1" width="23.7109375" style="18" customWidth="1"/>
    <col min="2" max="5" width="17" style="18" customWidth="1"/>
    <col min="6" max="16384" width="9.140625" style="18"/>
  </cols>
  <sheetData>
    <row r="1" spans="1:5" ht="36" customHeight="1">
      <c r="A1" s="272" t="str">
        <f>""&amp;'Общие данные'!B147&amp;"mikromoliya tashkilotining Xulosasi"</f>
        <v>«CLEVER MIKROMOLIYA TASHKILOTI» MChJmikromoliya tashkilotining Xulosasi</v>
      </c>
      <c r="B1" s="272"/>
      <c r="C1" s="272"/>
      <c r="D1" s="272"/>
      <c r="E1" s="272"/>
    </row>
    <row r="2" spans="1:5">
      <c r="A2" s="238"/>
      <c r="B2" s="238"/>
      <c r="C2" s="238"/>
      <c r="D2" s="238"/>
      <c r="E2" s="238"/>
    </row>
    <row r="3" spans="1:5">
      <c r="A3" s="272" t="s">
        <v>215</v>
      </c>
      <c r="B3" s="272"/>
      <c r="C3" s="272"/>
      <c r="D3" s="272"/>
      <c r="E3" s="272"/>
    </row>
    <row r="4" spans="1:5" ht="18.75" customHeight="1">
      <c r="A4" s="238" t="str">
        <f>"Mijozning to'liq ismi sharifi: "&amp;'Общие данные'!B5&amp;""</f>
        <v>Mijozning to'liq ismi sharifi: MIRZAKULOV RUSTAMJON MUXAMADJANOVICH</v>
      </c>
      <c r="B4" s="238"/>
      <c r="C4" s="238"/>
      <c r="D4" s="238"/>
      <c r="E4" s="238"/>
    </row>
    <row r="5" spans="1:5">
      <c r="A5" s="238" t="str">
        <f>"Tug'ilgan sanasi: "&amp;'Общие данные'!B15&amp;""</f>
        <v>Tug'ilgan sanasi: 03.12.1988y</v>
      </c>
      <c r="B5" s="238"/>
      <c r="C5" s="238"/>
      <c r="D5" s="238"/>
      <c r="E5" s="238"/>
    </row>
    <row r="6" spans="1:5" ht="36" customHeight="1">
      <c r="A6" s="238" t="str">
        <f>"Pasport seriyasi "&amp;'Общие данные'!B16&amp;" "&amp;'Общие данные'!B20&amp;", amal qilish muddati - "&amp;'Общие данные'!B21&amp;""</f>
        <v>Pasport seriyasi AD9977942 IIV 27404 tomonidan 26.12.2024 yilda berilgan, amal qilish muddati - 25.12.2034 y.</v>
      </c>
      <c r="B6" s="238"/>
      <c r="C6" s="238"/>
      <c r="D6" s="238"/>
      <c r="E6" s="238"/>
    </row>
    <row r="7" spans="1:5" ht="48" customHeight="1">
      <c r="A7" s="238" t="str">
        <f>"Ro‘yxatdan o‘tgan manzili: "&amp;'Общие данные'!B28&amp;", mo'ljal: "&amp;'Общие данные'!B26&amp;""</f>
        <v>Ro‘yxatdan o‘tgan manzili: TOSHKENT VILOYATI OLMALIQ SHAHAR O`ZBEKISTON MFY OQTOSHKO`CHASI 47-UY, mo'ljal: 19 KANECHKASI SHANXAY</v>
      </c>
      <c r="B7" s="238"/>
      <c r="C7" s="238"/>
      <c r="D7" s="238"/>
      <c r="E7" s="238"/>
    </row>
    <row r="8" spans="1:5" ht="23.25" customHeight="1">
      <c r="A8" s="238" t="str">
        <f>"Ish joyi: "&amp;'Общие данные'!B52&amp;" lavozimi "&amp;'Общие данные'!B49&amp;"da "&amp;'Общие данные'!B44&amp;""</f>
        <v>Ish joyi:  lavozimi Yakka tartibdagi tadbirkorda Yakka tartibdagi tadbirkor</v>
      </c>
      <c r="B8" s="238"/>
      <c r="C8" s="238"/>
      <c r="D8" s="238"/>
      <c r="E8" s="238"/>
    </row>
    <row r="9" spans="1:5">
      <c r="A9" s="238"/>
      <c r="B9" s="238"/>
      <c r="C9" s="238"/>
      <c r="D9" s="238"/>
      <c r="E9" s="238"/>
    </row>
    <row r="10" spans="1:5">
      <c r="A10" s="272" t="str">
        <f>"Mijoz tomonidan so’ralgan "&amp;'Общие данные'!B65&amp;" shartlari:"</f>
        <v>Mijoz tomonidan so’ralgan mikroqarz shartlari:</v>
      </c>
      <c r="B10" s="272"/>
      <c r="C10" s="272"/>
      <c r="D10" s="272"/>
      <c r="E10" s="272"/>
    </row>
    <row r="11" spans="1:5">
      <c r="A11" s="238" t="str">
        <f>'Кредитная заявка'!A13:D13</f>
        <v>Mikroqarz summasi: 55 000 000,00 (ellik besh million so'm) so'm.</v>
      </c>
      <c r="B11" s="238"/>
      <c r="C11" s="238"/>
      <c r="D11" s="238"/>
      <c r="E11" s="238"/>
    </row>
    <row r="12" spans="1:5">
      <c r="A12" s="238" t="str">
        <f>'Кредитная заявка'!A14:D14</f>
        <v>Mikroqarz muddati: 12 (o'n ikki) oy.</v>
      </c>
      <c r="B12" s="238"/>
      <c r="C12" s="238"/>
      <c r="D12" s="238"/>
      <c r="E12" s="238"/>
    </row>
    <row r="13" spans="1:5">
      <c r="A13" s="238" t="str">
        <f>'Кредитная заявка'!A15:D15</f>
        <v>Mikroqarzdan foydalanganlik uchun foiz stavkasi: yillik  60% (Oltmish) foiz</v>
      </c>
      <c r="B13" s="238"/>
      <c r="C13" s="238"/>
      <c r="D13" s="238"/>
      <c r="E13" s="238"/>
    </row>
    <row r="14" spans="1:5">
      <c r="A14" s="238" t="str">
        <f>'Кредитная заявка'!A16:D16</f>
        <v>Mikroqarz bo'yicha asosiy qarz va foizlarni to'lash:</v>
      </c>
      <c r="B14" s="238"/>
      <c r="C14" s="238"/>
      <c r="D14" s="238"/>
      <c r="E14" s="238"/>
    </row>
    <row r="15" spans="1:5" ht="18.75" customHeight="1">
      <c r="A15" s="238" t="str">
        <f>'Кредитная заявка'!A19:D19</f>
        <v xml:space="preserve"> - mikroqarz shartnomasi bo'yicha har oy differensial to'lovlari amalga oshiriladi</v>
      </c>
      <c r="B15" s="238"/>
      <c r="C15" s="238"/>
      <c r="D15" s="238"/>
      <c r="E15" s="238"/>
    </row>
    <row r="16" spans="1:5" ht="14.25" customHeight="1">
      <c r="A16" s="248" t="str">
        <f>'Кредитная заявка'!A20:D20</f>
        <v xml:space="preserve">   </v>
      </c>
      <c r="B16" s="248"/>
      <c r="C16" s="248"/>
      <c r="D16" s="248"/>
      <c r="E16" s="248"/>
    </row>
    <row r="17" spans="1:5">
      <c r="A17" s="238" t="str">
        <f>'Кредитная заявка'!A21:D21</f>
        <v>Mikroqarz ta’minoti::</v>
      </c>
      <c r="B17" s="238"/>
      <c r="C17" s="238"/>
      <c r="D17" s="238"/>
      <c r="E17" s="238"/>
    </row>
    <row r="18" spans="1:5" ht="67.5" customHeight="1">
      <c r="A18" s="238" t="str">
        <f>'Кредитная заявка'!A22:D22</f>
        <v xml:space="preserve">  Egalik huquqi MIRZAKULOV RUSTAMJON MUXAMADJANOVICHga tegishli bo'lgan garovga olingan avtomobil markasi   KIA SEITOS G08M, rangi -  OQ BELIY JEMCHUG-OK, ishlab chiqarilgan yili - 2023, davlat raqam belgisi 10L832HB, Kuzov turi YENGIL SEDAN, Kuzov raqami XWBJF69VELA059410, dvigatel raqami G4NHPH325362, shassi raqami -  - </v>
      </c>
      <c r="B18" s="238"/>
      <c r="C18" s="238"/>
      <c r="D18" s="238"/>
      <c r="E18" s="238"/>
    </row>
    <row r="19" spans="1:5">
      <c r="A19" s="272" t="s">
        <v>216</v>
      </c>
      <c r="B19" s="272"/>
      <c r="C19" s="272"/>
      <c r="D19" s="272"/>
      <c r="E19" s="272"/>
    </row>
    <row r="20" spans="1:5" ht="33" customHeight="1">
      <c r="A20" s="238" t="str">
        <f>"Anketaga muvofiq "&amp;'Общие данные'!B9&amp;"ning o‘rtacha oylik daromadi  "&amp;FIXED('Общие данные'!B60)&amp;" so‘mni tashkil etdi."</f>
        <v>Anketaga muvofiq MIRZAKULOV R.M.ning o‘rtacha oylik daromadi  17 800 000,00 so‘mni tashkil etdi.</v>
      </c>
      <c r="B20" s="238"/>
      <c r="C20" s="238"/>
      <c r="D20" s="238"/>
      <c r="E20" s="238"/>
    </row>
    <row r="21" spans="1:5" ht="21" customHeight="1">
      <c r="A21" s="238" t="str">
        <f>"Mijozning o'rtacha oylik xarajatlari "&amp;FIXED('Анкета Клиента'!F27)&amp;" so'mni tashkil etdi"</f>
        <v>Mijozning o'rtacha oylik xarajatlari 1 500 000,00 so'mni tashkil etdi</v>
      </c>
      <c r="B21" s="238"/>
      <c r="C21" s="238"/>
      <c r="D21" s="238"/>
      <c r="E21" s="238"/>
    </row>
    <row r="22" spans="1:5" ht="18.75" customHeight="1">
      <c r="A22" s="238" t="str">
        <f>IF('Общие данные'!B77='Общие данные'!C77,'Заключение КК'!A23:E23,'Заключение КК'!A24:E24)</f>
        <v>Mikroqarz shartnomasi bo'yicha birinchi oy uchun to'lov 7 386 073,09 so'mni tashkil etadi.</v>
      </c>
      <c r="B22" s="238"/>
      <c r="C22" s="238"/>
      <c r="D22" s="238"/>
      <c r="E22" s="238"/>
    </row>
    <row r="23" spans="1:5" ht="26.25" hidden="1" customHeight="1">
      <c r="A23" s="238" t="str">
        <f>""&amp;'Общие данные'!C64&amp;" shartnomasi bo'yicha birinchi oy uchun to'lov "&amp;FIXED('Общие данные'!B90)&amp;" so'mni tashkil etadi."</f>
        <v>Mikroqarz shartnomasi bo'yicha birinchi oy uchun to'lov 7 386 073,09 so'mni tashkil etadi.</v>
      </c>
      <c r="B23" s="238"/>
      <c r="C23" s="238"/>
      <c r="D23" s="238"/>
      <c r="E23" s="238"/>
    </row>
    <row r="24" spans="1:5" ht="26.25" hidden="1" customHeight="1">
      <c r="A24" s="238" t="str">
        <f>""&amp;'Общие данные'!C64&amp;" bo‘yicha oylik "&amp;'Общие данные'!B77&amp;" to‘lovi miqdori "&amp;FIXED('Общие данные'!B90)&amp;" so‘mni tashkil etadi."</f>
        <v>Mikroqarz bo‘yicha oylik differensial to‘lovi miqdori 7 386 073,09 so‘mni tashkil etadi.</v>
      </c>
      <c r="B24" s="238"/>
      <c r="C24" s="238"/>
      <c r="D24" s="238"/>
      <c r="E24" s="238"/>
    </row>
    <row r="25" spans="1:5" ht="62.25" hidden="1" customHeight="1">
      <c r="A25" s="248" t="s">
        <v>420</v>
      </c>
      <c r="B25" s="248"/>
      <c r="C25" s="248"/>
      <c r="D25" s="248"/>
      <c r="E25" s="248"/>
    </row>
    <row r="26" spans="1:5" ht="19.5" customHeight="1">
      <c r="A26" s="272" t="str">
        <f>""&amp;'Общие данные'!C64&amp;" bo’yicha ta’minot:"</f>
        <v>Mikroqarz bo’yicha ta’minot:</v>
      </c>
      <c r="B26" s="272"/>
      <c r="C26" s="272"/>
      <c r="D26" s="272"/>
      <c r="E26" s="272"/>
    </row>
    <row r="27" spans="1:5" ht="31.5" hidden="1" customHeight="1">
      <c r="A27" s="238" t="str">
        <f>" - "&amp;'Общие данные'!B117&amp;" ga mulk huquqi asosida tegishli avtotransport vositasi "&amp;'Общие данные'!B125&amp;" , quyidagi tafsilotlarga muvofiq:"</f>
        <v xml:space="preserve"> - MIRZAKULOV RUSTAMJON MUXAMADJANOVICH ga mulk huquqi asosida tegishli avtotransport vositasi KIA SEITOS G08M , quyidagi tafsilotlarga muvofiq:</v>
      </c>
      <c r="B27" s="238"/>
      <c r="C27" s="238"/>
      <c r="D27" s="238"/>
      <c r="E27" s="238"/>
    </row>
    <row r="28" spans="1:5" ht="67.5" hidden="1" customHeight="1">
      <c r="A28" s="238" t="str">
        <f>" -   "&amp;'Общие данные'!C117&amp;" ga mulk huquqi asosida tegishli ko'chmas mulk shaklida "&amp;'Общие данные'!C126&amp;", manzili: "&amp;'Общие данные'!C123&amp;", quyidagi tafsilotlarga muvofiq:"</f>
        <v xml:space="preserve"> -   SHOUSMANOVA DAVLATXON XXX ga mulk huquqi asosida tegishli ko'chmas mulk shaklida 3 - xonali yakka tartibdagi uy-joy, manzili: SAMARQAND VILOYATI TAYLOQ TUMANI CHAROG'BON MFY YANGI TAYLOQ QISHLOG'I 6 TURAR JOY 12 QAVAT 58 XONADON, quyidagi tafsilotlarga muvofiq:</v>
      </c>
      <c r="B28" s="238"/>
      <c r="C28" s="238"/>
      <c r="D28" s="238"/>
      <c r="E28" s="238"/>
    </row>
    <row r="29" spans="1:5" ht="35.25" customHeight="1">
      <c r="A29" s="238" t="str">
        <f>IF('Общие данные'!B103="Avtotransport",'Заключение КК'!A27:E27,'Заключение КК'!A28:E28)</f>
        <v xml:space="preserve"> - MIRZAKULOV RUSTAMJON MUXAMADJANOVICH ga mulk huquqi asosida tegishli avtotransport vositasi KIA SEITOS G08M , quyidagi tafsilotlarga muvofiq:</v>
      </c>
      <c r="B29" s="238"/>
      <c r="C29" s="238"/>
      <c r="D29" s="238"/>
      <c r="E29" s="238"/>
    </row>
    <row r="30" spans="1:5" s="19" customFormat="1" ht="47.25" customHeight="1" outlineLevel="1">
      <c r="A30" s="42" t="s">
        <v>217</v>
      </c>
      <c r="B30" s="42" t="s">
        <v>218</v>
      </c>
      <c r="C30" s="42" t="s">
        <v>219</v>
      </c>
      <c r="D30" s="42" t="s">
        <v>220</v>
      </c>
      <c r="E30" s="42" t="s">
        <v>221</v>
      </c>
    </row>
    <row r="31" spans="1:5" s="23" customFormat="1" ht="92.25" customHeight="1" outlineLevel="1">
      <c r="A31" s="20" t="str">
        <f>'Общие данные'!B125</f>
        <v>KIA SEITOS G08M</v>
      </c>
      <c r="B31" s="20" t="str">
        <f>'Общие данные'!B127</f>
        <v>Kuzov turi YENGIL SEDAN, Kuzov raqami XWBJF69VELA059410</v>
      </c>
      <c r="C31" s="20" t="str">
        <f>'Общие данные'!B130</f>
        <v xml:space="preserve">dvigatel raqami G4NHPH325362, shassi raqami -  - </v>
      </c>
      <c r="D31" s="20" t="str">
        <f>'Общие данные'!B133</f>
        <v>rangi -  OQ BELIY JEMCHUG-OK, ishlab chiqarilgan yili - 2023</v>
      </c>
      <c r="E31" s="20" t="str">
        <f>""&amp;FIXED('Общие данные'!B136)&amp;" ("&amp;'Общие данные'!B137&amp;")"</f>
        <v>82 500 000,00 (sakson ikki million besh yuz ming so'm)</v>
      </c>
    </row>
    <row r="32" spans="1:5" outlineLevel="1">
      <c r="A32" s="238" t="str">
        <f>"-* avtotransport vositasining mulkdori: "&amp;'Общие данные'!B117&amp;""</f>
        <v>-* avtotransport vositasining mulkdori: MIRZAKULOV RUSTAMJON MUXAMADJANOVICH</v>
      </c>
      <c r="B32" s="238"/>
      <c r="C32" s="238"/>
      <c r="D32" s="238"/>
      <c r="E32" s="238"/>
    </row>
    <row r="33" spans="1:5" outlineLevel="1">
      <c r="A33" s="238" t="str">
        <f>"-* texpasport raqami:: "&amp;'Общие данные'!B124&amp;""</f>
        <v>-* texpasport raqami:: AAG  3632549  05.03.2024 y.</v>
      </c>
      <c r="B33" s="238"/>
      <c r="C33" s="238"/>
      <c r="D33" s="238"/>
      <c r="E33" s="238"/>
    </row>
    <row r="34" spans="1:5" ht="33" customHeight="1" outlineLevel="1">
      <c r="A34" s="238" t="str">
        <f>"-* roʻyxatdan oʻtgan manzili/garaj manzili: "&amp;'Общие данные'!B122&amp;""</f>
        <v>-* roʻyxatdan oʻtgan manzili/garaj manzili: TOSHKENT VILOYATI OLMALIQ SHAHAR O`ZBEKISTON MFY OQTOSHKO`CHASI 47-UY</v>
      </c>
      <c r="B34" s="238"/>
      <c r="C34" s="238"/>
      <c r="D34" s="238"/>
      <c r="E34" s="238"/>
    </row>
    <row r="35" spans="1:5" outlineLevel="1">
      <c r="A35" s="238" t="str">
        <f>"-* davlat raqami: "&amp;'Общие данные'!B126&amp;""</f>
        <v>-* davlat raqami: 10L832HB</v>
      </c>
      <c r="B35" s="238"/>
      <c r="C35" s="238"/>
      <c r="D35" s="238"/>
      <c r="E35" s="238"/>
    </row>
    <row r="36" spans="1:5" ht="9.75" customHeight="1">
      <c r="A36" s="22"/>
      <c r="B36" s="22"/>
      <c r="C36" s="22"/>
      <c r="D36" s="22"/>
      <c r="E36" s="22"/>
    </row>
    <row r="37" spans="1:5" ht="57" hidden="1" outlineLevel="1">
      <c r="A37" s="42" t="s">
        <v>217</v>
      </c>
      <c r="B37" s="42" t="s">
        <v>285</v>
      </c>
      <c r="C37" s="42" t="s">
        <v>286</v>
      </c>
      <c r="D37" s="42" t="s">
        <v>287</v>
      </c>
      <c r="E37" s="42" t="s">
        <v>221</v>
      </c>
    </row>
    <row r="38" spans="1:5" ht="21.75" hidden="1" customHeight="1" outlineLevel="1">
      <c r="A38" s="56" t="str">
        <f>'Акт согласования'!A51</f>
        <v>Yashash xona</v>
      </c>
      <c r="B38" s="60">
        <f>'Акт согласования'!B51</f>
        <v>0</v>
      </c>
      <c r="C38" s="60">
        <f>'Акт согласования'!C51</f>
        <v>37.39</v>
      </c>
      <c r="D38" s="60">
        <f>'Акт согласования'!D51</f>
        <v>37.39</v>
      </c>
      <c r="E38" s="278" t="str">
        <f>""&amp;FIXED('Общие данные'!C136,2)&amp;" ("&amp;'Общие данные'!C137&amp;")"</f>
        <v>82 500 000,00 (sakson ikki million besh yuz ming so'm)</v>
      </c>
    </row>
    <row r="39" spans="1:5" ht="21.75" hidden="1" customHeight="1" outlineLevel="1">
      <c r="A39" s="56">
        <f>'Акт согласования'!A52</f>
        <v>0</v>
      </c>
      <c r="B39" s="60">
        <f>'Акт согласования'!B52</f>
        <v>0</v>
      </c>
      <c r="C39" s="60">
        <f>'Акт согласования'!C52</f>
        <v>0</v>
      </c>
      <c r="D39" s="60">
        <f>'Акт согласования'!D52</f>
        <v>0</v>
      </c>
      <c r="E39" s="278"/>
    </row>
    <row r="40" spans="1:5" ht="21.75" hidden="1" customHeight="1" outlineLevel="1">
      <c r="A40" s="56" t="str">
        <f>'Акт согласования'!A53</f>
        <v>Noturar joy</v>
      </c>
      <c r="B40" s="60">
        <f>'Акт согласования'!B53</f>
        <v>34.74</v>
      </c>
      <c r="C40" s="60">
        <f>'Акт согласования'!C53</f>
        <v>0</v>
      </c>
      <c r="D40" s="60">
        <f>'Акт согласования'!D53</f>
        <v>34.74</v>
      </c>
      <c r="E40" s="278"/>
    </row>
    <row r="41" spans="1:5" ht="21.75" hidden="1" customHeight="1" outlineLevel="1">
      <c r="A41" s="56">
        <f>'Акт согласования'!A54</f>
        <v>0</v>
      </c>
      <c r="B41" s="60">
        <f>'Акт согласования'!B54</f>
        <v>0</v>
      </c>
      <c r="C41" s="60">
        <f>'Акт согласования'!C54</f>
        <v>0</v>
      </c>
      <c r="D41" s="60">
        <f>'Акт согласования'!D54</f>
        <v>0</v>
      </c>
      <c r="E41" s="278"/>
    </row>
    <row r="42" spans="1:5" ht="21.75" hidden="1" customHeight="1" outlineLevel="1">
      <c r="A42" s="56">
        <f>'Акт согласования'!A55</f>
        <v>0</v>
      </c>
      <c r="B42" s="60">
        <f>'Акт согласования'!B55</f>
        <v>0</v>
      </c>
      <c r="C42" s="60">
        <f>'Акт согласования'!C55</f>
        <v>0</v>
      </c>
      <c r="D42" s="60">
        <f>'Акт согласования'!D55</f>
        <v>0</v>
      </c>
      <c r="E42" s="278"/>
    </row>
    <row r="43" spans="1:5" ht="21.75" hidden="1" customHeight="1" outlineLevel="1">
      <c r="A43" s="56">
        <f>'Акт согласования'!A56</f>
        <v>0</v>
      </c>
      <c r="B43" s="60">
        <f>'Акт согласования'!B56</f>
        <v>0</v>
      </c>
      <c r="C43" s="60">
        <f>'Акт согласования'!C56</f>
        <v>0</v>
      </c>
      <c r="D43" s="60">
        <f>'Акт согласования'!D56</f>
        <v>0</v>
      </c>
      <c r="E43" s="278"/>
    </row>
    <row r="44" spans="1:5" ht="21.75" hidden="1" customHeight="1" outlineLevel="1">
      <c r="A44" s="56">
        <f>'Акт согласования'!A57</f>
        <v>0</v>
      </c>
      <c r="B44" s="60">
        <f>'Акт согласования'!B57</f>
        <v>0</v>
      </c>
      <c r="C44" s="60">
        <f>'Акт согласования'!C57</f>
        <v>0</v>
      </c>
      <c r="D44" s="60">
        <f>'Акт согласования'!D57</f>
        <v>0</v>
      </c>
      <c r="E44" s="278"/>
    </row>
    <row r="45" spans="1:5" ht="21.75" hidden="1" customHeight="1" outlineLevel="1">
      <c r="A45" s="56">
        <f>'Акт согласования'!A58</f>
        <v>0</v>
      </c>
      <c r="B45" s="60">
        <f>'Акт согласования'!B58</f>
        <v>0</v>
      </c>
      <c r="C45" s="60">
        <f>'Акт согласования'!C58</f>
        <v>0</v>
      </c>
      <c r="D45" s="60">
        <f>'Акт согласования'!D58</f>
        <v>0</v>
      </c>
      <c r="E45" s="278"/>
    </row>
    <row r="46" spans="1:5" ht="21.75" hidden="1" customHeight="1" outlineLevel="1">
      <c r="A46" s="56">
        <f>'Акт согласования'!A59</f>
        <v>0</v>
      </c>
      <c r="B46" s="60">
        <f>'Акт согласования'!B59</f>
        <v>0</v>
      </c>
      <c r="C46" s="60">
        <f>'Акт согласования'!C59</f>
        <v>0</v>
      </c>
      <c r="D46" s="60">
        <f>'Акт согласования'!D59</f>
        <v>0</v>
      </c>
      <c r="E46" s="278"/>
    </row>
    <row r="47" spans="1:5" ht="21.75" hidden="1" customHeight="1" outlineLevel="1">
      <c r="A47" s="56">
        <f>'Акт согласования'!A60</f>
        <v>0</v>
      </c>
      <c r="B47" s="60">
        <f>'Акт согласования'!B60</f>
        <v>0</v>
      </c>
      <c r="C47" s="60">
        <f>'Акт согласования'!C60</f>
        <v>0</v>
      </c>
      <c r="D47" s="60">
        <f>'Акт согласования'!D60</f>
        <v>0</v>
      </c>
      <c r="E47" s="278"/>
    </row>
    <row r="48" spans="1:5" hidden="1" outlineLevel="1">
      <c r="A48" s="56">
        <f>'Акт согласования'!A61</f>
        <v>0</v>
      </c>
      <c r="B48" s="60">
        <f>'Акт согласования'!B61</f>
        <v>0</v>
      </c>
      <c r="C48" s="60">
        <f>'Акт согласования'!C61</f>
        <v>0</v>
      </c>
      <c r="D48" s="60">
        <f>'Акт согласования'!D61</f>
        <v>0</v>
      </c>
      <c r="E48" s="278"/>
    </row>
    <row r="49" spans="1:5" s="40" customFormat="1" ht="14.25" hidden="1" outlineLevel="1">
      <c r="A49" s="57" t="str">
        <f>'Акт согласования'!A62</f>
        <v>JAMI</v>
      </c>
      <c r="B49" s="61">
        <f>'Акт согласования'!B62</f>
        <v>34.74</v>
      </c>
      <c r="C49" s="61">
        <f>'Акт согласования'!C62</f>
        <v>37.39</v>
      </c>
      <c r="D49" s="61">
        <f>'Акт согласования'!D62</f>
        <v>72.13</v>
      </c>
      <c r="E49" s="62" t="str">
        <f>'Акт согласования'!E62</f>
        <v>82 500 000,00</v>
      </c>
    </row>
    <row r="50" spans="1:5" s="40" customFormat="1" hidden="1" outlineLevel="1">
      <c r="A50" s="238" t="str">
        <f>"-* ko'chmas mulk egasi: "&amp;'Общие данные'!C117&amp;""</f>
        <v>-* ko'chmas mulk egasi: SHOUSMANOVA DAVLATXON XXX</v>
      </c>
      <c r="B50" s="238"/>
      <c r="C50" s="238"/>
      <c r="D50" s="238"/>
      <c r="E50" s="238"/>
    </row>
    <row r="51" spans="1:5" s="40" customFormat="1" hidden="1" outlineLevel="1">
      <c r="A51" s="238" t="str">
        <f>"-* reestr raqami: "&amp;'Общие данные'!C124&amp;""</f>
        <v>-* reestr raqami: 1718238/R-A1419303</v>
      </c>
      <c r="B51" s="238"/>
      <c r="C51" s="238"/>
      <c r="D51" s="238"/>
      <c r="E51" s="238"/>
    </row>
    <row r="52" spans="1:5" s="40" customFormat="1" hidden="1" outlineLevel="1">
      <c r="A52" s="238" t="str">
        <f>"-* kadastr raqami: "&amp;'Общие данные'!C127&amp;""</f>
        <v>-* kadastr raqami: №14:13:02:01:03:1179:0006:058 от 16.12.2020 г.</v>
      </c>
      <c r="B52" s="238"/>
      <c r="C52" s="238"/>
      <c r="D52" s="238"/>
      <c r="E52" s="238"/>
    </row>
    <row r="53" spans="1:5" s="40" customFormat="1" hidden="1" outlineLevel="1">
      <c r="A53" s="238" t="str">
        <f>"-* manzili: "&amp;'Общие данные'!C123&amp;""</f>
        <v>-* manzili: SAMARQAND VILOYATI TAYLOQ TUMANI CHAROG'BON MFY YANGI TAYLOQ QISHLOG'I 6 TURAR JOY 12 QAVAT 58 XONADON</v>
      </c>
      <c r="B53" s="238"/>
      <c r="C53" s="238"/>
      <c r="D53" s="238"/>
      <c r="E53" s="238"/>
    </row>
    <row r="54" spans="1:5" ht="9" customHeight="1" collapsed="1">
      <c r="A54" s="238"/>
      <c r="B54" s="238"/>
      <c r="C54" s="238"/>
      <c r="D54" s="238"/>
      <c r="E54" s="238"/>
    </row>
    <row r="55" spans="1:5" ht="39" customHeight="1">
      <c r="A55" s="272" t="str">
        <f>""&amp;'Общие данные'!B147&amp;"mikromoliya tashkilotining Xulosasi"</f>
        <v>«CLEVER MIKROMOLIYA TASHKILOTI» MChJmikromoliya tashkilotining Xulosasi</v>
      </c>
      <c r="B55" s="272"/>
      <c r="C55" s="272"/>
      <c r="D55" s="272"/>
      <c r="E55" s="272"/>
    </row>
    <row r="56" spans="1:5" ht="48" customHeight="1">
      <c r="A56" s="238" t="str">
        <f>""&amp;'Общие данные'!B147&amp;" kredit qo‘mitasining xulosasiga quyidagi shartlarda "&amp;'Общие данные'!B10&amp;"ga "&amp;'Общие данные'!B65&amp;" berish masalasi kiritiladi:"</f>
        <v>«CLEVER MIKROMOLIYA TASHKILOTI» MChJ kredit qo‘mitasining xulosasiga quyidagi shartlarda MIRZAKULOV RUSTAMJON MUXAMADJANOVICHga mikroqarz berish masalasi kiritiladi:</v>
      </c>
      <c r="B56" s="238"/>
      <c r="C56" s="238"/>
      <c r="D56" s="238"/>
      <c r="E56" s="238"/>
    </row>
    <row r="57" spans="1:5">
      <c r="A57" s="238" t="str">
        <f>A11</f>
        <v>Mikroqarz summasi: 55 000 000,00 (ellik besh million so'm) so'm.</v>
      </c>
      <c r="B57" s="238"/>
      <c r="C57" s="238"/>
      <c r="D57" s="238"/>
      <c r="E57" s="238"/>
    </row>
    <row r="58" spans="1:5">
      <c r="A58" s="238" t="str">
        <f t="shared" ref="A58:A64" si="0">A12</f>
        <v>Mikroqarz muddati: 12 (o'n ikki) oy.</v>
      </c>
      <c r="B58" s="238"/>
      <c r="C58" s="238"/>
      <c r="D58" s="238"/>
      <c r="E58" s="238"/>
    </row>
    <row r="59" spans="1:5">
      <c r="A59" s="238" t="str">
        <f t="shared" si="0"/>
        <v>Mikroqarzdan foydalanganlik uchun foiz stavkasi: yillik  60% (Oltmish) foiz</v>
      </c>
      <c r="B59" s="238"/>
      <c r="C59" s="238"/>
      <c r="D59" s="238"/>
      <c r="E59" s="238"/>
    </row>
    <row r="60" spans="1:5">
      <c r="A60" s="238" t="str">
        <f t="shared" si="0"/>
        <v>Mikroqarz bo'yicha asosiy qarz va foizlarni to'lash:</v>
      </c>
      <c r="B60" s="238"/>
      <c r="C60" s="238"/>
      <c r="D60" s="238"/>
      <c r="E60" s="238"/>
    </row>
    <row r="61" spans="1:5" ht="20.25" customHeight="1">
      <c r="A61" s="238" t="str">
        <f t="shared" si="0"/>
        <v xml:space="preserve"> - mikroqarz shartnomasi bo'yicha har oy differensial to'lovlari amalga oshiriladi</v>
      </c>
      <c r="B61" s="238"/>
      <c r="C61" s="238"/>
      <c r="D61" s="238"/>
      <c r="E61" s="238"/>
    </row>
    <row r="62" spans="1:5" ht="26.25" customHeight="1">
      <c r="A62" s="238" t="str">
        <f t="shared" si="0"/>
        <v xml:space="preserve">   </v>
      </c>
      <c r="B62" s="238"/>
      <c r="C62" s="238"/>
      <c r="D62" s="238"/>
      <c r="E62" s="238"/>
    </row>
    <row r="63" spans="1:5">
      <c r="A63" s="238" t="str">
        <f t="shared" si="0"/>
        <v>Mikroqarz ta’minoti::</v>
      </c>
      <c r="B63" s="238"/>
      <c r="C63" s="238"/>
      <c r="D63" s="238"/>
      <c r="E63" s="238"/>
    </row>
    <row r="64" spans="1:5" ht="72" customHeight="1">
      <c r="A64" s="238" t="str">
        <f t="shared" si="0"/>
        <v xml:space="preserve">  Egalik huquqi MIRZAKULOV RUSTAMJON MUXAMADJANOVICHga tegishli bo'lgan garovga olingan avtomobil markasi   KIA SEITOS G08M, rangi -  OQ BELIY JEMCHUG-OK, ishlab chiqarilgan yili - 2023, davlat raqam belgisi 10L832HB, Kuzov turi YENGIL SEDAN, Kuzov raqami XWBJF69VELA059410, dvigatel raqami G4NHPH325362, shassi raqami -  - </v>
      </c>
      <c r="B64" s="238"/>
      <c r="C64" s="238"/>
      <c r="D64" s="238"/>
      <c r="E64" s="238"/>
    </row>
    <row r="65" spans="1:5">
      <c r="A65" s="238"/>
      <c r="B65" s="238"/>
      <c r="C65" s="238"/>
      <c r="D65" s="238"/>
      <c r="E65" s="238"/>
    </row>
    <row r="66" spans="1:5" ht="36.75" customHeight="1">
      <c r="A66" s="238" t="str">
        <f>""&amp;'Общие данные'!B147&amp;" mikromoliya tashkilotining xulosasi  "&amp;TEXT('Общие данные'!B2,"ДД.ММ.ГГГГ")&amp;" y. tayyorlangan"</f>
        <v>«CLEVER MIKROMOLIYA TASHKILOTI» MChJ mikromoliya tashkilotining xulosasi  07.03.2025 y. tayyorlangan</v>
      </c>
      <c r="B66" s="238"/>
      <c r="C66" s="238"/>
      <c r="D66" s="238"/>
      <c r="E66" s="238"/>
    </row>
    <row r="67" spans="1:5">
      <c r="A67" s="238"/>
      <c r="B67" s="238"/>
      <c r="C67" s="238"/>
      <c r="D67" s="238"/>
      <c r="E67" s="238"/>
    </row>
    <row r="68" spans="1:5" ht="15.75" customHeight="1">
      <c r="A68" s="248"/>
      <c r="B68" s="248"/>
      <c r="C68" s="248"/>
      <c r="D68" s="25"/>
      <c r="E68" s="26"/>
    </row>
    <row r="69" spans="1:5" ht="35.25" customHeight="1">
      <c r="A69" s="248" t="str">
        <f>'Общие данные'!A161</f>
        <v>Olmaliq filiali boshlig'i</v>
      </c>
      <c r="B69" s="248"/>
      <c r="C69" s="248"/>
      <c r="D69" s="26"/>
      <c r="E69" s="26" t="str">
        <f>'Общие данные'!B161</f>
        <v>Yerjanov V.Y.</v>
      </c>
    </row>
    <row r="70" spans="1:5">
      <c r="A70" s="238"/>
      <c r="B70" s="238"/>
      <c r="C70" s="238"/>
      <c r="D70" s="238"/>
      <c r="E70" s="238"/>
    </row>
    <row r="71" spans="1:5" ht="47.25" customHeight="1">
      <c r="A71" s="238"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71" s="238"/>
      <c r="C71" s="238"/>
      <c r="D71" s="238"/>
      <c r="E71" s="238"/>
    </row>
    <row r="72" spans="1:5">
      <c r="A72" s="22"/>
      <c r="B72" s="22"/>
      <c r="C72" s="22"/>
      <c r="D72" s="22"/>
      <c r="E72" s="22"/>
    </row>
    <row r="73" spans="1:5" ht="21" customHeight="1">
      <c r="A73" s="309" t="s">
        <v>415</v>
      </c>
      <c r="B73" s="309"/>
      <c r="C73" s="22"/>
      <c r="D73" s="22"/>
      <c r="E73" s="22"/>
    </row>
    <row r="74" spans="1:5">
      <c r="A74" s="22"/>
      <c r="B74" s="22"/>
      <c r="C74" s="22"/>
      <c r="D74" s="22"/>
      <c r="E74" s="22"/>
    </row>
    <row r="75" spans="1:5">
      <c r="A75" s="248" t="str">
        <f>'Общие данные'!B160</f>
        <v xml:space="preserve"> Jumanazarov B.T</v>
      </c>
      <c r="B75" s="248"/>
      <c r="C75" s="25"/>
      <c r="D75" s="25"/>
      <c r="E75" s="25"/>
    </row>
    <row r="76" spans="1:5">
      <c r="A76" s="65"/>
      <c r="B76" s="65"/>
      <c r="C76" s="25"/>
      <c r="D76" s="25"/>
      <c r="E76" s="25"/>
    </row>
    <row r="77" spans="1:5" ht="21" customHeight="1">
      <c r="A77" s="238" t="str">
        <f>'Общие данные'!B159</f>
        <v>Mominov B.X.</v>
      </c>
      <c r="B77" s="238"/>
      <c r="C77" s="238"/>
      <c r="D77" s="238"/>
      <c r="E77" s="238"/>
    </row>
  </sheetData>
  <mergeCells count="59">
    <mergeCell ref="A71:E71"/>
    <mergeCell ref="A77:E77"/>
    <mergeCell ref="A56:E56"/>
    <mergeCell ref="A57:E57"/>
    <mergeCell ref="A58:E58"/>
    <mergeCell ref="A59:E59"/>
    <mergeCell ref="A60:E60"/>
    <mergeCell ref="A61:E61"/>
    <mergeCell ref="A62:E62"/>
    <mergeCell ref="A63:E63"/>
    <mergeCell ref="A64:E64"/>
    <mergeCell ref="A65:E65"/>
    <mergeCell ref="A73:B73"/>
    <mergeCell ref="A75:B75"/>
    <mergeCell ref="A66:E66"/>
    <mergeCell ref="A67:E67"/>
    <mergeCell ref="A70:E70"/>
    <mergeCell ref="A33:E33"/>
    <mergeCell ref="A34:E34"/>
    <mergeCell ref="A35:E35"/>
    <mergeCell ref="A54:E54"/>
    <mergeCell ref="A55:E55"/>
    <mergeCell ref="E38:E48"/>
    <mergeCell ref="A50:E50"/>
    <mergeCell ref="A51:E51"/>
    <mergeCell ref="A52:E52"/>
    <mergeCell ref="A53:E53"/>
    <mergeCell ref="A68:C68"/>
    <mergeCell ref="A69:C69"/>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conditionalFormatting sqref="A38:D49">
    <cfRule type="cellIs" dxfId="2" priority="1" operator="lessThan">
      <formula>0.1</formula>
    </cfRule>
    <cfRule type="cellIs" priority="2" operator="lessThan">
      <formula>0.1</formula>
    </cfRule>
  </conditionalFormatting>
  <pageMargins left="0.7" right="0.7" top="0.75" bottom="0.75" header="0.3" footer="0.3"/>
  <pageSetup paperSize="9" scale="8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zoomScale="55" zoomScaleNormal="55" zoomScaleSheetLayoutView="55" workbookViewId="0">
      <selection activeCell="A50" sqref="A50:B50"/>
    </sheetView>
  </sheetViews>
  <sheetFormatPr defaultColWidth="9.140625" defaultRowHeight="15.75"/>
  <cols>
    <col min="1" max="1" width="50.42578125" style="9" customWidth="1"/>
    <col min="2" max="2" width="57.42578125" style="9" customWidth="1"/>
    <col min="3" max="3" width="93.28515625" style="9" hidden="1" customWidth="1"/>
    <col min="4" max="7" width="9.140625" style="9" hidden="1" customWidth="1"/>
    <col min="8" max="8" width="111.5703125" style="9" hidden="1" customWidth="1"/>
    <col min="9" max="16" width="9.140625" style="9" customWidth="1"/>
    <col min="17" max="16384" width="9.140625" style="9"/>
  </cols>
  <sheetData>
    <row r="1" spans="1:3">
      <c r="A1" s="310" t="str">
        <f>""&amp;'Общие данные'!C64&amp;" shartnoma "&amp;'Общие данные'!B66&amp;""</f>
        <v>Mikroqarz shartnoma №548-AL</v>
      </c>
      <c r="B1" s="310"/>
    </row>
    <row r="3" spans="1:3">
      <c r="A3" s="310" t="str">
        <f>"Toshkent shahri                                                                               "&amp;'Общие данные'!B70&amp;""</f>
        <v>Toshkent shahri                                                                               7 mart 2025 y.</v>
      </c>
      <c r="B3" s="310"/>
    </row>
    <row r="4" spans="1:3">
      <c r="A4" s="81"/>
    </row>
    <row r="5" spans="1:3" ht="144.75" customHeight="1">
      <c r="A5" s="311"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Olmaliq filiali boshlig'i Yerjanov V.Y.  bir tomondan va o‘z manfaati yo‘lida hamda o‘z nomidan harakat qiluvchi O‘zbekiston Respublikasi fuqarosi MIRZAKULOV RUSTAMJON MUXAMADJANOVICH  (pasport raqami AD9977942, IIV 27404 tomonidan 26.12.2024 yilda berilgan ), bundan buyon «Qarz oluvchi» deb nomlanuvchi, boshqa tomondan, birgalikda “Tomonlar” yoki alohida “Tomon” deb nomlanuvchilar, Qarz oluvchi tomonidan 07.03.2025 yil,mikroqarz olish uchun ariza berilganligini hisobga olib, ushbu Mikroqarz shartnomasini (bundan keyin – «Shartnoma») quyidagilar haqida tuzdilar:</v>
      </c>
      <c r="B5" s="311"/>
    </row>
    <row r="7" spans="1:3">
      <c r="A7" s="310" t="s">
        <v>284</v>
      </c>
      <c r="B7" s="310"/>
    </row>
    <row r="8" spans="1:3" ht="51.75" customHeight="1">
      <c r="A8" s="311"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55 000 000,00 (Ellik besh million so'm) bo‘lgan mikroqarzni 7 mart 2025 y. dan 7 mart 2026 y. gacha bo'lgan muddatga naqd pul va/yoki o'tkazmasi shaklida ajratadi.</v>
      </c>
      <c r="B8" s="311"/>
    </row>
    <row r="9" spans="1:3" ht="36" customHeight="1">
      <c r="A9" s="311"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311"/>
    </row>
    <row r="10" spans="1:3">
      <c r="A10" s="35"/>
    </row>
    <row r="11" spans="1:3">
      <c r="A11" s="314" t="str">
        <f>"2. "&amp;'Общие данные'!D64&amp;" BERISH VA QAYTARISH TARTIBI"</f>
        <v>2. MIKROQARZ BERISH VA QAYTARISH TARTIBI</v>
      </c>
      <c r="B11" s="314"/>
      <c r="C11" s="79"/>
    </row>
    <row r="12" spans="1:3" ht="36" customHeight="1">
      <c r="A12" s="311"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11"/>
    </row>
    <row r="13" spans="1:3" ht="57" customHeight="1">
      <c r="A13" s="311"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11"/>
    </row>
    <row r="14" spans="1:3" ht="57" customHeight="1">
      <c r="A14" s="311"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11"/>
    </row>
    <row r="15" spans="1:3" ht="84.75" customHeight="1">
      <c r="A15" s="311"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311"/>
    </row>
    <row r="16" spans="1:3" ht="183" customHeight="1">
      <c r="A16" s="311" t="s">
        <v>356</v>
      </c>
      <c r="B16" s="311"/>
    </row>
    <row r="17" spans="1:11" ht="177.75" customHeight="1">
      <c r="A17" s="311"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11"/>
      <c r="C17" s="190" t="s">
        <v>360</v>
      </c>
      <c r="H17" s="9" t="str">
        <f>'Общие данные'!B65</f>
        <v>mikroqarz</v>
      </c>
      <c r="I17" s="9" t="s">
        <v>361</v>
      </c>
    </row>
    <row r="18" spans="1:11" ht="105.75" customHeight="1">
      <c r="A18" s="313" t="s">
        <v>401</v>
      </c>
      <c r="B18" s="313"/>
    </row>
    <row r="19" spans="1:11" ht="36" customHeight="1">
      <c r="A19" s="311"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11"/>
    </row>
    <row r="20" spans="1:11" ht="48.75" customHeight="1">
      <c r="A20" s="311"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11"/>
    </row>
    <row r="21" spans="1:11" ht="113.25" customHeight="1">
      <c r="A21" s="315"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15"/>
      <c r="C21" s="9"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9"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9"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14" t="str">
        <f>"3. "&amp;'Общие данные'!D64&amp;" TA'MINOTI BO‘YICHA "</f>
        <v xml:space="preserve">3. MIKROQARZ TA'MINOTI BO‘YICHA </v>
      </c>
      <c r="B22" s="314"/>
    </row>
    <row r="23" spans="1:11" ht="19.5" customHeight="1">
      <c r="A23" s="311" t="str">
        <f>"3.1. Ushbu Shartnoma bo‘yicha taqdim etilgan "&amp;'Общие данные'!C64&amp;" quyidagi garov bilan ta'minlanadi:"</f>
        <v>3.1. Ushbu Shartnoma bo‘yicha taqdim etilgan Mikroqarz quyidagi garov bilan ta'minlanadi:</v>
      </c>
      <c r="B23" s="311"/>
    </row>
    <row r="24" spans="1:11" ht="147" customHeight="1">
      <c r="A24" s="312" t="str">
        <f>IF('Общие данные'!B103='Общие данные'!C103,договор!A28,IF('Общие данные'!B103='Общие данные'!D103,договор!A25,0))</f>
        <v>3.1.1. Mikromoliya tashkiloti va Qarz oluvchi tomonidan 2025 yil 7 martda imzolangan 1-sonli garov predmeti qiymatini tasdiqlash dalolatnomasiga muvofiq OQ BELIY JEMCHUG-OK rangli, ishlab chiqarilgan yili – 2023 yil,  dvigatel raqami G4NHPH325362, shassi -  - ,  kuzov turi - YENGIL KROSSOVER, kuzov raqami №KNAER81AER7519713, davlat raqam belgisi 10L832HB bo'lgan KIA SEITOS G08M rusumli avtomashinasi (bundan keyin “Garov predmeti”), egalik huquqiga ega  MIRZAKULOV RUSTAMJON MUXAMADJANOVICHga tegishli va kelishilgan garov qiymati 2025 yil 7 martda imzolangan 1-sonli Garov predmeti qiymatini tasdiqlash dalolatnomasiga muvifiq 82 500 000,00 (sakson ikki million besh yuz ming so'm) so'mni tashkil qiladi. Garov garovining aniq shartlari tegishli notarial rasmiylashtirilgan garov shartnomasi bilan belgilanadi.</v>
      </c>
      <c r="B24" s="312"/>
    </row>
    <row r="25" spans="1:11" ht="129" hidden="1" customHeight="1">
      <c r="A25" s="311" t="str">
        <f>IF('Общие данные'!B92='Общие данные'!C92,договор!A27,IF('Общие данные'!B92='Общие данные'!D92,договор!A26,0))</f>
        <v>3.1.1. Mikromoliya tashkiloti va Qarz oluvchi tomonidan 2025 yil 7 martda imzolangan 1-sonli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“Garov predmeti”), egalik huquqiga ko'ra  SHOUSMANOVA DAVLATXON XXXga tegishli va kelishilgan garov qiymati 2025 yil 7 martda imzolangan 1-sonli Garov predmeti qiymatini tasdiqlash dalolatnomasiga muvofiq 82 500 000,00 (sakson ikki million besh yuz ming so'm) so'mni tashkil qiladi. Garovning aniq shartlari tegishli tarzda notarial tasdiqlangan garov shartnomasi bilan belgilangan.</v>
      </c>
      <c r="B25" s="311"/>
    </row>
    <row r="26" spans="1:11" ht="129.75" hidden="1" customHeight="1">
      <c r="A26" s="312"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7 martda imzolangan 1-sonli navbatdagi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“navbatdagi garov predmeti”), egalik huquqiga ko'ra  SHOUSMANOVA DAVLATXON XXXga tegishli va kelishilgan garov qiymati 2025 yil 7 martda imzolangan 1-sonli Garov predmeti qiymatini tasdiqlash dalolatnomasiga muvofiq 82 500 000,00 (sakson ikki million besh yuz ming so'm) so'mni tashkil qiladi. Garovning aniq shartlari tegishli tarzda notarial tasdiqlangan garov shartnomasi bilan belgilangan.</v>
      </c>
      <c r="B26" s="312"/>
    </row>
    <row r="27" spans="1:11" ht="131.25" hidden="1" customHeight="1">
      <c r="A27" s="311"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7 martda imzolangan 1-sonli Garov predmeti qiymatini tasdiqlash dalolatnomasiga muvofiq SAMARQAND VILOYATI TAYLOQ TUMANI CHAROG'BON MFY YANGI TAYLOQ QISHLOG'I 6 TURAR JOY 12 QAVAT 58 XONADON manzilida joylashgan, yer uchastkasi maydoni - , umumiy maydoni - 72.13 kv.m., yashah maydoni - 37.39 kv.m bo'lgan, 3 - xonali yakka tartibdagi uy-joy ko'rinishidagi ko'chmas mulk (bundan keyin “Garov predmeti”), egalik huquqiga ko'ra  SHOUSMANOVA DAVLATXON XXXga tegishli va kelishilgan garov qiymati 2025 yil 7 martda imzolangan 1-sonli Garov predmeti qiymatini tasdiqlash dalolatnomasiga muvofiq 82 500 000,00 (sakson ikki million besh yuz ming so'm) so'mni tashkil qiladi. Garovning aniq shartlari tegishli tarzda notarial tasdiqlangan garov shartnomasi bilan belgilangan.</v>
      </c>
      <c r="B27" s="311"/>
    </row>
    <row r="28" spans="1:11" ht="114" hidden="1" customHeight="1">
      <c r="A28" s="312" t="str">
        <f>IF('Общие данные'!B92='Общие данные'!C92,A29,IF('Общие данные'!B92='Общие данные'!D92,A30,0))</f>
        <v>3.1.1. Mikromoliya tashkiloti va Qarz oluvchi tomonidan 2025 yil 7 martda imzolangan 1-sonli garov predmeti qiymatini tasdiqlash dalolatnomasiga muvofiq OQ BELIY JEMCHUG-OK rangli, ishlab chiqarilgan yili – 2023 yil,  dvigatel raqami G4NHPH325362, shassi -  - ,  kuzov turi - YENGIL KROSSOVER, kuzov raqami №KNAER81AER7519713, davlat raqam belgisi 10L832HB bo'lgan KIA SEITOS G08M rusumli avtomashinasi (bundan keyin “Garov predmeti”), egalik huquqiga ega  MIRZAKULOV RUSTAMJON MUXAMADJANOVICHga tegishli va kelishilgan garov qiymati 2025 yil 7 martda imzolangan 1-sonli Garov predmeti qiymatini tasdiqlash dalolatnomasiga muvifiq 82 500 000,00 (sakson ikki million besh yuz ming so'm) so'mni tashkil qiladi. Garov garovining aniq shartlari tegishli notarial rasmiylashtirilgan garov shartnomasi bilan belgilanadi.</v>
      </c>
      <c r="B28" s="312"/>
      <c r="K28" s="9" t="s">
        <v>353</v>
      </c>
    </row>
    <row r="29" spans="1:11" ht="114.75" hidden="1" customHeight="1">
      <c r="A29" s="312"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7 martda imzolangan 1-sonli garov predmeti qiymatini tasdiqlash dalolatnomasiga muvofiq OQ BELIY JEMCHUG-OK rangli, ishlab chiqarilgan yili – 2023 yil,  dvigatel raqami G4NHPH325362, shassi -  - ,  kuzov turi - YENGIL KROSSOVER, kuzov raqami №KNAER81AER7519713, davlat raqam belgisi 10L832HB bo'lgan KIA SEITOS G08M rusumli avtomashinasi (bundan keyin “Garov predmeti”), egalik huquqiga ega  MIRZAKULOV RUSTAMJON MUXAMADJANOVICHga tegishli va kelishilgan garov qiymati 2025 yil 7 martda imzolangan 1-sonli Garov predmeti qiymatini tasdiqlash dalolatnomasiga muvifiq 82 500 000,00 (sakson ikki million besh yuz ming so'm) so'mni tashkil qiladi. Garov garovining aniq shartlari tegishli notarial rasmiylashtirilgan garov shartnomasi bilan belgilanadi.</v>
      </c>
      <c r="B29" s="312"/>
    </row>
    <row r="30" spans="1:11" ht="1.5" customHeight="1">
      <c r="A30" s="317"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7 martda imzolangan 1-sonli navbatdagi garov predmeti qiymatini tasdiqlash dalolatnomasiga muvofiq OQ BELIY JEMCHUG-OK rangli, ishlab chiqarilgan yili – 2023 yil,  dvigatel raqami G4NHPH325362, shassi -  - ,  kuzov turi - YENGIL KROSSOVER, kuzov raqami №KNAER81AER7519713, davlat raqam belgisi 10L832HB bo'lgan KIA SEITOS G08M rusumli avtomashinasi (bundan keyin “navbatdagi garov predmeti”), egalik huquqiga ega  MIRZAKULOV RUSTAMJON MUXAMADJANOVICHga tegishli va kelishilgan garov qiymati 2025 yil 7 martda imzolangan 1-sonli Garov predmeti qiymatini tasdiqlash dalolatnomasiga muvifiq 82 500 000,00 (sakson ikki million besh yuz ming so'm) so'mni tashkil qiladi. Garov garovining aniq shartlari tegishli notarial rasmiylashtirilgan garov shartnomasi bilan belgilanadi.</v>
      </c>
      <c r="B30" s="317"/>
    </row>
    <row r="31" spans="1:11" ht="135" customHeight="1">
      <c r="A31" s="316"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16"/>
    </row>
    <row r="32" spans="1:11" ht="94.5" hidden="1">
      <c r="A32" s="197" t="s">
        <v>383</v>
      </c>
      <c r="B32" s="35"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97"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5" t="s">
        <v>363</v>
      </c>
    </row>
    <row r="34" spans="1:8" ht="85.5" customHeight="1">
      <c r="A34" s="316" t="s">
        <v>288</v>
      </c>
      <c r="B34" s="316"/>
    </row>
    <row r="35" spans="1:8" ht="100.5" customHeight="1">
      <c r="A35" s="316" t="s">
        <v>341</v>
      </c>
      <c r="B35" s="316"/>
    </row>
    <row r="37" spans="1:8">
      <c r="A37" s="319" t="s">
        <v>340</v>
      </c>
      <c r="B37" s="319"/>
      <c r="C37" s="92"/>
    </row>
    <row r="38" spans="1:8">
      <c r="A38" s="318" t="s">
        <v>339</v>
      </c>
      <c r="B38" s="318"/>
    </row>
    <row r="39" spans="1:8" ht="138" customHeight="1">
      <c r="A39" s="316"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16"/>
      <c r="C39" s="9" t="str">
        <f>"4.1.1. Ushbu Shartnomada ko‘rsatilgan asoslar bo‘yicha Qarz oluvchiga Shartnomada ko‘zda tutilgan "&amp;'Общие данные'!B65&amp;""</f>
        <v>4.1.1. Ushbu Shartnomada ko‘rsatilgan asoslar bo‘yicha Qarz oluvchiga Shartnomada ko‘zda tutilgan mikroqarz</v>
      </c>
      <c r="H39" s="190" t="s">
        <v>407</v>
      </c>
    </row>
    <row r="40" spans="1:8" ht="39" customHeight="1">
      <c r="A40" s="316"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16"/>
    </row>
    <row r="41" spans="1:8">
      <c r="A41" s="316" t="s">
        <v>342</v>
      </c>
      <c r="B41" s="316"/>
    </row>
    <row r="42" spans="1:8" ht="36" customHeight="1">
      <c r="A42" s="316" t="str">
        <f>"b) "&amp;'Общие данные'!B65&amp;" summasiga hisoblanadigan asosiy qarz bo‘yicha muddati o‘tgan qarzdorlik va/yoki foizlarning yuzaga kelishi;"</f>
        <v>b) mikroqarz summasiga hisoblanadigan asosiy qarz bo‘yicha muddati o‘tgan qarzdorlik va/yoki foizlarning yuzaga kelishi;</v>
      </c>
      <c r="B42" s="316"/>
    </row>
    <row r="43" spans="1:8" ht="37.5" customHeight="1">
      <c r="A43" s="316" t="s">
        <v>343</v>
      </c>
      <c r="B43" s="316"/>
    </row>
    <row r="44" spans="1:8" ht="52.5" customHeight="1">
      <c r="A44" s="316" t="s">
        <v>344</v>
      </c>
      <c r="B44" s="316"/>
    </row>
    <row r="45" spans="1:8" ht="19.5" customHeight="1">
      <c r="A45" s="316" t="s">
        <v>345</v>
      </c>
      <c r="B45" s="316"/>
    </row>
    <row r="46" spans="1:8" ht="51.75" customHeight="1">
      <c r="A46" s="316"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16"/>
    </row>
    <row r="47" spans="1:8" ht="33.75" customHeight="1">
      <c r="A47" s="316" t="s">
        <v>338</v>
      </c>
      <c r="B47" s="316"/>
    </row>
    <row r="48" spans="1:8" ht="48.75" customHeight="1">
      <c r="A48" s="316" t="s">
        <v>337</v>
      </c>
      <c r="B48" s="316"/>
      <c r="C48" s="197"/>
    </row>
    <row r="49" spans="1:8" ht="100.5" customHeight="1">
      <c r="A49" s="311" t="s">
        <v>336</v>
      </c>
      <c r="B49" s="311"/>
      <c r="C49" s="197"/>
    </row>
    <row r="50" spans="1:8" ht="70.5" customHeight="1">
      <c r="A50" s="311" t="s">
        <v>335</v>
      </c>
      <c r="B50" s="311"/>
      <c r="C50" s="197"/>
    </row>
    <row r="51" spans="1:8" ht="39.75" customHeight="1">
      <c r="A51" s="311"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311"/>
      <c r="C51" s="197"/>
    </row>
    <row r="52" spans="1:8" ht="33" customHeight="1">
      <c r="A52" s="311" t="s">
        <v>346</v>
      </c>
      <c r="B52" s="311"/>
      <c r="C52" s="197"/>
    </row>
    <row r="53" spans="1:8" ht="39.75" customHeight="1">
      <c r="A53" s="311" t="s">
        <v>334</v>
      </c>
      <c r="B53" s="311"/>
      <c r="C53" s="197"/>
    </row>
    <row r="54" spans="1:8" ht="50.25" customHeight="1">
      <c r="A54" s="311"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11"/>
      <c r="C54" s="197" t="str">
        <f>"4.1.10. Qarz oluvchi taqdim etilgan "&amp;'Общие данные'!B65&amp;"dan Shartnoma tuzilgan kundan boshlab 1 (bir) oy davomida foydalanmagan"</f>
        <v>4.1.10. Qarz oluvchi taqdim etilgan mikroqarzdan Shartnoma tuzilgan kundan boshlab 1 (bir) oy davomida foydalanmagan</v>
      </c>
      <c r="H54" s="9" t="s">
        <v>364</v>
      </c>
    </row>
    <row r="55" spans="1:8" ht="19.5" customHeight="1">
      <c r="A55" s="311" t="str">
        <f>"4.1.11. Oldingi "&amp;'Общие данные'!B65&amp;" to‘liq to‘lanmagunga qadar yangi "&amp;'Общие данные'!B65&amp;" berishni rad etish."</f>
        <v>4.1.11. Oldingi mikroqarz to‘liq to‘lanmagunga qadar yangi mikroqarz berishni rad etish.</v>
      </c>
      <c r="B55" s="311"/>
      <c r="C55" s="197"/>
    </row>
    <row r="57" spans="1:8">
      <c r="A57" s="314" t="s">
        <v>333</v>
      </c>
      <c r="B57" s="314"/>
      <c r="C57" s="196"/>
    </row>
    <row r="58" spans="1:8">
      <c r="A58" s="320" t="s">
        <v>332</v>
      </c>
      <c r="B58" s="320"/>
      <c r="C58" s="198"/>
    </row>
    <row r="59" spans="1:8" ht="36" customHeight="1">
      <c r="A59" s="311"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11"/>
      <c r="C59" s="197"/>
    </row>
    <row r="60" spans="1:8" ht="36.75" customHeight="1">
      <c r="A60" s="311"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311"/>
      <c r="C60" s="197"/>
    </row>
    <row r="61" spans="1:8" ht="17.25" customHeight="1">
      <c r="A61" s="311" t="str">
        <f>"5.1.3. "&amp;'Общие данные'!C64&amp;" xizmatlari ko‘rsatish qoidalari bilan tanishish."</f>
        <v>5.1.3. Mikroqarz xizmatlari ko‘rsatish qoidalari bilan tanishish.</v>
      </c>
      <c r="B61" s="311"/>
      <c r="C61" s="197"/>
    </row>
    <row r="62" spans="1:8" ht="36" customHeight="1">
      <c r="A62" s="311"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311"/>
      <c r="C62" s="197"/>
    </row>
    <row r="63" spans="1:8" ht="33.75" customHeight="1">
      <c r="A63" s="311" t="s">
        <v>347</v>
      </c>
      <c r="B63" s="311"/>
      <c r="C63" s="197"/>
    </row>
    <row r="64" spans="1:8">
      <c r="A64" s="320" t="s">
        <v>331</v>
      </c>
      <c r="B64" s="320"/>
      <c r="C64" s="198"/>
    </row>
    <row r="65" spans="1:8" ht="37.5" customHeight="1">
      <c r="A65" s="311"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11"/>
      <c r="C65" s="197"/>
    </row>
    <row r="66" spans="1:8" ht="39.75" customHeight="1">
      <c r="A66" s="311" t="s">
        <v>348</v>
      </c>
      <c r="B66" s="311"/>
      <c r="C66" s="197"/>
    </row>
    <row r="67" spans="1:8" ht="27" customHeight="1">
      <c r="A67" s="311" t="str">
        <f>"5.2.3. To‘lov jadvaliga muvofiq "&amp;'Общие данные'!B65&amp;", shuningdek hisoblangan foizlar to‘lovlarini amalga oshirish."</f>
        <v>5.2.3. To‘lov jadvaliga muvofiq mikroqarz, shuningdek hisoblangan foizlar to‘lovlarini amalga oshirish.</v>
      </c>
      <c r="B67" s="311"/>
      <c r="C67" s="197"/>
    </row>
    <row r="68" spans="1:8" ht="84" customHeight="1">
      <c r="A68" s="311"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11"/>
      <c r="C68" s="197" t="s">
        <v>365</v>
      </c>
      <c r="H68" s="9"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11" t="s">
        <v>349</v>
      </c>
      <c r="B69" s="311"/>
      <c r="C69" s="197"/>
    </row>
    <row r="70" spans="1:8" ht="36" customHeight="1">
      <c r="A70" s="311"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311"/>
      <c r="C70" s="197"/>
    </row>
    <row r="71" spans="1:8" ht="51.75" customHeight="1">
      <c r="A71" s="313" t="s">
        <v>366</v>
      </c>
      <c r="B71" s="313"/>
      <c r="C71" s="200"/>
    </row>
    <row r="72" spans="1:8" ht="71.25" customHeight="1">
      <c r="A72" s="311"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11"/>
      <c r="C72" s="197"/>
    </row>
    <row r="73" spans="1:8" ht="33.75" customHeight="1">
      <c r="A73" s="311"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11"/>
      <c r="C73" s="197"/>
      <c r="H73" s="9" t="s">
        <v>362</v>
      </c>
    </row>
    <row r="74" spans="1:8" ht="68.25" customHeight="1">
      <c r="A74" s="311"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11"/>
      <c r="C74" s="197"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9" t="s">
        <v>367</v>
      </c>
    </row>
    <row r="75" spans="1:8">
      <c r="A75" s="88"/>
    </row>
    <row r="76" spans="1:8">
      <c r="A76" s="319" t="s">
        <v>330</v>
      </c>
      <c r="B76" s="319"/>
      <c r="C76" s="199"/>
    </row>
    <row r="77" spans="1:8" ht="98.25" customHeight="1">
      <c r="A77" s="311"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11"/>
      <c r="C77" s="197" t="s">
        <v>368</v>
      </c>
      <c r="H77" s="9"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11" t="s">
        <v>329</v>
      </c>
      <c r="B78" s="311"/>
      <c r="C78" s="197"/>
    </row>
    <row r="79" spans="1:8" ht="35.25" customHeight="1">
      <c r="A79" s="311" t="s">
        <v>328</v>
      </c>
      <c r="B79" s="311"/>
      <c r="C79" s="197"/>
    </row>
    <row r="80" spans="1:8" ht="33" customHeight="1">
      <c r="A80" s="311" t="s">
        <v>327</v>
      </c>
      <c r="B80" s="311"/>
      <c r="C80" s="197"/>
    </row>
    <row r="82" spans="1:3">
      <c r="A82" s="302" t="s">
        <v>326</v>
      </c>
      <c r="B82" s="302"/>
      <c r="C82" s="80"/>
    </row>
    <row r="83" spans="1:3" ht="162.75" customHeight="1">
      <c r="A83" s="311" t="s">
        <v>325</v>
      </c>
      <c r="B83" s="311"/>
      <c r="C83" s="197"/>
    </row>
    <row r="84" spans="1:3" ht="33.75" customHeight="1">
      <c r="A84" s="311" t="s">
        <v>369</v>
      </c>
      <c r="B84" s="311"/>
      <c r="C84" s="197"/>
    </row>
    <row r="85" spans="1:3" ht="51.75" customHeight="1">
      <c r="A85" s="311" t="s">
        <v>324</v>
      </c>
      <c r="B85" s="311"/>
      <c r="C85" s="197"/>
    </row>
    <row r="86" spans="1:3" ht="36" customHeight="1">
      <c r="A86" s="311" t="s">
        <v>323</v>
      </c>
      <c r="B86" s="311"/>
      <c r="C86" s="197"/>
    </row>
    <row r="88" spans="1:3">
      <c r="A88" s="302" t="s">
        <v>322</v>
      </c>
      <c r="B88" s="302"/>
      <c r="C88" s="80"/>
    </row>
    <row r="89" spans="1:3" ht="114.75" customHeight="1">
      <c r="A89" s="311" t="s">
        <v>384</v>
      </c>
      <c r="B89" s="311"/>
      <c r="C89" s="197"/>
    </row>
    <row r="90" spans="1:3" ht="36" customHeight="1">
      <c r="A90" s="311" t="s">
        <v>350</v>
      </c>
      <c r="B90" s="311"/>
      <c r="C90" s="197"/>
    </row>
    <row r="91" spans="1:3" ht="64.5" customHeight="1">
      <c r="A91" s="311"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11"/>
      <c r="C91" s="197"/>
    </row>
    <row r="93" spans="1:3">
      <c r="A93" s="321" t="s">
        <v>321</v>
      </c>
      <c r="B93" s="321"/>
      <c r="C93" s="90"/>
    </row>
    <row r="94" spans="1:3" ht="20.25" customHeight="1">
      <c r="A94" s="311" t="s">
        <v>320</v>
      </c>
      <c r="B94" s="311"/>
      <c r="C94" s="197"/>
    </row>
    <row r="95" spans="1:3" ht="33.75" customHeight="1">
      <c r="A95" s="311"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11"/>
      <c r="C95" s="197"/>
    </row>
    <row r="96" spans="1:3" ht="51" customHeight="1">
      <c r="A96" s="311" t="s">
        <v>319</v>
      </c>
      <c r="B96" s="311"/>
      <c r="C96" s="197"/>
    </row>
    <row r="98" spans="1:3">
      <c r="A98" s="314" t="s">
        <v>318</v>
      </c>
      <c r="B98" s="314"/>
      <c r="C98" s="79"/>
    </row>
    <row r="99" spans="1:3" ht="82.5" customHeight="1">
      <c r="A99" s="311" t="s">
        <v>317</v>
      </c>
      <c r="B99" s="311"/>
      <c r="C99" s="197"/>
    </row>
    <row r="100" spans="1:3" ht="66" customHeight="1">
      <c r="A100" s="311" t="s">
        <v>316</v>
      </c>
      <c r="B100" s="311"/>
      <c r="C100" s="197"/>
    </row>
    <row r="101" spans="1:3" ht="48" customHeight="1">
      <c r="A101" s="311" t="s">
        <v>315</v>
      </c>
      <c r="B101" s="311"/>
      <c r="C101" s="197"/>
    </row>
    <row r="103" spans="1:3">
      <c r="A103" s="302" t="s">
        <v>314</v>
      </c>
      <c r="B103" s="302"/>
      <c r="C103" s="174"/>
    </row>
    <row r="104" spans="1:3" ht="37.5" customHeight="1">
      <c r="A104" s="311" t="s">
        <v>313</v>
      </c>
      <c r="B104" s="311"/>
      <c r="C104" s="197"/>
    </row>
    <row r="105" spans="1:3" ht="34.5" customHeight="1">
      <c r="A105" s="311" t="s">
        <v>312</v>
      </c>
      <c r="B105" s="311"/>
      <c r="C105" s="197"/>
    </row>
    <row r="106" spans="1:3" ht="66.75" customHeight="1">
      <c r="A106" s="311" t="s">
        <v>311</v>
      </c>
      <c r="B106" s="311"/>
      <c r="C106" s="197"/>
    </row>
    <row r="107" spans="1:3" ht="51" customHeight="1">
      <c r="A107" s="311" t="s">
        <v>310</v>
      </c>
      <c r="B107" s="311"/>
      <c r="C107" s="197"/>
    </row>
    <row r="108" spans="1:3" ht="37.5" customHeight="1">
      <c r="A108" s="311" t="s">
        <v>309</v>
      </c>
      <c r="B108" s="311"/>
      <c r="C108" s="197"/>
    </row>
    <row r="109" spans="1:3" ht="38.25" customHeight="1">
      <c r="A109" s="311" t="s">
        <v>308</v>
      </c>
      <c r="B109" s="311"/>
      <c r="C109" s="197"/>
    </row>
    <row r="110" spans="1:3" ht="21" customHeight="1">
      <c r="A110" s="311" t="s">
        <v>307</v>
      </c>
      <c r="B110" s="311"/>
      <c r="C110" s="197"/>
    </row>
    <row r="111" spans="1:3" ht="32.25" customHeight="1">
      <c r="A111" s="311"/>
      <c r="B111" s="311"/>
      <c r="C111" s="197"/>
    </row>
    <row r="113" spans="1:3">
      <c r="A113" s="321" t="s">
        <v>351</v>
      </c>
      <c r="B113" s="321"/>
      <c r="C113" s="90"/>
    </row>
    <row r="115" spans="1:3">
      <c r="A115" s="91" t="s">
        <v>306</v>
      </c>
      <c r="B115" s="91" t="s">
        <v>305</v>
      </c>
    </row>
    <row r="117" spans="1:3" ht="31.5">
      <c r="A117" s="90" t="str">
        <f>'Общие данные'!B148</f>
        <v>«CLEVER MIKROMOLIYA TASHKILOTI» MChJ</v>
      </c>
      <c r="B117" s="82" t="str">
        <f>'Общие данные'!B5</f>
        <v>MIRZAKULOV RUSTAMJON MUXAMADJANOVICH</v>
      </c>
    </row>
    <row r="119" spans="1:3" ht="31.5">
      <c r="A119" s="87" t="str">
        <f>"Manzil: "&amp;'Общие данные'!B153&amp;""</f>
        <v>Manzil: Toshkent shahri, Olmazor tumani, Sagbon ko'chasi, 30 boshi berk, 6-uy</v>
      </c>
      <c r="B119" s="87" t="str">
        <f>"Manzil: "&amp;'Общие данные'!B28&amp;""</f>
        <v>Manzil: TOSHKENT VILOYATI OLMALIQ SHAHAR O`ZBEKISTON MFY OQTOSHKO`CHASI 47-UY</v>
      </c>
    </row>
    <row r="120" spans="1:3">
      <c r="A120" s="89" t="str">
        <f>"h/r: "&amp;'Общие данные'!B154&amp;""</f>
        <v>h/r: №20216000705068380001</v>
      </c>
    </row>
    <row r="121" spans="1:3" ht="50.25" customHeight="1">
      <c r="A121" s="87" t="str">
        <f>"MFO: "&amp;'Общие данные'!B155&amp;" в "&amp;'Общие данные'!B156&amp;""</f>
        <v>MFO: №01042 в ATB “Kapitalbank” Sergeli filiali</v>
      </c>
      <c r="B121" s="87" t="str">
        <f>"pasport seriyasi: "&amp;'Общие данные'!B16&amp;", "&amp;'Общие данные'!B20&amp;""</f>
        <v>pasport seriyasi: AD9977942, IIV 27404 tomonidan 26.12.2024 yilda berilgan</v>
      </c>
    </row>
    <row r="122" spans="1:3">
      <c r="A122" s="87" t="str">
        <f>"STIR: "&amp;'Общие данные'!B157&amp;""</f>
        <v>STIR: 306365847</v>
      </c>
      <c r="B122" s="81" t="str">
        <f>"Tel: "&amp;'Общие данные'!B40&amp;""</f>
        <v>Tel: 94 404 44 09 O`ZI</v>
      </c>
    </row>
    <row r="123" spans="1:3">
      <c r="A123" s="89" t="str">
        <f>"Tel: (78) 113 31 33"</f>
        <v>Tel: (78) 113 31 33</v>
      </c>
      <c r="B123" s="81" t="str">
        <f>'Общие данные'!B41</f>
        <v>99 086 26 77  AYOLI</v>
      </c>
    </row>
    <row r="124" spans="1:3">
      <c r="A124" s="89" t="s">
        <v>8</v>
      </c>
      <c r="B124" s="81" t="str">
        <f>'Общие данные'!B42</f>
        <v>93 607 50 18 OPASI</v>
      </c>
    </row>
    <row r="126" spans="1:3">
      <c r="A126" s="195" t="str">
        <f>'Общие данные'!A150</f>
        <v>Olmaliq filiali boshlig'i</v>
      </c>
      <c r="B126" s="80" t="str">
        <f>""&amp;'Общие данные'!B7&amp;"     __________________"</f>
        <v>MIRZAKULOV R.M.     __________________</v>
      </c>
    </row>
    <row r="128" spans="1:3">
      <c r="A128" s="174" t="str">
        <f>""&amp;'Общие данные'!B150&amp;" ________________ "</f>
        <v xml:space="preserve">Yerjanov V.Y. ________________ </v>
      </c>
      <c r="B128" s="215"/>
    </row>
    <row r="131" spans="1:1" hidden="1">
      <c r="A131" s="9" t="str">
        <f>"менеджер :   "&amp;'Общие данные'!B161&amp;"______________"</f>
        <v>менеджер :   Yerjanov V.Y.______________</v>
      </c>
    </row>
  </sheetData>
  <mergeCells count="98">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63" orientation="portrait" r:id="rId1"/>
  <rowBreaks count="4" manualBreakCount="4">
    <brk id="21" max="1" man="1"/>
    <brk id="49" max="1" man="1"/>
    <brk id="74"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14" zoomScaleSheetLayoutView="100" workbookViewId="0">
      <selection activeCell="A26" sqref="A21:XFD26"/>
    </sheetView>
  </sheetViews>
  <sheetFormatPr defaultColWidth="9.140625" defaultRowHeight="15" outlineLevelCol="1"/>
  <cols>
    <col min="1" max="1" width="9.140625" style="18"/>
    <col min="2" max="2" width="12.28515625" style="18" customWidth="1"/>
    <col min="3" max="3" width="17.7109375" style="18" customWidth="1"/>
    <col min="4" max="4" width="20.28515625" style="18" customWidth="1"/>
    <col min="5" max="5" width="16.7109375" style="18" customWidth="1"/>
    <col min="6" max="6" width="19" style="18" customWidth="1"/>
    <col min="7" max="7" width="10.140625" style="18" customWidth="1" outlineLevel="1"/>
    <col min="8" max="8" width="19.7109375" style="18" customWidth="1"/>
    <col min="9" max="10" width="9.140625" style="18" customWidth="1"/>
    <col min="11" max="16384" width="9.140625" style="18"/>
  </cols>
  <sheetData>
    <row r="1" spans="1:16" ht="9.75" customHeight="1"/>
    <row r="2" spans="1:16" ht="3.75" customHeight="1">
      <c r="A2" s="40"/>
      <c r="B2" s="40"/>
      <c r="C2" s="40"/>
      <c r="D2" s="40"/>
      <c r="E2" s="275"/>
      <c r="F2" s="275"/>
      <c r="G2" s="23"/>
    </row>
    <row r="3" spans="1:16" ht="79.5" customHeight="1">
      <c r="A3" s="40"/>
      <c r="B3" s="40"/>
      <c r="C3" s="40"/>
      <c r="D3" s="40"/>
      <c r="E3" s="40"/>
      <c r="F3" s="191" t="str">
        <f>""&amp;'Общие данные'!B74&amp;" "&amp;'Общие данные'!B65&amp;" shartnomasiga 1 sonli ilova"</f>
        <v>7 mart 2025 y.dan №548-AL mikroqarz shartnomasiga 1 sonli ilova</v>
      </c>
      <c r="G3" s="23"/>
    </row>
    <row r="4" spans="1:16" ht="6.75" customHeight="1">
      <c r="A4" s="40"/>
      <c r="B4" s="40"/>
      <c r="C4" s="40"/>
      <c r="D4" s="40"/>
      <c r="E4" s="40"/>
      <c r="F4" s="40"/>
    </row>
    <row r="5" spans="1:16" ht="7.5" customHeight="1">
      <c r="A5" s="276"/>
      <c r="B5" s="276"/>
      <c r="C5" s="276"/>
      <c r="D5" s="276"/>
      <c r="E5" s="276"/>
      <c r="F5" s="276"/>
    </row>
    <row r="6" spans="1:16" ht="7.5" customHeight="1">
      <c r="A6" s="227"/>
      <c r="B6" s="227"/>
      <c r="C6" s="227"/>
      <c r="D6" s="227"/>
      <c r="E6" s="227"/>
      <c r="F6" s="227"/>
    </row>
    <row r="7" spans="1:16" ht="15" customHeight="1">
      <c r="A7" s="277" t="s">
        <v>15</v>
      </c>
      <c r="B7" s="278" t="s">
        <v>289</v>
      </c>
      <c r="C7" s="278" t="s">
        <v>290</v>
      </c>
      <c r="D7" s="279" t="s">
        <v>291</v>
      </c>
      <c r="E7" s="279"/>
      <c r="F7" s="279"/>
    </row>
    <row r="8" spans="1:16" s="19" customFormat="1">
      <c r="A8" s="277"/>
      <c r="B8" s="278"/>
      <c r="C8" s="278"/>
      <c r="D8" s="20" t="s">
        <v>292</v>
      </c>
      <c r="E8" s="20" t="s">
        <v>293</v>
      </c>
      <c r="F8" s="20" t="s">
        <v>294</v>
      </c>
    </row>
    <row r="9" spans="1:16" ht="13.5" customHeight="1">
      <c r="A9" s="21">
        <v>1</v>
      </c>
      <c r="B9" s="36">
        <f>'График дифференц'!B8</f>
        <v>45754</v>
      </c>
      <c r="C9" s="37">
        <f>IF('Общие данные'!$B$77='Общие данные'!$C$77,'График дифференц'!C8,IF('Общие данные'!$B$77='Общие данные'!$D$77,'График аннуитет.'!C8))</f>
        <v>55000000</v>
      </c>
      <c r="D9" s="37">
        <f>IF('Общие данные'!$B$77='Общие данные'!$C$77,'График дифференц'!D8,IF('Общие данные'!$B$77='Общие данные'!$D$77,'График аннуитет.'!D8))</f>
        <v>4583333.33</v>
      </c>
      <c r="E9" s="37">
        <f>IF('Общие данные'!$B$77='Общие данные'!$C$77,'График дифференц'!E8,IF('Общие данные'!$B$77='Общие данные'!$D$77,'График аннуитет.'!E8))</f>
        <v>2802739.7600000002</v>
      </c>
      <c r="F9" s="37">
        <f>IF('Общие данные'!$B$77='Общие данные'!$C$77,'График дифференц'!F8,IF('Общие данные'!$B$77='Общие данные'!$D$77,'График аннуитет.'!F8))</f>
        <v>7386073.0899999999</v>
      </c>
    </row>
    <row r="10" spans="1:16" ht="13.5" customHeight="1">
      <c r="A10" s="21">
        <f>1+A9</f>
        <v>2</v>
      </c>
      <c r="B10" s="36">
        <f>'График дифференц'!B9</f>
        <v>45784</v>
      </c>
      <c r="C10" s="37">
        <f>IF('Общие данные'!$B$77='Общие данные'!$C$77,'График дифференц'!C9,IF('Общие данные'!$B$77='Общие данные'!$D$77,'График аннуитет.'!C9))</f>
        <v>50416666.670000002</v>
      </c>
      <c r="D10" s="37">
        <f>IF('Общие данные'!$B$77='Общие данные'!$C$77,'График дифференц'!D9,IF('Общие данные'!$B$77='Общие данные'!$D$77,'График аннуитет.'!D9))</f>
        <v>4583333.33</v>
      </c>
      <c r="E10" s="37">
        <f>IF('Общие данные'!$B$77='Общие данные'!$C$77,'График дифференц'!E9,IF('Общие данные'!$B$77='Общие данные'!$D$77,'График аннуитет.'!E9))</f>
        <v>2486301.3000000003</v>
      </c>
      <c r="F10" s="37">
        <f>IF('Общие данные'!$B$77='Общие данные'!$C$77,'График дифференц'!F9,IF('Общие данные'!$B$77='Общие данные'!$D$77,'График аннуитет.'!F9))</f>
        <v>7069634.6300000008</v>
      </c>
    </row>
    <row r="11" spans="1:16" ht="13.5" customHeight="1">
      <c r="A11" s="21">
        <f t="shared" ref="A11:A31" si="0">1+A10</f>
        <v>3</v>
      </c>
      <c r="B11" s="36">
        <f>'График дифференц'!B10</f>
        <v>45817</v>
      </c>
      <c r="C11" s="37">
        <f>IF('Общие данные'!$B$77='Общие данные'!$C$77,'График дифференц'!C10,IF('Общие данные'!$B$77='Общие данные'!$D$77,'График аннуитет.'!C10))</f>
        <v>45833333.340000004</v>
      </c>
      <c r="D11" s="37">
        <f>IF('Общие данные'!$B$77='Общие данные'!$C$77,'График дифференц'!D10,IF('Общие данные'!$B$77='Общие данные'!$D$77,'График аннуитет.'!D10))</f>
        <v>4583333.33</v>
      </c>
      <c r="E11" s="37">
        <f>IF('Общие данные'!$B$77='Общие данные'!$C$77,'График дифференц'!E10,IF('Общие данные'!$B$77='Общие данные'!$D$77,'График аннуитет.'!E10))</f>
        <v>2486301.5100000002</v>
      </c>
      <c r="F11" s="37">
        <f>IF('Общие данные'!$B$77='Общие данные'!$C$77,'График дифференц'!F10,IF('Общие данные'!$B$77='Общие данные'!$D$77,'График аннуитет.'!F10))</f>
        <v>7069634.8399999999</v>
      </c>
    </row>
    <row r="12" spans="1:16" ht="13.5" customHeight="1">
      <c r="A12" s="21">
        <f t="shared" si="0"/>
        <v>4</v>
      </c>
      <c r="B12" s="36">
        <f>'График дифференц'!B11</f>
        <v>45845</v>
      </c>
      <c r="C12" s="37">
        <f>IF('Общие данные'!$B$77='Общие данные'!$C$77,'График дифференц'!C11,IF('Общие данные'!$B$77='Общие данные'!$D$77,'График аннуитет.'!C11))</f>
        <v>41250000.010000005</v>
      </c>
      <c r="D12" s="37">
        <f>IF('Общие данные'!$B$77='Общие данные'!$C$77,'График дифференц'!D11,IF('Общие данные'!$B$77='Общие данные'!$D$77,'График аннуитет.'!D11))</f>
        <v>4583333.33</v>
      </c>
      <c r="E12" s="37">
        <f>IF('Общие данные'!$B$77='Общие данные'!$C$77,'График дифференц'!E11,IF('Общие данные'!$B$77='Общие данные'!$D$77,'График аннуитет.'!E11))</f>
        <v>1898630.1600000001</v>
      </c>
      <c r="F12" s="37">
        <f>IF('Общие данные'!$B$77='Общие данные'!$C$77,'График дифференц'!F11,IF('Общие данные'!$B$77='Общие данные'!$D$77,'График аннуитет.'!F11))</f>
        <v>6481963.4900000002</v>
      </c>
      <c r="H12" s="322" t="s">
        <v>402</v>
      </c>
      <c r="I12" s="322"/>
      <c r="J12" s="322"/>
      <c r="K12" s="322"/>
      <c r="L12" s="322"/>
      <c r="M12" s="322"/>
      <c r="N12" s="322"/>
      <c r="O12" s="322"/>
      <c r="P12" s="322"/>
    </row>
    <row r="13" spans="1:16" ht="13.5" customHeight="1">
      <c r="A13" s="21">
        <f t="shared" si="0"/>
        <v>5</v>
      </c>
      <c r="B13" s="36">
        <f>'График дифференц'!B12</f>
        <v>45876</v>
      </c>
      <c r="C13" s="37">
        <f>IF('Общие данные'!$B$77='Общие данные'!$C$77,'График дифференц'!C12,IF('Общие данные'!$B$77='Общие данные'!$D$77,'График аннуитет.'!C12))</f>
        <v>36666666.680000007</v>
      </c>
      <c r="D13" s="37">
        <f>IF('Общие данные'!$B$77='Общие данные'!$C$77,'График дифференц'!D12,IF('Общие данные'!$B$77='Общие данные'!$D$77,'График аннуитет.'!D12))</f>
        <v>4583333.33</v>
      </c>
      <c r="E13" s="37">
        <f>IF('Общие данные'!$B$77='Общие данные'!$C$77,'График дифференц'!E12,IF('Общие данные'!$B$77='Общие данные'!$D$77,'График аннуитет.'!E12))</f>
        <v>1868493.07</v>
      </c>
      <c r="F13" s="37">
        <f>IF('Общие данные'!$B$77='Общие данные'!$C$77,'График дифференц'!F12,IF('Общие данные'!$B$77='Общие данные'!$D$77,'График аннуитет.'!F12))</f>
        <v>6451826.4000000004</v>
      </c>
      <c r="H13" s="322"/>
      <c r="I13" s="322"/>
      <c r="J13" s="322"/>
      <c r="K13" s="322"/>
      <c r="L13" s="322"/>
      <c r="M13" s="322"/>
      <c r="N13" s="322"/>
      <c r="O13" s="322"/>
      <c r="P13" s="322"/>
    </row>
    <row r="14" spans="1:16" ht="13.5" customHeight="1">
      <c r="A14" s="21">
        <f t="shared" si="0"/>
        <v>6</v>
      </c>
      <c r="B14" s="36">
        <f>'График дифференц'!B13</f>
        <v>45908</v>
      </c>
      <c r="C14" s="37">
        <f>IF('Общие данные'!$B$77='Общие данные'!$C$77,'График дифференц'!C13,IF('Общие данные'!$B$77='Общие данные'!$D$77,'График аннуитет.'!C13))</f>
        <v>32083333.350000009</v>
      </c>
      <c r="D14" s="37">
        <f>IF('Общие данные'!$B$77='Общие данные'!$C$77,'График дифференц'!D13,IF('Общие данные'!$B$77='Общие данные'!$D$77,'График аннуитет.'!D13))</f>
        <v>4583333.33</v>
      </c>
      <c r="E14" s="37">
        <f>IF('Общие данные'!$B$77='Общие данные'!$C$77,'График дифференц'!E13,IF('Общие данные'!$B$77='Общие данные'!$D$77,'График аннуитет.'!E13))</f>
        <v>1687671.36</v>
      </c>
      <c r="F14" s="37">
        <f>IF('Общие данные'!$B$77='Общие данные'!$C$77,'График дифференц'!F13,IF('Общие данные'!$B$77='Общие данные'!$D$77,'График аннуитет.'!F13))</f>
        <v>6271004.6900000004</v>
      </c>
      <c r="H14" s="322"/>
      <c r="I14" s="322"/>
      <c r="J14" s="322"/>
      <c r="K14" s="322"/>
      <c r="L14" s="322"/>
      <c r="M14" s="322"/>
      <c r="N14" s="322"/>
      <c r="O14" s="322"/>
      <c r="P14" s="322"/>
    </row>
    <row r="15" spans="1:16" ht="13.5" customHeight="1">
      <c r="A15" s="21">
        <f t="shared" si="0"/>
        <v>7</v>
      </c>
      <c r="B15" s="36">
        <f>'График дифференц'!B14</f>
        <v>45937</v>
      </c>
      <c r="C15" s="37">
        <f>IF('Общие данные'!$B$77='Общие данные'!$C$77,'График дифференц'!C14,IF('Общие данные'!$B$77='Общие данные'!$D$77,'График аннуитет.'!C14))</f>
        <v>27500000.020000011</v>
      </c>
      <c r="D15" s="37">
        <f>IF('Общие данные'!$B$77='Общие данные'!$C$77,'График дифференц'!D14,IF('Общие данные'!$B$77='Общие данные'!$D$77,'График аннуитет.'!D14))</f>
        <v>4583333.33</v>
      </c>
      <c r="E15" s="37">
        <f>IF('Общие данные'!$B$77='Общие данные'!$C$77,'График дифференц'!E14,IF('Общие данные'!$B$77='Общие данные'!$D$77,'График аннуитет.'!E14))</f>
        <v>1310958.9200000002</v>
      </c>
      <c r="F15" s="37">
        <f>IF('Общие данные'!$B$77='Общие данные'!$C$77,'График дифференц'!F14,IF('Общие данные'!$B$77='Общие данные'!$D$77,'График аннуитет.'!F14))</f>
        <v>5894292.25</v>
      </c>
      <c r="H15" s="322"/>
      <c r="I15" s="322"/>
      <c r="J15" s="322"/>
      <c r="K15" s="322"/>
      <c r="L15" s="322"/>
      <c r="M15" s="322"/>
      <c r="N15" s="322"/>
      <c r="O15" s="322"/>
      <c r="P15" s="322"/>
    </row>
    <row r="16" spans="1:16" ht="13.5" customHeight="1">
      <c r="A16" s="21">
        <f t="shared" si="0"/>
        <v>8</v>
      </c>
      <c r="B16" s="36">
        <f>'График дифференц'!B15</f>
        <v>45968</v>
      </c>
      <c r="C16" s="37">
        <f>IF('Общие данные'!$B$77='Общие данные'!$C$77,'График дифференц'!C15,IF('Общие данные'!$B$77='Общие данные'!$D$77,'График аннуитет.'!C15))</f>
        <v>22916666.690000013</v>
      </c>
      <c r="D16" s="37">
        <f>IF('Общие данные'!$B$77='Общие данные'!$C$77,'График дифференц'!D15,IF('Общие данные'!$B$77='Общие данные'!$D$77,'График аннуитет.'!D15))</f>
        <v>4583333.33</v>
      </c>
      <c r="E16" s="37">
        <f>IF('Общие данные'!$B$77='Общие данные'!$C$77,'График дифференц'!E15,IF('Общие данные'!$B$77='Общие данные'!$D$77,'График аннуитет.'!E15))</f>
        <v>1167808.1300000001</v>
      </c>
      <c r="F16" s="37">
        <f>IF('Общие данные'!$B$77='Общие данные'!$C$77,'График дифференц'!F15,IF('Общие данные'!$B$77='Общие данные'!$D$77,'График аннуитет.'!F15))</f>
        <v>5751141.46</v>
      </c>
      <c r="H16" s="322"/>
      <c r="I16" s="322"/>
      <c r="J16" s="322"/>
      <c r="K16" s="322"/>
      <c r="L16" s="322"/>
      <c r="M16" s="322"/>
      <c r="N16" s="322"/>
      <c r="O16" s="322"/>
      <c r="P16" s="322"/>
    </row>
    <row r="17" spans="1:16" ht="13.5" customHeight="1">
      <c r="A17" s="21">
        <f t="shared" si="0"/>
        <v>9</v>
      </c>
      <c r="B17" s="36">
        <f>'График дифференц'!B16</f>
        <v>45999</v>
      </c>
      <c r="C17" s="37">
        <f>IF('Общие данные'!$B$77='Общие данные'!$C$77,'График дифференц'!C16,IF('Общие данные'!$B$77='Общие данные'!$D$77,'График аннуитет.'!C16))</f>
        <v>18333333.360000014</v>
      </c>
      <c r="D17" s="37">
        <f>IF('Общие данные'!$B$77='Общие данные'!$C$77,'График дифференц'!D16,IF('Общие данные'!$B$77='Общие данные'!$D$77,'График аннуитет.'!D16))</f>
        <v>4583333.33</v>
      </c>
      <c r="E17" s="37">
        <f>IF('Общие данные'!$B$77='Общие данные'!$C$77,'График дифференц'!E16,IF('Общие данные'!$B$77='Общие данные'!$D$77,'График аннуитет.'!E16))</f>
        <v>934246.69000000006</v>
      </c>
      <c r="F17" s="37">
        <f>IF('Общие данные'!$B$77='Общие данные'!$C$77,'График дифференц'!F16,IF('Общие данные'!$B$77='Общие данные'!$D$77,'График аннуитет.'!F16))</f>
        <v>5517580.0200000005</v>
      </c>
      <c r="H17" s="322"/>
      <c r="I17" s="322"/>
      <c r="J17" s="322"/>
      <c r="K17" s="322"/>
      <c r="L17" s="322"/>
      <c r="M17" s="322"/>
      <c r="N17" s="322"/>
      <c r="O17" s="322"/>
      <c r="P17" s="322"/>
    </row>
    <row r="18" spans="1:16" ht="13.5" customHeight="1">
      <c r="A18" s="21">
        <f t="shared" si="0"/>
        <v>10</v>
      </c>
      <c r="B18" s="36">
        <f>'График дифференц'!B17</f>
        <v>46029</v>
      </c>
      <c r="C18" s="37">
        <f>IF('Общие данные'!$B$77='Общие данные'!$C$77,'График дифференц'!C17,IF('Общие данные'!$B$77='Общие данные'!$D$77,'График аннуитет.'!C17))</f>
        <v>13750000.030000014</v>
      </c>
      <c r="D18" s="37">
        <f>IF('Общие данные'!$B$77='Общие данные'!$C$77,'График дифференц'!D17,IF('Общие данные'!$B$77='Общие данные'!$D$77,'График аннуитет.'!D17))</f>
        <v>4583333.33</v>
      </c>
      <c r="E18" s="37">
        <f>IF('Общие данные'!$B$77='Общие данные'!$C$77,'График дифференц'!E17,IF('Общие данные'!$B$77='Общие данные'!$D$77,'График аннуитет.'!E17))</f>
        <v>678082.20000000007</v>
      </c>
      <c r="F18" s="37">
        <f>IF('Общие данные'!$B$77='Общие данные'!$C$77,'График дифференц'!F17,IF('Общие данные'!$B$77='Общие данные'!$D$77,'График аннуитет.'!F17))</f>
        <v>5261415.53</v>
      </c>
      <c r="H18" s="322"/>
      <c r="I18" s="322"/>
      <c r="J18" s="322"/>
      <c r="K18" s="322"/>
      <c r="L18" s="322"/>
      <c r="M18" s="322"/>
      <c r="N18" s="322"/>
      <c r="O18" s="322"/>
      <c r="P18" s="322"/>
    </row>
    <row r="19" spans="1:16" ht="13.5" customHeight="1">
      <c r="A19" s="21">
        <f t="shared" si="0"/>
        <v>11</v>
      </c>
      <c r="B19" s="36">
        <f>'График дифференц'!B18</f>
        <v>46062</v>
      </c>
      <c r="C19" s="37">
        <f>IF('Общие данные'!$B$77='Общие данные'!$C$77,'График дифференц'!C18,IF('Общие данные'!$B$77='Общие данные'!$D$77,'График аннуитет.'!C18))</f>
        <v>9166666.7000000142</v>
      </c>
      <c r="D19" s="37">
        <f>IF('Общие данные'!$B$77='Общие данные'!$C$77,'График дифференц'!D18,IF('Общие данные'!$B$77='Общие данные'!$D$77,'График аннуитет.'!D18))</f>
        <v>4583333.33</v>
      </c>
      <c r="E19" s="37">
        <f>IF('Общие данные'!$B$77='Общие данные'!$C$77,'График дифференц'!E18,IF('Общие данные'!$B$77='Общие данные'!$D$77,'График аннуитет.'!E18))</f>
        <v>497260.17</v>
      </c>
      <c r="F19" s="37">
        <f>IF('Общие данные'!$B$77='Общие данные'!$C$77,'График дифференц'!F18,IF('Общие данные'!$B$77='Общие данные'!$D$77,'График аннуитет.'!F18))</f>
        <v>5080593.5</v>
      </c>
      <c r="H19" s="322"/>
      <c r="I19" s="322"/>
      <c r="J19" s="322"/>
      <c r="K19" s="322"/>
      <c r="L19" s="322"/>
      <c r="M19" s="322"/>
      <c r="N19" s="322"/>
      <c r="O19" s="322"/>
      <c r="P19" s="322"/>
    </row>
    <row r="20" spans="1:16" ht="15" customHeight="1">
      <c r="A20" s="21">
        <f t="shared" si="0"/>
        <v>12</v>
      </c>
      <c r="B20" s="36">
        <f>'График дифференц'!B19</f>
        <v>46088</v>
      </c>
      <c r="C20" s="37">
        <f>IF('Общие данные'!$B$77='Общие данные'!$C$77,'График дифференц'!C19,IF('Общие данные'!$B$77='Общие данные'!$D$77,'График аннуитет.'!C19))</f>
        <v>4583333.3700000141</v>
      </c>
      <c r="D20" s="37">
        <f>IF('Общие данные'!$B$77='Общие данные'!$C$77,'График дифференц'!D19,IF('Общие данные'!$B$77='Общие данные'!$D$77,'График аннуитет.'!D19))</f>
        <v>4583333.3700000122</v>
      </c>
      <c r="E20" s="37">
        <f>IF('Общие данные'!$B$77='Общие данные'!$C$77,'График дифференц'!E19,IF('Общие данные'!$B$77='Общие данные'!$D$77,'График аннуитет.'!E19))</f>
        <v>195890.5</v>
      </c>
      <c r="F20" s="37">
        <f>IF('Общие данные'!$B$77='Общие данные'!$C$77,'График дифференц'!F19,IF('Общие данные'!$B$77='Общие данные'!$D$77,'График аннуитет.'!F19))</f>
        <v>4779223.8700000122</v>
      </c>
      <c r="H20" s="322"/>
      <c r="I20" s="322"/>
      <c r="J20" s="322"/>
      <c r="K20" s="322"/>
      <c r="L20" s="322"/>
      <c r="M20" s="322"/>
      <c r="N20" s="322"/>
      <c r="O20" s="322"/>
      <c r="P20" s="322"/>
    </row>
    <row r="21" spans="1:16" hidden="1">
      <c r="A21" s="21">
        <f t="shared" si="0"/>
        <v>13</v>
      </c>
      <c r="B21" s="36" t="b">
        <f>'График дифференц'!B20</f>
        <v>0</v>
      </c>
      <c r="C21" s="37">
        <f>IF('Общие данные'!$B$77='Общие данные'!$C$77,'График дифференц'!C20,IF('Общие данные'!$B$77='Общие данные'!$D$77,'График аннуитет.'!C20))</f>
        <v>0</v>
      </c>
      <c r="D21" s="37">
        <f>IF('Общие данные'!$B$77='Общие данные'!$C$77,'График дифференц'!D20,IF('Общие данные'!$B$77='Общие данные'!$D$77,'График аннуитет.'!D20))</f>
        <v>0</v>
      </c>
      <c r="E21" s="37">
        <f>IF('Общие данные'!$B$77='Общие данные'!$C$77,'График дифференц'!E20,IF('Общие данные'!$B$77='Общие данные'!$D$77,'График аннуитет.'!E20))</f>
        <v>0</v>
      </c>
      <c r="F21" s="37">
        <f>IF('Общие данные'!$B$77='Общие данные'!$C$77,'График дифференц'!F20,IF('Общие данные'!$B$77='Общие данные'!$D$77,'График аннуитет.'!F20))</f>
        <v>0</v>
      </c>
      <c r="H21" s="322"/>
      <c r="I21" s="322"/>
      <c r="J21" s="322"/>
      <c r="K21" s="322"/>
      <c r="L21" s="322"/>
      <c r="M21" s="322"/>
      <c r="N21" s="322"/>
      <c r="O21" s="322"/>
      <c r="P21" s="322"/>
    </row>
    <row r="22" spans="1:16" hidden="1">
      <c r="A22" s="21">
        <f t="shared" si="0"/>
        <v>14</v>
      </c>
      <c r="B22" s="36" t="b">
        <f>'График дифференц'!B21</f>
        <v>0</v>
      </c>
      <c r="C22" s="37">
        <f>IF('Общие данные'!$B$77='Общие данные'!$C$77,'График дифференц'!C21,IF('Общие данные'!$B$77='Общие данные'!$D$77,'График аннуитет.'!C21))</f>
        <v>0</v>
      </c>
      <c r="D22" s="37">
        <f>IF('Общие данные'!$B$77='Общие данные'!$C$77,'График дифференц'!D21,IF('Общие данные'!$B$77='Общие данные'!$D$77,'График аннуитет.'!D21))</f>
        <v>0</v>
      </c>
      <c r="E22" s="37">
        <f>IF('Общие данные'!$B$77='Общие данные'!$C$77,'График дифференц'!E21,IF('Общие данные'!$B$77='Общие данные'!$D$77,'График аннуитет.'!E21))</f>
        <v>0</v>
      </c>
      <c r="F22" s="37">
        <f>IF('Общие данные'!$B$77='Общие данные'!$C$77,'График дифференц'!F21,IF('Общие данные'!$B$77='Общие данные'!$D$77,'График аннуитет.'!F21))</f>
        <v>0</v>
      </c>
      <c r="H22" s="322"/>
      <c r="I22" s="322"/>
      <c r="J22" s="322"/>
      <c r="K22" s="322"/>
      <c r="L22" s="322"/>
      <c r="M22" s="322"/>
      <c r="N22" s="322"/>
      <c r="O22" s="322"/>
      <c r="P22" s="322"/>
    </row>
    <row r="23" spans="1:16" hidden="1">
      <c r="A23" s="21">
        <f t="shared" si="0"/>
        <v>15</v>
      </c>
      <c r="B23" s="36" t="b">
        <f>'График дифференц'!B22</f>
        <v>0</v>
      </c>
      <c r="C23" s="37">
        <f>IF('Общие данные'!$B$77='Общие данные'!$C$77,'График дифференц'!C22,IF('Общие данные'!$B$77='Общие данные'!$D$77,'График аннуитет.'!C22))</f>
        <v>0</v>
      </c>
      <c r="D23" s="37">
        <f>IF('Общие данные'!$B$77='Общие данные'!$C$77,'График дифференц'!D22,IF('Общие данные'!$B$77='Общие данные'!$D$77,'График аннуитет.'!D22))</f>
        <v>0</v>
      </c>
      <c r="E23" s="37">
        <f>IF('Общие данные'!$B$77='Общие данные'!$C$77,'График дифференц'!E22,IF('Общие данные'!$B$77='Общие данные'!$D$77,'График аннуитет.'!E22))</f>
        <v>0</v>
      </c>
      <c r="F23" s="37">
        <f>IF('Общие данные'!$B$77='Общие данные'!$C$77,'График дифференц'!F22,IF('Общие данные'!$B$77='Общие данные'!$D$77,'График аннуитет.'!F22))</f>
        <v>0</v>
      </c>
      <c r="H23" s="322"/>
      <c r="I23" s="322"/>
      <c r="J23" s="322"/>
      <c r="K23" s="322"/>
      <c r="L23" s="322"/>
      <c r="M23" s="322"/>
      <c r="N23" s="322"/>
      <c r="O23" s="322"/>
      <c r="P23" s="322"/>
    </row>
    <row r="24" spans="1:16" hidden="1">
      <c r="A24" s="21">
        <f t="shared" si="0"/>
        <v>16</v>
      </c>
      <c r="B24" s="36" t="b">
        <f>'График дифференц'!B23</f>
        <v>0</v>
      </c>
      <c r="C24" s="37">
        <f>IF('Общие данные'!$B$77='Общие данные'!$C$77,'График дифференц'!C23,IF('Общие данные'!$B$77='Общие данные'!$D$77,'График аннуитет.'!C23))</f>
        <v>0</v>
      </c>
      <c r="D24" s="37">
        <f>IF('Общие данные'!$B$77='Общие данные'!$C$77,'График дифференц'!D23,IF('Общие данные'!$B$77='Общие данные'!$D$77,'График аннуитет.'!D23))</f>
        <v>0</v>
      </c>
      <c r="E24" s="37">
        <f>IF('Общие данные'!$B$77='Общие данные'!$C$77,'График дифференц'!E23,IF('Общие данные'!$B$77='Общие данные'!$D$77,'График аннуитет.'!E23))</f>
        <v>0</v>
      </c>
      <c r="F24" s="37">
        <f>IF('Общие данные'!$B$77='Общие данные'!$C$77,'График дифференц'!F23,IF('Общие данные'!$B$77='Общие данные'!$D$77,'График аннуитет.'!F23))</f>
        <v>0</v>
      </c>
      <c r="H24" s="322"/>
      <c r="I24" s="322"/>
      <c r="J24" s="322"/>
      <c r="K24" s="322"/>
      <c r="L24" s="322"/>
      <c r="M24" s="322"/>
      <c r="N24" s="322"/>
      <c r="O24" s="322"/>
      <c r="P24" s="322"/>
    </row>
    <row r="25" spans="1:16" hidden="1">
      <c r="A25" s="21">
        <f t="shared" si="0"/>
        <v>17</v>
      </c>
      <c r="B25" s="36" t="b">
        <f>'График дифференц'!B24</f>
        <v>0</v>
      </c>
      <c r="C25" s="37">
        <f>IF('Общие данные'!$B$77='Общие данные'!$C$77,'График дифференц'!C24,IF('Общие данные'!$B$77='Общие данные'!$D$77,'График аннуитет.'!C24))</f>
        <v>0</v>
      </c>
      <c r="D25" s="37">
        <f>IF('Общие данные'!$B$77='Общие данные'!$C$77,'График дифференц'!D24,IF('Общие данные'!$B$77='Общие данные'!$D$77,'График аннуитет.'!D24))</f>
        <v>0</v>
      </c>
      <c r="E25" s="37">
        <f>IF('Общие данные'!$B$77='Общие данные'!$C$77,'График дифференц'!E24,IF('Общие данные'!$B$77='Общие данные'!$D$77,'График аннуитет.'!E24))</f>
        <v>0</v>
      </c>
      <c r="F25" s="37">
        <f>IF('Общие данные'!$B$77='Общие данные'!$C$77,'График дифференц'!F24,IF('Общие данные'!$B$77='Общие данные'!$D$77,'График аннуитет.'!F24))</f>
        <v>0</v>
      </c>
    </row>
    <row r="26" spans="1:16" hidden="1">
      <c r="A26" s="21">
        <f t="shared" si="0"/>
        <v>18</v>
      </c>
      <c r="B26" s="36" t="b">
        <f>'График дифференц'!B25</f>
        <v>0</v>
      </c>
      <c r="C26" s="37">
        <f>IF('Общие данные'!$B$77='Общие данные'!$C$77,'График дифференц'!C25,IF('Общие данные'!$B$77='Общие данные'!$D$77,'График аннуитет.'!C25))</f>
        <v>0</v>
      </c>
      <c r="D26" s="37">
        <f>IF('Общие данные'!$B$77='Общие данные'!$C$77,'График дифференц'!D25,IF('Общие данные'!$B$77='Общие данные'!$D$77,'График аннуитет.'!D25))</f>
        <v>0</v>
      </c>
      <c r="E26" s="37">
        <f>IF('Общие данные'!$B$77='Общие данные'!$C$77,'График дифференц'!E25,IF('Общие данные'!$B$77='Общие данные'!$D$77,'График аннуитет.'!E25))</f>
        <v>0</v>
      </c>
      <c r="F26" s="37">
        <f>IF('Общие данные'!$B$77='Общие данные'!$C$77,'График дифференц'!F25,IF('Общие данные'!$B$77='Общие данные'!$D$77,'График аннуитет.'!F25))</f>
        <v>0</v>
      </c>
    </row>
    <row r="27" spans="1:16" hidden="1">
      <c r="A27" s="21">
        <f t="shared" si="0"/>
        <v>19</v>
      </c>
      <c r="B27" s="36" t="b">
        <f>'График дифференц'!B26</f>
        <v>0</v>
      </c>
      <c r="C27" s="37">
        <f>IF('Общие данные'!$B$77='Общие данные'!$C$77,'График дифференц'!C26,IF('Общие данные'!$B$77='Общие данные'!$D$77,'График аннуитет.'!C26))</f>
        <v>0</v>
      </c>
      <c r="D27" s="37">
        <f>IF('Общие данные'!$B$77='Общие данные'!$C$77,'График дифференц'!D26,IF('Общие данные'!$B$77='Общие данные'!$D$77,'График аннуитет.'!D26))</f>
        <v>0</v>
      </c>
      <c r="E27" s="37">
        <f>IF('Общие данные'!$B$77='Общие данные'!$C$77,'График дифференц'!E26,IF('Общие данные'!$B$77='Общие данные'!$D$77,'График аннуитет.'!E26))</f>
        <v>0</v>
      </c>
      <c r="F27" s="37">
        <f>IF('Общие данные'!$B$77='Общие данные'!$C$77,'График дифференц'!F26,IF('Общие данные'!$B$77='Общие данные'!$D$77,'График аннуитет.'!F26))</f>
        <v>0</v>
      </c>
    </row>
    <row r="28" spans="1:16" hidden="1">
      <c r="A28" s="21">
        <f t="shared" si="0"/>
        <v>20</v>
      </c>
      <c r="B28" s="36" t="b">
        <f>'График дифференц'!B27</f>
        <v>0</v>
      </c>
      <c r="C28" s="37">
        <f>IF('Общие данные'!$B$77='Общие данные'!$C$77,'График дифференц'!C27,IF('Общие данные'!$B$77='Общие данные'!$D$77,'График аннуитет.'!C27))</f>
        <v>0</v>
      </c>
      <c r="D28" s="37">
        <f>IF('Общие данные'!$B$77='Общие данные'!$C$77,'График дифференц'!D27,IF('Общие данные'!$B$77='Общие данные'!$D$77,'График аннуитет.'!D27))</f>
        <v>0</v>
      </c>
      <c r="E28" s="37">
        <f>IF('Общие данные'!$B$77='Общие данные'!$C$77,'График дифференц'!E27,IF('Общие данные'!$B$77='Общие данные'!$D$77,'График аннуитет.'!E27))</f>
        <v>0</v>
      </c>
      <c r="F28" s="37">
        <f>IF('Общие данные'!$B$77='Общие данные'!$C$77,'График дифференц'!F27,IF('Общие данные'!$B$77='Общие данные'!$D$77,'График аннуитет.'!F27))</f>
        <v>0</v>
      </c>
    </row>
    <row r="29" spans="1:16" hidden="1">
      <c r="A29" s="21">
        <f t="shared" si="0"/>
        <v>21</v>
      </c>
      <c r="B29" s="36" t="b">
        <f>'График дифференц'!B28</f>
        <v>0</v>
      </c>
      <c r="C29" s="37">
        <f>IF('Общие данные'!$B$77='Общие данные'!$C$77,'График дифференц'!C28,IF('Общие данные'!$B$77='Общие данные'!$D$77,'График аннуитет.'!C28))</f>
        <v>0</v>
      </c>
      <c r="D29" s="37">
        <f>IF('Общие данные'!$B$77='Общие данные'!$C$77,'График дифференц'!D28,IF('Общие данные'!$B$77='Общие данные'!$D$77,'График аннуитет.'!D28))</f>
        <v>0</v>
      </c>
      <c r="E29" s="37">
        <f>IF('Общие данные'!$B$77='Общие данные'!$C$77,'График дифференц'!E28,IF('Общие данные'!$B$77='Общие данные'!$D$77,'График аннуитет.'!E28))</f>
        <v>0</v>
      </c>
      <c r="F29" s="37">
        <f>IF('Общие данные'!$B$77='Общие данные'!$C$77,'График дифференц'!F28,IF('Общие данные'!$B$77='Общие данные'!$D$77,'График аннуитет.'!F28))</f>
        <v>0</v>
      </c>
    </row>
    <row r="30" spans="1:16" hidden="1">
      <c r="A30" s="21">
        <f t="shared" si="0"/>
        <v>22</v>
      </c>
      <c r="B30" s="36" t="b">
        <f>'График дифференц'!B29</f>
        <v>0</v>
      </c>
      <c r="C30" s="37">
        <f>IF('Общие данные'!$B$77='Общие данные'!$C$77,'График дифференц'!C29,IF('Общие данные'!$B$77='Общие данные'!$D$77,'График аннуитет.'!C29))</f>
        <v>0</v>
      </c>
      <c r="D30" s="37">
        <f>IF('Общие данные'!$B$77='Общие данные'!$C$77,'График дифференц'!D29,IF('Общие данные'!$B$77='Общие данные'!$D$77,'График аннуитет.'!D29))</f>
        <v>0</v>
      </c>
      <c r="E30" s="37">
        <f>IF('Общие данные'!$B$77='Общие данные'!$C$77,'График дифференц'!E29,IF('Общие данные'!$B$77='Общие данные'!$D$77,'График аннуитет.'!E29))</f>
        <v>0</v>
      </c>
      <c r="F30" s="37">
        <f>IF('Общие данные'!$B$77='Общие данные'!$C$77,'График дифференц'!F29,IF('Общие данные'!$B$77='Общие данные'!$D$77,'График аннуитет.'!F29))</f>
        <v>0</v>
      </c>
    </row>
    <row r="31" spans="1:16" hidden="1">
      <c r="A31" s="21">
        <f t="shared" si="0"/>
        <v>23</v>
      </c>
      <c r="B31" s="36" t="b">
        <f>'График дифференц'!B30</f>
        <v>0</v>
      </c>
      <c r="C31" s="37">
        <f>IF('Общие данные'!$B$77='Общие данные'!$C$77,'График дифференц'!C30,IF('Общие данные'!$B$77='Общие данные'!$D$77,'График аннуитет.'!C30))</f>
        <v>0</v>
      </c>
      <c r="D31" s="37">
        <f>IF('Общие данные'!$B$77='Общие данные'!$C$77,'График дифференц'!D30,IF('Общие данные'!$B$77='Общие данные'!$D$77,'График аннуитет.'!D30))</f>
        <v>0</v>
      </c>
      <c r="E31" s="37">
        <f>IF('Общие данные'!$B$77='Общие данные'!$C$77,'График дифференц'!E30,IF('Общие данные'!$B$77='Общие данные'!$D$77,'График аннуитет.'!E30))</f>
        <v>0</v>
      </c>
      <c r="F31" s="37">
        <f>IF('Общие данные'!$B$77='Общие данные'!$C$77,'График дифференц'!F30,IF('Общие данные'!$B$77='Общие данные'!$D$77,'График аннуитет.'!F30))</f>
        <v>0</v>
      </c>
    </row>
    <row r="32" spans="1:16" hidden="1">
      <c r="A32" s="21">
        <f>1+A31</f>
        <v>24</v>
      </c>
      <c r="B32" s="36" t="b">
        <f>'График дифференц'!B31</f>
        <v>0</v>
      </c>
      <c r="C32" s="37">
        <f>IF('Общие данные'!$B$77='Общие данные'!$C$77,'График дифференц'!C31,IF('Общие данные'!$B$77='Общие данные'!$D$77,'График аннуитет.'!C31))</f>
        <v>0</v>
      </c>
      <c r="D32" s="37">
        <f>IF('Общие данные'!$B$77='Общие данные'!$C$77,'График дифференц'!D31,IF('Общие данные'!$B$77='Общие данные'!$D$77,'График аннуитет.'!D31))</f>
        <v>0</v>
      </c>
      <c r="E32" s="37">
        <f>IF('Общие данные'!$B$77='Общие данные'!$C$77,'График дифференц'!E31,IF('Общие данные'!$B$77='Общие данные'!$D$77,'График аннуитет.'!E31))</f>
        <v>0</v>
      </c>
      <c r="F32" s="37">
        <f>IF('Общие данные'!$B$77='Общие данные'!$C$77,'График дифференц'!F31,IF('Общие данные'!$B$77='Общие данные'!$D$77,'График аннуитет.'!F31))</f>
        <v>0</v>
      </c>
    </row>
    <row r="33" spans="1:6" hidden="1">
      <c r="A33" s="21">
        <f t="shared" ref="A33:A44" si="1">1+A32</f>
        <v>25</v>
      </c>
      <c r="B33" s="36" t="b">
        <f>'График дифференц'!B32</f>
        <v>0</v>
      </c>
      <c r="C33" s="37">
        <f>IF('Общие данные'!$B$77='Общие данные'!$C$77,'График дифференц'!C32,IF('Общие данные'!$B$77='Общие данные'!$D$77,'График аннуитет.'!C32))</f>
        <v>0</v>
      </c>
      <c r="D33" s="37">
        <f>IF('Общие данные'!$B$77='Общие данные'!$C$77,'График дифференц'!D32,IF('Общие данные'!$B$77='Общие данные'!$D$77,'График аннуитет.'!D32))</f>
        <v>0</v>
      </c>
      <c r="E33" s="37">
        <f>IF('Общие данные'!$B$77='Общие данные'!$C$77,'График дифференц'!E32,IF('Общие данные'!$B$77='Общие данные'!$D$77,'График аннуитет.'!E32))</f>
        <v>0</v>
      </c>
      <c r="F33" s="37">
        <f>IF('Общие данные'!$B$77='Общие данные'!$C$77,'График дифференц'!F32,IF('Общие данные'!$B$77='Общие данные'!$D$77,'График аннуитет.'!F32))</f>
        <v>0</v>
      </c>
    </row>
    <row r="34" spans="1:6" hidden="1">
      <c r="A34" s="21">
        <f t="shared" si="1"/>
        <v>26</v>
      </c>
      <c r="B34" s="36" t="b">
        <f>'График дифференц'!B33</f>
        <v>0</v>
      </c>
      <c r="C34" s="37">
        <f>IF('Общие данные'!$B$77='Общие данные'!$C$77,'График дифференц'!C33,IF('Общие данные'!$B$77='Общие данные'!$D$77,'График аннуитет.'!C33))</f>
        <v>0</v>
      </c>
      <c r="D34" s="37">
        <f>IF('Общие данные'!$B$77='Общие данные'!$C$77,'График дифференц'!D33,IF('Общие данные'!$B$77='Общие данные'!$D$77,'График аннуитет.'!D33))</f>
        <v>0</v>
      </c>
      <c r="E34" s="37">
        <f>IF('Общие данные'!$B$77='Общие данные'!$C$77,'График дифференц'!E33,IF('Общие данные'!$B$77='Общие данные'!$D$77,'График аннуитет.'!E33))</f>
        <v>0</v>
      </c>
      <c r="F34" s="37">
        <f>IF('Общие данные'!$B$77='Общие данные'!$C$77,'График дифференц'!F33,IF('Общие данные'!$B$77='Общие данные'!$D$77,'График аннуитет.'!F33))</f>
        <v>0</v>
      </c>
    </row>
    <row r="35" spans="1:6" hidden="1">
      <c r="A35" s="21">
        <f t="shared" si="1"/>
        <v>27</v>
      </c>
      <c r="B35" s="36" t="b">
        <f>'График дифференц'!B34</f>
        <v>0</v>
      </c>
      <c r="C35" s="37">
        <f>IF('Общие данные'!$B$77='Общие данные'!$C$77,'График дифференц'!C34,IF('Общие данные'!$B$77='Общие данные'!$D$77,'График аннуитет.'!C34))</f>
        <v>0</v>
      </c>
      <c r="D35" s="37">
        <f>IF('Общие данные'!$B$77='Общие данные'!$C$77,'График дифференц'!D34,IF('Общие данные'!$B$77='Общие данные'!$D$77,'График аннуитет.'!D34))</f>
        <v>0</v>
      </c>
      <c r="E35" s="37">
        <f>IF('Общие данные'!$B$77='Общие данные'!$C$77,'График дифференц'!E34,IF('Общие данные'!$B$77='Общие данные'!$D$77,'График аннуитет.'!E34))</f>
        <v>0</v>
      </c>
      <c r="F35" s="37">
        <f>IF('Общие данные'!$B$77='Общие данные'!$C$77,'График дифференц'!F34,IF('Общие данные'!$B$77='Общие данные'!$D$77,'График аннуитет.'!F34))</f>
        <v>0</v>
      </c>
    </row>
    <row r="36" spans="1:6" hidden="1">
      <c r="A36" s="21">
        <f t="shared" si="1"/>
        <v>28</v>
      </c>
      <c r="B36" s="36" t="b">
        <f>'График дифференц'!B35</f>
        <v>0</v>
      </c>
      <c r="C36" s="37">
        <f>IF('Общие данные'!$B$77='Общие данные'!$C$77,'График дифференц'!C35,IF('Общие данные'!$B$77='Общие данные'!$D$77,'График аннуитет.'!C35))</f>
        <v>0</v>
      </c>
      <c r="D36" s="37">
        <f>IF('Общие данные'!$B$77='Общие данные'!$C$77,'График дифференц'!D35,IF('Общие данные'!$B$77='Общие данные'!$D$77,'График аннуитет.'!D35))</f>
        <v>0</v>
      </c>
      <c r="E36" s="37">
        <f>IF('Общие данные'!$B$77='Общие данные'!$C$77,'График дифференц'!E35,IF('Общие данные'!$B$77='Общие данные'!$D$77,'График аннуитет.'!E35))</f>
        <v>0</v>
      </c>
      <c r="F36" s="37">
        <f>IF('Общие данные'!$B$77='Общие данные'!$C$77,'График дифференц'!F35,IF('Общие данные'!$B$77='Общие данные'!$D$77,'График аннуитет.'!F35))</f>
        <v>0</v>
      </c>
    </row>
    <row r="37" spans="1:6" hidden="1">
      <c r="A37" s="21">
        <f t="shared" si="1"/>
        <v>29</v>
      </c>
      <c r="B37" s="36" t="b">
        <f>'График дифференц'!B36</f>
        <v>0</v>
      </c>
      <c r="C37" s="37">
        <f>IF('Общие данные'!$B$77='Общие данные'!$C$77,'График дифференц'!C36,IF('Общие данные'!$B$77='Общие данные'!$D$77,'График аннуитет.'!C36))</f>
        <v>0</v>
      </c>
      <c r="D37" s="37">
        <f>IF('Общие данные'!$B$77='Общие данные'!$C$77,'График дифференц'!D36,IF('Общие данные'!$B$77='Общие данные'!$D$77,'График аннуитет.'!D36))</f>
        <v>0</v>
      </c>
      <c r="E37" s="37">
        <f>IF('Общие данные'!$B$77='Общие данные'!$C$77,'График дифференц'!E36,IF('Общие данные'!$B$77='Общие данные'!$D$77,'График аннуитет.'!E36))</f>
        <v>0</v>
      </c>
      <c r="F37" s="37">
        <f>IF('Общие данные'!$B$77='Общие данные'!$C$77,'График дифференц'!F36,IF('Общие данные'!$B$77='Общие данные'!$D$77,'График аннуитет.'!F36))</f>
        <v>0</v>
      </c>
    </row>
    <row r="38" spans="1:6" hidden="1">
      <c r="A38" s="21">
        <f t="shared" si="1"/>
        <v>30</v>
      </c>
      <c r="B38" s="36" t="b">
        <f>'График дифференц'!B37</f>
        <v>0</v>
      </c>
      <c r="C38" s="37">
        <f>IF('Общие данные'!$B$77='Общие данные'!$C$77,'График дифференц'!C37,IF('Общие данные'!$B$77='Общие данные'!$D$77,'График аннуитет.'!C37))</f>
        <v>0</v>
      </c>
      <c r="D38" s="37">
        <f>IF('Общие данные'!$B$77='Общие данные'!$C$77,'График дифференц'!D37,IF('Общие данные'!$B$77='Общие данные'!$D$77,'График аннуитет.'!D37))</f>
        <v>0</v>
      </c>
      <c r="E38" s="37">
        <f>IF('Общие данные'!$B$77='Общие данные'!$C$77,'График дифференц'!E37,IF('Общие данные'!$B$77='Общие данные'!$D$77,'График аннуитет.'!E37))</f>
        <v>0</v>
      </c>
      <c r="F38" s="37">
        <f>IF('Общие данные'!$B$77='Общие данные'!$C$77,'График дифференц'!F37,IF('Общие данные'!$B$77='Общие данные'!$D$77,'График аннуитет.'!F37))</f>
        <v>0</v>
      </c>
    </row>
    <row r="39" spans="1:6" hidden="1">
      <c r="A39" s="21">
        <f t="shared" si="1"/>
        <v>31</v>
      </c>
      <c r="B39" s="36" t="b">
        <f>'График дифференц'!B38</f>
        <v>0</v>
      </c>
      <c r="C39" s="37">
        <f>IF('Общие данные'!$B$77='Общие данные'!$C$77,'График дифференц'!C38,IF('Общие данные'!$B$77='Общие данные'!$D$77,'График аннуитет.'!C38))</f>
        <v>0</v>
      </c>
      <c r="D39" s="37">
        <f>IF('Общие данные'!$B$77='Общие данные'!$C$77,'График дифференц'!D38,IF('Общие данные'!$B$77='Общие данные'!$D$77,'График аннуитет.'!D38))</f>
        <v>0</v>
      </c>
      <c r="E39" s="37">
        <f>IF('Общие данные'!$B$77='Общие данные'!$C$77,'График дифференц'!E38,IF('Общие данные'!$B$77='Общие данные'!$D$77,'График аннуитет.'!E38))</f>
        <v>0</v>
      </c>
      <c r="F39" s="37">
        <f>IF('Общие данные'!$B$77='Общие данные'!$C$77,'График дифференц'!F38,IF('Общие данные'!$B$77='Общие данные'!$D$77,'График аннуитет.'!F38))</f>
        <v>0</v>
      </c>
    </row>
    <row r="40" spans="1:6" hidden="1">
      <c r="A40" s="21">
        <f t="shared" si="1"/>
        <v>32</v>
      </c>
      <c r="B40" s="36" t="b">
        <f>'График дифференц'!B39</f>
        <v>0</v>
      </c>
      <c r="C40" s="37">
        <f>IF('Общие данные'!$B$77='Общие данные'!$C$77,'График дифференц'!C39,IF('Общие данные'!$B$77='Общие данные'!$D$77,'График аннуитет.'!C39))</f>
        <v>0</v>
      </c>
      <c r="D40" s="37">
        <f>IF('Общие данные'!$B$77='Общие данные'!$C$77,'График дифференц'!D39,IF('Общие данные'!$B$77='Общие данные'!$D$77,'График аннуитет.'!D39))</f>
        <v>0</v>
      </c>
      <c r="E40" s="37">
        <f>IF('Общие данные'!$B$77='Общие данные'!$C$77,'График дифференц'!E39,IF('Общие данные'!$B$77='Общие данные'!$D$77,'График аннуитет.'!E39))</f>
        <v>0</v>
      </c>
      <c r="F40" s="37">
        <f>IF('Общие данные'!$B$77='Общие данные'!$C$77,'График дифференц'!F39,IF('Общие данные'!$B$77='Общие данные'!$D$77,'График аннуитет.'!F39))</f>
        <v>0</v>
      </c>
    </row>
    <row r="41" spans="1:6" hidden="1">
      <c r="A41" s="21">
        <f t="shared" si="1"/>
        <v>33</v>
      </c>
      <c r="B41" s="36" t="b">
        <f>'График дифференц'!B40</f>
        <v>0</v>
      </c>
      <c r="C41" s="37">
        <f>IF('Общие данные'!$B$77='Общие данные'!$C$77,'График дифференц'!C40,IF('Общие данные'!$B$77='Общие данные'!$D$77,'График аннуитет.'!C40))</f>
        <v>0</v>
      </c>
      <c r="D41" s="37">
        <f>IF('Общие данные'!$B$77='Общие данные'!$C$77,'График дифференц'!D40,IF('Общие данные'!$B$77='Общие данные'!$D$77,'График аннуитет.'!D40))</f>
        <v>0</v>
      </c>
      <c r="E41" s="37">
        <f>IF('Общие данные'!$B$77='Общие данные'!$C$77,'График дифференц'!E40,IF('Общие данные'!$B$77='Общие данные'!$D$77,'График аннуитет.'!E40))</f>
        <v>0</v>
      </c>
      <c r="F41" s="37">
        <f>IF('Общие данные'!$B$77='Общие данные'!$C$77,'График дифференц'!F40,IF('Общие данные'!$B$77='Общие данные'!$D$77,'График аннуитет.'!F40))</f>
        <v>0</v>
      </c>
    </row>
    <row r="42" spans="1:6" hidden="1">
      <c r="A42" s="21">
        <f t="shared" si="1"/>
        <v>34</v>
      </c>
      <c r="B42" s="36" t="b">
        <f>'График дифференц'!B41</f>
        <v>0</v>
      </c>
      <c r="C42" s="37">
        <f>IF('Общие данные'!$B$77='Общие данные'!$C$77,'График дифференц'!C41,IF('Общие данные'!$B$77='Общие данные'!$D$77,'График аннуитет.'!C41))</f>
        <v>0</v>
      </c>
      <c r="D42" s="37">
        <f>IF('Общие данные'!$B$77='Общие данные'!$C$77,'График дифференц'!D41,IF('Общие данные'!$B$77='Общие данные'!$D$77,'График аннуитет.'!D41))</f>
        <v>0</v>
      </c>
      <c r="E42" s="37">
        <f>IF('Общие данные'!$B$77='Общие данные'!$C$77,'График дифференц'!E41,IF('Общие данные'!$B$77='Общие данные'!$D$77,'График аннуитет.'!E41))</f>
        <v>0</v>
      </c>
      <c r="F42" s="37">
        <f>IF('Общие данные'!$B$77='Общие данные'!$C$77,'График дифференц'!F41,IF('Общие данные'!$B$77='Общие данные'!$D$77,'График аннуитет.'!F41))</f>
        <v>0</v>
      </c>
    </row>
    <row r="43" spans="1:6" hidden="1">
      <c r="A43" s="21">
        <f t="shared" si="1"/>
        <v>35</v>
      </c>
      <c r="B43" s="36" t="b">
        <f>'График дифференц'!B42</f>
        <v>0</v>
      </c>
      <c r="C43" s="37">
        <f>IF('Общие данные'!$B$77='Общие данные'!$C$77,'График дифференц'!C42,IF('Общие данные'!$B$77='Общие данные'!$D$77,'График аннуитет.'!C42))</f>
        <v>0</v>
      </c>
      <c r="D43" s="37">
        <f>IF('Общие данные'!$B$77='Общие данные'!$C$77,'График дифференц'!D42,IF('Общие данные'!$B$77='Общие данные'!$D$77,'График аннуитет.'!D42))</f>
        <v>0</v>
      </c>
      <c r="E43" s="37">
        <f>IF('Общие данные'!$B$77='Общие данные'!$C$77,'График дифференц'!E42,IF('Общие данные'!$B$77='Общие данные'!$D$77,'График аннуитет.'!E42))</f>
        <v>0</v>
      </c>
      <c r="F43" s="37">
        <f>IF('Общие данные'!$B$77='Общие данные'!$C$77,'График дифференц'!F42,IF('Общие данные'!$B$77='Общие данные'!$D$77,'График аннуитет.'!F42))</f>
        <v>0</v>
      </c>
    </row>
    <row r="44" spans="1:6" hidden="1">
      <c r="A44" s="21">
        <f t="shared" si="1"/>
        <v>36</v>
      </c>
      <c r="B44" s="36" t="b">
        <f>'График дифференц'!B43</f>
        <v>0</v>
      </c>
      <c r="C44" s="37">
        <f>IF('Общие данные'!$B$77='Общие данные'!$C$77,'График дифференц'!C43,IF('Общие данные'!$B$77='Общие данные'!$D$77,'График аннуитет.'!C43))</f>
        <v>0</v>
      </c>
      <c r="D44" s="37">
        <f>IF('Общие данные'!$B$77='Общие данные'!$C$77,'График дифференц'!D43,IF('Общие данные'!$B$77='Общие данные'!$D$77,'График аннуитет.'!D43))</f>
        <v>0</v>
      </c>
      <c r="E44" s="37">
        <f>IF('Общие данные'!$B$77='Общие данные'!$C$77,'График дифференц'!E43,IF('Общие данные'!$B$77='Общие данные'!$D$77,'График аннуитет.'!E43))</f>
        <v>0</v>
      </c>
      <c r="F44" s="37">
        <f>IF('Общие данные'!$B$77='Общие данные'!$C$77,'График дифференц'!F43,IF('Общие данные'!$B$77='Общие данные'!$D$77,'График аннуитет.'!F43))</f>
        <v>0</v>
      </c>
    </row>
    <row r="45" spans="1:6" ht="15" customHeight="1">
      <c r="A45" s="49"/>
      <c r="B45" s="50" t="s">
        <v>228</v>
      </c>
      <c r="C45" s="51"/>
      <c r="D45" s="51">
        <f>SUM(D9:D44)</f>
        <v>55000000</v>
      </c>
      <c r="E45" s="51">
        <f>SUM(E9:E44)</f>
        <v>18014383.770000003</v>
      </c>
      <c r="F45" s="51">
        <f>SUM(F9:F44)</f>
        <v>73014383.770000011</v>
      </c>
    </row>
    <row r="46" spans="1:6" ht="11.25" customHeight="1">
      <c r="B46" s="38"/>
      <c r="C46" s="39"/>
      <c r="D46" s="39"/>
      <c r="E46" s="39"/>
      <c r="F46" s="39"/>
    </row>
    <row r="47" spans="1:6" ht="47.25" customHeight="1">
      <c r="A47" s="238"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8"/>
      <c r="C47" s="238"/>
      <c r="D47" s="238"/>
      <c r="E47" s="238"/>
      <c r="F47" s="238"/>
    </row>
    <row r="48" spans="1:6" ht="7.5" customHeight="1"/>
    <row r="49" spans="1:6" ht="15" customHeight="1">
      <c r="A49" s="273" t="s">
        <v>295</v>
      </c>
      <c r="B49" s="273"/>
      <c r="C49" s="273"/>
      <c r="D49" s="273" t="s">
        <v>305</v>
      </c>
      <c r="E49" s="273"/>
      <c r="F49" s="273"/>
    </row>
    <row r="50" spans="1:6" ht="11.25" customHeight="1">
      <c r="A50" s="274"/>
      <c r="B50" s="274"/>
      <c r="C50" s="274"/>
      <c r="D50" s="274"/>
      <c r="E50" s="274"/>
      <c r="F50" s="274"/>
    </row>
    <row r="51" spans="1:6" ht="30" customHeight="1">
      <c r="A51" s="272" t="str">
        <f>договор!A117</f>
        <v>«CLEVER MIKROMOLIYA TASHKILOTI» MChJ</v>
      </c>
      <c r="B51" s="272"/>
      <c r="C51" s="272"/>
      <c r="D51" s="272" t="str">
        <f>договор!B117</f>
        <v>MIRZAKULOV RUSTAMJON MUXAMADJANOVICH</v>
      </c>
      <c r="E51" s="272"/>
      <c r="F51" s="272"/>
    </row>
    <row r="52" spans="1:6" ht="37.5" customHeight="1">
      <c r="A52" s="268" t="str">
        <f>договор!A119</f>
        <v>Manzil: Toshkent shahri, Olmazor tumani, Sagbon ko'chasi, 30 boshi berk, 6-uy</v>
      </c>
      <c r="B52" s="268"/>
      <c r="C52" s="268"/>
      <c r="D52" s="268" t="str">
        <f>договор!B119</f>
        <v>Manzil: TOSHKENT VILOYATI OLMALIQ SHAHAR O`ZBEKISTON MFY OQTOSHKO`CHASI 47-UY</v>
      </c>
      <c r="E52" s="268"/>
      <c r="F52" s="268"/>
    </row>
    <row r="53" spans="1:6" ht="15" customHeight="1">
      <c r="A53" s="268" t="str">
        <f>договор!A120</f>
        <v>h/r: №20216000705068380001</v>
      </c>
      <c r="B53" s="268"/>
      <c r="C53" s="268"/>
      <c r="D53" s="268" t="str">
        <f>договор!B121</f>
        <v>pasport seriyasi: AD9977942, IIV 27404 tomonidan 26.12.2024 yilda berilgan</v>
      </c>
      <c r="E53" s="268"/>
      <c r="F53" s="268"/>
    </row>
    <row r="54" spans="1:6" ht="34.5" customHeight="1">
      <c r="A54" s="268" t="str">
        <f>договор!A121</f>
        <v>MFO: №01042 в ATB “Kapitalbank” Sergeli filiali</v>
      </c>
      <c r="B54" s="268"/>
      <c r="C54" s="268"/>
      <c r="D54" s="268"/>
      <c r="E54" s="268"/>
      <c r="F54" s="268"/>
    </row>
    <row r="55" spans="1:6" ht="15" customHeight="1">
      <c r="A55" s="268" t="str">
        <f>договор!A122</f>
        <v>STIR: 306365847</v>
      </c>
      <c r="B55" s="268"/>
      <c r="C55" s="268"/>
      <c r="D55" s="268" t="str">
        <f>договор!B122</f>
        <v>Tel: 94 404 44 09 O`ZI</v>
      </c>
      <c r="E55" s="268"/>
      <c r="F55" s="268"/>
    </row>
    <row r="56" spans="1:6" ht="15" customHeight="1">
      <c r="A56" s="268" t="str">
        <f>договор!A123</f>
        <v>Tel: (78) 113 31 33</v>
      </c>
      <c r="B56" s="268"/>
      <c r="C56" s="268"/>
      <c r="D56" s="268" t="str">
        <f>договор!B123</f>
        <v>99 086 26 77  AYOLI</v>
      </c>
      <c r="E56" s="268"/>
      <c r="F56" s="268"/>
    </row>
    <row r="57" spans="1:6" ht="15" customHeight="1">
      <c r="A57" s="268" t="str">
        <f>договор!A124</f>
        <v>(78) 113 31 34</v>
      </c>
      <c r="B57" s="268"/>
      <c r="C57" s="268"/>
      <c r="D57" s="268" t="str">
        <f>договор!B124</f>
        <v>93 607 50 18 OPASI</v>
      </c>
      <c r="E57" s="268"/>
      <c r="F57" s="268"/>
    </row>
    <row r="58" spans="1:6" ht="23.25" customHeight="1">
      <c r="A58" s="268"/>
      <c r="B58" s="268"/>
      <c r="C58" s="268"/>
      <c r="D58" s="268" t="str">
        <f>IF(договор!B125=0,"",договор!B125)</f>
        <v/>
      </c>
      <c r="E58" s="268"/>
      <c r="F58" s="268"/>
    </row>
    <row r="59" spans="1:6" ht="21.75" customHeight="1">
      <c r="A59" s="323" t="str">
        <f>договор!A126</f>
        <v>Olmaliq filiali boshlig'i</v>
      </c>
      <c r="B59" s="323"/>
      <c r="C59" s="323"/>
      <c r="D59" s="272" t="str">
        <f>договор!B126</f>
        <v>MIRZAKULOV R.M.     __________________</v>
      </c>
      <c r="E59" s="272"/>
      <c r="F59" s="272"/>
    </row>
    <row r="60" spans="1:6" ht="15" customHeight="1">
      <c r="A60" s="268"/>
      <c r="B60" s="268"/>
      <c r="C60" s="268"/>
      <c r="D60" s="272"/>
      <c r="E60" s="272"/>
      <c r="F60" s="272"/>
    </row>
    <row r="61" spans="1:6">
      <c r="A61" s="323" t="str">
        <f>договор!A128</f>
        <v xml:space="preserve">Yerjanov V.Y. ________________ </v>
      </c>
      <c r="B61" s="323"/>
      <c r="C61" s="323"/>
      <c r="D61" s="272"/>
      <c r="E61" s="272"/>
      <c r="F61" s="272"/>
    </row>
    <row r="62" spans="1:6" ht="8.25" customHeight="1">
      <c r="A62" s="268"/>
      <c r="B62" s="268"/>
      <c r="C62" s="268"/>
      <c r="D62" s="268"/>
      <c r="E62" s="268"/>
      <c r="F62" s="268"/>
    </row>
    <row r="63" spans="1:6" ht="30" customHeight="1">
      <c r="A63" s="269"/>
      <c r="B63" s="269"/>
      <c r="C63" s="269"/>
      <c r="D63" s="270"/>
      <c r="E63" s="270"/>
      <c r="F63" s="270"/>
    </row>
    <row r="64" spans="1:6">
      <c r="A64" s="271"/>
      <c r="B64" s="271"/>
      <c r="C64" s="271"/>
      <c r="D64" s="271"/>
      <c r="E64" s="271"/>
      <c r="F64" s="271"/>
    </row>
    <row r="65" spans="1:6">
      <c r="A65" s="267"/>
      <c r="B65" s="267"/>
      <c r="C65" s="267"/>
      <c r="D65" s="267"/>
      <c r="E65" s="267"/>
      <c r="F65" s="267"/>
    </row>
  </sheetData>
  <mergeCells count="41">
    <mergeCell ref="E2:F2"/>
    <mergeCell ref="A5:F5"/>
    <mergeCell ref="A7:A8"/>
    <mergeCell ref="B7:B8"/>
    <mergeCell ref="C7:C8"/>
    <mergeCell ref="D7:F7"/>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6" operator="lessThan">
      <formula>22105</formula>
    </cfRule>
  </conditionalFormatting>
  <conditionalFormatting sqref="C9:F44">
    <cfRule type="cellIs" dxfId="0" priority="1" operator="lessThan">
      <formula>0.1</formula>
    </cfRule>
  </conditionalFormatting>
  <pageMargins left="0.70866141732283472" right="0.70866141732283472" top="0.74803149606299213" bottom="0.74803149606299213" header="0.31496062992125984" footer="0.31496062992125984"/>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85" zoomScaleSheetLayoutView="85" workbookViewId="0">
      <selection activeCell="A21" sqref="A21"/>
    </sheetView>
  </sheetViews>
  <sheetFormatPr defaultColWidth="0" defaultRowHeight="15.75" zeroHeight="1"/>
  <cols>
    <col min="1" max="1" width="33" style="9" customWidth="1"/>
    <col min="2" max="2" width="53.42578125" style="9" customWidth="1"/>
    <col min="3" max="16384" width="9.140625" style="9" hidden="1"/>
  </cols>
  <sheetData>
    <row r="5" spans="1:2"/>
    <row r="6" spans="1:2">
      <c r="B6" s="17" t="str">
        <f>'Общие данные'!B148</f>
        <v>«CLEVER MIKROMOLIYA TASHKILOTI» MChJ</v>
      </c>
    </row>
    <row r="7" spans="1:2">
      <c r="A7" s="220"/>
      <c r="B7" s="210" t="str">
        <f>""&amp;'Общие данные'!A150&amp;"i "&amp;'Общие данные'!B150&amp;"ga"</f>
        <v>Olmaliq filiali boshlig'ii Yerjanov V.Y.ga</v>
      </c>
    </row>
    <row r="8" spans="1:2" ht="31.5">
      <c r="A8" s="192"/>
      <c r="B8" s="210" t="str">
        <f>""&amp;'Общие данные'!B111&amp;"dan"</f>
        <v>MIRZAKULOV RUSTAMJON MUXAMADJANOVICHdan</v>
      </c>
    </row>
    <row r="9" spans="1:2" ht="15.75" hidden="1" customHeight="1">
      <c r="B9" s="10" t="str">
        <f>'Общие данные'!B111</f>
        <v>MIRZAKULOV RUSTAMJON MUXAMADJANOVICH</v>
      </c>
    </row>
    <row r="10" spans="1:2" ht="15.75" hidden="1" customHeight="1">
      <c r="B10" s="10" t="str">
        <f>'Общие данные'!C111</f>
        <v>SHOUSMANOVA DAVLATXON XXX</v>
      </c>
    </row>
    <row r="11" spans="1:2" ht="15.75" hidden="1" customHeight="1">
      <c r="B11" s="192" t="s">
        <v>297</v>
      </c>
    </row>
    <row r="12" spans="1:2"/>
    <row r="13" spans="1:2" ht="115.5" customHeight="1">
      <c r="A13" s="305" t="str">
        <f>IF('Общие данные'!B103="Avtotransport",A14,A15)</f>
        <v>MIRZAKULOV RUSTAMJON MUXAMADJANOVICH tomonidan so’ralayotgan 12 (o'n ikki) oy muddatga, 55 000 000 (ellik besh million so'm) miqdoridagi mikroqarzning ta’minoti sifatida menga mulk huquqi asosida tegishli bo’lgan  KIA SEITOS G08M, Kuzov turi YENGIL SEDAN, Kuzov raqami XWBJF69VELA059410, dvigatel raqami G4NHPH325362, shassi raqami -  - , rangi -  OQ BELIY JEMCHUG-OK, ishlab chiqarilgan yili - 2023, avtotransport vositasini qabul qilishingizni so’rayman:</v>
      </c>
      <c r="B13" s="305"/>
    </row>
    <row r="14" spans="1:2" ht="124.5" hidden="1" customHeight="1">
      <c r="A14" s="30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MIRZAKULOV RUSTAMJON MUXAMADJANOVICH tomonidan so’ralayotgan 12 (o'n ikki) oy muddatga, 55 000 000 (ellik besh million so'm) miqdoridagi mikroqarzning ta’minoti sifatida menga mulk huquqi asosida tegishli bo’lgan  KIA SEITOS G08M, Kuzov turi YENGIL SEDAN, Kuzov raqami XWBJF69VELA059410, dvigatel raqami G4NHPH325362, shassi raqami -  - , rangi -  OQ BELIY JEMCHUG-OK, ishlab chiqarilgan yili - 2023, avtotransport vositasini qabul qilishingizni so’rayman:</v>
      </c>
      <c r="B14" s="305"/>
    </row>
    <row r="15" spans="1:2" ht="116.25" hidden="1" customHeight="1">
      <c r="A15" s="305"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MIRZAKULOV RUSTAMJON MUXAMADJANOVICH tomonidan so’ralayotgan 12 (o'n ikki) oy muddatga, 55 000 000 (ellik besh million so'm) miqdoridagi mikroqarzning ta’minoti sifatida menga mulk huquqi asosida tegishli bo’lgan  3 - xonali yakka tartibdagi uy-joy, umumiy maydoni 72.13 kv.m. va yashash maydoni 37.39 kv.m  SAMARQAND VILOYATI TAYLOQ TUMANI CHAROG'BON MFY YANGI TAYLOQ QISHLOG'I 6 TURAR JOY 12 QAVAT 58 XONADON manzilda joylashgan ko'chmas mulkni qabul qilishingizni so’rayman:</v>
      </c>
      <c r="B15" s="305"/>
    </row>
    <row r="16" spans="1:2"/>
    <row r="17" spans="1:2"/>
    <row r="18" spans="1:2">
      <c r="B18" s="10" t="s">
        <v>296</v>
      </c>
    </row>
    <row r="19" spans="1:2" ht="18.75" customHeight="1">
      <c r="A19" s="9" t="str">
        <f>""&amp;'Общие данные'!B7&amp;""</f>
        <v>MIRZAKULOV R.M.</v>
      </c>
      <c r="B19" s="68" t="str">
        <f>'Общие данные'!B2</f>
        <v>07.03.2025</v>
      </c>
    </row>
    <row r="20" spans="1:2" ht="57" hidden="1" customHeight="1">
      <c r="A20" s="324" t="str">
        <f>IF('Общие данные'!B93="yo’q",CONCATENATE(A24," ",A28,A22),"")</f>
        <v/>
      </c>
      <c r="B20" s="324"/>
    </row>
    <row r="21" spans="1:2">
      <c r="A21" s="9" t="s">
        <v>28</v>
      </c>
    </row>
    <row r="22" spans="1:2" hidden="1">
      <c r="A22" s="9"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9" t="str">
        <f>"№"&amp;'Общие данные'!B100&amp; ""</f>
        <v>№</v>
      </c>
    </row>
    <row r="25" spans="1:2" hidden="1">
      <c r="A25" s="9" t="str">
        <f>'Общие данные'!B102</f>
        <v>00.01.1900</v>
      </c>
    </row>
    <row r="26" spans="1:2" hidden="1">
      <c r="A26" s="9" t="str">
        <f>TEXT(A25,"ДД.ММ.ГГГГ")</f>
        <v>00.01.1900</v>
      </c>
    </row>
    <row r="27" spans="1:2" hidden="1">
      <c r="A27" s="9" t="s">
        <v>374</v>
      </c>
    </row>
    <row r="28" spans="1:2" hidden="1">
      <c r="A28" s="9"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E82"/>
  <sheetViews>
    <sheetView view="pageBreakPreview" zoomScaleSheetLayoutView="100" workbookViewId="0">
      <selection activeCell="D80" sqref="D80:E80"/>
    </sheetView>
  </sheetViews>
  <sheetFormatPr defaultColWidth="9.140625" defaultRowHeight="15" outlineLevelRow="1"/>
  <cols>
    <col min="1" max="1" width="28.42578125" style="18" customWidth="1"/>
    <col min="2" max="2" width="22.85546875" style="18" customWidth="1"/>
    <col min="3" max="3" width="22.42578125" style="18" customWidth="1"/>
    <col min="4" max="4" width="21.42578125" style="18" customWidth="1"/>
    <col min="5" max="5" width="21.5703125" style="18" customWidth="1"/>
    <col min="6" max="16384" width="9.140625" style="18"/>
  </cols>
  <sheetData>
    <row r="1" spans="1:5" ht="106.5" customHeight="1"/>
    <row r="2" spans="1:5">
      <c r="A2" s="276" t="str">
        <f>"GAROV PREDMETI QIYMATINI KELISHISH №"&amp;'Общие данные'!B141&amp;" SONLI DALOLATNOMASI "</f>
        <v xml:space="preserve">GAROV PREDMETI QIYMATINI KELISHISH №1 SONLI DALOLATNOMASI </v>
      </c>
      <c r="B2" s="276"/>
      <c r="C2" s="276"/>
      <c r="D2" s="276"/>
      <c r="E2" s="276"/>
    </row>
    <row r="3" spans="1:5">
      <c r="A3" s="43"/>
      <c r="B3" s="43"/>
      <c r="C3" s="43"/>
      <c r="D3" s="43"/>
      <c r="E3" s="43"/>
    </row>
    <row r="4" spans="1:5">
      <c r="A4" s="40" t="s">
        <v>222</v>
      </c>
      <c r="B4" s="40"/>
      <c r="C4" s="40"/>
      <c r="D4" s="40"/>
      <c r="E4" s="40" t="str">
        <f>'Общие данные'!B142</f>
        <v>7 mart 2025 y.</v>
      </c>
    </row>
    <row r="5" spans="1:5" ht="9" customHeight="1">
      <c r="A5" s="238"/>
      <c r="B5" s="238"/>
      <c r="C5" s="238"/>
      <c r="D5" s="238"/>
      <c r="E5" s="238"/>
    </row>
    <row r="6" spans="1:5" ht="87" customHeight="1">
      <c r="A6" s="238" t="str">
        <f>IF('Общие данные'!B103="avtotransport",'Акт согласования'!A10:E10,'Акт согласования'!A7:E7)</f>
        <v>«CLEVER MIKROMOLIYA TASHKILOTI» MChJning (1-tomon) vakili bo‘lgan  Olmaliq filiali boshlig'i Yerjanov V.Y., O‘zbekiston Respublikasi fuqarosi va garovga beruvchi MIRZAKULOV RUSTAMJON MUXAMADJANOVICH (2-tomon) o’rtalarida, 7 mart 2025 y.dan №548-AL-sonli Mikroqarz shartnomasiga muvofiq 1-tomon 2-tomonga berilgan mikroqarz bo‘yicha ta’minot sifatida taqdim etilgan, 2-tomonga mulk huquqi asosida tegishli bo‘lgan mulkning garov qiymatini kelishish muzokaralari o’tkazildi.</v>
      </c>
      <c r="B6" s="238"/>
      <c r="C6" s="238"/>
      <c r="D6" s="238"/>
      <c r="E6" s="238"/>
    </row>
    <row r="7" spans="1:5" ht="88.5" hidden="1" customHeight="1">
      <c r="A7" s="238" t="str">
        <f>IF('Общие данные'!B93="ha",'Акт согласования'!A9:E9,'Акт согласования'!A8:E8)</f>
        <v xml:space="preserve">«CLEVER MIKROMOLIYA TASHKILOTI» MChJning (1-tomon) vakili bo‘lgan  Olmaliq filiali boshlig'i Yerjanov V.Y., va O‘zbekiston Respublikasi fuqarosi  MIRZAKULOV RUSTAMJON MUXAMADJANOVICH (2-tomon) va garov egasi SHOUSMANOVA DAVLATXON XXX (3-tomon) 7 mart 2025 y.dan №548-AL Mikroqarz shartnomasiga muvofiq 1-tomon 2-tomonga berilgan mikroqarz bo‘yicha ta’minot sifatida taqdim etilgan, 2-tomonga mulk huquqi asosida tegishli bo‘lgan mulkning garov qiymatini kelishish muzokaralari o’tkazildi. </v>
      </c>
      <c r="B7" s="238"/>
      <c r="C7" s="238"/>
      <c r="D7" s="238"/>
      <c r="E7" s="238"/>
    </row>
    <row r="8" spans="1:5" ht="88.5" hidden="1" customHeight="1">
      <c r="A8" s="238"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Yerjanov V.Y., va O‘zbekiston Respublikasi fuqarosi  MIRZAKULOV RUSTAMJON MUXAMADJANOVICH (2-tomon) va garov egasi SHOUSMANOVA DAVLATXON XXX (3-tomon) 7 mart 2025 y.dan №548-AL Mikroqarz shartnomasiga muvofiq 1-tomon 2-tomonga berilgan mikroqarz bo‘yicha ta’minot sifatida taqdim etilgan, 2-tomonga mulk huquqi asosida tegishli bo‘lgan mulkning garov qiymatini kelishish muzokaralari o’tkazildi. </v>
      </c>
      <c r="B8" s="238"/>
      <c r="C8" s="238"/>
      <c r="D8" s="238"/>
      <c r="E8" s="238"/>
    </row>
    <row r="9" spans="1:5" ht="88.5" hidden="1" customHeight="1">
      <c r="A9" s="238"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Olmaliq filiali boshlig'i Yerjanov V.Y., va O‘zbekiston Respublikasi fuqarosi  MIRZAKULOV RUSTAMJON MUXAMADJANOVICH (2-tomon) va garov egasi SHOUSMANOVA DAVLATXON XXX (3-tomon) 7 mart 2025 y.dan №548-AL Mikroqarz shartnomasiga muvofiq 1-tomon 2-tomonga berilgan mikroqarz bo‘yicha ta’minot sifatida taqdim etilgan, 2-tomonga mulk huquqi asosida tegishli bo‘lgan mulkning garov qiymatini kelishish muzokaralari o’tkazildi. </v>
      </c>
      <c r="B9" s="238"/>
      <c r="C9" s="238"/>
      <c r="D9" s="238"/>
      <c r="E9" s="238"/>
    </row>
    <row r="10" spans="1:5" ht="88.5" hidden="1" customHeight="1">
      <c r="A10" s="238" t="str">
        <f>IF('Общие данные'!B93="ha",'Акт согласования'!A12:E12,'Акт согласования'!A11:E11)</f>
        <v>«CLEVER MIKROMOLIYA TASHKILOTI» MChJning (1-tomon) vakili bo‘lgan  Olmaliq filiali boshlig'i Yerjanov V.Y., O‘zbekiston Respublikasi fuqarosi va garovga beruvchi MIRZAKULOV RUSTAMJON MUXAMADJANOVICH (2-tomon) o’rtalarida, 7 mart 2025 y.dan №548-AL-sonli Mikroqarz shartnomasiga muvofiq 1-tomon 2-tomonga berilgan mikroqarz bo‘yicha ta’minot sifatida taqdim etilgan, 2-tomonga mulk huquqi asosida tegishli bo‘lgan mulkning garov qiymatini kelishish muzokaralari o’tkazildi.</v>
      </c>
      <c r="B10" s="238"/>
      <c r="C10" s="238"/>
      <c r="D10" s="238"/>
      <c r="E10" s="238"/>
    </row>
    <row r="11" spans="1:5" ht="88.5" hidden="1" customHeight="1">
      <c r="A11" s="238"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Olmaliq filiali boshlig'i Yerjanov V.Y., O‘zbekiston Respublikasi fuqarosi MIRZAKULOV RUSTAMJON MUXAMADJANOVICH (2-tomon) va garovga beruvchi O‘zbekiston Respublikasi fuqarosi MIRZAKULOV RUSTAMJON MUXAMADJANOVICH (3-tomon) o’rtalarida, 7 mart 2025 y.dan №548-AL-sonli Mikroqarz shartnomasiga muvofiq 1-tomon 2-tomonga berilgan mikroqarz bo‘yicha ta’minot sifatida taqdim etilgan, 3-tomonga mulk huquqi asosida tegishli bo‘lgan mulkning garov qiymatini kelishish muzokaralari o’tkazildi.</v>
      </c>
      <c r="B11" s="238"/>
      <c r="C11" s="238"/>
      <c r="D11" s="238"/>
      <c r="E11" s="238"/>
    </row>
    <row r="12" spans="1:5" ht="88.5" hidden="1" customHeight="1">
      <c r="A12" s="238"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Olmaliq filiali boshlig'i Yerjanov V.Y., O‘zbekiston Respublikasi fuqarosi va garovga beruvchi MIRZAKULOV RUSTAMJON MUXAMADJANOVICH (2-tomon) o’rtalarida, 7 mart 2025 y.dan №548-AL-sonli Mikroqarz shartnomasiga muvofiq 1-tomon 2-tomonga berilgan mikroqarz bo‘yicha ta’minot sifatida taqdim etilgan, 2-tomonga mulk huquqi asosida tegishli bo‘lgan mulkning garov qiymatini kelishish muzokaralari o’tkazildi.</v>
      </c>
      <c r="B12" s="238"/>
      <c r="C12" s="238"/>
      <c r="D12" s="238"/>
      <c r="E12" s="238"/>
    </row>
    <row r="13" spans="1:5" ht="88.5" hidden="1" customHeight="1">
      <c r="A13" s="238" t="str">
        <f>"Garov predmeti sifatida "&amp;'Общие данные'!B125&amp;", 3-tomonga egalik huquqi tegishli bo'lgan, quyidagi tafsilotlarga ega avtotransport vositasi taqdim etiladi:"</f>
        <v>Garov predmeti sifatida KIA SEITOS G08M, 3-tomonga egalik huquqi tegishli bo'lgan, quyidagi tafsilotlarga ega avtotransport vositasi taqdim etiladi:</v>
      </c>
      <c r="B13" s="238"/>
      <c r="C13" s="238"/>
      <c r="D13" s="238"/>
      <c r="E13" s="238"/>
    </row>
    <row r="14" spans="1:5" ht="88.5" hidden="1" customHeight="1">
      <c r="A14" s="238" t="str">
        <f>"Garov predmeti sifatida "&amp;'Общие данные'!B125&amp;", 2-tomonga egalik huquqi tegishli bo'lgan, quyidagi tafsilotlarga ega avtotransport vositasi taqdim etiladi:"</f>
        <v>Garov predmeti sifatida KIA SEITOS G08M, 2-tomonga egalik huquqi tegishli bo'lgan, quyidagi tafsilotlarga ega avtotransport vositasi taqdim etiladi:</v>
      </c>
      <c r="B14" s="238"/>
      <c r="C14" s="238"/>
      <c r="D14" s="238"/>
      <c r="E14" s="238"/>
    </row>
    <row r="15" spans="1:5" ht="88.5" hidden="1" customHeight="1">
      <c r="A15" s="238" t="str">
        <f>IF('Общие данные'!B93="ha",'Акт согласования'!A14:E14,'Акт согласования'!A13:E13)</f>
        <v>Garov predmeti sifatida KIA SEITOS G08M, 2-tomonga egalik huquqi tegishli bo'lgan, quyidagi tafsilotlarga ega avtotransport vositasi taqdim etiladi:</v>
      </c>
      <c r="B15" s="238"/>
      <c r="C15" s="238"/>
      <c r="D15" s="238"/>
      <c r="E15" s="238"/>
    </row>
    <row r="16" spans="1:5" ht="88.5" hidden="1" customHeight="1">
      <c r="A16" s="238"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8"/>
      <c r="C16" s="238"/>
      <c r="D16" s="238"/>
      <c r="E16" s="238"/>
    </row>
    <row r="17" spans="1:5" ht="13.5" hidden="1" customHeight="1">
      <c r="A17" s="238"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8"/>
      <c r="C17" s="238"/>
      <c r="D17" s="238"/>
      <c r="E17" s="238"/>
    </row>
    <row r="18" spans="1:5" ht="11.25" hidden="1" customHeight="1">
      <c r="A18" s="238" t="str">
        <f>IF('Общие данные'!B93="ha",'Акт согласования'!A16:E16,'Акт согласования'!A17:E17)</f>
        <v>Garov predmeti sifatida 3 - xonali yakka tartibdagi uy-joy, 2-tomonga egalik huquqi tegishli bo'lgan, quyidagi tafsilotlarga ega ko'chmas mulk taqdim etiladi:</v>
      </c>
      <c r="B18" s="238"/>
      <c r="C18" s="238"/>
      <c r="D18" s="238"/>
      <c r="E18" s="238"/>
    </row>
    <row r="19" spans="1:5" ht="39.75" customHeight="1">
      <c r="A19" s="238" t="str">
        <f>IF('Общие данные'!B103="Avtotransport",'Акт согласования'!A15:E15,'Акт согласования'!A18:E18)</f>
        <v>Garov predmeti sifatida KIA SEITOS G08M, 2-tomonga egalik huquqi tegishli bo'lgan, quyidagi tafsilotlarga ega avtotransport vositasi taqdim etiladi:</v>
      </c>
      <c r="B19" s="238"/>
      <c r="C19" s="238"/>
      <c r="D19" s="238"/>
      <c r="E19" s="238"/>
    </row>
    <row r="20" spans="1:5" ht="48" customHeight="1" outlineLevel="1">
      <c r="A20" s="42" t="s">
        <v>217</v>
      </c>
      <c r="B20" s="325" t="s">
        <v>218</v>
      </c>
      <c r="C20" s="326"/>
      <c r="D20" s="42" t="s">
        <v>219</v>
      </c>
      <c r="E20" s="42" t="s">
        <v>220</v>
      </c>
    </row>
    <row r="21" spans="1:5" ht="65.25" customHeight="1" outlineLevel="1">
      <c r="A21" s="20" t="str">
        <f>'Общие данные'!B125</f>
        <v>KIA SEITOS G08M</v>
      </c>
      <c r="B21" s="278" t="str">
        <f>'Общие данные'!B127</f>
        <v>Kuzov turi YENGIL SEDAN, Kuzov raqami XWBJF69VELA059410</v>
      </c>
      <c r="C21" s="278"/>
      <c r="D21" s="20" t="str">
        <f>'Общие данные'!B130</f>
        <v xml:space="preserve">dvigatel raqami G4NHPH325362, shassi raqami -  - </v>
      </c>
      <c r="E21" s="20" t="str">
        <f>'Общие данные'!B133</f>
        <v>rangi -  OQ BELIY JEMCHUG-OK, ishlab chiqarilgan yili - 2023</v>
      </c>
    </row>
    <row r="22" spans="1:5" ht="17.25" customHeight="1" outlineLevel="1">
      <c r="A22" s="238" t="str">
        <f>"-* avtotransport egasi: "&amp;'Общие данные'!B117&amp;""</f>
        <v>-* avtotransport egasi: MIRZAKULOV RUSTAMJON MUXAMADJANOVICH</v>
      </c>
      <c r="B22" s="238"/>
      <c r="C22" s="238"/>
      <c r="D22" s="238"/>
      <c r="E22" s="238"/>
    </row>
    <row r="23" spans="1:5" outlineLevel="1">
      <c r="A23" s="238" t="str">
        <f>"-* texnik pasport: "&amp;'Общие данные'!B124&amp;""</f>
        <v>-* texnik pasport: AAG  3632549  05.03.2024 y.</v>
      </c>
      <c r="B23" s="238"/>
      <c r="C23" s="238"/>
      <c r="D23" s="238"/>
      <c r="E23" s="238"/>
    </row>
    <row r="24" spans="1:5" ht="17.25" customHeight="1" outlineLevel="1">
      <c r="A24" s="238" t="str">
        <f>"-* roʻyxatdan oʻtgan manzili/garaj manzili: "&amp;'Общие данные'!B122&amp;""</f>
        <v>-* roʻyxatdan oʻtgan manzili/garaj manzili: TOSHKENT VILOYATI OLMALIQ SHAHAR O`ZBEKISTON MFY OQTOSHKO`CHASI 47-UY</v>
      </c>
      <c r="B24" s="238"/>
      <c r="C24" s="238"/>
      <c r="D24" s="238"/>
      <c r="E24" s="238"/>
    </row>
    <row r="25" spans="1:5" ht="19.5" customHeight="1" outlineLevel="1">
      <c r="A25" s="238" t="str">
        <f>"-* davlat raqami: "&amp;'Общие данные'!B126&amp;""</f>
        <v>-* davlat raqami: 10L832HB</v>
      </c>
      <c r="B25" s="238"/>
      <c r="C25" s="238"/>
      <c r="D25" s="238"/>
      <c r="E25" s="238"/>
    </row>
    <row r="26" spans="1:5" ht="5.25" hidden="1" customHeight="1">
      <c r="A26" s="22"/>
      <c r="B26" s="22"/>
      <c r="C26" s="22"/>
      <c r="D26" s="22"/>
      <c r="E26" s="22"/>
    </row>
    <row r="27" spans="1:5" s="40" customFormat="1" ht="14.25" hidden="1" outlineLevel="1">
      <c r="A27" s="325" t="s">
        <v>217</v>
      </c>
      <c r="B27" s="326"/>
      <c r="C27" s="42" t="s">
        <v>223</v>
      </c>
      <c r="D27" s="42" t="s">
        <v>224</v>
      </c>
      <c r="E27" s="42" t="s">
        <v>225</v>
      </c>
    </row>
    <row r="28" spans="1:5" hidden="1" outlineLevel="1">
      <c r="A28" s="331" t="s">
        <v>226</v>
      </c>
      <c r="B28" s="332"/>
      <c r="C28" s="137">
        <v>0</v>
      </c>
      <c r="D28" s="138">
        <v>37.39</v>
      </c>
      <c r="E28" s="60">
        <f>C28+D28</f>
        <v>37.39</v>
      </c>
    </row>
    <row r="29" spans="1:5" ht="15" hidden="1" customHeight="1" outlineLevel="1">
      <c r="A29" s="328" t="s">
        <v>227</v>
      </c>
      <c r="B29" s="329"/>
      <c r="C29" s="138">
        <v>34.74</v>
      </c>
      <c r="D29" s="138">
        <v>0</v>
      </c>
      <c r="E29" s="60">
        <f t="shared" ref="E29:E37" si="0">C29+D29</f>
        <v>34.74</v>
      </c>
    </row>
    <row r="30" spans="1:5" ht="15" hidden="1" customHeight="1" outlineLevel="1">
      <c r="A30" s="328"/>
      <c r="B30" s="329"/>
      <c r="C30" s="138"/>
      <c r="D30" s="138">
        <v>0</v>
      </c>
      <c r="E30" s="60">
        <f t="shared" si="0"/>
        <v>0</v>
      </c>
    </row>
    <row r="31" spans="1:5" ht="15" hidden="1" customHeight="1" outlineLevel="1">
      <c r="A31" s="328"/>
      <c r="B31" s="329"/>
      <c r="C31" s="138"/>
      <c r="D31" s="138">
        <v>0</v>
      </c>
      <c r="E31" s="60">
        <f t="shared" si="0"/>
        <v>0</v>
      </c>
    </row>
    <row r="32" spans="1:5" ht="15" hidden="1" customHeight="1" outlineLevel="1">
      <c r="A32" s="328"/>
      <c r="B32" s="329"/>
      <c r="C32" s="138"/>
      <c r="D32" s="138">
        <v>0</v>
      </c>
      <c r="E32" s="60">
        <f t="shared" si="0"/>
        <v>0</v>
      </c>
    </row>
    <row r="33" spans="1:5" hidden="1" outlineLevel="1">
      <c r="A33" s="328"/>
      <c r="B33" s="329"/>
      <c r="C33" s="138"/>
      <c r="D33" s="138">
        <v>0</v>
      </c>
      <c r="E33" s="60">
        <f t="shared" si="0"/>
        <v>0</v>
      </c>
    </row>
    <row r="34" spans="1:5" hidden="1" outlineLevel="1">
      <c r="A34" s="328"/>
      <c r="B34" s="329"/>
      <c r="C34" s="138"/>
      <c r="D34" s="138"/>
      <c r="E34" s="60">
        <f t="shared" si="0"/>
        <v>0</v>
      </c>
    </row>
    <row r="35" spans="1:5" hidden="1" outlineLevel="1">
      <c r="A35" s="328"/>
      <c r="B35" s="329"/>
      <c r="C35" s="138"/>
      <c r="D35" s="138">
        <v>0</v>
      </c>
      <c r="E35" s="60">
        <f t="shared" si="0"/>
        <v>0</v>
      </c>
    </row>
    <row r="36" spans="1:5" hidden="1" outlineLevel="1">
      <c r="A36" s="328"/>
      <c r="B36" s="329"/>
      <c r="C36" s="138"/>
      <c r="D36" s="138"/>
      <c r="E36" s="60">
        <f t="shared" si="0"/>
        <v>0</v>
      </c>
    </row>
    <row r="37" spans="1:5" hidden="1" outlineLevel="1">
      <c r="A37" s="328"/>
      <c r="B37" s="329"/>
      <c r="C37" s="60"/>
      <c r="D37" s="60"/>
      <c r="E37" s="60">
        <f t="shared" si="0"/>
        <v>0</v>
      </c>
    </row>
    <row r="38" spans="1:5" s="40" customFormat="1" ht="14.25" hidden="1" outlineLevel="1">
      <c r="A38" s="333" t="s">
        <v>228</v>
      </c>
      <c r="B38" s="334"/>
      <c r="C38" s="57">
        <f>SUM(C28:C37)</f>
        <v>34.74</v>
      </c>
      <c r="D38" s="57">
        <f>SUM(D28:D37)</f>
        <v>37.39</v>
      </c>
      <c r="E38" s="136">
        <f>SUM(E28:E37)</f>
        <v>72.13</v>
      </c>
    </row>
    <row r="39" spans="1:5" s="40" customFormat="1" ht="15" hidden="1" customHeight="1" outlineLevel="1">
      <c r="A39" s="330" t="str">
        <f>"-* ko'chmas mulk egasi: "&amp;'Общие данные'!C117&amp;""</f>
        <v>-* ko'chmas mulk egasi: SHOUSMANOVA DAVLATXON XXX</v>
      </c>
      <c r="B39" s="330"/>
      <c r="C39" s="330"/>
      <c r="D39" s="330"/>
      <c r="E39" s="330"/>
    </row>
    <row r="40" spans="1:5" s="40" customFormat="1" ht="15" hidden="1" customHeight="1" outlineLevel="1">
      <c r="A40" s="238" t="str">
        <f>"-* reestr raqami: "&amp;'Общие данные'!C124&amp;""</f>
        <v>-* reestr raqami: 1718238/R-A1419303</v>
      </c>
      <c r="B40" s="238"/>
      <c r="C40" s="238"/>
      <c r="D40" s="238"/>
      <c r="E40" s="238"/>
    </row>
    <row r="41" spans="1:5" s="40" customFormat="1" ht="15" hidden="1" customHeight="1" outlineLevel="1">
      <c r="A41" s="238" t="str">
        <f>"-* kadastr raqami: "&amp;'Общие данные'!C127&amp;""</f>
        <v>-* kadastr raqami: №14:13:02:01:03:1179:0006:058 от 16.12.2020 г.</v>
      </c>
      <c r="B41" s="238"/>
      <c r="C41" s="238"/>
      <c r="D41" s="238"/>
      <c r="E41" s="238"/>
    </row>
    <row r="42" spans="1:5" s="40" customFormat="1" ht="15" hidden="1" customHeight="1" outlineLevel="1">
      <c r="A42" s="238" t="str">
        <f>"-* manzil: "&amp;'Общие данные'!C123&amp;""</f>
        <v>-* manzil: SAMARQAND VILOYATI TAYLOQ TUMANI CHAROG'BON MFY YANGI TAYLOQ QISHLOG'I 6 TURAR JOY 12 QAVAT 58 XONADON</v>
      </c>
      <c r="B42" s="238"/>
      <c r="C42" s="238"/>
      <c r="D42" s="238"/>
      <c r="E42" s="238"/>
    </row>
    <row r="43" spans="1:5" s="40" customFormat="1" ht="9" customHeight="1" collapsed="1">
      <c r="A43" s="238"/>
      <c r="B43" s="238"/>
      <c r="C43" s="238"/>
      <c r="D43" s="238"/>
      <c r="E43" s="238"/>
    </row>
    <row r="44" spans="1:5" ht="65.25" customHeight="1">
      <c r="A44" s="238" t="str">
        <f>IF('Общие данные'!B93="ha",'Акт согласования'!A46:E46,'Акт согласования'!A45:E45)</f>
        <v>Tomonlar o’rtasida o’tkazilgan muzokaralar natijalariga ko‘ra, 2-tomon ta’minot sifatida quyidagi tafsilotlarga ega bo’lgan garov predmetini taqdim etadi, 1-tomon esa ushbu garov predmetini  7 mart 2025 y.dan №548-AL Mikroqarz shartnomasi bo‘yicha berilgan mikroqarz bo‘yicha  82 500 000,00 (sakson ikki million besh yuz ming so'm) so’m bo‘lgan kelishilgan garov qiymatida qabul qiladi::</v>
      </c>
      <c r="B44" s="238"/>
      <c r="C44" s="238"/>
      <c r="D44" s="238"/>
      <c r="E44" s="238"/>
    </row>
    <row r="45" spans="1:5" ht="66" hidden="1" customHeight="1">
      <c r="A45" s="238"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7 mart 2025 y.dan №548-AL mikroqarz shartnomasi bo‘yicha berilgan mikroqarz bo‘yicha  82 500 000,00 (sakson ikki million besh yuz ming so'm) so’m bo‘lgan kelishilgan garov qiymatida qabul qiladi::</v>
      </c>
      <c r="B45" s="238"/>
      <c r="C45" s="238"/>
      <c r="D45" s="238"/>
      <c r="E45" s="238"/>
    </row>
    <row r="46" spans="1:5" ht="58.5" hidden="1" customHeight="1">
      <c r="A46" s="238"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7 mart 2025 y.dan №548-AL Mikroqarz shartnomasi bo‘yicha berilgan mikroqarz bo‘yicha  82 500 000,00 (sakson ikki million besh yuz ming so'm) so’m bo‘lgan kelishilgan garov qiymatida qabul qiladi::</v>
      </c>
      <c r="B46" s="238"/>
      <c r="C46" s="238"/>
      <c r="D46" s="238"/>
      <c r="E46" s="238"/>
    </row>
    <row r="47" spans="1:5" ht="51.75" customHeight="1" outlineLevel="1">
      <c r="A47" s="42" t="s">
        <v>217</v>
      </c>
      <c r="B47" s="42" t="s">
        <v>218</v>
      </c>
      <c r="C47" s="42" t="s">
        <v>219</v>
      </c>
      <c r="D47" s="42" t="s">
        <v>220</v>
      </c>
      <c r="E47" s="42" t="s">
        <v>221</v>
      </c>
    </row>
    <row r="48" spans="1:5" ht="76.5" customHeight="1" outlineLevel="1">
      <c r="A48" s="20" t="str">
        <f>A21</f>
        <v>KIA SEITOS G08M</v>
      </c>
      <c r="B48" s="20" t="str">
        <f>B21</f>
        <v>Kuzov turi YENGIL SEDAN, Kuzov raqami XWBJF69VELA059410</v>
      </c>
      <c r="C48" s="20" t="str">
        <f>D21</f>
        <v xml:space="preserve">dvigatel raqami G4NHPH325362, shassi raqami -  - </v>
      </c>
      <c r="D48" s="20" t="str">
        <f>E21</f>
        <v>rangi -  OQ BELIY JEMCHUG-OK, ishlab chiqarilgan yili - 2023</v>
      </c>
      <c r="E48" s="20" t="str">
        <f>""&amp;FIXED('Общие данные'!B136,2)&amp;" ("&amp;'Общие данные'!B137&amp;")"</f>
        <v>82 500 000,00 (sakson ikki million besh yuz ming so'm)</v>
      </c>
    </row>
    <row r="49" spans="1:5" ht="16.5" customHeight="1">
      <c r="A49" s="19"/>
      <c r="B49" s="19"/>
      <c r="C49" s="19"/>
      <c r="D49" s="19"/>
      <c r="E49" s="19"/>
    </row>
    <row r="50" spans="1:5" ht="56.25" hidden="1" customHeight="1" outlineLevel="1">
      <c r="A50" s="42" t="s">
        <v>5</v>
      </c>
      <c r="B50" s="42" t="s">
        <v>19</v>
      </c>
      <c r="C50" s="42" t="s">
        <v>20</v>
      </c>
      <c r="D50" s="42" t="s">
        <v>21</v>
      </c>
      <c r="E50" s="42" t="s">
        <v>6</v>
      </c>
    </row>
    <row r="51" spans="1:5" ht="15.75" hidden="1" customHeight="1" outlineLevel="1">
      <c r="A51" s="20" t="str">
        <f>A28</f>
        <v>Yashash xona</v>
      </c>
      <c r="B51" s="137">
        <f>C28</f>
        <v>0</v>
      </c>
      <c r="C51" s="137">
        <f>D28</f>
        <v>37.39</v>
      </c>
      <c r="D51" s="137">
        <f>E28</f>
        <v>37.39</v>
      </c>
      <c r="E51" s="335" t="str">
        <f>""&amp;FIXED('Общие данные'!C136,2)&amp;" ("&amp;'Общие данные'!B137&amp;")"</f>
        <v>82 500 000,00 (sakson ikki million besh yuz ming so'm)</v>
      </c>
    </row>
    <row r="52" spans="1:5" ht="15.75" hidden="1" customHeight="1" outlineLevel="1">
      <c r="A52" s="20"/>
      <c r="B52" s="137"/>
      <c r="C52" s="137"/>
      <c r="D52" s="137"/>
      <c r="E52" s="336"/>
    </row>
    <row r="53" spans="1:5" ht="15.75" hidden="1" customHeight="1" outlineLevel="1">
      <c r="A53" s="20" t="str">
        <f t="shared" ref="A53:A62" si="1">A29</f>
        <v>Noturar joy</v>
      </c>
      <c r="B53" s="137">
        <f t="shared" ref="B53:D53" si="2">C29</f>
        <v>34.74</v>
      </c>
      <c r="C53" s="137">
        <f t="shared" si="2"/>
        <v>0</v>
      </c>
      <c r="D53" s="137">
        <f t="shared" si="2"/>
        <v>34.74</v>
      </c>
      <c r="E53" s="336"/>
    </row>
    <row r="54" spans="1:5" ht="15.75" hidden="1" customHeight="1" outlineLevel="1">
      <c r="A54" s="20">
        <f t="shared" si="1"/>
        <v>0</v>
      </c>
      <c r="B54" s="137">
        <f t="shared" ref="B54:D54" si="3">C30</f>
        <v>0</v>
      </c>
      <c r="C54" s="137">
        <f t="shared" si="3"/>
        <v>0</v>
      </c>
      <c r="D54" s="137">
        <f t="shared" si="3"/>
        <v>0</v>
      </c>
      <c r="E54" s="336"/>
    </row>
    <row r="55" spans="1:5" ht="15.75" hidden="1" customHeight="1" outlineLevel="1">
      <c r="A55" s="20">
        <f t="shared" si="1"/>
        <v>0</v>
      </c>
      <c r="B55" s="137">
        <f t="shared" ref="B55:D55" si="4">C31</f>
        <v>0</v>
      </c>
      <c r="C55" s="137">
        <f t="shared" si="4"/>
        <v>0</v>
      </c>
      <c r="D55" s="137">
        <f t="shared" si="4"/>
        <v>0</v>
      </c>
      <c r="E55" s="336"/>
    </row>
    <row r="56" spans="1:5" ht="15.75" hidden="1" customHeight="1" outlineLevel="1">
      <c r="A56" s="20">
        <f t="shared" si="1"/>
        <v>0</v>
      </c>
      <c r="B56" s="137">
        <f t="shared" ref="B56:D56" si="5">C32</f>
        <v>0</v>
      </c>
      <c r="C56" s="137">
        <f t="shared" si="5"/>
        <v>0</v>
      </c>
      <c r="D56" s="137">
        <f t="shared" si="5"/>
        <v>0</v>
      </c>
      <c r="E56" s="336"/>
    </row>
    <row r="57" spans="1:5" ht="15.75" hidden="1" customHeight="1" outlineLevel="1">
      <c r="A57" s="20">
        <f t="shared" si="1"/>
        <v>0</v>
      </c>
      <c r="B57" s="137">
        <f t="shared" ref="B57:D57" si="6">C33</f>
        <v>0</v>
      </c>
      <c r="C57" s="137">
        <f t="shared" si="6"/>
        <v>0</v>
      </c>
      <c r="D57" s="137">
        <f t="shared" si="6"/>
        <v>0</v>
      </c>
      <c r="E57" s="336"/>
    </row>
    <row r="58" spans="1:5" ht="15.75" hidden="1" customHeight="1" outlineLevel="1">
      <c r="A58" s="20">
        <f t="shared" si="1"/>
        <v>0</v>
      </c>
      <c r="B58" s="137">
        <f t="shared" ref="B58:D58" si="7">C34</f>
        <v>0</v>
      </c>
      <c r="C58" s="137">
        <f t="shared" si="7"/>
        <v>0</v>
      </c>
      <c r="D58" s="137">
        <f t="shared" si="7"/>
        <v>0</v>
      </c>
      <c r="E58" s="336"/>
    </row>
    <row r="59" spans="1:5" ht="15.75" hidden="1" customHeight="1" outlineLevel="1">
      <c r="A59" s="20">
        <f t="shared" si="1"/>
        <v>0</v>
      </c>
      <c r="B59" s="137">
        <f t="shared" ref="B59:D59" si="8">C35</f>
        <v>0</v>
      </c>
      <c r="C59" s="137">
        <f t="shared" si="8"/>
        <v>0</v>
      </c>
      <c r="D59" s="137">
        <f t="shared" si="8"/>
        <v>0</v>
      </c>
      <c r="E59" s="336"/>
    </row>
    <row r="60" spans="1:5" ht="15.75" hidden="1" customHeight="1" outlineLevel="1">
      <c r="A60" s="20">
        <f t="shared" si="1"/>
        <v>0</v>
      </c>
      <c r="B60" s="137">
        <f t="shared" ref="B60:D60" si="9">C36</f>
        <v>0</v>
      </c>
      <c r="C60" s="137">
        <f t="shared" si="9"/>
        <v>0</v>
      </c>
      <c r="D60" s="137">
        <f t="shared" si="9"/>
        <v>0</v>
      </c>
      <c r="E60" s="336"/>
    </row>
    <row r="61" spans="1:5" ht="15.75" hidden="1" customHeight="1" outlineLevel="1">
      <c r="A61" s="20">
        <f t="shared" si="1"/>
        <v>0</v>
      </c>
      <c r="B61" s="20">
        <f t="shared" ref="B61:D61" si="10">C37</f>
        <v>0</v>
      </c>
      <c r="C61" s="20">
        <f t="shared" si="10"/>
        <v>0</v>
      </c>
      <c r="D61" s="20">
        <f t="shared" si="10"/>
        <v>0</v>
      </c>
      <c r="E61" s="337"/>
    </row>
    <row r="62" spans="1:5" s="40" customFormat="1" ht="15.75" hidden="1" customHeight="1" outlineLevel="1">
      <c r="A62" s="42" t="str">
        <f t="shared" si="1"/>
        <v>JAMI</v>
      </c>
      <c r="B62" s="42">
        <f t="shared" ref="B62:D62" si="11">C38</f>
        <v>34.74</v>
      </c>
      <c r="C62" s="42">
        <f t="shared" si="11"/>
        <v>37.39</v>
      </c>
      <c r="D62" s="42">
        <f t="shared" si="11"/>
        <v>72.13</v>
      </c>
      <c r="E62" s="42" t="str">
        <f>FIXED('Общие данные'!C136,2)</f>
        <v>82 500 000,00</v>
      </c>
    </row>
    <row r="63" spans="1:5" ht="12.75" customHeight="1" collapsed="1">
      <c r="A63" s="19"/>
      <c r="B63" s="19"/>
      <c r="C63" s="19"/>
      <c r="D63" s="19"/>
      <c r="E63" s="19"/>
    </row>
    <row r="64" spans="1:5" ht="93.75" hidden="1" customHeight="1">
      <c r="A64" s="238" t="str">
        <f>"“Birinchi talabga ko‘ra, yuqoridagi avtomobil Mikrokredit shartnomasi bo‘yicha garovga qo‘yilgan edi::"&amp;'Данные для послед. Залога'!W2&amp;""</f>
        <v>“Birinchi talabga ko‘ra, yuqoridagi avtomobil Mikrokredit shartnomasi bo‘yicha garovga qo‘yilgan edi::- №5 от 11 yanvar 2021 г., заключенного с ООО «Clever Mikrokredit Tashkiloti» и TULYAGANOV XODJIAKBAR IRGASHEVICH, по согласованной залоговой стоимость - 15 000 000,00 (on besh million) сум.- №386 от 6 noyabr 2019 г., заключенного с ООО «Clever Mikrokredit Tashkiloti» и YUNUSOVA ZALOXAT MIRSULTANOVNA, по согласованной залоговой стоимость - 15 000 000,00 (on besh million) сум.- №33 от 21 yanvar 2021 г., заключенного с ООО «Clever Mikrokredit Tashkiloti» и YUNUSOVA ZALOXAT MIRSULTANOVNA, по согласованной залоговой стоимость - 15 000 000,00 (on besh million) сум.00000000000000000</v>
      </c>
      <c r="B64" s="238"/>
      <c r="C64" s="238"/>
      <c r="D64" s="238"/>
      <c r="E64" s="238"/>
    </row>
    <row r="65" spans="1:5" ht="42" customHeight="1">
      <c r="A65" s="238" t="s">
        <v>229</v>
      </c>
      <c r="B65" s="238"/>
      <c r="C65" s="238"/>
      <c r="D65" s="238"/>
      <c r="E65" s="238"/>
    </row>
    <row r="66" spans="1:5" ht="35.25" customHeight="1">
      <c r="A66" s="238" t="str">
        <f>"Shunday qilib, garov predmetining kelishilgan garov qiymati  "&amp;FIXED('Общие данные'!B136)&amp;" ("&amp;'Общие данные'!B137&amp;") so‘mni tashkil etadi."</f>
        <v>Shunday qilib, garov predmetining kelishilgan garov qiymati  82 500 000,00 (sakson ikki million besh yuz ming so'm) so‘mni tashkil etadi.</v>
      </c>
      <c r="B66" s="238"/>
      <c r="C66" s="238"/>
      <c r="D66" s="238"/>
      <c r="E66" s="238"/>
    </row>
    <row r="67" spans="1:5" ht="35.25" hidden="1" customHeight="1">
      <c r="A67" s="22"/>
      <c r="B67" s="22"/>
      <c r="C67" s="22"/>
      <c r="D67" s="22">
        <f>IF('Общие данные'!B92='Общие данные'!C92,'Общие данные'!C136,IF('Общие данные'!B92='Общие данные'!D92,'Данные для послед. Залога'!M22,0))</f>
        <v>82500000</v>
      </c>
      <c r="E67" s="22" t="str">
        <f>IF('Общие данные'!B92='Общие данные'!C92,'Общие данные'!B137,IF('Общие данные'!B92='Общие данные'!D92,'Данные для послед. Залога'!Q22,0))</f>
        <v>sakson ikki million besh yuz ming so'm</v>
      </c>
    </row>
    <row r="68" spans="1:5">
      <c r="A68" s="323" t="s">
        <v>230</v>
      </c>
      <c r="B68" s="323"/>
      <c r="C68" s="323"/>
      <c r="D68" s="25"/>
      <c r="E68" s="25"/>
    </row>
    <row r="69" spans="1:5">
      <c r="A69" s="248" t="str">
        <f>'Общие данные'!B148</f>
        <v>«CLEVER MIKROMOLIYA TASHKILOTI» MChJ</v>
      </c>
      <c r="B69" s="248"/>
      <c r="C69" s="248"/>
      <c r="D69" s="209"/>
      <c r="E69" s="209"/>
    </row>
    <row r="70" spans="1:5" ht="15" customHeight="1">
      <c r="A70" s="248" t="str">
        <f>""&amp;'Общие данные'!A150&amp;"i"</f>
        <v>Olmaliq filiali boshlig'ii</v>
      </c>
      <c r="B70" s="248"/>
      <c r="C70" s="248"/>
      <c r="D70" s="323" t="str">
        <f>"_______________   "&amp;'Общие данные'!B150&amp;""</f>
        <v>_______________   Yerjanov V.Y.</v>
      </c>
      <c r="E70" s="323"/>
    </row>
    <row r="71" spans="1:5">
      <c r="A71" s="65"/>
      <c r="B71" s="65"/>
      <c r="C71" s="65"/>
      <c r="D71" s="65"/>
      <c r="E71" s="65"/>
    </row>
    <row r="72" spans="1:5">
      <c r="A72" s="323"/>
      <c r="B72" s="323"/>
      <c r="C72" s="323"/>
      <c r="D72" s="65"/>
      <c r="E72" s="65"/>
    </row>
    <row r="73" spans="1:5" hidden="1">
      <c r="A73" s="248" t="s">
        <v>52</v>
      </c>
      <c r="B73" s="248"/>
      <c r="C73" s="248"/>
      <c r="D73" s="65"/>
      <c r="E73" s="65"/>
    </row>
    <row r="74" spans="1:5" hidden="1">
      <c r="A74" s="248" t="str">
        <f>'Общие данные'!B148</f>
        <v>«CLEVER MIKROMOLIYA TASHKILOTI» MChJ</v>
      </c>
      <c r="B74" s="248"/>
      <c r="C74" s="248"/>
      <c r="D74" s="248" t="str">
        <f>"_______________   "&amp;'Общие данные'!B159&amp;""</f>
        <v>_______________   Mominov B.X.</v>
      </c>
      <c r="E74" s="248"/>
    </row>
    <row r="75" spans="1:5" ht="12.75" customHeight="1">
      <c r="A75" s="248"/>
      <c r="B75" s="248"/>
      <c r="C75" s="248"/>
      <c r="D75" s="248"/>
      <c r="E75" s="248"/>
    </row>
    <row r="76" spans="1:5">
      <c r="A76" s="323" t="s">
        <v>231</v>
      </c>
      <c r="B76" s="323"/>
      <c r="C76" s="323"/>
      <c r="D76" s="248"/>
      <c r="E76" s="248"/>
    </row>
    <row r="77" spans="1:5" ht="31.5" customHeight="1">
      <c r="A77" s="248" t="s">
        <v>232</v>
      </c>
      <c r="B77" s="248"/>
      <c r="C77" s="248"/>
      <c r="D77" s="323" t="str">
        <f>"_______________  "&amp;'Общие данные'!B7&amp;""</f>
        <v>_______________  MIRZAKULOV R.M.</v>
      </c>
      <c r="E77" s="323"/>
    </row>
    <row r="78" spans="1:5" ht="12.75" customHeight="1">
      <c r="A78" s="248"/>
      <c r="B78" s="248"/>
      <c r="C78" s="248"/>
      <c r="D78" s="327" t="str">
        <f>IF('Общие данные'!B93="да","",'Общие данные'!B118)</f>
        <v>MIRZAKULOV R.M.</v>
      </c>
      <c r="E78" s="327"/>
    </row>
    <row r="79" spans="1:5" ht="17.25" customHeight="1">
      <c r="A79" s="323" t="str">
        <f>+IF('Общие данные'!B93="ha"," ","3-tomondan:")</f>
        <v xml:space="preserve"> </v>
      </c>
      <c r="B79" s="323"/>
      <c r="C79" s="323"/>
      <c r="D79" s="327" t="str">
        <f>IF('Общие данные'!B93="ha","",'Общие данные'!C118)</f>
        <v/>
      </c>
      <c r="E79" s="327"/>
    </row>
    <row r="80" spans="1:5" ht="29.25" customHeight="1">
      <c r="A80" s="248" t="str">
        <f>+IF('Общие данные'!B93="ha"," ","O'zbekiston Respublikasi fuqarosi")</f>
        <v xml:space="preserve"> </v>
      </c>
      <c r="B80" s="248"/>
      <c r="C80" s="248"/>
      <c r="D80" s="323" t="str">
        <f>IF('Общие данные'!B93="yo’q","_______________  "&amp;'Общие данные'!B112&amp;"","")</f>
        <v/>
      </c>
      <c r="E80" s="323"/>
    </row>
    <row r="81" spans="1:5" ht="79.5" hidden="1" customHeight="1">
      <c r="A81" s="65"/>
      <c r="B81" s="65"/>
      <c r="C81" s="248" t="str">
        <f>+IF('Общие данные'!B93="ha"," ",'заявление залогодателя'!A20)</f>
        <v xml:space="preserve"> </v>
      </c>
      <c r="D81" s="248"/>
      <c r="E81" s="248"/>
    </row>
    <row r="82" spans="1:5" ht="6.75" customHeight="1">
      <c r="D82" s="269"/>
      <c r="E82" s="269"/>
    </row>
  </sheetData>
  <mergeCells count="68">
    <mergeCell ref="A72:C72"/>
    <mergeCell ref="A73:C73"/>
    <mergeCell ref="A74:C74"/>
    <mergeCell ref="D74:E74"/>
    <mergeCell ref="A29:B29"/>
    <mergeCell ref="A45:E45"/>
    <mergeCell ref="A68:C68"/>
    <mergeCell ref="A69:C69"/>
    <mergeCell ref="A70:C70"/>
    <mergeCell ref="D70:E70"/>
    <mergeCell ref="A64:E64"/>
    <mergeCell ref="A65:E65"/>
    <mergeCell ref="E51:E61"/>
    <mergeCell ref="A46:E46"/>
    <mergeCell ref="A66:E66"/>
    <mergeCell ref="A28:B28"/>
    <mergeCell ref="A27:B27"/>
    <mergeCell ref="A44:E44"/>
    <mergeCell ref="A40:E40"/>
    <mergeCell ref="A41:E41"/>
    <mergeCell ref="A42:E42"/>
    <mergeCell ref="A43:E43"/>
    <mergeCell ref="A33:B33"/>
    <mergeCell ref="A37:B37"/>
    <mergeCell ref="A38:B38"/>
    <mergeCell ref="A34:B34"/>
    <mergeCell ref="A35:B35"/>
    <mergeCell ref="A36:B36"/>
    <mergeCell ref="D82:E82"/>
    <mergeCell ref="A2:E2"/>
    <mergeCell ref="A11:E11"/>
    <mergeCell ref="A12:E12"/>
    <mergeCell ref="A13:E13"/>
    <mergeCell ref="A10:E10"/>
    <mergeCell ref="A5:E5"/>
    <mergeCell ref="A6:E6"/>
    <mergeCell ref="A7:E7"/>
    <mergeCell ref="A8:E8"/>
    <mergeCell ref="A9:E9"/>
    <mergeCell ref="A30:B30"/>
    <mergeCell ref="A31:B31"/>
    <mergeCell ref="A32:B32"/>
    <mergeCell ref="C81:E81"/>
    <mergeCell ref="A39:E39"/>
    <mergeCell ref="A75:C75"/>
    <mergeCell ref="D75:E75"/>
    <mergeCell ref="A76:C76"/>
    <mergeCell ref="D76:E76"/>
    <mergeCell ref="A77:C77"/>
    <mergeCell ref="D77:E77"/>
    <mergeCell ref="A78:C78"/>
    <mergeCell ref="D78:E78"/>
    <mergeCell ref="A79:C79"/>
    <mergeCell ref="D79:E79"/>
    <mergeCell ref="A80:C80"/>
    <mergeCell ref="D80:E80"/>
    <mergeCell ref="A14:E14"/>
    <mergeCell ref="A15:E15"/>
    <mergeCell ref="A16:E16"/>
    <mergeCell ref="A17:E17"/>
    <mergeCell ref="A18:E18"/>
    <mergeCell ref="A19:E19"/>
    <mergeCell ref="A24:E24"/>
    <mergeCell ref="A25:E25"/>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rowBreaks count="1" manualBreakCount="1">
    <brk id="81" max="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4"/>
  <sheetViews>
    <sheetView view="pageBreakPreview" topLeftCell="A4" zoomScaleSheetLayoutView="100" workbookViewId="0">
      <selection activeCell="A49" sqref="A49:E49"/>
    </sheetView>
  </sheetViews>
  <sheetFormatPr defaultColWidth="9.140625" defaultRowHeight="15" outlineLevelRow="1"/>
  <cols>
    <col min="1" max="1" width="23.85546875" style="18" customWidth="1"/>
    <col min="2" max="2" width="23.28515625" style="18" customWidth="1"/>
    <col min="3" max="3" width="17" style="18" customWidth="1"/>
    <col min="4" max="4" width="17.5703125" style="18" customWidth="1"/>
    <col min="5" max="5" width="19.7109375" style="18" customWidth="1"/>
    <col min="6" max="16384" width="9.140625" style="18"/>
  </cols>
  <sheetData>
    <row r="3" spans="1:5" ht="16.5" customHeight="1"/>
    <row r="4" spans="1:5" ht="17.25" customHeight="1">
      <c r="A4" s="272" t="str">
        <f>""&amp;'Общие данные'!B147&amp;" ijrochi direktorining"&amp;'Общие данные'!B165&amp;"dagi "&amp;'Общие данные'!B164&amp;"-sonli buyrug‘i"</f>
        <v>«CLEVER MIKROMOLIYA TASHKILOTI» MChJ ijrochi direktorining7 mart 2025 y.dagi №548-AL-sonli buyrug‘i</v>
      </c>
      <c r="B4" s="272"/>
      <c r="C4" s="272"/>
      <c r="D4" s="272"/>
      <c r="E4" s="272"/>
    </row>
    <row r="5" spans="1:5">
      <c r="A5" s="272"/>
      <c r="B5" s="272"/>
      <c r="C5" s="272"/>
      <c r="D5" s="272"/>
      <c r="E5" s="272"/>
    </row>
    <row r="6" spans="1:5">
      <c r="A6" s="272"/>
      <c r="B6" s="272"/>
      <c r="C6" s="272"/>
      <c r="D6" s="272"/>
      <c r="E6" s="272"/>
    </row>
    <row r="7" spans="1:5">
      <c r="A7" s="238"/>
      <c r="B7" s="238"/>
      <c r="C7" s="238"/>
      <c r="D7" s="238"/>
      <c r="E7" s="238"/>
    </row>
    <row r="8" spans="1:5" ht="53.25" customHeight="1">
      <c r="A8" s="238" t="str">
        <f>"Men, Omanliqov O.O. v.v.b "&amp;'Общие данные'!B147&amp;" ijrochi direktori, jismoniy shaxs "&amp;'Общие данные'!B10&amp;"ga quyidagi shartlarda "&amp;'Общие данные'!B65&amp;" berishni buyuraman:"</f>
        <v>Men, Omanliqov O.O. v.v.b «CLEVER MIKROMOLIYA TASHKILOTI» MChJ ijrochi direktori, jismoniy shaxs MIRZAKULOV RUSTAMJON MUXAMADJANOVICHga quyidagi shartlarda mikroqarz berishni buyuraman:</v>
      </c>
      <c r="B8" s="238"/>
      <c r="C8" s="238"/>
      <c r="D8" s="238"/>
      <c r="E8" s="238"/>
    </row>
    <row r="9" spans="1:5" ht="26.25" customHeight="1">
      <c r="A9" s="238" t="str">
        <f>'Кредитная заявка'!A13:D13</f>
        <v>Mikroqarz summasi: 55 000 000,00 (ellik besh million so'm) so'm.</v>
      </c>
      <c r="B9" s="238"/>
      <c r="C9" s="238"/>
      <c r="D9" s="238"/>
      <c r="E9" s="238"/>
    </row>
    <row r="10" spans="1:5" ht="21" customHeight="1">
      <c r="A10" s="238" t="str">
        <f>'Кредитная заявка'!A14:D14</f>
        <v>Mikroqarz muddati: 12 (o'n ikki) oy.</v>
      </c>
      <c r="B10" s="238"/>
      <c r="C10" s="238"/>
      <c r="D10" s="238"/>
      <c r="E10" s="238"/>
    </row>
    <row r="11" spans="1:5" ht="27" customHeight="1">
      <c r="A11" s="238" t="str">
        <f>'Кредитная заявка'!A15:D15</f>
        <v>Mikroqarzdan foydalanganlik uchun foiz stavkasi: yillik  60% (Oltmish) foiz</v>
      </c>
      <c r="B11" s="238"/>
      <c r="C11" s="238"/>
      <c r="D11" s="238"/>
      <c r="E11" s="238"/>
    </row>
    <row r="12" spans="1:5" ht="26.25" customHeight="1">
      <c r="A12" s="238" t="str">
        <f>'Кредитная заявка'!A16:D16</f>
        <v>Mikroqarz bo'yicha asosiy qarz va foizlarni to'lash:</v>
      </c>
      <c r="B12" s="238"/>
      <c r="C12" s="238"/>
      <c r="D12" s="238"/>
      <c r="E12" s="238"/>
    </row>
    <row r="13" spans="1:5" ht="21.75" customHeight="1">
      <c r="A13" s="238" t="str">
        <f>'Кредитная заявка'!A17:D17</f>
        <v xml:space="preserve"> - mikroqarz shartnomasi bo'yicha har oy differensial to'lovlari amalga oshiriladi</v>
      </c>
      <c r="B13" s="238"/>
      <c r="C13" s="238"/>
      <c r="D13" s="238"/>
      <c r="E13" s="238"/>
    </row>
    <row r="14" spans="1:5" hidden="1">
      <c r="A14" s="238" t="str">
        <f>'Кредитная заявка'!A20:D20</f>
        <v xml:space="preserve">   </v>
      </c>
      <c r="B14" s="238"/>
      <c r="C14" s="238"/>
      <c r="D14" s="238"/>
      <c r="E14" s="238"/>
    </row>
    <row r="15" spans="1:5" ht="45.75" hidden="1" customHeight="1">
      <c r="A15" s="238" t="str">
        <f>IF('Общие данные'!B103="Avtotransport",'Приказ на сделку'!A14:E14,'Приказ на сделку'!A13:E13)</f>
        <v xml:space="preserve">   </v>
      </c>
      <c r="B15" s="238"/>
      <c r="C15" s="238"/>
      <c r="D15" s="238"/>
      <c r="E15" s="238"/>
    </row>
    <row r="16" spans="1:5" ht="50.25" hidden="1" customHeight="1">
      <c r="A16" s="238" t="str">
        <f>""&amp;'Общие данные'!C117&amp;"ga tegishli "&amp;'Общие данные'!C126&amp;" ko'rinishidagi ko'chmas mulkni quyidagi ma'lumotlarga muvofiq  garovga qabul qilinsin:"</f>
        <v>SHOUSMANOVA DAVLATXON XXXga tegishli 3 - xonali yakka tartibdagi uy-joy ko'rinishidagi ko'chmas mulkni quyidagi ma'lumotlarga muvofiq  garovga qabul qilinsin:</v>
      </c>
      <c r="B16" s="238"/>
      <c r="C16" s="238"/>
      <c r="D16" s="238"/>
      <c r="E16" s="238"/>
    </row>
    <row r="17" spans="1:5" ht="47.25" customHeight="1">
      <c r="A17" s="238" t="str">
        <f>""&amp;'Общие данные'!B117&amp;"ga tegishli "&amp;'Общие данные'!B125&amp;" ko'rinishidagi transport vositasini quyidagi ma'lumotlarga muvofiq garovga qabul qilinsin:"</f>
        <v>MIRZAKULOV RUSTAMJON MUXAMADJANOVICHga tegishli KIA SEITOS G08M ko'rinishidagi transport vositasini quyidagi ma'lumotlarga muvofiq garovga qabul qilinsin:</v>
      </c>
      <c r="B17" s="238"/>
      <c r="C17" s="238"/>
      <c r="D17" s="238"/>
      <c r="E17" s="238"/>
    </row>
    <row r="18" spans="1:5" s="40" customFormat="1" ht="60" customHeight="1" outlineLevel="1">
      <c r="A18" s="42" t="str">
        <f>'Акт согласования'!A47</f>
        <v>Nomi</v>
      </c>
      <c r="B18" s="42" t="str">
        <f>'Акт согласования'!B47</f>
        <v>Kuzov turi  va kuzov raqami*</v>
      </c>
      <c r="C18" s="42" t="str">
        <f>'Акт согласования'!C47</f>
        <v>Dvigatel va shassi raqami*</v>
      </c>
      <c r="D18" s="42" t="str">
        <f>'Акт согласования'!D47</f>
        <v>Ishlab chiqarilgan yili va rangi*</v>
      </c>
      <c r="E18" s="42" t="str">
        <f>'Акт согласования'!E47</f>
        <v>Kelishilgan garov qiymati, so'm</v>
      </c>
    </row>
    <row r="19" spans="1:5" ht="84.75" customHeight="1" outlineLevel="1">
      <c r="A19" s="20" t="str">
        <f>'Акт согласования'!A48</f>
        <v>KIA SEITOS G08M</v>
      </c>
      <c r="B19" s="20" t="str">
        <f>'Акт согласования'!B48</f>
        <v>Kuzov turi YENGIL SEDAN, Kuzov raqami XWBJF69VELA059410</v>
      </c>
      <c r="C19" s="20" t="str">
        <f>'Акт согласования'!C48</f>
        <v xml:space="preserve">dvigatel raqami G4NHPH325362, shassi raqami -  - </v>
      </c>
      <c r="D19" s="20" t="str">
        <f>'Акт согласования'!D48</f>
        <v>rangi -  OQ BELIY JEMCHUG-OK, ishlab chiqarilgan yili - 2023</v>
      </c>
      <c r="E19" s="20" t="str">
        <f>'Акт согласования'!E48</f>
        <v>82 500 000,00 (sakson ikki million besh yuz ming so'm)</v>
      </c>
    </row>
    <row r="20" spans="1:5" ht="20.25" customHeight="1" outlineLevel="1">
      <c r="A20" s="238" t="str">
        <f>'Акт согласования'!A22:E22</f>
        <v>-* avtotransport egasi: MIRZAKULOV RUSTAMJON MUXAMADJANOVICH</v>
      </c>
      <c r="B20" s="238"/>
      <c r="C20" s="238"/>
      <c r="D20" s="238"/>
      <c r="E20" s="238"/>
    </row>
    <row r="21" spans="1:5" ht="20.25" customHeight="1" outlineLevel="1">
      <c r="A21" s="238" t="str">
        <f>'Акт согласования'!A23:E23</f>
        <v>-* texnik pasport: AAG  3632549  05.03.2024 y.</v>
      </c>
      <c r="B21" s="238"/>
      <c r="C21" s="238"/>
      <c r="D21" s="238"/>
      <c r="E21" s="238"/>
    </row>
    <row r="22" spans="1:5" ht="36" customHeight="1" outlineLevel="1">
      <c r="A22" s="238" t="str">
        <f>'Акт согласования'!A24:E24</f>
        <v>-* roʻyxatdan oʻtgan manzili/garaj manzili: TOSHKENT VILOYATI OLMALIQ SHAHAR O`ZBEKISTON MFY OQTOSHKO`CHASI 47-UY</v>
      </c>
      <c r="B22" s="238"/>
      <c r="C22" s="238"/>
      <c r="D22" s="238"/>
      <c r="E22" s="238"/>
    </row>
    <row r="23" spans="1:5" ht="20.25" customHeight="1" outlineLevel="1">
      <c r="A23" s="238" t="str">
        <f>'Акт согласования'!A25:E25</f>
        <v>-* davlat raqami: 10L832HB</v>
      </c>
      <c r="B23" s="238"/>
      <c r="C23" s="238"/>
      <c r="D23" s="238"/>
      <c r="E23" s="238"/>
    </row>
    <row r="24" spans="1:5">
      <c r="A24" s="238"/>
      <c r="B24" s="238"/>
      <c r="C24" s="238"/>
      <c r="D24" s="238"/>
      <c r="E24" s="238"/>
    </row>
    <row r="25" spans="1:5" s="40" customFormat="1" ht="41.25" hidden="1" customHeight="1" outlineLevel="1">
      <c r="A25" s="42" t="s">
        <v>217</v>
      </c>
      <c r="B25" s="42" t="s">
        <v>283</v>
      </c>
      <c r="C25" s="42" t="s">
        <v>304</v>
      </c>
      <c r="D25" s="42" t="s">
        <v>225</v>
      </c>
      <c r="E25" s="42" t="str">
        <f>'Акт согласования'!E47</f>
        <v>Kelishilgan garov qiymati, so'm</v>
      </c>
    </row>
    <row r="26" spans="1:5" hidden="1" outlineLevel="1">
      <c r="A26" s="20" t="str">
        <f>'Акт согласования'!A51</f>
        <v>Yashash xona</v>
      </c>
      <c r="B26" s="137">
        <f>'Акт согласования'!B51</f>
        <v>0</v>
      </c>
      <c r="C26" s="137">
        <f>'Акт согласования'!C51</f>
        <v>37.39</v>
      </c>
      <c r="D26" s="137">
        <f>'Акт согласования'!D51</f>
        <v>37.39</v>
      </c>
      <c r="E26" s="278" t="str">
        <f>'Акт согласования'!E51</f>
        <v>82 500 000,00 (sakson ikki million besh yuz ming so'm)</v>
      </c>
    </row>
    <row r="27" spans="1:5" hidden="1" outlineLevel="1">
      <c r="A27" s="20">
        <f>'Акт согласования'!A52</f>
        <v>0</v>
      </c>
      <c r="B27" s="137">
        <f>'Акт согласования'!B52</f>
        <v>0</v>
      </c>
      <c r="C27" s="137">
        <f>'Акт согласования'!C52</f>
        <v>0</v>
      </c>
      <c r="D27" s="137">
        <f>'Акт согласования'!D52</f>
        <v>0</v>
      </c>
      <c r="E27" s="278"/>
    </row>
    <row r="28" spans="1:5" hidden="1" outlineLevel="1">
      <c r="A28" s="20" t="str">
        <f>'Акт согласования'!A53</f>
        <v>Noturar joy</v>
      </c>
      <c r="B28" s="137">
        <f>'Акт согласования'!B53</f>
        <v>34.74</v>
      </c>
      <c r="C28" s="137">
        <f>'Акт согласования'!C53</f>
        <v>0</v>
      </c>
      <c r="D28" s="137">
        <f>'Акт согласования'!D53</f>
        <v>34.74</v>
      </c>
      <c r="E28" s="278"/>
    </row>
    <row r="29" spans="1:5" hidden="1" outlineLevel="1">
      <c r="A29" s="20">
        <f>'Акт согласования'!A54</f>
        <v>0</v>
      </c>
      <c r="B29" s="137">
        <f>'Акт согласования'!B54</f>
        <v>0</v>
      </c>
      <c r="C29" s="137">
        <f>'Акт согласования'!C54</f>
        <v>0</v>
      </c>
      <c r="D29" s="137">
        <f>'Акт согласования'!D54</f>
        <v>0</v>
      </c>
      <c r="E29" s="278"/>
    </row>
    <row r="30" spans="1:5" hidden="1" outlineLevel="1">
      <c r="A30" s="20">
        <f>'Акт согласования'!A55</f>
        <v>0</v>
      </c>
      <c r="B30" s="137">
        <f>'Акт согласования'!B55</f>
        <v>0</v>
      </c>
      <c r="C30" s="137">
        <f>'Акт согласования'!C55</f>
        <v>0</v>
      </c>
      <c r="D30" s="137">
        <f>'Акт согласования'!D55</f>
        <v>0</v>
      </c>
      <c r="E30" s="278"/>
    </row>
    <row r="31" spans="1:5" hidden="1" outlineLevel="1">
      <c r="A31" s="20">
        <f>'Акт согласования'!A56</f>
        <v>0</v>
      </c>
      <c r="B31" s="137">
        <f>'Акт согласования'!B56</f>
        <v>0</v>
      </c>
      <c r="C31" s="137">
        <f>'Акт согласования'!C56</f>
        <v>0</v>
      </c>
      <c r="D31" s="137">
        <f>'Акт согласования'!D56</f>
        <v>0</v>
      </c>
      <c r="E31" s="278"/>
    </row>
    <row r="32" spans="1:5" hidden="1" outlineLevel="1">
      <c r="A32" s="20">
        <f>'Акт согласования'!A57</f>
        <v>0</v>
      </c>
      <c r="B32" s="137">
        <f>'Акт согласования'!B57</f>
        <v>0</v>
      </c>
      <c r="C32" s="137">
        <f>'Акт согласования'!C57</f>
        <v>0</v>
      </c>
      <c r="D32" s="137">
        <f>'Акт согласования'!D57</f>
        <v>0</v>
      </c>
      <c r="E32" s="278"/>
    </row>
    <row r="33" spans="1:5" hidden="1" outlineLevel="1">
      <c r="A33" s="20">
        <f>'Акт согласования'!A58</f>
        <v>0</v>
      </c>
      <c r="B33" s="137">
        <f>'Акт согласования'!B58</f>
        <v>0</v>
      </c>
      <c r="C33" s="137">
        <f>'Акт согласования'!C58</f>
        <v>0</v>
      </c>
      <c r="D33" s="137">
        <f>'Акт согласования'!D58</f>
        <v>0</v>
      </c>
      <c r="E33" s="278"/>
    </row>
    <row r="34" spans="1:5" hidden="1" outlineLevel="1">
      <c r="A34" s="20">
        <f>'Акт согласования'!A59</f>
        <v>0</v>
      </c>
      <c r="B34" s="137">
        <f>'Акт согласования'!B59</f>
        <v>0</v>
      </c>
      <c r="C34" s="137">
        <f>'Акт согласования'!C59</f>
        <v>0</v>
      </c>
      <c r="D34" s="137">
        <f>'Акт согласования'!D59</f>
        <v>0</v>
      </c>
      <c r="E34" s="278"/>
    </row>
    <row r="35" spans="1:5" hidden="1" outlineLevel="1">
      <c r="A35" s="20">
        <f>'Акт согласования'!A60</f>
        <v>0</v>
      </c>
      <c r="B35" s="137">
        <f>'Акт согласования'!B60</f>
        <v>0</v>
      </c>
      <c r="C35" s="137">
        <f>'Акт согласования'!C60</f>
        <v>0</v>
      </c>
      <c r="D35" s="137">
        <f>'Акт согласования'!D60</f>
        <v>0</v>
      </c>
      <c r="E35" s="278"/>
    </row>
    <row r="36" spans="1:5" hidden="1" outlineLevel="1">
      <c r="A36" s="20">
        <f>'Акт согласования'!A61</f>
        <v>0</v>
      </c>
      <c r="B36" s="20">
        <f>'Акт согласования'!B61</f>
        <v>0</v>
      </c>
      <c r="C36" s="20">
        <f>'Акт согласования'!C61</f>
        <v>0</v>
      </c>
      <c r="D36" s="20">
        <f>'Акт согласования'!D61</f>
        <v>0</v>
      </c>
      <c r="E36" s="278"/>
    </row>
    <row r="37" spans="1:5" s="40" customFormat="1" ht="14.25" hidden="1" outlineLevel="1">
      <c r="A37" s="42" t="str">
        <f>'Акт согласования'!A62</f>
        <v>JAMI</v>
      </c>
      <c r="B37" s="42">
        <f>'Акт согласования'!B62</f>
        <v>34.74</v>
      </c>
      <c r="C37" s="42">
        <f>'Акт согласования'!C62</f>
        <v>37.39</v>
      </c>
      <c r="D37" s="42">
        <f>'Акт согласования'!D62</f>
        <v>72.13</v>
      </c>
      <c r="E37" s="42" t="str">
        <f>'Акт согласования'!E62</f>
        <v>82 500 000,00</v>
      </c>
    </row>
    <row r="38" spans="1:5" s="40" customFormat="1" ht="15" hidden="1" customHeight="1" outlineLevel="1">
      <c r="A38" s="238" t="str">
        <f>'Акт согласования'!A39:E39</f>
        <v>-* ko'chmas mulk egasi: SHOUSMANOVA DAVLATXON XXX</v>
      </c>
      <c r="B38" s="238"/>
      <c r="C38" s="238"/>
      <c r="D38" s="238"/>
      <c r="E38" s="238"/>
    </row>
    <row r="39" spans="1:5" s="40" customFormat="1" hidden="1" outlineLevel="1">
      <c r="A39" s="238" t="str">
        <f>'Акт согласования'!A40:E40</f>
        <v>-* reestr raqami: 1718238/R-A1419303</v>
      </c>
      <c r="B39" s="238"/>
      <c r="C39" s="238"/>
      <c r="D39" s="238"/>
      <c r="E39" s="238"/>
    </row>
    <row r="40" spans="1:5" s="40" customFormat="1" hidden="1" outlineLevel="1">
      <c r="A40" s="238" t="str">
        <f>'Акт согласования'!A41:E41</f>
        <v>-* kadastr raqami: №14:13:02:01:03:1179:0006:058 от 16.12.2020 г.</v>
      </c>
      <c r="B40" s="238"/>
      <c r="C40" s="238"/>
      <c r="D40" s="238"/>
      <c r="E40" s="238"/>
    </row>
    <row r="41" spans="1:5" s="40" customFormat="1" hidden="1" outlineLevel="1">
      <c r="A41" s="238" t="str">
        <f>'Акт согласования'!A42:E42</f>
        <v>-* manzil: SAMARQAND VILOYATI TAYLOQ TUMANI CHAROG'BON MFY YANGI TAYLOQ QISHLOG'I 6 TURAR JOY 12 QAVAT 58 XONADON</v>
      </c>
      <c r="B41" s="238"/>
      <c r="C41" s="238"/>
      <c r="D41" s="238"/>
      <c r="E41" s="238"/>
    </row>
    <row r="42" spans="1:5" s="40" customFormat="1" collapsed="1">
      <c r="A42" s="238"/>
      <c r="B42" s="238"/>
      <c r="C42" s="238"/>
      <c r="D42" s="238"/>
      <c r="E42" s="238"/>
    </row>
    <row r="43" spans="1:5" s="40" customFormat="1">
      <c r="A43" s="238"/>
      <c r="B43" s="238"/>
      <c r="C43" s="238"/>
      <c r="D43" s="238"/>
      <c r="E43" s="238"/>
    </row>
    <row r="44" spans="1:5" s="40" customFormat="1" hidden="1">
      <c r="A44" s="238"/>
      <c r="B44" s="238"/>
      <c r="C44" s="238"/>
      <c r="D44" s="238"/>
      <c r="E44" s="238"/>
    </row>
    <row r="45" spans="1:5" s="40" customFormat="1" ht="14.25" hidden="1">
      <c r="A45" s="59"/>
      <c r="B45" s="59"/>
      <c r="C45" s="59"/>
      <c r="D45" s="59"/>
      <c r="E45" s="59"/>
    </row>
    <row r="46" spans="1:5" hidden="1">
      <c r="A46" s="238"/>
      <c r="B46" s="238"/>
      <c r="C46" s="238"/>
      <c r="D46" s="238"/>
      <c r="E46" s="238"/>
    </row>
    <row r="47" spans="1:5" ht="15" customHeight="1">
      <c r="A47" s="323" t="str">
        <f>'Общие данные'!B148</f>
        <v>«CLEVER MIKROMOLIYA TASHKILOTI» MChJ</v>
      </c>
      <c r="B47" s="323"/>
      <c r="C47" s="323"/>
      <c r="D47" s="338"/>
      <c r="E47" s="338"/>
    </row>
    <row r="48" spans="1:5" ht="15" customHeight="1">
      <c r="A48" s="323" t="s">
        <v>419</v>
      </c>
      <c r="B48" s="323"/>
      <c r="C48" s="323"/>
      <c r="D48" s="338" t="s">
        <v>446</v>
      </c>
      <c r="E48" s="338"/>
    </row>
    <row r="49" spans="1:5">
      <c r="A49" s="238"/>
      <c r="B49" s="238"/>
      <c r="C49" s="238"/>
      <c r="D49" s="238"/>
      <c r="E49" s="238"/>
    </row>
    <row r="50" spans="1:5">
      <c r="A50" s="238"/>
      <c r="B50" s="238"/>
      <c r="C50" s="238"/>
      <c r="D50" s="238"/>
      <c r="E50" s="238"/>
    </row>
    <row r="51" spans="1:5">
      <c r="A51" s="238"/>
      <c r="B51" s="238"/>
      <c r="C51" s="238"/>
      <c r="D51" s="238"/>
      <c r="E51" s="238"/>
    </row>
    <row r="52" spans="1:5">
      <c r="A52" s="238"/>
      <c r="B52" s="238"/>
      <c r="C52" s="238"/>
      <c r="D52" s="238"/>
      <c r="E52" s="238"/>
    </row>
    <row r="53" spans="1:5">
      <c r="A53" s="238"/>
      <c r="B53" s="238"/>
      <c r="C53" s="238"/>
      <c r="D53" s="238"/>
      <c r="E53" s="238"/>
    </row>
    <row r="54" spans="1:5">
      <c r="A54" s="238"/>
      <c r="B54" s="238"/>
      <c r="C54" s="238"/>
      <c r="D54" s="238"/>
      <c r="E54" s="238"/>
    </row>
  </sheetData>
  <mergeCells count="36">
    <mergeCell ref="A54:E54"/>
    <mergeCell ref="A22:E22"/>
    <mergeCell ref="A23:E23"/>
    <mergeCell ref="A24:E24"/>
    <mergeCell ref="A46:E46"/>
    <mergeCell ref="A47:C47"/>
    <mergeCell ref="D47:E47"/>
    <mergeCell ref="A48:C48"/>
    <mergeCell ref="D48:E48"/>
    <mergeCell ref="A49:E49"/>
    <mergeCell ref="A50:E50"/>
    <mergeCell ref="A51:E51"/>
    <mergeCell ref="A53:E53"/>
    <mergeCell ref="E26:E36"/>
    <mergeCell ref="A43:E43"/>
    <mergeCell ref="A4:E6"/>
    <mergeCell ref="A44:E44"/>
    <mergeCell ref="A38:E38"/>
    <mergeCell ref="A39:E39"/>
    <mergeCell ref="A40:E40"/>
    <mergeCell ref="A41:E41"/>
    <mergeCell ref="A42:E42"/>
    <mergeCell ref="A21:E21"/>
    <mergeCell ref="A14:E14"/>
    <mergeCell ref="A17:E17"/>
    <mergeCell ref="A7:E7"/>
    <mergeCell ref="A8:E8"/>
    <mergeCell ref="A13:E13"/>
    <mergeCell ref="A9:E9"/>
    <mergeCell ref="A10:E10"/>
    <mergeCell ref="A11:E11"/>
    <mergeCell ref="A12:E12"/>
    <mergeCell ref="A52:E52"/>
    <mergeCell ref="A20:E20"/>
    <mergeCell ref="A15:E15"/>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3" zoomScaleSheetLayoutView="100" workbookViewId="0">
      <selection activeCell="D36" sqref="D36"/>
    </sheetView>
  </sheetViews>
  <sheetFormatPr defaultColWidth="9.140625" defaultRowHeight="15"/>
  <cols>
    <col min="1" max="1" width="3.42578125" style="18" customWidth="1"/>
    <col min="2" max="3" width="17.85546875" style="23" customWidth="1"/>
    <col min="4" max="4" width="15" style="23" customWidth="1"/>
    <col min="5" max="5" width="17.85546875" style="23" customWidth="1"/>
    <col min="6" max="6" width="9" style="23" customWidth="1"/>
    <col min="7" max="7" width="4.7109375" style="23" customWidth="1"/>
    <col min="8" max="16384" width="9.140625" style="18"/>
  </cols>
  <sheetData>
    <row r="1" spans="2:7" ht="15.75" thickBot="1"/>
    <row r="2" spans="2:7" ht="62.25" customHeight="1">
      <c r="B2" s="349" t="str">
        <f>'Общие данные'!B148</f>
        <v>«CLEVER MIKROMOLIYA TASHKILOTI» MChJ</v>
      </c>
      <c r="C2" s="350"/>
      <c r="D2" s="350"/>
      <c r="E2" s="350"/>
      <c r="F2" s="351"/>
      <c r="G2" s="44"/>
    </row>
    <row r="3" spans="2:7">
      <c r="B3" s="342"/>
      <c r="C3" s="271"/>
      <c r="D3" s="271"/>
      <c r="E3" s="271"/>
      <c r="F3" s="343"/>
      <c r="G3" s="45"/>
    </row>
    <row r="4" spans="2:7" ht="8.25" customHeight="1">
      <c r="B4" s="66"/>
      <c r="F4" s="67"/>
      <c r="G4" s="45"/>
    </row>
    <row r="5" spans="2:7" ht="12" customHeight="1">
      <c r="B5" s="47"/>
      <c r="C5" s="45"/>
      <c r="D5" s="45"/>
      <c r="E5" s="45"/>
      <c r="F5" s="48"/>
      <c r="G5" s="45"/>
    </row>
    <row r="6" spans="2:7" ht="6.75" customHeight="1">
      <c r="B6" s="47"/>
      <c r="C6" s="45"/>
      <c r="D6" s="45"/>
      <c r="E6" s="45"/>
      <c r="F6" s="48"/>
      <c r="G6" s="45"/>
    </row>
    <row r="7" spans="2:7" ht="6.75" customHeight="1">
      <c r="B7" s="47"/>
      <c r="C7" s="45"/>
      <c r="D7" s="45"/>
      <c r="E7" s="45"/>
      <c r="F7" s="48"/>
      <c r="G7" s="45"/>
    </row>
    <row r="8" spans="2:7">
      <c r="B8" s="47"/>
      <c r="C8" s="45"/>
      <c r="D8" s="45"/>
      <c r="E8" s="45"/>
      <c r="F8" s="48"/>
      <c r="G8" s="45"/>
    </row>
    <row r="9" spans="2:7">
      <c r="B9" s="47"/>
      <c r="C9" s="45"/>
      <c r="D9" s="45"/>
      <c r="E9" s="45"/>
      <c r="F9" s="48"/>
      <c r="G9" s="45"/>
    </row>
    <row r="10" spans="2:7">
      <c r="B10" s="342" t="s">
        <v>28</v>
      </c>
      <c r="C10" s="271"/>
      <c r="D10" s="271"/>
      <c r="E10" s="271"/>
      <c r="F10" s="343"/>
      <c r="G10" s="45"/>
    </row>
    <row r="11" spans="2:7">
      <c r="B11" s="342" t="s">
        <v>28</v>
      </c>
      <c r="C11" s="271"/>
      <c r="D11" s="271"/>
      <c r="E11" s="271"/>
      <c r="F11" s="343"/>
      <c r="G11" s="45"/>
    </row>
    <row r="12" spans="2:7" ht="135" customHeight="1">
      <c r="B12" s="352" t="str">
        <f>'Общие данные'!B5</f>
        <v>MIRZAKULOV RUSTAMJON MUXAMADJANOVICH</v>
      </c>
      <c r="C12" s="353"/>
      <c r="D12" s="353"/>
      <c r="E12" s="353"/>
      <c r="F12" s="354"/>
      <c r="G12" s="46"/>
    </row>
    <row r="13" spans="2:7">
      <c r="B13" s="342"/>
      <c r="C13" s="271"/>
      <c r="D13" s="271"/>
      <c r="E13" s="271"/>
      <c r="F13" s="343"/>
      <c r="G13" s="45"/>
    </row>
    <row r="14" spans="2:7">
      <c r="B14" s="47"/>
      <c r="C14" s="45"/>
      <c r="D14" s="45"/>
      <c r="E14" s="45"/>
      <c r="F14" s="48"/>
      <c r="G14" s="45"/>
    </row>
    <row r="15" spans="2:7">
      <c r="B15" s="47"/>
      <c r="C15" s="45"/>
      <c r="D15" s="45"/>
      <c r="E15" s="45"/>
      <c r="F15" s="48"/>
      <c r="G15" s="45"/>
    </row>
    <row r="16" spans="2:7">
      <c r="B16" s="47"/>
      <c r="C16" s="45"/>
      <c r="D16" s="45"/>
      <c r="E16" s="45"/>
      <c r="F16" s="48"/>
      <c r="G16" s="45"/>
    </row>
    <row r="17" spans="2:7">
      <c r="B17" s="47"/>
      <c r="C17" s="45"/>
      <c r="D17" s="45"/>
      <c r="E17" s="45"/>
      <c r="F17" s="48"/>
      <c r="G17" s="45"/>
    </row>
    <row r="18" spans="2:7">
      <c r="B18" s="342"/>
      <c r="C18" s="271"/>
      <c r="D18" s="271"/>
      <c r="E18" s="271"/>
      <c r="F18" s="343"/>
      <c r="G18" s="45"/>
    </row>
    <row r="19" spans="2:7" ht="20.25">
      <c r="B19" s="346" t="str">
        <f>""&amp;'Общие данные'!C64&amp;" shartnoma "&amp;'Общие данные'!B74&amp;""</f>
        <v>Mikroqarz shartnoma 7 mart 2025 y.dan №548-AL</v>
      </c>
      <c r="C19" s="347"/>
      <c r="D19" s="347"/>
      <c r="E19" s="347"/>
      <c r="F19" s="348"/>
      <c r="G19" s="45"/>
    </row>
    <row r="20" spans="2:7">
      <c r="B20" s="342"/>
      <c r="C20" s="271"/>
      <c r="D20" s="271"/>
      <c r="E20" s="271"/>
      <c r="F20" s="343"/>
      <c r="G20" s="45"/>
    </row>
    <row r="21" spans="2:7">
      <c r="B21" s="342"/>
      <c r="C21" s="271"/>
      <c r="D21" s="271"/>
      <c r="E21" s="271"/>
      <c r="F21" s="343"/>
      <c r="G21" s="45"/>
    </row>
    <row r="22" spans="2:7">
      <c r="B22" s="342"/>
      <c r="C22" s="271"/>
      <c r="D22" s="271"/>
      <c r="E22" s="271"/>
      <c r="F22" s="343"/>
      <c r="G22" s="45"/>
    </row>
    <row r="23" spans="2:7">
      <c r="B23" s="342"/>
      <c r="C23" s="271"/>
      <c r="D23" s="271"/>
      <c r="E23" s="271"/>
      <c r="F23" s="343"/>
      <c r="G23" s="45"/>
    </row>
    <row r="24" spans="2:7">
      <c r="B24" s="344" t="str">
        <f>" Foiz stavkasi: "&amp;'Общие данные'!B85&amp;"%"</f>
        <v xml:space="preserve"> Foiz stavkasi: 60%</v>
      </c>
      <c r="C24" s="240"/>
      <c r="D24" s="240"/>
      <c r="E24" s="240"/>
      <c r="F24" s="345"/>
      <c r="G24" s="45"/>
    </row>
    <row r="25" spans="2:7" ht="15" customHeight="1">
      <c r="B25" s="344" t="str">
        <f>" "&amp;'Общие данные'!C64&amp;" muddati: "&amp;'Общие данные'!B81&amp;" oy"</f>
        <v xml:space="preserve"> Mikroqarz muddati: 12 oy</v>
      </c>
      <c r="C25" s="240"/>
      <c r="D25" s="240"/>
      <c r="E25" s="240"/>
      <c r="F25" s="345"/>
      <c r="G25" s="45"/>
    </row>
    <row r="26" spans="2:7">
      <c r="B26" s="344" t="str">
        <f>" "&amp;'Общие данные'!C64&amp;" miqdori: "&amp;FIXED('Общие данные'!B75,2)&amp;" so'm"</f>
        <v xml:space="preserve"> Mikroqarz miqdori: 55 000 000,00 so'm</v>
      </c>
      <c r="C26" s="240"/>
      <c r="D26" s="240"/>
      <c r="E26" s="240"/>
      <c r="F26" s="345"/>
      <c r="G26" s="45"/>
    </row>
    <row r="27" spans="2:7">
      <c r="B27" s="342"/>
      <c r="C27" s="271"/>
      <c r="D27" s="271"/>
      <c r="E27" s="271"/>
      <c r="F27" s="343"/>
      <c r="G27" s="45"/>
    </row>
    <row r="28" spans="2:7" hidden="1">
      <c r="G28" s="45"/>
    </row>
    <row r="29" spans="2:7">
      <c r="B29" s="342"/>
      <c r="C29" s="271"/>
      <c r="D29" s="271"/>
      <c r="E29" s="271"/>
      <c r="F29" s="343"/>
      <c r="G29" s="45"/>
    </row>
    <row r="30" spans="2:7" ht="12.75" customHeight="1">
      <c r="B30" s="47"/>
      <c r="C30" s="45"/>
      <c r="D30" s="45"/>
      <c r="E30" s="45"/>
      <c r="F30" s="48"/>
      <c r="G30" s="45"/>
    </row>
    <row r="31" spans="2:7">
      <c r="B31" s="47"/>
      <c r="C31" s="45"/>
      <c r="D31" s="45"/>
      <c r="E31" s="45"/>
      <c r="F31" s="48"/>
      <c r="G31" s="45"/>
    </row>
    <row r="32" spans="2:7" ht="2.25" customHeight="1">
      <c r="B32" s="47"/>
      <c r="C32" s="45"/>
      <c r="D32" s="45"/>
      <c r="E32" s="45"/>
      <c r="F32" s="48"/>
      <c r="G32" s="45"/>
    </row>
    <row r="33" spans="2:7">
      <c r="B33" s="47"/>
      <c r="C33" s="45"/>
      <c r="D33" s="45"/>
      <c r="E33" s="45"/>
      <c r="F33" s="48"/>
      <c r="G33" s="45"/>
    </row>
    <row r="34" spans="2:7">
      <c r="B34" s="47"/>
      <c r="C34" s="45"/>
      <c r="D34" s="45"/>
      <c r="E34" s="45"/>
      <c r="F34" s="48"/>
      <c r="G34" s="45"/>
    </row>
    <row r="35" spans="2:7">
      <c r="B35" s="47"/>
      <c r="C35" s="45"/>
      <c r="D35" s="45"/>
      <c r="E35" s="45"/>
      <c r="F35" s="48"/>
      <c r="G35" s="45"/>
    </row>
    <row r="36" spans="2:7">
      <c r="B36" s="47"/>
      <c r="C36" s="45"/>
      <c r="D36" s="45"/>
      <c r="E36" s="45"/>
      <c r="F36" s="48"/>
      <c r="G36" s="45"/>
    </row>
    <row r="37" spans="2:7">
      <c r="B37" s="47"/>
      <c r="C37" s="45"/>
      <c r="D37" s="45"/>
      <c r="E37" s="45"/>
      <c r="F37" s="48"/>
      <c r="G37" s="45"/>
    </row>
    <row r="38" spans="2:7">
      <c r="B38" s="47"/>
      <c r="C38" s="45"/>
      <c r="D38" s="45"/>
      <c r="E38" s="45"/>
      <c r="F38" s="48"/>
      <c r="G38" s="45"/>
    </row>
    <row r="39" spans="2:7">
      <c r="B39" s="47"/>
      <c r="C39" s="45"/>
      <c r="D39" s="45"/>
      <c r="E39" s="45"/>
      <c r="F39" s="48"/>
      <c r="G39" s="45"/>
    </row>
    <row r="40" spans="2:7" ht="15.75" thickBot="1">
      <c r="B40" s="339" t="str">
        <f>"Toshkent sh., "&amp;'Общие данные'!B70&amp;""</f>
        <v>Toshkent sh., 7 mart 2025 y.</v>
      </c>
      <c r="C40" s="340"/>
      <c r="D40" s="340"/>
      <c r="E40" s="340"/>
      <c r="F40" s="341"/>
      <c r="G40" s="45"/>
    </row>
    <row r="41" spans="2:7">
      <c r="B41" s="271"/>
      <c r="C41" s="271"/>
      <c r="D41" s="271"/>
      <c r="E41" s="271"/>
      <c r="F41" s="271"/>
      <c r="G41" s="45"/>
    </row>
    <row r="42" spans="2:7">
      <c r="B42" s="271"/>
      <c r="C42" s="271"/>
      <c r="D42" s="271"/>
      <c r="E42" s="271"/>
      <c r="F42" s="271"/>
      <c r="G42" s="45"/>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SheetLayoutView="100" workbookViewId="0">
      <selection activeCell="E8" sqref="E8"/>
    </sheetView>
  </sheetViews>
  <sheetFormatPr defaultColWidth="9.140625" defaultRowHeight="15"/>
  <cols>
    <col min="1" max="1" width="33.85546875" style="18" customWidth="1"/>
    <col min="2" max="2" width="21.28515625" style="18" customWidth="1"/>
    <col min="3" max="3" width="19.140625" style="18" customWidth="1"/>
    <col min="4" max="5" width="21.28515625" style="18" customWidth="1"/>
    <col min="6" max="16384" width="9.140625" style="18"/>
  </cols>
  <sheetData>
    <row r="2" spans="1:5">
      <c r="A2" s="133" t="s">
        <v>56</v>
      </c>
    </row>
    <row r="3" spans="1:5">
      <c r="A3" s="133" t="s">
        <v>57</v>
      </c>
    </row>
    <row r="6" spans="1:5" ht="20.25" customHeight="1">
      <c r="E6" s="134" t="s">
        <v>37</v>
      </c>
    </row>
    <row r="7" spans="1:5">
      <c r="E7" s="134" t="s">
        <v>58</v>
      </c>
    </row>
    <row r="9" spans="1:5" ht="107.25" customHeight="1">
      <c r="A9" s="356"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MIRZAKULOV RUSTAMJON MUXAMADJANOVICH  (паспорт: AD9977942 IIV 27404 tomonidan 26.12.2024 yilda berilgan) заключен договор микрозайма 7 mart 2025 y.dan №548-AL, на сумму 55 000 000,00 (ellik besh million so'm) сум, сроком на 12 (o'n ikki) месяцев. В качестве своевременного исполнения обязательств по договору Микрозайма 7 mart 2025 y.dan №548-AL планирует предоставить нижеследующее автотранспортного средство марки KIA SEITOS G08M принадлежащее на правах собственности MIRZAKULOV RUSTAMJON MUXAMADJANOVICH</v>
      </c>
      <c r="B9" s="356"/>
      <c r="C9" s="356"/>
      <c r="D9" s="356"/>
      <c r="E9" s="356"/>
    </row>
    <row r="11" spans="1:5" ht="28.5">
      <c r="A11" s="42" t="str">
        <f>'Приказ на сделку'!A18</f>
        <v>Nomi</v>
      </c>
      <c r="B11" s="42" t="str">
        <f>'Приказ на сделку'!B18</f>
        <v>Kuzov turi  va kuzov raqami*</v>
      </c>
      <c r="C11" s="42" t="str">
        <f>'Приказ на сделку'!C18</f>
        <v>Dvigatel va shassi raqami*</v>
      </c>
      <c r="D11" s="42" t="str">
        <f>'Приказ на сделку'!D18</f>
        <v>Ishlab chiqarilgan yili va rangi*</v>
      </c>
      <c r="E11" s="42" t="str">
        <f>'Приказ на сделку'!E18</f>
        <v>Kelishilgan garov qiymati, so'm</v>
      </c>
    </row>
    <row r="12" spans="1:5" ht="73.5" customHeight="1">
      <c r="A12" s="42" t="str">
        <f>'Приказ на сделку'!A19</f>
        <v>KIA SEITOS G08M</v>
      </c>
      <c r="B12" s="42" t="str">
        <f>'Приказ на сделку'!B19</f>
        <v>Kuzov turi YENGIL SEDAN, Kuzov raqami XWBJF69VELA059410</v>
      </c>
      <c r="C12" s="42" t="str">
        <f>'Приказ на сделку'!C19</f>
        <v xml:space="preserve">dvigatel raqami G4NHPH325362, shassi raqami -  - </v>
      </c>
      <c r="D12" s="42" t="str">
        <f>'Приказ на сделку'!D19</f>
        <v>rangi -  OQ BELIY JEMCHUG-OK, ishlab chiqarilgan yili - 2023</v>
      </c>
      <c r="E12" s="42" t="str">
        <f>'Приказ на сделку'!E19</f>
        <v>82 500 000,00 (sakson ikki million besh yuz ming so'm)</v>
      </c>
    </row>
    <row r="13" spans="1:5">
      <c r="A13" s="360" t="str">
        <f>'Приказ на сделку'!A20:E20</f>
        <v>-* avtotransport egasi: MIRZAKULOV RUSTAMJON MUXAMADJANOVICH</v>
      </c>
      <c r="B13" s="360"/>
      <c r="C13" s="360"/>
      <c r="D13" s="360"/>
      <c r="E13" s="360"/>
    </row>
    <row r="14" spans="1:5">
      <c r="A14" s="360" t="str">
        <f>'Приказ на сделку'!A21:E21</f>
        <v>-* texnik pasport: AAG  3632549  05.03.2024 y.</v>
      </c>
      <c r="B14" s="360"/>
      <c r="C14" s="360"/>
      <c r="D14" s="360"/>
      <c r="E14" s="360"/>
    </row>
    <row r="15" spans="1:5">
      <c r="A15" s="360" t="str">
        <f>'Приказ на сделку'!A22:E22</f>
        <v>-* roʻyxatdan oʻtgan manzili/garaj manzili: TOSHKENT VILOYATI OLMALIQ SHAHAR O`ZBEKISTON MFY OQTOSHKO`CHASI 47-UY</v>
      </c>
      <c r="B15" s="360"/>
      <c r="C15" s="360"/>
      <c r="D15" s="360"/>
      <c r="E15" s="360"/>
    </row>
    <row r="16" spans="1:5">
      <c r="A16" s="360" t="str">
        <f>'Приказ на сделку'!A23:E23</f>
        <v>-* davlat raqami: 10L832HB</v>
      </c>
      <c r="B16" s="360"/>
      <c r="C16" s="360"/>
      <c r="D16" s="360"/>
      <c r="E16" s="360"/>
    </row>
    <row r="17" spans="1:5" ht="3" customHeight="1"/>
    <row r="19" spans="1:5" ht="59.25" hidden="1" customHeight="1">
      <c r="A19" s="42" t="str">
        <f>'Акт согласования'!A50</f>
        <v>Наименование</v>
      </c>
      <c r="B19" s="42" t="str">
        <f>'Акт согласования'!B50</f>
        <v>Полезная площадь</v>
      </c>
      <c r="C19" s="42" t="str">
        <f>'Акт согласования'!C50</f>
        <v>Жилая площадь</v>
      </c>
      <c r="D19" s="42" t="str">
        <f>'Акт согласования'!D50</f>
        <v>Общая площадь</v>
      </c>
      <c r="E19" s="42" t="str">
        <f>'Акт согласования'!E50</f>
        <v>Согласованная залоговая стоимость, сум</v>
      </c>
    </row>
    <row r="20" spans="1:5" ht="17.25" hidden="1" customHeight="1">
      <c r="A20" s="20" t="str">
        <f>'Акт согласования'!A51</f>
        <v>Yashash xona</v>
      </c>
      <c r="B20" s="20">
        <f>'Акт согласования'!B51</f>
        <v>0</v>
      </c>
      <c r="C20" s="20">
        <f>'Акт согласования'!C51</f>
        <v>37.39</v>
      </c>
      <c r="D20" s="20">
        <f>'Акт согласования'!D51</f>
        <v>37.39</v>
      </c>
      <c r="E20" s="335" t="str">
        <f>""&amp;FIXED('Общие данные'!C136,2)&amp;" ("&amp;'Общие данные'!C137&amp;")"</f>
        <v>82 500 000,00 (sakson ikki million besh yuz ming so'm)</v>
      </c>
    </row>
    <row r="21" spans="1:5" ht="17.25" hidden="1" customHeight="1">
      <c r="A21" s="20">
        <f>'Акт согласования'!A52</f>
        <v>0</v>
      </c>
      <c r="B21" s="20">
        <f>'Акт согласования'!B52</f>
        <v>0</v>
      </c>
      <c r="C21" s="20">
        <f>'Акт согласования'!C52</f>
        <v>0</v>
      </c>
      <c r="D21" s="20">
        <f>'Акт согласования'!D52</f>
        <v>0</v>
      </c>
      <c r="E21" s="336"/>
    </row>
    <row r="22" spans="1:5" ht="17.25" hidden="1" customHeight="1">
      <c r="A22" s="20" t="str">
        <f>'Акт согласования'!A53</f>
        <v>Noturar joy</v>
      </c>
      <c r="B22" s="20">
        <f>'Акт согласования'!B53</f>
        <v>34.74</v>
      </c>
      <c r="C22" s="20">
        <f>'Акт согласования'!C53</f>
        <v>0</v>
      </c>
      <c r="D22" s="20">
        <f>'Акт согласования'!D53</f>
        <v>34.74</v>
      </c>
      <c r="E22" s="336"/>
    </row>
    <row r="23" spans="1:5" ht="17.25" hidden="1" customHeight="1">
      <c r="A23" s="20">
        <f>'Акт согласования'!A54</f>
        <v>0</v>
      </c>
      <c r="B23" s="20">
        <f>'Акт согласования'!B54</f>
        <v>0</v>
      </c>
      <c r="C23" s="20">
        <f>'Акт согласования'!C54</f>
        <v>0</v>
      </c>
      <c r="D23" s="20">
        <f>'Акт согласования'!D54</f>
        <v>0</v>
      </c>
      <c r="E23" s="336"/>
    </row>
    <row r="24" spans="1:5" ht="17.25" hidden="1" customHeight="1">
      <c r="A24" s="20">
        <f>'Акт согласования'!A55</f>
        <v>0</v>
      </c>
      <c r="B24" s="20">
        <f>'Акт согласования'!B55</f>
        <v>0</v>
      </c>
      <c r="C24" s="20">
        <f>'Акт согласования'!C55</f>
        <v>0</v>
      </c>
      <c r="D24" s="20">
        <f>'Акт согласования'!D55</f>
        <v>0</v>
      </c>
      <c r="E24" s="336"/>
    </row>
    <row r="25" spans="1:5" ht="15.75" hidden="1" customHeight="1">
      <c r="A25" s="20">
        <f>'Акт согласования'!A56</f>
        <v>0</v>
      </c>
      <c r="B25" s="20">
        <f>'Акт согласования'!B56</f>
        <v>0</v>
      </c>
      <c r="C25" s="20">
        <f>'Акт согласования'!C56</f>
        <v>0</v>
      </c>
      <c r="D25" s="20">
        <f>'Акт согласования'!D56</f>
        <v>0</v>
      </c>
      <c r="E25" s="336"/>
    </row>
    <row r="26" spans="1:5" ht="17.25" hidden="1" customHeight="1">
      <c r="A26" s="20">
        <f>'Акт согласования'!A57</f>
        <v>0</v>
      </c>
      <c r="B26" s="20">
        <f>'Акт согласования'!B57</f>
        <v>0</v>
      </c>
      <c r="C26" s="20">
        <f>'Акт согласования'!C57</f>
        <v>0</v>
      </c>
      <c r="D26" s="20">
        <f>'Акт согласования'!D57</f>
        <v>0</v>
      </c>
      <c r="E26" s="336"/>
    </row>
    <row r="27" spans="1:5" ht="17.25" hidden="1" customHeight="1">
      <c r="A27" s="20">
        <f>'Акт согласования'!A58</f>
        <v>0</v>
      </c>
      <c r="B27" s="20">
        <f>'Акт согласования'!B58</f>
        <v>0</v>
      </c>
      <c r="C27" s="20">
        <f>'Акт согласования'!C58</f>
        <v>0</v>
      </c>
      <c r="D27" s="20">
        <f>'Акт согласования'!D58</f>
        <v>0</v>
      </c>
      <c r="E27" s="336"/>
    </row>
    <row r="28" spans="1:5" ht="17.25" hidden="1" customHeight="1">
      <c r="A28" s="20">
        <f>'Акт согласования'!A59</f>
        <v>0</v>
      </c>
      <c r="B28" s="20">
        <f>'Акт согласования'!B59</f>
        <v>0</v>
      </c>
      <c r="C28" s="20">
        <f>'Акт согласования'!C59</f>
        <v>0</v>
      </c>
      <c r="D28" s="20">
        <f>'Акт согласования'!D59</f>
        <v>0</v>
      </c>
      <c r="E28" s="336"/>
    </row>
    <row r="29" spans="1:5" ht="17.25" hidden="1" customHeight="1">
      <c r="A29" s="20">
        <f>'Акт согласования'!A60</f>
        <v>0</v>
      </c>
      <c r="B29" s="20">
        <f>'Акт согласования'!B60</f>
        <v>0</v>
      </c>
      <c r="C29" s="20">
        <f>'Акт согласования'!C60</f>
        <v>0</v>
      </c>
      <c r="D29" s="20">
        <f>'Акт согласования'!D60</f>
        <v>0</v>
      </c>
      <c r="E29" s="336"/>
    </row>
    <row r="30" spans="1:5" ht="17.25" hidden="1" customHeight="1">
      <c r="A30" s="20">
        <f>'Акт согласования'!A61</f>
        <v>0</v>
      </c>
      <c r="B30" s="20">
        <f>'Акт согласования'!B61</f>
        <v>0</v>
      </c>
      <c r="C30" s="20">
        <f>'Акт согласования'!C61</f>
        <v>0</v>
      </c>
      <c r="D30" s="20">
        <f>'Акт согласования'!D61</f>
        <v>0</v>
      </c>
      <c r="E30" s="337"/>
    </row>
    <row r="31" spans="1:5" ht="17.25" hidden="1" customHeight="1">
      <c r="A31" s="20" t="str">
        <f>'Акт согласования'!A62</f>
        <v>JAMI</v>
      </c>
      <c r="B31" s="20">
        <f>'Акт согласования'!B62</f>
        <v>34.74</v>
      </c>
      <c r="C31" s="20">
        <f>'Акт согласования'!C62</f>
        <v>37.39</v>
      </c>
      <c r="D31" s="20">
        <f>'Акт согласования'!D62</f>
        <v>72.13</v>
      </c>
      <c r="E31" s="20" t="str">
        <f>'Акт согласования'!E62</f>
        <v>82 500 000,00</v>
      </c>
    </row>
    <row r="32" spans="1:5" ht="18.75" hidden="1" customHeight="1">
      <c r="A32" s="356" t="str">
        <f>'Акт согласования'!A39:E39</f>
        <v>-* ko'chmas mulk egasi: SHOUSMANOVA DAVLATXON XXX</v>
      </c>
      <c r="B32" s="356"/>
      <c r="C32" s="356"/>
      <c r="D32" s="356"/>
      <c r="E32" s="356"/>
    </row>
    <row r="33" spans="1:5" ht="24.75" hidden="1" customHeight="1">
      <c r="A33" s="356" t="str">
        <f>'Акт согласования'!A40:E40</f>
        <v>-* reestr raqami: 1718238/R-A1419303</v>
      </c>
      <c r="B33" s="356"/>
      <c r="C33" s="356"/>
      <c r="D33" s="356"/>
      <c r="E33" s="356"/>
    </row>
    <row r="34" spans="1:5" ht="30.75" hidden="1" customHeight="1">
      <c r="A34" s="356" t="str">
        <f>'Акт согласования'!A41:E41</f>
        <v>-* kadastr raqami: №14:13:02:01:03:1179:0006:058 от 16.12.2020 г.</v>
      </c>
      <c r="B34" s="356"/>
      <c r="C34" s="356"/>
      <c r="D34" s="356"/>
      <c r="E34" s="356"/>
    </row>
    <row r="35" spans="1:5" ht="15" hidden="1" customHeight="1">
      <c r="A35" s="356" t="str">
        <f>'Акт согласования'!A42:E42</f>
        <v>-* manzil: SAMARQAND VILOYATI TAYLOQ TUMANI CHAROG'BON MFY YANGI TAYLOQ QISHLOG'I 6 TURAR JOY 12 QAVAT 58 XONADON</v>
      </c>
      <c r="B35" s="356"/>
      <c r="C35" s="356"/>
      <c r="D35" s="356"/>
      <c r="E35" s="356"/>
    </row>
    <row r="36" spans="1:5">
      <c r="A36" s="25"/>
      <c r="B36" s="25"/>
      <c r="C36" s="25"/>
      <c r="D36" s="25"/>
      <c r="E36" s="25"/>
    </row>
    <row r="37" spans="1:5" s="157" customFormat="1" ht="51" customHeight="1">
      <c r="A37" s="359" t="str">
        <f>'Акт согласования'!A64:E64</f>
        <v>“Birinchi talabga ko‘ra, yuqoridagi avtomobil Mikrokredit shartnomasi bo‘yicha garovga qo‘yilgan edi::- №5 от 11 yanvar 2021 г., заключенного с ООО «Clever Mikrokredit Tashkiloti» и TULYAGANOV XODJIAKBAR IRGASHEVICH, по согласованной залоговой стоимость - 15 000 000,00 (on besh million) сум.- №386 от 6 noyabr 2019 г., заключенного с ООО «Clever Mikrokredit Tashkiloti» и YUNUSOVA ZALOXAT MIRSULTANOVNA, по согласованной залоговой стоимость - 15 000 000,00 (on besh million) сум.- №33 от 21 yanvar 2021 г., заключенного с ООО «Clever Mikrokredit Tashkiloti» и YUNUSOVA ZALOXAT MIRSULTANOVNA, по согласованной залоговой стоимость - 15 000 000,00 (on besh million) сум.00000000000000000</v>
      </c>
      <c r="B37" s="359"/>
      <c r="C37" s="359"/>
      <c r="D37" s="359"/>
      <c r="E37" s="359"/>
    </row>
    <row r="38" spans="1:5" ht="40.5" customHeight="1">
      <c r="A38" s="356" t="str">
        <f>'Акт согласования'!A65:E65</f>
        <v>Shu bilan birga, garov predmetining kelishilgan garov qiymati deganda ushbu mulk garov sifatida taqdim etilgan/qabul qilingan qiymati tushuniladi.</v>
      </c>
      <c r="B38" s="356"/>
      <c r="C38" s="356"/>
      <c r="D38" s="356"/>
      <c r="E38" s="356"/>
    </row>
    <row r="39" spans="1:5" ht="39" customHeight="1">
      <c r="A39" s="356"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7 mart 2025 y.dan №548-AL, при сохранении запрета.</v>
      </c>
      <c r="B39" s="356"/>
      <c r="C39" s="356"/>
      <c r="D39" s="356"/>
      <c r="E39" s="356"/>
    </row>
    <row r="40" spans="1:5">
      <c r="A40" s="357"/>
      <c r="B40" s="357"/>
      <c r="C40" s="357"/>
      <c r="D40" s="357"/>
      <c r="E40" s="357"/>
    </row>
    <row r="41" spans="1:5">
      <c r="A41" s="358" t="s">
        <v>38</v>
      </c>
      <c r="B41" s="358"/>
      <c r="C41" s="358"/>
      <c r="D41" s="358"/>
      <c r="E41" s="358"/>
    </row>
    <row r="42" spans="1:5">
      <c r="A42" s="357"/>
      <c r="B42" s="357"/>
      <c r="C42" s="357"/>
      <c r="D42" s="357"/>
      <c r="E42" s="357"/>
    </row>
    <row r="43" spans="1:5">
      <c r="A43" s="358" t="s">
        <v>39</v>
      </c>
      <c r="B43" s="358"/>
      <c r="C43" s="358"/>
      <c r="D43" s="358"/>
      <c r="E43" s="358"/>
    </row>
    <row r="44" spans="1:5" ht="28.5" customHeight="1">
      <c r="A44" s="355" t="s">
        <v>40</v>
      </c>
      <c r="B44" s="355"/>
      <c r="C44" s="355"/>
      <c r="D44" s="355"/>
      <c r="E44" s="135"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SheetLayoutView="100" workbookViewId="0">
      <selection activeCell="E21" sqref="E21"/>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9" width="9.140625" style="27" hidden="1" customWidth="1"/>
    <col min="10" max="10" width="9.140625" style="27" customWidth="1"/>
    <col min="11" max="11" width="0.5703125" style="27" customWidth="1"/>
    <col min="12" max="16384" width="9.140625" style="27"/>
  </cols>
  <sheetData>
    <row r="1" spans="1:9">
      <c r="A1" s="34"/>
      <c r="B1" s="34"/>
      <c r="C1" s="34"/>
      <c r="D1" s="34"/>
      <c r="E1" s="34"/>
      <c r="F1" s="34"/>
      <c r="G1" s="34"/>
      <c r="H1" s="34"/>
      <c r="I1" s="34"/>
    </row>
    <row r="2" spans="1:9">
      <c r="A2" s="369" t="str">
        <f>""&amp;" "&amp;'Общие данные'!B74&amp;"-sonli "&amp;" "&amp;'Общие данные'!C64&amp;" shartnomasi bo‘yicha garovga qo‘yilgan mol-mulkni tekshirish bo’yicha "&amp;'Общие данные'!B5&amp;" bilan tuzilgan dalolatnomasi"</f>
        <v xml:space="preserve"> 7 mart 2025 y.dan №548-AL-sonli  Mikroqarz shartnomasi bo‘yicha garovga qo‘yilgan mol-mulkni tekshirish bo’yicha MIRZAKULOV RUSTAMJON MUXAMADJANOVICH bilan tuzilgan dalolatnomasi</v>
      </c>
      <c r="B2" s="369"/>
      <c r="C2" s="369"/>
      <c r="D2" s="369"/>
      <c r="E2" s="369"/>
      <c r="F2" s="369"/>
      <c r="G2" s="369"/>
      <c r="H2" s="369"/>
      <c r="I2" s="34"/>
    </row>
    <row r="3" spans="1:9">
      <c r="A3" s="369"/>
      <c r="B3" s="369"/>
      <c r="C3" s="369"/>
      <c r="D3" s="369"/>
      <c r="E3" s="369"/>
      <c r="F3" s="369"/>
      <c r="G3" s="369"/>
      <c r="H3" s="369"/>
      <c r="I3" s="34"/>
    </row>
    <row r="5" spans="1:9">
      <c r="A5" s="27" t="s">
        <v>214</v>
      </c>
      <c r="F5" s="194"/>
      <c r="H5" s="171" t="str">
        <f>TEXT('Общие данные'!D2,"ДД.ММ.ГГГГ")</f>
        <v>03.09.2025</v>
      </c>
    </row>
    <row r="7" spans="1:9" ht="45" customHeight="1">
      <c r="A7" s="368"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Olmaliq filiali boshlig'ii Yerjanov V.Y., jismoniy shaxs  MIRZAKULOV RUSTAMJON MUXAMADJANOVICH  7 mart 2025 y.dan №548-AL-sonli mikroqarz shartnomasi bo‘yicha garovga qo‘yilgan mol-mulkni ko‘zdan kechirdim</v>
      </c>
      <c r="B7" s="368"/>
      <c r="C7" s="368"/>
      <c r="D7" s="368"/>
      <c r="E7" s="368"/>
      <c r="F7" s="368"/>
      <c r="G7" s="368"/>
      <c r="H7" s="368"/>
    </row>
    <row r="8" spans="1:9" ht="19.5" customHeight="1">
      <c r="A8" s="362" t="s">
        <v>298</v>
      </c>
      <c r="B8" s="362"/>
      <c r="C8" s="362"/>
      <c r="D8" s="362"/>
      <c r="E8" s="362"/>
      <c r="F8" s="362"/>
      <c r="G8" s="362"/>
      <c r="H8" s="362"/>
    </row>
    <row r="9" spans="1:9" s="172" customFormat="1" ht="32.25" customHeight="1">
      <c r="A9" s="363" t="s">
        <v>217</v>
      </c>
      <c r="B9" s="364"/>
      <c r="C9" s="363" t="s">
        <v>299</v>
      </c>
      <c r="D9" s="364"/>
      <c r="E9" s="365" t="s">
        <v>300</v>
      </c>
      <c r="F9" s="365"/>
      <c r="G9" s="365" t="s">
        <v>181</v>
      </c>
      <c r="H9" s="365"/>
    </row>
    <row r="10" spans="1:9" s="170" customFormat="1" ht="58.5" customHeight="1">
      <c r="A10" s="366" t="str">
        <f>'Общие данные'!B125</f>
        <v>KIA SEITOS G08M</v>
      </c>
      <c r="B10" s="366"/>
      <c r="C10" s="366" t="str">
        <f>'Общие данные'!B127</f>
        <v>Kuzov turi YENGIL SEDAN, Kuzov raqami XWBJF69VELA059410</v>
      </c>
      <c r="D10" s="366"/>
      <c r="E10" s="366" t="str">
        <f>'Общие данные'!B130</f>
        <v xml:space="preserve">dvigatel raqami G4NHPH325362, shassi raqami -  - </v>
      </c>
      <c r="F10" s="366"/>
      <c r="G10" s="366" t="str">
        <f>'Общие данные'!B133</f>
        <v>rangi -  OQ BELIY JEMCHUG-OK, ishlab chiqarilgan yili - 2023</v>
      </c>
      <c r="H10" s="366"/>
    </row>
    <row r="11" spans="1:9" ht="19.5" customHeight="1">
      <c r="A11" s="367" t="str">
        <f>'Акт согласования'!A22:E22</f>
        <v>-* avtotransport egasi: MIRZAKULOV RUSTAMJON MUXAMADJANOVICH</v>
      </c>
      <c r="B11" s="367"/>
      <c r="C11" s="367"/>
      <c r="D11" s="367"/>
      <c r="E11" s="367"/>
      <c r="F11" s="367"/>
      <c r="G11" s="367"/>
      <c r="H11" s="367"/>
    </row>
    <row r="12" spans="1:9" ht="19.5" customHeight="1">
      <c r="A12" s="367" t="str">
        <f>'Акт согласования'!A23:E23</f>
        <v>-* texnik pasport: AAG  3632549  05.03.2024 y.</v>
      </c>
      <c r="B12" s="367"/>
      <c r="C12" s="367"/>
      <c r="D12" s="367"/>
      <c r="E12" s="367"/>
      <c r="F12" s="367"/>
      <c r="G12" s="367"/>
      <c r="H12" s="367"/>
    </row>
    <row r="13" spans="1:9" ht="19.5" customHeight="1">
      <c r="A13" s="367" t="str">
        <f>'Акт согласования'!A24:E24</f>
        <v>-* roʻyxatdan oʻtgan manzili/garaj manzili: TOSHKENT VILOYATI OLMALIQ SHAHAR O`ZBEKISTON MFY OQTOSHKO`CHASI 47-UY</v>
      </c>
      <c r="B13" s="367"/>
      <c r="C13" s="367"/>
      <c r="D13" s="367"/>
      <c r="E13" s="367"/>
      <c r="F13" s="367"/>
      <c r="G13" s="367"/>
      <c r="H13" s="367"/>
    </row>
    <row r="14" spans="1:9" ht="19.5" customHeight="1">
      <c r="A14" s="367" t="str">
        <f>'Акт согласования'!A25:E25</f>
        <v>-* davlat raqami: 10L832HB</v>
      </c>
      <c r="B14" s="367"/>
      <c r="C14" s="367"/>
      <c r="D14" s="367"/>
      <c r="E14" s="367"/>
      <c r="F14" s="367"/>
      <c r="G14" s="367"/>
      <c r="H14" s="367"/>
    </row>
    <row r="15" spans="1:9" ht="33.75" customHeight="1">
      <c r="A15" s="370" t="str">
        <f>+"Shu bilan birga, yuqoridagi mulkning kelishilgan garov qiymati "&amp;'Акт согласования'!E48</f>
        <v>Shu bilan birga, yuqoridagi mulkning kelishilgan garov qiymati 82 500 000,00 (sakson ikki million besh yuz ming so'm)</v>
      </c>
      <c r="B15" s="370"/>
      <c r="C15" s="370"/>
      <c r="D15" s="370"/>
      <c r="E15" s="370"/>
      <c r="F15" s="370"/>
      <c r="G15" s="370"/>
      <c r="H15" s="370"/>
    </row>
    <row r="17" spans="1:8" ht="27" customHeight="1">
      <c r="A17" s="361" t="s">
        <v>301</v>
      </c>
      <c r="B17" s="361"/>
      <c r="C17" s="361"/>
      <c r="D17" s="361"/>
      <c r="E17" s="361"/>
      <c r="F17" s="361"/>
      <c r="G17" s="361"/>
      <c r="H17" s="361"/>
    </row>
    <row r="21" spans="1:8" s="34" customFormat="1"/>
    <row r="22" spans="1:8" s="34" customFormat="1">
      <c r="A22" s="34" t="str">
        <f>'Общие данные'!A150</f>
        <v>Olmaliq filiali boshlig'i</v>
      </c>
      <c r="H22" s="173" t="str">
        <f>'Общие данные'!B150</f>
        <v>Yerjanov V.Y.</v>
      </c>
    </row>
    <row r="23" spans="1:8" s="34" customFormat="1" ht="32.25" customHeight="1">
      <c r="H23" s="173"/>
    </row>
    <row r="24" spans="1:8" s="34" customFormat="1" ht="16.5" customHeight="1">
      <c r="A24" s="34" t="s">
        <v>302</v>
      </c>
      <c r="H24" s="34" t="str">
        <f>'Общие данные'!B160</f>
        <v xml:space="preserve"> Jumanazarov B.T</v>
      </c>
    </row>
    <row r="25" spans="1:8" s="34" customFormat="1" ht="60" customHeight="1"/>
    <row r="26" spans="1:8" s="34" customFormat="1">
      <c r="A26" s="34" t="s">
        <v>303</v>
      </c>
      <c r="H26" s="173" t="str">
        <f>'Общие данные'!B7</f>
        <v>MIRZAKULOV R.M.</v>
      </c>
    </row>
    <row r="27" spans="1:8" s="34" customFormat="1"/>
    <row r="28" spans="1:8" s="34" customFormat="1"/>
    <row r="29" spans="1:8" s="34" customFormat="1"/>
    <row r="30" spans="1:8" s="34"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SheetLayoutView="115" workbookViewId="0">
      <selection activeCell="H24" sqref="H24"/>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16384" width="9.140625" style="27"/>
  </cols>
  <sheetData>
    <row r="1" spans="1:9">
      <c r="A1" s="34"/>
      <c r="B1" s="34"/>
      <c r="C1" s="34"/>
      <c r="D1" s="34"/>
      <c r="E1" s="34"/>
      <c r="F1" s="34"/>
      <c r="G1" s="34"/>
      <c r="H1" s="34"/>
      <c r="I1" s="34"/>
    </row>
    <row r="2" spans="1:9">
      <c r="A2" s="369" t="str">
        <f>""&amp;" "&amp;'Общие данные'!B74&amp;"-sonli "&amp;" "&amp;'Общие данные'!C64&amp;" shartnomasi bo‘yicha garovga qo‘yilgan mol-mulkni tekshirish bo’yicha "&amp;'Общие данные'!B5&amp;" bilan tuzilgan dalolatnomasi"</f>
        <v xml:space="preserve"> 7 mart 2025 y.dan №548-AL-sonli  Mikroqarz shartnomasi bo‘yicha garovga qo‘yilgan mol-mulkni tekshirish bo’yicha MIRZAKULOV RUSTAMJON MUXAMADJANOVICH bilan tuzilgan dalolatnomasi</v>
      </c>
      <c r="B2" s="369"/>
      <c r="C2" s="369"/>
      <c r="D2" s="369"/>
      <c r="E2" s="369"/>
      <c r="F2" s="369"/>
      <c r="G2" s="369"/>
      <c r="H2" s="369"/>
      <c r="I2" s="34"/>
    </row>
    <row r="3" spans="1:9">
      <c r="A3" s="369"/>
      <c r="B3" s="369"/>
      <c r="C3" s="369"/>
      <c r="D3" s="369"/>
      <c r="E3" s="369"/>
      <c r="F3" s="369"/>
      <c r="G3" s="369"/>
      <c r="H3" s="369"/>
      <c r="I3" s="34"/>
    </row>
    <row r="5" spans="1:9">
      <c r="A5" s="27" t="s">
        <v>214</v>
      </c>
      <c r="H5" s="171" t="str">
        <f>TEXT(+'Общие данные'!B2+360,"ДД.ММ.ГГГГ")</f>
        <v>02.03.2026</v>
      </c>
    </row>
    <row r="7" spans="1:9" ht="45" customHeight="1">
      <c r="A7" s="36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Yerjanov V.Y., jismoniy shaxs  MIRZAKULOV RUSTAMJON MUXAMADJANOVICH  7 mart 2025 y.dan №548-AL-sonli Mikroqarz shartnomasi bo‘yicha garovga qo‘yilgan mol-mulkni ko‘zdan kechirdim</v>
      </c>
      <c r="B7" s="368"/>
      <c r="C7" s="368"/>
      <c r="D7" s="368"/>
      <c r="E7" s="368"/>
      <c r="F7" s="368"/>
      <c r="G7" s="368"/>
      <c r="H7" s="368"/>
    </row>
    <row r="8" spans="1:9" ht="19.5" customHeight="1">
      <c r="A8" s="362" t="s">
        <v>298</v>
      </c>
      <c r="B8" s="362"/>
      <c r="C8" s="362"/>
      <c r="D8" s="362"/>
      <c r="E8" s="362"/>
      <c r="F8" s="362"/>
      <c r="G8" s="362"/>
      <c r="H8" s="362"/>
    </row>
    <row r="9" spans="1:9" s="172" customFormat="1" ht="32.25" customHeight="1">
      <c r="A9" s="363" t="s">
        <v>217</v>
      </c>
      <c r="B9" s="364"/>
      <c r="C9" s="363" t="s">
        <v>299</v>
      </c>
      <c r="D9" s="364"/>
      <c r="E9" s="365" t="s">
        <v>300</v>
      </c>
      <c r="F9" s="365"/>
      <c r="G9" s="365" t="s">
        <v>181</v>
      </c>
      <c r="H9" s="365"/>
    </row>
    <row r="10" spans="1:9" s="170" customFormat="1" ht="58.5" customHeight="1">
      <c r="A10" s="366" t="str">
        <f>'Общие данные'!B125</f>
        <v>KIA SEITOS G08M</v>
      </c>
      <c r="B10" s="366"/>
      <c r="C10" s="366" t="str">
        <f>'Общие данные'!B127</f>
        <v>Kuzov turi YENGIL SEDAN, Kuzov raqami XWBJF69VELA059410</v>
      </c>
      <c r="D10" s="366"/>
      <c r="E10" s="366" t="str">
        <f>'Общие данные'!B130</f>
        <v xml:space="preserve">dvigatel raqami G4NHPH325362, shassi raqami -  - </v>
      </c>
      <c r="F10" s="366"/>
      <c r="G10" s="366" t="str">
        <f>'Общие данные'!B133</f>
        <v>rangi -  OQ BELIY JEMCHUG-OK, ishlab chiqarilgan yili - 2023</v>
      </c>
      <c r="H10" s="366"/>
    </row>
    <row r="11" spans="1:9" ht="19.5" customHeight="1">
      <c r="A11" s="367" t="str">
        <f>'Акт согласования'!A22:E22</f>
        <v>-* avtotransport egasi: MIRZAKULOV RUSTAMJON MUXAMADJANOVICH</v>
      </c>
      <c r="B11" s="367"/>
      <c r="C11" s="367"/>
      <c r="D11" s="367"/>
      <c r="E11" s="367"/>
      <c r="F11" s="367"/>
      <c r="G11" s="367"/>
      <c r="H11" s="367"/>
    </row>
    <row r="12" spans="1:9" ht="19.5" customHeight="1">
      <c r="A12" s="367" t="str">
        <f>'Акт согласования'!A23:E23</f>
        <v>-* texnik pasport: AAG  3632549  05.03.2024 y.</v>
      </c>
      <c r="B12" s="367"/>
      <c r="C12" s="367"/>
      <c r="D12" s="367"/>
      <c r="E12" s="367"/>
      <c r="F12" s="367"/>
      <c r="G12" s="367"/>
      <c r="H12" s="367"/>
    </row>
    <row r="13" spans="1:9" ht="19.5" customHeight="1">
      <c r="A13" s="367" t="str">
        <f>'Акт согласования'!A24:E24</f>
        <v>-* roʻyxatdan oʻtgan manzili/garaj manzili: TOSHKENT VILOYATI OLMALIQ SHAHAR O`ZBEKISTON MFY OQTOSHKO`CHASI 47-UY</v>
      </c>
      <c r="B13" s="367"/>
      <c r="C13" s="367"/>
      <c r="D13" s="367"/>
      <c r="E13" s="367"/>
      <c r="F13" s="367"/>
      <c r="G13" s="367"/>
      <c r="H13" s="367"/>
    </row>
    <row r="14" spans="1:9" ht="19.5" customHeight="1">
      <c r="A14" s="367" t="str">
        <f>'Акт согласования'!A25:E25</f>
        <v>-* davlat raqami: 10L832HB</v>
      </c>
      <c r="B14" s="367"/>
      <c r="C14" s="367"/>
      <c r="D14" s="367"/>
      <c r="E14" s="367"/>
      <c r="F14" s="367"/>
      <c r="G14" s="367"/>
      <c r="H14" s="367"/>
    </row>
    <row r="15" spans="1:9" ht="33.75" customHeight="1">
      <c r="A15" s="370" t="str">
        <f>+"Shu bilan birga, yuqoridagi mulkning kelishilgan garov qiymati "&amp;'Акт согласования'!E48</f>
        <v>Shu bilan birga, yuqoridagi mulkning kelishilgan garov qiymati 82 500 000,00 (sakson ikki million besh yuz ming so'm)</v>
      </c>
      <c r="B15" s="370"/>
      <c r="C15" s="370"/>
      <c r="D15" s="370"/>
      <c r="E15" s="370"/>
      <c r="F15" s="370"/>
      <c r="G15" s="370"/>
      <c r="H15" s="370"/>
    </row>
    <row r="17" spans="1:8" ht="35.25" customHeight="1">
      <c r="A17" s="361" t="s">
        <v>301</v>
      </c>
      <c r="B17" s="361"/>
      <c r="C17" s="361"/>
      <c r="D17" s="361"/>
      <c r="E17" s="361"/>
      <c r="F17" s="361"/>
      <c r="G17" s="361"/>
      <c r="H17" s="361"/>
    </row>
    <row r="21" spans="1:8" s="34" customFormat="1"/>
    <row r="22" spans="1:8" s="34" customFormat="1">
      <c r="A22" s="34" t="str">
        <f>'Общие данные'!A150</f>
        <v>Olmaliq filiali boshlig'i</v>
      </c>
      <c r="H22" s="173" t="str">
        <f>'Общие данные'!B150</f>
        <v>Yerjanov V.Y.</v>
      </c>
    </row>
    <row r="23" spans="1:8" s="34" customFormat="1" ht="32.25" customHeight="1">
      <c r="H23" s="173"/>
    </row>
    <row r="24" spans="1:8" s="34" customFormat="1" ht="16.5" customHeight="1">
      <c r="A24" s="34" t="s">
        <v>302</v>
      </c>
      <c r="H24" s="34" t="str">
        <f>'Общие данные'!B160</f>
        <v xml:space="preserve"> Jumanazarov B.T</v>
      </c>
    </row>
    <row r="25" spans="1:8" s="34" customFormat="1" ht="60" customHeight="1"/>
    <row r="26" spans="1:8" s="34" customFormat="1">
      <c r="A26" s="34" t="s">
        <v>303</v>
      </c>
      <c r="H26" s="173" t="str">
        <f>'Общие данные'!B7</f>
        <v>MIRZAKULOV R.M.</v>
      </c>
    </row>
    <row r="27" spans="1:8" s="34" customFormat="1"/>
    <row r="28" spans="1:8" s="34" customFormat="1"/>
    <row r="29" spans="1:8" s="34"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5" zoomScaleSheetLayoutView="100" workbookViewId="0">
      <selection activeCell="A11" sqref="A11:H11"/>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16384" width="9.140625" style="27"/>
  </cols>
  <sheetData>
    <row r="1" spans="1:9">
      <c r="A1" s="34"/>
      <c r="B1" s="34"/>
      <c r="C1" s="34"/>
      <c r="D1" s="34"/>
      <c r="E1" s="34"/>
      <c r="F1" s="34"/>
      <c r="G1" s="34"/>
      <c r="H1" s="34"/>
      <c r="I1" s="34"/>
    </row>
    <row r="2" spans="1:9">
      <c r="A2" s="369" t="str">
        <f>""&amp;" "&amp;'Общие данные'!B74&amp;"-sonli "&amp;" "&amp;'Общие данные'!C64&amp;" shartnomasi bo‘yicha garovga qo‘yilgan mol-mulkni tekshirish bo’yicha "&amp;'Общие данные'!B5&amp;" bilan tuzilgan dalolatnomasi"</f>
        <v xml:space="preserve"> 7 mart 2025 y.dan №548-AL-sonli  Mikroqarz shartnomasi bo‘yicha garovga qo‘yilgan mol-mulkni tekshirish bo’yicha MIRZAKULOV RUSTAMJON MUXAMADJANOVICH bilan tuzilgan dalolatnomasi</v>
      </c>
      <c r="B2" s="369"/>
      <c r="C2" s="369"/>
      <c r="D2" s="369"/>
      <c r="E2" s="369"/>
      <c r="F2" s="369"/>
      <c r="G2" s="369"/>
      <c r="H2" s="369"/>
      <c r="I2" s="34"/>
    </row>
    <row r="3" spans="1:9">
      <c r="A3" s="369"/>
      <c r="B3" s="369"/>
      <c r="C3" s="369"/>
      <c r="D3" s="369"/>
      <c r="E3" s="369"/>
      <c r="F3" s="369"/>
      <c r="G3" s="369"/>
      <c r="H3" s="369"/>
      <c r="I3" s="34"/>
    </row>
    <row r="5" spans="1:9">
      <c r="A5" s="27" t="s">
        <v>214</v>
      </c>
      <c r="H5" s="171" t="str">
        <f>TEXT(+'Общие данные'!B2+540,"ДД.ММ.ГГГГ")</f>
        <v>29.08.2026</v>
      </c>
    </row>
    <row r="7" spans="1:9" ht="45" customHeight="1">
      <c r="A7" s="36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Yerjanov V.Y., jismoniy shaxs  MIRZAKULOV RUSTAMJON MUXAMADJANOVICH  7 mart 2025 y.dan №548-AL-sonli Mikroqarz shartnomasi bo‘yicha garovga qo‘yilgan mol-mulkni ko‘zdan kechirdim</v>
      </c>
      <c r="B7" s="368"/>
      <c r="C7" s="368"/>
      <c r="D7" s="368"/>
      <c r="E7" s="368"/>
      <c r="F7" s="368"/>
      <c r="G7" s="368"/>
      <c r="H7" s="368"/>
    </row>
    <row r="8" spans="1:9" ht="19.5" customHeight="1">
      <c r="A8" s="362" t="s">
        <v>298</v>
      </c>
      <c r="B8" s="362"/>
      <c r="C8" s="362"/>
      <c r="D8" s="362"/>
      <c r="E8" s="362"/>
      <c r="F8" s="362"/>
      <c r="G8" s="362"/>
      <c r="H8" s="362"/>
    </row>
    <row r="9" spans="1:9" s="172" customFormat="1" ht="32.25" customHeight="1">
      <c r="A9" s="363" t="s">
        <v>217</v>
      </c>
      <c r="B9" s="364"/>
      <c r="C9" s="363" t="s">
        <v>299</v>
      </c>
      <c r="D9" s="364"/>
      <c r="E9" s="365" t="s">
        <v>300</v>
      </c>
      <c r="F9" s="365"/>
      <c r="G9" s="365" t="s">
        <v>181</v>
      </c>
      <c r="H9" s="365"/>
    </row>
    <row r="10" spans="1:9" s="170" customFormat="1" ht="58.5" customHeight="1">
      <c r="A10" s="366" t="str">
        <f>'Общие данные'!B125</f>
        <v>KIA SEITOS G08M</v>
      </c>
      <c r="B10" s="366"/>
      <c r="C10" s="366" t="str">
        <f>'Общие данные'!B127</f>
        <v>Kuzov turi YENGIL SEDAN, Kuzov raqami XWBJF69VELA059410</v>
      </c>
      <c r="D10" s="366"/>
      <c r="E10" s="366" t="str">
        <f>'Общие данные'!B130</f>
        <v xml:space="preserve">dvigatel raqami G4NHPH325362, shassi raqami -  - </v>
      </c>
      <c r="F10" s="366"/>
      <c r="G10" s="366" t="str">
        <f>'Общие данные'!B133</f>
        <v>rangi -  OQ BELIY JEMCHUG-OK, ishlab chiqarilgan yili - 2023</v>
      </c>
      <c r="H10" s="366"/>
    </row>
    <row r="11" spans="1:9" ht="19.5" customHeight="1">
      <c r="A11" s="367" t="str">
        <f>'Акт согласования'!A22:E22</f>
        <v>-* avtotransport egasi: MIRZAKULOV RUSTAMJON MUXAMADJANOVICH</v>
      </c>
      <c r="B11" s="367"/>
      <c r="C11" s="367"/>
      <c r="D11" s="367"/>
      <c r="E11" s="367"/>
      <c r="F11" s="367"/>
      <c r="G11" s="367"/>
      <c r="H11" s="367"/>
    </row>
    <row r="12" spans="1:9" ht="19.5" customHeight="1">
      <c r="A12" s="367" t="str">
        <f>'Акт согласования'!A23:E23</f>
        <v>-* texnik pasport: AAG  3632549  05.03.2024 y.</v>
      </c>
      <c r="B12" s="367"/>
      <c r="C12" s="367"/>
      <c r="D12" s="367"/>
      <c r="E12" s="367"/>
      <c r="F12" s="367"/>
      <c r="G12" s="367"/>
      <c r="H12" s="367"/>
    </row>
    <row r="13" spans="1:9" ht="19.5" customHeight="1">
      <c r="A13" s="367" t="str">
        <f>'Акт согласования'!A24:E24</f>
        <v>-* roʻyxatdan oʻtgan manzili/garaj manzili: TOSHKENT VILOYATI OLMALIQ SHAHAR O`ZBEKISTON MFY OQTOSHKO`CHASI 47-UY</v>
      </c>
      <c r="B13" s="367"/>
      <c r="C13" s="367"/>
      <c r="D13" s="367"/>
      <c r="E13" s="367"/>
      <c r="F13" s="367"/>
      <c r="G13" s="367"/>
      <c r="H13" s="367"/>
    </row>
    <row r="14" spans="1:9" ht="19.5" customHeight="1">
      <c r="A14" s="367" t="str">
        <f>'Акт согласования'!A25:E25</f>
        <v>-* davlat raqami: 10L832HB</v>
      </c>
      <c r="B14" s="367"/>
      <c r="C14" s="367"/>
      <c r="D14" s="367"/>
      <c r="E14" s="367"/>
      <c r="F14" s="367"/>
      <c r="G14" s="367"/>
      <c r="H14" s="367"/>
    </row>
    <row r="15" spans="1:9" ht="33.75" customHeight="1">
      <c r="A15" s="370" t="str">
        <f>+"Shu bilan birga, yuqoridagi mulkning kelishilgan garov qiymati "&amp;'Акт согласования'!E48</f>
        <v>Shu bilan birga, yuqoridagi mulkning kelishilgan garov qiymati 82 500 000,00 (sakson ikki million besh yuz ming so'm)</v>
      </c>
      <c r="B15" s="370"/>
      <c r="C15" s="370"/>
      <c r="D15" s="370"/>
      <c r="E15" s="370"/>
      <c r="F15" s="370"/>
      <c r="G15" s="370"/>
      <c r="H15" s="370"/>
    </row>
    <row r="17" spans="1:8" s="170" customFormat="1" ht="32.25" customHeight="1">
      <c r="A17" s="361" t="s">
        <v>301</v>
      </c>
      <c r="B17" s="361"/>
      <c r="C17" s="361"/>
      <c r="D17" s="361"/>
      <c r="E17" s="361"/>
      <c r="F17" s="361"/>
      <c r="G17" s="361"/>
      <c r="H17" s="361"/>
    </row>
    <row r="21" spans="1:8" s="34" customFormat="1"/>
    <row r="22" spans="1:8" s="34" customFormat="1">
      <c r="A22" s="34" t="str">
        <f>'Общие данные'!A150</f>
        <v>Olmaliq filiali boshlig'i</v>
      </c>
      <c r="H22" s="173" t="str">
        <f>'Общие данные'!B150</f>
        <v>Yerjanov V.Y.</v>
      </c>
    </row>
    <row r="23" spans="1:8" s="34" customFormat="1" ht="32.25" customHeight="1">
      <c r="H23" s="173"/>
    </row>
    <row r="24" spans="1:8" s="34" customFormat="1" ht="16.5" customHeight="1">
      <c r="A24" s="34" t="s">
        <v>302</v>
      </c>
      <c r="H24" s="34" t="str">
        <f>'Общие данные'!B160</f>
        <v xml:space="preserve"> Jumanazarov B.T</v>
      </c>
    </row>
    <row r="25" spans="1:8" s="34" customFormat="1" ht="60" customHeight="1"/>
    <row r="26" spans="1:8" s="34" customFormat="1">
      <c r="A26" s="34" t="s">
        <v>303</v>
      </c>
      <c r="H26" s="173" t="str">
        <f>'Общие данные'!B7</f>
        <v>MIRZAKULOV R.M.</v>
      </c>
    </row>
    <row r="27" spans="1:8" s="34" customFormat="1"/>
    <row r="28" spans="1:8" s="34" customFormat="1"/>
    <row r="29" spans="1:8" s="34"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3" zoomScaleSheetLayoutView="100" workbookViewId="0">
      <selection activeCell="A24" sqref="A24"/>
    </sheetView>
  </sheetViews>
  <sheetFormatPr defaultColWidth="9.140625" defaultRowHeight="12.75"/>
  <cols>
    <col min="1" max="2" width="11" style="27" customWidth="1"/>
    <col min="3" max="4" width="14.42578125" style="27" customWidth="1"/>
    <col min="5" max="6" width="13.5703125" style="27" customWidth="1"/>
    <col min="7" max="7" width="9.140625" style="27"/>
    <col min="8" max="8" width="19" style="27" bestFit="1" customWidth="1"/>
    <col min="9" max="16384" width="9.140625" style="27"/>
  </cols>
  <sheetData>
    <row r="1" spans="1:9">
      <c r="A1" s="34"/>
      <c r="B1" s="34"/>
      <c r="C1" s="34"/>
      <c r="D1" s="34"/>
      <c r="E1" s="34"/>
      <c r="F1" s="34"/>
      <c r="G1" s="34"/>
      <c r="H1" s="34"/>
      <c r="I1" s="34"/>
    </row>
    <row r="2" spans="1:9">
      <c r="A2" s="369" t="str">
        <f>""&amp;" "&amp;'Общие данные'!B74&amp;"-sonli "&amp;" "&amp;'Общие данные'!C64&amp;" shartnomasi bo‘yicha garovga qo‘yilgan mol-mulkni tekshirish bo’yicha "&amp;'Общие данные'!B5&amp;" bilan tuzilgan dalolatnomasi"</f>
        <v xml:space="preserve"> 7 mart 2025 y.dan №548-AL-sonli  Mikroqarz shartnomasi bo‘yicha garovga qo‘yilgan mol-mulkni tekshirish bo’yicha MIRZAKULOV RUSTAMJON MUXAMADJANOVICH bilan tuzilgan dalolatnomasi</v>
      </c>
      <c r="B2" s="369"/>
      <c r="C2" s="369"/>
      <c r="D2" s="369"/>
      <c r="E2" s="369"/>
      <c r="F2" s="369"/>
      <c r="G2" s="369"/>
      <c r="H2" s="369"/>
      <c r="I2" s="34"/>
    </row>
    <row r="3" spans="1:9">
      <c r="A3" s="369"/>
      <c r="B3" s="369"/>
      <c r="C3" s="369"/>
      <c r="D3" s="369"/>
      <c r="E3" s="369"/>
      <c r="F3" s="369"/>
      <c r="G3" s="369"/>
      <c r="H3" s="369"/>
      <c r="I3" s="34"/>
    </row>
    <row r="5" spans="1:9">
      <c r="A5" s="27" t="s">
        <v>214</v>
      </c>
      <c r="H5" s="171" t="str">
        <f>TEXT(+'Общие данные'!B2+720,"ДД.ММ.ГГГГ")</f>
        <v>25.02.2027</v>
      </c>
    </row>
    <row r="7" spans="1:9" ht="45" customHeight="1">
      <c r="A7" s="368"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Olmaliq filiali boshlig'ii Yerjanov V.Y., jismoniy shaxs  MIRZAKULOV RUSTAMJON MUXAMADJANOVICH  7 mart 2025 y.dan №548-AL-sonli Mikroqarz shartnomasi bo‘yicha garovga qo‘yilgan mol-mulkni ko‘zdan kechirdim</v>
      </c>
      <c r="B7" s="368"/>
      <c r="C7" s="368"/>
      <c r="D7" s="368"/>
      <c r="E7" s="368"/>
      <c r="F7" s="368"/>
      <c r="G7" s="368"/>
      <c r="H7" s="368"/>
    </row>
    <row r="8" spans="1:9" ht="19.5" customHeight="1">
      <c r="A8" s="362" t="s">
        <v>298</v>
      </c>
      <c r="B8" s="362"/>
      <c r="C8" s="362"/>
      <c r="D8" s="362"/>
      <c r="E8" s="362"/>
      <c r="F8" s="362"/>
      <c r="G8" s="362"/>
      <c r="H8" s="362"/>
    </row>
    <row r="9" spans="1:9" s="172" customFormat="1" ht="32.25" customHeight="1">
      <c r="A9" s="363" t="s">
        <v>217</v>
      </c>
      <c r="B9" s="364"/>
      <c r="C9" s="363" t="s">
        <v>299</v>
      </c>
      <c r="D9" s="364"/>
      <c r="E9" s="365" t="s">
        <v>300</v>
      </c>
      <c r="F9" s="365"/>
      <c r="G9" s="365" t="s">
        <v>181</v>
      </c>
      <c r="H9" s="365"/>
    </row>
    <row r="10" spans="1:9" s="170" customFormat="1" ht="58.5" customHeight="1">
      <c r="A10" s="366" t="str">
        <f>'Общие данные'!B125</f>
        <v>KIA SEITOS G08M</v>
      </c>
      <c r="B10" s="366"/>
      <c r="C10" s="366" t="str">
        <f>'Общие данные'!B127</f>
        <v>Kuzov turi YENGIL SEDAN, Kuzov raqami XWBJF69VELA059410</v>
      </c>
      <c r="D10" s="366"/>
      <c r="E10" s="366" t="str">
        <f>'Общие данные'!B130</f>
        <v xml:space="preserve">dvigatel raqami G4NHPH325362, shassi raqami -  - </v>
      </c>
      <c r="F10" s="366"/>
      <c r="G10" s="366" t="str">
        <f>'Общие данные'!B133</f>
        <v>rangi -  OQ BELIY JEMCHUG-OK, ishlab chiqarilgan yili - 2023</v>
      </c>
      <c r="H10" s="366"/>
    </row>
    <row r="11" spans="1:9" ht="19.5" customHeight="1">
      <c r="A11" s="367" t="str">
        <f>'Акт согласования'!A22:E22</f>
        <v>-* avtotransport egasi: MIRZAKULOV RUSTAMJON MUXAMADJANOVICH</v>
      </c>
      <c r="B11" s="367"/>
      <c r="C11" s="367"/>
      <c r="D11" s="367"/>
      <c r="E11" s="367"/>
      <c r="F11" s="367"/>
      <c r="G11" s="367"/>
      <c r="H11" s="367"/>
    </row>
    <row r="12" spans="1:9" ht="19.5" customHeight="1">
      <c r="A12" s="367" t="str">
        <f>'Акт согласования'!A23:E23</f>
        <v>-* texnik pasport: AAG  3632549  05.03.2024 y.</v>
      </c>
      <c r="B12" s="367"/>
      <c r="C12" s="367"/>
      <c r="D12" s="367"/>
      <c r="E12" s="367"/>
      <c r="F12" s="367"/>
      <c r="G12" s="367"/>
      <c r="H12" s="367"/>
    </row>
    <row r="13" spans="1:9" ht="19.5" customHeight="1">
      <c r="A13" s="367" t="str">
        <f>'Акт согласования'!A24:E24</f>
        <v>-* roʻyxatdan oʻtgan manzili/garaj manzili: TOSHKENT VILOYATI OLMALIQ SHAHAR O`ZBEKISTON MFY OQTOSHKO`CHASI 47-UY</v>
      </c>
      <c r="B13" s="367"/>
      <c r="C13" s="367"/>
      <c r="D13" s="367"/>
      <c r="E13" s="367"/>
      <c r="F13" s="367"/>
      <c r="G13" s="367"/>
      <c r="H13" s="367"/>
    </row>
    <row r="14" spans="1:9" ht="19.5" customHeight="1">
      <c r="A14" s="367" t="str">
        <f>'Акт согласования'!A25:E25</f>
        <v>-* davlat raqami: 10L832HB</v>
      </c>
      <c r="B14" s="367"/>
      <c r="C14" s="367"/>
      <c r="D14" s="367"/>
      <c r="E14" s="367"/>
      <c r="F14" s="367"/>
      <c r="G14" s="367"/>
      <c r="H14" s="367"/>
    </row>
    <row r="15" spans="1:9" ht="33.75" customHeight="1">
      <c r="A15" s="370" t="str">
        <f>+"Shu bilan birga, yuqoridagi mulkning kelishilgan garov qiymati "&amp;'Акт согласования'!E48</f>
        <v>Shu bilan birga, yuqoridagi mulkning kelishilgan garov qiymati 82 500 000,00 (sakson ikki million besh yuz ming so'm)</v>
      </c>
      <c r="B15" s="370"/>
      <c r="C15" s="370"/>
      <c r="D15" s="370"/>
      <c r="E15" s="370"/>
      <c r="F15" s="370"/>
      <c r="G15" s="370"/>
      <c r="H15" s="370"/>
    </row>
    <row r="17" spans="1:8" ht="28.5" customHeight="1">
      <c r="A17" s="361" t="s">
        <v>301</v>
      </c>
      <c r="B17" s="361"/>
      <c r="C17" s="361"/>
      <c r="D17" s="361"/>
      <c r="E17" s="361"/>
      <c r="F17" s="361"/>
      <c r="G17" s="361"/>
      <c r="H17" s="361"/>
    </row>
    <row r="21" spans="1:8" s="34" customFormat="1"/>
    <row r="22" spans="1:8" s="34" customFormat="1">
      <c r="A22" s="34" t="str">
        <f>'Общие данные'!A150</f>
        <v>Olmaliq filiali boshlig'i</v>
      </c>
      <c r="H22" s="173" t="str">
        <f>'Общие данные'!B150</f>
        <v>Yerjanov V.Y.</v>
      </c>
    </row>
    <row r="23" spans="1:8" s="34" customFormat="1" ht="32.25" customHeight="1">
      <c r="H23" s="173"/>
    </row>
    <row r="24" spans="1:8" s="34" customFormat="1" ht="16.5" customHeight="1">
      <c r="A24" s="34" t="s">
        <v>302</v>
      </c>
      <c r="H24" s="34" t="str">
        <f>'Общие данные'!B160</f>
        <v xml:space="preserve"> Jumanazarov B.T</v>
      </c>
    </row>
    <row r="25" spans="1:8" s="34" customFormat="1" ht="60" customHeight="1"/>
    <row r="26" spans="1:8" s="34" customFormat="1">
      <c r="A26" s="34" t="s">
        <v>303</v>
      </c>
      <c r="H26" s="173" t="str">
        <f>'Общие данные'!B7</f>
        <v>MIRZAKULOV R.M.</v>
      </c>
    </row>
    <row r="27" spans="1:8" s="34" customFormat="1"/>
    <row r="28" spans="1:8" s="34" customFormat="1"/>
    <row r="29" spans="1:8" s="34"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r.saipova</cp:lastModifiedBy>
  <cp:lastPrinted>2025-01-15T10:03:08Z</cp:lastPrinted>
  <dcterms:created xsi:type="dcterms:W3CDTF">2015-06-05T18:19:34Z</dcterms:created>
  <dcterms:modified xsi:type="dcterms:W3CDTF">2025-03-07T04:14:21Z</dcterms:modified>
</cp:coreProperties>
</file>