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codeName="ЭтаКнига"/>
  <mc:AlternateContent xmlns:mc="http://schemas.openxmlformats.org/markup-compatibility/2006">
    <mc:Choice Requires="x15">
      <x15ac:absPath xmlns:x15ac="http://schemas.microsoft.com/office/spreadsheetml/2010/11/ac" url="\\File-server\MKO\Кредитный дела 2025\03 март\№558 (самарканд)\"/>
    </mc:Choice>
  </mc:AlternateContent>
  <xr:revisionPtr revIDLastSave="0" documentId="13_ncr:1_{898AA8C7-6122-43E2-93E5-DAB848AB9866}" xr6:coauthVersionLast="47" xr6:coauthVersionMax="47" xr10:uidLastSave="{00000000-0000-0000-0000-000000000000}"/>
  <bookViews>
    <workbookView xWindow="-120" yWindow="-120" windowWidth="29040" windowHeight="15840" tabRatio="915" firstSheet="2" activeTab="3" xr2:uid="{00000000-000D-0000-FFFF-FFFF00000000}"/>
  </bookViews>
  <sheets>
    <sheet name="График дифференц" sheetId="15" state="hidden" r:id="rId1"/>
    <sheet name="Данные для послед. Залога" sheetId="21" state="hidden" r:id="rId2"/>
    <sheet name="Протокол  (2)" sheetId="23" r:id="rId3"/>
    <sheet name="Общие данные" sheetId="1" r:id="rId4"/>
    <sheet name="График аннуитет." sheetId="12" state="hidden" r:id="rId5"/>
    <sheet name="Анкета Клиента" sheetId="4" r:id="rId6"/>
    <sheet name="Анкета 2" sheetId="22" r:id="rId7"/>
    <sheet name="Кредитная заявка" sheetId="2" r:id="rId8"/>
    <sheet name="Мажбуриятнома " sheetId="24" r:id="rId9"/>
    <sheet name="Заключение КК" sheetId="3" r:id="rId10"/>
    <sheet name="График" sheetId="16" r:id="rId11"/>
    <sheet name="договор" sheetId="19" r:id="rId12"/>
    <sheet name="заявление залогодателя" sheetId="13" r:id="rId13"/>
    <sheet name="Акт согласования" sheetId="7" r:id="rId14"/>
    <sheet name="Приказ на сделку" sheetId="8" r:id="rId15"/>
    <sheet name="обложка" sheetId="9" r:id="rId16"/>
    <sheet name="Письмо" sheetId="20" state="hidden" r:id="rId17"/>
    <sheet name=" Акт мониторинга 1" sheetId="26" r:id="rId18"/>
    <sheet name=" Акт мониторинга 2" sheetId="27" r:id="rId19"/>
    <sheet name=" Акт мониторинга 3" sheetId="28" r:id="rId20"/>
    <sheet name=" Акт мониторинга 4" sheetId="29" r:id="rId21"/>
  </sheets>
  <externalReferences>
    <externalReference r:id="rId22"/>
  </externalReferences>
  <definedNames>
    <definedName name="mos">'[1]Общие данные'!$C$23:$D$23</definedName>
    <definedName name="mulk">'[1]Общие данные'!$C$24:$W$24</definedName>
    <definedName name="_xlnm.Print_Area" localSheetId="13">'Акт согласования'!$A$1:$E$81</definedName>
    <definedName name="_xlnm.Print_Area" localSheetId="5">'Анкета Клиента'!$A$1:$F$36</definedName>
    <definedName name="_xlnm.Print_Area" localSheetId="10">График!$A$1:$F$62</definedName>
    <definedName name="_xlnm.Print_Area" localSheetId="4">'График аннуитет.'!$A$1:$F$63</definedName>
    <definedName name="_xlnm.Print_Area" localSheetId="11">договор!$A$1:$B$135</definedName>
    <definedName name="_xlnm.Print_Area" localSheetId="12">'заявление залогодателя'!$A$3:$B$20</definedName>
    <definedName name="_xlnm.Print_Area" localSheetId="7">'Кредитная заявка'!$A$1:$D$40</definedName>
    <definedName name="_xlnm.Print_Area" localSheetId="15">обложка!$A$1:$G$42</definedName>
    <definedName name="_xlnm.Print_Area" localSheetId="2">'Протокол  (2)'!$A$1:$E$56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65" i="1" l="1"/>
  <c r="B82" i="1"/>
  <c r="B133" i="1" l="1"/>
  <c r="B130" i="1"/>
  <c r="B127" i="1"/>
  <c r="A32" i="16" l="1"/>
  <c r="A33" i="16" s="1"/>
  <c r="A34" i="16" s="1"/>
  <c r="A35" i="16" s="1"/>
  <c r="A36" i="16" s="1"/>
  <c r="A37" i="16" s="1"/>
  <c r="A38" i="16" s="1"/>
  <c r="A39" i="16" s="1"/>
  <c r="A40" i="16" s="1"/>
  <c r="A41" i="16" s="1"/>
  <c r="A42" i="16" s="1"/>
  <c r="A43" i="16" s="1"/>
  <c r="A44" i="16" s="1"/>
  <c r="A31" i="12"/>
  <c r="A32" i="12" s="1"/>
  <c r="A33" i="12" s="1"/>
  <c r="A34" i="12" s="1"/>
  <c r="A31" i="15"/>
  <c r="A32" i="15" s="1"/>
  <c r="A35" i="12" l="1"/>
  <c r="A33" i="15"/>
  <c r="A36" i="12" l="1"/>
  <c r="A34" i="15"/>
  <c r="A37" i="12" l="1"/>
  <c r="A35" i="15"/>
  <c r="B76" i="1"/>
  <c r="A38" i="12" l="1"/>
  <c r="A36" i="15"/>
  <c r="H24" i="29"/>
  <c r="H24" i="28"/>
  <c r="H24" i="27"/>
  <c r="A22" i="26"/>
  <c r="H24" i="26"/>
  <c r="B7" i="13"/>
  <c r="B126" i="19"/>
  <c r="E69" i="3"/>
  <c r="A69" i="3"/>
  <c r="A77" i="3"/>
  <c r="A75" i="3"/>
  <c r="A71" i="3"/>
  <c r="A66" i="3"/>
  <c r="A55" i="3"/>
  <c r="A1" i="3"/>
  <c r="C1" i="2"/>
  <c r="D17" i="23"/>
  <c r="E17" i="23" s="1"/>
  <c r="A1" i="23"/>
  <c r="A56" i="23"/>
  <c r="A55" i="23"/>
  <c r="D58" i="16"/>
  <c r="A39" i="12" l="1"/>
  <c r="A37" i="15"/>
  <c r="A110" i="1"/>
  <c r="A109" i="1"/>
  <c r="A108" i="1"/>
  <c r="A107" i="1"/>
  <c r="H9" i="23"/>
  <c r="A18" i="23" s="1"/>
  <c r="A57" i="16"/>
  <c r="A40" i="12" l="1"/>
  <c r="A38" i="15"/>
  <c r="B49" i="1"/>
  <c r="B59" i="1" s="1"/>
  <c r="A41" i="12" l="1"/>
  <c r="A39" i="15"/>
  <c r="A16" i="4"/>
  <c r="A17" i="4"/>
  <c r="A7" i="24"/>
  <c r="B34" i="1"/>
  <c r="B116" i="1"/>
  <c r="B114" i="1"/>
  <c r="B113" i="1"/>
  <c r="B112" i="1"/>
  <c r="B111" i="1"/>
  <c r="D80" i="7" l="1"/>
  <c r="A19" i="13"/>
  <c r="B8" i="13"/>
  <c r="B117" i="1"/>
  <c r="A42" i="12"/>
  <c r="A40" i="15"/>
  <c r="D77" i="7"/>
  <c r="A43" i="12" l="1"/>
  <c r="A41" i="15"/>
  <c r="A70" i="7"/>
  <c r="A69" i="7"/>
  <c r="B6" i="13"/>
  <c r="D2" i="2"/>
  <c r="C76" i="1"/>
  <c r="A1" i="1" l="1"/>
  <c r="A7" i="23"/>
  <c r="A42" i="15"/>
  <c r="A30" i="2"/>
  <c r="A31" i="4"/>
  <c r="H77" i="19"/>
  <c r="A77" i="19" s="1"/>
  <c r="H21" i="19"/>
  <c r="A72" i="19"/>
  <c r="H68" i="19"/>
  <c r="A68" i="19" s="1"/>
  <c r="A55" i="19"/>
  <c r="A5" i="23"/>
  <c r="A15" i="19"/>
  <c r="A12" i="19"/>
  <c r="A33" i="19"/>
  <c r="B32" i="19" s="1"/>
  <c r="A31" i="19" s="1"/>
  <c r="A87" i="1"/>
  <c r="A10" i="3"/>
  <c r="A17" i="2"/>
  <c r="A18" i="2"/>
  <c r="A9" i="19"/>
  <c r="A19" i="19"/>
  <c r="A46" i="19"/>
  <c r="A70" i="19"/>
  <c r="A95" i="19"/>
  <c r="C64" i="1"/>
  <c r="A47" i="16" s="1"/>
  <c r="C21" i="19"/>
  <c r="A51" i="19"/>
  <c r="A62" i="19"/>
  <c r="A73" i="19"/>
  <c r="C39" i="19"/>
  <c r="A39" i="19" s="1"/>
  <c r="A65" i="19"/>
  <c r="C74" i="19"/>
  <c r="A74" i="19" s="1"/>
  <c r="H17" i="19"/>
  <c r="A17" i="19" s="1"/>
  <c r="I21" i="19"/>
  <c r="A42" i="19"/>
  <c r="A59" i="19"/>
  <c r="A91" i="19"/>
  <c r="A20" i="19"/>
  <c r="C54" i="19"/>
  <c r="A54" i="19" s="1"/>
  <c r="A60" i="19"/>
  <c r="A67" i="19"/>
  <c r="A20" i="23"/>
  <c r="A51" i="23"/>
  <c r="D64" i="1"/>
  <c r="A22" i="19" s="1"/>
  <c r="A79" i="1"/>
  <c r="A85" i="1"/>
  <c r="A2" i="1"/>
  <c r="A81" i="1"/>
  <c r="A86" i="1"/>
  <c r="A75" i="1"/>
  <c r="A82" i="1"/>
  <c r="A89" i="1"/>
  <c r="A78" i="1"/>
  <c r="A84" i="1"/>
  <c r="A43" i="15" l="1"/>
  <c r="A13" i="2"/>
  <c r="A16" i="2"/>
  <c r="A21" i="2"/>
  <c r="A14" i="23"/>
  <c r="A4" i="2"/>
  <c r="B26" i="9"/>
  <c r="A22" i="23"/>
  <c r="A14" i="19"/>
  <c r="A15" i="2"/>
  <c r="A24" i="23"/>
  <c r="A21" i="23"/>
  <c r="A40" i="19"/>
  <c r="A23" i="23"/>
  <c r="B25" i="9"/>
  <c r="A21" i="19"/>
  <c r="A13" i="19"/>
  <c r="A14" i="2"/>
  <c r="A26" i="3"/>
  <c r="A61" i="19"/>
  <c r="A23" i="19"/>
  <c r="A11" i="19"/>
  <c r="B122" i="1"/>
  <c r="B118" i="1"/>
  <c r="H7" i="23" l="1"/>
  <c r="A2" i="23" s="1"/>
  <c r="B120" i="1" l="1"/>
  <c r="B119" i="1"/>
  <c r="A47" i="8"/>
  <c r="A80" i="7"/>
  <c r="A79" i="7"/>
  <c r="A120" i="19" l="1"/>
  <c r="A53" i="16" s="1"/>
  <c r="A30" i="4"/>
  <c r="B122" i="19"/>
  <c r="D55" i="16" s="1"/>
  <c r="A15" i="4"/>
  <c r="A14" i="4"/>
  <c r="A13" i="4"/>
  <c r="A7" i="3"/>
  <c r="C8" i="15"/>
  <c r="J12" i="15"/>
  <c r="A10" i="4" l="1"/>
  <c r="A9" i="4" s="1"/>
  <c r="D59" i="16"/>
  <c r="B124" i="19"/>
  <c r="D57" i="16" s="1"/>
  <c r="B123" i="19"/>
  <c r="D56" i="16" s="1"/>
  <c r="B119" i="19"/>
  <c r="D52" i="16" s="1"/>
  <c r="B117" i="19"/>
  <c r="D51" i="16" s="1"/>
  <c r="A123" i="19" l="1"/>
  <c r="A56" i="16" s="1"/>
  <c r="A122" i="19"/>
  <c r="A55" i="16" s="1"/>
  <c r="A121" i="19"/>
  <c r="A54" i="16" s="1"/>
  <c r="A119" i="19"/>
  <c r="A52" i="16" s="1"/>
  <c r="E25" i="8" l="1"/>
  <c r="B24" i="9"/>
  <c r="B2" i="9"/>
  <c r="A22" i="29"/>
  <c r="A22" i="28"/>
  <c r="H5" i="29"/>
  <c r="H5" i="28"/>
  <c r="H5" i="27"/>
  <c r="A22" i="27"/>
  <c r="H22" i="26"/>
  <c r="D2" i="1"/>
  <c r="H5" i="26" s="1"/>
  <c r="A24" i="13"/>
  <c r="A22" i="13"/>
  <c r="A34" i="2"/>
  <c r="A29" i="4"/>
  <c r="A28" i="4"/>
  <c r="A20" i="4"/>
  <c r="A7" i="4"/>
  <c r="A11" i="24"/>
  <c r="A42" i="7"/>
  <c r="A41" i="7"/>
  <c r="A40" i="7"/>
  <c r="A25" i="7"/>
  <c r="A23" i="7"/>
  <c r="A14" i="7"/>
  <c r="A13" i="7"/>
  <c r="A2" i="7"/>
  <c r="A53" i="3"/>
  <c r="A52" i="3"/>
  <c r="A51" i="3"/>
  <c r="A35" i="3"/>
  <c r="A33" i="3"/>
  <c r="A31" i="3"/>
  <c r="A8" i="3"/>
  <c r="A5" i="3"/>
  <c r="A4" i="3"/>
  <c r="A11" i="8"/>
  <c r="A10" i="8"/>
  <c r="A9" i="8"/>
  <c r="A12" i="2"/>
  <c r="A11" i="2"/>
  <c r="A7" i="2"/>
  <c r="B164" i="1"/>
  <c r="I126" i="1"/>
  <c r="H126" i="1"/>
  <c r="I125" i="1"/>
  <c r="F125" i="1" s="1"/>
  <c r="H125" i="1"/>
  <c r="C125" i="1"/>
  <c r="C126" i="1" s="1"/>
  <c r="A16" i="7" s="1"/>
  <c r="C122" i="1"/>
  <c r="C121" i="1"/>
  <c r="C120" i="1"/>
  <c r="C119" i="1"/>
  <c r="C118" i="1"/>
  <c r="D79" i="7" s="1"/>
  <c r="C117" i="1"/>
  <c r="B9" i="1"/>
  <c r="B11" i="1" s="1"/>
  <c r="B13" i="1" s="1"/>
  <c r="B8" i="1"/>
  <c r="B136" i="1"/>
  <c r="B137" i="1" s="1"/>
  <c r="A24" i="7"/>
  <c r="C137" i="1" l="1"/>
  <c r="B138" i="1"/>
  <c r="A17" i="8"/>
  <c r="A6" i="2"/>
  <c r="E48" i="7"/>
  <c r="A66" i="7"/>
  <c r="A15" i="7"/>
  <c r="A19" i="7" s="1"/>
  <c r="A24" i="2"/>
  <c r="E125" i="1"/>
  <c r="A34" i="3"/>
  <c r="A27" i="3"/>
  <c r="A32" i="3"/>
  <c r="A17" i="7"/>
  <c r="A18" i="7" s="1"/>
  <c r="A50" i="3"/>
  <c r="A22" i="7"/>
  <c r="B9" i="13"/>
  <c r="A20" i="3"/>
  <c r="A25" i="2"/>
  <c r="A16" i="8"/>
  <c r="A27" i="2"/>
  <c r="A39" i="7"/>
  <c r="A28" i="2"/>
  <c r="A28" i="3"/>
  <c r="F126" i="1"/>
  <c r="E126" i="1"/>
  <c r="B10" i="1"/>
  <c r="A8" i="8" s="1"/>
  <c r="A29" i="3" l="1"/>
  <c r="A26" i="23" s="1"/>
  <c r="A56" i="3"/>
  <c r="B12" i="1"/>
  <c r="A14" i="13" l="1"/>
  <c r="A13" i="13" s="1"/>
  <c r="A15" i="13"/>
  <c r="A21" i="4"/>
  <c r="A10" i="2"/>
  <c r="A126" i="19" l="1"/>
  <c r="A59" i="16" s="1"/>
  <c r="B66" i="1" l="1"/>
  <c r="A1" i="19" s="1"/>
  <c r="H26" i="29"/>
  <c r="H26" i="28"/>
  <c r="H26" i="27"/>
  <c r="H22" i="29"/>
  <c r="A10" i="29"/>
  <c r="H22" i="28"/>
  <c r="A10" i="28"/>
  <c r="H22" i="27"/>
  <c r="A10" i="27"/>
  <c r="H26" i="26"/>
  <c r="A10" i="26"/>
  <c r="D74" i="7" l="1"/>
  <c r="A74" i="7"/>
  <c r="A131" i="19"/>
  <c r="B102" i="1"/>
  <c r="R124" i="1" l="1"/>
  <c r="R125" i="1" s="1"/>
  <c r="N126" i="1" s="1"/>
  <c r="A25" i="13"/>
  <c r="A26" i="13" s="1"/>
  <c r="A28" i="13" s="1"/>
  <c r="Q124" i="1"/>
  <c r="Q125" i="1" s="1"/>
  <c r="N125" i="1" s="1"/>
  <c r="A20" i="13" l="1"/>
  <c r="C81" i="7" s="1"/>
  <c r="B24" i="4"/>
  <c r="B67" i="1" l="1"/>
  <c r="C78" i="1" s="1"/>
  <c r="C79" i="1" s="1"/>
  <c r="C80" i="1" s="1"/>
  <c r="B79" i="1" s="1"/>
  <c r="B80" i="1" s="1"/>
  <c r="B145" i="1" l="1"/>
  <c r="B143" i="1"/>
  <c r="C18" i="1" l="1"/>
  <c r="B20" i="1" s="1"/>
  <c r="B115" i="1" l="1"/>
  <c r="C20" i="1"/>
  <c r="A5" i="19" s="1"/>
  <c r="G10" i="29"/>
  <c r="G10" i="28"/>
  <c r="G10" i="26"/>
  <c r="G10" i="27"/>
  <c r="B121" i="1" l="1"/>
  <c r="B121" i="19"/>
  <c r="D53" i="16" s="1"/>
  <c r="A8" i="2"/>
  <c r="B33" i="23"/>
  <c r="C33" i="23"/>
  <c r="D33" i="23"/>
  <c r="E33" i="23"/>
  <c r="A33" i="23"/>
  <c r="B27" i="23"/>
  <c r="C27" i="23"/>
  <c r="D27" i="23"/>
  <c r="E27" i="23"/>
  <c r="A27" i="23"/>
  <c r="J4" i="21" l="1"/>
  <c r="I4" i="21"/>
  <c r="G4" i="21"/>
  <c r="H4" i="21" s="1"/>
  <c r="K4" i="21" l="1"/>
  <c r="J3" i="21"/>
  <c r="I3" i="21"/>
  <c r="G3" i="21"/>
  <c r="H3" i="21" s="1"/>
  <c r="K3" i="21" l="1"/>
  <c r="G5" i="21"/>
  <c r="H5" i="21" s="1"/>
  <c r="I5" i="21"/>
  <c r="J5" i="21"/>
  <c r="G6" i="21"/>
  <c r="H6" i="21" s="1"/>
  <c r="I6" i="21"/>
  <c r="J6" i="21"/>
  <c r="G7" i="21"/>
  <c r="H7" i="21" s="1"/>
  <c r="I7" i="21"/>
  <c r="J7" i="21"/>
  <c r="G8" i="21"/>
  <c r="H8" i="21" s="1"/>
  <c r="I8" i="21"/>
  <c r="J8" i="21"/>
  <c r="G9" i="21"/>
  <c r="H9" i="21" s="1"/>
  <c r="I9" i="21"/>
  <c r="J9" i="21"/>
  <c r="G10" i="21"/>
  <c r="H10" i="21" s="1"/>
  <c r="I10" i="21"/>
  <c r="J10" i="21"/>
  <c r="G11" i="21"/>
  <c r="H11" i="21" s="1"/>
  <c r="I11" i="21"/>
  <c r="J11" i="21"/>
  <c r="G12" i="21"/>
  <c r="H12" i="21" s="1"/>
  <c r="I12" i="21"/>
  <c r="J12" i="21"/>
  <c r="G13" i="21"/>
  <c r="H13" i="21" s="1"/>
  <c r="I13" i="21"/>
  <c r="J13" i="21"/>
  <c r="G14" i="21"/>
  <c r="H14" i="21" s="1"/>
  <c r="I14" i="21"/>
  <c r="J14" i="21"/>
  <c r="G15" i="21"/>
  <c r="H15" i="21" s="1"/>
  <c r="I15" i="21"/>
  <c r="J15" i="21"/>
  <c r="G16" i="21"/>
  <c r="H16" i="21" s="1"/>
  <c r="I16" i="21"/>
  <c r="J16" i="21"/>
  <c r="G17" i="21"/>
  <c r="H17" i="21" s="1"/>
  <c r="I17" i="21"/>
  <c r="J17" i="21"/>
  <c r="G18" i="21"/>
  <c r="H18" i="21" s="1"/>
  <c r="I18" i="21"/>
  <c r="J18" i="21"/>
  <c r="G19" i="21"/>
  <c r="H19" i="21" s="1"/>
  <c r="I19" i="21"/>
  <c r="J19" i="21"/>
  <c r="G20" i="21"/>
  <c r="H20" i="21" s="1"/>
  <c r="I20" i="21"/>
  <c r="J20" i="21"/>
  <c r="G21" i="21"/>
  <c r="H21" i="21" s="1"/>
  <c r="I21" i="21"/>
  <c r="J21" i="21"/>
  <c r="J2" i="21"/>
  <c r="I2" i="21"/>
  <c r="G2" i="21"/>
  <c r="H2" i="21" s="1"/>
  <c r="K14" i="21" l="1"/>
  <c r="K6" i="21"/>
  <c r="K15" i="21"/>
  <c r="K7" i="21"/>
  <c r="K17" i="21"/>
  <c r="K13" i="21"/>
  <c r="K20" i="21"/>
  <c r="K19" i="21"/>
  <c r="K18" i="21"/>
  <c r="K12" i="21"/>
  <c r="K11" i="21"/>
  <c r="K10" i="21"/>
  <c r="K5" i="21"/>
  <c r="K2" i="21"/>
  <c r="K16" i="21"/>
  <c r="K9" i="21"/>
  <c r="K8" i="21"/>
  <c r="K21" i="21"/>
  <c r="A48" i="23"/>
  <c r="F27" i="4" l="1"/>
  <c r="A21" i="3" s="1"/>
  <c r="D25" i="21" l="1"/>
  <c r="C25" i="21"/>
  <c r="A25" i="21"/>
  <c r="B25" i="21" s="1"/>
  <c r="M22" i="21"/>
  <c r="E67" i="7" l="1"/>
  <c r="O2" i="21"/>
  <c r="P2" i="21" s="1"/>
  <c r="P5" i="21"/>
  <c r="P13" i="21"/>
  <c r="P17" i="21"/>
  <c r="P21" i="21"/>
  <c r="O4" i="21"/>
  <c r="P4" i="21" s="1"/>
  <c r="P15" i="21"/>
  <c r="P16" i="21"/>
  <c r="P20" i="21"/>
  <c r="P7" i="21"/>
  <c r="P8" i="21"/>
  <c r="P9" i="21"/>
  <c r="P10" i="21"/>
  <c r="P18" i="21"/>
  <c r="P6" i="21"/>
  <c r="P14" i="21"/>
  <c r="O3" i="21"/>
  <c r="P3" i="21" s="1"/>
  <c r="P11" i="21"/>
  <c r="P12" i="21"/>
  <c r="P19" i="21"/>
  <c r="B51" i="7"/>
  <c r="B34" i="23" s="1"/>
  <c r="A51" i="7"/>
  <c r="A34" i="23" s="1"/>
  <c r="W2" i="21" l="1"/>
  <c r="A64" i="7" s="1"/>
  <c r="C136" i="1"/>
  <c r="D67" i="7" l="1"/>
  <c r="E45" i="23"/>
  <c r="E34" i="23"/>
  <c r="E51" i="7"/>
  <c r="A38" i="20"/>
  <c r="A37" i="20"/>
  <c r="B19" i="20"/>
  <c r="C19" i="20"/>
  <c r="D19" i="20"/>
  <c r="E19" i="20"/>
  <c r="A19" i="20"/>
  <c r="E37" i="7" l="1"/>
  <c r="E36" i="7"/>
  <c r="E35" i="7"/>
  <c r="E34" i="7"/>
  <c r="E33" i="7"/>
  <c r="E32" i="7"/>
  <c r="E31" i="7"/>
  <c r="E30" i="7"/>
  <c r="E29" i="7"/>
  <c r="E28" i="7"/>
  <c r="L5" i="15"/>
  <c r="I8" i="15" l="1"/>
  <c r="E20" i="20"/>
  <c r="B26" i="4"/>
  <c r="B27" i="4" s="1"/>
  <c r="A33" i="20" l="1"/>
  <c r="A47" i="23"/>
  <c r="C19" i="1"/>
  <c r="B21" i="1" s="1"/>
  <c r="A6" i="3" l="1"/>
  <c r="C21" i="1"/>
  <c r="B8" i="15"/>
  <c r="C5" i="22"/>
  <c r="A33" i="22" s="1"/>
  <c r="B9" i="16" l="1"/>
  <c r="R32" i="15"/>
  <c r="R33" i="15"/>
  <c r="O33" i="15" s="1"/>
  <c r="P33" i="15" s="1"/>
  <c r="Q33" i="15" s="1"/>
  <c r="B33" i="15" s="1"/>
  <c r="R34" i="15"/>
  <c r="R35" i="15"/>
  <c r="R36" i="15"/>
  <c r="R37" i="15"/>
  <c r="O37" i="15" s="1"/>
  <c r="P37" i="15" s="1"/>
  <c r="Q37" i="15" s="1"/>
  <c r="B37" i="15" s="1"/>
  <c r="R38" i="15"/>
  <c r="R39" i="15"/>
  <c r="O39" i="15" s="1"/>
  <c r="P39" i="15" s="1"/>
  <c r="Q39" i="15" s="1"/>
  <c r="B39" i="15" s="1"/>
  <c r="R40" i="15"/>
  <c r="R41" i="15"/>
  <c r="R42" i="15"/>
  <c r="O42" i="15" s="1"/>
  <c r="P42" i="15" s="1"/>
  <c r="Q42" i="15" s="1"/>
  <c r="B42" i="15" s="1"/>
  <c r="R43" i="15"/>
  <c r="R28" i="15"/>
  <c r="R29" i="15"/>
  <c r="R27" i="15"/>
  <c r="R30" i="15"/>
  <c r="R31" i="15"/>
  <c r="R26" i="15"/>
  <c r="R20" i="15"/>
  <c r="R21" i="15"/>
  <c r="R23" i="15"/>
  <c r="R22" i="15"/>
  <c r="R10" i="15"/>
  <c r="R9" i="15"/>
  <c r="G8" i="15"/>
  <c r="R12" i="15"/>
  <c r="R19" i="15"/>
  <c r="H8" i="15"/>
  <c r="R15" i="15"/>
  <c r="O8" i="15"/>
  <c r="P8" i="15" s="1"/>
  <c r="Q8" i="15" s="1"/>
  <c r="R16" i="15"/>
  <c r="R17" i="15"/>
  <c r="R18" i="15"/>
  <c r="R11" i="15"/>
  <c r="R13" i="15"/>
  <c r="R14" i="15"/>
  <c r="B8" i="12"/>
  <c r="R24" i="15"/>
  <c r="R25" i="15"/>
  <c r="B38" i="16" l="1"/>
  <c r="B37" i="12"/>
  <c r="H37" i="15"/>
  <c r="O38" i="15"/>
  <c r="P38" i="15" s="1"/>
  <c r="Q38" i="15" s="1"/>
  <c r="B38" i="15" s="1"/>
  <c r="O36" i="15"/>
  <c r="P36" i="15" s="1"/>
  <c r="Q36" i="15" s="1"/>
  <c r="B36" i="15" s="1"/>
  <c r="O43" i="15"/>
  <c r="P43" i="15" s="1"/>
  <c r="Q43" i="15" s="1"/>
  <c r="B43" i="15"/>
  <c r="O35" i="15"/>
  <c r="P35" i="15" s="1"/>
  <c r="Q35" i="15" s="1"/>
  <c r="B35" i="15" s="1"/>
  <c r="B43" i="16"/>
  <c r="H42" i="15"/>
  <c r="B42" i="12"/>
  <c r="O34" i="15"/>
  <c r="P34" i="15" s="1"/>
  <c r="Q34" i="15" s="1"/>
  <c r="B34" i="15" s="1"/>
  <c r="B34" i="16"/>
  <c r="B33" i="12"/>
  <c r="H33" i="15"/>
  <c r="O41" i="15"/>
  <c r="P41" i="15" s="1"/>
  <c r="Q41" i="15" s="1"/>
  <c r="B41" i="15" s="1"/>
  <c r="O40" i="15"/>
  <c r="P40" i="15" s="1"/>
  <c r="Q40" i="15" s="1"/>
  <c r="B40" i="15" s="1"/>
  <c r="O32" i="15"/>
  <c r="P32" i="15" s="1"/>
  <c r="Q32" i="15" s="1"/>
  <c r="B32" i="15" s="1"/>
  <c r="B39" i="12"/>
  <c r="B40" i="16"/>
  <c r="H39" i="15"/>
  <c r="O26" i="15"/>
  <c r="P26" i="15" s="1"/>
  <c r="Q26" i="15" s="1"/>
  <c r="B26" i="15" s="1"/>
  <c r="O30" i="15"/>
  <c r="P30" i="15" s="1"/>
  <c r="Q30" i="15" s="1"/>
  <c r="B30" i="15" s="1"/>
  <c r="O27" i="15"/>
  <c r="P27" i="15" s="1"/>
  <c r="Q27" i="15" s="1"/>
  <c r="B27" i="15" s="1"/>
  <c r="O29" i="15"/>
  <c r="P29" i="15" s="1"/>
  <c r="Q29" i="15" s="1"/>
  <c r="B29" i="15" s="1"/>
  <c r="O28" i="15"/>
  <c r="P28" i="15" s="1"/>
  <c r="Q28" i="15" s="1"/>
  <c r="B28" i="15" s="1"/>
  <c r="O31" i="15"/>
  <c r="P31" i="15" s="1"/>
  <c r="Q31" i="15" s="1"/>
  <c r="B31" i="15" s="1"/>
  <c r="O18" i="15"/>
  <c r="P18" i="15" s="1"/>
  <c r="Q18" i="15" s="1"/>
  <c r="B18" i="15" s="1"/>
  <c r="B19" i="16" s="1"/>
  <c r="O24" i="15"/>
  <c r="P24" i="15" s="1"/>
  <c r="Q24" i="15" s="1"/>
  <c r="B24" i="15" s="1"/>
  <c r="B25" i="16" s="1"/>
  <c r="O15" i="15"/>
  <c r="P15" i="15" s="1"/>
  <c r="Q15" i="15" s="1"/>
  <c r="B15" i="15" s="1"/>
  <c r="B16" i="16" s="1"/>
  <c r="O13" i="15"/>
  <c r="P13" i="15" s="1"/>
  <c r="Q13" i="15" s="1"/>
  <c r="O17" i="15"/>
  <c r="P17" i="15" s="1"/>
  <c r="Q17" i="15" s="1"/>
  <c r="B17" i="15" s="1"/>
  <c r="B18" i="16" s="1"/>
  <c r="O16" i="15"/>
  <c r="P16" i="15" s="1"/>
  <c r="Q16" i="15" s="1"/>
  <c r="B16" i="15" s="1"/>
  <c r="B17" i="16" s="1"/>
  <c r="O22" i="15"/>
  <c r="P22" i="15" s="1"/>
  <c r="Q22" i="15" s="1"/>
  <c r="B22" i="15" s="1"/>
  <c r="B23" i="16" s="1"/>
  <c r="O23" i="15"/>
  <c r="P23" i="15" s="1"/>
  <c r="Q23" i="15" s="1"/>
  <c r="B23" i="15" s="1"/>
  <c r="B24" i="16" s="1"/>
  <c r="O21" i="15"/>
  <c r="P21" i="15" s="1"/>
  <c r="Q21" i="15" s="1"/>
  <c r="B21" i="15" s="1"/>
  <c r="B22" i="16" s="1"/>
  <c r="O20" i="15"/>
  <c r="P20" i="15" s="1"/>
  <c r="Q20" i="15" s="1"/>
  <c r="B20" i="15" s="1"/>
  <c r="B21" i="16" s="1"/>
  <c r="L8" i="15"/>
  <c r="O11" i="15"/>
  <c r="P11" i="15" s="1"/>
  <c r="Q11" i="15" s="1"/>
  <c r="B11" i="15" s="1"/>
  <c r="B12" i="16" s="1"/>
  <c r="O10" i="15"/>
  <c r="P10" i="15" s="1"/>
  <c r="Q10" i="15" s="1"/>
  <c r="B10" i="15" s="1"/>
  <c r="B11" i="16" s="1"/>
  <c r="O9" i="15"/>
  <c r="P9" i="15" s="1"/>
  <c r="Q9" i="15" s="1"/>
  <c r="B9" i="15" s="1"/>
  <c r="B10" i="16" s="1"/>
  <c r="O19" i="15"/>
  <c r="P19" i="15" s="1"/>
  <c r="Q19" i="15" s="1"/>
  <c r="B19" i="15" s="1"/>
  <c r="B20" i="16" s="1"/>
  <c r="O14" i="15"/>
  <c r="P14" i="15" s="1"/>
  <c r="Q14" i="15" s="1"/>
  <c r="B14" i="15" s="1"/>
  <c r="B15" i="16" s="1"/>
  <c r="O12" i="15"/>
  <c r="P12" i="15" s="1"/>
  <c r="Q12" i="15" s="1"/>
  <c r="B12" i="15" s="1"/>
  <c r="B13" i="16" s="1"/>
  <c r="O25" i="15"/>
  <c r="P25" i="15" s="1"/>
  <c r="Q25" i="15" s="1"/>
  <c r="B25" i="15" s="1"/>
  <c r="B26" i="16" s="1"/>
  <c r="H35" i="15" l="1"/>
  <c r="B36" i="16"/>
  <c r="B35" i="12"/>
  <c r="G35" i="15"/>
  <c r="H36" i="15"/>
  <c r="B37" i="16"/>
  <c r="B36" i="12"/>
  <c r="G37" i="12" s="1"/>
  <c r="G36" i="15"/>
  <c r="G37" i="15"/>
  <c r="G38" i="15"/>
  <c r="B38" i="12"/>
  <c r="G39" i="12" s="1"/>
  <c r="H38" i="15"/>
  <c r="B39" i="16"/>
  <c r="G39" i="15"/>
  <c r="B35" i="16"/>
  <c r="H34" i="15"/>
  <c r="B34" i="12"/>
  <c r="G34" i="15"/>
  <c r="H41" i="15"/>
  <c r="G41" i="15"/>
  <c r="B41" i="12"/>
  <c r="B42" i="16"/>
  <c r="G42" i="15"/>
  <c r="B33" i="16"/>
  <c r="H32" i="15"/>
  <c r="B32" i="12"/>
  <c r="H32" i="12" s="1"/>
  <c r="G33" i="15"/>
  <c r="H40" i="15"/>
  <c r="G40" i="15"/>
  <c r="B40" i="12"/>
  <c r="B41" i="16"/>
  <c r="H42" i="12"/>
  <c r="H39" i="12"/>
  <c r="H33" i="12"/>
  <c r="H37" i="12"/>
  <c r="B44" i="16"/>
  <c r="B43" i="12"/>
  <c r="H43" i="15"/>
  <c r="G43" i="15"/>
  <c r="B32" i="16"/>
  <c r="G32" i="15"/>
  <c r="B29" i="16"/>
  <c r="B28" i="12"/>
  <c r="B30" i="16"/>
  <c r="B29" i="12"/>
  <c r="B28" i="16"/>
  <c r="B27" i="12"/>
  <c r="B31" i="16"/>
  <c r="B30" i="12"/>
  <c r="B27" i="16"/>
  <c r="B26" i="12"/>
  <c r="B13" i="15"/>
  <c r="B14" i="16" s="1"/>
  <c r="B19" i="12"/>
  <c r="B23" i="12"/>
  <c r="B21" i="12"/>
  <c r="B22" i="12"/>
  <c r="B20" i="12"/>
  <c r="B24" i="12"/>
  <c r="E8" i="15"/>
  <c r="B31" i="12"/>
  <c r="H31" i="15"/>
  <c r="B25" i="12"/>
  <c r="H25" i="15"/>
  <c r="B16" i="12"/>
  <c r="H16" i="15"/>
  <c r="G16" i="15"/>
  <c r="B17" i="12"/>
  <c r="G17" i="15"/>
  <c r="H17" i="15"/>
  <c r="B15" i="12"/>
  <c r="H15" i="15"/>
  <c r="B18" i="12"/>
  <c r="H18" i="15"/>
  <c r="G18" i="15"/>
  <c r="H20" i="15"/>
  <c r="H21" i="15"/>
  <c r="G21" i="15"/>
  <c r="G23" i="15"/>
  <c r="H23" i="15"/>
  <c r="H22" i="15"/>
  <c r="G22" i="15"/>
  <c r="H14" i="15"/>
  <c r="B14" i="12"/>
  <c r="G15" i="15"/>
  <c r="G9" i="15"/>
  <c r="H19" i="15"/>
  <c r="G20" i="15"/>
  <c r="G19" i="15"/>
  <c r="D17" i="1"/>
  <c r="G32" i="12" l="1"/>
  <c r="H36" i="12"/>
  <c r="G36" i="12"/>
  <c r="H40" i="12"/>
  <c r="G40" i="12"/>
  <c r="G33" i="12"/>
  <c r="H41" i="12"/>
  <c r="G41" i="12"/>
  <c r="H38" i="12"/>
  <c r="G38" i="12"/>
  <c r="H35" i="12"/>
  <c r="G35" i="12"/>
  <c r="H43" i="12"/>
  <c r="G43" i="12"/>
  <c r="G42" i="12"/>
  <c r="G34" i="12"/>
  <c r="H34" i="12"/>
  <c r="G14" i="15"/>
  <c r="B13" i="12"/>
  <c r="H13" i="15"/>
  <c r="G10" i="15"/>
  <c r="H10" i="15"/>
  <c r="B10" i="12"/>
  <c r="H9" i="15"/>
  <c r="G13" i="15"/>
  <c r="G12" i="15"/>
  <c r="H12" i="15"/>
  <c r="B12" i="12"/>
  <c r="H11" i="15"/>
  <c r="G11" i="15"/>
  <c r="B11" i="12"/>
  <c r="B9" i="12"/>
  <c r="I67" i="1"/>
  <c r="G67" i="1"/>
  <c r="C10" i="28" l="1"/>
  <c r="C10" i="26"/>
  <c r="C10" i="29"/>
  <c r="C10" i="27"/>
  <c r="A128" i="19" l="1"/>
  <c r="A61" i="16" s="1"/>
  <c r="A117" i="19"/>
  <c r="A51" i="16" s="1"/>
  <c r="E10" i="29" l="1"/>
  <c r="E10" i="26"/>
  <c r="E10" i="27"/>
  <c r="E10" i="28"/>
  <c r="F67" i="1" l="1"/>
  <c r="E67" i="1"/>
  <c r="A20" i="2" s="1"/>
  <c r="C67" i="1"/>
  <c r="C65" i="1"/>
  <c r="C66" i="1" l="1"/>
  <c r="I66" i="1"/>
  <c r="G66" i="1"/>
  <c r="D67" i="1"/>
  <c r="B144" i="1" s="1"/>
  <c r="H67" i="1"/>
  <c r="B69" i="1" s="1"/>
  <c r="A4" i="24" s="1"/>
  <c r="E66" i="1"/>
  <c r="F66" i="1"/>
  <c r="A30" i="19" l="1"/>
  <c r="A26" i="19"/>
  <c r="A29" i="19"/>
  <c r="A28" i="19" s="1"/>
  <c r="A27" i="19"/>
  <c r="B68" i="1"/>
  <c r="D66" i="1"/>
  <c r="B72" i="1" s="1"/>
  <c r="H66" i="1"/>
  <c r="B73" i="1" s="1"/>
  <c r="E3" i="23" l="1"/>
  <c r="B74" i="1"/>
  <c r="B70" i="1"/>
  <c r="A3" i="19" s="1"/>
  <c r="E3" i="22"/>
  <c r="B71" i="1"/>
  <c r="A8" i="19" s="1"/>
  <c r="A9" i="7" l="1"/>
  <c r="A7" i="28"/>
  <c r="A7" i="26"/>
  <c r="A7" i="29"/>
  <c r="A12" i="7"/>
  <c r="A8" i="7"/>
  <c r="A7" i="27"/>
  <c r="A11" i="7"/>
  <c r="A45" i="7"/>
  <c r="B19" i="9"/>
  <c r="C3" i="16"/>
  <c r="A2" i="27"/>
  <c r="A2" i="28"/>
  <c r="A2" i="29"/>
  <c r="A2" i="26"/>
  <c r="A46" i="7"/>
  <c r="B165" i="1"/>
  <c r="A4" i="8" s="1"/>
  <c r="B142" i="1"/>
  <c r="E4" i="7" s="1"/>
  <c r="A39" i="20"/>
  <c r="B40" i="9"/>
  <c r="A19" i="2"/>
  <c r="A25" i="23" s="1"/>
  <c r="D60" i="15"/>
  <c r="A58" i="15"/>
  <c r="A56" i="15"/>
  <c r="D52" i="15"/>
  <c r="D48" i="15"/>
  <c r="A48" i="15"/>
  <c r="A7" i="7" l="1"/>
  <c r="A10" i="7"/>
  <c r="A6" i="7" s="1"/>
  <c r="A44" i="7"/>
  <c r="A15" i="3"/>
  <c r="H27" i="15"/>
  <c r="G27" i="15"/>
  <c r="G28" i="15"/>
  <c r="H28" i="15"/>
  <c r="G30" i="15"/>
  <c r="G31" i="15"/>
  <c r="H30" i="15"/>
  <c r="G29" i="15"/>
  <c r="H29" i="15"/>
  <c r="G26" i="15"/>
  <c r="H26" i="15"/>
  <c r="H24" i="15"/>
  <c r="G24" i="15"/>
  <c r="G25" i="15"/>
  <c r="F2" i="15" l="1"/>
  <c r="B62" i="1" l="1"/>
  <c r="D55" i="15" l="1"/>
  <c r="D70" i="7"/>
  <c r="B19" i="13" l="1"/>
  <c r="B10" i="13"/>
  <c r="D56" i="15" l="1"/>
  <c r="D54" i="15" l="1"/>
  <c r="A61" i="7" l="1"/>
  <c r="A44" i="23" s="1"/>
  <c r="B61" i="7"/>
  <c r="B44" i="23" s="1"/>
  <c r="C61" i="7"/>
  <c r="C44" i="23" s="1"/>
  <c r="D61" i="7"/>
  <c r="D44" i="23" s="1"/>
  <c r="A62" i="7"/>
  <c r="A45" i="23" s="1"/>
  <c r="B35" i="23"/>
  <c r="C35" i="23"/>
  <c r="D35" i="23"/>
  <c r="B53" i="7"/>
  <c r="B36" i="23" s="1"/>
  <c r="C53" i="7"/>
  <c r="C36" i="23" s="1"/>
  <c r="D53" i="7"/>
  <c r="D36" i="23" s="1"/>
  <c r="B54" i="7"/>
  <c r="B37" i="23" s="1"/>
  <c r="C54" i="7"/>
  <c r="C37" i="23" s="1"/>
  <c r="D54" i="7"/>
  <c r="D37" i="23" s="1"/>
  <c r="B55" i="7"/>
  <c r="B38" i="23" s="1"/>
  <c r="C55" i="7"/>
  <c r="C38" i="23" s="1"/>
  <c r="D55" i="7"/>
  <c r="D38" i="23" s="1"/>
  <c r="B56" i="7"/>
  <c r="B39" i="23" s="1"/>
  <c r="C56" i="7"/>
  <c r="C39" i="23" s="1"/>
  <c r="D56" i="7"/>
  <c r="D39" i="23" s="1"/>
  <c r="B57" i="7"/>
  <c r="B40" i="23" s="1"/>
  <c r="C57" i="7"/>
  <c r="C40" i="23" s="1"/>
  <c r="D57" i="7"/>
  <c r="D40" i="23" s="1"/>
  <c r="B58" i="7"/>
  <c r="B41" i="23" s="1"/>
  <c r="C58" i="7"/>
  <c r="C41" i="23" s="1"/>
  <c r="D58" i="7"/>
  <c r="D41" i="23" s="1"/>
  <c r="B59" i="7"/>
  <c r="B42" i="23" s="1"/>
  <c r="C59" i="7"/>
  <c r="C42" i="23" s="1"/>
  <c r="D59" i="7"/>
  <c r="D42" i="23" s="1"/>
  <c r="B60" i="7"/>
  <c r="B43" i="23" s="1"/>
  <c r="C60" i="7"/>
  <c r="C43" i="23" s="1"/>
  <c r="D60" i="7"/>
  <c r="D43" i="23" s="1"/>
  <c r="C51" i="7"/>
  <c r="C34" i="23" s="1"/>
  <c r="D51" i="7"/>
  <c r="D34" i="23" s="1"/>
  <c r="A35" i="23"/>
  <c r="A53" i="7"/>
  <c r="A36" i="23" s="1"/>
  <c r="A54" i="7"/>
  <c r="A37" i="23" s="1"/>
  <c r="A55" i="7"/>
  <c r="A38" i="23" s="1"/>
  <c r="A56" i="7"/>
  <c r="A39" i="23" s="1"/>
  <c r="A57" i="7"/>
  <c r="A40" i="23" s="1"/>
  <c r="A58" i="7"/>
  <c r="A41" i="23" s="1"/>
  <c r="A59" i="7"/>
  <c r="A42" i="23" s="1"/>
  <c r="A60" i="7"/>
  <c r="A43" i="23" s="1"/>
  <c r="A49" i="23"/>
  <c r="A39" i="8"/>
  <c r="E38" i="7"/>
  <c r="D62" i="7" s="1"/>
  <c r="D45" i="23" s="1"/>
  <c r="D38" i="7"/>
  <c r="C62" i="7" s="1"/>
  <c r="C45" i="23" s="1"/>
  <c r="C38" i="7"/>
  <c r="B62" i="7" s="1"/>
  <c r="B45" i="23" s="1"/>
  <c r="A48" i="3" l="1"/>
  <c r="A30" i="20"/>
  <c r="B47" i="3"/>
  <c r="B29" i="20"/>
  <c r="B48" i="3"/>
  <c r="B30" i="20"/>
  <c r="D47" i="3"/>
  <c r="D29" i="20"/>
  <c r="D48" i="3"/>
  <c r="D30" i="20"/>
  <c r="A47" i="3"/>
  <c r="A29" i="20"/>
  <c r="C47" i="3"/>
  <c r="C29" i="20"/>
  <c r="C48" i="3"/>
  <c r="C30" i="20"/>
  <c r="A49" i="3"/>
  <c r="A31" i="20"/>
  <c r="A45" i="3"/>
  <c r="A27" i="20"/>
  <c r="D46" i="3"/>
  <c r="D28" i="20"/>
  <c r="C45" i="3"/>
  <c r="C27" i="20"/>
  <c r="C46" i="3"/>
  <c r="C28" i="20"/>
  <c r="B45" i="3"/>
  <c r="B27" i="20"/>
  <c r="D45" i="3"/>
  <c r="D27" i="20"/>
  <c r="A46" i="3"/>
  <c r="A28" i="20"/>
  <c r="B46" i="3"/>
  <c r="B28" i="20"/>
  <c r="A41" i="3"/>
  <c r="A23" i="20"/>
  <c r="D41" i="3"/>
  <c r="D23" i="20"/>
  <c r="D49" i="3"/>
  <c r="D31" i="20"/>
  <c r="A44" i="3"/>
  <c r="A26" i="20"/>
  <c r="A40" i="3"/>
  <c r="A22" i="20"/>
  <c r="C38" i="3"/>
  <c r="C20" i="20"/>
  <c r="B44" i="3"/>
  <c r="B26" i="20"/>
  <c r="D42" i="3"/>
  <c r="D24" i="20"/>
  <c r="C41" i="3"/>
  <c r="C23" i="20"/>
  <c r="B40" i="3"/>
  <c r="B22" i="20"/>
  <c r="A43" i="3"/>
  <c r="A25" i="20"/>
  <c r="A39" i="3"/>
  <c r="A21" i="20"/>
  <c r="D43" i="3"/>
  <c r="D25" i="20"/>
  <c r="C42" i="3"/>
  <c r="C24" i="20"/>
  <c r="B41" i="3"/>
  <c r="B23" i="20"/>
  <c r="D39" i="3"/>
  <c r="D21" i="20"/>
  <c r="C49" i="3"/>
  <c r="C31" i="20"/>
  <c r="D38" i="3"/>
  <c r="D20" i="20"/>
  <c r="C44" i="3"/>
  <c r="C26" i="20"/>
  <c r="B43" i="3"/>
  <c r="B25" i="20"/>
  <c r="C40" i="3"/>
  <c r="C22" i="20"/>
  <c r="B39" i="3"/>
  <c r="B21" i="20"/>
  <c r="A38" i="3"/>
  <c r="A20" i="20"/>
  <c r="B49" i="3"/>
  <c r="B31" i="20"/>
  <c r="A42" i="3"/>
  <c r="A24" i="20"/>
  <c r="B38" i="3"/>
  <c r="B20" i="20"/>
  <c r="D44" i="3"/>
  <c r="D26" i="20"/>
  <c r="C43" i="3"/>
  <c r="C25" i="20"/>
  <c r="B42" i="3"/>
  <c r="B24" i="20"/>
  <c r="D40" i="3"/>
  <c r="D22" i="20"/>
  <c r="C39" i="3"/>
  <c r="C21" i="20"/>
  <c r="A40" i="8"/>
  <c r="A34" i="20"/>
  <c r="A41" i="8"/>
  <c r="A35" i="20"/>
  <c r="D33" i="8"/>
  <c r="C28" i="8"/>
  <c r="D26" i="8"/>
  <c r="D35" i="8"/>
  <c r="C31" i="8"/>
  <c r="D32" i="8"/>
  <c r="B31" i="8"/>
  <c r="D27" i="8"/>
  <c r="D36" i="8"/>
  <c r="C35" i="8"/>
  <c r="C32" i="8"/>
  <c r="D29" i="8"/>
  <c r="C27" i="8"/>
  <c r="C36" i="8"/>
  <c r="B35" i="8"/>
  <c r="D31" i="8"/>
  <c r="D28" i="8"/>
  <c r="B27" i="8"/>
  <c r="B36" i="8"/>
  <c r="C37" i="8"/>
  <c r="D30" i="8"/>
  <c r="D34" i="8"/>
  <c r="D37" i="8"/>
  <c r="C33" i="8"/>
  <c r="C30" i="8"/>
  <c r="C29" i="8"/>
  <c r="C26" i="8"/>
  <c r="C34" i="8"/>
  <c r="B33" i="8"/>
  <c r="B32" i="8"/>
  <c r="B30" i="8"/>
  <c r="B29" i="8"/>
  <c r="B28" i="8"/>
  <c r="B26" i="8"/>
  <c r="B34" i="8"/>
  <c r="B37" i="8"/>
  <c r="A33" i="8"/>
  <c r="A32" i="8"/>
  <c r="A31" i="8"/>
  <c r="A30" i="8"/>
  <c r="A29" i="8"/>
  <c r="A28" i="8"/>
  <c r="A27" i="8"/>
  <c r="A26" i="8"/>
  <c r="A36" i="8"/>
  <c r="A35" i="8"/>
  <c r="A34" i="8"/>
  <c r="A37" i="8"/>
  <c r="C142" i="1"/>
  <c r="A9" i="20" l="1"/>
  <c r="N123" i="1"/>
  <c r="E38" i="3"/>
  <c r="E62" i="7"/>
  <c r="E31" i="20" s="1"/>
  <c r="A46" i="23"/>
  <c r="E26" i="8" l="1"/>
  <c r="A23" i="2"/>
  <c r="A38" i="8"/>
  <c r="A32" i="20"/>
  <c r="E37" i="8"/>
  <c r="E49" i="3"/>
  <c r="D60" i="12"/>
  <c r="A58" i="12"/>
  <c r="A56" i="12"/>
  <c r="D52" i="12"/>
  <c r="D48" i="12"/>
  <c r="A48" i="12"/>
  <c r="C8" i="12"/>
  <c r="C9" i="16" s="1"/>
  <c r="A25" i="19" l="1"/>
  <c r="A24" i="19" l="1"/>
  <c r="B12" i="9"/>
  <c r="A12" i="8"/>
  <c r="E18" i="8"/>
  <c r="E11" i="20" s="1"/>
  <c r="D18" i="8"/>
  <c r="D11" i="20" s="1"/>
  <c r="C18" i="8"/>
  <c r="C11" i="20" s="1"/>
  <c r="B18" i="8"/>
  <c r="B11" i="20" s="1"/>
  <c r="A18" i="8"/>
  <c r="A11" i="20" s="1"/>
  <c r="D78" i="7"/>
  <c r="E21" i="7"/>
  <c r="D48" i="7" s="1"/>
  <c r="D28" i="23" s="1"/>
  <c r="D21" i="7"/>
  <c r="C48" i="7" s="1"/>
  <c r="C28" i="23" s="1"/>
  <c r="B21" i="7"/>
  <c r="B48" i="7" s="1"/>
  <c r="B28" i="23" s="1"/>
  <c r="A21" i="7"/>
  <c r="A48" i="7" s="1"/>
  <c r="A28" i="23" s="1"/>
  <c r="A32" i="23" l="1"/>
  <c r="A14" i="26"/>
  <c r="A14" i="29"/>
  <c r="A14" i="28"/>
  <c r="A14" i="27"/>
  <c r="A30" i="23"/>
  <c r="A12" i="27"/>
  <c r="A12" i="29"/>
  <c r="A12" i="28"/>
  <c r="A12" i="26"/>
  <c r="D19" i="8"/>
  <c r="D12" i="20" s="1"/>
  <c r="C19" i="8"/>
  <c r="C12" i="20" s="1"/>
  <c r="B19" i="8"/>
  <c r="B12" i="20" s="1"/>
  <c r="A23" i="8"/>
  <c r="A16" i="20" s="1"/>
  <c r="A19" i="8"/>
  <c r="A12" i="20" s="1"/>
  <c r="A21" i="8"/>
  <c r="A14" i="20" s="1"/>
  <c r="D35" i="4"/>
  <c r="D27" i="4"/>
  <c r="C27" i="4"/>
  <c r="D31" i="3"/>
  <c r="C31" i="3"/>
  <c r="B31" i="3"/>
  <c r="A14" i="3"/>
  <c r="A60" i="3" s="1"/>
  <c r="A11" i="4"/>
  <c r="A8" i="4"/>
  <c r="A6" i="4"/>
  <c r="A5" i="4"/>
  <c r="A4" i="4"/>
  <c r="A39" i="2"/>
  <c r="A17" i="3"/>
  <c r="A63" i="3" s="1"/>
  <c r="A12" i="3"/>
  <c r="A51" i="15" l="1"/>
  <c r="A55" i="15"/>
  <c r="A60" i="15"/>
  <c r="D62" i="15"/>
  <c r="A50" i="15"/>
  <c r="A54" i="15"/>
  <c r="A53" i="15"/>
  <c r="A52" i="15"/>
  <c r="D51" i="15"/>
  <c r="D58" i="15"/>
  <c r="D50" i="15"/>
  <c r="A60" i="12"/>
  <c r="A54" i="12"/>
  <c r="A51" i="12"/>
  <c r="A55" i="12"/>
  <c r="A52" i="12"/>
  <c r="A13" i="3"/>
  <c r="A59" i="3" s="1"/>
  <c r="A53" i="12"/>
  <c r="D56" i="12"/>
  <c r="D54" i="12"/>
  <c r="D55" i="12"/>
  <c r="D51" i="12"/>
  <c r="D58" i="12"/>
  <c r="D50" i="12"/>
  <c r="A50" i="12"/>
  <c r="A58" i="3"/>
  <c r="A61" i="3"/>
  <c r="A13" i="8"/>
  <c r="A16" i="3"/>
  <c r="A62" i="3" s="1"/>
  <c r="A14" i="8"/>
  <c r="A15" i="8" s="1"/>
  <c r="A11" i="3"/>
  <c r="A57" i="3" s="1"/>
  <c r="E31" i="3"/>
  <c r="A26" i="2"/>
  <c r="A22" i="2" s="1"/>
  <c r="A15" i="27" l="1"/>
  <c r="A15" i="26"/>
  <c r="A15" i="29"/>
  <c r="A15" i="28"/>
  <c r="A31" i="23"/>
  <c r="A13" i="27"/>
  <c r="A13" i="28"/>
  <c r="A13" i="29"/>
  <c r="A13" i="26"/>
  <c r="A29" i="23"/>
  <c r="A11" i="29"/>
  <c r="A11" i="28"/>
  <c r="A11" i="27"/>
  <c r="A11" i="26"/>
  <c r="E28" i="23"/>
  <c r="A22" i="8"/>
  <c r="A15" i="20" s="1"/>
  <c r="A20" i="8"/>
  <c r="A13" i="20" s="1"/>
  <c r="E19" i="8"/>
  <c r="E12" i="20" s="1"/>
  <c r="A18" i="3"/>
  <c r="A16" i="23" s="1"/>
  <c r="F2" i="12"/>
  <c r="A64" i="3" l="1"/>
  <c r="G8" i="12"/>
  <c r="H8" i="12"/>
  <c r="H10" i="12" l="1"/>
  <c r="H12" i="12"/>
  <c r="H13" i="12"/>
  <c r="H15" i="12"/>
  <c r="H16" i="12"/>
  <c r="H9" i="12"/>
  <c r="H18" i="12"/>
  <c r="H11" i="12"/>
  <c r="H17" i="12"/>
  <c r="H14" i="12"/>
  <c r="G13" i="12"/>
  <c r="E8" i="12"/>
  <c r="E9" i="16" s="1"/>
  <c r="G17" i="12"/>
  <c r="G11" i="12"/>
  <c r="G9" i="12"/>
  <c r="G15" i="12"/>
  <c r="H19" i="12"/>
  <c r="G12" i="12"/>
  <c r="G18" i="12"/>
  <c r="G10" i="12"/>
  <c r="G16" i="12"/>
  <c r="G14" i="12"/>
  <c r="G19" i="12" l="1"/>
  <c r="H20" i="12" l="1"/>
  <c r="G20" i="12"/>
  <c r="H21" i="12" l="1"/>
  <c r="G21" i="12"/>
  <c r="H22" i="12" l="1"/>
  <c r="G22" i="12"/>
  <c r="H23" i="12" l="1"/>
  <c r="G23" i="12"/>
  <c r="H24" i="12" l="1"/>
  <c r="G24" i="12"/>
  <c r="H25" i="12" l="1"/>
  <c r="G25" i="12"/>
  <c r="H26" i="12" l="1"/>
  <c r="G26" i="12"/>
  <c r="H27" i="12" l="1"/>
  <c r="G27" i="12"/>
  <c r="H28" i="12" l="1"/>
  <c r="G28" i="12"/>
  <c r="H29" i="12" l="1"/>
  <c r="G29" i="12"/>
  <c r="H31" i="12" l="1"/>
  <c r="G31" i="12"/>
  <c r="H30" i="12"/>
  <c r="G30" i="12"/>
  <c r="I9" i="15" l="1"/>
  <c r="D8" i="15"/>
  <c r="C9" i="15" s="1"/>
  <c r="D9" i="15" l="1"/>
  <c r="C10" i="15" s="1"/>
  <c r="M8" i="15"/>
  <c r="F8" i="15" s="1"/>
  <c r="L9" i="15"/>
  <c r="E9" i="15" s="1"/>
  <c r="I10" i="15"/>
  <c r="I11" i="15" s="1"/>
  <c r="I12" i="15" s="1"/>
  <c r="I13" i="15" s="1"/>
  <c r="I14" i="15" s="1"/>
  <c r="I15" i="15" s="1"/>
  <c r="I16" i="15" s="1"/>
  <c r="D10" i="15" l="1"/>
  <c r="C11" i="15" s="1"/>
  <c r="J14" i="15"/>
  <c r="K14" i="15" s="1"/>
  <c r="J13" i="15"/>
  <c r="K13" i="15" s="1"/>
  <c r="J17" i="15"/>
  <c r="K17" i="15" s="1"/>
  <c r="I17" i="15" s="1"/>
  <c r="I18" i="15" s="1"/>
  <c r="J16" i="15"/>
  <c r="K16" i="15" s="1"/>
  <c r="L10" i="15"/>
  <c r="E10" i="15" s="1"/>
  <c r="J15" i="15"/>
  <c r="K15" i="15" s="1"/>
  <c r="M9" i="15"/>
  <c r="F9" i="15" s="1"/>
  <c r="J19" i="15" l="1"/>
  <c r="K19" i="15" s="1"/>
  <c r="I19" i="15" s="1"/>
  <c r="J20" i="15" s="1"/>
  <c r="K20" i="15" s="1"/>
  <c r="J18" i="15"/>
  <c r="K18" i="15" s="1"/>
  <c r="L11" i="15"/>
  <c r="E11" i="15" s="1"/>
  <c r="M10" i="15"/>
  <c r="F10" i="15" s="1"/>
  <c r="D11" i="15" l="1"/>
  <c r="C12" i="15" s="1"/>
  <c r="L12" i="15" s="1"/>
  <c r="E12" i="15" s="1"/>
  <c r="I20" i="15"/>
  <c r="I21" i="15" s="1"/>
  <c r="M11" i="15" l="1"/>
  <c r="F11" i="15" s="1"/>
  <c r="D12" i="15"/>
  <c r="C13" i="15" s="1"/>
  <c r="J22" i="15"/>
  <c r="K22" i="15" s="1"/>
  <c r="I22" i="15" s="1"/>
  <c r="J23" i="15" s="1"/>
  <c r="K23" i="15" s="1"/>
  <c r="J21" i="15"/>
  <c r="K21" i="15" s="1"/>
  <c r="M12" i="15" l="1"/>
  <c r="F12" i="15" s="1"/>
  <c r="I23" i="15"/>
  <c r="I24" i="15" s="1"/>
  <c r="J25" i="15" s="1"/>
  <c r="K25" i="15" s="1"/>
  <c r="I25" i="15" s="1"/>
  <c r="J26" i="15" s="1"/>
  <c r="K26" i="15" s="1"/>
  <c r="L13" i="15"/>
  <c r="E13" i="15" s="1"/>
  <c r="D13" i="15" l="1"/>
  <c r="C14" i="15" s="1"/>
  <c r="L14" i="15" s="1"/>
  <c r="J24" i="15"/>
  <c r="K24" i="15" s="1"/>
  <c r="I26" i="15"/>
  <c r="I27" i="15" s="1"/>
  <c r="I28" i="15" s="1"/>
  <c r="I29" i="15" s="1"/>
  <c r="I30" i="15" s="1"/>
  <c r="J31" i="15" s="1"/>
  <c r="K31" i="15" s="1"/>
  <c r="I31" i="15" s="1"/>
  <c r="J32" i="15" s="1"/>
  <c r="K32" i="15" s="1"/>
  <c r="M13" i="15" l="1"/>
  <c r="F13" i="15" s="1"/>
  <c r="I32" i="15"/>
  <c r="J28" i="15"/>
  <c r="K28" i="15" s="1"/>
  <c r="J30" i="15"/>
  <c r="K30" i="15" s="1"/>
  <c r="J29" i="15"/>
  <c r="K29" i="15" s="1"/>
  <c r="J27" i="15"/>
  <c r="K27" i="15" s="1"/>
  <c r="I33" i="15"/>
  <c r="J33" i="15"/>
  <c r="K33" i="15" s="1"/>
  <c r="E14" i="15"/>
  <c r="D14" i="15"/>
  <c r="C15" i="15" s="1"/>
  <c r="I34" i="15" l="1"/>
  <c r="J34" i="15"/>
  <c r="K34" i="15" s="1"/>
  <c r="L15" i="15"/>
  <c r="E15" i="15" s="1"/>
  <c r="M14" i="15"/>
  <c r="F14" i="15" s="1"/>
  <c r="I35" i="15" l="1"/>
  <c r="J35" i="15"/>
  <c r="K35" i="15" s="1"/>
  <c r="D15" i="15"/>
  <c r="C16" i="15" s="1"/>
  <c r="L16" i="15" s="1"/>
  <c r="E16" i="15" s="1"/>
  <c r="I36" i="15" l="1"/>
  <c r="J36" i="15"/>
  <c r="K36" i="15" s="1"/>
  <c r="M15" i="15"/>
  <c r="F15" i="15" s="1"/>
  <c r="D16" i="15"/>
  <c r="C17" i="15" s="1"/>
  <c r="L17" i="15" s="1"/>
  <c r="E17" i="15" s="1"/>
  <c r="I37" i="15" l="1"/>
  <c r="J37" i="15"/>
  <c r="K37" i="15" s="1"/>
  <c r="M16" i="15"/>
  <c r="F16" i="15" s="1"/>
  <c r="D17" i="15"/>
  <c r="C18" i="15" s="1"/>
  <c r="L18" i="15" s="1"/>
  <c r="E18" i="15" s="1"/>
  <c r="I38" i="15" l="1"/>
  <c r="J38" i="15"/>
  <c r="K38" i="15" s="1"/>
  <c r="M17" i="15"/>
  <c r="F17" i="15" s="1"/>
  <c r="D18" i="15"/>
  <c r="I39" i="15" l="1"/>
  <c r="J39" i="15"/>
  <c r="K39" i="15" s="1"/>
  <c r="C19" i="15"/>
  <c r="L19" i="15" s="1"/>
  <c r="E19" i="15" s="1"/>
  <c r="M18" i="15"/>
  <c r="F18" i="15" s="1"/>
  <c r="I40" i="15" l="1"/>
  <c r="J40" i="15"/>
  <c r="K40" i="15" s="1"/>
  <c r="D19" i="15"/>
  <c r="C20" i="15" s="1"/>
  <c r="L20" i="15" s="1"/>
  <c r="J41" i="15" l="1"/>
  <c r="K41" i="15" s="1"/>
  <c r="I41" i="15"/>
  <c r="M19" i="15"/>
  <c r="F19" i="15" s="1"/>
  <c r="D20" i="15"/>
  <c r="C21" i="15" s="1"/>
  <c r="L21" i="15" s="1"/>
  <c r="E21" i="15" s="1"/>
  <c r="E20" i="15"/>
  <c r="J42" i="15" l="1"/>
  <c r="K42" i="15" s="1"/>
  <c r="I42" i="15"/>
  <c r="J43" i="15" s="1"/>
  <c r="K43" i="15" s="1"/>
  <c r="I43" i="15" s="1"/>
  <c r="M20" i="15"/>
  <c r="F20" i="15" s="1"/>
  <c r="D21" i="15"/>
  <c r="C22" i="15" s="1"/>
  <c r="M21" i="15" l="1"/>
  <c r="F21" i="15" s="1"/>
  <c r="L22" i="15"/>
  <c r="E22" i="15" s="1"/>
  <c r="D22" i="15" l="1"/>
  <c r="C23" i="15" s="1"/>
  <c r="L23" i="15" s="1"/>
  <c r="E23" i="15" s="1"/>
  <c r="D23" i="15" l="1"/>
  <c r="C24" i="15" s="1"/>
  <c r="M22" i="15"/>
  <c r="F22" i="15" s="1"/>
  <c r="M23" i="15" l="1"/>
  <c r="F23" i="15" s="1"/>
  <c r="L24" i="15"/>
  <c r="E24" i="15" s="1"/>
  <c r="D24" i="15" l="1"/>
  <c r="C25" i="15" s="1"/>
  <c r="M24" i="15" l="1"/>
  <c r="F24" i="15" s="1"/>
  <c r="L25" i="15"/>
  <c r="E25" i="15" s="1"/>
  <c r="D25" i="15" l="1"/>
  <c r="C26" i="15" s="1"/>
  <c r="M25" i="15" l="1"/>
  <c r="F25" i="15" s="1"/>
  <c r="L26" i="15"/>
  <c r="E26" i="15" s="1"/>
  <c r="D26" i="15" l="1"/>
  <c r="M26" i="15" s="1"/>
  <c r="F26" i="15" s="1"/>
  <c r="C27" i="15" l="1"/>
  <c r="L27" i="15" s="1"/>
  <c r="E27" i="15" s="1"/>
  <c r="D27" i="15" l="1"/>
  <c r="C28" i="15" s="1"/>
  <c r="L28" i="15" s="1"/>
  <c r="E28" i="15" s="1"/>
  <c r="M27" i="15" l="1"/>
  <c r="F27" i="15" s="1"/>
  <c r="D28" i="15"/>
  <c r="C29" i="15" s="1"/>
  <c r="L29" i="15" s="1"/>
  <c r="E29" i="15" s="1"/>
  <c r="M28" i="15" l="1"/>
  <c r="F28" i="15" s="1"/>
  <c r="D29" i="15"/>
  <c r="C30" i="15" s="1"/>
  <c r="L30" i="15" s="1"/>
  <c r="M29" i="15" l="1"/>
  <c r="F29" i="15" s="1"/>
  <c r="D30" i="15"/>
  <c r="E30" i="15"/>
  <c r="C31" i="15" l="1"/>
  <c r="M30" i="15"/>
  <c r="F30" i="15" s="1"/>
  <c r="L31" i="15" l="1"/>
  <c r="D31" i="15" s="1"/>
  <c r="C32" i="15" s="1"/>
  <c r="E31" i="15" l="1"/>
  <c r="M31" i="15" s="1"/>
  <c r="F31" i="15" s="1"/>
  <c r="F44" i="15" s="1"/>
  <c r="D44" i="15"/>
  <c r="L32" i="15"/>
  <c r="D32" i="15" s="1"/>
  <c r="C33" i="15" s="1"/>
  <c r="E44" i="15" l="1"/>
  <c r="E32" i="15"/>
  <c r="L33" i="15"/>
  <c r="D33" i="15" s="1"/>
  <c r="B45" i="1"/>
  <c r="B58" i="1" s="1"/>
  <c r="A19" i="4" s="1"/>
  <c r="E33" i="15" l="1"/>
  <c r="M32" i="15"/>
  <c r="F32" i="15" s="1"/>
  <c r="C34" i="15"/>
  <c r="A9" i="2"/>
  <c r="M33" i="15" l="1"/>
  <c r="F33" i="15" s="1"/>
  <c r="L34" i="15"/>
  <c r="D34" i="15" s="1"/>
  <c r="C35" i="15" s="1"/>
  <c r="E34" i="15" l="1"/>
  <c r="L35" i="15"/>
  <c r="D35" i="15" s="1"/>
  <c r="C36" i="15" s="1"/>
  <c r="M34" i="15" l="1"/>
  <c r="F34" i="15" s="1"/>
  <c r="E35" i="15"/>
  <c r="L36" i="15"/>
  <c r="D36" i="15" s="1"/>
  <c r="C37" i="15" s="1"/>
  <c r="E36" i="15" l="1"/>
  <c r="M36" i="15" s="1"/>
  <c r="F36" i="15" s="1"/>
  <c r="M35" i="15"/>
  <c r="F35" i="15" s="1"/>
  <c r="L37" i="15"/>
  <c r="D37" i="15" s="1"/>
  <c r="C38" i="15" s="1"/>
  <c r="E37" i="15" l="1"/>
  <c r="L38" i="15"/>
  <c r="E38" i="15" s="1"/>
  <c r="D38" i="15" l="1"/>
  <c r="C39" i="15" s="1"/>
  <c r="L39" i="15" s="1"/>
  <c r="D39" i="15" s="1"/>
  <c r="C40" i="15" s="1"/>
  <c r="M37" i="15"/>
  <c r="F37" i="15" s="1"/>
  <c r="M38" i="15" l="1"/>
  <c r="F38" i="15" s="1"/>
  <c r="E39" i="15"/>
  <c r="L40" i="15"/>
  <c r="D40" i="15" s="1"/>
  <c r="C41" i="15" s="1"/>
  <c r="M39" i="15" l="1"/>
  <c r="F39" i="15" s="1"/>
  <c r="E40" i="15"/>
  <c r="M40" i="15" s="1"/>
  <c r="F40" i="15" s="1"/>
  <c r="L41" i="15"/>
  <c r="D41" i="15" s="1"/>
  <c r="C42" i="15" s="1"/>
  <c r="E41" i="15" l="1"/>
  <c r="L42" i="15"/>
  <c r="D42" i="15" s="1"/>
  <c r="M41" i="15" l="1"/>
  <c r="F41" i="15" s="1"/>
  <c r="E42" i="15"/>
  <c r="C43" i="15"/>
  <c r="M42" i="15" l="1"/>
  <c r="F42" i="15" s="1"/>
  <c r="L43" i="15"/>
  <c r="E43" i="15" s="1"/>
  <c r="D43" i="15" l="1"/>
  <c r="M43" i="15" s="1"/>
  <c r="F43" i="15" s="1"/>
  <c r="F9" i="16" l="1"/>
  <c r="F10" i="16" l="1"/>
  <c r="D9" i="16"/>
  <c r="F11" i="16" l="1"/>
  <c r="C10" i="16"/>
  <c r="E10" i="16" l="1"/>
  <c r="F12" i="16"/>
  <c r="F13" i="16" l="1"/>
  <c r="D10" i="16"/>
  <c r="C11" i="16" l="1"/>
  <c r="F14" i="16"/>
  <c r="E11" i="16" l="1"/>
  <c r="F15" i="16"/>
  <c r="F16" i="16" l="1"/>
  <c r="D11" i="16"/>
  <c r="C12" i="16" l="1"/>
  <c r="F17" i="16"/>
  <c r="F18" i="16" l="1"/>
  <c r="E12" i="16"/>
  <c r="D12" i="16" l="1"/>
  <c r="F19" i="16"/>
  <c r="F20" i="16" l="1"/>
  <c r="C13" i="16"/>
  <c r="E13" i="16" l="1"/>
  <c r="F21" i="16"/>
  <c r="F22" i="16" l="1"/>
  <c r="D13" i="16"/>
  <c r="C14" i="16" l="1"/>
  <c r="F23" i="16"/>
  <c r="F24" i="16" l="1"/>
  <c r="E14" i="16"/>
  <c r="D14" i="16" l="1"/>
  <c r="F25" i="16"/>
  <c r="C15" i="16" l="1"/>
  <c r="E15" i="16" l="1"/>
  <c r="D15" i="16" l="1"/>
  <c r="C16" i="16" l="1"/>
  <c r="E16" i="16" l="1"/>
  <c r="D16" i="16" l="1"/>
  <c r="C17" i="16" l="1"/>
  <c r="E17" i="16" l="1"/>
  <c r="D17" i="16" l="1"/>
  <c r="C18" i="16" l="1"/>
  <c r="E18" i="16" l="1"/>
  <c r="D18" i="16" l="1"/>
  <c r="C19" i="16" l="1"/>
  <c r="E19" i="16" l="1"/>
  <c r="D19" i="16" l="1"/>
  <c r="C20" i="16" l="1"/>
  <c r="E20" i="16" l="1"/>
  <c r="C60" i="1" s="1"/>
  <c r="C58" i="1" s="1"/>
  <c r="D20" i="16" l="1"/>
  <c r="C21" i="16" l="1"/>
  <c r="E21" i="16" l="1"/>
  <c r="D21" i="16" l="1"/>
  <c r="C22" i="16" l="1"/>
  <c r="E22" i="16" l="1"/>
  <c r="D22" i="16" l="1"/>
  <c r="C23" i="16" l="1"/>
  <c r="E23" i="16" l="1"/>
  <c r="D23" i="16" l="1"/>
  <c r="C24" i="16" l="1"/>
  <c r="E24" i="16" l="1"/>
  <c r="D24" i="16" l="1"/>
  <c r="C25" i="16" l="1"/>
  <c r="E25" i="16" l="1"/>
  <c r="D25" i="16" l="1"/>
  <c r="C26" i="16" l="1"/>
  <c r="D26" i="16" l="1"/>
  <c r="C27" i="16" l="1"/>
  <c r="C28" i="16" l="1"/>
  <c r="D27" i="16"/>
  <c r="C29" i="16" l="1"/>
  <c r="D28" i="16"/>
  <c r="D29" i="16" l="1"/>
  <c r="C30" i="16" l="1"/>
  <c r="D30" i="16" l="1"/>
  <c r="C31" i="16" l="1"/>
  <c r="C32" i="16" l="1"/>
  <c r="D31" i="16"/>
  <c r="C33" i="16" l="1"/>
  <c r="E32" i="16"/>
  <c r="D32" i="16"/>
  <c r="F32" i="16" l="1"/>
  <c r="D33" i="16"/>
  <c r="C34" i="16" l="1"/>
  <c r="C35" i="16" l="1"/>
  <c r="D34" i="16"/>
  <c r="D35" i="16" l="1"/>
  <c r="C36" i="16" l="1"/>
  <c r="C37" i="16" l="1"/>
  <c r="D36" i="16"/>
  <c r="D37" i="16" l="1"/>
  <c r="C38" i="16" l="1"/>
  <c r="D38" i="16" l="1"/>
  <c r="C39" i="16" l="1"/>
  <c r="C40" i="16" l="1"/>
  <c r="D39" i="16"/>
  <c r="C41" i="16" l="1"/>
  <c r="D40" i="16"/>
  <c r="D41" i="16" l="1"/>
  <c r="C42" i="16" l="1"/>
  <c r="C43" i="16" l="1"/>
  <c r="D42" i="16"/>
  <c r="C44" i="16" l="1"/>
  <c r="D43" i="16"/>
  <c r="D44" i="16" l="1"/>
  <c r="D45" i="16" s="1"/>
  <c r="F26" i="16"/>
  <c r="B90" i="1"/>
  <c r="F8" i="12" s="1"/>
  <c r="F44" i="16"/>
  <c r="F27" i="16"/>
  <c r="F28" i="16"/>
  <c r="F29" i="16"/>
  <c r="F30" i="16"/>
  <c r="F31" i="16"/>
  <c r="F33" i="16"/>
  <c r="F34" i="16"/>
  <c r="F35" i="16"/>
  <c r="F36" i="16"/>
  <c r="F37" i="16"/>
  <c r="F38" i="16"/>
  <c r="F39" i="16"/>
  <c r="F40" i="16"/>
  <c r="F41" i="16"/>
  <c r="F42" i="16"/>
  <c r="F43" i="16"/>
  <c r="E44" i="16"/>
  <c r="E26" i="16"/>
  <c r="E27" i="16"/>
  <c r="E28" i="16"/>
  <c r="E29" i="16"/>
  <c r="E30" i="16"/>
  <c r="E31" i="16"/>
  <c r="E33" i="16"/>
  <c r="E34" i="16"/>
  <c r="E35" i="16"/>
  <c r="E36" i="16"/>
  <c r="E37" i="16"/>
  <c r="E38" i="16"/>
  <c r="E39" i="16"/>
  <c r="E40" i="16"/>
  <c r="E41" i="16"/>
  <c r="E42" i="16"/>
  <c r="E43" i="16"/>
  <c r="F45" i="16" l="1"/>
  <c r="A24" i="3"/>
  <c r="E45" i="16"/>
  <c r="A23" i="3"/>
  <c r="A22" i="3" s="1"/>
  <c r="D8" i="12"/>
  <c r="F9" i="12"/>
  <c r="F10" i="12" l="1"/>
  <c r="C9" i="12"/>
  <c r="E9" i="12" l="1"/>
  <c r="F11" i="12"/>
  <c r="F12" i="12" l="1"/>
  <c r="D9" i="12"/>
  <c r="F13" i="12" l="1"/>
  <c r="C10" i="12"/>
  <c r="F14" i="12" l="1"/>
  <c r="E10" i="12"/>
  <c r="D10" i="12" l="1"/>
  <c r="F15" i="12"/>
  <c r="F16" i="12" l="1"/>
  <c r="C11" i="12"/>
  <c r="F17" i="12" l="1"/>
  <c r="E11" i="12"/>
  <c r="F18" i="12" l="1"/>
  <c r="D11" i="12"/>
  <c r="C12" i="12" l="1"/>
  <c r="F19" i="12"/>
  <c r="F20" i="12" l="1"/>
  <c r="E12" i="12"/>
  <c r="D12" i="12" l="1"/>
  <c r="F21" i="12"/>
  <c r="F22" i="12" l="1"/>
  <c r="C13" i="12"/>
  <c r="E13" i="12" l="1"/>
  <c r="F23" i="12"/>
  <c r="F24" i="12" l="1"/>
  <c r="D13" i="12"/>
  <c r="C14" i="12" s="1"/>
  <c r="E14" i="12" l="1"/>
  <c r="D14" i="12" s="1"/>
  <c r="C15" i="12" s="1"/>
  <c r="F25" i="12"/>
  <c r="E15" i="12" l="1"/>
  <c r="D15" i="12" s="1"/>
  <c r="C16" i="12" s="1"/>
  <c r="F26" i="12"/>
  <c r="E16" i="12" l="1"/>
  <c r="D16" i="12" s="1"/>
  <c r="C17" i="12" s="1"/>
  <c r="F27" i="12"/>
  <c r="E17" i="12" l="1"/>
  <c r="D17" i="12" s="1"/>
  <c r="C18" i="12" s="1"/>
  <c r="F28" i="12"/>
  <c r="E18" i="12" l="1"/>
  <c r="D18" i="12" s="1"/>
  <c r="C19" i="12" s="1"/>
  <c r="F29" i="12"/>
  <c r="F30" i="12" l="1"/>
  <c r="E19" i="12"/>
  <c r="D19" i="12" s="1"/>
  <c r="C20" i="12" s="1"/>
  <c r="E20" i="12" l="1"/>
  <c r="D20" i="12" s="1"/>
  <c r="C21" i="12" s="1"/>
  <c r="E21" i="12" l="1"/>
  <c r="D21" i="12" s="1"/>
  <c r="C22" i="12" s="1"/>
  <c r="E22" i="12" l="1"/>
  <c r="D22" i="12" s="1"/>
  <c r="C23" i="12" s="1"/>
  <c r="E23" i="12" l="1"/>
  <c r="D23" i="12" s="1"/>
  <c r="C24" i="12" s="1"/>
  <c r="E24" i="12" l="1"/>
  <c r="D24" i="12" s="1"/>
  <c r="C25" i="12" s="1"/>
  <c r="E25" i="12" l="1"/>
  <c r="D25" i="12" s="1"/>
  <c r="C26" i="12" s="1"/>
  <c r="E26" i="12" l="1"/>
  <c r="D26" i="12" s="1"/>
  <c r="C27" i="12" s="1"/>
  <c r="E27" i="12" l="1"/>
  <c r="D27" i="12" s="1"/>
  <c r="C28" i="12" s="1"/>
  <c r="E28" i="12" l="1"/>
  <c r="D28" i="12" s="1"/>
  <c r="C29" i="12" s="1"/>
  <c r="E29" i="12" l="1"/>
  <c r="D29" i="12" s="1"/>
  <c r="C30" i="12" s="1"/>
  <c r="E30" i="12" l="1"/>
  <c r="D30" i="12" s="1"/>
  <c r="C31" i="12" s="1"/>
  <c r="D31" i="12" l="1"/>
  <c r="C32" i="12"/>
  <c r="E31" i="12"/>
  <c r="E44" i="12" s="1"/>
  <c r="D32" i="12" l="1"/>
  <c r="C33" i="12" s="1"/>
  <c r="E32" i="12"/>
  <c r="F31" i="12"/>
  <c r="F44" i="12" s="1"/>
  <c r="D44" i="12"/>
  <c r="E33" i="12" l="1"/>
  <c r="D33" i="12"/>
  <c r="F33" i="12" s="1"/>
  <c r="F32" i="12"/>
  <c r="C34" i="12" l="1"/>
  <c r="D34" i="12" l="1"/>
  <c r="E34" i="12"/>
  <c r="C35" i="12"/>
  <c r="E35" i="12" l="1"/>
  <c r="D35" i="12"/>
  <c r="F35" i="12" s="1"/>
  <c r="C36" i="12"/>
  <c r="F34" i="12"/>
  <c r="D36" i="12" l="1"/>
  <c r="C37" i="12"/>
  <c r="E36" i="12"/>
  <c r="E37" i="12" l="1"/>
  <c r="D37" i="12"/>
  <c r="F37" i="12" s="1"/>
  <c r="F36" i="12"/>
  <c r="C38" i="12" l="1"/>
  <c r="D38" i="12" l="1"/>
  <c r="C39" i="12"/>
  <c r="E38" i="12"/>
  <c r="E39" i="12" l="1"/>
  <c r="D39" i="12"/>
  <c r="F39" i="12" s="1"/>
  <c r="F38" i="12"/>
  <c r="C40" i="12" l="1"/>
  <c r="D40" i="12"/>
  <c r="E40" i="12"/>
  <c r="C41" i="12"/>
  <c r="E41" i="12" l="1"/>
  <c r="D41" i="12"/>
  <c r="F41" i="12" s="1"/>
  <c r="F40" i="12"/>
  <c r="C42" i="12" l="1"/>
  <c r="D42" i="12" l="1"/>
  <c r="E42" i="12"/>
  <c r="F42" i="12" l="1"/>
  <c r="C43" i="12"/>
  <c r="D43" i="12" l="1"/>
  <c r="E43" i="12"/>
  <c r="F43" i="12" l="1"/>
</calcChain>
</file>

<file path=xl/sharedStrings.xml><?xml version="1.0" encoding="utf-8"?>
<sst xmlns="http://schemas.openxmlformats.org/spreadsheetml/2006/main" count="637" uniqueCount="452">
  <si>
    <t>служебная</t>
  </si>
  <si>
    <t>другое</t>
  </si>
  <si>
    <t>Г.В. Тян</t>
  </si>
  <si>
    <t>-</t>
  </si>
  <si>
    <r>
      <t>P</t>
    </r>
    <r>
      <rPr>
        <b/>
        <u/>
        <sz val="9"/>
        <rFont val="Arial"/>
        <family val="2"/>
        <charset val="204"/>
      </rPr>
      <t>________________</t>
    </r>
  </si>
  <si>
    <t>Наименование</t>
  </si>
  <si>
    <t>Согласованная залоговая стоимость, сум</t>
  </si>
  <si>
    <t>ИТОГО</t>
  </si>
  <si>
    <t>(78) 113 31 34</t>
  </si>
  <si>
    <t>Дата погашения</t>
  </si>
  <si>
    <t xml:space="preserve"> Остаток основного долга </t>
  </si>
  <si>
    <t>Сумма погашения, сум</t>
  </si>
  <si>
    <t xml:space="preserve"> основного долга</t>
  </si>
  <si>
    <t>процентов*</t>
  </si>
  <si>
    <t>всего*</t>
  </si>
  <si>
    <t>№</t>
  </si>
  <si>
    <t>Приложение №1</t>
  </si>
  <si>
    <t>График погашения</t>
  </si>
  <si>
    <t>*В случае осуществления погашения платежей по кредиту в даты, отличные от указанных в графике погашения, сумма платежа меняется на сумму процентов, которые начисляются на сумму остатка долга по микрозайму в соответствии с п.п. 2.2. настоящего договора.</t>
  </si>
  <si>
    <t>Полезная площадь</t>
  </si>
  <si>
    <t>Жилая площадь</t>
  </si>
  <si>
    <t>Общая площадь</t>
  </si>
  <si>
    <t>№ кадастра</t>
  </si>
  <si>
    <t>990000__</t>
  </si>
  <si>
    <t>№01042</t>
  </si>
  <si>
    <t>июля</t>
  </si>
  <si>
    <t>№20216000705068380001</t>
  </si>
  <si>
    <t>306365847</t>
  </si>
  <si>
    <t xml:space="preserve"> </t>
  </si>
  <si>
    <t>июль</t>
  </si>
  <si>
    <t>Пн</t>
  </si>
  <si>
    <t>Вт</t>
  </si>
  <si>
    <t>Ср</t>
  </si>
  <si>
    <t>Чт</t>
  </si>
  <si>
    <t>Пт</t>
  </si>
  <si>
    <t>Сб</t>
  </si>
  <si>
    <t>Вс</t>
  </si>
  <si>
    <t xml:space="preserve">В НОТАРИАЛЬНУЮ </t>
  </si>
  <si>
    <t>С уважением,</t>
  </si>
  <si>
    <t>Исполнительный директора</t>
  </si>
  <si>
    <t>ООО «Clever Mikrokredit Tashkiloti»</t>
  </si>
  <si>
    <t>ФИО</t>
  </si>
  <si>
    <t>дата</t>
  </si>
  <si>
    <t>№ договора</t>
  </si>
  <si>
    <t>сог. Сумма (пропис.)</t>
  </si>
  <si>
    <t>Сог. Сумма</t>
  </si>
  <si>
    <t>SHOUSMANOVA DAVLATXON XXX</t>
  </si>
  <si>
    <t>SHOUSMANOVA D</t>
  </si>
  <si>
    <t>AC 0623976</t>
  </si>
  <si>
    <t>FARGONA VILOYATI QOQON SHAHAR GUZAR 266 12</t>
  </si>
  <si>
    <t>YUNUSOVA ZALOXAT MIRSULTANOVNA</t>
  </si>
  <si>
    <t>TULYAGANOV XODJIAKBAR IRGASHEVICH</t>
  </si>
  <si>
    <t xml:space="preserve">Начальник отдела кредитования </t>
  </si>
  <si>
    <t>SAMARQAND VILOYATI TAYLOQ TUMANI CHAROG'BON MFY YANGI TAYLOQ QISHLOG'I 6 TURAR JOY 12 QAVAT 58 XONADON</t>
  </si>
  <si>
    <t>№14:13:02:01:03:1179:0006:058 от 16.12.2020 г.</t>
  </si>
  <si>
    <t>1718238/R-A1419303</t>
  </si>
  <si>
    <t>Исх №15/06-001</t>
  </si>
  <si>
    <t>от 15.06.2021 г.</t>
  </si>
  <si>
    <t>КОНТОРУ Г.САМАРКАНД</t>
  </si>
  <si>
    <t>Микрофинансовой организацией и Заемщиком</t>
  </si>
  <si>
    <t>Qarz oluvchi bo’yicha ma’lumotlar</t>
  </si>
  <si>
    <t>Ariza beruvchining FISh (kim? – Ibragimov Rustam Sadikovich)</t>
  </si>
  <si>
    <t>agar o’zgarishlar bo’lgan bo’lsa oldingi FISh (Sadikov Rustam Sadikovich yoki yo’q)</t>
  </si>
  <si>
    <t>Ariza beruvchining FISh (kim? – Ibragimov R.S.)</t>
  </si>
  <si>
    <t>FISh (ariza kimdan? – Ibragimov Rustam Sadikovichdan)</t>
  </si>
  <si>
    <t>FISh (kimdan? – Ibragimov R.S.dan)</t>
  </si>
  <si>
    <t>FISh (kimga? – Ibragimov Rustam Sadikovichga)</t>
  </si>
  <si>
    <t>FISh (kimga? – Ibragimov R.S.ga)</t>
  </si>
  <si>
    <t>FISh (kim bilan? – Ibragimov Rustam Sadikovich bilan)</t>
  </si>
  <si>
    <t>FISh (kim bilan? – Ibragimov R.S. bilan)</t>
  </si>
  <si>
    <t>Fuqaroligi (O’zbekiston Respublikasi)</t>
  </si>
  <si>
    <t>Tug’ilgan sanasi (01.10.2011 yil)</t>
  </si>
  <si>
    <t>Pasport seriyasi (СА №1234567)</t>
  </si>
  <si>
    <t>O’zbekiston Respublikasi</t>
  </si>
  <si>
    <t>yoq</t>
  </si>
  <si>
    <t xml:space="preserve">Kim va qachon berilgan
(Toshkent shahri Chilonzor IIB tomonidan 2011 yil __.____)
</t>
  </si>
  <si>
    <t xml:space="preserve">Pasportni amal qilish muddati
(01.10.2011 yilgacha / yoki muddatsiz)
</t>
  </si>
  <si>
    <t xml:space="preserve">doimiy ro’yhatdan o’tgan joyi
(Toshkent sh., Mirobod tumani, Nukus ko’chasi, 1 uy, 1 honadon)
</t>
  </si>
  <si>
    <t>doimiy ro’yhatdan o’tgan joyi haqiqatdagi turar joyi bilan mos keladi/mos kelmaydi</t>
  </si>
  <si>
    <t xml:space="preserve">Ro’yhatdan o’tish joyida yashash asosi
</t>
  </si>
  <si>
    <t>Telefon raqami kod bilan ((99871) 277 77 77)</t>
  </si>
  <si>
    <t>Mo’ljal</t>
  </si>
  <si>
    <t>Haqiqatdagi yashash joyi (Toshkent sh., Mirobod tumani, Nukus ko’chasi, 1 uy, 1 honadon)</t>
  </si>
  <si>
    <t>Haqiqatdagi yashash joyida turish asosi</t>
  </si>
  <si>
    <t>Mijozning jinsi</t>
  </si>
  <si>
    <t>Tug’ilgan joyi (Toshkent)</t>
  </si>
  <si>
    <t>Oilaviy ahvoli</t>
  </si>
  <si>
    <t>Oila a'zolari soni (jami):</t>
  </si>
  <si>
    <t>Ma’lumoti</t>
  </si>
  <si>
    <t>Mutaxassisligi</t>
  </si>
  <si>
    <t>Ish telefoni raqami kod bilan ((99890) 3270000)</t>
  </si>
  <si>
    <t>Mobil telefon raqami kod bilan ((99890) 3270000)</t>
  </si>
  <si>
    <t>Asosiy ish joyi</t>
  </si>
  <si>
    <t>Lavozimi</t>
  </si>
  <si>
    <t>Tashkilotning haqiqiy manzili (Toshkent sh., Mirobod tumani, Nukus ko’chasi, 1 uy, 1 honadon)</t>
  </si>
  <si>
    <t>Ish staji, sanasidan (01.10.2011 yildan)</t>
  </si>
  <si>
    <t>Umumiy mehnat staji (3 yil/ 5 yil)</t>
  </si>
  <si>
    <t>Ish joyi telefon raqami</t>
  </si>
  <si>
    <t>Mijozning STIRi</t>
  </si>
  <si>
    <t>Mijozning unikal kodi</t>
  </si>
  <si>
    <t>Mulk huquqi</t>
  </si>
  <si>
    <t>ijara</t>
  </si>
  <si>
    <t>mos keladi</t>
  </si>
  <si>
    <t>mos kelmaydi</t>
  </si>
  <si>
    <t>QARZ OLUVCHINING ISH JOYI, LAVOZIMI VA O'RTACHA OYLIK DAROMADI</t>
  </si>
  <si>
    <t>Ish joyi</t>
  </si>
  <si>
    <t>O’rtacha oylik daromadi</t>
  </si>
  <si>
    <t>Mijozning boshqa daromadlari</t>
  </si>
  <si>
    <t>Ishning davomiyligi</t>
  </si>
  <si>
    <t>Ish joyidan ma’lumotnomaning raqami va sanasi</t>
  </si>
  <si>
    <t>Kredit bo’yicha parametrlar</t>
  </si>
  <si>
    <t>Kredit turi</t>
  </si>
  <si>
    <t>Kredit shartnomasi raqami</t>
  </si>
  <si>
    <t>Kredit shartnomasi sanasi (14.10.2011)</t>
  </si>
  <si>
    <t>Kredit shartnomasi sanasi (14.10.2011 y.)</t>
  </si>
  <si>
    <t>Tugash sanasi QO’L BILAN KIRITILADI</t>
  </si>
  <si>
    <t>mart</t>
  </si>
  <si>
    <t>aprel</t>
  </si>
  <si>
    <t>may</t>
  </si>
  <si>
    <t>iyun</t>
  </si>
  <si>
    <t>iyul</t>
  </si>
  <si>
    <t>avgust</t>
  </si>
  <si>
    <t>sentabr</t>
  </si>
  <si>
    <t>oktabr</t>
  </si>
  <si>
    <t>noyabr</t>
  </si>
  <si>
    <t>dekabr</t>
  </si>
  <si>
    <t>yanvar</t>
  </si>
  <si>
    <t>fevral</t>
  </si>
  <si>
    <t>Kredit shartnomasi raqami va sanasi</t>
  </si>
  <si>
    <t>QO’L BILAN KIRITILADI</t>
  </si>
  <si>
    <t xml:space="preserve">Grafik turi </t>
  </si>
  <si>
    <t>Mikroqarzni to'lash sanasi (14.10.2011 y.) QO’L BILAN KIRITILADI</t>
  </si>
  <si>
    <t>Oylik to'lov</t>
  </si>
  <si>
    <t>GAROV BO’YICHA MA’LUMOTLAR</t>
  </si>
  <si>
    <t>Uzbek tilida</t>
  </si>
  <si>
    <t>annuitet</t>
  </si>
  <si>
    <t>differensial</t>
  </si>
  <si>
    <t>on besh million</t>
  </si>
  <si>
    <t>Birlamchi</t>
  </si>
  <si>
    <t>navbatdagi garov</t>
  </si>
  <si>
    <t>Ha</t>
  </si>
  <si>
    <t>yo’q</t>
  </si>
  <si>
    <t>Garovga beruvchining o’zi</t>
  </si>
  <si>
    <t>Bosh ishonchnoma bo’yicha boshqa shaxs</t>
  </si>
  <si>
    <t>Garovga beruvchi mulkdormi?</t>
  </si>
  <si>
    <t>Agar garovga beruvchi qarz oluvchi bo'lmasa, garovga kim qo'yganligini ko'rsating</t>
  </si>
  <si>
    <t>Bosh ishonchnoma bo’yicha bo’lsa FIShni ko’rsating</t>
  </si>
  <si>
    <t xml:space="preserve">Bosh ishonchnoma bo’yicha bo’lsa FIShni ko’rsating qisqacha </t>
  </si>
  <si>
    <t>ISHONCHNOMA BO’YICHA MA’LUMOTLAR</t>
  </si>
  <si>
    <t>Notarius manzili (Toshkent shahri, Olmazor tumani)</t>
  </si>
  <si>
    <t>Kim tomonidan berilgan (Notariusning FISh – Eshkabilov X.B.)</t>
  </si>
  <si>
    <t xml:space="preserve">Ishonchnoma reestr raqami </t>
  </si>
  <si>
    <t>Ishonchnoma berilgan sana</t>
  </si>
  <si>
    <t>Avtotransport</t>
  </si>
  <si>
    <t>Ko’chmas mulk</t>
  </si>
  <si>
    <t>1</t>
  </si>
  <si>
    <t>erkak</t>
  </si>
  <si>
    <t>03.05.1952 y.</t>
  </si>
  <si>
    <t>FARGONA VILOYATI QOQON SHAHAR IIB tomonidan 05.08.2018 y.</t>
  </si>
  <si>
    <t xml:space="preserve"> xonalar soni</t>
  </si>
  <si>
    <t>Mikromoliya tashkiloti va Qarz oluvchi</t>
  </si>
  <si>
    <t>reestr raqami</t>
  </si>
  <si>
    <t>uy</t>
  </si>
  <si>
    <t>xonadon</t>
  </si>
  <si>
    <t>umumiy maydon</t>
  </si>
  <si>
    <t>yer maydoni</t>
  </si>
  <si>
    <t>Kelishish dalolatnomasi raqami</t>
  </si>
  <si>
    <t>Sana</t>
  </si>
  <si>
    <t>Yo’q bo’lsa FIShni ko’rsating</t>
  </si>
  <si>
    <t>Tug’ilgan sanasi (01.10.2011 y.)</t>
  </si>
  <si>
    <t>Garovga beruvchining FISh</t>
  </si>
  <si>
    <t>Avtoni Mijozga ro’yhatga o’tish joyi</t>
  </si>
  <si>
    <t>Mijozni nomidagi Avtomototransport vositasi ro’yhatdan o’tkazilzanligi to’g’risida guvohnoma (ААС №______  __.__.___ y.)</t>
  </si>
  <si>
    <t>Avtomototransport vositasi ro’yhatdan o’tkazilzanligi to’g’risida guvohnomada ko’rsatilganidek nomlanishi</t>
  </si>
  <si>
    <t>Avtomototransport vositasi davlat raqami – Mijozning nomiga</t>
  </si>
  <si>
    <t>Kuzov turi va raqami</t>
  </si>
  <si>
    <t>Kuzov turi</t>
  </si>
  <si>
    <t>Kuzov raqami</t>
  </si>
  <si>
    <t>Dvigatel raqami va shassi raqami</t>
  </si>
  <si>
    <t>Dvigatel</t>
  </si>
  <si>
    <t>shassi</t>
  </si>
  <si>
    <t>Ishlab chiqarilgan yili va rangi</t>
  </si>
  <si>
    <t>rangi</t>
  </si>
  <si>
    <t>Ishlab chiqarilgan yili</t>
  </si>
  <si>
    <t>Kelishilgan garov qiymati</t>
  </si>
  <si>
    <t xml:space="preserve">Tashkilot nomlanishi </t>
  </si>
  <si>
    <t>Ishonchnoma</t>
  </si>
  <si>
    <t>Toshkent shahri, Olmazor tumani, Sagbon ko'chasi, 30 boshi berk, 6-uy</t>
  </si>
  <si>
    <t>ATB “Kapitalbank” Sergeli filiali</t>
  </si>
  <si>
    <t>hujjat asosida</t>
  </si>
  <si>
    <t xml:space="preserve">Manzil </t>
  </si>
  <si>
    <t>h/r</t>
  </si>
  <si>
    <t>Bank MFOsi</t>
  </si>
  <si>
    <t>Bankning nomlanishi</t>
  </si>
  <si>
    <t>STIR</t>
  </si>
  <si>
    <t>Bosh buhgalter FISh</t>
  </si>
  <si>
    <t>Kreditlash bo’limi boshlig’i</t>
  </si>
  <si>
    <t>Lisenziya raqami</t>
  </si>
  <si>
    <t>Berilgan sanasi</t>
  </si>
  <si>
    <t>Bitimga buyruq raqami</t>
  </si>
  <si>
    <t>Buyruq sanasi</t>
  </si>
  <si>
    <r>
      <rPr>
        <b/>
        <sz val="11"/>
        <color theme="1"/>
        <rFont val="Calibri"/>
        <family val="2"/>
        <charset val="204"/>
        <scheme val="minor"/>
      </rPr>
      <t>B</t>
    </r>
    <r>
      <rPr>
        <sz val="11"/>
        <color theme="1"/>
        <rFont val="Calibri"/>
        <family val="2"/>
        <scheme val="minor"/>
      </rPr>
      <t>irinchi</t>
    </r>
  </si>
  <si>
    <t>Ikkinchi</t>
  </si>
  <si>
    <t>Uchinchi</t>
  </si>
  <si>
    <t>Beshinchi</t>
  </si>
  <si>
    <t>Yettinchi</t>
  </si>
  <si>
    <t>Sakkizinchi</t>
  </si>
  <si>
    <t>Tuqqizinchi</t>
  </si>
  <si>
    <t>Yigirmanchi</t>
  </si>
  <si>
    <t>Yigirma birinchi</t>
  </si>
  <si>
    <t>Yigizma ikkinchi</t>
  </si>
  <si>
    <t>Yigirma uchinchi</t>
  </si>
  <si>
    <t>Yigirma beshinchi</t>
  </si>
  <si>
    <t>KUN TARTIBI:</t>
  </si>
  <si>
    <t>Toshkent shahri</t>
  </si>
  <si>
    <t>MIJOZ HAQIDA MA'LUMOTLAR</t>
  </si>
  <si>
    <t>Mijozning moliyaviy holati</t>
  </si>
  <si>
    <t>Nomi</t>
  </si>
  <si>
    <t>Kuzov turi  va kuzov raqami*</t>
  </si>
  <si>
    <t>Dvigatel va shassi raqami*</t>
  </si>
  <si>
    <t>Ishlab chiqarilgan yili va rangi*</t>
  </si>
  <si>
    <t>Kelishilgan garov qiymati, so'm</t>
  </si>
  <si>
    <t xml:space="preserve">Toshkent shahri </t>
  </si>
  <si>
    <t>Foydali maydoni</t>
  </si>
  <si>
    <t>Yashasha maydoni</t>
  </si>
  <si>
    <t>Umumiy maydoni</t>
  </si>
  <si>
    <t>Yashash xona</t>
  </si>
  <si>
    <t>Noturar joy</t>
  </si>
  <si>
    <t>JAMI</t>
  </si>
  <si>
    <t>Shu bilan birga, garov predmetining kelishilgan garov qiymati deganda ushbu mulk garov sifatida taqdim etilgan/qabul qilingan qiymati tushuniladi.</t>
  </si>
  <si>
    <t>1-tomondan:</t>
  </si>
  <si>
    <t>2-tomondan:</t>
  </si>
  <si>
    <t>O'zbekiston Respublikasi fuqarosi</t>
  </si>
  <si>
    <t>MAJBURIYATNOMA</t>
  </si>
  <si>
    <t xml:space="preserve">     Ushbu majburiyatlarimni bajarmagan taqdirimda O'zbekiston Respublikasi jinoyat kodeksining 233-moddasi talablari asosida javobgarlik tog'risida ogohlantrildim. </t>
  </si>
  <si>
    <t>Imzo_____________</t>
  </si>
  <si>
    <t>MIJOZNING ANKETASI</t>
  </si>
  <si>
    <t>1. MIJOZ HAQIDA MA'LUMOTLAR:</t>
  </si>
  <si>
    <t>2. Mijoz bilan ulanich uchun aloqa ma'lumotlari:</t>
  </si>
  <si>
    <t>3. MIJOZNING ISH JOYI HAQIDA MA'LUMOT:</t>
  </si>
  <si>
    <t>4. MIJOZNING OYLIK DAROMADLARI VA XARAJATLARI
HAQIDA MA'LUMOT</t>
  </si>
  <si>
    <t>Daromad manbalari</t>
  </si>
  <si>
    <t>Mijoz</t>
  </si>
  <si>
    <t>Turmush o'rtog'i</t>
  </si>
  <si>
    <t>Boshqa oila a'zolari</t>
  </si>
  <si>
    <t>Xarajatlar</t>
  </si>
  <si>
    <t>Мiqdori</t>
  </si>
  <si>
    <t>ish haqi (asosiy ish)</t>
  </si>
  <si>
    <t>ish haqi (o‘rindoshlik)</t>
  </si>
  <si>
    <t>boshqa daromadlar</t>
  </si>
  <si>
    <t>uy-joy va kommunal xizmatlar uchun to'lov</t>
  </si>
  <si>
    <t>oilaviy xarajatlar</t>
  </si>
  <si>
    <t>boshqa xarajatlar</t>
  </si>
  <si>
    <t>Men, _________________________________________________________________ (to'liq ismi sharifi), ushbu anketadagi barcha ma'lumotlar anketa to'ldirilgan sanada to'g'ri ekanligini tasdiqlayman va ushbu anketaning 1- va 2-bandlarini tan olaman va ularga rozilik bildiraman. 
Mazkur anketaning 4-bo'limida ko'rsatilgan daromadlarim haqidagi ma'lumotlarni qabul qilishingizni va moliyaviy tahlilda foydalanishingizni so’rayman.</t>
  </si>
  <si>
    <t xml:space="preserve">Mijozning to'liq ismi sharifi </t>
  </si>
  <si>
    <t>Imzo</t>
  </si>
  <si>
    <t>ANKETA</t>
  </si>
  <si>
    <t>Mijozning to'liq ismi sharifi</t>
  </si>
  <si>
    <t>Yaqin qarindoshlaringiz orasida ommaviy mansabdor shaxslar bormi?</t>
  </si>
  <si>
    <t>Do'stlaringiz yoki yaqinlaringizdan birontasi ommaviy mansabdor shaxsmi?</t>
  </si>
  <si>
    <t>Yuqoridagi savollardan biriga «Ha» deb javob bergan bo'lsangiz, javobingizni qisqacha tushuntirib bering:</t>
  </si>
  <si>
    <t>Yo'q</t>
  </si>
  <si>
    <t>Siz bank amaliyotlarini amalga oshirishda uchinchi shaxsning manfaatlarini ifodalaysizmi?</t>
  </si>
  <si>
    <t>Agar oldingi savolga «HA» deb javob bergan bo'lsangiz, bank operatsiyalarini bajarich uchun ishonchnomangiz bormi?</t>
  </si>
  <si>
    <t>Agar oldingi savolga «YO'Q» deb javob bergan bo'lsangiz, javobingizni qisqacha tushuntirib bering:</t>
  </si>
  <si>
    <t>Ommaviy mansabdor shaxslar — doimiy, vaqtincha yoki maxsus vakolatli organ tomonidan tayinlangan yoki saylangan, tashkiliy-maʼmuriy funktsiyalarni bajaruvchi hamda xorijiy davlatning qonun chiqaruvchi, ijro etuvchi, maʼmuriy yoki sud organida yoxud xalqaro tashkilotda yuridik ahamiyatga molik harakatlarni amalga oshirishga vakolatli shaxslar, shuningdek xorijiy davlatlar korxonalarining yuqori martabali rahbarlari, taniqli siyosatchilar va xorijiy davlatlar siyosiy partiyalarining taniqli a'zolari.</t>
  </si>
  <si>
    <t>Anketadagi barcha ma'lumotlar to'g'ri, agar o'zgarishlar bo'lsa, men bu haqida xabardor qilish majburiyatini o'z zimmamga olaman.</t>
  </si>
  <si>
    <t>□ O‘zbekiston Respublikasi Markaziy banki huzuridagi kredit axborotining davlat reestri;</t>
  </si>
  <si>
    <t>□ Kredit-axborot tahliliy markazi «O‘zbekiston Respublikasi kredit byurosi» MChJ;</t>
  </si>
  <si>
    <t>□ Garov reestri taqdim etilgan garov mulki haqida.</t>
  </si>
  <si>
    <t>Ariza berilgan kuniga barcha ma'lumotlar ishonchligini tasdiqlab, ushbu arizani imzolayman</t>
  </si>
  <si>
    <t>yashash maydoni</t>
  </si>
  <si>
    <t>72.13 kv.m.</t>
  </si>
  <si>
    <t>37.39 kv.m</t>
  </si>
  <si>
    <t>oktyabr</t>
  </si>
  <si>
    <t>sentyabr</t>
  </si>
  <si>
    <t xml:space="preserve">ottiz yetti million besh yuz ming </t>
  </si>
  <si>
    <t>ha</t>
  </si>
  <si>
    <t>Protokol raqami</t>
  </si>
  <si>
    <t>Savol raqami</t>
  </si>
  <si>
    <t>Savol raqami qol bilan</t>
  </si>
  <si>
    <t>QAROR QILADI:</t>
  </si>
  <si>
    <t>Qaror bir ovozdan qabul qilindi.</t>
  </si>
  <si>
    <t>Yashash maydoni</t>
  </si>
  <si>
    <t>1. SHARTNOMA PREDMETI</t>
  </si>
  <si>
    <t>Yer uchastkasining foydalanish maydoni, m²</t>
  </si>
  <si>
    <t>Yashash maydoni, m²</t>
  </si>
  <si>
    <t>Umumiy maydoni, m²</t>
  </si>
  <si>
    <t>3.3. Asosiy qarzni, foizlar yoki ushbu shartnoma bo‘yicha belgilangan muddatdan kechiktirilganligi bo‘yicha penyalarni qaytarish muddati kechiktirilishi yuzaga kelganda va/yoki ushbu shartnoma bo‘yicha boshqa majburiyatlar buzilishi holatlarida Mikromoliya tashkiloti O‘zbekiston Respublikasining amaldagi qonunchiligiga muvofiq qarzni undirish uchun qaytarib olinmaydigan va muqarrar tartibda unidirishni garov ob'ektiga qaratish huquqiga ega bo‘ladi.</t>
  </si>
  <si>
    <t>To'lov jadvali</t>
  </si>
  <si>
    <t>To'lov muddati</t>
  </si>
  <si>
    <t xml:space="preserve"> Asosiy qarz qoldig'i  </t>
  </si>
  <si>
    <t>To'lov miqdori, so'm</t>
  </si>
  <si>
    <t xml:space="preserve"> asosiy qarz</t>
  </si>
  <si>
    <t>foizlar</t>
  </si>
  <si>
    <t>jami*</t>
  </si>
  <si>
    <t>«Mikromoliya tashkiloti »</t>
  </si>
  <si>
    <t>Sana:</t>
  </si>
  <si>
    <t>dan</t>
  </si>
  <si>
    <t>Garov sifatida quyida ko’rsatilgan mulk qabul qilinadi:</t>
  </si>
  <si>
    <t>Kuzov turi  va kuzov raqami</t>
  </si>
  <si>
    <t>Dvigatel va shassi raqami</t>
  </si>
  <si>
    <t xml:space="preserve">Garovga qo‘yilgan mol-mulkni ko‘zdan kechirish natijasida ushbu mulk qoniqarli holatda ekanligi ma’lum bo‘ldi va bu haqida mazkur dalolatnoma tuzildi </t>
  </si>
  <si>
    <t>Monitoring bo'limi boshlig'i</t>
  </si>
  <si>
    <t>Jismoniy shaxs, qarzdor</t>
  </si>
  <si>
    <t>Yordamchi maydoni</t>
  </si>
  <si>
    <t>«Qarz oluvchi»</t>
  </si>
  <si>
    <t>«Mikromoliya tashkiloti»</t>
  </si>
  <si>
    <t>11.7. Ushbu Shartnoma o’zbek tilida 2 (ikki) nusxada tuzildi va ikkala nusxa xam teng yuridik kuchga ega.</t>
  </si>
  <si>
    <t>11.6. Qarz oluvchi Mikromoliya tashkilotining oldindan yozma roziligini olmasdan turib o‘z majburiyatlari yoki huquqlarini uchinchi shaxslarga o‘tkaza olmaydi.</t>
  </si>
  <si>
    <t>11.5. Ushbu shartnomada ko‘zda tutilmagan holatlarda Tomonlar O‘zbekiston Respublikasining amaldagi qonunchiligiga amal qiladilar.</t>
  </si>
  <si>
    <t>11.4. Ushbu bitimni amalga oshirish bilan, Qarz oluvchi kelishuvning muhimligi va uni tuzishning yuridik oqibatlarini to‘liq tushunib yetishi, shu sababli Shartnomani tuzish yanglishishlar, aldov, zo‘ravonlik, tahdidlar, yomon niyatli bitim yoki murakkab holatlar (tutqinlik) ta'sirida emasligini tasdiqlaydi.</t>
  </si>
  <si>
    <t>11.3. Ushbu shartnomani bajarish uchun zarur bo‘lgan ismi (nomlanishi), ro‘yxatdan o‘tgan joyi, haqiqiy yashash joyi, manzili (joylashgan yeri), bank rekvizitlari va boshqa ma'lumotlar o‘zgargan holatlarda, Tomonlarning har biri bunday o‘zgarishlar amalga oshgan kundan boshlab 5 (besh) kalendar kun ichida boshqa Tomonni bunday o‘zgarishlar haqida yozma ravishda xabardor qilishi shart.</t>
  </si>
  <si>
    <t xml:space="preserve">11.2. Ushbu shartnomani bajarish, o‘zgartirish va bekor qilish bilan bog‘liq barcha yozishma va xabarnomalar Tomonlarning ushbu shartnomaning yakuniy qismida ko‘rsatilgan pochta manzillariga yuboriladi. </t>
  </si>
  <si>
    <t>11.1. Ushbu shartnoma kuchga kirganidan keyin, o‘zaro munosabatlarga aloqador barcha yozishmalar yoki kelishuvlar, o‘z kuchini yo‘qotadi.</t>
  </si>
  <si>
    <t>11. BOSHQA SHARTLAR</t>
  </si>
  <si>
    <t>10.3. Qarz oluvchi, shuningdek, Mikromoliya tashkiloti shartnoma doirasida olingan ma'lumotlarni kredit byurosi va garov reestri, skoring kompaniyasi, uyali aloqa operatori, sug‘urta kompaniyasi, reklama ishlab chiqaruvchilari va tarqatuvchilari, shuningdek Mikromoliya tashkilotining boshqa hamkorlariga taqdim etishga roziligini bildiradi.</t>
  </si>
  <si>
    <t>10.2. Rozilik, shu jumladan shahsiy ma'lumotlar bilan quyidagi harakatlarni amalga oshirishga beriladi: yig‘ish, tizimlashtirish, to‘plash, saqlash, aniqlashtirish (yangilash, o‘zgartirish), foydalanish; O‘zbekiston Respublikasi qonun hujjatlarida nazarda tutilgan hollar va darajada tarqatish, shu jumladan davlat organlari va boshqa tashkilotlarga taqdim etish, shaxsiy ma'lumotlarning egasizlantirish, blokirovka va yo‘q qilish.</t>
  </si>
  <si>
    <t>10.1. Ushbu shartnomani tuzish bilan, Qarz oluvchi Mikromoliya tashkilotiga uning shaxsiy ma'lumotlari, shu jumladan, familiyasi, ismi, otasining ismi, pasport ma'lumotlari (shu jumladan, pasport raqami, berilgan vaqti va sanasi, ro‘yxatdan o‘tgan manzili va boshqalar); aloqaga chiqish uchun ma'lumotlar (shu jumladan, telefon raqami, e-mail, pochta manzili va boshqalar); STIR, ushbu shartnoma maqsadiga tegishli bo‘lgan boshqa ma'lumotlarni har qanday maqsadda ishlov berishga rozilik beradi.</t>
  </si>
  <si>
    <t>10. SHAXSIY MA'LUMOTLARNI QAYTA ISHLASH</t>
  </si>
  <si>
    <t>9.3. Ushbu Shartnomaga kiritiladigan barcha o‘zgartirish va qo‘shimchalar, ushbu Shartnomada kelishilgan holatlardan tashqari, ikkala Tomon tarafidan qo‘shimcha bitimni yozma shaklda imzolagan holda amalga oshiriladi.</t>
  </si>
  <si>
    <t>9.1. Ushbu Shartnoma Tomonlar tarafidan imzolangandan keyin kuchga kiradi.</t>
  </si>
  <si>
    <t>9. SHARTNOMA SHARTLARI VA AMAL QILISH MUDDATI</t>
  </si>
  <si>
    <t>8. NIZOLARNI HAL QILISH TARTIBI</t>
  </si>
  <si>
    <t>7.4. Fors-major holati boshlanganligini vaj qilib ko‘rsatish huquqidan mahrum etilgan Tomon amaldagi qonun hujjatlariga muvofiq javobgar bo‘ladi.</t>
  </si>
  <si>
    <t>7.3. Fors-major holati boshlanganligi to‘g‘risida xabar qilmaslik yoki o‘z vaqtida xabar bermaslik fors-major holati boshlanganda Shartnoma bo‘yicha o‘z majburiyatlarini bajarish imkoniyatiga vaj qilib keltirish huquqiga ega emas.</t>
  </si>
  <si>
    <t>7.1. Agar Tomonlar ular zimmasidagi majburiyatlarni tegishli darajada bajarishi yengib bo‘lmas kuch (fors-major) oqibatida mumkin bo‘lmay qolgan bo‘lsa, ya'ni aniq vaqt davri davomida aniq sharoitlarda favqulodda va oldini olib bo‘lmaydigan holatlar ekanligini isbotlay olmasalar, Shartnoma bo‘yicha o‘z majburiyatlarini bajarmagan yoki tegishli darajada bajarmagan Tomon uning shartlarini bajarishda javobgar hisoblanadi. Ushbu Shartnoma Tomonlari yengilmas kuch holatlariga quyidagilarni kiritadi: tabiiy ofat (zilzila, suv toshqini, chaqmoq chaqishi, vulqon otilishi, sel kelishi, ko‘chki, sunami va hokazo), Shartnoma bo‘yicha majburiyatlar bajarilish joyida temperatura – harorat, shamol kuchi va yog‘ingarchilik darajasining inson hayotiy faoliyati normasidan ortiq bo‘lishi; hokimiyat va boshqaruv organlari moratoriysi; qonuniy belgilangan tartibda tashkil etilgan ish tashlashlar va majburiyatlarning tegishli darajada bajarilishi uchun Shartnoma Tomonlari tarafidan yengib bo‘lmas kuch sifatida belgilangan boshqa holatlar.</t>
  </si>
  <si>
    <t>7. FORS-MAJOR</t>
  </si>
  <si>
    <t>6.4. Tomonlar O‘zbekiston Respublikasi Fuqarolik kodeksining 325-moddasiga muvofiq aybdor tomondan yetkazilgan zararni neustoykadan tashqari to‘la hajmda undirish huquqiga egadirlar.</t>
  </si>
  <si>
    <t>6.3. Tomonlarning ushbu Shartnomada nazarda tutilmagan javobgarligi O‘zbekiston Respublikasining amaldagi qonunchiligiga muvofiq belgilanadi.</t>
  </si>
  <si>
    <t>6.2. Jarima sanksiyalarni to‘lash Tomonlarni ushbu Shartnomada ko‘zda tutilgan zimmalaridagi majburiyatlarini bajarishdan ozod qilmaydi.</t>
  </si>
  <si>
    <t>6. TOMONLARNING JAVOBGARLIGI</t>
  </si>
  <si>
    <t>5.2. Qarz oluvchining majburiyatlari:</t>
  </si>
  <si>
    <t>5.1. Qarz oluvchi quyidagi huquqlarga ega:</t>
  </si>
  <si>
    <t>5. QARZ OLUVCHINING HUQUQ VA MAJBURIYATLARI</t>
  </si>
  <si>
    <t>4.1.9. Istalgan vaqtda Qarz oluvchining avvaldan roziligini olmasdan turib ushbu Shartnoma bo‘yicha uchinchi tomonga da'vo qilish huquqini berish yoki uning foydasiga voz kechish.</t>
  </si>
  <si>
    <t>4.1.6. Qonun hujjatlariga muvofiq, Qarz oluvchi tomonidan ushbu Shartnoma bo‘yicha asosiy qarz, foizlar, penya va boshqa pul majburiyatlarini o‘z vaqtida to‘lamaslik holatlarida Qarz oluvchining bank hisobvaraqlaridagi pul mablag‘larini akseptsiz tartibda yechib olish to‘g‘risida to‘lov talabnomasini berish va bunga Qarz oluvchi qaytarib olinmaydigan va so‘zsiz rozilik bildiradi.</t>
  </si>
  <si>
    <t>4.1.5. Garovga qo‘yuvchi tomonidan garovga qo‘yilgan mol-mulk buzilgan yoki belgilangan maqsadda foydalanish uchun yaroqsiz holga kelganda, bu esa Mikromoliya tashkilotining ushbu Shartnoma bo‘yicha moliyaviy talablarini qondirishga qodir bo‘lgan bozor qiymatiga ma'lum darajada ta'sir ko‘rsatganda, yoki uchinchi shaxsning (kafil) moliyaviy holatining yomonlashuvi sababli ushbu Shartnomadan kelib chiqqan majburiyatlar bo‘yicha javob berish qobiliyatiga ega bo‘lmay qolgan holatlarda Qarz oluvchidan ta'minotning qo‘shimcha turini taqdim etish yoki almashtirishni talab qilish.</t>
  </si>
  <si>
    <t>4.1.4. Qarz oluvchi tomonidan yoki ushbu Shartnoma bo‘yicha uchinchi shaxs tomonidan ta'minot sifatida garovga qo‘yilgan mol-mulkning tegishli holatdaligi va ulardan foydalanish bo‘yicha tekshiruvlar o‘tkazish.</t>
  </si>
  <si>
    <t>4.1.3. Ushbu shartnomaning amal qilish jarayonida Qarz oluvchining moliyaviy holatini tekshirish va Qarz oluvchi tomonidan o‘z zimmasiga olgan majburiyatlarning bajarilishini nazorat qilish.</t>
  </si>
  <si>
    <t>4.1. Mikromoliya tashkiloti quyidagi huquqlarga ega:</t>
  </si>
  <si>
    <t>4. MIKROMOLIYA TASHKILOTINING HUQUQ VA MAJBURIYATLARI</t>
  </si>
  <si>
    <t>3.4. O‘zbekiston Respublikasi "Garov to‘g‘risida" gi Qonunining 27-moddasiga muvofiq Garov predmeti sug‘urtalanmaydi. Lekin Mikromoliya tashkiloti Qarz oluvchidan Mikromoliya tashkiloti foydasiga Garov obʼektini ushbu Shartnomaning to‘liq amal qilish muddatiga har turli xavflardan sug‘urta qilishni talab qilish huquqiga ega. Bunda, sug‘urta xavflari ro‘yxati, shuningdek, sug‘urta kompaniyasi Mikromoliya tashkilotining xohishiga ko‘ra belgilanadi. Sug‘urta hodisasi yuz berganda Foyda oluvchi Mikromoliya tashkiloti bo‘lishi kerak.</t>
  </si>
  <si>
    <t>a) ta'minotisiz qarzdorlik yuzaga kelganda;</t>
  </si>
  <si>
    <t>с) Qarz oluvchini qonun hujjatlarida belgilangan tartibda to‘lov qobiliyatiga ega emas, muomalaga layoqatli emas yoki muomalaga layoqati cheklangan deb e'lon qilish;</t>
  </si>
  <si>
    <t>d) Mikromoliya tashkilotiga ushbu Shartnomaning 3.1.-bandida ko‘zda tutilgan hisobotlar, axborotlar va boshqa ma'lumotlarni o‘z vaqtida taqdim etmaslik, shuningdek, moliya-xo‘jalik faoliyat va daromad to‘g‘risidagi hisobotning ishonchsizligi holatlari aniqlanganda;</t>
  </si>
  <si>
    <t>e) Qarz oluvchi tomonidan ushbu shartnoma shartlariga amal qilmaslik;</t>
  </si>
  <si>
    <t>4.1.8. Ushbu shartnoma doirasida o‘z majburiyatlarini bajarish uchun uchinchi shaxslarga barcha zarur ma'lumotlarni yetkazish.</t>
  </si>
  <si>
    <t>5.1.5. Shartnoma bo‘yicha Mikromoliya tashkilotining majburiyatlarini bajarmaslik yoki tegishli darajada bajarmaslik natijasida yuzaga kelgan zararlarni qoplashni talab qilish.</t>
  </si>
  <si>
    <t>5.2.2. Ushbu shartnomada nazarda tutilgan hollarda garov ta'minotini almashtirish yoki qo‘shimcha ta'minot turini taqdim etish bo‘yicha Mikromoliya tashkiloti talablarini bajarish.</t>
  </si>
  <si>
    <t>5.2.5. Qarz oluvchining moliyaviy ahvoli yomonlashuvi va ushbu shartnoma bo‘yicha Qarz oluvchining Mikromoliya tashkiloti oldidagi majburiyatlarining bajarilmasligi va/yoki tegishli darajada bajarilmaslik xavfi yuzaga kelishiga olib keluvchi hech qanday majburiyat va choralarni o‘z zimmasiga olmaslik;</t>
  </si>
  <si>
    <t>Qarzni undirish va garovdagi mol-mulkiga qaratish ham sud tartibida, ham suddan tashqari tartibda, shu jumladan notariusning ijro yozuvini olish yo‘li bilan amalga oshirilishi mumkin.</t>
  </si>
  <si>
    <t>12. TOMONLARNING YURIDIK MANZILLARI VA REKVIZITLARI:</t>
  </si>
  <si>
    <t xml:space="preserve">                  Anketa kredit menejeri tomonidan mijozning javoblarini kiritish orqali to'ldiriladi, kerak bo'lganda, Mijoz tomonidan tanlangan javob variantlarini belgilash orqali amalga oshiriladi</t>
  </si>
  <si>
    <t xml:space="preserve">     </t>
  </si>
  <si>
    <t>xizmat</t>
  </si>
  <si>
    <t>boshqa</t>
  </si>
  <si>
    <t>2.4.1 Qarz oluvchining xisob raqamlaridan shartnomaning 4.1.2 bandida ko‘rsatilgan tartibda yechib olingan pul mablag‘lari yechib olinganidan so‘ng mijoz tomonidan kredit qarzdorligini so‘ndirish uchun bank kassalari orqali to‘langan pul mablag‘lari yoki mijoz tomonidan kredit qarzdorligini so‘ndirish uchun bank kassalari orqali to‘langandan so‘ng qarz oluvchining xisob raqamlaridan shartnomaning 4.1.2 bandida ko‘rsatilgan tartibda yechib olingan pul mablag‘larining bir oylik kredit to‘lovini so‘ndirishga yo‘naltirilgan miqdoridan ortiqcha qismi qarz oluvchining to‘lov amalga oshirilgan kundan boshlab 3 bank ish kuni ichida yo‘llagan arizasiga asosan qarz oluvchiga qaytarilishi mumkun.
2.5. Foizlar To‘lov jadvaliga muvofiq asosiy qarzni qaytarish uchun belgilangan sanada to‘lanadi.
2.5.1 Qarz oluvchi tomonidan shartnomaning 2.4 bandida ko‘rsatilgan muddatda ortiqcha to‘langan pul mablag‘larini qaytarish to‘g‘risida ariza berilmagan taqdirda to‘langan ortiqcha pul mablag‘lari mijozning asosiy qarzdorligini so‘ndirishga yo‘naltiriladi.</t>
  </si>
  <si>
    <t>(imzo)</t>
  </si>
  <si>
    <t>ayol</t>
  </si>
  <si>
    <t>Irgasheva O.P.</t>
  </si>
  <si>
    <t xml:space="preserve">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t>
  </si>
  <si>
    <t>ni va undan foydalanganlik uchun foizlarni qaytarish bo‘yicha muddati o‘tgan qarzdorlik hosil bo‘lganda Qarz oluvchi tomonidan ko‘rsatilgan qarzdorlikni to‘lash hisobiga to‘lanadigan summalar quyidagi tartibda hisobga olinadi:</t>
  </si>
  <si>
    <t>"&amp;'Общие данные'!B59&amp;"</t>
  </si>
  <si>
    <t xml:space="preserve"> berishni rad etish va / yoki ushbu shartnomani bir tomonlama bekor qilish huquqiga egadir. Bunda ushbu shartnoma Qarz oluvchi tomonidan talabnoma olingan vaqtda yoki talabnoma pochta  xizmati orqali yuborilgandan keyin uchinchi kuni bekor qilingan hisoblanadi.</t>
  </si>
  <si>
    <t xml:space="preserve"> holatlarda, bu haqda Qarz oluvchini yozma ravishda xabardor qilib, Shartnoma bir tomonlama bekor qilish. Yozma xabarni jo‘natish sanasi uni taqdim etish yoki pochta orqali jo‘natish sanasi hisoblanadi.</t>
  </si>
  <si>
    <t>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t>
  </si>
  <si>
    <t>- Qarz oluvchining moliyaviy holatining yomonlashuvi;
- Garov ob'ekti va/yoki uning bir qismining yo‘q qilinishi, qiymatining pasayishi, qisman yoki to‘liq yo‘qotilishi;
- qarz qaytarilmaslik xavfini ko‘paytiruvchi boshqa omillarning paydo bo‘lishi;</t>
  </si>
  <si>
    <t xml:space="preserve"> qarzdorlikni majburiy va/yoki muddatidan oldin qaytarish bo‘yicha qabul qilingan choralar bilan bog‘liq bo‘lgan barcha xarajatlari va zararlarni qoplash, shuningdek ushbu shartnoma doirasida unidruvni taqdim etilgan garov ta'minotiga qaratish.</t>
  </si>
  <si>
    <t xml:space="preserve">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t>
  </si>
  <si>
    <t>7.2. Fors-major holati ta'sirida qolgan Tomon, bunday holatlar yuzaga kelgan kundan boshlab 7 (etti) kalendar kundan kechiktirmasdan boshqa Tomonni xabardor qilishi shart.</t>
  </si>
  <si>
    <t>Yakka tartibdagi tadbirkor</t>
  </si>
  <si>
    <r>
      <t xml:space="preserve">Qancha yurgan </t>
    </r>
    <r>
      <rPr>
        <b/>
        <sz val="16"/>
        <color rgb="FFFF0000"/>
        <rFont val="Arial"/>
        <family val="2"/>
        <charset val="204"/>
      </rPr>
      <t>ANIQ KIRITING</t>
    </r>
  </si>
  <si>
    <t>27-13/555</t>
  </si>
  <si>
    <t>22.07.2022 y.</t>
  </si>
  <si>
    <t>. sanasidan</t>
  </si>
  <si>
    <t>Imtiyozli davr</t>
  </si>
  <si>
    <t>HA BO'LSA TEGMANG</t>
  </si>
  <si>
    <t>FAQAT YO'Q BO'LSA KO'RSATING</t>
  </si>
  <si>
    <t>O'Z O'ZINI BAND QILGAN FUQARO</t>
  </si>
  <si>
    <t>O'Z O'ZINI BAND QILGAN BO'LSA, MA'LUMOTNOMA KIRITING</t>
  </si>
  <si>
    <t>AGAR O'Z O'ZINI BAND QILGAN FUQARO BO'LSA FAOLIYAT TURINI KIRITING</t>
  </si>
  <si>
    <t>MMT BO’YICHA MA’LUMOTLAR</t>
  </si>
  <si>
    <t>Siz ommaviy mansabdor shaxsmisiz?</t>
  </si>
  <si>
    <t>3.2. Qonun hujjatlariga muvofiq rasmiylashtirilgan, “Garov predmeti” hisoblangan notarial tasdiqlangan garov shartnomasi, shu jumladan “Garov predmeti”ga taʼqiq quyilganligi tasdiqlovchi xujjat Qarz oluvchi tomonidan ushbu shartnoma tuzilgandan so‘ng 10 bank kuni mobaynida</t>
  </si>
  <si>
    <t>8.1. Ushbu Shartnomadan kelib chiqadigan tomonlar o‘rtasidagi barcha nizolar va undan kelib chiqadigan majburiyatlar, shu jumladan shartnoma bajarilmasligi oqibatida yuzaga kelgan bajarilishi, o‘zgartirilishi, bekor qilinishi, tugatilishi Mikromoliya tashkilot joylashgan yerdagi taalluqli sudda yoki «CONSILIO» Mas'uliyati cheklangan jamiyat qoshidagi Hakamlik sudida, O‘zbekiston Respublikasining amaldagi qonun hujjatlari va uning reglamentiga muvofiq Hakamlik sudi raisi tomonidan tayinlangan, yakka tartibdagi hakamlik sudyasi tomonidan, sud ishlarini sud majlisi bayonnomasi tuzmasdan ko‘rib chiqilishi kerak bo‘ladi. U yoki bu sudga murojaat qilish huquqi da'vogarda qoladi.</t>
  </si>
  <si>
    <t>O'ninchi</t>
  </si>
  <si>
    <t>O'n birinchi</t>
  </si>
  <si>
    <t>O'n ikkinchi</t>
  </si>
  <si>
    <t>O'n uchinchi</t>
  </si>
  <si>
    <t>O'n beshinchi</t>
  </si>
  <si>
    <t>O'n oltinchi</t>
  </si>
  <si>
    <t>O'n yettinchi</t>
  </si>
  <si>
    <t>O'n sakkizinchi</t>
  </si>
  <si>
    <t>O'n tuqqizinchi</t>
  </si>
  <si>
    <t>Yigirma to'rtinchi</t>
  </si>
  <si>
    <t>To'rtinchi</t>
  </si>
  <si>
    <t>O'ltinchi</t>
  </si>
  <si>
    <t>O'n to'rtinchi</t>
  </si>
  <si>
    <t>F.I.SH.</t>
  </si>
  <si>
    <t>F.I.SH. (QISQA)</t>
  </si>
  <si>
    <t>Pozitsiyasi</t>
  </si>
  <si>
    <t>- jarima sanksiyalarni to‘lash;
- to‘lov muddati o‘tgan foizlarni to‘lash;
- to‘lov muddati o‘tgan asosiy qarzni to‘lash;
- muddatli qarz bo‘yicha hisoblangan foizlarni to‘lash;
- muddatli asosiy qarzni to‘lash;
- Mikromoliya tashkilotning boshqa zararlarini qoplash.</t>
  </si>
  <si>
    <t>GRAFIKTA BO'SH JOY BO'LSA SKRIT' QILIB TASHLANG!!!</t>
  </si>
  <si>
    <t>Monitoring bo’limi boshlig’i</t>
  </si>
  <si>
    <t xml:space="preserve"> masala yuzasidan berilgan ma’lumotlarni muhokama qilib, Kredit qo‘mitasi a’zolariga taqdim etilgan zarur hujjatlarni o‘rganib, majlisda ishtirok etgan Kredit qo‘mitasi a’zolarining taklif va mulohazalarini inobatga olgan holda </t>
  </si>
  <si>
    <t>«CLEVER MIKROMOLIYA TASHKILOTI» MChJ</t>
  </si>
  <si>
    <t>Asrorov Savlat Saloidinovich</t>
  </si>
  <si>
    <t>Uy nomeri 95</t>
  </si>
  <si>
    <t>60</t>
  </si>
  <si>
    <t>Oltmish</t>
  </si>
  <si>
    <t>Йиллик фойз 50 фойздан утиб кетмаслиги керак</t>
  </si>
  <si>
    <t xml:space="preserve">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 Ushbu bandda belgilangan harakatlarni amalga oshirish uchun bo‘lgan barcha xarajatlar Qarz oluvchi xisobidan qoplanadi.</t>
  </si>
  <si>
    <t>Samarqand viloyati Samarqand  filial boshlig'i</t>
  </si>
  <si>
    <t>Jumanazarov B.T.</t>
  </si>
  <si>
    <t>100</t>
  </si>
  <si>
    <t>Bir yuz</t>
  </si>
  <si>
    <t>bir yuz</t>
  </si>
  <si>
    <t>Mikroqarz shartnomasining bir nusxasini oldim ____________</t>
  </si>
  <si>
    <t>YENGIL SEDAN</t>
  </si>
  <si>
    <t xml:space="preserve">Mominov B.X. </t>
  </si>
  <si>
    <t>SHADMANOVA GULMIRA ZAKIROVNA</t>
  </si>
  <si>
    <t>SAMARQAND VILOYATI SAMARQAND SHAHAR SO'ZANGARON MAHALLASI IBROXIMXO'JA KO'CHASI 97 A UY</t>
  </si>
  <si>
    <t>998 91 538-44-58 O'ZI</t>
  </si>
  <si>
    <t>998 91 538-12-24 Xo'jayini</t>
  </si>
  <si>
    <t>SAMARQAND VILOYATI RO' VA IOB</t>
  </si>
  <si>
    <t>AAG 1736517 15.06.2023yil</t>
  </si>
  <si>
    <t xml:space="preserve">COBALT </t>
  </si>
  <si>
    <t>30S095AB</t>
  </si>
  <si>
    <t>XWBJA69VEPA011841</t>
  </si>
  <si>
    <t>B15D212223022MTAX0763</t>
  </si>
  <si>
    <t>OQ BELIY</t>
  </si>
  <si>
    <t>2022</t>
  </si>
  <si>
    <t>SHADMANOVA G.Z.</t>
  </si>
  <si>
    <t xml:space="preserve">1. Abduraximov Nаdirbek Kamilevich	</t>
  </si>
  <si>
    <t>Abduraximov N.K.</t>
  </si>
  <si>
    <t xml:space="preserve">Ijrochi direktor </t>
  </si>
  <si>
    <t>Asrorov S.S.</t>
  </si>
  <si>
    <t>07.03.2025</t>
  </si>
  <si>
    <t>AE 1481668</t>
  </si>
  <si>
    <t>REGISTON SHOXJAXON OTEL</t>
  </si>
  <si>
    <t xml:space="preserve">998 33 023-23-80 do'sti Farxod </t>
  </si>
  <si>
    <t>IIV 18810 tomonidan 04.02.2025 yilda berilgan</t>
  </si>
  <si>
    <t>SALIYEV DALER ALIMDJONOVICH</t>
  </si>
  <si>
    <t>SALIYEV D.A.</t>
  </si>
  <si>
    <t>30.07.1995 y</t>
  </si>
  <si>
    <t>AD 6879613</t>
  </si>
  <si>
    <t>TOSHKENT SHAHAR MIROBOD TUMANI FARG'ONA YO'LI FITRAT MAHALLASI 3 UY 30 XONADON</t>
  </si>
  <si>
    <t xml:space="preserve">IIV 18810 </t>
  </si>
  <si>
    <t>PASTARGON TUMANI</t>
  </si>
  <si>
    <t>№558-SM</t>
  </si>
  <si>
    <t>Mijoz quyidagi majburiyatlarga ega:TOShKENT Sh., "AVO BANK" АKTsIYaDORLIK JАMIYaTI  1 528 751.00	 so'm, TOShKENT Sh., "ANOR BANK" АKTsIYaDORLIK JАMIYaTI  25 712 199.00 so'm, TOShKENT Sh., "ANOR BANK" АKTsIYaDORLIK JАMIYaTI 4 643 921.00	so'm, DENGI VPEROD MChJ KUShMА KORXONА MIKROMOLIYa TАShKILOTI 1 151 999.00 so'm, ORIENTSWISS TASHKENT 3 511 189.00	so'm, 461 257.00 so'm, 414 000.00 so'm va 1 147 500.00 so'm. Ayni paytda muddati o'tgan qarzdorligi mavjud emas. O‘rtacha oylik to‘lov 3 278 765.54 so‘mni tashkil qiladi.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</si>
</sst>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_-* #,##0.00\ _₽_-;\-* #,##0.00\ _₽_-;_-* &quot;-&quot;??\ _₽_-;_-@_-"/>
    <numFmt numFmtId="165" formatCode="[$-F800]dddd\,\ mmmm\ dd\,\ yyyy"/>
    <numFmt numFmtId="166" formatCode="_-* #,##0.0000\ _₽_-;\-* #,##0.0000\ _₽_-;_-* &quot;-&quot;??\ _₽_-;_-@_-"/>
    <numFmt numFmtId="167" formatCode="_-* #,##0.000\ _₽_-;\-* #,##0.000\ _₽_-;_-* &quot;-&quot;??\ _₽_-;_-@_-"/>
    <numFmt numFmtId="168" formatCode="ddd"/>
  </numFmts>
  <fonts count="57">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scheme val="minor"/>
    </font>
    <font>
      <sz val="11"/>
      <color theme="1"/>
      <name val="Arial"/>
      <family val="2"/>
      <charset val="204"/>
    </font>
    <font>
      <b/>
      <sz val="11"/>
      <color theme="1"/>
      <name val="Arial"/>
      <family val="2"/>
      <charset val="204"/>
    </font>
    <font>
      <sz val="11"/>
      <color theme="0"/>
      <name val="Arial"/>
      <family val="2"/>
      <charset val="204"/>
    </font>
    <font>
      <sz val="12"/>
      <color theme="1"/>
      <name val="Times New Roman"/>
      <family val="1"/>
      <charset val="204"/>
    </font>
    <font>
      <b/>
      <sz val="12"/>
      <color theme="1"/>
      <name val="Times New Roman"/>
      <family val="1"/>
      <charset val="204"/>
    </font>
    <font>
      <b/>
      <sz val="14"/>
      <color theme="1"/>
      <name val="Arial"/>
      <family val="2"/>
      <charset val="204"/>
    </font>
    <font>
      <b/>
      <u/>
      <sz val="9"/>
      <name val="Wingdings 2"/>
      <family val="1"/>
      <charset val="2"/>
    </font>
    <font>
      <b/>
      <u/>
      <sz val="9"/>
      <name val="Arial"/>
      <family val="2"/>
      <charset val="204"/>
    </font>
    <font>
      <b/>
      <sz val="9"/>
      <name val="Arial"/>
      <family val="2"/>
      <charset val="204"/>
    </font>
    <font>
      <sz val="11"/>
      <color theme="1"/>
      <name val="Times New Roman"/>
      <family val="1"/>
      <charset val="204"/>
    </font>
    <font>
      <b/>
      <sz val="11"/>
      <color theme="1"/>
      <name val="Times New Roman"/>
      <family val="1"/>
      <charset val="204"/>
    </font>
    <font>
      <b/>
      <sz val="10"/>
      <color theme="1"/>
      <name val="Times New Roman"/>
      <family val="1"/>
      <charset val="204"/>
    </font>
    <font>
      <sz val="10"/>
      <color theme="1"/>
      <name val="Times New Roman"/>
      <family val="1"/>
      <charset val="204"/>
    </font>
    <font>
      <b/>
      <u/>
      <sz val="12"/>
      <color theme="1"/>
      <name val="Times New Roman"/>
      <family val="1"/>
      <charset val="204"/>
    </font>
    <font>
      <i/>
      <sz val="11"/>
      <color theme="1"/>
      <name val="Times New Roman"/>
      <family val="1"/>
      <charset val="204"/>
    </font>
    <font>
      <b/>
      <u/>
      <sz val="11"/>
      <color theme="1"/>
      <name val="Times New Roman"/>
      <family val="1"/>
      <charset val="204"/>
    </font>
    <font>
      <b/>
      <sz val="48"/>
      <color theme="1"/>
      <name val="Times New Roman"/>
      <family val="1"/>
      <charset val="204"/>
    </font>
    <font>
      <b/>
      <u/>
      <sz val="18"/>
      <color theme="1"/>
      <name val="Times New Roman"/>
      <family val="1"/>
      <charset val="204"/>
    </font>
    <font>
      <b/>
      <sz val="16"/>
      <color theme="1"/>
      <name val="Times New Roman"/>
      <family val="1"/>
      <charset val="204"/>
    </font>
    <font>
      <b/>
      <u/>
      <sz val="20"/>
      <color theme="1"/>
      <name val="Times New Roman"/>
      <family val="1"/>
      <charset val="204"/>
    </font>
    <font>
      <sz val="11"/>
      <color theme="0"/>
      <name val="Times New Roman"/>
      <family val="1"/>
      <charset val="204"/>
    </font>
    <font>
      <sz val="11"/>
      <name val="Arial"/>
      <family val="2"/>
      <charset val="204"/>
    </font>
    <font>
      <sz val="11"/>
      <name val="Times New Roman"/>
      <family val="1"/>
      <charset val="204"/>
    </font>
    <font>
      <sz val="12"/>
      <name val="Times New Roman"/>
      <family val="1"/>
      <charset val="204"/>
    </font>
    <font>
      <sz val="11"/>
      <color rgb="FFFF0000"/>
      <name val="Arial"/>
      <family val="2"/>
      <charset val="204"/>
    </font>
    <font>
      <b/>
      <i/>
      <sz val="11"/>
      <color theme="1"/>
      <name val="Times New Roman"/>
      <family val="1"/>
      <charset val="204"/>
    </font>
    <font>
      <b/>
      <sz val="18"/>
      <color theme="1"/>
      <name val="Calibri"/>
      <family val="2"/>
      <charset val="204"/>
      <scheme val="minor"/>
    </font>
    <font>
      <sz val="12"/>
      <color rgb="FF585858"/>
      <name val="SegoeUI"/>
    </font>
    <font>
      <b/>
      <i/>
      <sz val="12"/>
      <color theme="1"/>
      <name val="Times New Roman"/>
      <family val="1"/>
      <charset val="204"/>
    </font>
    <font>
      <b/>
      <sz val="36"/>
      <color theme="1"/>
      <name val="Times New Roman"/>
      <family val="1"/>
      <charset val="204"/>
    </font>
    <font>
      <sz val="12"/>
      <name val="Arial"/>
      <family val="2"/>
      <charset val="204"/>
    </font>
    <font>
      <b/>
      <sz val="11"/>
      <name val="Times New Roman"/>
      <family val="1"/>
      <charset val="204"/>
    </font>
    <font>
      <b/>
      <u/>
      <sz val="11"/>
      <name val="Times New Roman"/>
      <family val="1"/>
      <charset val="204"/>
    </font>
    <font>
      <i/>
      <sz val="11"/>
      <name val="Times New Roman"/>
      <family val="1"/>
      <charset val="204"/>
    </font>
    <font>
      <b/>
      <sz val="11"/>
      <name val="Arial"/>
      <family val="2"/>
      <charset val="204"/>
    </font>
    <font>
      <sz val="11"/>
      <color rgb="FF000000"/>
      <name val="Times New Roman"/>
      <family val="1"/>
      <charset val="204"/>
    </font>
    <font>
      <b/>
      <sz val="11"/>
      <color rgb="FF000000"/>
      <name val="Times New Roman"/>
      <family val="1"/>
      <charset val="204"/>
    </font>
    <font>
      <b/>
      <sz val="11"/>
      <color theme="1"/>
      <name val="Calibri"/>
      <family val="2"/>
      <charset val="204"/>
      <scheme val="minor"/>
    </font>
    <font>
      <b/>
      <sz val="11"/>
      <color theme="0"/>
      <name val="Arial"/>
      <family val="2"/>
      <charset val="204"/>
    </font>
    <font>
      <b/>
      <sz val="9"/>
      <color theme="1"/>
      <name val="Times New Roman"/>
      <family val="1"/>
      <charset val="204"/>
    </font>
    <font>
      <b/>
      <sz val="11"/>
      <color rgb="FFFF0000"/>
      <name val="Arial"/>
      <family val="2"/>
      <charset val="204"/>
    </font>
    <font>
      <sz val="11"/>
      <color rgb="FF000000"/>
      <name val="Calibri"/>
      <family val="2"/>
      <charset val="204"/>
      <scheme val="minor"/>
    </font>
    <font>
      <sz val="11"/>
      <color theme="0"/>
      <name val="Calibri"/>
      <family val="2"/>
      <scheme val="minor"/>
    </font>
    <font>
      <b/>
      <i/>
      <sz val="11"/>
      <name val="Times New Roman"/>
      <family val="1"/>
      <charset val="204"/>
    </font>
    <font>
      <sz val="12"/>
      <color theme="0"/>
      <name val="Times New Roman"/>
      <family val="1"/>
      <charset val="204"/>
    </font>
    <font>
      <sz val="10"/>
      <color theme="0"/>
      <name val="Times New Roman"/>
      <family val="1"/>
      <charset val="204"/>
    </font>
    <font>
      <b/>
      <sz val="16"/>
      <color rgb="FFFF0000"/>
      <name val="Arial"/>
      <family val="2"/>
      <charset val="204"/>
    </font>
    <font>
      <b/>
      <sz val="24"/>
      <color rgb="FFFF0000"/>
      <name val="Arial"/>
      <family val="2"/>
      <charset val="204"/>
    </font>
    <font>
      <sz val="22"/>
      <color rgb="FFFF0000"/>
      <name val="Arial"/>
      <family val="2"/>
      <charset val="204"/>
    </font>
    <font>
      <b/>
      <sz val="18"/>
      <color rgb="FFFF0000"/>
      <name val="Arial"/>
      <family val="2"/>
      <charset val="204"/>
    </font>
    <font>
      <sz val="18"/>
      <color rgb="FFFF0000"/>
      <name val="Arial"/>
      <family val="2"/>
      <charset val="204"/>
    </font>
    <font>
      <sz val="48"/>
      <color rgb="FFFF0000"/>
      <name val="Times New Roman"/>
      <family val="1"/>
      <charset val="204"/>
    </font>
    <font>
      <sz val="11"/>
      <name val="Calibri"/>
      <family val="2"/>
      <charset val="204"/>
    </font>
  </fonts>
  <fills count="12">
    <fill>
      <patternFill patternType="none"/>
    </fill>
    <fill>
      <patternFill patternType="gray125"/>
    </fill>
    <fill>
      <patternFill patternType="solid">
        <fgColor theme="0" tint="-0.249977111117893"/>
        <bgColor indexed="64"/>
      </patternFill>
    </fill>
    <fill>
      <patternFill patternType="solid">
        <fgColor rgb="FFFFC000"/>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rgb="FFFF0000"/>
        <bgColor indexed="64"/>
      </patternFill>
    </fill>
    <fill>
      <patternFill patternType="solid">
        <fgColor theme="9"/>
        <bgColor indexed="64"/>
      </patternFill>
    </fill>
    <fill>
      <patternFill patternType="solid">
        <fgColor theme="1"/>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theme="0"/>
      </right>
      <top style="thin">
        <color indexed="64"/>
      </top>
      <bottom style="thin">
        <color indexed="64"/>
      </bottom>
      <diagonal/>
    </border>
  </borders>
  <cellStyleXfs count="140">
    <xf numFmtId="0" fontId="0"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0" fontId="56" fillId="0" borderId="0">
      <alignment vertical="center"/>
    </xf>
    <xf numFmtId="0" fontId="56" fillId="0" borderId="0">
      <alignment vertical="center"/>
    </xf>
    <xf numFmtId="43" fontId="3"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cellStyleXfs>
  <cellXfs count="360">
    <xf numFmtId="0" fontId="0" fillId="0" borderId="0" xfId="0"/>
    <xf numFmtId="0" fontId="4" fillId="0" borderId="1" xfId="0" applyFont="1" applyBorder="1" applyAlignment="1">
      <alignment vertical="center" wrapText="1"/>
    </xf>
    <xf numFmtId="49" fontId="4" fillId="0" borderId="1" xfId="0" applyNumberFormat="1" applyFont="1" applyBorder="1" applyAlignment="1">
      <alignment vertical="center" wrapText="1"/>
    </xf>
    <xf numFmtId="0" fontId="5" fillId="2" borderId="1" xfId="0" applyFont="1" applyFill="1" applyBorder="1" applyAlignment="1">
      <alignment vertical="center" wrapText="1"/>
    </xf>
    <xf numFmtId="0" fontId="4" fillId="0" borderId="0" xfId="0" applyFont="1"/>
    <xf numFmtId="0" fontId="6" fillId="0" borderId="0" xfId="0" applyFont="1"/>
    <xf numFmtId="0" fontId="5" fillId="0" borderId="0" xfId="0" applyFont="1" applyAlignment="1">
      <alignment vertical="center" wrapText="1"/>
    </xf>
    <xf numFmtId="0" fontId="4" fillId="0" borderId="0" xfId="0" applyFont="1" applyAlignment="1">
      <alignment vertical="center" wrapText="1"/>
    </xf>
    <xf numFmtId="165" fontId="4" fillId="0" borderId="1" xfId="0" applyNumberFormat="1" applyFont="1" applyBorder="1" applyAlignment="1">
      <alignment vertical="center" wrapText="1"/>
    </xf>
    <xf numFmtId="43" fontId="4" fillId="0" borderId="1" xfId="1" applyFont="1" applyBorder="1" applyAlignment="1">
      <alignment vertical="center" wrapText="1"/>
    </xf>
    <xf numFmtId="0" fontId="7" fillId="0" borderId="0" xfId="0" applyFont="1"/>
    <xf numFmtId="0" fontId="7" fillId="0" borderId="0" xfId="0" applyFont="1" applyAlignment="1">
      <alignment horizontal="right"/>
    </xf>
    <xf numFmtId="0" fontId="9" fillId="2" borderId="1" xfId="0" applyFont="1" applyFill="1" applyBorder="1" applyAlignment="1">
      <alignment horizontal="left" vertical="center" wrapText="1"/>
    </xf>
    <xf numFmtId="0" fontId="9" fillId="2" borderId="1" xfId="0" applyFont="1" applyFill="1" applyBorder="1" applyAlignment="1">
      <alignment horizontal="center" vertical="center" wrapText="1"/>
    </xf>
    <xf numFmtId="0" fontId="12" fillId="0" borderId="0" xfId="0" applyFont="1" applyAlignment="1" applyProtection="1">
      <alignment horizontal="center" vertical="top"/>
      <protection hidden="1"/>
    </xf>
    <xf numFmtId="0" fontId="10" fillId="0" borderId="0" xfId="0" applyFont="1" applyAlignment="1" applyProtection="1">
      <alignment horizontal="center" vertical="center"/>
      <protection hidden="1"/>
    </xf>
    <xf numFmtId="0" fontId="12" fillId="0" borderId="0" xfId="0" applyFont="1" applyAlignment="1" applyProtection="1">
      <alignment horizontal="center" vertical="center"/>
      <protection hidden="1"/>
    </xf>
    <xf numFmtId="0" fontId="8" fillId="0" borderId="0" xfId="0" applyFont="1"/>
    <xf numFmtId="0" fontId="8" fillId="0" borderId="0" xfId="0" applyFont="1" applyAlignment="1">
      <alignment horizontal="right"/>
    </xf>
    <xf numFmtId="0" fontId="13" fillId="0" borderId="0" xfId="0" applyFont="1"/>
    <xf numFmtId="0" fontId="13" fillId="0" borderId="0" xfId="0" applyFont="1" applyAlignment="1">
      <alignment horizontal="center" vertical="center" wrapText="1"/>
    </xf>
    <xf numFmtId="0" fontId="13" fillId="0" borderId="1" xfId="0" applyFont="1" applyBorder="1" applyAlignment="1">
      <alignment horizontal="center" vertical="center" wrapText="1"/>
    </xf>
    <xf numFmtId="0" fontId="13" fillId="0" borderId="1" xfId="0" applyFont="1" applyBorder="1"/>
    <xf numFmtId="0" fontId="13" fillId="0" borderId="0" xfId="0" applyFont="1" applyAlignment="1">
      <alignment horizontal="justify" vertical="top" wrapText="1"/>
    </xf>
    <xf numFmtId="0" fontId="13" fillId="0" borderId="0" xfId="0" applyFont="1" applyAlignment="1">
      <alignment wrapText="1"/>
    </xf>
    <xf numFmtId="164" fontId="4" fillId="0" borderId="1" xfId="0" applyNumberFormat="1" applyFont="1" applyBorder="1" applyAlignment="1">
      <alignment vertical="center" wrapText="1"/>
    </xf>
    <xf numFmtId="0" fontId="13" fillId="0" borderId="0" xfId="0" applyFont="1" applyAlignment="1">
      <alignment vertical="top" wrapText="1"/>
    </xf>
    <xf numFmtId="0" fontId="13" fillId="0" borderId="0" xfId="0" applyFont="1" applyAlignment="1">
      <alignment vertical="center" wrapText="1"/>
    </xf>
    <xf numFmtId="0" fontId="16" fillId="0" borderId="0" xfId="0" applyFont="1"/>
    <xf numFmtId="0" fontId="15" fillId="0" borderId="1" xfId="0" applyFont="1" applyBorder="1" applyAlignment="1">
      <alignment horizontal="center" vertical="center" wrapText="1"/>
    </xf>
    <xf numFmtId="0" fontId="15" fillId="0" borderId="0" xfId="0" applyFont="1" applyAlignment="1">
      <alignment horizontal="center" vertical="center" wrapText="1"/>
    </xf>
    <xf numFmtId="0" fontId="16" fillId="0" borderId="1" xfId="0" applyFont="1" applyBorder="1" applyAlignment="1">
      <alignment horizontal="center" vertical="top" wrapText="1"/>
    </xf>
    <xf numFmtId="43" fontId="16" fillId="0" borderId="1" xfId="1" applyFont="1" applyBorder="1" applyAlignment="1">
      <alignment horizontal="center" vertical="top" wrapText="1"/>
    </xf>
    <xf numFmtId="0" fontId="15" fillId="0" borderId="1" xfId="0" applyFont="1" applyBorder="1" applyAlignment="1">
      <alignment horizontal="center" vertical="top" wrapText="1"/>
    </xf>
    <xf numFmtId="43" fontId="15" fillId="0" borderId="1" xfId="0" applyNumberFormat="1" applyFont="1" applyBorder="1" applyAlignment="1">
      <alignment horizontal="center" vertical="top" wrapText="1"/>
    </xf>
    <xf numFmtId="0" fontId="15" fillId="0" borderId="0" xfId="0" applyFont="1"/>
    <xf numFmtId="0" fontId="7" fillId="0" borderId="0" xfId="0" applyFont="1" applyAlignment="1">
      <alignment horizontal="left"/>
    </xf>
    <xf numFmtId="14" fontId="13" fillId="0" borderId="1" xfId="0" applyNumberFormat="1" applyFont="1" applyBorder="1"/>
    <xf numFmtId="43" fontId="13" fillId="0" borderId="1" xfId="1" applyFont="1" applyBorder="1"/>
    <xf numFmtId="14" fontId="13" fillId="0" borderId="0" xfId="0" applyNumberFormat="1" applyFont="1"/>
    <xf numFmtId="43" fontId="13" fillId="0" borderId="0" xfId="1" applyFont="1" applyBorder="1"/>
    <xf numFmtId="0" fontId="14" fillId="0" borderId="0" xfId="0" applyFont="1"/>
    <xf numFmtId="0" fontId="14" fillId="0" borderId="0" xfId="0" applyFont="1" applyAlignment="1">
      <alignment horizontal="right"/>
    </xf>
    <xf numFmtId="0" fontId="14" fillId="0" borderId="1" xfId="0" applyFont="1" applyBorder="1" applyAlignment="1">
      <alignment horizontal="center" vertical="center" wrapText="1"/>
    </xf>
    <xf numFmtId="0" fontId="14" fillId="0" borderId="0" xfId="0" applyFont="1" applyAlignment="1">
      <alignment horizontal="center"/>
    </xf>
    <xf numFmtId="0" fontId="21" fillId="0" borderId="0" xfId="0" applyFont="1" applyAlignment="1">
      <alignment horizontal="center" wrapText="1"/>
    </xf>
    <xf numFmtId="0" fontId="13" fillId="0" borderId="0" xfId="0" applyFont="1" applyAlignment="1">
      <alignment horizontal="center" wrapText="1"/>
    </xf>
    <xf numFmtId="0" fontId="20" fillId="0" borderId="0" xfId="0" applyFont="1" applyAlignment="1">
      <alignment horizontal="center" wrapText="1"/>
    </xf>
    <xf numFmtId="0" fontId="13" fillId="0" borderId="8" xfId="0" applyFont="1" applyBorder="1" applyAlignment="1">
      <alignment horizontal="center" wrapText="1"/>
    </xf>
    <xf numFmtId="0" fontId="13" fillId="0" borderId="9" xfId="0" applyFont="1" applyBorder="1" applyAlignment="1">
      <alignment horizontal="center" wrapText="1"/>
    </xf>
    <xf numFmtId="0" fontId="14" fillId="0" borderId="1" xfId="0" applyFont="1" applyBorder="1"/>
    <xf numFmtId="14" fontId="14" fillId="0" borderId="1" xfId="0" applyNumberFormat="1" applyFont="1" applyBorder="1"/>
    <xf numFmtId="43" fontId="14" fillId="0" borderId="1" xfId="1" applyFont="1" applyBorder="1"/>
    <xf numFmtId="0" fontId="4" fillId="4" borderId="1" xfId="0" applyFont="1" applyFill="1" applyBorder="1" applyAlignment="1">
      <alignment vertical="center" wrapText="1"/>
    </xf>
    <xf numFmtId="16" fontId="4" fillId="0" borderId="0" xfId="0" applyNumberFormat="1" applyFont="1"/>
    <xf numFmtId="0" fontId="4" fillId="0" borderId="1" xfId="0" applyFont="1" applyBorder="1"/>
    <xf numFmtId="0" fontId="4" fillId="0" borderId="1" xfId="0" applyFont="1" applyBorder="1" applyAlignment="1">
      <alignment horizontal="left" vertical="center"/>
    </xf>
    <xf numFmtId="0" fontId="13" fillId="0" borderId="1" xfId="0" applyFont="1" applyBorder="1" applyAlignment="1">
      <alignment horizontal="justify" vertical="top" wrapText="1"/>
    </xf>
    <xf numFmtId="0" fontId="14" fillId="0" borderId="1" xfId="0" applyFont="1" applyBorder="1" applyAlignment="1">
      <alignment horizontal="justify" vertical="top" wrapText="1"/>
    </xf>
    <xf numFmtId="0" fontId="5" fillId="0" borderId="0" xfId="0" applyFont="1" applyAlignment="1">
      <alignment vertical="center"/>
    </xf>
    <xf numFmtId="0" fontId="14" fillId="0" borderId="0" xfId="0" applyFont="1" applyAlignment="1">
      <alignment horizontal="center" vertical="center" wrapText="1"/>
    </xf>
    <xf numFmtId="43" fontId="13" fillId="0" borderId="1" xfId="1" applyFont="1" applyBorder="1" applyAlignment="1">
      <alignment horizontal="justify" vertical="top" wrapText="1"/>
    </xf>
    <xf numFmtId="43" fontId="14" fillId="0" borderId="1" xfId="1" applyFont="1" applyBorder="1" applyAlignment="1">
      <alignment horizontal="justify" vertical="top" wrapText="1"/>
    </xf>
    <xf numFmtId="43" fontId="14" fillId="0" borderId="1" xfId="1" applyFont="1" applyBorder="1" applyAlignment="1">
      <alignment horizontal="center" vertical="top" wrapText="1"/>
    </xf>
    <xf numFmtId="43" fontId="26" fillId="0" borderId="1" xfId="1" applyFont="1" applyBorder="1"/>
    <xf numFmtId="43" fontId="4" fillId="4" borderId="1" xfId="1" applyFont="1" applyFill="1" applyBorder="1" applyAlignment="1">
      <alignment vertical="center" wrapText="1"/>
    </xf>
    <xf numFmtId="0" fontId="13" fillId="0" borderId="0" xfId="0" applyFont="1" applyAlignment="1">
      <alignment horizontal="left" vertical="top" wrapText="1"/>
    </xf>
    <xf numFmtId="0" fontId="13" fillId="0" borderId="8" xfId="0" applyFont="1" applyBorder="1" applyAlignment="1">
      <alignment wrapText="1"/>
    </xf>
    <xf numFmtId="0" fontId="13" fillId="0" borderId="9" xfId="0" applyFont="1" applyBorder="1" applyAlignment="1">
      <alignment wrapText="1"/>
    </xf>
    <xf numFmtId="49" fontId="7" fillId="0" borderId="0" xfId="0" applyNumberFormat="1" applyFont="1" applyAlignment="1">
      <alignment horizontal="right"/>
    </xf>
    <xf numFmtId="49" fontId="4" fillId="4" borderId="1" xfId="0" applyNumberFormat="1" applyFont="1" applyFill="1" applyBorder="1" applyAlignment="1">
      <alignment vertical="center" wrapText="1"/>
    </xf>
    <xf numFmtId="165" fontId="25" fillId="2" borderId="1" xfId="0" applyNumberFormat="1" applyFont="1" applyFill="1" applyBorder="1" applyAlignment="1">
      <alignment vertical="center" wrapText="1"/>
    </xf>
    <xf numFmtId="0" fontId="6" fillId="5" borderId="0" xfId="0" applyFont="1" applyFill="1"/>
    <xf numFmtId="0" fontId="28" fillId="0" borderId="0" xfId="0" applyFont="1"/>
    <xf numFmtId="165" fontId="4" fillId="2" borderId="1" xfId="0" applyNumberFormat="1" applyFont="1" applyFill="1" applyBorder="1" applyAlignment="1">
      <alignment vertical="center" wrapText="1"/>
    </xf>
    <xf numFmtId="0" fontId="4" fillId="2" borderId="1" xfId="0" applyFont="1" applyFill="1" applyBorder="1" applyAlignment="1">
      <alignment vertical="center" wrapText="1"/>
    </xf>
    <xf numFmtId="0" fontId="0" fillId="0" borderId="0" xfId="0" applyAlignment="1">
      <alignment wrapText="1"/>
    </xf>
    <xf numFmtId="0" fontId="0" fillId="6" borderId="1" xfId="0" applyFill="1" applyBorder="1"/>
    <xf numFmtId="0" fontId="30" fillId="4" borderId="1" xfId="0" applyFont="1" applyFill="1" applyBorder="1"/>
    <xf numFmtId="0" fontId="31" fillId="0" borderId="0" xfId="0" applyFont="1"/>
    <xf numFmtId="0" fontId="8" fillId="0" borderId="0" xfId="0" applyFont="1" applyAlignment="1">
      <alignment horizontal="center" vertical="center" wrapText="1"/>
    </xf>
    <xf numFmtId="0" fontId="8" fillId="0" borderId="0" xfId="0" applyFont="1" applyAlignment="1">
      <alignment horizontal="center"/>
    </xf>
    <xf numFmtId="0" fontId="7" fillId="0" borderId="0" xfId="0" applyFont="1" applyAlignment="1">
      <alignment horizontal="center" vertical="center"/>
    </xf>
    <xf numFmtId="0" fontId="8" fillId="0" borderId="0" xfId="0" applyFont="1" applyAlignment="1">
      <alignment horizontal="center" vertical="center"/>
    </xf>
    <xf numFmtId="43" fontId="4" fillId="4" borderId="3" xfId="1" applyFont="1" applyFill="1" applyBorder="1" applyAlignment="1">
      <alignment vertical="center" wrapText="1"/>
    </xf>
    <xf numFmtId="0" fontId="34" fillId="5" borderId="16" xfId="0" applyFont="1" applyFill="1" applyBorder="1"/>
    <xf numFmtId="0" fontId="5" fillId="2" borderId="1" xfId="0" applyFont="1" applyFill="1" applyBorder="1" applyAlignment="1">
      <alignment horizontal="right" vertical="center" wrapText="1"/>
    </xf>
    <xf numFmtId="164" fontId="4" fillId="0" borderId="0" xfId="0" applyNumberFormat="1" applyFont="1" applyAlignment="1">
      <alignment vertical="center" wrapText="1"/>
    </xf>
    <xf numFmtId="0" fontId="7" fillId="0" borderId="0" xfId="0" applyFont="1" applyAlignment="1">
      <alignment horizontal="center" vertical="center" wrapText="1"/>
    </xf>
    <xf numFmtId="0" fontId="7" fillId="0" borderId="0" xfId="0" applyFont="1" applyAlignment="1">
      <alignment vertical="top" wrapText="1"/>
    </xf>
    <xf numFmtId="0" fontId="7" fillId="0" borderId="0" xfId="0" applyFont="1" applyAlignment="1">
      <alignment horizontal="center" wrapText="1"/>
    </xf>
    <xf numFmtId="0" fontId="8" fillId="0" borderId="0" xfId="0" applyFont="1" applyAlignment="1">
      <alignment horizontal="center" wrapText="1"/>
    </xf>
    <xf numFmtId="0" fontId="17" fillId="0" borderId="0" xfId="0" applyFont="1" applyAlignment="1">
      <alignment horizontal="center"/>
    </xf>
    <xf numFmtId="0" fontId="7" fillId="0" borderId="0" xfId="0" applyFont="1" applyAlignment="1">
      <alignment vertical="top"/>
    </xf>
    <xf numFmtId="0" fontId="4" fillId="6" borderId="1" xfId="0" applyFont="1" applyFill="1" applyBorder="1" applyAlignment="1">
      <alignment vertical="center" wrapText="1"/>
    </xf>
    <xf numFmtId="14" fontId="4" fillId="4" borderId="0" xfId="0" applyNumberFormat="1" applyFont="1" applyFill="1"/>
    <xf numFmtId="0" fontId="4" fillId="4" borderId="15" xfId="0" applyFont="1" applyFill="1" applyBorder="1" applyAlignment="1">
      <alignment vertical="center"/>
    </xf>
    <xf numFmtId="0" fontId="4" fillId="6" borderId="13" xfId="0" applyFont="1" applyFill="1" applyBorder="1" applyAlignment="1">
      <alignment vertical="center"/>
    </xf>
    <xf numFmtId="0" fontId="4" fillId="6" borderId="0" xfId="0" applyFont="1" applyFill="1"/>
    <xf numFmtId="0" fontId="4" fillId="2" borderId="1" xfId="0" applyFont="1" applyFill="1" applyBorder="1"/>
    <xf numFmtId="0" fontId="4" fillId="2" borderId="1" xfId="0" applyFont="1" applyFill="1" applyBorder="1" applyAlignment="1">
      <alignment wrapText="1"/>
    </xf>
    <xf numFmtId="165" fontId="4" fillId="2" borderId="1" xfId="0" applyNumberFormat="1" applyFont="1" applyFill="1" applyBorder="1" applyAlignment="1">
      <alignment horizontal="left" vertical="center" wrapText="1"/>
    </xf>
    <xf numFmtId="14" fontId="4" fillId="6" borderId="1" xfId="0" applyNumberFormat="1" applyFont="1" applyFill="1" applyBorder="1" applyAlignment="1">
      <alignment vertical="center" wrapText="1"/>
    </xf>
    <xf numFmtId="165" fontId="4" fillId="6" borderId="1" xfId="0" applyNumberFormat="1" applyFont="1" applyFill="1" applyBorder="1" applyAlignment="1">
      <alignment vertical="center" wrapText="1"/>
    </xf>
    <xf numFmtId="0" fontId="4" fillId="7" borderId="1" xfId="0" applyFont="1" applyFill="1" applyBorder="1" applyAlignment="1">
      <alignment vertical="center" wrapText="1"/>
    </xf>
    <xf numFmtId="9" fontId="4" fillId="7" borderId="1" xfId="0" applyNumberFormat="1" applyFont="1" applyFill="1" applyBorder="1" applyAlignment="1">
      <alignment vertical="center" wrapText="1"/>
    </xf>
    <xf numFmtId="49" fontId="4" fillId="7" borderId="1" xfId="1" applyNumberFormat="1" applyFont="1" applyFill="1" applyBorder="1" applyAlignment="1">
      <alignment vertical="center" wrapText="1"/>
    </xf>
    <xf numFmtId="40" fontId="4" fillId="7" borderId="1" xfId="1" applyNumberFormat="1" applyFont="1" applyFill="1" applyBorder="1" applyAlignment="1">
      <alignment vertical="center" wrapText="1"/>
    </xf>
    <xf numFmtId="0" fontId="4" fillId="6" borderId="1" xfId="0" applyFont="1" applyFill="1" applyBorder="1" applyAlignment="1">
      <alignment horizontal="left" vertical="center"/>
    </xf>
    <xf numFmtId="0" fontId="4" fillId="6" borderId="1" xfId="0" applyFont="1" applyFill="1" applyBorder="1" applyAlignment="1">
      <alignment horizontal="left" vertical="center" wrapText="1"/>
    </xf>
    <xf numFmtId="0" fontId="5" fillId="2" borderId="1" xfId="0" applyFont="1" applyFill="1" applyBorder="1" applyAlignment="1">
      <alignment horizontal="center" vertical="center" wrapText="1"/>
    </xf>
    <xf numFmtId="49" fontId="4" fillId="4" borderId="1" xfId="0" applyNumberFormat="1" applyFont="1" applyFill="1" applyBorder="1" applyAlignment="1">
      <alignment horizontal="left" vertical="center" wrapText="1"/>
    </xf>
    <xf numFmtId="0" fontId="35" fillId="0" borderId="0" xfId="0" applyFont="1"/>
    <xf numFmtId="0" fontId="26" fillId="0" borderId="0" xfId="0" applyFont="1"/>
    <xf numFmtId="0" fontId="35" fillId="0" borderId="0" xfId="0" applyFont="1" applyAlignment="1">
      <alignment horizontal="right"/>
    </xf>
    <xf numFmtId="164" fontId="26" fillId="0" borderId="0" xfId="0" applyNumberFormat="1" applyFont="1"/>
    <xf numFmtId="166" fontId="26" fillId="0" borderId="0" xfId="0" applyNumberFormat="1" applyFont="1"/>
    <xf numFmtId="0" fontId="26" fillId="0" borderId="1" xfId="0" applyFont="1" applyBorder="1" applyAlignment="1">
      <alignment horizontal="center" vertical="center" wrapText="1"/>
    </xf>
    <xf numFmtId="0" fontId="26" fillId="0" borderId="0" xfId="0" applyFont="1" applyAlignment="1">
      <alignment horizontal="center" vertical="center" wrapText="1"/>
    </xf>
    <xf numFmtId="0" fontId="26" fillId="0" borderId="1" xfId="0" applyFont="1" applyBorder="1"/>
    <xf numFmtId="14" fontId="26" fillId="0" borderId="1" xfId="0" applyNumberFormat="1" applyFont="1" applyBorder="1"/>
    <xf numFmtId="167" fontId="26" fillId="0" borderId="0" xfId="0" applyNumberFormat="1" applyFont="1"/>
    <xf numFmtId="0" fontId="35" fillId="0" borderId="1" xfId="0" applyFont="1" applyBorder="1"/>
    <xf numFmtId="14" fontId="35" fillId="0" borderId="1" xfId="0" applyNumberFormat="1" applyFont="1" applyBorder="1"/>
    <xf numFmtId="43" fontId="35" fillId="0" borderId="1" xfId="1" applyFont="1" applyBorder="1"/>
    <xf numFmtId="14" fontId="26" fillId="0" borderId="0" xfId="0" applyNumberFormat="1" applyFont="1"/>
    <xf numFmtId="43" fontId="26" fillId="0" borderId="0" xfId="1" applyFont="1" applyBorder="1"/>
    <xf numFmtId="14" fontId="25" fillId="5" borderId="0" xfId="0" applyNumberFormat="1" applyFont="1" applyFill="1"/>
    <xf numFmtId="0" fontId="25" fillId="5" borderId="0" xfId="0" applyFont="1" applyFill="1"/>
    <xf numFmtId="0" fontId="25" fillId="0" borderId="0" xfId="0" applyFont="1"/>
    <xf numFmtId="168" fontId="38" fillId="5" borderId="0" xfId="0" applyNumberFormat="1" applyFont="1" applyFill="1"/>
    <xf numFmtId="0" fontId="25" fillId="4" borderId="0" xfId="0" applyFont="1" applyFill="1"/>
    <xf numFmtId="1" fontId="25" fillId="5" borderId="0" xfId="0" applyNumberFormat="1" applyFont="1" applyFill="1"/>
    <xf numFmtId="49" fontId="26" fillId="0" borderId="0" xfId="0" applyNumberFormat="1" applyFont="1" applyAlignment="1">
      <alignment horizontal="right"/>
    </xf>
    <xf numFmtId="0" fontId="39" fillId="0" borderId="0" xfId="0" applyFont="1" applyAlignment="1">
      <alignment vertical="center"/>
    </xf>
    <xf numFmtId="0" fontId="40" fillId="0" borderId="0" xfId="0" applyFont="1" applyAlignment="1">
      <alignment horizontal="right" vertical="center"/>
    </xf>
    <xf numFmtId="0" fontId="40" fillId="0" borderId="0" xfId="0" applyFont="1" applyAlignment="1">
      <alignment horizontal="right" vertical="center" wrapText="1"/>
    </xf>
    <xf numFmtId="2" fontId="14" fillId="0" borderId="1" xfId="0" applyNumberFormat="1" applyFont="1" applyBorder="1" applyAlignment="1">
      <alignment horizontal="justify" vertical="top" wrapText="1"/>
    </xf>
    <xf numFmtId="43" fontId="13" fillId="0" borderId="1" xfId="1" applyFont="1" applyBorder="1" applyAlignment="1">
      <alignment horizontal="center" vertical="top" wrapText="1"/>
    </xf>
    <xf numFmtId="43" fontId="13" fillId="0" borderId="1" xfId="1" applyFont="1" applyBorder="1" applyAlignment="1">
      <alignment vertical="top" wrapText="1"/>
    </xf>
    <xf numFmtId="0" fontId="41" fillId="7" borderId="1" xfId="0" applyFont="1" applyFill="1" applyBorder="1"/>
    <xf numFmtId="0" fontId="41" fillId="0" borderId="0" xfId="0" applyFont="1"/>
    <xf numFmtId="0" fontId="0" fillId="4" borderId="1" xfId="0" applyFill="1" applyBorder="1"/>
    <xf numFmtId="14" fontId="0" fillId="4" borderId="1" xfId="0" applyNumberFormat="1" applyFill="1" applyBorder="1"/>
    <xf numFmtId="43" fontId="0" fillId="4" borderId="1" xfId="1" applyFont="1" applyFill="1" applyBorder="1"/>
    <xf numFmtId="0" fontId="25" fillId="4" borderId="1" xfId="0" applyFont="1" applyFill="1" applyBorder="1"/>
    <xf numFmtId="0" fontId="41" fillId="7" borderId="1" xfId="0" applyFont="1" applyFill="1" applyBorder="1" applyAlignment="1">
      <alignment horizontal="center" vertical="center" wrapText="1"/>
    </xf>
    <xf numFmtId="0" fontId="0" fillId="0" borderId="0" xfId="0" applyAlignment="1">
      <alignment horizontal="center" vertical="center" wrapText="1"/>
    </xf>
    <xf numFmtId="164" fontId="0" fillId="0" borderId="0" xfId="0" applyNumberFormat="1"/>
    <xf numFmtId="0" fontId="27" fillId="0" borderId="0" xfId="0" applyFont="1" applyAlignment="1">
      <alignment horizontal="right"/>
    </xf>
    <xf numFmtId="0" fontId="27" fillId="0" borderId="0" xfId="0" applyFont="1" applyAlignment="1">
      <alignment horizontal="justify"/>
    </xf>
    <xf numFmtId="0" fontId="27" fillId="0" borderId="0" xfId="0" applyFont="1" applyAlignment="1">
      <alignment horizontal="justify" vertical="center"/>
    </xf>
    <xf numFmtId="0" fontId="27" fillId="0" borderId="1" xfId="0" applyFont="1" applyBorder="1" applyAlignment="1">
      <alignment horizontal="justify"/>
    </xf>
    <xf numFmtId="0" fontId="27" fillId="0" borderId="0" xfId="0" applyFont="1" applyAlignment="1">
      <alignment horizontal="justify" vertical="center" wrapText="1"/>
    </xf>
    <xf numFmtId="0" fontId="27" fillId="0" borderId="0" xfId="0" applyFont="1" applyAlignment="1">
      <alignment horizontal="left"/>
    </xf>
    <xf numFmtId="0" fontId="27" fillId="0" borderId="11" xfId="0" applyFont="1" applyBorder="1" applyAlignment="1">
      <alignment horizontal="center"/>
    </xf>
    <xf numFmtId="0" fontId="27" fillId="0" borderId="0" xfId="0" applyFont="1" applyAlignment="1">
      <alignment horizontal="center"/>
    </xf>
    <xf numFmtId="0" fontId="4" fillId="3" borderId="1" xfId="0" applyFont="1" applyFill="1" applyBorder="1" applyAlignment="1">
      <alignment horizontal="center" vertical="center" wrapText="1"/>
    </xf>
    <xf numFmtId="0" fontId="13" fillId="0" borderId="0" xfId="0" applyFont="1" applyAlignment="1">
      <alignment vertical="top"/>
    </xf>
    <xf numFmtId="14" fontId="4" fillId="0" borderId="1" xfId="0" applyNumberFormat="1" applyFont="1" applyBorder="1"/>
    <xf numFmtId="0" fontId="29" fillId="0" borderId="0" xfId="0" applyFont="1" applyAlignment="1">
      <alignment horizontal="justify" vertical="top" wrapText="1"/>
    </xf>
    <xf numFmtId="0" fontId="14" fillId="0" borderId="0" xfId="0" applyFont="1" applyAlignment="1">
      <alignment horizontal="left" vertical="center" wrapText="1"/>
    </xf>
    <xf numFmtId="0" fontId="14" fillId="0" borderId="0" xfId="0" applyFont="1" applyAlignment="1">
      <alignment horizontal="right" vertical="center" wrapText="1"/>
    </xf>
    <xf numFmtId="0" fontId="0" fillId="0" borderId="0" xfId="0" applyAlignment="1">
      <alignment horizontal="left" vertical="center"/>
    </xf>
    <xf numFmtId="0" fontId="13" fillId="0" borderId="0" xfId="0" applyFont="1" applyAlignment="1">
      <alignment horizontal="left" vertical="center" wrapText="1"/>
    </xf>
    <xf numFmtId="14" fontId="4" fillId="4" borderId="1" xfId="0" applyNumberFormat="1" applyFont="1" applyFill="1" applyBorder="1" applyAlignment="1">
      <alignment vertical="center" wrapText="1"/>
    </xf>
    <xf numFmtId="0" fontId="13" fillId="0" borderId="0" xfId="0" applyFont="1" applyAlignment="1">
      <alignment horizontal="right"/>
    </xf>
    <xf numFmtId="0" fontId="5" fillId="6" borderId="1" xfId="0" applyFont="1" applyFill="1" applyBorder="1" applyAlignment="1">
      <alignment horizontal="left" vertical="center" wrapText="1"/>
    </xf>
    <xf numFmtId="0" fontId="5" fillId="6" borderId="1" xfId="0" applyFont="1" applyFill="1" applyBorder="1" applyAlignment="1">
      <alignment vertical="center" wrapText="1"/>
    </xf>
    <xf numFmtId="11" fontId="4" fillId="4" borderId="1" xfId="0" applyNumberFormat="1" applyFont="1" applyFill="1" applyBorder="1" applyAlignment="1">
      <alignment vertical="center" wrapText="1"/>
    </xf>
    <xf numFmtId="0" fontId="9" fillId="4" borderId="1" xfId="0" applyFont="1" applyFill="1" applyBorder="1" applyAlignment="1">
      <alignment horizontal="center" vertical="center" wrapText="1"/>
    </xf>
    <xf numFmtId="0" fontId="16" fillId="0" borderId="0" xfId="0" applyFont="1" applyAlignment="1">
      <alignment wrapText="1"/>
    </xf>
    <xf numFmtId="165" fontId="16" fillId="0" borderId="0" xfId="0" applyNumberFormat="1" applyFont="1"/>
    <xf numFmtId="0" fontId="15" fillId="0" borderId="0" xfId="0" applyFont="1" applyAlignment="1">
      <alignment vertical="center" wrapText="1"/>
    </xf>
    <xf numFmtId="0" fontId="15" fillId="0" borderId="0" xfId="0" applyFont="1" applyAlignment="1">
      <alignment horizontal="left"/>
    </xf>
    <xf numFmtId="0" fontId="8" fillId="0" borderId="0" xfId="0" applyFont="1" applyAlignment="1">
      <alignment horizontal="left"/>
    </xf>
    <xf numFmtId="14" fontId="9" fillId="4" borderId="1" xfId="0" applyNumberFormat="1" applyFont="1" applyFill="1" applyBorder="1" applyAlignment="1">
      <alignment horizontal="center" vertical="center" wrapText="1"/>
    </xf>
    <xf numFmtId="164" fontId="4" fillId="4" borderId="3" xfId="0" applyNumberFormat="1" applyFont="1" applyFill="1" applyBorder="1" applyAlignment="1">
      <alignment horizontal="left" vertical="top" wrapText="1"/>
    </xf>
    <xf numFmtId="0" fontId="4" fillId="4" borderId="3" xfId="0" applyFont="1" applyFill="1" applyBorder="1" applyAlignment="1">
      <alignment vertical="center" wrapText="1"/>
    </xf>
    <xf numFmtId="49" fontId="9" fillId="4" borderId="1" xfId="0" applyNumberFormat="1" applyFont="1" applyFill="1" applyBorder="1" applyAlignment="1">
      <alignment horizontal="center" vertical="center" wrapText="1"/>
    </xf>
    <xf numFmtId="164" fontId="4" fillId="4" borderId="1" xfId="0" applyNumberFormat="1" applyFont="1" applyFill="1" applyBorder="1" applyAlignment="1">
      <alignment vertical="center" wrapText="1"/>
    </xf>
    <xf numFmtId="0" fontId="16" fillId="0" borderId="0" xfId="0" applyFont="1" applyAlignment="1">
      <alignment horizontal="center" vertical="top" wrapText="1"/>
    </xf>
    <xf numFmtId="0" fontId="4" fillId="5" borderId="0" xfId="0" applyFont="1" applyFill="1"/>
    <xf numFmtId="0" fontId="44" fillId="2" borderId="1" xfId="0" applyFont="1" applyFill="1" applyBorder="1" applyAlignment="1">
      <alignment vertical="center" wrapText="1"/>
    </xf>
    <xf numFmtId="0" fontId="4" fillId="9" borderId="1" xfId="0" applyFont="1" applyFill="1" applyBorder="1" applyAlignment="1">
      <alignment vertical="center" wrapText="1"/>
    </xf>
    <xf numFmtId="0" fontId="4" fillId="3" borderId="1" xfId="0" applyFont="1" applyFill="1" applyBorder="1" applyAlignment="1">
      <alignment horizontal="center" vertical="center"/>
    </xf>
    <xf numFmtId="0" fontId="4" fillId="10" borderId="0" xfId="0" applyFont="1" applyFill="1"/>
    <xf numFmtId="0" fontId="42" fillId="0" borderId="0" xfId="0" applyFont="1" applyAlignment="1">
      <alignment vertical="center"/>
    </xf>
    <xf numFmtId="0" fontId="2" fillId="0" borderId="0" xfId="0" applyFont="1"/>
    <xf numFmtId="0" fontId="45" fillId="0" borderId="0" xfId="0" applyFont="1" applyAlignment="1">
      <alignment vertical="center"/>
    </xf>
    <xf numFmtId="0" fontId="46" fillId="0" borderId="0" xfId="0" applyFont="1" applyAlignment="1">
      <alignment wrapText="1"/>
    </xf>
    <xf numFmtId="0" fontId="7" fillId="0" borderId="0" xfId="0" applyFont="1" applyAlignment="1">
      <alignment wrapText="1"/>
    </xf>
    <xf numFmtId="0" fontId="48" fillId="0" borderId="0" xfId="0" applyFont="1"/>
    <xf numFmtId="49" fontId="4" fillId="0" borderId="0" xfId="0" applyNumberFormat="1" applyFont="1"/>
    <xf numFmtId="0" fontId="49" fillId="0" borderId="0" xfId="0" applyFont="1"/>
    <xf numFmtId="0" fontId="8" fillId="0" borderId="0" xfId="0" applyFont="1" applyAlignment="1">
      <alignment horizontal="left" wrapText="1"/>
    </xf>
    <xf numFmtId="0" fontId="8" fillId="0" borderId="0" xfId="0" applyFont="1" applyAlignment="1">
      <alignment horizontal="left" vertical="center" wrapText="1"/>
    </xf>
    <xf numFmtId="0" fontId="7" fillId="0" borderId="0" xfId="0" applyFont="1" applyAlignment="1">
      <alignment horizontal="left" vertical="top" wrapText="1"/>
    </xf>
    <xf numFmtId="0" fontId="32" fillId="0" borderId="0" xfId="0" applyFont="1" applyAlignment="1">
      <alignment horizontal="left"/>
    </xf>
    <xf numFmtId="0" fontId="8" fillId="0" borderId="0" xfId="0" applyFont="1" applyAlignment="1">
      <alignment horizontal="left" vertical="top" wrapText="1"/>
    </xf>
    <xf numFmtId="49" fontId="7" fillId="0" borderId="0" xfId="0" applyNumberFormat="1" applyFont="1" applyAlignment="1">
      <alignment horizontal="left" vertical="top" wrapText="1"/>
    </xf>
    <xf numFmtId="0" fontId="25" fillId="0" borderId="19" xfId="0" applyFont="1" applyBorder="1"/>
    <xf numFmtId="0" fontId="25" fillId="0" borderId="20" xfId="0" applyFont="1" applyBorder="1"/>
    <xf numFmtId="0" fontId="25" fillId="0" borderId="4" xfId="0" applyFont="1" applyBorder="1"/>
    <xf numFmtId="0" fontId="47" fillId="0" borderId="0" xfId="0" applyFont="1" applyAlignment="1">
      <alignment vertical="top" wrapText="1"/>
    </xf>
    <xf numFmtId="0" fontId="47" fillId="0" borderId="4" xfId="0" applyFont="1" applyBorder="1" applyAlignment="1">
      <alignment vertical="top" wrapText="1"/>
    </xf>
    <xf numFmtId="0" fontId="47" fillId="0" borderId="18" xfId="0" applyFont="1" applyBorder="1" applyAlignment="1">
      <alignment vertical="top" wrapText="1"/>
    </xf>
    <xf numFmtId="0" fontId="29" fillId="0" borderId="18" xfId="0" applyFont="1" applyBorder="1" applyAlignment="1">
      <alignment horizontal="justify" vertical="top" wrapText="1"/>
    </xf>
    <xf numFmtId="0" fontId="4" fillId="5" borderId="1" xfId="0" applyFont="1" applyFill="1" applyBorder="1" applyAlignment="1">
      <alignment vertical="center" wrapText="1"/>
    </xf>
    <xf numFmtId="0" fontId="13" fillId="0" borderId="0" xfId="0" applyFont="1" applyAlignment="1">
      <alignment horizontal="left"/>
    </xf>
    <xf numFmtId="0" fontId="8" fillId="0" borderId="0" xfId="0" applyFont="1" applyAlignment="1">
      <alignment horizontal="right" wrapText="1"/>
    </xf>
    <xf numFmtId="14" fontId="4" fillId="3" borderId="1" xfId="0" applyNumberFormat="1" applyFont="1" applyFill="1" applyBorder="1" applyAlignment="1">
      <alignment horizontal="center" vertical="center" wrapText="1"/>
    </xf>
    <xf numFmtId="0" fontId="51" fillId="2" borderId="1" xfId="0" applyFont="1" applyFill="1" applyBorder="1" applyAlignment="1">
      <alignment horizontal="left" vertical="center" wrapText="1"/>
    </xf>
    <xf numFmtId="0" fontId="51" fillId="2" borderId="1" xfId="0" applyFont="1" applyFill="1" applyBorder="1" applyAlignment="1">
      <alignment vertical="center" wrapText="1"/>
    </xf>
    <xf numFmtId="0" fontId="7" fillId="0" borderId="0" xfId="0" applyFont="1" applyAlignment="1">
      <alignment horizontal="center"/>
    </xf>
    <xf numFmtId="0" fontId="28" fillId="4" borderId="1" xfId="0" applyFont="1" applyFill="1" applyBorder="1" applyAlignment="1">
      <alignment vertical="center" wrapText="1"/>
    </xf>
    <xf numFmtId="0" fontId="52" fillId="4" borderId="1" xfId="0" applyFont="1" applyFill="1" applyBorder="1" applyAlignment="1">
      <alignment vertical="center" wrapText="1"/>
    </xf>
    <xf numFmtId="0" fontId="54" fillId="4" borderId="1" xfId="0" applyFont="1" applyFill="1" applyBorder="1" applyAlignment="1">
      <alignment vertical="center" wrapText="1"/>
    </xf>
    <xf numFmtId="0" fontId="53" fillId="2" borderId="1" xfId="0" applyFont="1" applyFill="1" applyBorder="1" applyAlignment="1">
      <alignment vertical="center" wrapText="1"/>
    </xf>
    <xf numFmtId="0" fontId="8" fillId="0" borderId="0" xfId="0" applyFont="1" applyAlignment="1">
      <alignment wrapText="1"/>
    </xf>
    <xf numFmtId="0" fontId="51" fillId="11" borderId="2" xfId="0" applyFont="1" applyFill="1" applyBorder="1" applyAlignment="1">
      <alignment horizontal="left" vertical="center" wrapText="1"/>
    </xf>
    <xf numFmtId="0" fontId="51" fillId="11" borderId="24" xfId="0" applyFont="1" applyFill="1" applyBorder="1" applyAlignment="1">
      <alignment horizontal="left" vertical="center" wrapText="1"/>
    </xf>
    <xf numFmtId="43" fontId="54" fillId="4" borderId="1" xfId="1" applyFont="1" applyFill="1" applyBorder="1" applyAlignment="1">
      <alignment vertical="center" wrapText="1"/>
    </xf>
    <xf numFmtId="14" fontId="9" fillId="2" borderId="1" xfId="0" applyNumberFormat="1" applyFont="1" applyFill="1" applyBorder="1" applyAlignment="1">
      <alignment horizontal="center" vertical="center" wrapText="1"/>
    </xf>
    <xf numFmtId="3" fontId="4" fillId="4" borderId="1" xfId="0" applyNumberFormat="1" applyFont="1" applyFill="1" applyBorder="1" applyAlignment="1">
      <alignment vertical="center" wrapText="1"/>
    </xf>
    <xf numFmtId="0" fontId="28" fillId="11" borderId="0" xfId="0" applyFont="1" applyFill="1"/>
    <xf numFmtId="10" fontId="28" fillId="11" borderId="0" xfId="139" applyNumberFormat="1" applyFont="1" applyFill="1"/>
    <xf numFmtId="43" fontId="25" fillId="11" borderId="0" xfId="0" applyNumberFormat="1" applyFont="1" applyFill="1"/>
    <xf numFmtId="0" fontId="35" fillId="0" borderId="0" xfId="0" applyFont="1" applyAlignment="1">
      <alignment horizontal="right"/>
    </xf>
    <xf numFmtId="0" fontId="35" fillId="0" borderId="0" xfId="0" applyFont="1" applyAlignment="1">
      <alignment horizontal="center"/>
    </xf>
    <xf numFmtId="0" fontId="26" fillId="0" borderId="1" xfId="0" applyFont="1" applyBorder="1" applyAlignment="1">
      <alignment horizontal="center" vertical="center"/>
    </xf>
    <xf numFmtId="0" fontId="26" fillId="0" borderId="1" xfId="0" applyFont="1" applyBorder="1" applyAlignment="1">
      <alignment horizontal="center" vertical="center" wrapText="1"/>
    </xf>
    <xf numFmtId="0" fontId="26" fillId="0" borderId="1" xfId="0" applyFont="1" applyBorder="1" applyAlignment="1">
      <alignment horizontal="center"/>
    </xf>
    <xf numFmtId="0" fontId="26" fillId="0" borderId="0" xfId="0" applyFont="1" applyAlignment="1">
      <alignment horizontal="center" vertical="top" wrapText="1"/>
    </xf>
    <xf numFmtId="0" fontId="26" fillId="0" borderId="0" xfId="0" applyFont="1" applyAlignment="1">
      <alignment horizontal="justify" vertical="top" wrapText="1"/>
    </xf>
    <xf numFmtId="0" fontId="36" fillId="0" borderId="0" xfId="0" applyFont="1" applyAlignment="1">
      <alignment horizontal="center" vertical="center" wrapText="1"/>
    </xf>
    <xf numFmtId="0" fontId="35" fillId="0" borderId="0" xfId="0" applyFont="1" applyAlignment="1">
      <alignment horizontal="center" wrapText="1"/>
    </xf>
    <xf numFmtId="0" fontId="35" fillId="0" borderId="0" xfId="0" applyFont="1" applyAlignment="1">
      <alignment horizontal="center" vertical="top" wrapText="1"/>
    </xf>
    <xf numFmtId="0" fontId="26" fillId="0" borderId="0" xfId="0" applyFont="1" applyAlignment="1">
      <alignment horizontal="center"/>
    </xf>
    <xf numFmtId="0" fontId="26" fillId="0" borderId="0" xfId="0" applyFont="1" applyAlignment="1">
      <alignment horizontal="left" wrapText="1"/>
    </xf>
    <xf numFmtId="0" fontId="37" fillId="0" borderId="0" xfId="0" applyFont="1" applyAlignment="1">
      <alignment horizontal="center" vertical="top" wrapText="1"/>
    </xf>
    <xf numFmtId="0" fontId="26" fillId="0" borderId="0" xfId="0" applyFont="1" applyAlignment="1">
      <alignment horizontal="center" wrapText="1"/>
    </xf>
    <xf numFmtId="0" fontId="14" fillId="0" borderId="0" xfId="0" applyFont="1" applyAlignment="1">
      <alignment horizontal="left"/>
    </xf>
    <xf numFmtId="0" fontId="13" fillId="0" borderId="0" xfId="0" applyFont="1" applyAlignment="1">
      <alignment horizontal="left" vertical="center" wrapText="1"/>
    </xf>
    <xf numFmtId="0" fontId="14" fillId="0" borderId="0" xfId="0" applyFont="1" applyAlignment="1">
      <alignment horizontal="center" vertical="center" wrapText="1"/>
    </xf>
    <xf numFmtId="0" fontId="13" fillId="0" borderId="0" xfId="0" applyFont="1" applyAlignment="1">
      <alignment horizontal="justify" vertical="top" wrapText="1"/>
    </xf>
    <xf numFmtId="0" fontId="13" fillId="0" borderId="0" xfId="0" applyFont="1" applyAlignment="1">
      <alignment horizontal="left" vertical="top" wrapText="1"/>
    </xf>
    <xf numFmtId="0" fontId="35" fillId="0" borderId="0" xfId="0" applyFont="1" applyAlignment="1">
      <alignment horizontal="center" vertical="center" wrapText="1"/>
    </xf>
    <xf numFmtId="0" fontId="13" fillId="0" borderId="17" xfId="0" applyFont="1" applyBorder="1" applyAlignment="1">
      <alignment horizontal="left" vertical="center" wrapText="1"/>
    </xf>
    <xf numFmtId="0" fontId="47" fillId="0" borderId="0" xfId="0" applyFont="1" applyAlignment="1">
      <alignment horizontal="justify" vertical="top" wrapText="1"/>
    </xf>
    <xf numFmtId="0" fontId="14" fillId="0" borderId="0" xfId="0" applyFont="1" applyAlignment="1">
      <alignment horizontal="left" wrapText="1"/>
    </xf>
    <xf numFmtId="0" fontId="14" fillId="0" borderId="13" xfId="0" applyFont="1" applyBorder="1" applyAlignment="1">
      <alignment horizontal="center" vertical="center" wrapText="1"/>
    </xf>
    <xf numFmtId="0" fontId="14" fillId="0" borderId="14" xfId="0" applyFont="1" applyBorder="1" applyAlignment="1">
      <alignment horizontal="center" vertical="center" wrapText="1"/>
    </xf>
    <xf numFmtId="0" fontId="14" fillId="0" borderId="15" xfId="0" applyFont="1" applyBorder="1" applyAlignment="1">
      <alignment horizontal="center" vertical="center" wrapText="1"/>
    </xf>
    <xf numFmtId="0" fontId="5" fillId="2" borderId="1"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14" fillId="0" borderId="0" xfId="0" applyFont="1" applyAlignment="1">
      <alignment horizontal="right"/>
    </xf>
    <xf numFmtId="0" fontId="14" fillId="0" borderId="0" xfId="0" applyFont="1" applyAlignment="1">
      <alignment horizontal="center"/>
    </xf>
    <xf numFmtId="0" fontId="13" fillId="0" borderId="1" xfId="0" applyFont="1" applyBorder="1" applyAlignment="1">
      <alignment horizontal="center" vertical="center"/>
    </xf>
    <xf numFmtId="0" fontId="13" fillId="0" borderId="1" xfId="0" applyFont="1" applyBorder="1" applyAlignment="1">
      <alignment horizontal="center" vertical="center" wrapText="1"/>
    </xf>
    <xf numFmtId="0" fontId="13" fillId="0" borderId="1" xfId="0" applyFont="1" applyBorder="1" applyAlignment="1">
      <alignment horizontal="center"/>
    </xf>
    <xf numFmtId="0" fontId="13" fillId="0" borderId="0" xfId="0" applyFont="1" applyAlignment="1">
      <alignment horizontal="center" vertical="top" wrapText="1"/>
    </xf>
    <xf numFmtId="0" fontId="19" fillId="0" borderId="0" xfId="0" applyFont="1" applyAlignment="1">
      <alignment horizontal="center" vertical="center" wrapText="1"/>
    </xf>
    <xf numFmtId="0" fontId="14" fillId="0" borderId="0" xfId="0" applyFont="1" applyAlignment="1">
      <alignment horizontal="center" wrapText="1"/>
    </xf>
    <xf numFmtId="0" fontId="14" fillId="0" borderId="0" xfId="0" applyFont="1" applyAlignment="1">
      <alignment horizontal="center" vertical="top" wrapText="1"/>
    </xf>
    <xf numFmtId="0" fontId="13" fillId="0" borderId="0" xfId="0" applyFont="1" applyAlignment="1">
      <alignment horizontal="center"/>
    </xf>
    <xf numFmtId="0" fontId="13" fillId="0" borderId="0" xfId="0" applyFont="1" applyAlignment="1">
      <alignment horizontal="left" wrapText="1"/>
    </xf>
    <xf numFmtId="0" fontId="18" fillId="0" borderId="0" xfId="0" applyFont="1" applyAlignment="1">
      <alignment horizontal="center" vertical="top" wrapText="1"/>
    </xf>
    <xf numFmtId="0" fontId="13" fillId="0" borderId="0" xfId="0" applyFont="1" applyAlignment="1">
      <alignment horizontal="center" wrapText="1"/>
    </xf>
    <xf numFmtId="0" fontId="16" fillId="0" borderId="0" xfId="0" applyFont="1" applyAlignment="1">
      <alignment horizontal="justify" vertical="top" wrapText="1"/>
    </xf>
    <xf numFmtId="0" fontId="16" fillId="0" borderId="0" xfId="0" applyFont="1" applyAlignment="1">
      <alignment horizontal="center" vertical="top" wrapText="1"/>
    </xf>
    <xf numFmtId="0" fontId="16" fillId="0" borderId="4" xfId="0" applyFont="1" applyBorder="1" applyAlignment="1">
      <alignment horizontal="center" vertical="top" wrapText="1"/>
    </xf>
    <xf numFmtId="49" fontId="16" fillId="0" borderId="0" xfId="0" applyNumberFormat="1" applyFont="1" applyAlignment="1">
      <alignment horizontal="center" vertical="center" wrapText="1"/>
    </xf>
    <xf numFmtId="0" fontId="15" fillId="0" borderId="0" xfId="0" applyFont="1" applyAlignment="1">
      <alignment horizontal="center" vertical="top" wrapText="1"/>
    </xf>
    <xf numFmtId="0" fontId="16" fillId="0" borderId="0" xfId="0" applyFont="1" applyAlignment="1">
      <alignment horizontal="left" vertical="top" wrapText="1"/>
    </xf>
    <xf numFmtId="0" fontId="27" fillId="0" borderId="0" xfId="0" applyFont="1" applyAlignment="1">
      <alignment horizontal="center"/>
    </xf>
    <xf numFmtId="0" fontId="27" fillId="0" borderId="3" xfId="0" applyFont="1" applyBorder="1" applyAlignment="1">
      <alignment horizontal="justify" vertical="center" wrapText="1"/>
    </xf>
    <xf numFmtId="0" fontId="27" fillId="0" borderId="18" xfId="0" applyFont="1" applyBorder="1" applyAlignment="1">
      <alignment horizontal="justify" vertical="center" wrapText="1"/>
    </xf>
    <xf numFmtId="0" fontId="27" fillId="0" borderId="2" xfId="0" applyFont="1" applyBorder="1" applyAlignment="1">
      <alignment horizontal="justify" vertical="center" wrapText="1"/>
    </xf>
    <xf numFmtId="0" fontId="27" fillId="0" borderId="3" xfId="0" applyFont="1" applyBorder="1" applyAlignment="1">
      <alignment horizontal="justify" vertical="center"/>
    </xf>
    <xf numFmtId="0" fontId="27" fillId="0" borderId="2" xfId="0" applyFont="1" applyBorder="1" applyAlignment="1">
      <alignment horizontal="justify" vertical="center"/>
    </xf>
    <xf numFmtId="0" fontId="27" fillId="0" borderId="21" xfId="0" applyFont="1" applyBorder="1" applyAlignment="1">
      <alignment horizontal="justify" vertical="center"/>
    </xf>
    <xf numFmtId="0" fontId="27" fillId="0" borderId="17" xfId="0" applyFont="1" applyBorder="1" applyAlignment="1">
      <alignment horizontal="justify" vertical="center"/>
    </xf>
    <xf numFmtId="0" fontId="27" fillId="0" borderId="22" xfId="0" applyFont="1" applyBorder="1" applyAlignment="1">
      <alignment horizontal="justify" vertical="center"/>
    </xf>
    <xf numFmtId="0" fontId="27" fillId="0" borderId="20" xfId="0" applyFont="1" applyBorder="1" applyAlignment="1">
      <alignment horizontal="justify" vertical="center"/>
    </xf>
    <xf numFmtId="0" fontId="27" fillId="0" borderId="4" xfId="0" applyFont="1" applyBorder="1" applyAlignment="1">
      <alignment horizontal="justify" vertical="center"/>
    </xf>
    <xf numFmtId="0" fontId="27" fillId="0" borderId="23" xfId="0" applyFont="1" applyBorder="1" applyAlignment="1">
      <alignment horizontal="justify" vertical="center"/>
    </xf>
    <xf numFmtId="0" fontId="27" fillId="0" borderId="1" xfId="0" applyFont="1" applyBorder="1" applyAlignment="1">
      <alignment horizontal="justify" vertical="center" wrapText="1"/>
    </xf>
    <xf numFmtId="0" fontId="27" fillId="0" borderId="17" xfId="0" applyFont="1" applyBorder="1" applyAlignment="1">
      <alignment horizontal="justify" vertical="center" wrapText="1"/>
    </xf>
    <xf numFmtId="0" fontId="27" fillId="0" borderId="11" xfId="0" applyFont="1" applyBorder="1" applyAlignment="1">
      <alignment horizontal="justify"/>
    </xf>
    <xf numFmtId="0" fontId="27" fillId="0" borderId="0" xfId="0" applyFont="1" applyAlignment="1">
      <alignment horizontal="justify" vertical="center" wrapText="1"/>
    </xf>
    <xf numFmtId="0" fontId="7" fillId="0" borderId="0" xfId="0" applyFont="1" applyAlignment="1">
      <alignment horizontal="justify" wrapText="1"/>
    </xf>
    <xf numFmtId="0" fontId="8" fillId="0" borderId="0" xfId="0" applyFont="1" applyAlignment="1">
      <alignment horizontal="left" vertical="center" wrapText="1"/>
    </xf>
    <xf numFmtId="0" fontId="7" fillId="0" borderId="0" xfId="0" applyFont="1" applyAlignment="1">
      <alignment horizontal="justify" vertical="top" wrapText="1"/>
    </xf>
    <xf numFmtId="0" fontId="8" fillId="0" borderId="0" xfId="0" applyFont="1" applyAlignment="1">
      <alignment horizontal="center"/>
    </xf>
    <xf numFmtId="0" fontId="8" fillId="0" borderId="0" xfId="0" applyFont="1" applyAlignment="1">
      <alignment horizontal="right" vertical="top" wrapText="1"/>
    </xf>
    <xf numFmtId="0" fontId="13" fillId="0" borderId="0" xfId="0" applyFont="1" applyAlignment="1">
      <alignment horizontal="center" vertical="center"/>
    </xf>
    <xf numFmtId="49" fontId="13" fillId="0" borderId="0" xfId="0" applyNumberFormat="1" applyFont="1" applyAlignment="1">
      <alignment horizontal="justify" vertical="top" wrapText="1"/>
    </xf>
    <xf numFmtId="0" fontId="55" fillId="0" borderId="0" xfId="0" applyFont="1" applyAlignment="1">
      <alignment horizontal="center" wrapText="1"/>
    </xf>
    <xf numFmtId="0" fontId="14" fillId="0" borderId="0" xfId="0" applyFont="1" applyAlignment="1">
      <alignment horizontal="left" vertical="top" wrapText="1"/>
    </xf>
    <xf numFmtId="0" fontId="8" fillId="0" borderId="0" xfId="0" applyFont="1" applyAlignment="1">
      <alignment horizontal="center" wrapText="1"/>
    </xf>
    <xf numFmtId="0" fontId="7" fillId="0" borderId="0" xfId="0" applyFont="1" applyAlignment="1">
      <alignment horizontal="left" vertical="top" wrapText="1"/>
    </xf>
    <xf numFmtId="0" fontId="8" fillId="0" borderId="0" xfId="0" applyFont="1" applyAlignment="1">
      <alignment horizontal="center" vertical="center" wrapText="1"/>
    </xf>
    <xf numFmtId="0" fontId="8" fillId="0" borderId="0" xfId="0" applyFont="1" applyAlignment="1">
      <alignment horizontal="center" vertical="top" wrapText="1"/>
    </xf>
    <xf numFmtId="49" fontId="7" fillId="0" borderId="0" xfId="0" applyNumberFormat="1" applyFont="1" applyAlignment="1">
      <alignment horizontal="left" vertical="top" wrapText="1"/>
    </xf>
    <xf numFmtId="0" fontId="32" fillId="0" borderId="0" xfId="0" applyFont="1" applyAlignment="1">
      <alignment horizontal="left"/>
    </xf>
    <xf numFmtId="0" fontId="7" fillId="0" borderId="0" xfId="0" applyFont="1" applyAlignment="1">
      <alignment vertical="top" wrapText="1"/>
    </xf>
    <xf numFmtId="0" fontId="32" fillId="0" borderId="0" xfId="0" applyFont="1" applyAlignment="1">
      <alignment horizontal="center" vertical="top" wrapText="1"/>
    </xf>
    <xf numFmtId="0" fontId="27" fillId="0" borderId="0" xfId="0" applyFont="1" applyAlignment="1">
      <alignment horizontal="left" vertical="top" wrapText="1"/>
    </xf>
    <xf numFmtId="0" fontId="27" fillId="5" borderId="0" xfId="0" applyFont="1" applyFill="1" applyAlignment="1">
      <alignment horizontal="left" vertical="top" wrapText="1"/>
    </xf>
    <xf numFmtId="0" fontId="7" fillId="0" borderId="0" xfId="0" applyFont="1" applyAlignment="1">
      <alignment horizontal="left" wrapText="1"/>
    </xf>
    <xf numFmtId="0" fontId="8" fillId="0" borderId="0" xfId="0" applyFont="1" applyAlignment="1">
      <alignment horizontal="center" vertical="center"/>
    </xf>
    <xf numFmtId="0" fontId="7" fillId="0" borderId="0" xfId="0" applyFont="1" applyAlignment="1">
      <alignment horizontal="left" vertical="center" wrapText="1"/>
    </xf>
    <xf numFmtId="0" fontId="13" fillId="0" borderId="3" xfId="0" applyFont="1" applyBorder="1" applyAlignment="1">
      <alignment horizontal="center" vertical="top" wrapText="1"/>
    </xf>
    <xf numFmtId="0" fontId="13" fillId="0" borderId="2" xfId="0" applyFont="1" applyBorder="1" applyAlignment="1">
      <alignment horizontal="center" vertical="top" wrapText="1"/>
    </xf>
    <xf numFmtId="0" fontId="13" fillId="0" borderId="13" xfId="0" applyFont="1" applyBorder="1" applyAlignment="1">
      <alignment horizontal="center" vertical="center" wrapText="1"/>
    </xf>
    <xf numFmtId="0" fontId="13" fillId="0" borderId="14" xfId="0" applyFont="1" applyBorder="1" applyAlignment="1">
      <alignment horizontal="center" vertical="center" wrapText="1"/>
    </xf>
    <xf numFmtId="0" fontId="13" fillId="0" borderId="15" xfId="0" applyFont="1" applyBorder="1" applyAlignment="1">
      <alignment horizontal="center" vertical="center" wrapText="1"/>
    </xf>
    <xf numFmtId="0" fontId="26" fillId="0" borderId="3" xfId="0" applyFont="1" applyBorder="1" applyAlignment="1">
      <alignment horizontal="center" vertical="top" wrapText="1"/>
    </xf>
    <xf numFmtId="0" fontId="26" fillId="0" borderId="2" xfId="0" applyFont="1" applyBorder="1" applyAlignment="1">
      <alignment horizontal="center" vertical="top" wrapText="1"/>
    </xf>
    <xf numFmtId="0" fontId="14" fillId="0" borderId="3" xfId="0" applyFont="1" applyBorder="1" applyAlignment="1">
      <alignment horizontal="center" vertical="center" wrapText="1"/>
    </xf>
    <xf numFmtId="0" fontId="14" fillId="0" borderId="2" xfId="0" applyFont="1" applyBorder="1" applyAlignment="1">
      <alignment horizontal="center" vertical="center" wrapText="1"/>
    </xf>
    <xf numFmtId="0" fontId="14" fillId="0" borderId="3" xfId="0" applyFont="1" applyBorder="1" applyAlignment="1">
      <alignment horizontal="center" vertical="top" wrapText="1"/>
    </xf>
    <xf numFmtId="0" fontId="14" fillId="0" borderId="2" xfId="0" applyFont="1" applyBorder="1" applyAlignment="1">
      <alignment horizontal="center" vertical="top" wrapText="1"/>
    </xf>
    <xf numFmtId="0" fontId="13" fillId="0" borderId="17" xfId="0" applyFont="1" applyBorder="1" applyAlignment="1">
      <alignment horizontal="justify" vertical="top" wrapText="1"/>
    </xf>
    <xf numFmtId="0" fontId="24" fillId="0" borderId="0" xfId="0" applyFont="1" applyAlignment="1">
      <alignment horizontal="right" vertical="top" wrapText="1"/>
    </xf>
    <xf numFmtId="0" fontId="14" fillId="0" borderId="0" xfId="0" applyFont="1" applyAlignment="1">
      <alignment horizontal="right" vertical="top" wrapText="1"/>
    </xf>
    <xf numFmtId="0" fontId="13" fillId="0" borderId="8" xfId="0" applyFont="1" applyBorder="1" applyAlignment="1">
      <alignment horizontal="center" wrapText="1"/>
    </xf>
    <xf numFmtId="0" fontId="13" fillId="0" borderId="9" xfId="0" applyFont="1" applyBorder="1" applyAlignment="1">
      <alignment horizontal="center" wrapText="1"/>
    </xf>
    <xf numFmtId="0" fontId="22" fillId="0" borderId="8" xfId="0" applyFont="1" applyBorder="1" applyAlignment="1">
      <alignment horizontal="center" wrapText="1"/>
    </xf>
    <xf numFmtId="0" fontId="22" fillId="0" borderId="0" xfId="0" applyFont="1" applyAlignment="1">
      <alignment horizontal="center" wrapText="1"/>
    </xf>
    <xf numFmtId="0" fontId="22" fillId="0" borderId="9" xfId="0" applyFont="1" applyBorder="1" applyAlignment="1">
      <alignment horizontal="center" wrapText="1"/>
    </xf>
    <xf numFmtId="0" fontId="23" fillId="0" borderId="5" xfId="0" applyFont="1" applyBorder="1" applyAlignment="1">
      <alignment horizontal="center" wrapText="1"/>
    </xf>
    <xf numFmtId="0" fontId="23" fillId="0" borderId="6" xfId="0" applyFont="1" applyBorder="1" applyAlignment="1">
      <alignment horizontal="center" wrapText="1"/>
    </xf>
    <xf numFmtId="0" fontId="23" fillId="0" borderId="7" xfId="0" applyFont="1" applyBorder="1" applyAlignment="1">
      <alignment horizontal="center" wrapText="1"/>
    </xf>
    <xf numFmtId="0" fontId="33" fillId="0" borderId="8" xfId="0" applyFont="1" applyBorder="1" applyAlignment="1">
      <alignment horizontal="center" wrapText="1"/>
    </xf>
    <xf numFmtId="0" fontId="33" fillId="0" borderId="0" xfId="0" applyFont="1" applyAlignment="1">
      <alignment horizontal="center" wrapText="1"/>
    </xf>
    <xf numFmtId="0" fontId="33" fillId="0" borderId="9" xfId="0" applyFont="1" applyBorder="1" applyAlignment="1">
      <alignment horizontal="center" wrapText="1"/>
    </xf>
    <xf numFmtId="0" fontId="14" fillId="0" borderId="10" xfId="0" applyFont="1" applyBorder="1" applyAlignment="1">
      <alignment horizontal="center" wrapText="1"/>
    </xf>
    <xf numFmtId="0" fontId="14" fillId="0" borderId="11" xfId="0" applyFont="1" applyBorder="1" applyAlignment="1">
      <alignment horizontal="center" wrapText="1"/>
    </xf>
    <xf numFmtId="0" fontId="14" fillId="0" borderId="12" xfId="0" applyFont="1" applyBorder="1" applyAlignment="1">
      <alignment horizontal="center" wrapText="1"/>
    </xf>
    <xf numFmtId="0" fontId="14" fillId="0" borderId="8" xfId="0" applyFont="1" applyBorder="1" applyAlignment="1">
      <alignment horizontal="left" wrapText="1"/>
    </xf>
    <xf numFmtId="0" fontId="14" fillId="0" borderId="9" xfId="0" applyFont="1" applyBorder="1" applyAlignment="1">
      <alignment horizontal="left" wrapText="1"/>
    </xf>
    <xf numFmtId="0" fontId="39" fillId="0" borderId="0" xfId="0" applyFont="1" applyAlignment="1">
      <alignment horizontal="justify" vertical="top" wrapText="1"/>
    </xf>
    <xf numFmtId="0" fontId="39" fillId="0" borderId="0" xfId="0" applyFont="1" applyAlignment="1">
      <alignment horizontal="justify" vertical="center" wrapText="1"/>
    </xf>
    <xf numFmtId="0" fontId="13" fillId="0" borderId="0" xfId="0" applyFont="1" applyAlignment="1">
      <alignment horizontal="left"/>
    </xf>
    <xf numFmtId="0" fontId="40" fillId="0" borderId="0" xfId="0" applyFont="1" applyAlignment="1">
      <alignment vertical="center" wrapText="1"/>
    </xf>
    <xf numFmtId="0" fontId="13" fillId="0" borderId="0" xfId="0" applyFont="1" applyAlignment="1">
      <alignment vertical="top" wrapText="1"/>
    </xf>
    <xf numFmtId="0" fontId="40" fillId="0" borderId="0" xfId="0" applyFont="1" applyAlignment="1">
      <alignment horizontal="justify" vertical="center" wrapText="1"/>
    </xf>
    <xf numFmtId="0" fontId="16" fillId="0" borderId="0" xfId="0" applyFont="1" applyAlignment="1">
      <alignment horizontal="justify" vertical="top" wrapText="1" readingOrder="1"/>
    </xf>
    <xf numFmtId="0" fontId="15" fillId="0" borderId="0" xfId="0" applyFont="1" applyAlignment="1">
      <alignment horizontal="center" wrapText="1"/>
    </xf>
    <xf numFmtId="0" fontId="43" fillId="0" borderId="0" xfId="0" applyFont="1" applyAlignment="1">
      <alignment horizontal="left" vertical="center" wrapText="1" readingOrder="1"/>
    </xf>
    <xf numFmtId="0" fontId="16" fillId="0" borderId="0" xfId="0" applyFont="1" applyAlignment="1">
      <alignment horizontal="left" wrapText="1"/>
    </xf>
    <xf numFmtId="0" fontId="15" fillId="0" borderId="4" xfId="0" applyFont="1" applyBorder="1" applyAlignment="1">
      <alignment horizontal="left" vertical="top"/>
    </xf>
    <xf numFmtId="0" fontId="15" fillId="8" borderId="3" xfId="0" applyFont="1" applyFill="1" applyBorder="1" applyAlignment="1">
      <alignment horizontal="center" vertical="center" wrapText="1"/>
    </xf>
    <xf numFmtId="0" fontId="15" fillId="8" borderId="2" xfId="0" applyFont="1" applyFill="1" applyBorder="1" applyAlignment="1">
      <alignment horizontal="center" vertical="center" wrapText="1"/>
    </xf>
    <xf numFmtId="0" fontId="15" fillId="8" borderId="1" xfId="0" applyFont="1" applyFill="1" applyBorder="1" applyAlignment="1">
      <alignment horizontal="center" vertical="center" wrapText="1"/>
    </xf>
    <xf numFmtId="0" fontId="16" fillId="0" borderId="1" xfId="0" applyFont="1" applyBorder="1" applyAlignment="1">
      <alignment horizontal="center" vertical="center" wrapText="1"/>
    </xf>
    <xf numFmtId="0" fontId="16" fillId="0" borderId="0" xfId="0" applyFont="1" applyAlignment="1">
      <alignment horizontal="left"/>
    </xf>
  </cellXfs>
  <cellStyles count="140">
    <cellStyle name="Обычный" xfId="0" builtinId="0"/>
    <cellStyle name="Обычный 10" xfId="72" xr:uid="{00000000-0005-0000-0000-000001000000}"/>
    <cellStyle name="Обычный 11" xfId="73" xr:uid="{00000000-0005-0000-0000-000002000000}"/>
    <cellStyle name="Обычный 2" xfId="63" xr:uid="{00000000-0005-0000-0000-000003000000}"/>
    <cellStyle name="Обычный 3" xfId="64" xr:uid="{00000000-0005-0000-0000-000004000000}"/>
    <cellStyle name="Обычный 4" xfId="66" xr:uid="{00000000-0005-0000-0000-000005000000}"/>
    <cellStyle name="Обычный 5" xfId="67" xr:uid="{00000000-0005-0000-0000-000006000000}"/>
    <cellStyle name="Обычный 6" xfId="68" xr:uid="{00000000-0005-0000-0000-000007000000}"/>
    <cellStyle name="Обычный 7" xfId="69" xr:uid="{00000000-0005-0000-0000-000008000000}"/>
    <cellStyle name="Обычный 8" xfId="70" xr:uid="{00000000-0005-0000-0000-000009000000}"/>
    <cellStyle name="Обычный 9" xfId="71" xr:uid="{00000000-0005-0000-0000-00000A000000}"/>
    <cellStyle name="Процентный" xfId="139" builtinId="5"/>
    <cellStyle name="Финансовый" xfId="1" builtinId="3"/>
    <cellStyle name="Финансовый 10" xfId="125" xr:uid="{00000000-0005-0000-0000-00000D000000}"/>
    <cellStyle name="Финансовый 11" xfId="61" xr:uid="{00000000-0005-0000-0000-00000E000000}"/>
    <cellStyle name="Финансовый 12" xfId="49" xr:uid="{00000000-0005-0000-0000-00000F000000}"/>
    <cellStyle name="Финансовый 13" xfId="127" xr:uid="{00000000-0005-0000-0000-000010000000}"/>
    <cellStyle name="Финансовый 14" xfId="25" xr:uid="{00000000-0005-0000-0000-000011000000}"/>
    <cellStyle name="Финансовый 15" xfId="13" xr:uid="{00000000-0005-0000-0000-000012000000}"/>
    <cellStyle name="Финансовый 2" xfId="2" xr:uid="{00000000-0005-0000-0000-000013000000}"/>
    <cellStyle name="Финансовый 2 10" xfId="62" xr:uid="{00000000-0005-0000-0000-000014000000}"/>
    <cellStyle name="Финансовый 2 11" xfId="50" xr:uid="{00000000-0005-0000-0000-000015000000}"/>
    <cellStyle name="Финансовый 2 12" xfId="128" xr:uid="{00000000-0005-0000-0000-000016000000}"/>
    <cellStyle name="Финансовый 2 13" xfId="26" xr:uid="{00000000-0005-0000-0000-000017000000}"/>
    <cellStyle name="Финансовый 2 14" xfId="14" xr:uid="{00000000-0005-0000-0000-000018000000}"/>
    <cellStyle name="Финансовый 2 2" xfId="4" xr:uid="{00000000-0005-0000-0000-000019000000}"/>
    <cellStyle name="Финансовый 2 2 10" xfId="28" xr:uid="{00000000-0005-0000-0000-00001A000000}"/>
    <cellStyle name="Финансовый 2 2 11" xfId="16" xr:uid="{00000000-0005-0000-0000-00001B000000}"/>
    <cellStyle name="Финансовый 2 2 2" xfId="10" xr:uid="{00000000-0005-0000-0000-00001C000000}"/>
    <cellStyle name="Финансовый 2 2 2 2" xfId="46" xr:uid="{00000000-0005-0000-0000-00001D000000}"/>
    <cellStyle name="Финансовый 2 2 2 2 2" xfId="104" xr:uid="{00000000-0005-0000-0000-00001E000000}"/>
    <cellStyle name="Финансовый 2 2 2 3" xfId="116" xr:uid="{00000000-0005-0000-0000-00001F000000}"/>
    <cellStyle name="Финансовый 2 2 2 4" xfId="80" xr:uid="{00000000-0005-0000-0000-000020000000}"/>
    <cellStyle name="Финансовый 2 2 2 5" xfId="58" xr:uid="{00000000-0005-0000-0000-000021000000}"/>
    <cellStyle name="Финансовый 2 2 2 6" xfId="136" xr:uid="{00000000-0005-0000-0000-000022000000}"/>
    <cellStyle name="Финансовый 2 2 2 7" xfId="34" xr:uid="{00000000-0005-0000-0000-000023000000}"/>
    <cellStyle name="Финансовый 2 2 2 8" xfId="22" xr:uid="{00000000-0005-0000-0000-000024000000}"/>
    <cellStyle name="Финансовый 2 2 3" xfId="40" xr:uid="{00000000-0005-0000-0000-000025000000}"/>
    <cellStyle name="Финансовый 2 2 3 2" xfId="122" xr:uid="{00000000-0005-0000-0000-000026000000}"/>
    <cellStyle name="Финансовый 2 2 3 3" xfId="86" xr:uid="{00000000-0005-0000-0000-000027000000}"/>
    <cellStyle name="Финансовый 2 2 4" xfId="92" xr:uid="{00000000-0005-0000-0000-000028000000}"/>
    <cellStyle name="Финансовый 2 2 5" xfId="98" xr:uid="{00000000-0005-0000-0000-000029000000}"/>
    <cellStyle name="Финансовый 2 2 6" xfId="110" xr:uid="{00000000-0005-0000-0000-00002A000000}"/>
    <cellStyle name="Финансовый 2 2 7" xfId="65" xr:uid="{00000000-0005-0000-0000-00002B000000}"/>
    <cellStyle name="Финансовый 2 2 8" xfId="52" xr:uid="{00000000-0005-0000-0000-00002C000000}"/>
    <cellStyle name="Финансовый 2 2 9" xfId="130" xr:uid="{00000000-0005-0000-0000-00002D000000}"/>
    <cellStyle name="Финансовый 2 3" xfId="6" xr:uid="{00000000-0005-0000-0000-00002E000000}"/>
    <cellStyle name="Финансовый 2 3 10" xfId="30" xr:uid="{00000000-0005-0000-0000-00002F000000}"/>
    <cellStyle name="Финансовый 2 3 11" xfId="18" xr:uid="{00000000-0005-0000-0000-000030000000}"/>
    <cellStyle name="Финансовый 2 3 2" xfId="12" xr:uid="{00000000-0005-0000-0000-000031000000}"/>
    <cellStyle name="Финансовый 2 3 2 2" xfId="48" xr:uid="{00000000-0005-0000-0000-000032000000}"/>
    <cellStyle name="Финансовый 2 3 2 2 2" xfId="106" xr:uid="{00000000-0005-0000-0000-000033000000}"/>
    <cellStyle name="Финансовый 2 3 2 3" xfId="118" xr:uid="{00000000-0005-0000-0000-000034000000}"/>
    <cellStyle name="Финансовый 2 3 2 4" xfId="82" xr:uid="{00000000-0005-0000-0000-000035000000}"/>
    <cellStyle name="Финансовый 2 3 2 5" xfId="60" xr:uid="{00000000-0005-0000-0000-000036000000}"/>
    <cellStyle name="Финансовый 2 3 2 6" xfId="138" xr:uid="{00000000-0005-0000-0000-000037000000}"/>
    <cellStyle name="Финансовый 2 3 2 7" xfId="36" xr:uid="{00000000-0005-0000-0000-000038000000}"/>
    <cellStyle name="Финансовый 2 3 2 8" xfId="24" xr:uid="{00000000-0005-0000-0000-000039000000}"/>
    <cellStyle name="Финансовый 2 3 3" xfId="42" xr:uid="{00000000-0005-0000-0000-00003A000000}"/>
    <cellStyle name="Финансовый 2 3 3 2" xfId="124" xr:uid="{00000000-0005-0000-0000-00003B000000}"/>
    <cellStyle name="Финансовый 2 3 3 3" xfId="88" xr:uid="{00000000-0005-0000-0000-00003C000000}"/>
    <cellStyle name="Финансовый 2 3 4" xfId="94" xr:uid="{00000000-0005-0000-0000-00003D000000}"/>
    <cellStyle name="Финансовый 2 3 5" xfId="100" xr:uid="{00000000-0005-0000-0000-00003E000000}"/>
    <cellStyle name="Финансовый 2 3 6" xfId="112" xr:uid="{00000000-0005-0000-0000-00003F000000}"/>
    <cellStyle name="Финансовый 2 3 7" xfId="76" xr:uid="{00000000-0005-0000-0000-000040000000}"/>
    <cellStyle name="Финансовый 2 3 8" xfId="54" xr:uid="{00000000-0005-0000-0000-000041000000}"/>
    <cellStyle name="Финансовый 2 3 9" xfId="132" xr:uid="{00000000-0005-0000-0000-000042000000}"/>
    <cellStyle name="Финансовый 2 4" xfId="8" xr:uid="{00000000-0005-0000-0000-000043000000}"/>
    <cellStyle name="Финансовый 2 4 2" xfId="44" xr:uid="{00000000-0005-0000-0000-000044000000}"/>
    <cellStyle name="Финансовый 2 4 2 2" xfId="102" xr:uid="{00000000-0005-0000-0000-000045000000}"/>
    <cellStyle name="Финансовый 2 4 3" xfId="114" xr:uid="{00000000-0005-0000-0000-000046000000}"/>
    <cellStyle name="Финансовый 2 4 4" xfId="78" xr:uid="{00000000-0005-0000-0000-000047000000}"/>
    <cellStyle name="Финансовый 2 4 5" xfId="56" xr:uid="{00000000-0005-0000-0000-000048000000}"/>
    <cellStyle name="Финансовый 2 4 6" xfId="134" xr:uid="{00000000-0005-0000-0000-000049000000}"/>
    <cellStyle name="Финансовый 2 4 7" xfId="32" xr:uid="{00000000-0005-0000-0000-00004A000000}"/>
    <cellStyle name="Финансовый 2 4 8" xfId="20" xr:uid="{00000000-0005-0000-0000-00004B000000}"/>
    <cellStyle name="Финансовый 2 5" xfId="38" xr:uid="{00000000-0005-0000-0000-00004C000000}"/>
    <cellStyle name="Финансовый 2 5 2" xfId="120" xr:uid="{00000000-0005-0000-0000-00004D000000}"/>
    <cellStyle name="Финансовый 2 5 3" xfId="84" xr:uid="{00000000-0005-0000-0000-00004E000000}"/>
    <cellStyle name="Финансовый 2 6" xfId="90" xr:uid="{00000000-0005-0000-0000-00004F000000}"/>
    <cellStyle name="Финансовый 2 7" xfId="96" xr:uid="{00000000-0005-0000-0000-000050000000}"/>
    <cellStyle name="Финансовый 2 8" xfId="108" xr:uid="{00000000-0005-0000-0000-000051000000}"/>
    <cellStyle name="Финансовый 2 9" xfId="126" xr:uid="{00000000-0005-0000-0000-000052000000}"/>
    <cellStyle name="Финансовый 3" xfId="3" xr:uid="{00000000-0005-0000-0000-000053000000}"/>
    <cellStyle name="Финансовый 3 10" xfId="27" xr:uid="{00000000-0005-0000-0000-000054000000}"/>
    <cellStyle name="Финансовый 3 11" xfId="15" xr:uid="{00000000-0005-0000-0000-000055000000}"/>
    <cellStyle name="Финансовый 3 2" xfId="9" xr:uid="{00000000-0005-0000-0000-000056000000}"/>
    <cellStyle name="Финансовый 3 2 2" xfId="45" xr:uid="{00000000-0005-0000-0000-000057000000}"/>
    <cellStyle name="Финансовый 3 2 2 2" xfId="103" xr:uid="{00000000-0005-0000-0000-000058000000}"/>
    <cellStyle name="Финансовый 3 2 3" xfId="115" xr:uid="{00000000-0005-0000-0000-000059000000}"/>
    <cellStyle name="Финансовый 3 2 4" xfId="79" xr:uid="{00000000-0005-0000-0000-00005A000000}"/>
    <cellStyle name="Финансовый 3 2 5" xfId="57" xr:uid="{00000000-0005-0000-0000-00005B000000}"/>
    <cellStyle name="Финансовый 3 2 6" xfId="135" xr:uid="{00000000-0005-0000-0000-00005C000000}"/>
    <cellStyle name="Финансовый 3 2 7" xfId="33" xr:uid="{00000000-0005-0000-0000-00005D000000}"/>
    <cellStyle name="Финансовый 3 2 8" xfId="21" xr:uid="{00000000-0005-0000-0000-00005E000000}"/>
    <cellStyle name="Финансовый 3 3" xfId="39" xr:uid="{00000000-0005-0000-0000-00005F000000}"/>
    <cellStyle name="Финансовый 3 3 2" xfId="121" xr:uid="{00000000-0005-0000-0000-000060000000}"/>
    <cellStyle name="Финансовый 3 3 3" xfId="85" xr:uid="{00000000-0005-0000-0000-000061000000}"/>
    <cellStyle name="Финансовый 3 4" xfId="91" xr:uid="{00000000-0005-0000-0000-000062000000}"/>
    <cellStyle name="Финансовый 3 5" xfId="97" xr:uid="{00000000-0005-0000-0000-000063000000}"/>
    <cellStyle name="Финансовый 3 6" xfId="109" xr:uid="{00000000-0005-0000-0000-000064000000}"/>
    <cellStyle name="Финансовый 3 7" xfId="74" xr:uid="{00000000-0005-0000-0000-000065000000}"/>
    <cellStyle name="Финансовый 3 8" xfId="51" xr:uid="{00000000-0005-0000-0000-000066000000}"/>
    <cellStyle name="Финансовый 3 9" xfId="129" xr:uid="{00000000-0005-0000-0000-000067000000}"/>
    <cellStyle name="Финансовый 4" xfId="5" xr:uid="{00000000-0005-0000-0000-000068000000}"/>
    <cellStyle name="Финансовый 4 10" xfId="29" xr:uid="{00000000-0005-0000-0000-000069000000}"/>
    <cellStyle name="Финансовый 4 11" xfId="17" xr:uid="{00000000-0005-0000-0000-00006A000000}"/>
    <cellStyle name="Финансовый 4 2" xfId="11" xr:uid="{00000000-0005-0000-0000-00006B000000}"/>
    <cellStyle name="Финансовый 4 2 2" xfId="47" xr:uid="{00000000-0005-0000-0000-00006C000000}"/>
    <cellStyle name="Финансовый 4 2 2 2" xfId="105" xr:uid="{00000000-0005-0000-0000-00006D000000}"/>
    <cellStyle name="Финансовый 4 2 3" xfId="117" xr:uid="{00000000-0005-0000-0000-00006E000000}"/>
    <cellStyle name="Финансовый 4 2 4" xfId="81" xr:uid="{00000000-0005-0000-0000-00006F000000}"/>
    <cellStyle name="Финансовый 4 2 5" xfId="59" xr:uid="{00000000-0005-0000-0000-000070000000}"/>
    <cellStyle name="Финансовый 4 2 6" xfId="137" xr:uid="{00000000-0005-0000-0000-000071000000}"/>
    <cellStyle name="Финансовый 4 2 7" xfId="35" xr:uid="{00000000-0005-0000-0000-000072000000}"/>
    <cellStyle name="Финансовый 4 2 8" xfId="23" xr:uid="{00000000-0005-0000-0000-000073000000}"/>
    <cellStyle name="Финансовый 4 3" xfId="41" xr:uid="{00000000-0005-0000-0000-000074000000}"/>
    <cellStyle name="Финансовый 4 3 2" xfId="123" xr:uid="{00000000-0005-0000-0000-000075000000}"/>
    <cellStyle name="Финансовый 4 3 3" xfId="87" xr:uid="{00000000-0005-0000-0000-000076000000}"/>
    <cellStyle name="Финансовый 4 4" xfId="93" xr:uid="{00000000-0005-0000-0000-000077000000}"/>
    <cellStyle name="Финансовый 4 5" xfId="99" xr:uid="{00000000-0005-0000-0000-000078000000}"/>
    <cellStyle name="Финансовый 4 6" xfId="111" xr:uid="{00000000-0005-0000-0000-000079000000}"/>
    <cellStyle name="Финансовый 4 7" xfId="75" xr:uid="{00000000-0005-0000-0000-00007A000000}"/>
    <cellStyle name="Финансовый 4 8" xfId="53" xr:uid="{00000000-0005-0000-0000-00007B000000}"/>
    <cellStyle name="Финансовый 4 9" xfId="131" xr:uid="{00000000-0005-0000-0000-00007C000000}"/>
    <cellStyle name="Финансовый 5" xfId="7" xr:uid="{00000000-0005-0000-0000-00007D000000}"/>
    <cellStyle name="Финансовый 5 2" xfId="43" xr:uid="{00000000-0005-0000-0000-00007E000000}"/>
    <cellStyle name="Финансовый 5 2 2" xfId="101" xr:uid="{00000000-0005-0000-0000-00007F000000}"/>
    <cellStyle name="Финансовый 5 3" xfId="113" xr:uid="{00000000-0005-0000-0000-000080000000}"/>
    <cellStyle name="Финансовый 5 4" xfId="77" xr:uid="{00000000-0005-0000-0000-000081000000}"/>
    <cellStyle name="Финансовый 5 5" xfId="55" xr:uid="{00000000-0005-0000-0000-000082000000}"/>
    <cellStyle name="Финансовый 5 6" xfId="133" xr:uid="{00000000-0005-0000-0000-000083000000}"/>
    <cellStyle name="Финансовый 5 7" xfId="31" xr:uid="{00000000-0005-0000-0000-000084000000}"/>
    <cellStyle name="Финансовый 5 8" xfId="19" xr:uid="{00000000-0005-0000-0000-000085000000}"/>
    <cellStyle name="Финансовый 6" xfId="37" xr:uid="{00000000-0005-0000-0000-000086000000}"/>
    <cellStyle name="Финансовый 6 2" xfId="119" xr:uid="{00000000-0005-0000-0000-000087000000}"/>
    <cellStyle name="Финансовый 6 3" xfId="83" xr:uid="{00000000-0005-0000-0000-000088000000}"/>
    <cellStyle name="Финансовый 7" xfId="89" xr:uid="{00000000-0005-0000-0000-000089000000}"/>
    <cellStyle name="Финансовый 8" xfId="95" xr:uid="{00000000-0005-0000-0000-00008A000000}"/>
    <cellStyle name="Финансовый 9" xfId="107" xr:uid="{00000000-0005-0000-0000-00008B000000}"/>
  </cellStyles>
  <dxfs count="9">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1056;&#1072;&#1073;&#1086;&#1095;&#1080;&#1081;%20&#1089;&#1090;&#1086;&#1083;\123123\22_12_2022_KALBAYEV_AYBEK_MAKSETOVICH_1974_&#1089;&#1087;&#1072;&#1088;&#1082;_30_2_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ротокол  (2)"/>
      <sheetName val="График дифференц"/>
      <sheetName val="Данные для послед. Залога"/>
      <sheetName val="Общие данные"/>
      <sheetName val="Анкета Клиента"/>
      <sheetName val="Анкета 2"/>
      <sheetName val="Кредитная заявка"/>
      <sheetName val="Мажбуриятнома "/>
      <sheetName val="Заключение КК"/>
      <sheetName val="договор (рус-узб)"/>
      <sheetName val="График"/>
      <sheetName val="заявление залогодателя"/>
      <sheetName val="Акт согласования"/>
      <sheetName val="Договор займа"/>
      <sheetName val="График 6"/>
      <sheetName val="График 12"/>
      <sheetName val="График 18"/>
      <sheetName val="Лист2"/>
      <sheetName val="Лист1"/>
      <sheetName val="Приказ на сделку"/>
      <sheetName val="обложка"/>
      <sheetName val="Письмо"/>
      <sheetName val=" Акт мониторинга 1"/>
      <sheetName val=" Акт мониторинга 2"/>
      <sheetName val=" Акт мониторинга 3"/>
      <sheetName val=" Акт мониторинга 4"/>
      <sheetName val="Лист4"/>
      <sheetName val="График аннуитет."/>
    </sheetNames>
    <sheetDataSet>
      <sheetData sheetId="0"/>
      <sheetData sheetId="1"/>
      <sheetData sheetId="2"/>
      <sheetData sheetId="3">
        <row r="23">
          <cell r="C23" t="str">
            <v>mos keladi</v>
          </cell>
          <cell r="D23" t="str">
            <v>mos kelmaydi</v>
          </cell>
        </row>
        <row r="24">
          <cell r="C24" t="str">
            <v>Mulk huquqi</v>
          </cell>
          <cell r="D24" t="str">
            <v>ijara</v>
          </cell>
          <cell r="E24" t="str">
            <v>служебная</v>
          </cell>
          <cell r="F24" t="str">
            <v>другое</v>
          </cell>
          <cell r="G24" t="str">
            <v>-</v>
          </cell>
          <cell r="V24" t="str">
            <v>xizmat</v>
          </cell>
          <cell r="W24" t="str">
            <v>boshqa</v>
          </cell>
        </row>
      </sheetData>
      <sheetData sheetId="4"/>
      <sheetData sheetId="5"/>
      <sheetData sheetId="6"/>
      <sheetData sheetId="7"/>
      <sheetData sheetId="8"/>
      <sheetData sheetId="9"/>
      <sheetData sheetId="10"/>
      <sheetData sheetId="11"/>
      <sheetData sheetId="12"/>
      <sheetData sheetId="13">
        <row r="91">
          <cell r="B91" t="str">
            <v>«Qarz oluvchi»</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19">
    <tabColor theme="1"/>
  </sheetPr>
  <dimension ref="A1:V64"/>
  <sheetViews>
    <sheetView topLeftCell="A6" zoomScale="70" zoomScaleNormal="70" zoomScaleSheetLayoutView="70" workbookViewId="0">
      <selection activeCell="B43" sqref="B43"/>
    </sheetView>
  </sheetViews>
  <sheetFormatPr defaultColWidth="9.140625" defaultRowHeight="15" outlineLevelCol="1"/>
  <cols>
    <col min="1" max="1" width="9.140625" style="113"/>
    <col min="2" max="2" width="12.28515625" style="113" customWidth="1"/>
    <col min="3" max="3" width="16.5703125" style="113" customWidth="1"/>
    <col min="4" max="4" width="16.7109375" style="113" customWidth="1"/>
    <col min="5" max="5" width="16.5703125" style="113" customWidth="1"/>
    <col min="6" max="6" width="20.85546875" style="113" customWidth="1"/>
    <col min="7" max="7" width="10.140625" style="113" customWidth="1" outlineLevel="1"/>
    <col min="8" max="8" width="19.140625" style="113" customWidth="1"/>
    <col min="9" max="9" width="21.42578125" style="113" customWidth="1"/>
    <col min="10" max="10" width="20.85546875" style="113" customWidth="1"/>
    <col min="11" max="11" width="20.140625" style="113" customWidth="1"/>
    <col min="12" max="12" width="21.42578125" style="113" customWidth="1"/>
    <col min="13" max="13" width="25.42578125" style="113" customWidth="1"/>
    <col min="14" max="14" width="18.28515625" style="113" customWidth="1"/>
    <col min="15" max="17" width="9.140625" style="19"/>
    <col min="18" max="18" width="24.42578125" style="19" customWidth="1"/>
    <col min="19" max="16384" width="9.140625" style="19"/>
  </cols>
  <sheetData>
    <row r="1" spans="1:22">
      <c r="A1" s="112"/>
      <c r="B1" s="112"/>
      <c r="C1" s="112"/>
      <c r="D1" s="112"/>
      <c r="E1" s="228" t="s">
        <v>16</v>
      </c>
      <c r="F1" s="228"/>
    </row>
    <row r="2" spans="1:22">
      <c r="A2" s="112"/>
      <c r="B2" s="112"/>
      <c r="C2" s="112"/>
      <c r="D2" s="112"/>
      <c r="E2" s="112"/>
      <c r="F2" s="114" t="str">
        <f>"к договору микрозайма "&amp;'Общие данные'!B74&amp;""</f>
        <v>к договору микрозайма 7 mart 2025 y.dan №558-SM</v>
      </c>
    </row>
    <row r="3" spans="1:22" ht="19.5" customHeight="1">
      <c r="A3" s="112"/>
      <c r="B3" s="112"/>
      <c r="C3" s="112"/>
      <c r="D3" s="112"/>
      <c r="E3" s="112"/>
      <c r="F3" s="112"/>
      <c r="H3" s="115"/>
      <c r="I3" s="115"/>
      <c r="J3" s="116"/>
      <c r="K3" s="116"/>
    </row>
    <row r="4" spans="1:22" ht="19.5" customHeight="1">
      <c r="A4" s="229" t="s">
        <v>17</v>
      </c>
      <c r="B4" s="229"/>
      <c r="C4" s="229"/>
      <c r="D4" s="229"/>
      <c r="E4" s="229"/>
      <c r="F4" s="229"/>
      <c r="H4" s="115"/>
      <c r="I4" s="115"/>
      <c r="J4" s="115"/>
      <c r="K4" s="115"/>
    </row>
    <row r="5" spans="1:22" ht="19.5" customHeight="1">
      <c r="L5" s="113">
        <f>'Общие данные'!B81</f>
        <v>24</v>
      </c>
    </row>
    <row r="6" spans="1:22">
      <c r="A6" s="230" t="s">
        <v>15</v>
      </c>
      <c r="B6" s="231" t="s">
        <v>9</v>
      </c>
      <c r="C6" s="231" t="s">
        <v>10</v>
      </c>
      <c r="D6" s="232" t="s">
        <v>11</v>
      </c>
      <c r="E6" s="232"/>
      <c r="F6" s="232"/>
    </row>
    <row r="7" spans="1:22" s="20" customFormat="1">
      <c r="A7" s="230"/>
      <c r="B7" s="231"/>
      <c r="C7" s="231"/>
      <c r="D7" s="117" t="s">
        <v>12</v>
      </c>
      <c r="E7" s="117" t="s">
        <v>13</v>
      </c>
      <c r="F7" s="117" t="s">
        <v>14</v>
      </c>
      <c r="G7" s="118"/>
      <c r="H7" s="118"/>
      <c r="I7" s="118"/>
      <c r="J7" s="118"/>
      <c r="K7" s="118"/>
      <c r="L7" s="118"/>
      <c r="M7" s="118"/>
      <c r="N7" s="118"/>
    </row>
    <row r="8" spans="1:22">
      <c r="A8" s="119">
        <v>1</v>
      </c>
      <c r="B8" s="120">
        <f>'Общие данные'!B79</f>
        <v>45762</v>
      </c>
      <c r="C8" s="64">
        <f>'Общие данные'!B75</f>
        <v>20000000</v>
      </c>
      <c r="D8" s="64">
        <f>IF(IF(C8=0,L8,IF(C8&gt;1,I8))="",0,(IF(C8=0,L8,IF(C8&gt;1,I8))))</f>
        <v>833333.33</v>
      </c>
      <c r="E8" s="64">
        <f>IF(C8=0,N6,IF(C8&gt;1,L8))</f>
        <v>1282191.69</v>
      </c>
      <c r="F8" s="64">
        <f>IF(C8=0,O6,IF(C8&gt;1,M8))</f>
        <v>2115525.02</v>
      </c>
      <c r="G8" s="133">
        <f>B8-'Общие данные'!B67</f>
        <v>39</v>
      </c>
      <c r="H8" s="113">
        <f>DATE(YEAR(B8),12,31)-DATE(YEAR(B8),1,1)+1</f>
        <v>365</v>
      </c>
      <c r="I8" s="121">
        <f>IF('Общие данные'!B83=0,ROUND(C8/L5,2),"")</f>
        <v>833333.33</v>
      </c>
      <c r="J8" s="121"/>
      <c r="K8" s="121"/>
      <c r="L8" s="115">
        <f>ROUND(C8*'Общие данные'!$B$84/H8,2)*G8</f>
        <v>1282191.69</v>
      </c>
      <c r="M8" s="115">
        <f t="shared" ref="M8:M31" si="0">D8+E8</f>
        <v>2115525.02</v>
      </c>
      <c r="N8" s="115"/>
      <c r="O8" s="130" t="str">
        <f>TEXT(B8,"ддд")</f>
        <v>Вт</v>
      </c>
      <c r="P8" s="132">
        <f>IF(O8=$U$8,2,IF(O8=$V$8,1,0))</f>
        <v>0</v>
      </c>
      <c r="Q8" s="132">
        <f>DAY('Общие данные'!$B$78)+P8</f>
        <v>15</v>
      </c>
      <c r="R8" s="127"/>
      <c r="S8" s="128" t="s">
        <v>33</v>
      </c>
      <c r="T8" s="128" t="s">
        <v>34</v>
      </c>
      <c r="U8" s="128" t="s">
        <v>35</v>
      </c>
      <c r="V8" s="129" t="s">
        <v>36</v>
      </c>
    </row>
    <row r="9" spans="1:22">
      <c r="A9" s="119">
        <v>2</v>
      </c>
      <c r="B9" s="120">
        <f>IF(A9&lt;='Общие данные'!$B$81,DATE(YEAR(R9),MONTH(R9),DAY(IF(A9='Общие данные'!$B$81,'Общие данные'!$B$67,IF(A9&lt;'Общие данные'!$B$81,(Q9),IF(A9&gt;'Общие данные'!$B$81,$H$44,0))))))</f>
        <v>45792</v>
      </c>
      <c r="C9" s="64">
        <f t="shared" ref="C9:C30" si="1">C8-D8</f>
        <v>19166666.670000002</v>
      </c>
      <c r="D9" s="64">
        <f t="shared" ref="D9:D30" si="2">IF(C9=0,L9,IF(C9&gt;1,I9))</f>
        <v>833333.33</v>
      </c>
      <c r="E9" s="64">
        <f t="shared" ref="E9:E30" si="3">IF(C9=0,N8,IF(C9&gt;1,L9))</f>
        <v>945205.5</v>
      </c>
      <c r="F9" s="64">
        <f t="shared" ref="F9:F30" si="4">IF(C9=0,N8,IF(C9&gt;1,M9))</f>
        <v>1778538.83</v>
      </c>
      <c r="G9" s="113">
        <f>B9-B8</f>
        <v>30</v>
      </c>
      <c r="H9" s="113">
        <f t="shared" ref="H9:H31" si="5">DATE(YEAR(B9),12,31)-DATE(YEAR(B9),1,1)+1</f>
        <v>365</v>
      </c>
      <c r="I9" s="121">
        <f>IF(I8="",ROUND(C8/(L5-1),2),I8)</f>
        <v>833333.33</v>
      </c>
      <c r="J9" s="121"/>
      <c r="K9" s="121"/>
      <c r="L9" s="115">
        <f>ROUND(C9*'Общие данные'!$B$84/H9,2)*G9</f>
        <v>945205.5</v>
      </c>
      <c r="M9" s="115">
        <f t="shared" si="0"/>
        <v>1778538.83</v>
      </c>
      <c r="N9" s="115"/>
      <c r="O9" s="130" t="str">
        <f>TEXT(R9,"ддд")</f>
        <v>Чт</v>
      </c>
      <c r="P9" s="132">
        <f t="shared" ref="P9:P31" si="6">IF(O9=$U$8,2,IF(O9=$V$8,1,0))</f>
        <v>0</v>
      </c>
      <c r="Q9" s="132">
        <f>DAY('Общие данные'!$B$78)+P9</f>
        <v>15</v>
      </c>
      <c r="R9" s="127">
        <f>IF(A9&lt;='Общие данные'!$B$81,DATE(YEAR($B$8),MONTH($B$8)+A8,DAY('Общие данные'!$B$78)),0)</f>
        <v>45792</v>
      </c>
      <c r="S9" s="113"/>
      <c r="T9" s="113"/>
      <c r="U9" s="113"/>
      <c r="V9" s="113"/>
    </row>
    <row r="10" spans="1:22">
      <c r="A10" s="119">
        <v>3</v>
      </c>
      <c r="B10" s="120">
        <f>IF(A10&lt;='Общие данные'!$B$81,DATE(YEAR(R10),MONTH(R10),DAY(IF(A10='Общие данные'!$B$81,'Общие данные'!$B$67,IF(A10&lt;'Общие данные'!$B$81,(Q10),IF(A10&gt;'Общие данные'!$B$81,$H$44,0))))))</f>
        <v>45824</v>
      </c>
      <c r="C10" s="64">
        <f t="shared" si="1"/>
        <v>18333333.340000004</v>
      </c>
      <c r="D10" s="64">
        <f t="shared" si="2"/>
        <v>833333.33</v>
      </c>
      <c r="E10" s="64">
        <f t="shared" si="3"/>
        <v>964383.68</v>
      </c>
      <c r="F10" s="64">
        <f t="shared" si="4"/>
        <v>1797717.01</v>
      </c>
      <c r="G10" s="113">
        <f t="shared" ref="G10:G31" si="7">B10-B9</f>
        <v>32</v>
      </c>
      <c r="H10" s="113">
        <f t="shared" si="5"/>
        <v>365</v>
      </c>
      <c r="I10" s="121">
        <f>I9</f>
        <v>833333.33</v>
      </c>
      <c r="J10" s="121"/>
      <c r="K10" s="121"/>
      <c r="L10" s="115">
        <f>ROUND(C10*'Общие данные'!$B$84/H10,2)*G10</f>
        <v>964383.68</v>
      </c>
      <c r="M10" s="115">
        <f t="shared" si="0"/>
        <v>1797717.01</v>
      </c>
      <c r="N10" s="115"/>
      <c r="O10" s="130" t="str">
        <f t="shared" ref="O10:O31" si="8">TEXT(R10,"ддд")</f>
        <v>Вс</v>
      </c>
      <c r="P10" s="132">
        <f t="shared" si="6"/>
        <v>1</v>
      </c>
      <c r="Q10" s="132">
        <f>DAY('Общие данные'!$B$78)+P10</f>
        <v>16</v>
      </c>
      <c r="R10" s="127">
        <f>IF(A10&lt;='Общие данные'!$B$81,DATE(YEAR($B$8),MONTH($B$8)+A9,DAY('Общие данные'!$B$78)),0)</f>
        <v>45823</v>
      </c>
      <c r="S10" s="113"/>
      <c r="T10" s="113"/>
      <c r="U10" s="113"/>
      <c r="V10" s="113"/>
    </row>
    <row r="11" spans="1:22">
      <c r="A11" s="119">
        <v>4</v>
      </c>
      <c r="B11" s="120">
        <f>IF(A11&lt;='Общие данные'!$B$81,DATE(YEAR(R11),MONTH(R11),DAY(IF(A11='Общие данные'!$B$81,'Общие данные'!$B$67,IF(A11&lt;'Общие данные'!$B$81,(Q11),IF(A11&gt;'Общие данные'!$B$81,$H$44,0))))))</f>
        <v>45853</v>
      </c>
      <c r="C11" s="64">
        <f t="shared" si="1"/>
        <v>17500000.010000005</v>
      </c>
      <c r="D11" s="64">
        <f t="shared" si="2"/>
        <v>833333.33</v>
      </c>
      <c r="E11" s="64">
        <f t="shared" si="3"/>
        <v>834246.48</v>
      </c>
      <c r="F11" s="64">
        <f t="shared" si="4"/>
        <v>1667579.81</v>
      </c>
      <c r="G11" s="113">
        <f t="shared" si="7"/>
        <v>29</v>
      </c>
      <c r="H11" s="113">
        <f t="shared" si="5"/>
        <v>365</v>
      </c>
      <c r="I11" s="121">
        <f>I10</f>
        <v>833333.33</v>
      </c>
      <c r="J11" s="121"/>
      <c r="K11" s="121"/>
      <c r="L11" s="115">
        <f>ROUND(C11*'Общие данные'!$B$84/H11,2)*G11</f>
        <v>834246.48</v>
      </c>
      <c r="M11" s="115">
        <f t="shared" si="0"/>
        <v>1667579.81</v>
      </c>
      <c r="N11" s="115"/>
      <c r="O11" s="130" t="str">
        <f t="shared" si="8"/>
        <v>Вт</v>
      </c>
      <c r="P11" s="132">
        <f t="shared" si="6"/>
        <v>0</v>
      </c>
      <c r="Q11" s="132">
        <f>DAY('Общие данные'!$B$78)+P11</f>
        <v>15</v>
      </c>
      <c r="R11" s="127">
        <f>IF(A11&lt;='Общие данные'!$B$81,DATE(YEAR($B$8),MONTH($B$8)+A10,DAY('Общие данные'!$B$78)),0)</f>
        <v>45853</v>
      </c>
      <c r="S11" s="113"/>
      <c r="T11" s="113"/>
      <c r="U11" s="113"/>
      <c r="V11" s="113"/>
    </row>
    <row r="12" spans="1:22">
      <c r="A12" s="119">
        <v>5</v>
      </c>
      <c r="B12" s="120">
        <f>IF(A12&lt;='Общие данные'!$B$81,DATE(YEAR(R12),MONTH(R12),DAY(IF(A12='Общие данные'!$B$81,'Общие данные'!$B$67,IF(A12&lt;'Общие данные'!$B$81,(Q12),IF(A12&gt;'Общие данные'!$B$81,$H$44,0))))))</f>
        <v>45884</v>
      </c>
      <c r="C12" s="64">
        <f t="shared" si="1"/>
        <v>16666666.680000005</v>
      </c>
      <c r="D12" s="64">
        <f t="shared" si="2"/>
        <v>833333.33</v>
      </c>
      <c r="E12" s="64">
        <f t="shared" si="3"/>
        <v>849315.05999999994</v>
      </c>
      <c r="F12" s="64">
        <f t="shared" si="4"/>
        <v>1682648.39</v>
      </c>
      <c r="G12" s="113">
        <f t="shared" si="7"/>
        <v>31</v>
      </c>
      <c r="H12" s="113">
        <f t="shared" si="5"/>
        <v>365</v>
      </c>
      <c r="I12" s="121">
        <f>I11</f>
        <v>833333.33</v>
      </c>
      <c r="J12" s="121">
        <f>'Общие данные'!B75</f>
        <v>20000000</v>
      </c>
      <c r="K12" s="121"/>
      <c r="L12" s="115">
        <f>ROUND(C12*'Общие данные'!$B$84/H12,2)*G12</f>
        <v>849315.05999999994</v>
      </c>
      <c r="M12" s="115">
        <f t="shared" si="0"/>
        <v>1682648.39</v>
      </c>
      <c r="N12" s="115"/>
      <c r="O12" s="130" t="str">
        <f t="shared" si="8"/>
        <v>Пт</v>
      </c>
      <c r="P12" s="132">
        <f t="shared" si="6"/>
        <v>0</v>
      </c>
      <c r="Q12" s="132">
        <f>DAY('Общие данные'!$B$78)+P12</f>
        <v>15</v>
      </c>
      <c r="R12" s="127">
        <f>IF(A12&lt;='Общие данные'!$B$81,DATE(YEAR($B$8),MONTH($B$8)+A11,DAY('Общие данные'!$B$78)),0)</f>
        <v>45884</v>
      </c>
      <c r="S12" s="113"/>
      <c r="T12" s="113"/>
      <c r="U12" s="113"/>
      <c r="V12" s="113"/>
    </row>
    <row r="13" spans="1:22">
      <c r="A13" s="119">
        <v>6</v>
      </c>
      <c r="B13" s="120">
        <f>IF(A13&lt;='Общие данные'!$B$81,DATE(YEAR(R13),MONTH(R13),DAY(IF(A13='Общие данные'!$B$81,'Общие данные'!$B$67,IF(A13&lt;'Общие данные'!$B$81,(Q13),IF(A13&gt;'Общие данные'!$B$81,$H$44,0))))))</f>
        <v>45915</v>
      </c>
      <c r="C13" s="64">
        <f t="shared" si="1"/>
        <v>15833333.350000005</v>
      </c>
      <c r="D13" s="64">
        <f t="shared" si="2"/>
        <v>833333.33</v>
      </c>
      <c r="E13" s="64">
        <f t="shared" si="3"/>
        <v>806849.4</v>
      </c>
      <c r="F13" s="64">
        <f t="shared" si="4"/>
        <v>1640182.73</v>
      </c>
      <c r="G13" s="113">
        <f t="shared" si="7"/>
        <v>31</v>
      </c>
      <c r="H13" s="113">
        <f t="shared" si="5"/>
        <v>365</v>
      </c>
      <c r="I13" s="121">
        <f>IF(L5=H1,K13,IF(L5&gt;H1,I12))</f>
        <v>833333.33</v>
      </c>
      <c r="J13" s="121">
        <f>SUM($I$8:I12)</f>
        <v>4166666.65</v>
      </c>
      <c r="K13" s="121">
        <f>$J$12-J13</f>
        <v>15833333.35</v>
      </c>
      <c r="L13" s="115">
        <f>ROUND(C13*'Общие данные'!$B$84/H13,2)*G13</f>
        <v>806849.4</v>
      </c>
      <c r="M13" s="115">
        <f t="shared" si="0"/>
        <v>1640182.73</v>
      </c>
      <c r="N13" s="115"/>
      <c r="O13" s="130" t="str">
        <f t="shared" si="8"/>
        <v>Пн</v>
      </c>
      <c r="P13" s="132">
        <f t="shared" si="6"/>
        <v>0</v>
      </c>
      <c r="Q13" s="132">
        <f>DAY('Общие данные'!$B$78)+P13</f>
        <v>15</v>
      </c>
      <c r="R13" s="127">
        <f>IF(A13&lt;='Общие данные'!$B$81,DATE(YEAR($B$8),MONTH($B$8)+A12,DAY('Общие данные'!$B$78)),0)</f>
        <v>45915</v>
      </c>
      <c r="S13" s="113"/>
      <c r="T13" s="113"/>
      <c r="U13" s="113"/>
      <c r="V13" s="113"/>
    </row>
    <row r="14" spans="1:22">
      <c r="A14" s="119">
        <v>7</v>
      </c>
      <c r="B14" s="120">
        <f>IF(A14&lt;='Общие данные'!$B$81,DATE(YEAR(R14),MONTH(R14),DAY(IF(A14='Общие данные'!$B$81,'Общие данные'!$B$67,IF(A14&lt;'Общие данные'!$B$81,(Q14),IF(A14&gt;'Общие данные'!$B$81,$H$44,0))))))</f>
        <v>45945</v>
      </c>
      <c r="C14" s="64">
        <f t="shared" si="1"/>
        <v>15000000.020000005</v>
      </c>
      <c r="D14" s="64">
        <f t="shared" si="2"/>
        <v>833333.33</v>
      </c>
      <c r="E14" s="64">
        <f t="shared" si="3"/>
        <v>739725.89999999991</v>
      </c>
      <c r="F14" s="64">
        <f t="shared" si="4"/>
        <v>1573059.23</v>
      </c>
      <c r="G14" s="113">
        <f t="shared" si="7"/>
        <v>30</v>
      </c>
      <c r="H14" s="113">
        <f t="shared" si="5"/>
        <v>365</v>
      </c>
      <c r="I14" s="121">
        <f>IF($L$5=A14,K14,IF($L$5&gt;A14,I13))</f>
        <v>833333.33</v>
      </c>
      <c r="J14" s="121">
        <f>SUM($I$8:I13)</f>
        <v>4999999.9799999995</v>
      </c>
      <c r="K14" s="121">
        <f t="shared" ref="K14:K31" si="9">$J$12-J14</f>
        <v>15000000.02</v>
      </c>
      <c r="L14" s="115">
        <f>ROUND(C14*'Общие данные'!$B$84/H14,2)*G14</f>
        <v>739725.89999999991</v>
      </c>
      <c r="M14" s="115">
        <f t="shared" si="0"/>
        <v>1573059.23</v>
      </c>
      <c r="N14" s="115"/>
      <c r="O14" s="130" t="str">
        <f t="shared" si="8"/>
        <v>Ср</v>
      </c>
      <c r="P14" s="132">
        <f t="shared" si="6"/>
        <v>0</v>
      </c>
      <c r="Q14" s="132">
        <f>DAY('Общие данные'!$B$78)+P14</f>
        <v>15</v>
      </c>
      <c r="R14" s="127">
        <f>IF(A14&lt;='Общие данные'!$B$81,DATE(YEAR($B$8),MONTH($B$8)+A13,DAY('Общие данные'!$B$78)),0)</f>
        <v>45945</v>
      </c>
      <c r="S14" s="113"/>
      <c r="T14" s="113"/>
      <c r="U14" s="113"/>
      <c r="V14" s="113"/>
    </row>
    <row r="15" spans="1:22">
      <c r="A15" s="119">
        <v>8</v>
      </c>
      <c r="B15" s="120">
        <f>IF(A15&lt;='Общие данные'!$B$81,DATE(YEAR(R15),MONTH(R15),DAY(IF(A15='Общие данные'!$B$81,'Общие данные'!$B$67,IF(A15&lt;'Общие данные'!$B$81,(Q15),IF(A15&gt;'Общие данные'!$B$81,$H$44,0))))))</f>
        <v>45978</v>
      </c>
      <c r="C15" s="64">
        <f t="shared" si="1"/>
        <v>14166666.690000005</v>
      </c>
      <c r="D15" s="64">
        <f t="shared" si="2"/>
        <v>833333.33</v>
      </c>
      <c r="E15" s="64">
        <f t="shared" si="3"/>
        <v>768493.11</v>
      </c>
      <c r="F15" s="64">
        <f t="shared" si="4"/>
        <v>1601826.44</v>
      </c>
      <c r="G15" s="113">
        <f t="shared" si="7"/>
        <v>33</v>
      </c>
      <c r="H15" s="113">
        <f t="shared" si="5"/>
        <v>365</v>
      </c>
      <c r="I15" s="121">
        <f t="shared" ref="I15:I31" si="10">IF($L$5=A15,K15,IF($L$5&gt;A15,I14))</f>
        <v>833333.33</v>
      </c>
      <c r="J15" s="121">
        <f>SUM($I$8:I14)</f>
        <v>5833333.3099999996</v>
      </c>
      <c r="K15" s="121">
        <f t="shared" si="9"/>
        <v>14166666.690000001</v>
      </c>
      <c r="L15" s="115">
        <f>ROUND(C15*'Общие данные'!$B$84/H15,2)*G15</f>
        <v>768493.11</v>
      </c>
      <c r="M15" s="115">
        <f t="shared" si="0"/>
        <v>1601826.44</v>
      </c>
      <c r="N15" s="115"/>
      <c r="O15" s="130" t="str">
        <f t="shared" si="8"/>
        <v>Сб</v>
      </c>
      <c r="P15" s="132">
        <f t="shared" si="6"/>
        <v>2</v>
      </c>
      <c r="Q15" s="132">
        <f>DAY('Общие данные'!$B$78)+P15</f>
        <v>17</v>
      </c>
      <c r="R15" s="127">
        <f>IF(A15&lt;='Общие данные'!$B$81,DATE(YEAR($B$8),MONTH($B$8)+A14,DAY('Общие данные'!$B$78)),0)</f>
        <v>45976</v>
      </c>
      <c r="S15" s="113"/>
      <c r="T15" s="113"/>
      <c r="U15" s="113"/>
      <c r="V15" s="113"/>
    </row>
    <row r="16" spans="1:22">
      <c r="A16" s="119">
        <v>9</v>
      </c>
      <c r="B16" s="120">
        <f>IF(A16&lt;='Общие данные'!$B$81,DATE(YEAR(R16),MONTH(R16),DAY(IF(A16='Общие данные'!$B$81,'Общие данные'!$B$67,IF(A16&lt;'Общие данные'!$B$81,(Q16),IF(A16&gt;'Общие данные'!$B$81,$H$44,0))))))</f>
        <v>46006</v>
      </c>
      <c r="C16" s="64">
        <f t="shared" si="1"/>
        <v>13333333.360000005</v>
      </c>
      <c r="D16" s="64">
        <f t="shared" si="2"/>
        <v>833333.33</v>
      </c>
      <c r="E16" s="64">
        <f t="shared" si="3"/>
        <v>613698.68000000005</v>
      </c>
      <c r="F16" s="64">
        <f t="shared" si="4"/>
        <v>1447032.01</v>
      </c>
      <c r="G16" s="113">
        <f t="shared" si="7"/>
        <v>28</v>
      </c>
      <c r="H16" s="113">
        <f t="shared" si="5"/>
        <v>365</v>
      </c>
      <c r="I16" s="121">
        <f t="shared" si="10"/>
        <v>833333.33</v>
      </c>
      <c r="J16" s="121">
        <f>SUM($I$8:I15)</f>
        <v>6666666.6399999997</v>
      </c>
      <c r="K16" s="121">
        <f t="shared" si="9"/>
        <v>13333333.359999999</v>
      </c>
      <c r="L16" s="115">
        <f>ROUND(C16*'Общие данные'!$B$84/H16,2)*G16</f>
        <v>613698.68000000005</v>
      </c>
      <c r="M16" s="115">
        <f t="shared" si="0"/>
        <v>1447032.01</v>
      </c>
      <c r="N16" s="115"/>
      <c r="O16" s="130" t="str">
        <f t="shared" si="8"/>
        <v>Пн</v>
      </c>
      <c r="P16" s="132">
        <f t="shared" si="6"/>
        <v>0</v>
      </c>
      <c r="Q16" s="132">
        <f>DAY('Общие данные'!$B$78)+P16</f>
        <v>15</v>
      </c>
      <c r="R16" s="127">
        <f>IF(A16&lt;='Общие данные'!$B$81,DATE(YEAR($B$8),MONTH($B$8)+A15,DAY('Общие данные'!$B$78)),0)</f>
        <v>46006</v>
      </c>
      <c r="S16" s="113"/>
      <c r="T16" s="113"/>
      <c r="U16" s="113"/>
      <c r="V16" s="113"/>
    </row>
    <row r="17" spans="1:22">
      <c r="A17" s="119">
        <v>10</v>
      </c>
      <c r="B17" s="120">
        <f>IF(A17&lt;='Общие данные'!$B$81,DATE(YEAR(R17),MONTH(R17),DAY(IF(A17='Общие данные'!$B$81,'Общие данные'!$B$67,IF(A17&lt;'Общие данные'!$B$81,(Q17),IF(A17&gt;'Общие данные'!$B$81,$H$44,0))))))</f>
        <v>46037</v>
      </c>
      <c r="C17" s="64">
        <f t="shared" si="1"/>
        <v>12500000.030000005</v>
      </c>
      <c r="D17" s="64">
        <f t="shared" si="2"/>
        <v>833333.33</v>
      </c>
      <c r="E17" s="64">
        <f t="shared" si="3"/>
        <v>636986.45000000007</v>
      </c>
      <c r="F17" s="64">
        <f t="shared" si="4"/>
        <v>1470319.78</v>
      </c>
      <c r="G17" s="113">
        <f t="shared" si="7"/>
        <v>31</v>
      </c>
      <c r="H17" s="113">
        <f t="shared" si="5"/>
        <v>365</v>
      </c>
      <c r="I17" s="121">
        <f t="shared" si="10"/>
        <v>833333.33</v>
      </c>
      <c r="J17" s="121">
        <f>SUM($I$8:I16)</f>
        <v>7499999.9699999997</v>
      </c>
      <c r="K17" s="121">
        <f>$J$12-J17</f>
        <v>12500000.030000001</v>
      </c>
      <c r="L17" s="115">
        <f>ROUND(C17*'Общие данные'!$B$84/H17,2)*G17</f>
        <v>636986.45000000007</v>
      </c>
      <c r="M17" s="115">
        <f t="shared" si="0"/>
        <v>1470319.78</v>
      </c>
      <c r="N17" s="115"/>
      <c r="O17" s="130" t="str">
        <f t="shared" si="8"/>
        <v>Чт</v>
      </c>
      <c r="P17" s="132">
        <f t="shared" si="6"/>
        <v>0</v>
      </c>
      <c r="Q17" s="132">
        <f>DAY('Общие данные'!$B$78)+P17</f>
        <v>15</v>
      </c>
      <c r="R17" s="127">
        <f>IF(A17&lt;='Общие данные'!$B$81,DATE(YEAR($B$8),MONTH($B$8)+A16,DAY('Общие данные'!$B$78)),0)</f>
        <v>46037</v>
      </c>
      <c r="S17" s="113"/>
      <c r="T17" s="113"/>
      <c r="U17" s="113"/>
      <c r="V17" s="113"/>
    </row>
    <row r="18" spans="1:22">
      <c r="A18" s="119">
        <v>11</v>
      </c>
      <c r="B18" s="120">
        <f>IF(A18&lt;='Общие данные'!$B$81,DATE(YEAR(R18),MONTH(R18),DAY(IF(A18='Общие данные'!$B$81,'Общие данные'!$B$67,IF(A18&lt;'Общие данные'!$B$81,(Q18),IF(A18&gt;'Общие данные'!$B$81,$H$44,0))))))</f>
        <v>46069</v>
      </c>
      <c r="C18" s="64">
        <f t="shared" si="1"/>
        <v>11666666.700000005</v>
      </c>
      <c r="D18" s="64">
        <f t="shared" si="2"/>
        <v>833333.33</v>
      </c>
      <c r="E18" s="64">
        <f t="shared" si="3"/>
        <v>613698.56000000006</v>
      </c>
      <c r="F18" s="64">
        <f t="shared" si="4"/>
        <v>1447031.8900000001</v>
      </c>
      <c r="G18" s="113">
        <f t="shared" si="7"/>
        <v>32</v>
      </c>
      <c r="H18" s="113">
        <f t="shared" si="5"/>
        <v>365</v>
      </c>
      <c r="I18" s="121">
        <f t="shared" si="10"/>
        <v>833333.33</v>
      </c>
      <c r="J18" s="121">
        <f>SUM($I$8:I17)</f>
        <v>8333333.2999999998</v>
      </c>
      <c r="K18" s="121">
        <f t="shared" si="9"/>
        <v>11666666.699999999</v>
      </c>
      <c r="L18" s="115">
        <f>ROUND(C18*'Общие данные'!$B$84/H18,2)*G18</f>
        <v>613698.56000000006</v>
      </c>
      <c r="M18" s="115">
        <f t="shared" si="0"/>
        <v>1447031.8900000001</v>
      </c>
      <c r="N18" s="115"/>
      <c r="O18" s="130" t="str">
        <f t="shared" si="8"/>
        <v>Вс</v>
      </c>
      <c r="P18" s="132">
        <f t="shared" si="6"/>
        <v>1</v>
      </c>
      <c r="Q18" s="132">
        <f>DAY('Общие данные'!$B$78)+P18</f>
        <v>16</v>
      </c>
      <c r="R18" s="127">
        <f>IF(A18&lt;='Общие данные'!$B$81,DATE(YEAR($B$8),MONTH($B$8)+A17,DAY('Общие данные'!$B$78)),0)</f>
        <v>46068</v>
      </c>
      <c r="S18" s="113"/>
      <c r="T18" s="113"/>
      <c r="U18" s="113"/>
      <c r="V18" s="113"/>
    </row>
    <row r="19" spans="1:22">
      <c r="A19" s="119">
        <v>12</v>
      </c>
      <c r="B19" s="120">
        <f>IF(A19&lt;='Общие данные'!$B$81,DATE(YEAR(R19),MONTH(R19),DAY(IF(A19='Общие данные'!$B$81,'Общие данные'!$B$67,IF(A19&lt;'Общие данные'!$B$81,(Q19),IF(A19&gt;'Общие данные'!$B$81,$H$44,0))))))</f>
        <v>46097</v>
      </c>
      <c r="C19" s="64">
        <f t="shared" si="1"/>
        <v>10833333.370000005</v>
      </c>
      <c r="D19" s="64">
        <f t="shared" si="2"/>
        <v>833333.33</v>
      </c>
      <c r="E19" s="64">
        <f t="shared" si="3"/>
        <v>498630.16000000003</v>
      </c>
      <c r="F19" s="64">
        <f t="shared" si="4"/>
        <v>1331963.49</v>
      </c>
      <c r="G19" s="113">
        <f t="shared" si="7"/>
        <v>28</v>
      </c>
      <c r="H19" s="113">
        <f t="shared" si="5"/>
        <v>365</v>
      </c>
      <c r="I19" s="121">
        <f t="shared" si="10"/>
        <v>833333.33</v>
      </c>
      <c r="J19" s="121">
        <f>SUM($I$8:I18)</f>
        <v>9166666.629999999</v>
      </c>
      <c r="K19" s="121">
        <f t="shared" si="9"/>
        <v>10833333.370000001</v>
      </c>
      <c r="L19" s="115">
        <f>ROUND(C19*'Общие данные'!$B$84/H19,2)*G19</f>
        <v>498630.16000000003</v>
      </c>
      <c r="M19" s="115">
        <f t="shared" si="0"/>
        <v>1331963.49</v>
      </c>
      <c r="N19" s="115"/>
      <c r="O19" s="130" t="str">
        <f t="shared" si="8"/>
        <v>Вс</v>
      </c>
      <c r="P19" s="132">
        <f t="shared" si="6"/>
        <v>1</v>
      </c>
      <c r="Q19" s="132">
        <f>DAY('Общие данные'!$B$78)+P19</f>
        <v>16</v>
      </c>
      <c r="R19" s="127">
        <f>IF(A19&lt;='Общие данные'!$B$81,DATE(YEAR($B$8),MONTH($B$8)+A18,DAY('Общие данные'!$B$78)),0)</f>
        <v>46096</v>
      </c>
      <c r="S19" s="113"/>
      <c r="T19" s="113"/>
      <c r="U19" s="113"/>
      <c r="V19" s="113"/>
    </row>
    <row r="20" spans="1:22">
      <c r="A20" s="119">
        <v>13</v>
      </c>
      <c r="B20" s="120">
        <f>IF(A20&lt;='Общие данные'!$B$81,DATE(YEAR(R20),MONTH(R20),DAY(IF(A20='Общие данные'!$B$81,'Общие данные'!$B$67,IF(A20&lt;'Общие данные'!$B$81,(Q20),IF(A20&gt;'Общие данные'!$B$81,$H$44,0))))))</f>
        <v>46127</v>
      </c>
      <c r="C20" s="64">
        <f t="shared" si="1"/>
        <v>10000000.040000005</v>
      </c>
      <c r="D20" s="64">
        <f t="shared" si="2"/>
        <v>833333.33</v>
      </c>
      <c r="E20" s="64">
        <f t="shared" si="3"/>
        <v>493150.80000000005</v>
      </c>
      <c r="F20" s="64">
        <f t="shared" si="4"/>
        <v>1326484.1299999999</v>
      </c>
      <c r="G20" s="113">
        <f t="shared" si="7"/>
        <v>30</v>
      </c>
      <c r="H20" s="113">
        <f t="shared" si="5"/>
        <v>365</v>
      </c>
      <c r="I20" s="121">
        <f t="shared" si="10"/>
        <v>833333.33</v>
      </c>
      <c r="J20" s="121">
        <f>SUM($I$8:I19)</f>
        <v>9999999.959999999</v>
      </c>
      <c r="K20" s="121">
        <f>$J$12-J20</f>
        <v>10000000.040000001</v>
      </c>
      <c r="L20" s="115">
        <f>ROUND(C20*'Общие данные'!$B$84/H20,2)*G20</f>
        <v>493150.80000000005</v>
      </c>
      <c r="M20" s="115">
        <f t="shared" si="0"/>
        <v>1326484.1299999999</v>
      </c>
      <c r="N20" s="115"/>
      <c r="O20" s="130" t="str">
        <f t="shared" si="8"/>
        <v>Ср</v>
      </c>
      <c r="P20" s="132">
        <f t="shared" si="6"/>
        <v>0</v>
      </c>
      <c r="Q20" s="132">
        <f>DAY('Общие данные'!$B$78)+P20</f>
        <v>15</v>
      </c>
      <c r="R20" s="127">
        <f>IF(A20&lt;='Общие данные'!$B$81,DATE(YEAR($B$8),MONTH($B$8)+A19,DAY('Общие данные'!$B$78)),0)</f>
        <v>46127</v>
      </c>
      <c r="S20" s="113"/>
      <c r="T20" s="113"/>
      <c r="U20" s="113"/>
      <c r="V20" s="113"/>
    </row>
    <row r="21" spans="1:22">
      <c r="A21" s="119">
        <v>14</v>
      </c>
      <c r="B21" s="120">
        <f>IF(A21&lt;='Общие данные'!$B$81,DATE(YEAR(R21),MONTH(R21),DAY(IF(A21='Общие данные'!$B$81,'Общие данные'!$B$67,IF(A21&lt;'Общие данные'!$B$81,(Q21),IF(A21&gt;'Общие данные'!$B$81,$H$44,0))))))</f>
        <v>46157</v>
      </c>
      <c r="C21" s="64">
        <f t="shared" si="1"/>
        <v>9166666.7100000046</v>
      </c>
      <c r="D21" s="64">
        <f t="shared" si="2"/>
        <v>833333.33</v>
      </c>
      <c r="E21" s="64">
        <f t="shared" si="3"/>
        <v>452054.7</v>
      </c>
      <c r="F21" s="64">
        <f t="shared" si="4"/>
        <v>1285388.03</v>
      </c>
      <c r="G21" s="113">
        <f t="shared" si="7"/>
        <v>30</v>
      </c>
      <c r="H21" s="113">
        <f t="shared" si="5"/>
        <v>365</v>
      </c>
      <c r="I21" s="121">
        <f t="shared" si="10"/>
        <v>833333.33</v>
      </c>
      <c r="J21" s="121">
        <f>SUM($I$8:I20)</f>
        <v>10833333.289999999</v>
      </c>
      <c r="K21" s="121">
        <f t="shared" si="9"/>
        <v>9166666.7100000009</v>
      </c>
      <c r="L21" s="115">
        <f>ROUND(C21*'Общие данные'!$B$84/H21,2)*G21</f>
        <v>452054.7</v>
      </c>
      <c r="M21" s="115">
        <f t="shared" si="0"/>
        <v>1285388.03</v>
      </c>
      <c r="N21" s="115"/>
      <c r="O21" s="130" t="str">
        <f t="shared" si="8"/>
        <v>Пт</v>
      </c>
      <c r="P21" s="132">
        <f t="shared" si="6"/>
        <v>0</v>
      </c>
      <c r="Q21" s="132">
        <f>DAY('Общие данные'!$B$78)+P21</f>
        <v>15</v>
      </c>
      <c r="R21" s="127">
        <f>IF(A21&lt;='Общие данные'!$B$81,DATE(YEAR($B$8),MONTH($B$8)+A20,DAY('Общие данные'!$B$78)),0)</f>
        <v>46157</v>
      </c>
      <c r="S21" s="113"/>
      <c r="T21" s="113"/>
      <c r="U21" s="113"/>
      <c r="V21" s="113"/>
    </row>
    <row r="22" spans="1:22">
      <c r="A22" s="119">
        <v>15</v>
      </c>
      <c r="B22" s="120">
        <f>IF(A22&lt;='Общие данные'!$B$81,DATE(YEAR(R22),MONTH(R22),DAY(IF(A22='Общие данные'!$B$81,'Общие данные'!$B$67,IF(A22&lt;'Общие данные'!$B$81,(Q22),IF(A22&gt;'Общие данные'!$B$81,$H$44,0))))))</f>
        <v>46188</v>
      </c>
      <c r="C22" s="64">
        <f t="shared" si="1"/>
        <v>8333333.3800000045</v>
      </c>
      <c r="D22" s="64">
        <f t="shared" si="2"/>
        <v>833333.33</v>
      </c>
      <c r="E22" s="64">
        <f t="shared" si="3"/>
        <v>424657.52999999997</v>
      </c>
      <c r="F22" s="64">
        <f t="shared" si="4"/>
        <v>1257990.8599999999</v>
      </c>
      <c r="G22" s="113">
        <f t="shared" si="7"/>
        <v>31</v>
      </c>
      <c r="H22" s="113">
        <f t="shared" si="5"/>
        <v>365</v>
      </c>
      <c r="I22" s="121">
        <f t="shared" si="10"/>
        <v>833333.33</v>
      </c>
      <c r="J22" s="121">
        <f>SUM($I$8:I21)</f>
        <v>11666666.619999999</v>
      </c>
      <c r="K22" s="121">
        <f t="shared" si="9"/>
        <v>8333333.3800000008</v>
      </c>
      <c r="L22" s="115">
        <f>ROUND(C22*'Общие данные'!$B$84/H22,2)*G22</f>
        <v>424657.52999999997</v>
      </c>
      <c r="M22" s="115">
        <f t="shared" si="0"/>
        <v>1257990.8599999999</v>
      </c>
      <c r="N22" s="115"/>
      <c r="O22" s="130" t="str">
        <f t="shared" si="8"/>
        <v>Пн</v>
      </c>
      <c r="P22" s="132">
        <f t="shared" si="6"/>
        <v>0</v>
      </c>
      <c r="Q22" s="132">
        <f>DAY('Общие данные'!$B$78)+P22</f>
        <v>15</v>
      </c>
      <c r="R22" s="127">
        <f>IF(A22&lt;='Общие данные'!$B$81,DATE(YEAR($B$8),MONTH($B$8)+A21,DAY('Общие данные'!$B$78)),0)</f>
        <v>46188</v>
      </c>
      <c r="S22" s="113"/>
      <c r="T22" s="113"/>
      <c r="U22" s="113"/>
      <c r="V22" s="113"/>
    </row>
    <row r="23" spans="1:22">
      <c r="A23" s="119">
        <v>16</v>
      </c>
      <c r="B23" s="120">
        <f>IF(A23&lt;='Общие данные'!$B$81,DATE(YEAR(R23),MONTH(R23),DAY(IF(A23='Общие данные'!$B$81,'Общие данные'!$B$67,IF(A23&lt;'Общие данные'!$B$81,(Q23),IF(A23&gt;'Общие данные'!$B$81,$H$44,0))))))</f>
        <v>46218</v>
      </c>
      <c r="C23" s="64">
        <f t="shared" si="1"/>
        <v>7500000.0500000045</v>
      </c>
      <c r="D23" s="64">
        <f t="shared" si="2"/>
        <v>833333.33</v>
      </c>
      <c r="E23" s="64">
        <f t="shared" si="3"/>
        <v>369863.10000000003</v>
      </c>
      <c r="F23" s="64">
        <f t="shared" si="4"/>
        <v>1203196.43</v>
      </c>
      <c r="G23" s="113">
        <f t="shared" si="7"/>
        <v>30</v>
      </c>
      <c r="H23" s="113">
        <f t="shared" si="5"/>
        <v>365</v>
      </c>
      <c r="I23" s="121">
        <f t="shared" si="10"/>
        <v>833333.33</v>
      </c>
      <c r="J23" s="121">
        <f>SUM($I$8:I22)</f>
        <v>12499999.949999999</v>
      </c>
      <c r="K23" s="121">
        <f t="shared" si="9"/>
        <v>7500000.0500000007</v>
      </c>
      <c r="L23" s="115">
        <f>ROUND(C23*'Общие данные'!$B$84/H23,2)*G23</f>
        <v>369863.10000000003</v>
      </c>
      <c r="M23" s="115">
        <f t="shared" si="0"/>
        <v>1203196.43</v>
      </c>
      <c r="N23" s="115"/>
      <c r="O23" s="130" t="str">
        <f t="shared" si="8"/>
        <v>Ср</v>
      </c>
      <c r="P23" s="132">
        <f t="shared" si="6"/>
        <v>0</v>
      </c>
      <c r="Q23" s="132">
        <f>DAY('Общие данные'!$B$78)+P23</f>
        <v>15</v>
      </c>
      <c r="R23" s="127">
        <f>IF(A23&lt;='Общие данные'!$B$81,DATE(YEAR($B$8),MONTH($B$8)+A22,DAY('Общие данные'!$B$78)),0)</f>
        <v>46218</v>
      </c>
      <c r="S23" s="113"/>
      <c r="T23" s="113"/>
      <c r="U23" s="113"/>
      <c r="V23" s="113"/>
    </row>
    <row r="24" spans="1:22">
      <c r="A24" s="119">
        <v>17</v>
      </c>
      <c r="B24" s="120">
        <f>IF(A24&lt;='Общие данные'!$B$81,DATE(YEAR(R24),MONTH(R24),DAY(IF(A24='Общие данные'!$B$81,'Общие данные'!$B$67,IF(A24&lt;'Общие данные'!$B$81,(Q24),IF(A24&gt;'Общие данные'!$B$81,$H$44,0))))))</f>
        <v>46251</v>
      </c>
      <c r="C24" s="64">
        <f t="shared" si="1"/>
        <v>6666666.7200000044</v>
      </c>
      <c r="D24" s="64">
        <f t="shared" si="2"/>
        <v>833333.33</v>
      </c>
      <c r="E24" s="64">
        <f t="shared" si="3"/>
        <v>361643.7</v>
      </c>
      <c r="F24" s="64">
        <f t="shared" si="4"/>
        <v>1194977.03</v>
      </c>
      <c r="G24" s="113">
        <f t="shared" si="7"/>
        <v>33</v>
      </c>
      <c r="H24" s="113">
        <f t="shared" si="5"/>
        <v>365</v>
      </c>
      <c r="I24" s="121">
        <f t="shared" si="10"/>
        <v>833333.33</v>
      </c>
      <c r="J24" s="121">
        <f>SUM($I$8:I23)</f>
        <v>13333333.279999999</v>
      </c>
      <c r="K24" s="121">
        <f t="shared" si="9"/>
        <v>6666666.7200000007</v>
      </c>
      <c r="L24" s="115">
        <f>ROUND(C24*'Общие данные'!$B$84/H24,2)*G24</f>
        <v>361643.7</v>
      </c>
      <c r="M24" s="115">
        <f t="shared" si="0"/>
        <v>1194977.03</v>
      </c>
      <c r="N24" s="115"/>
      <c r="O24" s="130" t="str">
        <f t="shared" si="8"/>
        <v>Сб</v>
      </c>
      <c r="P24" s="132">
        <f t="shared" si="6"/>
        <v>2</v>
      </c>
      <c r="Q24" s="132">
        <f>DAY('Общие данные'!$B$78)+P24</f>
        <v>17</v>
      </c>
      <c r="R24" s="127">
        <f>IF(A24&lt;='Общие данные'!$B$81,DATE(YEAR($B$8),MONTH($B$8)+A23,DAY('Общие данные'!$B$78)),0)</f>
        <v>46249</v>
      </c>
      <c r="S24" s="113"/>
      <c r="T24" s="113"/>
      <c r="U24" s="113"/>
      <c r="V24" s="113"/>
    </row>
    <row r="25" spans="1:22">
      <c r="A25" s="119">
        <v>18</v>
      </c>
      <c r="B25" s="120">
        <f>IF(A25&lt;='Общие данные'!$B$81,DATE(YEAR(R25),MONTH(R25),DAY(IF(A25='Общие данные'!$B$81,'Общие данные'!$B$67,IF(A25&lt;'Общие данные'!$B$81,(Q25),IF(A25&gt;'Общие данные'!$B$81,$H$44,0))))))</f>
        <v>46280</v>
      </c>
      <c r="C25" s="64">
        <f t="shared" si="1"/>
        <v>5833333.3900000043</v>
      </c>
      <c r="D25" s="64">
        <f t="shared" si="2"/>
        <v>833333.33</v>
      </c>
      <c r="E25" s="64">
        <f t="shared" si="3"/>
        <v>278082.16000000003</v>
      </c>
      <c r="F25" s="64">
        <f t="shared" si="4"/>
        <v>1111415.49</v>
      </c>
      <c r="G25" s="113">
        <f t="shared" si="7"/>
        <v>29</v>
      </c>
      <c r="H25" s="113">
        <f t="shared" si="5"/>
        <v>365</v>
      </c>
      <c r="I25" s="121">
        <f t="shared" si="10"/>
        <v>833333.33</v>
      </c>
      <c r="J25" s="121">
        <f>SUM($I$8:I24)</f>
        <v>14166666.609999999</v>
      </c>
      <c r="K25" s="121">
        <f t="shared" si="9"/>
        <v>5833333.3900000006</v>
      </c>
      <c r="L25" s="115">
        <f>ROUND(C25*'Общие данные'!$B$84/H25,2)*G25</f>
        <v>278082.16000000003</v>
      </c>
      <c r="M25" s="115">
        <f t="shared" si="0"/>
        <v>1111415.49</v>
      </c>
      <c r="N25" s="115"/>
      <c r="O25" s="130" t="str">
        <f t="shared" si="8"/>
        <v>Вт</v>
      </c>
      <c r="P25" s="132">
        <f t="shared" si="6"/>
        <v>0</v>
      </c>
      <c r="Q25" s="132">
        <f>DAY('Общие данные'!$B$78)+P25</f>
        <v>15</v>
      </c>
      <c r="R25" s="127">
        <f>IF(A25&lt;='Общие данные'!$B$81,DATE(YEAR($B$8),MONTH($B$8)+A24,DAY('Общие данные'!$B$78)),0)</f>
        <v>46280</v>
      </c>
      <c r="S25" s="113"/>
      <c r="T25" s="113"/>
      <c r="U25" s="113"/>
      <c r="V25" s="113"/>
    </row>
    <row r="26" spans="1:22">
      <c r="A26" s="119">
        <v>19</v>
      </c>
      <c r="B26" s="120">
        <f>IF(A26&lt;='Общие данные'!$B$81,DATE(YEAR(R26),MONTH(R26),DAY(IF(A26='Общие данные'!$B$81,'Общие данные'!$B$67,IF(A26&lt;'Общие данные'!$B$81,(Q26),IF(A26&gt;'Общие данные'!$B$81,$H$44,0))))))</f>
        <v>46310</v>
      </c>
      <c r="C26" s="64">
        <f t="shared" si="1"/>
        <v>5000000.0600000042</v>
      </c>
      <c r="D26" s="64">
        <f t="shared" si="2"/>
        <v>833333.33</v>
      </c>
      <c r="E26" s="64">
        <f t="shared" si="3"/>
        <v>246575.40000000002</v>
      </c>
      <c r="F26" s="64">
        <f t="shared" si="4"/>
        <v>1079908.73</v>
      </c>
      <c r="G26" s="113">
        <f t="shared" si="7"/>
        <v>30</v>
      </c>
      <c r="H26" s="113">
        <f t="shared" si="5"/>
        <v>365</v>
      </c>
      <c r="I26" s="121">
        <f t="shared" si="10"/>
        <v>833333.33</v>
      </c>
      <c r="J26" s="121">
        <f>SUM($I$8:I25)</f>
        <v>14999999.939999999</v>
      </c>
      <c r="K26" s="121">
        <f t="shared" si="9"/>
        <v>5000000.0600000005</v>
      </c>
      <c r="L26" s="115">
        <f>ROUND(C26*'Общие данные'!$B$84/H26,2)*G26</f>
        <v>246575.40000000002</v>
      </c>
      <c r="M26" s="115">
        <f t="shared" si="0"/>
        <v>1079908.73</v>
      </c>
      <c r="N26" s="115"/>
      <c r="O26" s="130" t="str">
        <f t="shared" si="8"/>
        <v>Чт</v>
      </c>
      <c r="P26" s="132">
        <f t="shared" si="6"/>
        <v>0</v>
      </c>
      <c r="Q26" s="132">
        <f>DAY('Общие данные'!$B$78)+P26</f>
        <v>15</v>
      </c>
      <c r="R26" s="127">
        <f>IF(A26&lt;='Общие данные'!$B$81,DATE(YEAR($B$8),MONTH($B$8)+A25,DAY('Общие данные'!$B$78)),0)</f>
        <v>46310</v>
      </c>
      <c r="S26" s="113"/>
      <c r="T26" s="113"/>
      <c r="U26" s="113"/>
      <c r="V26" s="113"/>
    </row>
    <row r="27" spans="1:22">
      <c r="A27" s="119">
        <v>20</v>
      </c>
      <c r="B27" s="120">
        <f>IF(A27&lt;='Общие данные'!$B$81,DATE(YEAR(R27),MONTH(R27),DAY(IF(A27='Общие данные'!$B$81,'Общие данные'!$B$67,IF(A27&lt;'Общие данные'!$B$81,(Q27),IF(A27&gt;'Общие данные'!$B$81,$H$44,0))))))</f>
        <v>46342</v>
      </c>
      <c r="C27" s="64">
        <f t="shared" si="1"/>
        <v>4166666.7300000042</v>
      </c>
      <c r="D27" s="64">
        <f t="shared" si="2"/>
        <v>833333.33</v>
      </c>
      <c r="E27" s="64">
        <f t="shared" si="3"/>
        <v>219178.23999999999</v>
      </c>
      <c r="F27" s="64">
        <f t="shared" si="4"/>
        <v>1052511.5699999998</v>
      </c>
      <c r="G27" s="113">
        <f t="shared" si="7"/>
        <v>32</v>
      </c>
      <c r="H27" s="113">
        <f t="shared" si="5"/>
        <v>365</v>
      </c>
      <c r="I27" s="121">
        <f t="shared" si="10"/>
        <v>833333.33</v>
      </c>
      <c r="J27" s="121">
        <f>SUM($I$8:I26)</f>
        <v>15833333.27</v>
      </c>
      <c r="K27" s="121">
        <f t="shared" si="9"/>
        <v>4166666.7300000004</v>
      </c>
      <c r="L27" s="115">
        <f>ROUND(C27*'Общие данные'!$B$84/H27,2)*G27</f>
        <v>219178.23999999999</v>
      </c>
      <c r="M27" s="115">
        <f t="shared" si="0"/>
        <v>1052511.5699999998</v>
      </c>
      <c r="N27" s="115"/>
      <c r="O27" s="130" t="str">
        <f t="shared" si="8"/>
        <v>Вс</v>
      </c>
      <c r="P27" s="132">
        <f t="shared" si="6"/>
        <v>1</v>
      </c>
      <c r="Q27" s="132">
        <f>DAY('Общие данные'!$B$78)+P27</f>
        <v>16</v>
      </c>
      <c r="R27" s="127">
        <f>IF(A27&lt;='Общие данные'!$B$81,DATE(YEAR($B$8),MONTH($B$8)+A26,DAY('Общие данные'!$B$78)),0)</f>
        <v>46341</v>
      </c>
      <c r="S27" s="113"/>
      <c r="T27" s="113"/>
      <c r="U27" s="113"/>
      <c r="V27" s="113"/>
    </row>
    <row r="28" spans="1:22">
      <c r="A28" s="119">
        <v>21</v>
      </c>
      <c r="B28" s="120">
        <f>IF(A28&lt;='Общие данные'!$B$81,DATE(YEAR(R28),MONTH(R28),DAY(IF(A28='Общие данные'!$B$81,'Общие данные'!$B$67,IF(A28&lt;'Общие данные'!$B$81,(Q28),IF(A28&gt;'Общие данные'!$B$81,$H$44,0))))))</f>
        <v>46371</v>
      </c>
      <c r="C28" s="64">
        <f t="shared" si="1"/>
        <v>3333333.4000000041</v>
      </c>
      <c r="D28" s="64">
        <f t="shared" si="2"/>
        <v>833333.33</v>
      </c>
      <c r="E28" s="64">
        <f t="shared" si="3"/>
        <v>158904.04999999999</v>
      </c>
      <c r="F28" s="64">
        <f t="shared" si="4"/>
        <v>992237.37999999989</v>
      </c>
      <c r="G28" s="113">
        <f t="shared" si="7"/>
        <v>29</v>
      </c>
      <c r="H28" s="113">
        <f t="shared" si="5"/>
        <v>365</v>
      </c>
      <c r="I28" s="121">
        <f t="shared" si="10"/>
        <v>833333.33</v>
      </c>
      <c r="J28" s="121">
        <f>SUM($I$8:I27)</f>
        <v>16666666.6</v>
      </c>
      <c r="K28" s="121">
        <f t="shared" si="9"/>
        <v>3333333.4000000004</v>
      </c>
      <c r="L28" s="115">
        <f>ROUND(C28*'Общие данные'!$B$84/H28,2)*G28</f>
        <v>158904.04999999999</v>
      </c>
      <c r="M28" s="115">
        <f t="shared" si="0"/>
        <v>992237.37999999989</v>
      </c>
      <c r="N28" s="115"/>
      <c r="O28" s="130" t="str">
        <f t="shared" si="8"/>
        <v>Вт</v>
      </c>
      <c r="P28" s="132">
        <f t="shared" si="6"/>
        <v>0</v>
      </c>
      <c r="Q28" s="132">
        <f>DAY('Общие данные'!$B$78)+P28</f>
        <v>15</v>
      </c>
      <c r="R28" s="127">
        <f>IF(A28&lt;='Общие данные'!$B$81,DATE(YEAR($B$8),MONTH($B$8)+A27,DAY('Общие данные'!$B$78)),0)</f>
        <v>46371</v>
      </c>
      <c r="S28" s="113"/>
      <c r="T28" s="113"/>
      <c r="U28" s="113"/>
      <c r="V28" s="113"/>
    </row>
    <row r="29" spans="1:22">
      <c r="A29" s="119">
        <v>22</v>
      </c>
      <c r="B29" s="120">
        <f>IF(A29&lt;='Общие данные'!$B$81,DATE(YEAR(R29),MONTH(R29),DAY(IF(A29='Общие данные'!$B$81,'Общие данные'!$B$67,IF(A29&lt;'Общие данные'!$B$81,(Q29),IF(A29&gt;'Общие данные'!$B$81,$H$44,0))))))</f>
        <v>46402</v>
      </c>
      <c r="C29" s="64">
        <f t="shared" si="1"/>
        <v>2500000.070000004</v>
      </c>
      <c r="D29" s="64">
        <f t="shared" si="2"/>
        <v>833333.33</v>
      </c>
      <c r="E29" s="64">
        <f t="shared" si="3"/>
        <v>127397.29000000001</v>
      </c>
      <c r="F29" s="64">
        <f t="shared" si="4"/>
        <v>960730.62</v>
      </c>
      <c r="G29" s="113">
        <f t="shared" si="7"/>
        <v>31</v>
      </c>
      <c r="H29" s="113">
        <f t="shared" si="5"/>
        <v>365</v>
      </c>
      <c r="I29" s="121">
        <f t="shared" si="10"/>
        <v>833333.33</v>
      </c>
      <c r="J29" s="121">
        <f>SUM($I$8:I28)</f>
        <v>17499999.93</v>
      </c>
      <c r="K29" s="121">
        <f t="shared" si="9"/>
        <v>2500000.0700000003</v>
      </c>
      <c r="L29" s="115">
        <f>ROUND(C29*'Общие данные'!$B$84/H29,2)*G29</f>
        <v>127397.29000000001</v>
      </c>
      <c r="M29" s="115">
        <f t="shared" si="0"/>
        <v>960730.62</v>
      </c>
      <c r="N29" s="115"/>
      <c r="O29" s="130" t="str">
        <f t="shared" si="8"/>
        <v>Пт</v>
      </c>
      <c r="P29" s="132">
        <f t="shared" si="6"/>
        <v>0</v>
      </c>
      <c r="Q29" s="132">
        <f>DAY('Общие данные'!$B$78)+P29</f>
        <v>15</v>
      </c>
      <c r="R29" s="127">
        <f>IF(A29&lt;='Общие данные'!$B$81,DATE(YEAR($B$8),MONTH($B$8)+A28,DAY('Общие данные'!$B$78)),0)</f>
        <v>46402</v>
      </c>
      <c r="S29" s="113"/>
      <c r="T29" s="113"/>
      <c r="U29" s="113"/>
      <c r="V29" s="113"/>
    </row>
    <row r="30" spans="1:22">
      <c r="A30" s="119">
        <v>23</v>
      </c>
      <c r="B30" s="120">
        <f>IF(A30&lt;='Общие данные'!$B$81,DATE(YEAR(R30),MONTH(R30),DAY(IF(A30='Общие данные'!$B$81,'Общие данные'!$B$67,IF(A30&lt;'Общие данные'!$B$81,(Q30),IF(A30&gt;'Общие данные'!$B$81,$H$44,0))))))</f>
        <v>46433</v>
      </c>
      <c r="C30" s="64">
        <f t="shared" si="1"/>
        <v>1666666.7400000039</v>
      </c>
      <c r="D30" s="64">
        <f t="shared" si="2"/>
        <v>833333.33</v>
      </c>
      <c r="E30" s="64">
        <f t="shared" si="3"/>
        <v>84931.63</v>
      </c>
      <c r="F30" s="64">
        <f t="shared" si="4"/>
        <v>918264.96</v>
      </c>
      <c r="G30" s="113">
        <f t="shared" si="7"/>
        <v>31</v>
      </c>
      <c r="H30" s="113">
        <f t="shared" si="5"/>
        <v>365</v>
      </c>
      <c r="I30" s="121">
        <f t="shared" si="10"/>
        <v>833333.33</v>
      </c>
      <c r="J30" s="121">
        <f>SUM($I$8:I29)</f>
        <v>18333333.259999998</v>
      </c>
      <c r="K30" s="121">
        <f t="shared" si="9"/>
        <v>1666666.7400000021</v>
      </c>
      <c r="L30" s="115">
        <f>ROUND(C30*'Общие данные'!$B$84/H30,2)*G30</f>
        <v>84931.63</v>
      </c>
      <c r="M30" s="115">
        <f t="shared" si="0"/>
        <v>918264.96</v>
      </c>
      <c r="N30" s="115"/>
      <c r="O30" s="130" t="str">
        <f t="shared" si="8"/>
        <v>Пн</v>
      </c>
      <c r="P30" s="132">
        <f t="shared" si="6"/>
        <v>0</v>
      </c>
      <c r="Q30" s="132">
        <f>DAY('Общие данные'!$B$78)+P30</f>
        <v>15</v>
      </c>
      <c r="R30" s="127">
        <f>IF(A30&lt;='Общие данные'!$B$81,DATE(YEAR($B$8),MONTH($B$8)+A29,DAY('Общие данные'!$B$78)),0)</f>
        <v>46433</v>
      </c>
      <c r="S30" s="113"/>
      <c r="T30" s="113"/>
      <c r="U30" s="113"/>
      <c r="V30" s="113"/>
    </row>
    <row r="31" spans="1:22">
      <c r="A31" s="119">
        <f>1+A30</f>
        <v>24</v>
      </c>
      <c r="B31" s="120">
        <f>IF(A31&lt;='Общие данные'!$B$81,DATE(YEAR(R31),MONTH(R31),DAY(IF(A31='Общие данные'!$B$81,'Общие данные'!$B$67,IF(A31&lt;'Общие данные'!$B$81,(Q31),IF(A31&gt;'Общие данные'!$B$81,$H$44,0))))))</f>
        <v>46453</v>
      </c>
      <c r="C31" s="64">
        <f t="shared" ref="C31" si="11">C30-D30</f>
        <v>833333.41000000399</v>
      </c>
      <c r="D31" s="64">
        <f t="shared" ref="D31" si="12">IF(C31=0,L31,IF(C31&gt;1,I31))</f>
        <v>833333.41000000387</v>
      </c>
      <c r="E31" s="64">
        <f t="shared" ref="E31" si="13">IF(C31=0,N30,IF(C31&gt;1,L31))</f>
        <v>27397.199999999997</v>
      </c>
      <c r="F31" s="64">
        <f t="shared" ref="F31" si="14">IF(C31=0,N30,IF(C31&gt;1,M31))</f>
        <v>860730.61000000383</v>
      </c>
      <c r="G31" s="113">
        <f t="shared" si="7"/>
        <v>20</v>
      </c>
      <c r="H31" s="113">
        <f t="shared" si="5"/>
        <v>365</v>
      </c>
      <c r="I31" s="121">
        <f t="shared" si="10"/>
        <v>833333.41000000387</v>
      </c>
      <c r="J31" s="121">
        <f>SUM($I$8:I30)</f>
        <v>19166666.589999996</v>
      </c>
      <c r="K31" s="121">
        <f t="shared" si="9"/>
        <v>833333.41000000387</v>
      </c>
      <c r="L31" s="115">
        <f>ROUND(C31*'Общие данные'!$B$84/H31,2)*G31</f>
        <v>27397.199999999997</v>
      </c>
      <c r="M31" s="115">
        <f t="shared" si="0"/>
        <v>860730.61000000383</v>
      </c>
      <c r="N31" s="115"/>
      <c r="O31" s="130" t="str">
        <f t="shared" si="8"/>
        <v>Пн</v>
      </c>
      <c r="P31" s="132">
        <f t="shared" si="6"/>
        <v>0</v>
      </c>
      <c r="Q31" s="132">
        <f>DAY('Общие данные'!$B$78)+P31</f>
        <v>15</v>
      </c>
      <c r="R31" s="127">
        <f>IF(A31&lt;='Общие данные'!$B$81,DATE(YEAR($B$8),MONTH($B$8)+A30,DAY('Общие данные'!$B$78)),0)</f>
        <v>46461</v>
      </c>
      <c r="S31" s="113"/>
      <c r="T31" s="113"/>
      <c r="U31" s="113"/>
      <c r="V31" s="113"/>
    </row>
    <row r="32" spans="1:22">
      <c r="A32" s="119">
        <f t="shared" ref="A32:A43" si="15">1+A31</f>
        <v>25</v>
      </c>
      <c r="B32" s="120" t="b">
        <f>IF(A32&lt;='Общие данные'!$B$81,DATE(YEAR(R32),MONTH(R32),DAY(IF(A32='Общие данные'!$B$81,'Общие данные'!$B$67,IF(A32&lt;'Общие данные'!$B$81,(Q32),IF(A32&gt;'Общие данные'!$B$81,$H$44,0))))))</f>
        <v>0</v>
      </c>
      <c r="C32" s="64">
        <f t="shared" ref="C32:C43" si="16">C31-D31</f>
        <v>0</v>
      </c>
      <c r="D32" s="64">
        <f t="shared" ref="D32:D43" si="17">IF(C32=0,L32,IF(C32&gt;1,I32))</f>
        <v>0</v>
      </c>
      <c r="E32" s="64">
        <f t="shared" ref="E32:E43" si="18">IF(C32=0,N31,IF(C32&gt;1,L32))</f>
        <v>0</v>
      </c>
      <c r="F32" s="64">
        <f t="shared" ref="F32:F43" si="19">IF(C32=0,N31,IF(C32&gt;1,M32))</f>
        <v>0</v>
      </c>
      <c r="G32" s="113">
        <f t="shared" ref="G32:G43" si="20">B32-B31</f>
        <v>-46453</v>
      </c>
      <c r="H32" s="113">
        <f t="shared" ref="H32:H43" si="21">DATE(YEAR(B32),12,31)-DATE(YEAR(B32),1,1)+1</f>
        <v>366</v>
      </c>
      <c r="I32" s="121" t="b">
        <f t="shared" ref="I32:I43" si="22">IF($L$5=A32,K32,IF($L$5&gt;A32,I31))</f>
        <v>0</v>
      </c>
      <c r="J32" s="121">
        <f>SUM($I$8:I31)</f>
        <v>20000000</v>
      </c>
      <c r="K32" s="121">
        <f t="shared" ref="K32:K43" si="23">$J$12-J32</f>
        <v>0</v>
      </c>
      <c r="L32" s="115">
        <f>ROUND(C32*'Общие данные'!$B$84/H32,2)*G32</f>
        <v>0</v>
      </c>
      <c r="M32" s="115">
        <f t="shared" ref="M32:M43" si="24">D32+E32</f>
        <v>0</v>
      </c>
      <c r="N32" s="115"/>
      <c r="O32" s="130" t="str">
        <f t="shared" ref="O32:O43" si="25">TEXT(R32,"ддд")</f>
        <v>Сб</v>
      </c>
      <c r="P32" s="132">
        <f t="shared" ref="P32:P43" si="26">IF(O32=$U$8,2,IF(O32=$V$8,1,0))</f>
        <v>2</v>
      </c>
      <c r="Q32" s="132">
        <f>DAY('Общие данные'!$B$78)+P32</f>
        <v>17</v>
      </c>
      <c r="R32" s="127">
        <f>IF(A32&lt;='Общие данные'!$B$81,DATE(YEAR($B$8),MONTH($B$8)+A31,DAY('Общие данные'!$B$78)),0)</f>
        <v>0</v>
      </c>
      <c r="S32" s="113"/>
      <c r="T32" s="113"/>
      <c r="U32" s="113"/>
      <c r="V32" s="113"/>
    </row>
    <row r="33" spans="1:22">
      <c r="A33" s="119">
        <f t="shared" si="15"/>
        <v>26</v>
      </c>
      <c r="B33" s="120" t="b">
        <f>IF(A33&lt;='Общие данные'!$B$81,DATE(YEAR(R33),MONTH(R33),DAY(IF(A33='Общие данные'!$B$81,'Общие данные'!$B$67,IF(A33&lt;'Общие данные'!$B$81,(Q33),IF(A33&gt;'Общие данные'!$B$81,$H$44,0))))))</f>
        <v>0</v>
      </c>
      <c r="C33" s="64">
        <f t="shared" si="16"/>
        <v>0</v>
      </c>
      <c r="D33" s="64">
        <f t="shared" si="17"/>
        <v>0</v>
      </c>
      <c r="E33" s="64">
        <f t="shared" si="18"/>
        <v>0</v>
      </c>
      <c r="F33" s="64">
        <f t="shared" si="19"/>
        <v>0</v>
      </c>
      <c r="G33" s="113">
        <f t="shared" si="20"/>
        <v>0</v>
      </c>
      <c r="H33" s="113">
        <f t="shared" si="21"/>
        <v>366</v>
      </c>
      <c r="I33" s="121" t="b">
        <f t="shared" si="22"/>
        <v>0</v>
      </c>
      <c r="J33" s="121">
        <f>SUM($I$8:I32)</f>
        <v>20000000</v>
      </c>
      <c r="K33" s="121">
        <f t="shared" si="23"/>
        <v>0</v>
      </c>
      <c r="L33" s="115">
        <f>ROUND(C33*'Общие данные'!$B$84/H33,2)*G33</f>
        <v>0</v>
      </c>
      <c r="M33" s="115">
        <f t="shared" si="24"/>
        <v>0</v>
      </c>
      <c r="N33" s="115"/>
      <c r="O33" s="130" t="str">
        <f t="shared" si="25"/>
        <v>Сб</v>
      </c>
      <c r="P33" s="132">
        <f t="shared" si="26"/>
        <v>2</v>
      </c>
      <c r="Q33" s="132">
        <f>DAY('Общие данные'!$B$78)+P33</f>
        <v>17</v>
      </c>
      <c r="R33" s="127">
        <f>IF(A33&lt;='Общие данные'!$B$81,DATE(YEAR($B$8),MONTH($B$8)+A32,DAY('Общие данные'!$B$78)),0)</f>
        <v>0</v>
      </c>
      <c r="S33" s="113"/>
      <c r="T33" s="113"/>
      <c r="U33" s="113"/>
      <c r="V33" s="113"/>
    </row>
    <row r="34" spans="1:22">
      <c r="A34" s="119">
        <f t="shared" si="15"/>
        <v>27</v>
      </c>
      <c r="B34" s="120" t="b">
        <f>IF(A34&lt;='Общие данные'!$B$81,DATE(YEAR(R34),MONTH(R34),DAY(IF(A34='Общие данные'!$B$81,'Общие данные'!$B$67,IF(A34&lt;'Общие данные'!$B$81,(Q34),IF(A34&gt;'Общие данные'!$B$81,$H$44,0))))))</f>
        <v>0</v>
      </c>
      <c r="C34" s="64">
        <f t="shared" si="16"/>
        <v>0</v>
      </c>
      <c r="D34" s="64">
        <f t="shared" si="17"/>
        <v>0</v>
      </c>
      <c r="E34" s="64">
        <f t="shared" si="18"/>
        <v>0</v>
      </c>
      <c r="F34" s="64">
        <f t="shared" si="19"/>
        <v>0</v>
      </c>
      <c r="G34" s="113">
        <f t="shared" si="20"/>
        <v>0</v>
      </c>
      <c r="H34" s="113">
        <f t="shared" si="21"/>
        <v>366</v>
      </c>
      <c r="I34" s="121" t="b">
        <f t="shared" si="22"/>
        <v>0</v>
      </c>
      <c r="J34" s="121">
        <f>SUM($I$8:I33)</f>
        <v>20000000</v>
      </c>
      <c r="K34" s="121">
        <f t="shared" si="23"/>
        <v>0</v>
      </c>
      <c r="L34" s="115">
        <f>ROUND(C34*'Общие данные'!$B$84/H34,2)*G34</f>
        <v>0</v>
      </c>
      <c r="M34" s="115">
        <f t="shared" si="24"/>
        <v>0</v>
      </c>
      <c r="N34" s="115"/>
      <c r="O34" s="130" t="str">
        <f t="shared" si="25"/>
        <v>Сб</v>
      </c>
      <c r="P34" s="132">
        <f t="shared" si="26"/>
        <v>2</v>
      </c>
      <c r="Q34" s="132">
        <f>DAY('Общие данные'!$B$78)+P34</f>
        <v>17</v>
      </c>
      <c r="R34" s="127">
        <f>IF(A34&lt;='Общие данные'!$B$81,DATE(YEAR($B$8),MONTH($B$8)+A33,DAY('Общие данные'!$B$78)),0)</f>
        <v>0</v>
      </c>
      <c r="S34" s="113"/>
      <c r="T34" s="113"/>
      <c r="U34" s="113"/>
      <c r="V34" s="113"/>
    </row>
    <row r="35" spans="1:22">
      <c r="A35" s="119">
        <f t="shared" si="15"/>
        <v>28</v>
      </c>
      <c r="B35" s="120" t="b">
        <f>IF(A35&lt;='Общие данные'!$B$81,DATE(YEAR(R35),MONTH(R35),DAY(IF(A35='Общие данные'!$B$81,'Общие данные'!$B$67,IF(A35&lt;'Общие данные'!$B$81,(Q35),IF(A35&gt;'Общие данные'!$B$81,$H$44,0))))))</f>
        <v>0</v>
      </c>
      <c r="C35" s="64">
        <f t="shared" si="16"/>
        <v>0</v>
      </c>
      <c r="D35" s="64">
        <f t="shared" si="17"/>
        <v>0</v>
      </c>
      <c r="E35" s="64">
        <f t="shared" si="18"/>
        <v>0</v>
      </c>
      <c r="F35" s="64">
        <f t="shared" si="19"/>
        <v>0</v>
      </c>
      <c r="G35" s="113">
        <f t="shared" si="20"/>
        <v>0</v>
      </c>
      <c r="H35" s="113">
        <f t="shared" si="21"/>
        <v>366</v>
      </c>
      <c r="I35" s="121" t="b">
        <f t="shared" si="22"/>
        <v>0</v>
      </c>
      <c r="J35" s="121">
        <f>SUM($I$8:I34)</f>
        <v>20000000</v>
      </c>
      <c r="K35" s="121">
        <f t="shared" si="23"/>
        <v>0</v>
      </c>
      <c r="L35" s="115">
        <f>ROUND(C35*'Общие данные'!$B$84/H35,2)*G35</f>
        <v>0</v>
      </c>
      <c r="M35" s="115">
        <f t="shared" si="24"/>
        <v>0</v>
      </c>
      <c r="N35" s="115"/>
      <c r="O35" s="130" t="str">
        <f t="shared" si="25"/>
        <v>Сб</v>
      </c>
      <c r="P35" s="132">
        <f t="shared" si="26"/>
        <v>2</v>
      </c>
      <c r="Q35" s="132">
        <f>DAY('Общие данные'!$B$78)+P35</f>
        <v>17</v>
      </c>
      <c r="R35" s="127">
        <f>IF(A35&lt;='Общие данные'!$B$81,DATE(YEAR($B$8),MONTH($B$8)+A34,DAY('Общие данные'!$B$78)),0)</f>
        <v>0</v>
      </c>
      <c r="S35" s="113"/>
      <c r="T35" s="113"/>
      <c r="U35" s="113"/>
      <c r="V35" s="113"/>
    </row>
    <row r="36" spans="1:22">
      <c r="A36" s="119">
        <f t="shared" si="15"/>
        <v>29</v>
      </c>
      <c r="B36" s="120" t="b">
        <f>IF(A36&lt;='Общие данные'!$B$81,DATE(YEAR(R36),MONTH(R36),DAY(IF(A36='Общие данные'!$B$81,'Общие данные'!$B$67,IF(A36&lt;'Общие данные'!$B$81,(Q36),IF(A36&gt;'Общие данные'!$B$81,$H$44,0))))))</f>
        <v>0</v>
      </c>
      <c r="C36" s="64">
        <f t="shared" si="16"/>
        <v>0</v>
      </c>
      <c r="D36" s="64">
        <f t="shared" si="17"/>
        <v>0</v>
      </c>
      <c r="E36" s="64">
        <f t="shared" si="18"/>
        <v>0</v>
      </c>
      <c r="F36" s="64">
        <f t="shared" si="19"/>
        <v>0</v>
      </c>
      <c r="G36" s="113">
        <f t="shared" si="20"/>
        <v>0</v>
      </c>
      <c r="H36" s="113">
        <f t="shared" si="21"/>
        <v>366</v>
      </c>
      <c r="I36" s="121" t="b">
        <f t="shared" si="22"/>
        <v>0</v>
      </c>
      <c r="J36" s="121">
        <f>SUM($I$8:I35)</f>
        <v>20000000</v>
      </c>
      <c r="K36" s="121">
        <f t="shared" si="23"/>
        <v>0</v>
      </c>
      <c r="L36" s="115">
        <f>ROUND(C36*'Общие данные'!$B$84/H36,2)*G36</f>
        <v>0</v>
      </c>
      <c r="M36" s="115">
        <f t="shared" si="24"/>
        <v>0</v>
      </c>
      <c r="N36" s="115"/>
      <c r="O36" s="130" t="str">
        <f t="shared" si="25"/>
        <v>Сб</v>
      </c>
      <c r="P36" s="132">
        <f t="shared" si="26"/>
        <v>2</v>
      </c>
      <c r="Q36" s="132">
        <f>DAY('Общие данные'!$B$78)+P36</f>
        <v>17</v>
      </c>
      <c r="R36" s="127">
        <f>IF(A36&lt;='Общие данные'!$B$81,DATE(YEAR($B$8),MONTH($B$8)+A35,DAY('Общие данные'!$B$78)),0)</f>
        <v>0</v>
      </c>
      <c r="S36" s="113"/>
      <c r="T36" s="113"/>
      <c r="U36" s="113"/>
      <c r="V36" s="113"/>
    </row>
    <row r="37" spans="1:22">
      <c r="A37" s="119">
        <f t="shared" si="15"/>
        <v>30</v>
      </c>
      <c r="B37" s="120" t="b">
        <f>IF(A37&lt;='Общие данные'!$B$81,DATE(YEAR(R37),MONTH(R37),DAY(IF(A37='Общие данные'!$B$81,'Общие данные'!$B$67,IF(A37&lt;'Общие данные'!$B$81,(Q37),IF(A37&gt;'Общие данные'!$B$81,$H$44,0))))))</f>
        <v>0</v>
      </c>
      <c r="C37" s="64">
        <f t="shared" si="16"/>
        <v>0</v>
      </c>
      <c r="D37" s="64">
        <f t="shared" si="17"/>
        <v>0</v>
      </c>
      <c r="E37" s="64">
        <f t="shared" si="18"/>
        <v>0</v>
      </c>
      <c r="F37" s="64">
        <f t="shared" si="19"/>
        <v>0</v>
      </c>
      <c r="G37" s="113">
        <f t="shared" si="20"/>
        <v>0</v>
      </c>
      <c r="H37" s="113">
        <f t="shared" si="21"/>
        <v>366</v>
      </c>
      <c r="I37" s="121" t="b">
        <f t="shared" si="22"/>
        <v>0</v>
      </c>
      <c r="J37" s="121">
        <f>SUM($I$8:I36)</f>
        <v>20000000</v>
      </c>
      <c r="K37" s="121">
        <f t="shared" si="23"/>
        <v>0</v>
      </c>
      <c r="L37" s="115">
        <f>ROUND(C37*'Общие данные'!$B$84/H37,2)*G37</f>
        <v>0</v>
      </c>
      <c r="M37" s="115">
        <f t="shared" si="24"/>
        <v>0</v>
      </c>
      <c r="N37" s="115"/>
      <c r="O37" s="130" t="str">
        <f t="shared" si="25"/>
        <v>Сб</v>
      </c>
      <c r="P37" s="132">
        <f t="shared" si="26"/>
        <v>2</v>
      </c>
      <c r="Q37" s="132">
        <f>DAY('Общие данные'!$B$78)+P37</f>
        <v>17</v>
      </c>
      <c r="R37" s="127">
        <f>IF(A37&lt;='Общие данные'!$B$81,DATE(YEAR($B$8),MONTH($B$8)+A36,DAY('Общие данные'!$B$78)),0)</f>
        <v>0</v>
      </c>
      <c r="S37" s="113"/>
      <c r="T37" s="113"/>
      <c r="U37" s="113"/>
      <c r="V37" s="113"/>
    </row>
    <row r="38" spans="1:22">
      <c r="A38" s="119">
        <f t="shared" si="15"/>
        <v>31</v>
      </c>
      <c r="B38" s="120" t="b">
        <f>IF(A38&lt;='Общие данные'!$B$81,DATE(YEAR(R38),MONTH(R38),DAY(IF(A38='Общие данные'!$B$81,'Общие данные'!$B$67,IF(A38&lt;'Общие данные'!$B$81,(Q38),IF(A38&gt;'Общие данные'!$B$81,$H$44,0))))))</f>
        <v>0</v>
      </c>
      <c r="C38" s="64">
        <f t="shared" si="16"/>
        <v>0</v>
      </c>
      <c r="D38" s="64">
        <f t="shared" si="17"/>
        <v>0</v>
      </c>
      <c r="E38" s="64">
        <f t="shared" si="18"/>
        <v>0</v>
      </c>
      <c r="F38" s="64">
        <f t="shared" si="19"/>
        <v>0</v>
      </c>
      <c r="G38" s="113">
        <f t="shared" si="20"/>
        <v>0</v>
      </c>
      <c r="H38" s="113">
        <f t="shared" si="21"/>
        <v>366</v>
      </c>
      <c r="I38" s="121" t="b">
        <f t="shared" si="22"/>
        <v>0</v>
      </c>
      <c r="J38" s="121">
        <f>SUM($I$8:I37)</f>
        <v>20000000</v>
      </c>
      <c r="K38" s="121">
        <f t="shared" si="23"/>
        <v>0</v>
      </c>
      <c r="L38" s="115">
        <f>ROUND(C38*'Общие данные'!$B$84/H38,2)*G38</f>
        <v>0</v>
      </c>
      <c r="M38" s="115">
        <f t="shared" si="24"/>
        <v>0</v>
      </c>
      <c r="N38" s="115"/>
      <c r="O38" s="130" t="str">
        <f t="shared" si="25"/>
        <v>Сб</v>
      </c>
      <c r="P38" s="132">
        <f t="shared" si="26"/>
        <v>2</v>
      </c>
      <c r="Q38" s="132">
        <f>DAY('Общие данные'!$B$78)+P38</f>
        <v>17</v>
      </c>
      <c r="R38" s="127">
        <f>IF(A38&lt;='Общие данные'!$B$81,DATE(YEAR($B$8),MONTH($B$8)+A37,DAY('Общие данные'!$B$78)),0)</f>
        <v>0</v>
      </c>
      <c r="S38" s="113"/>
      <c r="T38" s="113"/>
      <c r="U38" s="113"/>
      <c r="V38" s="113"/>
    </row>
    <row r="39" spans="1:22">
      <c r="A39" s="119">
        <f t="shared" si="15"/>
        <v>32</v>
      </c>
      <c r="B39" s="120" t="b">
        <f>IF(A39&lt;='Общие данные'!$B$81,DATE(YEAR(R39),MONTH(R39),DAY(IF(A39='Общие данные'!$B$81,'Общие данные'!$B$67,IF(A39&lt;'Общие данные'!$B$81,(Q39),IF(A39&gt;'Общие данные'!$B$81,$H$44,0))))))</f>
        <v>0</v>
      </c>
      <c r="C39" s="64">
        <f t="shared" si="16"/>
        <v>0</v>
      </c>
      <c r="D39" s="64">
        <f t="shared" si="17"/>
        <v>0</v>
      </c>
      <c r="E39" s="64">
        <f t="shared" si="18"/>
        <v>0</v>
      </c>
      <c r="F39" s="64">
        <f t="shared" si="19"/>
        <v>0</v>
      </c>
      <c r="G39" s="113">
        <f t="shared" si="20"/>
        <v>0</v>
      </c>
      <c r="H39" s="113">
        <f t="shared" si="21"/>
        <v>366</v>
      </c>
      <c r="I39" s="121" t="b">
        <f t="shared" si="22"/>
        <v>0</v>
      </c>
      <c r="J39" s="121">
        <f>SUM($I$8:I38)</f>
        <v>20000000</v>
      </c>
      <c r="K39" s="121">
        <f t="shared" si="23"/>
        <v>0</v>
      </c>
      <c r="L39" s="115">
        <f>ROUND(C39*'Общие данные'!$B$84/H39,2)*G39</f>
        <v>0</v>
      </c>
      <c r="M39" s="115">
        <f t="shared" si="24"/>
        <v>0</v>
      </c>
      <c r="N39" s="115"/>
      <c r="O39" s="130" t="str">
        <f t="shared" si="25"/>
        <v>Сб</v>
      </c>
      <c r="P39" s="132">
        <f t="shared" si="26"/>
        <v>2</v>
      </c>
      <c r="Q39" s="132">
        <f>DAY('Общие данные'!$B$78)+P39</f>
        <v>17</v>
      </c>
      <c r="R39" s="127">
        <f>IF(A39&lt;='Общие данные'!$B$81,DATE(YEAR($B$8),MONTH($B$8)+A38,DAY('Общие данные'!$B$78)),0)</f>
        <v>0</v>
      </c>
      <c r="S39" s="113"/>
      <c r="T39" s="113"/>
      <c r="U39" s="113"/>
      <c r="V39" s="113"/>
    </row>
    <row r="40" spans="1:22">
      <c r="A40" s="119">
        <f t="shared" si="15"/>
        <v>33</v>
      </c>
      <c r="B40" s="120" t="b">
        <f>IF(A40&lt;='Общие данные'!$B$81,DATE(YEAR(R40),MONTH(R40),DAY(IF(A40='Общие данные'!$B$81,'Общие данные'!$B$67,IF(A40&lt;'Общие данные'!$B$81,(Q40),IF(A40&gt;'Общие данные'!$B$81,$H$44,0))))))</f>
        <v>0</v>
      </c>
      <c r="C40" s="64">
        <f t="shared" si="16"/>
        <v>0</v>
      </c>
      <c r="D40" s="64">
        <f t="shared" si="17"/>
        <v>0</v>
      </c>
      <c r="E40" s="64">
        <f t="shared" si="18"/>
        <v>0</v>
      </c>
      <c r="F40" s="64">
        <f t="shared" si="19"/>
        <v>0</v>
      </c>
      <c r="G40" s="113">
        <f t="shared" si="20"/>
        <v>0</v>
      </c>
      <c r="H40" s="113">
        <f t="shared" si="21"/>
        <v>366</v>
      </c>
      <c r="I40" s="121" t="b">
        <f t="shared" si="22"/>
        <v>0</v>
      </c>
      <c r="J40" s="121">
        <f>SUM($I$8:I39)</f>
        <v>20000000</v>
      </c>
      <c r="K40" s="121">
        <f t="shared" si="23"/>
        <v>0</v>
      </c>
      <c r="L40" s="115">
        <f>ROUND(C40*'Общие данные'!$B$84/H40,2)*G40</f>
        <v>0</v>
      </c>
      <c r="M40" s="115">
        <f t="shared" si="24"/>
        <v>0</v>
      </c>
      <c r="N40" s="115"/>
      <c r="O40" s="130" t="str">
        <f t="shared" si="25"/>
        <v>Сб</v>
      </c>
      <c r="P40" s="132">
        <f t="shared" si="26"/>
        <v>2</v>
      </c>
      <c r="Q40" s="132">
        <f>DAY('Общие данные'!$B$78)+P40</f>
        <v>17</v>
      </c>
      <c r="R40" s="127">
        <f>IF(A40&lt;='Общие данные'!$B$81,DATE(YEAR($B$8),MONTH($B$8)+A39,DAY('Общие данные'!$B$78)),0)</f>
        <v>0</v>
      </c>
      <c r="S40" s="113"/>
      <c r="T40" s="113"/>
      <c r="U40" s="113"/>
      <c r="V40" s="113"/>
    </row>
    <row r="41" spans="1:22">
      <c r="A41" s="119">
        <f t="shared" si="15"/>
        <v>34</v>
      </c>
      <c r="B41" s="120" t="b">
        <f>IF(A41&lt;='Общие данные'!$B$81,DATE(YEAR(R41),MONTH(R41),DAY(IF(A41='Общие данные'!$B$81,'Общие данные'!$B$67,IF(A41&lt;'Общие данные'!$B$81,(Q41),IF(A41&gt;'Общие данные'!$B$81,$H$44,0))))))</f>
        <v>0</v>
      </c>
      <c r="C41" s="64">
        <f t="shared" si="16"/>
        <v>0</v>
      </c>
      <c r="D41" s="64">
        <f t="shared" si="17"/>
        <v>0</v>
      </c>
      <c r="E41" s="64">
        <f t="shared" si="18"/>
        <v>0</v>
      </c>
      <c r="F41" s="64">
        <f t="shared" si="19"/>
        <v>0</v>
      </c>
      <c r="G41" s="113">
        <f t="shared" si="20"/>
        <v>0</v>
      </c>
      <c r="H41" s="113">
        <f t="shared" si="21"/>
        <v>366</v>
      </c>
      <c r="I41" s="121" t="b">
        <f t="shared" si="22"/>
        <v>0</v>
      </c>
      <c r="J41" s="121">
        <f>SUM($I$8:I40)</f>
        <v>20000000</v>
      </c>
      <c r="K41" s="121">
        <f t="shared" si="23"/>
        <v>0</v>
      </c>
      <c r="L41" s="115">
        <f>ROUND(C41*'Общие данные'!$B$84/H41,2)*G41</f>
        <v>0</v>
      </c>
      <c r="M41" s="115">
        <f t="shared" si="24"/>
        <v>0</v>
      </c>
      <c r="N41" s="115"/>
      <c r="O41" s="130" t="str">
        <f t="shared" si="25"/>
        <v>Сб</v>
      </c>
      <c r="P41" s="132">
        <f t="shared" si="26"/>
        <v>2</v>
      </c>
      <c r="Q41" s="132">
        <f>DAY('Общие данные'!$B$78)+P41</f>
        <v>17</v>
      </c>
      <c r="R41" s="127">
        <f>IF(A41&lt;='Общие данные'!$B$81,DATE(YEAR($B$8),MONTH($B$8)+A40,DAY('Общие данные'!$B$78)),0)</f>
        <v>0</v>
      </c>
      <c r="S41" s="113"/>
      <c r="T41" s="113"/>
      <c r="U41" s="113"/>
      <c r="V41" s="113"/>
    </row>
    <row r="42" spans="1:22">
      <c r="A42" s="119">
        <f t="shared" si="15"/>
        <v>35</v>
      </c>
      <c r="B42" s="120" t="b">
        <f>IF(A42&lt;='Общие данные'!$B$81,DATE(YEAR(R42),MONTH(R42),DAY(IF(A42='Общие данные'!$B$81,'Общие данные'!$B$67,IF(A42&lt;'Общие данные'!$B$81,(Q42),IF(A42&gt;'Общие данные'!$B$81,$H$44,0))))))</f>
        <v>0</v>
      </c>
      <c r="C42" s="64">
        <f t="shared" si="16"/>
        <v>0</v>
      </c>
      <c r="D42" s="64">
        <f t="shared" si="17"/>
        <v>0</v>
      </c>
      <c r="E42" s="64">
        <f t="shared" si="18"/>
        <v>0</v>
      </c>
      <c r="F42" s="64">
        <f t="shared" si="19"/>
        <v>0</v>
      </c>
      <c r="G42" s="113">
        <f t="shared" si="20"/>
        <v>0</v>
      </c>
      <c r="H42" s="113">
        <f t="shared" si="21"/>
        <v>366</v>
      </c>
      <c r="I42" s="121" t="b">
        <f t="shared" si="22"/>
        <v>0</v>
      </c>
      <c r="J42" s="121">
        <f>SUM($I$8:I41)</f>
        <v>20000000</v>
      </c>
      <c r="K42" s="121">
        <f t="shared" si="23"/>
        <v>0</v>
      </c>
      <c r="L42" s="115">
        <f>ROUND(C42*'Общие данные'!$B$84/H42,2)*G42</f>
        <v>0</v>
      </c>
      <c r="M42" s="115">
        <f t="shared" si="24"/>
        <v>0</v>
      </c>
      <c r="N42" s="115"/>
      <c r="O42" s="130" t="str">
        <f t="shared" si="25"/>
        <v>Сб</v>
      </c>
      <c r="P42" s="132">
        <f t="shared" si="26"/>
        <v>2</v>
      </c>
      <c r="Q42" s="132">
        <f>DAY('Общие данные'!$B$78)+P42</f>
        <v>17</v>
      </c>
      <c r="R42" s="127">
        <f>IF(A42&lt;='Общие данные'!$B$81,DATE(YEAR($B$8),MONTH($B$8)+A41,DAY('Общие данные'!$B$78)),0)</f>
        <v>0</v>
      </c>
      <c r="S42" s="113"/>
      <c r="T42" s="113"/>
      <c r="U42" s="113"/>
      <c r="V42" s="113"/>
    </row>
    <row r="43" spans="1:22">
      <c r="A43" s="119">
        <f t="shared" si="15"/>
        <v>36</v>
      </c>
      <c r="B43" s="120" t="b">
        <f>IF(A43&lt;='Общие данные'!$B$81,DATE(YEAR(R43),MONTH(R43),DAY(IF(A43='Общие данные'!$B$81,'Общие данные'!$B$67,IF(A43&lt;'Общие данные'!$B$81,(Q43),IF(A43&gt;'Общие данные'!$B$81,$H$44,0))))))</f>
        <v>0</v>
      </c>
      <c r="C43" s="64">
        <f t="shared" si="16"/>
        <v>0</v>
      </c>
      <c r="D43" s="64">
        <f t="shared" si="17"/>
        <v>0</v>
      </c>
      <c r="E43" s="64">
        <f t="shared" si="18"/>
        <v>0</v>
      </c>
      <c r="F43" s="64">
        <f t="shared" si="19"/>
        <v>0</v>
      </c>
      <c r="G43" s="113">
        <f t="shared" si="20"/>
        <v>0</v>
      </c>
      <c r="H43" s="113">
        <f t="shared" si="21"/>
        <v>366</v>
      </c>
      <c r="I43" s="121" t="b">
        <f t="shared" si="22"/>
        <v>0</v>
      </c>
      <c r="J43" s="121">
        <f>SUM($I$8:I42)</f>
        <v>20000000</v>
      </c>
      <c r="K43" s="121">
        <f t="shared" si="23"/>
        <v>0</v>
      </c>
      <c r="L43" s="115">
        <f>ROUND(C43*'Общие данные'!$B$84/H43,2)*G43</f>
        <v>0</v>
      </c>
      <c r="M43" s="115">
        <f t="shared" si="24"/>
        <v>0</v>
      </c>
      <c r="N43" s="115"/>
      <c r="O43" s="130" t="str">
        <f t="shared" si="25"/>
        <v>Сб</v>
      </c>
      <c r="P43" s="132">
        <f t="shared" si="26"/>
        <v>2</v>
      </c>
      <c r="Q43" s="132">
        <f>DAY('Общие данные'!$B$78)+P43</f>
        <v>17</v>
      </c>
      <c r="R43" s="127">
        <f>IF(A43&lt;='Общие данные'!$B$81,DATE(YEAR($B$8),MONTH($B$8)+A42,DAY('Общие данные'!$B$78)),0)</f>
        <v>0</v>
      </c>
      <c r="S43" s="113"/>
      <c r="T43" s="113"/>
      <c r="U43" s="113"/>
      <c r="V43" s="113"/>
    </row>
    <row r="44" spans="1:22">
      <c r="A44" s="122"/>
      <c r="B44" s="123" t="s">
        <v>7</v>
      </c>
      <c r="C44" s="124"/>
      <c r="D44" s="124">
        <f>SUM(D8:D31)</f>
        <v>20000000</v>
      </c>
      <c r="E44" s="124">
        <f>SUM(E8:E31)</f>
        <v>12797260.470000001</v>
      </c>
      <c r="F44" s="124">
        <f>SUM(F8:F31)</f>
        <v>32797260.470000003</v>
      </c>
    </row>
    <row r="45" spans="1:22" ht="9" customHeight="1">
      <c r="B45" s="125"/>
      <c r="C45" s="126"/>
      <c r="D45" s="126"/>
      <c r="E45" s="126"/>
      <c r="F45" s="126"/>
    </row>
    <row r="46" spans="1:22" ht="47.25" customHeight="1">
      <c r="A46" s="234" t="s">
        <v>18</v>
      </c>
      <c r="B46" s="234"/>
      <c r="C46" s="234"/>
      <c r="D46" s="234"/>
      <c r="E46" s="234"/>
      <c r="F46" s="234"/>
    </row>
    <row r="47" spans="1:22" ht="7.5" customHeight="1"/>
    <row r="48" spans="1:22">
      <c r="A48" s="235" t="e">
        <f>#REF!</f>
        <v>#REF!</v>
      </c>
      <c r="B48" s="235"/>
      <c r="C48" s="235"/>
      <c r="D48" s="235" t="e">
        <f>#REF!</f>
        <v>#REF!</v>
      </c>
      <c r="E48" s="235"/>
      <c r="F48" s="235"/>
    </row>
    <row r="49" spans="1:6" ht="11.25" customHeight="1">
      <c r="A49" s="236"/>
      <c r="B49" s="236"/>
      <c r="C49" s="236"/>
      <c r="D49" s="236"/>
      <c r="E49" s="236"/>
      <c r="F49" s="236"/>
    </row>
    <row r="50" spans="1:6" ht="30" customHeight="1">
      <c r="A50" s="237" t="e">
        <f>#REF!</f>
        <v>#REF!</v>
      </c>
      <c r="B50" s="237"/>
      <c r="C50" s="237"/>
      <c r="D50" s="237" t="e">
        <f>#REF!</f>
        <v>#REF!</v>
      </c>
      <c r="E50" s="237"/>
      <c r="F50" s="237"/>
    </row>
    <row r="51" spans="1:6" ht="32.25" customHeight="1">
      <c r="A51" s="233" t="e">
        <f>#REF!</f>
        <v>#REF!</v>
      </c>
      <c r="B51" s="233"/>
      <c r="C51" s="233"/>
      <c r="D51" s="233" t="e">
        <f>#REF!</f>
        <v>#REF!</v>
      </c>
      <c r="E51" s="233"/>
      <c r="F51" s="233"/>
    </row>
    <row r="52" spans="1:6">
      <c r="A52" s="233" t="e">
        <f>#REF!</f>
        <v>#REF!</v>
      </c>
      <c r="B52" s="233"/>
      <c r="C52" s="233"/>
      <c r="D52" s="233" t="str">
        <f>"паспорт серии "&amp;'Общие данные'!B16&amp;", "&amp;'Общие данные'!B20&amp;""</f>
        <v>паспорт серии AD 6879613, IIV 18810  tomonidan 18.04.2024 yilda berilgan</v>
      </c>
      <c r="E52" s="233"/>
      <c r="F52" s="233"/>
    </row>
    <row r="53" spans="1:6" ht="32.25" customHeight="1">
      <c r="A53" s="233" t="e">
        <f>#REF!</f>
        <v>#REF!</v>
      </c>
      <c r="B53" s="233"/>
      <c r="C53" s="233"/>
      <c r="D53" s="233"/>
      <c r="E53" s="233"/>
      <c r="F53" s="233"/>
    </row>
    <row r="54" spans="1:6">
      <c r="A54" s="233" t="e">
        <f>#REF!</f>
        <v>#REF!</v>
      </c>
      <c r="B54" s="233"/>
      <c r="C54" s="233"/>
      <c r="D54" s="233" t="e">
        <f>#REF!</f>
        <v>#REF!</v>
      </c>
      <c r="E54" s="233"/>
      <c r="F54" s="233"/>
    </row>
    <row r="55" spans="1:6">
      <c r="A55" s="233" t="e">
        <f>#REF!</f>
        <v>#REF!</v>
      </c>
      <c r="B55" s="233"/>
      <c r="C55" s="233"/>
      <c r="D55" s="233" t="e">
        <f>#REF!</f>
        <v>#REF!</v>
      </c>
      <c r="E55" s="233"/>
      <c r="F55" s="233"/>
    </row>
    <row r="56" spans="1:6">
      <c r="A56" s="233" t="e">
        <f>#REF!</f>
        <v>#REF!</v>
      </c>
      <c r="B56" s="233"/>
      <c r="C56" s="233"/>
      <c r="D56" s="233" t="e">
        <f>#REF!</f>
        <v>#REF!</v>
      </c>
      <c r="E56" s="233"/>
      <c r="F56" s="233"/>
    </row>
    <row r="57" spans="1:6" ht="8.25" customHeight="1">
      <c r="A57" s="233"/>
      <c r="B57" s="233"/>
      <c r="C57" s="233"/>
      <c r="D57" s="233"/>
      <c r="E57" s="233"/>
      <c r="F57" s="233"/>
    </row>
    <row r="58" spans="1:6">
      <c r="A58" s="237" t="e">
        <f>#REF!</f>
        <v>#REF!</v>
      </c>
      <c r="B58" s="237"/>
      <c r="C58" s="237"/>
      <c r="D58" s="237" t="e">
        <f>#REF!</f>
        <v>#REF!</v>
      </c>
      <c r="E58" s="237"/>
      <c r="F58" s="237"/>
    </row>
    <row r="59" spans="1:6" ht="7.5" customHeight="1">
      <c r="A59" s="237"/>
      <c r="B59" s="237"/>
      <c r="C59" s="237"/>
      <c r="D59" s="237"/>
      <c r="E59" s="237"/>
      <c r="F59" s="237"/>
    </row>
    <row r="60" spans="1:6">
      <c r="A60" s="237" t="e">
        <f>#REF!</f>
        <v>#REF!</v>
      </c>
      <c r="B60" s="237"/>
      <c r="C60" s="237"/>
      <c r="D60" s="237" t="e">
        <f>#REF!</f>
        <v>#REF!</v>
      </c>
      <c r="E60" s="237"/>
      <c r="F60" s="237"/>
    </row>
    <row r="61" spans="1:6" ht="8.25" customHeight="1">
      <c r="A61" s="233"/>
      <c r="B61" s="233"/>
      <c r="C61" s="233"/>
      <c r="D61" s="233"/>
      <c r="E61" s="233"/>
      <c r="F61" s="233"/>
    </row>
    <row r="62" spans="1:6" ht="30" customHeight="1">
      <c r="A62" s="239"/>
      <c r="B62" s="239"/>
      <c r="C62" s="239"/>
      <c r="D62" s="240" t="e">
        <f>#REF!</f>
        <v>#REF!</v>
      </c>
      <c r="E62" s="240"/>
      <c r="F62" s="240"/>
    </row>
    <row r="63" spans="1:6">
      <c r="A63" s="241"/>
      <c r="B63" s="241"/>
      <c r="C63" s="241"/>
      <c r="D63" s="241"/>
      <c r="E63" s="241"/>
      <c r="F63" s="241"/>
    </row>
    <row r="64" spans="1:6">
      <c r="A64" s="238"/>
      <c r="B64" s="238"/>
      <c r="C64" s="238"/>
      <c r="D64" s="238"/>
      <c r="E64" s="238"/>
      <c r="F64" s="238"/>
    </row>
  </sheetData>
  <mergeCells count="40">
    <mergeCell ref="A64:C64"/>
    <mergeCell ref="D64:F64"/>
    <mergeCell ref="A61:C61"/>
    <mergeCell ref="D61:F61"/>
    <mergeCell ref="A62:C62"/>
    <mergeCell ref="D62:F62"/>
    <mergeCell ref="A63:C63"/>
    <mergeCell ref="D63:F63"/>
    <mergeCell ref="A58:C58"/>
    <mergeCell ref="D58:F58"/>
    <mergeCell ref="A59:C59"/>
    <mergeCell ref="D59:F59"/>
    <mergeCell ref="A60:C60"/>
    <mergeCell ref="D60:F60"/>
    <mergeCell ref="A55:C55"/>
    <mergeCell ref="D55:F55"/>
    <mergeCell ref="A56:C56"/>
    <mergeCell ref="D56:F56"/>
    <mergeCell ref="A57:C57"/>
    <mergeCell ref="D57:F57"/>
    <mergeCell ref="A54:C54"/>
    <mergeCell ref="D54:F54"/>
    <mergeCell ref="A46:F46"/>
    <mergeCell ref="A48:C48"/>
    <mergeCell ref="D48:F48"/>
    <mergeCell ref="A49:C49"/>
    <mergeCell ref="D49:F49"/>
    <mergeCell ref="A50:C50"/>
    <mergeCell ref="D50:F50"/>
    <mergeCell ref="A51:C51"/>
    <mergeCell ref="D51:F51"/>
    <mergeCell ref="A52:C52"/>
    <mergeCell ref="D52:F53"/>
    <mergeCell ref="A53:C53"/>
    <mergeCell ref="E1:F1"/>
    <mergeCell ref="A4:F4"/>
    <mergeCell ref="A6:A7"/>
    <mergeCell ref="B6:B7"/>
    <mergeCell ref="C6:C7"/>
    <mergeCell ref="D6:F6"/>
  </mergeCells>
  <conditionalFormatting sqref="B8:B43">
    <cfRule type="cellIs" dxfId="8" priority="4" operator="lessThan">
      <formula>22105</formula>
    </cfRule>
  </conditionalFormatting>
  <conditionalFormatting sqref="C8:C43">
    <cfRule type="cellIs" dxfId="7" priority="3" operator="lessThan">
      <formula>1</formula>
    </cfRule>
  </conditionalFormatting>
  <conditionalFormatting sqref="C8:F43">
    <cfRule type="cellIs" dxfId="6" priority="1" operator="lessThan">
      <formula>0.1</formula>
    </cfRule>
  </conditionalFormatting>
  <pageMargins left="0.70866141732283472" right="0.70866141732283472" top="0.74803149606299213" bottom="0.74803149606299213" header="0.31496062992125984" footer="0.31496062992125984"/>
  <pageSetup paperSize="9" scale="9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Лист20">
    <tabColor rgb="FFFF0000"/>
  </sheetPr>
  <dimension ref="A1:W30"/>
  <sheetViews>
    <sheetView zoomScale="85" zoomScaleNormal="85" zoomScaleSheetLayoutView="85" workbookViewId="0">
      <pane ySplit="1" topLeftCell="A2" activePane="bottomLeft" state="frozen"/>
      <selection pane="bottomLeft"/>
    </sheetView>
  </sheetViews>
  <sheetFormatPr defaultRowHeight="15"/>
  <cols>
    <col min="1" max="1" width="16.7109375" style="141" customWidth="1"/>
    <col min="2" max="2" width="13.28515625" hidden="1" customWidth="1"/>
    <col min="3" max="3" width="8.42578125" hidden="1" customWidth="1"/>
    <col min="4" max="4" width="18.140625" customWidth="1"/>
    <col min="5" max="5" width="45.42578125" customWidth="1"/>
    <col min="6" max="6" width="15.42578125" customWidth="1"/>
    <col min="7" max="10" width="15.42578125" hidden="1" customWidth="1"/>
    <col min="11" max="11" width="18.140625" hidden="1" customWidth="1"/>
    <col min="12" max="12" width="10.5703125" customWidth="1"/>
    <col min="13" max="13" width="22.7109375" customWidth="1"/>
    <col min="14" max="14" width="28.140625" customWidth="1"/>
    <col min="15" max="15" width="125.42578125" customWidth="1"/>
    <col min="16" max="22" width="9.140625" customWidth="1"/>
    <col min="23" max="23" width="117.7109375" customWidth="1"/>
    <col min="24" max="24" width="9.140625" customWidth="1"/>
    <col min="25" max="25" width="2.5703125" customWidth="1"/>
    <col min="26" max="38" width="9.140625" customWidth="1"/>
  </cols>
  <sheetData>
    <row r="1" spans="1:23" s="147" customFormat="1" ht="36.75" customHeight="1">
      <c r="A1" s="146" t="s">
        <v>15</v>
      </c>
      <c r="B1" s="147" t="s">
        <v>3</v>
      </c>
      <c r="D1" s="146"/>
      <c r="E1" s="146" t="s">
        <v>41</v>
      </c>
      <c r="F1" s="146" t="s">
        <v>42</v>
      </c>
      <c r="G1" s="146"/>
      <c r="H1" s="146"/>
      <c r="I1" s="146"/>
      <c r="J1" s="146"/>
      <c r="K1" s="146"/>
      <c r="L1" s="146" t="s">
        <v>43</v>
      </c>
      <c r="M1" s="146" t="s">
        <v>45</v>
      </c>
      <c r="N1" s="146" t="s">
        <v>44</v>
      </c>
    </row>
    <row r="2" spans="1:23" ht="15" customHeight="1">
      <c r="A2" s="140">
        <v>1</v>
      </c>
      <c r="B2" t="s">
        <v>277</v>
      </c>
      <c r="C2" t="s">
        <v>74</v>
      </c>
      <c r="D2" s="142" t="s">
        <v>277</v>
      </c>
      <c r="E2" s="142" t="s">
        <v>51</v>
      </c>
      <c r="F2" s="143">
        <v>44207</v>
      </c>
      <c r="G2" s="131">
        <f>MONTH(F2)</f>
        <v>1</v>
      </c>
      <c r="H2" s="143" t="str">
        <f>IF(G2=$A$26,$A$28,IF(G2=$B$26,$B$28,IF(G2=$C$26,$C$28,IF(G2=$D$26,$D$28,IF(G2=$E$26,$E$28,IF(G2=$F$26,$F$28,IF(G2=$K$26,$K$28,IF(G2=$L$26,$L$28,IF(G2=$M$26,$M$28,IF(G2=$N$26,$N$28,IF(G2=$O$26,$O$28,IF(G2=$P$26,$P$28,0))))))))))))</f>
        <v>yanvar</v>
      </c>
      <c r="I2" s="131">
        <f>DAY(F2)</f>
        <v>11</v>
      </c>
      <c r="J2" s="145">
        <f>YEAR(F2)</f>
        <v>2021</v>
      </c>
      <c r="K2" s="143" t="str">
        <f>""&amp;I2&amp;" "&amp;H2&amp;" "&amp;J2&amp;" г."</f>
        <v>11 yanvar 2021 г.</v>
      </c>
      <c r="L2" s="142">
        <v>5</v>
      </c>
      <c r="M2" s="144">
        <v>15000000</v>
      </c>
      <c r="N2" s="142" t="s">
        <v>137</v>
      </c>
      <c r="O2" t="str">
        <f>"- №"&amp;L2&amp;" от "&amp;K2&amp;", заключенного с ООО «Clever Mikrokredit Tashkiloti» и "&amp;E2&amp;", по согласованной залоговой стоимость - "&amp;FIXED(M2)&amp;" ("&amp;N2&amp;") сум."</f>
        <v>- №5 от 11 yanvar 2021 г., заключенного с ООО «Clever Mikrokredit Tashkiloti» и TULYAGANOV XODJIAKBAR IRGASHEVICH, по согласованной залоговой стоимость - 15 000 000,00 (on besh million) сум.</v>
      </c>
      <c r="P2" t="str">
        <f>IF(D2=$B$2,O2,IF(D2=$C$2,$B$1))</f>
        <v>- №5 от 11 yanvar 2021 г., заключенного с ООО «Clever Mikrokredit Tashkiloti» и TULYAGANOV XODJIAKBAR IRGASHEVICH, по согласованной залоговой стоимость - 15 000 000,00 (on besh million) сум.</v>
      </c>
      <c r="W2" s="76" t="str">
        <f>""&amp;P2&amp;"
"&amp;P3&amp;"
"&amp;P4&amp;"
"&amp;P5&amp;"
"&amp;P6&amp;"
"&amp;P7&amp;"
"&amp;P8&amp;"
"&amp;P9&amp;"
"&amp;P10&amp;"
"&amp;P11&amp;"
"&amp;P12&amp;"
"&amp;P13&amp;"
"&amp;P14&amp;"
"&amp;P15&amp;"
"&amp;P16&amp;"
"&amp;P17&amp;"
"&amp;P18&amp;"
"&amp;P19&amp;"
"&amp;P20&amp;"
"&amp;P21&amp;""</f>
        <v>-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row>
    <row r="3" spans="1:23" ht="15" customHeight="1">
      <c r="A3" s="140">
        <v>2</v>
      </c>
      <c r="D3" s="142" t="s">
        <v>277</v>
      </c>
      <c r="E3" s="142" t="s">
        <v>50</v>
      </c>
      <c r="F3" s="143">
        <v>43775</v>
      </c>
      <c r="G3" s="131">
        <f>MONTH(F3)</f>
        <v>11</v>
      </c>
      <c r="H3" s="143" t="str">
        <f>IF(G3=$A$26,$A$28,IF(G3=$B$26,$B$28,IF(G3=$C$26,$C$28,IF(G3=$D$26,$D$28,IF(G3=$E$26,$E$28,IF(G3=$F$26,$F$28,IF(G3=$K$26,$K$28,IF(G3=$L$26,$L$28,IF(G3=$M$26,$M$28,IF(G3=$N$26,$N$28,IF(G3=$O$26,$O$28,IF(G3=$P$26,$P$28,0))))))))))))</f>
        <v>noyabr</v>
      </c>
      <c r="I3" s="131">
        <f>DAY(F3)</f>
        <v>6</v>
      </c>
      <c r="J3" s="145">
        <f>YEAR(F3)</f>
        <v>2019</v>
      </c>
      <c r="K3" s="143" t="str">
        <f>""&amp;I3&amp;" "&amp;H3&amp;" "&amp;J3&amp;" г."</f>
        <v>6 noyabr 2019 г.</v>
      </c>
      <c r="L3" s="142">
        <v>386</v>
      </c>
      <c r="M3" s="144">
        <v>15000000</v>
      </c>
      <c r="N3" s="142" t="s">
        <v>137</v>
      </c>
      <c r="O3" t="str">
        <f t="shared" ref="O3:O4" si="0">"- №"&amp;L3&amp;" от "&amp;K3&amp;", заключенного с ООО «Clever Mikrokredit Tashkiloti» и "&amp;E3&amp;", по согласованной залоговой стоимость - "&amp;FIXED(M3)&amp;" ("&amp;N3&amp;") сум."</f>
        <v>- №386 от 6 noyabr 2019 г., заключенного с ООО «Clever Mikrokredit Tashkiloti» и YUNUSOVA ZALOXAT MIRSULTANOVNA, по согласованной залоговой стоимость - 15 000 000,00 (on besh million) сум.</v>
      </c>
      <c r="P3" t="str">
        <f t="shared" ref="P3:P21" si="1">IF(D3=$B$2,O3,IF(D3=$C$2,$B$1))</f>
        <v>- №386 от 6 noyabr 2019 г., заключенного с ООО «Clever Mikrokredit Tashkiloti» и YUNUSOVA ZALOXAT MIRSULTANOVNA, по согласованной залоговой стоимость - 15 000 000,00 (on besh million) сум.</v>
      </c>
    </row>
    <row r="4" spans="1:23" ht="15" customHeight="1">
      <c r="A4" s="140">
        <v>3</v>
      </c>
      <c r="D4" s="142" t="s">
        <v>277</v>
      </c>
      <c r="E4" s="142" t="s">
        <v>50</v>
      </c>
      <c r="F4" s="143">
        <v>44217</v>
      </c>
      <c r="G4" s="131">
        <f>MONTH(F4)</f>
        <v>1</v>
      </c>
      <c r="H4" s="143" t="str">
        <f>IF(G4=$A$26,$A$28,IF(G4=$B$26,$B$28,IF(G4=$C$26,$C$28,IF(G4=$D$26,$D$28,IF(G4=$E$26,$E$28,IF(G4=$F$26,$F$28,IF(G4=$K$26,$K$28,IF(G4=$L$26,$L$28,IF(G4=$M$26,$M$28,IF(G4=$N$26,$N$28,IF(G4=$O$26,$O$28,IF(G4=$P$26,$P$28,0))))))))))))</f>
        <v>yanvar</v>
      </c>
      <c r="I4" s="131">
        <f>DAY(F4)</f>
        <v>21</v>
      </c>
      <c r="J4" s="145">
        <f>YEAR(F4)</f>
        <v>2021</v>
      </c>
      <c r="K4" s="143" t="str">
        <f>""&amp;I4&amp;" "&amp;H4&amp;" "&amp;J4&amp;" г."</f>
        <v>21 yanvar 2021 г.</v>
      </c>
      <c r="L4" s="142">
        <v>33</v>
      </c>
      <c r="M4" s="144">
        <v>15000000</v>
      </c>
      <c r="N4" s="142" t="s">
        <v>137</v>
      </c>
      <c r="O4" t="str">
        <f t="shared" si="0"/>
        <v>- №33 от 21 yanvar 2021 г., заключенного с ООО «Clever Mikrokredit Tashkiloti» и YUNUSOVA ZALOXAT MIRSULTANOVNA, по согласованной залоговой стоимость - 15 000 000,00 (on besh million) сум.</v>
      </c>
      <c r="P4" t="str">
        <f t="shared" si="1"/>
        <v>- №33 от 21 yanvar 2021 г., заключенного с ООО «Clever Mikrokredit Tashkiloti» и YUNUSOVA ZALOXAT MIRSULTANOVNA, по согласованной залоговой стоимость - 15 000 000,00 (on besh million) сум.</v>
      </c>
    </row>
    <row r="5" spans="1:23" ht="15" customHeight="1">
      <c r="A5" s="140">
        <v>4</v>
      </c>
      <c r="D5" s="142" t="s">
        <v>277</v>
      </c>
      <c r="E5" s="142"/>
      <c r="F5" s="143"/>
      <c r="G5" s="131">
        <f t="shared" ref="G5:G21" si="2">MONTH(F5)</f>
        <v>1</v>
      </c>
      <c r="H5" s="143" t="str">
        <f t="shared" ref="H5:H21" si="3">IF(G5=$A$26,$A$28,IF(G5=$B$26,$B$28,IF(G5=$C$26,$C$28,IF(G5=$D$26,$D$28,IF(G5=$E$26,$E$28,IF(G5=$F$26,$F$28,IF(G5=$K$26,$K$28,IF(G5=$L$26,$L$28,IF(G5=$M$26,$M$28,IF(G5=$N$26,$N$28,IF(G5=$O$26,$O$28,IF(G5=$P$26,$P$28,0))))))))))))</f>
        <v>yanvar</v>
      </c>
      <c r="I5" s="131">
        <f t="shared" ref="I5:I21" si="4">DAY(F5)</f>
        <v>0</v>
      </c>
      <c r="J5" s="145">
        <f t="shared" ref="J5:J21" si="5">YEAR(F5)</f>
        <v>1900</v>
      </c>
      <c r="K5" s="143" t="str">
        <f t="shared" ref="K5:K21" si="6">""&amp;I5&amp;" "&amp;H5&amp;" "&amp;J5&amp;" г."</f>
        <v>0 yanvar 1900 г.</v>
      </c>
      <c r="L5" s="142"/>
      <c r="M5" s="144"/>
      <c r="N5" s="142"/>
      <c r="P5">
        <f t="shared" si="1"/>
        <v>0</v>
      </c>
    </row>
    <row r="6" spans="1:23" ht="15" customHeight="1">
      <c r="A6" s="140">
        <v>5</v>
      </c>
      <c r="D6" s="142" t="s">
        <v>277</v>
      </c>
      <c r="E6" s="142"/>
      <c r="F6" s="143"/>
      <c r="G6" s="131">
        <f t="shared" si="2"/>
        <v>1</v>
      </c>
      <c r="H6" s="143" t="str">
        <f t="shared" si="3"/>
        <v>yanvar</v>
      </c>
      <c r="I6" s="131">
        <f t="shared" si="4"/>
        <v>0</v>
      </c>
      <c r="J6" s="145">
        <f t="shared" si="5"/>
        <v>1900</v>
      </c>
      <c r="K6" s="143" t="str">
        <f t="shared" si="6"/>
        <v>0 yanvar 1900 г.</v>
      </c>
      <c r="L6" s="142"/>
      <c r="M6" s="144"/>
      <c r="N6" s="142"/>
      <c r="P6">
        <f t="shared" si="1"/>
        <v>0</v>
      </c>
    </row>
    <row r="7" spans="1:23" ht="15" customHeight="1">
      <c r="A7" s="140">
        <v>6</v>
      </c>
      <c r="D7" s="142" t="s">
        <v>277</v>
      </c>
      <c r="E7" s="142"/>
      <c r="F7" s="143"/>
      <c r="G7" s="131">
        <f t="shared" si="2"/>
        <v>1</v>
      </c>
      <c r="H7" s="143" t="str">
        <f t="shared" si="3"/>
        <v>yanvar</v>
      </c>
      <c r="I7" s="131">
        <f t="shared" si="4"/>
        <v>0</v>
      </c>
      <c r="J7" s="145">
        <f t="shared" si="5"/>
        <v>1900</v>
      </c>
      <c r="K7" s="143" t="str">
        <f t="shared" si="6"/>
        <v>0 yanvar 1900 г.</v>
      </c>
      <c r="L7" s="142"/>
      <c r="M7" s="144"/>
      <c r="N7" s="142"/>
      <c r="P7">
        <f t="shared" si="1"/>
        <v>0</v>
      </c>
    </row>
    <row r="8" spans="1:23" ht="15" customHeight="1">
      <c r="A8" s="140">
        <v>7</v>
      </c>
      <c r="D8" s="142" t="s">
        <v>277</v>
      </c>
      <c r="E8" s="142"/>
      <c r="F8" s="143"/>
      <c r="G8" s="131">
        <f t="shared" si="2"/>
        <v>1</v>
      </c>
      <c r="H8" s="143" t="str">
        <f t="shared" si="3"/>
        <v>yanvar</v>
      </c>
      <c r="I8" s="131">
        <f t="shared" si="4"/>
        <v>0</v>
      </c>
      <c r="J8" s="145">
        <f t="shared" si="5"/>
        <v>1900</v>
      </c>
      <c r="K8" s="143" t="str">
        <f t="shared" si="6"/>
        <v>0 yanvar 1900 г.</v>
      </c>
      <c r="L8" s="142"/>
      <c r="M8" s="144"/>
      <c r="N8" s="142"/>
      <c r="P8">
        <f t="shared" si="1"/>
        <v>0</v>
      </c>
    </row>
    <row r="9" spans="1:23" ht="15" customHeight="1">
      <c r="A9" s="140">
        <v>8</v>
      </c>
      <c r="D9" s="142" t="s">
        <v>277</v>
      </c>
      <c r="E9" s="142"/>
      <c r="F9" s="143"/>
      <c r="G9" s="131">
        <f t="shared" si="2"/>
        <v>1</v>
      </c>
      <c r="H9" s="143" t="str">
        <f t="shared" si="3"/>
        <v>yanvar</v>
      </c>
      <c r="I9" s="131">
        <f t="shared" si="4"/>
        <v>0</v>
      </c>
      <c r="J9" s="145">
        <f t="shared" si="5"/>
        <v>1900</v>
      </c>
      <c r="K9" s="143" t="str">
        <f t="shared" si="6"/>
        <v>0 yanvar 1900 г.</v>
      </c>
      <c r="L9" s="142"/>
      <c r="M9" s="144"/>
      <c r="N9" s="142"/>
      <c r="P9">
        <f t="shared" si="1"/>
        <v>0</v>
      </c>
    </row>
    <row r="10" spans="1:23" ht="15" customHeight="1">
      <c r="A10" s="140">
        <v>9</v>
      </c>
      <c r="D10" s="142" t="s">
        <v>277</v>
      </c>
      <c r="E10" s="142"/>
      <c r="F10" s="143"/>
      <c r="G10" s="131">
        <f t="shared" si="2"/>
        <v>1</v>
      </c>
      <c r="H10" s="143" t="str">
        <f t="shared" si="3"/>
        <v>yanvar</v>
      </c>
      <c r="I10" s="131">
        <f t="shared" si="4"/>
        <v>0</v>
      </c>
      <c r="J10" s="145">
        <f t="shared" si="5"/>
        <v>1900</v>
      </c>
      <c r="K10" s="143" t="str">
        <f t="shared" si="6"/>
        <v>0 yanvar 1900 г.</v>
      </c>
      <c r="L10" s="142"/>
      <c r="M10" s="144"/>
      <c r="N10" s="142"/>
      <c r="P10">
        <f t="shared" si="1"/>
        <v>0</v>
      </c>
    </row>
    <row r="11" spans="1:23" ht="15" customHeight="1">
      <c r="A11" s="140">
        <v>10</v>
      </c>
      <c r="D11" s="142" t="s">
        <v>277</v>
      </c>
      <c r="E11" s="142"/>
      <c r="F11" s="143"/>
      <c r="G11" s="131">
        <f t="shared" si="2"/>
        <v>1</v>
      </c>
      <c r="H11" s="143" t="str">
        <f t="shared" si="3"/>
        <v>yanvar</v>
      </c>
      <c r="I11" s="131">
        <f t="shared" si="4"/>
        <v>0</v>
      </c>
      <c r="J11" s="145">
        <f t="shared" si="5"/>
        <v>1900</v>
      </c>
      <c r="K11" s="143" t="str">
        <f t="shared" si="6"/>
        <v>0 yanvar 1900 г.</v>
      </c>
      <c r="L11" s="142"/>
      <c r="M11" s="144"/>
      <c r="N11" s="142"/>
      <c r="P11">
        <f t="shared" si="1"/>
        <v>0</v>
      </c>
    </row>
    <row r="12" spans="1:23" ht="15" customHeight="1">
      <c r="A12" s="140">
        <v>11</v>
      </c>
      <c r="D12" s="142" t="s">
        <v>277</v>
      </c>
      <c r="E12" s="142"/>
      <c r="F12" s="143"/>
      <c r="G12" s="131">
        <f t="shared" si="2"/>
        <v>1</v>
      </c>
      <c r="H12" s="143" t="str">
        <f t="shared" si="3"/>
        <v>yanvar</v>
      </c>
      <c r="I12" s="131">
        <f t="shared" si="4"/>
        <v>0</v>
      </c>
      <c r="J12" s="145">
        <f t="shared" si="5"/>
        <v>1900</v>
      </c>
      <c r="K12" s="143" t="str">
        <f t="shared" si="6"/>
        <v>0 yanvar 1900 г.</v>
      </c>
      <c r="L12" s="142"/>
      <c r="M12" s="144"/>
      <c r="N12" s="142"/>
      <c r="P12">
        <f t="shared" si="1"/>
        <v>0</v>
      </c>
    </row>
    <row r="13" spans="1:23" ht="15" customHeight="1">
      <c r="A13" s="140">
        <v>12</v>
      </c>
      <c r="D13" s="142" t="s">
        <v>277</v>
      </c>
      <c r="E13" s="142"/>
      <c r="F13" s="143"/>
      <c r="G13" s="131">
        <f t="shared" si="2"/>
        <v>1</v>
      </c>
      <c r="H13" s="143" t="str">
        <f t="shared" si="3"/>
        <v>yanvar</v>
      </c>
      <c r="I13" s="131">
        <f t="shared" si="4"/>
        <v>0</v>
      </c>
      <c r="J13" s="145">
        <f t="shared" si="5"/>
        <v>1900</v>
      </c>
      <c r="K13" s="143" t="str">
        <f t="shared" si="6"/>
        <v>0 yanvar 1900 г.</v>
      </c>
      <c r="L13" s="142"/>
      <c r="M13" s="144"/>
      <c r="N13" s="142"/>
      <c r="P13">
        <f t="shared" si="1"/>
        <v>0</v>
      </c>
    </row>
    <row r="14" spans="1:23" ht="15" customHeight="1">
      <c r="A14" s="140">
        <v>13</v>
      </c>
      <c r="D14" s="142" t="s">
        <v>277</v>
      </c>
      <c r="E14" s="142"/>
      <c r="F14" s="143"/>
      <c r="G14" s="131">
        <f t="shared" si="2"/>
        <v>1</v>
      </c>
      <c r="H14" s="143" t="str">
        <f t="shared" si="3"/>
        <v>yanvar</v>
      </c>
      <c r="I14" s="131">
        <f t="shared" si="4"/>
        <v>0</v>
      </c>
      <c r="J14" s="145">
        <f t="shared" si="5"/>
        <v>1900</v>
      </c>
      <c r="K14" s="143" t="str">
        <f t="shared" si="6"/>
        <v>0 yanvar 1900 г.</v>
      </c>
      <c r="L14" s="142"/>
      <c r="M14" s="144"/>
      <c r="N14" s="142"/>
      <c r="P14">
        <f t="shared" si="1"/>
        <v>0</v>
      </c>
    </row>
    <row r="15" spans="1:23" ht="15" customHeight="1">
      <c r="A15" s="140">
        <v>14</v>
      </c>
      <c r="D15" s="142" t="s">
        <v>277</v>
      </c>
      <c r="E15" s="142"/>
      <c r="F15" s="143"/>
      <c r="G15" s="131">
        <f t="shared" si="2"/>
        <v>1</v>
      </c>
      <c r="H15" s="143" t="str">
        <f t="shared" si="3"/>
        <v>yanvar</v>
      </c>
      <c r="I15" s="131">
        <f t="shared" si="4"/>
        <v>0</v>
      </c>
      <c r="J15" s="145">
        <f t="shared" si="5"/>
        <v>1900</v>
      </c>
      <c r="K15" s="143" t="str">
        <f t="shared" si="6"/>
        <v>0 yanvar 1900 г.</v>
      </c>
      <c r="L15" s="142"/>
      <c r="M15" s="144"/>
      <c r="N15" s="142"/>
      <c r="P15">
        <f t="shared" si="1"/>
        <v>0</v>
      </c>
    </row>
    <row r="16" spans="1:23" ht="15" customHeight="1">
      <c r="A16" s="140">
        <v>15</v>
      </c>
      <c r="D16" s="142" t="s">
        <v>277</v>
      </c>
      <c r="E16" s="142"/>
      <c r="F16" s="143"/>
      <c r="G16" s="131">
        <f t="shared" si="2"/>
        <v>1</v>
      </c>
      <c r="H16" s="143" t="str">
        <f t="shared" si="3"/>
        <v>yanvar</v>
      </c>
      <c r="I16" s="131">
        <f t="shared" si="4"/>
        <v>0</v>
      </c>
      <c r="J16" s="145">
        <f t="shared" si="5"/>
        <v>1900</v>
      </c>
      <c r="K16" s="143" t="str">
        <f t="shared" si="6"/>
        <v>0 yanvar 1900 г.</v>
      </c>
      <c r="L16" s="142"/>
      <c r="M16" s="144"/>
      <c r="N16" s="142"/>
      <c r="P16">
        <f t="shared" si="1"/>
        <v>0</v>
      </c>
    </row>
    <row r="17" spans="1:17" ht="15" customHeight="1">
      <c r="A17" s="140">
        <v>16</v>
      </c>
      <c r="D17" s="142" t="s">
        <v>277</v>
      </c>
      <c r="E17" s="142"/>
      <c r="F17" s="143"/>
      <c r="G17" s="131">
        <f t="shared" si="2"/>
        <v>1</v>
      </c>
      <c r="H17" s="143" t="str">
        <f t="shared" si="3"/>
        <v>yanvar</v>
      </c>
      <c r="I17" s="131">
        <f t="shared" si="4"/>
        <v>0</v>
      </c>
      <c r="J17" s="145">
        <f t="shared" si="5"/>
        <v>1900</v>
      </c>
      <c r="K17" s="143" t="str">
        <f t="shared" si="6"/>
        <v>0 yanvar 1900 г.</v>
      </c>
      <c r="L17" s="142"/>
      <c r="M17" s="144"/>
      <c r="N17" s="142"/>
      <c r="P17">
        <f t="shared" si="1"/>
        <v>0</v>
      </c>
    </row>
    <row r="18" spans="1:17" ht="15" customHeight="1">
      <c r="A18" s="140">
        <v>17</v>
      </c>
      <c r="D18" s="142" t="s">
        <v>277</v>
      </c>
      <c r="E18" s="142"/>
      <c r="F18" s="143"/>
      <c r="G18" s="131">
        <f t="shared" si="2"/>
        <v>1</v>
      </c>
      <c r="H18" s="143" t="str">
        <f t="shared" si="3"/>
        <v>yanvar</v>
      </c>
      <c r="I18" s="131">
        <f t="shared" si="4"/>
        <v>0</v>
      </c>
      <c r="J18" s="145">
        <f t="shared" si="5"/>
        <v>1900</v>
      </c>
      <c r="K18" s="143" t="str">
        <f t="shared" si="6"/>
        <v>0 yanvar 1900 г.</v>
      </c>
      <c r="L18" s="142"/>
      <c r="M18" s="144"/>
      <c r="N18" s="142"/>
      <c r="P18">
        <f t="shared" si="1"/>
        <v>0</v>
      </c>
    </row>
    <row r="19" spans="1:17" ht="15" customHeight="1">
      <c r="A19" s="140">
        <v>18</v>
      </c>
      <c r="D19" s="142" t="s">
        <v>277</v>
      </c>
      <c r="E19" s="142"/>
      <c r="F19" s="143"/>
      <c r="G19" s="131">
        <f t="shared" si="2"/>
        <v>1</v>
      </c>
      <c r="H19" s="143" t="str">
        <f t="shared" si="3"/>
        <v>yanvar</v>
      </c>
      <c r="I19" s="131">
        <f t="shared" si="4"/>
        <v>0</v>
      </c>
      <c r="J19" s="145">
        <f t="shared" si="5"/>
        <v>1900</v>
      </c>
      <c r="K19" s="143" t="str">
        <f t="shared" si="6"/>
        <v>0 yanvar 1900 г.</v>
      </c>
      <c r="L19" s="142"/>
      <c r="M19" s="144"/>
      <c r="N19" s="142"/>
      <c r="P19">
        <f t="shared" si="1"/>
        <v>0</v>
      </c>
    </row>
    <row r="20" spans="1:17" ht="15" customHeight="1">
      <c r="A20" s="140">
        <v>19</v>
      </c>
      <c r="D20" s="142" t="s">
        <v>277</v>
      </c>
      <c r="E20" s="142"/>
      <c r="F20" s="143"/>
      <c r="G20" s="131">
        <f t="shared" si="2"/>
        <v>1</v>
      </c>
      <c r="H20" s="143" t="str">
        <f t="shared" si="3"/>
        <v>yanvar</v>
      </c>
      <c r="I20" s="131">
        <f t="shared" si="4"/>
        <v>0</v>
      </c>
      <c r="J20" s="145">
        <f t="shared" si="5"/>
        <v>1900</v>
      </c>
      <c r="K20" s="143" t="str">
        <f t="shared" si="6"/>
        <v>0 yanvar 1900 г.</v>
      </c>
      <c r="L20" s="142"/>
      <c r="M20" s="144"/>
      <c r="N20" s="142"/>
      <c r="P20">
        <f t="shared" si="1"/>
        <v>0</v>
      </c>
    </row>
    <row r="21" spans="1:17" ht="15" customHeight="1">
      <c r="A21" s="140">
        <v>20</v>
      </c>
      <c r="D21" s="142" t="s">
        <v>277</v>
      </c>
      <c r="E21" s="142"/>
      <c r="F21" s="143"/>
      <c r="G21" s="131">
        <f t="shared" si="2"/>
        <v>1</v>
      </c>
      <c r="H21" s="143" t="str">
        <f t="shared" si="3"/>
        <v>yanvar</v>
      </c>
      <c r="I21" s="131">
        <f t="shared" si="4"/>
        <v>0</v>
      </c>
      <c r="J21" s="145">
        <f t="shared" si="5"/>
        <v>1900</v>
      </c>
      <c r="K21" s="143" t="str">
        <f t="shared" si="6"/>
        <v>0 yanvar 1900 г.</v>
      </c>
      <c r="L21" s="142"/>
      <c r="M21" s="144"/>
      <c r="N21" s="142"/>
      <c r="P21">
        <f t="shared" si="1"/>
        <v>0</v>
      </c>
    </row>
    <row r="22" spans="1:17">
      <c r="M22" s="148">
        <f>SUM(M2:M21)+'Общие данные'!B136</f>
        <v>75000000</v>
      </c>
      <c r="Q22" t="s">
        <v>276</v>
      </c>
    </row>
    <row r="23" spans="1:17">
      <c r="A23" s="127"/>
      <c r="B23" s="128"/>
      <c r="C23" s="128"/>
      <c r="D23" s="128"/>
      <c r="E23" s="128"/>
      <c r="F23" s="128"/>
      <c r="G23" s="128"/>
      <c r="H23" s="128"/>
      <c r="I23" s="128"/>
      <c r="J23" s="128"/>
      <c r="K23" s="128"/>
      <c r="L23" s="128"/>
      <c r="M23" s="128"/>
      <c r="N23" s="128"/>
      <c r="O23" s="128"/>
    </row>
    <row r="24" spans="1:17">
      <c r="A24" s="128"/>
      <c r="B24" s="128"/>
      <c r="C24" s="128"/>
      <c r="D24" s="128"/>
      <c r="E24" s="128"/>
      <c r="F24" s="128"/>
      <c r="G24" s="128"/>
      <c r="H24" s="128"/>
      <c r="I24" s="128"/>
      <c r="J24" s="128"/>
      <c r="K24" s="128"/>
      <c r="L24" s="128"/>
      <c r="M24" s="128"/>
      <c r="N24" s="128"/>
      <c r="O24" s="128"/>
    </row>
    <row r="25" spans="1:17">
      <c r="A25" s="128">
        <f>MONTH(F2)</f>
        <v>1</v>
      </c>
      <c r="B25" s="128" t="str">
        <f>IF(A25=A26,A28,IF(A25=B26,B28,IF(A25=C26,C28,IF(A25=D26,D28,IF(A25=E26,E28,IF(A25=F26,F28,IF(A25=K26,K28,IF(A25=L26,L28,IF(A25=M26,M28,IF(A25=N26,N28,IF(A25=O26,O28,IF(A25=#REF!,#REF!,))))))))))))</f>
        <v>yanvar</v>
      </c>
      <c r="C25" s="128">
        <f>DAY(F2)</f>
        <v>11</v>
      </c>
      <c r="D25" s="128">
        <f>YEAR(F2)</f>
        <v>2021</v>
      </c>
      <c r="E25" s="128"/>
      <c r="F25" s="128"/>
      <c r="G25" s="128"/>
      <c r="H25" s="128"/>
      <c r="I25" s="128"/>
      <c r="J25" s="128"/>
      <c r="K25" s="128"/>
      <c r="L25" s="128"/>
      <c r="M25" s="128"/>
      <c r="N25" s="128"/>
      <c r="O25" s="128"/>
    </row>
    <row r="26" spans="1:17">
      <c r="A26" s="128">
        <v>1</v>
      </c>
      <c r="B26" s="128">
        <v>2</v>
      </c>
      <c r="C26" s="128">
        <v>3</v>
      </c>
      <c r="D26" s="128">
        <v>4</v>
      </c>
      <c r="E26" s="128">
        <v>5</v>
      </c>
      <c r="F26" s="128">
        <v>6</v>
      </c>
      <c r="G26" s="128"/>
      <c r="H26" s="128"/>
      <c r="I26" s="128"/>
      <c r="J26" s="128"/>
      <c r="K26" s="128">
        <v>7</v>
      </c>
      <c r="L26" s="128">
        <v>8</v>
      </c>
      <c r="M26" s="128">
        <v>9</v>
      </c>
      <c r="N26" s="128">
        <v>10</v>
      </c>
      <c r="O26" s="128">
        <v>11</v>
      </c>
      <c r="P26" s="128">
        <v>12</v>
      </c>
    </row>
    <row r="27" spans="1:17">
      <c r="A27" s="128"/>
      <c r="B27" s="128"/>
      <c r="C27" s="128"/>
      <c r="D27" s="128"/>
      <c r="E27" s="128"/>
      <c r="F27" s="128"/>
      <c r="G27" s="128"/>
      <c r="H27" s="128"/>
      <c r="I27" s="128"/>
      <c r="J27" s="128"/>
      <c r="K27" s="128"/>
      <c r="L27" s="128"/>
      <c r="M27" s="128"/>
      <c r="N27" s="128"/>
      <c r="O27" s="128"/>
    </row>
    <row r="28" spans="1:17">
      <c r="A28" s="128" t="s">
        <v>126</v>
      </c>
      <c r="B28" s="128" t="s">
        <v>127</v>
      </c>
      <c r="C28" s="128" t="s">
        <v>116</v>
      </c>
      <c r="D28" s="128" t="s">
        <v>117</v>
      </c>
      <c r="E28" s="128" t="s">
        <v>118</v>
      </c>
      <c r="F28" s="128" t="s">
        <v>119</v>
      </c>
      <c r="G28" s="128"/>
      <c r="H28" s="128"/>
      <c r="I28" s="128"/>
      <c r="J28" s="128"/>
      <c r="K28" s="128" t="s">
        <v>25</v>
      </c>
      <c r="L28" s="128" t="s">
        <v>121</v>
      </c>
      <c r="M28" s="128" t="s">
        <v>275</v>
      </c>
      <c r="N28" s="128" t="s">
        <v>274</v>
      </c>
      <c r="O28" s="128" t="s">
        <v>124</v>
      </c>
      <c r="P28" s="128" t="s">
        <v>125</v>
      </c>
    </row>
    <row r="29" spans="1:17">
      <c r="A29" s="128" t="s">
        <v>126</v>
      </c>
      <c r="B29" s="128" t="s">
        <v>127</v>
      </c>
      <c r="C29" s="128" t="s">
        <v>116</v>
      </c>
      <c r="D29" s="128" t="s">
        <v>117</v>
      </c>
      <c r="E29" s="128" t="s">
        <v>118</v>
      </c>
      <c r="F29" s="128" t="s">
        <v>119</v>
      </c>
      <c r="G29" s="128"/>
      <c r="H29" s="128"/>
      <c r="I29" s="128"/>
      <c r="J29" s="128"/>
      <c r="K29" s="128" t="s">
        <v>29</v>
      </c>
      <c r="L29" s="128" t="s">
        <v>121</v>
      </c>
      <c r="M29" s="128" t="s">
        <v>275</v>
      </c>
      <c r="N29" s="128" t="s">
        <v>274</v>
      </c>
      <c r="O29" s="128" t="s">
        <v>124</v>
      </c>
      <c r="P29" s="128" t="s">
        <v>125</v>
      </c>
    </row>
    <row r="30" spans="1:17">
      <c r="A30" s="128"/>
      <c r="B30" s="128"/>
      <c r="C30" s="128"/>
      <c r="D30" s="128"/>
      <c r="E30" s="128"/>
      <c r="F30" s="128"/>
      <c r="G30" s="128"/>
      <c r="H30" s="128"/>
      <c r="I30" s="128"/>
      <c r="J30" s="128"/>
      <c r="K30" s="128"/>
      <c r="L30" s="129"/>
      <c r="M30" s="129"/>
      <c r="N30" s="129"/>
      <c r="O30" s="129"/>
    </row>
  </sheetData>
  <dataValidations count="1">
    <dataValidation type="list" allowBlank="1" showInputMessage="1" showErrorMessage="1" sqref="D2:D21" xr:uid="{00000000-0002-0000-0100-000000000000}">
      <formula1>$B$2:$C$2</formula1>
    </dataValidation>
  </dataValidations>
  <pageMargins left="0.7" right="0.7" top="0.75" bottom="0.75" header="0.3" footer="0.3"/>
  <pageSetup paperSize="9" scale="6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Лист1">
    <tabColor rgb="FF00B050"/>
  </sheetPr>
  <dimension ref="A1:AH56"/>
  <sheetViews>
    <sheetView view="pageBreakPreview" zoomScaleNormal="100" zoomScaleSheetLayoutView="100" workbookViewId="0">
      <selection activeCell="A54" sqref="A54:B54"/>
    </sheetView>
  </sheetViews>
  <sheetFormatPr defaultRowHeight="15"/>
  <cols>
    <col min="1" max="1" width="22.85546875" style="76" customWidth="1"/>
    <col min="2" max="2" width="24.28515625" style="76" customWidth="1"/>
    <col min="3" max="3" width="21.28515625" style="76" customWidth="1"/>
    <col min="4" max="4" width="18" style="76" customWidth="1"/>
    <col min="5" max="5" width="25.140625" style="76" customWidth="1"/>
    <col min="6" max="6" width="9.140625" customWidth="1"/>
    <col min="7" max="7" width="24.42578125" customWidth="1"/>
    <col min="8" max="8" width="17.140625" customWidth="1"/>
    <col min="9" max="34" width="9.140625" hidden="1" customWidth="1"/>
    <col min="35" max="35" width="8.7109375" customWidth="1"/>
  </cols>
  <sheetData>
    <row r="1" spans="1:33" ht="63.75" customHeight="1">
      <c r="A1" s="244" t="str">
        <f>""&amp;'Общие данные'!B147&amp;"
mikromoliya tashkiloti
Kredit qo‘mitasining yig‘ilishi"</f>
        <v>«CLEVER MIKROMOLIYA TASHKILOTI» MChJ
mikromoliya tashkiloti
Kredit qo‘mitasining yig‘ilishi</v>
      </c>
      <c r="B1" s="244"/>
      <c r="C1" s="244"/>
      <c r="D1" s="244"/>
      <c r="E1" s="244"/>
    </row>
    <row r="2" spans="1:33" ht="29.25" customHeight="1">
      <c r="A2" s="244" t="str">
        <f>""&amp;H7&amp;" protokolidan ko'chirma"</f>
        <v>№558-SM protokolidan ko'chirma</v>
      </c>
      <c r="B2" s="244"/>
      <c r="C2" s="244"/>
      <c r="D2" s="244"/>
      <c r="E2" s="244"/>
    </row>
    <row r="3" spans="1:33" ht="29.25" customHeight="1">
      <c r="A3" s="161" t="s">
        <v>214</v>
      </c>
      <c r="B3" s="60"/>
      <c r="C3" s="60"/>
      <c r="D3" s="60"/>
      <c r="E3" s="162" t="str">
        <f>'Общие данные'!B68</f>
        <v>7 mart 2025 y.</v>
      </c>
    </row>
    <row r="4" spans="1:33" ht="29.25" customHeight="1">
      <c r="A4" s="60"/>
      <c r="B4" s="244" t="s">
        <v>213</v>
      </c>
      <c r="C4" s="244"/>
      <c r="D4" s="244"/>
      <c r="E4" s="60"/>
    </row>
    <row r="5" spans="1:33" ht="36" customHeight="1">
      <c r="A5" s="243" t="str">
        <f>"         "&amp;H8&amp;"."&amp;'Общие данные'!B5&amp;" ga "&amp;'Общие данные'!B65&amp;" berish masalasini ko‘rib chiqish to‘g‘risida."</f>
        <v xml:space="preserve">         1.SALIYEV DALER ALIMDJONOVICH ga mikroqarz berish masalasini ko‘rib chiqish to‘g‘risida.</v>
      </c>
      <c r="B5" s="243"/>
      <c r="C5" s="243"/>
      <c r="D5" s="243"/>
      <c r="E5" s="243"/>
    </row>
    <row r="7" spans="1:33" ht="21" customHeight="1">
      <c r="A7" s="245" t="str">
        <f>"      "&amp;H9&amp;" masala yuzasidan: «Clever Mikromoliya Tashkiloti» MChJ mikromoliya tashkiloti kredit bo‘yicha menejeri  "&amp;'Общие данные'!B5&amp;"ga "&amp;FIXED('Общие данные'!B75)&amp;" ("&amp;'Общие данные'!B76&amp;") so‘m miqdorida, muddati "&amp;'Общие данные'!B81&amp;" ("&amp;'Общие данные'!B82&amp;") oyga va yillik 60 (Oltmish) foiz miqdorida "&amp;'Общие данные'!B65&amp;" berich bo‘yicha "&amp;'Общие данные'!B5&amp;"ning kredit arizasi va "&amp;'Общие данные'!B147&amp;"ning xulosasi bilan ishtirokchilarni tanishtirdi."</f>
        <v xml:space="preserve">      Birinchi masala yuzasidan: «Clever Mikromoliya Tashkiloti» MChJ mikromoliya tashkiloti kredit bo‘yicha menejeri  SALIYEV DALER ALIMDJONOVICHga 20 000 000,00 (yigirma million so'm) so‘m miqdorida, muddati 24 (yigirma to'rt) oyga va yillik 60 (Oltmish) foiz miqdorida mikroqarz berich bo‘yicha SALIYEV DALER ALIMDJONOVICHning kredit arizasi va «CLEVER MIKROMOLIYA TASHKILOTI» MChJning xulosasi bilan ishtirokchilarni tanishtirdi.</v>
      </c>
      <c r="B7" s="245"/>
      <c r="C7" s="245"/>
      <c r="D7" s="245"/>
      <c r="E7" s="245"/>
      <c r="G7" s="77" t="s">
        <v>278</v>
      </c>
      <c r="H7" s="78" t="str">
        <f>'Общие данные'!B1</f>
        <v>№558-SM</v>
      </c>
    </row>
    <row r="8" spans="1:33" ht="23.25">
      <c r="A8" s="245"/>
      <c r="B8" s="245"/>
      <c r="C8" s="245"/>
      <c r="D8" s="245"/>
      <c r="E8" s="245"/>
      <c r="G8" s="77" t="s">
        <v>279</v>
      </c>
      <c r="H8" s="78">
        <v>1</v>
      </c>
      <c r="I8">
        <v>1</v>
      </c>
      <c r="J8">
        <v>2</v>
      </c>
      <c r="K8">
        <v>3</v>
      </c>
      <c r="L8">
        <v>4</v>
      </c>
      <c r="M8">
        <v>5</v>
      </c>
      <c r="N8">
        <v>6</v>
      </c>
      <c r="O8">
        <v>7</v>
      </c>
      <c r="P8">
        <v>8</v>
      </c>
      <c r="Q8">
        <v>9</v>
      </c>
      <c r="R8">
        <v>10</v>
      </c>
      <c r="S8">
        <v>11</v>
      </c>
      <c r="T8">
        <v>12</v>
      </c>
      <c r="U8">
        <v>13</v>
      </c>
      <c r="V8">
        <v>14</v>
      </c>
      <c r="W8">
        <v>15</v>
      </c>
      <c r="X8">
        <v>16</v>
      </c>
      <c r="Y8">
        <v>17</v>
      </c>
      <c r="Z8">
        <v>18</v>
      </c>
      <c r="AA8">
        <v>19</v>
      </c>
      <c r="AB8">
        <v>20</v>
      </c>
      <c r="AC8">
        <v>21</v>
      </c>
      <c r="AD8">
        <v>22</v>
      </c>
      <c r="AE8">
        <v>23</v>
      </c>
      <c r="AF8">
        <v>24</v>
      </c>
      <c r="AG8">
        <v>25</v>
      </c>
    </row>
    <row r="9" spans="1:33" ht="31.5" customHeight="1">
      <c r="A9" s="245"/>
      <c r="B9" s="245"/>
      <c r="C9" s="245"/>
      <c r="D9" s="245"/>
      <c r="E9" s="245"/>
      <c r="G9" s="77" t="s">
        <v>280</v>
      </c>
      <c r="H9" s="78" t="str">
        <f>IF(H8=I8,I9,IF(H8=J8,J9,IF(H8=K8,K9,IF(H8=L8,L9,IF(H8=M8,M9,IF(H8=N8,N9,IF(H8=O8,O9,IF(H8=P8,P9,IF(H8=Q8,Q9,IF(H8=R8,R9,IF(H8=S8,S9,IF(H8=T8,T9,IF(H8=U8,U9,IF(H8=V8,V9,IF(H8=W8,W9,IF(H8=X8,X9,IF(H8=Y8,Y9,IF(H8=Z8,Z9,IF(H8=AA8,AA9,IF(H8=AB8,AB9,IF(H8=AC8,AC9,IF(H8=AD8,AD9,IF(H8=AE8,AE9,IF(H8=AF8,AF9,IF(H8=AG8,AG9)))))))))))))))))))))))))</f>
        <v>Birinchi</v>
      </c>
      <c r="I9" s="188" t="s">
        <v>201</v>
      </c>
      <c r="J9" s="189" t="s">
        <v>202</v>
      </c>
      <c r="K9" s="189" t="s">
        <v>203</v>
      </c>
      <c r="L9" s="189" t="s">
        <v>396</v>
      </c>
      <c r="M9" s="189" t="s">
        <v>204</v>
      </c>
      <c r="N9" s="189" t="s">
        <v>397</v>
      </c>
      <c r="O9" s="189" t="s">
        <v>205</v>
      </c>
      <c r="P9" s="189" t="s">
        <v>206</v>
      </c>
      <c r="Q9" s="189" t="s">
        <v>207</v>
      </c>
      <c r="R9" s="189" t="s">
        <v>386</v>
      </c>
      <c r="S9" s="189" t="s">
        <v>387</v>
      </c>
      <c r="T9" s="189" t="s">
        <v>388</v>
      </c>
      <c r="U9" s="189" t="s">
        <v>389</v>
      </c>
      <c r="V9" s="189" t="s">
        <v>398</v>
      </c>
      <c r="W9" s="189" t="s">
        <v>390</v>
      </c>
      <c r="X9" s="189" t="s">
        <v>391</v>
      </c>
      <c r="Y9" s="189" t="s">
        <v>392</v>
      </c>
      <c r="Z9" s="189" t="s">
        <v>393</v>
      </c>
      <c r="AA9" s="189" t="s">
        <v>394</v>
      </c>
      <c r="AB9" s="189" t="s">
        <v>208</v>
      </c>
      <c r="AC9" s="189" t="s">
        <v>209</v>
      </c>
      <c r="AD9" s="189" t="s">
        <v>210</v>
      </c>
      <c r="AE9" s="189" t="s">
        <v>211</v>
      </c>
      <c r="AF9" s="189" t="s">
        <v>395</v>
      </c>
      <c r="AG9" s="189" t="s">
        <v>212</v>
      </c>
    </row>
    <row r="10" spans="1:33" ht="10.5" hidden="1" customHeight="1">
      <c r="A10" s="245"/>
      <c r="B10" s="245"/>
      <c r="C10" s="245"/>
      <c r="D10" s="245"/>
      <c r="E10" s="245"/>
    </row>
    <row r="11" spans="1:33" ht="9" hidden="1" customHeight="1">
      <c r="A11" s="245"/>
      <c r="B11" s="245"/>
      <c r="C11" s="245"/>
      <c r="D11" s="245"/>
      <c r="E11" s="245"/>
    </row>
    <row r="12" spans="1:33" ht="3" customHeight="1">
      <c r="A12" s="245"/>
      <c r="B12" s="245"/>
      <c r="C12" s="245"/>
      <c r="D12" s="245"/>
      <c r="E12" s="245"/>
    </row>
    <row r="13" spans="1:33" ht="7.5" customHeight="1"/>
    <row r="14" spans="1:33" ht="15.75" customHeight="1">
      <c r="A14" s="246" t="str">
        <f>""&amp;'Общие данные'!C64&amp;" ta’minoti:"</f>
        <v>Mikroqarz ta’minoti:</v>
      </c>
      <c r="B14" s="246"/>
      <c r="C14" s="246"/>
      <c r="D14" s="246"/>
      <c r="E14" s="246"/>
    </row>
    <row r="15" spans="1:33" ht="7.5" customHeight="1"/>
    <row r="16" spans="1:33" ht="64.5" customHeight="1">
      <c r="A16" s="245" t="str">
        <f>'Заключение КК'!A18:E18</f>
        <v xml:space="preserve">  Egalik huquqi SHADMANOVA GULMIRA ZAKIROVNAga tegishli bo'lgan garovga olingan avtomobil markasi   COBALT , rangi -  OQ BELIY, ishlab chiqarilgan yili - 2022, davlat raqam belgisi 30S095AB, kuzov turi - YENGIL SEDAN, kuzov raqami XWBJA69VEPA011841, dvigatel raqami B15D212223022MTAX0763, shassi raqami - -</v>
      </c>
      <c r="B16" s="245"/>
      <c r="C16" s="245"/>
      <c r="D16" s="245"/>
      <c r="E16" s="245"/>
    </row>
    <row r="17" spans="1:5" ht="17.25" customHeight="1">
      <c r="C17" s="190" t="s">
        <v>405</v>
      </c>
      <c r="D17" s="190" t="str">
        <f>""&amp;'Общие данные'!B147&amp;" kredit qo‘mitasi"</f>
        <v>«CLEVER MIKROMOLIYA TASHKILOTI» MChJ kredit qo‘mitasi</v>
      </c>
      <c r="E17" s="190" t="str">
        <f>CONCATENATE(C17,D17)</f>
        <v xml:space="preserve"> masala yuzasidan berilgan ma’lumotlarni muhokama qilib, Kredit qo‘mitasi a’zolariga taqdim etilgan zarur hujjatlarni o‘rganib, majlisda ishtirok etgan Kredit qo‘mitasi a’zolarining taklif va mulohazalarini inobatga olgan holda «CLEVER MIKROMOLIYA TASHKILOTI» MChJ kredit qo‘mitasi</v>
      </c>
    </row>
    <row r="18" spans="1:5" ht="54" customHeight="1">
      <c r="A18" s="245" t="str">
        <f>CONCATENATE(H9,E17)</f>
        <v>Birinchi masala yuzasidan berilgan ma’lumotlarni muhokama qilib, Kredit qo‘mitasi a’zolariga taqdim etilgan zarur hujjatlarni o‘rganib, majlisda ishtirok etgan Kredit qo‘mitasi a’zolarining taklif va mulohazalarini inobatga olgan holda «CLEVER MIKROMOLIYA TASHKILOTI» MChJ kredit qo‘mitasi</v>
      </c>
      <c r="B18" s="245"/>
      <c r="C18" s="245"/>
      <c r="D18" s="245"/>
      <c r="E18" s="245"/>
    </row>
    <row r="19" spans="1:5" ht="24" customHeight="1">
      <c r="A19" s="247" t="s">
        <v>281</v>
      </c>
      <c r="B19" s="247"/>
      <c r="C19" s="247"/>
      <c r="D19" s="247"/>
      <c r="E19" s="247"/>
    </row>
    <row r="20" spans="1:5" ht="32.25" customHeight="1">
      <c r="A20" s="245" t="str">
        <f>"       "&amp;'Общие данные'!B5&amp;"ga quyidagi shartlarda "&amp;'Общие данные'!B65&amp;" berish masalasi ma’qullansin:"</f>
        <v xml:space="preserve">       SALIYEV DALER ALIMDJONOVICHga quyidagi shartlarda mikroqarz berish masalasi ma’qullansin:</v>
      </c>
      <c r="B20" s="245"/>
      <c r="C20" s="245"/>
      <c r="D20" s="245"/>
      <c r="E20" s="245"/>
    </row>
    <row r="21" spans="1:5" s="163" customFormat="1" ht="18.75" customHeight="1">
      <c r="A21" s="243" t="str">
        <f>"1. "&amp;'Общие данные'!C64&amp;" summasi: "&amp;FIXED('Общие данные'!B75)&amp;" ("&amp;'Общие данные'!B76&amp;") so'm."</f>
        <v>1. Mikroqarz summasi: 20 000 000,00 (yigirma million so'm) so'm.</v>
      </c>
      <c r="B21" s="243"/>
      <c r="C21" s="243"/>
      <c r="D21" s="243"/>
      <c r="E21" s="243"/>
    </row>
    <row r="22" spans="1:5" s="163" customFormat="1" ht="18.75" customHeight="1">
      <c r="A22" s="243" t="str">
        <f>"2. "&amp;'Общие данные'!C64&amp;" muddati: "&amp;'Общие данные'!B81&amp;" ("&amp;'Общие данные'!B82&amp;") oy "</f>
        <v xml:space="preserve">2. Mikroqarz muddati: 24 (yigirma to'rt) oy </v>
      </c>
      <c r="B22" s="243"/>
      <c r="C22" s="243"/>
      <c r="D22" s="243"/>
      <c r="E22" s="243"/>
    </row>
    <row r="23" spans="1:5" s="163" customFormat="1" ht="18.75" customHeight="1">
      <c r="A23" s="243" t="str">
        <f>"3. "&amp;'Общие данные'!C64&amp;"dan foydalanganlik uchun foiz stavkasi:yillik "&amp;'Общие данные'!B85&amp;"% ("&amp;'Общие данные'!B86&amp;") foiz."</f>
        <v>3. Mikroqarzdan foydalanganlik uchun foiz stavkasi:yillik 60% (Oltmish) foiz.</v>
      </c>
      <c r="B23" s="243"/>
      <c r="C23" s="243"/>
      <c r="D23" s="243"/>
      <c r="E23" s="243"/>
    </row>
    <row r="24" spans="1:5" s="163" customFormat="1" ht="18.75" customHeight="1">
      <c r="A24" s="243" t="str">
        <f>"4. "&amp;'Общие данные'!C64&amp;" bo‘yicha asosiy qarz va foizlarni to‘lash:"</f>
        <v>4. Mikroqarz bo‘yicha asosiy qarz va foizlarni to‘lash:</v>
      </c>
      <c r="B24" s="243"/>
      <c r="C24" s="243"/>
      <c r="D24" s="243"/>
      <c r="E24" s="243"/>
    </row>
    <row r="25" spans="1:5" s="163" customFormat="1" ht="18.75" customHeight="1">
      <c r="A25" s="243" t="str">
        <f>'Кредитная заявка'!A19:D19</f>
        <v xml:space="preserve"> - mikroqarz shartnomasi bo'yicha har oy differensial to'lovlari amalga oshiriladi</v>
      </c>
      <c r="B25" s="243"/>
      <c r="C25" s="243"/>
      <c r="D25" s="243"/>
      <c r="E25" s="243"/>
    </row>
    <row r="26" spans="1:5" ht="48" customHeight="1">
      <c r="A26" s="245" t="str">
        <f>"5. "&amp;'Общие данные'!C64&amp;" bo‘yicha garov  "&amp;'Заключение КК'!A29:E29&amp;""</f>
        <v>5. Mikroqarz bo‘yicha garov   - SHADMANOVA GULMIRA ZAKIROVNA ga mulk huquqi asosida tegishli avtotransport vositasi COBALT  , quyidagi tafsilotlarga muvofiq:</v>
      </c>
      <c r="B26" s="245"/>
      <c r="C26" s="245"/>
      <c r="D26" s="245"/>
      <c r="E26" s="245"/>
    </row>
    <row r="27" spans="1:5" ht="40.5" customHeight="1">
      <c r="A27" s="21" t="str">
        <f>'Акт согласования'!A47</f>
        <v>Nomi</v>
      </c>
      <c r="B27" s="21" t="str">
        <f>'Акт согласования'!B47</f>
        <v>Kuzov turi  va kuzov raqami*</v>
      </c>
      <c r="C27" s="21" t="str">
        <f>'Акт согласования'!C47</f>
        <v>Dvigatel va shassi raqami*</v>
      </c>
      <c r="D27" s="21" t="str">
        <f>'Акт согласования'!D47</f>
        <v>Ishlab chiqarilgan yili va rangi*</v>
      </c>
      <c r="E27" s="21" t="str">
        <f>'Акт согласования'!E47</f>
        <v>Kelishilgan garov qiymati, so'm</v>
      </c>
    </row>
    <row r="28" spans="1:5" ht="75.75" customHeight="1">
      <c r="A28" s="21" t="str">
        <f>'Акт согласования'!A48</f>
        <v xml:space="preserve">COBALT </v>
      </c>
      <c r="B28" s="21" t="str">
        <f>'Акт согласования'!B48</f>
        <v>kuzov turi - YENGIL SEDAN, kuzov raqami XWBJA69VEPA011841</v>
      </c>
      <c r="C28" s="21" t="str">
        <f>'Акт согласования'!C48</f>
        <v>dvigatel raqami B15D212223022MTAX0763, shassi raqami - -</v>
      </c>
      <c r="D28" s="21" t="str">
        <f>'Акт согласования'!D48</f>
        <v>rangi -  OQ BELIY, ishlab chiqarilgan yili - 2022</v>
      </c>
      <c r="E28" s="21" t="str">
        <f>'Акт согласования'!E48</f>
        <v>30 000 000,00 
(o'ttiz million so'm)</v>
      </c>
    </row>
    <row r="29" spans="1:5" ht="20.25" customHeight="1">
      <c r="A29" s="245" t="str">
        <f>'Акт согласования'!A22:E22</f>
        <v>-* avtotransport egasi: SHADMANOVA GULMIRA ZAKIROVNA</v>
      </c>
      <c r="B29" s="245"/>
      <c r="C29" s="245"/>
      <c r="D29" s="245"/>
      <c r="E29" s="245"/>
    </row>
    <row r="30" spans="1:5" ht="20.25" customHeight="1">
      <c r="A30" s="245" t="str">
        <f>'Акт согласования'!A23:E23</f>
        <v>-* texnik pasport: AAG 1736517 15.06.2023yil</v>
      </c>
      <c r="B30" s="245"/>
      <c r="C30" s="245"/>
      <c r="D30" s="245"/>
      <c r="E30" s="245"/>
    </row>
    <row r="31" spans="1:5" ht="34.5" customHeight="1">
      <c r="A31" s="245" t="str">
        <f>'Акт согласования'!A24:E24</f>
        <v>-* roʻyxatdan oʻtgan manzili/garaj manzili: TOSHKENT SHAHAR MIROBOD TUMANI FARG'ONA YO'LI FITRAT MAHALLASI 3 UY 30 XONADON</v>
      </c>
      <c r="B31" s="245"/>
      <c r="C31" s="245"/>
      <c r="D31" s="245"/>
      <c r="E31" s="245"/>
    </row>
    <row r="32" spans="1:5" ht="20.25" customHeight="1">
      <c r="A32" s="245" t="str">
        <f>'Акт согласования'!A25:E25</f>
        <v>-* davlat raqami: 30S095AB</v>
      </c>
      <c r="B32" s="245"/>
      <c r="C32" s="245"/>
      <c r="D32" s="245"/>
      <c r="E32" s="245"/>
    </row>
    <row r="33" spans="1:5" ht="51" hidden="1" customHeight="1">
      <c r="A33" s="43" t="str">
        <f>'Акт согласования'!A50</f>
        <v>Наименование</v>
      </c>
      <c r="B33" s="43" t="str">
        <f>'Акт согласования'!B50</f>
        <v>Полезная площадь</v>
      </c>
      <c r="C33" s="43" t="str">
        <f>'Акт согласования'!C50</f>
        <v>Жилая площадь</v>
      </c>
      <c r="D33" s="43" t="str">
        <f>'Акт согласования'!D50</f>
        <v>Общая площадь</v>
      </c>
      <c r="E33" s="43" t="str">
        <f>'Акт согласования'!E50</f>
        <v>Согласованная залоговая стоимость, сум</v>
      </c>
    </row>
    <row r="34" spans="1:5" hidden="1">
      <c r="A34" s="43" t="str">
        <f>'Акт согласования'!A51</f>
        <v>Yashash xona</v>
      </c>
      <c r="B34" s="43">
        <f>'Акт согласования'!B51</f>
        <v>0</v>
      </c>
      <c r="C34" s="43">
        <f>'Акт согласования'!C51</f>
        <v>37.39</v>
      </c>
      <c r="D34" s="43">
        <f>'Акт согласования'!D51</f>
        <v>37.39</v>
      </c>
      <c r="E34" s="251" t="str">
        <f>""&amp;FIXED('Общие данные'!C136,2)&amp;" ("&amp;'Общие данные'!B137&amp;")"</f>
        <v>30 000 000,00 (o'ttiz million so'm)</v>
      </c>
    </row>
    <row r="35" spans="1:5" hidden="1">
      <c r="A35" s="43">
        <f>'Акт согласования'!A52</f>
        <v>0</v>
      </c>
      <c r="B35" s="43">
        <f>'Акт согласования'!B52</f>
        <v>0</v>
      </c>
      <c r="C35" s="43">
        <f>'Акт согласования'!C52</f>
        <v>0</v>
      </c>
      <c r="D35" s="43">
        <f>'Акт согласования'!D52</f>
        <v>0</v>
      </c>
      <c r="E35" s="252"/>
    </row>
    <row r="36" spans="1:5" hidden="1">
      <c r="A36" s="43" t="str">
        <f>'Акт согласования'!A53</f>
        <v>Noturar joy</v>
      </c>
      <c r="B36" s="43">
        <f>'Акт согласования'!B53</f>
        <v>34.74</v>
      </c>
      <c r="C36" s="43">
        <f>'Акт согласования'!C53</f>
        <v>0</v>
      </c>
      <c r="D36" s="43">
        <f>'Акт согласования'!D53</f>
        <v>34.74</v>
      </c>
      <c r="E36" s="252"/>
    </row>
    <row r="37" spans="1:5" hidden="1">
      <c r="A37" s="43">
        <f>'Акт согласования'!A54</f>
        <v>0</v>
      </c>
      <c r="B37" s="43">
        <f>'Акт согласования'!B54</f>
        <v>0</v>
      </c>
      <c r="C37" s="43">
        <f>'Акт согласования'!C54</f>
        <v>0</v>
      </c>
      <c r="D37" s="43">
        <f>'Акт согласования'!D54</f>
        <v>0</v>
      </c>
      <c r="E37" s="252"/>
    </row>
    <row r="38" spans="1:5" hidden="1">
      <c r="A38" s="43">
        <f>'Акт согласования'!A55</f>
        <v>0</v>
      </c>
      <c r="B38" s="43">
        <f>'Акт согласования'!B55</f>
        <v>0</v>
      </c>
      <c r="C38" s="43">
        <f>'Акт согласования'!C55</f>
        <v>0</v>
      </c>
      <c r="D38" s="43">
        <f>'Акт согласования'!D55</f>
        <v>0</v>
      </c>
      <c r="E38" s="252"/>
    </row>
    <row r="39" spans="1:5" hidden="1">
      <c r="A39" s="43">
        <f>'Акт согласования'!A56</f>
        <v>0</v>
      </c>
      <c r="B39" s="43">
        <f>'Акт согласования'!B56</f>
        <v>0</v>
      </c>
      <c r="C39" s="43">
        <f>'Акт согласования'!C56</f>
        <v>0</v>
      </c>
      <c r="D39" s="43">
        <f>'Акт согласования'!D56</f>
        <v>0</v>
      </c>
      <c r="E39" s="252"/>
    </row>
    <row r="40" spans="1:5" hidden="1">
      <c r="A40" s="43">
        <f>'Акт согласования'!A57</f>
        <v>0</v>
      </c>
      <c r="B40" s="43">
        <f>'Акт согласования'!B57</f>
        <v>0</v>
      </c>
      <c r="C40" s="43">
        <f>'Акт согласования'!C57</f>
        <v>0</v>
      </c>
      <c r="D40" s="43">
        <f>'Акт согласования'!D57</f>
        <v>0</v>
      </c>
      <c r="E40" s="252"/>
    </row>
    <row r="41" spans="1:5" hidden="1">
      <c r="A41" s="43">
        <f>'Акт согласования'!A58</f>
        <v>0</v>
      </c>
      <c r="B41" s="43">
        <f>'Акт согласования'!B58</f>
        <v>0</v>
      </c>
      <c r="C41" s="43">
        <f>'Акт согласования'!C58</f>
        <v>0</v>
      </c>
      <c r="D41" s="43">
        <f>'Акт согласования'!D58</f>
        <v>0</v>
      </c>
      <c r="E41" s="252"/>
    </row>
    <row r="42" spans="1:5" hidden="1">
      <c r="A42" s="43">
        <f>'Акт согласования'!A59</f>
        <v>0</v>
      </c>
      <c r="B42" s="43">
        <f>'Акт согласования'!B59</f>
        <v>0</v>
      </c>
      <c r="C42" s="43">
        <f>'Акт согласования'!C59</f>
        <v>0</v>
      </c>
      <c r="D42" s="43">
        <f>'Акт согласования'!D59</f>
        <v>0</v>
      </c>
      <c r="E42" s="252"/>
    </row>
    <row r="43" spans="1:5" hidden="1">
      <c r="A43" s="43">
        <f>'Акт согласования'!A60</f>
        <v>0</v>
      </c>
      <c r="B43" s="43">
        <f>'Акт согласования'!B60</f>
        <v>0</v>
      </c>
      <c r="C43" s="43">
        <f>'Акт согласования'!C60</f>
        <v>0</v>
      </c>
      <c r="D43" s="43">
        <f>'Акт согласования'!D60</f>
        <v>0</v>
      </c>
      <c r="E43" s="252"/>
    </row>
    <row r="44" spans="1:5" hidden="1">
      <c r="A44" s="43">
        <f>'Акт согласования'!A61</f>
        <v>0</v>
      </c>
      <c r="B44" s="43">
        <f>'Акт согласования'!B61</f>
        <v>0</v>
      </c>
      <c r="C44" s="43">
        <f>'Акт согласования'!C61</f>
        <v>0</v>
      </c>
      <c r="D44" s="43">
        <f>'Акт согласования'!D61</f>
        <v>0</v>
      </c>
      <c r="E44" s="253"/>
    </row>
    <row r="45" spans="1:5" hidden="1">
      <c r="A45" s="43" t="str">
        <f>'Акт согласования'!A62</f>
        <v>JAMI</v>
      </c>
      <c r="B45" s="43">
        <f>'Акт согласования'!B62</f>
        <v>34.74</v>
      </c>
      <c r="C45" s="43">
        <f>'Акт согласования'!C62</f>
        <v>37.39</v>
      </c>
      <c r="D45" s="43">
        <f>'Акт согласования'!D62</f>
        <v>72.13</v>
      </c>
      <c r="E45" s="43" t="str">
        <f>FIXED('Общие данные'!C136,2)</f>
        <v>30 000 000,00</v>
      </c>
    </row>
    <row r="46" spans="1:5" ht="21.75" hidden="1" customHeight="1">
      <c r="A46" s="248" t="str">
        <f>'Акт согласования'!A39:E39</f>
        <v>-* ko'chmas mulk egasi: SHOUSMANOVA DAVLATXON XXX</v>
      </c>
      <c r="B46" s="248"/>
      <c r="C46" s="248"/>
      <c r="D46" s="248"/>
      <c r="E46" s="248"/>
    </row>
    <row r="47" spans="1:5" ht="21.75" hidden="1" customHeight="1">
      <c r="A47" s="248" t="str">
        <f>'Акт согласования'!A40:E40</f>
        <v>-* reestr raqami: 1718238/R-A1419303</v>
      </c>
      <c r="B47" s="248"/>
      <c r="C47" s="248"/>
      <c r="D47" s="248"/>
      <c r="E47" s="248"/>
    </row>
    <row r="48" spans="1:5" ht="21.75" hidden="1" customHeight="1">
      <c r="A48" s="248" t="str">
        <f>'Акт согласования'!A41:E41</f>
        <v>-* kadastr raqami: №14:13:02:01:03:1179:0006:058 от 16.12.2020 г.</v>
      </c>
      <c r="B48" s="248"/>
      <c r="C48" s="248"/>
      <c r="D48" s="248"/>
      <c r="E48" s="248"/>
    </row>
    <row r="49" spans="1:5" ht="21.75" hidden="1" customHeight="1">
      <c r="A49" s="248" t="str">
        <f>'Акт согласования'!A42:E42</f>
        <v>-* manzil: SAMARQAND VILOYATI TAYLOQ TUMANI CHAROG'BON MFY YANGI TAYLOQ QISHLOG'I 6 TURAR JOY 12 QAVAT 58 XONADON</v>
      </c>
      <c r="B49" s="248"/>
      <c r="C49" s="248"/>
      <c r="D49" s="248"/>
      <c r="E49" s="248"/>
    </row>
    <row r="50" spans="1:5" ht="12" customHeight="1">
      <c r="A50" s="164"/>
      <c r="B50" s="164"/>
      <c r="C50" s="164"/>
      <c r="D50" s="164"/>
      <c r="E50" s="164"/>
    </row>
    <row r="51" spans="1:5" ht="33" customHeight="1">
      <c r="A51" s="245" t="str">
        <f>"6. Boshqa shartlar – "&amp;IF('Общие данные'!B103='Общие данные'!B104,"avtotransport vositasi",IF('Общие данные'!B103='Общие данные'!C104,"ko'chmas mulk",0))&amp;" shaklida garov ta'minlangandan keyin "&amp;'Общие данные'!B65&amp;" berish."</f>
        <v>6. Boshqa shartlar – 0 shaklida garov ta'minlangandan keyin mikroqarz berish.</v>
      </c>
      <c r="B51" s="245"/>
      <c r="C51" s="245"/>
      <c r="D51" s="245"/>
      <c r="E51" s="245"/>
    </row>
    <row r="53" spans="1:5" ht="29.25" customHeight="1">
      <c r="A53" s="249" t="s">
        <v>282</v>
      </c>
      <c r="B53" s="249"/>
      <c r="C53" s="249"/>
      <c r="D53" s="249"/>
      <c r="E53" s="249"/>
    </row>
    <row r="54" spans="1:5" ht="29.25" customHeight="1">
      <c r="A54" s="242" t="s">
        <v>434</v>
      </c>
      <c r="B54" s="242"/>
      <c r="C54" s="204"/>
      <c r="D54" s="205"/>
      <c r="E54" s="205"/>
    </row>
    <row r="55" spans="1:5" ht="29.25" customHeight="1">
      <c r="A55" s="250" t="str">
        <f>"2. "&amp;'Общие данные'!B159&amp;""</f>
        <v xml:space="preserve">2. Mominov B.X. </v>
      </c>
      <c r="B55" s="250"/>
      <c r="C55" s="204"/>
      <c r="D55" s="206"/>
      <c r="E55" s="206"/>
    </row>
    <row r="56" spans="1:5" ht="29.25" customHeight="1">
      <c r="A56" s="242" t="str">
        <f>"3. "&amp;'Общие данные'!B160&amp;""</f>
        <v>3. Jumanazarov B.T.</v>
      </c>
      <c r="B56" s="242"/>
      <c r="C56" s="160"/>
      <c r="D56" s="207"/>
      <c r="E56" s="207"/>
    </row>
  </sheetData>
  <mergeCells count="30">
    <mergeCell ref="A51:E51"/>
    <mergeCell ref="A53:E53"/>
    <mergeCell ref="A54:B54"/>
    <mergeCell ref="A55:B55"/>
    <mergeCell ref="A32:E32"/>
    <mergeCell ref="E34:E44"/>
    <mergeCell ref="A46:E46"/>
    <mergeCell ref="A47:E47"/>
    <mergeCell ref="A49:E49"/>
    <mergeCell ref="A25:E25"/>
    <mergeCell ref="A26:E26"/>
    <mergeCell ref="A29:E29"/>
    <mergeCell ref="A30:E30"/>
    <mergeCell ref="A31:E31"/>
    <mergeCell ref="A56:B56"/>
    <mergeCell ref="A22:E22"/>
    <mergeCell ref="A1:E1"/>
    <mergeCell ref="A2:E2"/>
    <mergeCell ref="B4:D4"/>
    <mergeCell ref="A5:E5"/>
    <mergeCell ref="A7:E12"/>
    <mergeCell ref="A14:E14"/>
    <mergeCell ref="A16:E16"/>
    <mergeCell ref="A18:E18"/>
    <mergeCell ref="A19:E19"/>
    <mergeCell ref="A20:E20"/>
    <mergeCell ref="A21:E21"/>
    <mergeCell ref="A48:E48"/>
    <mergeCell ref="A23:E23"/>
    <mergeCell ref="A24:E24"/>
  </mergeCells>
  <pageMargins left="0.70866141732283472" right="0.70866141732283472" top="0.74803149606299213" bottom="0.74803149606299213" header="0.31496062992125984" footer="0.31496062992125984"/>
  <pageSetup paperSize="9" scale="73" orientation="portrait" verticalDpi="300" r:id="rId1"/>
  <colBreaks count="1" manualBreakCount="1">
    <brk id="5"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Лист2">
    <tabColor rgb="FF00B050"/>
  </sheetPr>
  <dimension ref="A1:BK165"/>
  <sheetViews>
    <sheetView tabSelected="1" zoomScaleNormal="100" workbookViewId="0">
      <selection activeCell="A19" sqref="A19"/>
    </sheetView>
  </sheetViews>
  <sheetFormatPr defaultColWidth="9.140625" defaultRowHeight="15"/>
  <cols>
    <col min="1" max="1" width="68" style="6" customWidth="1"/>
    <col min="2" max="2" width="61.85546875" style="7" customWidth="1"/>
    <col min="3" max="3" width="63.85546875" style="4" customWidth="1"/>
    <col min="4" max="4" width="29.7109375" style="4" customWidth="1"/>
    <col min="5" max="7" width="9.140625" style="4" customWidth="1"/>
    <col min="8" max="8" width="62.5703125" style="4" customWidth="1"/>
    <col min="9" max="13" width="9.140625" style="4" customWidth="1"/>
    <col min="14" max="14" width="70.7109375" style="4" customWidth="1"/>
    <col min="15" max="16" width="9.140625" style="4" customWidth="1"/>
    <col min="17" max="17" width="59.7109375" style="4" customWidth="1"/>
    <col min="18" max="18" width="49.85546875" style="4" customWidth="1"/>
    <col min="19" max="16384" width="9.140625" style="4"/>
  </cols>
  <sheetData>
    <row r="1" spans="1:4">
      <c r="A1" s="3" t="str">
        <f>CONCATENATE(B65," olish uchun ariza")</f>
        <v>mikroqarz olish uchun ariza</v>
      </c>
      <c r="B1" s="53" t="s">
        <v>450</v>
      </c>
    </row>
    <row r="2" spans="1:4">
      <c r="A2" s="3" t="str">
        <f>CONCATENATE(B65," olish uchun ariza sanasi QO’L BILAN KIRITILADI")</f>
        <v>mikroqarz olish uchun ariza sanasi QO’L BILAN KIRITILADI</v>
      </c>
      <c r="B2" s="70" t="s">
        <v>438</v>
      </c>
      <c r="D2" s="193">
        <f>180+B2</f>
        <v>45903</v>
      </c>
    </row>
    <row r="3" spans="1:4">
      <c r="A3" s="3"/>
      <c r="B3" s="1"/>
    </row>
    <row r="4" spans="1:4">
      <c r="A4" s="254" t="s">
        <v>60</v>
      </c>
      <c r="B4" s="254"/>
    </row>
    <row r="5" spans="1:4">
      <c r="A5" s="3" t="s">
        <v>61</v>
      </c>
      <c r="B5" s="53" t="s">
        <v>443</v>
      </c>
    </row>
    <row r="6" spans="1:4" ht="30">
      <c r="A6" s="3" t="s">
        <v>62</v>
      </c>
      <c r="B6" s="53" t="s">
        <v>141</v>
      </c>
      <c r="C6" s="4" t="s">
        <v>277</v>
      </c>
      <c r="D6" s="4" t="s">
        <v>141</v>
      </c>
    </row>
    <row r="7" spans="1:4">
      <c r="A7" s="3" t="s">
        <v>63</v>
      </c>
      <c r="B7" s="53" t="s">
        <v>444</v>
      </c>
    </row>
    <row r="8" spans="1:4" hidden="1">
      <c r="A8" s="3" t="s">
        <v>64</v>
      </c>
      <c r="B8" s="94" t="str">
        <f>B5</f>
        <v>SALIYEV DALER ALIMDJONOVICH</v>
      </c>
    </row>
    <row r="9" spans="1:4" hidden="1">
      <c r="A9" s="3" t="s">
        <v>65</v>
      </c>
      <c r="B9" s="94" t="str">
        <f>B7</f>
        <v>SALIYEV D.A.</v>
      </c>
    </row>
    <row r="10" spans="1:4" hidden="1">
      <c r="A10" s="3" t="s">
        <v>66</v>
      </c>
      <c r="B10" s="94" t="str">
        <f>B8</f>
        <v>SALIYEV DALER ALIMDJONOVICH</v>
      </c>
    </row>
    <row r="11" spans="1:4" hidden="1">
      <c r="A11" s="3" t="s">
        <v>67</v>
      </c>
      <c r="B11" s="94" t="str">
        <f>B9</f>
        <v>SALIYEV D.A.</v>
      </c>
    </row>
    <row r="12" spans="1:4" hidden="1">
      <c r="A12" s="3" t="s">
        <v>68</v>
      </c>
      <c r="B12" s="94" t="str">
        <f>B10</f>
        <v>SALIYEV DALER ALIMDJONOVICH</v>
      </c>
    </row>
    <row r="13" spans="1:4" hidden="1">
      <c r="A13" s="3" t="s">
        <v>69</v>
      </c>
      <c r="B13" s="94" t="str">
        <f>B11</f>
        <v>SALIYEV D.A.</v>
      </c>
    </row>
    <row r="14" spans="1:4" hidden="1">
      <c r="A14" s="3" t="s">
        <v>70</v>
      </c>
      <c r="B14" s="94" t="s">
        <v>73</v>
      </c>
    </row>
    <row r="15" spans="1:4">
      <c r="A15" s="3" t="s">
        <v>71</v>
      </c>
      <c r="B15" s="165" t="s">
        <v>445</v>
      </c>
    </row>
    <row r="16" spans="1:4">
      <c r="A16" s="3" t="s">
        <v>72</v>
      </c>
      <c r="B16" s="53" t="s">
        <v>446</v>
      </c>
    </row>
    <row r="17" spans="1:10">
      <c r="A17" s="3"/>
      <c r="B17" s="53" t="s">
        <v>448</v>
      </c>
      <c r="C17" s="95"/>
      <c r="D17" s="5" t="str">
        <f>TEXT(C17,"ДД.ММ.ГГГГ")</f>
        <v>00.01.1900</v>
      </c>
    </row>
    <row r="18" spans="1:10">
      <c r="A18" s="3"/>
      <c r="B18" s="165">
        <v>45400</v>
      </c>
      <c r="C18" s="99" t="str">
        <f>TEXT(B18,"ДД.ММ.ГГГГ")</f>
        <v>18.04.2024</v>
      </c>
      <c r="D18" s="5"/>
    </row>
    <row r="19" spans="1:10">
      <c r="A19" s="3"/>
      <c r="B19" s="165">
        <v>49051</v>
      </c>
      <c r="C19" s="99" t="str">
        <f>TEXT(B19,"ДД.ММ.ГГГГ")</f>
        <v>17.04.2034</v>
      </c>
      <c r="D19" s="5"/>
    </row>
    <row r="20" spans="1:10" ht="45">
      <c r="A20" s="3" t="s">
        <v>75</v>
      </c>
      <c r="B20" s="75" t="str">
        <f>""&amp;B17&amp;" tomonidan "&amp;C18&amp;" yilda berilgan"</f>
        <v>IIV 18810  tomonidan 18.04.2024 yilda berilgan</v>
      </c>
      <c r="C20" s="100" t="str">
        <f>""&amp;B17&amp;" tomonidan "&amp;C18&amp;" yilda berilgan"</f>
        <v>IIV 18810  tomonidan 18.04.2024 yilda berilgan</v>
      </c>
    </row>
    <row r="21" spans="1:10" ht="45">
      <c r="A21" s="3" t="s">
        <v>76</v>
      </c>
      <c r="B21" s="75" t="str">
        <f>""&amp;C19&amp;" y."</f>
        <v>17.04.2034 y.</v>
      </c>
      <c r="C21" s="99" t="str">
        <f>""&amp;C19&amp;" yilgacha"</f>
        <v>17.04.2034 yilgacha</v>
      </c>
    </row>
    <row r="22" spans="1:10" ht="60" customHeight="1">
      <c r="A22" s="3" t="s">
        <v>77</v>
      </c>
      <c r="B22" s="53" t="s">
        <v>447</v>
      </c>
    </row>
    <row r="23" spans="1:10" ht="30">
      <c r="A23" s="3" t="s">
        <v>78</v>
      </c>
      <c r="B23" s="53" t="s">
        <v>103</v>
      </c>
      <c r="C23" s="5" t="s">
        <v>102</v>
      </c>
      <c r="D23" s="5" t="s">
        <v>103</v>
      </c>
    </row>
    <row r="24" spans="1:10" ht="30" hidden="1">
      <c r="A24" s="3" t="s">
        <v>79</v>
      </c>
      <c r="B24" s="94" t="s">
        <v>100</v>
      </c>
      <c r="C24" s="5" t="s">
        <v>100</v>
      </c>
      <c r="D24" s="5" t="s">
        <v>101</v>
      </c>
      <c r="E24" s="5" t="s">
        <v>0</v>
      </c>
      <c r="F24" s="5" t="s">
        <v>1</v>
      </c>
      <c r="G24" s="4" t="s">
        <v>3</v>
      </c>
    </row>
    <row r="25" spans="1:10">
      <c r="A25" s="3" t="s">
        <v>80</v>
      </c>
      <c r="B25" s="53" t="s">
        <v>423</v>
      </c>
    </row>
    <row r="26" spans="1:10" ht="44.25" customHeight="1">
      <c r="A26" s="3" t="s">
        <v>81</v>
      </c>
      <c r="B26" s="53" t="s">
        <v>440</v>
      </c>
      <c r="C26" s="4" t="s">
        <v>28</v>
      </c>
    </row>
    <row r="27" spans="1:10" ht="44.25" hidden="1" customHeight="1">
      <c r="A27" s="3"/>
      <c r="B27" s="53" t="s">
        <v>408</v>
      </c>
    </row>
    <row r="28" spans="1:10" ht="42.75">
      <c r="A28" s="3" t="s">
        <v>82</v>
      </c>
      <c r="B28" s="53" t="s">
        <v>422</v>
      </c>
    </row>
    <row r="29" spans="1:10">
      <c r="A29" s="3" t="s">
        <v>83</v>
      </c>
      <c r="B29" s="53" t="s">
        <v>100</v>
      </c>
      <c r="C29" s="129" t="s">
        <v>100</v>
      </c>
      <c r="D29" s="129" t="s">
        <v>101</v>
      </c>
      <c r="E29" s="129" t="s">
        <v>355</v>
      </c>
      <c r="F29" s="129" t="s">
        <v>356</v>
      </c>
      <c r="G29" s="129" t="s">
        <v>3</v>
      </c>
      <c r="H29" s="129"/>
      <c r="I29" s="129"/>
      <c r="J29" s="129"/>
    </row>
    <row r="30" spans="1:10" ht="27">
      <c r="A30" s="3" t="s">
        <v>84</v>
      </c>
      <c r="B30" s="216" t="s">
        <v>156</v>
      </c>
      <c r="C30" s="5" t="s">
        <v>156</v>
      </c>
      <c r="D30" s="5" t="s">
        <v>359</v>
      </c>
    </row>
    <row r="31" spans="1:10">
      <c r="A31" s="3" t="s">
        <v>85</v>
      </c>
      <c r="B31" s="53" t="s">
        <v>449</v>
      </c>
    </row>
    <row r="32" spans="1:10">
      <c r="A32" s="3" t="s">
        <v>70</v>
      </c>
      <c r="B32" s="53" t="s">
        <v>73</v>
      </c>
    </row>
    <row r="33" spans="1:4">
      <c r="A33" s="3" t="s">
        <v>80</v>
      </c>
      <c r="B33" s="53" t="s">
        <v>423</v>
      </c>
    </row>
    <row r="34" spans="1:4" hidden="1">
      <c r="A34" s="3"/>
      <c r="B34" s="53">
        <f>IF(B23="mos keladi",B26,B35)</f>
        <v>0</v>
      </c>
    </row>
    <row r="35" spans="1:4">
      <c r="A35" s="3" t="s">
        <v>81</v>
      </c>
      <c r="B35" s="53"/>
    </row>
    <row r="36" spans="1:4">
      <c r="A36" s="3" t="s">
        <v>86</v>
      </c>
      <c r="B36" s="53"/>
    </row>
    <row r="37" spans="1:4">
      <c r="A37" s="3" t="s">
        <v>87</v>
      </c>
      <c r="B37" s="53">
        <v>3</v>
      </c>
    </row>
    <row r="38" spans="1:4">
      <c r="A38" s="3" t="s">
        <v>88</v>
      </c>
      <c r="B38" s="53"/>
    </row>
    <row r="39" spans="1:4">
      <c r="A39" s="3" t="s">
        <v>89</v>
      </c>
      <c r="B39" s="53"/>
    </row>
    <row r="40" spans="1:4" ht="24.75" customHeight="1">
      <c r="A40" s="3" t="s">
        <v>90</v>
      </c>
      <c r="B40" s="53" t="s">
        <v>423</v>
      </c>
    </row>
    <row r="41" spans="1:4" ht="24.75" customHeight="1">
      <c r="A41" s="3" t="s">
        <v>91</v>
      </c>
      <c r="B41" s="53" t="s">
        <v>424</v>
      </c>
    </row>
    <row r="42" spans="1:4" ht="24.75" customHeight="1">
      <c r="A42" s="3" t="s">
        <v>90</v>
      </c>
      <c r="B42" s="53" t="s">
        <v>441</v>
      </c>
    </row>
    <row r="43" spans="1:4">
      <c r="A43" s="3" t="s">
        <v>91</v>
      </c>
      <c r="B43" s="224"/>
    </row>
    <row r="44" spans="1:4" ht="23.25">
      <c r="A44" s="218" t="s">
        <v>92</v>
      </c>
      <c r="B44" s="217" t="s">
        <v>371</v>
      </c>
      <c r="C44" s="4" t="s">
        <v>371</v>
      </c>
      <c r="D44" s="4" t="s">
        <v>379</v>
      </c>
    </row>
    <row r="45" spans="1:4" hidden="1">
      <c r="A45" s="3"/>
      <c r="B45" s="215" t="str">
        <f>IF(B44=D44,CONCATENATE("MA'LUMOTNOMA ",B47,B46),C44)</f>
        <v>Yakka tartibdagi tadbirkor</v>
      </c>
    </row>
    <row r="46" spans="1:4" ht="46.5">
      <c r="A46" s="218" t="s">
        <v>380</v>
      </c>
      <c r="B46" s="215"/>
    </row>
    <row r="47" spans="1:4" ht="23.25" hidden="1">
      <c r="A47" s="218"/>
      <c r="B47" s="215"/>
      <c r="C47" s="4" t="s">
        <v>15</v>
      </c>
    </row>
    <row r="48" spans="1:4" ht="69.75">
      <c r="A48" s="218" t="s">
        <v>381</v>
      </c>
      <c r="B48" s="215"/>
    </row>
    <row r="49" spans="1:22">
      <c r="A49" s="3" t="s">
        <v>93</v>
      </c>
      <c r="B49" s="53" t="str">
        <f>IF(B44=C44,C44,B48)</f>
        <v>Yakka tartibdagi tadbirkor</v>
      </c>
    </row>
    <row r="50" spans="1:22" ht="30" hidden="1">
      <c r="A50" s="3" t="s">
        <v>94</v>
      </c>
      <c r="B50" s="53"/>
    </row>
    <row r="51" spans="1:22" hidden="1">
      <c r="A51" s="3" t="s">
        <v>81</v>
      </c>
      <c r="B51" s="53"/>
    </row>
    <row r="52" spans="1:22" hidden="1">
      <c r="A52" s="3" t="s">
        <v>95</v>
      </c>
      <c r="B52" s="53"/>
    </row>
    <row r="53" spans="1:22" hidden="1">
      <c r="A53" s="3" t="s">
        <v>96</v>
      </c>
      <c r="B53" s="53"/>
    </row>
    <row r="54" spans="1:22" hidden="1">
      <c r="A54" s="3" t="s">
        <v>97</v>
      </c>
      <c r="B54" s="53"/>
    </row>
    <row r="55" spans="1:22" hidden="1">
      <c r="A55" s="3" t="s">
        <v>98</v>
      </c>
      <c r="B55" s="2"/>
    </row>
    <row r="56" spans="1:22" hidden="1">
      <c r="A56" s="3" t="s">
        <v>99</v>
      </c>
      <c r="B56" s="2" t="s">
        <v>23</v>
      </c>
    </row>
    <row r="57" spans="1:22" ht="30" customHeight="1">
      <c r="A57" s="255" t="s">
        <v>104</v>
      </c>
      <c r="B57" s="256"/>
    </row>
    <row r="58" spans="1:22" ht="27.75" customHeight="1">
      <c r="A58" s="3" t="s">
        <v>105</v>
      </c>
      <c r="B58" s="53" t="str">
        <f>IF(B44=C44,CONCATENATE(C44,C47),CONCATENATE(B44," ",B45))</f>
        <v>Yakka tartibdagi tadbirkor№</v>
      </c>
      <c r="C58" s="226">
        <f>C60/B75</f>
        <v>0.47767123350000007</v>
      </c>
    </row>
    <row r="59" spans="1:22" ht="31.5" customHeight="1">
      <c r="A59" s="3" t="s">
        <v>93</v>
      </c>
      <c r="B59" s="53" t="str">
        <f>B49</f>
        <v>Yakka tartibdagi tadbirkor</v>
      </c>
      <c r="C59" s="225" t="s">
        <v>411</v>
      </c>
    </row>
    <row r="60" spans="1:22" ht="23.25">
      <c r="A60" s="218" t="s">
        <v>106</v>
      </c>
      <c r="B60" s="222">
        <v>8000000</v>
      </c>
      <c r="C60" s="227">
        <f>SUM(График!E9:E20)</f>
        <v>9553424.6700000018</v>
      </c>
    </row>
    <row r="61" spans="1:22">
      <c r="A61" s="3" t="s">
        <v>107</v>
      </c>
      <c r="B61" s="9">
        <v>0</v>
      </c>
      <c r="C61" s="129"/>
      <c r="D61" s="129"/>
      <c r="E61" s="129"/>
      <c r="F61" s="129"/>
      <c r="G61" s="129"/>
      <c r="H61" s="129"/>
      <c r="I61" s="129"/>
      <c r="J61" s="129"/>
      <c r="K61" s="129"/>
      <c r="L61" s="129"/>
      <c r="M61" s="129"/>
      <c r="N61" s="129"/>
      <c r="O61" s="129"/>
    </row>
    <row r="62" spans="1:22" hidden="1">
      <c r="A62" s="3" t="s">
        <v>108</v>
      </c>
      <c r="B62" s="53">
        <f>B53</f>
        <v>0</v>
      </c>
      <c r="C62" s="129"/>
      <c r="D62" s="129"/>
      <c r="E62" s="129"/>
      <c r="F62" s="129"/>
      <c r="G62" s="129"/>
      <c r="H62" s="129"/>
      <c r="I62" s="129"/>
      <c r="J62" s="129"/>
      <c r="K62" s="129"/>
      <c r="L62" s="129"/>
      <c r="M62" s="129"/>
      <c r="N62" s="129"/>
      <c r="O62" s="129"/>
    </row>
    <row r="63" spans="1:22">
      <c r="A63" s="3" t="s">
        <v>109</v>
      </c>
      <c r="B63" s="53"/>
      <c r="C63" s="5"/>
      <c r="D63" s="5"/>
      <c r="E63" s="5"/>
      <c r="F63" s="5"/>
      <c r="G63" s="5"/>
      <c r="H63" s="5"/>
      <c r="I63" s="5"/>
      <c r="J63" s="5"/>
      <c r="K63" s="5"/>
      <c r="L63" s="5"/>
      <c r="M63" s="5"/>
      <c r="N63" s="5"/>
      <c r="O63" s="5"/>
    </row>
    <row r="64" spans="1:22">
      <c r="A64" s="254" t="s">
        <v>110</v>
      </c>
      <c r="B64" s="254"/>
      <c r="C64" s="129" t="str">
        <f>PROPER(B65)</f>
        <v>Mikroqarz</v>
      </c>
      <c r="D64" s="129" t="str">
        <f>UPPER(B65)</f>
        <v>MIKROQARZ</v>
      </c>
      <c r="E64" s="129"/>
      <c r="F64" s="129"/>
      <c r="G64" s="129"/>
      <c r="H64" s="129"/>
      <c r="I64" s="129"/>
      <c r="J64" s="129"/>
      <c r="K64" s="129"/>
      <c r="L64" s="129"/>
      <c r="M64" s="129"/>
      <c r="N64" s="129"/>
      <c r="O64" s="129"/>
      <c r="P64" s="129"/>
      <c r="Q64" s="129"/>
      <c r="R64" s="129"/>
      <c r="S64" s="129"/>
      <c r="T64" s="129"/>
      <c r="U64" s="129"/>
      <c r="V64" s="129"/>
    </row>
    <row r="65" spans="1:22" ht="15.75" thickBot="1">
      <c r="A65" s="3" t="s">
        <v>111</v>
      </c>
      <c r="B65" s="1" t="str">
        <f>IF(B75&gt;100000001,"mikrokredit",IF(B75&lt;100000001,"mikroqarz",0))</f>
        <v>mikroqarz</v>
      </c>
      <c r="C65" s="127">
        <f>DATE(YEAR(B67),MONTH(B67)+B81,DAY(B67))</f>
        <v>46453</v>
      </c>
      <c r="D65" s="128"/>
      <c r="E65" s="128"/>
      <c r="F65" s="128"/>
      <c r="G65" s="128"/>
      <c r="H65" s="128"/>
      <c r="I65" s="128"/>
      <c r="J65" s="128"/>
      <c r="K65" s="128"/>
      <c r="L65" s="128"/>
      <c r="M65" s="128"/>
      <c r="N65" s="128"/>
      <c r="O65" s="129"/>
      <c r="P65" s="129"/>
      <c r="Q65" s="129"/>
      <c r="R65" s="129"/>
      <c r="S65" s="129"/>
      <c r="T65" s="129"/>
      <c r="U65" s="129"/>
      <c r="V65" s="129"/>
    </row>
    <row r="66" spans="1:22" hidden="1">
      <c r="A66" s="3" t="s">
        <v>112</v>
      </c>
      <c r="B66" s="53" t="str">
        <f>B1</f>
        <v>№558-SM</v>
      </c>
      <c r="C66" s="128">
        <f>MONTH(C65)</f>
        <v>3</v>
      </c>
      <c r="D66" s="128" t="str">
        <f>IF(C66=C68,C70,IF(C66=D68,D70,IF(C66=E68,E70,IF(C66=F68,F70,IF(C66=G68,G70,IF(C66=H68,H70,IF(C66=I68,I70,IF(C66=J68,J70,IF(C66=K68,K70,IF(C66=L68,L70,IF(C66=M68,M70,IF(C66=N68,N70,))))))))))))</f>
        <v>mart</v>
      </c>
      <c r="E66" s="128">
        <f>DAY(C65)</f>
        <v>7</v>
      </c>
      <c r="F66" s="128">
        <f>YEAR(C65)</f>
        <v>2027</v>
      </c>
      <c r="G66" s="128">
        <f>MONTH(C65)</f>
        <v>3</v>
      </c>
      <c r="H66" s="128" t="str">
        <f>IF(C66=C68,C71,IF(C66=D68,D71,IF(C66=E68,E71,IF(C66=F68,F71,IF(C66=G68,G71,IF(C66=H68,H71,IF(C66=I68,I71,IF(C66=J68,J71,IF(C66=K68,K71,IF(C66=L68,L71,IF(C66=M68,M71,IF(C66=N68,N71,))))))))))))</f>
        <v>mart</v>
      </c>
      <c r="I66" s="128">
        <f>YEAR(C65)</f>
        <v>2027</v>
      </c>
      <c r="J66" s="128"/>
      <c r="K66" s="128"/>
      <c r="L66" s="128"/>
      <c r="M66" s="128"/>
      <c r="N66" s="128"/>
      <c r="O66" s="129"/>
      <c r="P66" s="129"/>
      <c r="Q66" s="129"/>
      <c r="R66" s="129"/>
      <c r="S66" s="129"/>
      <c r="T66" s="129"/>
      <c r="U66" s="129"/>
      <c r="V66" s="129"/>
    </row>
    <row r="67" spans="1:22" hidden="1">
      <c r="A67" s="3" t="s">
        <v>113</v>
      </c>
      <c r="B67" s="111" t="str">
        <f>B2</f>
        <v>07.03.2025</v>
      </c>
      <c r="C67" s="128">
        <f>MONTH(B67)</f>
        <v>3</v>
      </c>
      <c r="D67" s="128" t="str">
        <f>IF(C67=C68,C70,IF(C67=D68,D70,IF(C67=E68,E70,IF(C67=F68,F70,IF(C67=G68,G70,IF(C67=H68,H70,IF(C67=I68,I70,IF(C67=J68,J70,IF(C67=K68,K70,IF(C67=L68,L70,IF(C67=M68,M70,IF(C67=N68,N70,))))))))))))</f>
        <v>mart</v>
      </c>
      <c r="E67" s="128">
        <f>DAY(B67)</f>
        <v>7</v>
      </c>
      <c r="F67" s="128">
        <f>YEAR(B67)</f>
        <v>2025</v>
      </c>
      <c r="G67" s="128">
        <f>MONTH(B67)</f>
        <v>3</v>
      </c>
      <c r="H67" s="128" t="str">
        <f>IF(C67=C68,C71,IF(C67=D68,D71,IF(C67=E68,E71,IF(C67=F68,F71,IF(C67=G68,G71,IF(C67=H68,H71,IF(C67=I68,I71,IF(C67=J68,J71,IF(C67=K68,K71,IF(C67=L68,L71,IF(C67=M68,M71,IF(C67=N68,N71,))))))))))))</f>
        <v>mart</v>
      </c>
      <c r="I67" s="128">
        <f>YEAR(B67)</f>
        <v>2025</v>
      </c>
      <c r="J67" s="128"/>
      <c r="K67" s="128"/>
      <c r="L67" s="128"/>
      <c r="M67" s="128"/>
      <c r="N67" s="128"/>
      <c r="O67" s="129"/>
      <c r="P67" s="129"/>
      <c r="Q67" s="129"/>
      <c r="R67" s="129"/>
      <c r="S67" s="129"/>
      <c r="T67" s="129"/>
      <c r="U67" s="129"/>
      <c r="V67" s="129"/>
    </row>
    <row r="68" spans="1:22" hidden="1">
      <c r="A68" s="3" t="s">
        <v>114</v>
      </c>
      <c r="B68" s="101" t="str">
        <f>""&amp;E67&amp;" "&amp;D67&amp;" "&amp;F67&amp;" y."</f>
        <v>7 mart 2025 y.</v>
      </c>
      <c r="C68" s="128">
        <v>1</v>
      </c>
      <c r="D68" s="128">
        <v>2</v>
      </c>
      <c r="E68" s="128">
        <v>3</v>
      </c>
      <c r="F68" s="128">
        <v>4</v>
      </c>
      <c r="G68" s="128">
        <v>5</v>
      </c>
      <c r="H68" s="128">
        <v>6</v>
      </c>
      <c r="I68" s="128">
        <v>7</v>
      </c>
      <c r="J68" s="128">
        <v>8</v>
      </c>
      <c r="K68" s="128">
        <v>9</v>
      </c>
      <c r="L68" s="128">
        <v>10</v>
      </c>
      <c r="M68" s="128">
        <v>11</v>
      </c>
      <c r="N68" s="128">
        <v>12</v>
      </c>
      <c r="O68" s="129"/>
      <c r="P68" s="129"/>
      <c r="Q68" s="129"/>
      <c r="R68" s="129"/>
      <c r="S68" s="129"/>
      <c r="T68" s="129"/>
      <c r="U68" s="129"/>
      <c r="V68" s="129"/>
    </row>
    <row r="69" spans="1:22" hidden="1">
      <c r="A69" s="3"/>
      <c r="B69" s="101" t="str">
        <f>""&amp;E67&amp;" "&amp;H67&amp;" "&amp;F67&amp;" y."</f>
        <v>7 mart 2025 y.</v>
      </c>
      <c r="C69" s="128"/>
      <c r="D69" s="128"/>
      <c r="E69" s="128"/>
      <c r="F69" s="128"/>
      <c r="G69" s="128"/>
      <c r="H69" s="128"/>
      <c r="I69" s="128"/>
      <c r="J69" s="128"/>
      <c r="K69" s="128"/>
      <c r="L69" s="128"/>
      <c r="M69" s="128"/>
      <c r="N69" s="128"/>
      <c r="O69" s="129"/>
      <c r="P69" s="129"/>
      <c r="Q69" s="129"/>
      <c r="R69" s="129"/>
      <c r="S69" s="129"/>
      <c r="T69" s="129"/>
      <c r="U69" s="129"/>
      <c r="V69" s="129"/>
    </row>
    <row r="70" spans="1:22" hidden="1">
      <c r="A70" s="3"/>
      <c r="B70" s="74" t="str">
        <f>B68</f>
        <v>7 mart 2025 y.</v>
      </c>
      <c r="C70" s="182" t="s">
        <v>126</v>
      </c>
      <c r="D70" s="182" t="s">
        <v>127</v>
      </c>
      <c r="E70" s="182" t="s">
        <v>116</v>
      </c>
      <c r="F70" s="182" t="s">
        <v>117</v>
      </c>
      <c r="G70" s="182" t="s">
        <v>118</v>
      </c>
      <c r="H70" s="182" t="s">
        <v>119</v>
      </c>
      <c r="I70" s="182" t="s">
        <v>120</v>
      </c>
      <c r="J70" s="182" t="s">
        <v>121</v>
      </c>
      <c r="K70" s="182" t="s">
        <v>122</v>
      </c>
      <c r="L70" s="182" t="s">
        <v>123</v>
      </c>
      <c r="M70" s="182" t="s">
        <v>124</v>
      </c>
      <c r="N70" s="182" t="s">
        <v>125</v>
      </c>
      <c r="O70" s="129"/>
      <c r="P70" s="129"/>
      <c r="Q70" s="129"/>
      <c r="R70" s="129"/>
      <c r="S70" s="129"/>
      <c r="T70" s="129"/>
      <c r="U70" s="129"/>
      <c r="V70" s="129"/>
    </row>
    <row r="71" spans="1:22" hidden="1">
      <c r="A71" s="3"/>
      <c r="B71" s="74" t="str">
        <f>B69</f>
        <v>7 mart 2025 y.</v>
      </c>
      <c r="C71" s="182" t="s">
        <v>126</v>
      </c>
      <c r="D71" s="182" t="s">
        <v>127</v>
      </c>
      <c r="E71" s="182" t="s">
        <v>116</v>
      </c>
      <c r="F71" s="182" t="s">
        <v>117</v>
      </c>
      <c r="G71" s="182" t="s">
        <v>118</v>
      </c>
      <c r="H71" s="182" t="s">
        <v>119</v>
      </c>
      <c r="I71" s="182" t="s">
        <v>120</v>
      </c>
      <c r="J71" s="182" t="s">
        <v>121</v>
      </c>
      <c r="K71" s="182" t="s">
        <v>122</v>
      </c>
      <c r="L71" s="182" t="s">
        <v>123</v>
      </c>
      <c r="M71" s="182" t="s">
        <v>124</v>
      </c>
      <c r="N71" s="182" t="s">
        <v>125</v>
      </c>
      <c r="O71" s="129"/>
      <c r="P71" s="129"/>
      <c r="Q71" s="129"/>
      <c r="R71" s="129"/>
      <c r="S71" s="129"/>
      <c r="T71" s="129"/>
      <c r="U71" s="129"/>
      <c r="V71" s="129"/>
    </row>
    <row r="72" spans="1:22" hidden="1">
      <c r="A72" s="3" t="s">
        <v>115</v>
      </c>
      <c r="B72" s="71" t="str">
        <f>""&amp;E66&amp;" "&amp;D66&amp;" "&amp;F66&amp;" y."</f>
        <v>7 mart 2027 y.</v>
      </c>
      <c r="C72" s="128"/>
      <c r="D72" s="128"/>
      <c r="E72" s="128"/>
      <c r="F72" s="128"/>
      <c r="G72" s="128"/>
      <c r="H72" s="128"/>
      <c r="I72" s="128"/>
      <c r="J72" s="129"/>
      <c r="K72" s="129"/>
      <c r="L72" s="129"/>
      <c r="M72" s="129"/>
      <c r="N72" s="129"/>
      <c r="O72" s="129"/>
      <c r="P72" s="129"/>
      <c r="Q72" s="129"/>
      <c r="R72" s="129"/>
      <c r="S72" s="129"/>
      <c r="T72" s="129"/>
      <c r="U72" s="129"/>
      <c r="V72" s="129"/>
    </row>
    <row r="73" spans="1:22" hidden="1">
      <c r="A73" s="3"/>
      <c r="B73" s="71" t="str">
        <f>""&amp;E66&amp;" "&amp;H66&amp;" "&amp;F66&amp;" y."</f>
        <v>7 mart 2027 y.</v>
      </c>
      <c r="C73" s="128"/>
      <c r="D73" s="128"/>
      <c r="E73" s="128"/>
      <c r="F73" s="128"/>
      <c r="G73" s="128"/>
      <c r="H73" s="128"/>
      <c r="I73" s="128"/>
      <c r="J73" s="129"/>
      <c r="K73" s="129"/>
      <c r="L73" s="129"/>
      <c r="M73" s="129"/>
      <c r="N73" s="129"/>
      <c r="O73" s="129"/>
      <c r="P73" s="129"/>
      <c r="Q73" s="129"/>
      <c r="R73" s="129"/>
      <c r="S73" s="129"/>
      <c r="T73" s="129"/>
      <c r="U73" s="129"/>
      <c r="V73" s="129"/>
    </row>
    <row r="74" spans="1:22" ht="15.75" hidden="1" thickBot="1">
      <c r="A74" s="3" t="s">
        <v>128</v>
      </c>
      <c r="B74" s="1" t="str">
        <f>""&amp;B68&amp;"dan "&amp;B66&amp;""</f>
        <v>7 mart 2025 y.dan №558-SM</v>
      </c>
      <c r="D74" s="72"/>
      <c r="E74" s="72"/>
      <c r="F74" s="72"/>
      <c r="G74" s="72"/>
      <c r="H74" s="72"/>
      <c r="I74" s="72"/>
      <c r="J74" s="5"/>
      <c r="K74" s="5"/>
      <c r="L74" s="5"/>
      <c r="M74" s="5"/>
      <c r="N74" s="5"/>
      <c r="O74" s="5"/>
      <c r="P74" s="73"/>
      <c r="Q74" s="73"/>
      <c r="R74" s="73"/>
      <c r="S74" s="73"/>
      <c r="T74" s="73"/>
      <c r="U74" s="73"/>
      <c r="V74" s="73"/>
    </row>
    <row r="75" spans="1:22">
      <c r="A75" s="3" t="str">
        <f>CONCATENATE(B65," miqdori (summasi)")</f>
        <v>mikroqarz miqdori (summasi)</v>
      </c>
      <c r="B75" s="84">
        <v>20000000</v>
      </c>
      <c r="C75" s="85" t="s">
        <v>134</v>
      </c>
      <c r="D75" s="72"/>
      <c r="E75" s="72"/>
      <c r="F75" s="72"/>
      <c r="G75" s="72"/>
      <c r="H75" s="72"/>
      <c r="I75" s="72"/>
      <c r="J75" s="5"/>
      <c r="K75" s="5"/>
      <c r="L75" s="5"/>
      <c r="M75" s="5"/>
      <c r="N75" s="5"/>
      <c r="O75" s="5"/>
      <c r="P75" s="73"/>
      <c r="Q75" s="73"/>
      <c r="R75" s="73"/>
      <c r="S75" s="73"/>
      <c r="T75" s="73"/>
      <c r="U75" s="73"/>
      <c r="V75" s="73"/>
    </row>
    <row r="76" spans="1:22" ht="15.75" customHeight="1">
      <c r="A76" s="183" t="s">
        <v>129</v>
      </c>
      <c r="B76" s="65"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75))&gt;6,ROMAN(MID(INT(B75),1,LEN(INT(B75))-6)+0)&amp;" million "&amp;ROMAN(MID(INT(B75),LEN(INT(B75))-5,3)+0)&amp;" ming "&amp;ROMAN(MID(INT(B75),LEN(INT(B75))-2,3)+0),IF(LEN(INT(B75))&gt;3,ROMAN(MID(INT(B75),1,LEN(INT(B75))-3)+0)&amp;" ming "&amp;ROMAN(MID(INT(B75),LEN(INT(B75))-2,3)+0),ROMAN(INT(B75)))),"DCCC","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yigirma million so'm</v>
      </c>
      <c r="C76" s="177" t="str">
        <f>UPPER(LEFT(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75,0))&gt;6,ROMAN(MID(ROUNDDOWN(B75,0),1,LEN(ROUNDDOWN(B75,0))-6)+0)&amp;" million "&amp;ROMAN(MID(ROUNDDOWN(B75,0),LEN(ROUNDDOWN(B75,0))-5,3)+0)&amp;" ming "&amp;ROMAN(MID(ROUNDDOWN(B75,0),LEN(ROUNDDOWN(B75,0))-2,3)+0)&amp;" so'm",IF(LEN(ROUNDDOWN(B75,0))&gt;3,ROMAN(MID(ROUNDDOWN(B75,0),1,LEN(ROUNDDOWN(B75,0))-3)+0)&amp;" ming "&amp;ROMAN(MID(ROUNDDOWN(B75,0),LEN(ROUNDDOWN(B75,0))-2,3)+0)&amp;" so'm",ROMAN(ROUNDDOWN(B75,0))&amp;" so'm")),"DCCC"," sakkiz yuz"),"DCC"," yetti yuz"),"DC"," olti yuz"),"CD"," to'rt yuz"),"XC"," to'qson"),"CCC"," uch yuz"),"CC"," ikki yuz"),"D"," besh yuz"),"CM"," to'qqiz yuz"),"C"," yuz"),"XL"," qiriq"),"LXXX"," sakson"),"LXX"," yetmish"),"LX"," oltmish"),"L"," ellik"),"XXX"," o'ttiz"),"XX"," yigirma"),"XIX"," o'n tiqqiz"),"XVIII","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1))&amp;MID(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75,0))&gt;6,ROMAN(MID(ROUNDDOWN(B75,0),1,LEN(ROUNDDOWN(B75,0))-6)+0)&amp;" million "&amp;ROMAN(MID(ROUNDDOWN(B75,0),LEN(ROUNDDOWN(B75,0))-5,3)+0)&amp;" "&amp;ROMAN(MID(ROUNDDOWN(B75,0),LEN(ROUNDDOWN(B75,0))-2,3)+0)&amp;" so'm",IF(LEN(ROUNDDOWN(B75,0))&gt;3,ROMAN(MID(ROUNDDOWN(B75,0),1,LEN(ROUNDDOWN(B75,0))-3)+0)&amp;" ming "&amp;ROMAN(MID(ROUNDDOWN(B75,0),LEN(ROUNDDOWN(B75,0))-2,3)+0)&amp;" so'm",ROMAN(ROUNDDOWN(B75,0))&amp;" so'm")),"DCCC","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million","million"),2,200)&amp;""</f>
        <v>Yigirma million so'm</v>
      </c>
      <c r="D76" s="72"/>
      <c r="E76" s="72"/>
      <c r="F76" s="72"/>
      <c r="G76" s="72"/>
      <c r="H76" s="72"/>
      <c r="I76" s="72"/>
      <c r="J76" s="5"/>
      <c r="K76" s="5"/>
      <c r="L76" s="5"/>
      <c r="M76" s="5"/>
      <c r="N76" s="5"/>
      <c r="O76" s="5"/>
      <c r="P76" s="73"/>
      <c r="Q76" s="73"/>
      <c r="R76" s="73"/>
      <c r="S76" s="73"/>
      <c r="T76" s="73"/>
      <c r="U76" s="73"/>
      <c r="V76" s="73"/>
    </row>
    <row r="77" spans="1:22">
      <c r="A77" s="3" t="s">
        <v>130</v>
      </c>
      <c r="B77" s="53" t="s">
        <v>136</v>
      </c>
      <c r="C77" s="128" t="s">
        <v>136</v>
      </c>
      <c r="D77" s="128" t="s">
        <v>135</v>
      </c>
      <c r="E77" s="128"/>
      <c r="F77" s="128"/>
      <c r="G77" s="128"/>
      <c r="H77" s="128"/>
      <c r="I77" s="128"/>
      <c r="J77" s="129"/>
      <c r="K77" s="129"/>
      <c r="L77" s="129"/>
      <c r="M77" s="129"/>
      <c r="N77" s="129"/>
      <c r="O77" s="129"/>
      <c r="P77" s="129"/>
      <c r="Q77" s="129"/>
      <c r="R77" s="129"/>
      <c r="S77" s="73"/>
      <c r="T77" s="73"/>
      <c r="U77" s="73"/>
      <c r="V77" s="73"/>
    </row>
    <row r="78" spans="1:22">
      <c r="A78" s="3" t="str">
        <f>CONCATENATE(B65,"ni to'lash sanasi (14.10.2011)")</f>
        <v>mikroqarzni to'lash sanasi (14.10.2011)</v>
      </c>
      <c r="B78" s="53">
        <v>15</v>
      </c>
      <c r="C78" s="127">
        <f>DATE(YEAR(B67),MONTH(B67)+1,DAY(B78))</f>
        <v>45762</v>
      </c>
      <c r="D78" s="128" t="s">
        <v>30</v>
      </c>
      <c r="E78" s="128" t="s">
        <v>31</v>
      </c>
      <c r="F78" s="128" t="s">
        <v>32</v>
      </c>
      <c r="G78" s="128" t="s">
        <v>33</v>
      </c>
      <c r="H78" s="128" t="s">
        <v>34</v>
      </c>
      <c r="I78" s="128" t="s">
        <v>35</v>
      </c>
      <c r="J78" s="129" t="s">
        <v>36</v>
      </c>
      <c r="K78" s="129"/>
      <c r="L78" s="129"/>
      <c r="M78" s="129"/>
      <c r="N78" s="129"/>
      <c r="O78" s="129"/>
      <c r="P78" s="129"/>
      <c r="Q78" s="129"/>
      <c r="R78" s="129"/>
      <c r="S78" s="73"/>
      <c r="T78" s="73"/>
      <c r="U78" s="73"/>
      <c r="V78" s="73"/>
    </row>
    <row r="79" spans="1:22" hidden="1">
      <c r="A79" s="3" t="str">
        <f>CONCATENATE(B65,"ni to'lash sanasi (14.10.2011 y.) QO’L BILAN KIRITILADI")</f>
        <v>mikroqarzni to'lash sanasi (14.10.2011 y.) QO’L BILAN KIRITILADI</v>
      </c>
      <c r="B79" s="102">
        <f>DATE(YEAR(B67),MONTH(B67)+1,DAY(B78+C80))</f>
        <v>45762</v>
      </c>
      <c r="C79" s="130" t="str">
        <f>TEXT(C78,"ддд")</f>
        <v>Вт</v>
      </c>
      <c r="D79" s="128" t="s">
        <v>30</v>
      </c>
      <c r="E79" s="128" t="s">
        <v>31</v>
      </c>
      <c r="F79" s="128" t="s">
        <v>32</v>
      </c>
      <c r="G79" s="128" t="s">
        <v>33</v>
      </c>
      <c r="H79" s="128" t="s">
        <v>34</v>
      </c>
      <c r="I79" s="128" t="s">
        <v>35</v>
      </c>
      <c r="J79" s="129" t="s">
        <v>36</v>
      </c>
      <c r="K79" s="129"/>
      <c r="L79" s="129"/>
      <c r="M79" s="129"/>
      <c r="N79" s="129"/>
      <c r="O79" s="129"/>
      <c r="P79" s="129"/>
      <c r="Q79" s="129"/>
      <c r="R79" s="129"/>
      <c r="S79" s="73"/>
      <c r="T79" s="73"/>
      <c r="U79" s="73"/>
      <c r="V79" s="73"/>
    </row>
    <row r="80" spans="1:22" hidden="1">
      <c r="A80" s="3" t="s">
        <v>131</v>
      </c>
      <c r="B80" s="103">
        <f>B79</f>
        <v>45762</v>
      </c>
      <c r="C80" s="131">
        <f>IF(C79=I79,2,IF(C79=J79,1,0))</f>
        <v>0</v>
      </c>
      <c r="D80" s="131"/>
      <c r="E80" s="129"/>
      <c r="F80" s="129"/>
      <c r="G80" s="129"/>
      <c r="H80" s="129"/>
      <c r="I80" s="129"/>
      <c r="J80" s="129"/>
      <c r="K80" s="129"/>
      <c r="L80" s="129"/>
      <c r="M80" s="129"/>
      <c r="N80" s="129"/>
      <c r="O80" s="129"/>
      <c r="P80" s="129"/>
      <c r="Q80" s="129"/>
      <c r="R80" s="129"/>
      <c r="S80" s="73"/>
      <c r="T80" s="73"/>
      <c r="U80" s="73"/>
      <c r="V80" s="73"/>
    </row>
    <row r="81" spans="1:63">
      <c r="A81" s="3" t="str">
        <f>CONCATENATE(B65," muddati")</f>
        <v>mikroqarz muddati</v>
      </c>
      <c r="B81" s="53">
        <v>24</v>
      </c>
      <c r="C81" s="131">
        <v>6</v>
      </c>
      <c r="D81" s="131">
        <v>12</v>
      </c>
      <c r="E81" s="129">
        <v>18</v>
      </c>
      <c r="F81" s="129">
        <v>24</v>
      </c>
      <c r="G81" s="129">
        <v>36</v>
      </c>
      <c r="H81" s="129"/>
      <c r="I81" s="129"/>
      <c r="J81" s="129"/>
      <c r="K81" s="129"/>
      <c r="L81" s="129"/>
      <c r="M81" s="129"/>
      <c r="N81" s="129"/>
      <c r="O81" s="129"/>
      <c r="P81" s="129"/>
      <c r="Q81" s="129"/>
      <c r="R81" s="129"/>
      <c r="S81" s="73"/>
      <c r="T81" s="73"/>
      <c r="U81" s="73"/>
      <c r="V81" s="73"/>
    </row>
    <row r="82" spans="1:63">
      <c r="A82" s="3" t="str">
        <f>CONCATENATE(B65," muddati QO’L BILAN KIRITILADI")</f>
        <v>mikroqarz muddati QO’L BILAN KIRITILADI</v>
      </c>
      <c r="B82" s="178" t="str">
        <f>IF(B81=C81,"olti",IF(B81=D81,"o'n ikki",IF(B81=E81,"o'n sakkiz",IF(B81=F81,"yigirma to'rt",IF(B81=G81,"o'ttiz olti",)))))</f>
        <v>yigirma to'rt</v>
      </c>
      <c r="C82" s="129"/>
      <c r="D82" s="129"/>
      <c r="E82" s="129"/>
      <c r="F82" s="129"/>
      <c r="G82" s="129"/>
      <c r="H82" s="129"/>
      <c r="I82" s="129"/>
      <c r="J82" s="129"/>
      <c r="K82" s="129"/>
      <c r="L82" s="129"/>
      <c r="M82" s="129"/>
      <c r="N82" s="129"/>
      <c r="O82" s="129"/>
      <c r="P82" s="129"/>
      <c r="Q82" s="129"/>
      <c r="R82" s="129"/>
    </row>
    <row r="83" spans="1:63" ht="30">
      <c r="A83" s="213" t="s">
        <v>376</v>
      </c>
      <c r="B83" s="178"/>
      <c r="C83" s="129"/>
      <c r="D83" s="129"/>
      <c r="E83" s="129"/>
      <c r="F83" s="129"/>
      <c r="G83" s="129"/>
      <c r="H83" s="129"/>
      <c r="I83" s="129"/>
      <c r="J83" s="129"/>
      <c r="K83" s="129"/>
      <c r="L83" s="129"/>
      <c r="M83" s="129"/>
      <c r="N83" s="129"/>
      <c r="O83" s="129"/>
      <c r="P83" s="129"/>
      <c r="Q83" s="129"/>
      <c r="R83" s="129"/>
      <c r="BJ83" s="5">
        <v>1</v>
      </c>
      <c r="BK83" s="5">
        <v>0</v>
      </c>
    </row>
    <row r="84" spans="1:63">
      <c r="A84" s="3" t="str">
        <f>CONCATENATE(B65," stavkasi")</f>
        <v>mikroqarz stavkasi</v>
      </c>
      <c r="B84" s="105">
        <v>0.6</v>
      </c>
      <c r="C84" s="129"/>
      <c r="D84" s="129"/>
      <c r="E84" s="129"/>
      <c r="F84" s="129"/>
      <c r="G84" s="129"/>
      <c r="H84" s="129"/>
      <c r="I84" s="129"/>
      <c r="J84" s="129"/>
      <c r="K84" s="129"/>
      <c r="L84" s="129"/>
      <c r="M84" s="129"/>
      <c r="N84" s="129"/>
      <c r="O84" s="129"/>
      <c r="P84" s="129"/>
      <c r="Q84" s="129"/>
      <c r="R84" s="129"/>
    </row>
    <row r="85" spans="1:63">
      <c r="A85" s="3" t="str">
        <f>CONCATENATE(B65," stavkasi")</f>
        <v>mikroqarz stavkasi</v>
      </c>
      <c r="B85" s="106" t="s">
        <v>409</v>
      </c>
      <c r="C85" s="129"/>
      <c r="D85" s="129"/>
      <c r="E85" s="129"/>
      <c r="F85" s="129"/>
      <c r="G85" s="129"/>
      <c r="H85" s="129"/>
      <c r="I85" s="129"/>
      <c r="J85" s="129"/>
      <c r="K85" s="129"/>
      <c r="L85" s="129"/>
      <c r="M85" s="129"/>
      <c r="N85" s="129"/>
      <c r="O85" s="129"/>
      <c r="P85" s="129"/>
      <c r="Q85" s="129"/>
      <c r="R85" s="129"/>
    </row>
    <row r="86" spans="1:63">
      <c r="A86" s="3" t="str">
        <f>CONCATENATE(B65," stavkasi (so’z bilan)")</f>
        <v>mikroqarz stavkasi (so’z bilan)</v>
      </c>
      <c r="B86" s="104" t="s">
        <v>410</v>
      </c>
      <c r="C86" s="129" t="s">
        <v>410</v>
      </c>
      <c r="D86" s="129"/>
      <c r="E86" s="129"/>
      <c r="F86" s="129"/>
      <c r="G86" s="129"/>
      <c r="H86" s="129"/>
      <c r="I86" s="129"/>
      <c r="J86" s="129"/>
      <c r="K86" s="129"/>
      <c r="L86" s="129"/>
      <c r="M86" s="129"/>
      <c r="N86" s="129"/>
      <c r="O86" s="129"/>
      <c r="P86" s="129"/>
      <c r="Q86" s="129"/>
      <c r="R86" s="129"/>
    </row>
    <row r="87" spans="1:63">
      <c r="A87" s="3" t="str">
        <f>CONCATENATE("Muddati o'tgan ",B65," bo’yicha stavka")</f>
        <v>Muddati o'tgan mikroqarz bo’yicha stavka</v>
      </c>
      <c r="B87" s="105">
        <v>1</v>
      </c>
      <c r="C87" s="129"/>
      <c r="D87" s="129"/>
      <c r="E87" s="129"/>
      <c r="F87" s="129"/>
      <c r="G87" s="129"/>
      <c r="H87" s="129"/>
      <c r="I87" s="129"/>
      <c r="J87" s="129"/>
      <c r="K87" s="129"/>
      <c r="L87" s="129"/>
      <c r="M87" s="129"/>
      <c r="N87" s="129"/>
      <c r="O87" s="129"/>
      <c r="P87" s="129"/>
      <c r="Q87" s="129"/>
      <c r="R87" s="129"/>
    </row>
    <row r="88" spans="1:63">
      <c r="A88" s="183" t="s">
        <v>129</v>
      </c>
      <c r="B88" s="106" t="s">
        <v>415</v>
      </c>
      <c r="C88" s="129"/>
      <c r="D88" s="129"/>
      <c r="E88" s="129"/>
      <c r="F88" s="129"/>
      <c r="G88" s="129"/>
      <c r="H88" s="129"/>
      <c r="I88" s="129"/>
      <c r="J88" s="129"/>
      <c r="K88" s="129"/>
      <c r="L88" s="129"/>
      <c r="M88" s="129"/>
      <c r="N88" s="129"/>
      <c r="O88" s="129"/>
      <c r="P88" s="129"/>
      <c r="Q88" s="129"/>
      <c r="R88" s="129"/>
    </row>
    <row r="89" spans="1:63">
      <c r="A89" s="3" t="str">
        <f>CONCATENATE("Muddati o'tgan ",B65," bo’yicha stavka")</f>
        <v>Muddati o'tgan mikroqarz bo’yicha stavka</v>
      </c>
      <c r="B89" s="104" t="s">
        <v>416</v>
      </c>
      <c r="C89" s="129" t="s">
        <v>417</v>
      </c>
      <c r="D89" s="129"/>
      <c r="E89" s="129"/>
      <c r="F89" s="129"/>
      <c r="G89" s="129"/>
      <c r="H89" s="129"/>
      <c r="I89" s="129"/>
      <c r="J89" s="129"/>
      <c r="K89" s="129"/>
      <c r="L89" s="129"/>
      <c r="M89" s="129"/>
      <c r="N89" s="129"/>
      <c r="O89" s="129"/>
      <c r="P89" s="129"/>
      <c r="Q89" s="129"/>
      <c r="R89" s="129"/>
    </row>
    <row r="90" spans="1:63">
      <c r="A90" s="3" t="s">
        <v>132</v>
      </c>
      <c r="B90" s="107">
        <f>IF(B77=C77,LARGE(График!F9:F26,1),ROUND(PMT(B84/12,B81,-B75,0),-3))</f>
        <v>2115525.02</v>
      </c>
      <c r="C90" s="129"/>
      <c r="D90" s="129"/>
      <c r="E90" s="129"/>
      <c r="F90" s="129"/>
      <c r="G90" s="129"/>
      <c r="H90" s="129"/>
      <c r="I90" s="129"/>
      <c r="J90" s="129"/>
      <c r="K90" s="129"/>
      <c r="L90" s="129"/>
      <c r="M90" s="129"/>
      <c r="N90" s="129"/>
      <c r="O90" s="129"/>
      <c r="P90" s="129"/>
      <c r="Q90" s="129"/>
      <c r="R90" s="129"/>
    </row>
    <row r="91" spans="1:63">
      <c r="A91" s="254" t="s">
        <v>133</v>
      </c>
      <c r="B91" s="254"/>
      <c r="C91" s="129"/>
      <c r="D91" s="129"/>
      <c r="E91" s="129"/>
      <c r="F91" s="129"/>
      <c r="G91" s="129"/>
      <c r="H91" s="129"/>
      <c r="I91" s="129"/>
      <c r="J91" s="129"/>
      <c r="K91" s="129"/>
      <c r="L91" s="129"/>
      <c r="M91" s="129"/>
      <c r="N91" s="129"/>
      <c r="O91" s="129"/>
      <c r="P91" s="129"/>
      <c r="Q91" s="129"/>
      <c r="R91" s="129"/>
    </row>
    <row r="92" spans="1:63" ht="18">
      <c r="A92" s="110"/>
      <c r="B92" s="170" t="s">
        <v>138</v>
      </c>
      <c r="C92" s="201" t="s">
        <v>138</v>
      </c>
      <c r="D92" s="129" t="s">
        <v>139</v>
      </c>
      <c r="E92" s="129"/>
      <c r="F92" s="129"/>
      <c r="G92" s="129"/>
      <c r="H92" s="129"/>
      <c r="I92" s="129"/>
      <c r="J92" s="129"/>
      <c r="K92" s="129"/>
      <c r="L92" s="129"/>
      <c r="M92" s="129"/>
      <c r="N92" s="129"/>
      <c r="O92" s="129"/>
      <c r="P92" s="129"/>
      <c r="Q92" s="129"/>
      <c r="R92" s="129"/>
    </row>
    <row r="93" spans="1:63" ht="18">
      <c r="A93" s="12" t="s">
        <v>144</v>
      </c>
      <c r="B93" s="170" t="s">
        <v>141</v>
      </c>
      <c r="C93" s="202" t="s">
        <v>140</v>
      </c>
      <c r="D93" s="203" t="s">
        <v>141</v>
      </c>
      <c r="E93" s="129"/>
      <c r="F93" s="129"/>
      <c r="G93" s="129"/>
      <c r="H93" s="129"/>
      <c r="I93" s="129"/>
      <c r="J93" s="129"/>
      <c r="K93" s="129"/>
      <c r="L93" s="129"/>
      <c r="M93" s="129"/>
      <c r="N93" s="129"/>
      <c r="O93" s="129"/>
      <c r="P93" s="129"/>
      <c r="Q93" s="129"/>
      <c r="R93" s="129"/>
    </row>
    <row r="94" spans="1:63" ht="36">
      <c r="A94" s="12" t="s">
        <v>145</v>
      </c>
      <c r="B94" s="170" t="s">
        <v>142</v>
      </c>
      <c r="C94" s="5" t="s">
        <v>142</v>
      </c>
      <c r="D94" s="5" t="s">
        <v>143</v>
      </c>
      <c r="E94" s="129"/>
      <c r="F94" s="129"/>
      <c r="G94" s="129"/>
      <c r="H94" s="129"/>
      <c r="I94" s="129"/>
    </row>
    <row r="95" spans="1:63" ht="36">
      <c r="A95" s="12" t="s">
        <v>146</v>
      </c>
      <c r="B95" s="170"/>
      <c r="C95" s="5"/>
      <c r="D95" s="5"/>
    </row>
    <row r="96" spans="1:63" ht="36">
      <c r="A96" s="12" t="s">
        <v>147</v>
      </c>
      <c r="B96" s="170"/>
      <c r="C96" s="5"/>
      <c r="D96" s="5"/>
    </row>
    <row r="97" spans="1:4">
      <c r="A97" s="254" t="s">
        <v>148</v>
      </c>
      <c r="B97" s="254"/>
      <c r="C97" s="5"/>
      <c r="D97" s="5"/>
    </row>
    <row r="98" spans="1:4" ht="36">
      <c r="A98" s="12" t="s">
        <v>149</v>
      </c>
      <c r="B98" s="170"/>
      <c r="C98" s="5"/>
      <c r="D98" s="5"/>
    </row>
    <row r="99" spans="1:4" ht="36">
      <c r="A99" s="12" t="s">
        <v>150</v>
      </c>
      <c r="B99" s="170"/>
      <c r="C99" s="5"/>
      <c r="D99" s="5"/>
    </row>
    <row r="100" spans="1:4" ht="18">
      <c r="A100" s="12" t="s">
        <v>151</v>
      </c>
      <c r="B100" s="179"/>
      <c r="C100" s="5"/>
      <c r="D100" s="5"/>
    </row>
    <row r="101" spans="1:4" ht="18">
      <c r="A101" s="12" t="s">
        <v>152</v>
      </c>
      <c r="B101" s="176"/>
      <c r="C101" s="5"/>
      <c r="D101" s="5"/>
    </row>
    <row r="102" spans="1:4" ht="18" hidden="1">
      <c r="A102" s="12"/>
      <c r="B102" s="170" t="str">
        <f>TEXT(B101,"ДД.ММ.ГГГГ")</f>
        <v>00.01.1900</v>
      </c>
      <c r="C102" s="5"/>
      <c r="D102" s="5"/>
    </row>
    <row r="103" spans="1:4" ht="18">
      <c r="A103" s="12"/>
      <c r="B103" s="13" t="s">
        <v>153</v>
      </c>
      <c r="C103" s="5" t="s">
        <v>153</v>
      </c>
      <c r="D103" s="5" t="s">
        <v>154</v>
      </c>
    </row>
    <row r="104" spans="1:4" ht="60">
      <c r="A104" s="221" t="s">
        <v>378</v>
      </c>
      <c r="B104" s="220" t="s">
        <v>377</v>
      </c>
      <c r="C104" s="13" t="s">
        <v>154</v>
      </c>
      <c r="D104" s="5"/>
    </row>
    <row r="105" spans="1:4" ht="30">
      <c r="A105" s="212" t="s">
        <v>399</v>
      </c>
      <c r="B105" s="13" t="s">
        <v>421</v>
      </c>
      <c r="C105" s="13"/>
      <c r="D105" s="5"/>
    </row>
    <row r="106" spans="1:4" ht="30">
      <c r="A106" s="212" t="s">
        <v>400</v>
      </c>
      <c r="B106" s="13" t="s">
        <v>433</v>
      </c>
      <c r="C106" s="13"/>
      <c r="D106" s="5"/>
    </row>
    <row r="107" spans="1:4" ht="60">
      <c r="A107" s="212" t="str">
        <f>A113</f>
        <v>Tug’ilgan sanasi (01.10.2011 y.)</v>
      </c>
      <c r="B107" s="223">
        <v>32420</v>
      </c>
      <c r="C107" s="13"/>
      <c r="D107" s="5"/>
    </row>
    <row r="108" spans="1:4" ht="60">
      <c r="A108" s="212" t="str">
        <f>A114</f>
        <v>Pasport seriyasi (СА №1234567)</v>
      </c>
      <c r="B108" s="13" t="s">
        <v>439</v>
      </c>
      <c r="C108" s="13"/>
      <c r="D108" s="5"/>
    </row>
    <row r="109" spans="1:4" ht="150">
      <c r="A109" s="212" t="str">
        <f>A115</f>
        <v xml:space="preserve">Kim va qachon berilgan
(Toshkent shahri Chilonzor IIB tomonidan 2011 yil __.____)
</v>
      </c>
      <c r="B109" s="13" t="s">
        <v>442</v>
      </c>
      <c r="C109" s="13"/>
      <c r="D109" s="5"/>
    </row>
    <row r="110" spans="1:4" ht="150">
      <c r="A110" s="212" t="str">
        <f>A116</f>
        <v xml:space="preserve">doimiy ro’yhatdan o’tgan joyi
(Toshkent sh., Mirobod tumani, Nukus ko’chasi, 1 uy, 1 honadon)
</v>
      </c>
      <c r="B110" s="13" t="s">
        <v>422</v>
      </c>
      <c r="C110" s="13"/>
      <c r="D110" s="5"/>
    </row>
    <row r="111" spans="1:4" hidden="1">
      <c r="A111" s="167" t="s">
        <v>168</v>
      </c>
      <c r="B111" s="157" t="str">
        <f>IF(B93="HA",B5,B105)</f>
        <v>SHADMANOVA GULMIRA ZAKIROVNA</v>
      </c>
      <c r="C111" s="185" t="s">
        <v>46</v>
      </c>
      <c r="D111" s="5"/>
    </row>
    <row r="112" spans="1:4" hidden="1">
      <c r="A112" s="167"/>
      <c r="B112" s="157" t="str">
        <f>IF(B93="HA",B7,B106)</f>
        <v>SHADMANOVA G.Z.</v>
      </c>
      <c r="C112" s="185" t="s">
        <v>47</v>
      </c>
      <c r="D112" s="5"/>
    </row>
    <row r="113" spans="1:18" hidden="1">
      <c r="A113" s="168" t="s">
        <v>169</v>
      </c>
      <c r="B113" s="211">
        <f>IF(B93="HA",B15,B107)</f>
        <v>32420</v>
      </c>
      <c r="C113" s="185" t="s">
        <v>157</v>
      </c>
      <c r="D113" s="5"/>
    </row>
    <row r="114" spans="1:18" hidden="1">
      <c r="A114" s="168" t="s">
        <v>72</v>
      </c>
      <c r="B114" s="211" t="str">
        <f>IF(B93="HA",B16,B108)</f>
        <v>AE 1481668</v>
      </c>
      <c r="C114" s="185" t="s">
        <v>48</v>
      </c>
      <c r="D114" s="5"/>
    </row>
    <row r="115" spans="1:18" ht="30" hidden="1" customHeight="1">
      <c r="A115" s="168" t="s">
        <v>75</v>
      </c>
      <c r="B115" s="157" t="str">
        <f>IF(B93="HA",B20,B109)</f>
        <v>IIV 18810 tomonidan 04.02.2025 yilda berilgan</v>
      </c>
      <c r="C115" s="185" t="s">
        <v>158</v>
      </c>
      <c r="D115" s="79">
        <v>493193762</v>
      </c>
    </row>
    <row r="116" spans="1:18" ht="53.25" hidden="1" customHeight="1">
      <c r="A116" s="168" t="s">
        <v>77</v>
      </c>
      <c r="B116" s="157" t="str">
        <f>IF(B93="HA",B22,B110)</f>
        <v>SAMARQAND VILOYATI SAMARQAND SHAHAR SO'ZANGARON MAHALLASI IBROXIMXO'JA KO'CHASI 97 A UY</v>
      </c>
      <c r="C116" s="157" t="s">
        <v>49</v>
      </c>
      <c r="D116" s="5"/>
    </row>
    <row r="117" spans="1:18">
      <c r="A117" s="168" t="s">
        <v>170</v>
      </c>
      <c r="B117" s="1" t="str">
        <f>IF(B93="ha",B5,B111)</f>
        <v>SHADMANOVA GULMIRA ZAKIROVNA</v>
      </c>
      <c r="C117" s="108" t="str">
        <f>IF(B93="да",B5,C111)</f>
        <v>SHOUSMANOVA DAVLATXON XXX</v>
      </c>
    </row>
    <row r="118" spans="1:18">
      <c r="A118" s="168"/>
      <c r="B118" s="1" t="str">
        <f>IF(B93="ha",B7,B112)</f>
        <v>SHADMANOVA G.Z.</v>
      </c>
      <c r="C118" s="108" t="str">
        <f>IF(B93="да",B7,C112)</f>
        <v>SHOUSMANOVA D</v>
      </c>
    </row>
    <row r="119" spans="1:18">
      <c r="A119" s="3" t="s">
        <v>169</v>
      </c>
      <c r="B119" s="1">
        <f>IF(B93="ha",B15,B113)</f>
        <v>32420</v>
      </c>
      <c r="C119" s="108" t="str">
        <f>IF(B93="да",B15,C113)</f>
        <v>03.05.1952 y.</v>
      </c>
    </row>
    <row r="120" spans="1:18">
      <c r="A120" s="3" t="s">
        <v>72</v>
      </c>
      <c r="B120" s="1" t="str">
        <f>IF(B93="ha",B16,B114)</f>
        <v>AE 1481668</v>
      </c>
      <c r="C120" s="108" t="str">
        <f>IF(B93="да",B16,C114)</f>
        <v>AC 0623976</v>
      </c>
    </row>
    <row r="121" spans="1:18" ht="45">
      <c r="A121" s="3" t="s">
        <v>75</v>
      </c>
      <c r="B121" s="1" t="str">
        <f>IF(B93="ha",B20,B115)</f>
        <v>IIV 18810 tomonidan 04.02.2025 yilda berilgan</v>
      </c>
      <c r="C121" s="108" t="str">
        <f>IF(B93="да",B20,C115)</f>
        <v>FARGONA VILOYATI QOQON SHAHAR IIB tomonidan 05.08.2018 y.</v>
      </c>
    </row>
    <row r="122" spans="1:18" ht="45">
      <c r="A122" s="3" t="s">
        <v>77</v>
      </c>
      <c r="B122" s="208" t="str">
        <f>B22</f>
        <v>TOSHKENT SHAHAR MIROBOD TUMANI FARG'ONA YO'LI FITRAT MAHALLASI 3 UY 30 XONADON</v>
      </c>
      <c r="C122" s="109" t="str">
        <f>IF(B93="да",B28,C116)</f>
        <v>FARGONA VILOYATI QOQON SHAHAR GUZAR 266 12</v>
      </c>
    </row>
    <row r="123" spans="1:18" ht="42.75">
      <c r="A123" s="3" t="s">
        <v>171</v>
      </c>
      <c r="B123" s="53" t="s">
        <v>425</v>
      </c>
      <c r="C123" s="1" t="s">
        <v>53</v>
      </c>
      <c r="N123" s="4" t="str">
        <f>IF(B103=C103,B117,IF(B103=D103,C117,0))</f>
        <v>SHADMANOVA GULMIRA ZAKIROVNA</v>
      </c>
    </row>
    <row r="124" spans="1:18" ht="45">
      <c r="A124" s="3" t="s">
        <v>172</v>
      </c>
      <c r="B124" s="53" t="s">
        <v>426</v>
      </c>
      <c r="C124" s="56" t="s">
        <v>55</v>
      </c>
      <c r="D124" s="59" t="s">
        <v>161</v>
      </c>
      <c r="Q124" s="4" t="str">
        <f>""&amp;B95&amp;" (по генеральному доверенестью №"&amp;B100&amp;" от "&amp;B102&amp;")"</f>
        <v xml:space="preserve"> (по генеральному доверенестью № от 00.01.1900)</v>
      </c>
      <c r="R124" s="4" t="str">
        <f>""&amp;B95&amp;" ("&amp;B102&amp;"y. sanasidagi reestr raqami №"&amp;B100&amp;" bo'lgan Ishonchnomaga asosan)"</f>
        <v xml:space="preserve"> (00.01.1900y. sanasidagi reestr raqami № bo'lgan Ishonchnomaga asosan)</v>
      </c>
    </row>
    <row r="125" spans="1:18" ht="30">
      <c r="A125" s="3" t="s">
        <v>173</v>
      </c>
      <c r="B125" s="53" t="s">
        <v>427</v>
      </c>
      <c r="C125" s="109" t="str">
        <f>""&amp;D126&amp;" "&amp;IF(C129=D129,"- xonali yakka tartibdagi uy-joy", IF(C129=E129,"-  xonali ko'p qavatli uydagi xonadon",0))&amp;""</f>
        <v>3 - xonali yakka tartibdagi uy-joy</v>
      </c>
      <c r="D125" s="97" t="s">
        <v>159</v>
      </c>
      <c r="E125" s="98" t="str">
        <f>IF($C$129=$D$129,I125,IF($C$129=$E$129,H125,0))</f>
        <v>3 - xonali yakka tartibdagi uy-joy</v>
      </c>
      <c r="F125" s="186" t="str">
        <f>IF($C$129=$D$129,I125,IF($C$129=$E$129,H125,0))</f>
        <v>3 - xonali yakka tartibdagi uy-joy</v>
      </c>
      <c r="G125" s="98"/>
      <c r="H125" s="98" t="str">
        <f>"Ko'p qavatli uydagi "&amp;D126&amp;" - xonali xonadon"</f>
        <v>Ko'p qavatli uydagi 3 - xonali xonadon</v>
      </c>
      <c r="I125" s="98" t="str">
        <f>""&amp;D126&amp;" - xonali yakka tartibdagi uy-joy"</f>
        <v>3 - xonali yakka tartibdagi uy-joy</v>
      </c>
      <c r="J125" s="98"/>
      <c r="K125" s="98"/>
      <c r="L125" s="98"/>
      <c r="M125" s="98"/>
      <c r="N125" s="4" t="str">
        <f>IF(B93=C93,Q126,IF(B93=D93,Q125,0))</f>
        <v>Микрофинансовой организацией, Заемщиком и SHADMANOVA GULMIRA ZAKIROVNA</v>
      </c>
      <c r="Q125" s="4" t="str">
        <f>"Микрофинансовой организацией, Заемщиком и "&amp;IF(B94=D94,Q124,IF(B94=C94,B111,0))&amp;""</f>
        <v>Микрофинансовой организацией, Заемщиком и SHADMANOVA GULMIRA ZAKIROVNA</v>
      </c>
      <c r="R125" s="4" t="str">
        <f>"Mikromoliya tashkiloti, Qarz oluvchi va "&amp;IF(B94=D94,R124,IF(B94=C94,B111))&amp;""</f>
        <v>Mikromoliya tashkiloti, Qarz oluvchi va SHADMANOVA GULMIRA ZAKIROVNA</v>
      </c>
    </row>
    <row r="126" spans="1:18">
      <c r="A126" s="3" t="s">
        <v>174</v>
      </c>
      <c r="B126" s="169" t="s">
        <v>428</v>
      </c>
      <c r="C126" s="109" t="str">
        <f>C125</f>
        <v>3 - xonali yakka tartibdagi uy-joy</v>
      </c>
      <c r="D126" s="96">
        <v>3</v>
      </c>
      <c r="E126" s="98" t="str">
        <f>IF($C$129=$D$129,I126,IF($C$129=$E$129,H126,0))</f>
        <v>yer uchastkasi maydoni - , umumiy maydoni - 72.13 kv.m., yashah maydoni - 37.39 kv.m</v>
      </c>
      <c r="F126" s="186" t="str">
        <f>IF($C$129=$D$129,I126,IF($C$129=$E$129,H126,0))</f>
        <v>yer uchastkasi maydoni - , umumiy maydoni - 72.13 kv.m., yashah maydoni - 37.39 kv.m</v>
      </c>
      <c r="G126" s="98"/>
      <c r="H126" s="98" t="str">
        <f>"umumiy maydoni - "&amp;C130&amp;", yashash maydoni - "&amp;C133&amp;""</f>
        <v>umumiy maydoni - 72.13 kv.m., yashash maydoni - 37.39 kv.m</v>
      </c>
      <c r="I126" s="98" t="str">
        <f>"yer uchastkasi maydoni - "&amp;C131&amp;", umumiy maydoni - "&amp;C130&amp;", yashah maydoni - "&amp;C133&amp;""</f>
        <v>yer uchastkasi maydoni - , umumiy maydoni - 72.13 kv.m., yashah maydoni - 37.39 kv.m</v>
      </c>
      <c r="J126" s="98"/>
      <c r="K126" s="98"/>
      <c r="L126" s="98"/>
      <c r="M126" s="98"/>
      <c r="N126" s="4" t="str">
        <f>IF(B93=C93,R126,IF(B93=D93,R125,0))</f>
        <v>Mikromoliya tashkiloti, Qarz oluvchi va SHADMANOVA GULMIRA ZAKIROVNA</v>
      </c>
      <c r="Q126" s="4" t="s">
        <v>59</v>
      </c>
      <c r="R126" s="4" t="s">
        <v>160</v>
      </c>
    </row>
    <row r="127" spans="1:18" ht="27" hidden="1" customHeight="1">
      <c r="A127" s="3" t="s">
        <v>175</v>
      </c>
      <c r="B127" s="94" t="str">
        <f>"kuzov turi - "&amp;B128&amp;", kuzov raqami "&amp;B129&amp;""</f>
        <v>kuzov turi - YENGIL SEDAN, kuzov raqami XWBJA69VEPA011841</v>
      </c>
      <c r="C127" s="56" t="s">
        <v>54</v>
      </c>
      <c r="D127" s="59" t="s">
        <v>22</v>
      </c>
    </row>
    <row r="128" spans="1:18">
      <c r="A128" s="86" t="s">
        <v>176</v>
      </c>
      <c r="B128" s="53" t="s">
        <v>419</v>
      </c>
      <c r="C128" s="159"/>
      <c r="D128" s="59"/>
    </row>
    <row r="129" spans="1:5">
      <c r="A129" s="86" t="s">
        <v>177</v>
      </c>
      <c r="B129" s="53" t="s">
        <v>429</v>
      </c>
      <c r="C129" s="55" t="s">
        <v>162</v>
      </c>
      <c r="D129" s="187" t="s">
        <v>162</v>
      </c>
      <c r="E129" s="5" t="s">
        <v>163</v>
      </c>
    </row>
    <row r="130" spans="1:5" ht="27" hidden="1" customHeight="1">
      <c r="A130" s="3" t="s">
        <v>178</v>
      </c>
      <c r="B130" s="94" t="str">
        <f>"dvigatel raqami "&amp;B131&amp;", shassi raqami - "&amp;B132&amp;""</f>
        <v>dvigatel raqami B15D212223022MTAX0763, shassi raqami - -</v>
      </c>
      <c r="C130" s="55" t="s">
        <v>272</v>
      </c>
      <c r="D130" s="4" t="s">
        <v>164</v>
      </c>
    </row>
    <row r="131" spans="1:5">
      <c r="A131" s="86" t="s">
        <v>179</v>
      </c>
      <c r="B131" s="53" t="s">
        <v>430</v>
      </c>
      <c r="C131" s="55"/>
      <c r="D131" s="4" t="s">
        <v>165</v>
      </c>
    </row>
    <row r="132" spans="1:5">
      <c r="A132" s="86" t="s">
        <v>180</v>
      </c>
      <c r="B132" s="53" t="s">
        <v>3</v>
      </c>
      <c r="C132" s="55"/>
    </row>
    <row r="133" spans="1:5" ht="25.5" hidden="1" customHeight="1">
      <c r="A133" s="3" t="s">
        <v>181</v>
      </c>
      <c r="B133" s="94" t="str">
        <f>"rangi -  "&amp;B134&amp;", ishlab chiqarilgan yili - "&amp;B135&amp;""</f>
        <v>rangi -  OQ BELIY, ishlab chiqarilgan yili - 2022</v>
      </c>
      <c r="C133" s="55" t="s">
        <v>273</v>
      </c>
      <c r="D133" s="4" t="s">
        <v>271</v>
      </c>
    </row>
    <row r="134" spans="1:5">
      <c r="A134" s="86" t="s">
        <v>182</v>
      </c>
      <c r="B134" s="53" t="s">
        <v>431</v>
      </c>
      <c r="C134" s="55"/>
    </row>
    <row r="135" spans="1:5">
      <c r="A135" s="86" t="s">
        <v>183</v>
      </c>
      <c r="B135" s="70" t="s">
        <v>432</v>
      </c>
      <c r="C135" s="55"/>
    </row>
    <row r="136" spans="1:5" hidden="1">
      <c r="A136" s="3" t="s">
        <v>184</v>
      </c>
      <c r="B136" s="25">
        <f>B75*1.5</f>
        <v>30000000</v>
      </c>
      <c r="C136" s="25">
        <f>B136</f>
        <v>30000000</v>
      </c>
    </row>
    <row r="137" spans="1:5" ht="27.75" hidden="1" customHeight="1">
      <c r="A137" s="218"/>
      <c r="B137" s="65"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136))&gt;6,ROMAN(MID(INT(B136),1,LEN(INT(B136))-6)+0)&amp;" million "&amp;ROMAN(MID(INT(B136),LEN(INT(B136))-5,3)+0)&amp;" ming "&amp;ROMAN(MID(INT(B136),LEN(INT(B136))-2,3)+0),IF(LEN(INT(B136))&gt;3,ROMAN(MID(INT(B136),1,LEN(INT(B136))-3)+0)&amp;" ming "&amp;ROMAN(MID(INT(B136),LEN(INT(B136))-2,3)+0),ROMAN(INT(B136)))),"DCCC","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o'ttiz million so'm</v>
      </c>
      <c r="C137" s="180" t="str">
        <f>B137</f>
        <v>o'ttiz million so'm</v>
      </c>
    </row>
    <row r="138" spans="1:5" ht="27.75" hidden="1" customHeight="1">
      <c r="A138" s="3"/>
      <c r="B138" s="180" t="str">
        <f>B137</f>
        <v>o'ttiz million so'm</v>
      </c>
      <c r="C138" s="87"/>
    </row>
    <row r="139" spans="1:5" ht="20.25">
      <c r="A139" s="3" t="s">
        <v>372</v>
      </c>
      <c r="B139" s="65">
        <v>85342</v>
      </c>
    </row>
    <row r="140" spans="1:5">
      <c r="A140" s="3" t="s">
        <v>401</v>
      </c>
      <c r="B140" s="53">
        <v>2</v>
      </c>
    </row>
    <row r="141" spans="1:5">
      <c r="A141" s="3" t="s">
        <v>166</v>
      </c>
      <c r="B141" s="2" t="s">
        <v>155</v>
      </c>
      <c r="C141" s="4">
        <v>1</v>
      </c>
    </row>
    <row r="142" spans="1:5" hidden="1">
      <c r="A142" s="3" t="s">
        <v>167</v>
      </c>
      <c r="B142" s="8" t="str">
        <f>B70</f>
        <v>7 mart 2025 y.</v>
      </c>
      <c r="C142" s="54" t="str">
        <f>B70</f>
        <v>7 mart 2025 y.</v>
      </c>
    </row>
    <row r="143" spans="1:5" hidden="1">
      <c r="A143" s="3"/>
      <c r="B143" s="1">
        <f>YEAR(B67)</f>
        <v>2025</v>
      </c>
      <c r="C143" s="54"/>
    </row>
    <row r="144" spans="1:5" hidden="1">
      <c r="A144" s="3"/>
      <c r="B144" s="184" t="str">
        <f>D67</f>
        <v>mart</v>
      </c>
      <c r="C144" s="54"/>
    </row>
    <row r="145" spans="1:3" hidden="1">
      <c r="A145" s="3"/>
      <c r="B145" s="1">
        <f>DAY(B67)</f>
        <v>7</v>
      </c>
      <c r="C145" s="54"/>
    </row>
    <row r="146" spans="1:3">
      <c r="A146" s="254" t="s">
        <v>382</v>
      </c>
      <c r="B146" s="254"/>
    </row>
    <row r="147" spans="1:3">
      <c r="A147" s="3" t="s">
        <v>185</v>
      </c>
      <c r="B147" s="1" t="s">
        <v>406</v>
      </c>
    </row>
    <row r="148" spans="1:3">
      <c r="A148" s="3"/>
      <c r="B148" s="1" t="s">
        <v>406</v>
      </c>
    </row>
    <row r="149" spans="1:3">
      <c r="A149" s="3"/>
      <c r="B149" s="1" t="s">
        <v>406</v>
      </c>
    </row>
    <row r="150" spans="1:3">
      <c r="A150" s="3" t="s">
        <v>413</v>
      </c>
      <c r="B150" s="1" t="s">
        <v>437</v>
      </c>
    </row>
    <row r="151" spans="1:3">
      <c r="A151" s="3"/>
      <c r="B151" s="1" t="s">
        <v>407</v>
      </c>
    </row>
    <row r="152" spans="1:3">
      <c r="A152" s="3" t="s">
        <v>189</v>
      </c>
      <c r="B152" s="1" t="s">
        <v>186</v>
      </c>
    </row>
    <row r="153" spans="1:3" ht="28.5">
      <c r="A153" s="3" t="s">
        <v>190</v>
      </c>
      <c r="B153" s="1" t="s">
        <v>187</v>
      </c>
    </row>
    <row r="154" spans="1:3">
      <c r="A154" s="3" t="s">
        <v>191</v>
      </c>
      <c r="B154" s="1" t="s">
        <v>26</v>
      </c>
    </row>
    <row r="155" spans="1:3">
      <c r="A155" s="3" t="s">
        <v>192</v>
      </c>
      <c r="B155" s="1" t="s">
        <v>24</v>
      </c>
    </row>
    <row r="156" spans="1:3">
      <c r="A156" s="3" t="s">
        <v>193</v>
      </c>
      <c r="B156" s="1" t="s">
        <v>188</v>
      </c>
    </row>
    <row r="157" spans="1:3">
      <c r="A157" s="3" t="s">
        <v>194</v>
      </c>
      <c r="B157" s="2" t="s">
        <v>27</v>
      </c>
    </row>
    <row r="158" spans="1:3">
      <c r="A158" s="3" t="s">
        <v>195</v>
      </c>
      <c r="B158" s="1" t="s">
        <v>360</v>
      </c>
    </row>
    <row r="159" spans="1:3">
      <c r="A159" s="3" t="s">
        <v>196</v>
      </c>
      <c r="B159" s="1" t="s">
        <v>420</v>
      </c>
    </row>
    <row r="160" spans="1:3">
      <c r="A160" s="3" t="s">
        <v>404</v>
      </c>
      <c r="B160" s="1" t="s">
        <v>414</v>
      </c>
    </row>
    <row r="161" spans="1:2">
      <c r="A161" s="3" t="s">
        <v>413</v>
      </c>
      <c r="B161" s="1" t="s">
        <v>437</v>
      </c>
    </row>
    <row r="162" spans="1:2">
      <c r="A162" s="3" t="s">
        <v>197</v>
      </c>
      <c r="B162" s="2" t="s">
        <v>373</v>
      </c>
    </row>
    <row r="163" spans="1:2">
      <c r="A163" s="3" t="s">
        <v>198</v>
      </c>
      <c r="B163" s="2" t="s">
        <v>374</v>
      </c>
    </row>
    <row r="164" spans="1:2">
      <c r="A164" s="3" t="s">
        <v>199</v>
      </c>
      <c r="B164" s="1" t="str">
        <f>B1</f>
        <v>№558-SM</v>
      </c>
    </row>
    <row r="165" spans="1:2">
      <c r="A165" s="3" t="s">
        <v>200</v>
      </c>
      <c r="B165" s="8" t="str">
        <f>B70</f>
        <v>7 mart 2025 y.</v>
      </c>
    </row>
  </sheetData>
  <mergeCells count="6">
    <mergeCell ref="A146:B146"/>
    <mergeCell ref="A97:B97"/>
    <mergeCell ref="A4:B4"/>
    <mergeCell ref="A57:B57"/>
    <mergeCell ref="A64:B64"/>
    <mergeCell ref="A91:B91"/>
  </mergeCells>
  <dataValidations disablePrompts="1" count="13">
    <dataValidation type="list" allowBlank="1" showInputMessage="1" showErrorMessage="1" sqref="B30" xr:uid="{00000000-0002-0000-0300-000000000000}">
      <formula1>$C$30:$D$30</formula1>
    </dataValidation>
    <dataValidation type="list" allowBlank="1" showInputMessage="1" showErrorMessage="1" sqref="B93" xr:uid="{00000000-0002-0000-0300-000001000000}">
      <formula1>$C$93:$D$93</formula1>
    </dataValidation>
    <dataValidation type="list" allowBlank="1" showInputMessage="1" showErrorMessage="1" sqref="B103" xr:uid="{00000000-0002-0000-0300-000002000000}">
      <formula1>$C$103:$D$103</formula1>
    </dataValidation>
    <dataValidation type="list" allowBlank="1" showInputMessage="1" showErrorMessage="1" sqref="B77" xr:uid="{00000000-0002-0000-0300-000003000000}">
      <formula1>$C$77:$D$77</formula1>
    </dataValidation>
    <dataValidation type="list" allowBlank="1" showInputMessage="1" showErrorMessage="1" sqref="C129" xr:uid="{00000000-0002-0000-0300-000004000000}">
      <formula1>$D$129:$E$129</formula1>
    </dataValidation>
    <dataValidation type="list" allowBlank="1" showInputMessage="1" showErrorMessage="1" sqref="B92" xr:uid="{00000000-0002-0000-0300-000005000000}">
      <formula1>$C$92:$D$92</formula1>
    </dataValidation>
    <dataValidation type="list" allowBlank="1" showInputMessage="1" showErrorMessage="1" sqref="B94" xr:uid="{00000000-0002-0000-0300-000006000000}">
      <formula1>$C$94:$D$94</formula1>
    </dataValidation>
    <dataValidation type="list" allowBlank="1" showInputMessage="1" showErrorMessage="1" sqref="B23" xr:uid="{00000000-0002-0000-0300-000007000000}">
      <formula1>$C$23:$D$23</formula1>
    </dataValidation>
    <dataValidation type="list" allowBlank="1" showInputMessage="1" showErrorMessage="1" sqref="B29" xr:uid="{00000000-0002-0000-0300-000008000000}">
      <formula1>$C$29:$F$29</formula1>
    </dataValidation>
    <dataValidation type="list" allowBlank="1" showInputMessage="1" showErrorMessage="1" sqref="B24" xr:uid="{00000000-0002-0000-0300-000009000000}">
      <formula1>$C$24:$D$24</formula1>
    </dataValidation>
    <dataValidation type="list" allowBlank="1" showInputMessage="1" showErrorMessage="1" sqref="B83" xr:uid="{00000000-0002-0000-0300-00000A000000}">
      <formula1>$BJ$83:$BK$83</formula1>
    </dataValidation>
    <dataValidation type="list" allowBlank="1" showInputMessage="1" showErrorMessage="1" sqref="B6" xr:uid="{00000000-0002-0000-0300-00000B000000}">
      <formula1>$C$6:$D$6</formula1>
    </dataValidation>
    <dataValidation type="list" allowBlank="1" showInputMessage="1" showErrorMessage="1" sqref="B44" xr:uid="{00000000-0002-0000-0300-00000C000000}">
      <formula1>$C$44:$D$44</formula1>
    </dataValidation>
  </dataValidations>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Лист18">
    <tabColor theme="1"/>
  </sheetPr>
  <dimension ref="A1:H64"/>
  <sheetViews>
    <sheetView view="pageBreakPreview" topLeftCell="A19" zoomScaleSheetLayoutView="100" workbookViewId="0">
      <selection activeCell="A43" sqref="A32:H43"/>
    </sheetView>
  </sheetViews>
  <sheetFormatPr defaultColWidth="9.140625" defaultRowHeight="15" outlineLevelCol="1"/>
  <cols>
    <col min="1" max="1" width="9.140625" style="19"/>
    <col min="2" max="2" width="10.140625" style="19" bestFit="1" customWidth="1"/>
    <col min="3" max="3" width="16.5703125" style="19" customWidth="1"/>
    <col min="4" max="5" width="15.7109375" style="19" bestFit="1" customWidth="1"/>
    <col min="6" max="6" width="20.85546875" style="19" customWidth="1"/>
    <col min="7" max="7" width="10.140625" style="19" customWidth="1" outlineLevel="1"/>
    <col min="8" max="16384" width="9.140625" style="19"/>
  </cols>
  <sheetData>
    <row r="1" spans="1:8">
      <c r="A1" s="41"/>
      <c r="B1" s="41"/>
      <c r="C1" s="41"/>
      <c r="D1" s="41"/>
      <c r="E1" s="257" t="s">
        <v>16</v>
      </c>
      <c r="F1" s="257"/>
    </row>
    <row r="2" spans="1:8">
      <c r="A2" s="41"/>
      <c r="B2" s="41"/>
      <c r="C2" s="41"/>
      <c r="D2" s="41"/>
      <c r="E2" s="41"/>
      <c r="F2" s="42" t="str">
        <f>"к договору микрозайма "&amp;'Общие данные'!B74&amp;""</f>
        <v>к договору микрозайма 7 mart 2025 y.dan №558-SM</v>
      </c>
    </row>
    <row r="3" spans="1:8" ht="6.75" customHeight="1">
      <c r="A3" s="41"/>
      <c r="B3" s="41"/>
      <c r="C3" s="41"/>
      <c r="D3" s="41"/>
      <c r="E3" s="41"/>
      <c r="F3" s="41"/>
    </row>
    <row r="4" spans="1:8">
      <c r="A4" s="258" t="s">
        <v>17</v>
      </c>
      <c r="B4" s="258"/>
      <c r="C4" s="258"/>
      <c r="D4" s="258"/>
      <c r="E4" s="258"/>
      <c r="F4" s="258"/>
    </row>
    <row r="5" spans="1:8" ht="7.5" customHeight="1"/>
    <row r="6" spans="1:8">
      <c r="A6" s="259" t="s">
        <v>15</v>
      </c>
      <c r="B6" s="260" t="s">
        <v>9</v>
      </c>
      <c r="C6" s="260" t="s">
        <v>10</v>
      </c>
      <c r="D6" s="261" t="s">
        <v>11</v>
      </c>
      <c r="E6" s="261"/>
      <c r="F6" s="261"/>
    </row>
    <row r="7" spans="1:8" s="20" customFormat="1" ht="30">
      <c r="A7" s="259"/>
      <c r="B7" s="260"/>
      <c r="C7" s="260"/>
      <c r="D7" s="21" t="s">
        <v>12</v>
      </c>
      <c r="E7" s="21" t="s">
        <v>13</v>
      </c>
      <c r="F7" s="21" t="s">
        <v>14</v>
      </c>
    </row>
    <row r="8" spans="1:8">
      <c r="A8" s="22">
        <v>1</v>
      </c>
      <c r="B8" s="37">
        <f>'График дифференц'!B8</f>
        <v>45762</v>
      </c>
      <c r="C8" s="38">
        <f>'Общие данные'!B75</f>
        <v>20000000</v>
      </c>
      <c r="D8" s="38">
        <f>IF(A8&lt;'Общие данные'!$B$81,'График аннуитет.'!F8-'График аннуитет.'!E8,'График аннуитет.'!C8)</f>
        <v>833333.33000000007</v>
      </c>
      <c r="E8" s="38">
        <f>ROUND(C8*'Общие данные'!$B$84/H8,2)*'График аннуитет.'!G8</f>
        <v>1282191.69</v>
      </c>
      <c r="F8" s="38">
        <f>'Общие данные'!B90</f>
        <v>2115525.02</v>
      </c>
      <c r="G8" s="19">
        <f>B8-'Общие данные'!B67</f>
        <v>39</v>
      </c>
      <c r="H8" s="19">
        <f>DATE(YEAR(B8),12,31)-DATE(YEAR(B8),1,1)+1</f>
        <v>365</v>
      </c>
    </row>
    <row r="9" spans="1:8">
      <c r="A9" s="22">
        <v>2</v>
      </c>
      <c r="B9" s="37">
        <f>'График дифференц'!B9</f>
        <v>45792</v>
      </c>
      <c r="C9" s="38">
        <f>C8-D8</f>
        <v>19166666.670000002</v>
      </c>
      <c r="D9" s="38">
        <f>IF(A9&lt;'Общие данные'!$B$81,'График аннуитет.'!F9-'График аннуитет.'!E9,'График аннуитет.'!C9)</f>
        <v>1170319.52</v>
      </c>
      <c r="E9" s="38">
        <f>ROUND(C9*'Общие данные'!$B$84/H9,2)*'График аннуитет.'!G9</f>
        <v>945205.5</v>
      </c>
      <c r="F9" s="38">
        <f>IF(A9&lt;'Общие данные'!$B$81,'График аннуитет.'!F8,'График аннуитет.'!D9+'График аннуитет.'!E9)</f>
        <v>2115525.02</v>
      </c>
      <c r="G9" s="19">
        <f>B9-B8</f>
        <v>30</v>
      </c>
      <c r="H9" s="19">
        <f t="shared" ref="H9:H31" si="0">DATE(YEAR(B9),12,31)-DATE(YEAR(B9),1,1)+1</f>
        <v>365</v>
      </c>
    </row>
    <row r="10" spans="1:8">
      <c r="A10" s="22">
        <v>3</v>
      </c>
      <c r="B10" s="37">
        <f>'График дифференц'!B10</f>
        <v>45824</v>
      </c>
      <c r="C10" s="38">
        <f t="shared" ref="C10:C31" si="1">C9-D9</f>
        <v>17996347.150000002</v>
      </c>
      <c r="D10" s="38">
        <f>IF(A10&lt;'Общие данные'!$B$81,'График аннуитет.'!F10-'График аннуитет.'!E10,'График аннуитет.'!C10)</f>
        <v>1168867.74</v>
      </c>
      <c r="E10" s="38">
        <f>ROUND(C10*'Общие данные'!$B$84/H10,2)*'График аннуитет.'!G10</f>
        <v>946657.28000000003</v>
      </c>
      <c r="F10" s="38">
        <f>IF(A10&lt;'Общие данные'!$B$81,'График аннуитет.'!F9,'График аннуитет.'!D10+'График аннуитет.'!E10)</f>
        <v>2115525.02</v>
      </c>
      <c r="G10" s="19">
        <f t="shared" ref="G10:G24" si="2">B10-B9</f>
        <v>32</v>
      </c>
      <c r="H10" s="19">
        <f t="shared" si="0"/>
        <v>365</v>
      </c>
    </row>
    <row r="11" spans="1:8">
      <c r="A11" s="22">
        <v>4</v>
      </c>
      <c r="B11" s="37">
        <f>'График дифференц'!B11</f>
        <v>45853</v>
      </c>
      <c r="C11" s="38">
        <f t="shared" si="1"/>
        <v>16827479.410000004</v>
      </c>
      <c r="D11" s="38">
        <f>IF(A11&lt;'Общие данные'!$B$81,'График аннуитет.'!F11-'График аннуитет.'!E11,'График аннуитет.'!C11)</f>
        <v>1313338.33</v>
      </c>
      <c r="E11" s="38">
        <f>ROUND(C11*'Общие данные'!$B$84/H11,2)*'График аннуитет.'!G11</f>
        <v>802186.69000000006</v>
      </c>
      <c r="F11" s="38">
        <f>IF(A11&lt;'Общие данные'!$B$81,'График аннуитет.'!F10,'График аннуитет.'!D11+'График аннуитет.'!E11)</f>
        <v>2115525.02</v>
      </c>
      <c r="G11" s="19">
        <f t="shared" si="2"/>
        <v>29</v>
      </c>
      <c r="H11" s="19">
        <f t="shared" si="0"/>
        <v>365</v>
      </c>
    </row>
    <row r="12" spans="1:8">
      <c r="A12" s="22">
        <v>5</v>
      </c>
      <c r="B12" s="37">
        <f>'График дифференц'!B12</f>
        <v>45884</v>
      </c>
      <c r="C12" s="38">
        <f t="shared" si="1"/>
        <v>15514141.080000004</v>
      </c>
      <c r="D12" s="38">
        <f>IF(A12&lt;'Общие данные'!$B$81,'График аннуитет.'!F12-'График аннуитет.'!E12,'График аннуитет.'!C12)</f>
        <v>1324941.3199999998</v>
      </c>
      <c r="E12" s="38">
        <f>ROUND(C12*'Общие данные'!$B$84/H12,2)*'График аннуитет.'!G12</f>
        <v>790583.70000000007</v>
      </c>
      <c r="F12" s="38">
        <f>IF(A12&lt;'Общие данные'!$B$81,'График аннуитет.'!F11,'График аннуитет.'!D12+'График аннуитет.'!E12)</f>
        <v>2115525.02</v>
      </c>
      <c r="G12" s="19">
        <f t="shared" si="2"/>
        <v>31</v>
      </c>
      <c r="H12" s="19">
        <f t="shared" si="0"/>
        <v>365</v>
      </c>
    </row>
    <row r="13" spans="1:8">
      <c r="A13" s="22">
        <v>6</v>
      </c>
      <c r="B13" s="37">
        <f>'График дифференц'!B13</f>
        <v>45915</v>
      </c>
      <c r="C13" s="38">
        <f t="shared" si="1"/>
        <v>14189199.760000004</v>
      </c>
      <c r="D13" s="38">
        <f>IF(A13&lt;'Общие данные'!$B$81,'График аннуитет.'!F13-'График аннуитет.'!E13,'График аннуитет.'!C13)</f>
        <v>1392459.01</v>
      </c>
      <c r="E13" s="38">
        <f>ROUND(C13*'Общие данные'!$B$84/H13,2)*'График аннуитет.'!G13</f>
        <v>723066.01</v>
      </c>
      <c r="F13" s="38">
        <f>IF(A13&lt;'Общие данные'!$B$81,'График аннуитет.'!F12,'График аннуитет.'!D13+'График аннуитет.'!E13)</f>
        <v>2115525.02</v>
      </c>
      <c r="G13" s="19">
        <f t="shared" si="2"/>
        <v>31</v>
      </c>
      <c r="H13" s="19">
        <f t="shared" si="0"/>
        <v>365</v>
      </c>
    </row>
    <row r="14" spans="1:8">
      <c r="A14" s="22">
        <v>7</v>
      </c>
      <c r="B14" s="37">
        <f>'График дифференц'!B14</f>
        <v>45945</v>
      </c>
      <c r="C14" s="38">
        <f t="shared" si="1"/>
        <v>12796740.750000004</v>
      </c>
      <c r="D14" s="38">
        <f>IF(A14&lt;'Общие данные'!$B$81,'График аннуитет.'!F14-'График аннуитет.'!E14,'График аннуитет.'!C14)</f>
        <v>1484452.8199999998</v>
      </c>
      <c r="E14" s="38">
        <f>ROUND(C14*'Общие данные'!$B$84/H14,2)*'График аннуитет.'!G14</f>
        <v>631072.20000000007</v>
      </c>
      <c r="F14" s="38">
        <f>IF(A14&lt;'Общие данные'!$B$81,'График аннуитет.'!F13,'График аннуитет.'!D14+'График аннуитет.'!E14)</f>
        <v>2115525.02</v>
      </c>
      <c r="G14" s="19">
        <f t="shared" si="2"/>
        <v>30</v>
      </c>
      <c r="H14" s="19">
        <f t="shared" si="0"/>
        <v>365</v>
      </c>
    </row>
    <row r="15" spans="1:8">
      <c r="A15" s="22">
        <v>8</v>
      </c>
      <c r="B15" s="37">
        <f>'График дифференц'!B15</f>
        <v>45978</v>
      </c>
      <c r="C15" s="38">
        <f t="shared" si="1"/>
        <v>11312287.930000003</v>
      </c>
      <c r="D15" s="38">
        <f>IF(A15&lt;'Общие данные'!$B$81,'График аннуитет.'!F15-'График аннуитет.'!E15,'График аннуитет.'!C15)</f>
        <v>1501872.2</v>
      </c>
      <c r="E15" s="38">
        <f>ROUND(C15*'Общие данные'!$B$84/H15,2)*'График аннуитет.'!G15</f>
        <v>613652.82000000007</v>
      </c>
      <c r="F15" s="38">
        <f>IF(A15&lt;'Общие данные'!$B$81,'График аннуитет.'!F14,'График аннуитет.'!D15+'График аннуитет.'!E15)</f>
        <v>2115525.02</v>
      </c>
      <c r="G15" s="19">
        <f t="shared" si="2"/>
        <v>33</v>
      </c>
      <c r="H15" s="19">
        <f t="shared" si="0"/>
        <v>365</v>
      </c>
    </row>
    <row r="16" spans="1:8">
      <c r="A16" s="22">
        <v>9</v>
      </c>
      <c r="B16" s="37">
        <f>'График дифференц'!B16</f>
        <v>46006</v>
      </c>
      <c r="C16" s="38">
        <f t="shared" si="1"/>
        <v>9810415.7300000042</v>
      </c>
      <c r="D16" s="38">
        <f>IF(A16&lt;'Общие данные'!$B$81,'График аннуитет.'!F16-'График аннуитет.'!E16,'График аннуитет.'!C16)</f>
        <v>1663977.1400000001</v>
      </c>
      <c r="E16" s="38">
        <f>ROUND(C16*'Общие данные'!$B$84/H16,2)*'График аннуитет.'!G16</f>
        <v>451547.88</v>
      </c>
      <c r="F16" s="38">
        <f>IF(A16&lt;'Общие данные'!$B$81,'График аннуитет.'!F15,'График аннуитет.'!D16+'График аннуитет.'!E16)</f>
        <v>2115525.02</v>
      </c>
      <c r="G16" s="19">
        <f t="shared" si="2"/>
        <v>28</v>
      </c>
      <c r="H16" s="19">
        <f t="shared" si="0"/>
        <v>365</v>
      </c>
    </row>
    <row r="17" spans="1:8">
      <c r="A17" s="22">
        <v>10</v>
      </c>
      <c r="B17" s="37">
        <f>'График дифференц'!B17</f>
        <v>46037</v>
      </c>
      <c r="C17" s="38">
        <f t="shared" si="1"/>
        <v>8146438.5900000036</v>
      </c>
      <c r="D17" s="38">
        <f>IF(A17&lt;'Общие данные'!$B$81,'График аннуитет.'!F17-'График аннуитет.'!E17,'График аннуитет.'!C17)</f>
        <v>1700391.31</v>
      </c>
      <c r="E17" s="38">
        <f>ROUND(C17*'Общие данные'!$B$84/H17,2)*'График аннуитет.'!G17</f>
        <v>415133.71</v>
      </c>
      <c r="F17" s="38">
        <f>IF(A17&lt;'Общие данные'!$B$81,'График аннуитет.'!F16,'График аннуитет.'!D17+'График аннуитет.'!E17)</f>
        <v>2115525.02</v>
      </c>
      <c r="G17" s="19">
        <f t="shared" si="2"/>
        <v>31</v>
      </c>
      <c r="H17" s="19">
        <f t="shared" si="0"/>
        <v>365</v>
      </c>
    </row>
    <row r="18" spans="1:8">
      <c r="A18" s="22">
        <v>11</v>
      </c>
      <c r="B18" s="37">
        <f>'График дифференц'!B18</f>
        <v>46069</v>
      </c>
      <c r="C18" s="38">
        <f t="shared" si="1"/>
        <v>6446047.2800000031</v>
      </c>
      <c r="D18" s="38">
        <f>IF(A18&lt;'Общие данные'!$B$81,'График аннуитет.'!F18-'График аннуитет.'!E18,'График аннуитет.'!C18)</f>
        <v>1776445.34</v>
      </c>
      <c r="E18" s="38">
        <f>ROUND(C18*'Общие данные'!$B$84/H18,2)*'График аннуитет.'!G18</f>
        <v>339079.67999999999</v>
      </c>
      <c r="F18" s="38">
        <f>IF(A18&lt;'Общие данные'!$B$81,'График аннуитет.'!F17,'График аннуитет.'!D18+'График аннуитет.'!E18)</f>
        <v>2115525.02</v>
      </c>
      <c r="G18" s="19">
        <f t="shared" si="2"/>
        <v>32</v>
      </c>
      <c r="H18" s="19">
        <f t="shared" si="0"/>
        <v>365</v>
      </c>
    </row>
    <row r="19" spans="1:8">
      <c r="A19" s="22">
        <v>12</v>
      </c>
      <c r="B19" s="37">
        <f>'График дифференц'!B19</f>
        <v>46097</v>
      </c>
      <c r="C19" s="38">
        <f t="shared" si="1"/>
        <v>4669601.9400000032</v>
      </c>
      <c r="D19" s="38">
        <f>IF(A19&lt;'Общие данные'!$B$81,'График аннуитет.'!F19-'График аннуитет.'!E19,'График аннуитет.'!C19)</f>
        <v>1900595.34</v>
      </c>
      <c r="E19" s="38">
        <f>ROUND(C19*'Общие данные'!$B$84/H19,2)*'График аннуитет.'!G19</f>
        <v>214929.68000000002</v>
      </c>
      <c r="F19" s="38">
        <f>IF(A19&lt;'Общие данные'!$B$81,'График аннуитет.'!F18,'График аннуитет.'!D19+'График аннуитет.'!E19)</f>
        <v>2115525.02</v>
      </c>
      <c r="G19" s="19">
        <f>B19-B18</f>
        <v>28</v>
      </c>
      <c r="H19" s="19">
        <f t="shared" si="0"/>
        <v>365</v>
      </c>
    </row>
    <row r="20" spans="1:8">
      <c r="A20" s="22">
        <v>13</v>
      </c>
      <c r="B20" s="37">
        <f>'График дифференц'!B20</f>
        <v>46127</v>
      </c>
      <c r="C20" s="38">
        <f t="shared" si="1"/>
        <v>2769006.6000000034</v>
      </c>
      <c r="D20" s="38">
        <f>IF(A20&lt;'Общие данные'!$B$81,'График аннуитет.'!F20-'График аннуитет.'!E20,'График аннуитет.'!C20)</f>
        <v>1978971.32</v>
      </c>
      <c r="E20" s="38">
        <f>ROUND(C20*'Общие данные'!$B$84/H20,2)*'График аннуитет.'!G20</f>
        <v>136553.70000000001</v>
      </c>
      <c r="F20" s="38">
        <f>IF(A20&lt;'Общие данные'!$B$81,'График аннуитет.'!F19,'График аннуитет.'!D20+'График аннуитет.'!E20)</f>
        <v>2115525.02</v>
      </c>
      <c r="G20" s="19">
        <f t="shared" si="2"/>
        <v>30</v>
      </c>
      <c r="H20" s="19">
        <f t="shared" si="0"/>
        <v>365</v>
      </c>
    </row>
    <row r="21" spans="1:8">
      <c r="A21" s="22">
        <v>14</v>
      </c>
      <c r="B21" s="37">
        <f>'График дифференц'!B21</f>
        <v>46157</v>
      </c>
      <c r="C21" s="38">
        <f t="shared" si="1"/>
        <v>790035.28000000329</v>
      </c>
      <c r="D21" s="38">
        <f>IF(A21&lt;'Общие данные'!$B$81,'График аннуитет.'!F21-'График аннуитет.'!E21,'График аннуитет.'!C21)</f>
        <v>2076564.32</v>
      </c>
      <c r="E21" s="38">
        <f>ROUND(C21*'Общие данные'!$B$84/H21,2)*'График аннуитет.'!G21</f>
        <v>38960.700000000004</v>
      </c>
      <c r="F21" s="38">
        <f>IF(A21&lt;'Общие данные'!$B$81,'График аннуитет.'!F20,'График аннуитет.'!D21+'График аннуитет.'!E21)</f>
        <v>2115525.02</v>
      </c>
      <c r="G21" s="19">
        <f t="shared" si="2"/>
        <v>30</v>
      </c>
      <c r="H21" s="19">
        <f t="shared" si="0"/>
        <v>365</v>
      </c>
    </row>
    <row r="22" spans="1:8">
      <c r="A22" s="22">
        <v>15</v>
      </c>
      <c r="B22" s="37">
        <f>'График дифференц'!B22</f>
        <v>46188</v>
      </c>
      <c r="C22" s="38">
        <f t="shared" si="1"/>
        <v>-1286529.0399999968</v>
      </c>
      <c r="D22" s="38">
        <f>IF(A22&lt;'Общие данные'!$B$81,'График аннуитет.'!F22-'График аннуитет.'!E22,'График аннуитет.'!C22)</f>
        <v>2181085.06</v>
      </c>
      <c r="E22" s="38">
        <f>ROUND(C22*'Общие данные'!$B$84/H22,2)*'График аннуитет.'!G22</f>
        <v>-65560.040000000008</v>
      </c>
      <c r="F22" s="38">
        <f>IF(A22&lt;'Общие данные'!$B$81,'График аннуитет.'!F21,'График аннуитет.'!D22+'График аннуитет.'!E22)</f>
        <v>2115525.02</v>
      </c>
      <c r="G22" s="19">
        <f t="shared" si="2"/>
        <v>31</v>
      </c>
      <c r="H22" s="19">
        <f t="shared" si="0"/>
        <v>365</v>
      </c>
    </row>
    <row r="23" spans="1:8">
      <c r="A23" s="22">
        <v>16</v>
      </c>
      <c r="B23" s="37">
        <f>'График дифференц'!B23</f>
        <v>46218</v>
      </c>
      <c r="C23" s="38">
        <f t="shared" si="1"/>
        <v>-3467614.0999999968</v>
      </c>
      <c r="D23" s="38">
        <f>IF(A23&lt;'Общие данные'!$B$81,'График аннуитет.'!F23-'График аннуитет.'!E23,'График аннуитет.'!C23)</f>
        <v>2286530.7200000002</v>
      </c>
      <c r="E23" s="38">
        <f>ROUND(C23*'Общие данные'!$B$84/H23,2)*'График аннуитет.'!G23</f>
        <v>-171005.69999999998</v>
      </c>
      <c r="F23" s="38">
        <f>IF(A23&lt;'Общие данные'!$B$81,'График аннуитет.'!F22,'График аннуитет.'!D23+'График аннуитет.'!E23)</f>
        <v>2115525.02</v>
      </c>
      <c r="G23" s="19">
        <f t="shared" si="2"/>
        <v>30</v>
      </c>
      <c r="H23" s="19">
        <f t="shared" si="0"/>
        <v>365</v>
      </c>
    </row>
    <row r="24" spans="1:8">
      <c r="A24" s="22">
        <v>17</v>
      </c>
      <c r="B24" s="37">
        <f>'График дифференц'!B24</f>
        <v>46251</v>
      </c>
      <c r="C24" s="38">
        <f t="shared" si="1"/>
        <v>-5754144.8199999966</v>
      </c>
      <c r="D24" s="38">
        <f>IF(A24&lt;'Общие данные'!$B$81,'График аннуитет.'!F24-'График аннуитет.'!E24,'График аннуитет.'!C24)</f>
        <v>2427667.73</v>
      </c>
      <c r="E24" s="38">
        <f>ROUND(C24*'Общие данные'!$B$84/H24,2)*'График аннуитет.'!G24</f>
        <v>-312142.71000000002</v>
      </c>
      <c r="F24" s="38">
        <f>IF(A24&lt;'Общие данные'!$B$81,'График аннуитет.'!F23,'График аннуитет.'!D24+'График аннуитет.'!E24)</f>
        <v>2115525.02</v>
      </c>
      <c r="G24" s="19">
        <f t="shared" si="2"/>
        <v>33</v>
      </c>
      <c r="H24" s="19">
        <f t="shared" si="0"/>
        <v>365</v>
      </c>
    </row>
    <row r="25" spans="1:8">
      <c r="A25" s="22">
        <v>18</v>
      </c>
      <c r="B25" s="37">
        <f>'График дифференц'!B25</f>
        <v>46280</v>
      </c>
      <c r="C25" s="38">
        <f t="shared" si="1"/>
        <v>-8181812.549999997</v>
      </c>
      <c r="D25" s="38">
        <f>IF(A25&lt;'Общие данные'!$B$81,'График аннуитет.'!F25-'График аннуитет.'!E25,'График аннуитет.'!C25)</f>
        <v>2505561.9699999997</v>
      </c>
      <c r="E25" s="38">
        <f>ROUND(C25*'Общие данные'!$B$84/H25,2)*'График аннуитет.'!G25</f>
        <v>-390036.94999999995</v>
      </c>
      <c r="F25" s="38">
        <f>IF(A25&lt;'Общие данные'!$B$81,'График аннуитет.'!F24,'График аннуитет.'!D25+'График аннуитет.'!E25)</f>
        <v>2115525.02</v>
      </c>
      <c r="G25" s="19">
        <f>B25-B24</f>
        <v>29</v>
      </c>
      <c r="H25" s="19">
        <f t="shared" si="0"/>
        <v>365</v>
      </c>
    </row>
    <row r="26" spans="1:8">
      <c r="A26" s="22">
        <v>19</v>
      </c>
      <c r="B26" s="37">
        <f>'График дифференц'!B26</f>
        <v>46310</v>
      </c>
      <c r="C26" s="38">
        <f t="shared" si="1"/>
        <v>-10687374.519999996</v>
      </c>
      <c r="D26" s="38">
        <f>IF(A26&lt;'Общие данные'!$B$81,'График аннуитет.'!F26-'График аннуитет.'!E26,'График аннуитет.'!C26)</f>
        <v>2642573.7200000002</v>
      </c>
      <c r="E26" s="38">
        <f>ROUND(C26*'Общие данные'!$B$84/H26,2)*'График аннуитет.'!G26</f>
        <v>-527048.70000000007</v>
      </c>
      <c r="F26" s="38">
        <f>IF(A26&lt;'Общие данные'!$B$81,'График аннуитет.'!F25,'График аннуитет.'!D26+'График аннуитет.'!E26)</f>
        <v>2115525.02</v>
      </c>
      <c r="G26" s="19">
        <f t="shared" ref="G26:G31" si="3">B26-B25</f>
        <v>30</v>
      </c>
      <c r="H26" s="19">
        <f t="shared" si="0"/>
        <v>365</v>
      </c>
    </row>
    <row r="27" spans="1:8">
      <c r="A27" s="22">
        <v>20</v>
      </c>
      <c r="B27" s="37">
        <f>'График дифференц'!B27</f>
        <v>46342</v>
      </c>
      <c r="C27" s="38">
        <f t="shared" si="1"/>
        <v>-13329948.239999996</v>
      </c>
      <c r="D27" s="38">
        <f>IF(A27&lt;'Общие данные'!$B$81,'График аннуитет.'!F27-'График аннуитет.'!E27,'График аннуитет.'!C27)</f>
        <v>2816716.7</v>
      </c>
      <c r="E27" s="38">
        <f>ROUND(C27*'Общие данные'!$B$84/H27,2)*'График аннуитет.'!G27</f>
        <v>-701191.68000000005</v>
      </c>
      <c r="F27" s="38">
        <f>IF(A27&lt;'Общие данные'!$B$81,'График аннуитет.'!F26,'График аннуитет.'!D27+'График аннуитет.'!E27)</f>
        <v>2115525.02</v>
      </c>
      <c r="G27" s="19">
        <f t="shared" si="3"/>
        <v>32</v>
      </c>
      <c r="H27" s="19">
        <f t="shared" si="0"/>
        <v>365</v>
      </c>
    </row>
    <row r="28" spans="1:8">
      <c r="A28" s="22">
        <v>21</v>
      </c>
      <c r="B28" s="37">
        <f>'График дифференц'!B28</f>
        <v>46371</v>
      </c>
      <c r="C28" s="38">
        <f t="shared" si="1"/>
        <v>-16146664.939999998</v>
      </c>
      <c r="D28" s="38">
        <f>IF(A28&lt;'Общие данные'!$B$81,'График аннуитет.'!F28-'График аннуитет.'!E28,'График аннуитет.'!C28)</f>
        <v>2885256.36</v>
      </c>
      <c r="E28" s="38">
        <f>ROUND(C28*'Общие данные'!$B$84/H28,2)*'График аннуитет.'!G28</f>
        <v>-769731.34</v>
      </c>
      <c r="F28" s="38">
        <f>IF(A28&lt;'Общие данные'!$B$81,'График аннуитет.'!F27,'График аннуитет.'!D28+'График аннуитет.'!E28)</f>
        <v>2115525.02</v>
      </c>
      <c r="G28" s="19">
        <f t="shared" si="3"/>
        <v>29</v>
      </c>
      <c r="H28" s="19">
        <f t="shared" si="0"/>
        <v>365</v>
      </c>
    </row>
    <row r="29" spans="1:8">
      <c r="A29" s="22">
        <v>22</v>
      </c>
      <c r="B29" s="37">
        <f>'График дифференц'!B29</f>
        <v>46402</v>
      </c>
      <c r="C29" s="38">
        <f t="shared" si="1"/>
        <v>-19031921.299999997</v>
      </c>
      <c r="D29" s="38">
        <f>IF(A29&lt;'Общие данные'!$B$81,'График аннуитет.'!F29-'График аннуитет.'!E29,'График аннуитет.'!C29)</f>
        <v>3085370.87</v>
      </c>
      <c r="E29" s="38">
        <f>ROUND(C29*'Общие данные'!$B$84/H29,2)*'График аннуитет.'!G29</f>
        <v>-969845.85</v>
      </c>
      <c r="F29" s="38">
        <f>IF(A29&lt;'Общие данные'!$B$81,'График аннуитет.'!F28,'График аннуитет.'!D29+'График аннуитет.'!E29)</f>
        <v>2115525.02</v>
      </c>
      <c r="G29" s="19">
        <f t="shared" si="3"/>
        <v>31</v>
      </c>
      <c r="H29" s="19">
        <f t="shared" si="0"/>
        <v>365</v>
      </c>
    </row>
    <row r="30" spans="1:8">
      <c r="A30" s="22">
        <v>23</v>
      </c>
      <c r="B30" s="37">
        <f>'График дифференц'!B30</f>
        <v>46433</v>
      </c>
      <c r="C30" s="38">
        <f t="shared" si="1"/>
        <v>-22117292.169999998</v>
      </c>
      <c r="D30" s="38">
        <f>IF(A30&lt;'Общие данные'!$B$81,'График аннуитет.'!F30-'График аннуитет.'!E30,'График аннуитет.'!C30)</f>
        <v>3242597.91</v>
      </c>
      <c r="E30" s="38">
        <f>ROUND(C30*'Общие данные'!$B$84/H30,2)*'График аннуитет.'!G30</f>
        <v>-1127072.8900000001</v>
      </c>
      <c r="F30" s="38">
        <f>IF(A30&lt;'Общие данные'!$B$81,'График аннуитет.'!F29,'График аннуитет.'!D30+'График аннуитет.'!E30)</f>
        <v>2115525.02</v>
      </c>
      <c r="G30" s="19">
        <f t="shared" si="3"/>
        <v>31</v>
      </c>
      <c r="H30" s="19">
        <f t="shared" si="0"/>
        <v>365</v>
      </c>
    </row>
    <row r="31" spans="1:8">
      <c r="A31" s="22">
        <f>1+A30</f>
        <v>24</v>
      </c>
      <c r="B31" s="37">
        <f>'График дифференц'!B31</f>
        <v>46453</v>
      </c>
      <c r="C31" s="38">
        <f t="shared" si="1"/>
        <v>-25359890.079999998</v>
      </c>
      <c r="D31" s="38">
        <f>IF(A31&lt;'Общие данные'!$B$81,'График аннуитет.'!F31-'График аннуитет.'!E31,'График аннуитет.'!C31)</f>
        <v>-25359890.079999998</v>
      </c>
      <c r="E31" s="38">
        <f>ROUND(C31*'Общие данные'!$B$84/H31,2)*'График аннуитет.'!G31</f>
        <v>-833749.79999999993</v>
      </c>
      <c r="F31" s="38">
        <f>IF(A31&lt;'Общие данные'!$B$81,'График аннуитет.'!F30,'График аннуитет.'!D31+'График аннуитет.'!E31)</f>
        <v>-26193639.879999999</v>
      </c>
      <c r="G31" s="19">
        <f t="shared" si="3"/>
        <v>20</v>
      </c>
      <c r="H31" s="19">
        <f t="shared" si="0"/>
        <v>365</v>
      </c>
    </row>
    <row r="32" spans="1:8">
      <c r="A32" s="22">
        <f t="shared" ref="A32:A43" si="4">1+A31</f>
        <v>25</v>
      </c>
      <c r="B32" s="37" t="b">
        <f>'График дифференц'!B32</f>
        <v>0</v>
      </c>
      <c r="C32" s="38">
        <f t="shared" ref="C32:C43" si="5">C31-D31</f>
        <v>0</v>
      </c>
      <c r="D32" s="38">
        <f>IF(A32&lt;'Общие данные'!$B$81,'График аннуитет.'!F32-'График аннуитет.'!E32,'График аннуитет.'!C32)</f>
        <v>0</v>
      </c>
      <c r="E32" s="38">
        <f>ROUND(C32*'Общие данные'!$B$84/H32,2)*'График аннуитет.'!G32</f>
        <v>0</v>
      </c>
      <c r="F32" s="38">
        <f>IF(A32&lt;'Общие данные'!$B$81,'График аннуитет.'!F31,'График аннуитет.'!D32+'График аннуитет.'!E32)</f>
        <v>0</v>
      </c>
      <c r="G32" s="19">
        <f t="shared" ref="G32:G43" si="6">B32-B31</f>
        <v>-46453</v>
      </c>
      <c r="H32" s="19">
        <f t="shared" ref="H32:H43" si="7">DATE(YEAR(B32),12,31)-DATE(YEAR(B32),1,1)+1</f>
        <v>366</v>
      </c>
    </row>
    <row r="33" spans="1:8">
      <c r="A33" s="22">
        <f t="shared" si="4"/>
        <v>26</v>
      </c>
      <c r="B33" s="37" t="b">
        <f>'График дифференц'!B33</f>
        <v>0</v>
      </c>
      <c r="C33" s="38">
        <f t="shared" si="5"/>
        <v>0</v>
      </c>
      <c r="D33" s="38">
        <f>IF(A33&lt;'Общие данные'!$B$81,'График аннуитет.'!F33-'График аннуитет.'!E33,'График аннуитет.'!C33)</f>
        <v>0</v>
      </c>
      <c r="E33" s="38">
        <f>ROUND(C33*'Общие данные'!$B$84/H33,2)*'График аннуитет.'!G33</f>
        <v>0</v>
      </c>
      <c r="F33" s="38">
        <f>IF(A33&lt;'Общие данные'!$B$81,'График аннуитет.'!F32,'График аннуитет.'!D33+'График аннуитет.'!E33)</f>
        <v>0</v>
      </c>
      <c r="G33" s="19">
        <f t="shared" si="6"/>
        <v>0</v>
      </c>
      <c r="H33" s="19">
        <f t="shared" si="7"/>
        <v>366</v>
      </c>
    </row>
    <row r="34" spans="1:8">
      <c r="A34" s="22">
        <f t="shared" si="4"/>
        <v>27</v>
      </c>
      <c r="B34" s="37" t="b">
        <f>'График дифференц'!B34</f>
        <v>0</v>
      </c>
      <c r="C34" s="38">
        <f t="shared" si="5"/>
        <v>0</v>
      </c>
      <c r="D34" s="38">
        <f>IF(A34&lt;'Общие данные'!$B$81,'График аннуитет.'!F34-'График аннуитет.'!E34,'График аннуитет.'!C34)</f>
        <v>0</v>
      </c>
      <c r="E34" s="38">
        <f>ROUND(C34*'Общие данные'!$B$84/H34,2)*'График аннуитет.'!G34</f>
        <v>0</v>
      </c>
      <c r="F34" s="38">
        <f>IF(A34&lt;'Общие данные'!$B$81,'График аннуитет.'!F33,'График аннуитет.'!D34+'График аннуитет.'!E34)</f>
        <v>0</v>
      </c>
      <c r="G34" s="19">
        <f t="shared" si="6"/>
        <v>0</v>
      </c>
      <c r="H34" s="19">
        <f t="shared" si="7"/>
        <v>366</v>
      </c>
    </row>
    <row r="35" spans="1:8">
      <c r="A35" s="22">
        <f t="shared" si="4"/>
        <v>28</v>
      </c>
      <c r="B35" s="37" t="b">
        <f>'График дифференц'!B35</f>
        <v>0</v>
      </c>
      <c r="C35" s="38">
        <f t="shared" si="5"/>
        <v>0</v>
      </c>
      <c r="D35" s="38">
        <f>IF(A35&lt;'Общие данные'!$B$81,'График аннуитет.'!F35-'График аннуитет.'!E35,'График аннуитет.'!C35)</f>
        <v>0</v>
      </c>
      <c r="E35" s="38">
        <f>ROUND(C35*'Общие данные'!$B$84/H35,2)*'График аннуитет.'!G35</f>
        <v>0</v>
      </c>
      <c r="F35" s="38">
        <f>IF(A35&lt;'Общие данные'!$B$81,'График аннуитет.'!F34,'График аннуитет.'!D35+'График аннуитет.'!E35)</f>
        <v>0</v>
      </c>
      <c r="G35" s="19">
        <f t="shared" si="6"/>
        <v>0</v>
      </c>
      <c r="H35" s="19">
        <f t="shared" si="7"/>
        <v>366</v>
      </c>
    </row>
    <row r="36" spans="1:8">
      <c r="A36" s="22">
        <f t="shared" si="4"/>
        <v>29</v>
      </c>
      <c r="B36" s="37" t="b">
        <f>'График дифференц'!B36</f>
        <v>0</v>
      </c>
      <c r="C36" s="38">
        <f t="shared" si="5"/>
        <v>0</v>
      </c>
      <c r="D36" s="38">
        <f>IF(A36&lt;'Общие данные'!$B$81,'График аннуитет.'!F36-'График аннуитет.'!E36,'График аннуитет.'!C36)</f>
        <v>0</v>
      </c>
      <c r="E36" s="38">
        <f>ROUND(C36*'Общие данные'!$B$84/H36,2)*'График аннуитет.'!G36</f>
        <v>0</v>
      </c>
      <c r="F36" s="38">
        <f>IF(A36&lt;'Общие данные'!$B$81,'График аннуитет.'!F35,'График аннуитет.'!D36+'График аннуитет.'!E36)</f>
        <v>0</v>
      </c>
      <c r="G36" s="19">
        <f t="shared" si="6"/>
        <v>0</v>
      </c>
      <c r="H36" s="19">
        <f t="shared" si="7"/>
        <v>366</v>
      </c>
    </row>
    <row r="37" spans="1:8">
      <c r="A37" s="22">
        <f t="shared" si="4"/>
        <v>30</v>
      </c>
      <c r="B37" s="37" t="b">
        <f>'График дифференц'!B37</f>
        <v>0</v>
      </c>
      <c r="C37" s="38">
        <f t="shared" si="5"/>
        <v>0</v>
      </c>
      <c r="D37" s="38">
        <f>IF(A37&lt;'Общие данные'!$B$81,'График аннуитет.'!F37-'График аннуитет.'!E37,'График аннуитет.'!C37)</f>
        <v>0</v>
      </c>
      <c r="E37" s="38">
        <f>ROUND(C37*'Общие данные'!$B$84/H37,2)*'График аннуитет.'!G37</f>
        <v>0</v>
      </c>
      <c r="F37" s="38">
        <f>IF(A37&lt;'Общие данные'!$B$81,'График аннуитет.'!F36,'График аннуитет.'!D37+'График аннуитет.'!E37)</f>
        <v>0</v>
      </c>
      <c r="G37" s="19">
        <f t="shared" si="6"/>
        <v>0</v>
      </c>
      <c r="H37" s="19">
        <f t="shared" si="7"/>
        <v>366</v>
      </c>
    </row>
    <row r="38" spans="1:8">
      <c r="A38" s="22">
        <f t="shared" si="4"/>
        <v>31</v>
      </c>
      <c r="B38" s="37" t="b">
        <f>'График дифференц'!B38</f>
        <v>0</v>
      </c>
      <c r="C38" s="38">
        <f t="shared" si="5"/>
        <v>0</v>
      </c>
      <c r="D38" s="38">
        <f>IF(A38&lt;'Общие данные'!$B$81,'График аннуитет.'!F38-'График аннуитет.'!E38,'График аннуитет.'!C38)</f>
        <v>0</v>
      </c>
      <c r="E38" s="38">
        <f>ROUND(C38*'Общие данные'!$B$84/H38,2)*'График аннуитет.'!G38</f>
        <v>0</v>
      </c>
      <c r="F38" s="38">
        <f>IF(A38&lt;'Общие данные'!$B$81,'График аннуитет.'!F37,'График аннуитет.'!D38+'График аннуитет.'!E38)</f>
        <v>0</v>
      </c>
      <c r="G38" s="19">
        <f t="shared" si="6"/>
        <v>0</v>
      </c>
      <c r="H38" s="19">
        <f t="shared" si="7"/>
        <v>366</v>
      </c>
    </row>
    <row r="39" spans="1:8">
      <c r="A39" s="22">
        <f t="shared" si="4"/>
        <v>32</v>
      </c>
      <c r="B39" s="37" t="b">
        <f>'График дифференц'!B39</f>
        <v>0</v>
      </c>
      <c r="C39" s="38">
        <f t="shared" si="5"/>
        <v>0</v>
      </c>
      <c r="D39" s="38">
        <f>IF(A39&lt;'Общие данные'!$B$81,'График аннуитет.'!F39-'График аннуитет.'!E39,'График аннуитет.'!C39)</f>
        <v>0</v>
      </c>
      <c r="E39" s="38">
        <f>ROUND(C39*'Общие данные'!$B$84/H39,2)*'График аннуитет.'!G39</f>
        <v>0</v>
      </c>
      <c r="F39" s="38">
        <f>IF(A39&lt;'Общие данные'!$B$81,'График аннуитет.'!F38,'График аннуитет.'!D39+'График аннуитет.'!E39)</f>
        <v>0</v>
      </c>
      <c r="G39" s="19">
        <f t="shared" si="6"/>
        <v>0</v>
      </c>
      <c r="H39" s="19">
        <f t="shared" si="7"/>
        <v>366</v>
      </c>
    </row>
    <row r="40" spans="1:8">
      <c r="A40" s="22">
        <f t="shared" si="4"/>
        <v>33</v>
      </c>
      <c r="B40" s="37" t="b">
        <f>'График дифференц'!B40</f>
        <v>0</v>
      </c>
      <c r="C40" s="38">
        <f t="shared" si="5"/>
        <v>0</v>
      </c>
      <c r="D40" s="38">
        <f>IF(A40&lt;'Общие данные'!$B$81,'График аннуитет.'!F40-'График аннуитет.'!E40,'График аннуитет.'!C40)</f>
        <v>0</v>
      </c>
      <c r="E40" s="38">
        <f>ROUND(C40*'Общие данные'!$B$84/H40,2)*'График аннуитет.'!G40</f>
        <v>0</v>
      </c>
      <c r="F40" s="38">
        <f>IF(A40&lt;'Общие данные'!$B$81,'График аннуитет.'!F39,'График аннуитет.'!D40+'График аннуитет.'!E40)</f>
        <v>0</v>
      </c>
      <c r="G40" s="19">
        <f t="shared" si="6"/>
        <v>0</v>
      </c>
      <c r="H40" s="19">
        <f t="shared" si="7"/>
        <v>366</v>
      </c>
    </row>
    <row r="41" spans="1:8">
      <c r="A41" s="22">
        <f t="shared" si="4"/>
        <v>34</v>
      </c>
      <c r="B41" s="37" t="b">
        <f>'График дифференц'!B41</f>
        <v>0</v>
      </c>
      <c r="C41" s="38">
        <f t="shared" si="5"/>
        <v>0</v>
      </c>
      <c r="D41" s="38">
        <f>IF(A41&lt;'Общие данные'!$B$81,'График аннуитет.'!F41-'График аннуитет.'!E41,'График аннуитет.'!C41)</f>
        <v>0</v>
      </c>
      <c r="E41" s="38">
        <f>ROUND(C41*'Общие данные'!$B$84/H41,2)*'График аннуитет.'!G41</f>
        <v>0</v>
      </c>
      <c r="F41" s="38">
        <f>IF(A41&lt;'Общие данные'!$B$81,'График аннуитет.'!F40,'График аннуитет.'!D41+'График аннуитет.'!E41)</f>
        <v>0</v>
      </c>
      <c r="G41" s="19">
        <f t="shared" si="6"/>
        <v>0</v>
      </c>
      <c r="H41" s="19">
        <f t="shared" si="7"/>
        <v>366</v>
      </c>
    </row>
    <row r="42" spans="1:8">
      <c r="A42" s="22">
        <f t="shared" si="4"/>
        <v>35</v>
      </c>
      <c r="B42" s="37" t="b">
        <f>'График дифференц'!B42</f>
        <v>0</v>
      </c>
      <c r="C42" s="38">
        <f t="shared" si="5"/>
        <v>0</v>
      </c>
      <c r="D42" s="38">
        <f>IF(A42&lt;'Общие данные'!$B$81,'График аннуитет.'!F42-'График аннуитет.'!E42,'График аннуитет.'!C42)</f>
        <v>0</v>
      </c>
      <c r="E42" s="38">
        <f>ROUND(C42*'Общие данные'!$B$84/H42,2)*'График аннуитет.'!G42</f>
        <v>0</v>
      </c>
      <c r="F42" s="38">
        <f>IF(A42&lt;'Общие данные'!$B$81,'График аннуитет.'!F41,'График аннуитет.'!D42+'График аннуитет.'!E42)</f>
        <v>0</v>
      </c>
      <c r="G42" s="19">
        <f t="shared" si="6"/>
        <v>0</v>
      </c>
      <c r="H42" s="19">
        <f t="shared" si="7"/>
        <v>366</v>
      </c>
    </row>
    <row r="43" spans="1:8">
      <c r="A43" s="22">
        <f t="shared" si="4"/>
        <v>36</v>
      </c>
      <c r="B43" s="37" t="b">
        <f>'График дифференц'!B43</f>
        <v>0</v>
      </c>
      <c r="C43" s="38">
        <f t="shared" si="5"/>
        <v>0</v>
      </c>
      <c r="D43" s="38">
        <f>IF(A43&lt;'Общие данные'!$B$81,'График аннуитет.'!F43-'График аннуитет.'!E43,'График аннуитет.'!C43)</f>
        <v>0</v>
      </c>
      <c r="E43" s="38">
        <f>ROUND(C43*'Общие данные'!$B$84/H43,2)*'График аннуитет.'!G43</f>
        <v>0</v>
      </c>
      <c r="F43" s="38">
        <f>IF(A43&lt;'Общие данные'!$B$81,'График аннуитет.'!F42,'График аннуитет.'!D43+'График аннуитет.'!E43)</f>
        <v>0</v>
      </c>
      <c r="G43" s="19">
        <f t="shared" si="6"/>
        <v>0</v>
      </c>
      <c r="H43" s="19">
        <f t="shared" si="7"/>
        <v>366</v>
      </c>
    </row>
    <row r="44" spans="1:8">
      <c r="A44" s="50"/>
      <c r="B44" s="51" t="s">
        <v>7</v>
      </c>
      <c r="C44" s="52"/>
      <c r="D44" s="52">
        <f>SUM(D8:D31)</f>
        <v>20000000</v>
      </c>
      <c r="E44" s="52">
        <f>SUM(E8:E31)</f>
        <v>2463435.5799999996</v>
      </c>
      <c r="F44" s="52">
        <f>SUM(F8:F31)</f>
        <v>22463435.580000024</v>
      </c>
    </row>
    <row r="45" spans="1:8" ht="9" customHeight="1">
      <c r="B45" s="39"/>
      <c r="C45" s="40"/>
      <c r="D45" s="40"/>
      <c r="E45" s="40"/>
      <c r="F45" s="40"/>
    </row>
    <row r="46" spans="1:8" ht="47.25" customHeight="1">
      <c r="A46" s="245" t="s">
        <v>18</v>
      </c>
      <c r="B46" s="245"/>
      <c r="C46" s="245"/>
      <c r="D46" s="245"/>
      <c r="E46" s="245"/>
      <c r="F46" s="245"/>
    </row>
    <row r="47" spans="1:8" ht="7.5" customHeight="1"/>
    <row r="48" spans="1:8">
      <c r="A48" s="263" t="e">
        <f>#REF!</f>
        <v>#REF!</v>
      </c>
      <c r="B48" s="263"/>
      <c r="C48" s="263"/>
      <c r="D48" s="263" t="e">
        <f>#REF!</f>
        <v>#REF!</v>
      </c>
      <c r="E48" s="263"/>
      <c r="F48" s="263"/>
    </row>
    <row r="49" spans="1:6" ht="11.25" customHeight="1">
      <c r="A49" s="264"/>
      <c r="B49" s="264"/>
      <c r="C49" s="264"/>
      <c r="D49" s="264"/>
      <c r="E49" s="264"/>
      <c r="F49" s="264"/>
    </row>
    <row r="50" spans="1:6" ht="30" customHeight="1">
      <c r="A50" s="265" t="e">
        <f>#REF!</f>
        <v>#REF!</v>
      </c>
      <c r="B50" s="265"/>
      <c r="C50" s="265"/>
      <c r="D50" s="265" t="e">
        <f>#REF!</f>
        <v>#REF!</v>
      </c>
      <c r="E50" s="265"/>
      <c r="F50" s="265"/>
    </row>
    <row r="51" spans="1:6" ht="32.25" customHeight="1">
      <c r="A51" s="262" t="e">
        <f>#REF!</f>
        <v>#REF!</v>
      </c>
      <c r="B51" s="262"/>
      <c r="C51" s="262"/>
      <c r="D51" s="262" t="e">
        <f>#REF!</f>
        <v>#REF!</v>
      </c>
      <c r="E51" s="262"/>
      <c r="F51" s="262"/>
    </row>
    <row r="52" spans="1:6">
      <c r="A52" s="262" t="e">
        <f>#REF!</f>
        <v>#REF!</v>
      </c>
      <c r="B52" s="262"/>
      <c r="C52" s="262"/>
      <c r="D52" s="262" t="str">
        <f>"паспорт серии "&amp;'Общие данные'!B16&amp;", "&amp;'Общие данные'!B20&amp;""</f>
        <v>паспорт серии AD 6879613, IIV 18810  tomonidan 18.04.2024 yilda berilgan</v>
      </c>
      <c r="E52" s="262"/>
      <c r="F52" s="262"/>
    </row>
    <row r="53" spans="1:6" ht="32.25" customHeight="1">
      <c r="A53" s="262" t="e">
        <f>#REF!</f>
        <v>#REF!</v>
      </c>
      <c r="B53" s="262"/>
      <c r="C53" s="262"/>
      <c r="D53" s="262"/>
      <c r="E53" s="262"/>
      <c r="F53" s="262"/>
    </row>
    <row r="54" spans="1:6">
      <c r="A54" s="262" t="e">
        <f>#REF!</f>
        <v>#REF!</v>
      </c>
      <c r="B54" s="262"/>
      <c r="C54" s="262"/>
      <c r="D54" s="262" t="e">
        <f>#REF!</f>
        <v>#REF!</v>
      </c>
      <c r="E54" s="262"/>
      <c r="F54" s="262"/>
    </row>
    <row r="55" spans="1:6">
      <c r="A55" s="262" t="e">
        <f>#REF!</f>
        <v>#REF!</v>
      </c>
      <c r="B55" s="262"/>
      <c r="C55" s="262"/>
      <c r="D55" s="262" t="e">
        <f>#REF!</f>
        <v>#REF!</v>
      </c>
      <c r="E55" s="262"/>
      <c r="F55" s="262"/>
    </row>
    <row r="56" spans="1:6">
      <c r="A56" s="262" t="e">
        <f>#REF!</f>
        <v>#REF!</v>
      </c>
      <c r="B56" s="262"/>
      <c r="C56" s="262"/>
      <c r="D56" s="262" t="e">
        <f>#REF!</f>
        <v>#REF!</v>
      </c>
      <c r="E56" s="262"/>
      <c r="F56" s="262"/>
    </row>
    <row r="57" spans="1:6" ht="8.25" customHeight="1">
      <c r="A57" s="262"/>
      <c r="B57" s="262"/>
      <c r="C57" s="262"/>
      <c r="D57" s="262"/>
      <c r="E57" s="262"/>
      <c r="F57" s="262"/>
    </row>
    <row r="58" spans="1:6">
      <c r="A58" s="265" t="e">
        <f>#REF!</f>
        <v>#REF!</v>
      </c>
      <c r="B58" s="265"/>
      <c r="C58" s="265"/>
      <c r="D58" s="265" t="e">
        <f>#REF!</f>
        <v>#REF!</v>
      </c>
      <c r="E58" s="265"/>
      <c r="F58" s="265"/>
    </row>
    <row r="59" spans="1:6" ht="7.5" customHeight="1">
      <c r="A59" s="265"/>
      <c r="B59" s="265"/>
      <c r="C59" s="265"/>
      <c r="D59" s="265"/>
      <c r="E59" s="265"/>
      <c r="F59" s="265"/>
    </row>
    <row r="60" spans="1:6">
      <c r="A60" s="265" t="e">
        <f>#REF!</f>
        <v>#REF!</v>
      </c>
      <c r="B60" s="265"/>
      <c r="C60" s="265"/>
      <c r="D60" s="265" t="e">
        <f>#REF!</f>
        <v>#REF!</v>
      </c>
      <c r="E60" s="265"/>
      <c r="F60" s="265"/>
    </row>
    <row r="61" spans="1:6" ht="8.25" customHeight="1">
      <c r="A61" s="262"/>
      <c r="B61" s="262"/>
      <c r="C61" s="262"/>
      <c r="D61" s="262"/>
      <c r="E61" s="262"/>
      <c r="F61" s="262"/>
    </row>
    <row r="62" spans="1:6" ht="30" customHeight="1">
      <c r="A62" s="267"/>
      <c r="B62" s="267"/>
      <c r="C62" s="267"/>
      <c r="D62" s="268"/>
      <c r="E62" s="268"/>
      <c r="F62" s="268"/>
    </row>
    <row r="63" spans="1:6">
      <c r="A63" s="269"/>
      <c r="B63" s="269"/>
      <c r="C63" s="269"/>
      <c r="D63" s="269"/>
      <c r="E63" s="269"/>
      <c r="F63" s="269"/>
    </row>
    <row r="64" spans="1:6">
      <c r="A64" s="266"/>
      <c r="B64" s="266"/>
      <c r="C64" s="266"/>
      <c r="D64" s="266"/>
      <c r="E64" s="266"/>
      <c r="F64" s="266"/>
    </row>
  </sheetData>
  <mergeCells count="40">
    <mergeCell ref="A64:C64"/>
    <mergeCell ref="D64:F64"/>
    <mergeCell ref="A61:C61"/>
    <mergeCell ref="D61:F61"/>
    <mergeCell ref="A62:C62"/>
    <mergeCell ref="D62:F62"/>
    <mergeCell ref="A63:C63"/>
    <mergeCell ref="D63:F63"/>
    <mergeCell ref="A58:C58"/>
    <mergeCell ref="D58:F58"/>
    <mergeCell ref="A59:C59"/>
    <mergeCell ref="D59:F59"/>
    <mergeCell ref="A60:C60"/>
    <mergeCell ref="D60:F60"/>
    <mergeCell ref="A55:C55"/>
    <mergeCell ref="D55:F55"/>
    <mergeCell ref="A56:C56"/>
    <mergeCell ref="D56:F56"/>
    <mergeCell ref="A57:C57"/>
    <mergeCell ref="D57:F57"/>
    <mergeCell ref="A54:C54"/>
    <mergeCell ref="D54:F54"/>
    <mergeCell ref="A46:F46"/>
    <mergeCell ref="A48:C48"/>
    <mergeCell ref="D48:F48"/>
    <mergeCell ref="A49:C49"/>
    <mergeCell ref="D49:F49"/>
    <mergeCell ref="A50:C50"/>
    <mergeCell ref="D50:F50"/>
    <mergeCell ref="A51:C51"/>
    <mergeCell ref="D51:F51"/>
    <mergeCell ref="A52:C52"/>
    <mergeCell ref="D52:F53"/>
    <mergeCell ref="A53:C53"/>
    <mergeCell ref="E1:F1"/>
    <mergeCell ref="A4:F4"/>
    <mergeCell ref="A6:A7"/>
    <mergeCell ref="B6:B7"/>
    <mergeCell ref="C6:C7"/>
    <mergeCell ref="D6:F6"/>
  </mergeCells>
  <conditionalFormatting sqref="B8:B43">
    <cfRule type="cellIs" dxfId="5" priority="5" operator="lessThan">
      <formula>22105</formula>
    </cfRule>
  </conditionalFormatting>
  <conditionalFormatting sqref="C8:C43">
    <cfRule type="cellIs" dxfId="4" priority="3" operator="lessThan">
      <formula>1</formula>
    </cfRule>
  </conditionalFormatting>
  <conditionalFormatting sqref="C8:F43">
    <cfRule type="cellIs" dxfId="3" priority="1" operator="lessThan">
      <formula>0.1</formula>
    </cfRule>
  </conditionalFormatting>
  <pageMargins left="0.7" right="0.7" top="0.75" bottom="0.75" header="0.3" footer="0.3"/>
  <pageSetup paperSize="9" scale="92"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Лист5">
    <tabColor rgb="FF00B050"/>
  </sheetPr>
  <dimension ref="A1:F43"/>
  <sheetViews>
    <sheetView view="pageBreakPreview" topLeftCell="A15" zoomScaleSheetLayoutView="100" workbookViewId="0">
      <selection activeCell="E34" sqref="E34:F34"/>
    </sheetView>
  </sheetViews>
  <sheetFormatPr defaultColWidth="9.140625" defaultRowHeight="12.75"/>
  <cols>
    <col min="1" max="6" width="14.28515625" style="28" customWidth="1"/>
    <col min="7" max="16384" width="9.140625" style="28"/>
  </cols>
  <sheetData>
    <row r="1" spans="1:6">
      <c r="A1" s="274" t="s">
        <v>236</v>
      </c>
      <c r="B1" s="274"/>
      <c r="C1" s="274"/>
      <c r="D1" s="274"/>
      <c r="E1" s="274"/>
      <c r="F1" s="274"/>
    </row>
    <row r="2" spans="1:6" ht="35.25" customHeight="1">
      <c r="A2" s="275" t="s">
        <v>353</v>
      </c>
      <c r="B2" s="275"/>
      <c r="C2" s="275"/>
      <c r="D2" s="275"/>
      <c r="E2" s="275"/>
      <c r="F2" s="275"/>
    </row>
    <row r="3" spans="1:6">
      <c r="A3" s="274" t="s">
        <v>237</v>
      </c>
      <c r="B3" s="274"/>
      <c r="C3" s="274"/>
      <c r="D3" s="274"/>
      <c r="E3" s="274"/>
      <c r="F3" s="274"/>
    </row>
    <row r="4" spans="1:6">
      <c r="A4" s="270" t="str">
        <f>'Заключение КК'!A4:E4</f>
        <v>Mijozning to'liq ismi sharifi: SALIYEV DALER ALIMDJONOVICH</v>
      </c>
      <c r="B4" s="270"/>
      <c r="C4" s="270"/>
      <c r="D4" s="270"/>
      <c r="E4" s="270"/>
      <c r="F4" s="270"/>
    </row>
    <row r="5" spans="1:6">
      <c r="A5" s="270" t="str">
        <f>'Заключение КК'!A5:E5</f>
        <v>Tug'ilgan sanasi: 30.07.1995 y</v>
      </c>
      <c r="B5" s="270"/>
      <c r="C5" s="270"/>
      <c r="D5" s="270"/>
      <c r="E5" s="270"/>
      <c r="F5" s="270"/>
    </row>
    <row r="6" spans="1:6" ht="32.25" customHeight="1">
      <c r="A6" s="270" t="str">
        <f>'Заключение КК'!A6:E6</f>
        <v>Pasport seriyasi AD 6879613 IIV 18810  tomonidan 18.04.2024 yilda berilgan, amal qilish muddati - 17.04.2034 y.</v>
      </c>
      <c r="B6" s="270"/>
      <c r="C6" s="270"/>
      <c r="D6" s="270"/>
      <c r="E6" s="270"/>
      <c r="F6" s="270"/>
    </row>
    <row r="7" spans="1:6">
      <c r="A7" s="270" t="str">
        <f>"Fuqaroligi: "&amp;'Общие данные'!B32&amp;""</f>
        <v>Fuqaroligi: O’zbekiston Respublikasi</v>
      </c>
      <c r="B7" s="270"/>
      <c r="C7" s="270"/>
      <c r="D7" s="270"/>
      <c r="E7" s="270"/>
      <c r="F7" s="270"/>
    </row>
    <row r="8" spans="1:6" ht="26.25" customHeight="1">
      <c r="A8" s="270" t="str">
        <f>'Заключение КК'!A7:E7</f>
        <v>Ro‘yxatdan o‘tgan manzili: SAMARQAND VILOYATI SAMARQAND SHAHAR SO'ZANGARON MAHALLASI IBROXIMXO'JA KO'CHASI 97 A UY, mo'ljal: REGISTON SHOXJAXON OTEL</v>
      </c>
      <c r="B8" s="270"/>
      <c r="C8" s="270"/>
      <c r="D8" s="270"/>
      <c r="E8" s="270"/>
      <c r="F8" s="270"/>
    </row>
    <row r="9" spans="1:6">
      <c r="A9" s="270" t="str">
        <f>IF('Общие данные'!B23="mos keladi"," ",'Анкета Клиента'!A10:F10)</f>
        <v>Haqiqatdan yashash joy manzili: SAMARQAND VILOYATI SAMARQAND SHAHAR SO'ZANGARON MAHALLASI IBROXIMXO'JA KO'CHASI 97 A UY</v>
      </c>
      <c r="B9" s="270"/>
      <c r="C9" s="270"/>
      <c r="D9" s="270"/>
      <c r="E9" s="270"/>
      <c r="F9" s="270"/>
    </row>
    <row r="10" spans="1:6" ht="31.5" hidden="1" customHeight="1">
      <c r="A10" s="270" t="str">
        <f>"Haqiqatdan yashash joy manzili: "&amp;'Общие данные'!B28&amp;""</f>
        <v>Haqiqatdan yashash joy manzili: SAMARQAND VILOYATI SAMARQAND SHAHAR SO'ZANGARON MAHALLASI IBROXIMXO'JA KO'CHASI 97 A UY</v>
      </c>
      <c r="B10" s="270"/>
      <c r="C10" s="270"/>
      <c r="D10" s="270"/>
      <c r="E10" s="270"/>
      <c r="F10" s="270"/>
    </row>
    <row r="11" spans="1:6" ht="16.5" hidden="1" customHeight="1">
      <c r="A11" s="270" t="str">
        <f>'Заключение КК'!A8:E8</f>
        <v>Ish joyi:  lavozimi Yakka tartibdagi tadbirkorda Yakka tartibdagi tadbirkor</v>
      </c>
      <c r="B11" s="270"/>
      <c r="C11" s="270"/>
      <c r="D11" s="270"/>
      <c r="E11" s="270"/>
      <c r="F11" s="270"/>
    </row>
    <row r="12" spans="1:6">
      <c r="A12" s="274" t="s">
        <v>238</v>
      </c>
      <c r="B12" s="274"/>
      <c r="C12" s="274"/>
      <c r="D12" s="274"/>
      <c r="E12" s="274"/>
      <c r="F12" s="274"/>
    </row>
    <row r="13" spans="1:6">
      <c r="A13" s="270" t="str">
        <f>"Uy telefoni raqami: "&amp;'Общие данные'!B40&amp;""</f>
        <v>Uy telefoni raqami: 998 91 538-44-58 O'ZI</v>
      </c>
      <c r="B13" s="270"/>
      <c r="C13" s="270"/>
      <c r="D13" s="270"/>
      <c r="E13" s="270"/>
      <c r="F13" s="270"/>
    </row>
    <row r="14" spans="1:6">
      <c r="A14" s="270" t="str">
        <f>"Uyali telefon raqami: "&amp;'Общие данные'!B41&amp;""</f>
        <v>Uyali telefon raqami: 998 91 538-12-24 Xo'jayini</v>
      </c>
      <c r="B14" s="270"/>
      <c r="C14" s="270"/>
      <c r="D14" s="270"/>
      <c r="E14" s="270"/>
      <c r="F14" s="270"/>
    </row>
    <row r="15" spans="1:6">
      <c r="A15" s="270" t="str">
        <f>"Uyali telefon raqami: "&amp;'Общие данные'!B42&amp;""</f>
        <v xml:space="preserve">Uyali telefon raqami: 998 33 023-23-80 do'sti Farxod </v>
      </c>
      <c r="B15" s="270"/>
      <c r="C15" s="270"/>
      <c r="D15" s="270"/>
      <c r="E15" s="270"/>
      <c r="F15" s="270"/>
    </row>
    <row r="16" spans="1:6" hidden="1">
      <c r="A16" s="270" t="str">
        <f>"Uyali telefon raqami: "&amp;'Общие данные'!B42&amp;""</f>
        <v xml:space="preserve">Uyali telefon raqami: 998 33 023-23-80 do'sti Farxod </v>
      </c>
      <c r="B16" s="270"/>
      <c r="C16" s="270"/>
      <c r="D16" s="270"/>
      <c r="E16" s="270"/>
      <c r="F16" s="270"/>
    </row>
    <row r="17" spans="1:6">
      <c r="A17" s="270" t="str">
        <f>"Ish telefoni raqami: "&amp;'Общие данные'!B43&amp;""</f>
        <v xml:space="preserve">Ish telefoni raqami: </v>
      </c>
      <c r="B17" s="270"/>
      <c r="C17" s="270"/>
      <c r="D17" s="270"/>
      <c r="E17" s="270"/>
      <c r="F17" s="270"/>
    </row>
    <row r="18" spans="1:6">
      <c r="A18" s="274" t="s">
        <v>239</v>
      </c>
      <c r="B18" s="274"/>
      <c r="C18" s="274"/>
      <c r="D18" s="274"/>
      <c r="E18" s="274"/>
      <c r="F18" s="274"/>
    </row>
    <row r="19" spans="1:6" ht="16.5" customHeight="1">
      <c r="A19" s="270" t="str">
        <f>"Muassasa nomlanishi:"&amp;'Общие данные'!B58&amp;" "</f>
        <v xml:space="preserve">Muassasa nomlanishi:Yakka tartibdagi tadbirkor№ </v>
      </c>
      <c r="B19" s="270"/>
      <c r="C19" s="270"/>
      <c r="D19" s="270"/>
      <c r="E19" s="270"/>
      <c r="F19" s="270"/>
    </row>
    <row r="20" spans="1:6">
      <c r="A20" s="270" t="str">
        <f>"Ro‘yxatdan o‘tish manzili:"&amp;'Общие данные'!B50&amp;""</f>
        <v>Ro‘yxatdan o‘tish manzili:</v>
      </c>
      <c r="B20" s="270"/>
      <c r="C20" s="270"/>
      <c r="D20" s="270"/>
      <c r="E20" s="270"/>
      <c r="F20" s="270"/>
    </row>
    <row r="21" spans="1:6" ht="16.5" customHeight="1">
      <c r="A21" s="270" t="str">
        <f>"Lavozimi: "&amp;'Общие данные'!B59&amp;""</f>
        <v>Lavozimi: Yakka tartibdagi tadbirkor</v>
      </c>
      <c r="B21" s="270"/>
      <c r="C21" s="270"/>
      <c r="D21" s="270"/>
      <c r="E21" s="270"/>
      <c r="F21" s="270"/>
    </row>
    <row r="22" spans="1:6">
      <c r="A22" s="274" t="s">
        <v>240</v>
      </c>
      <c r="B22" s="271"/>
      <c r="C22" s="271"/>
      <c r="D22" s="271"/>
      <c r="E22" s="271"/>
      <c r="F22" s="271"/>
    </row>
    <row r="23" spans="1:6" s="30" customFormat="1" ht="25.5">
      <c r="A23" s="29" t="s">
        <v>241</v>
      </c>
      <c r="B23" s="29" t="s">
        <v>242</v>
      </c>
      <c r="C23" s="29" t="s">
        <v>243</v>
      </c>
      <c r="D23" s="29" t="s">
        <v>244</v>
      </c>
      <c r="E23" s="29" t="s">
        <v>245</v>
      </c>
      <c r="F23" s="29" t="s">
        <v>246</v>
      </c>
    </row>
    <row r="24" spans="1:6" ht="51">
      <c r="A24" s="31" t="s">
        <v>247</v>
      </c>
      <c r="B24" s="32">
        <f>'Общие данные'!B60</f>
        <v>8000000</v>
      </c>
      <c r="C24" s="32">
        <v>0</v>
      </c>
      <c r="D24" s="32">
        <v>0</v>
      </c>
      <c r="E24" s="31" t="s">
        <v>250</v>
      </c>
      <c r="F24" s="32">
        <v>700000</v>
      </c>
    </row>
    <row r="25" spans="1:6" ht="25.5">
      <c r="A25" s="31" t="s">
        <v>248</v>
      </c>
      <c r="B25" s="32">
        <v>0</v>
      </c>
      <c r="C25" s="32">
        <v>0</v>
      </c>
      <c r="D25" s="32">
        <v>0</v>
      </c>
      <c r="E25" s="31" t="s">
        <v>251</v>
      </c>
      <c r="F25" s="32">
        <v>500000</v>
      </c>
    </row>
    <row r="26" spans="1:6" ht="28.5" customHeight="1">
      <c r="A26" s="31" t="s">
        <v>249</v>
      </c>
      <c r="B26" s="32">
        <f>'Общие данные'!B61</f>
        <v>0</v>
      </c>
      <c r="C26" s="32">
        <v>0</v>
      </c>
      <c r="D26" s="32">
        <v>0</v>
      </c>
      <c r="E26" s="31" t="s">
        <v>252</v>
      </c>
      <c r="F26" s="32">
        <v>400000</v>
      </c>
    </row>
    <row r="27" spans="1:6" s="35" customFormat="1">
      <c r="A27" s="33" t="s">
        <v>228</v>
      </c>
      <c r="B27" s="34">
        <f>B24+B25+B26</f>
        <v>8000000</v>
      </c>
      <c r="C27" s="34">
        <f t="shared" ref="C27:F27" si="0">SUM(C24:C26)</f>
        <v>0</v>
      </c>
      <c r="D27" s="34">
        <f t="shared" si="0"/>
        <v>0</v>
      </c>
      <c r="E27" s="33"/>
      <c r="F27" s="34">
        <f t="shared" si="0"/>
        <v>1600000</v>
      </c>
    </row>
    <row r="28" spans="1:6" ht="31.5" customHeight="1">
      <c r="A28" s="270" t="str">
        <f>"Men, "&amp;'Общие данные'!B5&amp;", ushbu anketada ko‘rsatilgan barcha ma'lumotlar anketa to'ldirilgan sanada  to'g'ri va aniq ekanligini tasdiqlayman."</f>
        <v>Men, SALIYEV DALER ALIMDJONOVICH, ushbu anketada ko‘rsatilgan barcha ma'lumotlar anketa to'ldirilgan sanada  to'g'ri va aniq ekanligini tasdiqlayman.</v>
      </c>
      <c r="B28" s="270"/>
      <c r="C28" s="270"/>
      <c r="D28" s="270"/>
      <c r="E28" s="270"/>
      <c r="F28" s="270"/>
    </row>
    <row r="29" spans="1:6">
      <c r="A29" s="270" t="str">
        <f>"Men,  "&amp;'Общие данные'!B5&amp;", quyidagilarni tan olaman va roziman::"</f>
        <v>Men,  SALIYEV DALER ALIMDJONOVICH, quyidagilarni tan olaman va roziman::</v>
      </c>
      <c r="B29" s="270"/>
      <c r="C29" s="270"/>
      <c r="D29" s="270"/>
      <c r="E29" s="270"/>
      <c r="F29" s="270"/>
    </row>
    <row r="30" spans="1:6" ht="45.75" customHeight="1">
      <c r="A30" s="270" t="str">
        <f>"1.  Ushbu anketada ko‘rsatilgan har qanday ma’lumot  "&amp;'Общие данные'!B147&amp;", uning xodimlari va huquqiy vorislari tomonidan istalgan manbaa va ma’lumotlardan foydalangan holda istalgan vaqtda tekshirilishi va qayta tekshirilishi mumkin."</f>
        <v>1.  Ushbu anketada ko‘rsatilgan har qanday ma’lumot  «CLEVER MIKROMOLIYA TASHKILOTI» MChJ, uning xodimlari va huquqiy vorislari tomonidan istalgan manbaa va ma’lumotlardan foydalangan holda istalgan vaqtda tekshirilishi va qayta tekshirilishi mumkin.</v>
      </c>
      <c r="B30" s="270"/>
      <c r="C30" s="270"/>
      <c r="D30" s="270"/>
      <c r="E30" s="270"/>
      <c r="F30" s="270"/>
    </row>
    <row r="31" spans="1:6" ht="42.75" customHeight="1">
      <c r="A31" s="270" t="str">
        <f>"2. Mazkur anketaning "&amp;'Общие данные'!B147&amp;" tomonidan qabul qilinishi “Clever Mikromoliya Tashkiloti” MChJ tomonidan menga "&amp;'Общие данные'!B65&amp;" berish majburiyatini yuklamaydi."</f>
        <v>2. Mazkur anketaning «CLEVER MIKROMOLIYA TASHKILOTI» MChJ tomonidan qabul qilinishi “Clever Mikromoliya Tashkiloti” MChJ tomonidan menga mikroqarz berish majburiyatini yuklamaydi.</v>
      </c>
      <c r="B31" s="270"/>
      <c r="C31" s="270"/>
      <c r="D31" s="270"/>
      <c r="E31" s="270"/>
      <c r="F31" s="270"/>
    </row>
    <row r="32" spans="1:6" ht="71.25" customHeight="1">
      <c r="A32" s="270" t="s">
        <v>253</v>
      </c>
      <c r="B32" s="270"/>
      <c r="C32" s="270"/>
      <c r="D32" s="270"/>
      <c r="E32" s="270"/>
      <c r="F32" s="270"/>
    </row>
    <row r="33" spans="1:6">
      <c r="A33" s="270"/>
      <c r="B33" s="270"/>
      <c r="C33" s="270"/>
      <c r="D33" s="270"/>
      <c r="E33" s="270"/>
      <c r="F33" s="270"/>
    </row>
    <row r="34" spans="1:6" ht="12.75" customHeight="1">
      <c r="A34" s="271" t="s">
        <v>254</v>
      </c>
      <c r="B34" s="271"/>
      <c r="C34" s="271"/>
      <c r="D34" s="181" t="s">
        <v>167</v>
      </c>
      <c r="E34" s="271" t="s">
        <v>255</v>
      </c>
      <c r="F34" s="271"/>
    </row>
    <row r="35" spans="1:6" ht="25.5" customHeight="1">
      <c r="A35" s="272"/>
      <c r="B35" s="272"/>
      <c r="C35" s="272"/>
      <c r="D35" s="273" t="str">
        <f>'Общие данные'!B2</f>
        <v>07.03.2025</v>
      </c>
      <c r="E35" s="272"/>
      <c r="F35" s="272"/>
    </row>
    <row r="36" spans="1:6" ht="25.5" customHeight="1">
      <c r="A36" s="272"/>
      <c r="B36" s="272"/>
      <c r="C36" s="272"/>
      <c r="D36" s="273"/>
      <c r="E36" s="272"/>
      <c r="F36" s="272"/>
    </row>
    <row r="37" spans="1:6">
      <c r="A37" s="270"/>
      <c r="B37" s="270"/>
      <c r="C37" s="270"/>
      <c r="D37" s="270"/>
      <c r="E37" s="270"/>
      <c r="F37" s="270"/>
    </row>
    <row r="38" spans="1:6">
      <c r="A38" s="270"/>
      <c r="B38" s="270"/>
      <c r="C38" s="270"/>
      <c r="D38" s="270"/>
      <c r="E38" s="270"/>
      <c r="F38" s="270"/>
    </row>
    <row r="39" spans="1:6">
      <c r="A39" s="270"/>
      <c r="B39" s="270"/>
      <c r="C39" s="270"/>
      <c r="D39" s="270"/>
      <c r="E39" s="270"/>
      <c r="F39" s="270"/>
    </row>
    <row r="40" spans="1:6">
      <c r="A40" s="270"/>
      <c r="B40" s="270"/>
      <c r="C40" s="270"/>
      <c r="D40" s="270"/>
      <c r="E40" s="270"/>
      <c r="F40" s="270"/>
    </row>
    <row r="41" spans="1:6">
      <c r="A41" s="270"/>
      <c r="B41" s="270"/>
      <c r="C41" s="270"/>
      <c r="D41" s="270"/>
      <c r="E41" s="270"/>
      <c r="F41" s="270"/>
    </row>
    <row r="42" spans="1:6">
      <c r="A42" s="270"/>
      <c r="B42" s="270"/>
      <c r="C42" s="270"/>
      <c r="D42" s="270"/>
      <c r="E42" s="270"/>
      <c r="F42" s="270"/>
    </row>
    <row r="43" spans="1:6">
      <c r="A43" s="270"/>
      <c r="B43" s="270"/>
      <c r="C43" s="270"/>
      <c r="D43" s="270"/>
      <c r="E43" s="270"/>
      <c r="F43" s="270"/>
    </row>
  </sheetData>
  <mergeCells count="41">
    <mergeCell ref="A15:F15"/>
    <mergeCell ref="A1:F1"/>
    <mergeCell ref="A2:F2"/>
    <mergeCell ref="A3:F3"/>
    <mergeCell ref="A4:F4"/>
    <mergeCell ref="A5:F5"/>
    <mergeCell ref="A6:F6"/>
    <mergeCell ref="A21:F21"/>
    <mergeCell ref="A7:F7"/>
    <mergeCell ref="A28:F28"/>
    <mergeCell ref="A16:F16"/>
    <mergeCell ref="A17:F17"/>
    <mergeCell ref="A22:F22"/>
    <mergeCell ref="A9:F9"/>
    <mergeCell ref="A10:F10"/>
    <mergeCell ref="A18:F18"/>
    <mergeCell ref="A19:F19"/>
    <mergeCell ref="A20:F20"/>
    <mergeCell ref="A8:F8"/>
    <mergeCell ref="A11:F11"/>
    <mergeCell ref="A12:F12"/>
    <mergeCell ref="A13:F13"/>
    <mergeCell ref="A14:F14"/>
    <mergeCell ref="A29:F29"/>
    <mergeCell ref="A30:F30"/>
    <mergeCell ref="A31:F31"/>
    <mergeCell ref="A32:F32"/>
    <mergeCell ref="A33:F33"/>
    <mergeCell ref="A41:F41"/>
    <mergeCell ref="A42:F42"/>
    <mergeCell ref="A43:F43"/>
    <mergeCell ref="A34:C34"/>
    <mergeCell ref="E34:F34"/>
    <mergeCell ref="A35:C35"/>
    <mergeCell ref="D35:D36"/>
    <mergeCell ref="E35:F36"/>
    <mergeCell ref="A36:C36"/>
    <mergeCell ref="A37:F37"/>
    <mergeCell ref="A38:F38"/>
    <mergeCell ref="A39:F39"/>
    <mergeCell ref="A40:F40"/>
  </mergeCells>
  <pageMargins left="0.7" right="0.7" top="0.75" bottom="0.75" header="0.3" footer="0.3"/>
  <pageSetup paperSize="9" scale="95"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Лист21">
    <tabColor rgb="FF00B050"/>
  </sheetPr>
  <dimension ref="A2:H33"/>
  <sheetViews>
    <sheetView view="pageBreakPreview" topLeftCell="A7" zoomScaleNormal="100" zoomScaleSheetLayoutView="100" workbookViewId="0">
      <selection activeCell="A18" sqref="A18:C19"/>
    </sheetView>
  </sheetViews>
  <sheetFormatPr defaultColWidth="9.140625" defaultRowHeight="15.75"/>
  <cols>
    <col min="1" max="2" width="17.42578125" style="150" customWidth="1"/>
    <col min="3" max="3" width="29.85546875" style="150" customWidth="1"/>
    <col min="4" max="4" width="18.140625" style="150" customWidth="1"/>
    <col min="5" max="5" width="6.5703125" style="150" customWidth="1"/>
    <col min="6" max="16384" width="9.140625" style="150"/>
  </cols>
  <sheetData>
    <row r="2" spans="1:5">
      <c r="A2" s="276" t="s">
        <v>256</v>
      </c>
      <c r="B2" s="276"/>
      <c r="C2" s="276"/>
      <c r="D2" s="276"/>
      <c r="E2" s="276"/>
    </row>
    <row r="3" spans="1:5">
      <c r="E3" s="149" t="str">
        <f>'Общие данные'!B68</f>
        <v>7 mart 2025 y.</v>
      </c>
    </row>
    <row r="5" spans="1:5" s="151" customFormat="1" ht="27" customHeight="1">
      <c r="A5" s="280" t="s">
        <v>257</v>
      </c>
      <c r="B5" s="281"/>
      <c r="C5" s="277" t="str">
        <f>'Общие данные'!B8</f>
        <v>SALIYEV DALER ALIMDJONOVICH</v>
      </c>
      <c r="D5" s="278"/>
      <c r="E5" s="279"/>
    </row>
    <row r="7" spans="1:5" ht="15.75" customHeight="1">
      <c r="A7" s="282" t="s">
        <v>383</v>
      </c>
      <c r="B7" s="283"/>
      <c r="C7" s="284"/>
      <c r="D7" s="152" t="s">
        <v>140</v>
      </c>
      <c r="E7" s="152"/>
    </row>
    <row r="8" spans="1:5">
      <c r="A8" s="285"/>
      <c r="B8" s="286"/>
      <c r="C8" s="287"/>
      <c r="D8" s="152" t="s">
        <v>261</v>
      </c>
      <c r="E8" s="152"/>
    </row>
    <row r="9" spans="1:5" ht="15.75" customHeight="1">
      <c r="A9" s="288" t="s">
        <v>258</v>
      </c>
      <c r="B9" s="288"/>
      <c r="C9" s="288"/>
      <c r="D9" s="152" t="s">
        <v>140</v>
      </c>
      <c r="E9" s="152"/>
    </row>
    <row r="10" spans="1:5">
      <c r="A10" s="288"/>
      <c r="B10" s="288"/>
      <c r="C10" s="288"/>
      <c r="D10" s="152" t="s">
        <v>261</v>
      </c>
      <c r="E10" s="152"/>
    </row>
    <row r="11" spans="1:5" ht="15.75" customHeight="1">
      <c r="A11" s="288" t="s">
        <v>259</v>
      </c>
      <c r="B11" s="288"/>
      <c r="C11" s="288"/>
      <c r="D11" s="152" t="s">
        <v>140</v>
      </c>
      <c r="E11" s="152"/>
    </row>
    <row r="12" spans="1:5">
      <c r="A12" s="288"/>
      <c r="B12" s="288"/>
      <c r="C12" s="288"/>
      <c r="D12" s="152" t="s">
        <v>261</v>
      </c>
      <c r="E12" s="152"/>
    </row>
    <row r="13" spans="1:5" ht="34.5" customHeight="1">
      <c r="A13" s="289" t="s">
        <v>260</v>
      </c>
      <c r="B13" s="289"/>
      <c r="C13" s="289"/>
      <c r="D13" s="289"/>
      <c r="E13" s="289"/>
    </row>
    <row r="14" spans="1:5" ht="16.5" thickBot="1">
      <c r="A14" s="290"/>
      <c r="B14" s="290"/>
      <c r="C14" s="290"/>
      <c r="D14" s="290"/>
      <c r="E14" s="290"/>
    </row>
    <row r="15" spans="1:5" ht="16.5" thickBot="1">
      <c r="A15" s="290"/>
      <c r="B15" s="290"/>
      <c r="C15" s="290"/>
      <c r="D15" s="290"/>
      <c r="E15" s="290"/>
    </row>
    <row r="16" spans="1:5" ht="16.5" thickBot="1">
      <c r="A16" s="290"/>
      <c r="B16" s="290"/>
      <c r="C16" s="290"/>
      <c r="D16" s="290"/>
      <c r="E16" s="290"/>
    </row>
    <row r="18" spans="1:8" ht="18.75" customHeight="1">
      <c r="A18" s="288" t="s">
        <v>262</v>
      </c>
      <c r="B18" s="288"/>
      <c r="C18" s="288"/>
      <c r="D18" s="152" t="s">
        <v>140</v>
      </c>
      <c r="E18" s="152"/>
    </row>
    <row r="19" spans="1:8" ht="18.75" customHeight="1">
      <c r="A19" s="288"/>
      <c r="B19" s="288"/>
      <c r="C19" s="288"/>
      <c r="D19" s="152" t="s">
        <v>261</v>
      </c>
      <c r="E19" s="152"/>
    </row>
    <row r="20" spans="1:8" ht="29.25" customHeight="1">
      <c r="A20" s="288" t="s">
        <v>263</v>
      </c>
      <c r="B20" s="288"/>
      <c r="C20" s="288"/>
      <c r="D20" s="152" t="s">
        <v>140</v>
      </c>
      <c r="E20" s="152"/>
    </row>
    <row r="21" spans="1:8" ht="29.25" customHeight="1">
      <c r="A21" s="288"/>
      <c r="B21" s="288"/>
      <c r="C21" s="288"/>
      <c r="D21" s="152" t="s">
        <v>261</v>
      </c>
      <c r="E21" s="152"/>
    </row>
    <row r="23" spans="1:8" ht="15.75" customHeight="1">
      <c r="A23" s="289" t="s">
        <v>264</v>
      </c>
      <c r="B23" s="289"/>
      <c r="C23" s="289"/>
      <c r="D23" s="289"/>
      <c r="E23" s="289"/>
    </row>
    <row r="24" spans="1:8" ht="16.5" thickBot="1">
      <c r="A24" s="290"/>
      <c r="B24" s="290"/>
      <c r="C24" s="290"/>
      <c r="D24" s="290"/>
      <c r="E24" s="290"/>
    </row>
    <row r="25" spans="1:8" ht="16.5" thickBot="1">
      <c r="A25" s="290"/>
      <c r="B25" s="290"/>
      <c r="C25" s="290"/>
      <c r="D25" s="290"/>
      <c r="E25" s="290"/>
    </row>
    <row r="26" spans="1:8" ht="16.5" thickBot="1">
      <c r="A26" s="290"/>
      <c r="B26" s="290"/>
      <c r="C26" s="290"/>
      <c r="D26" s="290"/>
      <c r="E26" s="290"/>
    </row>
    <row r="28" spans="1:8" ht="78.75" customHeight="1">
      <c r="A28" s="291" t="s">
        <v>265</v>
      </c>
      <c r="B28" s="291"/>
      <c r="C28" s="291"/>
      <c r="D28" s="291"/>
      <c r="E28" s="291"/>
    </row>
    <row r="30" spans="1:8" ht="33" customHeight="1">
      <c r="A30" s="291" t="s">
        <v>266</v>
      </c>
      <c r="B30" s="291"/>
      <c r="C30" s="291"/>
      <c r="D30" s="291"/>
      <c r="E30" s="291"/>
      <c r="F30" s="153"/>
      <c r="G30" s="153"/>
      <c r="H30" s="153"/>
    </row>
    <row r="33" spans="1:5" ht="16.5" thickBot="1">
      <c r="A33" s="154" t="str">
        <f>C5</f>
        <v>SALIYEV DALER ALIMDJONOVICH</v>
      </c>
      <c r="D33" s="155"/>
      <c r="E33" s="156"/>
    </row>
  </sheetData>
  <mergeCells count="18">
    <mergeCell ref="A28:E28"/>
    <mergeCell ref="A30:E30"/>
    <mergeCell ref="A18:C19"/>
    <mergeCell ref="A20:C21"/>
    <mergeCell ref="A23:E23"/>
    <mergeCell ref="A24:E24"/>
    <mergeCell ref="A25:E25"/>
    <mergeCell ref="A26:E26"/>
    <mergeCell ref="A11:C12"/>
    <mergeCell ref="A13:E13"/>
    <mergeCell ref="A16:E16"/>
    <mergeCell ref="A15:E15"/>
    <mergeCell ref="A14:E14"/>
    <mergeCell ref="A2:E2"/>
    <mergeCell ref="C5:E5"/>
    <mergeCell ref="A5:B5"/>
    <mergeCell ref="A7:C8"/>
    <mergeCell ref="A9:C10"/>
  </mergeCells>
  <printOptions horizontalCentered="1"/>
  <pageMargins left="0.70866141732283472" right="0.70866141732283472" top="0.74803149606299213" bottom="0.74803149606299213" header="0.31496062992125984" footer="0.31496062992125984"/>
  <pageSetup paperSize="9" scale="97"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Лист6">
    <tabColor rgb="FF00B050"/>
  </sheetPr>
  <dimension ref="A1:E77"/>
  <sheetViews>
    <sheetView view="pageBreakPreview" topLeftCell="A7" zoomScaleSheetLayoutView="100" workbookViewId="0">
      <selection activeCell="A20" sqref="A20:XFD20"/>
    </sheetView>
  </sheetViews>
  <sheetFormatPr defaultColWidth="9.140625" defaultRowHeight="15.75"/>
  <cols>
    <col min="1" max="1" width="20.140625" style="10" customWidth="1"/>
    <col min="2" max="2" width="18.7109375" style="10" customWidth="1"/>
    <col min="3" max="3" width="19.7109375" style="10" customWidth="1"/>
    <col min="4" max="4" width="28.7109375" style="10" customWidth="1"/>
    <col min="5" max="16384" width="9.140625" style="10"/>
  </cols>
  <sheetData>
    <row r="1" spans="1:4" ht="66" customHeight="1">
      <c r="C1" s="296" t="str">
        <f>""&amp;'Общие данные'!B147&amp;"ning
"&amp;'Общие данные'!A150&amp;"i"</f>
        <v>«CLEVER MIKROMOLIYA TASHKILOTI» MChJning
Samarqand viloyati Samarqand  filial boshlig'ii</v>
      </c>
      <c r="D1" s="296"/>
    </row>
    <row r="2" spans="1:4">
      <c r="C2" s="17"/>
      <c r="D2" s="18" t="str">
        <f>""&amp;'Общие данные'!B150&amp;"ga"</f>
        <v>Asrorov S.S.ga</v>
      </c>
    </row>
    <row r="4" spans="1:4">
      <c r="A4" s="295" t="str">
        <f>""&amp;'Общие данные'!C64&amp;" olish uchun Ariza"</f>
        <v>Mikroqarz olish uchun Ariza</v>
      </c>
      <c r="B4" s="295"/>
      <c r="C4" s="295"/>
      <c r="D4" s="295"/>
    </row>
    <row r="5" spans="1:4">
      <c r="A5" s="295"/>
      <c r="B5" s="295"/>
      <c r="C5" s="295"/>
      <c r="D5" s="295"/>
    </row>
    <row r="6" spans="1:4" ht="60" customHeight="1">
      <c r="A6" s="292" t="str">
        <f>""&amp;'Общие данные'!B28&amp;".-da yashovchi O‘zbekiston Respublikasi fuqarosi "&amp;'Общие данные'!B8&amp;"dan. "</f>
        <v xml:space="preserve">SAMARQAND VILOYATI SAMARQAND SHAHAR SO'ZANGARON MAHALLASI IBROXIMXO'JA KO'CHASI 97 A UY.-da yashovchi O‘zbekiston Respublikasi fuqarosi SALIYEV DALER ALIMDJONOVICHdan. </v>
      </c>
      <c r="B6" s="292"/>
      <c r="C6" s="292"/>
      <c r="D6" s="292"/>
    </row>
    <row r="7" spans="1:4" ht="15.75" customHeight="1">
      <c r="A7" s="292" t="str">
        <f>"Tug'ilgan kuni: "&amp;'Общие данные'!B15&amp;""</f>
        <v>Tug'ilgan kuni: 30.07.1995 y</v>
      </c>
      <c r="B7" s="292"/>
      <c r="C7" s="292"/>
      <c r="D7" s="292"/>
    </row>
    <row r="8" spans="1:4" ht="33" customHeight="1">
      <c r="A8" s="292" t="str">
        <f>"Pasport seriyasi: "&amp;'Общие данные'!B16&amp;" "&amp;'Общие данные'!B20&amp;""</f>
        <v>Pasport seriyasi: AD 6879613 IIV 18810  tomonidan 18.04.2024 yilda berilgan</v>
      </c>
      <c r="B8" s="292"/>
      <c r="C8" s="292"/>
      <c r="D8" s="292"/>
    </row>
    <row r="9" spans="1:4" ht="16.5" customHeight="1">
      <c r="A9" s="292" t="str">
        <f>"Asosiy ish joyi : "&amp;'Общие данные'!B58&amp;""</f>
        <v>Asosiy ish joyi : Yakka tartibdagi tadbirkor№</v>
      </c>
      <c r="B9" s="292"/>
      <c r="C9" s="292"/>
      <c r="D9" s="292"/>
    </row>
    <row r="10" spans="1:4" ht="15.75" customHeight="1">
      <c r="A10" s="292" t="str">
        <f>"Lavozimi: "&amp;'Общие данные'!B59&amp;""</f>
        <v>Lavozimi: Yakka tartibdagi tadbirkor</v>
      </c>
      <c r="B10" s="292"/>
      <c r="C10" s="292"/>
      <c r="D10" s="292"/>
    </row>
    <row r="11" spans="1:4">
      <c r="A11" s="292" t="str">
        <f>"O’rtacha oylik daromadi: "&amp;FIXED('Общие данные'!B60,2)&amp;" so'm."</f>
        <v>O’rtacha oylik daromadi: 8 000 000,00 so'm.</v>
      </c>
      <c r="B11" s="292"/>
      <c r="C11" s="292"/>
      <c r="D11" s="292"/>
    </row>
    <row r="12" spans="1:4">
      <c r="A12" s="292" t="str">
        <f>"Menga quyidagi shartlarda "&amp;'Общие данные'!B65&amp;" berishingizni so’rayman:"</f>
        <v>Menga quyidagi shartlarda mikroqarz berishingizni so’rayman:</v>
      </c>
      <c r="B12" s="292"/>
      <c r="C12" s="292"/>
      <c r="D12" s="292"/>
    </row>
    <row r="13" spans="1:4">
      <c r="A13" s="292" t="str">
        <f>""&amp;'Общие данные'!C64&amp;" summasi: "&amp;FIXED('Общие данные'!B75,2)&amp;" ("&amp;'Общие данные'!B76&amp;") so'm."</f>
        <v>Mikroqarz summasi: 20 000 000,00 (yigirma million so'm) so'm.</v>
      </c>
      <c r="B13" s="292"/>
      <c r="C13" s="292"/>
      <c r="D13" s="292"/>
    </row>
    <row r="14" spans="1:4">
      <c r="A14" s="292" t="str">
        <f>""&amp;'Общие данные'!C64&amp;" muddati: "&amp;'Общие данные'!B81&amp;" ("&amp;'Общие данные'!B82&amp;") oy."</f>
        <v>Mikroqarz muddati: 24 (yigirma to'rt) oy.</v>
      </c>
      <c r="B14" s="292"/>
      <c r="C14" s="292"/>
      <c r="D14" s="292"/>
    </row>
    <row r="15" spans="1:4" ht="17.25" customHeight="1">
      <c r="A15" s="292" t="str">
        <f>""&amp;'Общие данные'!C64&amp;"dan foydalanganlik uchun foiz stavkasi: yillik  "&amp;'Общие данные'!B85&amp;"% ("&amp;'Общие данные'!B86&amp;") foiz"</f>
        <v>Mikroqarzdan foydalanganlik uchun foiz stavkasi: yillik  60% (Oltmish) foiz</v>
      </c>
      <c r="B15" s="292"/>
      <c r="C15" s="292"/>
      <c r="D15" s="292"/>
    </row>
    <row r="16" spans="1:4">
      <c r="A16" s="292" t="str">
        <f>""&amp;'Общие данные'!C64&amp;" bo'yicha asosiy qarz va foizlarni to'lash:"</f>
        <v>Mikroqarz bo'yicha asosiy qarz va foizlarni to'lash:</v>
      </c>
      <c r="B16" s="292"/>
      <c r="C16" s="292"/>
      <c r="D16" s="292"/>
    </row>
    <row r="17" spans="1:5" ht="20.25" hidden="1" customHeight="1">
      <c r="A17" s="294" t="str">
        <f>" - "&amp;'Общие данные'!B65&amp;" shartnomasi bo'yicha har oy differensial to'lovlari amalga oshiriladi"</f>
        <v xml:space="preserve"> - mikroqarz shartnomasi bo'yicha har oy differensial to'lovlari amalga oshiriladi</v>
      </c>
      <c r="B17" s="294"/>
      <c r="C17" s="294"/>
      <c r="D17" s="294"/>
    </row>
    <row r="18" spans="1:5" ht="33.75" hidden="1" customHeight="1">
      <c r="A18" s="294" t="str">
        <f>" - "&amp;'Общие данные'!B65&amp;" shartnomasi bo'yicha har oy annuitet to'lovlari amalga oshiriladi"</f>
        <v xml:space="preserve"> - mikroqarz shartnomasi bo'yicha har oy annuitet to'lovlari amalga oshiriladi</v>
      </c>
      <c r="B18" s="294"/>
      <c r="C18" s="294"/>
      <c r="D18" s="294"/>
    </row>
    <row r="19" spans="1:5" ht="33.75" customHeight="1">
      <c r="A19" s="294" t="str">
        <f>IF('Общие данные'!B77='Общие данные'!C77,'Кредитная заявка'!A17:D17,IF('Общие данные'!B77='Общие данные'!D77,'Кредитная заявка'!A18:D18))</f>
        <v xml:space="preserve"> - mikroqarz shartnomasi bo'yicha har oy differensial to'lovlari amalga oshiriladi</v>
      </c>
      <c r="B19" s="294"/>
      <c r="C19" s="294"/>
      <c r="D19" s="294"/>
    </row>
    <row r="20" spans="1:5" ht="33.75" hidden="1" customHeight="1">
      <c r="A20" s="292" t="str">
        <f>IF(DAY('Общие данные'!E67)&lt;15,"   ","  Oxirgi yakuniy to'lov "&amp;'Общие данные'!B65&amp;" shartnomasi tuzilgan kundan boshlab oxirgi oyning oxirgi kunida amalga oshiriladi")</f>
        <v xml:space="preserve">   </v>
      </c>
      <c r="B20" s="292"/>
      <c r="C20" s="292"/>
      <c r="D20" s="292"/>
    </row>
    <row r="21" spans="1:5">
      <c r="A21" s="292" t="str">
        <f>""&amp;'Общие данные'!C64&amp;" ta’minoti::"</f>
        <v>Mikroqarz ta’minoti::</v>
      </c>
      <c r="B21" s="292"/>
      <c r="C21" s="292"/>
      <c r="D21" s="292"/>
    </row>
    <row r="22" spans="1:5" ht="70.5" customHeight="1">
      <c r="A22" s="294" t="str">
        <f>IF('Общие данные'!B103="Avtotransport",A26,A23)</f>
        <v xml:space="preserve">  Egalik huquqi SHADMANOVA GULMIRA ZAKIROVNAga tegishli bo'lgan garovga olingan avtomobil markasi   COBALT , rangi -  OQ BELIY, ishlab chiqarilgan yili - 2022, davlat raqam belgisi 30S095AB, kuzov turi - YENGIL SEDAN, kuzov raqami XWBJA69VEPA011841, dvigatel raqami B15D212223022MTAX0763, shassi raqami - -</v>
      </c>
      <c r="B22" s="294"/>
      <c r="C22" s="294"/>
      <c r="D22" s="294"/>
    </row>
    <row r="23" spans="1:5" ht="79.5" hidden="1" customHeight="1">
      <c r="A23" s="294" t="str">
        <f>IF('Общие данные'!B92='Общие данные'!C92,A25,IF('Общие данные'!B92='Общие данные'!D92,A24,0))</f>
        <v xml:space="preserve"> Egalik huquqi SHOUSMANOVA DAVLATXON XXXga tegishli bo'lgan umumiy maydoni - 72.13 kv.m.  va yashash maydoni - 37.39 kv.m 3 - xonali yakka tartibdagi uy-joy, SAMARQAND VILOYATI TAYLOQ TUMANI CHAROG'BON MFY YANGI TAYLOQ QISHLOG'I 6 TURAR JOY 12 QAVAT 58 XONADON </v>
      </c>
      <c r="B23" s="294"/>
      <c r="C23" s="294"/>
      <c r="D23" s="294"/>
    </row>
    <row r="24" spans="1:5" ht="96.75" hidden="1" customHeight="1">
      <c r="A24" s="294" t="str">
        <f>" - Navbatdagi garov (ipoteka) Egalik huquqi asosida  "&amp;'Общие данные'!C117&amp;"ga "&amp;'Общие данные'!C126&amp;", umumiy maydoni - "&amp;'Общие данные'!C130&amp;" va yashash maydoni - "&amp;'Общие данные'!C133&amp;", manzili: "&amp;'Общие данные'!C123&amp;"."</f>
        <v xml:space="preserve"> - Navbatdagi garov (ipoteka) Egalik huquqi asosida  SHOUSMANOVA DAVLATXON XXXga 3 - xonali yakka tartibdagi uy-joy, umumiy maydoni - 72.13 kv.m. va yashash maydoni - 37.39 kv.m, manzili: SAMARQAND VILOYATI TAYLOQ TUMANI CHAROG'BON MFY YANGI TAYLOQ QISHLOG'I 6 TURAR JOY 12 QAVAT 58 XONADON.</v>
      </c>
      <c r="B24" s="294"/>
      <c r="C24" s="294"/>
      <c r="D24" s="294"/>
      <c r="E24" s="191"/>
    </row>
    <row r="25" spans="1:5" ht="92.25" hidden="1" customHeight="1">
      <c r="A25" s="294" t="str">
        <f>" Egalik huquqi "&amp;'Общие данные'!C117&amp;"ga tegishli bo'lgan umumiy maydoni - "&amp;'Общие данные'!C130&amp;"  va yashash maydoni - "&amp;'Общие данные'!C133&amp;" "&amp;'Общие данные'!C126&amp;", "&amp;'Общие данные'!C123&amp;" "</f>
        <v xml:space="preserve"> Egalik huquqi SHOUSMANOVA DAVLATXON XXXga tegishli bo'lgan umumiy maydoni - 72.13 kv.m.  va yashash maydoni - 37.39 kv.m 3 - xonali yakka tartibdagi uy-joy, SAMARQAND VILOYATI TAYLOQ TUMANI CHAROG'BON MFY YANGI TAYLOQ QISHLOG'I 6 TURAR JOY 12 QAVAT 58 XONADON </v>
      </c>
      <c r="B25" s="294"/>
      <c r="C25" s="294"/>
      <c r="D25" s="294"/>
    </row>
    <row r="26" spans="1:5" ht="78" hidden="1" customHeight="1">
      <c r="A26" s="294" t="str">
        <f>IF('Общие данные'!B92='Общие данные'!C92,'Кредитная заявка'!A28:D28,IF('Общие данные'!B92='Общие данные'!D92,'Кредитная заявка'!A27:D27,0))</f>
        <v xml:space="preserve">  Egalik huquqi SHADMANOVA GULMIRA ZAKIROVNAga tegishli bo'lgan garovga olingan avtomobil markasi   COBALT , rangi -  OQ BELIY, ishlab chiqarilgan yili - 2022, davlat raqam belgisi 30S095AB, kuzov turi - YENGIL SEDAN, kuzov raqami XWBJA69VEPA011841, dvigatel raqami B15D212223022MTAX0763, shassi raqami - -</v>
      </c>
      <c r="B26" s="294"/>
      <c r="C26" s="294"/>
      <c r="D26" s="294"/>
    </row>
    <row r="27" spans="1:5" ht="93" hidden="1" customHeight="1">
      <c r="A27" s="294" t="str">
        <f>" Egalik huquqi "&amp;'Общие данные'!B117&amp;"ga tegishli bo'lgan "&amp;'Общие данные'!B125&amp;", "&amp;'Общие данные'!B133&amp;", davlat raqam belgisi "&amp;'Общие данные'!B126&amp;", "&amp;'Общие данные'!B127&amp;", "&amp;'Общие данные'!B130&amp;" avtotransport vositasi "</f>
        <v xml:space="preserve"> Egalik huquqi SHADMANOVA GULMIRA ZAKIROVNAga tegishli bo'lgan COBALT , rangi -  OQ BELIY, ishlab chiqarilgan yili - 2022, davlat raqam belgisi 30S095AB, kuzov turi - YENGIL SEDAN, kuzov raqami XWBJA69VEPA011841, dvigatel raqami B15D212223022MTAX0763, shassi raqami - - avtotransport vositasi </v>
      </c>
      <c r="B27" s="294"/>
      <c r="C27" s="294"/>
      <c r="D27" s="294"/>
    </row>
    <row r="28" spans="1:5" ht="93.75" hidden="1" customHeight="1">
      <c r="A28" s="294" t="str">
        <f>"  Egalik huquqi "&amp;'Общие данные'!B117&amp;"ga tegishli bo'lgan garovga olingan avtomobil markasi   "&amp;'Общие данные'!B125&amp;", "&amp;'Общие данные'!B133&amp;", davlat raqam belgisi "&amp;'Общие данные'!B126&amp;", "&amp;'Общие данные'!B127&amp;", "&amp;'Общие данные'!B130&amp;""</f>
        <v xml:space="preserve">  Egalik huquqi SHADMANOVA GULMIRA ZAKIROVNAga tegishli bo'lgan garovga olingan avtomobil markasi   COBALT , rangi -  OQ BELIY, ishlab chiqarilgan yili - 2022, davlat raqam belgisi 30S095AB, kuzov turi - YENGIL SEDAN, kuzov raqami XWBJA69VEPA011841, dvigatel raqami B15D212223022MTAX0763, shassi raqami - -</v>
      </c>
      <c r="B28" s="294"/>
      <c r="C28" s="294"/>
      <c r="D28" s="294"/>
    </row>
    <row r="29" spans="1:5" ht="10.5" customHeight="1">
      <c r="A29" s="292"/>
      <c r="B29" s="292"/>
      <c r="C29" s="292"/>
      <c r="D29" s="292"/>
    </row>
    <row r="30" spans="1:5" ht="53.25" customHeight="1">
      <c r="A30" s="294" t="str">
        <f>"Mazkur ariza bilan "&amp;'Общие данные'!B147&amp;"ga men va soʻralayotgan "&amp;'Общие данные'!B65&amp;" boʻyicha barcha zarur maʼlumotlarni quyida ko’rsatilgan tashkilotlarga taqdim etish va olishga roziligimni bildirib, ushbu amaliyotlarni o’tkazish uchun huquq beraman:"</f>
        <v>Mazkur ariza bilan «CLEVER MIKROMOLIYA TASHKILOTI» MChJga men va soʻralayotgan mikroqarz boʻyicha barcha zarur maʼlumotlarni quyida ko’rsatilgan tashkilotlarga taqdim etish va olishga roziligimni bildirib, ushbu amaliyotlarni o’tkazish uchun huquq beraman:</v>
      </c>
      <c r="B30" s="294"/>
      <c r="C30" s="294"/>
      <c r="D30" s="294"/>
    </row>
    <row r="31" spans="1:5" ht="15.75" customHeight="1">
      <c r="A31" s="294" t="s">
        <v>267</v>
      </c>
      <c r="B31" s="294"/>
      <c r="C31" s="294"/>
      <c r="D31" s="294"/>
    </row>
    <row r="32" spans="1:5">
      <c r="A32" s="294" t="s">
        <v>268</v>
      </c>
      <c r="B32" s="294"/>
      <c r="C32" s="294"/>
      <c r="D32" s="294"/>
    </row>
    <row r="33" spans="1:4">
      <c r="A33" s="294" t="s">
        <v>269</v>
      </c>
      <c r="B33" s="294"/>
      <c r="C33" s="294"/>
      <c r="D33" s="294"/>
    </row>
    <row r="34" spans="1:4">
      <c r="A34" s="292" t="str">
        <f>"Ariza berilgan sana: "&amp;TEXT('Общие данные'!B2,"ДД.ММ.ГГГГ")&amp;"y."</f>
        <v>Ariza berilgan sana: 07.03.2025y.</v>
      </c>
      <c r="B34" s="292"/>
      <c r="C34" s="292"/>
      <c r="D34" s="292"/>
    </row>
    <row r="35" spans="1:4">
      <c r="A35" s="292"/>
      <c r="B35" s="292"/>
      <c r="C35" s="292"/>
      <c r="D35" s="292"/>
    </row>
    <row r="36" spans="1:4">
      <c r="A36" s="292" t="s">
        <v>270</v>
      </c>
      <c r="B36" s="292"/>
      <c r="C36" s="292"/>
      <c r="D36" s="292"/>
    </row>
    <row r="37" spans="1:4">
      <c r="A37" s="292"/>
      <c r="B37" s="292"/>
      <c r="C37" s="292"/>
      <c r="D37" s="292"/>
    </row>
    <row r="38" spans="1:4">
      <c r="A38" s="292"/>
      <c r="B38" s="292"/>
      <c r="C38" s="292"/>
      <c r="D38" s="292"/>
    </row>
    <row r="39" spans="1:4" ht="15.75" customHeight="1">
      <c r="A39" s="293" t="str">
        <f>'Общие данные'!B5</f>
        <v>SALIYEV DALER ALIMDJONOVICH</v>
      </c>
      <c r="B39" s="293"/>
      <c r="C39" s="293"/>
      <c r="D39" s="15" t="s">
        <v>4</v>
      </c>
    </row>
    <row r="40" spans="1:4">
      <c r="A40" s="14"/>
      <c r="B40" s="14"/>
      <c r="D40" s="16" t="s">
        <v>358</v>
      </c>
    </row>
    <row r="41" spans="1:4">
      <c r="A41" s="292"/>
      <c r="B41" s="292"/>
      <c r="C41" s="292"/>
      <c r="D41" s="292"/>
    </row>
    <row r="42" spans="1:4">
      <c r="A42" s="292"/>
      <c r="B42" s="292"/>
      <c r="C42" s="292"/>
      <c r="D42" s="292"/>
    </row>
    <row r="43" spans="1:4">
      <c r="A43" s="292"/>
      <c r="B43" s="292"/>
      <c r="C43" s="292"/>
      <c r="D43" s="292"/>
    </row>
    <row r="44" spans="1:4">
      <c r="A44" s="292"/>
      <c r="B44" s="292"/>
      <c r="C44" s="292"/>
      <c r="D44" s="292"/>
    </row>
    <row r="45" spans="1:4">
      <c r="A45" s="292"/>
      <c r="B45" s="292"/>
      <c r="C45" s="292"/>
      <c r="D45" s="292"/>
    </row>
    <row r="46" spans="1:4">
      <c r="A46" s="292"/>
      <c r="B46" s="292"/>
      <c r="C46" s="292"/>
      <c r="D46" s="292"/>
    </row>
    <row r="47" spans="1:4">
      <c r="A47" s="292"/>
      <c r="B47" s="292"/>
      <c r="C47" s="292"/>
      <c r="D47" s="292"/>
    </row>
    <row r="48" spans="1:4">
      <c r="A48" s="292"/>
      <c r="B48" s="292"/>
      <c r="C48" s="292"/>
      <c r="D48" s="292"/>
    </row>
    <row r="49" spans="1:4">
      <c r="A49" s="292"/>
      <c r="B49" s="292"/>
      <c r="C49" s="292"/>
      <c r="D49" s="292"/>
    </row>
    <row r="50" spans="1:4">
      <c r="A50" s="292"/>
      <c r="B50" s="292"/>
      <c r="C50" s="292"/>
      <c r="D50" s="292"/>
    </row>
    <row r="51" spans="1:4">
      <c r="A51" s="292"/>
      <c r="B51" s="292"/>
      <c r="C51" s="292"/>
      <c r="D51" s="292"/>
    </row>
    <row r="52" spans="1:4">
      <c r="A52" s="292"/>
      <c r="B52" s="292"/>
      <c r="C52" s="292"/>
      <c r="D52" s="292"/>
    </row>
    <row r="53" spans="1:4">
      <c r="A53" s="292"/>
      <c r="B53" s="292"/>
      <c r="C53" s="292"/>
      <c r="D53" s="292"/>
    </row>
    <row r="54" spans="1:4">
      <c r="A54" s="292"/>
      <c r="B54" s="292"/>
      <c r="C54" s="292"/>
      <c r="D54" s="292"/>
    </row>
    <row r="55" spans="1:4">
      <c r="A55" s="292"/>
      <c r="B55" s="292"/>
      <c r="C55" s="292"/>
      <c r="D55" s="292"/>
    </row>
    <row r="56" spans="1:4">
      <c r="A56" s="292"/>
      <c r="B56" s="292"/>
      <c r="C56" s="292"/>
      <c r="D56" s="292"/>
    </row>
    <row r="57" spans="1:4">
      <c r="A57" s="292"/>
      <c r="B57" s="292"/>
      <c r="C57" s="292"/>
      <c r="D57" s="292"/>
    </row>
    <row r="58" spans="1:4">
      <c r="A58" s="292"/>
      <c r="B58" s="292"/>
      <c r="C58" s="292"/>
      <c r="D58" s="292"/>
    </row>
    <row r="59" spans="1:4">
      <c r="A59" s="292"/>
      <c r="B59" s="292"/>
      <c r="C59" s="292"/>
      <c r="D59" s="292"/>
    </row>
    <row r="60" spans="1:4">
      <c r="A60" s="292"/>
      <c r="B60" s="292"/>
      <c r="C60" s="292"/>
      <c r="D60" s="292"/>
    </row>
    <row r="61" spans="1:4">
      <c r="A61" s="292"/>
      <c r="B61" s="292"/>
      <c r="C61" s="292"/>
      <c r="D61" s="292"/>
    </row>
    <row r="62" spans="1:4">
      <c r="A62" s="292"/>
      <c r="B62" s="292"/>
      <c r="C62" s="292"/>
      <c r="D62" s="292"/>
    </row>
    <row r="63" spans="1:4">
      <c r="A63" s="292"/>
      <c r="B63" s="292"/>
      <c r="C63" s="292"/>
      <c r="D63" s="292"/>
    </row>
    <row r="64" spans="1:4">
      <c r="A64" s="292"/>
      <c r="B64" s="292"/>
      <c r="C64" s="292"/>
      <c r="D64" s="292"/>
    </row>
    <row r="65" spans="1:4">
      <c r="A65" s="292"/>
      <c r="B65" s="292"/>
      <c r="C65" s="292"/>
      <c r="D65" s="292"/>
    </row>
    <row r="66" spans="1:4">
      <c r="A66" s="292"/>
      <c r="B66" s="292"/>
      <c r="C66" s="292"/>
      <c r="D66" s="292"/>
    </row>
    <row r="67" spans="1:4">
      <c r="A67" s="292"/>
      <c r="B67" s="292"/>
      <c r="C67" s="292"/>
      <c r="D67" s="292"/>
    </row>
    <row r="68" spans="1:4">
      <c r="A68" s="292"/>
      <c r="B68" s="292"/>
      <c r="C68" s="292"/>
      <c r="D68" s="292"/>
    </row>
    <row r="69" spans="1:4">
      <c r="A69" s="292"/>
      <c r="B69" s="292"/>
      <c r="C69" s="292"/>
      <c r="D69" s="292"/>
    </row>
    <row r="70" spans="1:4">
      <c r="A70" s="292"/>
      <c r="B70" s="292"/>
      <c r="C70" s="292"/>
      <c r="D70" s="292"/>
    </row>
    <row r="71" spans="1:4">
      <c r="A71" s="292"/>
      <c r="B71" s="292"/>
      <c r="C71" s="292"/>
      <c r="D71" s="292"/>
    </row>
    <row r="72" spans="1:4">
      <c r="A72" s="292"/>
      <c r="B72" s="292"/>
      <c r="C72" s="292"/>
      <c r="D72" s="292"/>
    </row>
    <row r="73" spans="1:4">
      <c r="A73" s="292"/>
      <c r="B73" s="292"/>
      <c r="C73" s="292"/>
      <c r="D73" s="292"/>
    </row>
    <row r="74" spans="1:4">
      <c r="A74" s="292"/>
      <c r="B74" s="292"/>
      <c r="C74" s="292"/>
      <c r="D74" s="292"/>
    </row>
    <row r="75" spans="1:4">
      <c r="A75" s="292"/>
      <c r="B75" s="292"/>
      <c r="C75" s="292"/>
      <c r="D75" s="292"/>
    </row>
    <row r="76" spans="1:4">
      <c r="A76" s="292"/>
      <c r="B76" s="292"/>
      <c r="C76" s="292"/>
      <c r="D76" s="292"/>
    </row>
    <row r="77" spans="1:4">
      <c r="A77" s="292"/>
      <c r="B77" s="292"/>
      <c r="C77" s="292"/>
      <c r="D77" s="292"/>
    </row>
  </sheetData>
  <mergeCells count="74">
    <mergeCell ref="A4:D4"/>
    <mergeCell ref="A5:D5"/>
    <mergeCell ref="C1:D1"/>
    <mergeCell ref="A6:D6"/>
    <mergeCell ref="A7:D7"/>
    <mergeCell ref="A8:D8"/>
    <mergeCell ref="A9:D9"/>
    <mergeCell ref="A10:D10"/>
    <mergeCell ref="A11:D11"/>
    <mergeCell ref="A12:D12"/>
    <mergeCell ref="A18:D18"/>
    <mergeCell ref="A19:D19"/>
    <mergeCell ref="A26:D26"/>
    <mergeCell ref="A27:D27"/>
    <mergeCell ref="A24:D24"/>
    <mergeCell ref="A23:D23"/>
    <mergeCell ref="A20:D20"/>
    <mergeCell ref="A21:D21"/>
    <mergeCell ref="A22:D22"/>
    <mergeCell ref="A25:D25"/>
    <mergeCell ref="A13:D13"/>
    <mergeCell ref="A14:D14"/>
    <mergeCell ref="A15:D15"/>
    <mergeCell ref="A16:D16"/>
    <mergeCell ref="A17:D17"/>
    <mergeCell ref="A30:D30"/>
    <mergeCell ref="A31:D31"/>
    <mergeCell ref="A32:D32"/>
    <mergeCell ref="A33:D33"/>
    <mergeCell ref="A28:D28"/>
    <mergeCell ref="A29:D29"/>
    <mergeCell ref="A34:D34"/>
    <mergeCell ref="A41:D41"/>
    <mergeCell ref="A42:D42"/>
    <mergeCell ref="A43:D43"/>
    <mergeCell ref="A44:D44"/>
    <mergeCell ref="A35:D35"/>
    <mergeCell ref="A36:D36"/>
    <mergeCell ref="A37:D37"/>
    <mergeCell ref="A38:D38"/>
    <mergeCell ref="A45:D45"/>
    <mergeCell ref="A46:D46"/>
    <mergeCell ref="A47:D47"/>
    <mergeCell ref="A48:D48"/>
    <mergeCell ref="A49:D49"/>
    <mergeCell ref="A50:D50"/>
    <mergeCell ref="A51:D51"/>
    <mergeCell ref="A52:D52"/>
    <mergeCell ref="A53:D53"/>
    <mergeCell ref="A54:D54"/>
    <mergeCell ref="A62:D62"/>
    <mergeCell ref="A63:D63"/>
    <mergeCell ref="A64:D64"/>
    <mergeCell ref="A55:D55"/>
    <mergeCell ref="A56:D56"/>
    <mergeCell ref="A57:D57"/>
    <mergeCell ref="A58:D58"/>
    <mergeCell ref="A59:D59"/>
    <mergeCell ref="A75:D75"/>
    <mergeCell ref="A76:D76"/>
    <mergeCell ref="A77:D77"/>
    <mergeCell ref="A39:C39"/>
    <mergeCell ref="A70:D70"/>
    <mergeCell ref="A71:D71"/>
    <mergeCell ref="A72:D72"/>
    <mergeCell ref="A73:D73"/>
    <mergeCell ref="A74:D74"/>
    <mergeCell ref="A65:D65"/>
    <mergeCell ref="A66:D66"/>
    <mergeCell ref="A67:D67"/>
    <mergeCell ref="A68:D68"/>
    <mergeCell ref="A69:D69"/>
    <mergeCell ref="A60:D60"/>
    <mergeCell ref="A61:D61"/>
  </mergeCells>
  <pageMargins left="0.7" right="0.7" top="0.75" bottom="0.75" header="0.3" footer="0.3"/>
  <pageSetup paperSize="9" scale="8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Лист22">
    <tabColor rgb="FF00B050"/>
  </sheetPr>
  <dimension ref="A3:B11"/>
  <sheetViews>
    <sheetView view="pageBreakPreview" zoomScale="85" zoomScaleNormal="100" zoomScaleSheetLayoutView="85" workbookViewId="0">
      <selection activeCell="I10" sqref="I10"/>
    </sheetView>
  </sheetViews>
  <sheetFormatPr defaultRowHeight="15"/>
  <cols>
    <col min="1" max="1" width="54.42578125" style="19" customWidth="1"/>
    <col min="2" max="2" width="32.28515625" style="19" customWidth="1"/>
  </cols>
  <sheetData>
    <row r="3" spans="1:2" ht="35.25" customHeight="1">
      <c r="A3" s="297" t="s">
        <v>233</v>
      </c>
      <c r="B3" s="297"/>
    </row>
    <row r="4" spans="1:2" ht="92.25" customHeight="1">
      <c r="A4" s="245" t="str">
        <f>"     Men, fuqaro "&amp;'Общие данные'!B5&amp;" "&amp;'Общие данные'!B149&amp;" bilan "&amp;'Общие данные'!B69&amp;" sanasidagi "&amp;'Общие данные'!B66&amp;"-sonli shartnomaning garov ta'minoti sifatida taqdim etilayotgan mulk "&amp;'Общие данные'!B125&amp;" rusumli avtotransport vositasini qonunga xilof ravishda o‘zlashtirmaslikka, yashirmaslikka, nobud qilmaslikka yoki unga shikast yetkazmaslik majburiyatini olaman."</f>
        <v xml:space="preserve">     Men, fuqaro SALIYEV DALER ALIMDJONOVICH «CLEVER MIKROMOLIYA TASHKILOTI» MChJ bilan 7 mart 2025 y. sanasidagi №558-SM-sonli shartnomaning garov ta'minoti sifatida taqdim etilayotgan mulk COBALT  rusumli avtotransport vositasini qonunga xilof ravishda o‘zlashtirmaslikka, yashirmaslikka, nobud qilmaslikka yoki unga shikast yetkazmaslik majburiyatini olaman.</v>
      </c>
      <c r="B4" s="245"/>
    </row>
    <row r="5" spans="1:2" ht="56.25" customHeight="1">
      <c r="A5" s="298" t="s">
        <v>234</v>
      </c>
      <c r="B5" s="298"/>
    </row>
    <row r="6" spans="1:2" ht="42.75" customHeight="1"/>
    <row r="7" spans="1:2">
      <c r="A7" s="19" t="str">
        <f>'Общие данные'!B5</f>
        <v>SALIYEV DALER ALIMDJONOVICH</v>
      </c>
      <c r="B7" s="166" t="s">
        <v>235</v>
      </c>
    </row>
    <row r="8" spans="1:2" ht="26.25" customHeight="1"/>
    <row r="9" spans="1:2" ht="26.25" customHeight="1"/>
    <row r="10" spans="1:2" ht="26.25" customHeight="1"/>
    <row r="11" spans="1:2">
      <c r="A11" s="19" t="str">
        <f>"sana:   "&amp;TEXT('Общие данные'!B2,"ДД.ММ.ГГГГ")&amp;" y."</f>
        <v>sana:   07.03.2025 y.</v>
      </c>
    </row>
  </sheetData>
  <mergeCells count="3">
    <mergeCell ref="A3:B3"/>
    <mergeCell ref="A4:B4"/>
    <mergeCell ref="A5:B5"/>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Лист7">
    <tabColor rgb="FF00B050"/>
  </sheetPr>
  <dimension ref="A1:E77"/>
  <sheetViews>
    <sheetView view="pageBreakPreview" topLeftCell="A13" zoomScaleSheetLayoutView="100" workbookViewId="0">
      <selection activeCell="A25" sqref="A25:E25"/>
    </sheetView>
  </sheetViews>
  <sheetFormatPr defaultColWidth="9.140625" defaultRowHeight="15" outlineLevelRow="1"/>
  <cols>
    <col min="1" max="1" width="23.7109375" style="19" customWidth="1"/>
    <col min="2" max="5" width="17" style="19" customWidth="1"/>
    <col min="6" max="16384" width="9.140625" style="19"/>
  </cols>
  <sheetData>
    <row r="1" spans="1:5" ht="36" customHeight="1">
      <c r="A1" s="265" t="str">
        <f>""&amp;'Общие данные'!B147&amp;"
mikromoliya tashkilotining Xulosasi"</f>
        <v>«CLEVER MIKROMOLIYA TASHKILOTI» MChJ
mikromoliya tashkilotining Xulosasi</v>
      </c>
      <c r="B1" s="265"/>
      <c r="C1" s="265"/>
      <c r="D1" s="265"/>
      <c r="E1" s="265"/>
    </row>
    <row r="2" spans="1:5">
      <c r="A2" s="245"/>
      <c r="B2" s="245"/>
      <c r="C2" s="245"/>
      <c r="D2" s="245"/>
      <c r="E2" s="245"/>
    </row>
    <row r="3" spans="1:5">
      <c r="A3" s="265" t="s">
        <v>215</v>
      </c>
      <c r="B3" s="265"/>
      <c r="C3" s="265"/>
      <c r="D3" s="265"/>
      <c r="E3" s="265"/>
    </row>
    <row r="4" spans="1:5">
      <c r="A4" s="245" t="str">
        <f>"Mijozning to'liq ismi sharifi: "&amp;'Общие данные'!B5&amp;""</f>
        <v>Mijozning to'liq ismi sharifi: SALIYEV DALER ALIMDJONOVICH</v>
      </c>
      <c r="B4" s="245"/>
      <c r="C4" s="245"/>
      <c r="D4" s="245"/>
      <c r="E4" s="245"/>
    </row>
    <row r="5" spans="1:5">
      <c r="A5" s="245" t="str">
        <f>"Tug'ilgan sanasi: "&amp;'Общие данные'!B15&amp;""</f>
        <v>Tug'ilgan sanasi: 30.07.1995 y</v>
      </c>
      <c r="B5" s="245"/>
      <c r="C5" s="245"/>
      <c r="D5" s="245"/>
      <c r="E5" s="245"/>
    </row>
    <row r="6" spans="1:5" ht="36" customHeight="1">
      <c r="A6" s="245" t="str">
        <f>"Pasport seriyasi "&amp;'Общие данные'!B16&amp;" "&amp;'Общие данные'!B20&amp;", amal qilish muddati - "&amp;'Общие данные'!B21&amp;""</f>
        <v>Pasport seriyasi AD 6879613 IIV 18810  tomonidan 18.04.2024 yilda berilgan, amal qilish muddati - 17.04.2034 y.</v>
      </c>
      <c r="B6" s="245"/>
      <c r="C6" s="245"/>
      <c r="D6" s="245"/>
      <c r="E6" s="245"/>
    </row>
    <row r="7" spans="1:5" ht="48" customHeight="1">
      <c r="A7" s="245" t="str">
        <f>"Ro‘yxatdan o‘tgan manzili: "&amp;'Общие данные'!B28&amp;", mo'ljal: "&amp;'Общие данные'!B26&amp;""</f>
        <v>Ro‘yxatdan o‘tgan manzili: SAMARQAND VILOYATI SAMARQAND SHAHAR SO'ZANGARON MAHALLASI IBROXIMXO'JA KO'CHASI 97 A UY, mo'ljal: REGISTON SHOXJAXON OTEL</v>
      </c>
      <c r="B7" s="245"/>
      <c r="C7" s="245"/>
      <c r="D7" s="245"/>
      <c r="E7" s="245"/>
    </row>
    <row r="8" spans="1:5" ht="23.25" customHeight="1">
      <c r="A8" s="245" t="str">
        <f>"Ish joyi: "&amp;'Общие данные'!B52&amp;" lavozimi "&amp;'Общие данные'!B49&amp;"da "&amp;'Общие данные'!B44&amp;""</f>
        <v>Ish joyi:  lavozimi Yakka tartibdagi tadbirkorda Yakka tartibdagi tadbirkor</v>
      </c>
      <c r="B8" s="245"/>
      <c r="C8" s="245"/>
      <c r="D8" s="245"/>
      <c r="E8" s="245"/>
    </row>
    <row r="9" spans="1:5">
      <c r="A9" s="245"/>
      <c r="B9" s="245"/>
      <c r="C9" s="245"/>
      <c r="D9" s="245"/>
      <c r="E9" s="245"/>
    </row>
    <row r="10" spans="1:5">
      <c r="A10" s="265" t="str">
        <f>"Mijoz tomonidan so’ralgan "&amp;'Общие данные'!B65&amp;" shartlari:"</f>
        <v>Mijoz tomonidan so’ralgan mikroqarz shartlari:</v>
      </c>
      <c r="B10" s="265"/>
      <c r="C10" s="265"/>
      <c r="D10" s="265"/>
      <c r="E10" s="265"/>
    </row>
    <row r="11" spans="1:5">
      <c r="A11" s="245" t="str">
        <f>'Кредитная заявка'!A13:D13</f>
        <v>Mikroqarz summasi: 20 000 000,00 (yigirma million so'm) so'm.</v>
      </c>
      <c r="B11" s="245"/>
      <c r="C11" s="245"/>
      <c r="D11" s="245"/>
      <c r="E11" s="245"/>
    </row>
    <row r="12" spans="1:5">
      <c r="A12" s="245" t="str">
        <f>'Кредитная заявка'!A14:D14</f>
        <v>Mikroqarz muddati: 24 (yigirma to'rt) oy.</v>
      </c>
      <c r="B12" s="245"/>
      <c r="C12" s="245"/>
      <c r="D12" s="245"/>
      <c r="E12" s="245"/>
    </row>
    <row r="13" spans="1:5">
      <c r="A13" s="245" t="str">
        <f>'Кредитная заявка'!A15:D15</f>
        <v>Mikroqarzdan foydalanganlik uchun foiz stavkasi: yillik  60% (Oltmish) foiz</v>
      </c>
      <c r="B13" s="245"/>
      <c r="C13" s="245"/>
      <c r="D13" s="245"/>
      <c r="E13" s="245"/>
    </row>
    <row r="14" spans="1:5">
      <c r="A14" s="245" t="str">
        <f>'Кредитная заявка'!A16:D16</f>
        <v>Mikroqarz bo'yicha asosiy qarz va foizlarni to'lash:</v>
      </c>
      <c r="B14" s="245"/>
      <c r="C14" s="245"/>
      <c r="D14" s="245"/>
      <c r="E14" s="245"/>
    </row>
    <row r="15" spans="1:5" ht="18.75" customHeight="1">
      <c r="A15" s="245" t="str">
        <f>'Кредитная заявка'!A19:D19</f>
        <v xml:space="preserve"> - mikroqarz shartnomasi bo'yicha har oy differensial to'lovlari amalga oshiriladi</v>
      </c>
      <c r="B15" s="245"/>
      <c r="C15" s="245"/>
      <c r="D15" s="245"/>
      <c r="E15" s="245"/>
    </row>
    <row r="16" spans="1:5" ht="14.25" customHeight="1">
      <c r="A16" s="246" t="str">
        <f>'Кредитная заявка'!A20:D20</f>
        <v xml:space="preserve">   </v>
      </c>
      <c r="B16" s="246"/>
      <c r="C16" s="246"/>
      <c r="D16" s="246"/>
      <c r="E16" s="246"/>
    </row>
    <row r="17" spans="1:5">
      <c r="A17" s="245" t="str">
        <f>'Кредитная заявка'!A21:D21</f>
        <v>Mikroqarz ta’minoti::</v>
      </c>
      <c r="B17" s="245"/>
      <c r="C17" s="245"/>
      <c r="D17" s="245"/>
      <c r="E17" s="245"/>
    </row>
    <row r="18" spans="1:5" ht="67.5" customHeight="1">
      <c r="A18" s="245" t="str">
        <f>'Кредитная заявка'!A22:D22</f>
        <v xml:space="preserve">  Egalik huquqi SHADMANOVA GULMIRA ZAKIROVNAga tegishli bo'lgan garovga olingan avtomobil markasi   COBALT , rangi -  OQ BELIY, ishlab chiqarilgan yili - 2022, davlat raqam belgisi 30S095AB, kuzov turi - YENGIL SEDAN, kuzov raqami XWBJA69VEPA011841, dvigatel raqami B15D212223022MTAX0763, shassi raqami - -</v>
      </c>
      <c r="B18" s="245"/>
      <c r="C18" s="245"/>
      <c r="D18" s="245"/>
      <c r="E18" s="245"/>
    </row>
    <row r="19" spans="1:5">
      <c r="A19" s="265" t="s">
        <v>216</v>
      </c>
      <c r="B19" s="265"/>
      <c r="C19" s="265"/>
      <c r="D19" s="265"/>
      <c r="E19" s="265"/>
    </row>
    <row r="20" spans="1:5" ht="21" customHeight="1">
      <c r="A20" s="245" t="str">
        <f>"Anketaga muvofiq "&amp;'Общие данные'!B9&amp;"ning o‘rtacha oylik daromadi  "&amp;FIXED('Общие данные'!B60)&amp;" so‘mni tashkil etdi."</f>
        <v>Anketaga muvofiq SALIYEV D.A.ning o‘rtacha oylik daromadi  8 000 000,00 so‘mni tashkil etdi.</v>
      </c>
      <c r="B20" s="245"/>
      <c r="C20" s="245"/>
      <c r="D20" s="245"/>
      <c r="E20" s="245"/>
    </row>
    <row r="21" spans="1:5" ht="21" customHeight="1">
      <c r="A21" s="245" t="str">
        <f>"Mijozning o'rtacha oylik xarajatlari "&amp;FIXED('Анкета Клиента'!F27)&amp;" so'mni tashkil etdi"</f>
        <v>Mijozning o'rtacha oylik xarajatlari 1 600 000,00 so'mni tashkil etdi</v>
      </c>
      <c r="B21" s="245"/>
      <c r="C21" s="245"/>
      <c r="D21" s="245"/>
      <c r="E21" s="245"/>
    </row>
    <row r="22" spans="1:5" ht="24" customHeight="1">
      <c r="A22" s="245" t="str">
        <f>IF('Общие данные'!B77='Общие данные'!C77,'Заключение КК'!A23:E23,'Заключение КК'!A24:E24)</f>
        <v>Mikroqarz shartnomasi bo'yicha birinchi oy uchun to'lov 2 115 525,02 so'mni tashkil etadi.</v>
      </c>
      <c r="B22" s="245"/>
      <c r="C22" s="245"/>
      <c r="D22" s="245"/>
      <c r="E22" s="245"/>
    </row>
    <row r="23" spans="1:5" ht="21" hidden="1" customHeight="1">
      <c r="A23" s="245" t="str">
        <f>""&amp;'Общие данные'!C64&amp;" shartnomasi bo'yicha birinchi oy uchun to'lov "&amp;FIXED('Общие данные'!B90)&amp;" so'mni tashkil etadi."</f>
        <v>Mikroqarz shartnomasi bo'yicha birinchi oy uchun to'lov 2 115 525,02 so'mni tashkil etadi.</v>
      </c>
      <c r="B23" s="245"/>
      <c r="C23" s="245"/>
      <c r="D23" s="245"/>
      <c r="E23" s="245"/>
    </row>
    <row r="24" spans="1:5" ht="19.5" hidden="1" customHeight="1">
      <c r="A24" s="245" t="str">
        <f>""&amp;'Общие данные'!C64&amp;" bo‘yicha oylik "&amp;'Общие данные'!B77&amp;" to‘lovi miqdori "&amp;FIXED('Общие данные'!B90)&amp;" so‘mni tashkil etadi."</f>
        <v>Mikroqarz bo‘yicha oylik differensial to‘lovi miqdori 2 115 525,02 so‘mni tashkil etadi.</v>
      </c>
      <c r="B24" s="245"/>
      <c r="C24" s="245"/>
      <c r="D24" s="245"/>
      <c r="E24" s="245"/>
    </row>
    <row r="25" spans="1:5" ht="91.5" customHeight="1">
      <c r="A25" s="246" t="s">
        <v>451</v>
      </c>
      <c r="B25" s="246"/>
      <c r="C25" s="246"/>
      <c r="D25" s="246"/>
      <c r="E25" s="246"/>
    </row>
    <row r="26" spans="1:5">
      <c r="A26" s="265" t="str">
        <f>""&amp;'Общие данные'!C64&amp;" bo’yicha ta’minot:"</f>
        <v>Mikroqarz bo’yicha ta’minot:</v>
      </c>
      <c r="B26" s="265"/>
      <c r="C26" s="265"/>
      <c r="D26" s="265"/>
      <c r="E26" s="265"/>
    </row>
    <row r="27" spans="1:5" ht="31.5" hidden="1" customHeight="1">
      <c r="A27" s="245" t="str">
        <f>" - "&amp;'Общие данные'!B117&amp;" ga mulk huquqi asosida tegishli avtotransport vositasi "&amp;'Общие данные'!B125&amp;" , quyidagi tafsilotlarga muvofiq:"</f>
        <v xml:space="preserve"> - SHADMANOVA GULMIRA ZAKIROVNA ga mulk huquqi asosida tegishli avtotransport vositasi COBALT  , quyidagi tafsilotlarga muvofiq:</v>
      </c>
      <c r="B27" s="245"/>
      <c r="C27" s="245"/>
      <c r="D27" s="245"/>
      <c r="E27" s="245"/>
    </row>
    <row r="28" spans="1:5" ht="67.5" hidden="1" customHeight="1">
      <c r="A28" s="245" t="str">
        <f>" -   "&amp;'Общие данные'!C117&amp;" ga mulk huquqi asosida tegishli ko'chmas mulk shaklida "&amp;'Общие данные'!C126&amp;", manzili: "&amp;'Общие данные'!C123&amp;", quyidagi tafsilotlarga muvofiq:"</f>
        <v xml:space="preserve"> -   SHOUSMANOVA DAVLATXON XXX ga mulk huquqi asosida tegishli ko'chmas mulk shaklida 3 - xonali yakka tartibdagi uy-joy, manzili: SAMARQAND VILOYATI TAYLOQ TUMANI CHAROG'BON MFY YANGI TAYLOQ QISHLOG'I 6 TURAR JOY 12 QAVAT 58 XONADON, quyidagi tafsilotlarga muvofiq:</v>
      </c>
      <c r="B28" s="245"/>
      <c r="C28" s="245"/>
      <c r="D28" s="245"/>
      <c r="E28" s="245"/>
    </row>
    <row r="29" spans="1:5" ht="44.25" customHeight="1">
      <c r="A29" s="245" t="str">
        <f>IF('Общие данные'!B103="Avtotransport",'Заключение КК'!A27:E27,'Заключение КК'!A28:E28)</f>
        <v xml:space="preserve"> - SHADMANOVA GULMIRA ZAKIROVNA ga mulk huquqi asosida tegishli avtotransport vositasi COBALT  , quyidagi tafsilotlarga muvofiq:</v>
      </c>
      <c r="B29" s="245"/>
      <c r="C29" s="245"/>
      <c r="D29" s="245"/>
      <c r="E29" s="245"/>
    </row>
    <row r="30" spans="1:5" s="20" customFormat="1" ht="47.25" customHeight="1" outlineLevel="1">
      <c r="A30" s="43" t="s">
        <v>217</v>
      </c>
      <c r="B30" s="43" t="s">
        <v>218</v>
      </c>
      <c r="C30" s="43" t="s">
        <v>219</v>
      </c>
      <c r="D30" s="43" t="s">
        <v>220</v>
      </c>
      <c r="E30" s="43" t="s">
        <v>221</v>
      </c>
    </row>
    <row r="31" spans="1:5" s="24" customFormat="1" ht="97.5" customHeight="1" outlineLevel="1">
      <c r="A31" s="21" t="str">
        <f>'Общие данные'!B125</f>
        <v xml:space="preserve">COBALT </v>
      </c>
      <c r="B31" s="21" t="str">
        <f>'Общие данные'!B127</f>
        <v>kuzov turi - YENGIL SEDAN, kuzov raqami XWBJA69VEPA011841</v>
      </c>
      <c r="C31" s="21" t="str">
        <f>'Общие данные'!B130</f>
        <v>dvigatel raqami B15D212223022MTAX0763, shassi raqami - -</v>
      </c>
      <c r="D31" s="21" t="str">
        <f>'Общие данные'!B133</f>
        <v>rangi -  OQ BELIY, ishlab chiqarilgan yili - 2022</v>
      </c>
      <c r="E31" s="21" t="str">
        <f>""&amp;FIXED('Общие данные'!B136)&amp;" ("&amp;'Общие данные'!B137&amp;")"</f>
        <v>30 000 000,00 (o'ttiz million so'm)</v>
      </c>
    </row>
    <row r="32" spans="1:5" outlineLevel="1">
      <c r="A32" s="245" t="str">
        <f>"-* avtotransport vositasining mulkdori: "&amp;'Общие данные'!B117&amp;""</f>
        <v>-* avtotransport vositasining mulkdori: SHADMANOVA GULMIRA ZAKIROVNA</v>
      </c>
      <c r="B32" s="245"/>
      <c r="C32" s="245"/>
      <c r="D32" s="245"/>
      <c r="E32" s="245"/>
    </row>
    <row r="33" spans="1:5" outlineLevel="1">
      <c r="A33" s="245" t="str">
        <f>"-* texpasport raqami:: "&amp;'Общие данные'!B124&amp;""</f>
        <v>-* texpasport raqami:: AAG 1736517 15.06.2023yil</v>
      </c>
      <c r="B33" s="245"/>
      <c r="C33" s="245"/>
      <c r="D33" s="245"/>
      <c r="E33" s="245"/>
    </row>
    <row r="34" spans="1:5" ht="33" customHeight="1" outlineLevel="1">
      <c r="A34" s="245" t="str">
        <f>"-* roʻyxatdan oʻtgan manzili/garaj manzili: "&amp;'Общие данные'!B122&amp;""</f>
        <v>-* roʻyxatdan oʻtgan manzili/garaj manzili: TOSHKENT SHAHAR MIROBOD TUMANI FARG'ONA YO'LI FITRAT MAHALLASI 3 UY 30 XONADON</v>
      </c>
      <c r="B34" s="245"/>
      <c r="C34" s="245"/>
      <c r="D34" s="245"/>
      <c r="E34" s="245"/>
    </row>
    <row r="35" spans="1:5" outlineLevel="1">
      <c r="A35" s="245" t="str">
        <f>"-* davlat raqami: "&amp;'Общие данные'!B126&amp;""</f>
        <v>-* davlat raqami: 30S095AB</v>
      </c>
      <c r="B35" s="245"/>
      <c r="C35" s="245"/>
      <c r="D35" s="245"/>
      <c r="E35" s="245"/>
    </row>
    <row r="36" spans="1:5" ht="9.75" customHeight="1">
      <c r="A36" s="23"/>
      <c r="B36" s="23"/>
      <c r="C36" s="23"/>
      <c r="D36" s="23"/>
      <c r="E36" s="23"/>
    </row>
    <row r="37" spans="1:5" ht="57" hidden="1" outlineLevel="1">
      <c r="A37" s="43" t="s">
        <v>217</v>
      </c>
      <c r="B37" s="43" t="s">
        <v>285</v>
      </c>
      <c r="C37" s="43" t="s">
        <v>286</v>
      </c>
      <c r="D37" s="43" t="s">
        <v>287</v>
      </c>
      <c r="E37" s="43" t="s">
        <v>221</v>
      </c>
    </row>
    <row r="38" spans="1:5" ht="21.75" hidden="1" customHeight="1" outlineLevel="1">
      <c r="A38" s="57" t="str">
        <f>'Акт согласования'!A51</f>
        <v>Yashash xona</v>
      </c>
      <c r="B38" s="61">
        <f>'Акт согласования'!B51</f>
        <v>0</v>
      </c>
      <c r="C38" s="61">
        <f>'Акт согласования'!C51</f>
        <v>37.39</v>
      </c>
      <c r="D38" s="61">
        <f>'Акт согласования'!D51</f>
        <v>37.39</v>
      </c>
      <c r="E38" s="260" t="str">
        <f>""&amp;FIXED('Общие данные'!C136,2)&amp;" ("&amp;'Общие данные'!C137&amp;")"</f>
        <v>30 000 000,00 (o'ttiz million so'm)</v>
      </c>
    </row>
    <row r="39" spans="1:5" ht="21.75" hidden="1" customHeight="1" outlineLevel="1">
      <c r="A39" s="57">
        <f>'Акт согласования'!A52</f>
        <v>0</v>
      </c>
      <c r="B39" s="61">
        <f>'Акт согласования'!B52</f>
        <v>0</v>
      </c>
      <c r="C39" s="61">
        <f>'Акт согласования'!C52</f>
        <v>0</v>
      </c>
      <c r="D39" s="61">
        <f>'Акт согласования'!D52</f>
        <v>0</v>
      </c>
      <c r="E39" s="260"/>
    </row>
    <row r="40" spans="1:5" ht="21.75" hidden="1" customHeight="1" outlineLevel="1">
      <c r="A40" s="57" t="str">
        <f>'Акт согласования'!A53</f>
        <v>Noturar joy</v>
      </c>
      <c r="B40" s="61">
        <f>'Акт согласования'!B53</f>
        <v>34.74</v>
      </c>
      <c r="C40" s="61">
        <f>'Акт согласования'!C53</f>
        <v>0</v>
      </c>
      <c r="D40" s="61">
        <f>'Акт согласования'!D53</f>
        <v>34.74</v>
      </c>
      <c r="E40" s="260"/>
    </row>
    <row r="41" spans="1:5" ht="21.75" hidden="1" customHeight="1" outlineLevel="1">
      <c r="A41" s="57">
        <f>'Акт согласования'!A54</f>
        <v>0</v>
      </c>
      <c r="B41" s="61">
        <f>'Акт согласования'!B54</f>
        <v>0</v>
      </c>
      <c r="C41" s="61">
        <f>'Акт согласования'!C54</f>
        <v>0</v>
      </c>
      <c r="D41" s="61">
        <f>'Акт согласования'!D54</f>
        <v>0</v>
      </c>
      <c r="E41" s="260"/>
    </row>
    <row r="42" spans="1:5" ht="21.75" hidden="1" customHeight="1" outlineLevel="1">
      <c r="A42" s="57">
        <f>'Акт согласования'!A55</f>
        <v>0</v>
      </c>
      <c r="B42" s="61">
        <f>'Акт согласования'!B55</f>
        <v>0</v>
      </c>
      <c r="C42" s="61">
        <f>'Акт согласования'!C55</f>
        <v>0</v>
      </c>
      <c r="D42" s="61">
        <f>'Акт согласования'!D55</f>
        <v>0</v>
      </c>
      <c r="E42" s="260"/>
    </row>
    <row r="43" spans="1:5" ht="21.75" hidden="1" customHeight="1" outlineLevel="1">
      <c r="A43" s="57">
        <f>'Акт согласования'!A56</f>
        <v>0</v>
      </c>
      <c r="B43" s="61">
        <f>'Акт согласования'!B56</f>
        <v>0</v>
      </c>
      <c r="C43" s="61">
        <f>'Акт согласования'!C56</f>
        <v>0</v>
      </c>
      <c r="D43" s="61">
        <f>'Акт согласования'!D56</f>
        <v>0</v>
      </c>
      <c r="E43" s="260"/>
    </row>
    <row r="44" spans="1:5" ht="21.75" hidden="1" customHeight="1" outlineLevel="1">
      <c r="A44" s="57">
        <f>'Акт согласования'!A57</f>
        <v>0</v>
      </c>
      <c r="B44" s="61">
        <f>'Акт согласования'!B57</f>
        <v>0</v>
      </c>
      <c r="C44" s="61">
        <f>'Акт согласования'!C57</f>
        <v>0</v>
      </c>
      <c r="D44" s="61">
        <f>'Акт согласования'!D57</f>
        <v>0</v>
      </c>
      <c r="E44" s="260"/>
    </row>
    <row r="45" spans="1:5" ht="21.75" hidden="1" customHeight="1" outlineLevel="1">
      <c r="A45" s="57">
        <f>'Акт согласования'!A58</f>
        <v>0</v>
      </c>
      <c r="B45" s="61">
        <f>'Акт согласования'!B58</f>
        <v>0</v>
      </c>
      <c r="C45" s="61">
        <f>'Акт согласования'!C58</f>
        <v>0</v>
      </c>
      <c r="D45" s="61">
        <f>'Акт согласования'!D58</f>
        <v>0</v>
      </c>
      <c r="E45" s="260"/>
    </row>
    <row r="46" spans="1:5" ht="21.75" hidden="1" customHeight="1" outlineLevel="1">
      <c r="A46" s="57">
        <f>'Акт согласования'!A59</f>
        <v>0</v>
      </c>
      <c r="B46" s="61">
        <f>'Акт согласования'!B59</f>
        <v>0</v>
      </c>
      <c r="C46" s="61">
        <f>'Акт согласования'!C59</f>
        <v>0</v>
      </c>
      <c r="D46" s="61">
        <f>'Акт согласования'!D59</f>
        <v>0</v>
      </c>
      <c r="E46" s="260"/>
    </row>
    <row r="47" spans="1:5" ht="21.75" hidden="1" customHeight="1" outlineLevel="1">
      <c r="A47" s="57">
        <f>'Акт согласования'!A60</f>
        <v>0</v>
      </c>
      <c r="B47" s="61">
        <f>'Акт согласования'!B60</f>
        <v>0</v>
      </c>
      <c r="C47" s="61">
        <f>'Акт согласования'!C60</f>
        <v>0</v>
      </c>
      <c r="D47" s="61">
        <f>'Акт согласования'!D60</f>
        <v>0</v>
      </c>
      <c r="E47" s="260"/>
    </row>
    <row r="48" spans="1:5" hidden="1" outlineLevel="1">
      <c r="A48" s="57">
        <f>'Акт согласования'!A61</f>
        <v>0</v>
      </c>
      <c r="B48" s="61">
        <f>'Акт согласования'!B61</f>
        <v>0</v>
      </c>
      <c r="C48" s="61">
        <f>'Акт согласования'!C61</f>
        <v>0</v>
      </c>
      <c r="D48" s="61">
        <f>'Акт согласования'!D61</f>
        <v>0</v>
      </c>
      <c r="E48" s="260"/>
    </row>
    <row r="49" spans="1:5" s="41" customFormat="1" ht="14.25" hidden="1" outlineLevel="1">
      <c r="A49" s="58" t="str">
        <f>'Акт согласования'!A62</f>
        <v>JAMI</v>
      </c>
      <c r="B49" s="62">
        <f>'Акт согласования'!B62</f>
        <v>34.74</v>
      </c>
      <c r="C49" s="62">
        <f>'Акт согласования'!C62</f>
        <v>37.39</v>
      </c>
      <c r="D49" s="62">
        <f>'Акт согласования'!D62</f>
        <v>72.13</v>
      </c>
      <c r="E49" s="63" t="str">
        <f>'Акт согласования'!E62</f>
        <v>30 000 000,00</v>
      </c>
    </row>
    <row r="50" spans="1:5" s="41" customFormat="1" hidden="1" outlineLevel="1">
      <c r="A50" s="245" t="str">
        <f>"-* ko'chmas mulk egasi: "&amp;'Общие данные'!C117&amp;""</f>
        <v>-* ko'chmas mulk egasi: SHOUSMANOVA DAVLATXON XXX</v>
      </c>
      <c r="B50" s="245"/>
      <c r="C50" s="245"/>
      <c r="D50" s="245"/>
      <c r="E50" s="245"/>
    </row>
    <row r="51" spans="1:5" s="41" customFormat="1" hidden="1" outlineLevel="1">
      <c r="A51" s="245" t="str">
        <f>"-* reestr raqami: "&amp;'Общие данные'!C124&amp;""</f>
        <v>-* reestr raqami: 1718238/R-A1419303</v>
      </c>
      <c r="B51" s="245"/>
      <c r="C51" s="245"/>
      <c r="D51" s="245"/>
      <c r="E51" s="245"/>
    </row>
    <row r="52" spans="1:5" s="41" customFormat="1" hidden="1" outlineLevel="1">
      <c r="A52" s="245" t="str">
        <f>"-* kadastr raqami: "&amp;'Общие данные'!C127&amp;""</f>
        <v>-* kadastr raqami: №14:13:02:01:03:1179:0006:058 от 16.12.2020 г.</v>
      </c>
      <c r="B52" s="245"/>
      <c r="C52" s="245"/>
      <c r="D52" s="245"/>
      <c r="E52" s="245"/>
    </row>
    <row r="53" spans="1:5" s="41" customFormat="1" hidden="1" outlineLevel="1">
      <c r="A53" s="245" t="str">
        <f>"-* manzili: "&amp;'Общие данные'!C123&amp;""</f>
        <v>-* manzili: SAMARQAND VILOYATI TAYLOQ TUMANI CHAROG'BON MFY YANGI TAYLOQ QISHLOG'I 6 TURAR JOY 12 QAVAT 58 XONADON</v>
      </c>
      <c r="B53" s="245"/>
      <c r="C53" s="245"/>
      <c r="D53" s="245"/>
      <c r="E53" s="245"/>
    </row>
    <row r="54" spans="1:5" ht="9" customHeight="1" collapsed="1">
      <c r="A54" s="245"/>
      <c r="B54" s="245"/>
      <c r="C54" s="245"/>
      <c r="D54" s="245"/>
      <c r="E54" s="245"/>
    </row>
    <row r="55" spans="1:5" ht="39" customHeight="1">
      <c r="A55" s="265" t="str">
        <f>""&amp;'Общие данные'!B147&amp;"
mikromoliya tashkilotining Xulosasi"</f>
        <v>«CLEVER MIKROMOLIYA TASHKILOTI» MChJ
mikromoliya tashkilotining Xulosasi</v>
      </c>
      <c r="B55" s="265"/>
      <c r="C55" s="265"/>
      <c r="D55" s="265"/>
      <c r="E55" s="265"/>
    </row>
    <row r="56" spans="1:5" ht="48" customHeight="1">
      <c r="A56" s="245" t="str">
        <f>""&amp;'Общие данные'!B147&amp;" kredit qo‘mitasining xulosasiga quyidagi shartlarda "&amp;'Общие данные'!B10&amp;"ga "&amp;'Общие данные'!B65&amp;" berish masalasi kiritiladi:"</f>
        <v>«CLEVER MIKROMOLIYA TASHKILOTI» MChJ kredit qo‘mitasining xulosasiga quyidagi shartlarda SALIYEV DALER ALIMDJONOVICHga mikroqarz berish masalasi kiritiladi:</v>
      </c>
      <c r="B56" s="245"/>
      <c r="C56" s="245"/>
      <c r="D56" s="245"/>
      <c r="E56" s="245"/>
    </row>
    <row r="57" spans="1:5">
      <c r="A57" s="245" t="str">
        <f>A11</f>
        <v>Mikroqarz summasi: 20 000 000,00 (yigirma million so'm) so'm.</v>
      </c>
      <c r="B57" s="245"/>
      <c r="C57" s="245"/>
      <c r="D57" s="245"/>
      <c r="E57" s="245"/>
    </row>
    <row r="58" spans="1:5">
      <c r="A58" s="245" t="str">
        <f t="shared" ref="A58:A64" si="0">A12</f>
        <v>Mikroqarz muddati: 24 (yigirma to'rt) oy.</v>
      </c>
      <c r="B58" s="245"/>
      <c r="C58" s="245"/>
      <c r="D58" s="245"/>
      <c r="E58" s="245"/>
    </row>
    <row r="59" spans="1:5">
      <c r="A59" s="245" t="str">
        <f t="shared" si="0"/>
        <v>Mikroqarzdan foydalanganlik uchun foiz stavkasi: yillik  60% (Oltmish) foiz</v>
      </c>
      <c r="B59" s="245"/>
      <c r="C59" s="245"/>
      <c r="D59" s="245"/>
      <c r="E59" s="245"/>
    </row>
    <row r="60" spans="1:5">
      <c r="A60" s="245" t="str">
        <f t="shared" si="0"/>
        <v>Mikroqarz bo'yicha asosiy qarz va foizlarni to'lash:</v>
      </c>
      <c r="B60" s="245"/>
      <c r="C60" s="245"/>
      <c r="D60" s="245"/>
      <c r="E60" s="245"/>
    </row>
    <row r="61" spans="1:5" ht="20.25" customHeight="1">
      <c r="A61" s="245" t="str">
        <f t="shared" si="0"/>
        <v xml:space="preserve"> - mikroqarz shartnomasi bo'yicha har oy differensial to'lovlari amalga oshiriladi</v>
      </c>
      <c r="B61" s="245"/>
      <c r="C61" s="245"/>
      <c r="D61" s="245"/>
      <c r="E61" s="245"/>
    </row>
    <row r="62" spans="1:5" ht="26.25" customHeight="1">
      <c r="A62" s="245" t="str">
        <f t="shared" si="0"/>
        <v xml:space="preserve">   </v>
      </c>
      <c r="B62" s="245"/>
      <c r="C62" s="245"/>
      <c r="D62" s="245"/>
      <c r="E62" s="245"/>
    </row>
    <row r="63" spans="1:5">
      <c r="A63" s="245" t="str">
        <f t="shared" si="0"/>
        <v>Mikroqarz ta’minoti::</v>
      </c>
      <c r="B63" s="245"/>
      <c r="C63" s="245"/>
      <c r="D63" s="245"/>
      <c r="E63" s="245"/>
    </row>
    <row r="64" spans="1:5" ht="72" customHeight="1">
      <c r="A64" s="245" t="str">
        <f t="shared" si="0"/>
        <v xml:space="preserve">  Egalik huquqi SHADMANOVA GULMIRA ZAKIROVNAga tegishli bo'lgan garovga olingan avtomobil markasi   COBALT , rangi -  OQ BELIY, ishlab chiqarilgan yili - 2022, davlat raqam belgisi 30S095AB, kuzov turi - YENGIL SEDAN, kuzov raqami XWBJA69VEPA011841, dvigatel raqami B15D212223022MTAX0763, shassi raqami - -</v>
      </c>
      <c r="B64" s="245"/>
      <c r="C64" s="245"/>
      <c r="D64" s="245"/>
      <c r="E64" s="245"/>
    </row>
    <row r="65" spans="1:5">
      <c r="A65" s="245"/>
      <c r="B65" s="245"/>
      <c r="C65" s="245"/>
      <c r="D65" s="245"/>
      <c r="E65" s="245"/>
    </row>
    <row r="66" spans="1:5" ht="36.75" customHeight="1">
      <c r="A66" s="245" t="str">
        <f>""&amp;'Общие данные'!B147&amp;" mikromoliya tashkilotining xulosasi  "&amp;TEXT('Общие данные'!B2,"ДД.ММ.ГГГГ")&amp;" y. tayyorlangan"</f>
        <v>«CLEVER MIKROMOLIYA TASHKILOTI» MChJ mikromoliya tashkilotining xulosasi  07.03.2025 y. tayyorlangan</v>
      </c>
      <c r="B66" s="245"/>
      <c r="C66" s="245"/>
      <c r="D66" s="245"/>
      <c r="E66" s="245"/>
    </row>
    <row r="67" spans="1:5">
      <c r="A67" s="245"/>
      <c r="B67" s="245"/>
      <c r="C67" s="245"/>
      <c r="D67" s="245"/>
      <c r="E67" s="245"/>
    </row>
    <row r="68" spans="1:5" ht="15.75" customHeight="1">
      <c r="A68" s="246"/>
      <c r="B68" s="246"/>
      <c r="C68" s="246"/>
      <c r="D68" s="26"/>
      <c r="E68" s="27"/>
    </row>
    <row r="69" spans="1:5" ht="35.25" customHeight="1">
      <c r="A69" s="246" t="str">
        <f>'Общие данные'!A161</f>
        <v>Samarqand viloyati Samarqand  filial boshlig'i</v>
      </c>
      <c r="B69" s="246"/>
      <c r="C69" s="246"/>
      <c r="D69" s="27"/>
      <c r="E69" s="27" t="str">
        <f>'Общие данные'!B161</f>
        <v>Asrorov S.S.</v>
      </c>
    </row>
    <row r="70" spans="1:5">
      <c r="A70" s="245"/>
      <c r="B70" s="245"/>
      <c r="C70" s="245"/>
      <c r="D70" s="245"/>
      <c r="E70" s="245"/>
    </row>
    <row r="71" spans="1:5" ht="47.25" customHeight="1">
      <c r="A71" s="245" t="str">
        <f>""&amp;'Общие данные'!B147&amp;" mikromoliya tashkilotining Kredit qo‘mitasi a’zolari "&amp;'Общие данные'!B147&amp;" mikromoliya tashkilotining xulosasi va Mijoz tomonidan taqdim etilgan ma’lumotlar bilan tanishdilar:"</f>
        <v>«CLEVER MIKROMOLIYA TASHKILOTI» MChJ mikromoliya tashkilotining Kredit qo‘mitasi a’zolari «CLEVER MIKROMOLIYA TASHKILOTI» MChJ mikromoliya tashkilotining xulosasi va Mijoz tomonidan taqdim etilgan ma’lumotlar bilan tanishdilar:</v>
      </c>
      <c r="B71" s="245"/>
      <c r="C71" s="245"/>
      <c r="D71" s="245"/>
      <c r="E71" s="245"/>
    </row>
    <row r="72" spans="1:5">
      <c r="A72" s="23"/>
      <c r="B72" s="23"/>
      <c r="C72" s="23"/>
      <c r="D72" s="23"/>
      <c r="E72" s="23"/>
    </row>
    <row r="73" spans="1:5">
      <c r="A73" s="246" t="s">
        <v>435</v>
      </c>
      <c r="B73" s="246"/>
      <c r="C73" s="23"/>
      <c r="D73" s="23"/>
      <c r="E73" s="23"/>
    </row>
    <row r="74" spans="1:5">
      <c r="A74" s="23"/>
      <c r="B74" s="23"/>
      <c r="C74" s="23"/>
      <c r="D74" s="23"/>
      <c r="E74" s="23"/>
    </row>
    <row r="75" spans="1:5">
      <c r="A75" s="246" t="str">
        <f>'Общие данные'!B160</f>
        <v>Jumanazarov B.T.</v>
      </c>
      <c r="B75" s="246"/>
      <c r="C75" s="26"/>
      <c r="D75" s="26"/>
      <c r="E75" s="26"/>
    </row>
    <row r="76" spans="1:5">
      <c r="A76" s="66"/>
      <c r="B76" s="66"/>
      <c r="C76" s="26"/>
      <c r="D76" s="26"/>
      <c r="E76" s="26"/>
    </row>
    <row r="77" spans="1:5" ht="21" customHeight="1">
      <c r="A77" s="245" t="str">
        <f>'Общие данные'!B159</f>
        <v xml:space="preserve">Mominov B.X. </v>
      </c>
      <c r="B77" s="245"/>
      <c r="C77" s="245"/>
      <c r="D77" s="245"/>
      <c r="E77" s="245"/>
    </row>
  </sheetData>
  <mergeCells count="59">
    <mergeCell ref="A6:E6"/>
    <mergeCell ref="A1:E1"/>
    <mergeCell ref="A2:E2"/>
    <mergeCell ref="A3:E3"/>
    <mergeCell ref="A4:E4"/>
    <mergeCell ref="A5:E5"/>
    <mergeCell ref="A7:E7"/>
    <mergeCell ref="A8:E8"/>
    <mergeCell ref="A9:E9"/>
    <mergeCell ref="A26:E26"/>
    <mergeCell ref="A10:E10"/>
    <mergeCell ref="A11:E11"/>
    <mergeCell ref="A12:E12"/>
    <mergeCell ref="A13:E13"/>
    <mergeCell ref="A23:E23"/>
    <mergeCell ref="A22:E22"/>
    <mergeCell ref="A21:E21"/>
    <mergeCell ref="A32:E32"/>
    <mergeCell ref="A14:E14"/>
    <mergeCell ref="A15:E15"/>
    <mergeCell ref="A16:E16"/>
    <mergeCell ref="A17:E17"/>
    <mergeCell ref="A18:E18"/>
    <mergeCell ref="A27:E27"/>
    <mergeCell ref="A19:E19"/>
    <mergeCell ref="A20:E20"/>
    <mergeCell ref="A24:E24"/>
    <mergeCell ref="A25:E25"/>
    <mergeCell ref="A28:E28"/>
    <mergeCell ref="A29:E29"/>
    <mergeCell ref="A70:E70"/>
    <mergeCell ref="A33:E33"/>
    <mergeCell ref="A34:E34"/>
    <mergeCell ref="A35:E35"/>
    <mergeCell ref="A54:E54"/>
    <mergeCell ref="A55:E55"/>
    <mergeCell ref="E38:E48"/>
    <mergeCell ref="A50:E50"/>
    <mergeCell ref="A51:E51"/>
    <mergeCell ref="A52:E52"/>
    <mergeCell ref="A53:E53"/>
    <mergeCell ref="A68:C68"/>
    <mergeCell ref="A69:C69"/>
    <mergeCell ref="A71:E71"/>
    <mergeCell ref="A77:E77"/>
    <mergeCell ref="A56:E56"/>
    <mergeCell ref="A57:E57"/>
    <mergeCell ref="A58:E58"/>
    <mergeCell ref="A59:E59"/>
    <mergeCell ref="A60:E60"/>
    <mergeCell ref="A61:E61"/>
    <mergeCell ref="A62:E62"/>
    <mergeCell ref="A63:E63"/>
    <mergeCell ref="A64:E64"/>
    <mergeCell ref="A65:E65"/>
    <mergeCell ref="A73:B73"/>
    <mergeCell ref="A75:B75"/>
    <mergeCell ref="A66:E66"/>
    <mergeCell ref="A67:E67"/>
  </mergeCells>
  <conditionalFormatting sqref="A38:D49">
    <cfRule type="cellIs" dxfId="2" priority="1" operator="lessThan">
      <formula>0.1</formula>
    </cfRule>
    <cfRule type="cellIs" priority="2" operator="lessThan">
      <formula>0.1</formula>
    </cfRule>
  </conditionalFormatting>
  <pageMargins left="0.7" right="0.7" top="0.75" bottom="0.75" header="0.3" footer="0.3"/>
  <pageSetup paperSize="9" scale="83" orientation="portrait" r:id="rId1"/>
  <rowBreaks count="1" manualBreakCount="1">
    <brk id="58"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Лист12">
    <tabColor rgb="FF00B050"/>
    <pageSetUpPr fitToPage="1"/>
  </sheetPr>
  <dimension ref="A1:P65"/>
  <sheetViews>
    <sheetView view="pageBreakPreview" topLeftCell="A3" zoomScaleNormal="100" zoomScaleSheetLayoutView="100" workbookViewId="0">
      <selection activeCell="B32" sqref="B32"/>
    </sheetView>
  </sheetViews>
  <sheetFormatPr defaultColWidth="9.140625" defaultRowHeight="15" outlineLevelCol="1"/>
  <cols>
    <col min="1" max="1" width="9.140625" style="19"/>
    <col min="2" max="2" width="12.28515625" style="19" customWidth="1"/>
    <col min="3" max="3" width="17.7109375" style="19" customWidth="1"/>
    <col min="4" max="4" width="20.28515625" style="19" customWidth="1"/>
    <col min="5" max="5" width="16.7109375" style="19" customWidth="1"/>
    <col min="6" max="6" width="19" style="19" customWidth="1"/>
    <col min="7" max="7" width="10.140625" style="19" customWidth="1" outlineLevel="1"/>
    <col min="8" max="8" width="19.7109375" style="19" customWidth="1"/>
    <col min="9" max="10" width="9.140625" style="19" customWidth="1"/>
    <col min="11" max="16384" width="9.140625" style="19"/>
  </cols>
  <sheetData>
    <row r="1" spans="1:16" ht="43.5" hidden="1" customHeight="1"/>
    <row r="2" spans="1:16" ht="18.75" hidden="1" customHeight="1">
      <c r="A2" s="41"/>
      <c r="B2" s="41"/>
      <c r="C2" s="41"/>
      <c r="D2" s="41"/>
      <c r="E2" s="257"/>
      <c r="F2" s="257"/>
      <c r="G2" s="24"/>
    </row>
    <row r="3" spans="1:16" ht="41.25" customHeight="1">
      <c r="A3" s="41"/>
      <c r="B3" s="41"/>
      <c r="C3" s="264" t="str">
        <f>""&amp;'Общие данные'!B74&amp;" "&amp;'Общие данные'!B65&amp;" shartnomasiga 
1 sonli ilova"</f>
        <v>7 mart 2025 y.dan №558-SM mikroqarz shartnomasiga 
1 sonli ilova</v>
      </c>
      <c r="D3" s="264"/>
      <c r="E3" s="264"/>
      <c r="F3" s="264"/>
      <c r="G3" s="24"/>
    </row>
    <row r="4" spans="1:16" ht="6.75" customHeight="1">
      <c r="A4" s="41"/>
      <c r="B4" s="41"/>
      <c r="C4" s="41"/>
      <c r="D4" s="41"/>
      <c r="E4" s="41"/>
      <c r="F4" s="41"/>
    </row>
    <row r="5" spans="1:16">
      <c r="A5" s="258" t="s">
        <v>289</v>
      </c>
      <c r="B5" s="258"/>
      <c r="C5" s="258"/>
      <c r="D5" s="258"/>
      <c r="E5" s="258"/>
      <c r="F5" s="258"/>
    </row>
    <row r="6" spans="1:16" ht="7.5" customHeight="1"/>
    <row r="7" spans="1:16" ht="15" customHeight="1">
      <c r="A7" s="259" t="s">
        <v>15</v>
      </c>
      <c r="B7" s="260" t="s">
        <v>290</v>
      </c>
      <c r="C7" s="260" t="s">
        <v>291</v>
      </c>
      <c r="D7" s="261" t="s">
        <v>292</v>
      </c>
      <c r="E7" s="261"/>
      <c r="F7" s="261"/>
    </row>
    <row r="8" spans="1:16" s="20" customFormat="1">
      <c r="A8" s="259"/>
      <c r="B8" s="260"/>
      <c r="C8" s="260"/>
      <c r="D8" s="21" t="s">
        <v>293</v>
      </c>
      <c r="E8" s="21" t="s">
        <v>294</v>
      </c>
      <c r="F8" s="21" t="s">
        <v>295</v>
      </c>
    </row>
    <row r="9" spans="1:16" ht="13.5" customHeight="1">
      <c r="A9" s="22">
        <v>1</v>
      </c>
      <c r="B9" s="37">
        <f>'График дифференц'!B8</f>
        <v>45762</v>
      </c>
      <c r="C9" s="38">
        <f>IF('Общие данные'!$B$77='Общие данные'!$C$77,'График дифференц'!C8,IF('Общие данные'!$B$77='Общие данные'!$D$77,'График аннуитет.'!C8))</f>
        <v>20000000</v>
      </c>
      <c r="D9" s="38">
        <f>IF('Общие данные'!$B$77='Общие данные'!$C$77,'График дифференц'!D8,IF('Общие данные'!$B$77='Общие данные'!$D$77,'График аннуитет.'!D8))</f>
        <v>833333.33</v>
      </c>
      <c r="E9" s="38">
        <f>IF('Общие данные'!$B$77='Общие данные'!$C$77,'График дифференц'!E8,IF('Общие данные'!$B$77='Общие данные'!$D$77,'График аннуитет.'!E8))</f>
        <v>1282191.69</v>
      </c>
      <c r="F9" s="38">
        <f>IF('Общие данные'!$B$77='Общие данные'!$C$77,'График дифференц'!F8,IF('Общие данные'!$B$77='Общие данные'!$D$77,'График аннуитет.'!F8))</f>
        <v>2115525.02</v>
      </c>
    </row>
    <row r="10" spans="1:16" ht="13.5" customHeight="1">
      <c r="A10" s="22">
        <v>2</v>
      </c>
      <c r="B10" s="37">
        <f>'График дифференц'!B9</f>
        <v>45792</v>
      </c>
      <c r="C10" s="38">
        <f>IF('Общие данные'!$B$77='Общие данные'!$C$77,'График дифференц'!C9,IF('Общие данные'!$B$77='Общие данные'!$D$77,'График аннуитет.'!C9))</f>
        <v>19166666.670000002</v>
      </c>
      <c r="D10" s="38">
        <f>IF('Общие данные'!$B$77='Общие данные'!$C$77,'График дифференц'!D9,IF('Общие данные'!$B$77='Общие данные'!$D$77,'График аннуитет.'!D9))</f>
        <v>833333.33</v>
      </c>
      <c r="E10" s="38">
        <f>IF('Общие данные'!$B$77='Общие данные'!$C$77,'График дифференц'!E9,IF('Общие данные'!$B$77='Общие данные'!$D$77,'График аннуитет.'!E9))</f>
        <v>945205.5</v>
      </c>
      <c r="F10" s="38">
        <f>IF('Общие данные'!$B$77='Общие данные'!$C$77,'График дифференц'!F9,IF('Общие данные'!$B$77='Общие данные'!$D$77,'График аннуитет.'!F9))</f>
        <v>1778538.83</v>
      </c>
    </row>
    <row r="11" spans="1:16" ht="13.5" customHeight="1">
      <c r="A11" s="22">
        <v>3</v>
      </c>
      <c r="B11" s="37">
        <f>'График дифференц'!B10</f>
        <v>45824</v>
      </c>
      <c r="C11" s="38">
        <f>IF('Общие данные'!$B$77='Общие данные'!$C$77,'График дифференц'!C10,IF('Общие данные'!$B$77='Общие данные'!$D$77,'График аннуитет.'!C10))</f>
        <v>18333333.340000004</v>
      </c>
      <c r="D11" s="38">
        <f>IF('Общие данные'!$B$77='Общие данные'!$C$77,'График дифференц'!D10,IF('Общие данные'!$B$77='Общие данные'!$D$77,'График аннуитет.'!D10))</f>
        <v>833333.33</v>
      </c>
      <c r="E11" s="38">
        <f>IF('Общие данные'!$B$77='Общие данные'!$C$77,'График дифференц'!E10,IF('Общие данные'!$B$77='Общие данные'!$D$77,'График аннуитет.'!E10))</f>
        <v>964383.68</v>
      </c>
      <c r="F11" s="38">
        <f>IF('Общие данные'!$B$77='Общие данные'!$C$77,'График дифференц'!F10,IF('Общие данные'!$B$77='Общие данные'!$D$77,'График аннуитет.'!F10))</f>
        <v>1797717.01</v>
      </c>
    </row>
    <row r="12" spans="1:16" ht="13.5" customHeight="1">
      <c r="A12" s="22">
        <v>4</v>
      </c>
      <c r="B12" s="37">
        <f>'График дифференц'!B11</f>
        <v>45853</v>
      </c>
      <c r="C12" s="38">
        <f>IF('Общие данные'!$B$77='Общие данные'!$C$77,'График дифференц'!C11,IF('Общие данные'!$B$77='Общие данные'!$D$77,'График аннуитет.'!C11))</f>
        <v>17500000.010000005</v>
      </c>
      <c r="D12" s="38">
        <f>IF('Общие данные'!$B$77='Общие данные'!$C$77,'График дифференц'!D11,IF('Общие данные'!$B$77='Общие данные'!$D$77,'График аннуитет.'!D11))</f>
        <v>833333.33</v>
      </c>
      <c r="E12" s="38">
        <f>IF('Общие данные'!$B$77='Общие данные'!$C$77,'График дифференц'!E11,IF('Общие данные'!$B$77='Общие данные'!$D$77,'График аннуитет.'!E11))</f>
        <v>834246.48</v>
      </c>
      <c r="F12" s="38">
        <f>IF('Общие данные'!$B$77='Общие данные'!$C$77,'График дифференц'!F11,IF('Общие данные'!$B$77='Общие данные'!$D$77,'График аннуитет.'!F11))</f>
        <v>1667579.81</v>
      </c>
      <c r="H12" s="299" t="s">
        <v>403</v>
      </c>
      <c r="I12" s="299"/>
      <c r="J12" s="299"/>
      <c r="K12" s="299"/>
      <c r="L12" s="299"/>
      <c r="M12" s="299"/>
      <c r="N12" s="299"/>
      <c r="O12" s="299"/>
      <c r="P12" s="299"/>
    </row>
    <row r="13" spans="1:16" ht="13.5" customHeight="1">
      <c r="A13" s="22">
        <v>5</v>
      </c>
      <c r="B13" s="37">
        <f>'График дифференц'!B12</f>
        <v>45884</v>
      </c>
      <c r="C13" s="38">
        <f>IF('Общие данные'!$B$77='Общие данные'!$C$77,'График дифференц'!C12,IF('Общие данные'!$B$77='Общие данные'!$D$77,'График аннуитет.'!C12))</f>
        <v>16666666.680000005</v>
      </c>
      <c r="D13" s="38">
        <f>IF('Общие данные'!$B$77='Общие данные'!$C$77,'График дифференц'!D12,IF('Общие данные'!$B$77='Общие данные'!$D$77,'График аннуитет.'!D12))</f>
        <v>833333.33</v>
      </c>
      <c r="E13" s="38">
        <f>IF('Общие данные'!$B$77='Общие данные'!$C$77,'График дифференц'!E12,IF('Общие данные'!$B$77='Общие данные'!$D$77,'График аннуитет.'!E12))</f>
        <v>849315.05999999994</v>
      </c>
      <c r="F13" s="38">
        <f>IF('Общие данные'!$B$77='Общие данные'!$C$77,'График дифференц'!F12,IF('Общие данные'!$B$77='Общие данные'!$D$77,'График аннуитет.'!F12))</f>
        <v>1682648.39</v>
      </c>
      <c r="H13" s="299"/>
      <c r="I13" s="299"/>
      <c r="J13" s="299"/>
      <c r="K13" s="299"/>
      <c r="L13" s="299"/>
      <c r="M13" s="299"/>
      <c r="N13" s="299"/>
      <c r="O13" s="299"/>
      <c r="P13" s="299"/>
    </row>
    <row r="14" spans="1:16" ht="13.5" customHeight="1">
      <c r="A14" s="22">
        <v>6</v>
      </c>
      <c r="B14" s="37">
        <f>'График дифференц'!B13</f>
        <v>45915</v>
      </c>
      <c r="C14" s="38">
        <f>IF('Общие данные'!$B$77='Общие данные'!$C$77,'График дифференц'!C13,IF('Общие данные'!$B$77='Общие данные'!$D$77,'График аннуитет.'!C13))</f>
        <v>15833333.350000005</v>
      </c>
      <c r="D14" s="38">
        <f>IF('Общие данные'!$B$77='Общие данные'!$C$77,'График дифференц'!D13,IF('Общие данные'!$B$77='Общие данные'!$D$77,'График аннуитет.'!D13))</f>
        <v>833333.33</v>
      </c>
      <c r="E14" s="38">
        <f>IF('Общие данные'!$B$77='Общие данные'!$C$77,'График дифференц'!E13,IF('Общие данные'!$B$77='Общие данные'!$D$77,'График аннуитет.'!E13))</f>
        <v>806849.4</v>
      </c>
      <c r="F14" s="38">
        <f>IF('Общие данные'!$B$77='Общие данные'!$C$77,'График дифференц'!F13,IF('Общие данные'!$B$77='Общие данные'!$D$77,'График аннуитет.'!F13))</f>
        <v>1640182.73</v>
      </c>
      <c r="H14" s="299"/>
      <c r="I14" s="299"/>
      <c r="J14" s="299"/>
      <c r="K14" s="299"/>
      <c r="L14" s="299"/>
      <c r="M14" s="299"/>
      <c r="N14" s="299"/>
      <c r="O14" s="299"/>
      <c r="P14" s="299"/>
    </row>
    <row r="15" spans="1:16" ht="13.5" customHeight="1">
      <c r="A15" s="22">
        <v>7</v>
      </c>
      <c r="B15" s="37">
        <f>'График дифференц'!B14</f>
        <v>45945</v>
      </c>
      <c r="C15" s="38">
        <f>IF('Общие данные'!$B$77='Общие данные'!$C$77,'График дифференц'!C14,IF('Общие данные'!$B$77='Общие данные'!$D$77,'График аннуитет.'!C14))</f>
        <v>15000000.020000005</v>
      </c>
      <c r="D15" s="38">
        <f>IF('Общие данные'!$B$77='Общие данные'!$C$77,'График дифференц'!D14,IF('Общие данные'!$B$77='Общие данные'!$D$77,'График аннуитет.'!D14))</f>
        <v>833333.33</v>
      </c>
      <c r="E15" s="38">
        <f>IF('Общие данные'!$B$77='Общие данные'!$C$77,'График дифференц'!E14,IF('Общие данные'!$B$77='Общие данные'!$D$77,'График аннуитет.'!E14))</f>
        <v>739725.89999999991</v>
      </c>
      <c r="F15" s="38">
        <f>IF('Общие данные'!$B$77='Общие данные'!$C$77,'График дифференц'!F14,IF('Общие данные'!$B$77='Общие данные'!$D$77,'График аннуитет.'!F14))</f>
        <v>1573059.23</v>
      </c>
      <c r="H15" s="299"/>
      <c r="I15" s="299"/>
      <c r="J15" s="299"/>
      <c r="K15" s="299"/>
      <c r="L15" s="299"/>
      <c r="M15" s="299"/>
      <c r="N15" s="299"/>
      <c r="O15" s="299"/>
      <c r="P15" s="299"/>
    </row>
    <row r="16" spans="1:16" ht="13.5" customHeight="1">
      <c r="A16" s="22">
        <v>8</v>
      </c>
      <c r="B16" s="37">
        <f>'График дифференц'!B15</f>
        <v>45978</v>
      </c>
      <c r="C16" s="38">
        <f>IF('Общие данные'!$B$77='Общие данные'!$C$77,'График дифференц'!C15,IF('Общие данные'!$B$77='Общие данные'!$D$77,'График аннуитет.'!C15))</f>
        <v>14166666.690000005</v>
      </c>
      <c r="D16" s="38">
        <f>IF('Общие данные'!$B$77='Общие данные'!$C$77,'График дифференц'!D15,IF('Общие данные'!$B$77='Общие данные'!$D$77,'График аннуитет.'!D15))</f>
        <v>833333.33</v>
      </c>
      <c r="E16" s="38">
        <f>IF('Общие данные'!$B$77='Общие данные'!$C$77,'График дифференц'!E15,IF('Общие данные'!$B$77='Общие данные'!$D$77,'График аннуитет.'!E15))</f>
        <v>768493.11</v>
      </c>
      <c r="F16" s="38">
        <f>IF('Общие данные'!$B$77='Общие данные'!$C$77,'График дифференц'!F15,IF('Общие данные'!$B$77='Общие данные'!$D$77,'График аннуитет.'!F15))</f>
        <v>1601826.44</v>
      </c>
      <c r="H16" s="299"/>
      <c r="I16" s="299"/>
      <c r="J16" s="299"/>
      <c r="K16" s="299"/>
      <c r="L16" s="299"/>
      <c r="M16" s="299"/>
      <c r="N16" s="299"/>
      <c r="O16" s="299"/>
      <c r="P16" s="299"/>
    </row>
    <row r="17" spans="1:16" ht="13.5" customHeight="1">
      <c r="A17" s="22">
        <v>9</v>
      </c>
      <c r="B17" s="37">
        <f>'График дифференц'!B16</f>
        <v>46006</v>
      </c>
      <c r="C17" s="38">
        <f>IF('Общие данные'!$B$77='Общие данные'!$C$77,'График дифференц'!C16,IF('Общие данные'!$B$77='Общие данные'!$D$77,'График аннуитет.'!C16))</f>
        <v>13333333.360000005</v>
      </c>
      <c r="D17" s="38">
        <f>IF('Общие данные'!$B$77='Общие данные'!$C$77,'График дифференц'!D16,IF('Общие данные'!$B$77='Общие данные'!$D$77,'График аннуитет.'!D16))</f>
        <v>833333.33</v>
      </c>
      <c r="E17" s="38">
        <f>IF('Общие данные'!$B$77='Общие данные'!$C$77,'График дифференц'!E16,IF('Общие данные'!$B$77='Общие данные'!$D$77,'График аннуитет.'!E16))</f>
        <v>613698.68000000005</v>
      </c>
      <c r="F17" s="38">
        <f>IF('Общие данные'!$B$77='Общие данные'!$C$77,'График дифференц'!F16,IF('Общие данные'!$B$77='Общие данные'!$D$77,'График аннуитет.'!F16))</f>
        <v>1447032.01</v>
      </c>
      <c r="H17" s="299"/>
      <c r="I17" s="299"/>
      <c r="J17" s="299"/>
      <c r="K17" s="299"/>
      <c r="L17" s="299"/>
      <c r="M17" s="299"/>
      <c r="N17" s="299"/>
      <c r="O17" s="299"/>
      <c r="P17" s="299"/>
    </row>
    <row r="18" spans="1:16" ht="13.5" customHeight="1">
      <c r="A18" s="22">
        <v>10</v>
      </c>
      <c r="B18" s="37">
        <f>'График дифференц'!B17</f>
        <v>46037</v>
      </c>
      <c r="C18" s="38">
        <f>IF('Общие данные'!$B$77='Общие данные'!$C$77,'График дифференц'!C17,IF('Общие данные'!$B$77='Общие данные'!$D$77,'График аннуитет.'!C17))</f>
        <v>12500000.030000005</v>
      </c>
      <c r="D18" s="38">
        <f>IF('Общие данные'!$B$77='Общие данные'!$C$77,'График дифференц'!D17,IF('Общие данные'!$B$77='Общие данные'!$D$77,'График аннуитет.'!D17))</f>
        <v>833333.33</v>
      </c>
      <c r="E18" s="38">
        <f>IF('Общие данные'!$B$77='Общие данные'!$C$77,'График дифференц'!E17,IF('Общие данные'!$B$77='Общие данные'!$D$77,'График аннуитет.'!E17))</f>
        <v>636986.45000000007</v>
      </c>
      <c r="F18" s="38">
        <f>IF('Общие данные'!$B$77='Общие данные'!$C$77,'График дифференц'!F17,IF('Общие данные'!$B$77='Общие данные'!$D$77,'График аннуитет.'!F17))</f>
        <v>1470319.78</v>
      </c>
      <c r="H18" s="299"/>
      <c r="I18" s="299"/>
      <c r="J18" s="299"/>
      <c r="K18" s="299"/>
      <c r="L18" s="299"/>
      <c r="M18" s="299"/>
      <c r="N18" s="299"/>
      <c r="O18" s="299"/>
      <c r="P18" s="299"/>
    </row>
    <row r="19" spans="1:16" ht="13.5" customHeight="1">
      <c r="A19" s="22">
        <v>11</v>
      </c>
      <c r="B19" s="37">
        <f>'График дифференц'!B18</f>
        <v>46069</v>
      </c>
      <c r="C19" s="38">
        <f>IF('Общие данные'!$B$77='Общие данные'!$C$77,'График дифференц'!C18,IF('Общие данные'!$B$77='Общие данные'!$D$77,'График аннуитет.'!C18))</f>
        <v>11666666.700000005</v>
      </c>
      <c r="D19" s="38">
        <f>IF('Общие данные'!$B$77='Общие данные'!$C$77,'График дифференц'!D18,IF('Общие данные'!$B$77='Общие данные'!$D$77,'График аннуитет.'!D18))</f>
        <v>833333.33</v>
      </c>
      <c r="E19" s="38">
        <f>IF('Общие данные'!$B$77='Общие данные'!$C$77,'График дифференц'!E18,IF('Общие данные'!$B$77='Общие данные'!$D$77,'График аннуитет.'!E18))</f>
        <v>613698.56000000006</v>
      </c>
      <c r="F19" s="38">
        <f>IF('Общие данные'!$B$77='Общие данные'!$C$77,'График дифференц'!F18,IF('Общие данные'!$B$77='Общие данные'!$D$77,'График аннуитет.'!F18))</f>
        <v>1447031.8900000001</v>
      </c>
      <c r="H19" s="299"/>
      <c r="I19" s="299"/>
      <c r="J19" s="299"/>
      <c r="K19" s="299"/>
      <c r="L19" s="299"/>
      <c r="M19" s="299"/>
      <c r="N19" s="299"/>
      <c r="O19" s="299"/>
      <c r="P19" s="299"/>
    </row>
    <row r="20" spans="1:16" ht="14.25" customHeight="1">
      <c r="A20" s="22">
        <v>12</v>
      </c>
      <c r="B20" s="37">
        <f>'График дифференц'!B19</f>
        <v>46097</v>
      </c>
      <c r="C20" s="38">
        <f>IF('Общие данные'!$B$77='Общие данные'!$C$77,'График дифференц'!C19,IF('Общие данные'!$B$77='Общие данные'!$D$77,'График аннуитет.'!C19))</f>
        <v>10833333.370000005</v>
      </c>
      <c r="D20" s="38">
        <f>IF('Общие данные'!$B$77='Общие данные'!$C$77,'График дифференц'!D19,IF('Общие данные'!$B$77='Общие данные'!$D$77,'График аннуитет.'!D19))</f>
        <v>833333.33</v>
      </c>
      <c r="E20" s="38">
        <f>IF('Общие данные'!$B$77='Общие данные'!$C$77,'График дифференц'!E19,IF('Общие данные'!$B$77='Общие данные'!$D$77,'График аннуитет.'!E19))</f>
        <v>498630.16000000003</v>
      </c>
      <c r="F20" s="38">
        <f>IF('Общие данные'!$B$77='Общие данные'!$C$77,'График дифференц'!F19,IF('Общие данные'!$B$77='Общие данные'!$D$77,'График аннуитет.'!F19))</f>
        <v>1331963.49</v>
      </c>
      <c r="H20" s="299"/>
      <c r="I20" s="299"/>
      <c r="J20" s="299"/>
      <c r="K20" s="299"/>
      <c r="L20" s="299"/>
      <c r="M20" s="299"/>
      <c r="N20" s="299"/>
      <c r="O20" s="299"/>
      <c r="P20" s="299"/>
    </row>
    <row r="21" spans="1:16">
      <c r="A21" s="22">
        <v>13</v>
      </c>
      <c r="B21" s="37">
        <f>'График дифференц'!B20</f>
        <v>46127</v>
      </c>
      <c r="C21" s="38">
        <f>IF('Общие данные'!$B$77='Общие данные'!$C$77,'График дифференц'!C20,IF('Общие данные'!$B$77='Общие данные'!$D$77,'График аннуитет.'!C20))</f>
        <v>10000000.040000005</v>
      </c>
      <c r="D21" s="38">
        <f>IF('Общие данные'!$B$77='Общие данные'!$C$77,'График дифференц'!D20,IF('Общие данные'!$B$77='Общие данные'!$D$77,'График аннуитет.'!D20))</f>
        <v>833333.33</v>
      </c>
      <c r="E21" s="38">
        <f>IF('Общие данные'!$B$77='Общие данные'!$C$77,'График дифференц'!E20,IF('Общие данные'!$B$77='Общие данные'!$D$77,'График аннуитет.'!E20))</f>
        <v>493150.80000000005</v>
      </c>
      <c r="F21" s="38">
        <f>IF('Общие данные'!$B$77='Общие данные'!$C$77,'График дифференц'!F20,IF('Общие данные'!$B$77='Общие данные'!$D$77,'График аннуитет.'!F20))</f>
        <v>1326484.1299999999</v>
      </c>
      <c r="H21" s="299"/>
      <c r="I21" s="299"/>
      <c r="J21" s="299"/>
      <c r="K21" s="299"/>
      <c r="L21" s="299"/>
      <c r="M21" s="299"/>
      <c r="N21" s="299"/>
      <c r="O21" s="299"/>
      <c r="P21" s="299"/>
    </row>
    <row r="22" spans="1:16">
      <c r="A22" s="22">
        <v>14</v>
      </c>
      <c r="B22" s="37">
        <f>'График дифференц'!B21</f>
        <v>46157</v>
      </c>
      <c r="C22" s="38">
        <f>IF('Общие данные'!$B$77='Общие данные'!$C$77,'График дифференц'!C21,IF('Общие данные'!$B$77='Общие данные'!$D$77,'График аннуитет.'!C21))</f>
        <v>9166666.7100000046</v>
      </c>
      <c r="D22" s="38">
        <f>IF('Общие данные'!$B$77='Общие данные'!$C$77,'График дифференц'!D21,IF('Общие данные'!$B$77='Общие данные'!$D$77,'График аннуитет.'!D21))</f>
        <v>833333.33</v>
      </c>
      <c r="E22" s="38">
        <f>IF('Общие данные'!$B$77='Общие данные'!$C$77,'График дифференц'!E21,IF('Общие данные'!$B$77='Общие данные'!$D$77,'График аннуитет.'!E21))</f>
        <v>452054.7</v>
      </c>
      <c r="F22" s="38">
        <f>IF('Общие данные'!$B$77='Общие данные'!$C$77,'График дифференц'!F21,IF('Общие данные'!$B$77='Общие данные'!$D$77,'График аннуитет.'!F21))</f>
        <v>1285388.03</v>
      </c>
      <c r="H22" s="299"/>
      <c r="I22" s="299"/>
      <c r="J22" s="299"/>
      <c r="K22" s="299"/>
      <c r="L22" s="299"/>
      <c r="M22" s="299"/>
      <c r="N22" s="299"/>
      <c r="O22" s="299"/>
      <c r="P22" s="299"/>
    </row>
    <row r="23" spans="1:16">
      <c r="A23" s="22">
        <v>15</v>
      </c>
      <c r="B23" s="37">
        <f>'График дифференц'!B22</f>
        <v>46188</v>
      </c>
      <c r="C23" s="38">
        <f>IF('Общие данные'!$B$77='Общие данные'!$C$77,'График дифференц'!C22,IF('Общие данные'!$B$77='Общие данные'!$D$77,'График аннуитет.'!C22))</f>
        <v>8333333.3800000045</v>
      </c>
      <c r="D23" s="38">
        <f>IF('Общие данные'!$B$77='Общие данные'!$C$77,'График дифференц'!D22,IF('Общие данные'!$B$77='Общие данные'!$D$77,'График аннуитет.'!D22))</f>
        <v>833333.33</v>
      </c>
      <c r="E23" s="38">
        <f>IF('Общие данные'!$B$77='Общие данные'!$C$77,'График дифференц'!E22,IF('Общие данные'!$B$77='Общие данные'!$D$77,'График аннуитет.'!E22))</f>
        <v>424657.52999999997</v>
      </c>
      <c r="F23" s="38">
        <f>IF('Общие данные'!$B$77='Общие данные'!$C$77,'График дифференц'!F22,IF('Общие данные'!$B$77='Общие данные'!$D$77,'График аннуитет.'!F22))</f>
        <v>1257990.8599999999</v>
      </c>
      <c r="H23" s="299"/>
      <c r="I23" s="299"/>
      <c r="J23" s="299"/>
      <c r="K23" s="299"/>
      <c r="L23" s="299"/>
      <c r="M23" s="299"/>
      <c r="N23" s="299"/>
      <c r="O23" s="299"/>
      <c r="P23" s="299"/>
    </row>
    <row r="24" spans="1:16">
      <c r="A24" s="22">
        <v>16</v>
      </c>
      <c r="B24" s="37">
        <f>'График дифференц'!B23</f>
        <v>46218</v>
      </c>
      <c r="C24" s="38">
        <f>IF('Общие данные'!$B$77='Общие данные'!$C$77,'График дифференц'!C23,IF('Общие данные'!$B$77='Общие данные'!$D$77,'График аннуитет.'!C23))</f>
        <v>7500000.0500000045</v>
      </c>
      <c r="D24" s="38">
        <f>IF('Общие данные'!$B$77='Общие данные'!$C$77,'График дифференц'!D23,IF('Общие данные'!$B$77='Общие данные'!$D$77,'График аннуитет.'!D23))</f>
        <v>833333.33</v>
      </c>
      <c r="E24" s="38">
        <f>IF('Общие данные'!$B$77='Общие данные'!$C$77,'График дифференц'!E23,IF('Общие данные'!$B$77='Общие данные'!$D$77,'График аннуитет.'!E23))</f>
        <v>369863.10000000003</v>
      </c>
      <c r="F24" s="38">
        <f>IF('Общие данные'!$B$77='Общие данные'!$C$77,'График дифференц'!F23,IF('Общие данные'!$B$77='Общие данные'!$D$77,'График аннуитет.'!F23))</f>
        <v>1203196.43</v>
      </c>
      <c r="H24" s="299"/>
      <c r="I24" s="299"/>
      <c r="J24" s="299"/>
      <c r="K24" s="299"/>
      <c r="L24" s="299"/>
      <c r="M24" s="299"/>
      <c r="N24" s="299"/>
      <c r="O24" s="299"/>
      <c r="P24" s="299"/>
    </row>
    <row r="25" spans="1:16">
      <c r="A25" s="22">
        <v>17</v>
      </c>
      <c r="B25" s="37">
        <f>'График дифференц'!B24</f>
        <v>46251</v>
      </c>
      <c r="C25" s="38">
        <f>IF('Общие данные'!$B$77='Общие данные'!$C$77,'График дифференц'!C24,IF('Общие данные'!$B$77='Общие данные'!$D$77,'График аннуитет.'!C24))</f>
        <v>6666666.7200000044</v>
      </c>
      <c r="D25" s="38">
        <f>IF('Общие данные'!$B$77='Общие данные'!$C$77,'График дифференц'!D24,IF('Общие данные'!$B$77='Общие данные'!$D$77,'График аннуитет.'!D24))</f>
        <v>833333.33</v>
      </c>
      <c r="E25" s="38">
        <f>IF('Общие данные'!$B$77='Общие данные'!$C$77,'График дифференц'!E24,IF('Общие данные'!$B$77='Общие данные'!$D$77,'График аннуитет.'!E24))</f>
        <v>361643.7</v>
      </c>
      <c r="F25" s="38">
        <f>IF('Общие данные'!$B$77='Общие данные'!$C$77,'График дифференц'!F24,IF('Общие данные'!$B$77='Общие данные'!$D$77,'График аннуитет.'!F24))</f>
        <v>1194977.03</v>
      </c>
    </row>
    <row r="26" spans="1:16">
      <c r="A26" s="22">
        <v>18</v>
      </c>
      <c r="B26" s="37">
        <f>'График дифференц'!B25</f>
        <v>46280</v>
      </c>
      <c r="C26" s="38">
        <f>IF('Общие данные'!$B$77='Общие данные'!$C$77,'График дифференц'!C25,IF('Общие данные'!$B$77='Общие данные'!$D$77,'График аннуитет.'!C25))</f>
        <v>5833333.3900000043</v>
      </c>
      <c r="D26" s="38">
        <f>IF('Общие данные'!$B$77='Общие данные'!$C$77,'График дифференц'!D25,IF('Общие данные'!$B$77='Общие данные'!$D$77,'График аннуитет.'!D25))</f>
        <v>833333.33</v>
      </c>
      <c r="E26" s="38">
        <f>IF('Общие данные'!$B$77='Общие данные'!$C$77,'График дифференц'!E25,IF('Общие данные'!$B$77='Общие данные'!$D$77,'График аннуитет.'!E25))</f>
        <v>278082.16000000003</v>
      </c>
      <c r="F26" s="38">
        <f>IF('Общие данные'!$B$77='Общие данные'!$C$77,'График дифференц'!F25,IF('Общие данные'!$B$77='Общие данные'!$D$77,'График аннуитет.'!F25))</f>
        <v>1111415.49</v>
      </c>
    </row>
    <row r="27" spans="1:16" ht="15" customHeight="1">
      <c r="A27" s="22">
        <v>19</v>
      </c>
      <c r="B27" s="37">
        <f>'График дифференц'!B26</f>
        <v>46310</v>
      </c>
      <c r="C27" s="38">
        <f>IF('Общие данные'!$B$77='Общие данные'!$C$77,'График дифференц'!C26,IF('Общие данные'!$B$77='Общие данные'!$D$77,'График аннуитет.'!C26))</f>
        <v>5000000.0600000042</v>
      </c>
      <c r="D27" s="38">
        <f>IF('Общие данные'!$B$77='Общие данные'!$C$77,'График дифференц'!D26,IF('Общие данные'!$B$77='Общие данные'!$D$77,'График аннуитет.'!D26))</f>
        <v>833333.33</v>
      </c>
      <c r="E27" s="38">
        <f>IF('Общие данные'!$B$77='Общие данные'!$C$77,'График дифференц'!E26,IF('Общие данные'!$B$77='Общие данные'!$D$77,'График аннуитет.'!E26))</f>
        <v>246575.40000000002</v>
      </c>
      <c r="F27" s="38">
        <f>IF('Общие данные'!$B$77='Общие данные'!$C$77,'График дифференц'!F26,IF('Общие данные'!$B$77='Общие данные'!$D$77,'График аннуитет.'!F26))</f>
        <v>1079908.73</v>
      </c>
    </row>
    <row r="28" spans="1:16" ht="15" customHeight="1">
      <c r="A28" s="22">
        <v>20</v>
      </c>
      <c r="B28" s="37">
        <f>'График дифференц'!B27</f>
        <v>46342</v>
      </c>
      <c r="C28" s="38">
        <f>IF('Общие данные'!$B$77='Общие данные'!$C$77,'График дифференц'!C27,IF('Общие данные'!$B$77='Общие данные'!$D$77,'График аннуитет.'!C27))</f>
        <v>4166666.7300000042</v>
      </c>
      <c r="D28" s="38">
        <f>IF('Общие данные'!$B$77='Общие данные'!$C$77,'График дифференц'!D27,IF('Общие данные'!$B$77='Общие данные'!$D$77,'График аннуитет.'!D27))</f>
        <v>833333.33</v>
      </c>
      <c r="E28" s="38">
        <f>IF('Общие данные'!$B$77='Общие данные'!$C$77,'График дифференц'!E27,IF('Общие данные'!$B$77='Общие данные'!$D$77,'График аннуитет.'!E27))</f>
        <v>219178.23999999999</v>
      </c>
      <c r="F28" s="38">
        <f>IF('Общие данные'!$B$77='Общие данные'!$C$77,'График дифференц'!F27,IF('Общие данные'!$B$77='Общие данные'!$D$77,'График аннуитет.'!F27))</f>
        <v>1052511.5699999998</v>
      </c>
    </row>
    <row r="29" spans="1:16" ht="15" customHeight="1">
      <c r="A29" s="22">
        <v>21</v>
      </c>
      <c r="B29" s="37">
        <f>'График дифференц'!B28</f>
        <v>46371</v>
      </c>
      <c r="C29" s="38">
        <f>IF('Общие данные'!$B$77='Общие данные'!$C$77,'График дифференц'!C28,IF('Общие данные'!$B$77='Общие данные'!$D$77,'График аннуитет.'!C28))</f>
        <v>3333333.4000000041</v>
      </c>
      <c r="D29" s="38">
        <f>IF('Общие данные'!$B$77='Общие данные'!$C$77,'График дифференц'!D28,IF('Общие данные'!$B$77='Общие данные'!$D$77,'График аннуитет.'!D28))</f>
        <v>833333.33</v>
      </c>
      <c r="E29" s="38">
        <f>IF('Общие данные'!$B$77='Общие данные'!$C$77,'График дифференц'!E28,IF('Общие данные'!$B$77='Общие данные'!$D$77,'График аннуитет.'!E28))</f>
        <v>158904.04999999999</v>
      </c>
      <c r="F29" s="38">
        <f>IF('Общие данные'!$B$77='Общие данные'!$C$77,'График дифференц'!F28,IF('Общие данные'!$B$77='Общие данные'!$D$77,'График аннуитет.'!F28))</f>
        <v>992237.37999999989</v>
      </c>
    </row>
    <row r="30" spans="1:16" ht="15" customHeight="1">
      <c r="A30" s="22">
        <v>22</v>
      </c>
      <c r="B30" s="37">
        <f>'График дифференц'!B29</f>
        <v>46402</v>
      </c>
      <c r="C30" s="38">
        <f>IF('Общие данные'!$B$77='Общие данные'!$C$77,'График дифференц'!C29,IF('Общие данные'!$B$77='Общие данные'!$D$77,'График аннуитет.'!C29))</f>
        <v>2500000.070000004</v>
      </c>
      <c r="D30" s="38">
        <f>IF('Общие данные'!$B$77='Общие данные'!$C$77,'График дифференц'!D29,IF('Общие данные'!$B$77='Общие данные'!$D$77,'График аннуитет.'!D29))</f>
        <v>833333.33</v>
      </c>
      <c r="E30" s="38">
        <f>IF('Общие данные'!$B$77='Общие данные'!$C$77,'График дифференц'!E29,IF('Общие данные'!$B$77='Общие данные'!$D$77,'График аннуитет.'!E29))</f>
        <v>127397.29000000001</v>
      </c>
      <c r="F30" s="38">
        <f>IF('Общие данные'!$B$77='Общие данные'!$C$77,'График дифференц'!F29,IF('Общие данные'!$B$77='Общие данные'!$D$77,'График аннуитет.'!F29))</f>
        <v>960730.62</v>
      </c>
    </row>
    <row r="31" spans="1:16" ht="15" customHeight="1">
      <c r="A31" s="22">
        <v>23</v>
      </c>
      <c r="B31" s="37">
        <f>'График дифференц'!B30</f>
        <v>46433</v>
      </c>
      <c r="C31" s="38">
        <f>IF('Общие данные'!$B$77='Общие данные'!$C$77,'График дифференц'!C30,IF('Общие данные'!$B$77='Общие данные'!$D$77,'График аннуитет.'!C30))</f>
        <v>1666666.7400000039</v>
      </c>
      <c r="D31" s="38">
        <f>IF('Общие данные'!$B$77='Общие данные'!$C$77,'График дифференц'!D30,IF('Общие данные'!$B$77='Общие данные'!$D$77,'График аннуитет.'!D30))</f>
        <v>833333.33</v>
      </c>
      <c r="E31" s="38">
        <f>IF('Общие данные'!$B$77='Общие данные'!$C$77,'График дифференц'!E30,IF('Общие данные'!$B$77='Общие данные'!$D$77,'График аннуитет.'!E30))</f>
        <v>84931.63</v>
      </c>
      <c r="F31" s="38">
        <f>IF('Общие данные'!$B$77='Общие данные'!$C$77,'График дифференц'!F30,IF('Общие данные'!$B$77='Общие данные'!$D$77,'График аннуитет.'!F30))</f>
        <v>918264.96</v>
      </c>
    </row>
    <row r="32" spans="1:16" ht="15" customHeight="1">
      <c r="A32" s="22">
        <f>1+A31</f>
        <v>24</v>
      </c>
      <c r="B32" s="37">
        <f>'График дифференц'!B31</f>
        <v>46453</v>
      </c>
      <c r="C32" s="38">
        <f>IF('Общие данные'!$B$77='Общие данные'!$C$77,'График дифференц'!C31,IF('Общие данные'!$B$77='Общие данные'!$D$77,'График аннуитет.'!C31))</f>
        <v>833333.41000000399</v>
      </c>
      <c r="D32" s="38">
        <f>IF('Общие данные'!$B$77='Общие данные'!$C$77,'График дифференц'!D31,IF('Общие данные'!$B$77='Общие данные'!$D$77,'График аннуитет.'!D31))</f>
        <v>833333.41000000387</v>
      </c>
      <c r="E32" s="38">
        <f>IF('Общие данные'!$B$77='Общие данные'!$C$77,'График дифференц'!E31,IF('Общие данные'!$B$77='Общие данные'!$D$77,'График аннуитет.'!E31))</f>
        <v>27397.199999999997</v>
      </c>
      <c r="F32" s="38">
        <f>IF('Общие данные'!$B$77='Общие данные'!$C$77,'График дифференц'!F31,IF('Общие данные'!$B$77='Общие данные'!$D$77,'График аннуитет.'!F31))</f>
        <v>860730.61000000383</v>
      </c>
    </row>
    <row r="33" spans="1:6" ht="15" hidden="1" customHeight="1">
      <c r="A33" s="22">
        <f t="shared" ref="A33:A44" si="0">1+A32</f>
        <v>25</v>
      </c>
      <c r="B33" s="37" t="b">
        <f>'График дифференц'!B32</f>
        <v>0</v>
      </c>
      <c r="C33" s="38">
        <f>IF('Общие данные'!$B$77='Общие данные'!$C$77,'График дифференц'!C32,IF('Общие данные'!$B$77='Общие данные'!$D$77,'График аннуитет.'!C32))</f>
        <v>0</v>
      </c>
      <c r="D33" s="38">
        <f>IF('Общие данные'!$B$77='Общие данные'!$C$77,'График дифференц'!D32,IF('Общие данные'!$B$77='Общие данные'!$D$77,'График аннуитет.'!D32))</f>
        <v>0</v>
      </c>
      <c r="E33" s="38">
        <f>IF('Общие данные'!$B$77='Общие данные'!$C$77,'График дифференц'!E32,IF('Общие данные'!$B$77='Общие данные'!$D$77,'График аннуитет.'!E32))</f>
        <v>0</v>
      </c>
      <c r="F33" s="38">
        <f>IF('Общие данные'!$B$77='Общие данные'!$C$77,'График дифференц'!F32,IF('Общие данные'!$B$77='Общие данные'!$D$77,'График аннуитет.'!F32))</f>
        <v>0</v>
      </c>
    </row>
    <row r="34" spans="1:6" ht="15" hidden="1" customHeight="1">
      <c r="A34" s="22">
        <f t="shared" si="0"/>
        <v>26</v>
      </c>
      <c r="B34" s="37" t="b">
        <f>'График дифференц'!B33</f>
        <v>0</v>
      </c>
      <c r="C34" s="38">
        <f>IF('Общие данные'!$B$77='Общие данные'!$C$77,'График дифференц'!C33,IF('Общие данные'!$B$77='Общие данные'!$D$77,'График аннуитет.'!C33))</f>
        <v>0</v>
      </c>
      <c r="D34" s="38">
        <f>IF('Общие данные'!$B$77='Общие данные'!$C$77,'График дифференц'!D33,IF('Общие данные'!$B$77='Общие данные'!$D$77,'График аннуитет.'!D33))</f>
        <v>0</v>
      </c>
      <c r="E34" s="38">
        <f>IF('Общие данные'!$B$77='Общие данные'!$C$77,'График дифференц'!E33,IF('Общие данные'!$B$77='Общие данные'!$D$77,'График аннуитет.'!E33))</f>
        <v>0</v>
      </c>
      <c r="F34" s="38">
        <f>IF('Общие данные'!$B$77='Общие данные'!$C$77,'График дифференц'!F33,IF('Общие данные'!$B$77='Общие данные'!$D$77,'График аннуитет.'!F33))</f>
        <v>0</v>
      </c>
    </row>
    <row r="35" spans="1:6" ht="15" hidden="1" customHeight="1">
      <c r="A35" s="22">
        <f t="shared" si="0"/>
        <v>27</v>
      </c>
      <c r="B35" s="37" t="b">
        <f>'График дифференц'!B34</f>
        <v>0</v>
      </c>
      <c r="C35" s="38">
        <f>IF('Общие данные'!$B$77='Общие данные'!$C$77,'График дифференц'!C34,IF('Общие данные'!$B$77='Общие данные'!$D$77,'График аннуитет.'!C34))</f>
        <v>0</v>
      </c>
      <c r="D35" s="38">
        <f>IF('Общие данные'!$B$77='Общие данные'!$C$77,'График дифференц'!D34,IF('Общие данные'!$B$77='Общие данные'!$D$77,'График аннуитет.'!D34))</f>
        <v>0</v>
      </c>
      <c r="E35" s="38">
        <f>IF('Общие данные'!$B$77='Общие данные'!$C$77,'График дифференц'!E34,IF('Общие данные'!$B$77='Общие данные'!$D$77,'График аннуитет.'!E34))</f>
        <v>0</v>
      </c>
      <c r="F35" s="38">
        <f>IF('Общие данные'!$B$77='Общие данные'!$C$77,'График дифференц'!F34,IF('Общие данные'!$B$77='Общие данные'!$D$77,'График аннуитет.'!F34))</f>
        <v>0</v>
      </c>
    </row>
    <row r="36" spans="1:6" ht="15" hidden="1" customHeight="1">
      <c r="A36" s="22">
        <f t="shared" si="0"/>
        <v>28</v>
      </c>
      <c r="B36" s="37" t="b">
        <f>'График дифференц'!B35</f>
        <v>0</v>
      </c>
      <c r="C36" s="38">
        <f>IF('Общие данные'!$B$77='Общие данные'!$C$77,'График дифференц'!C35,IF('Общие данные'!$B$77='Общие данные'!$D$77,'График аннуитет.'!C35))</f>
        <v>0</v>
      </c>
      <c r="D36" s="38">
        <f>IF('Общие данные'!$B$77='Общие данные'!$C$77,'График дифференц'!D35,IF('Общие данные'!$B$77='Общие данные'!$D$77,'График аннуитет.'!D35))</f>
        <v>0</v>
      </c>
      <c r="E36" s="38">
        <f>IF('Общие данные'!$B$77='Общие данные'!$C$77,'График дифференц'!E35,IF('Общие данные'!$B$77='Общие данные'!$D$77,'График аннуитет.'!E35))</f>
        <v>0</v>
      </c>
      <c r="F36" s="38">
        <f>IF('Общие данные'!$B$77='Общие данные'!$C$77,'График дифференц'!F35,IF('Общие данные'!$B$77='Общие данные'!$D$77,'График аннуитет.'!F35))</f>
        <v>0</v>
      </c>
    </row>
    <row r="37" spans="1:6" ht="15" hidden="1" customHeight="1">
      <c r="A37" s="22">
        <f t="shared" si="0"/>
        <v>29</v>
      </c>
      <c r="B37" s="37" t="b">
        <f>'График дифференц'!B36</f>
        <v>0</v>
      </c>
      <c r="C37" s="38">
        <f>IF('Общие данные'!$B$77='Общие данные'!$C$77,'График дифференц'!C36,IF('Общие данные'!$B$77='Общие данные'!$D$77,'График аннуитет.'!C36))</f>
        <v>0</v>
      </c>
      <c r="D37" s="38">
        <f>IF('Общие данные'!$B$77='Общие данные'!$C$77,'График дифференц'!D36,IF('Общие данные'!$B$77='Общие данные'!$D$77,'График аннуитет.'!D36))</f>
        <v>0</v>
      </c>
      <c r="E37" s="38">
        <f>IF('Общие данные'!$B$77='Общие данные'!$C$77,'График дифференц'!E36,IF('Общие данные'!$B$77='Общие данные'!$D$77,'График аннуитет.'!E36))</f>
        <v>0</v>
      </c>
      <c r="F37" s="38">
        <f>IF('Общие данные'!$B$77='Общие данные'!$C$77,'График дифференц'!F36,IF('Общие данные'!$B$77='Общие данные'!$D$77,'График аннуитет.'!F36))</f>
        <v>0</v>
      </c>
    </row>
    <row r="38" spans="1:6" ht="15" hidden="1" customHeight="1">
      <c r="A38" s="22">
        <f t="shared" si="0"/>
        <v>30</v>
      </c>
      <c r="B38" s="37" t="b">
        <f>'График дифференц'!B37</f>
        <v>0</v>
      </c>
      <c r="C38" s="38">
        <f>IF('Общие данные'!$B$77='Общие данные'!$C$77,'График дифференц'!C37,IF('Общие данные'!$B$77='Общие данные'!$D$77,'График аннуитет.'!C37))</f>
        <v>0</v>
      </c>
      <c r="D38" s="38">
        <f>IF('Общие данные'!$B$77='Общие данные'!$C$77,'График дифференц'!D37,IF('Общие данные'!$B$77='Общие данные'!$D$77,'График аннуитет.'!D37))</f>
        <v>0</v>
      </c>
      <c r="E38" s="38">
        <f>IF('Общие данные'!$B$77='Общие данные'!$C$77,'График дифференц'!E37,IF('Общие данные'!$B$77='Общие данные'!$D$77,'График аннуитет.'!E37))</f>
        <v>0</v>
      </c>
      <c r="F38" s="38">
        <f>IF('Общие данные'!$B$77='Общие данные'!$C$77,'График дифференц'!F37,IF('Общие данные'!$B$77='Общие данные'!$D$77,'График аннуитет.'!F37))</f>
        <v>0</v>
      </c>
    </row>
    <row r="39" spans="1:6" ht="15" hidden="1" customHeight="1">
      <c r="A39" s="22">
        <f t="shared" si="0"/>
        <v>31</v>
      </c>
      <c r="B39" s="37" t="b">
        <f>'График дифференц'!B38</f>
        <v>0</v>
      </c>
      <c r="C39" s="38">
        <f>IF('Общие данные'!$B$77='Общие данные'!$C$77,'График дифференц'!C38,IF('Общие данные'!$B$77='Общие данные'!$D$77,'График аннуитет.'!C38))</f>
        <v>0</v>
      </c>
      <c r="D39" s="38">
        <f>IF('Общие данные'!$B$77='Общие данные'!$C$77,'График дифференц'!D38,IF('Общие данные'!$B$77='Общие данные'!$D$77,'График аннуитет.'!D38))</f>
        <v>0</v>
      </c>
      <c r="E39" s="38">
        <f>IF('Общие данные'!$B$77='Общие данные'!$C$77,'График дифференц'!E38,IF('Общие данные'!$B$77='Общие данные'!$D$77,'График аннуитет.'!E38))</f>
        <v>0</v>
      </c>
      <c r="F39" s="38">
        <f>IF('Общие данные'!$B$77='Общие данные'!$C$77,'График дифференц'!F38,IF('Общие данные'!$B$77='Общие данные'!$D$77,'График аннуитет.'!F38))</f>
        <v>0</v>
      </c>
    </row>
    <row r="40" spans="1:6" ht="15" hidden="1" customHeight="1">
      <c r="A40" s="22">
        <f t="shared" si="0"/>
        <v>32</v>
      </c>
      <c r="B40" s="37" t="b">
        <f>'График дифференц'!B39</f>
        <v>0</v>
      </c>
      <c r="C40" s="38">
        <f>IF('Общие данные'!$B$77='Общие данные'!$C$77,'График дифференц'!C39,IF('Общие данные'!$B$77='Общие данные'!$D$77,'График аннуитет.'!C39))</f>
        <v>0</v>
      </c>
      <c r="D40" s="38">
        <f>IF('Общие данные'!$B$77='Общие данные'!$C$77,'График дифференц'!D39,IF('Общие данные'!$B$77='Общие данные'!$D$77,'График аннуитет.'!D39))</f>
        <v>0</v>
      </c>
      <c r="E40" s="38">
        <f>IF('Общие данные'!$B$77='Общие данные'!$C$77,'График дифференц'!E39,IF('Общие данные'!$B$77='Общие данные'!$D$77,'График аннуитет.'!E39))</f>
        <v>0</v>
      </c>
      <c r="F40" s="38">
        <f>IF('Общие данные'!$B$77='Общие данные'!$C$77,'График дифференц'!F39,IF('Общие данные'!$B$77='Общие данные'!$D$77,'График аннуитет.'!F39))</f>
        <v>0</v>
      </c>
    </row>
    <row r="41" spans="1:6" ht="15" hidden="1" customHeight="1">
      <c r="A41" s="22">
        <f t="shared" si="0"/>
        <v>33</v>
      </c>
      <c r="B41" s="37" t="b">
        <f>'График дифференц'!B40</f>
        <v>0</v>
      </c>
      <c r="C41" s="38">
        <f>IF('Общие данные'!$B$77='Общие данные'!$C$77,'График дифференц'!C40,IF('Общие данные'!$B$77='Общие данные'!$D$77,'График аннуитет.'!C40))</f>
        <v>0</v>
      </c>
      <c r="D41" s="38">
        <f>IF('Общие данные'!$B$77='Общие данные'!$C$77,'График дифференц'!D40,IF('Общие данные'!$B$77='Общие данные'!$D$77,'График аннуитет.'!D40))</f>
        <v>0</v>
      </c>
      <c r="E41" s="38">
        <f>IF('Общие данные'!$B$77='Общие данные'!$C$77,'График дифференц'!E40,IF('Общие данные'!$B$77='Общие данные'!$D$77,'График аннуитет.'!E40))</f>
        <v>0</v>
      </c>
      <c r="F41" s="38">
        <f>IF('Общие данные'!$B$77='Общие данные'!$C$77,'График дифференц'!F40,IF('Общие данные'!$B$77='Общие данные'!$D$77,'График аннуитет.'!F40))</f>
        <v>0</v>
      </c>
    </row>
    <row r="42" spans="1:6" ht="15" hidden="1" customHeight="1">
      <c r="A42" s="22">
        <f t="shared" si="0"/>
        <v>34</v>
      </c>
      <c r="B42" s="37" t="b">
        <f>'График дифференц'!B41</f>
        <v>0</v>
      </c>
      <c r="C42" s="38">
        <f>IF('Общие данные'!$B$77='Общие данные'!$C$77,'График дифференц'!C41,IF('Общие данные'!$B$77='Общие данные'!$D$77,'График аннуитет.'!C41))</f>
        <v>0</v>
      </c>
      <c r="D42" s="38">
        <f>IF('Общие данные'!$B$77='Общие данные'!$C$77,'График дифференц'!D41,IF('Общие данные'!$B$77='Общие данные'!$D$77,'График аннуитет.'!D41))</f>
        <v>0</v>
      </c>
      <c r="E42" s="38">
        <f>IF('Общие данные'!$B$77='Общие данные'!$C$77,'График дифференц'!E41,IF('Общие данные'!$B$77='Общие данные'!$D$77,'График аннуитет.'!E41))</f>
        <v>0</v>
      </c>
      <c r="F42" s="38">
        <f>IF('Общие данные'!$B$77='Общие данные'!$C$77,'График дифференц'!F41,IF('Общие данные'!$B$77='Общие данные'!$D$77,'График аннуитет.'!F41))</f>
        <v>0</v>
      </c>
    </row>
    <row r="43" spans="1:6" ht="15" hidden="1" customHeight="1">
      <c r="A43" s="22">
        <f t="shared" si="0"/>
        <v>35</v>
      </c>
      <c r="B43" s="37" t="b">
        <f>'График дифференц'!B42</f>
        <v>0</v>
      </c>
      <c r="C43" s="38">
        <f>IF('Общие данные'!$B$77='Общие данные'!$C$77,'График дифференц'!C42,IF('Общие данные'!$B$77='Общие данные'!$D$77,'График аннуитет.'!C42))</f>
        <v>0</v>
      </c>
      <c r="D43" s="38">
        <f>IF('Общие данные'!$B$77='Общие данные'!$C$77,'График дифференц'!D42,IF('Общие данные'!$B$77='Общие данные'!$D$77,'График аннуитет.'!D42))</f>
        <v>0</v>
      </c>
      <c r="E43" s="38">
        <f>IF('Общие данные'!$B$77='Общие данные'!$C$77,'График дифференц'!E42,IF('Общие данные'!$B$77='Общие данные'!$D$77,'График аннуитет.'!E42))</f>
        <v>0</v>
      </c>
      <c r="F43" s="38">
        <f>IF('Общие данные'!$B$77='Общие данные'!$C$77,'График дифференц'!F42,IF('Общие данные'!$B$77='Общие данные'!$D$77,'График аннуитет.'!F42))</f>
        <v>0</v>
      </c>
    </row>
    <row r="44" spans="1:6" ht="15" hidden="1" customHeight="1">
      <c r="A44" s="22">
        <f t="shared" si="0"/>
        <v>36</v>
      </c>
      <c r="B44" s="37" t="b">
        <f>'График дифференц'!B43</f>
        <v>0</v>
      </c>
      <c r="C44" s="38">
        <f>IF('Общие данные'!$B$77='Общие данные'!$C$77,'График дифференц'!C43,IF('Общие данные'!$B$77='Общие данные'!$D$77,'График аннуитет.'!C43))</f>
        <v>0</v>
      </c>
      <c r="D44" s="38">
        <f>IF('Общие данные'!$B$77='Общие данные'!$C$77,'График дифференц'!D43,IF('Общие данные'!$B$77='Общие данные'!$D$77,'График аннуитет.'!D43))</f>
        <v>0</v>
      </c>
      <c r="E44" s="38">
        <f>IF('Общие данные'!$B$77='Общие данные'!$C$77,'График дифференц'!E43,IF('Общие данные'!$B$77='Общие данные'!$D$77,'График аннуитет.'!E43))</f>
        <v>0</v>
      </c>
      <c r="F44" s="38">
        <f>IF('Общие данные'!$B$77='Общие данные'!$C$77,'График дифференц'!F43,IF('Общие данные'!$B$77='Общие данные'!$D$77,'График аннуитет.'!F43))</f>
        <v>0</v>
      </c>
    </row>
    <row r="45" spans="1:6" ht="15" customHeight="1">
      <c r="A45" s="50"/>
      <c r="B45" s="51" t="s">
        <v>228</v>
      </c>
      <c r="C45" s="52"/>
      <c r="D45" s="52">
        <f>SUM(D9:D44)</f>
        <v>20000000</v>
      </c>
      <c r="E45" s="52">
        <f t="shared" ref="E45:F45" si="1">SUM(E9:E44)</f>
        <v>12797260.470000001</v>
      </c>
      <c r="F45" s="52">
        <f t="shared" si="1"/>
        <v>32797260.470000003</v>
      </c>
    </row>
    <row r="46" spans="1:6" ht="21" customHeight="1">
      <c r="B46" s="39"/>
      <c r="C46" s="40"/>
      <c r="D46" s="40"/>
      <c r="E46" s="40"/>
      <c r="F46" s="40"/>
    </row>
    <row r="47" spans="1:6" ht="47.25" customHeight="1">
      <c r="A47" s="245" t="str">
        <f>"*"&amp;'Общие данные'!C64&amp;" bo‘yicha to‘lovlar to‘lov jadvalida ko‘rsatilmagan sanalarda to‘langan taqdirda, to‘lov summasi mikroqarz shartnomasining 2.2.-bandiga muvofiq "&amp;'Общие данные'!B65&amp;" qoldig‘iga hisoblangan foizlar summasiga o‘zgartiriladi."</f>
        <v>*Mikroqarz bo‘yicha to‘lovlar to‘lov jadvalida ko‘rsatilmagan sanalarda to‘langan taqdirda, to‘lov summasi mikroqarz shartnomasining 2.2.-bandiga muvofiq mikroqarz qoldig‘iga hisoblangan foizlar summasiga o‘zgartiriladi.</v>
      </c>
      <c r="B47" s="245"/>
      <c r="C47" s="245"/>
      <c r="D47" s="245"/>
      <c r="E47" s="245"/>
      <c r="F47" s="245"/>
    </row>
    <row r="48" spans="1:6" ht="7.5" customHeight="1"/>
    <row r="49" spans="1:6" ht="15" customHeight="1">
      <c r="A49" s="263" t="s">
        <v>296</v>
      </c>
      <c r="B49" s="263"/>
      <c r="C49" s="263"/>
      <c r="D49" s="263" t="s">
        <v>306</v>
      </c>
      <c r="E49" s="263"/>
      <c r="F49" s="263"/>
    </row>
    <row r="50" spans="1:6" ht="11.25" customHeight="1">
      <c r="A50" s="264"/>
      <c r="B50" s="264"/>
      <c r="C50" s="264"/>
      <c r="D50" s="264"/>
      <c r="E50" s="264"/>
      <c r="F50" s="264"/>
    </row>
    <row r="51" spans="1:6" ht="30" customHeight="1">
      <c r="A51" s="265" t="str">
        <f>договор!A117</f>
        <v>«CLEVER MIKROMOLIYA TASHKILOTI» MChJ</v>
      </c>
      <c r="B51" s="265"/>
      <c r="C51" s="265"/>
      <c r="D51" s="265" t="str">
        <f>договор!B117</f>
        <v>SALIYEV DALER ALIMDJONOVICH</v>
      </c>
      <c r="E51" s="265"/>
      <c r="F51" s="265"/>
    </row>
    <row r="52" spans="1:6" ht="45" customHeight="1">
      <c r="A52" s="262" t="str">
        <f>договор!A119</f>
        <v>Manzil: Toshkent shahri, Olmazor tumani, Sagbon ko'chasi, 30 boshi berk, 6-uy</v>
      </c>
      <c r="B52" s="262"/>
      <c r="C52" s="262"/>
      <c r="D52" s="262" t="str">
        <f>договор!B119</f>
        <v>Manzil: SAMARQAND VILOYATI SAMARQAND SHAHAR SO'ZANGARON MAHALLASI IBROXIMXO'JA KO'CHASI 97 A UY</v>
      </c>
      <c r="E52" s="262"/>
      <c r="F52" s="262"/>
    </row>
    <row r="53" spans="1:6" ht="15" customHeight="1">
      <c r="A53" s="262" t="str">
        <f>договор!A120</f>
        <v>h/r: №20216000705068380001</v>
      </c>
      <c r="B53" s="262"/>
      <c r="C53" s="262"/>
      <c r="D53" s="262" t="str">
        <f>договор!B121</f>
        <v>pasport seriyasi: AD 6879613, IIV 18810  tomonidan 18.04.2024 yilda berilgan</v>
      </c>
      <c r="E53" s="262"/>
      <c r="F53" s="262"/>
    </row>
    <row r="54" spans="1:6" ht="35.25" customHeight="1">
      <c r="A54" s="262" t="str">
        <f>договор!A121</f>
        <v>MFO: №01042 в ATB “Kapitalbank” Sergeli filiali</v>
      </c>
      <c r="B54" s="262"/>
      <c r="C54" s="262"/>
      <c r="D54" s="262"/>
      <c r="E54" s="262"/>
      <c r="F54" s="262"/>
    </row>
    <row r="55" spans="1:6" ht="15" customHeight="1">
      <c r="A55" s="262" t="str">
        <f>договор!A122</f>
        <v>STIR: 306365847</v>
      </c>
      <c r="B55" s="262"/>
      <c r="C55" s="262"/>
      <c r="D55" s="262" t="str">
        <f>договор!B122</f>
        <v>Tel: 998 91 538-44-58 O'ZI</v>
      </c>
      <c r="E55" s="262"/>
      <c r="F55" s="262"/>
    </row>
    <row r="56" spans="1:6" ht="15" customHeight="1">
      <c r="A56" s="262" t="str">
        <f>договор!A123</f>
        <v>Tel: (78) 113 31 33</v>
      </c>
      <c r="B56" s="262"/>
      <c r="C56" s="262"/>
      <c r="D56" s="262" t="str">
        <f>договор!B123</f>
        <v>998 91 538-12-24 Xo'jayini</v>
      </c>
      <c r="E56" s="262"/>
      <c r="F56" s="262"/>
    </row>
    <row r="57" spans="1:6" ht="15" customHeight="1">
      <c r="A57" s="262" t="str">
        <f>договор!A124</f>
        <v>(78) 113 31 34</v>
      </c>
      <c r="B57" s="262"/>
      <c r="C57" s="262"/>
      <c r="D57" s="262" t="str">
        <f>договор!B124</f>
        <v xml:space="preserve">998 33 023-23-80 do'sti Farxod </v>
      </c>
      <c r="E57" s="262"/>
      <c r="F57" s="262"/>
    </row>
    <row r="58" spans="1:6" ht="23.25" customHeight="1">
      <c r="A58" s="262"/>
      <c r="B58" s="262"/>
      <c r="C58" s="262"/>
      <c r="D58" s="262" t="str">
        <f>IF(договор!B125=0,"",договор!B125)</f>
        <v/>
      </c>
      <c r="E58" s="262"/>
      <c r="F58" s="262"/>
    </row>
    <row r="59" spans="1:6" ht="29.25" customHeight="1">
      <c r="A59" s="300" t="str">
        <f>договор!A126</f>
        <v>Samarqand viloyati Samarqand  filial boshlig'i</v>
      </c>
      <c r="B59" s="300"/>
      <c r="C59" s="300"/>
      <c r="D59" s="265" t="str">
        <f>договор!B126</f>
        <v>SALIYEV D.A.     __________________</v>
      </c>
      <c r="E59" s="265"/>
      <c r="F59" s="265"/>
    </row>
    <row r="60" spans="1:6" ht="15" customHeight="1">
      <c r="A60" s="262"/>
      <c r="B60" s="262"/>
      <c r="C60" s="262"/>
      <c r="D60" s="265"/>
      <c r="E60" s="265"/>
      <c r="F60" s="265"/>
    </row>
    <row r="61" spans="1:6">
      <c r="A61" s="300" t="str">
        <f>договор!A128</f>
        <v xml:space="preserve">Asrorov S.S. ________________ </v>
      </c>
      <c r="B61" s="300"/>
      <c r="C61" s="300"/>
      <c r="D61" s="265"/>
      <c r="E61" s="265"/>
      <c r="F61" s="265"/>
    </row>
    <row r="62" spans="1:6" ht="8.25" customHeight="1">
      <c r="A62" s="262"/>
      <c r="B62" s="262"/>
      <c r="C62" s="262"/>
      <c r="D62" s="262"/>
      <c r="E62" s="262"/>
      <c r="F62" s="262"/>
    </row>
    <row r="63" spans="1:6" ht="30" customHeight="1">
      <c r="A63" s="267"/>
      <c r="B63" s="267"/>
      <c r="C63" s="267"/>
      <c r="D63" s="268"/>
      <c r="E63" s="268"/>
      <c r="F63" s="268"/>
    </row>
    <row r="64" spans="1:6">
      <c r="A64" s="269"/>
      <c r="B64" s="269"/>
      <c r="C64" s="269"/>
      <c r="D64" s="269"/>
      <c r="E64" s="269"/>
      <c r="F64" s="269"/>
    </row>
    <row r="65" spans="1:6">
      <c r="A65" s="266"/>
      <c r="B65" s="266"/>
      <c r="C65" s="266"/>
      <c r="D65" s="266"/>
      <c r="E65" s="266"/>
      <c r="F65" s="266"/>
    </row>
  </sheetData>
  <mergeCells count="42">
    <mergeCell ref="H12:P24"/>
    <mergeCell ref="A65:C65"/>
    <mergeCell ref="D65:F65"/>
    <mergeCell ref="A62:C62"/>
    <mergeCell ref="D62:F62"/>
    <mergeCell ref="A63:C63"/>
    <mergeCell ref="D63:F63"/>
    <mergeCell ref="A64:C64"/>
    <mergeCell ref="D64:F64"/>
    <mergeCell ref="A59:C59"/>
    <mergeCell ref="D59:F59"/>
    <mergeCell ref="A60:C60"/>
    <mergeCell ref="D60:F60"/>
    <mergeCell ref="A61:C61"/>
    <mergeCell ref="D61:F61"/>
    <mergeCell ref="A56:C56"/>
    <mergeCell ref="D56:F56"/>
    <mergeCell ref="A57:C57"/>
    <mergeCell ref="D57:F57"/>
    <mergeCell ref="A58:C58"/>
    <mergeCell ref="D58:F58"/>
    <mergeCell ref="A55:C55"/>
    <mergeCell ref="D55:F55"/>
    <mergeCell ref="A47:F47"/>
    <mergeCell ref="A49:C49"/>
    <mergeCell ref="D49:F49"/>
    <mergeCell ref="A50:C50"/>
    <mergeCell ref="D50:F50"/>
    <mergeCell ref="A51:C51"/>
    <mergeCell ref="D51:F51"/>
    <mergeCell ref="A52:C52"/>
    <mergeCell ref="D52:F52"/>
    <mergeCell ref="A53:C53"/>
    <mergeCell ref="D53:F54"/>
    <mergeCell ref="A54:C54"/>
    <mergeCell ref="E2:F2"/>
    <mergeCell ref="A5:F5"/>
    <mergeCell ref="A7:A8"/>
    <mergeCell ref="B7:B8"/>
    <mergeCell ref="C7:C8"/>
    <mergeCell ref="D7:F7"/>
    <mergeCell ref="C3:F3"/>
  </mergeCells>
  <conditionalFormatting sqref="B9:B44">
    <cfRule type="cellIs" dxfId="1" priority="6" operator="lessThan">
      <formula>22105</formula>
    </cfRule>
  </conditionalFormatting>
  <conditionalFormatting sqref="C9:F44">
    <cfRule type="cellIs" dxfId="0" priority="1" operator="lessThan">
      <formula>0.1</formula>
    </cfRule>
  </conditionalFormatting>
  <pageMargins left="0.70866141732283472" right="0.70866141732283472" top="0.74803149606299213" bottom="0.74803149606299213" header="0.31496062992125984" footer="0.31496062992125984"/>
  <pageSetup paperSize="9" scale="91"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Лист3">
    <tabColor rgb="FF00B050"/>
  </sheetPr>
  <dimension ref="A1:K131"/>
  <sheetViews>
    <sheetView view="pageBreakPreview" topLeftCell="A98" zoomScale="55" zoomScaleNormal="55" zoomScaleSheetLayoutView="55" workbookViewId="0">
      <selection activeCell="B130" sqref="B130"/>
    </sheetView>
  </sheetViews>
  <sheetFormatPr defaultColWidth="9.140625" defaultRowHeight="15.75"/>
  <cols>
    <col min="1" max="1" width="50.42578125" style="10" customWidth="1"/>
    <col min="2" max="2" width="57.42578125" style="10" customWidth="1"/>
    <col min="3" max="3" width="93.28515625" style="10" customWidth="1"/>
    <col min="4" max="7" width="9.140625" style="10" customWidth="1"/>
    <col min="8" max="8" width="111.5703125" style="10" customWidth="1"/>
    <col min="9" max="16" width="9.140625" style="10" customWidth="1"/>
    <col min="17" max="16384" width="9.140625" style="10"/>
  </cols>
  <sheetData>
    <row r="1" spans="1:3">
      <c r="A1" s="312" t="str">
        <f>""&amp;'Общие данные'!C64&amp;" shartnoma "&amp;'Общие данные'!B66&amp;""</f>
        <v>Mikroqarz shartnoma №558-SM</v>
      </c>
      <c r="B1" s="312"/>
    </row>
    <row r="3" spans="1:3">
      <c r="A3" s="312" t="str">
        <f>"Toshkent shahri                                                                               "&amp;'Общие данные'!B70&amp;""</f>
        <v>Toshkent shahri                                                                               7 mart 2025 y.</v>
      </c>
      <c r="B3" s="312"/>
    </row>
    <row r="4" spans="1:3">
      <c r="A4" s="82"/>
    </row>
    <row r="5" spans="1:3" ht="132.75" customHeight="1">
      <c r="A5" s="302" t="str">
        <f>""&amp;'Общие данные'!B147&amp;", bundan buyon «Mikromoliya tashkiloti» deb nomlanuvchi, ishonchnoma asosida xarakat qiluvchi "&amp;'Общие данные'!A150&amp;" "&amp;'Общие данные'!B150&amp;"  bir tomondan va o‘z manfaati yo‘lida hamda o‘z nomidan harakat qiluvchi O‘zbekiston Respublikasi fuqarosi "&amp;'Общие данные'!B5&amp;"  (pasport raqami "&amp;'Общие данные'!B16&amp;", "&amp;'Общие данные'!C20&amp;" ), bundan buyon «Qarz oluvchi» deb nomlanuvchi, boshqa tomondan, birgalikda “Tomonlar” yoki alohida “Tomon” deb nomlanuvchilar, Qarz oluvchi tomonidan "&amp;TEXT('Общие данные'!B2,"ДД.ММ.ГГГГ")&amp;" yil,"&amp;'Общие данные'!B65&amp;" olish uchun ariza berilganligini hisobga olib, ushbu "&amp;'Общие данные'!C64&amp;" shartnomasini (bundan keyin – «Shartnoma») quyidagilar haqida tuzdilar:"</f>
        <v>«CLEVER MIKROMOLIYA TASHKILOTI» MChJ, bundan buyon «Mikromoliya tashkiloti» deb nomlanuvchi, ishonchnoma asosida xarakat qiluvchi Samarqand viloyati Samarqand  filial boshlig'i Asrorov S.S.  bir tomondan va o‘z manfaati yo‘lida hamda o‘z nomidan harakat qiluvchi O‘zbekiston Respublikasi fuqarosi SALIYEV DALER ALIMDJONOVICH  (pasport raqami AD 6879613, IIV 18810  tomonidan 18.04.2024 yilda berilgan ), bundan buyon «Qarz oluvchi» deb nomlanuvchi, boshqa tomondan, birgalikda “Tomonlar” yoki alohida “Tomon” deb nomlanuvchilar, Qarz oluvchi tomonidan 07.03.2025 yil,mikroqarz olish uchun ariza berilganligini hisobga olib, ushbu Mikroqarz shartnomasini (bundan keyin – «Shartnoma») quyidagilar haqida tuzdilar:</v>
      </c>
      <c r="B5" s="302"/>
    </row>
    <row r="7" spans="1:3">
      <c r="A7" s="312" t="s">
        <v>284</v>
      </c>
      <c r="B7" s="312"/>
    </row>
    <row r="8" spans="1:3" ht="51.75" customHeight="1">
      <c r="A8" s="302" t="str">
        <f>"1.1. Mikromoliya tashkiloti Qarz oluvchiga umumiy miqdori "&amp;FIXED('Общие данные'!B75,2)&amp;" ("&amp;'Общие данные'!C76&amp;") bo‘lgan "&amp;'Общие данные'!B65&amp;"ni "&amp;'Общие данные'!B71&amp;" dan "&amp;'Общие данные'!B73&amp;" gacha bo'lgan muddatga naqd pul va/yoki o'tkazmasi shaklida ajratadi."</f>
        <v>1.1. Mikromoliya tashkiloti Qarz oluvchiga umumiy miqdori 20 000 000,00 (Yigirma million so'm) bo‘lgan mikroqarzni 7 mart 2025 y. dan 7 mart 2027 y. gacha bo'lgan muddatga naqd pul va/yoki o'tkazmasi shaklida ajratadi.</v>
      </c>
      <c r="B8" s="302"/>
    </row>
    <row r="9" spans="1:3" ht="36" customHeight="1">
      <c r="A9" s="302" t="str">
        <f>"1.2. Qarz oluvchi to‘lovlilik, muddatlilik va ta’minlanganlik tamoyillariga amal qilgan holda "&amp;'Общие данные'!B65&amp;"dan foydalanish majburiyatini o‘z zimmasiga oladi."</f>
        <v>1.2. Qarz oluvchi to‘lovlilik, muddatlilik va ta’minlanganlik tamoyillariga amal qilgan holda mikroqarzdan foydalanish majburiyatini o‘z zimmasiga oladi.</v>
      </c>
      <c r="B9" s="302"/>
    </row>
    <row r="10" spans="1:3">
      <c r="A10" s="36"/>
    </row>
    <row r="11" spans="1:3">
      <c r="A11" s="303" t="str">
        <f>"2. "&amp;'Общие данные'!D64&amp;" BERISH VA QAYTARISH TARTIBI"</f>
        <v>2. MIKROQARZ BERISH VA QAYTARISH TARTIBI</v>
      </c>
      <c r="B11" s="303"/>
      <c r="C11" s="80"/>
    </row>
    <row r="12" spans="1:3" ht="36" customHeight="1">
      <c r="A12" s="302" t="str">
        <f>"2.1. Ushbu Shartnomaning 1.1.-bandida ko‘rsatilgan summa miqdoridagi "&amp;'Общие данные'!B65&amp;" Mikromoliya tashkiloti kassasidan naqd pul shaklida va/yoki plastik kartaga o‘tkazish yuli bilan beriladi."</f>
        <v>2.1. Ushbu Shartnomaning 1.1.-bandida ko‘rsatilgan summa miqdoridagi mikroqarz Mikromoliya tashkiloti kassasidan naqd pul shaklida va/yoki plastik kartaga o‘tkazish yuli bilan beriladi.</v>
      </c>
      <c r="B12" s="302"/>
    </row>
    <row r="13" spans="1:3" ht="35.25" customHeight="1">
      <c r="A13" s="302" t="str">
        <f>"2.2. "&amp;'Общие данные'!C64&amp;" berish ushbu Shartnoma tuzilgan va Qarz oluvchi tomonidan ushbu shartnomaning 3-bo‘limiga muvofiq garov ta'minoti ta'minlangandan so‘ng 10 kalendar kundan kechiktirmay amalga oshiriladi."</f>
        <v>2.2. Mikroqarz berish ushbu Shartnoma tuzilgan va Qarz oluvchi tomonidan ushbu shartnomaning 3-bo‘limiga muvofiq garov ta'minoti ta'minlangandan so‘ng 10 kalendar kundan kechiktirmay amalga oshiriladi.</v>
      </c>
      <c r="B13" s="302"/>
    </row>
    <row r="14" spans="1:3" ht="35.25" customHeight="1">
      <c r="A14" s="302" t="str">
        <f>"2.3. "&amp;'Общие данные'!C64&amp;" Qarz oluvchi tomonidan ushbu Shartnomaning ajralmas qismi hisoblanadigan 1-ilovasida ko‘rsatilgan to‘lov jadvalida (bundan keyin - To‘lov jadvali) belgilangan miqdor, tartib va muddatlarda qaytariladi."</f>
        <v>2.3. Mikroqarz Qarz oluvchi tomonidan ushbu Shartnomaning ajralmas qismi hisoblanadigan 1-ilovasida ko‘rsatilgan to‘lov jadvalida (bundan keyin - To‘lov jadvali) belgilangan miqdor, tartib va muddatlarda qaytariladi.</v>
      </c>
      <c r="B14" s="302"/>
    </row>
    <row r="15" spans="1:3" ht="66" customHeight="1">
      <c r="A15" s="302" t="str">
        <f>"2.4. Mikromoliya tashkiloti, "&amp;'Общие данные'!B65&amp;" berilgan vaqtdan boshlab, "&amp;'Общие данные'!B65&amp;" miqdorining qoldiq summasiga "&amp;'Общие данные'!B85&amp;"% ("&amp;'Общие данные'!C86&amp;") foiz yillik va yiliga 365/366 kunlik hisobidan foizlar hisoblaydi. To'lov jadvaliga muvofiq asosiy qarz bo'yicha navbatdagi to'lov buzilgan hollarda, "&amp;"foiz stavkasi oshiriladi va  Mikromoliya tashkiloti "&amp;'Общие данные'!B65&amp;"ning muddati o'tgan asosiy qarz summasiga yillik "&amp;'Общие данные'!B88&amp;" ("&amp;'Общие данные'!B89&amp;") foiz miqdorida foizlar hisoblaydi."</f>
        <v>2.4. Mikromoliya tashkiloti, mikroqarz berilgan vaqtdan boshlab, mikroqarz miqdorining qoldiq summasiga 60% (Oltmish) foiz yillik va yiliga 365/366 kunlik hisobidan foizlar hisoblaydi. To'lov jadvaliga muvofiq asosiy qarz bo'yicha navbatdagi to'lov buzilgan hollarda, foiz stavkasi oshiriladi va  Mikromoliya tashkiloti mikroqarzning muddati o'tgan asosiy qarz summasiga yillik 100 (Bir yuz) foiz miqdorida foizlar hisoblaydi.</v>
      </c>
      <c r="B15" s="302"/>
    </row>
    <row r="16" spans="1:3" ht="177.75" customHeight="1">
      <c r="A16" s="302" t="s">
        <v>357</v>
      </c>
      <c r="B16" s="302"/>
    </row>
    <row r="17" spans="1:11" ht="161.25" customHeight="1">
      <c r="A17" s="302" t="str">
        <f>CONCATENATE(C17,H17,I17)</f>
        <v>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mikroqarzni va undan foydalanganlik uchun foizlarni qaytarish bo‘yicha muddati o‘tgan qarzdorlik hosil bo‘lganda Qarz oluvchi tomonidan ko‘rsatilgan qarzdorlikni to‘lash hisobiga to‘lanadigan summalar quyidagi tartibda hisobga olinadi:</v>
      </c>
      <c r="B17" s="302"/>
      <c r="C17" s="191" t="s">
        <v>361</v>
      </c>
      <c r="H17" s="10" t="str">
        <f>'Общие данные'!B65</f>
        <v>mikroqarz</v>
      </c>
      <c r="I17" s="10" t="s">
        <v>362</v>
      </c>
    </row>
    <row r="18" spans="1:11" ht="100.5" customHeight="1">
      <c r="A18" s="305" t="s">
        <v>402</v>
      </c>
      <c r="B18" s="305"/>
    </row>
    <row r="19" spans="1:11" ht="36" customHeight="1">
      <c r="A19" s="302" t="str">
        <f>"2.7. Qarz oluvchi Mikromoliya tashkilotining "&amp;'Общие данные'!B65&amp;" bo‘yicha asosiy summasi, hisoblangan foizlarni, penya va boshqa moliyaviy talablarini ham naqd pul shaklida, ham naqdsiz shaklda qaytarib beradi."</f>
        <v>2.7. Qarz oluvchi Mikromoliya tashkilotining mikroqarz bo‘yicha asosiy summasi, hisoblangan foizlarni, penya va boshqa moliyaviy talablarini ham naqd pul shaklida, ham naqdsiz shaklda qaytarib beradi.</v>
      </c>
      <c r="B19" s="302"/>
    </row>
    <row r="20" spans="1:11" ht="48.75" customHeight="1">
      <c r="A20" s="302" t="str">
        <f>"2.8. Qarz oluvchi "&amp;'Общие данные'!B65&amp;" miqdorini muddatidan oldin qaytarish, shuningdek, bu haqida Mikromoliya tashkilotini albatta ogohlantirgan holda ulardan aniq foydalangan muddat uchun hisoblangan foizlarni to‘lash huquqiga ega."</f>
        <v>2.8. Qarz oluvchi mikroqarz miqdorini muddatidan oldin qaytarish, shuningdek, bu haqida Mikromoliya tashkilotini albatta ogohlantirgan holda ulardan aniq foydalangan muddat uchun hisoblangan foizlarni to‘lash huquqiga ega.</v>
      </c>
      <c r="B20" s="302"/>
    </row>
    <row r="21" spans="1:11" ht="113.25" customHeight="1">
      <c r="A21" s="311" t="str">
        <f>CONCATENATE(C21,H21,I21)</f>
        <v>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olingan Markaziy bank Boshqaruvining 28.09.2019 y. 24/5-son qarori bilan tasdiqlangan), qarz yuki ko‘rsatkichi har bir qarz oluvchiga qarz beruvchi tomonidan mikroqarz ajratishda uning summasi va qarz oluvchining amaldagi kredit (mikroqarz) shartnomalari bo‘yicha asosiy qarz qoldig‘i yig‘indisi bazaviy hisoblash miqdorining 50 baravaridan oshganda hisoblanadi.</v>
      </c>
      <c r="B21" s="311"/>
      <c r="C21" s="10" t="str">
        <f>"2.9. Qarz oluvchi jismoniy shaxslarning kreditlar ("&amp;'Общие данные'!B65&amp;"lar) bo‘yicha qarz yukini hisoblash tartibi, qarz yukining ruxsat etilgan miqdori, shuningdek qarz yuki o‘sishini cheklash to‘g‘risidagi Nizomga muvofiq (O’zbekiston Respublikasi Adliya vazirligi tomonidan 19.12.2019 y. 3205-son bilan ro‘yxatga "</f>
        <v xml:space="preserve">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v>
      </c>
      <c r="H21" s="10" t="str">
        <f>"olingan Markaziy bank Boshqaruvining 28.09.2019 y. 24/5-son qarori bilan tasdiqlangan), qarz yuki ko‘rsatkichi har bir qarz oluvchiga qarz beruvchi tomonidan "&amp;'Общие данные'!B65&amp;" ajratishda uning summasi va "</f>
        <v xml:space="preserve">olingan Markaziy bank Boshqaruvining 28.09.2019 y. 24/5-son qarori bilan tasdiqlangan), qarz yuki ko‘rsatkichi har bir qarz oluvchiga qarz beruvchi tomonidan mikroqarz ajratishda uning summasi va </v>
      </c>
      <c r="I21" s="10" t="str">
        <f>"qarz oluvchining amaldagi kredit ("&amp;'Общие данные'!B65&amp;") shartnomalari bo‘yicha asosiy qarz qoldig‘i yig‘indisi bazaviy hisoblash miqdorining 50 baravaridan oshganda hisoblanadi."</f>
        <v>qarz oluvchining amaldagi kredit (mikroqarz) shartnomalari bo‘yicha asosiy qarz qoldig‘i yig‘indisi bazaviy hisoblash miqdorining 50 baravaridan oshganda hisoblanadi.</v>
      </c>
    </row>
    <row r="22" spans="1:11">
      <c r="A22" s="303" t="str">
        <f>"3. "&amp;'Общие данные'!D64&amp;" TA'MINOTI BO‘YICHA "</f>
        <v xml:space="preserve">3. MIKROQARZ TA'MINOTI BO‘YICHA </v>
      </c>
      <c r="B22" s="303"/>
    </row>
    <row r="23" spans="1:11" ht="19.5" customHeight="1">
      <c r="A23" s="302" t="str">
        <f>"3.1. Ushbu Shartnoma bo‘yicha taqdim etilgan "&amp;'Общие данные'!C64&amp;" quyidagi garov bilan ta'minlanadi:"</f>
        <v>3.1. Ushbu Shartnoma bo‘yicha taqdim etilgan Mikroqarz quyidagi garov bilan ta'minlanadi:</v>
      </c>
      <c r="B23" s="302"/>
    </row>
    <row r="24" spans="1:11" ht="130.5" customHeight="1">
      <c r="A24" s="309" t="str">
        <f>IF('Общие данные'!B103='Общие данные'!C103,договор!A28,IF('Общие данные'!B103='Общие данные'!D103,договор!A25,0))</f>
        <v>3.1.1. Mikromoliya tashkiloti, Qarz oluvchi va SHADMANOVA GULMIRA ZAKIROVNA tomonidan 2025 yil 7 martda imzolangan 1-sonli garov predmeti qiymatini tasdiqlash dalolatnomasiga muvofiq OQ BELIY rangli, ishlab chiqarilgan yili – 2022 yil,  dvigatel raqami B15D212223022MTAX0763, shassi - -,  kuzov turi - YENGIL SEDAN, kuzov raqami №XWBJA69VEPA011841, davlat raqam belgisi 30S095AB bo'lgan COBALT  rusumli avtomashinasi (bundan keyin “Garov predmeti”), egalik huquqiga ega  SHADMANOVA GULMIRA ZAKIROVNAga tegishli va kelishilgan garov qiymati 2025 yil 7 martda imzolangan 1-sonli Garov predmeti qiymatini tasdiqlash dalolatnomasiga muvifiq 30 000 000,00 (o'ttiz million so'm) so'mni tashkil qiladi. Garov garovining aniq shartlari tegishli notarial rasmiylashtirilgan garov shartnomasi bilan belgilanadi.</v>
      </c>
      <c r="B24" s="309"/>
    </row>
    <row r="25" spans="1:11" ht="129" hidden="1" customHeight="1">
      <c r="A25" s="302" t="str">
        <f>IF('Общие данные'!B92='Общие данные'!C92,договор!A27,IF('Общие данные'!B92='Общие данные'!D92,договор!A26,0))</f>
        <v>3.1.1. Mikromoliya tashkiloti, Qarz oluvchi va SHADMANOVA GULMIRA ZAKIROVNA tomonidan 2025 yil 7 martda imzolangan 1-sonli Garov predmeti qiymatini tasdiqlash dalolatnomasiga muvofiq SAMARQAND VILOYATI TAYLOQ TUMANI CHAROG'BON MFY YANGI TAYLOQ QISHLOG'I 6 TURAR JOY 12 QAVAT 58 XONADON manzilida joylashgan, yer uchastkasi maydoni - , umumiy maydoni - 72.13 kv.m., yashah maydoni - 37.39 kv.m bo'lgan, 3 - xonali yakka tartibdagi uy-joy ko'rinishidagi ko'chmas mulk (bundan keyin “Garov predmeti”), egalik huquqiga ko'ra  SHOUSMANOVA DAVLATXON XXXga tegishli va kelishilgan garov qiymati 2025 yil 7 martda imzolangan 1-sonli Garov predmeti qiymatini tasdiqlash dalolatnomasiga muvofiq 30 000 000,00 (o'ttiz million so'm) so'mni tashkil qiladi. Garovning aniq shartlari tegishli tarzda notarial tasdiqlangan garov shartnomasi bilan belgilangan.</v>
      </c>
      <c r="B25" s="302"/>
    </row>
    <row r="26" spans="1:11" ht="129.75" hidden="1" customHeight="1">
      <c r="A26" s="309" t="str">
        <f>"3.1.1. "&amp;'Общие данные'!N126&amp;" tomonidan "&amp;'Общие данные'!B143&amp;" yil "&amp;'Общие данные'!B145&amp;" "&amp;'Общие данные'!B144&amp;"da imzolangan 1-sonli navbatdagi garov predmeti qiymatini tasdiqlash dalolatnomasiga muvofiq "&amp;'Общие данные'!C123&amp;" manzilida joylashgan, "&amp;'Общие данные'!E126&amp;" bo'lgan, "&amp;'Общие данные'!E125&amp;" ko'rinishidagi ko'chmas mulk (bundan keyin “navbatdagi garov predmeti”), egalik huquqiga ko'ra  "&amp;'Общие данные'!C117&amp;"ga tegishli va kelishilgan garov qiymati "&amp;'Общие данные'!B143&amp;" yil "&amp;'Общие данные'!B145&amp;" "&amp;'Общие данные'!B144&amp;"da imzolangan 1-sonli Garov predmeti qiymatini tasdiqlash dalolatnomasiga muvofiq "&amp;FIXED('Общие данные'!B136,2)&amp;" ("&amp;'Общие данные'!B138&amp;") so'mni tashkil qiladi. Garovning aniq shartlari tegishli tarzda notarial tasdiqlangan garov shartnomasi bilan belgilangan."</f>
        <v>3.1.1. Mikromoliya tashkiloti, Qarz oluvchi va SHADMANOVA GULMIRA ZAKIROVNA tomonidan 2025 yil 7 martda imzolangan 1-sonli navbatdagi garov predmeti qiymatini tasdiqlash dalolatnomasiga muvofiq SAMARQAND VILOYATI TAYLOQ TUMANI CHAROG'BON MFY YANGI TAYLOQ QISHLOG'I 6 TURAR JOY 12 QAVAT 58 XONADON manzilida joylashgan, yer uchastkasi maydoni - , umumiy maydoni - 72.13 kv.m., yashah maydoni - 37.39 kv.m bo'lgan, 3 - xonali yakka tartibdagi uy-joy ko'rinishidagi ko'chmas mulk (bundan keyin “navbatdagi garov predmeti”), egalik huquqiga ko'ra  SHOUSMANOVA DAVLATXON XXXga tegishli va kelishilgan garov qiymati 2025 yil 7 martda imzolangan 1-sonli Garov predmeti qiymatini tasdiqlash dalolatnomasiga muvofiq 30 000 000,00 (o'ttiz million so'm) so'mni tashkil qiladi. Garovning aniq shartlari tegishli tarzda notarial tasdiqlangan garov shartnomasi bilan belgilangan.</v>
      </c>
      <c r="B26" s="309"/>
    </row>
    <row r="27" spans="1:11" ht="131.25" hidden="1" customHeight="1">
      <c r="A27" s="302" t="str">
        <f>"3.1.1. "&amp;'Общие данные'!N126&amp;" tomonidan "&amp;'Общие данные'!B143&amp;" yil "&amp;'Общие данные'!B145&amp;" "&amp;'Общие данные'!B144&amp;"da imzolangan 1-sonli Garov predmeti qiymatini tasdiqlash dalolatnomasiga muvofiq "&amp;'Общие данные'!C123&amp;" manzilida joylashgan, "&amp;'Общие данные'!E126&amp;" bo'lgan, "&amp;'Общие данные'!E125&amp;" ko'rinishidagi ko'chmas mulk (bundan keyin “Garov predmeti”), egalik huquqiga ko'ra  "&amp;'Общие данные'!C117&amp;"ga tegishli va kelishilgan garov qiymati "&amp;'Общие данные'!B143&amp;" yil "&amp;'Общие данные'!B145&amp;" "&amp;'Общие данные'!B144&amp;"da imzolangan 1-sonli Garov predmeti qiymatini tasdiqlash dalolatnomasiga muvofiq "&amp;FIXED('Общие данные'!B136,2)&amp;" ("&amp;'Общие данные'!B138&amp;") so'mni tashkil qiladi. Garovning aniq shartlari tegishli tarzda notarial tasdiqlangan garov shartnomasi bilan belgilangan."</f>
        <v>3.1.1. Mikromoliya tashkiloti, Qarz oluvchi va SHADMANOVA GULMIRA ZAKIROVNA tomonidan 2025 yil 7 martda imzolangan 1-sonli Garov predmeti qiymatini tasdiqlash dalolatnomasiga muvofiq SAMARQAND VILOYATI TAYLOQ TUMANI CHAROG'BON MFY YANGI TAYLOQ QISHLOG'I 6 TURAR JOY 12 QAVAT 58 XONADON manzilida joylashgan, yer uchastkasi maydoni - , umumiy maydoni - 72.13 kv.m., yashah maydoni - 37.39 kv.m bo'lgan, 3 - xonali yakka tartibdagi uy-joy ko'rinishidagi ko'chmas mulk (bundan keyin “Garov predmeti”), egalik huquqiga ko'ra  SHOUSMANOVA DAVLATXON XXXga tegishli va kelishilgan garov qiymati 2025 yil 7 martda imzolangan 1-sonli Garov predmeti qiymatini tasdiqlash dalolatnomasiga muvofiq 30 000 000,00 (o'ttiz million so'm) so'mni tashkil qiladi. Garovning aniq shartlari tegishli tarzda notarial tasdiqlangan garov shartnomasi bilan belgilangan.</v>
      </c>
      <c r="B27" s="302"/>
    </row>
    <row r="28" spans="1:11" ht="114" hidden="1" customHeight="1">
      <c r="A28" s="309" t="str">
        <f>IF('Общие данные'!B92='Общие данные'!C92,A29,IF('Общие данные'!B92='Общие данные'!D92,A30,0))</f>
        <v>3.1.1. Mikromoliya tashkiloti, Qarz oluvchi va SHADMANOVA GULMIRA ZAKIROVNA tomonidan 2025 yil 7 martda imzolangan 1-sonli garov predmeti qiymatini tasdiqlash dalolatnomasiga muvofiq OQ BELIY rangli, ishlab chiqarilgan yili – 2022 yil,  dvigatel raqami B15D212223022MTAX0763, shassi - -,  kuzov turi - YENGIL SEDAN, kuzov raqami №XWBJA69VEPA011841, davlat raqam belgisi 30S095AB bo'lgan COBALT  rusumli avtomashinasi (bundan keyin “Garov predmeti”), egalik huquqiga ega  SHADMANOVA GULMIRA ZAKIROVNAga tegishli va kelishilgan garov qiymati 2025 yil 7 martda imzolangan 1-sonli Garov predmeti qiymatini tasdiqlash dalolatnomasiga muvifiq 30 000 000,00 (o'ttiz million so'm) so'mni tashkil qiladi. Garov garovining aniq shartlari tegishli notarial rasmiylashtirilgan garov shartnomasi bilan belgilanadi.</v>
      </c>
      <c r="B28" s="309"/>
      <c r="K28" s="10" t="s">
        <v>354</v>
      </c>
    </row>
    <row r="29" spans="1:11" ht="114.75" hidden="1" customHeight="1">
      <c r="A29" s="309" t="str">
        <f>"3.1.1. "&amp;'Общие данные'!N126&amp;" tomonidan "&amp;'Общие данные'!B143&amp;" yil "&amp;'Общие данные'!B145&amp;" "&amp;'Общие данные'!B144&amp;"da imzolangan 1-sonli garov predmeti qiymatini tasdiqlash dalolatnomasiga muvofiq "&amp;'Общие данные'!B134&amp;" rangli, ishlab chiqarilgan yili – "&amp;'Общие данные'!B135&amp;" yil,  dvigatel raqami "&amp;'Общие данные'!B131&amp;", shassi - "&amp;'Общие данные'!B132&amp;",  kuzov turi - "&amp;'Общие данные'!B128&amp;", kuzov raqami №"&amp;'Общие данные'!B129&amp;", davlat raqam belgisi "&amp;'Общие данные'!B126&amp;" bo'lgan "&amp;'Общие данные'!B125&amp;" rusumli avtomashinasi (bundan keyin “Garov predmeti”), egalik huquqiga ega  "&amp;'Общие данные'!B117&amp;"ga tegishli va kelishilgan garov qiymati "&amp;'Общие данные'!B143&amp;" yil "&amp;'Общие данные'!B145&amp;" "&amp;'Общие данные'!B144&amp;"da imzolangan 1-sonli Garov predmeti qiymatini tasdiqlash dalolatnomasiga muvifiq "&amp;FIXED('Общие данные'!B136,2)&amp;" ("&amp;'Общие данные'!B138&amp;") so'mni tashkil qiladi. Garov garovining aniq shartlari tegishli notarial rasmiylashtirilgan garov shartnomasi bilan belgilanadi."</f>
        <v>3.1.1. Mikromoliya tashkiloti, Qarz oluvchi va SHADMANOVA GULMIRA ZAKIROVNA tomonidan 2025 yil 7 martda imzolangan 1-sonli garov predmeti qiymatini tasdiqlash dalolatnomasiga muvofiq OQ BELIY rangli, ishlab chiqarilgan yili – 2022 yil,  dvigatel raqami B15D212223022MTAX0763, shassi - -,  kuzov turi - YENGIL SEDAN, kuzov raqami №XWBJA69VEPA011841, davlat raqam belgisi 30S095AB bo'lgan COBALT  rusumli avtomashinasi (bundan keyin “Garov predmeti”), egalik huquqiga ega  SHADMANOVA GULMIRA ZAKIROVNAga tegishli va kelishilgan garov qiymati 2025 yil 7 martda imzolangan 1-sonli Garov predmeti qiymatini tasdiqlash dalolatnomasiga muvifiq 30 000 000,00 (o'ttiz million so'm) so'mni tashkil qiladi. Garov garovining aniq shartlari tegishli notarial rasmiylashtirilgan garov shartnomasi bilan belgilanadi.</v>
      </c>
      <c r="B29" s="309"/>
    </row>
    <row r="30" spans="1:11" ht="1.5" customHeight="1">
      <c r="A30" s="310" t="str">
        <f>"3.1.1. "&amp;'Общие данные'!N126&amp;" tomonidan "&amp;'Общие данные'!B143&amp;" yil "&amp;'Общие данные'!B145&amp;" "&amp;'Общие данные'!B144&amp;"da imzolangan 1-sonli navbatdagi garov predmeti qiymatini tasdiqlash dalolatnomasiga muvofiq "&amp;'Общие данные'!B134&amp;" rangli, ishlab chiqarilgan yili – "&amp;'Общие данные'!B135&amp;" yil,  dvigatel raqami "&amp;'Общие данные'!B131&amp;", shassi - "&amp;'Общие данные'!B132&amp;",  kuzov turi - "&amp;'Общие данные'!B128&amp;", kuzov raqami №"&amp;'Общие данные'!B129&amp;", davlat raqam belgisi "&amp;'Общие данные'!B126&amp;" bo'lgan "&amp;'Общие данные'!B125&amp;" rusumli avtomashinasi (bundan keyin “navbatdagi garov predmeti”), egalik huquqiga ega  "&amp;'Общие данные'!B117&amp;"ga tegishli va kelishilgan garov qiymati "&amp;'Общие данные'!B143&amp;" yil "&amp;'Общие данные'!B145&amp;" "&amp;'Общие данные'!B144&amp;"da imzolangan 1-sonli Garov predmeti qiymatini tasdiqlash dalolatnomasiga muvifiq "&amp;FIXED('Общие данные'!B136,2)&amp;" ("&amp;'Общие данные'!B138&amp;") so'mni tashkil qiladi. Garov garovining aniq shartlari tegishli notarial rasmiylashtirilgan garov shartnomasi bilan belgilanadi."</f>
        <v>3.1.1. Mikromoliya tashkiloti, Qarz oluvchi va SHADMANOVA GULMIRA ZAKIROVNA tomonidan 2025 yil 7 martda imzolangan 1-sonli navbatdagi garov predmeti qiymatini tasdiqlash dalolatnomasiga muvofiq OQ BELIY rangli, ishlab chiqarilgan yili – 2022 yil,  dvigatel raqami B15D212223022MTAX0763, shassi - -,  kuzov turi - YENGIL SEDAN, kuzov raqami №XWBJA69VEPA011841, davlat raqam belgisi 30S095AB bo'lgan COBALT  rusumli avtomashinasi (bundan keyin “navbatdagi garov predmeti”), egalik huquqiga ega  SHADMANOVA GULMIRA ZAKIROVNAga tegishli va kelishilgan garov qiymati 2025 yil 7 martda imzolangan 1-sonli Garov predmeti qiymatini tasdiqlash dalolatnomasiga muvifiq 30 000 000,00 (o'ttiz million so'm) so'mni tashkil qiladi. Garov garovining aniq shartlari tegishli notarial rasmiylashtirilgan garov shartnomasi bilan belgilanadi.</v>
      </c>
      <c r="B30" s="310"/>
    </row>
    <row r="31" spans="1:11" ht="117" customHeight="1">
      <c r="A31" s="307" t="str">
        <f>CONCATENATE(A32,B32)</f>
        <v>3.2. Qonun hujjatlariga muvofiq rasmiylashtirilgan, “Garov predmeti” hisoblangan notarial tasdiqlangan garov shartnomasi, shu jumladan “Garov predmeti”ga taʼqiq quyilganligi tasdiqlovchi xujjat Qarz oluvchi tomonidan ushbu shartnoma tuzilgandan so‘ng 10 bank kuni mobaynida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c r="B31" s="307"/>
    </row>
    <row r="32" spans="1:11" ht="94.5" hidden="1">
      <c r="A32" s="197" t="s">
        <v>384</v>
      </c>
      <c r="B32" s="36" t="str">
        <f>CONCATENATE(A33,B33)</f>
        <v xml:space="preserve">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row>
    <row r="33" spans="1:8" ht="78.75" hidden="1">
      <c r="A33" s="197" t="str">
        <f>" Mikromoliya tashkilotiga taqdim etilishi lozim. Garov shartnomasi belgilangan muddatda taqdim etilmagan hollarda, Mikromoliya tashkiloti Qarz oluvchining manziliga yozma bildirishnoma yuborish orqali "&amp;'Общие данные'!B65&amp;""</f>
        <v xml:space="preserve"> Mikromoliya tashkilotiga taqdim etilishi lozim. Garov shartnomasi belgilangan muddatda taqdim etilmagan hollarda, Mikromoliya tashkiloti Qarz oluvchining manziliga yozma bildirishnoma yuborish orqali mikroqarz</v>
      </c>
      <c r="B33" s="36" t="s">
        <v>364</v>
      </c>
    </row>
    <row r="34" spans="1:8" ht="85.5" customHeight="1">
      <c r="A34" s="307" t="s">
        <v>288</v>
      </c>
      <c r="B34" s="307"/>
    </row>
    <row r="35" spans="1:8" ht="84" customHeight="1">
      <c r="A35" s="307" t="s">
        <v>342</v>
      </c>
      <c r="B35" s="307"/>
    </row>
    <row r="37" spans="1:8">
      <c r="A37" s="304" t="s">
        <v>341</v>
      </c>
      <c r="B37" s="304"/>
      <c r="C37" s="93"/>
    </row>
    <row r="38" spans="1:8">
      <c r="A38" s="308" t="s">
        <v>340</v>
      </c>
      <c r="B38" s="308"/>
    </row>
    <row r="39" spans="1:8" ht="119.25" customHeight="1">
      <c r="A39" s="307" t="str">
        <f>CONCATENATE(C39,H39)</f>
        <v>4.1.1. Ushbu Shartnomada ko‘rsatilgan asoslar bo‘yicha Qarz oluvchiga Shartnomada ko‘zda tutilgan mikroqarz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 Ushbu bandda belgilangan harakatlarni amalga oshirish uchun bo‘lgan barcha xarajatlar Qarz oluvchi xisobidan qoplanadi.</v>
      </c>
      <c r="B39" s="307"/>
      <c r="C39" s="10" t="str">
        <f>"4.1.1. Ushbu Shartnomada ko‘rsatilgan asoslar bo‘yicha Qarz oluvchiga Shartnomada ko‘zda tutilgan "&amp;'Общие данные'!B65&amp;""</f>
        <v>4.1.1. Ushbu Shartnomada ko‘rsatilgan asoslar bo‘yicha Qarz oluvchiga Shartnomada ko‘zda tutilgan mikroqarz</v>
      </c>
      <c r="H39" s="191" t="s">
        <v>412</v>
      </c>
    </row>
    <row r="40" spans="1:8" ht="39" customHeight="1">
      <c r="A40" s="307" t="str">
        <f>"4.1.2.1. "&amp;'Общие данные'!C64&amp;" bo‘yicha qolgan barcha qarzdorlik, foiz to‘lovlarining muddatidan oldin qaytarilishini talab qilish, shuningdek, quyidagi holatlardan biri yuzaga kelganda undirishni garov ta'minotiga qaratish:"</f>
        <v>4.1.2.1. Mikroqarz bo‘yicha qolgan barcha qarzdorlik, foiz to‘lovlarining muddatidan oldin qaytarilishini talab qilish, shuningdek, quyidagi holatlardan biri yuzaga kelganda undirishni garov ta'minotiga qaratish:</v>
      </c>
      <c r="B40" s="307"/>
    </row>
    <row r="41" spans="1:8">
      <c r="A41" s="307" t="s">
        <v>343</v>
      </c>
      <c r="B41" s="307"/>
    </row>
    <row r="42" spans="1:8" ht="20.25" customHeight="1">
      <c r="A42" s="307" t="str">
        <f>"b) "&amp;'Общие данные'!B65&amp;" summasiga hisoblanadigan asosiy qarz bo‘yicha muddati o‘tgan qarzdorlik va/yoki foizlarning yuzaga kelishi;"</f>
        <v>b) mikroqarz summasiga hisoblanadigan asosiy qarz bo‘yicha muddati o‘tgan qarzdorlik va/yoki foizlarning yuzaga kelishi;</v>
      </c>
      <c r="B42" s="307"/>
    </row>
    <row r="43" spans="1:8" ht="37.5" customHeight="1">
      <c r="A43" s="307" t="s">
        <v>344</v>
      </c>
      <c r="B43" s="307"/>
    </row>
    <row r="44" spans="1:8" ht="52.5" customHeight="1">
      <c r="A44" s="307" t="s">
        <v>345</v>
      </c>
      <c r="B44" s="307"/>
    </row>
    <row r="45" spans="1:8" ht="19.5" customHeight="1">
      <c r="A45" s="307" t="s">
        <v>346</v>
      </c>
      <c r="B45" s="307"/>
    </row>
    <row r="46" spans="1:8" ht="51.75" customHeight="1">
      <c r="A46" s="307" t="str">
        <f>"f) Qarz oluvchi "&amp;'Общие данные'!B65&amp;" summasini olish uchun Mikromoliya tashkilotiga "&amp;'Общие данные'!B65&amp;" taqdim etilishi to‘g‘risida ijobiy qaror qabul qilinishi uchun muhim hisoblangan masalalar bo‘yicha yolg‘on yoki to‘liq bo‘lmagan ma'lumotlarni taqdim etganligi aniqlanganda."</f>
        <v>f) Qarz oluvchi mikroqarz summasini olish uchun Mikromoliya tashkilotiga mikroqarz taqdim etilishi to‘g‘risida ijobiy qaror qabul qilinishi uchun muhim hisoblangan masalalar bo‘yicha yolg‘on yoki to‘liq bo‘lmagan ma'lumotlarni taqdim etganligi aniqlanganda.</v>
      </c>
      <c r="B46" s="307"/>
    </row>
    <row r="47" spans="1:8" ht="33.75" customHeight="1">
      <c r="A47" s="307" t="s">
        <v>339</v>
      </c>
      <c r="B47" s="307"/>
    </row>
    <row r="48" spans="1:8" ht="36.75" customHeight="1">
      <c r="A48" s="307" t="s">
        <v>338</v>
      </c>
      <c r="B48" s="307"/>
      <c r="C48" s="197"/>
    </row>
    <row r="49" spans="1:8" ht="100.5" customHeight="1">
      <c r="A49" s="302" t="s">
        <v>337</v>
      </c>
      <c r="B49" s="302"/>
      <c r="C49" s="197"/>
    </row>
    <row r="50" spans="1:8" ht="70.5" customHeight="1">
      <c r="A50" s="302" t="s">
        <v>336</v>
      </c>
      <c r="B50" s="302"/>
      <c r="C50" s="197"/>
    </row>
    <row r="51" spans="1:8" ht="39.75" customHeight="1">
      <c r="A51" s="302" t="str">
        <f>"4.1.7. Qarz oluvchini oldindan ogohlantirmasdan "&amp;'Общие данные'!B65&amp;"ni qaytarish uchun haqiqatdan ham garov ta'minoti mavjudligini tekshirishni amalga oshirish."</f>
        <v>4.1.7. Qarz oluvchini oldindan ogohlantirmasdan mikroqarzni qaytarish uchun haqiqatdan ham garov ta'minoti mavjudligini tekshirishni amalga oshirish.</v>
      </c>
      <c r="B51" s="302"/>
      <c r="C51" s="197"/>
    </row>
    <row r="52" spans="1:8" ht="33" customHeight="1">
      <c r="A52" s="302" t="s">
        <v>347</v>
      </c>
      <c r="B52" s="302"/>
      <c r="C52" s="197"/>
    </row>
    <row r="53" spans="1:8" ht="39.75" customHeight="1">
      <c r="A53" s="302" t="s">
        <v>335</v>
      </c>
      <c r="B53" s="302"/>
      <c r="C53" s="197"/>
    </row>
    <row r="54" spans="1:8" ht="50.25" customHeight="1">
      <c r="A54" s="302" t="str">
        <f>CONCATENATE(C54,H54)</f>
        <v>4.1.10. Qarz oluvchi taqdim etilgan mikroqarzdan Shartnoma tuzilgan kundan boshlab 1 (bir) oy davomida foydalanmagan holatlarda, bu haqda Qarz oluvchini yozma ravishda xabardor qilib, Shartnoma bir tomonlama bekor qilish. Yozma xabarni jo‘natish sanasi uni taqdim etish yoki pochta orqali jo‘natish sanasi hisoblanadi.</v>
      </c>
      <c r="B54" s="302"/>
      <c r="C54" s="197" t="str">
        <f>"4.1.10. Qarz oluvchi taqdim etilgan "&amp;'Общие данные'!B65&amp;"dan Shartnoma tuzilgan kundan boshlab 1 (bir) oy davomida foydalanmagan"</f>
        <v>4.1.10. Qarz oluvchi taqdim etilgan mikroqarzdan Shartnoma tuzilgan kundan boshlab 1 (bir) oy davomida foydalanmagan</v>
      </c>
      <c r="H54" s="10" t="s">
        <v>365</v>
      </c>
    </row>
    <row r="55" spans="1:8" ht="19.5" customHeight="1">
      <c r="A55" s="302" t="str">
        <f>"4.1.11. Oldingi "&amp;'Общие данные'!B65&amp;" to‘liq to‘lanmagunga qadar yangi "&amp;'Общие данные'!B65&amp;" berishni rad etish."</f>
        <v>4.1.11. Oldingi mikroqarz to‘liq to‘lanmagunga qadar yangi mikroqarz berishni rad etish.</v>
      </c>
      <c r="B55" s="302"/>
      <c r="C55" s="197"/>
    </row>
    <row r="57" spans="1:8">
      <c r="A57" s="303" t="s">
        <v>334</v>
      </c>
      <c r="B57" s="303"/>
      <c r="C57" s="196"/>
    </row>
    <row r="58" spans="1:8">
      <c r="A58" s="306" t="s">
        <v>333</v>
      </c>
      <c r="B58" s="306"/>
      <c r="C58" s="198"/>
    </row>
    <row r="59" spans="1:8" ht="36" customHeight="1">
      <c r="A59" s="302" t="str">
        <f>"5.1.1. Ushbu shartnomada nazarda tutilgan shartlar bo‘yicha "&amp;'Общие данные'!B65&amp;" olish, shuningdek, Mikromoliya tashkiloti tomonidan ko‘rsatiladigan pullik xizmatlardan foydalanish."</f>
        <v>5.1.1. Ushbu shartnomada nazarda tutilgan shartlar bo‘yicha mikroqarz olish, shuningdek, Mikromoliya tashkiloti tomonidan ko‘rsatiladigan pullik xizmatlardan foydalanish.</v>
      </c>
      <c r="B59" s="302"/>
      <c r="C59" s="197"/>
    </row>
    <row r="60" spans="1:8" ht="36.75" customHeight="1">
      <c r="A60" s="302" t="str">
        <f>"5.1.2. Shartnoma tuzilgan kundan boshlab 2 (ikki) hafta mobaynida Mikromoliya tashkilotiga bu haqda yozma xabarnoma yo‘llash orqali "&amp;'Общие данные'!B65&amp;"ning foydalanilmagan summasidan voz kechish."</f>
        <v>5.1.2. Shartnoma tuzilgan kundan boshlab 2 (ikki) hafta mobaynida Mikromoliya tashkilotiga bu haqda yozma xabarnoma yo‘llash orqali mikroqarzning foydalanilmagan summasidan voz kechish.</v>
      </c>
      <c r="B60" s="302"/>
      <c r="C60" s="197"/>
    </row>
    <row r="61" spans="1:8" ht="17.25" customHeight="1">
      <c r="A61" s="302" t="str">
        <f>"5.1.3. "&amp;'Общие данные'!C64&amp;" xizmatlari ko‘rsatish qoidalari bilan tanishish."</f>
        <v>5.1.3. Mikroqarz xizmatlari ko‘rsatish qoidalari bilan tanishish.</v>
      </c>
      <c r="B61" s="302"/>
      <c r="C61" s="197"/>
    </row>
    <row r="62" spans="1:8" ht="36" customHeight="1">
      <c r="A62" s="302" t="str">
        <f>"5.1.4. O‘z huquq va majburiyatlari, shu jumladan "&amp;'Общие данные'!B65&amp;" xizmatlari ko‘rsatish bilan bog‘liq barcha xarajatlar haqida aniq va to‘liq ma'lumot olish."</f>
        <v>5.1.4. O‘z huquq va majburiyatlari, shu jumladan mikroqarz xizmatlari ko‘rsatish bilan bog‘liq barcha xarajatlar haqida aniq va to‘liq ma'lumot olish.</v>
      </c>
      <c r="B62" s="302"/>
      <c r="C62" s="197"/>
    </row>
    <row r="63" spans="1:8" ht="33.75" customHeight="1">
      <c r="A63" s="302" t="s">
        <v>348</v>
      </c>
      <c r="B63" s="302"/>
      <c r="C63" s="197"/>
    </row>
    <row r="64" spans="1:8">
      <c r="A64" s="306" t="s">
        <v>332</v>
      </c>
      <c r="B64" s="306"/>
      <c r="C64" s="198"/>
    </row>
    <row r="65" spans="1:8" ht="37.5" customHeight="1">
      <c r="A65" s="302" t="str">
        <f>"5.2.1. Mikromoliya tashkilotining birinchi talabi bilan zarur hujjatlar, shuningdek "&amp;'Общие данные'!B65&amp;"dan foydalanishning butun davri davomida uning moliyaviy holati va to‘lash qobiliyatiga tegishli bo‘lgan ma'lumotlarni taqdim etish."</f>
        <v>5.2.1. Mikromoliya tashkilotining birinchi talabi bilan zarur hujjatlar, shuningdek mikroqarzdan foydalanishning butun davri davomida uning moliyaviy holati va to‘lash qobiliyatiga tegishli bo‘lgan ma'lumotlarni taqdim etish.</v>
      </c>
      <c r="B65" s="302"/>
      <c r="C65" s="197"/>
    </row>
    <row r="66" spans="1:8" ht="39.75" customHeight="1">
      <c r="A66" s="302" t="s">
        <v>349</v>
      </c>
      <c r="B66" s="302"/>
      <c r="C66" s="197"/>
    </row>
    <row r="67" spans="1:8" ht="27" customHeight="1">
      <c r="A67" s="302" t="str">
        <f>"5.2.3. To‘lov jadvaliga muvofiq "&amp;'Общие данные'!B65&amp;", shuningdek hisoblangan foizlar to‘lovlarini amalga oshirish."</f>
        <v>5.2.3. To‘lov jadvaliga muvofiq mikroqarz, shuningdek hisoblangan foizlar to‘lovlarini amalga oshirish.</v>
      </c>
      <c r="B67" s="302"/>
      <c r="C67" s="197"/>
    </row>
    <row r="68" spans="1:8" ht="84" customHeight="1">
      <c r="A68" s="302" t="str">
        <f>CONCATENATE(C68,H68)</f>
        <v>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 mikroqarz mablag‘lari hisobiga moliyalashtirilgan hujjatlarni ko‘zdan kechirish va Mikromoliya tashkiloti tomonidan ushbu huquqni amalga oshirishga to‘sqinlik qilmaslik majburiyatini oladi.</v>
      </c>
      <c r="B68" s="302"/>
      <c r="C68" s="197" t="s">
        <v>366</v>
      </c>
      <c r="H68" s="10" t="str">
        <f>" "&amp;'Общие данные'!B65&amp;" mablag‘lari hisobiga moliyalashtirilgan hujjatlarni ko‘zdan kechirish va Mikromoliya tashkiloti tomonidan ushbu huquqni amalga oshirishga to‘sqinlik qilmaslik majburiyatini oladi."</f>
        <v xml:space="preserve"> mikroqarz mablag‘lari hisobiga moliyalashtirilgan hujjatlarni ko‘zdan kechirish va Mikromoliya tashkiloti tomonidan ushbu huquqni amalga oshirishga to‘sqinlik qilmaslik majburiyatini oladi.</v>
      </c>
    </row>
    <row r="69" spans="1:8" ht="49.5" customHeight="1">
      <c r="A69" s="302" t="s">
        <v>350</v>
      </c>
      <c r="B69" s="302"/>
      <c r="C69" s="197"/>
    </row>
    <row r="70" spans="1:8" ht="36" customHeight="1">
      <c r="A70" s="302" t="str">
        <f>"5.2.6. Quyidagi holatlarda Mikromoliya tashkilotning birinchi talabi bilan "&amp;'Общие данные'!B65&amp;" qaytarilishi bo‘yicha qo‘shimcha garov ta'minotini taqdim etish: "</f>
        <v xml:space="preserve">5.2.6. Quyidagi holatlarda Mikromoliya tashkilotning birinchi talabi bilan mikroqarz qaytarilishi bo‘yicha qo‘shimcha garov ta'minotini taqdim etish: </v>
      </c>
      <c r="B70" s="302"/>
      <c r="C70" s="197"/>
    </row>
    <row r="71" spans="1:8" ht="51.75" customHeight="1">
      <c r="A71" s="305" t="s">
        <v>367</v>
      </c>
      <c r="B71" s="305"/>
      <c r="C71" s="200"/>
    </row>
    <row r="72" spans="1:8" ht="71.25" customHeight="1">
      <c r="A72" s="302" t="str">
        <f>"5.2.7. Sud qarori asosida Qarz oluvchi – jismoniy shaxsning muomalaga layoqatsizligi yoki muomalaga layoqati cheklangan yoxud to‘lash qobiliyatiga ega emasligi (bankrotligi) tan olinganda, uning vasiysi yoki homiysi "&amp;'Общие данные'!B65&amp;"ning asosiy summa bo‘yicha qarzdorlikni "&amp;'Общие данные'!B65&amp;"dan aniq foydalanish muddati uchun foizlar bilan kechiktirmasdan to‘liq to‘lashi shart."</f>
        <v>5.2.7. Sud qarori asosida Qarz oluvchi – jismoniy shaxsning muomalaga layoqatsizligi yoki muomalaga layoqati cheklangan yoxud to‘lash qobiliyatiga ega emasligi (bankrotligi) tan olinganda, uning vasiysi yoki homiysi mikroqarzning asosiy summa bo‘yicha qarzdorlikni mikroqarzdan aniq foydalanish muddati uchun foizlar bilan kechiktirmasdan to‘liq to‘lashi shart.</v>
      </c>
      <c r="B72" s="302"/>
      <c r="C72" s="197"/>
    </row>
    <row r="73" spans="1:8" ht="33.75" customHeight="1">
      <c r="A73" s="302" t="str">
        <f>"5.2.8. Mikromoliya tashkilotining "&amp;'Общие данные'!B65&amp;" umumiy summasi va hisoblangan foizlarni muddatidan oldin qaytarish to‘g‘risidagi talabini kechiktirmasdan bajarish."</f>
        <v>5.2.8. Mikromoliya tashkilotining mikroqarz umumiy summasi va hisoblangan foizlarni muddatidan oldin qaytarish to‘g‘risidagi talabini kechiktirmasdan bajarish.</v>
      </c>
      <c r="B73" s="302"/>
      <c r="C73" s="197"/>
      <c r="H73" s="10" t="s">
        <v>363</v>
      </c>
    </row>
    <row r="74" spans="1:8" ht="68.25" customHeight="1">
      <c r="A74" s="302" t="str">
        <f>CONCATENATE(C74,H74)</f>
        <v>5.2.9. Mikromoliya tashkilotining talabi bo‘yicha Mikromoliya tashkiloti ko‘rgan, shu jumladan mikroqarz bo‘yicha (asosiy qarz, foizlar va boshqalar) qarzdorlikni majburiy va/yoki muddatidan oldin qaytarish bo‘yicha qabul qilingan choralar bilan bog‘liq bo‘lgan barcha xarajatlari va zararlarni qoplash, shuningdek ushbu shartnoma doirasida unidruvni taqdim etilgan garov ta'minotiga qaratish.</v>
      </c>
      <c r="B74" s="302"/>
      <c r="C74" s="197" t="str">
        <f>"5.2.9. Mikromoliya tashkilotining talabi bo‘yicha Mikromoliya tashkiloti ko‘rgan, shu jumladan "&amp;'Общие данные'!B65&amp;" bo‘yicha (asosiy qarz, foizlar va boshqalar)"</f>
        <v>5.2.9. Mikromoliya tashkilotining talabi bo‘yicha Mikromoliya tashkiloti ko‘rgan, shu jumladan mikroqarz bo‘yicha (asosiy qarz, foizlar va boshqalar)</v>
      </c>
      <c r="H74" s="10" t="s">
        <v>368</v>
      </c>
    </row>
    <row r="75" spans="1:8">
      <c r="A75" s="89"/>
    </row>
    <row r="76" spans="1:8">
      <c r="A76" s="304" t="s">
        <v>331</v>
      </c>
      <c r="B76" s="304"/>
      <c r="C76" s="199"/>
    </row>
    <row r="77" spans="1:8" ht="98.25" customHeight="1">
      <c r="A77" s="302" t="str">
        <f>CONCATENATE(C77,H77)</f>
        <v>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mikroqarz miqdori umumiy summasining 50% dan ko‘p bo‘lmagan miqdorda penya ko‘rinishidagi neustoyka to‘lash majburiyatini o‘z zimmasiga oladi.</v>
      </c>
      <c r="B77" s="302"/>
      <c r="C77" s="197" t="s">
        <v>369</v>
      </c>
      <c r="H77" s="10" t="str">
        <f>""&amp;'Общие данные'!B65&amp;" miqdori umumiy summasining 50% dan ko‘p bo‘lmagan miqdorda penya ko‘rinishidagi neustoyka to‘lash majburiyatini o‘z zimmasiga oladi."</f>
        <v>mikroqarz miqdori umumiy summasining 50% dan ko‘p bo‘lmagan miqdorda penya ko‘rinishidagi neustoyka to‘lash majburiyatini o‘z zimmasiga oladi.</v>
      </c>
    </row>
    <row r="78" spans="1:8" ht="37.5" customHeight="1">
      <c r="A78" s="302" t="s">
        <v>330</v>
      </c>
      <c r="B78" s="302"/>
      <c r="C78" s="197"/>
    </row>
    <row r="79" spans="1:8" ht="35.25" customHeight="1">
      <c r="A79" s="302" t="s">
        <v>329</v>
      </c>
      <c r="B79" s="302"/>
      <c r="C79" s="197"/>
    </row>
    <row r="80" spans="1:8" ht="33" customHeight="1">
      <c r="A80" s="302" t="s">
        <v>328</v>
      </c>
      <c r="B80" s="302"/>
      <c r="C80" s="197"/>
    </row>
    <row r="82" spans="1:3">
      <c r="A82" s="295" t="s">
        <v>327</v>
      </c>
      <c r="B82" s="295"/>
      <c r="C82" s="81"/>
    </row>
    <row r="83" spans="1:3" ht="162.75" customHeight="1">
      <c r="A83" s="302" t="s">
        <v>326</v>
      </c>
      <c r="B83" s="302"/>
      <c r="C83" s="197"/>
    </row>
    <row r="84" spans="1:3" ht="33.75" customHeight="1">
      <c r="A84" s="302" t="s">
        <v>370</v>
      </c>
      <c r="B84" s="302"/>
      <c r="C84" s="197"/>
    </row>
    <row r="85" spans="1:3" ht="51.75" customHeight="1">
      <c r="A85" s="302" t="s">
        <v>325</v>
      </c>
      <c r="B85" s="302"/>
      <c r="C85" s="197"/>
    </row>
    <row r="86" spans="1:3" ht="36" customHeight="1">
      <c r="A86" s="302" t="s">
        <v>324</v>
      </c>
      <c r="B86" s="302"/>
      <c r="C86" s="197"/>
    </row>
    <row r="88" spans="1:3">
      <c r="A88" s="295" t="s">
        <v>323</v>
      </c>
      <c r="B88" s="295"/>
      <c r="C88" s="81"/>
    </row>
    <row r="89" spans="1:3" ht="114.75" customHeight="1">
      <c r="A89" s="302" t="s">
        <v>385</v>
      </c>
      <c r="B89" s="302"/>
      <c r="C89" s="197"/>
    </row>
    <row r="90" spans="1:3" ht="36" customHeight="1">
      <c r="A90" s="302" t="s">
        <v>351</v>
      </c>
      <c r="B90" s="302"/>
      <c r="C90" s="197"/>
    </row>
    <row r="91" spans="1:3" ht="64.5" customHeight="1">
      <c r="A91" s="302" t="str">
        <f>"8.2. Mikromoliya tashkiloti sud organlariga murojaat qilganidan keyin Qarz oluvchi tomonidan "&amp;'Общие данные'!B65&amp;" bo‘yicha muddati o‘tgan qarzdorlikning to‘lanishi Mikromoliya tashkilotning "&amp;'Общие данные'!B65&amp;" bo‘yicha qarzdorlikni muddatidan avval undirish, shu jumladan undiruvni garovdagi mol-mulkka qaratish yo‘li bilan undirish huquqidan mahrum qilmaydi."</f>
        <v>8.2. Mikromoliya tashkiloti sud organlariga murojaat qilganidan keyin Qarz oluvchi tomonidan mikroqarz bo‘yicha muddati o‘tgan qarzdorlikning to‘lanishi Mikromoliya tashkilotning mikroqarz bo‘yicha qarzdorlikni muddatidan avval undirish, shu jumladan undiruvni garovdagi mol-mulkka qaratish yo‘li bilan undirish huquqidan mahrum qilmaydi.</v>
      </c>
      <c r="B91" s="302"/>
      <c r="C91" s="197"/>
    </row>
    <row r="93" spans="1:3">
      <c r="A93" s="301" t="s">
        <v>322</v>
      </c>
      <c r="B93" s="301"/>
      <c r="C93" s="91"/>
    </row>
    <row r="94" spans="1:3" ht="20.25" customHeight="1">
      <c r="A94" s="302" t="s">
        <v>321</v>
      </c>
      <c r="B94" s="302"/>
      <c r="C94" s="197"/>
    </row>
    <row r="95" spans="1:3" ht="33.75" customHeight="1">
      <c r="A95" s="302" t="str">
        <f>"9.2. Shartnomaning amal qilish muddati Qarz oluvchi "&amp;'Общие данные'!B65&amp;"ni to‘liq qaytargan, hisoblangan foizlar, penya va boshqa pul majburiyatlarini to‘lagan kunda yakunlanadi."</f>
        <v>9.2. Shartnomaning amal qilish muddati Qarz oluvchi mikroqarzni to‘liq qaytargan, hisoblangan foizlar, penya va boshqa pul majburiyatlarini to‘lagan kunda yakunlanadi.</v>
      </c>
      <c r="B95" s="302"/>
      <c r="C95" s="197"/>
    </row>
    <row r="96" spans="1:3" ht="51" customHeight="1">
      <c r="A96" s="302" t="s">
        <v>320</v>
      </c>
      <c r="B96" s="302"/>
      <c r="C96" s="197"/>
    </row>
    <row r="98" spans="1:3">
      <c r="A98" s="303" t="s">
        <v>319</v>
      </c>
      <c r="B98" s="303"/>
      <c r="C98" s="80"/>
    </row>
    <row r="99" spans="1:3" ht="82.5" customHeight="1">
      <c r="A99" s="302" t="s">
        <v>318</v>
      </c>
      <c r="B99" s="302"/>
      <c r="C99" s="197"/>
    </row>
    <row r="100" spans="1:3" ht="66" customHeight="1">
      <c r="A100" s="302" t="s">
        <v>317</v>
      </c>
      <c r="B100" s="302"/>
      <c r="C100" s="197"/>
    </row>
    <row r="101" spans="1:3" ht="48" customHeight="1">
      <c r="A101" s="302" t="s">
        <v>316</v>
      </c>
      <c r="B101" s="302"/>
      <c r="C101" s="197"/>
    </row>
    <row r="103" spans="1:3">
      <c r="A103" s="295" t="s">
        <v>315</v>
      </c>
      <c r="B103" s="295"/>
      <c r="C103" s="175"/>
    </row>
    <row r="104" spans="1:3" ht="37.5" customHeight="1">
      <c r="A104" s="302" t="s">
        <v>314</v>
      </c>
      <c r="B104" s="302"/>
      <c r="C104" s="197"/>
    </row>
    <row r="105" spans="1:3" ht="34.5" customHeight="1">
      <c r="A105" s="302" t="s">
        <v>313</v>
      </c>
      <c r="B105" s="302"/>
      <c r="C105" s="197"/>
    </row>
    <row r="106" spans="1:3" ht="66.75" customHeight="1">
      <c r="A106" s="302" t="s">
        <v>312</v>
      </c>
      <c r="B106" s="302"/>
      <c r="C106" s="197"/>
    </row>
    <row r="107" spans="1:3" ht="51" customHeight="1">
      <c r="A107" s="302" t="s">
        <v>311</v>
      </c>
      <c r="B107" s="302"/>
      <c r="C107" s="197"/>
    </row>
    <row r="108" spans="1:3" ht="37.5" customHeight="1">
      <c r="A108" s="302" t="s">
        <v>310</v>
      </c>
      <c r="B108" s="302"/>
      <c r="C108" s="197"/>
    </row>
    <row r="109" spans="1:3" ht="38.25" customHeight="1">
      <c r="A109" s="302" t="s">
        <v>309</v>
      </c>
      <c r="B109" s="302"/>
      <c r="C109" s="197"/>
    </row>
    <row r="110" spans="1:3" ht="21" customHeight="1">
      <c r="A110" s="302" t="s">
        <v>308</v>
      </c>
      <c r="B110" s="302"/>
      <c r="C110" s="197"/>
    </row>
    <row r="111" spans="1:3" ht="32.25" customHeight="1">
      <c r="A111" s="302"/>
      <c r="B111" s="302"/>
      <c r="C111" s="197"/>
    </row>
    <row r="113" spans="1:3">
      <c r="A113" s="301" t="s">
        <v>352</v>
      </c>
      <c r="B113" s="301"/>
      <c r="C113" s="91"/>
    </row>
    <row r="115" spans="1:3">
      <c r="A115" s="92" t="s">
        <v>307</v>
      </c>
      <c r="B115" s="92" t="s">
        <v>306</v>
      </c>
    </row>
    <row r="117" spans="1:3" ht="31.5">
      <c r="A117" s="91" t="str">
        <f>'Общие данные'!B148</f>
        <v>«CLEVER MIKROMOLIYA TASHKILOTI» MChJ</v>
      </c>
      <c r="B117" s="83" t="str">
        <f>'Общие данные'!B5</f>
        <v>SALIYEV DALER ALIMDJONOVICH</v>
      </c>
    </row>
    <row r="119" spans="1:3" ht="39.75" customHeight="1">
      <c r="A119" s="88" t="str">
        <f>"Manzil: "&amp;'Общие данные'!B153&amp;""</f>
        <v>Manzil: Toshkent shahri, Olmazor tumani, Sagbon ko'chasi, 30 boshi berk, 6-uy</v>
      </c>
      <c r="B119" s="88" t="str">
        <f>"Manzil: "&amp;'Общие данные'!B28&amp;""</f>
        <v>Manzil: SAMARQAND VILOYATI SAMARQAND SHAHAR SO'ZANGARON MAHALLASI IBROXIMXO'JA KO'CHASI 97 A UY</v>
      </c>
    </row>
    <row r="120" spans="1:3" ht="19.5" customHeight="1">
      <c r="A120" s="90" t="str">
        <f>"h/r: "&amp;'Общие данные'!B154&amp;""</f>
        <v>h/r: №20216000705068380001</v>
      </c>
    </row>
    <row r="121" spans="1:3" ht="48.75" customHeight="1">
      <c r="A121" s="88" t="str">
        <f>"MFO: "&amp;'Общие данные'!B155&amp;" в "&amp;'Общие данные'!B156&amp;""</f>
        <v>MFO: №01042 в ATB “Kapitalbank” Sergeli filiali</v>
      </c>
      <c r="B121" s="88" t="str">
        <f>"pasport seriyasi: "&amp;'Общие данные'!B16&amp;", "&amp;'Общие данные'!B20&amp;""</f>
        <v>pasport seriyasi: AD 6879613, IIV 18810  tomonidan 18.04.2024 yilda berilgan</v>
      </c>
    </row>
    <row r="122" spans="1:3">
      <c r="A122" s="88" t="str">
        <f>"STIR: "&amp;'Общие данные'!B157&amp;""</f>
        <v>STIR: 306365847</v>
      </c>
      <c r="B122" s="82" t="str">
        <f>"Tel: "&amp;'Общие данные'!B40&amp;""</f>
        <v>Tel: 998 91 538-44-58 O'ZI</v>
      </c>
    </row>
    <row r="123" spans="1:3">
      <c r="A123" s="90" t="str">
        <f>"Tel: (78) 113 31 33"</f>
        <v>Tel: (78) 113 31 33</v>
      </c>
      <c r="B123" s="82" t="str">
        <f>'Общие данные'!B41</f>
        <v>998 91 538-12-24 Xo'jayini</v>
      </c>
    </row>
    <row r="124" spans="1:3">
      <c r="A124" s="90" t="s">
        <v>8</v>
      </c>
      <c r="B124" s="82" t="str">
        <f>'Общие данные'!B42</f>
        <v xml:space="preserve">998 33 023-23-80 do'sti Farxod </v>
      </c>
    </row>
    <row r="126" spans="1:3">
      <c r="A126" s="195" t="str">
        <f>'Общие данные'!A150</f>
        <v>Samarqand viloyati Samarqand  filial boshlig'i</v>
      </c>
      <c r="B126" s="81" t="str">
        <f>""&amp;'Общие данные'!B7&amp;"     __________________"</f>
        <v>SALIYEV D.A.     __________________</v>
      </c>
    </row>
    <row r="128" spans="1:3">
      <c r="A128" s="175" t="str">
        <f>""&amp;'Общие данные'!B150&amp;" ________________ "</f>
        <v xml:space="preserve">Asrorov S.S. ________________ </v>
      </c>
      <c r="B128" s="214"/>
    </row>
    <row r="130" spans="1:2">
      <c r="B130" s="10" t="s">
        <v>418</v>
      </c>
    </row>
    <row r="131" spans="1:2" hidden="1">
      <c r="A131" s="10" t="str">
        <f>"менеджер :   "&amp;'Общие данные'!B161&amp;"______________"</f>
        <v>менеджер :   Asrorov S.S.______________</v>
      </c>
    </row>
  </sheetData>
  <mergeCells count="98">
    <mergeCell ref="A3:B3"/>
    <mergeCell ref="A1:B1"/>
    <mergeCell ref="A25:B25"/>
    <mergeCell ref="A26:B26"/>
    <mergeCell ref="A27:B27"/>
    <mergeCell ref="A13:B13"/>
    <mergeCell ref="A12:B12"/>
    <mergeCell ref="A9:B9"/>
    <mergeCell ref="A8:B8"/>
    <mergeCell ref="A5:B5"/>
    <mergeCell ref="A7:B7"/>
    <mergeCell ref="A18:B18"/>
    <mergeCell ref="A17:B17"/>
    <mergeCell ref="A16:B16"/>
    <mergeCell ref="A15:B15"/>
    <mergeCell ref="A14:B14"/>
    <mergeCell ref="A23:B23"/>
    <mergeCell ref="A22:B22"/>
    <mergeCell ref="A21:B21"/>
    <mergeCell ref="A20:B20"/>
    <mergeCell ref="A19:B19"/>
    <mergeCell ref="A35:B35"/>
    <mergeCell ref="A34:B34"/>
    <mergeCell ref="A31:B31"/>
    <mergeCell ref="A24:B24"/>
    <mergeCell ref="A28:B28"/>
    <mergeCell ref="A29:B29"/>
    <mergeCell ref="A30:B30"/>
    <mergeCell ref="A11:B11"/>
    <mergeCell ref="A48:B48"/>
    <mergeCell ref="A49:B49"/>
    <mergeCell ref="A50:B50"/>
    <mergeCell ref="A51:B51"/>
    <mergeCell ref="A47:B47"/>
    <mergeCell ref="A46:B46"/>
    <mergeCell ref="A45:B45"/>
    <mergeCell ref="A44:B44"/>
    <mergeCell ref="A43:B43"/>
    <mergeCell ref="A42:B42"/>
    <mergeCell ref="A41:B41"/>
    <mergeCell ref="A40:B40"/>
    <mergeCell ref="A39:B39"/>
    <mergeCell ref="A38:B38"/>
    <mergeCell ref="A37:B37"/>
    <mergeCell ref="A52:B52"/>
    <mergeCell ref="A53:B53"/>
    <mergeCell ref="A54:B54"/>
    <mergeCell ref="A55:B55"/>
    <mergeCell ref="A57:B57"/>
    <mergeCell ref="A58:B58"/>
    <mergeCell ref="A59:B59"/>
    <mergeCell ref="A60:B60"/>
    <mergeCell ref="A61:B61"/>
    <mergeCell ref="A62:B62"/>
    <mergeCell ref="A63:B63"/>
    <mergeCell ref="A64:B64"/>
    <mergeCell ref="A65:B65"/>
    <mergeCell ref="A66:B66"/>
    <mergeCell ref="A67:B67"/>
    <mergeCell ref="A73:B73"/>
    <mergeCell ref="A74:B74"/>
    <mergeCell ref="A76:B76"/>
    <mergeCell ref="A77:B77"/>
    <mergeCell ref="A68:B68"/>
    <mergeCell ref="A69:B69"/>
    <mergeCell ref="A70:B70"/>
    <mergeCell ref="A71:B71"/>
    <mergeCell ref="A72:B72"/>
    <mergeCell ref="A78:B78"/>
    <mergeCell ref="A79:B79"/>
    <mergeCell ref="A80:B80"/>
    <mergeCell ref="A82:B82"/>
    <mergeCell ref="A83:B83"/>
    <mergeCell ref="A90:B90"/>
    <mergeCell ref="A91:B91"/>
    <mergeCell ref="A93:B93"/>
    <mergeCell ref="A94:B94"/>
    <mergeCell ref="A84:B84"/>
    <mergeCell ref="A85:B85"/>
    <mergeCell ref="A86:B86"/>
    <mergeCell ref="A88:B88"/>
    <mergeCell ref="A89:B89"/>
    <mergeCell ref="A95:B95"/>
    <mergeCell ref="A96:B96"/>
    <mergeCell ref="A98:B98"/>
    <mergeCell ref="A99:B99"/>
    <mergeCell ref="A100:B100"/>
    <mergeCell ref="A101:B101"/>
    <mergeCell ref="A103:B103"/>
    <mergeCell ref="A104:B104"/>
    <mergeCell ref="A105:B105"/>
    <mergeCell ref="A106:B106"/>
    <mergeCell ref="A113:B113"/>
    <mergeCell ref="A107:B107"/>
    <mergeCell ref="A108:B108"/>
    <mergeCell ref="A109:B109"/>
    <mergeCell ref="A110:B110"/>
    <mergeCell ref="A111:B111"/>
  </mergeCells>
  <printOptions horizontalCentered="1"/>
  <pageMargins left="0.70866141732283472" right="0.70866141732283472" top="0.51181102362204722" bottom="0.43307086614173229" header="0.31496062992125984" footer="0.31496062992125984"/>
  <pageSetup paperSize="9" scale="76" orientation="portrait" r:id="rId1"/>
  <rowBreaks count="3" manualBreakCount="3">
    <brk id="46" max="1" man="1"/>
    <brk id="72" max="1" man="1"/>
    <brk id="96" max="1"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Лист8">
    <tabColor rgb="FF00B050"/>
  </sheetPr>
  <dimension ref="A5:B28"/>
  <sheetViews>
    <sheetView view="pageBreakPreview" topLeftCell="A5" zoomScaleNormal="100" zoomScaleSheetLayoutView="100" workbookViewId="0">
      <selection activeCell="A29" sqref="A22:XFD29"/>
    </sheetView>
  </sheetViews>
  <sheetFormatPr defaultColWidth="0" defaultRowHeight="15.75" zeroHeight="1"/>
  <cols>
    <col min="1" max="1" width="33" style="10" customWidth="1"/>
    <col min="2" max="2" width="53.42578125" style="10" customWidth="1"/>
    <col min="3" max="16384" width="9.140625" style="10" hidden="1"/>
  </cols>
  <sheetData>
    <row r="5" spans="1:2"/>
    <row r="6" spans="1:2">
      <c r="B6" s="18" t="str">
        <f>'Общие данные'!B148</f>
        <v>«CLEVER MIKROMOLIYA TASHKILOTI» MChJ</v>
      </c>
    </row>
    <row r="7" spans="1:2" ht="31.5">
      <c r="A7" s="219"/>
      <c r="B7" s="210" t="str">
        <f>""&amp;'Общие данные'!A150&amp;"i "&amp;'Общие данные'!B150&amp;"ga"</f>
        <v>Samarqand viloyati Samarqand  filial boshlig'ii Asrorov S.S.ga</v>
      </c>
    </row>
    <row r="8" spans="1:2">
      <c r="A8" s="192"/>
      <c r="B8" s="210" t="str">
        <f>""&amp;'Общие данные'!B111&amp;"dan"</f>
        <v>SHADMANOVA GULMIRA ZAKIROVNAdan</v>
      </c>
    </row>
    <row r="9" spans="1:2" ht="15.75" hidden="1" customHeight="1">
      <c r="B9" s="11" t="str">
        <f>'Общие данные'!B111</f>
        <v>SHADMANOVA GULMIRA ZAKIROVNA</v>
      </c>
    </row>
    <row r="10" spans="1:2" ht="15.75" hidden="1" customHeight="1">
      <c r="B10" s="11" t="str">
        <f>'Общие данные'!C111</f>
        <v>SHOUSMANOVA DAVLATXON XXX</v>
      </c>
    </row>
    <row r="11" spans="1:2" ht="15.75" hidden="1" customHeight="1">
      <c r="B11" s="192" t="s">
        <v>298</v>
      </c>
    </row>
    <row r="12" spans="1:2"/>
    <row r="13" spans="1:2" ht="115.5" customHeight="1">
      <c r="A13" s="294" t="str">
        <f>IF('Общие данные'!B103="Avtotransport",A14,A15)</f>
        <v>SALIYEV DALER ALIMDJONOVICH tomonidan so’ralayotgan 24 (yigirma to'rt) oy muddatga, 20 000 000 (yigirma million so'm) miqdoridagi mikroqarzning ta’minoti sifatida menga mulk huquqi asosida tegishli bo’lgan  COBALT , kuzov turi - YENGIL SEDAN, kuzov raqami XWBJA69VEPA011841, dvigatel raqami B15D212223022MTAX0763, shassi raqami - -, rangi -  OQ BELIY, ishlab chiqarilgan yili - 2022, avtotransport vositasini qabul qilishingizni so’rayman:</v>
      </c>
      <c r="B13" s="294"/>
    </row>
    <row r="14" spans="1:2" ht="124.5" hidden="1" customHeight="1">
      <c r="A14" s="294" t="str">
        <f>""&amp;'Общие данные'!B12&amp;" tomonidan so’ralayotgan "&amp;'Общие данные'!B81&amp;" ("&amp;'Общие данные'!B82&amp;") oy muddatga, "&amp;FIXED('Общие данные'!B75,0)&amp;" ("&amp;'Общие данные'!B76&amp;") miqdoridagi "&amp;'Общие данные'!B65&amp;"ning ta’minoti sifatida menga mulk huquqi asosida tegishli bo’lgan  "&amp;'Общие данные'!B125&amp;", "&amp;'Общие данные'!B127&amp;", "&amp;'Общие данные'!B130&amp;", "&amp;'Общие данные'!B133&amp;", avtotransport vositasini qabul qilishingizni so’rayman:"</f>
        <v>SALIYEV DALER ALIMDJONOVICH tomonidan so’ralayotgan 24 (yigirma to'rt) oy muddatga, 20 000 000 (yigirma million so'm) miqdoridagi mikroqarzning ta’minoti sifatida menga mulk huquqi asosida tegishli bo’lgan  COBALT , kuzov turi - YENGIL SEDAN, kuzov raqami XWBJA69VEPA011841, dvigatel raqami B15D212223022MTAX0763, shassi raqami - -, rangi -  OQ BELIY, ishlab chiqarilgan yili - 2022, avtotransport vositasini qabul qilishingizni so’rayman:</v>
      </c>
      <c r="B14" s="294"/>
    </row>
    <row r="15" spans="1:2" ht="116.25" hidden="1" customHeight="1">
      <c r="A15" s="294" t="str">
        <f>""&amp;'Общие данные'!B12&amp;" tomonidan so’ralayotgan "&amp;'Общие данные'!B81&amp;" ("&amp;'Общие данные'!B82&amp;") oy muddatga, "&amp;FIXED('Общие данные'!B75,0)&amp;" ("&amp;'Общие данные'!B76&amp;") miqdoridagi "&amp;'Общие данные'!B65&amp;"ning ta’minoti sifatida menga mulk huquqi asosida tegishli bo’lgan  "&amp;'Общие данные'!C126&amp;", umumiy maydoni "&amp;'Общие данные'!C130&amp;" va yashash maydoni "&amp;'Общие данные'!C133&amp;"  "&amp;'Общие данные'!C123&amp;" manzilda joylashgan ko'chmas mulkni qabul qilishingizni so’rayman:"</f>
        <v>SALIYEV DALER ALIMDJONOVICH tomonidan so’ralayotgan 24 (yigirma to'rt) oy muddatga, 20 000 000 (yigirma million so'm) miqdoridagi mikroqarzning ta’minoti sifatida menga mulk huquqi asosida tegishli bo’lgan  3 - xonali yakka tartibdagi uy-joy, umumiy maydoni 72.13 kv.m. va yashash maydoni 37.39 kv.m  SAMARQAND VILOYATI TAYLOQ TUMANI CHAROG'BON MFY YANGI TAYLOQ QISHLOG'I 6 TURAR JOY 12 QAVAT 58 XONADON manzilda joylashgan ko'chmas mulkni qabul qilishingizni so’rayman:</v>
      </c>
      <c r="B15" s="294"/>
    </row>
    <row r="16" spans="1:2"/>
    <row r="17" spans="1:2"/>
    <row r="18" spans="1:2">
      <c r="B18" s="11" t="s">
        <v>297</v>
      </c>
    </row>
    <row r="19" spans="1:2" ht="18.75" customHeight="1">
      <c r="A19" s="10" t="str">
        <f>'Общие данные'!B112</f>
        <v>SHADMANOVA G.Z.</v>
      </c>
      <c r="B19" s="69" t="str">
        <f>'Общие данные'!B2</f>
        <v>07.03.2025</v>
      </c>
    </row>
    <row r="20" spans="1:2" ht="57" hidden="1" customHeight="1">
      <c r="A20" s="313" t="str">
        <f>IF('Общие данные'!B93="yo’q",CONCATENATE(A24," ",A28,A22),"")</f>
        <v xml:space="preserve">№ 00.01.1900. sanasidan xususiy faoliyat ko'rsatuvchi notarius tomonidan   berilgan ishonchnomaga asosan </v>
      </c>
      <c r="B20" s="313"/>
    </row>
    <row r="21" spans="1:2">
      <c r="A21" s="10" t="s">
        <v>28</v>
      </c>
    </row>
    <row r="22" spans="1:2" hidden="1">
      <c r="A22" s="10" t="str">
        <f>" xususiy faoliyat ko'rsatuvchi notarius tomonidan "&amp;'Общие данные'!B98&amp;" "&amp;'Общие данные'!B99&amp;" berilgan ishonchnomaga asosan "</f>
        <v xml:space="preserve"> xususiy faoliyat ko'rsatuvchi notarius tomonidan   berilgan ishonchnomaga asosan </v>
      </c>
    </row>
    <row r="24" spans="1:2" hidden="1">
      <c r="A24" s="10" t="str">
        <f>"№"&amp;'Общие данные'!B100&amp; ""</f>
        <v>№</v>
      </c>
    </row>
    <row r="25" spans="1:2" hidden="1">
      <c r="A25" s="10" t="str">
        <f>'Общие данные'!B102</f>
        <v>00.01.1900</v>
      </c>
    </row>
    <row r="26" spans="1:2" hidden="1">
      <c r="A26" s="10" t="str">
        <f>TEXT(A25,"ДД.ММ.ГГГГ")</f>
        <v>00.01.1900</v>
      </c>
    </row>
    <row r="27" spans="1:2" hidden="1">
      <c r="A27" s="10" t="s">
        <v>375</v>
      </c>
    </row>
    <row r="28" spans="1:2" hidden="1">
      <c r="A28" s="10" t="str">
        <f>CONCATENATE(A26,A27)</f>
        <v>00.01.1900. sanasidan</v>
      </c>
    </row>
  </sheetData>
  <mergeCells count="4">
    <mergeCell ref="A13:B13"/>
    <mergeCell ref="A14:B14"/>
    <mergeCell ref="A15:B15"/>
    <mergeCell ref="A20:B20"/>
  </mergeCells>
  <pageMargins left="0.7" right="0.7" top="0.75" bottom="0.75" header="0.3" footer="0.3"/>
  <pageSetup paperSize="9" orientation="portrait"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Лист13">
    <tabColor rgb="FF00B050"/>
  </sheetPr>
  <dimension ref="A1:E82"/>
  <sheetViews>
    <sheetView view="pageBreakPreview" topLeftCell="A47" zoomScaleNormal="100" zoomScaleSheetLayoutView="100" workbookViewId="0">
      <selection activeCell="A6" sqref="A6:E6"/>
    </sheetView>
  </sheetViews>
  <sheetFormatPr defaultColWidth="9.140625" defaultRowHeight="15" outlineLevelRow="1"/>
  <cols>
    <col min="1" max="1" width="28.42578125" style="19" customWidth="1"/>
    <col min="2" max="2" width="22.85546875" style="19" customWidth="1"/>
    <col min="3" max="3" width="22.42578125" style="19" customWidth="1"/>
    <col min="4" max="4" width="21.42578125" style="19" customWidth="1"/>
    <col min="5" max="5" width="21.5703125" style="19" customWidth="1"/>
    <col min="6" max="16384" width="9.140625" style="19"/>
  </cols>
  <sheetData>
    <row r="1" spans="1:5" ht="106.5" customHeight="1"/>
    <row r="2" spans="1:5">
      <c r="A2" s="258" t="str">
        <f>"GAROV PREDMETI QIYMATINI KELISHISH 
№"&amp;'Общие данные'!B141&amp;" SONLI DALOLATNOMASI
 "</f>
        <v xml:space="preserve">GAROV PREDMETI QIYMATINI KELISHISH 
№1 SONLI DALOLATNOMASI
 </v>
      </c>
      <c r="B2" s="258"/>
      <c r="C2" s="258"/>
      <c r="D2" s="258"/>
      <c r="E2" s="258"/>
    </row>
    <row r="3" spans="1:5">
      <c r="A3" s="44"/>
      <c r="B3" s="44"/>
      <c r="C3" s="44"/>
      <c r="D3" s="44"/>
      <c r="E3" s="44"/>
    </row>
    <row r="4" spans="1:5">
      <c r="A4" s="41" t="s">
        <v>222</v>
      </c>
      <c r="B4" s="41"/>
      <c r="C4" s="41"/>
      <c r="D4" s="41"/>
      <c r="E4" s="41" t="str">
        <f>'Общие данные'!B142</f>
        <v>7 mart 2025 y.</v>
      </c>
    </row>
    <row r="5" spans="1:5" ht="9" customHeight="1">
      <c r="A5" s="245"/>
      <c r="B5" s="245"/>
      <c r="C5" s="245"/>
      <c r="D5" s="245"/>
      <c r="E5" s="245"/>
    </row>
    <row r="6" spans="1:5" ht="87" customHeight="1">
      <c r="A6" s="245" t="str">
        <f>IF('Общие данные'!B103="avtotransport",'Акт согласования'!A10:E10,'Акт согласования'!A7:E7)</f>
        <v>«CLEVER MIKROMOLIYA TASHKILOTI» MChJning (1-tomon) vakili bo‘lgan  Samarqand viloyati Samarqand  filial boshlig'i Asrorov S.S., O‘zbekiston Respublikasi fuqarosi SALIYEV DALER ALIMDJONOVICH (2-tomon) va garovga beruvchi O‘zbekiston Respublikasi fuqarosi SHADMANOVA GULMIRA ZAKIROVNA (3-tomon) o’rtalarida, 7 mart 2025 y.dan №558-SM-sonli Mikroqarz shartnomasiga muvofiq 1-tomon 2-tomonga berilgan mikroqarz bo‘yicha ta’minot sifatida taqdim etilgan, 3-tomonga mulk huquqi asosida tegishli bo‘lgan mulkning garov qiymatini kelishish muzokaralari o’tkazildi.</v>
      </c>
      <c r="B6" s="245"/>
      <c r="C6" s="245"/>
      <c r="D6" s="245"/>
      <c r="E6" s="245"/>
    </row>
    <row r="7" spans="1:5" ht="88.5" hidden="1" customHeight="1">
      <c r="A7" s="245" t="str">
        <f>IF('Общие данные'!B93="ha",'Акт согласования'!A9:E9,'Акт согласования'!A8:E8)</f>
        <v xml:space="preserve">«CLEVER MIKROMOLIYA TASHKILOTI» MChJning (1-tomon) vakili bo‘lgan  Samarqand viloyati Samarqand  filial boshlig'i Asrorov S.S., va O‘zbekiston Respublikasi fuqarosi  SALIYEV DALER ALIMDJONOVICH (2-tomon) va garov egasi SHOUSMANOVA DAVLATXON XXX (3-tomon) 7 mart 2025 y.dan №558-SM Mikroqarz shartnomasiga muvofiq 1-tomon 2-tomonga berilgan mikroqarz bo‘yicha ta’minot sifatida taqdim etilgan, 2-tomonga mulk huquqi asosida tegishli bo‘lgan mulkning garov qiymatini kelishish muzokaralari o’tkazildi. </v>
      </c>
      <c r="B7" s="245"/>
      <c r="C7" s="245"/>
      <c r="D7" s="245"/>
      <c r="E7" s="245"/>
    </row>
    <row r="8" spans="1:5" ht="88.5" hidden="1" customHeight="1">
      <c r="A8" s="245" t="str">
        <f>""&amp;'Общие данные'!B147&amp;"ning (1-tomon) vakili bo‘lgan  "&amp;'Общие данные'!A150&amp;" "&amp;'Общие данные'!B150&amp;", va O‘zbekiston Respublikasi fuqarosi  "&amp;'Общие данные'!B5&amp;" (2-tomon) va garov egasi "&amp;'Общие данные'!C117&amp;" (3-tomon) "&amp;'Общие данные'!B74&amp;" "&amp;'Общие данные'!C64&amp;" shartnomasiga muvofiq 1-tomon 2-tomonga berilgan "&amp;'Общие данные'!B65&amp;" bo‘yicha ta’minot sifatida taqdim etilgan, 2-tomonga mulk huquqi asosida tegishli bo‘lgan mulkning garov qiymatini kelishish muzokaralari o’tkazildi. "</f>
        <v xml:space="preserve">«CLEVER MIKROMOLIYA TASHKILOTI» MChJning (1-tomon) vakili bo‘lgan  Samarqand viloyati Samarqand  filial boshlig'i Asrorov S.S., va O‘zbekiston Respublikasi fuqarosi  SALIYEV DALER ALIMDJONOVICH (2-tomon) va garov egasi SHOUSMANOVA DAVLATXON XXX (3-tomon) 7 mart 2025 y.dan №558-SM Mikroqarz shartnomasiga muvofiq 1-tomon 2-tomonga berilgan mikroqarz bo‘yicha ta’minot sifatida taqdim etilgan, 2-tomonga mulk huquqi asosida tegishli bo‘lgan mulkning garov qiymatini kelishish muzokaralari o’tkazildi. </v>
      </c>
      <c r="B8" s="245"/>
      <c r="C8" s="245"/>
      <c r="D8" s="245"/>
      <c r="E8" s="245"/>
    </row>
    <row r="9" spans="1:5" ht="88.5" hidden="1" customHeight="1">
      <c r="A9" s="245" t="str">
        <f>""&amp;'Общие данные'!B147&amp;"ning (1-tomon) vakili bo‘lgan  "&amp;'Общие данные'!A150&amp;" "&amp;'Общие данные'!B150&amp;", va O‘zbekiston Respublikasi fuqarosi  "&amp;'Общие данные'!B5&amp;" (2-tomon) va garov egasi "&amp;'Общие данные'!C117&amp;" (3-tomon) "&amp;'Общие данные'!B74&amp;" "&amp;'Общие данные'!C64&amp;" shartnomasiga muvofiq 1-tomon 2-tomonga berilgan "&amp;'Общие данные'!B65&amp;" bo‘yicha ta’minot sifatida taqdim etilgan, 2-tomonga mulk huquqi asosida tegishli bo‘lgan mulkning garov qiymatini kelishish muzokaralari o’tkazildi. "</f>
        <v xml:space="preserve">«CLEVER MIKROMOLIYA TASHKILOTI» MChJning (1-tomon) vakili bo‘lgan  Samarqand viloyati Samarqand  filial boshlig'i Asrorov S.S., va O‘zbekiston Respublikasi fuqarosi  SALIYEV DALER ALIMDJONOVICH (2-tomon) va garov egasi SHOUSMANOVA DAVLATXON XXX (3-tomon) 7 mart 2025 y.dan №558-SM Mikroqarz shartnomasiga muvofiq 1-tomon 2-tomonga berilgan mikroqarz bo‘yicha ta’minot sifatida taqdim etilgan, 2-tomonga mulk huquqi asosida tegishli bo‘lgan mulkning garov qiymatini kelishish muzokaralari o’tkazildi. </v>
      </c>
      <c r="B9" s="245"/>
      <c r="C9" s="245"/>
      <c r="D9" s="245"/>
      <c r="E9" s="245"/>
    </row>
    <row r="10" spans="1:5" ht="88.5" hidden="1" customHeight="1">
      <c r="A10" s="245" t="str">
        <f>IF('Общие данные'!B93="ha",'Акт согласования'!A12:E12,'Акт согласования'!A11:E11)</f>
        <v>«CLEVER MIKROMOLIYA TASHKILOTI» MChJning (1-tomon) vakili bo‘lgan  Samarqand viloyati Samarqand  filial boshlig'i Asrorov S.S., O‘zbekiston Respublikasi fuqarosi SALIYEV DALER ALIMDJONOVICH (2-tomon) va garovga beruvchi O‘zbekiston Respublikasi fuqarosi SHADMANOVA GULMIRA ZAKIROVNA (3-tomon) o’rtalarida, 7 mart 2025 y.dan №558-SM-sonli Mikroqarz shartnomasiga muvofiq 1-tomon 2-tomonga berilgan mikroqarz bo‘yicha ta’minot sifatida taqdim etilgan, 3-tomonga mulk huquqi asosida tegishli bo‘lgan mulkning garov qiymatini kelishish muzokaralari o’tkazildi.</v>
      </c>
      <c r="B10" s="245"/>
      <c r="C10" s="245"/>
      <c r="D10" s="245"/>
      <c r="E10" s="245"/>
    </row>
    <row r="11" spans="1:5" ht="88.5" hidden="1" customHeight="1">
      <c r="A11" s="245" t="str">
        <f>""&amp;'Общие данные'!B147&amp;"ning (1-tomon) vakili bo‘lgan  "&amp;'Общие данные'!A150&amp;" "&amp;'Общие данные'!B150&amp;", O‘zbekiston Respublikasi fuqarosi "&amp;'Общие данные'!B5&amp;" (2-tomon) va garovga beruvchi O‘zbekiston Respublikasi fuqarosi "&amp;'Общие данные'!B117&amp;" (3-tomon) o’rtalarida, "&amp;'Общие данные'!B74&amp;"-sonli "&amp;'Общие данные'!C64&amp;" shartnomasiga muvofiq 1-tomon 2-tomonga berilgan "&amp;'Общие данные'!B65&amp;" bo‘yicha ta’minot sifatida taqdim etilgan, 3-tomonga mulk huquqi asosida tegishli bo‘lgan mulkning garov qiymatini kelishish muzokaralari o’tkazildi."</f>
        <v>«CLEVER MIKROMOLIYA TASHKILOTI» MChJning (1-tomon) vakili bo‘lgan  Samarqand viloyati Samarqand  filial boshlig'i Asrorov S.S., O‘zbekiston Respublikasi fuqarosi SALIYEV DALER ALIMDJONOVICH (2-tomon) va garovga beruvchi O‘zbekiston Respublikasi fuqarosi SHADMANOVA GULMIRA ZAKIROVNA (3-tomon) o’rtalarida, 7 mart 2025 y.dan №558-SM-sonli Mikroqarz shartnomasiga muvofiq 1-tomon 2-tomonga berilgan mikroqarz bo‘yicha ta’minot sifatida taqdim etilgan, 3-tomonga mulk huquqi asosida tegishli bo‘lgan mulkning garov qiymatini kelishish muzokaralari o’tkazildi.</v>
      </c>
      <c r="B11" s="245"/>
      <c r="C11" s="245"/>
      <c r="D11" s="245"/>
      <c r="E11" s="245"/>
    </row>
    <row r="12" spans="1:5" ht="88.5" hidden="1" customHeight="1">
      <c r="A12" s="245" t="str">
        <f>""&amp;'Общие данные'!B147&amp;"ning (1-tomon) vakili bo‘lgan  "&amp;'Общие данные'!A150&amp;" "&amp;'Общие данные'!B150&amp;", O‘zbekiston Respublikasi fuqarosi va garovga beruvchi "&amp;'Общие данные'!B5&amp;" (2-tomon) o’rtalarida, "&amp;'Общие данные'!B74&amp;"-sonli "&amp;'Общие данные'!C64&amp;" shartnomasiga muvofiq 1-tomon 2-tomonga berilgan "&amp;'Общие данные'!B65&amp;" bo‘yicha ta’minot sifatida taqdim etilgan, 2-tomonga mulk huquqi asosida tegishli bo‘lgan mulkning garov qiymatini kelishish muzokaralari o’tkazildi."</f>
        <v>«CLEVER MIKROMOLIYA TASHKILOTI» MChJning (1-tomon) vakili bo‘lgan  Samarqand viloyati Samarqand  filial boshlig'i Asrorov S.S., O‘zbekiston Respublikasi fuqarosi va garovga beruvchi SALIYEV DALER ALIMDJONOVICH (2-tomon) o’rtalarida, 7 mart 2025 y.dan №558-SM-sonli Mikroqarz shartnomasiga muvofiq 1-tomon 2-tomonga berilgan mikroqarz bo‘yicha ta’minot sifatida taqdim etilgan, 2-tomonga mulk huquqi asosida tegishli bo‘lgan mulkning garov qiymatini kelishish muzokaralari o’tkazildi.</v>
      </c>
      <c r="B12" s="245"/>
      <c r="C12" s="245"/>
      <c r="D12" s="245"/>
      <c r="E12" s="245"/>
    </row>
    <row r="13" spans="1:5" ht="88.5" hidden="1" customHeight="1">
      <c r="A13" s="245" t="str">
        <f>"Garov predmeti sifatida "&amp;'Общие данные'!B125&amp;", 3-tomonga egalik huquqi tegishli bo'lgan, quyidagi tafsilotlarga ega avtotransport vositasi taqdim etiladi:"</f>
        <v>Garov predmeti sifatida COBALT , 3-tomonga egalik huquqi tegishli bo'lgan, quyidagi tafsilotlarga ega avtotransport vositasi taqdim etiladi:</v>
      </c>
      <c r="B13" s="245"/>
      <c r="C13" s="245"/>
      <c r="D13" s="245"/>
      <c r="E13" s="245"/>
    </row>
    <row r="14" spans="1:5" ht="88.5" hidden="1" customHeight="1">
      <c r="A14" s="245" t="str">
        <f>"Garov predmeti sifatida "&amp;'Общие данные'!B125&amp;", 2-tomonga egalik huquqi tegishli bo'lgan, quyidagi tafsilotlarga ega avtotransport vositasi taqdim etiladi:"</f>
        <v>Garov predmeti sifatida COBALT , 2-tomonga egalik huquqi tegishli bo'lgan, quyidagi tafsilotlarga ega avtotransport vositasi taqdim etiladi:</v>
      </c>
      <c r="B14" s="245"/>
      <c r="C14" s="245"/>
      <c r="D14" s="245"/>
      <c r="E14" s="245"/>
    </row>
    <row r="15" spans="1:5" ht="88.5" hidden="1" customHeight="1">
      <c r="A15" s="245" t="str">
        <f>IF('Общие данные'!B93="ha",'Акт согласования'!A14:E14,'Акт согласования'!A13:E13)</f>
        <v>Garov predmeti sifatida COBALT , 3-tomonga egalik huquqi tegishli bo'lgan, quyidagi tafsilotlarga ega avtotransport vositasi taqdim etiladi:</v>
      </c>
      <c r="B15" s="245"/>
      <c r="C15" s="245"/>
      <c r="D15" s="245"/>
      <c r="E15" s="245"/>
    </row>
    <row r="16" spans="1:5" ht="88.5" hidden="1" customHeight="1">
      <c r="A16" s="245" t="str">
        <f>"Garov predmeti sifatida "&amp;'Общие данные'!C126&amp;", 2-tomonga egalik huquqi tegishli bo'lgan, quyidagi tafsilotlarga ega ko'chmas mulk taqdim etiladi:"</f>
        <v>Garov predmeti sifatida 3 - xonali yakka tartibdagi uy-joy, 2-tomonga egalik huquqi tegishli bo'lgan, quyidagi tafsilotlarga ega ko'chmas mulk taqdim etiladi:</v>
      </c>
      <c r="B16" s="245"/>
      <c r="C16" s="245"/>
      <c r="D16" s="245"/>
      <c r="E16" s="245"/>
    </row>
    <row r="17" spans="1:5" ht="13.5" hidden="1" customHeight="1">
      <c r="A17" s="245" t="str">
        <f>"Garov predmeti sifatida "&amp;'Общие данные'!C126&amp;", 3-tomonga egalik huquqi tegishli bo'lgan, quyidagi tafsilotlarga ega ko'chmas mulk taqdim etiladi:"</f>
        <v>Garov predmeti sifatida 3 - xonali yakka tartibdagi uy-joy, 3-tomonga egalik huquqi tegishli bo'lgan, quyidagi tafsilotlarga ega ko'chmas mulk taqdim etiladi:</v>
      </c>
      <c r="B17" s="245"/>
      <c r="C17" s="245"/>
      <c r="D17" s="245"/>
      <c r="E17" s="245"/>
    </row>
    <row r="18" spans="1:5" ht="11.25" hidden="1" customHeight="1">
      <c r="A18" s="245" t="str">
        <f>IF('Общие данные'!B93="ha",'Акт согласования'!A16:E16,'Акт согласования'!A17:E17)</f>
        <v>Garov predmeti sifatida 3 - xonali yakka tartibdagi uy-joy, 3-tomonga egalik huquqi tegishli bo'lgan, quyidagi tafsilotlarga ega ko'chmas mulk taqdim etiladi:</v>
      </c>
      <c r="B18" s="245"/>
      <c r="C18" s="245"/>
      <c r="D18" s="245"/>
      <c r="E18" s="245"/>
    </row>
    <row r="19" spans="1:5" ht="39.75" customHeight="1">
      <c r="A19" s="245" t="str">
        <f>IF('Общие данные'!B103="Avtotransport",'Акт согласования'!A15:E15,'Акт согласования'!A18:E18)</f>
        <v>Garov predmeti sifatida COBALT , 3-tomonga egalik huquqi tegishli bo'lgan, quyidagi tafsilotlarga ega avtotransport vositasi taqdim etiladi:</v>
      </c>
      <c r="B19" s="245"/>
      <c r="C19" s="245"/>
      <c r="D19" s="245"/>
      <c r="E19" s="245"/>
    </row>
    <row r="20" spans="1:5" ht="48" customHeight="1" outlineLevel="1">
      <c r="A20" s="43" t="s">
        <v>217</v>
      </c>
      <c r="B20" s="321" t="s">
        <v>218</v>
      </c>
      <c r="C20" s="322"/>
      <c r="D20" s="43" t="s">
        <v>219</v>
      </c>
      <c r="E20" s="43" t="s">
        <v>220</v>
      </c>
    </row>
    <row r="21" spans="1:5" ht="65.25" customHeight="1" outlineLevel="1">
      <c r="A21" s="21" t="str">
        <f>'Общие данные'!B125</f>
        <v xml:space="preserve">COBALT </v>
      </c>
      <c r="B21" s="260" t="str">
        <f>'Общие данные'!B127</f>
        <v>kuzov turi - YENGIL SEDAN, kuzov raqami XWBJA69VEPA011841</v>
      </c>
      <c r="C21" s="260"/>
      <c r="D21" s="21" t="str">
        <f>'Общие данные'!B130</f>
        <v>dvigatel raqami B15D212223022MTAX0763, shassi raqami - -</v>
      </c>
      <c r="E21" s="21" t="str">
        <f>'Общие данные'!B133</f>
        <v>rangi -  OQ BELIY, ishlab chiqarilgan yili - 2022</v>
      </c>
    </row>
    <row r="22" spans="1:5" ht="17.25" customHeight="1" outlineLevel="1">
      <c r="A22" s="245" t="str">
        <f>"-* avtotransport egasi: "&amp;'Общие данные'!B117&amp;""</f>
        <v>-* avtotransport egasi: SHADMANOVA GULMIRA ZAKIROVNA</v>
      </c>
      <c r="B22" s="245"/>
      <c r="C22" s="245"/>
      <c r="D22" s="245"/>
      <c r="E22" s="245"/>
    </row>
    <row r="23" spans="1:5" outlineLevel="1">
      <c r="A23" s="245" t="str">
        <f>"-* texnik pasport: "&amp;'Общие данные'!B124&amp;""</f>
        <v>-* texnik pasport: AAG 1736517 15.06.2023yil</v>
      </c>
      <c r="B23" s="245"/>
      <c r="C23" s="245"/>
      <c r="D23" s="245"/>
      <c r="E23" s="245"/>
    </row>
    <row r="24" spans="1:5" ht="17.25" customHeight="1" outlineLevel="1">
      <c r="A24" s="245" t="str">
        <f>"-* roʻyxatdan oʻtgan manzili/garaj manzili: "&amp;'Общие данные'!B122&amp;""</f>
        <v>-* roʻyxatdan oʻtgan manzili/garaj manzili: TOSHKENT SHAHAR MIROBOD TUMANI FARG'ONA YO'LI FITRAT MAHALLASI 3 UY 30 XONADON</v>
      </c>
      <c r="B24" s="245"/>
      <c r="C24" s="245"/>
      <c r="D24" s="245"/>
      <c r="E24" s="245"/>
    </row>
    <row r="25" spans="1:5" ht="19.5" customHeight="1" outlineLevel="1">
      <c r="A25" s="245" t="str">
        <f>"-* davlat raqami: "&amp;'Общие данные'!B126&amp;""</f>
        <v>-* davlat raqami: 30S095AB</v>
      </c>
      <c r="B25" s="245"/>
      <c r="C25" s="245"/>
      <c r="D25" s="245"/>
      <c r="E25" s="245"/>
    </row>
    <row r="26" spans="1:5" ht="5.25" hidden="1" customHeight="1">
      <c r="A26" s="23"/>
      <c r="B26" s="23"/>
      <c r="C26" s="23"/>
      <c r="D26" s="23"/>
      <c r="E26" s="23"/>
    </row>
    <row r="27" spans="1:5" s="41" customFormat="1" ht="14.25" hidden="1" outlineLevel="1">
      <c r="A27" s="321" t="s">
        <v>217</v>
      </c>
      <c r="B27" s="322"/>
      <c r="C27" s="43" t="s">
        <v>223</v>
      </c>
      <c r="D27" s="43" t="s">
        <v>224</v>
      </c>
      <c r="E27" s="43" t="s">
        <v>225</v>
      </c>
    </row>
    <row r="28" spans="1:5" hidden="1" outlineLevel="1">
      <c r="A28" s="319" t="s">
        <v>226</v>
      </c>
      <c r="B28" s="320"/>
      <c r="C28" s="138">
        <v>0</v>
      </c>
      <c r="D28" s="139">
        <v>37.39</v>
      </c>
      <c r="E28" s="61">
        <f>C28+D28</f>
        <v>37.39</v>
      </c>
    </row>
    <row r="29" spans="1:5" ht="15" hidden="1" customHeight="1" outlineLevel="1">
      <c r="A29" s="314" t="s">
        <v>227</v>
      </c>
      <c r="B29" s="315"/>
      <c r="C29" s="139">
        <v>34.74</v>
      </c>
      <c r="D29" s="139">
        <v>0</v>
      </c>
      <c r="E29" s="61">
        <f t="shared" ref="E29:E37" si="0">C29+D29</f>
        <v>34.74</v>
      </c>
    </row>
    <row r="30" spans="1:5" ht="15" hidden="1" customHeight="1" outlineLevel="1">
      <c r="A30" s="314"/>
      <c r="B30" s="315"/>
      <c r="C30" s="139"/>
      <c r="D30" s="139">
        <v>0</v>
      </c>
      <c r="E30" s="61">
        <f t="shared" si="0"/>
        <v>0</v>
      </c>
    </row>
    <row r="31" spans="1:5" ht="15" hidden="1" customHeight="1" outlineLevel="1">
      <c r="A31" s="314"/>
      <c r="B31" s="315"/>
      <c r="C31" s="139"/>
      <c r="D31" s="139">
        <v>0</v>
      </c>
      <c r="E31" s="61">
        <f t="shared" si="0"/>
        <v>0</v>
      </c>
    </row>
    <row r="32" spans="1:5" ht="15" hidden="1" customHeight="1" outlineLevel="1">
      <c r="A32" s="314"/>
      <c r="B32" s="315"/>
      <c r="C32" s="139"/>
      <c r="D32" s="139">
        <v>0</v>
      </c>
      <c r="E32" s="61">
        <f t="shared" si="0"/>
        <v>0</v>
      </c>
    </row>
    <row r="33" spans="1:5" hidden="1" outlineLevel="1">
      <c r="A33" s="314"/>
      <c r="B33" s="315"/>
      <c r="C33" s="139"/>
      <c r="D33" s="139">
        <v>0</v>
      </c>
      <c r="E33" s="61">
        <f t="shared" si="0"/>
        <v>0</v>
      </c>
    </row>
    <row r="34" spans="1:5" hidden="1" outlineLevel="1">
      <c r="A34" s="314"/>
      <c r="B34" s="315"/>
      <c r="C34" s="139"/>
      <c r="D34" s="139"/>
      <c r="E34" s="61">
        <f t="shared" si="0"/>
        <v>0</v>
      </c>
    </row>
    <row r="35" spans="1:5" hidden="1" outlineLevel="1">
      <c r="A35" s="314"/>
      <c r="B35" s="315"/>
      <c r="C35" s="139"/>
      <c r="D35" s="139">
        <v>0</v>
      </c>
      <c r="E35" s="61">
        <f t="shared" si="0"/>
        <v>0</v>
      </c>
    </row>
    <row r="36" spans="1:5" hidden="1" outlineLevel="1">
      <c r="A36" s="314"/>
      <c r="B36" s="315"/>
      <c r="C36" s="139"/>
      <c r="D36" s="139"/>
      <c r="E36" s="61">
        <f t="shared" si="0"/>
        <v>0</v>
      </c>
    </row>
    <row r="37" spans="1:5" hidden="1" outlineLevel="1">
      <c r="A37" s="314"/>
      <c r="B37" s="315"/>
      <c r="C37" s="61"/>
      <c r="D37" s="61"/>
      <c r="E37" s="61">
        <f t="shared" si="0"/>
        <v>0</v>
      </c>
    </row>
    <row r="38" spans="1:5" s="41" customFormat="1" ht="14.25" hidden="1" outlineLevel="1">
      <c r="A38" s="323" t="s">
        <v>228</v>
      </c>
      <c r="B38" s="324"/>
      <c r="C38" s="58">
        <f>SUM(C28:C37)</f>
        <v>34.74</v>
      </c>
      <c r="D38" s="58">
        <f>SUM(D28:D37)</f>
        <v>37.39</v>
      </c>
      <c r="E38" s="137">
        <f>SUM(E28:E37)</f>
        <v>72.13</v>
      </c>
    </row>
    <row r="39" spans="1:5" s="41" customFormat="1" ht="15" hidden="1" customHeight="1" outlineLevel="1">
      <c r="A39" s="325" t="str">
        <f>"-* ko'chmas mulk egasi: "&amp;'Общие данные'!C117&amp;""</f>
        <v>-* ko'chmas mulk egasi: SHOUSMANOVA DAVLATXON XXX</v>
      </c>
      <c r="B39" s="325"/>
      <c r="C39" s="325"/>
      <c r="D39" s="325"/>
      <c r="E39" s="325"/>
    </row>
    <row r="40" spans="1:5" s="41" customFormat="1" ht="15" hidden="1" customHeight="1" outlineLevel="1">
      <c r="A40" s="245" t="str">
        <f>"-* reestr raqami: "&amp;'Общие данные'!C124&amp;""</f>
        <v>-* reestr raqami: 1718238/R-A1419303</v>
      </c>
      <c r="B40" s="245"/>
      <c r="C40" s="245"/>
      <c r="D40" s="245"/>
      <c r="E40" s="245"/>
    </row>
    <row r="41" spans="1:5" s="41" customFormat="1" ht="15" hidden="1" customHeight="1" outlineLevel="1">
      <c r="A41" s="245" t="str">
        <f>"-* kadastr raqami: "&amp;'Общие данные'!C127&amp;""</f>
        <v>-* kadastr raqami: №14:13:02:01:03:1179:0006:058 от 16.12.2020 г.</v>
      </c>
      <c r="B41" s="245"/>
      <c r="C41" s="245"/>
      <c r="D41" s="245"/>
      <c r="E41" s="245"/>
    </row>
    <row r="42" spans="1:5" s="41" customFormat="1" ht="15" hidden="1" customHeight="1" outlineLevel="1">
      <c r="A42" s="245" t="str">
        <f>"-* manzil: "&amp;'Общие данные'!C123&amp;""</f>
        <v>-* manzil: SAMARQAND VILOYATI TAYLOQ TUMANI CHAROG'BON MFY YANGI TAYLOQ QISHLOG'I 6 TURAR JOY 12 QAVAT 58 XONADON</v>
      </c>
      <c r="B42" s="245"/>
      <c r="C42" s="245"/>
      <c r="D42" s="245"/>
      <c r="E42" s="245"/>
    </row>
    <row r="43" spans="1:5" s="41" customFormat="1" ht="9" customHeight="1" collapsed="1">
      <c r="A43" s="245"/>
      <c r="B43" s="245"/>
      <c r="C43" s="245"/>
      <c r="D43" s="245"/>
      <c r="E43" s="245"/>
    </row>
    <row r="44" spans="1:5" ht="65.25" customHeight="1">
      <c r="A44" s="245" t="str">
        <f>IF('Общие данные'!B93="ha",'Акт согласования'!A46:E46,'Акт согласования'!A45:E45)</f>
        <v>Tomonlar o’rtasida o’tkazilgan muzokaralar natijalariga ko‘ra, 2-tomon ta’minot sifatida quyidagi tafsilotlarga ega bo’lgan garov predmetini taqdim etadi, 1-tomon esa ushbu garov predmetini  7 mart 2025 y.dan №558-SM mikroqarz shartnomasi bo‘yicha berilgan mikroqarz bo‘yicha  30 000 000,00 (o'ttiz million so'm) so’m bo‘lgan kelishilgan garov qiymatida qabul qiladi::</v>
      </c>
      <c r="B44" s="245"/>
      <c r="C44" s="245"/>
      <c r="D44" s="245"/>
      <c r="E44" s="245"/>
    </row>
    <row r="45" spans="1:5" ht="66" hidden="1" customHeight="1">
      <c r="A45" s="245" t="str">
        <f>"Tomonlar o’rtasida o’tkazilgan muzokaralar natijalariga ko‘ra, 2-tomon ta’minot sifatida quyidagi tafsilotlarga ega bo’lgan garov predmetini taqdim etadi, 1-tomon esa ushbu garov predmetini  "&amp;'Общие данные'!B74&amp;" "&amp;'Общие данные'!B65&amp;" shartnomasi bo‘yicha berilgan "&amp;'Общие данные'!B65&amp;" bo‘yicha  "&amp;FIXED('Общие данные'!B136,2)&amp;" ("&amp;'Общие данные'!B137&amp;") so’m bo‘lgan kelishilgan garov qiymatida qabul qiladi::"</f>
        <v>Tomonlar o’rtasida o’tkazilgan muzokaralar natijalariga ko‘ra, 2-tomon ta’minot sifatida quyidagi tafsilotlarga ega bo’lgan garov predmetini taqdim etadi, 1-tomon esa ushbu garov predmetini  7 mart 2025 y.dan №558-SM mikroqarz shartnomasi bo‘yicha berilgan mikroqarz bo‘yicha  30 000 000,00 (o'ttiz million so'm) so’m bo‘lgan kelishilgan garov qiymatida qabul qiladi::</v>
      </c>
      <c r="B45" s="245"/>
      <c r="C45" s="245"/>
      <c r="D45" s="245"/>
      <c r="E45" s="245"/>
    </row>
    <row r="46" spans="1:5" ht="58.5" hidden="1" customHeight="1">
      <c r="A46" s="245" t="str">
        <f>"Tomonlar o’rtasida o’tkazilgan muzokaralar natijalariga ko‘ra, 2-tomon ta’minot sifatida quyidagi tafsilotlarga ega bo’lgan garov predmetini taqdim etadi, 1-tomon esa ushbu garov predmetini  "&amp;'Общие данные'!B74&amp;" "&amp;'Общие данные'!C64&amp;" shartnomasi bo‘yicha berilgan "&amp;'Общие данные'!B65&amp;" bo‘yicha  "&amp;FIXED('Общие данные'!B136,2)&amp;" ("&amp;'Общие данные'!B137&amp;") so’m bo‘lgan kelishilgan garov qiymatida qabul qiladi::"</f>
        <v>Tomonlar o’rtasida o’tkazilgan muzokaralar natijalariga ko‘ra, 2-tomon ta’minot sifatida quyidagi tafsilotlarga ega bo’lgan garov predmetini taqdim etadi, 1-tomon esa ushbu garov predmetini  7 mart 2025 y.dan №558-SM Mikroqarz shartnomasi bo‘yicha berilgan mikroqarz bo‘yicha  30 000 000,00 (o'ttiz million so'm) so’m bo‘lgan kelishilgan garov qiymatida qabul qiladi::</v>
      </c>
      <c r="B46" s="245"/>
      <c r="C46" s="245"/>
      <c r="D46" s="245"/>
      <c r="E46" s="245"/>
    </row>
    <row r="47" spans="1:5" ht="51.75" customHeight="1" outlineLevel="1">
      <c r="A47" s="43" t="s">
        <v>217</v>
      </c>
      <c r="B47" s="43" t="s">
        <v>218</v>
      </c>
      <c r="C47" s="43" t="s">
        <v>219</v>
      </c>
      <c r="D47" s="43" t="s">
        <v>220</v>
      </c>
      <c r="E47" s="43" t="s">
        <v>221</v>
      </c>
    </row>
    <row r="48" spans="1:5" ht="76.5" customHeight="1" outlineLevel="1">
      <c r="A48" s="21" t="str">
        <f>A21</f>
        <v xml:space="preserve">COBALT </v>
      </c>
      <c r="B48" s="21" t="str">
        <f>B21</f>
        <v>kuzov turi - YENGIL SEDAN, kuzov raqami XWBJA69VEPA011841</v>
      </c>
      <c r="C48" s="21" t="str">
        <f>D21</f>
        <v>dvigatel raqami B15D212223022MTAX0763, shassi raqami - -</v>
      </c>
      <c r="D48" s="21" t="str">
        <f>E21</f>
        <v>rangi -  OQ BELIY, ishlab chiqarilgan yili - 2022</v>
      </c>
      <c r="E48" s="21" t="str">
        <f>""&amp;FIXED('Общие данные'!B136,2)&amp;" 
("&amp;'Общие данные'!B137&amp;")"</f>
        <v>30 000 000,00 
(o'ttiz million so'm)</v>
      </c>
    </row>
    <row r="49" spans="1:5" ht="16.5" customHeight="1">
      <c r="A49" s="20"/>
      <c r="B49" s="20"/>
      <c r="C49" s="20"/>
      <c r="D49" s="20"/>
      <c r="E49" s="20"/>
    </row>
    <row r="50" spans="1:5" ht="56.25" hidden="1" customHeight="1" outlineLevel="1">
      <c r="A50" s="43" t="s">
        <v>5</v>
      </c>
      <c r="B50" s="43" t="s">
        <v>19</v>
      </c>
      <c r="C50" s="43" t="s">
        <v>20</v>
      </c>
      <c r="D50" s="43" t="s">
        <v>21</v>
      </c>
      <c r="E50" s="43" t="s">
        <v>6</v>
      </c>
    </row>
    <row r="51" spans="1:5" ht="15.75" hidden="1" customHeight="1" outlineLevel="1">
      <c r="A51" s="21" t="str">
        <f>A28</f>
        <v>Yashash xona</v>
      </c>
      <c r="B51" s="138">
        <f>C28</f>
        <v>0</v>
      </c>
      <c r="C51" s="138">
        <f>D28</f>
        <v>37.39</v>
      </c>
      <c r="D51" s="138">
        <f>E28</f>
        <v>37.39</v>
      </c>
      <c r="E51" s="316" t="str">
        <f>""&amp;FIXED('Общие данные'!C136,2)&amp;" ("&amp;'Общие данные'!B137&amp;")"</f>
        <v>30 000 000,00 (o'ttiz million so'm)</v>
      </c>
    </row>
    <row r="52" spans="1:5" ht="15.75" hidden="1" customHeight="1" outlineLevel="1">
      <c r="A52" s="21"/>
      <c r="B52" s="138"/>
      <c r="C52" s="138"/>
      <c r="D52" s="138"/>
      <c r="E52" s="317"/>
    </row>
    <row r="53" spans="1:5" ht="15.75" hidden="1" customHeight="1" outlineLevel="1">
      <c r="A53" s="21" t="str">
        <f t="shared" ref="A53:A62" si="1">A29</f>
        <v>Noturar joy</v>
      </c>
      <c r="B53" s="138">
        <f t="shared" ref="B53:D53" si="2">C29</f>
        <v>34.74</v>
      </c>
      <c r="C53" s="138">
        <f t="shared" si="2"/>
        <v>0</v>
      </c>
      <c r="D53" s="138">
        <f t="shared" si="2"/>
        <v>34.74</v>
      </c>
      <c r="E53" s="317"/>
    </row>
    <row r="54" spans="1:5" ht="15.75" hidden="1" customHeight="1" outlineLevel="1">
      <c r="A54" s="21">
        <f t="shared" si="1"/>
        <v>0</v>
      </c>
      <c r="B54" s="138">
        <f t="shared" ref="B54:D54" si="3">C30</f>
        <v>0</v>
      </c>
      <c r="C54" s="138">
        <f t="shared" si="3"/>
        <v>0</v>
      </c>
      <c r="D54" s="138">
        <f t="shared" si="3"/>
        <v>0</v>
      </c>
      <c r="E54" s="317"/>
    </row>
    <row r="55" spans="1:5" ht="15.75" hidden="1" customHeight="1" outlineLevel="1">
      <c r="A55" s="21">
        <f t="shared" si="1"/>
        <v>0</v>
      </c>
      <c r="B55" s="138">
        <f t="shared" ref="B55:D55" si="4">C31</f>
        <v>0</v>
      </c>
      <c r="C55" s="138">
        <f t="shared" si="4"/>
        <v>0</v>
      </c>
      <c r="D55" s="138">
        <f t="shared" si="4"/>
        <v>0</v>
      </c>
      <c r="E55" s="317"/>
    </row>
    <row r="56" spans="1:5" ht="15.75" hidden="1" customHeight="1" outlineLevel="1">
      <c r="A56" s="21">
        <f t="shared" si="1"/>
        <v>0</v>
      </c>
      <c r="B56" s="138">
        <f t="shared" ref="B56:D56" si="5">C32</f>
        <v>0</v>
      </c>
      <c r="C56" s="138">
        <f t="shared" si="5"/>
        <v>0</v>
      </c>
      <c r="D56" s="138">
        <f t="shared" si="5"/>
        <v>0</v>
      </c>
      <c r="E56" s="317"/>
    </row>
    <row r="57" spans="1:5" ht="15.75" hidden="1" customHeight="1" outlineLevel="1">
      <c r="A57" s="21">
        <f t="shared" si="1"/>
        <v>0</v>
      </c>
      <c r="B57" s="138">
        <f t="shared" ref="B57:D57" si="6">C33</f>
        <v>0</v>
      </c>
      <c r="C57" s="138">
        <f t="shared" si="6"/>
        <v>0</v>
      </c>
      <c r="D57" s="138">
        <f t="shared" si="6"/>
        <v>0</v>
      </c>
      <c r="E57" s="317"/>
    </row>
    <row r="58" spans="1:5" ht="15.75" hidden="1" customHeight="1" outlineLevel="1">
      <c r="A58" s="21">
        <f t="shared" si="1"/>
        <v>0</v>
      </c>
      <c r="B58" s="138">
        <f t="shared" ref="B58:D58" si="7">C34</f>
        <v>0</v>
      </c>
      <c r="C58" s="138">
        <f t="shared" si="7"/>
        <v>0</v>
      </c>
      <c r="D58" s="138">
        <f t="shared" si="7"/>
        <v>0</v>
      </c>
      <c r="E58" s="317"/>
    </row>
    <row r="59" spans="1:5" ht="15.75" hidden="1" customHeight="1" outlineLevel="1">
      <c r="A59" s="21">
        <f t="shared" si="1"/>
        <v>0</v>
      </c>
      <c r="B59" s="138">
        <f t="shared" ref="B59:D59" si="8">C35</f>
        <v>0</v>
      </c>
      <c r="C59" s="138">
        <f t="shared" si="8"/>
        <v>0</v>
      </c>
      <c r="D59" s="138">
        <f t="shared" si="8"/>
        <v>0</v>
      </c>
      <c r="E59" s="317"/>
    </row>
    <row r="60" spans="1:5" ht="15.75" hidden="1" customHeight="1" outlineLevel="1">
      <c r="A60" s="21">
        <f t="shared" si="1"/>
        <v>0</v>
      </c>
      <c r="B60" s="138">
        <f t="shared" ref="B60:D60" si="9">C36</f>
        <v>0</v>
      </c>
      <c r="C60" s="138">
        <f t="shared" si="9"/>
        <v>0</v>
      </c>
      <c r="D60" s="138">
        <f t="shared" si="9"/>
        <v>0</v>
      </c>
      <c r="E60" s="317"/>
    </row>
    <row r="61" spans="1:5" ht="15.75" hidden="1" customHeight="1" outlineLevel="1">
      <c r="A61" s="21">
        <f t="shared" si="1"/>
        <v>0</v>
      </c>
      <c r="B61" s="21">
        <f t="shared" ref="B61:D61" si="10">C37</f>
        <v>0</v>
      </c>
      <c r="C61" s="21">
        <f t="shared" si="10"/>
        <v>0</v>
      </c>
      <c r="D61" s="21">
        <f t="shared" si="10"/>
        <v>0</v>
      </c>
      <c r="E61" s="318"/>
    </row>
    <row r="62" spans="1:5" s="41" customFormat="1" ht="15.75" hidden="1" customHeight="1" outlineLevel="1">
      <c r="A62" s="43" t="str">
        <f t="shared" si="1"/>
        <v>JAMI</v>
      </c>
      <c r="B62" s="43">
        <f t="shared" ref="B62:D62" si="11">C38</f>
        <v>34.74</v>
      </c>
      <c r="C62" s="43">
        <f t="shared" si="11"/>
        <v>37.39</v>
      </c>
      <c r="D62" s="43">
        <f t="shared" si="11"/>
        <v>72.13</v>
      </c>
      <c r="E62" s="43" t="str">
        <f>FIXED('Общие данные'!C136,2)</f>
        <v>30 000 000,00</v>
      </c>
    </row>
    <row r="63" spans="1:5" ht="12.75" customHeight="1" collapsed="1">
      <c r="A63" s="20"/>
      <c r="B63" s="20"/>
      <c r="C63" s="20"/>
      <c r="D63" s="20"/>
      <c r="E63" s="20"/>
    </row>
    <row r="64" spans="1:5" ht="93.75" hidden="1" customHeight="1">
      <c r="A64" s="245" t="str">
        <f>"“Birinchi talabga ko‘ra, yuqoridagi avtomobil Mikrokredit shartnomasi bo‘yicha garovga qo‘yilgan edi::
"&amp;'Данные для послед. Залога'!W2&amp;""</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64" s="245"/>
      <c r="C64" s="245"/>
      <c r="D64" s="245"/>
      <c r="E64" s="245"/>
    </row>
    <row r="65" spans="1:5" ht="42" customHeight="1">
      <c r="A65" s="245" t="s">
        <v>229</v>
      </c>
      <c r="B65" s="245"/>
      <c r="C65" s="245"/>
      <c r="D65" s="245"/>
      <c r="E65" s="245"/>
    </row>
    <row r="66" spans="1:5" ht="35.25" customHeight="1">
      <c r="A66" s="245" t="str">
        <f>"Shunday qilib, garov predmetining kelishilgan garov qiymati  "&amp;FIXED('Общие данные'!B136)&amp;" ("&amp;'Общие данные'!B137&amp;") so‘mni tashkil etadi."</f>
        <v>Shunday qilib, garov predmetining kelishilgan garov qiymati  30 000 000,00 (o'ttiz million so'm) so‘mni tashkil etadi.</v>
      </c>
      <c r="B66" s="245"/>
      <c r="C66" s="245"/>
      <c r="D66" s="245"/>
      <c r="E66" s="245"/>
    </row>
    <row r="67" spans="1:5" ht="35.25" hidden="1" customHeight="1">
      <c r="A67" s="23"/>
      <c r="B67" s="23"/>
      <c r="C67" s="23"/>
      <c r="D67" s="23">
        <f>IF('Общие данные'!B92='Общие данные'!C92,'Общие данные'!C136,IF('Общие данные'!B92='Общие данные'!D92,'Данные для послед. Залога'!M22,0))</f>
        <v>30000000</v>
      </c>
      <c r="E67" s="23" t="str">
        <f>IF('Общие данные'!B92='Общие данные'!C92,'Общие данные'!B137,IF('Общие данные'!B92='Общие данные'!D92,'Данные для послед. Залога'!Q22,0))</f>
        <v>o'ttiz million so'm</v>
      </c>
    </row>
    <row r="68" spans="1:5">
      <c r="A68" s="300" t="s">
        <v>230</v>
      </c>
      <c r="B68" s="300"/>
      <c r="C68" s="300"/>
      <c r="D68" s="26"/>
      <c r="E68" s="26"/>
    </row>
    <row r="69" spans="1:5">
      <c r="A69" s="246" t="str">
        <f>'Общие данные'!B148</f>
        <v>«CLEVER MIKROMOLIYA TASHKILOTI» MChJ</v>
      </c>
      <c r="B69" s="246"/>
      <c r="C69" s="246"/>
      <c r="D69" s="209"/>
      <c r="E69" s="209"/>
    </row>
    <row r="70" spans="1:5" ht="15" customHeight="1">
      <c r="A70" s="246" t="str">
        <f>""&amp;'Общие данные'!A150&amp;"i"</f>
        <v>Samarqand viloyati Samarqand  filial boshlig'ii</v>
      </c>
      <c r="B70" s="246"/>
      <c r="C70" s="246"/>
      <c r="D70" s="300" t="str">
        <f>"_______________   "&amp;'Общие данные'!B150&amp;""</f>
        <v>_______________   Asrorov S.S.</v>
      </c>
      <c r="E70" s="300"/>
    </row>
    <row r="71" spans="1:5">
      <c r="A71" s="66"/>
      <c r="B71" s="66"/>
      <c r="C71" s="66"/>
      <c r="D71" s="66"/>
      <c r="E71" s="66"/>
    </row>
    <row r="72" spans="1:5">
      <c r="A72" s="300"/>
      <c r="B72" s="300"/>
      <c r="C72" s="300"/>
      <c r="D72" s="66"/>
      <c r="E72" s="66"/>
    </row>
    <row r="73" spans="1:5" hidden="1">
      <c r="A73" s="246" t="s">
        <v>52</v>
      </c>
      <c r="B73" s="246"/>
      <c r="C73" s="246"/>
      <c r="D73" s="66"/>
      <c r="E73" s="66"/>
    </row>
    <row r="74" spans="1:5" hidden="1">
      <c r="A74" s="246" t="str">
        <f>'Общие данные'!B148</f>
        <v>«CLEVER MIKROMOLIYA TASHKILOTI» MChJ</v>
      </c>
      <c r="B74" s="246"/>
      <c r="C74" s="246"/>
      <c r="D74" s="246" t="str">
        <f>"_______________   "&amp;'Общие данные'!B159&amp;""</f>
        <v xml:space="preserve">_______________   Mominov B.X. </v>
      </c>
      <c r="E74" s="246"/>
    </row>
    <row r="75" spans="1:5" ht="12.75" customHeight="1">
      <c r="A75" s="246"/>
      <c r="B75" s="246"/>
      <c r="C75" s="246"/>
      <c r="D75" s="246"/>
      <c r="E75" s="246"/>
    </row>
    <row r="76" spans="1:5">
      <c r="A76" s="300" t="s">
        <v>231</v>
      </c>
      <c r="B76" s="300"/>
      <c r="C76" s="300"/>
      <c r="D76" s="246"/>
      <c r="E76" s="246"/>
    </row>
    <row r="77" spans="1:5" ht="31.5" customHeight="1">
      <c r="A77" s="246" t="s">
        <v>232</v>
      </c>
      <c r="B77" s="246"/>
      <c r="C77" s="246"/>
      <c r="D77" s="300" t="str">
        <f>"_______________  "&amp;'Общие данные'!B7&amp;""</f>
        <v>_______________  SALIYEV D.A.</v>
      </c>
      <c r="E77" s="300"/>
    </row>
    <row r="78" spans="1:5" ht="12.75" customHeight="1">
      <c r="A78" s="246"/>
      <c r="B78" s="246"/>
      <c r="C78" s="246"/>
      <c r="D78" s="326" t="str">
        <f>IF('Общие данные'!B93="да","",'Общие данные'!B118)</f>
        <v>SHADMANOVA G.Z.</v>
      </c>
      <c r="E78" s="326"/>
    </row>
    <row r="79" spans="1:5" ht="17.25" customHeight="1">
      <c r="A79" s="300" t="str">
        <f>+IF('Общие данные'!B93="ha"," ","3-tomondan:")</f>
        <v>3-tomondan:</v>
      </c>
      <c r="B79" s="300"/>
      <c r="C79" s="300"/>
      <c r="D79" s="326" t="str">
        <f>IF('Общие данные'!B93="ha","",'Общие данные'!C118)</f>
        <v>SHOUSMANOVA D</v>
      </c>
      <c r="E79" s="326"/>
    </row>
    <row r="80" spans="1:5" ht="29.25" customHeight="1">
      <c r="A80" s="246" t="str">
        <f>+IF('Общие данные'!B93="ha"," ","O'zbekiston Respublikasi fuqarosi")</f>
        <v>O'zbekiston Respublikasi fuqarosi</v>
      </c>
      <c r="B80" s="246"/>
      <c r="C80" s="246"/>
      <c r="D80" s="300" t="str">
        <f>IF('Общие данные'!B93="yo’q","_______________  "&amp;'Общие данные'!B112&amp;"","")</f>
        <v>_______________  SHADMANOVA G.Z.</v>
      </c>
      <c r="E80" s="300"/>
    </row>
    <row r="81" spans="1:5" ht="70.5" hidden="1" customHeight="1">
      <c r="A81" s="66"/>
      <c r="B81" s="66"/>
      <c r="C81" s="246" t="str">
        <f>+IF('Общие данные'!B93="ha"," ",'заявление залогодателя'!A20)</f>
        <v xml:space="preserve">№ 00.01.1900. sanasidan xususiy faoliyat ko'rsatuvchi notarius tomonidan   berilgan ishonchnomaga asosan </v>
      </c>
      <c r="D81" s="246"/>
      <c r="E81" s="246"/>
    </row>
    <row r="82" spans="1:5" ht="6.75" customHeight="1">
      <c r="D82" s="267"/>
      <c r="E82" s="267"/>
    </row>
  </sheetData>
  <mergeCells count="68">
    <mergeCell ref="A19:E19"/>
    <mergeCell ref="A24:E24"/>
    <mergeCell ref="A25:E25"/>
    <mergeCell ref="B20:C20"/>
    <mergeCell ref="B21:C21"/>
    <mergeCell ref="A22:E22"/>
    <mergeCell ref="A23:E23"/>
    <mergeCell ref="A14:E14"/>
    <mergeCell ref="A15:E15"/>
    <mergeCell ref="A16:E16"/>
    <mergeCell ref="A17:E17"/>
    <mergeCell ref="A18:E18"/>
    <mergeCell ref="A78:C78"/>
    <mergeCell ref="D78:E78"/>
    <mergeCell ref="A79:C79"/>
    <mergeCell ref="D79:E79"/>
    <mergeCell ref="A80:C80"/>
    <mergeCell ref="D80:E80"/>
    <mergeCell ref="A75:C75"/>
    <mergeCell ref="D75:E75"/>
    <mergeCell ref="A76:C76"/>
    <mergeCell ref="D76:E76"/>
    <mergeCell ref="A77:C77"/>
    <mergeCell ref="D77:E77"/>
    <mergeCell ref="D82:E82"/>
    <mergeCell ref="A2:E2"/>
    <mergeCell ref="A11:E11"/>
    <mergeCell ref="A12:E12"/>
    <mergeCell ref="A13:E13"/>
    <mergeCell ref="A10:E10"/>
    <mergeCell ref="A5:E5"/>
    <mergeCell ref="A6:E6"/>
    <mergeCell ref="A7:E7"/>
    <mergeCell ref="A8:E8"/>
    <mergeCell ref="A9:E9"/>
    <mergeCell ref="A30:B30"/>
    <mergeCell ref="A31:B31"/>
    <mergeCell ref="A32:B32"/>
    <mergeCell ref="C81:E81"/>
    <mergeCell ref="A39:E39"/>
    <mergeCell ref="A28:B28"/>
    <mergeCell ref="A27:B27"/>
    <mergeCell ref="A44:E44"/>
    <mergeCell ref="A40:E40"/>
    <mergeCell ref="A41:E41"/>
    <mergeCell ref="A42:E42"/>
    <mergeCell ref="A43:E43"/>
    <mergeCell ref="A33:B33"/>
    <mergeCell ref="A37:B37"/>
    <mergeCell ref="A38:B38"/>
    <mergeCell ref="A34:B34"/>
    <mergeCell ref="A35:B35"/>
    <mergeCell ref="A36:B36"/>
    <mergeCell ref="A72:C72"/>
    <mergeCell ref="A73:C73"/>
    <mergeCell ref="A74:C74"/>
    <mergeCell ref="D74:E74"/>
    <mergeCell ref="A29:B29"/>
    <mergeCell ref="A45:E45"/>
    <mergeCell ref="A68:C68"/>
    <mergeCell ref="A69:C69"/>
    <mergeCell ref="A70:C70"/>
    <mergeCell ref="D70:E70"/>
    <mergeCell ref="A64:E64"/>
    <mergeCell ref="A65:E65"/>
    <mergeCell ref="E51:E61"/>
    <mergeCell ref="A46:E46"/>
    <mergeCell ref="A66:E66"/>
  </mergeCells>
  <printOptions horizontalCentered="1"/>
  <pageMargins left="0.70866141732283472" right="0.70866141732283472" top="0.74803149606299213" bottom="0.74803149606299213" header="0.31496062992125984" footer="0.31496062992125984"/>
  <pageSetup paperSize="9" scale="64" orientation="portrait" r:id="rId1"/>
  <rowBreaks count="1" manualBreakCount="1">
    <brk id="81" max="4"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Лист14">
    <tabColor rgb="FF00B050"/>
  </sheetPr>
  <dimension ref="A3:E54"/>
  <sheetViews>
    <sheetView view="pageBreakPreview" topLeftCell="A23" zoomScaleSheetLayoutView="100" workbookViewId="0">
      <selection activeCell="A50" sqref="A50:E50"/>
    </sheetView>
  </sheetViews>
  <sheetFormatPr defaultColWidth="9.140625" defaultRowHeight="15" outlineLevelRow="1"/>
  <cols>
    <col min="1" max="1" width="23.85546875" style="19" customWidth="1"/>
    <col min="2" max="2" width="23.28515625" style="19" customWidth="1"/>
    <col min="3" max="3" width="17" style="19" customWidth="1"/>
    <col min="4" max="4" width="17.5703125" style="19" customWidth="1"/>
    <col min="5" max="5" width="19.7109375" style="19" customWidth="1"/>
    <col min="6" max="16384" width="9.140625" style="19"/>
  </cols>
  <sheetData>
    <row r="3" spans="1:5" ht="16.5" customHeight="1"/>
    <row r="4" spans="1:5" ht="17.25" customHeight="1">
      <c r="A4" s="265" t="str">
        <f>""&amp;'Общие данные'!B147&amp;" ijrochi direktorining
"&amp;'Общие данные'!B165&amp;"dagi "&amp;'Общие данные'!B164&amp;"-sonli buyrug‘i"</f>
        <v>«CLEVER MIKROMOLIYA TASHKILOTI» MChJ ijrochi direktorining
7 mart 2025 y.dagi №558-SM-sonli buyrug‘i</v>
      </c>
      <c r="B4" s="265"/>
      <c r="C4" s="265"/>
      <c r="D4" s="265"/>
      <c r="E4" s="265"/>
    </row>
    <row r="5" spans="1:5">
      <c r="A5" s="265"/>
      <c r="B5" s="265"/>
      <c r="C5" s="265"/>
      <c r="D5" s="265"/>
      <c r="E5" s="265"/>
    </row>
    <row r="6" spans="1:5">
      <c r="A6" s="265"/>
      <c r="B6" s="265"/>
      <c r="C6" s="265"/>
      <c r="D6" s="265"/>
      <c r="E6" s="265"/>
    </row>
    <row r="7" spans="1:5">
      <c r="A7" s="245"/>
      <c r="B7" s="245"/>
      <c r="C7" s="245"/>
      <c r="D7" s="245"/>
      <c r="E7" s="245"/>
    </row>
    <row r="8" spans="1:5" ht="53.25" customHeight="1">
      <c r="A8" s="245" t="str">
        <f>"Men, Omanliqov O.O. v.v.b. "&amp;'Общие данные'!B147&amp;" ijrochi direktori, jismoniy shaxs "&amp;'Общие данные'!B10&amp;"ga quyidagi shartlarda "&amp;'Общие данные'!B65&amp;" berishni buyuraman:"</f>
        <v>Men, Omanliqov O.O. v.v.b. «CLEVER MIKROMOLIYA TASHKILOTI» MChJ ijrochi direktori, jismoniy shaxs SALIYEV DALER ALIMDJONOVICHga quyidagi shartlarda mikroqarz berishni buyuraman:</v>
      </c>
      <c r="B8" s="245"/>
      <c r="C8" s="245"/>
      <c r="D8" s="245"/>
      <c r="E8" s="245"/>
    </row>
    <row r="9" spans="1:5" ht="26.25" customHeight="1">
      <c r="A9" s="245" t="str">
        <f>'Кредитная заявка'!A13:D13</f>
        <v>Mikroqarz summasi: 20 000 000,00 (yigirma million so'm) so'm.</v>
      </c>
      <c r="B9" s="245"/>
      <c r="C9" s="245"/>
      <c r="D9" s="245"/>
      <c r="E9" s="245"/>
    </row>
    <row r="10" spans="1:5" ht="21" customHeight="1">
      <c r="A10" s="245" t="str">
        <f>'Кредитная заявка'!A14:D14</f>
        <v>Mikroqarz muddati: 24 (yigirma to'rt) oy.</v>
      </c>
      <c r="B10" s="245"/>
      <c r="C10" s="245"/>
      <c r="D10" s="245"/>
      <c r="E10" s="245"/>
    </row>
    <row r="11" spans="1:5" ht="27" customHeight="1">
      <c r="A11" s="245" t="str">
        <f>'Кредитная заявка'!A15:D15</f>
        <v>Mikroqarzdan foydalanganlik uchun foiz stavkasi: yillik  60% (Oltmish) foiz</v>
      </c>
      <c r="B11" s="245"/>
      <c r="C11" s="245"/>
      <c r="D11" s="245"/>
      <c r="E11" s="245"/>
    </row>
    <row r="12" spans="1:5" ht="26.25" customHeight="1">
      <c r="A12" s="245" t="str">
        <f>'Кредитная заявка'!A16:D16</f>
        <v>Mikroqarz bo'yicha asosiy qarz va foizlarni to'lash:</v>
      </c>
      <c r="B12" s="245"/>
      <c r="C12" s="245"/>
      <c r="D12" s="245"/>
      <c r="E12" s="245"/>
    </row>
    <row r="13" spans="1:5" ht="21.75" customHeight="1">
      <c r="A13" s="245" t="str">
        <f>'Кредитная заявка'!A17:D17</f>
        <v xml:space="preserve"> - mikroqarz shartnomasi bo'yicha har oy differensial to'lovlari amalga oshiriladi</v>
      </c>
      <c r="B13" s="245"/>
      <c r="C13" s="245"/>
      <c r="D13" s="245"/>
      <c r="E13" s="245"/>
    </row>
    <row r="14" spans="1:5" hidden="1">
      <c r="A14" s="245" t="str">
        <f>'Кредитная заявка'!A20:D20</f>
        <v xml:space="preserve">   </v>
      </c>
      <c r="B14" s="245"/>
      <c r="C14" s="245"/>
      <c r="D14" s="245"/>
      <c r="E14" s="245"/>
    </row>
    <row r="15" spans="1:5" ht="45.75" hidden="1" customHeight="1">
      <c r="A15" s="245" t="str">
        <f>IF('Общие данные'!B103="Avtotransport",'Приказ на сделку'!A14:E14,'Приказ на сделку'!A13:E13)</f>
        <v xml:space="preserve">   </v>
      </c>
      <c r="B15" s="245"/>
      <c r="C15" s="245"/>
      <c r="D15" s="245"/>
      <c r="E15" s="245"/>
    </row>
    <row r="16" spans="1:5" ht="50.25" hidden="1" customHeight="1">
      <c r="A16" s="245" t="str">
        <f>""&amp;'Общие данные'!C117&amp;"ga tegishli "&amp;'Общие данные'!C126&amp;" ko'rinishidagi ko'chmas mulkni quyidagi ma'lumotlarga muvofiq  garovga qabul qilinsin:"</f>
        <v>SHOUSMANOVA DAVLATXON XXXga tegishli 3 - xonali yakka tartibdagi uy-joy ko'rinishidagi ko'chmas mulkni quyidagi ma'lumotlarga muvofiq  garovga qabul qilinsin:</v>
      </c>
      <c r="B16" s="245"/>
      <c r="C16" s="245"/>
      <c r="D16" s="245"/>
      <c r="E16" s="245"/>
    </row>
    <row r="17" spans="1:5" ht="47.25" customHeight="1">
      <c r="A17" s="245" t="str">
        <f>""&amp;'Общие данные'!B117&amp;"ga tegishli "&amp;'Общие данные'!B125&amp;" ko'rinishidagi transport vositasini quyidagi ma'lumotlarga muvofiq garovga qabul qilinsin:"</f>
        <v>SHADMANOVA GULMIRA ZAKIROVNAga tegishli COBALT  ko'rinishidagi transport vositasini quyidagi ma'lumotlarga muvofiq garovga qabul qilinsin:</v>
      </c>
      <c r="B17" s="245"/>
      <c r="C17" s="245"/>
      <c r="D17" s="245"/>
      <c r="E17" s="245"/>
    </row>
    <row r="18" spans="1:5" s="41" customFormat="1" ht="60" customHeight="1" outlineLevel="1">
      <c r="A18" s="43" t="str">
        <f>'Акт согласования'!A47</f>
        <v>Nomi</v>
      </c>
      <c r="B18" s="43" t="str">
        <f>'Акт согласования'!B47</f>
        <v>Kuzov turi  va kuzov raqami*</v>
      </c>
      <c r="C18" s="43" t="str">
        <f>'Акт согласования'!C47</f>
        <v>Dvigatel va shassi raqami*</v>
      </c>
      <c r="D18" s="43" t="str">
        <f>'Акт согласования'!D47</f>
        <v>Ishlab chiqarilgan yili va rangi*</v>
      </c>
      <c r="E18" s="43" t="str">
        <f>'Акт согласования'!E47</f>
        <v>Kelishilgan garov qiymati, so'm</v>
      </c>
    </row>
    <row r="19" spans="1:5" ht="84.75" customHeight="1" outlineLevel="1">
      <c r="A19" s="21" t="str">
        <f>'Акт согласования'!A48</f>
        <v xml:space="preserve">COBALT </v>
      </c>
      <c r="B19" s="21" t="str">
        <f>'Акт согласования'!B48</f>
        <v>kuzov turi - YENGIL SEDAN, kuzov raqami XWBJA69VEPA011841</v>
      </c>
      <c r="C19" s="21" t="str">
        <f>'Акт согласования'!C48</f>
        <v>dvigatel raqami B15D212223022MTAX0763, shassi raqami - -</v>
      </c>
      <c r="D19" s="21" t="str">
        <f>'Акт согласования'!D48</f>
        <v>rangi -  OQ BELIY, ishlab chiqarilgan yili - 2022</v>
      </c>
      <c r="E19" s="21" t="str">
        <f>'Акт согласования'!E48</f>
        <v>30 000 000,00 
(o'ttiz million so'm)</v>
      </c>
    </row>
    <row r="20" spans="1:5" ht="20.25" customHeight="1" outlineLevel="1">
      <c r="A20" s="245" t="str">
        <f>'Акт согласования'!A22:E22</f>
        <v>-* avtotransport egasi: SHADMANOVA GULMIRA ZAKIROVNA</v>
      </c>
      <c r="B20" s="245"/>
      <c r="C20" s="245"/>
      <c r="D20" s="245"/>
      <c r="E20" s="245"/>
    </row>
    <row r="21" spans="1:5" ht="20.25" customHeight="1" outlineLevel="1">
      <c r="A21" s="245" t="str">
        <f>'Акт согласования'!A23:E23</f>
        <v>-* texnik pasport: AAG 1736517 15.06.2023yil</v>
      </c>
      <c r="B21" s="245"/>
      <c r="C21" s="245"/>
      <c r="D21" s="245"/>
      <c r="E21" s="245"/>
    </row>
    <row r="22" spans="1:5" ht="40.5" customHeight="1" outlineLevel="1">
      <c r="A22" s="245" t="str">
        <f>'Акт согласования'!A24:E24</f>
        <v>-* roʻyxatdan oʻtgan manzili/garaj manzili: TOSHKENT SHAHAR MIROBOD TUMANI FARG'ONA YO'LI FITRAT MAHALLASI 3 UY 30 XONADON</v>
      </c>
      <c r="B22" s="245"/>
      <c r="C22" s="245"/>
      <c r="D22" s="245"/>
      <c r="E22" s="245"/>
    </row>
    <row r="23" spans="1:5" ht="20.25" customHeight="1" outlineLevel="1">
      <c r="A23" s="245" t="str">
        <f>'Акт согласования'!A25:E25</f>
        <v>-* davlat raqami: 30S095AB</v>
      </c>
      <c r="B23" s="245"/>
      <c r="C23" s="245"/>
      <c r="D23" s="245"/>
      <c r="E23" s="245"/>
    </row>
    <row r="24" spans="1:5">
      <c r="A24" s="245"/>
      <c r="B24" s="245"/>
      <c r="C24" s="245"/>
      <c r="D24" s="245"/>
      <c r="E24" s="245"/>
    </row>
    <row r="25" spans="1:5" s="41" customFormat="1" ht="41.25" hidden="1" customHeight="1" outlineLevel="1">
      <c r="A25" s="43" t="s">
        <v>217</v>
      </c>
      <c r="B25" s="43" t="s">
        <v>283</v>
      </c>
      <c r="C25" s="43" t="s">
        <v>305</v>
      </c>
      <c r="D25" s="43" t="s">
        <v>225</v>
      </c>
      <c r="E25" s="43" t="str">
        <f>'Акт согласования'!E47</f>
        <v>Kelishilgan garov qiymati, so'm</v>
      </c>
    </row>
    <row r="26" spans="1:5" hidden="1" outlineLevel="1">
      <c r="A26" s="21" t="str">
        <f>'Акт согласования'!A51</f>
        <v>Yashash xona</v>
      </c>
      <c r="B26" s="138">
        <f>'Акт согласования'!B51</f>
        <v>0</v>
      </c>
      <c r="C26" s="138">
        <f>'Акт согласования'!C51</f>
        <v>37.39</v>
      </c>
      <c r="D26" s="138">
        <f>'Акт согласования'!D51</f>
        <v>37.39</v>
      </c>
      <c r="E26" s="260" t="str">
        <f>'Акт согласования'!E51</f>
        <v>30 000 000,00 (o'ttiz million so'm)</v>
      </c>
    </row>
    <row r="27" spans="1:5" hidden="1" outlineLevel="1">
      <c r="A27" s="21">
        <f>'Акт согласования'!A52</f>
        <v>0</v>
      </c>
      <c r="B27" s="138">
        <f>'Акт согласования'!B52</f>
        <v>0</v>
      </c>
      <c r="C27" s="138">
        <f>'Акт согласования'!C52</f>
        <v>0</v>
      </c>
      <c r="D27" s="138">
        <f>'Акт согласования'!D52</f>
        <v>0</v>
      </c>
      <c r="E27" s="260"/>
    </row>
    <row r="28" spans="1:5" hidden="1" outlineLevel="1">
      <c r="A28" s="21" t="str">
        <f>'Акт согласования'!A53</f>
        <v>Noturar joy</v>
      </c>
      <c r="B28" s="138">
        <f>'Акт согласования'!B53</f>
        <v>34.74</v>
      </c>
      <c r="C28" s="138">
        <f>'Акт согласования'!C53</f>
        <v>0</v>
      </c>
      <c r="D28" s="138">
        <f>'Акт согласования'!D53</f>
        <v>34.74</v>
      </c>
      <c r="E28" s="260"/>
    </row>
    <row r="29" spans="1:5" hidden="1" outlineLevel="1">
      <c r="A29" s="21">
        <f>'Акт согласования'!A54</f>
        <v>0</v>
      </c>
      <c r="B29" s="138">
        <f>'Акт согласования'!B54</f>
        <v>0</v>
      </c>
      <c r="C29" s="138">
        <f>'Акт согласования'!C54</f>
        <v>0</v>
      </c>
      <c r="D29" s="138">
        <f>'Акт согласования'!D54</f>
        <v>0</v>
      </c>
      <c r="E29" s="260"/>
    </row>
    <row r="30" spans="1:5" hidden="1" outlineLevel="1">
      <c r="A30" s="21">
        <f>'Акт согласования'!A55</f>
        <v>0</v>
      </c>
      <c r="B30" s="138">
        <f>'Акт согласования'!B55</f>
        <v>0</v>
      </c>
      <c r="C30" s="138">
        <f>'Акт согласования'!C55</f>
        <v>0</v>
      </c>
      <c r="D30" s="138">
        <f>'Акт согласования'!D55</f>
        <v>0</v>
      </c>
      <c r="E30" s="260"/>
    </row>
    <row r="31" spans="1:5" hidden="1" outlineLevel="1">
      <c r="A31" s="21">
        <f>'Акт согласования'!A56</f>
        <v>0</v>
      </c>
      <c r="B31" s="138">
        <f>'Акт согласования'!B56</f>
        <v>0</v>
      </c>
      <c r="C31" s="138">
        <f>'Акт согласования'!C56</f>
        <v>0</v>
      </c>
      <c r="D31" s="138">
        <f>'Акт согласования'!D56</f>
        <v>0</v>
      </c>
      <c r="E31" s="260"/>
    </row>
    <row r="32" spans="1:5" hidden="1" outlineLevel="1">
      <c r="A32" s="21">
        <f>'Акт согласования'!A57</f>
        <v>0</v>
      </c>
      <c r="B32" s="138">
        <f>'Акт согласования'!B57</f>
        <v>0</v>
      </c>
      <c r="C32" s="138">
        <f>'Акт согласования'!C57</f>
        <v>0</v>
      </c>
      <c r="D32" s="138">
        <f>'Акт согласования'!D57</f>
        <v>0</v>
      </c>
      <c r="E32" s="260"/>
    </row>
    <row r="33" spans="1:5" hidden="1" outlineLevel="1">
      <c r="A33" s="21">
        <f>'Акт согласования'!A58</f>
        <v>0</v>
      </c>
      <c r="B33" s="138">
        <f>'Акт согласования'!B58</f>
        <v>0</v>
      </c>
      <c r="C33" s="138">
        <f>'Акт согласования'!C58</f>
        <v>0</v>
      </c>
      <c r="D33" s="138">
        <f>'Акт согласования'!D58</f>
        <v>0</v>
      </c>
      <c r="E33" s="260"/>
    </row>
    <row r="34" spans="1:5" hidden="1" outlineLevel="1">
      <c r="A34" s="21">
        <f>'Акт согласования'!A59</f>
        <v>0</v>
      </c>
      <c r="B34" s="138">
        <f>'Акт согласования'!B59</f>
        <v>0</v>
      </c>
      <c r="C34" s="138">
        <f>'Акт согласования'!C59</f>
        <v>0</v>
      </c>
      <c r="D34" s="138">
        <f>'Акт согласования'!D59</f>
        <v>0</v>
      </c>
      <c r="E34" s="260"/>
    </row>
    <row r="35" spans="1:5" hidden="1" outlineLevel="1">
      <c r="A35" s="21">
        <f>'Акт согласования'!A60</f>
        <v>0</v>
      </c>
      <c r="B35" s="138">
        <f>'Акт согласования'!B60</f>
        <v>0</v>
      </c>
      <c r="C35" s="138">
        <f>'Акт согласования'!C60</f>
        <v>0</v>
      </c>
      <c r="D35" s="138">
        <f>'Акт согласования'!D60</f>
        <v>0</v>
      </c>
      <c r="E35" s="260"/>
    </row>
    <row r="36" spans="1:5" hidden="1" outlineLevel="1">
      <c r="A36" s="21">
        <f>'Акт согласования'!A61</f>
        <v>0</v>
      </c>
      <c r="B36" s="21">
        <f>'Акт согласования'!B61</f>
        <v>0</v>
      </c>
      <c r="C36" s="21">
        <f>'Акт согласования'!C61</f>
        <v>0</v>
      </c>
      <c r="D36" s="21">
        <f>'Акт согласования'!D61</f>
        <v>0</v>
      </c>
      <c r="E36" s="260"/>
    </row>
    <row r="37" spans="1:5" s="41" customFormat="1" ht="14.25" hidden="1" outlineLevel="1">
      <c r="A37" s="43" t="str">
        <f>'Акт согласования'!A62</f>
        <v>JAMI</v>
      </c>
      <c r="B37" s="43">
        <f>'Акт согласования'!B62</f>
        <v>34.74</v>
      </c>
      <c r="C37" s="43">
        <f>'Акт согласования'!C62</f>
        <v>37.39</v>
      </c>
      <c r="D37" s="43">
        <f>'Акт согласования'!D62</f>
        <v>72.13</v>
      </c>
      <c r="E37" s="43" t="str">
        <f>'Акт согласования'!E62</f>
        <v>30 000 000,00</v>
      </c>
    </row>
    <row r="38" spans="1:5" s="41" customFormat="1" ht="15" hidden="1" customHeight="1" outlineLevel="1">
      <c r="A38" s="245" t="str">
        <f>'Акт согласования'!A39:E39</f>
        <v>-* ko'chmas mulk egasi: SHOUSMANOVA DAVLATXON XXX</v>
      </c>
      <c r="B38" s="245"/>
      <c r="C38" s="245"/>
      <c r="D38" s="245"/>
      <c r="E38" s="245"/>
    </row>
    <row r="39" spans="1:5" s="41" customFormat="1" hidden="1" outlineLevel="1">
      <c r="A39" s="245" t="str">
        <f>'Акт согласования'!A40:E40</f>
        <v>-* reestr raqami: 1718238/R-A1419303</v>
      </c>
      <c r="B39" s="245"/>
      <c r="C39" s="245"/>
      <c r="D39" s="245"/>
      <c r="E39" s="245"/>
    </row>
    <row r="40" spans="1:5" s="41" customFormat="1" hidden="1" outlineLevel="1">
      <c r="A40" s="245" t="str">
        <f>'Акт согласования'!A41:E41</f>
        <v>-* kadastr raqami: №14:13:02:01:03:1179:0006:058 от 16.12.2020 г.</v>
      </c>
      <c r="B40" s="245"/>
      <c r="C40" s="245"/>
      <c r="D40" s="245"/>
      <c r="E40" s="245"/>
    </row>
    <row r="41" spans="1:5" s="41" customFormat="1" hidden="1" outlineLevel="1">
      <c r="A41" s="245" t="str">
        <f>'Акт согласования'!A42:E42</f>
        <v>-* manzil: SAMARQAND VILOYATI TAYLOQ TUMANI CHAROG'BON MFY YANGI TAYLOQ QISHLOG'I 6 TURAR JOY 12 QAVAT 58 XONADON</v>
      </c>
      <c r="B41" s="245"/>
      <c r="C41" s="245"/>
      <c r="D41" s="245"/>
      <c r="E41" s="245"/>
    </row>
    <row r="42" spans="1:5" s="41" customFormat="1" collapsed="1">
      <c r="A42" s="245"/>
      <c r="B42" s="245"/>
      <c r="C42" s="245"/>
      <c r="D42" s="245"/>
      <c r="E42" s="245"/>
    </row>
    <row r="43" spans="1:5" s="41" customFormat="1">
      <c r="A43" s="245"/>
      <c r="B43" s="245"/>
      <c r="C43" s="245"/>
      <c r="D43" s="245"/>
      <c r="E43" s="245"/>
    </row>
    <row r="44" spans="1:5" s="41" customFormat="1" hidden="1">
      <c r="A44" s="245"/>
      <c r="B44" s="245"/>
      <c r="C44" s="245"/>
      <c r="D44" s="245"/>
      <c r="E44" s="245"/>
    </row>
    <row r="45" spans="1:5" s="41" customFormat="1" ht="14.25" hidden="1">
      <c r="A45" s="60"/>
      <c r="B45" s="60"/>
      <c r="C45" s="60"/>
      <c r="D45" s="60"/>
      <c r="E45" s="60"/>
    </row>
    <row r="46" spans="1:5" hidden="1">
      <c r="A46" s="245"/>
      <c r="B46" s="245"/>
      <c r="C46" s="245"/>
      <c r="D46" s="245"/>
      <c r="E46" s="245"/>
    </row>
    <row r="47" spans="1:5" ht="15" customHeight="1">
      <c r="A47" s="300" t="str">
        <f>'Общие данные'!B148</f>
        <v>«CLEVER MIKROMOLIYA TASHKILOTI» MChJ</v>
      </c>
      <c r="B47" s="300"/>
      <c r="C47" s="300"/>
      <c r="D47" s="327"/>
      <c r="E47" s="327"/>
    </row>
    <row r="48" spans="1:5" ht="15" customHeight="1">
      <c r="A48" s="300" t="s">
        <v>436</v>
      </c>
      <c r="B48" s="300"/>
      <c r="C48" s="300"/>
      <c r="D48" s="327" t="s">
        <v>435</v>
      </c>
      <c r="E48" s="327"/>
    </row>
    <row r="49" spans="1:5">
      <c r="A49" s="245"/>
      <c r="B49" s="245"/>
      <c r="C49" s="245"/>
      <c r="D49" s="245"/>
      <c r="E49" s="245"/>
    </row>
    <row r="50" spans="1:5">
      <c r="A50" s="245"/>
      <c r="B50" s="245"/>
      <c r="C50" s="245"/>
      <c r="D50" s="245"/>
      <c r="E50" s="245"/>
    </row>
    <row r="51" spans="1:5">
      <c r="A51" s="245"/>
      <c r="B51" s="245"/>
      <c r="C51" s="245"/>
      <c r="D51" s="245"/>
      <c r="E51" s="245"/>
    </row>
    <row r="52" spans="1:5">
      <c r="A52" s="245"/>
      <c r="B52" s="245"/>
      <c r="C52" s="245"/>
      <c r="D52" s="245"/>
      <c r="E52" s="245"/>
    </row>
    <row r="53" spans="1:5">
      <c r="A53" s="245"/>
      <c r="B53" s="245"/>
      <c r="C53" s="245"/>
      <c r="D53" s="245"/>
      <c r="E53" s="245"/>
    </row>
    <row r="54" spans="1:5">
      <c r="A54" s="245"/>
      <c r="B54" s="245"/>
      <c r="C54" s="245"/>
      <c r="D54" s="245"/>
      <c r="E54" s="245"/>
    </row>
  </sheetData>
  <mergeCells count="36">
    <mergeCell ref="A12:E12"/>
    <mergeCell ref="A52:E52"/>
    <mergeCell ref="A20:E20"/>
    <mergeCell ref="A15:E15"/>
    <mergeCell ref="A16:E16"/>
    <mergeCell ref="A4:E6"/>
    <mergeCell ref="A44:E44"/>
    <mergeCell ref="A38:E38"/>
    <mergeCell ref="A39:E39"/>
    <mergeCell ref="A40:E40"/>
    <mergeCell ref="A41:E41"/>
    <mergeCell ref="A42:E42"/>
    <mergeCell ref="A21:E21"/>
    <mergeCell ref="A14:E14"/>
    <mergeCell ref="A17:E17"/>
    <mergeCell ref="A7:E7"/>
    <mergeCell ref="A8:E8"/>
    <mergeCell ref="A13:E13"/>
    <mergeCell ref="A9:E9"/>
    <mergeCell ref="A10:E10"/>
    <mergeCell ref="A11:E11"/>
    <mergeCell ref="A54:E54"/>
    <mergeCell ref="A22:E22"/>
    <mergeCell ref="A23:E23"/>
    <mergeCell ref="A24:E24"/>
    <mergeCell ref="A46:E46"/>
    <mergeCell ref="A47:C47"/>
    <mergeCell ref="D47:E47"/>
    <mergeCell ref="A48:C48"/>
    <mergeCell ref="D48:E48"/>
    <mergeCell ref="A49:E49"/>
    <mergeCell ref="A50:E50"/>
    <mergeCell ref="A51:E51"/>
    <mergeCell ref="A53:E53"/>
    <mergeCell ref="E26:E36"/>
    <mergeCell ref="A43:E43"/>
  </mergeCells>
  <pageMargins left="0.70866141732283472" right="0.70866141732283472" top="0.74803149606299213" bottom="0.74803149606299213" header="0.31496062992125984" footer="0.31496062992125984"/>
  <pageSetup paperSize="9" scale="83"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Лист17">
    <tabColor rgb="FF00B050"/>
  </sheetPr>
  <dimension ref="B1:G42"/>
  <sheetViews>
    <sheetView view="pageBreakPreview" topLeftCell="A24" zoomScaleSheetLayoutView="100" workbookViewId="0">
      <selection activeCell="D31" sqref="D31"/>
    </sheetView>
  </sheetViews>
  <sheetFormatPr defaultColWidth="9.140625" defaultRowHeight="15"/>
  <cols>
    <col min="1" max="1" width="3.42578125" style="19" customWidth="1"/>
    <col min="2" max="3" width="17.85546875" style="24" customWidth="1"/>
    <col min="4" max="4" width="15" style="24" customWidth="1"/>
    <col min="5" max="5" width="17.85546875" style="24" customWidth="1"/>
    <col min="6" max="6" width="9" style="24" customWidth="1"/>
    <col min="7" max="7" width="4.7109375" style="24" customWidth="1"/>
    <col min="8" max="16384" width="9.140625" style="19"/>
  </cols>
  <sheetData>
    <row r="1" spans="2:7" ht="15.75" thickBot="1"/>
    <row r="2" spans="2:7" ht="62.25" customHeight="1">
      <c r="B2" s="333" t="str">
        <f>'Общие данные'!B148</f>
        <v>«CLEVER MIKROMOLIYA TASHKILOTI» MChJ</v>
      </c>
      <c r="C2" s="334"/>
      <c r="D2" s="334"/>
      <c r="E2" s="334"/>
      <c r="F2" s="335"/>
      <c r="G2" s="45"/>
    </row>
    <row r="3" spans="2:7">
      <c r="B3" s="328"/>
      <c r="C3" s="269"/>
      <c r="D3" s="269"/>
      <c r="E3" s="269"/>
      <c r="F3" s="329"/>
      <c r="G3" s="46"/>
    </row>
    <row r="4" spans="2:7" ht="8.25" customHeight="1">
      <c r="B4" s="67"/>
      <c r="F4" s="68"/>
      <c r="G4" s="46"/>
    </row>
    <row r="5" spans="2:7" ht="12" customHeight="1">
      <c r="B5" s="48"/>
      <c r="C5" s="46"/>
      <c r="D5" s="46"/>
      <c r="E5" s="46"/>
      <c r="F5" s="49"/>
      <c r="G5" s="46"/>
    </row>
    <row r="6" spans="2:7" ht="6.75" customHeight="1">
      <c r="B6" s="48"/>
      <c r="C6" s="46"/>
      <c r="D6" s="46"/>
      <c r="E6" s="46"/>
      <c r="F6" s="49"/>
      <c r="G6" s="46"/>
    </row>
    <row r="7" spans="2:7" ht="6.75" customHeight="1">
      <c r="B7" s="48"/>
      <c r="C7" s="46"/>
      <c r="D7" s="46"/>
      <c r="E7" s="46"/>
      <c r="F7" s="49"/>
      <c r="G7" s="46"/>
    </row>
    <row r="8" spans="2:7">
      <c r="B8" s="48"/>
      <c r="C8" s="46"/>
      <c r="D8" s="46"/>
      <c r="E8" s="46"/>
      <c r="F8" s="49"/>
      <c r="G8" s="46"/>
    </row>
    <row r="9" spans="2:7">
      <c r="B9" s="48"/>
      <c r="C9" s="46"/>
      <c r="D9" s="46"/>
      <c r="E9" s="46"/>
      <c r="F9" s="49"/>
      <c r="G9" s="46"/>
    </row>
    <row r="10" spans="2:7">
      <c r="B10" s="328" t="s">
        <v>28</v>
      </c>
      <c r="C10" s="269"/>
      <c r="D10" s="269"/>
      <c r="E10" s="269"/>
      <c r="F10" s="329"/>
      <c r="G10" s="46"/>
    </row>
    <row r="11" spans="2:7">
      <c r="B11" s="328" t="s">
        <v>28</v>
      </c>
      <c r="C11" s="269"/>
      <c r="D11" s="269"/>
      <c r="E11" s="269"/>
      <c r="F11" s="329"/>
      <c r="G11" s="46"/>
    </row>
    <row r="12" spans="2:7" ht="135" customHeight="1">
      <c r="B12" s="336" t="str">
        <f>'Общие данные'!B5</f>
        <v>SALIYEV DALER ALIMDJONOVICH</v>
      </c>
      <c r="C12" s="337"/>
      <c r="D12" s="337"/>
      <c r="E12" s="337"/>
      <c r="F12" s="338"/>
      <c r="G12" s="47"/>
    </row>
    <row r="13" spans="2:7">
      <c r="B13" s="328"/>
      <c r="C13" s="269"/>
      <c r="D13" s="269"/>
      <c r="E13" s="269"/>
      <c r="F13" s="329"/>
      <c r="G13" s="46"/>
    </row>
    <row r="14" spans="2:7">
      <c r="B14" s="48"/>
      <c r="C14" s="46"/>
      <c r="D14" s="46"/>
      <c r="E14" s="46"/>
      <c r="F14" s="49"/>
      <c r="G14" s="46"/>
    </row>
    <row r="15" spans="2:7">
      <c r="B15" s="48"/>
      <c r="C15" s="46"/>
      <c r="D15" s="46"/>
      <c r="E15" s="46"/>
      <c r="F15" s="49"/>
      <c r="G15" s="46"/>
    </row>
    <row r="16" spans="2:7">
      <c r="B16" s="48"/>
      <c r="C16" s="46"/>
      <c r="D16" s="46"/>
      <c r="E16" s="46"/>
      <c r="F16" s="49"/>
      <c r="G16" s="46"/>
    </row>
    <row r="17" spans="2:7">
      <c r="B17" s="48"/>
      <c r="C17" s="46"/>
      <c r="D17" s="46"/>
      <c r="E17" s="46"/>
      <c r="F17" s="49"/>
      <c r="G17" s="46"/>
    </row>
    <row r="18" spans="2:7">
      <c r="B18" s="328"/>
      <c r="C18" s="269"/>
      <c r="D18" s="269"/>
      <c r="E18" s="269"/>
      <c r="F18" s="329"/>
      <c r="G18" s="46"/>
    </row>
    <row r="19" spans="2:7" ht="20.25">
      <c r="B19" s="330" t="str">
        <f>""&amp;'Общие данные'!C64&amp;" shartnoma "&amp;'Общие данные'!B74&amp;""</f>
        <v>Mikroqarz shartnoma 7 mart 2025 y.dan №558-SM</v>
      </c>
      <c r="C19" s="331"/>
      <c r="D19" s="331"/>
      <c r="E19" s="331"/>
      <c r="F19" s="332"/>
      <c r="G19" s="46"/>
    </row>
    <row r="20" spans="2:7">
      <c r="B20" s="328"/>
      <c r="C20" s="269"/>
      <c r="D20" s="269"/>
      <c r="E20" s="269"/>
      <c r="F20" s="329"/>
      <c r="G20" s="46"/>
    </row>
    <row r="21" spans="2:7">
      <c r="B21" s="328"/>
      <c r="C21" s="269"/>
      <c r="D21" s="269"/>
      <c r="E21" s="269"/>
      <c r="F21" s="329"/>
      <c r="G21" s="46"/>
    </row>
    <row r="22" spans="2:7">
      <c r="B22" s="328"/>
      <c r="C22" s="269"/>
      <c r="D22" s="269"/>
      <c r="E22" s="269"/>
      <c r="F22" s="329"/>
      <c r="G22" s="46"/>
    </row>
    <row r="23" spans="2:7">
      <c r="B23" s="328"/>
      <c r="C23" s="269"/>
      <c r="D23" s="269"/>
      <c r="E23" s="269"/>
      <c r="F23" s="329"/>
      <c r="G23" s="46"/>
    </row>
    <row r="24" spans="2:7">
      <c r="B24" s="342" t="str">
        <f>" Foiz stavkasi: "&amp;'Общие данные'!B85&amp;"%"</f>
        <v xml:space="preserve"> Foiz stavkasi: 60%</v>
      </c>
      <c r="C24" s="250"/>
      <c r="D24" s="250"/>
      <c r="E24" s="250"/>
      <c r="F24" s="343"/>
      <c r="G24" s="46"/>
    </row>
    <row r="25" spans="2:7" ht="15" customHeight="1">
      <c r="B25" s="342" t="str">
        <f>" "&amp;'Общие данные'!C64&amp;" muddati: "&amp;'Общие данные'!B81&amp;" oy"</f>
        <v xml:space="preserve"> Mikroqarz muddati: 24 oy</v>
      </c>
      <c r="C25" s="250"/>
      <c r="D25" s="250"/>
      <c r="E25" s="250"/>
      <c r="F25" s="343"/>
      <c r="G25" s="46"/>
    </row>
    <row r="26" spans="2:7">
      <c r="B26" s="342" t="str">
        <f>" "&amp;'Общие данные'!C64&amp;" miqdori: "&amp;FIXED('Общие данные'!B75,2)&amp;" so'm"</f>
        <v xml:space="preserve"> Mikroqarz miqdori: 20 000 000,00 so'm</v>
      </c>
      <c r="C26" s="250"/>
      <c r="D26" s="250"/>
      <c r="E26" s="250"/>
      <c r="F26" s="343"/>
      <c r="G26" s="46"/>
    </row>
    <row r="27" spans="2:7">
      <c r="B27" s="328"/>
      <c r="C27" s="269"/>
      <c r="D27" s="269"/>
      <c r="E27" s="269"/>
      <c r="F27" s="329"/>
      <c r="G27" s="46"/>
    </row>
    <row r="28" spans="2:7" hidden="1">
      <c r="G28" s="46"/>
    </row>
    <row r="29" spans="2:7">
      <c r="B29" s="328"/>
      <c r="C29" s="269"/>
      <c r="D29" s="269"/>
      <c r="E29" s="269"/>
      <c r="F29" s="329"/>
      <c r="G29" s="46"/>
    </row>
    <row r="30" spans="2:7" ht="12.75" customHeight="1">
      <c r="B30" s="48"/>
      <c r="C30" s="46"/>
      <c r="D30" s="46"/>
      <c r="E30" s="46"/>
      <c r="F30" s="49"/>
      <c r="G30" s="46"/>
    </row>
    <row r="31" spans="2:7">
      <c r="B31" s="48"/>
      <c r="C31" s="46"/>
      <c r="D31" s="46"/>
      <c r="E31" s="46"/>
      <c r="F31" s="49"/>
      <c r="G31" s="46"/>
    </row>
    <row r="32" spans="2:7" ht="2.25" customHeight="1">
      <c r="B32" s="48"/>
      <c r="C32" s="46"/>
      <c r="D32" s="46"/>
      <c r="E32" s="46"/>
      <c r="F32" s="49"/>
      <c r="G32" s="46"/>
    </row>
    <row r="33" spans="2:7">
      <c r="B33" s="48"/>
      <c r="C33" s="46"/>
      <c r="D33" s="46"/>
      <c r="E33" s="46"/>
      <c r="F33" s="49"/>
      <c r="G33" s="46"/>
    </row>
    <row r="34" spans="2:7">
      <c r="B34" s="48"/>
      <c r="C34" s="46"/>
      <c r="D34" s="46"/>
      <c r="E34" s="46"/>
      <c r="F34" s="49"/>
      <c r="G34" s="46"/>
    </row>
    <row r="35" spans="2:7">
      <c r="B35" s="48"/>
      <c r="C35" s="46"/>
      <c r="D35" s="46"/>
      <c r="E35" s="46"/>
      <c r="F35" s="49"/>
      <c r="G35" s="46"/>
    </row>
    <row r="36" spans="2:7">
      <c r="B36" s="48"/>
      <c r="C36" s="46"/>
      <c r="D36" s="46"/>
      <c r="E36" s="46"/>
      <c r="F36" s="49"/>
      <c r="G36" s="46"/>
    </row>
    <row r="37" spans="2:7">
      <c r="B37" s="48"/>
      <c r="C37" s="46"/>
      <c r="D37" s="46"/>
      <c r="E37" s="46"/>
      <c r="F37" s="49"/>
      <c r="G37" s="46"/>
    </row>
    <row r="38" spans="2:7">
      <c r="B38" s="48"/>
      <c r="C38" s="46"/>
      <c r="D38" s="46"/>
      <c r="E38" s="46"/>
      <c r="F38" s="49"/>
      <c r="G38" s="46"/>
    </row>
    <row r="39" spans="2:7">
      <c r="B39" s="48"/>
      <c r="C39" s="46"/>
      <c r="D39" s="46"/>
      <c r="E39" s="46"/>
      <c r="F39" s="49"/>
      <c r="G39" s="46"/>
    </row>
    <row r="40" spans="2:7" ht="15.75" thickBot="1">
      <c r="B40" s="339" t="str">
        <f>"Toshkent sh., "&amp;'Общие данные'!B70&amp;""</f>
        <v>Toshkent sh., 7 mart 2025 y.</v>
      </c>
      <c r="C40" s="340"/>
      <c r="D40" s="340"/>
      <c r="E40" s="340"/>
      <c r="F40" s="341"/>
      <c r="G40" s="46"/>
    </row>
    <row r="41" spans="2:7">
      <c r="B41" s="269"/>
      <c r="C41" s="269"/>
      <c r="D41" s="269"/>
      <c r="E41" s="269"/>
      <c r="F41" s="269"/>
      <c r="G41" s="46"/>
    </row>
    <row r="42" spans="2:7">
      <c r="B42" s="269"/>
      <c r="C42" s="269"/>
      <c r="D42" s="269"/>
      <c r="E42" s="269"/>
      <c r="F42" s="269"/>
      <c r="G42" s="46"/>
    </row>
  </sheetData>
  <mergeCells count="20">
    <mergeCell ref="B40:F40"/>
    <mergeCell ref="B41:F41"/>
    <mergeCell ref="B42:F42"/>
    <mergeCell ref="B21:F21"/>
    <mergeCell ref="B22:F22"/>
    <mergeCell ref="B23:F23"/>
    <mergeCell ref="B27:F27"/>
    <mergeCell ref="B29:F29"/>
    <mergeCell ref="B24:F24"/>
    <mergeCell ref="B25:F25"/>
    <mergeCell ref="B26:F26"/>
    <mergeCell ref="B18:F18"/>
    <mergeCell ref="B19:F19"/>
    <mergeCell ref="B20:F20"/>
    <mergeCell ref="B2:F2"/>
    <mergeCell ref="B3:F3"/>
    <mergeCell ref="B10:F10"/>
    <mergeCell ref="B11:F11"/>
    <mergeCell ref="B12:F12"/>
    <mergeCell ref="B13:F13"/>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Лист24"/>
  <dimension ref="A2:E44"/>
  <sheetViews>
    <sheetView view="pageBreakPreview" zoomScaleNormal="100" zoomScaleSheetLayoutView="100" workbookViewId="0">
      <selection activeCell="E8" sqref="E8"/>
    </sheetView>
  </sheetViews>
  <sheetFormatPr defaultColWidth="9.140625" defaultRowHeight="15"/>
  <cols>
    <col min="1" max="1" width="33.85546875" style="19" customWidth="1"/>
    <col min="2" max="2" width="21.28515625" style="19" customWidth="1"/>
    <col min="3" max="3" width="19.140625" style="19" customWidth="1"/>
    <col min="4" max="5" width="21.28515625" style="19" customWidth="1"/>
    <col min="6" max="16384" width="9.140625" style="19"/>
  </cols>
  <sheetData>
    <row r="2" spans="1:5">
      <c r="A2" s="134" t="s">
        <v>56</v>
      </c>
    </row>
    <row r="3" spans="1:5">
      <c r="A3" s="134" t="s">
        <v>57</v>
      </c>
    </row>
    <row r="6" spans="1:5" ht="20.25" customHeight="1">
      <c r="E6" s="135" t="s">
        <v>37</v>
      </c>
    </row>
    <row r="7" spans="1:5">
      <c r="E7" s="135" t="s">
        <v>58</v>
      </c>
    </row>
    <row r="9" spans="1:5" ht="107.25" customHeight="1">
      <c r="A9" s="345" t="str">
        <f>"          Между ООО «Clever Mikrokredit Tashkiloti» и "&amp;'Общие данные'!B5&amp;"  (паспорт: "&amp;'Общие данные'!B16&amp;" "&amp;'Общие данные'!B20&amp;") заключен договор микрозайма "&amp;'Общие данные'!B74&amp;", на сумму "&amp;FIXED('Общие данные'!B75)&amp;" ("&amp;'Общие данные'!B76&amp;") сум, сроком на "&amp;'Общие данные'!B81&amp;" ("&amp;'Общие данные'!B82&amp;") месяцев. В качестве своевременного исполнения обязательств по договору Микрозайма "&amp;'Общие данные'!B74&amp;" планирует предоставить нижеследующее "&amp;IF('Общие данные'!B103='Общие данные'!C103,"автотранспортного средство марки "&amp;'Общие данные'!B125&amp;" принадлежащее на правах собственности "&amp;'Общие данные'!B117&amp;"","недвижимого имущества в виде "&amp;'Общие данные'!C126&amp;", общей площадью - "&amp;'Общие данные'!C130&amp;" и жилой площадью - "&amp;'Общие данные'!C133&amp;", расположенного по адресу: "&amp;'Общие данные'!C123&amp;", принадлежащее на правах собственности "&amp;'Общие данные'!C117&amp;".")</f>
        <v xml:space="preserve">          Между ООО «Clever Mikrokredit Tashkiloti» и SALIYEV DALER ALIMDJONOVICH  (паспорт: AD 6879613 IIV 18810  tomonidan 18.04.2024 yilda berilgan) заключен договор микрозайма 7 mart 2025 y.dan №558-SM, на сумму 20 000 000,00 (yigirma million so'm) сум, сроком на 24 (yigirma to'rt) месяцев. В качестве своевременного исполнения обязательств по договору Микрозайма 7 mart 2025 y.dan №558-SM планирует предоставить нижеследующее автотранспортного средство марки COBALT  принадлежащее на правах собственности SHADMANOVA GULMIRA ZAKIROVNA</v>
      </c>
      <c r="B9" s="345"/>
      <c r="C9" s="345"/>
      <c r="D9" s="345"/>
      <c r="E9" s="345"/>
    </row>
    <row r="11" spans="1:5" ht="28.5">
      <c r="A11" s="43" t="str">
        <f>'Приказ на сделку'!A18</f>
        <v>Nomi</v>
      </c>
      <c r="B11" s="43" t="str">
        <f>'Приказ на сделку'!B18</f>
        <v>Kuzov turi  va kuzov raqami*</v>
      </c>
      <c r="C11" s="43" t="str">
        <f>'Приказ на сделку'!C18</f>
        <v>Dvigatel va shassi raqami*</v>
      </c>
      <c r="D11" s="43" t="str">
        <f>'Приказ на сделку'!D18</f>
        <v>Ishlab chiqarilgan yili va rangi*</v>
      </c>
      <c r="E11" s="43" t="str">
        <f>'Приказ на сделку'!E18</f>
        <v>Kelishilgan garov qiymati, so'm</v>
      </c>
    </row>
    <row r="12" spans="1:5" ht="73.5" customHeight="1">
      <c r="A12" s="43" t="str">
        <f>'Приказ на сделку'!A19</f>
        <v xml:space="preserve">COBALT </v>
      </c>
      <c r="B12" s="43" t="str">
        <f>'Приказ на сделку'!B19</f>
        <v>kuzov turi - YENGIL SEDAN, kuzov raqami XWBJA69VEPA011841</v>
      </c>
      <c r="C12" s="43" t="str">
        <f>'Приказ на сделку'!C19</f>
        <v>dvigatel raqami B15D212223022MTAX0763, shassi raqami - -</v>
      </c>
      <c r="D12" s="43" t="str">
        <f>'Приказ на сделку'!D19</f>
        <v>rangi -  OQ BELIY, ishlab chiqarilgan yili - 2022</v>
      </c>
      <c r="E12" s="43" t="str">
        <f>'Приказ на сделку'!E19</f>
        <v>30 000 000,00 
(o'ttiz million so'm)</v>
      </c>
    </row>
    <row r="13" spans="1:5">
      <c r="A13" s="346" t="str">
        <f>'Приказ на сделку'!A20:E20</f>
        <v>-* avtotransport egasi: SHADMANOVA GULMIRA ZAKIROVNA</v>
      </c>
      <c r="B13" s="346"/>
      <c r="C13" s="346"/>
      <c r="D13" s="346"/>
      <c r="E13" s="346"/>
    </row>
    <row r="14" spans="1:5">
      <c r="A14" s="346" t="str">
        <f>'Приказ на сделку'!A21:E21</f>
        <v>-* texnik pasport: AAG 1736517 15.06.2023yil</v>
      </c>
      <c r="B14" s="346"/>
      <c r="C14" s="346"/>
      <c r="D14" s="346"/>
      <c r="E14" s="346"/>
    </row>
    <row r="15" spans="1:5">
      <c r="A15" s="346" t="str">
        <f>'Приказ на сделку'!A22:E22</f>
        <v>-* roʻyxatdan oʻtgan manzili/garaj manzili: TOSHKENT SHAHAR MIROBOD TUMANI FARG'ONA YO'LI FITRAT MAHALLASI 3 UY 30 XONADON</v>
      </c>
      <c r="B15" s="346"/>
      <c r="C15" s="346"/>
      <c r="D15" s="346"/>
      <c r="E15" s="346"/>
    </row>
    <row r="16" spans="1:5">
      <c r="A16" s="346" t="str">
        <f>'Приказ на сделку'!A23:E23</f>
        <v>-* davlat raqami: 30S095AB</v>
      </c>
      <c r="B16" s="346"/>
      <c r="C16" s="346"/>
      <c r="D16" s="346"/>
      <c r="E16" s="346"/>
    </row>
    <row r="17" spans="1:5" ht="3" customHeight="1"/>
    <row r="19" spans="1:5" ht="59.25" hidden="1" customHeight="1">
      <c r="A19" s="43" t="str">
        <f>'Акт согласования'!A50</f>
        <v>Наименование</v>
      </c>
      <c r="B19" s="43" t="str">
        <f>'Акт согласования'!B50</f>
        <v>Полезная площадь</v>
      </c>
      <c r="C19" s="43" t="str">
        <f>'Акт согласования'!C50</f>
        <v>Жилая площадь</v>
      </c>
      <c r="D19" s="43" t="str">
        <f>'Акт согласования'!D50</f>
        <v>Общая площадь</v>
      </c>
      <c r="E19" s="43" t="str">
        <f>'Акт согласования'!E50</f>
        <v>Согласованная залоговая стоимость, сум</v>
      </c>
    </row>
    <row r="20" spans="1:5" ht="17.25" hidden="1" customHeight="1">
      <c r="A20" s="21" t="str">
        <f>'Акт согласования'!A51</f>
        <v>Yashash xona</v>
      </c>
      <c r="B20" s="21">
        <f>'Акт согласования'!B51</f>
        <v>0</v>
      </c>
      <c r="C20" s="21">
        <f>'Акт согласования'!C51</f>
        <v>37.39</v>
      </c>
      <c r="D20" s="21">
        <f>'Акт согласования'!D51</f>
        <v>37.39</v>
      </c>
      <c r="E20" s="316" t="str">
        <f>""&amp;FIXED('Общие данные'!C136,2)&amp;" ("&amp;'Общие данные'!C137&amp;")"</f>
        <v>30 000 000,00 (o'ttiz million so'm)</v>
      </c>
    </row>
    <row r="21" spans="1:5" ht="17.25" hidden="1" customHeight="1">
      <c r="A21" s="21">
        <f>'Акт согласования'!A52</f>
        <v>0</v>
      </c>
      <c r="B21" s="21">
        <f>'Акт согласования'!B52</f>
        <v>0</v>
      </c>
      <c r="C21" s="21">
        <f>'Акт согласования'!C52</f>
        <v>0</v>
      </c>
      <c r="D21" s="21">
        <f>'Акт согласования'!D52</f>
        <v>0</v>
      </c>
      <c r="E21" s="317"/>
    </row>
    <row r="22" spans="1:5" ht="17.25" hidden="1" customHeight="1">
      <c r="A22" s="21" t="str">
        <f>'Акт согласования'!A53</f>
        <v>Noturar joy</v>
      </c>
      <c r="B22" s="21">
        <f>'Акт согласования'!B53</f>
        <v>34.74</v>
      </c>
      <c r="C22" s="21">
        <f>'Акт согласования'!C53</f>
        <v>0</v>
      </c>
      <c r="D22" s="21">
        <f>'Акт согласования'!D53</f>
        <v>34.74</v>
      </c>
      <c r="E22" s="317"/>
    </row>
    <row r="23" spans="1:5" ht="17.25" hidden="1" customHeight="1">
      <c r="A23" s="21">
        <f>'Акт согласования'!A54</f>
        <v>0</v>
      </c>
      <c r="B23" s="21">
        <f>'Акт согласования'!B54</f>
        <v>0</v>
      </c>
      <c r="C23" s="21">
        <f>'Акт согласования'!C54</f>
        <v>0</v>
      </c>
      <c r="D23" s="21">
        <f>'Акт согласования'!D54</f>
        <v>0</v>
      </c>
      <c r="E23" s="317"/>
    </row>
    <row r="24" spans="1:5" ht="17.25" hidden="1" customHeight="1">
      <c r="A24" s="21">
        <f>'Акт согласования'!A55</f>
        <v>0</v>
      </c>
      <c r="B24" s="21">
        <f>'Акт согласования'!B55</f>
        <v>0</v>
      </c>
      <c r="C24" s="21">
        <f>'Акт согласования'!C55</f>
        <v>0</v>
      </c>
      <c r="D24" s="21">
        <f>'Акт согласования'!D55</f>
        <v>0</v>
      </c>
      <c r="E24" s="317"/>
    </row>
    <row r="25" spans="1:5" ht="15.75" hidden="1" customHeight="1">
      <c r="A25" s="21">
        <f>'Акт согласования'!A56</f>
        <v>0</v>
      </c>
      <c r="B25" s="21">
        <f>'Акт согласования'!B56</f>
        <v>0</v>
      </c>
      <c r="C25" s="21">
        <f>'Акт согласования'!C56</f>
        <v>0</v>
      </c>
      <c r="D25" s="21">
        <f>'Акт согласования'!D56</f>
        <v>0</v>
      </c>
      <c r="E25" s="317"/>
    </row>
    <row r="26" spans="1:5" ht="17.25" hidden="1" customHeight="1">
      <c r="A26" s="21">
        <f>'Акт согласования'!A57</f>
        <v>0</v>
      </c>
      <c r="B26" s="21">
        <f>'Акт согласования'!B57</f>
        <v>0</v>
      </c>
      <c r="C26" s="21">
        <f>'Акт согласования'!C57</f>
        <v>0</v>
      </c>
      <c r="D26" s="21">
        <f>'Акт согласования'!D57</f>
        <v>0</v>
      </c>
      <c r="E26" s="317"/>
    </row>
    <row r="27" spans="1:5" ht="17.25" hidden="1" customHeight="1">
      <c r="A27" s="21">
        <f>'Акт согласования'!A58</f>
        <v>0</v>
      </c>
      <c r="B27" s="21">
        <f>'Акт согласования'!B58</f>
        <v>0</v>
      </c>
      <c r="C27" s="21">
        <f>'Акт согласования'!C58</f>
        <v>0</v>
      </c>
      <c r="D27" s="21">
        <f>'Акт согласования'!D58</f>
        <v>0</v>
      </c>
      <c r="E27" s="317"/>
    </row>
    <row r="28" spans="1:5" ht="17.25" hidden="1" customHeight="1">
      <c r="A28" s="21">
        <f>'Акт согласования'!A59</f>
        <v>0</v>
      </c>
      <c r="B28" s="21">
        <f>'Акт согласования'!B59</f>
        <v>0</v>
      </c>
      <c r="C28" s="21">
        <f>'Акт согласования'!C59</f>
        <v>0</v>
      </c>
      <c r="D28" s="21">
        <f>'Акт согласования'!D59</f>
        <v>0</v>
      </c>
      <c r="E28" s="317"/>
    </row>
    <row r="29" spans="1:5" ht="17.25" hidden="1" customHeight="1">
      <c r="A29" s="21">
        <f>'Акт согласования'!A60</f>
        <v>0</v>
      </c>
      <c r="B29" s="21">
        <f>'Акт согласования'!B60</f>
        <v>0</v>
      </c>
      <c r="C29" s="21">
        <f>'Акт согласования'!C60</f>
        <v>0</v>
      </c>
      <c r="D29" s="21">
        <f>'Акт согласования'!D60</f>
        <v>0</v>
      </c>
      <c r="E29" s="317"/>
    </row>
    <row r="30" spans="1:5" ht="17.25" hidden="1" customHeight="1">
      <c r="A30" s="21">
        <f>'Акт согласования'!A61</f>
        <v>0</v>
      </c>
      <c r="B30" s="21">
        <f>'Акт согласования'!B61</f>
        <v>0</v>
      </c>
      <c r="C30" s="21">
        <f>'Акт согласования'!C61</f>
        <v>0</v>
      </c>
      <c r="D30" s="21">
        <f>'Акт согласования'!D61</f>
        <v>0</v>
      </c>
      <c r="E30" s="318"/>
    </row>
    <row r="31" spans="1:5" ht="17.25" hidden="1" customHeight="1">
      <c r="A31" s="21" t="str">
        <f>'Акт согласования'!A62</f>
        <v>JAMI</v>
      </c>
      <c r="B31" s="21">
        <f>'Акт согласования'!B62</f>
        <v>34.74</v>
      </c>
      <c r="C31" s="21">
        <f>'Акт согласования'!C62</f>
        <v>37.39</v>
      </c>
      <c r="D31" s="21">
        <f>'Акт согласования'!D62</f>
        <v>72.13</v>
      </c>
      <c r="E31" s="21" t="str">
        <f>'Акт согласования'!E62</f>
        <v>30 000 000,00</v>
      </c>
    </row>
    <row r="32" spans="1:5" ht="18.75" hidden="1" customHeight="1">
      <c r="A32" s="345" t="str">
        <f>'Акт согласования'!A39:E39</f>
        <v>-* ko'chmas mulk egasi: SHOUSMANOVA DAVLATXON XXX</v>
      </c>
      <c r="B32" s="345"/>
      <c r="C32" s="345"/>
      <c r="D32" s="345"/>
      <c r="E32" s="345"/>
    </row>
    <row r="33" spans="1:5" ht="24.75" hidden="1" customHeight="1">
      <c r="A33" s="345" t="str">
        <f>'Акт согласования'!A40:E40</f>
        <v>-* reestr raqami: 1718238/R-A1419303</v>
      </c>
      <c r="B33" s="345"/>
      <c r="C33" s="345"/>
      <c r="D33" s="345"/>
      <c r="E33" s="345"/>
    </row>
    <row r="34" spans="1:5" ht="30.75" hidden="1" customHeight="1">
      <c r="A34" s="345" t="str">
        <f>'Акт согласования'!A41:E41</f>
        <v>-* kadastr raqami: №14:13:02:01:03:1179:0006:058 от 16.12.2020 г.</v>
      </c>
      <c r="B34" s="345"/>
      <c r="C34" s="345"/>
      <c r="D34" s="345"/>
      <c r="E34" s="345"/>
    </row>
    <row r="35" spans="1:5" ht="15" hidden="1" customHeight="1">
      <c r="A35" s="345" t="str">
        <f>'Акт согласования'!A42:E42</f>
        <v>-* manzil: SAMARQAND VILOYATI TAYLOQ TUMANI CHAROG'BON MFY YANGI TAYLOQ QISHLOG'I 6 TURAR JOY 12 QAVAT 58 XONADON</v>
      </c>
      <c r="B35" s="345"/>
      <c r="C35" s="345"/>
      <c r="D35" s="345"/>
      <c r="E35" s="345"/>
    </row>
    <row r="36" spans="1:5">
      <c r="A36" s="26"/>
      <c r="B36" s="26"/>
      <c r="C36" s="26"/>
      <c r="D36" s="26"/>
      <c r="E36" s="26"/>
    </row>
    <row r="37" spans="1:5" s="158" customFormat="1" ht="51" customHeight="1">
      <c r="A37" s="344" t="str">
        <f>'Акт согласования'!A64:E64</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37" s="344"/>
      <c r="C37" s="344"/>
      <c r="D37" s="344"/>
      <c r="E37" s="344"/>
    </row>
    <row r="38" spans="1:5" ht="40.5" customHeight="1">
      <c r="A38" s="345" t="str">
        <f>'Акт согласования'!A65:E65</f>
        <v>Shu bilan birga, garov predmetining kelishilgan garov qiymati deganda ushbu mulk garov sifatida taqdim etilgan/qabul qilingan qiymati tushuniladi.</v>
      </c>
      <c r="B38" s="345"/>
      <c r="C38" s="345"/>
      <c r="D38" s="345"/>
      <c r="E38" s="345"/>
    </row>
    <row r="39" spans="1:5" ht="39" customHeight="1">
      <c r="A39" s="345" t="str">
        <f>"Учитывая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"&amp;'Общие данные'!B74&amp;", при сохранении запрета."</f>
        <v>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7 mart 2025 y.dan №558-SM, при сохранении запрета.</v>
      </c>
      <c r="B39" s="345"/>
      <c r="C39" s="345"/>
      <c r="D39" s="345"/>
      <c r="E39" s="345"/>
    </row>
    <row r="40" spans="1:5">
      <c r="A40" s="348"/>
      <c r="B40" s="348"/>
      <c r="C40" s="348"/>
      <c r="D40" s="348"/>
      <c r="E40" s="348"/>
    </row>
    <row r="41" spans="1:5">
      <c r="A41" s="349" t="s">
        <v>38</v>
      </c>
      <c r="B41" s="349"/>
      <c r="C41" s="349"/>
      <c r="D41" s="349"/>
      <c r="E41" s="349"/>
    </row>
    <row r="42" spans="1:5">
      <c r="A42" s="348"/>
      <c r="B42" s="348"/>
      <c r="C42" s="348"/>
      <c r="D42" s="348"/>
      <c r="E42" s="348"/>
    </row>
    <row r="43" spans="1:5">
      <c r="A43" s="349" t="s">
        <v>39</v>
      </c>
      <c r="B43" s="349"/>
      <c r="C43" s="349"/>
      <c r="D43" s="349"/>
      <c r="E43" s="349"/>
    </row>
    <row r="44" spans="1:5" ht="28.5" customHeight="1">
      <c r="A44" s="347" t="s">
        <v>40</v>
      </c>
      <c r="B44" s="347"/>
      <c r="C44" s="347"/>
      <c r="D44" s="347"/>
      <c r="E44" s="136" t="s">
        <v>2</v>
      </c>
    </row>
  </sheetData>
  <mergeCells count="18">
    <mergeCell ref="A44:D44"/>
    <mergeCell ref="A38:E38"/>
    <mergeCell ref="A39:E39"/>
    <mergeCell ref="A40:E40"/>
    <mergeCell ref="A41:E41"/>
    <mergeCell ref="A42:E42"/>
    <mergeCell ref="A43:E43"/>
    <mergeCell ref="A37:E37"/>
    <mergeCell ref="E20:E30"/>
    <mergeCell ref="A9:E9"/>
    <mergeCell ref="A32:E32"/>
    <mergeCell ref="A33:E33"/>
    <mergeCell ref="A34:E34"/>
    <mergeCell ref="A35:E35"/>
    <mergeCell ref="A16:E16"/>
    <mergeCell ref="A15:E15"/>
    <mergeCell ref="A14:E14"/>
    <mergeCell ref="A13:E13"/>
  </mergeCells>
  <printOptions horizontalCentered="1"/>
  <pageMargins left="0.70866141732283472" right="0.70866141732283472" top="0.74803149606299213" bottom="0.74803149606299213" header="0.31496062992125984" footer="0.31496062992125984"/>
  <pageSetup paperSize="9" scale="71" orientation="portrait" horizontalDpi="300"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Лист25">
    <tabColor rgb="FF00B050"/>
  </sheetPr>
  <dimension ref="A1:I30"/>
  <sheetViews>
    <sheetView view="pageBreakPreview" topLeftCell="A11" zoomScaleNormal="100" zoomScaleSheetLayoutView="100" workbookViewId="0">
      <selection activeCell="F25" sqref="F25"/>
    </sheetView>
  </sheetViews>
  <sheetFormatPr defaultColWidth="9.140625" defaultRowHeight="12.75"/>
  <cols>
    <col min="1" max="2" width="11" style="28" customWidth="1"/>
    <col min="3" max="4" width="14.42578125" style="28" customWidth="1"/>
    <col min="5" max="6" width="13.5703125" style="28" customWidth="1"/>
    <col min="7" max="7" width="9.140625" style="28"/>
    <col min="8" max="8" width="19" style="28" bestFit="1" customWidth="1"/>
    <col min="9" max="9" width="9.140625" style="28" hidden="1" customWidth="1"/>
    <col min="10" max="10" width="9.140625" style="28" customWidth="1"/>
    <col min="11" max="11" width="0.5703125" style="28" customWidth="1"/>
    <col min="12" max="16384" width="9.140625" style="28"/>
  </cols>
  <sheetData>
    <row r="1" spans="1:9">
      <c r="A1" s="35"/>
      <c r="B1" s="35"/>
      <c r="C1" s="35"/>
      <c r="D1" s="35"/>
      <c r="E1" s="35"/>
      <c r="F1" s="35"/>
      <c r="G1" s="35"/>
      <c r="H1" s="35"/>
      <c r="I1" s="35"/>
    </row>
    <row r="2" spans="1:9">
      <c r="A2" s="351" t="str">
        <f>""&amp;" "&amp;'Общие данные'!B74&amp;"-sonli "&amp;" "&amp;'Общие данные'!C64&amp;" shartnomasi bo‘yicha
 garovga qo‘yilgan mol-mulkni tekshirish bo’yicha "&amp;'Общие данные'!B5&amp;" bilan tuzilgan dalolatnomasi"</f>
        <v xml:space="preserve"> 7 mart 2025 y.dan №558-SM-sonli  Mikroqarz shartnomasi bo‘yicha
 garovga qo‘yilgan mol-mulkni tekshirish bo’yicha SALIYEV DALER ALIMDJONOVICH bilan tuzilgan dalolatnomasi</v>
      </c>
      <c r="B2" s="351"/>
      <c r="C2" s="351"/>
      <c r="D2" s="351"/>
      <c r="E2" s="351"/>
      <c r="F2" s="351"/>
      <c r="G2" s="351"/>
      <c r="H2" s="351"/>
      <c r="I2" s="35"/>
    </row>
    <row r="3" spans="1:9">
      <c r="A3" s="351"/>
      <c r="B3" s="351"/>
      <c r="C3" s="351"/>
      <c r="D3" s="351"/>
      <c r="E3" s="351"/>
      <c r="F3" s="351"/>
      <c r="G3" s="351"/>
      <c r="H3" s="351"/>
      <c r="I3" s="35"/>
    </row>
    <row r="5" spans="1:9">
      <c r="A5" s="28" t="s">
        <v>214</v>
      </c>
      <c r="F5" s="194"/>
      <c r="H5" s="172" t="str">
        <f>TEXT('Общие данные'!D2,"ДД.ММ.ГГГГ")</f>
        <v>03.09.2025</v>
      </c>
    </row>
    <row r="7" spans="1:9" ht="45" customHeight="1">
      <c r="A7" s="350" t="str">
        <f>"      Men, “СLEVER MIKROMOLYA TASHKILOTI” "&amp;'Общие данные'!A150&amp;"i "&amp;'Общие данные'!B150&amp;", jismoniy shaxs "&amp;" "&amp;'Общие данные'!B5&amp;" "&amp;" "&amp;'Общие данные'!B74&amp;"-sonli "&amp;'Общие данные'!B65&amp;" shartnomasi bo‘yicha garovga qo‘yilgan mol-mulkni ko‘zdan kechirdim"</f>
        <v xml:space="preserve">      Men, “СLEVER MIKROMOLYA TASHKILOTI” Samarqand viloyati Samarqand  filial boshlig'ii Asrorov S.S., jismoniy shaxs  SALIYEV DALER ALIMDJONOVICH  7 mart 2025 y.dan №558-SM-sonli mikroqarz shartnomasi bo‘yicha garovga qo‘yilgan mol-mulkni ko‘zdan kechirdim</v>
      </c>
      <c r="B7" s="350"/>
      <c r="C7" s="350"/>
      <c r="D7" s="350"/>
      <c r="E7" s="350"/>
      <c r="F7" s="350"/>
      <c r="G7" s="350"/>
      <c r="H7" s="350"/>
    </row>
    <row r="8" spans="1:9" ht="19.5" customHeight="1">
      <c r="A8" s="354" t="s">
        <v>299</v>
      </c>
      <c r="B8" s="354"/>
      <c r="C8" s="354"/>
      <c r="D8" s="354"/>
      <c r="E8" s="354"/>
      <c r="F8" s="354"/>
      <c r="G8" s="354"/>
      <c r="H8" s="354"/>
    </row>
    <row r="9" spans="1:9" s="173" customFormat="1" ht="32.25" customHeight="1">
      <c r="A9" s="355" t="s">
        <v>217</v>
      </c>
      <c r="B9" s="356"/>
      <c r="C9" s="355" t="s">
        <v>300</v>
      </c>
      <c r="D9" s="356"/>
      <c r="E9" s="357" t="s">
        <v>301</v>
      </c>
      <c r="F9" s="357"/>
      <c r="G9" s="357" t="s">
        <v>181</v>
      </c>
      <c r="H9" s="357"/>
    </row>
    <row r="10" spans="1:9" s="171" customFormat="1" ht="58.5" customHeight="1">
      <c r="A10" s="358" t="str">
        <f>'Общие данные'!B125</f>
        <v xml:space="preserve">COBALT </v>
      </c>
      <c r="B10" s="358"/>
      <c r="C10" s="358" t="str">
        <f>'Общие данные'!B127</f>
        <v>kuzov turi - YENGIL SEDAN, kuzov raqami XWBJA69VEPA011841</v>
      </c>
      <c r="D10" s="358"/>
      <c r="E10" s="358" t="str">
        <f>'Общие данные'!B130</f>
        <v>dvigatel raqami B15D212223022MTAX0763, shassi raqami - -</v>
      </c>
      <c r="F10" s="358"/>
      <c r="G10" s="358" t="str">
        <f>'Общие данные'!B133</f>
        <v>rangi -  OQ BELIY, ishlab chiqarilgan yili - 2022</v>
      </c>
      <c r="H10" s="358"/>
    </row>
    <row r="11" spans="1:9" ht="19.5" customHeight="1">
      <c r="A11" s="359" t="str">
        <f>'Акт согласования'!A22:E22</f>
        <v>-* avtotransport egasi: SHADMANOVA GULMIRA ZAKIROVNA</v>
      </c>
      <c r="B11" s="359"/>
      <c r="C11" s="359"/>
      <c r="D11" s="359"/>
      <c r="E11" s="359"/>
      <c r="F11" s="359"/>
      <c r="G11" s="359"/>
      <c r="H11" s="359"/>
    </row>
    <row r="12" spans="1:9" ht="19.5" customHeight="1">
      <c r="A12" s="359" t="str">
        <f>'Акт согласования'!A23:E23</f>
        <v>-* texnik pasport: AAG 1736517 15.06.2023yil</v>
      </c>
      <c r="B12" s="359"/>
      <c r="C12" s="359"/>
      <c r="D12" s="359"/>
      <c r="E12" s="359"/>
      <c r="F12" s="359"/>
      <c r="G12" s="359"/>
      <c r="H12" s="359"/>
    </row>
    <row r="13" spans="1:9" ht="19.5" customHeight="1">
      <c r="A13" s="359" t="str">
        <f>'Акт согласования'!A24:E24</f>
        <v>-* roʻyxatdan oʻtgan manzili/garaj manzili: TOSHKENT SHAHAR MIROBOD TUMANI FARG'ONA YO'LI FITRAT MAHALLASI 3 UY 30 XONADON</v>
      </c>
      <c r="B13" s="359"/>
      <c r="C13" s="359"/>
      <c r="D13" s="359"/>
      <c r="E13" s="359"/>
      <c r="F13" s="359"/>
      <c r="G13" s="359"/>
      <c r="H13" s="359"/>
    </row>
    <row r="14" spans="1:9" ht="19.5" customHeight="1">
      <c r="A14" s="359" t="str">
        <f>'Акт согласования'!A25:E25</f>
        <v>-* davlat raqami: 30S095AB</v>
      </c>
      <c r="B14" s="359"/>
      <c r="C14" s="359"/>
      <c r="D14" s="359"/>
      <c r="E14" s="359"/>
      <c r="F14" s="359"/>
      <c r="G14" s="359"/>
      <c r="H14" s="359"/>
    </row>
    <row r="15" spans="1:9" ht="33.75" customHeight="1">
      <c r="A15" s="352" t="str">
        <f>+"Shu bilan birga, yuqoridagi mulkning kelishilgan garov qiymati "&amp;'Акт согласования'!E48</f>
        <v>Shu bilan birga, yuqoridagi mulkning kelishilgan garov qiymati 30 000 000,00 
(o'ttiz million so'm)</v>
      </c>
      <c r="B15" s="352"/>
      <c r="C15" s="352"/>
      <c r="D15" s="352"/>
      <c r="E15" s="352"/>
      <c r="F15" s="352"/>
      <c r="G15" s="352"/>
      <c r="H15" s="352"/>
    </row>
    <row r="17" spans="1:8" ht="27" customHeight="1">
      <c r="A17" s="353" t="s">
        <v>302</v>
      </c>
      <c r="B17" s="353"/>
      <c r="C17" s="353"/>
      <c r="D17" s="353"/>
      <c r="E17" s="353"/>
      <c r="F17" s="353"/>
      <c r="G17" s="353"/>
      <c r="H17" s="353"/>
    </row>
    <row r="21" spans="1:8" s="35" customFormat="1"/>
    <row r="22" spans="1:8" s="35" customFormat="1">
      <c r="A22" s="35" t="str">
        <f>'Общие данные'!A150</f>
        <v>Samarqand viloyati Samarqand  filial boshlig'i</v>
      </c>
      <c r="H22" s="174" t="str">
        <f>'Общие данные'!B150</f>
        <v>Asrorov S.S.</v>
      </c>
    </row>
    <row r="23" spans="1:8" s="35" customFormat="1" ht="32.25" customHeight="1">
      <c r="H23" s="174"/>
    </row>
    <row r="24" spans="1:8" s="35" customFormat="1" ht="16.5" customHeight="1">
      <c r="A24" s="35" t="s">
        <v>303</v>
      </c>
      <c r="H24" s="35" t="str">
        <f>'Общие данные'!B160</f>
        <v>Jumanazarov B.T.</v>
      </c>
    </row>
    <row r="25" spans="1:8" s="35" customFormat="1" ht="60" customHeight="1"/>
    <row r="26" spans="1:8" s="35" customFormat="1">
      <c r="A26" s="35" t="s">
        <v>304</v>
      </c>
      <c r="H26" s="174" t="str">
        <f>'Общие данные'!B7</f>
        <v>SALIYEV D.A.</v>
      </c>
    </row>
    <row r="27" spans="1:8" s="35" customFormat="1"/>
    <row r="28" spans="1:8" s="35" customFormat="1"/>
    <row r="29" spans="1:8" s="35" customFormat="1"/>
    <row r="30" spans="1:8" s="35" customFormat="1"/>
  </sheetData>
  <mergeCells count="17">
    <mergeCell ref="A14:H14"/>
    <mergeCell ref="A7:H7"/>
    <mergeCell ref="A2:H3"/>
    <mergeCell ref="A15:H15"/>
    <mergeCell ref="A17:H17"/>
    <mergeCell ref="A8:H8"/>
    <mergeCell ref="A9:B9"/>
    <mergeCell ref="C9:D9"/>
    <mergeCell ref="E9:F9"/>
    <mergeCell ref="G9:H9"/>
    <mergeCell ref="A10:B10"/>
    <mergeCell ref="C10:D10"/>
    <mergeCell ref="E10:F10"/>
    <mergeCell ref="G10:H10"/>
    <mergeCell ref="A11:H11"/>
    <mergeCell ref="A12:H12"/>
    <mergeCell ref="A13:H13"/>
  </mergeCells>
  <printOptions horizontalCentered="1"/>
  <pageMargins left="0.70866141732283472" right="0.70866141732283472" top="0.74803149606299213" bottom="0.74803149606299213" header="0.31496062992125984" footer="0.31496062992125984"/>
  <pageSetup paperSize="9" scale="75"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Лист26">
    <tabColor rgb="FF00B050"/>
  </sheetPr>
  <dimension ref="A1:I29"/>
  <sheetViews>
    <sheetView view="pageBreakPreview" topLeftCell="A17" zoomScale="115" zoomScaleNormal="100" zoomScaleSheetLayoutView="115" workbookViewId="0">
      <selection activeCell="H24" sqref="H24"/>
    </sheetView>
  </sheetViews>
  <sheetFormatPr defaultColWidth="9.140625" defaultRowHeight="12.75"/>
  <cols>
    <col min="1" max="2" width="11" style="28" customWidth="1"/>
    <col min="3" max="4" width="14.42578125" style="28" customWidth="1"/>
    <col min="5" max="6" width="13.5703125" style="28" customWidth="1"/>
    <col min="7" max="7" width="9.140625" style="28"/>
    <col min="8" max="8" width="19" style="28" bestFit="1" customWidth="1"/>
    <col min="9" max="16384" width="9.140625" style="28"/>
  </cols>
  <sheetData>
    <row r="1" spans="1:9">
      <c r="A1" s="35"/>
      <c r="B1" s="35"/>
      <c r="C1" s="35"/>
      <c r="D1" s="35"/>
      <c r="E1" s="35"/>
      <c r="F1" s="35"/>
      <c r="G1" s="35"/>
      <c r="H1" s="35"/>
      <c r="I1" s="35"/>
    </row>
    <row r="2" spans="1:9">
      <c r="A2" s="351" t="str">
        <f>""&amp;" "&amp;'Общие данные'!B74&amp;"-sonli "&amp;" "&amp;'Общие данные'!C64&amp;" shartnomasi bo‘yicha
 garovga qo‘yilgan mol-mulkni tekshirish bo’yicha "&amp;'Общие данные'!B5&amp;" bilan tuzilgan dalolatnomasi"</f>
        <v xml:space="preserve"> 7 mart 2025 y.dan №558-SM-sonli  Mikroqarz shartnomasi bo‘yicha
 garovga qo‘yilgan mol-mulkni tekshirish bo’yicha SALIYEV DALER ALIMDJONOVICH bilan tuzilgan dalolatnomasi</v>
      </c>
      <c r="B2" s="351"/>
      <c r="C2" s="351"/>
      <c r="D2" s="351"/>
      <c r="E2" s="351"/>
      <c r="F2" s="351"/>
      <c r="G2" s="351"/>
      <c r="H2" s="351"/>
      <c r="I2" s="35"/>
    </row>
    <row r="3" spans="1:9">
      <c r="A3" s="351"/>
      <c r="B3" s="351"/>
      <c r="C3" s="351"/>
      <c r="D3" s="351"/>
      <c r="E3" s="351"/>
      <c r="F3" s="351"/>
      <c r="G3" s="351"/>
      <c r="H3" s="351"/>
      <c r="I3" s="35"/>
    </row>
    <row r="5" spans="1:9">
      <c r="A5" s="28" t="s">
        <v>214</v>
      </c>
      <c r="H5" s="172" t="str">
        <f>TEXT(+'Общие данные'!B2+360,"ДД.ММ.ГГГГ")</f>
        <v>02.03.2026</v>
      </c>
    </row>
    <row r="7" spans="1:9" ht="45" customHeight="1">
      <c r="A7" s="350" t="str">
        <f>"      Men, "&amp;'Общие данные'!B147&amp;" "&amp;'Общие данные'!A150&amp;"i "&amp;'Общие данные'!B150&amp;", jismoniy shaxs "&amp;" "&amp;'Общие данные'!B5&amp;" "&amp;" "&amp;'Общие данные'!B74&amp;"-sonli "&amp;'Общие данные'!C64&amp;" shartnomasi bo‘yicha garovga qo‘yilgan mol-mulkni ko‘zdan kechirdim"</f>
        <v xml:space="preserve">      Men, «CLEVER MIKROMOLIYA TASHKILOTI» MChJ Samarqand viloyati Samarqand  filial boshlig'ii Asrorov S.S., jismoniy shaxs  SALIYEV DALER ALIMDJONOVICH  7 mart 2025 y.dan №558-SM-sonli Mikroqarz shartnomasi bo‘yicha garovga qo‘yilgan mol-mulkni ko‘zdan kechirdim</v>
      </c>
      <c r="B7" s="350"/>
      <c r="C7" s="350"/>
      <c r="D7" s="350"/>
      <c r="E7" s="350"/>
      <c r="F7" s="350"/>
      <c r="G7" s="350"/>
      <c r="H7" s="350"/>
    </row>
    <row r="8" spans="1:9" ht="19.5" customHeight="1">
      <c r="A8" s="354" t="s">
        <v>299</v>
      </c>
      <c r="B8" s="354"/>
      <c r="C8" s="354"/>
      <c r="D8" s="354"/>
      <c r="E8" s="354"/>
      <c r="F8" s="354"/>
      <c r="G8" s="354"/>
      <c r="H8" s="354"/>
    </row>
    <row r="9" spans="1:9" s="173" customFormat="1" ht="32.25" customHeight="1">
      <c r="A9" s="355" t="s">
        <v>217</v>
      </c>
      <c r="B9" s="356"/>
      <c r="C9" s="355" t="s">
        <v>300</v>
      </c>
      <c r="D9" s="356"/>
      <c r="E9" s="357" t="s">
        <v>301</v>
      </c>
      <c r="F9" s="357"/>
      <c r="G9" s="357" t="s">
        <v>181</v>
      </c>
      <c r="H9" s="357"/>
    </row>
    <row r="10" spans="1:9" s="171" customFormat="1" ht="58.5" customHeight="1">
      <c r="A10" s="358" t="str">
        <f>'Общие данные'!B125</f>
        <v xml:space="preserve">COBALT </v>
      </c>
      <c r="B10" s="358"/>
      <c r="C10" s="358" t="str">
        <f>'Общие данные'!B127</f>
        <v>kuzov turi - YENGIL SEDAN, kuzov raqami XWBJA69VEPA011841</v>
      </c>
      <c r="D10" s="358"/>
      <c r="E10" s="358" t="str">
        <f>'Общие данные'!B130</f>
        <v>dvigatel raqami B15D212223022MTAX0763, shassi raqami - -</v>
      </c>
      <c r="F10" s="358"/>
      <c r="G10" s="358" t="str">
        <f>'Общие данные'!B133</f>
        <v>rangi -  OQ BELIY, ishlab chiqarilgan yili - 2022</v>
      </c>
      <c r="H10" s="358"/>
    </row>
    <row r="11" spans="1:9" ht="19.5" customHeight="1">
      <c r="A11" s="359" t="str">
        <f>'Акт согласования'!A22:E22</f>
        <v>-* avtotransport egasi: SHADMANOVA GULMIRA ZAKIROVNA</v>
      </c>
      <c r="B11" s="359"/>
      <c r="C11" s="359"/>
      <c r="D11" s="359"/>
      <c r="E11" s="359"/>
      <c r="F11" s="359"/>
      <c r="G11" s="359"/>
      <c r="H11" s="359"/>
    </row>
    <row r="12" spans="1:9" ht="19.5" customHeight="1">
      <c r="A12" s="359" t="str">
        <f>'Акт согласования'!A23:E23</f>
        <v>-* texnik pasport: AAG 1736517 15.06.2023yil</v>
      </c>
      <c r="B12" s="359"/>
      <c r="C12" s="359"/>
      <c r="D12" s="359"/>
      <c r="E12" s="359"/>
      <c r="F12" s="359"/>
      <c r="G12" s="359"/>
      <c r="H12" s="359"/>
    </row>
    <row r="13" spans="1:9" ht="19.5" customHeight="1">
      <c r="A13" s="359" t="str">
        <f>'Акт согласования'!A24:E24</f>
        <v>-* roʻyxatdan oʻtgan manzili/garaj manzili: TOSHKENT SHAHAR MIROBOD TUMANI FARG'ONA YO'LI FITRAT MAHALLASI 3 UY 30 XONADON</v>
      </c>
      <c r="B13" s="359"/>
      <c r="C13" s="359"/>
      <c r="D13" s="359"/>
      <c r="E13" s="359"/>
      <c r="F13" s="359"/>
      <c r="G13" s="359"/>
      <c r="H13" s="359"/>
    </row>
    <row r="14" spans="1:9" ht="19.5" customHeight="1">
      <c r="A14" s="359" t="str">
        <f>'Акт согласования'!A25:E25</f>
        <v>-* davlat raqami: 30S095AB</v>
      </c>
      <c r="B14" s="359"/>
      <c r="C14" s="359"/>
      <c r="D14" s="359"/>
      <c r="E14" s="359"/>
      <c r="F14" s="359"/>
      <c r="G14" s="359"/>
      <c r="H14" s="359"/>
    </row>
    <row r="15" spans="1:9" ht="33.75" customHeight="1">
      <c r="A15" s="352" t="str">
        <f>+"Shu bilan birga, yuqoridagi mulkning kelishilgan garov qiymati "&amp;'Акт согласования'!E48</f>
        <v>Shu bilan birga, yuqoridagi mulkning kelishilgan garov qiymati 30 000 000,00 
(o'ttiz million so'm)</v>
      </c>
      <c r="B15" s="352"/>
      <c r="C15" s="352"/>
      <c r="D15" s="352"/>
      <c r="E15" s="352"/>
      <c r="F15" s="352"/>
      <c r="G15" s="352"/>
      <c r="H15" s="352"/>
    </row>
    <row r="17" spans="1:8" ht="35.25" customHeight="1">
      <c r="A17" s="353" t="s">
        <v>302</v>
      </c>
      <c r="B17" s="353"/>
      <c r="C17" s="353"/>
      <c r="D17" s="353"/>
      <c r="E17" s="353"/>
      <c r="F17" s="353"/>
      <c r="G17" s="353"/>
      <c r="H17" s="353"/>
    </row>
    <row r="21" spans="1:8" s="35" customFormat="1"/>
    <row r="22" spans="1:8" s="35" customFormat="1">
      <c r="A22" s="35" t="str">
        <f>'Общие данные'!A150</f>
        <v>Samarqand viloyati Samarqand  filial boshlig'i</v>
      </c>
      <c r="H22" s="174" t="str">
        <f>'Общие данные'!B150</f>
        <v>Asrorov S.S.</v>
      </c>
    </row>
    <row r="23" spans="1:8" s="35" customFormat="1" ht="32.25" customHeight="1">
      <c r="H23" s="174"/>
    </row>
    <row r="24" spans="1:8" s="35" customFormat="1" ht="16.5" customHeight="1">
      <c r="A24" s="35" t="s">
        <v>303</v>
      </c>
      <c r="H24" s="35" t="str">
        <f>'Общие данные'!B160</f>
        <v>Jumanazarov B.T.</v>
      </c>
    </row>
    <row r="25" spans="1:8" s="35" customFormat="1" ht="60" customHeight="1"/>
    <row r="26" spans="1:8" s="35" customFormat="1">
      <c r="A26" s="35" t="s">
        <v>304</v>
      </c>
      <c r="H26" s="174" t="str">
        <f>'Общие данные'!B7</f>
        <v>SALIYEV D.A.</v>
      </c>
    </row>
    <row r="27" spans="1:8" s="35" customFormat="1"/>
    <row r="28" spans="1:8" s="35" customFormat="1"/>
    <row r="29" spans="1:8" s="35" customFormat="1"/>
  </sheetData>
  <mergeCells count="17">
    <mergeCell ref="G9:H9"/>
    <mergeCell ref="A2:H3"/>
    <mergeCell ref="A13:H13"/>
    <mergeCell ref="A14:H14"/>
    <mergeCell ref="A15:H15"/>
    <mergeCell ref="A7:H7"/>
    <mergeCell ref="A8:H8"/>
    <mergeCell ref="A9:B9"/>
    <mergeCell ref="C9:D9"/>
    <mergeCell ref="E9:F9"/>
    <mergeCell ref="A17:H17"/>
    <mergeCell ref="A10:B10"/>
    <mergeCell ref="C10:D10"/>
    <mergeCell ref="E10:F10"/>
    <mergeCell ref="G10:H10"/>
    <mergeCell ref="A11:H11"/>
    <mergeCell ref="A12:H12"/>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Лист27">
    <tabColor rgb="FF00B050"/>
  </sheetPr>
  <dimension ref="A1:I29"/>
  <sheetViews>
    <sheetView view="pageBreakPreview" topLeftCell="A11" zoomScaleNormal="100" zoomScaleSheetLayoutView="100" workbookViewId="0">
      <selection activeCell="A15" sqref="A15:H15"/>
    </sheetView>
  </sheetViews>
  <sheetFormatPr defaultColWidth="9.140625" defaultRowHeight="12.75"/>
  <cols>
    <col min="1" max="2" width="11" style="28" customWidth="1"/>
    <col min="3" max="4" width="14.42578125" style="28" customWidth="1"/>
    <col min="5" max="6" width="13.5703125" style="28" customWidth="1"/>
    <col min="7" max="7" width="9.140625" style="28"/>
    <col min="8" max="8" width="19" style="28" bestFit="1" customWidth="1"/>
    <col min="9" max="16384" width="9.140625" style="28"/>
  </cols>
  <sheetData>
    <row r="1" spans="1:9">
      <c r="A1" s="35"/>
      <c r="B1" s="35"/>
      <c r="C1" s="35"/>
      <c r="D1" s="35"/>
      <c r="E1" s="35"/>
      <c r="F1" s="35"/>
      <c r="G1" s="35"/>
      <c r="H1" s="35"/>
      <c r="I1" s="35"/>
    </row>
    <row r="2" spans="1:9">
      <c r="A2" s="351" t="str">
        <f>""&amp;" "&amp;'Общие данные'!B74&amp;"-sonli "&amp;" "&amp;'Общие данные'!C64&amp;" shartnomasi bo‘yicha
 garovga qo‘yilgan mol-mulkni tekshirish bo’yicha "&amp;'Общие данные'!B5&amp;" bilan tuzilgan dalolatnomasi"</f>
        <v xml:space="preserve"> 7 mart 2025 y.dan №558-SM-sonli  Mikroqarz shartnomasi bo‘yicha
 garovga qo‘yilgan mol-mulkni tekshirish bo’yicha SALIYEV DALER ALIMDJONOVICH bilan tuzilgan dalolatnomasi</v>
      </c>
      <c r="B2" s="351"/>
      <c r="C2" s="351"/>
      <c r="D2" s="351"/>
      <c r="E2" s="351"/>
      <c r="F2" s="351"/>
      <c r="G2" s="351"/>
      <c r="H2" s="351"/>
      <c r="I2" s="35"/>
    </row>
    <row r="3" spans="1:9">
      <c r="A3" s="351"/>
      <c r="B3" s="351"/>
      <c r="C3" s="351"/>
      <c r="D3" s="351"/>
      <c r="E3" s="351"/>
      <c r="F3" s="351"/>
      <c r="G3" s="351"/>
      <c r="H3" s="351"/>
      <c r="I3" s="35"/>
    </row>
    <row r="5" spans="1:9">
      <c r="A5" s="28" t="s">
        <v>214</v>
      </c>
      <c r="H5" s="172" t="str">
        <f>TEXT(+'Общие данные'!B2+540,"ДД.ММ.ГГГГ")</f>
        <v>29.08.2026</v>
      </c>
    </row>
    <row r="7" spans="1:9" ht="45" customHeight="1">
      <c r="A7" s="350" t="str">
        <f>"      Men, "&amp;'Общие данные'!B147&amp;" "&amp;'Общие данные'!A150&amp;"i "&amp;'Общие данные'!B150&amp;", jismoniy shaxs "&amp;" "&amp;'Общие данные'!B5&amp;" "&amp;" "&amp;'Общие данные'!B74&amp;"-sonli "&amp;'Общие данные'!C64&amp;" shartnomasi bo‘yicha garovga qo‘yilgan mol-mulkni ko‘zdan kechirdim"</f>
        <v xml:space="preserve">      Men, «CLEVER MIKROMOLIYA TASHKILOTI» MChJ Samarqand viloyati Samarqand  filial boshlig'ii Asrorov S.S., jismoniy shaxs  SALIYEV DALER ALIMDJONOVICH  7 mart 2025 y.dan №558-SM-sonli Mikroqarz shartnomasi bo‘yicha garovga qo‘yilgan mol-mulkni ko‘zdan kechirdim</v>
      </c>
      <c r="B7" s="350"/>
      <c r="C7" s="350"/>
      <c r="D7" s="350"/>
      <c r="E7" s="350"/>
      <c r="F7" s="350"/>
      <c r="G7" s="350"/>
      <c r="H7" s="350"/>
    </row>
    <row r="8" spans="1:9" ht="19.5" customHeight="1">
      <c r="A8" s="354" t="s">
        <v>299</v>
      </c>
      <c r="B8" s="354"/>
      <c r="C8" s="354"/>
      <c r="D8" s="354"/>
      <c r="E8" s="354"/>
      <c r="F8" s="354"/>
      <c r="G8" s="354"/>
      <c r="H8" s="354"/>
    </row>
    <row r="9" spans="1:9" s="173" customFormat="1" ht="32.25" customHeight="1">
      <c r="A9" s="355" t="s">
        <v>217</v>
      </c>
      <c r="B9" s="356"/>
      <c r="C9" s="355" t="s">
        <v>300</v>
      </c>
      <c r="D9" s="356"/>
      <c r="E9" s="357" t="s">
        <v>301</v>
      </c>
      <c r="F9" s="357"/>
      <c r="G9" s="357" t="s">
        <v>181</v>
      </c>
      <c r="H9" s="357"/>
    </row>
    <row r="10" spans="1:9" s="171" customFormat="1" ht="58.5" customHeight="1">
      <c r="A10" s="358" t="str">
        <f>'Общие данные'!B125</f>
        <v xml:space="preserve">COBALT </v>
      </c>
      <c r="B10" s="358"/>
      <c r="C10" s="358" t="str">
        <f>'Общие данные'!B127</f>
        <v>kuzov turi - YENGIL SEDAN, kuzov raqami XWBJA69VEPA011841</v>
      </c>
      <c r="D10" s="358"/>
      <c r="E10" s="358" t="str">
        <f>'Общие данные'!B130</f>
        <v>dvigatel raqami B15D212223022MTAX0763, shassi raqami - -</v>
      </c>
      <c r="F10" s="358"/>
      <c r="G10" s="358" t="str">
        <f>'Общие данные'!B133</f>
        <v>rangi -  OQ BELIY, ishlab chiqarilgan yili - 2022</v>
      </c>
      <c r="H10" s="358"/>
    </row>
    <row r="11" spans="1:9" ht="19.5" customHeight="1">
      <c r="A11" s="359" t="str">
        <f>'Акт согласования'!A22:E22</f>
        <v>-* avtotransport egasi: SHADMANOVA GULMIRA ZAKIROVNA</v>
      </c>
      <c r="B11" s="359"/>
      <c r="C11" s="359"/>
      <c r="D11" s="359"/>
      <c r="E11" s="359"/>
      <c r="F11" s="359"/>
      <c r="G11" s="359"/>
      <c r="H11" s="359"/>
    </row>
    <row r="12" spans="1:9" ht="19.5" customHeight="1">
      <c r="A12" s="359" t="str">
        <f>'Акт согласования'!A23:E23</f>
        <v>-* texnik pasport: AAG 1736517 15.06.2023yil</v>
      </c>
      <c r="B12" s="359"/>
      <c r="C12" s="359"/>
      <c r="D12" s="359"/>
      <c r="E12" s="359"/>
      <c r="F12" s="359"/>
      <c r="G12" s="359"/>
      <c r="H12" s="359"/>
    </row>
    <row r="13" spans="1:9" ht="19.5" customHeight="1">
      <c r="A13" s="359" t="str">
        <f>'Акт согласования'!A24:E24</f>
        <v>-* roʻyxatdan oʻtgan manzili/garaj manzili: TOSHKENT SHAHAR MIROBOD TUMANI FARG'ONA YO'LI FITRAT MAHALLASI 3 UY 30 XONADON</v>
      </c>
      <c r="B13" s="359"/>
      <c r="C13" s="359"/>
      <c r="D13" s="359"/>
      <c r="E13" s="359"/>
      <c r="F13" s="359"/>
      <c r="G13" s="359"/>
      <c r="H13" s="359"/>
    </row>
    <row r="14" spans="1:9" ht="19.5" customHeight="1">
      <c r="A14" s="359" t="str">
        <f>'Акт согласования'!A25:E25</f>
        <v>-* davlat raqami: 30S095AB</v>
      </c>
      <c r="B14" s="359"/>
      <c r="C14" s="359"/>
      <c r="D14" s="359"/>
      <c r="E14" s="359"/>
      <c r="F14" s="359"/>
      <c r="G14" s="359"/>
      <c r="H14" s="359"/>
    </row>
    <row r="15" spans="1:9" ht="33.75" customHeight="1">
      <c r="A15" s="352" t="str">
        <f>+"Shu bilan birga, yuqoridagi mulkning kelishilgan garov qiymati "&amp;'Акт согласования'!E48</f>
        <v>Shu bilan birga, yuqoridagi mulkning kelishilgan garov qiymati 30 000 000,00 
(o'ttiz million so'm)</v>
      </c>
      <c r="B15" s="352"/>
      <c r="C15" s="352"/>
      <c r="D15" s="352"/>
      <c r="E15" s="352"/>
      <c r="F15" s="352"/>
      <c r="G15" s="352"/>
      <c r="H15" s="352"/>
    </row>
    <row r="17" spans="1:8" s="171" customFormat="1" ht="32.25" customHeight="1">
      <c r="A17" s="353" t="s">
        <v>302</v>
      </c>
      <c r="B17" s="353"/>
      <c r="C17" s="353"/>
      <c r="D17" s="353"/>
      <c r="E17" s="353"/>
      <c r="F17" s="353"/>
      <c r="G17" s="353"/>
      <c r="H17" s="353"/>
    </row>
    <row r="21" spans="1:8" s="35" customFormat="1"/>
    <row r="22" spans="1:8" s="35" customFormat="1">
      <c r="A22" s="35" t="str">
        <f>'Общие данные'!A150</f>
        <v>Samarqand viloyati Samarqand  filial boshlig'i</v>
      </c>
      <c r="H22" s="174" t="str">
        <f>'Общие данные'!B150</f>
        <v>Asrorov S.S.</v>
      </c>
    </row>
    <row r="23" spans="1:8" s="35" customFormat="1" ht="32.25" customHeight="1">
      <c r="H23" s="174"/>
    </row>
    <row r="24" spans="1:8" s="35" customFormat="1" ht="16.5" customHeight="1">
      <c r="A24" s="35" t="s">
        <v>303</v>
      </c>
      <c r="H24" s="35" t="str">
        <f>'Общие данные'!B160</f>
        <v>Jumanazarov B.T.</v>
      </c>
    </row>
    <row r="25" spans="1:8" s="35" customFormat="1" ht="60" customHeight="1"/>
    <row r="26" spans="1:8" s="35" customFormat="1">
      <c r="A26" s="35" t="s">
        <v>304</v>
      </c>
      <c r="H26" s="174" t="str">
        <f>'Общие данные'!B7</f>
        <v>SALIYEV D.A.</v>
      </c>
    </row>
    <row r="27" spans="1:8" s="35" customFormat="1"/>
    <row r="28" spans="1:8" s="35" customFormat="1"/>
    <row r="29" spans="1:8" s="35" customFormat="1"/>
  </sheetData>
  <mergeCells count="17">
    <mergeCell ref="G9:H9"/>
    <mergeCell ref="A2:H3"/>
    <mergeCell ref="A13:H13"/>
    <mergeCell ref="A14:H14"/>
    <mergeCell ref="A15:H15"/>
    <mergeCell ref="A7:H7"/>
    <mergeCell ref="A8:H8"/>
    <mergeCell ref="A9:B9"/>
    <mergeCell ref="C9:D9"/>
    <mergeCell ref="E9:F9"/>
    <mergeCell ref="A17:H17"/>
    <mergeCell ref="A10:B10"/>
    <mergeCell ref="C10:D10"/>
    <mergeCell ref="E10:F10"/>
    <mergeCell ref="G10:H10"/>
    <mergeCell ref="A11:H11"/>
    <mergeCell ref="A12:H12"/>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Лист28">
    <tabColor rgb="FF00B050"/>
  </sheetPr>
  <dimension ref="A1:I29"/>
  <sheetViews>
    <sheetView view="pageBreakPreview" topLeftCell="A11" zoomScaleNormal="100" zoomScaleSheetLayoutView="100" workbookViewId="0">
      <selection activeCell="A24" sqref="A24"/>
    </sheetView>
  </sheetViews>
  <sheetFormatPr defaultColWidth="9.140625" defaultRowHeight="12.75"/>
  <cols>
    <col min="1" max="2" width="11" style="28" customWidth="1"/>
    <col min="3" max="4" width="14.42578125" style="28" customWidth="1"/>
    <col min="5" max="6" width="13.5703125" style="28" customWidth="1"/>
    <col min="7" max="7" width="9.140625" style="28"/>
    <col min="8" max="8" width="19" style="28" bestFit="1" customWidth="1"/>
    <col min="9" max="16384" width="9.140625" style="28"/>
  </cols>
  <sheetData>
    <row r="1" spans="1:9">
      <c r="A1" s="35"/>
      <c r="B1" s="35"/>
      <c r="C1" s="35"/>
      <c r="D1" s="35"/>
      <c r="E1" s="35"/>
      <c r="F1" s="35"/>
      <c r="G1" s="35"/>
      <c r="H1" s="35"/>
      <c r="I1" s="35"/>
    </row>
    <row r="2" spans="1:9">
      <c r="A2" s="351" t="str">
        <f>""&amp;" "&amp;'Общие данные'!B74&amp;"-sonli "&amp;" "&amp;'Общие данные'!C64&amp;" shartnomasi bo‘yicha
 garovga qo‘yilgan mol-mulkni tekshirish bo’yicha "&amp;'Общие данные'!B5&amp;" bilan tuzilgan dalolatnomasi"</f>
        <v xml:space="preserve"> 7 mart 2025 y.dan №558-SM-sonli  Mikroqarz shartnomasi bo‘yicha
 garovga qo‘yilgan mol-mulkni tekshirish bo’yicha SALIYEV DALER ALIMDJONOVICH bilan tuzilgan dalolatnomasi</v>
      </c>
      <c r="B2" s="351"/>
      <c r="C2" s="351"/>
      <c r="D2" s="351"/>
      <c r="E2" s="351"/>
      <c r="F2" s="351"/>
      <c r="G2" s="351"/>
      <c r="H2" s="351"/>
      <c r="I2" s="35"/>
    </row>
    <row r="3" spans="1:9">
      <c r="A3" s="351"/>
      <c r="B3" s="351"/>
      <c r="C3" s="351"/>
      <c r="D3" s="351"/>
      <c r="E3" s="351"/>
      <c r="F3" s="351"/>
      <c r="G3" s="351"/>
      <c r="H3" s="351"/>
      <c r="I3" s="35"/>
    </row>
    <row r="5" spans="1:9">
      <c r="A5" s="28" t="s">
        <v>214</v>
      </c>
      <c r="H5" s="172" t="str">
        <f>TEXT(+'Общие данные'!B2+720,"ДД.ММ.ГГГГ")</f>
        <v>25.02.2027</v>
      </c>
    </row>
    <row r="7" spans="1:9" ht="45" customHeight="1">
      <c r="A7" s="350" t="str">
        <f>"      Men, "&amp;'Общие данные'!B147&amp;" "&amp;'Общие данные'!A150&amp;"i "&amp;'Общие данные'!B150&amp;", jismoniy shaxs "&amp;" "&amp;'Общие данные'!B5&amp;" "&amp;" "&amp;'Общие данные'!B74&amp;"-sonli "&amp;'Общие данные'!C64&amp;" shartnomasi bo‘yicha garovga qo‘yilgan mol-mulkni ko‘zdan kechirdim"</f>
        <v xml:space="preserve">      Men, «CLEVER MIKROMOLIYA TASHKILOTI» MChJ Samarqand viloyati Samarqand  filial boshlig'ii Asrorov S.S., jismoniy shaxs  SALIYEV DALER ALIMDJONOVICH  7 mart 2025 y.dan №558-SM-sonli Mikroqarz shartnomasi bo‘yicha garovga qo‘yilgan mol-mulkni ko‘zdan kechirdim</v>
      </c>
      <c r="B7" s="350"/>
      <c r="C7" s="350"/>
      <c r="D7" s="350"/>
      <c r="E7" s="350"/>
      <c r="F7" s="350"/>
      <c r="G7" s="350"/>
      <c r="H7" s="350"/>
    </row>
    <row r="8" spans="1:9" ht="19.5" customHeight="1">
      <c r="A8" s="354" t="s">
        <v>299</v>
      </c>
      <c r="B8" s="354"/>
      <c r="C8" s="354"/>
      <c r="D8" s="354"/>
      <c r="E8" s="354"/>
      <c r="F8" s="354"/>
      <c r="G8" s="354"/>
      <c r="H8" s="354"/>
    </row>
    <row r="9" spans="1:9" s="173" customFormat="1" ht="32.25" customHeight="1">
      <c r="A9" s="355" t="s">
        <v>217</v>
      </c>
      <c r="B9" s="356"/>
      <c r="C9" s="355" t="s">
        <v>300</v>
      </c>
      <c r="D9" s="356"/>
      <c r="E9" s="357" t="s">
        <v>301</v>
      </c>
      <c r="F9" s="357"/>
      <c r="G9" s="357" t="s">
        <v>181</v>
      </c>
      <c r="H9" s="357"/>
    </row>
    <row r="10" spans="1:9" s="171" customFormat="1" ht="58.5" customHeight="1">
      <c r="A10" s="358" t="str">
        <f>'Общие данные'!B125</f>
        <v xml:space="preserve">COBALT </v>
      </c>
      <c r="B10" s="358"/>
      <c r="C10" s="358" t="str">
        <f>'Общие данные'!B127</f>
        <v>kuzov turi - YENGIL SEDAN, kuzov raqami XWBJA69VEPA011841</v>
      </c>
      <c r="D10" s="358"/>
      <c r="E10" s="358" t="str">
        <f>'Общие данные'!B130</f>
        <v>dvigatel raqami B15D212223022MTAX0763, shassi raqami - -</v>
      </c>
      <c r="F10" s="358"/>
      <c r="G10" s="358" t="str">
        <f>'Общие данные'!B133</f>
        <v>rangi -  OQ BELIY, ishlab chiqarilgan yili - 2022</v>
      </c>
      <c r="H10" s="358"/>
    </row>
    <row r="11" spans="1:9" ht="19.5" customHeight="1">
      <c r="A11" s="359" t="str">
        <f>'Акт согласования'!A22:E22</f>
        <v>-* avtotransport egasi: SHADMANOVA GULMIRA ZAKIROVNA</v>
      </c>
      <c r="B11" s="359"/>
      <c r="C11" s="359"/>
      <c r="D11" s="359"/>
      <c r="E11" s="359"/>
      <c r="F11" s="359"/>
      <c r="G11" s="359"/>
      <c r="H11" s="359"/>
    </row>
    <row r="12" spans="1:9" ht="19.5" customHeight="1">
      <c r="A12" s="359" t="str">
        <f>'Акт согласования'!A23:E23</f>
        <v>-* texnik pasport: AAG 1736517 15.06.2023yil</v>
      </c>
      <c r="B12" s="359"/>
      <c r="C12" s="359"/>
      <c r="D12" s="359"/>
      <c r="E12" s="359"/>
      <c r="F12" s="359"/>
      <c r="G12" s="359"/>
      <c r="H12" s="359"/>
    </row>
    <row r="13" spans="1:9" ht="19.5" customHeight="1">
      <c r="A13" s="359" t="str">
        <f>'Акт согласования'!A24:E24</f>
        <v>-* roʻyxatdan oʻtgan manzili/garaj manzili: TOSHKENT SHAHAR MIROBOD TUMANI FARG'ONA YO'LI FITRAT MAHALLASI 3 UY 30 XONADON</v>
      </c>
      <c r="B13" s="359"/>
      <c r="C13" s="359"/>
      <c r="D13" s="359"/>
      <c r="E13" s="359"/>
      <c r="F13" s="359"/>
      <c r="G13" s="359"/>
      <c r="H13" s="359"/>
    </row>
    <row r="14" spans="1:9" ht="19.5" customHeight="1">
      <c r="A14" s="359" t="str">
        <f>'Акт согласования'!A25:E25</f>
        <v>-* davlat raqami: 30S095AB</v>
      </c>
      <c r="B14" s="359"/>
      <c r="C14" s="359"/>
      <c r="D14" s="359"/>
      <c r="E14" s="359"/>
      <c r="F14" s="359"/>
      <c r="G14" s="359"/>
      <c r="H14" s="359"/>
    </row>
    <row r="15" spans="1:9" ht="33.75" customHeight="1">
      <c r="A15" s="352" t="str">
        <f>+"Shu bilan birga, yuqoridagi mulkning kelishilgan garov qiymati "&amp;'Акт согласования'!E48</f>
        <v>Shu bilan birga, yuqoridagi mulkning kelishilgan garov qiymati 30 000 000,00 
(o'ttiz million so'm)</v>
      </c>
      <c r="B15" s="352"/>
      <c r="C15" s="352"/>
      <c r="D15" s="352"/>
      <c r="E15" s="352"/>
      <c r="F15" s="352"/>
      <c r="G15" s="352"/>
      <c r="H15" s="352"/>
    </row>
    <row r="17" spans="1:8" ht="28.5" customHeight="1">
      <c r="A17" s="353" t="s">
        <v>302</v>
      </c>
      <c r="B17" s="353"/>
      <c r="C17" s="353"/>
      <c r="D17" s="353"/>
      <c r="E17" s="353"/>
      <c r="F17" s="353"/>
      <c r="G17" s="353"/>
      <c r="H17" s="353"/>
    </row>
    <row r="21" spans="1:8" s="35" customFormat="1"/>
    <row r="22" spans="1:8" s="35" customFormat="1">
      <c r="A22" s="35" t="str">
        <f>'Общие данные'!A150</f>
        <v>Samarqand viloyati Samarqand  filial boshlig'i</v>
      </c>
      <c r="H22" s="174" t="str">
        <f>'Общие данные'!B150</f>
        <v>Asrorov S.S.</v>
      </c>
    </row>
    <row r="23" spans="1:8" s="35" customFormat="1" ht="32.25" customHeight="1">
      <c r="H23" s="174"/>
    </row>
    <row r="24" spans="1:8" s="35" customFormat="1" ht="16.5" customHeight="1">
      <c r="A24" s="35" t="s">
        <v>303</v>
      </c>
      <c r="H24" s="35" t="str">
        <f>'Общие данные'!B160</f>
        <v>Jumanazarov B.T.</v>
      </c>
    </row>
    <row r="25" spans="1:8" s="35" customFormat="1" ht="60" customHeight="1"/>
    <row r="26" spans="1:8" s="35" customFormat="1">
      <c r="A26" s="35" t="s">
        <v>304</v>
      </c>
      <c r="H26" s="174" t="str">
        <f>'Общие данные'!B7</f>
        <v>SALIYEV D.A.</v>
      </c>
    </row>
    <row r="27" spans="1:8" s="35" customFormat="1"/>
    <row r="28" spans="1:8" s="35" customFormat="1"/>
    <row r="29" spans="1:8" s="35" customFormat="1"/>
  </sheetData>
  <mergeCells count="17">
    <mergeCell ref="G9:H9"/>
    <mergeCell ref="A2:H3"/>
    <mergeCell ref="A13:H13"/>
    <mergeCell ref="A14:H14"/>
    <mergeCell ref="A15:H15"/>
    <mergeCell ref="A7:H7"/>
    <mergeCell ref="A8:H8"/>
    <mergeCell ref="A9:B9"/>
    <mergeCell ref="C9:D9"/>
    <mergeCell ref="E9:F9"/>
    <mergeCell ref="A17:H17"/>
    <mergeCell ref="A10:B10"/>
    <mergeCell ref="C10:D10"/>
    <mergeCell ref="E10:F10"/>
    <mergeCell ref="G10:H10"/>
    <mergeCell ref="A11:H11"/>
    <mergeCell ref="A12:H12"/>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21</vt:i4>
      </vt:variant>
      <vt:variant>
        <vt:lpstr>Именованные диапазоны</vt:lpstr>
      </vt:variant>
      <vt:variant>
        <vt:i4>9</vt:i4>
      </vt:variant>
    </vt:vector>
  </HeadingPairs>
  <TitlesOfParts>
    <vt:vector size="30" baseType="lpstr">
      <vt:lpstr>График дифференц</vt:lpstr>
      <vt:lpstr>Данные для послед. Залога</vt:lpstr>
      <vt:lpstr>Протокол  (2)</vt:lpstr>
      <vt:lpstr>Общие данные</vt:lpstr>
      <vt:lpstr>График аннуитет.</vt:lpstr>
      <vt:lpstr>Анкета Клиента</vt:lpstr>
      <vt:lpstr>Анкета 2</vt:lpstr>
      <vt:lpstr>Кредитная заявка</vt:lpstr>
      <vt:lpstr>Мажбуриятнома </vt:lpstr>
      <vt:lpstr>Заключение КК</vt:lpstr>
      <vt:lpstr>График</vt:lpstr>
      <vt:lpstr>договор</vt:lpstr>
      <vt:lpstr>заявление залогодателя</vt:lpstr>
      <vt:lpstr>Акт согласования</vt:lpstr>
      <vt:lpstr>Приказ на сделку</vt:lpstr>
      <vt:lpstr>обложка</vt:lpstr>
      <vt:lpstr>Письмо</vt:lpstr>
      <vt:lpstr> Акт мониторинга 1</vt:lpstr>
      <vt:lpstr> Акт мониторинга 2</vt:lpstr>
      <vt:lpstr> Акт мониторинга 3</vt:lpstr>
      <vt:lpstr> Акт мониторинга 4</vt:lpstr>
      <vt:lpstr>'Акт согласования'!Область_печати</vt:lpstr>
      <vt:lpstr>'Анкета Клиента'!Область_печати</vt:lpstr>
      <vt:lpstr>График!Область_печати</vt:lpstr>
      <vt:lpstr>'График аннуитет.'!Область_печати</vt:lpstr>
      <vt:lpstr>договор!Область_печати</vt:lpstr>
      <vt:lpstr>'заявление залогодателя'!Область_печати</vt:lpstr>
      <vt:lpstr>'Кредитная заявка'!Область_печати</vt:lpstr>
      <vt:lpstr>обложка!Область_печати</vt:lpstr>
      <vt:lpstr>'Протокол  (2)'!Область_печати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test</dc:creator>
  <cp:lastModifiedBy>s.nurullayev</cp:lastModifiedBy>
  <cp:lastPrinted>2024-08-20T11:00:00Z</cp:lastPrinted>
  <dcterms:created xsi:type="dcterms:W3CDTF">2015-06-05T18:19:34Z</dcterms:created>
  <dcterms:modified xsi:type="dcterms:W3CDTF">2025-03-07T12:19:50Z</dcterms:modified>
</cp:coreProperties>
</file>