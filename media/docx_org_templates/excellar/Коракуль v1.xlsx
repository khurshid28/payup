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A365B512-8CA3-47FC-9FC9-BF37EA9125AF}"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<sst xmlns="http://schemas.openxmlformats.org/spreadsheetml/2006/main" count="594" uniqueCount="436">
  <si>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</si>
  <si>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</si>
  <si>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</si>
  <si>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</si>
  <si>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</si>
  <si>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</si>
  <si>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</si>
  <si>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</si>
  <si>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</si>
  <si>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</si>
  <si>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</si>
  <si>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</si>
  <si>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</si>
  <si>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</si>
  <si>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</si>
  <si>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</si>
  <si>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</si>
  <si>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</si>
  <si>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</si>
  <si>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</si>
  <si>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</si>
  <si>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</si>
  <si>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</si>
  <si>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</si>
  <si>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</si>
  <si>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</si>
  <si>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</si>
  <si>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</si>
  <si>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</si>
  <si>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</si>
  <si>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</si>
  <si>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</si>
  <si>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</si>
  <si>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</si>
  <si>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</si>
  <si>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</si>
  <si>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</si>
  <si>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</si>
  <si>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</si>
  <si>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</si>
  <si>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</si>
  <si>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</si>
  <si>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</si>
  <si>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</si>
  <si>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</si>
  <si>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</si>
  <si>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</si>
  <si>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</si>
  <si>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</si>
  <si>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</si>
  <si>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</si>
  <si>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</si>
  <si>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</si>
  <si>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</si>
  <si>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</si>
  <si>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</si>
  <si>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</si>
  <si>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</si>
  <si>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</si>
  <si>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</si>
  <si>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</si>
  <si>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</si>
  <si>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</si>
  <si>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</si>
  <si>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</si>
  <si>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</si>
  <si>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</si>
  <si>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</si>
  <si>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</si>
  <si>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</si>
  <si>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</si>
  <si>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</si>
  <si>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</si>
  <si>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</si>
  <si>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</si>
  <si>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</si>
  <si>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</si>
  <si>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</si>
  <si>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</si>
  <si>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</si>
  <si>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</si>
  <si>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</si>
  <si>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</si>
  <si>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</si>
  <si>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</si>
  <si>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</si>
  <si>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</si>
  <si>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</si>
  <si>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</si>
  <si>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</si>
  <si>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</si>
  <si>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</si>
  <si>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</si>
  <si>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</si>
  <si>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</si>
  <si>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</si>
  <si>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</si>
  <si>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</si>
  <si>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</si>
  <si>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</si>
  <si>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</si>
  <si>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</si>
  <si>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</si>
  <si>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</si>
  <si>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</si>
  <si>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</si>
  <si>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</si>
  <si>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</si>
  <si>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</si>
  <si>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</si>
  <si>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</si>
  <si>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</si>
  <si>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</si>
  <si>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</si>
  <si>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</si>
  <si>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</si>
  <si>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</si>
  <si>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</si>
  <si>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</si>
  <si>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</si>
  <si>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</si>
  <si>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</si>
  <si>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</si>
  <si>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</si>
  <si>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</si>
  <si>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</si>
  <si>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</si>
  <si>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</si>
  <si>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</si>
  <si>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</si>
  <si>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</si>
  <si>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</si>
  <si>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</si>
  <si>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</si>
  <si>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</si>
  <si>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</si>
  <si>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</si>
  <si>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</si>
  <si>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</si>
  <si>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</si>
  <si>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</si>
  <si>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</si>
  <si>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</si>
  <si>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</si>
  <si>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</si>
  <si>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</si>
  <si>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</si>
  <si>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</si>
  <si>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</si>
  <si>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</si>
  <si>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</si>
  <si>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</si>
  <si>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</si>
  <si>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</si>
  <si>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</si>
  <si>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</si>
  <si>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</si>
  <si>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</si>
  <si>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</si>
  <si>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</si>
  <si>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</si>
  <si>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</si>
  <si>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</si>
  <si>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</si>
  <si>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</si>
  <si>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</si>
  <si>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</si>
  <si>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</si>
  <si>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</si>
  <si>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</si>
  <si>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</si>
  <si>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</si>
  <si>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</si>
  <si>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</si>
  <si>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</si>
  <si>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</si>
  <si>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</si>
  <si>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</si>
  <si>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</si>
  <si>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</si>
  <si>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</si>
  <si>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</si>
  <si>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</si>
  <si>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</si>
  <si>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</si>
  <si>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</si>
  <si>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</si>
  <si>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</si>
  <si>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</si>
  <si>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</si>
  <si>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</si>
  <si>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</si>
  <si>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</si>
  <si>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</si>
  <si>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</si>
  <si>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</si>
  <si>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</si>
  <si>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</si>
  <si>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</si>
  <si>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</si>
  <si>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</si>
  <si>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</si>
  <si>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</si>
  <si>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</si>
  <si>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</si>
  <si>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</si>
  <si>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</si>
  <si>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</si>
  <si>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</si>
  <si>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</si>
  <si>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</si>
  <si>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</si>
  <si>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</si>
  <si>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</si>
  <si>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</si>
  <si>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</si>
  <si>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</si>
  <si>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</si>
  <si>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</si>
  <si>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</si>
  <si>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</si>
  <si>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</si>
  <si>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</si>
  <si>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</si>
  <si>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</si>
  <si>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</si>
  <si>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</si>
  <si>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</si>
  <si>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</si>
  <si>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</si>
  <si>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</si>
  <si>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</si>
  <si>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</si>
  <si>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</si>
  <si>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</si>
  <si>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</si>
  <si>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</si>
  <si>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</si>
  <si>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</si>
  <si>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</si>
  <si>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</si>
  <si>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</si>
  <si>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</si>
  <si>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</si>
  <si>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</si>
  <si>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</si>
  <si>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</si>
  <si>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</si>
  <si>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</si>
  <si>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</si>
  <si>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</si>
  <si>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</si>
  <si>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</si>
  <si>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</si>
  <si>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</si>
  <si>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</si>
  <si>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</si>
  <si>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</si>
  <si>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</si>
  <si>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</si>
  <si>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</si>
  <si>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</si>
  <si>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</si>
  <si>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</si>
  <si>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</si>
  <si>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</si>
  <si>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</si>
  <si>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</si>
  <si>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</si>
  <si>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</si>
  <si>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</si>
  <si>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</si>
  <si>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</si>
  <si>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</si>
  <si>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</si>
  <si>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</si>
  <si>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</si>
  <si>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</si>
  <si>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</si>
  <si>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</si>
  <si>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</si>
  <si>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</si>
  <si>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</si>
  <si>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</si>
  <si>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</si>
  <si>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</si>
  <si>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</si>
  <si>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</si>
  <si>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</si>
  <si>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</si>
  <si>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</si>
  <si>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</si>
  <si>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</si>
  <si>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</si>
  <si>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</si>
  <si>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</si>
  <si>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</si>
  <si>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</si>
  <si>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</si>
  <si>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</si>
  <si>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</si>
  <si>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</si>
  <si>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</si>
  <si>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</si>
  <si>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</si>
  <si>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</si>
  <si>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</si>
  <si>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</si>
  <si>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</si>
  <si>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</si>
  <si>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</si>
  <si>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</si>
  <si>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</si>
  <si>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</si>
  <si>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</si>
  <si>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</si>
  <si>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</si>
  <si>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</si>
  <si>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</si>
  <si>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</si>
  <si>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</si>
  <si>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</si>
  <si>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</si>
  <si>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</si>
  <si>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</si>
  <si>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</si>
  <si>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</si>
  <si>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</si>
  <si>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</si>
  <si>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</si>
  <si>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</si>
  <si>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</si>
  <si>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</si>
  <si>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</si>
  <si>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</si>
  <si>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</si>
  <si>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</si>
  <si>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</si>
  <si>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</si>
  <si>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</si>
  <si>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</si>
  <si>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</si>
  <si>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</si>
  <si>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</si>
  <si>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</si>
  <si>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</si>
  <si>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</si>
  <si>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</si>
  <si>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</si>
  <si>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</si>
  <si>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</si>
  <si>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</si>
  <si>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</si>
  <si>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</si>
  <si>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</si>
  <si>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</si>
  <si>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</si>
  <si>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</si>
  <si>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</si>
  <si>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</si>
  <si>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</si>
  <si>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</si>
  <si>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</si>
  <si>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</si>
  <si>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</si>
  <si>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</si>
  <si>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</si>
  <si>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</si>
  <si>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</si>
  <si>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</si>
  <si>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</si>
  <si>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</si>
  <si>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</si>
  <si>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</si>
  <si>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</si>
  <si>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</si>
  <si>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</si>
  <si>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</si>
  <si>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</si>
  <si>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</si>
  <si>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</si>
  <si>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</si>
  <si>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</si>
  <si>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</si>
  <si>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</si>
  <si>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</si>
  <si>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</si>
  <si>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</si>
  <si>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</si>
  <si>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</si>
  <si>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</si>
  <si>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</si>
  <si>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</si>
  <si>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</si>
  <si>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</si>
  <si>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</si>
  <si>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</si>
  <si>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</si>
  <si>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</si>
  <si>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</si>
  <si>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</si>
  <si>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</si>
  <si>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</si>
  <si>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</si>
  <si>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</si>
  <si>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</si>
  <si>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</si>
  <si>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</si>
  <si>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</si>
  <si>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</si>
  <si>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</si>
  <si>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</si>
  <si>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</si>
  <si>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</si>
  <si>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</si>
  <si>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</si>
  <si>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</si>
  <si>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</si>
  <si>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</si>
  <si>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</si>
  <si>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</si>
  <si>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</si>
  <si>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</si>
  <si>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</si>
  <si>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</si>
  <si>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</si>
  <si>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</si>
  <si>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</si>
  <si>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-QR</t>
  </si>
  <si>
    <t>Qorako'l filiali boshlig'i</t>
  </si>
  <si>
    <t>Egamberdiyeva D.I.</t>
  </si>
  <si>
    <t>Egamberdiyeva Dilnora Inayatovna</t>
  </si>
  <si>
    <t>Ijrochi direktor</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</si>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</sst>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475">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7" fillId="0" borderId="0" applyFont="0" applyFill="0" applyBorder="0" applyAlignment="0" applyProtection="0"/>
  </cellStyleXfs>
  <cellXfs count="356">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vertical="top" wrapText="1"/>
    </xf>
    <xf numFmtId="0" fontId="17" fillId="0" borderId="0" xfId="0" applyFont="1" applyAlignment="1">
      <alignment horizontal="justify" vertical="top" wrapText="1"/>
    </xf>
  </cellXfs>
  <cellStyles count="2475">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Процентный 3" xfId="2398" xr:uid="{D3BCD724-E64C-4079-AD8C-11B18AF8DE43}"/>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0 9" xfId="2446" xr:uid="{44DBD289-7ADF-4365-93C8-AB013E8F2C28}"/>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1 9" xfId="2381" xr:uid="{E248E9F1-E9EA-4734-AAEC-811786A2D019}"/>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2 9" xfId="2424" xr:uid="{865F7A2F-BF0E-4F27-9B8A-6C7E9A6EA1D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3 9" xfId="2456" xr:uid="{40EF8473-D85B-4ECD-9CB8-9385E37DD163}"/>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4 9" xfId="2392" xr:uid="{7F17F841-B92A-464F-889A-B03C6AA8F1D3}"/>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5 9" xfId="2359" xr:uid="{5A5A8465-46D0-425F-9DDF-CC37253BD11F}"/>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0 9" xfId="2466" xr:uid="{DC17AAF3-F96B-4533-92C4-08C7B7D75B5F}"/>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1 9" xfId="2402" xr:uid="{63033320-A83C-41A0-B1CC-5DB5A42B8654}"/>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2 9" xfId="2369" xr:uid="{14FFDD3D-5282-42E4-9AA4-516D71B959BB}"/>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3 9" xfId="2349" xr:uid="{143674A1-E42C-4082-B323-894B652D1B2F}"/>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4 9" xfId="2439" xr:uid="{8D323026-ADA3-42F6-9C4A-D8055A3AD90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0 9" xfId="2411" xr:uid="{6971AB2E-267D-4C91-AB49-3ACE23FF36FF}"/>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1 9" xfId="2442" xr:uid="{FDB77546-B328-4870-B0CC-99D478FF643D}"/>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19" xfId="2375" xr:uid="{1CE39C27-0888-4C29-80C7-A6C994543C24}"/>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16" xfId="2377" xr:uid="{12B1144D-9822-47A1-9A75-1CB1A4E3976D}"/>
    <cellStyle name="Финансовый 2 2 2 2" xfId="46" xr:uid="{00000000-0005-0000-0000-000046010000}"/>
    <cellStyle name="Финансовый 2 2 2 2 10" xfId="2345" xr:uid="{E90DFB19-8F49-441C-93CA-BF10A8732EE7}"/>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2 9" xfId="2413" xr:uid="{ED6A8067-DA60-4138-AE33-790E6E03330E}"/>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3 9" xfId="2444" xr:uid="{ED937A21-FC02-4043-937B-8B03DC31AF0F}"/>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4 9" xfId="2379" xr:uid="{BAF4F4F4-D2FE-4F55-8119-D296DF8F192E}"/>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5 9" xfId="2347" xr:uid="{6A619D84-E00C-4FEC-A1E7-DE3FB78F8687}"/>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6 9" xfId="2436" xr:uid="{CF0DCA26-10A6-460F-B005-E4758C3A789B}"/>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7 9" xfId="2469" xr:uid="{481C7FDC-270C-4AEE-9BAE-DF334CC7F382}"/>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8 9" xfId="2405" xr:uid="{5E90BB8E-66F9-4671-8990-22DE7A74330B}"/>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11" xfId="2372" xr:uid="{27B4D539-45E7-444F-80F5-6A7F04DBB831}"/>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2 9" xfId="2419" xr:uid="{CCB5E9F0-7D76-4F8C-BFF7-870F7E6631BC}"/>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3 9" xfId="2451" xr:uid="{CACF30EC-2FE6-4C45-86B4-AC6110D2CE7F}"/>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4 9" xfId="2386" xr:uid="{213C5584-40B9-48D9-95CC-573136042FA1}"/>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5 9" xfId="2354" xr:uid="{F86BD893-684B-4F66-88B2-9BD3FFF0E2FE}"/>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6 9" xfId="2422" xr:uid="{D704A58A-B0DB-41A3-A306-32A3F67F246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7 9" xfId="2454" xr:uid="{750A1601-C5B7-4331-9718-1F110A3D307F}"/>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8 9" xfId="2390" xr:uid="{620C0081-F82D-4EBC-AEF1-3E8378B2BBBB}"/>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 9 9" xfId="2357" xr:uid="{BEB39F55-CFA8-4727-A9D2-12701E4200B0}"/>
    <cellStyle name="Финансовый 2 20" xfId="734" xr:uid="{00000000-0005-0000-0000-000028020000}"/>
    <cellStyle name="Финансовый 2 21" xfId="1787" xr:uid="{127C120B-9399-4F33-853C-22251701135B}"/>
    <cellStyle name="Финансовый 2 22" xfId="2433" xr:uid="{A1BB1C6C-FD3C-40BA-9C73-1F7EE5FAFAFC}"/>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0 9" xfId="2464" xr:uid="{F0ADD84E-3063-4B51-A0AB-3BBBC3AF41F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1 9" xfId="2400" xr:uid="{02A80E7D-8326-4FBB-B35D-EF6321765FE8}"/>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19" xfId="2431" xr:uid="{2B6F5F7D-3986-489C-8BC6-A5EDB317D1A3}"/>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16" xfId="2367" xr:uid="{ED6A1082-472E-401A-AE85-BC58E475920D}"/>
    <cellStyle name="Финансовый 2 3 2 2" xfId="48" xr:uid="{00000000-0005-0000-0000-000058020000}"/>
    <cellStyle name="Финансовый 2 3 2 2 10" xfId="2416" xr:uid="{3E0EF807-4858-4648-AE47-6517CBE17766}"/>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2 9" xfId="2448" xr:uid="{FA1AB8DB-EB83-447D-B04C-1EB0544B809C}"/>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3 9" xfId="2383" xr:uid="{2D5B36F0-3882-4A55-A58F-EC75159ACC4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4 9" xfId="2428" xr:uid="{D2AA74D8-63B2-47F7-A7E3-D3362A1D783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5 9" xfId="2460" xr:uid="{EA50B3FC-4E01-4A35-8666-E23BD9D3FC7F}"/>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6 9" xfId="2396" xr:uid="{273FBE59-ED38-4EAA-84A2-B61EABF58CA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7 9" xfId="2364" xr:uid="{73515953-9402-4CCA-9D68-92863DFFDF03}"/>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8 9" xfId="2351" xr:uid="{5545DA9B-E5BD-4291-934F-C7D26359ABEA}"/>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11" xfId="2408" xr:uid="{4AF34313-BCF6-4D91-BA97-8787A3458FDA}"/>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2 9" xfId="2472" xr:uid="{044C3EAA-C17C-4483-B369-9E56A31F7601}"/>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3 9" xfId="2343" xr:uid="{F25C52C8-C0EC-4218-A1B3-CE938EEFC177}"/>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4 9" xfId="2435" xr:uid="{BAFD67FC-1798-4B2B-95B1-985BB7E06354}"/>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5 9" xfId="2468" xr:uid="{F5A90C35-8F93-42BC-91A6-716D64F2F1EC}"/>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6 9" xfId="2404" xr:uid="{DA27FC65-794B-437F-AB43-71E4E28410C5}"/>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7 9" xfId="2371" xr:uid="{63F65BEC-6A83-45A5-AFDF-7F1B6627B17D}"/>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8 9" xfId="2418" xr:uid="{9D086B92-21F1-4CCC-921B-C1D5C5F1750A}"/>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3 9 9" xfId="2450" xr:uid="{5B0C3582-BE0E-42D9-BBC1-FBA2A81ED695}"/>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16" xfId="2385" xr:uid="{4C7279C1-AE13-4B07-B3FC-2A2CC1BF31FF}"/>
    <cellStyle name="Финансовый 2 4 2" xfId="44" xr:uid="{00000000-0005-0000-0000-000042030000}"/>
    <cellStyle name="Финансовый 2 4 2 10" xfId="2353" xr:uid="{881DC450-479B-4C12-A306-75B103E4D585}"/>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2 9" xfId="2421" xr:uid="{FC08832A-05E2-4AAC-AE4C-12143E3F76E4}"/>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3 9" xfId="2453" xr:uid="{2F69C233-467E-4150-A3E2-5A69D0801265}"/>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4 9" xfId="2389" xr:uid="{43981F0D-6085-4AD8-A832-7DDE649027EC}"/>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5 9" xfId="2356" xr:uid="{71CD3D72-EA86-469D-B30E-7B9B2AEDF724}"/>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6 9" xfId="2430" xr:uid="{A1676F04-BF40-4049-A4BF-C017A97FD89F}"/>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7 9" xfId="2463" xr:uid="{5F7B0515-6892-444E-9CA4-BECC78D7915D}"/>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8 9" xfId="2399" xr:uid="{8774C5C4-6FFA-424F-AAAC-83B29F4C9FBD}"/>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11" xfId="2366" xr:uid="{C929CFC9-F47F-4343-B3D9-81D086C91235}"/>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2 9" xfId="2427" xr:uid="{1C99E09B-30C1-4CB4-A6B1-78AEA493563B}"/>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3 9" xfId="2459" xr:uid="{CE7CEA38-7280-4CBE-A8A7-4069C2F1BFC7}"/>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6 9" xfId="2395" xr:uid="{0ACECC5E-208D-4AFF-9041-87300AA56C0B}"/>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7 9" xfId="2363" xr:uid="{B8ECC7A3-7475-42F3-8E5B-76B3A72F47A9}"/>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8 9" xfId="2426" xr:uid="{DA06C9FA-CB66-4C4A-B649-BC22C31088D5}"/>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 9 9" xfId="2458" xr:uid="{DE2C50C7-B02A-47E1-9FFF-3B79815DBB06}"/>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0 9" xfId="2362" xr:uid="{5DF432F8-7ABD-44F0-B7DC-C9D5566CCFE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1 9" xfId="2415" xr:uid="{845DE336-F8E7-48CC-8BCC-BA0644686AA8}"/>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19" xfId="2394" xr:uid="{34524F73-4036-42F1-94F2-57857415197F}"/>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16" xfId="2447" xr:uid="{CA574602-31A8-4F74-9D64-332578A19C77}"/>
    <cellStyle name="Финансовый 3 2 2" xfId="45" xr:uid="{00000000-0005-0000-0000-000043040000}"/>
    <cellStyle name="Финансовый 3 2 2 10" xfId="2382" xr:uid="{7BF0F218-0810-4F8F-97E3-0C5BD8FF703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2 9" xfId="2425" xr:uid="{46869128-4F72-4A54-BF95-E3DBFFB0E99B}"/>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3 9" xfId="2457" xr:uid="{9E3C47E8-B02C-4BCE-BC90-6FAFB8134057}"/>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4 9" xfId="2393" xr:uid="{EED35940-96EE-4965-B67B-6B06B37DE99D}"/>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5 9" xfId="2360" xr:uid="{E3D41B16-D87E-469C-921F-67613006376C}"/>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6 9" xfId="2434" xr:uid="{A181ADB7-2FEF-4CA9-8CEC-260094F792EF}"/>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7 9" xfId="2467" xr:uid="{0950409E-9442-4183-B8E3-745E9F8F676B}"/>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8 9" xfId="2403" xr:uid="{BFEDB471-649F-4CDF-89E8-7F1EEB10285F}"/>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11" xfId="2370" xr:uid="{FC4F0902-80AB-4269-9A91-23760C0FF37A}"/>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2 9" xfId="2350" xr:uid="{06041440-B774-46A4-A665-D55694052D71}"/>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3 9" xfId="2440" xr:uid="{BD6B0551-C905-438D-A811-9FD819A73434}"/>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4 9" xfId="2376" xr:uid="{4FA4968C-1A68-40C5-BCFB-CF489C2F48CB}"/>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5 9" xfId="2412" xr:uid="{58955F21-E958-4441-AB0F-883FFACFC753}"/>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6 9" xfId="2443" xr:uid="{6B21C360-584B-451B-9C49-7E84728490AE}"/>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7 9" xfId="2378" xr:uid="{ED7BF447-68E7-44DA-8BF7-E16516531DF6}"/>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8 9" xfId="2346" xr:uid="{A97AE73A-663C-41EB-B059-C41F781C3DC5}"/>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 9 9" xfId="2414" xr:uid="{06B2F476-C7BE-46AA-A4A7-A6383BC6BBD2}"/>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33" xfId="2462" xr:uid="{3BFB99C3-F319-4619-936E-4BE59163900C}"/>
    <cellStyle name="Финансовый 34" xfId="2361" xr:uid="{7B1F8073-1B84-473A-8577-DF10D50C883F}"/>
    <cellStyle name="Финансовый 35" xfId="2474" xr:uid="{8132BFA7-A172-405C-9754-5E5DD0460C01}"/>
    <cellStyle name="Финансовый 36" xfId="2388" xr:uid="{621B095B-48B3-4D9C-908C-AB9E763F52DE}"/>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0 9" xfId="2380" xr:uid="{A0FDEF29-CF38-4EA6-AF39-335190C3CCB9}"/>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1 9" xfId="2348" xr:uid="{71E0BEEF-895C-4224-9B41-37ACB8E44C15}"/>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19" xfId="2445" xr:uid="{77FBC887-C07B-4E9D-85A0-D29022C5A21F}"/>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16" xfId="2437" xr:uid="{04773F4E-49B2-4553-A2CA-E63F6B50F175}"/>
    <cellStyle name="Финансовый 4 2 2" xfId="47" xr:uid="{00000000-0005-0000-0000-000055050000}"/>
    <cellStyle name="Финансовый 4 2 2 10" xfId="2470" xr:uid="{C52C711E-8FFB-4F07-891B-5C66F189C59C}"/>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2 9" xfId="2406" xr:uid="{B319E4AB-9A4D-4579-87CE-D8AC61619BD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3 9" xfId="2373" xr:uid="{5873276A-151B-4271-B065-4807DB67E667}"/>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4 9" xfId="2420" xr:uid="{DAA0B756-346E-4CE0-B27E-ED856348A7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5 9" xfId="2452" xr:uid="{62FD98C4-8888-4B18-9872-863FFB4C6D0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6 9" xfId="2387" xr:uid="{6066097D-FCEF-411C-B38D-3D76F7A6BFA3}"/>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7 9" xfId="2355" xr:uid="{8E8C65E2-CEB9-487F-8135-D56E2A64650C}"/>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8 9" xfId="2423" xr:uid="{C9D055F4-B94A-45BA-BF14-CDA79CAF8605}"/>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11" xfId="2455" xr:uid="{FC4098CA-08BB-47DA-A703-D97640F1CCB2}"/>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2 9" xfId="2391" xr:uid="{76EC50A2-69C6-419F-8D9E-2571815E3F06}"/>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3 9" xfId="2358" xr:uid="{3013F6E9-30F2-4D21-8161-7AF86B2B8A77}"/>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4 9" xfId="2432" xr:uid="{B3234C0A-B05E-4A69-A1A9-5FE9479ABE46}"/>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5 9" xfId="2465" xr:uid="{674B40CD-6025-46AC-AED5-941EE50A29B6}"/>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6 9" xfId="2401" xr:uid="{E2DF7B71-1654-4DBD-97E0-D8556001D9DE}"/>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7 9" xfId="2368" xr:uid="{C4A8FF0C-FCD8-49C9-B510-5536B53632ED}"/>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8 9" xfId="2417" xr:uid="{732E4691-1D0F-494A-9E09-AE485F93A73C}"/>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4 9 9" xfId="2449" xr:uid="{E337BCC2-EE26-46A2-838E-38F6D159F75C}"/>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16" xfId="2384" xr:uid="{BB535FF0-5830-474F-B1E9-71E65B9A3A0A}"/>
    <cellStyle name="Финансовый 5 2" xfId="43" xr:uid="{00000000-0005-0000-0000-00003F060000}"/>
    <cellStyle name="Финансовый 5 2 10" xfId="2429" xr:uid="{649DBFCE-3EF5-4931-8CE6-902A47E65AC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2 9" xfId="2461" xr:uid="{D168544B-8DE0-47C1-93ED-0FCFACECDB68}"/>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3 9" xfId="2397" xr:uid="{C6F814FB-B574-44B0-AEFB-32EC53DDC0C9}"/>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4 9" xfId="2365" xr:uid="{2451FC55-0BA7-4FB5-83AC-2BA7979BD1C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5 9" xfId="2352" xr:uid="{53C8B595-326B-439A-9BB3-20EC88FB7AB8}"/>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6 9" xfId="2409" xr:uid="{797D677F-FA29-42CE-9ED8-CB1AE5A29E03}"/>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7 9" xfId="2473" xr:uid="{11C64063-5673-4F7B-BC5F-C1E220096EF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8 9" xfId="2344" xr:uid="{C4F11448-4326-4541-BFD3-F4219C9B4DD6}"/>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11" xfId="2407" xr:uid="{AFA7F71E-2A1F-4CF4-AD33-0E1FB40083C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2 9" xfId="2471" xr:uid="{1D784AA1-03DD-4E5D-AFB5-790CD7BA4E3B}"/>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3 9" xfId="2438" xr:uid="{77DE5E03-B092-43B0-98D2-AB44588BF3D3}"/>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7 9" xfId="2374" xr:uid="{8F1EE29F-6FA6-4948-A881-5D94A05B037E}"/>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8 9" xfId="2410" xr:uid="{B96B5FF7-0FBA-4BAF-BDF7-A0339FF5CD69}"/>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 name="Финансовый 9 9" xfId="2441" xr:uid="{7C1C86A9-8AFF-4B98-971A-11AF3B104A6C}"/>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2" t="str">
        <f>""&amp;'Общие данные'!B147&amp;"
mikromoliya tashkiloti
Kredit qo‘mitasining yig‘ilishi"</f>
        <v>«CLEVER MIKROMOLIYA TASHKILOTI» MChJ
mikromoliya tashkiloti
Kredit qo‘mitasining yig‘ilishi</v>
      </c>
      <c r="B1" s="232"/>
      <c r="C1" s="232"/>
      <c r="D1" s="232"/>
      <c r="E1" s="232"/>
    </row>
    <row r="2" spans="1:33" ht="29.25" customHeight="1">
      <c r="A2" s="232" t="str">
        <f>""&amp;H7&amp;" protokolidan ko'chirma"</f>
        <v>№ -QR protokolidan ko'chirma</v>
      </c>
      <c r="B2" s="232"/>
      <c r="C2" s="232"/>
      <c r="D2" s="232"/>
      <c r="E2" s="232"/>
    </row>
    <row r="3" spans="1:33" ht="29.25" customHeight="1">
      <c r="A3" s="132" t="s">
        <v>203</v>
      </c>
      <c r="B3" s="50"/>
      <c r="C3" s="50"/>
      <c r="D3" s="50"/>
      <c r="E3" s="133" t="str">
        <f>'Общие данные'!B68</f>
        <v>11 mart 2025 y.</v>
      </c>
    </row>
    <row r="4" spans="1:33" ht="29.25" customHeight="1">
      <c r="A4" s="50"/>
      <c r="B4" s="232" t="s">
        <v>202</v>
      </c>
      <c r="C4" s="232"/>
      <c r="D4" s="232"/>
      <c r="E4" s="50"/>
    </row>
    <row r="5" spans="1:33" ht="36" customHeight="1">
      <c r="A5" s="231" t="str">
        <f>"         "&amp;H8&amp;"."&amp;'Общие данные'!B5&amp;" ga "&amp;'Общие данные'!B65&amp;" berish masalasini ko‘rib chiqish to‘g‘risida."</f>
        <v xml:space="preserve">         1.NUTFULLAYEV AKBARJON AXMEDOVICH ga mikroqarz berish masalasini ko‘rib chiqish to‘g‘risida.</v>
      </c>
      <c r="B5" s="231"/>
      <c r="C5" s="231"/>
      <c r="D5" s="231"/>
      <c r="E5" s="231"/>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-QR</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4" t="str">
        <f>""&amp;'Общие данные'!C64&amp;" ta’minoti:"</f>
        <v>Mikroqarz ta’minoti:</v>
      </c>
      <c r="B14" s="234"/>
      <c r="C14" s="234"/>
      <c r="D14" s="234"/>
      <c r="E14" s="234"/>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5" t="s">
        <v>261</v>
      </c>
      <c r="B19" s="235"/>
      <c r="C19" s="235"/>
      <c r="D19" s="235"/>
      <c r="E19" s="235"/>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1" t="str">
        <f>"1. "&amp;'Общие данные'!C64&amp;" summasi: "&amp;FIXED('Общие данные'!B75)&amp;" ("&amp;'Общие данные'!B76&amp;") so'm."</f>
        <v>1. Mikroqarz summasi: 27 000 000,00 (yigirma yetti million so'm) so'm.</v>
      </c>
      <c r="B21" s="231"/>
      <c r="C21" s="231"/>
      <c r="D21" s="231"/>
      <c r="E21" s="231"/>
    </row>
    <row r="22" spans="1:5" s="134" customFormat="1" ht="18.75" customHeight="1">
      <c r="A22" s="231" t="str">
        <f>"2. "&amp;'Общие данные'!C64&amp;" muddati: "&amp;'Общие данные'!B81&amp;" ("&amp;'Общие данные'!B82&amp;") oy "</f>
        <v xml:space="preserve">2. Mikroqarz muddati: 36 (o'ttiz olti) oy </v>
      </c>
      <c r="B22" s="231"/>
      <c r="C22" s="231"/>
      <c r="D22" s="231"/>
      <c r="E22" s="231"/>
    </row>
    <row r="23" spans="1:5" s="134" customFormat="1" ht="18.75" customHeight="1">
      <c r="A23" s="231" t="str">
        <f>"3. "&amp;'Общие данные'!C64&amp;"dan foydalanganlik uchun foiz stavkasi:yillik "&amp;'Общие данные'!B85&amp;"% ("&amp;'Общие данные'!B86&amp;") foiz."</f>
        <v>3. Mikroqarzdan foydalanganlik uchun foiz stavkasi:yillik 60% (Oltmish) foiz.</v>
      </c>
      <c r="B23" s="231"/>
      <c r="C23" s="231"/>
      <c r="D23" s="231"/>
      <c r="E23" s="231"/>
    </row>
    <row r="24" spans="1:5" s="134" customFormat="1" ht="18.75" customHeight="1">
      <c r="A24" s="231" t="str">
        <f>"4. "&amp;'Общие данные'!C64&amp;" bo‘yicha asosiy qarz va foizlarni to‘lash:"</f>
        <v>4. Mikroqarz bo‘yicha asosiy qarz va foizlarni to‘lash:</v>
      </c>
      <c r="B24" s="231"/>
      <c r="C24" s="231"/>
      <c r="D24" s="231"/>
      <c r="E24" s="231"/>
    </row>
    <row r="25" spans="1:5" s="134" customFormat="1" ht="18.75" customHeight="1">
      <c r="A25" s="231" t="str">
        <f>'Кредитная заявка'!A19:D19</f>
        <v xml:space="preserve"> - mikroqarz shartnomasi bo'yicha har oy differensial to'lovlari amalga oshiriladi</v>
      </c>
      <c r="B25" s="231"/>
      <c r="C25" s="231"/>
      <c r="D25" s="231"/>
      <c r="E25" s="231"/>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6" t="s">
        <v>262</v>
      </c>
      <c r="B36" s="236"/>
      <c r="C36" s="236"/>
      <c r="D36" s="236"/>
      <c r="E36" s="236"/>
    </row>
    <row r="37" spans="1:5" ht="29.25" customHeight="1">
      <c r="A37" s="230" t="s">
        <v>400</v>
      </c>
      <c r="B37" s="230"/>
      <c r="C37" s="162"/>
      <c r="D37" s="163"/>
      <c r="E37" s="163"/>
    </row>
    <row r="38" spans="1:5" ht="29.25" customHeight="1">
      <c r="A38" s="237" t="str">
        <f>"2. "&amp;'Общие данные'!B159&amp;""</f>
        <v>2. Mominov B.X.</v>
      </c>
      <c r="B38" s="237"/>
      <c r="C38" s="162"/>
      <c r="D38" s="164"/>
      <c r="E38" s="164"/>
    </row>
    <row r="39" spans="1:5" ht="29.25" customHeight="1">
      <c r="A39" s="230" t="str">
        <f>"3. "&amp;'Общие данные'!B160&amp;""</f>
        <v>3. Jumanazarov B.T.</v>
      </c>
      <c r="B39" s="230"/>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-QR</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7" t="e">
        <f>#REF!</f>
        <v>#REF!</v>
      </c>
      <c r="B50" s="247"/>
      <c r="C50" s="247"/>
      <c r="D50" s="247" t="e">
        <f>#REF!</f>
        <v>#REF!</v>
      </c>
      <c r="E50" s="247"/>
      <c r="F50" s="247"/>
    </row>
    <row r="51" spans="1:6" ht="32.25" customHeight="1">
      <c r="A51" s="243" t="e">
        <f>#REF!</f>
        <v>#REF!</v>
      </c>
      <c r="B51" s="243"/>
      <c r="C51" s="243"/>
      <c r="D51" s="243" t="e">
        <f>#REF!</f>
        <v>#REF!</v>
      </c>
      <c r="E51" s="243"/>
      <c r="F51" s="243"/>
    </row>
    <row r="52" spans="1:6">
      <c r="A52" s="243" t="e">
        <f>#REF!</f>
        <v>#REF!</v>
      </c>
      <c r="B52" s="243"/>
      <c r="C52" s="243"/>
      <c r="D52" s="243" t="str">
        <f>"паспорт серии "&amp;'Общие данные'!B16&amp;", "&amp;'Общие данные'!B20&amp;""</f>
        <v>паспорт серии AA 9481167, BUXORO VILOYATI BUXORO SHAHAR IIB tomonidan 24.04.2015 yilda berilgan</v>
      </c>
      <c r="E52" s="243"/>
      <c r="F52" s="243"/>
    </row>
    <row r="53" spans="1:6" ht="32.25" customHeight="1">
      <c r="A53" s="243" t="e">
        <f>#REF!</f>
        <v>#REF!</v>
      </c>
      <c r="B53" s="243"/>
      <c r="C53" s="243"/>
      <c r="D53" s="243"/>
      <c r="E53" s="243"/>
      <c r="F53" s="243"/>
    </row>
    <row r="54" spans="1:6">
      <c r="A54" s="243" t="e">
        <f>#REF!</f>
        <v>#REF!</v>
      </c>
      <c r="B54" s="243"/>
      <c r="C54" s="243"/>
      <c r="D54" s="243" t="e">
        <f>#REF!</f>
        <v>#REF!</v>
      </c>
      <c r="E54" s="243"/>
      <c r="F54" s="243"/>
    </row>
    <row r="55" spans="1:6">
      <c r="A55" s="243" t="e">
        <f>#REF!</f>
        <v>#REF!</v>
      </c>
      <c r="B55" s="243"/>
      <c r="C55" s="243"/>
      <c r="D55" s="243" t="e">
        <f>#REF!</f>
        <v>#REF!</v>
      </c>
      <c r="E55" s="243"/>
      <c r="F55" s="243"/>
    </row>
    <row r="56" spans="1:6">
      <c r="A56" s="243" t="e">
        <f>#REF!</f>
        <v>#REF!</v>
      </c>
      <c r="B56" s="243"/>
      <c r="C56" s="243"/>
      <c r="D56" s="243" t="e">
        <f>#REF!</f>
        <v>#REF!</v>
      </c>
      <c r="E56" s="243"/>
      <c r="F56" s="243"/>
    </row>
    <row r="57" spans="1:6" ht="8.25" customHeight="1">
      <c r="A57" s="243"/>
      <c r="B57" s="243"/>
      <c r="C57" s="243"/>
      <c r="D57" s="243"/>
      <c r="E57" s="243"/>
      <c r="F57" s="243"/>
    </row>
    <row r="58" spans="1:6">
      <c r="A58" s="247" t="e">
        <f>#REF!</f>
        <v>#REF!</v>
      </c>
      <c r="B58" s="247"/>
      <c r="C58" s="247"/>
      <c r="D58" s="247" t="e">
        <f>#REF!</f>
        <v>#REF!</v>
      </c>
      <c r="E58" s="247"/>
      <c r="F58" s="247"/>
    </row>
    <row r="59" spans="1:6" ht="7.5" customHeight="1">
      <c r="A59" s="247"/>
      <c r="B59" s="247"/>
      <c r="C59" s="247"/>
      <c r="D59" s="247"/>
      <c r="E59" s="247"/>
      <c r="F59" s="247"/>
    </row>
    <row r="60" spans="1:6">
      <c r="A60" s="247" t="e">
        <f>#REF!</f>
        <v>#REF!</v>
      </c>
      <c r="B60" s="247"/>
      <c r="C60" s="247"/>
      <c r="D60" s="247" t="e">
        <f>#REF!</f>
        <v>#REF!</v>
      </c>
      <c r="E60" s="247"/>
      <c r="F60" s="247"/>
    </row>
    <row r="61" spans="1:6" ht="8.25" customHeight="1">
      <c r="A61" s="243"/>
      <c r="B61" s="243"/>
      <c r="C61" s="243"/>
      <c r="D61" s="243"/>
      <c r="E61" s="243"/>
      <c r="F61" s="243"/>
    </row>
    <row r="62" spans="1:6" ht="30" customHeight="1">
      <c r="A62" s="249"/>
      <c r="B62" s="249"/>
      <c r="C62" s="249"/>
      <c r="D62" s="250" t="e">
        <f>#REF!</f>
        <v>#REF!</v>
      </c>
      <c r="E62" s="250"/>
      <c r="F62" s="250"/>
    </row>
    <row r="63" spans="1:6">
      <c r="A63" s="251"/>
      <c r="B63" s="251"/>
      <c r="C63" s="251"/>
      <c r="D63" s="251"/>
      <c r="E63" s="251"/>
      <c r="F63" s="251"/>
    </row>
    <row r="64" spans="1:6">
      <c r="A64" s="248"/>
      <c r="B64" s="248"/>
      <c r="C64" s="248"/>
      <c r="D64" s="248"/>
      <c r="E64" s="248"/>
      <c r="F64" s="24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10" zoomScaleNormal="100" workbookViewId="0">
      <selection activeCell="A161" sqref="A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-QR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-QR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7" t="s">
        <v>429</v>
      </c>
      <c r="B150" s="226" t="s">
        <v>430</v>
      </c>
    </row>
    <row r="151" spans="1:2">
      <c r="A151" s="227"/>
      <c r="B151" s="226" t="s">
        <v>431</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9" t="s">
        <v>429</v>
      </c>
      <c r="B161" s="228" t="s">
        <v>430</v>
      </c>
    </row>
    <row r="162" spans="1:2">
      <c r="A162" s="3" t="s">
        <v>186</v>
      </c>
      <c r="B162" s="2" t="s">
        <v>349</v>
      </c>
    </row>
    <row r="163" spans="1:2">
      <c r="A163" s="3" t="s">
        <v>187</v>
      </c>
      <c r="B163" s="2" t="s">
        <v>350</v>
      </c>
    </row>
    <row r="164" spans="1:2">
      <c r="A164" s="3" t="s">
        <v>188</v>
      </c>
      <c r="B164" s="1" t="str">
        <f>B1</f>
        <v>№ -QR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5" t="s">
        <v>16</v>
      </c>
      <c r="F1" s="255"/>
    </row>
    <row r="2" spans="1:8">
      <c r="A2" s="37"/>
      <c r="B2" s="37"/>
      <c r="C2" s="37"/>
      <c r="D2" s="37"/>
      <c r="E2" s="37"/>
      <c r="F2" s="38" t="str">
        <f>"к договору микрозайма "&amp;'Общие данные'!B74&amp;""</f>
        <v>к договору микрозайма 11 mart 2025 y.dan № -QR</v>
      </c>
    </row>
    <row r="3" spans="1:8" ht="6.75" customHeight="1">
      <c r="A3" s="37"/>
      <c r="B3" s="37"/>
      <c r="C3" s="37"/>
      <c r="D3" s="37"/>
      <c r="E3" s="37"/>
      <c r="F3" s="37"/>
    </row>
    <row r="4" spans="1:8">
      <c r="A4" s="256" t="s">
        <v>17</v>
      </c>
      <c r="B4" s="256"/>
      <c r="C4" s="256"/>
      <c r="D4" s="256"/>
      <c r="E4" s="256"/>
      <c r="F4" s="256"/>
    </row>
    <row r="5" spans="1:8" ht="7.5" customHeight="1"/>
    <row r="6" spans="1:8">
      <c r="A6" s="257" t="s">
        <v>15</v>
      </c>
      <c r="B6" s="258" t="s">
        <v>9</v>
      </c>
      <c r="C6" s="258" t="s">
        <v>10</v>
      </c>
      <c r="D6" s="259" t="s">
        <v>11</v>
      </c>
      <c r="E6" s="259"/>
      <c r="F6" s="259"/>
    </row>
    <row r="7" spans="1:8" s="16" customFormat="1">
      <c r="A7" s="257"/>
      <c r="B7" s="258"/>
      <c r="C7" s="258"/>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3" t="e">
        <f>#REF!</f>
        <v>#REF!</v>
      </c>
      <c r="B50" s="263"/>
      <c r="C50" s="263"/>
      <c r="D50" s="263" t="e">
        <f>#REF!</f>
        <v>#REF!</v>
      </c>
      <c r="E50" s="263"/>
      <c r="F50" s="263"/>
    </row>
    <row r="51" spans="1:6" ht="32.25" customHeight="1">
      <c r="A51" s="260" t="e">
        <f>#REF!</f>
        <v>#REF!</v>
      </c>
      <c r="B51" s="260"/>
      <c r="C51" s="260"/>
      <c r="D51" s="260" t="e">
        <f>#REF!</f>
        <v>#REF!</v>
      </c>
      <c r="E51" s="260"/>
      <c r="F51" s="260"/>
    </row>
    <row r="52" spans="1:6">
      <c r="A52" s="260" t="e">
        <f>#REF!</f>
        <v>#REF!</v>
      </c>
      <c r="B52" s="260"/>
      <c r="C52" s="260"/>
      <c r="D52" s="260" t="str">
        <f>"паспорт серии "&amp;'Общие данные'!B16&amp;", "&amp;'Общие данные'!B20&amp;""</f>
        <v>паспорт серии AA 9481167, BUXORO VILOYATI BUXORO SHAHAR IIB tomonidan 24.04.2015 yilda berilgan</v>
      </c>
      <c r="E52" s="260"/>
      <c r="F52" s="260"/>
    </row>
    <row r="53" spans="1:6" ht="32.25" customHeight="1">
      <c r="A53" s="260" t="e">
        <f>#REF!</f>
        <v>#REF!</v>
      </c>
      <c r="B53" s="260"/>
      <c r="C53" s="260"/>
      <c r="D53" s="260"/>
      <c r="E53" s="260"/>
      <c r="F53" s="260"/>
    </row>
    <row r="54" spans="1:6">
      <c r="A54" s="260" t="e">
        <f>#REF!</f>
        <v>#REF!</v>
      </c>
      <c r="B54" s="260"/>
      <c r="C54" s="260"/>
      <c r="D54" s="260" t="e">
        <f>#REF!</f>
        <v>#REF!</v>
      </c>
      <c r="E54" s="260"/>
      <c r="F54" s="260"/>
    </row>
    <row r="55" spans="1:6">
      <c r="A55" s="260" t="e">
        <f>#REF!</f>
        <v>#REF!</v>
      </c>
      <c r="B55" s="260"/>
      <c r="C55" s="260"/>
      <c r="D55" s="260" t="e">
        <f>#REF!</f>
        <v>#REF!</v>
      </c>
      <c r="E55" s="260"/>
      <c r="F55" s="260"/>
    </row>
    <row r="56" spans="1:6">
      <c r="A56" s="260" t="e">
        <f>#REF!</f>
        <v>#REF!</v>
      </c>
      <c r="B56" s="260"/>
      <c r="C56" s="260"/>
      <c r="D56" s="260" t="e">
        <f>#REF!</f>
        <v>#REF!</v>
      </c>
      <c r="E56" s="260"/>
      <c r="F56" s="260"/>
    </row>
    <row r="57" spans="1:6" ht="8.25" customHeight="1">
      <c r="A57" s="260"/>
      <c r="B57" s="260"/>
      <c r="C57" s="260"/>
      <c r="D57" s="260"/>
      <c r="E57" s="260"/>
      <c r="F57" s="260"/>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60"/>
      <c r="B61" s="260"/>
      <c r="C61" s="260"/>
      <c r="D61" s="260"/>
      <c r="E61" s="260"/>
      <c r="F61" s="260"/>
    </row>
    <row r="62" spans="1:6" ht="30" customHeight="1">
      <c r="A62" s="265"/>
      <c r="B62" s="265"/>
      <c r="C62" s="265"/>
      <c r="D62" s="266"/>
      <c r="E62" s="266"/>
      <c r="F62" s="266"/>
    </row>
    <row r="63" spans="1:6">
      <c r="A63" s="267"/>
      <c r="B63" s="267"/>
      <c r="C63" s="267"/>
      <c r="D63" s="267"/>
      <c r="E63" s="267"/>
      <c r="F63" s="267"/>
    </row>
    <row r="64" spans="1:6">
      <c r="A64" s="264"/>
      <c r="B64" s="264"/>
      <c r="C64" s="264"/>
      <c r="D64" s="264"/>
      <c r="E64" s="264"/>
      <c r="F64" s="264"/>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72" t="s">
        <v>220</v>
      </c>
      <c r="B12" s="272"/>
      <c r="C12" s="272"/>
      <c r="D12" s="272"/>
      <c r="E12" s="272"/>
      <c r="F12" s="272"/>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72" t="s">
        <v>221</v>
      </c>
      <c r="B18" s="272"/>
      <c r="C18" s="272"/>
      <c r="D18" s="272"/>
      <c r="E18" s="272"/>
      <c r="F18" s="272"/>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72" t="s">
        <v>222</v>
      </c>
      <c r="B22" s="269"/>
      <c r="C22" s="269"/>
      <c r="D22" s="269"/>
      <c r="E22" s="269"/>
      <c r="F22" s="269"/>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69" t="s">
        <v>236</v>
      </c>
      <c r="B34" s="269"/>
      <c r="C34" s="269"/>
      <c r="D34" s="148" t="s">
        <v>157</v>
      </c>
      <c r="E34" s="269" t="s">
        <v>237</v>
      </c>
      <c r="F34" s="269"/>
    </row>
    <row r="35" spans="1:6" ht="25.5" customHeight="1">
      <c r="A35" s="270"/>
      <c r="B35" s="270"/>
      <c r="C35" s="270"/>
      <c r="D35" s="271" t="str">
        <f>'Общие данные'!B2</f>
        <v>11.03.2025</v>
      </c>
      <c r="E35" s="270"/>
      <c r="F35" s="270"/>
    </row>
    <row r="36" spans="1:6" ht="25.5" customHeight="1">
      <c r="A36" s="270"/>
      <c r="B36" s="270"/>
      <c r="C36" s="270"/>
      <c r="D36" s="271"/>
      <c r="E36" s="270"/>
      <c r="F36" s="270"/>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4" t="s">
        <v>238</v>
      </c>
      <c r="B2" s="274"/>
      <c r="C2" s="274"/>
      <c r="D2" s="274"/>
      <c r="E2" s="274"/>
    </row>
    <row r="3" spans="1:5">
      <c r="E3" s="121" t="str">
        <f>'Общие данные'!B68</f>
        <v>11 mart 2025 y.</v>
      </c>
    </row>
    <row r="5" spans="1:5" s="123" customFormat="1" ht="27" customHeight="1">
      <c r="A5" s="278" t="s">
        <v>239</v>
      </c>
      <c r="B5" s="279"/>
      <c r="C5" s="275" t="str">
        <f>'Общие данные'!B8</f>
        <v>NUTFULLAYEV AKBARJON AXMEDOVICH</v>
      </c>
      <c r="D5" s="276"/>
      <c r="E5" s="277"/>
    </row>
    <row r="7" spans="1:5" ht="15.75" customHeight="1">
      <c r="A7" s="280" t="s">
        <v>358</v>
      </c>
      <c r="B7" s="281"/>
      <c r="C7" s="282"/>
      <c r="D7" s="124" t="s">
        <v>133</v>
      </c>
      <c r="E7" s="124"/>
    </row>
    <row r="8" spans="1:5">
      <c r="A8" s="283"/>
      <c r="B8" s="284"/>
      <c r="C8" s="285"/>
      <c r="D8" s="124" t="s">
        <v>243</v>
      </c>
      <c r="E8" s="124"/>
    </row>
    <row r="9" spans="1:5" ht="15.75" customHeight="1">
      <c r="A9" s="286" t="s">
        <v>240</v>
      </c>
      <c r="B9" s="286"/>
      <c r="C9" s="286"/>
      <c r="D9" s="124" t="s">
        <v>133</v>
      </c>
      <c r="E9" s="124"/>
    </row>
    <row r="10" spans="1:5">
      <c r="A10" s="286"/>
      <c r="B10" s="286"/>
      <c r="C10" s="286"/>
      <c r="D10" s="124" t="s">
        <v>243</v>
      </c>
      <c r="E10" s="124"/>
    </row>
    <row r="11" spans="1:5" ht="15.75" customHeight="1">
      <c r="A11" s="286" t="s">
        <v>241</v>
      </c>
      <c r="B11" s="286"/>
      <c r="C11" s="286"/>
      <c r="D11" s="124" t="s">
        <v>133</v>
      </c>
      <c r="E11" s="124"/>
    </row>
    <row r="12" spans="1:5">
      <c r="A12" s="286"/>
      <c r="B12" s="286"/>
      <c r="C12" s="286"/>
      <c r="D12" s="124" t="s">
        <v>243</v>
      </c>
      <c r="E12" s="124"/>
    </row>
    <row r="13" spans="1:5" ht="34.5" customHeight="1">
      <c r="A13" s="287" t="s">
        <v>242</v>
      </c>
      <c r="B13" s="287"/>
      <c r="C13" s="287"/>
      <c r="D13" s="287"/>
      <c r="E13" s="287"/>
    </row>
    <row r="14" spans="1:5" ht="16.5" thickBot="1">
      <c r="A14" s="288"/>
      <c r="B14" s="288"/>
      <c r="C14" s="288"/>
      <c r="D14" s="288"/>
      <c r="E14" s="288"/>
    </row>
    <row r="15" spans="1:5" ht="16.5" thickBot="1">
      <c r="A15" s="288"/>
      <c r="B15" s="288"/>
      <c r="C15" s="288"/>
      <c r="D15" s="288"/>
      <c r="E15" s="288"/>
    </row>
    <row r="16" spans="1:5" ht="16.5" thickBot="1">
      <c r="A16" s="288"/>
      <c r="B16" s="288"/>
      <c r="C16" s="288"/>
      <c r="D16" s="288"/>
      <c r="E16" s="288"/>
    </row>
    <row r="18" spans="1:8" ht="18.75" customHeight="1">
      <c r="A18" s="286" t="s">
        <v>244</v>
      </c>
      <c r="B18" s="286"/>
      <c r="C18" s="286"/>
      <c r="D18" s="124" t="s">
        <v>133</v>
      </c>
      <c r="E18" s="124"/>
    </row>
    <row r="19" spans="1:8" ht="18.75" customHeight="1">
      <c r="A19" s="286"/>
      <c r="B19" s="286"/>
      <c r="C19" s="286"/>
      <c r="D19" s="124" t="s">
        <v>243</v>
      </c>
      <c r="E19" s="124"/>
    </row>
    <row r="20" spans="1:8" ht="29.25" customHeight="1">
      <c r="A20" s="286" t="s">
        <v>245</v>
      </c>
      <c r="B20" s="286"/>
      <c r="C20" s="286"/>
      <c r="D20" s="124" t="s">
        <v>133</v>
      </c>
      <c r="E20" s="124"/>
    </row>
    <row r="21" spans="1:8" ht="29.25" customHeight="1">
      <c r="A21" s="286"/>
      <c r="B21" s="286"/>
      <c r="C21" s="286"/>
      <c r="D21" s="124" t="s">
        <v>243</v>
      </c>
      <c r="E21" s="124"/>
    </row>
    <row r="23" spans="1:8" ht="15.75" customHeight="1">
      <c r="A23" s="287" t="s">
        <v>246</v>
      </c>
      <c r="B23" s="287"/>
      <c r="C23" s="287"/>
      <c r="D23" s="287"/>
      <c r="E23" s="287"/>
    </row>
    <row r="24" spans="1:8" ht="16.5" thickBot="1">
      <c r="A24" s="288"/>
      <c r="B24" s="288"/>
      <c r="C24" s="288"/>
      <c r="D24" s="288"/>
      <c r="E24" s="288"/>
    </row>
    <row r="25" spans="1:8" ht="16.5" thickBot="1">
      <c r="A25" s="288"/>
      <c r="B25" s="288"/>
      <c r="C25" s="288"/>
      <c r="D25" s="288"/>
      <c r="E25" s="288"/>
    </row>
    <row r="26" spans="1:8" ht="16.5" thickBot="1">
      <c r="A26" s="288"/>
      <c r="B26" s="288"/>
      <c r="C26" s="288"/>
      <c r="D26" s="288"/>
      <c r="E26" s="288"/>
    </row>
    <row r="28" spans="1:8" ht="78.75" customHeight="1">
      <c r="A28" s="289" t="s">
        <v>247</v>
      </c>
      <c r="B28" s="289"/>
      <c r="C28" s="289"/>
      <c r="D28" s="289"/>
      <c r="E28" s="289"/>
    </row>
    <row r="30" spans="1:8" ht="33" customHeight="1">
      <c r="A30" s="289" t="s">
        <v>248</v>
      </c>
      <c r="B30" s="289"/>
      <c r="C30" s="289"/>
      <c r="D30" s="289"/>
      <c r="E30" s="289"/>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Qorako'l filiali boshlig'i</v>
      </c>
      <c r="D1" s="294"/>
    </row>
    <row r="2" spans="1:4">
      <c r="C2" s="13"/>
      <c r="D2" s="14" t="str">
        <f>""&amp;'Общие данные'!B150&amp;"ga"</f>
        <v>Egamberdiyeva D.I.ga</v>
      </c>
    </row>
    <row r="4" spans="1:4">
      <c r="A4" s="293" t="str">
        <f>""&amp;'Общие данные'!C64&amp;" olish uchun Ariza"</f>
        <v>Mikroqarz olish uchun Ariza</v>
      </c>
      <c r="B4" s="293"/>
      <c r="C4" s="293"/>
      <c r="D4" s="293"/>
    </row>
    <row r="5" spans="1:4">
      <c r="A5" s="293"/>
      <c r="B5" s="293"/>
      <c r="C5" s="293"/>
      <c r="D5" s="293"/>
    </row>
    <row r="6" spans="1:4" ht="60" customHeight="1">
      <c r="A6" s="290"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0"/>
      <c r="C6" s="290"/>
      <c r="D6" s="290"/>
    </row>
    <row r="7" spans="1:4" ht="15.75" customHeight="1">
      <c r="A7" s="290" t="str">
        <f>"Tug'ilgan kuni: "&amp;'Общие данные'!B15&amp;""</f>
        <v>Tug'ilgan kuni: 14.09.1989 y</v>
      </c>
      <c r="B7" s="290"/>
      <c r="C7" s="290"/>
      <c r="D7" s="290"/>
    </row>
    <row r="8" spans="1:4" ht="33" customHeight="1">
      <c r="A8" s="290" t="str">
        <f>"Pasport seriyasi: "&amp;'Общие данные'!B16&amp;" "&amp;'Общие данные'!B20&amp;""</f>
        <v>Pasport seriyasi: AA 9481167 BUXORO VILOYATI BUXORO SHAHAR IIB tomonidan 24.04.2015 yilda berilgan</v>
      </c>
      <c r="B8" s="290"/>
      <c r="C8" s="290"/>
      <c r="D8" s="290"/>
    </row>
    <row r="9" spans="1:4" ht="16.5" customHeight="1">
      <c r="A9" s="290" t="str">
        <f>"Asosiy ish joyi : "&amp;'Общие данные'!B58&amp;""</f>
        <v>Asosiy ish joyi : Yakka tartibdagi tadbirkor</v>
      </c>
      <c r="B9" s="290"/>
      <c r="C9" s="290"/>
      <c r="D9" s="290"/>
    </row>
    <row r="10" spans="1:4" ht="15.75" customHeight="1">
      <c r="A10" s="290" t="str">
        <f>"Lavozimi: "&amp;'Общие данные'!B59&amp;""</f>
        <v>Lavozimi: Yakka tartibdagi tadbirkor</v>
      </c>
      <c r="B10" s="290"/>
      <c r="C10" s="290"/>
      <c r="D10" s="290"/>
    </row>
    <row r="11" spans="1:4">
      <c r="A11" s="290" t="str">
        <f>"O’rtacha oylik daromadi: "&amp;FIXED('Общие данные'!B60,2)&amp;" so'm."</f>
        <v>O’rtacha oylik daromadi: 10 000 000,00 so'm.</v>
      </c>
      <c r="B11" s="290"/>
      <c r="C11" s="290"/>
      <c r="D11" s="290"/>
    </row>
    <row r="12" spans="1:4">
      <c r="A12" s="290" t="str">
        <f>"Menga quyidagi shartlarda "&amp;'Общие данные'!B65&amp;" berishingizni so’rayman:"</f>
        <v>Menga quyidagi shartlarda mikroqarz berishingizni so’rayman:</v>
      </c>
      <c r="B12" s="290"/>
      <c r="C12" s="290"/>
      <c r="D12" s="290"/>
    </row>
    <row r="13" spans="1:4">
      <c r="A13" s="290" t="str">
        <f>""&amp;'Общие данные'!C64&amp;" summasi: "&amp;FIXED('Общие данные'!B75,2)&amp;" ("&amp;'Общие данные'!B76&amp;") so'm."</f>
        <v>Mikroqarz summasi: 27 000 000,00 (yigirma yetti million so'm) so'm.</v>
      </c>
      <c r="B13" s="290"/>
      <c r="C13" s="290"/>
      <c r="D13" s="290"/>
    </row>
    <row r="14" spans="1:4">
      <c r="A14" s="290" t="str">
        <f>""&amp;'Общие данные'!C64&amp;" muddati: "&amp;'Общие данные'!B81&amp;" ("&amp;'Общие данные'!B82&amp;") oy."</f>
        <v>Mikroqarz muddati: 36 (o'ttiz olti) oy.</v>
      </c>
      <c r="B14" s="290"/>
      <c r="C14" s="290"/>
      <c r="D14" s="290"/>
    </row>
    <row r="15" spans="1:4" ht="17.25" customHeight="1">
      <c r="A15" s="290" t="str">
        <f>""&amp;'Общие данные'!C64&amp;"dan foydalanganlik uchun foiz stavkasi: yillik  "&amp;'Общие данные'!B85&amp;"% ("&amp;'Общие данные'!B86&amp;") foiz"</f>
        <v>Mikroqarzdan foydalanganlik uchun foiz stavkasi: yillik  60% (Oltmish) foiz</v>
      </c>
      <c r="B15" s="290"/>
      <c r="C15" s="290"/>
      <c r="D15" s="290"/>
    </row>
    <row r="16" spans="1:4">
      <c r="A16" s="290" t="str">
        <f>""&amp;'Общие данные'!C64&amp;" bo'yicha asosiy qarz va foizlarni to'lash:"</f>
        <v>Mikroqarz bo'yicha asosiy qarz va foizlarni to'lash:</v>
      </c>
      <c r="B16" s="290"/>
      <c r="C16" s="290"/>
      <c r="D16" s="290"/>
    </row>
    <row r="17" spans="1:5" ht="20.25" hidden="1" customHeight="1">
      <c r="A17" s="292" t="str">
        <f>" - "&amp;'Общие данные'!B65&amp;" shartnomasi bo'yicha har oy differensial to'lovlari amalga oshiriladi"</f>
        <v xml:space="preserve"> - mikroqarz shartnomasi bo'yicha har oy differensial to'lovlari amalga oshiriladi</v>
      </c>
      <c r="B17" s="292"/>
      <c r="C17" s="292"/>
      <c r="D17" s="292"/>
    </row>
    <row r="18" spans="1:5" ht="33.75" hidden="1" customHeight="1">
      <c r="A18" s="292" t="str">
        <f>" - "&amp;'Общие данные'!B65&amp;" shartnomasi bo'yicha har oy annuitet to'lovlari amalga oshiriladi"</f>
        <v xml:space="preserve"> - mikroqarz shartnomasi bo'yicha har oy annuitet to'lovlari amalga oshiriladi</v>
      </c>
      <c r="B18" s="292"/>
      <c r="C18" s="292"/>
      <c r="D18" s="292"/>
    </row>
    <row r="19" spans="1:5" ht="33.75" customHeight="1">
      <c r="A19" s="292"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2"/>
      <c r="C19" s="292"/>
      <c r="D19" s="292"/>
    </row>
    <row r="20" spans="1:5" ht="33.75" hidden="1" customHeight="1">
      <c r="A20" s="290" t="str">
        <f>IF(DAY('Общие данные'!E67)&lt;15,"   ","  Oxirgi yakuniy to'lov "&amp;'Общие данные'!B65&amp;" shartnomasi tuzilgan kundan boshlab oxirgi oyning oxirgi kunida amalga oshiriladi")</f>
        <v xml:space="preserve">   </v>
      </c>
      <c r="B20" s="290"/>
      <c r="C20" s="290"/>
      <c r="D20" s="290"/>
    </row>
    <row r="21" spans="1:5">
      <c r="A21" s="290" t="str">
        <f>""&amp;'Общие данные'!C64&amp;" ta’minoti::"</f>
        <v>Mikroqarz ta’minoti::</v>
      </c>
      <c r="B21" s="290"/>
      <c r="C21" s="290"/>
      <c r="D21" s="290"/>
    </row>
    <row r="22" spans="1:5" ht="72.75" customHeight="1">
      <c r="A22" s="292"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2"/>
      <c r="C22" s="292"/>
      <c r="D22" s="292"/>
    </row>
    <row r="23" spans="1:5" ht="79.5" hidden="1" customHeight="1">
      <c r="A23" s="292"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2"/>
      <c r="C23" s="292"/>
      <c r="D23" s="292"/>
    </row>
    <row r="24" spans="1:5" ht="96.75" hidden="1" customHeight="1">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2"/>
      <c r="C24" s="292"/>
      <c r="D24" s="292"/>
      <c r="E24" s="154"/>
    </row>
    <row r="25" spans="1:5" ht="92.25" hidden="1" customHeight="1">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2"/>
      <c r="C25" s="292"/>
      <c r="D25" s="292"/>
    </row>
    <row r="26" spans="1:5" ht="78" hidden="1" customHeight="1">
      <c r="A26" s="292"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2"/>
      <c r="C26" s="292"/>
      <c r="D26" s="292"/>
    </row>
    <row r="27" spans="1:5" ht="93" hidden="1" customHeight="1">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2"/>
      <c r="C27" s="292"/>
      <c r="D27" s="292"/>
    </row>
    <row r="28" spans="1:5" ht="93.75" hidden="1" customHeight="1">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2"/>
      <c r="C28" s="292"/>
      <c r="D28" s="292"/>
    </row>
    <row r="29" spans="1:5" ht="10.5" customHeight="1">
      <c r="A29" s="290"/>
      <c r="B29" s="290"/>
      <c r="C29" s="290"/>
      <c r="D29" s="290"/>
    </row>
    <row r="30" spans="1:5" ht="53.25" customHeight="1">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2"/>
      <c r="C30" s="292"/>
      <c r="D30" s="292"/>
    </row>
    <row r="31" spans="1:5" ht="15.75" customHeight="1">
      <c r="A31" s="292" t="s">
        <v>249</v>
      </c>
      <c r="B31" s="292"/>
      <c r="C31" s="292"/>
      <c r="D31" s="292"/>
    </row>
    <row r="32" spans="1:5">
      <c r="A32" s="292" t="s">
        <v>250</v>
      </c>
      <c r="B32" s="292"/>
      <c r="C32" s="292"/>
      <c r="D32" s="292"/>
    </row>
    <row r="33" spans="1:4">
      <c r="A33" s="292" t="s">
        <v>251</v>
      </c>
      <c r="B33" s="292"/>
      <c r="C33" s="292"/>
      <c r="D33" s="292"/>
    </row>
    <row r="34" spans="1:4">
      <c r="A34" s="290" t="str">
        <f>"Ariza berilgan sana: "&amp;TEXT('Общие данные'!B2,"ДД.ММ.ГГГГ")&amp;"y."</f>
        <v>Ariza berilgan sana: 11.03.2025y.</v>
      </c>
      <c r="B34" s="290"/>
      <c r="C34" s="290"/>
      <c r="D34" s="290"/>
    </row>
    <row r="35" spans="1:4">
      <c r="A35" s="290"/>
      <c r="B35" s="290"/>
      <c r="C35" s="290"/>
      <c r="D35" s="290"/>
    </row>
    <row r="36" spans="1:4">
      <c r="A36" s="290" t="s">
        <v>252</v>
      </c>
      <c r="B36" s="290"/>
      <c r="C36" s="290"/>
      <c r="D36" s="290"/>
    </row>
    <row r="37" spans="1:4">
      <c r="A37" s="290"/>
      <c r="B37" s="290"/>
      <c r="C37" s="290"/>
      <c r="D37" s="290"/>
    </row>
    <row r="38" spans="1:4">
      <c r="A38" s="290"/>
      <c r="B38" s="290"/>
      <c r="C38" s="290"/>
      <c r="D38" s="290"/>
    </row>
    <row r="39" spans="1:4" ht="15.75" customHeight="1">
      <c r="A39" s="291" t="str">
        <f>'Общие данные'!B5</f>
        <v>NUTFULLAYEV AKBARJON AXMEDOVICH</v>
      </c>
      <c r="B39" s="291"/>
      <c r="C39" s="291"/>
      <c r="D39" s="11" t="s">
        <v>4</v>
      </c>
    </row>
    <row r="40" spans="1:4">
      <c r="A40" s="10"/>
      <c r="B40" s="10"/>
      <c r="D40" s="12" t="s">
        <v>333</v>
      </c>
    </row>
    <row r="41" spans="1:4">
      <c r="A41" s="290"/>
      <c r="B41" s="290"/>
      <c r="C41" s="290"/>
      <c r="D41" s="290"/>
    </row>
    <row r="42" spans="1:4">
      <c r="A42" s="290"/>
      <c r="B42" s="290"/>
      <c r="C42" s="290"/>
      <c r="D42" s="290"/>
    </row>
    <row r="43" spans="1:4">
      <c r="A43" s="290"/>
      <c r="B43" s="290"/>
      <c r="C43" s="290"/>
      <c r="D43" s="290"/>
    </row>
    <row r="44" spans="1:4">
      <c r="A44" s="290"/>
      <c r="B44" s="290"/>
      <c r="C44" s="290"/>
      <c r="D44" s="290"/>
    </row>
    <row r="45" spans="1:4">
      <c r="A45" s="290"/>
      <c r="B45" s="290"/>
      <c r="C45" s="290"/>
      <c r="D45" s="290"/>
    </row>
    <row r="46" spans="1:4">
      <c r="A46" s="290"/>
      <c r="B46" s="290"/>
      <c r="C46" s="290"/>
      <c r="D46" s="290"/>
    </row>
    <row r="47" spans="1:4">
      <c r="A47" s="290"/>
      <c r="B47" s="290"/>
      <c r="C47" s="290"/>
      <c r="D47" s="290"/>
    </row>
    <row r="48" spans="1:4">
      <c r="A48" s="290"/>
      <c r="B48" s="290"/>
      <c r="C48" s="290"/>
      <c r="D48" s="290"/>
    </row>
    <row r="49" spans="1:4">
      <c r="A49" s="290"/>
      <c r="B49" s="290"/>
      <c r="C49" s="290"/>
      <c r="D49" s="290"/>
    </row>
    <row r="50" spans="1:4">
      <c r="A50" s="290"/>
      <c r="B50" s="290"/>
      <c r="C50" s="290"/>
      <c r="D50" s="290"/>
    </row>
    <row r="51" spans="1:4">
      <c r="A51" s="290"/>
      <c r="B51" s="290"/>
      <c r="C51" s="290"/>
      <c r="D51" s="290"/>
    </row>
    <row r="52" spans="1:4">
      <c r="A52" s="290"/>
      <c r="B52" s="290"/>
      <c r="C52" s="290"/>
      <c r="D52" s="290"/>
    </row>
    <row r="53" spans="1:4">
      <c r="A53" s="290"/>
      <c r="B53" s="290"/>
      <c r="C53" s="290"/>
      <c r="D53" s="290"/>
    </row>
    <row r="54" spans="1:4">
      <c r="A54" s="290"/>
      <c r="B54" s="290"/>
      <c r="C54" s="290"/>
      <c r="D54" s="290"/>
    </row>
    <row r="55" spans="1:4">
      <c r="A55" s="290"/>
      <c r="B55" s="290"/>
      <c r="C55" s="290"/>
      <c r="D55" s="290"/>
    </row>
    <row r="56" spans="1:4">
      <c r="A56" s="290"/>
      <c r="B56" s="290"/>
      <c r="C56" s="290"/>
      <c r="D56" s="290"/>
    </row>
    <row r="57" spans="1:4">
      <c r="A57" s="290"/>
      <c r="B57" s="290"/>
      <c r="C57" s="290"/>
      <c r="D57" s="290"/>
    </row>
    <row r="58" spans="1:4">
      <c r="A58" s="290"/>
      <c r="B58" s="290"/>
      <c r="C58" s="290"/>
      <c r="D58" s="290"/>
    </row>
    <row r="59" spans="1:4">
      <c r="A59" s="290"/>
      <c r="B59" s="290"/>
      <c r="C59" s="290"/>
      <c r="D59" s="290"/>
    </row>
    <row r="60" spans="1:4">
      <c r="A60" s="290"/>
      <c r="B60" s="290"/>
      <c r="C60" s="290"/>
      <c r="D60" s="290"/>
    </row>
    <row r="61" spans="1:4">
      <c r="A61" s="290"/>
      <c r="B61" s="290"/>
      <c r="C61" s="290"/>
      <c r="D61" s="290"/>
    </row>
    <row r="62" spans="1:4">
      <c r="A62" s="290"/>
      <c r="B62" s="290"/>
      <c r="C62" s="290"/>
      <c r="D62" s="290"/>
    </row>
    <row r="63" spans="1:4">
      <c r="A63" s="290"/>
      <c r="B63" s="290"/>
      <c r="C63" s="290"/>
      <c r="D63" s="290"/>
    </row>
    <row r="64" spans="1:4">
      <c r="A64" s="290"/>
      <c r="B64" s="290"/>
      <c r="C64" s="290"/>
      <c r="D64" s="290"/>
    </row>
    <row r="65" spans="1:4">
      <c r="A65" s="290"/>
      <c r="B65" s="290"/>
      <c r="C65" s="290"/>
      <c r="D65" s="290"/>
    </row>
    <row r="66" spans="1:4">
      <c r="A66" s="290"/>
      <c r="B66" s="290"/>
      <c r="C66" s="290"/>
      <c r="D66" s="290"/>
    </row>
    <row r="67" spans="1:4">
      <c r="A67" s="290"/>
      <c r="B67" s="290"/>
      <c r="C67" s="290"/>
      <c r="D67" s="290"/>
    </row>
    <row r="68" spans="1:4">
      <c r="A68" s="290"/>
      <c r="B68" s="290"/>
      <c r="C68" s="290"/>
      <c r="D68" s="290"/>
    </row>
    <row r="69" spans="1:4">
      <c r="A69" s="290"/>
      <c r="B69" s="290"/>
      <c r="C69" s="290"/>
      <c r="D69" s="290"/>
    </row>
    <row r="70" spans="1:4">
      <c r="A70" s="290"/>
      <c r="B70" s="290"/>
      <c r="C70" s="290"/>
      <c r="D70" s="290"/>
    </row>
    <row r="71" spans="1:4">
      <c r="A71" s="290"/>
      <c r="B71" s="290"/>
      <c r="C71" s="290"/>
      <c r="D71" s="290"/>
    </row>
    <row r="72" spans="1:4">
      <c r="A72" s="290"/>
      <c r="B72" s="290"/>
      <c r="C72" s="290"/>
      <c r="D72" s="290"/>
    </row>
    <row r="73" spans="1:4">
      <c r="A73" s="290"/>
      <c r="B73" s="290"/>
      <c r="C73" s="290"/>
      <c r="D73" s="290"/>
    </row>
    <row r="74" spans="1:4">
      <c r="A74" s="290"/>
      <c r="B74" s="290"/>
      <c r="C74" s="290"/>
      <c r="D74" s="290"/>
    </row>
    <row r="75" spans="1:4">
      <c r="A75" s="290"/>
      <c r="B75" s="290"/>
      <c r="C75" s="290"/>
      <c r="D75" s="290"/>
    </row>
    <row r="76" spans="1:4">
      <c r="A76" s="290"/>
      <c r="B76" s="290"/>
      <c r="C76" s="290"/>
      <c r="D76" s="290"/>
    </row>
    <row r="77" spans="1:4">
      <c r="A77" s="290"/>
      <c r="B77" s="290"/>
      <c r="C77" s="290"/>
      <c r="D77" s="290"/>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-QR-sonli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D59" sqref="D59"/>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3"/>
      <c r="B2" s="233"/>
      <c r="C2" s="233"/>
      <c r="D2" s="233"/>
      <c r="E2" s="233"/>
    </row>
    <row r="3" spans="1:5">
      <c r="A3" s="263" t="s">
        <v>204</v>
      </c>
      <c r="B3" s="263"/>
      <c r="C3" s="263"/>
      <c r="D3" s="263"/>
      <c r="E3" s="263"/>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3" t="str">
        <f>"Mijoz tomonidan so’ralgan "&amp;'Общие данные'!B65&amp;" shartlari:"</f>
        <v>Mijoz tomonidan so’ralgan mikroqarz shartlari:</v>
      </c>
      <c r="B10" s="263"/>
      <c r="C10" s="263"/>
      <c r="D10" s="263"/>
      <c r="E10" s="263"/>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4" t="str">
        <f>'Кредитная заявка'!A20:D20</f>
        <v xml:space="preserve">   </v>
      </c>
      <c r="B16" s="234"/>
      <c r="C16" s="234"/>
      <c r="D16" s="234"/>
      <c r="E16" s="234"/>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3" t="s">
        <v>205</v>
      </c>
      <c r="B19" s="263"/>
      <c r="C19" s="263"/>
      <c r="D19" s="263"/>
      <c r="E19" s="263"/>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4" t="s">
        <v>402</v>
      </c>
      <c r="B25" s="234"/>
      <c r="C25" s="234"/>
      <c r="D25" s="234"/>
      <c r="E25" s="234"/>
    </row>
    <row r="26" spans="1:5">
      <c r="A26" s="263" t="str">
        <f>""&amp;'Общие данные'!C64&amp;" bo’yicha ta’minot:"</f>
        <v>Mikroqarz bo’yicha ta’minot:</v>
      </c>
      <c r="B26" s="263"/>
      <c r="C26" s="263"/>
      <c r="D26" s="263"/>
      <c r="E26" s="263"/>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4"/>
      <c r="B50" s="234"/>
      <c r="C50" s="234"/>
      <c r="D50" s="22"/>
      <c r="E50" s="23"/>
    </row>
    <row r="51" spans="1:5" ht="35.25" customHeight="1">
      <c r="A51" s="132" t="str">
        <f>'Общие данные'!A150</f>
        <v>Qorako'l filiali boshlig'i</v>
      </c>
      <c r="B51" s="222"/>
      <c r="C51" s="222"/>
      <c r="D51" s="132" t="str">
        <f>'Общие данные'!B150</f>
        <v>Egamberdiyeva D.I.</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19"/>
      <c r="B54" s="19"/>
      <c r="C54" s="19"/>
      <c r="D54" s="19"/>
      <c r="E54" s="19"/>
    </row>
    <row r="55" spans="1:5">
      <c r="A55" s="224" t="s">
        <v>432</v>
      </c>
      <c r="B55" s="225"/>
      <c r="C55" s="221"/>
      <c r="D55" s="354" t="s">
        <v>433</v>
      </c>
      <c r="E55" s="225"/>
    </row>
    <row r="56" spans="1:5">
      <c r="A56" s="224"/>
      <c r="B56" s="221"/>
      <c r="C56" s="221"/>
      <c r="D56" s="355"/>
      <c r="E56" s="225"/>
    </row>
    <row r="57" spans="1:5" ht="28.5">
      <c r="A57" s="224" t="str">
        <f>'[2]Общие данные'!A159</f>
        <v>Kreditlash bo’limi boshlig’i</v>
      </c>
      <c r="B57" s="225"/>
      <c r="C57" s="225"/>
      <c r="D57" s="354" t="s">
        <v>434</v>
      </c>
      <c r="E57" s="225"/>
    </row>
    <row r="58" spans="1:5">
      <c r="A58" s="224"/>
      <c r="B58" s="223"/>
      <c r="C58" s="225"/>
      <c r="D58" s="354"/>
      <c r="E58" s="225"/>
    </row>
    <row r="59" spans="1:5" ht="30.75" customHeight="1">
      <c r="A59" s="224" t="str">
        <f>'[2]Общие данные'!A160</f>
        <v>Monitoring bo’limi boshlig’i</v>
      </c>
      <c r="B59" s="225"/>
      <c r="C59" s="225"/>
      <c r="D59" s="354" t="s">
        <v>435</v>
      </c>
      <c r="E59" s="225"/>
    </row>
  </sheetData>
  <mergeCells count="50">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3:E53"/>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9" t="str">
        <f>""&amp;'Общие данные'!C64&amp;" shartnoma "&amp;'Общие данные'!B66&amp;""</f>
        <v>Mikroqarz shartnoma № -QR</v>
      </c>
      <c r="B1" s="309"/>
    </row>
    <row r="3" spans="1:3">
      <c r="A3" s="309" t="str">
        <f>"Toshkent shahri                                                                               "&amp;'Общие данные'!B70&amp;""</f>
        <v>Toshkent shahri                                                                               11 mart 2025 y.</v>
      </c>
      <c r="B3" s="309"/>
    </row>
    <row r="4" spans="1:3">
      <c r="A4" s="66"/>
    </row>
    <row r="5" spans="1:3" ht="132.75" customHeight="1">
      <c r="A5" s="29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Qorako'l filiali boshlig'i Egamberdiyeva D.I.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9"/>
    </row>
    <row r="7" spans="1:3">
      <c r="A7" s="309" t="s">
        <v>264</v>
      </c>
      <c r="B7" s="309"/>
    </row>
    <row r="8" spans="1:3" ht="51.75" customHeight="1">
      <c r="A8" s="29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9"/>
    </row>
    <row r="9" spans="1:3" ht="36" customHeight="1">
      <c r="A9" s="299"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9"/>
    </row>
    <row r="10" spans="1:3">
      <c r="A10" s="32"/>
    </row>
    <row r="11" spans="1:3">
      <c r="A11" s="300" t="str">
        <f>"2. "&amp;'Общие данные'!D64&amp;" BERISH VA QAYTARISH TARTIBI"</f>
        <v>2. MIKROQARZ BERISH VA QAYTARISH TARTIBI</v>
      </c>
      <c r="B11" s="300"/>
      <c r="C11" s="64"/>
    </row>
    <row r="12" spans="1:3" ht="36" customHeight="1">
      <c r="A12" s="299"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9"/>
    </row>
    <row r="13" spans="1:3" ht="35.25" customHeight="1">
      <c r="A13" s="299"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9"/>
    </row>
    <row r="14" spans="1:3" ht="35.25" customHeight="1">
      <c r="A14" s="299"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9"/>
    </row>
    <row r="15" spans="1:3" ht="69.75" customHeight="1">
      <c r="A15" s="29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9"/>
    </row>
    <row r="16" spans="1:3" ht="177.75" customHeight="1">
      <c r="A16" s="299" t="s">
        <v>332</v>
      </c>
      <c r="B16" s="299"/>
    </row>
    <row r="17" spans="1:11" ht="161.25" customHeight="1">
      <c r="A17" s="29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9"/>
      <c r="C17" s="154" t="s">
        <v>337</v>
      </c>
      <c r="H17" s="6" t="str">
        <f>'Общие данные'!B65</f>
        <v>mikroqarz</v>
      </c>
      <c r="I17" s="6" t="s">
        <v>338</v>
      </c>
    </row>
    <row r="18" spans="1:11" ht="100.5" customHeight="1">
      <c r="A18" s="302" t="s">
        <v>377</v>
      </c>
      <c r="B18" s="302"/>
    </row>
    <row r="19" spans="1:11" ht="36" customHeight="1">
      <c r="A19" s="299"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9"/>
    </row>
    <row r="20" spans="1:11" ht="48.75" customHeight="1">
      <c r="A20" s="299"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9"/>
    </row>
    <row r="21" spans="1:11" ht="113.25" customHeight="1">
      <c r="A21" s="308"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8"/>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0" t="str">
        <f>"3. "&amp;'Общие данные'!D64&amp;" TA'MINOTI BO‘YICHA "</f>
        <v xml:space="preserve">3. MIKROQARZ TA'MINOTI BO‘YICHA </v>
      </c>
      <c r="B22" s="300"/>
    </row>
    <row r="23" spans="1:11" ht="19.5" customHeight="1">
      <c r="A23" s="299" t="str">
        <f>"3.1. Ushbu Shartnoma bo‘yicha taqdim etilgan "&amp;'Общие данные'!C64&amp;" quyidagi garov bilan ta'minlanadi:"</f>
        <v>3.1. Ushbu Shartnoma bo‘yicha taqdim etilgan Mikroqarz quyidagi garov bilan ta'minlanadi:</v>
      </c>
      <c r="B23" s="299"/>
    </row>
    <row r="24" spans="1:11" ht="151.5" customHeight="1">
      <c r="A24" s="306"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6"/>
    </row>
    <row r="25" spans="1:11" ht="129" hidden="1" customHeight="1">
      <c r="A25" s="299"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9"/>
    </row>
    <row r="26" spans="1:11" ht="129.75" hidden="1" customHeight="1">
      <c r="A26"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6"/>
    </row>
    <row r="27" spans="1:11" ht="131.25" hidden="1" customHeight="1">
      <c r="A27" s="29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9"/>
    </row>
    <row r="28" spans="1:11" ht="114" hidden="1" customHeight="1">
      <c r="A28" s="306"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6"/>
      <c r="K28" s="6" t="s">
        <v>329</v>
      </c>
    </row>
    <row r="29" spans="1:11" ht="114.75" hidden="1" customHeight="1">
      <c r="A29" s="306"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6"/>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4"/>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4" t="s">
        <v>265</v>
      </c>
      <c r="B34" s="304"/>
    </row>
    <row r="35" spans="1:8" ht="84" customHeight="1">
      <c r="A35" s="304" t="s">
        <v>317</v>
      </c>
      <c r="B35" s="304"/>
    </row>
    <row r="37" spans="1:8">
      <c r="A37" s="301" t="s">
        <v>316</v>
      </c>
      <c r="B37" s="301"/>
      <c r="C37" s="75"/>
    </row>
    <row r="38" spans="1:8">
      <c r="A38" s="305" t="s">
        <v>315</v>
      </c>
      <c r="B38" s="305"/>
    </row>
    <row r="39" spans="1:8" ht="114" customHeight="1">
      <c r="A39" s="30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4"/>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4"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4"/>
    </row>
    <row r="41" spans="1:8">
      <c r="A41" s="304" t="s">
        <v>318</v>
      </c>
      <c r="B41" s="304"/>
    </row>
    <row r="42" spans="1:8" ht="33" customHeight="1">
      <c r="A42" s="304" t="str">
        <f>"b) "&amp;'Общие данные'!B65&amp;" summasiga hisoblanadigan asosiy qarz bo‘yicha muddati o‘tgan qarzdorlik va/yoki foizlarning yuzaga kelishi;"</f>
        <v>b) mikroqarz summasiga hisoblanadigan asosiy qarz bo‘yicha muddati o‘tgan qarzdorlik va/yoki foizlarning yuzaga kelishi;</v>
      </c>
      <c r="B42" s="304"/>
    </row>
    <row r="43" spans="1:8" ht="37.5" customHeight="1">
      <c r="A43" s="304" t="s">
        <v>319</v>
      </c>
      <c r="B43" s="304"/>
    </row>
    <row r="44" spans="1:8" ht="52.5" customHeight="1">
      <c r="A44" s="304" t="s">
        <v>320</v>
      </c>
      <c r="B44" s="304"/>
    </row>
    <row r="45" spans="1:8" ht="19.5" customHeight="1">
      <c r="A45" s="304" t="s">
        <v>321</v>
      </c>
      <c r="B45" s="304"/>
    </row>
    <row r="46" spans="1:8" ht="51.75" customHeight="1">
      <c r="A46" s="30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4"/>
    </row>
    <row r="47" spans="1:8" ht="33.75" customHeight="1">
      <c r="A47" s="304" t="s">
        <v>314</v>
      </c>
      <c r="B47" s="304"/>
    </row>
    <row r="48" spans="1:8" ht="36.75" customHeight="1">
      <c r="A48" s="304" t="s">
        <v>313</v>
      </c>
      <c r="B48" s="304"/>
      <c r="C48" s="158"/>
    </row>
    <row r="49" spans="1:8" ht="100.5" customHeight="1">
      <c r="A49" s="299" t="s">
        <v>312</v>
      </c>
      <c r="B49" s="299"/>
      <c r="C49" s="158"/>
    </row>
    <row r="50" spans="1:8" ht="70.5" customHeight="1">
      <c r="A50" s="299" t="s">
        <v>311</v>
      </c>
      <c r="B50" s="299"/>
      <c r="C50" s="158"/>
    </row>
    <row r="51" spans="1:8" ht="39.75" customHeight="1">
      <c r="A51" s="299"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9"/>
      <c r="C51" s="158"/>
    </row>
    <row r="52" spans="1:8" ht="33" customHeight="1">
      <c r="A52" s="299" t="s">
        <v>322</v>
      </c>
      <c r="B52" s="299"/>
      <c r="C52" s="158"/>
    </row>
    <row r="53" spans="1:8" ht="39.75" customHeight="1">
      <c r="A53" s="299" t="s">
        <v>310</v>
      </c>
      <c r="B53" s="299"/>
      <c r="C53" s="158"/>
    </row>
    <row r="54" spans="1:8" ht="50.25" customHeight="1">
      <c r="A54" s="299"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9"/>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9" t="str">
        <f>"4.1.11. Oldingi "&amp;'Общие данные'!B65&amp;" to‘liq to‘lanmagunga qadar yangi "&amp;'Общие данные'!B65&amp;" berishni rad etish."</f>
        <v>4.1.11. Oldingi mikroqarz to‘liq to‘lanmagunga qadar yangi mikroqarz berishni rad etish.</v>
      </c>
      <c r="B55" s="299"/>
      <c r="C55" s="158"/>
    </row>
    <row r="57" spans="1:8">
      <c r="A57" s="300" t="s">
        <v>309</v>
      </c>
      <c r="B57" s="300"/>
      <c r="C57" s="157"/>
    </row>
    <row r="58" spans="1:8">
      <c r="A58" s="303" t="s">
        <v>308</v>
      </c>
      <c r="B58" s="303"/>
      <c r="C58" s="159"/>
    </row>
    <row r="59" spans="1:8" ht="36" customHeight="1">
      <c r="A59" s="299"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9"/>
      <c r="C59" s="158"/>
    </row>
    <row r="60" spans="1:8" ht="36.75" customHeight="1">
      <c r="A60" s="29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9"/>
      <c r="C60" s="158"/>
    </row>
    <row r="61" spans="1:8" ht="17.25" customHeight="1">
      <c r="A61" s="299" t="str">
        <f>"5.1.3. "&amp;'Общие данные'!C64&amp;" xizmatlari ko‘rsatish qoidalari bilan tanishish."</f>
        <v>5.1.3. Mikroqarz xizmatlari ko‘rsatish qoidalari bilan tanishish.</v>
      </c>
      <c r="B61" s="299"/>
      <c r="C61" s="158"/>
    </row>
    <row r="62" spans="1:8" ht="36" customHeight="1">
      <c r="A62" s="299"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9"/>
      <c r="C62" s="158"/>
    </row>
    <row r="63" spans="1:8" ht="33.75" customHeight="1">
      <c r="A63" s="299" t="s">
        <v>323</v>
      </c>
      <c r="B63" s="299"/>
      <c r="C63" s="158"/>
    </row>
    <row r="64" spans="1:8">
      <c r="A64" s="303" t="s">
        <v>307</v>
      </c>
      <c r="B64" s="303"/>
      <c r="C64" s="159"/>
    </row>
    <row r="65" spans="1:8" ht="37.5" customHeight="1">
      <c r="A65" s="29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9"/>
      <c r="C65" s="158"/>
    </row>
    <row r="66" spans="1:8" ht="39.75" customHeight="1">
      <c r="A66" s="299" t="s">
        <v>324</v>
      </c>
      <c r="B66" s="299"/>
      <c r="C66" s="158"/>
    </row>
    <row r="67" spans="1:8" ht="27" customHeight="1">
      <c r="A67" s="299" t="str">
        <f>"5.2.3. To‘lov jadvaliga muvofiq "&amp;'Общие данные'!B65&amp;", shuningdek hisoblangan foizlar to‘lovlarini amalga oshirish."</f>
        <v>5.2.3. To‘lov jadvaliga muvofiq mikroqarz, shuningdek hisoblangan foizlar to‘lovlarini amalga oshirish.</v>
      </c>
      <c r="B67" s="299"/>
      <c r="C67" s="158"/>
    </row>
    <row r="68" spans="1:8" ht="84" customHeight="1">
      <c r="A68" s="29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9"/>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9" t="s">
        <v>325</v>
      </c>
      <c r="B69" s="299"/>
      <c r="C69" s="158"/>
    </row>
    <row r="70" spans="1:8" ht="36" customHeight="1">
      <c r="A70" s="299"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9"/>
      <c r="C70" s="158"/>
    </row>
    <row r="71" spans="1:8" ht="51.75" customHeight="1">
      <c r="A71" s="302" t="s">
        <v>343</v>
      </c>
      <c r="B71" s="302"/>
      <c r="C71" s="161"/>
    </row>
    <row r="72" spans="1:8" ht="71.25" customHeight="1">
      <c r="A72" s="29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9"/>
      <c r="C72" s="158"/>
    </row>
    <row r="73" spans="1:8" ht="33.75" customHeight="1">
      <c r="A73" s="299"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9"/>
      <c r="C73" s="158"/>
      <c r="H73" s="6" t="s">
        <v>339</v>
      </c>
    </row>
    <row r="74" spans="1:8" ht="68.25" customHeight="1">
      <c r="A74" s="299"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9"/>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1" t="s">
        <v>306</v>
      </c>
      <c r="B76" s="301"/>
      <c r="C76" s="160"/>
    </row>
    <row r="77" spans="1:8" ht="98.25" customHeight="1">
      <c r="A77" s="29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9"/>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9" t="s">
        <v>305</v>
      </c>
      <c r="B78" s="299"/>
      <c r="C78" s="158"/>
    </row>
    <row r="79" spans="1:8" ht="35.25" customHeight="1">
      <c r="A79" s="299" t="s">
        <v>304</v>
      </c>
      <c r="B79" s="299"/>
      <c r="C79" s="158"/>
    </row>
    <row r="80" spans="1:8" ht="33" customHeight="1">
      <c r="A80" s="299" t="s">
        <v>303</v>
      </c>
      <c r="B80" s="299"/>
      <c r="C80" s="158"/>
    </row>
    <row r="82" spans="1:3">
      <c r="A82" s="293" t="s">
        <v>302</v>
      </c>
      <c r="B82" s="293"/>
      <c r="C82" s="65"/>
    </row>
    <row r="83" spans="1:3" ht="162.75" customHeight="1">
      <c r="A83" s="299" t="s">
        <v>301</v>
      </c>
      <c r="B83" s="299"/>
      <c r="C83" s="158"/>
    </row>
    <row r="84" spans="1:3" ht="33.75" customHeight="1">
      <c r="A84" s="299" t="s">
        <v>346</v>
      </c>
      <c r="B84" s="299"/>
      <c r="C84" s="158"/>
    </row>
    <row r="85" spans="1:3" ht="51.75" customHeight="1">
      <c r="A85" s="299" t="s">
        <v>300</v>
      </c>
      <c r="B85" s="299"/>
      <c r="C85" s="158"/>
    </row>
    <row r="86" spans="1:3" ht="36" customHeight="1">
      <c r="A86" s="299" t="s">
        <v>299</v>
      </c>
      <c r="B86" s="299"/>
      <c r="C86" s="158"/>
    </row>
    <row r="88" spans="1:3">
      <c r="A88" s="293" t="s">
        <v>298</v>
      </c>
      <c r="B88" s="293"/>
      <c r="C88" s="65"/>
    </row>
    <row r="89" spans="1:3" ht="114.75" customHeight="1">
      <c r="A89" s="299" t="s">
        <v>360</v>
      </c>
      <c r="B89" s="299"/>
      <c r="C89" s="158"/>
    </row>
    <row r="90" spans="1:3" ht="36" customHeight="1">
      <c r="A90" s="299" t="s">
        <v>326</v>
      </c>
      <c r="B90" s="299"/>
      <c r="C90" s="158"/>
    </row>
    <row r="91" spans="1:3" ht="64.5" customHeight="1">
      <c r="A91" s="29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9"/>
      <c r="C91" s="158"/>
    </row>
    <row r="93" spans="1:3">
      <c r="A93" s="298" t="s">
        <v>297</v>
      </c>
      <c r="B93" s="298"/>
      <c r="C93" s="73"/>
    </row>
    <row r="94" spans="1:3" ht="20.25" customHeight="1">
      <c r="A94" s="299" t="s">
        <v>296</v>
      </c>
      <c r="B94" s="299"/>
      <c r="C94" s="158"/>
    </row>
    <row r="95" spans="1:3" ht="33.75" customHeight="1">
      <c r="A95" s="299"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9"/>
      <c r="C95" s="158"/>
    </row>
    <row r="96" spans="1:3" ht="51" customHeight="1">
      <c r="A96" s="299" t="s">
        <v>295</v>
      </c>
      <c r="B96" s="299"/>
      <c r="C96" s="158"/>
    </row>
    <row r="98" spans="1:3">
      <c r="A98" s="300" t="s">
        <v>294</v>
      </c>
      <c r="B98" s="300"/>
      <c r="C98" s="64"/>
    </row>
    <row r="99" spans="1:3" ht="82.5" customHeight="1">
      <c r="A99" s="299" t="s">
        <v>293</v>
      </c>
      <c r="B99" s="299"/>
      <c r="C99" s="158"/>
    </row>
    <row r="100" spans="1:3" ht="66" customHeight="1">
      <c r="A100" s="299" t="s">
        <v>292</v>
      </c>
      <c r="B100" s="299"/>
      <c r="C100" s="158"/>
    </row>
    <row r="101" spans="1:3" ht="48" customHeight="1">
      <c r="A101" s="299" t="s">
        <v>291</v>
      </c>
      <c r="B101" s="299"/>
      <c r="C101" s="158"/>
    </row>
    <row r="103" spans="1:3">
      <c r="A103" s="293" t="s">
        <v>290</v>
      </c>
      <c r="B103" s="293"/>
      <c r="C103" s="144"/>
    </row>
    <row r="104" spans="1:3" ht="37.5" customHeight="1">
      <c r="A104" s="299" t="s">
        <v>289</v>
      </c>
      <c r="B104" s="299"/>
      <c r="C104" s="158"/>
    </row>
    <row r="105" spans="1:3" ht="34.5" customHeight="1">
      <c r="A105" s="299" t="s">
        <v>288</v>
      </c>
      <c r="B105" s="299"/>
      <c r="C105" s="158"/>
    </row>
    <row r="106" spans="1:3" ht="66.75" customHeight="1">
      <c r="A106" s="299" t="s">
        <v>287</v>
      </c>
      <c r="B106" s="299"/>
      <c r="C106" s="158"/>
    </row>
    <row r="107" spans="1:3" ht="51" customHeight="1">
      <c r="A107" s="299" t="s">
        <v>286</v>
      </c>
      <c r="B107" s="299"/>
      <c r="C107" s="158"/>
    </row>
    <row r="108" spans="1:3" ht="37.5" customHeight="1">
      <c r="A108" s="299" t="s">
        <v>285</v>
      </c>
      <c r="B108" s="299"/>
      <c r="C108" s="158"/>
    </row>
    <row r="109" spans="1:3" ht="38.25" customHeight="1">
      <c r="A109" s="299" t="s">
        <v>284</v>
      </c>
      <c r="B109" s="299"/>
      <c r="C109" s="158"/>
    </row>
    <row r="110" spans="1:3" ht="21" customHeight="1">
      <c r="A110" s="299" t="s">
        <v>283</v>
      </c>
      <c r="B110" s="299"/>
      <c r="C110" s="158"/>
    </row>
    <row r="111" spans="1:3" ht="32.25" customHeight="1">
      <c r="A111" s="299"/>
      <c r="B111" s="299"/>
      <c r="C111" s="158"/>
    </row>
    <row r="113" spans="1:3">
      <c r="A113" s="298" t="s">
        <v>327</v>
      </c>
      <c r="B113" s="29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7" t="str">
        <f>'Общие данные'!A161</f>
        <v>Qorako'l filiali boshlig'i</v>
      </c>
    </row>
    <row r="127" spans="1:3">
      <c r="A127" s="297"/>
      <c r="B127" s="65" t="str">
        <f>""&amp;'Общие данные'!B7&amp;"     __________________"</f>
        <v>NUTFULLAYEV A.A.     __________________</v>
      </c>
    </row>
    <row r="129" spans="1:2">
      <c r="A129" s="144" t="str">
        <f>""&amp;'Общие данные'!B161&amp;"     __________________"</f>
        <v>Egamberdiyeva D.I.     __________________</v>
      </c>
      <c r="B129" s="172"/>
    </row>
    <row r="131" spans="1:2">
      <c r="B131" s="6" t="s">
        <v>399</v>
      </c>
    </row>
    <row r="132" spans="1:2" hidden="1">
      <c r="A132" s="6" t="str">
        <f>"менеджер :   "&amp;'Общие данные'!B161&amp;"______________"</f>
        <v>менеджер :   Egamberdiyeva D.I.______________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5"/>
      <c r="F2" s="255"/>
      <c r="G2" s="20"/>
    </row>
    <row r="3" spans="1:16" ht="77.25" customHeight="1">
      <c r="A3" s="37"/>
      <c r="B3" s="37"/>
      <c r="C3" s="37"/>
      <c r="D3" s="37"/>
      <c r="E3" s="310" t="str">
        <f>""&amp;'Общие данные'!B74&amp;" 
"&amp;'Общие данные'!B65&amp;" shartnomasiga 
1 sonli ilova"</f>
        <v>11 mart 2025 y.dan № -QR 
mikroqarz shartnomasiga 
1 sonli ilova</v>
      </c>
      <c r="F3" s="310"/>
      <c r="G3" s="20"/>
    </row>
    <row r="4" spans="1:16" ht="6.75" customHeight="1">
      <c r="A4" s="37"/>
      <c r="B4" s="37"/>
      <c r="C4" s="37"/>
      <c r="D4" s="37"/>
      <c r="E4" s="37"/>
      <c r="F4" s="37"/>
    </row>
    <row r="5" spans="1:16">
      <c r="A5" s="256" t="s">
        <v>266</v>
      </c>
      <c r="B5" s="256"/>
      <c r="C5" s="256"/>
      <c r="D5" s="256"/>
      <c r="E5" s="256"/>
      <c r="F5" s="256"/>
    </row>
    <row r="6" spans="1:16" ht="7.5" customHeight="1"/>
    <row r="7" spans="1:16" ht="15" customHeight="1">
      <c r="A7" s="257" t="s">
        <v>15</v>
      </c>
      <c r="B7" s="258" t="s">
        <v>267</v>
      </c>
      <c r="C7" s="258" t="s">
        <v>268</v>
      </c>
      <c r="D7" s="259" t="s">
        <v>269</v>
      </c>
      <c r="E7" s="259"/>
      <c r="F7" s="259"/>
    </row>
    <row r="8" spans="1:16" s="16" customFormat="1">
      <c r="A8" s="257"/>
      <c r="B8" s="258"/>
      <c r="C8" s="258"/>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1" t="s">
        <v>378</v>
      </c>
      <c r="I12" s="311"/>
      <c r="J12" s="311"/>
      <c r="K12" s="311"/>
      <c r="L12" s="311"/>
      <c r="M12" s="311"/>
      <c r="N12" s="311"/>
      <c r="O12" s="311"/>
      <c r="P12" s="311"/>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1"/>
      <c r="I13" s="311"/>
      <c r="J13" s="311"/>
      <c r="K13" s="311"/>
      <c r="L13" s="311"/>
      <c r="M13" s="311"/>
      <c r="N13" s="311"/>
      <c r="O13" s="311"/>
      <c r="P13" s="311"/>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1"/>
      <c r="I14" s="311"/>
      <c r="J14" s="311"/>
      <c r="K14" s="311"/>
      <c r="L14" s="311"/>
      <c r="M14" s="311"/>
      <c r="N14" s="311"/>
      <c r="O14" s="311"/>
      <c r="P14" s="311"/>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1"/>
      <c r="I15" s="311"/>
      <c r="J15" s="311"/>
      <c r="K15" s="311"/>
      <c r="L15" s="311"/>
      <c r="M15" s="311"/>
      <c r="N15" s="311"/>
      <c r="O15" s="311"/>
      <c r="P15" s="311"/>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1"/>
      <c r="I16" s="311"/>
      <c r="J16" s="311"/>
      <c r="K16" s="311"/>
      <c r="L16" s="311"/>
      <c r="M16" s="311"/>
      <c r="N16" s="311"/>
      <c r="O16" s="311"/>
      <c r="P16" s="311"/>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1"/>
      <c r="I17" s="311"/>
      <c r="J17" s="311"/>
      <c r="K17" s="311"/>
      <c r="L17" s="311"/>
      <c r="M17" s="311"/>
      <c r="N17" s="311"/>
      <c r="O17" s="311"/>
      <c r="P17" s="311"/>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1"/>
      <c r="I18" s="311"/>
      <c r="J18" s="311"/>
      <c r="K18" s="311"/>
      <c r="L18" s="311"/>
      <c r="M18" s="311"/>
      <c r="N18" s="311"/>
      <c r="O18" s="311"/>
      <c r="P18" s="311"/>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1"/>
      <c r="I19" s="311"/>
      <c r="J19" s="311"/>
      <c r="K19" s="311"/>
      <c r="L19" s="311"/>
      <c r="M19" s="311"/>
      <c r="N19" s="311"/>
      <c r="O19" s="311"/>
      <c r="P19" s="311"/>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1"/>
      <c r="I20" s="311"/>
      <c r="J20" s="311"/>
      <c r="K20" s="311"/>
      <c r="L20" s="311"/>
      <c r="M20" s="311"/>
      <c r="N20" s="311"/>
      <c r="O20" s="311"/>
      <c r="P20" s="311"/>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1"/>
      <c r="I21" s="311"/>
      <c r="J21" s="311"/>
      <c r="K21" s="311"/>
      <c r="L21" s="311"/>
      <c r="M21" s="311"/>
      <c r="N21" s="311"/>
      <c r="O21" s="311"/>
      <c r="P21" s="311"/>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1"/>
      <c r="I22" s="311"/>
      <c r="J22" s="311"/>
      <c r="K22" s="311"/>
      <c r="L22" s="311"/>
      <c r="M22" s="311"/>
      <c r="N22" s="311"/>
      <c r="O22" s="311"/>
      <c r="P22" s="311"/>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1"/>
      <c r="I23" s="311"/>
      <c r="J23" s="311"/>
      <c r="K23" s="311"/>
      <c r="L23" s="311"/>
      <c r="M23" s="311"/>
      <c r="N23" s="311"/>
      <c r="O23" s="311"/>
      <c r="P23" s="311"/>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1"/>
      <c r="I24" s="311"/>
      <c r="J24" s="311"/>
      <c r="K24" s="311"/>
      <c r="L24" s="311"/>
      <c r="M24" s="311"/>
      <c r="N24" s="311"/>
      <c r="O24" s="311"/>
      <c r="P24" s="311"/>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60" t="str">
        <f>договор!A119</f>
        <v>Manzil: Toshkent shahri, Olmazor tumani, Sagbon ko'chasi, 30 boshi berk, 6-uy</v>
      </c>
      <c r="B52" s="260"/>
      <c r="C52" s="260"/>
      <c r="D52" s="260" t="str">
        <f>договор!B119</f>
        <v>Manzil: BUXORO VILOYATI BUXORO SHAHAR TADBIRKOR KO'CHASI 12-UY</v>
      </c>
      <c r="E52" s="260"/>
      <c r="F52" s="260"/>
    </row>
    <row r="53" spans="1:6" ht="15" customHeight="1">
      <c r="A53" s="260" t="str">
        <f>договор!A120</f>
        <v>h/r: №20216000705068380001</v>
      </c>
      <c r="B53" s="260"/>
      <c r="C53" s="260"/>
      <c r="D53" s="260" t="str">
        <f>договор!B121</f>
        <v>pasport seriyasi: AA 9481167, BUXORO VILOYATI BUXORO SHAHAR IIB tomonidan 24.04.2015 yilda berilgan</v>
      </c>
      <c r="E53" s="260"/>
      <c r="F53" s="260"/>
    </row>
    <row r="54" spans="1:6" ht="32.25" customHeight="1">
      <c r="A54" s="260" t="str">
        <f>договор!A121</f>
        <v>MFO: №01042 в ATB “Kapitalbank” Sergeli filiali</v>
      </c>
      <c r="B54" s="260"/>
      <c r="C54" s="260"/>
      <c r="D54" s="260"/>
      <c r="E54" s="260"/>
      <c r="F54" s="260"/>
    </row>
    <row r="55" spans="1:6" ht="15" customHeight="1">
      <c r="A55" s="260" t="str">
        <f>договор!A122</f>
        <v>STIR: 306365847</v>
      </c>
      <c r="B55" s="260"/>
      <c r="C55" s="260"/>
      <c r="D55" s="260" t="str">
        <f>договор!B122</f>
        <v>Tel: 91 408 76 67  UZI</v>
      </c>
      <c r="E55" s="260"/>
      <c r="F55" s="260"/>
    </row>
    <row r="56" spans="1:6" ht="15" customHeight="1">
      <c r="A56" s="260" t="str">
        <f>договор!A123</f>
        <v>Tel: (78) 113 31 33</v>
      </c>
      <c r="B56" s="260"/>
      <c r="C56" s="260"/>
      <c r="D56" s="260" t="str">
        <f>договор!B123</f>
        <v>88 305 76 67 AYOLI</v>
      </c>
      <c r="E56" s="260"/>
      <c r="F56" s="260"/>
    </row>
    <row r="57" spans="1:6" ht="15" customHeight="1">
      <c r="A57" s="260" t="str">
        <f>договор!A124</f>
        <v>(78) 113 31 34</v>
      </c>
      <c r="B57" s="260"/>
      <c r="C57" s="260"/>
      <c r="D57" s="260" t="str">
        <f>договор!B124</f>
        <v>88 870 76 67 AKASI</v>
      </c>
      <c r="E57" s="260"/>
      <c r="F57" s="260"/>
    </row>
    <row r="58" spans="1:6" ht="23.25" customHeight="1">
      <c r="A58" s="260"/>
      <c r="B58" s="260"/>
      <c r="C58" s="260"/>
      <c r="D58" s="260" t="str">
        <f>IF(договор!B125=0,"",договор!B125)</f>
        <v/>
      </c>
      <c r="E58" s="260"/>
      <c r="F58" s="260"/>
    </row>
    <row r="59" spans="1:6" ht="29.25" customHeight="1">
      <c r="A59" s="312" t="str">
        <f>'Общие данные'!A161</f>
        <v>Qorako'l filiali boshlig'i</v>
      </c>
      <c r="B59" s="312"/>
      <c r="C59" s="312"/>
      <c r="D59" s="263" t="str">
        <f>договор!B127</f>
        <v>NUTFULLAYEV A.A.     __________________</v>
      </c>
      <c r="E59" s="263"/>
      <c r="F59" s="263"/>
    </row>
    <row r="60" spans="1:6" ht="15" customHeight="1">
      <c r="A60" s="260"/>
      <c r="B60" s="260"/>
      <c r="C60" s="260"/>
      <c r="D60" s="263"/>
      <c r="E60" s="263"/>
      <c r="F60" s="263"/>
    </row>
    <row r="61" spans="1:6">
      <c r="A61" s="312" t="str">
        <f>договор!A129</f>
        <v>Egamberdiyeva D.I.     __________________</v>
      </c>
      <c r="B61" s="312"/>
      <c r="C61" s="312"/>
      <c r="D61" s="263"/>
      <c r="E61" s="263"/>
      <c r="F61" s="263"/>
    </row>
    <row r="62" spans="1:6" ht="8.25" customHeight="1">
      <c r="A62" s="260"/>
      <c r="B62" s="260"/>
      <c r="C62" s="260"/>
      <c r="D62" s="260"/>
      <c r="E62" s="260"/>
      <c r="F62" s="260"/>
    </row>
    <row r="63" spans="1:6" ht="30" customHeight="1">
      <c r="A63" s="265"/>
      <c r="B63" s="265"/>
      <c r="C63" s="265"/>
      <c r="D63" s="266"/>
      <c r="E63" s="266"/>
      <c r="F63" s="266"/>
    </row>
    <row r="64" spans="1:6">
      <c r="A64" s="267"/>
      <c r="B64" s="267"/>
      <c r="C64" s="267"/>
      <c r="D64" s="267"/>
      <c r="E64" s="267"/>
      <c r="F64" s="267"/>
    </row>
    <row r="65" spans="1:6">
      <c r="A65" s="264"/>
      <c r="B65" s="264"/>
      <c r="C65" s="264"/>
      <c r="D65" s="264"/>
      <c r="E65" s="264"/>
      <c r="F65" s="264"/>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Qorako'l filiali boshlig'i Egamberdiyeva D.I.ga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2"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2"/>
    </row>
    <row r="14" spans="1:2" ht="124.5" hidden="1" customHeight="1">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2"/>
    </row>
    <row r="15" spans="1:2" ht="116.25" hidden="1" customHeight="1">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2"/>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6" t="str">
        <f>"GAROV PREDMETI QIYMATINI KELISHISH 
№"&amp;'Общие данные'!B141&amp;" SONLI DALOLATNOMASI
 "</f>
        <v xml:space="preserve">GAROV PREDMETI QIYMATINI KELISHISH 
№1 SONLI DALOLATNOMASI
 </v>
      </c>
      <c r="B2" s="256"/>
      <c r="C2" s="256"/>
      <c r="D2" s="256"/>
      <c r="E2" s="256"/>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Qorako'l filiali boshlig'i Egamberdiyeva D.I.,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Qorako'l filiali boshlig'i Egamberdiyeva D.I.,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Qorako'l filiali boshlig'i Egamberdiyeva D.I.,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Qorako'l filiali boshlig'i Egamberdiyeva D.I., O‘zbekiston Respublikasi fuqarosi NUTFULLAYEV AKBARJON AXMEDOVICH (2-tomon) va garovga beruvchi O‘zbekiston Respublikasi fuqarosi NUTFULLAYEV AKBARJON AXMEDOVICH (3-tomon) o’rtalarida, 11 mart 2025 y.dan № -QR-sonli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Qorako'l filiali boshlig'i Egamberdiyeva D.I.,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8" t="str">
        <f>IF('Общие данные'!B103='Общие данные'!C103,"Kuzov turi  va kuzov raqami*","Foydali maydoni")</f>
        <v>Kuzov turi  va kuzov raqami*</v>
      </c>
      <c r="C20" s="319"/>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8" t="str">
        <f>IF('Общие данные'!B103='Общие данные'!C103,'Общие данные'!B127,CONCATENATE('Общие данные'!F130," ","kv.m"))</f>
        <v>kuzov turi - YUK BORTLI TENT, kuzov raqami LSCAB23D8EG228387</v>
      </c>
      <c r="C21" s="258"/>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4" t="str">
        <f>""&amp;FIXED('Общие данные'!C136,2)&amp;" ("&amp;'Общие данные'!B137&amp;")"</f>
        <v>40 500 000,00 (qirq million besh yuz ming so'm)</v>
      </c>
    </row>
    <row r="34" spans="1:5" ht="15.75" hidden="1" customHeight="1" outlineLevel="1">
      <c r="A34" s="17"/>
      <c r="B34" s="111"/>
      <c r="C34" s="111"/>
      <c r="D34" s="111"/>
      <c r="E34" s="315"/>
    </row>
    <row r="35" spans="1:5" ht="15.75" hidden="1" customHeight="1" outlineLevel="1">
      <c r="A35" s="17" t="e">
        <f>#REF!</f>
        <v>#REF!</v>
      </c>
      <c r="B35" s="111" t="e">
        <f>#REF!</f>
        <v>#REF!</v>
      </c>
      <c r="C35" s="111" t="e">
        <f>#REF!</f>
        <v>#REF!</v>
      </c>
      <c r="D35" s="111" t="e">
        <f>#REF!</f>
        <v>#REF!</v>
      </c>
      <c r="E35" s="315"/>
    </row>
    <row r="36" spans="1:5" ht="15.75" hidden="1" customHeight="1" outlineLevel="1">
      <c r="A36" s="17" t="e">
        <f>#REF!</f>
        <v>#REF!</v>
      </c>
      <c r="B36" s="111" t="e">
        <f>#REF!</f>
        <v>#REF!</v>
      </c>
      <c r="C36" s="111" t="e">
        <f>#REF!</f>
        <v>#REF!</v>
      </c>
      <c r="D36" s="111" t="e">
        <f>#REF!</f>
        <v>#REF!</v>
      </c>
      <c r="E36" s="315"/>
    </row>
    <row r="37" spans="1:5" ht="15.75" hidden="1" customHeight="1" outlineLevel="1">
      <c r="A37" s="17" t="e">
        <f>#REF!</f>
        <v>#REF!</v>
      </c>
      <c r="B37" s="111" t="e">
        <f>#REF!</f>
        <v>#REF!</v>
      </c>
      <c r="C37" s="111" t="e">
        <f>#REF!</f>
        <v>#REF!</v>
      </c>
      <c r="D37" s="111" t="e">
        <f>#REF!</f>
        <v>#REF!</v>
      </c>
      <c r="E37" s="315"/>
    </row>
    <row r="38" spans="1:5" ht="15.75" hidden="1" customHeight="1" outlineLevel="1">
      <c r="A38" s="17" t="e">
        <f>#REF!</f>
        <v>#REF!</v>
      </c>
      <c r="B38" s="111" t="e">
        <f>#REF!</f>
        <v>#REF!</v>
      </c>
      <c r="C38" s="111" t="e">
        <f>#REF!</f>
        <v>#REF!</v>
      </c>
      <c r="D38" s="111" t="e">
        <f>#REF!</f>
        <v>#REF!</v>
      </c>
      <c r="E38" s="315"/>
    </row>
    <row r="39" spans="1:5" ht="15.75" hidden="1" customHeight="1" outlineLevel="1">
      <c r="A39" s="17" t="e">
        <f>#REF!</f>
        <v>#REF!</v>
      </c>
      <c r="B39" s="111" t="e">
        <f>#REF!</f>
        <v>#REF!</v>
      </c>
      <c r="C39" s="111" t="e">
        <f>#REF!</f>
        <v>#REF!</v>
      </c>
      <c r="D39" s="111" t="e">
        <f>#REF!</f>
        <v>#REF!</v>
      </c>
      <c r="E39" s="315"/>
    </row>
    <row r="40" spans="1:5" ht="15.75" hidden="1" customHeight="1" outlineLevel="1">
      <c r="A40" s="17" t="e">
        <f>#REF!</f>
        <v>#REF!</v>
      </c>
      <c r="B40" s="111" t="e">
        <f>#REF!</f>
        <v>#REF!</v>
      </c>
      <c r="C40" s="111" t="e">
        <f>#REF!</f>
        <v>#REF!</v>
      </c>
      <c r="D40" s="111" t="e">
        <f>#REF!</f>
        <v>#REF!</v>
      </c>
      <c r="E40" s="315"/>
    </row>
    <row r="41" spans="1:5" ht="15.75" hidden="1" customHeight="1" outlineLevel="1">
      <c r="A41" s="17" t="e">
        <f>#REF!</f>
        <v>#REF!</v>
      </c>
      <c r="B41" s="111" t="e">
        <f>#REF!</f>
        <v>#REF!</v>
      </c>
      <c r="C41" s="111" t="e">
        <f>#REF!</f>
        <v>#REF!</v>
      </c>
      <c r="D41" s="111" t="e">
        <f>#REF!</f>
        <v>#REF!</v>
      </c>
      <c r="E41" s="315"/>
    </row>
    <row r="42" spans="1:5" ht="15.75" hidden="1" customHeight="1" outlineLevel="1">
      <c r="A42" s="17" t="e">
        <f>#REF!</f>
        <v>#REF!</v>
      </c>
      <c r="B42" s="111" t="e">
        <f>#REF!</f>
        <v>#REF!</v>
      </c>
      <c r="C42" s="111" t="e">
        <f>#REF!</f>
        <v>#REF!</v>
      </c>
      <c r="D42" s="111" t="e">
        <f>#REF!</f>
        <v>#REF!</v>
      </c>
      <c r="E42" s="315"/>
    </row>
    <row r="43" spans="1:5" ht="15.75" hidden="1" customHeight="1" outlineLevel="1">
      <c r="A43" s="17" t="e">
        <f>#REF!</f>
        <v>#REF!</v>
      </c>
      <c r="B43" s="17" t="e">
        <f>#REF!</f>
        <v>#REF!</v>
      </c>
      <c r="C43" s="17" t="e">
        <f>#REF!</f>
        <v>#REF!</v>
      </c>
      <c r="D43" s="17" t="e">
        <f>#REF!</f>
        <v>#REF!</v>
      </c>
      <c r="E43" s="316"/>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2" t="s">
        <v>212</v>
      </c>
      <c r="B50" s="312"/>
      <c r="C50" s="312"/>
      <c r="D50" s="22"/>
      <c r="E50" s="22"/>
    </row>
    <row r="51" spans="1:6">
      <c r="A51" s="234" t="str">
        <f>'Общие данные'!B148</f>
        <v>«CLEVER MIKROMOLIYA TASHKILOTI» MChJ</v>
      </c>
      <c r="B51" s="234"/>
      <c r="C51" s="234"/>
      <c r="D51" s="167"/>
      <c r="E51" s="167"/>
    </row>
    <row r="52" spans="1:6" ht="15" customHeight="1">
      <c r="A52" s="234" t="str">
        <f>""&amp;'Общие данные'!A150&amp;""</f>
        <v>Qorako'l filiali boshlig'i</v>
      </c>
      <c r="B52" s="234"/>
      <c r="C52" s="234"/>
      <c r="D52" s="312" t="str">
        <f>"_______________   "&amp;'Общие данные'!B150&amp;""</f>
        <v>_______________   Egamberdiyeva D.I.</v>
      </c>
      <c r="E52" s="312"/>
    </row>
    <row r="53" spans="1:6">
      <c r="A53" s="53"/>
      <c r="B53" s="53"/>
      <c r="C53" s="53"/>
      <c r="D53" s="53"/>
      <c r="E53" s="53"/>
    </row>
    <row r="54" spans="1:6">
      <c r="A54" s="312"/>
      <c r="B54" s="312"/>
      <c r="C54" s="312"/>
      <c r="D54" s="53"/>
      <c r="E54" s="53"/>
    </row>
    <row r="55" spans="1:6" hidden="1">
      <c r="A55" s="234" t="s">
        <v>47</v>
      </c>
      <c r="B55" s="234"/>
      <c r="C55" s="234"/>
      <c r="D55" s="53"/>
      <c r="E55" s="53"/>
    </row>
    <row r="56" spans="1:6" hidden="1">
      <c r="A56" s="234" t="str">
        <f>'Общие данные'!B148</f>
        <v>«CLEVER MIKROMOLIYA TASHKILOTI» MChJ</v>
      </c>
      <c r="B56" s="234"/>
      <c r="C56" s="234"/>
      <c r="D56" s="234" t="str">
        <f>"_______________   "&amp;'Общие данные'!B159&amp;""</f>
        <v>_______________   Mominov B.X.</v>
      </c>
      <c r="E56" s="234"/>
    </row>
    <row r="57" spans="1:6" ht="12.75" customHeight="1">
      <c r="A57" s="234"/>
      <c r="B57" s="234"/>
      <c r="C57" s="234"/>
      <c r="D57" s="234"/>
      <c r="E57" s="234"/>
    </row>
    <row r="58" spans="1:6">
      <c r="A58" s="312" t="s">
        <v>213</v>
      </c>
      <c r="B58" s="312"/>
      <c r="C58" s="312"/>
      <c r="D58" s="234"/>
      <c r="E58" s="234"/>
    </row>
    <row r="59" spans="1:6" ht="31.5" customHeight="1">
      <c r="A59" s="234" t="s">
        <v>214</v>
      </c>
      <c r="B59" s="234"/>
      <c r="C59" s="234"/>
      <c r="D59" s="312" t="str">
        <f>"_______________  "&amp;'Общие данные'!B7&amp;""</f>
        <v>_______________  NUTFULLAYEV A.A.</v>
      </c>
      <c r="E59" s="312"/>
    </row>
    <row r="60" spans="1:6" ht="12.75" customHeight="1">
      <c r="A60" s="234"/>
      <c r="B60" s="234"/>
      <c r="C60" s="234"/>
      <c r="D60" s="317" t="str">
        <f>IF('Общие данные'!B93="да","",'Общие данные'!B118)</f>
        <v>NUTFULLAYEV A.A.</v>
      </c>
      <c r="E60" s="317"/>
    </row>
    <row r="61" spans="1:6" ht="17.25" hidden="1" customHeight="1">
      <c r="A61" s="312" t="str">
        <f>+IF('Общие данные'!B93="ha"," ","3-tomondan:")</f>
        <v xml:space="preserve"> </v>
      </c>
      <c r="B61" s="312"/>
      <c r="C61" s="312"/>
      <c r="D61" s="312"/>
      <c r="E61" s="312"/>
      <c r="F61" s="15" t="str">
        <f>IF('Общие данные'!B94='Общие данные'!D94,B7,"")</f>
        <v/>
      </c>
    </row>
    <row r="62" spans="1:6" ht="17.25" hidden="1" customHeight="1">
      <c r="A62" s="234" t="str">
        <f>+IF('Общие данные'!B93="ha"," ","O'zbekiston Respublikasi fuqarosi")</f>
        <v xml:space="preserve"> </v>
      </c>
      <c r="B62" s="234"/>
      <c r="C62" s="234"/>
      <c r="D62" s="312" t="str">
        <f>"_______________  "&amp;'Общие данные'!B112&amp;""</f>
        <v>_______________  NUTFULLAYEV A.A.</v>
      </c>
      <c r="E62" s="312"/>
    </row>
    <row r="63" spans="1:6" ht="63.75" hidden="1" customHeight="1">
      <c r="A63" s="190" t="str">
        <f>IF('Общие данные'!B94='Общие данные'!C94,"_______________  "&amp;'Общие данные'!B112&amp;"","_______________  "&amp;'Общие данные'!B7&amp;"")</f>
        <v>_______________  NUTFULLAYEV A.A.</v>
      </c>
      <c r="B63" s="53"/>
      <c r="C63" s="234" t="str">
        <f>'заявление залогодателя'!A20</f>
        <v/>
      </c>
      <c r="D63" s="234"/>
      <c r="E63" s="234"/>
    </row>
    <row r="64" spans="1:6" ht="6.75" customHeight="1">
      <c r="D64" s="265"/>
      <c r="E64" s="265"/>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-QR-sonli buyrug‘i</v>
      </c>
      <c r="B4" s="263"/>
      <c r="C4" s="263"/>
      <c r="D4" s="263"/>
      <c r="E4" s="263"/>
    </row>
    <row r="5" spans="1:5">
      <c r="A5" s="263"/>
      <c r="B5" s="263"/>
      <c r="C5" s="263"/>
      <c r="D5" s="263"/>
      <c r="E5" s="263"/>
    </row>
    <row r="6" spans="1:5">
      <c r="A6" s="263"/>
      <c r="B6" s="263"/>
      <c r="C6" s="263"/>
      <c r="D6" s="263"/>
      <c r="E6" s="263"/>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4"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4"/>
      <c r="C16" s="234"/>
      <c r="D16" s="234"/>
      <c r="E16" s="234"/>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8"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8"/>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8"/>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8"/>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8"/>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8"/>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8"/>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8"/>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8"/>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8"/>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8"/>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2" t="s">
        <v>381</v>
      </c>
      <c r="B48" s="312"/>
      <c r="C48" s="312"/>
      <c r="D48" s="320"/>
      <c r="E48" s="320"/>
    </row>
    <row r="49" spans="1:5" ht="15" customHeight="1">
      <c r="A49" s="312" t="s">
        <v>335</v>
      </c>
      <c r="B49" s="312"/>
      <c r="C49" s="312"/>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6" t="str">
        <f>'Общие данные'!B148</f>
        <v>«CLEVER MIKROMOLIYA TASHKILOTI» MChJ</v>
      </c>
      <c r="C2" s="327"/>
      <c r="D2" s="327"/>
      <c r="E2" s="327"/>
      <c r="F2" s="328"/>
      <c r="G2" s="41"/>
    </row>
    <row r="3" spans="2:7">
      <c r="B3" s="321"/>
      <c r="C3" s="267"/>
      <c r="D3" s="267"/>
      <c r="E3" s="267"/>
      <c r="F3" s="322"/>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1" t="s">
        <v>27</v>
      </c>
      <c r="C10" s="267"/>
      <c r="D10" s="267"/>
      <c r="E10" s="267"/>
      <c r="F10" s="322"/>
      <c r="G10" s="42"/>
    </row>
    <row r="11" spans="2:7">
      <c r="B11" s="321" t="s">
        <v>27</v>
      </c>
      <c r="C11" s="267"/>
      <c r="D11" s="267"/>
      <c r="E11" s="267"/>
      <c r="F11" s="322"/>
      <c r="G11" s="42"/>
    </row>
    <row r="12" spans="2:7" ht="135" customHeight="1">
      <c r="B12" s="329" t="str">
        <f>'Общие данные'!B5</f>
        <v>NUTFULLAYEV AKBARJON AXMEDOVICH</v>
      </c>
      <c r="C12" s="330"/>
      <c r="D12" s="330"/>
      <c r="E12" s="330"/>
      <c r="F12" s="331"/>
      <c r="G12" s="43"/>
    </row>
    <row r="13" spans="2:7">
      <c r="B13" s="321"/>
      <c r="C13" s="267"/>
      <c r="D13" s="267"/>
      <c r="E13" s="267"/>
      <c r="F13" s="322"/>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1"/>
      <c r="C18" s="267"/>
      <c r="D18" s="267"/>
      <c r="E18" s="267"/>
      <c r="F18" s="322"/>
      <c r="G18" s="42"/>
    </row>
    <row r="19" spans="2:7" ht="20.25">
      <c r="B19" s="323" t="str">
        <f>""&amp;'Общие данные'!C64&amp;" shartnoma "&amp;'Общие данные'!B74&amp;""</f>
        <v>Mikroqarz shartnoma 11 mart 2025 y.dan № -QR</v>
      </c>
      <c r="C19" s="324"/>
      <c r="D19" s="324"/>
      <c r="E19" s="324"/>
      <c r="F19" s="325"/>
      <c r="G19" s="42"/>
    </row>
    <row r="20" spans="2:7">
      <c r="B20" s="321"/>
      <c r="C20" s="267"/>
      <c r="D20" s="267"/>
      <c r="E20" s="267"/>
      <c r="F20" s="322"/>
      <c r="G20" s="42"/>
    </row>
    <row r="21" spans="2:7">
      <c r="B21" s="321"/>
      <c r="C21" s="267"/>
      <c r="D21" s="267"/>
      <c r="E21" s="267"/>
      <c r="F21" s="322"/>
      <c r="G21" s="42"/>
    </row>
    <row r="22" spans="2:7">
      <c r="B22" s="321"/>
      <c r="C22" s="267"/>
      <c r="D22" s="267"/>
      <c r="E22" s="267"/>
      <c r="F22" s="322"/>
      <c r="G22" s="42"/>
    </row>
    <row r="23" spans="2:7">
      <c r="B23" s="321"/>
      <c r="C23" s="267"/>
      <c r="D23" s="267"/>
      <c r="E23" s="267"/>
      <c r="F23" s="322"/>
      <c r="G23" s="42"/>
    </row>
    <row r="24" spans="2:7">
      <c r="B24" s="335" t="str">
        <f>" Foiz stavkasi: "&amp;'Общие данные'!B85&amp;"%"</f>
        <v xml:space="preserve"> Foiz stavkasi: 60%</v>
      </c>
      <c r="C24" s="237"/>
      <c r="D24" s="237"/>
      <c r="E24" s="237"/>
      <c r="F24" s="336"/>
      <c r="G24" s="42"/>
    </row>
    <row r="25" spans="2:7" ht="15" customHeight="1">
      <c r="B25" s="335" t="str">
        <f>" "&amp;'Общие данные'!C64&amp;" muddati: "&amp;'Общие данные'!B81&amp;" oy"</f>
        <v xml:space="preserve"> Mikroqarz muddati: 36 oy</v>
      </c>
      <c r="C25" s="237"/>
      <c r="D25" s="237"/>
      <c r="E25" s="237"/>
      <c r="F25" s="336"/>
      <c r="G25" s="42"/>
    </row>
    <row r="26" spans="2:7">
      <c r="B26" s="335" t="str">
        <f>" "&amp;'Общие данные'!C64&amp;" miqdori: "&amp;FIXED('Общие данные'!B75,2)&amp;" so'm"</f>
        <v xml:space="preserve"> Mikroqarz miqdori: 27 000 000,00 so'm</v>
      </c>
      <c r="C26" s="237"/>
      <c r="D26" s="237"/>
      <c r="E26" s="237"/>
      <c r="F26" s="336"/>
      <c r="G26" s="42"/>
    </row>
    <row r="27" spans="2:7">
      <c r="B27" s="321"/>
      <c r="C27" s="267"/>
      <c r="D27" s="267"/>
      <c r="E27" s="267"/>
      <c r="F27" s="322"/>
      <c r="G27" s="42"/>
    </row>
    <row r="28" spans="2:7" hidden="1">
      <c r="G28" s="42"/>
    </row>
    <row r="29" spans="2:7">
      <c r="B29" s="321"/>
      <c r="C29" s="267"/>
      <c r="D29" s="267"/>
      <c r="E29" s="267"/>
      <c r="F29" s="322"/>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2" t="str">
        <f>"Toshkent sh., "&amp;'Общие данные'!B70&amp;""</f>
        <v>Toshkent sh., 11 mart 2025 y.</v>
      </c>
      <c r="C40" s="333"/>
      <c r="D40" s="333"/>
      <c r="E40" s="333"/>
      <c r="F40" s="334"/>
      <c r="G40" s="42"/>
    </row>
    <row r="41" spans="2:7">
      <c r="B41" s="267"/>
      <c r="C41" s="267"/>
      <c r="D41" s="267"/>
      <c r="E41" s="267"/>
      <c r="F41" s="267"/>
      <c r="G41" s="42"/>
    </row>
    <row r="42" spans="2:7">
      <c r="B42" s="267"/>
      <c r="C42" s="267"/>
      <c r="D42" s="267"/>
      <c r="E42" s="267"/>
      <c r="F42" s="267"/>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-QR, на сумму 27 000 000,00 (yigirma yetti million so'm) сум, сроком на 36 (o'ttiz olti) месяцев. В качестве своевременного исполнения обязательств по договору Микрозайма 11 mart 2025 y.dan № -QR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9" t="str">
        <f>'Приказ на сделку'!A21:E21</f>
        <v>-* avtotransport egasi: NUTFULLAYEV AKBARJON AXMEDOVICH</v>
      </c>
      <c r="B13" s="339"/>
      <c r="C13" s="339"/>
      <c r="D13" s="339"/>
      <c r="E13" s="339"/>
    </row>
    <row r="14" spans="1:5">
      <c r="A14" s="339" t="str">
        <f>'Приказ на сделку'!A22:E22</f>
        <v>-* texnik pasport: AAG   2346592  13.09.2023y</v>
      </c>
      <c r="B14" s="339"/>
      <c r="C14" s="339"/>
      <c r="D14" s="339"/>
      <c r="E14" s="339"/>
    </row>
    <row r="15" spans="1:5">
      <c r="A15" s="339" t="str">
        <f>'Приказ на сделку'!A23:E23</f>
        <v>-* roʻyxatdan oʻtgan manzili/garaj manzili: BUXORO VILOYATI BUXORO SHAHAR TADBIRKOR KO'CHASI 12-UY</v>
      </c>
      <c r="B15" s="339"/>
      <c r="C15" s="339"/>
      <c r="D15" s="339"/>
      <c r="E15" s="339"/>
    </row>
    <row r="16" spans="1:5">
      <c r="A16" s="339" t="str">
        <f>'Приказ на сделку'!A24:E24</f>
        <v>-* davlat raqami: 80T312WA</v>
      </c>
      <c r="B16" s="339"/>
      <c r="C16" s="339"/>
      <c r="D16" s="339"/>
      <c r="E16" s="339"/>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4"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5"/>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5"/>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5"/>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5"/>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5"/>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5"/>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5"/>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5"/>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5"/>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6"/>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37"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7"/>
      <c r="C37" s="337"/>
      <c r="D37" s="337"/>
      <c r="E37" s="337"/>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-QR, при сохранении запрета.</v>
      </c>
      <c r="B39" s="338"/>
      <c r="C39" s="338"/>
      <c r="D39" s="338"/>
      <c r="E39" s="338"/>
    </row>
    <row r="40" spans="1:5">
      <c r="A40" s="341"/>
      <c r="B40" s="341"/>
      <c r="C40" s="341"/>
      <c r="D40" s="341"/>
      <c r="E40" s="341"/>
    </row>
    <row r="41" spans="1:5">
      <c r="A41" s="342" t="s">
        <v>37</v>
      </c>
      <c r="B41" s="342"/>
      <c r="C41" s="342"/>
      <c r="D41" s="342"/>
      <c r="E41" s="342"/>
    </row>
    <row r="42" spans="1:5">
      <c r="A42" s="341"/>
      <c r="B42" s="341"/>
      <c r="C42" s="341"/>
      <c r="D42" s="341"/>
      <c r="E42" s="341"/>
    </row>
    <row r="43" spans="1:5">
      <c r="A43" s="342" t="s">
        <v>38</v>
      </c>
      <c r="B43" s="342"/>
      <c r="C43" s="342"/>
      <c r="D43" s="342"/>
      <c r="E43" s="342"/>
    </row>
    <row r="44" spans="1:5" ht="28.5" customHeight="1">
      <c r="A44" s="340" t="s">
        <v>39</v>
      </c>
      <c r="B44" s="340"/>
      <c r="C44" s="340"/>
      <c r="D44" s="340"/>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Qorako'l filiali boshlig'ii Egamberdiyeva D.I., jismoniy shaxs  NUTFULLAYEV AKBARJON AXMEDOVICH  11 mart 2025 y.dan № -QR-sonli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Qorako'l filiali boshlig'i</v>
      </c>
      <c r="H22" s="143" t="str">
        <f>'Общие данные'!B150</f>
        <v>Egamberdiyeva D.I.</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NUTFULLAYEV AKBARJON AXMEDOVICH  11 mart 2025 y.dan № -QR-sonli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Qorako'l filiali boshlig'i</v>
      </c>
      <c r="H22" s="143" t="str">
        <f>'Общие данные'!B150</f>
        <v>Egamberdiyeva D.I.</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NUTFULLAYEV AKBARJON AXMEDOVICH  11 mart 2025 y.dan № -QR-sonli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Qorako'l filiali boshlig'i</v>
      </c>
      <c r="H22" s="143" t="str">
        <f>'Общие данные'!B150</f>
        <v>Egamberdiyeva D.I.</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NUTFULLAYEV AKBARJON AXMEDOVICH  11 mart 2025 y.dan № -QR-sonli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Qorako'l filiali boshlig'i</v>
      </c>
      <c r="H22" s="143" t="str">
        <f>'Общие данные'!B150</f>
        <v>Egamberdiyeva D.I.</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2025-03-13T08:22:46Z</dcterms:modified>
</cp:coreProperties>
</file>