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1C091AB1-B524-4CCD-AB96-F6A5B6469230}"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КК'!$A$1:$E$60</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D51"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s="1"/>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<sst xmlns="http://schemas.openxmlformats.org/spreadsheetml/2006/main" count="594" uniqueCount="436">
  <si>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</si>
  <si>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</si>
  <si>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</si>
  <si>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</si>
  <si>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</si>
  <si>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</si>
  <si>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</si>
  <si>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</si>
  <si>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</si>
  <si>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</si>
  <si>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</si>
  <si>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</si>
  <si>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</si>
  <si>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</si>
  <si>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</si>
  <si>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</si>
  <si>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</si>
  <si>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</si>
  <si>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</si>
  <si>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</si>
  <si>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</si>
  <si>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</si>
  <si>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</si>
  <si>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</si>
  <si>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</si>
  <si>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</si>
  <si>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</si>
  <si>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</si>
  <si>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</si>
  <si>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</si>
  <si>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</si>
  <si>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</si>
  <si>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</si>
  <si>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</si>
  <si>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</si>
  <si>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</si>
  <si>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</si>
  <si>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</si>
  <si>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</si>
  <si>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</si>
  <si>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</si>
  <si>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</si>
  <si>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</si>
  <si>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</si>
  <si>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</si>
  <si>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</si>
  <si>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</si>
  <si>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</si>
  <si>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</si>
  <si>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</si>
  <si>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</si>
  <si>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</si>
  <si>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</si>
  <si>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</si>
  <si>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</si>
  <si>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</si>
  <si>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</si>
  <si>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</si>
  <si>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</si>
  <si>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</si>
  <si>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</si>
  <si>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</si>
  <si>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</si>
  <si>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</si>
  <si>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</si>
  <si>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</si>
  <si>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</si>
  <si>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</si>
  <si>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</si>
  <si>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</si>
  <si>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</si>
  <si>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</si>
  <si>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</si>
  <si>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</si>
  <si>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</si>
  <si>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</si>
  <si>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</si>
  <si>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</si>
  <si>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</si>
  <si>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</si>
  <si>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</si>
  <si>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</si>
  <si>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</si>
  <si>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</si>
  <si>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</si>
  <si>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</si>
  <si>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</si>
  <si>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</si>
  <si>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</si>
  <si>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</si>
  <si>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</si>
  <si>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</si>
  <si>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</si>
  <si>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</si>
  <si>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</si>
  <si>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</si>
  <si>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</si>
  <si>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</si>
  <si>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</si>
  <si>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</si>
  <si>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</si>
  <si>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</si>
  <si>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</si>
  <si>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</si>
  <si>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</si>
  <si>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</si>
  <si>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</si>
  <si>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</si>
  <si>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</si>
  <si>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</si>
  <si>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</si>
  <si>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</si>
  <si>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</si>
  <si>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</si>
  <si>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</si>
  <si>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</si>
  <si>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</si>
  <si>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</si>
  <si>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</si>
  <si>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</si>
  <si>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</si>
  <si>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</si>
  <si>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</si>
  <si>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</si>
  <si>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</si>
  <si>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</si>
  <si>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</si>
  <si>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</si>
  <si>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</si>
  <si>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</si>
  <si>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</si>
  <si>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</si>
  <si>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</si>
  <si>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</si>
  <si>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</si>
  <si>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</si>
  <si>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</si>
  <si>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</si>
  <si>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</si>
  <si>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</si>
  <si>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</si>
  <si>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</si>
  <si>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</si>
  <si>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</si>
  <si>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</si>
  <si>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</si>
  <si>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</si>
  <si>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</si>
  <si>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</si>
  <si>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</si>
  <si>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</si>
  <si>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</si>
  <si>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</si>
  <si>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</si>
  <si>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</si>
  <si>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</si>
  <si>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</si>
  <si>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</si>
  <si>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</si>
  <si>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</si>
  <si>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</si>
  <si>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</si>
  <si>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</si>
  <si>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</si>
  <si>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</si>
  <si>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</si>
  <si>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</si>
  <si>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</si>
  <si>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</si>
  <si>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</si>
  <si>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</si>
  <si>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</si>
  <si>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</si>
  <si>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</si>
  <si>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</si>
  <si>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</si>
  <si>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</si>
  <si>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</si>
  <si>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</si>
  <si>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</si>
  <si>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</si>
  <si>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</si>
  <si>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</si>
  <si>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</si>
  <si>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</si>
  <si>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</si>
  <si>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</si>
  <si>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</si>
  <si>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</si>
  <si>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</si>
  <si>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</si>
  <si>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</si>
  <si>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</si>
  <si>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</si>
  <si>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</si>
  <si>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</si>
  <si>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</si>
  <si>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</si>
  <si>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</si>
  <si>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</si>
  <si>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</si>
  <si>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</si>
  <si>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</si>
  <si>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</si>
  <si>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</si>
  <si>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</si>
  <si>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</si>
  <si>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</si>
  <si>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</si>
  <si>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</si>
  <si>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</si>
  <si>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</si>
  <si>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</si>
  <si>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</si>
  <si>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</si>
  <si>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</si>
  <si>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</si>
  <si>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</si>
  <si>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</si>
  <si>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</si>
  <si>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</si>
  <si>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</si>
  <si>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</si>
  <si>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</si>
  <si>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</si>
  <si>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</si>
  <si>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</si>
  <si>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</si>
  <si>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</si>
  <si>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</si>
  <si>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</si>
  <si>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</si>
  <si>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</si>
  <si>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</si>
  <si>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</si>
  <si>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</si>
  <si>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</si>
  <si>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</si>
  <si>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</si>
  <si>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</si>
  <si>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</si>
  <si>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</si>
  <si>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</si>
  <si>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</si>
  <si>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</si>
  <si>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</si>
  <si>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</si>
  <si>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</si>
  <si>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</si>
  <si>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</si>
  <si>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</si>
  <si>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</si>
  <si>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</si>
  <si>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</si>
  <si>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</si>
  <si>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</si>
  <si>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</si>
  <si>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</si>
  <si>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</si>
  <si>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</si>
  <si>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</si>
  <si>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</si>
  <si>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</si>
  <si>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</si>
  <si>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</si>
  <si>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</si>
  <si>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</si>
  <si>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</si>
  <si>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</si>
  <si>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</si>
  <si>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</si>
  <si>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</si>
  <si>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</si>
  <si>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</si>
  <si>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</si>
  <si>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</si>
  <si>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</si>
  <si>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</si>
  <si>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</si>
  <si>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</si>
  <si>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</si>
  <si>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</si>
  <si>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</si>
  <si>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</si>
  <si>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</si>
  <si>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</si>
  <si>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</si>
  <si>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</si>
  <si>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</si>
  <si>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</si>
  <si>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</si>
  <si>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</si>
  <si>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</si>
  <si>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</si>
  <si>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</si>
  <si>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</si>
  <si>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</si>
  <si>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</si>
  <si>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</si>
  <si>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</si>
  <si>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</si>
  <si>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</si>
  <si>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</si>
  <si>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</si>
  <si>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</si>
  <si>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</si>
  <si>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</si>
  <si>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</si>
  <si>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</si>
  <si>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</si>
  <si>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</si>
  <si>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</si>
  <si>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</si>
  <si>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</si>
  <si>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</si>
  <si>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</si>
  <si>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</si>
  <si>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</si>
  <si>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</si>
  <si>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</si>
  <si>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</si>
  <si>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</si>
  <si>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</si>
  <si>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</si>
  <si>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</si>
  <si>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</si>
  <si>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</si>
  <si>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</si>
  <si>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</si>
  <si>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</si>
  <si>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</si>
  <si>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</si>
  <si>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</si>
  <si>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</si>
  <si>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</si>
  <si>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</si>
  <si>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</si>
  <si>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</si>
  <si>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</si>
  <si>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</si>
  <si>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</si>
  <si>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</si>
  <si>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</si>
  <si>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</si>
  <si>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</si>
  <si>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</si>
  <si>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</si>
  <si>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</si>
  <si>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</si>
  <si>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</si>
  <si>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</si>
  <si>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</si>
  <si>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</si>
  <si>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</si>
  <si>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</si>
  <si>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</si>
  <si>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</si>
  <si>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</si>
  <si>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</si>
  <si>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</si>
  <si>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</si>
  <si>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</si>
  <si>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</si>
  <si>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</si>
  <si>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</si>
  <si>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</si>
  <si>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</si>
  <si>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</si>
  <si>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</si>
  <si>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</si>
  <si>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</si>
  <si>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</si>
  <si>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</si>
  <si>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</si>
  <si>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</si>
  <si>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</si>
  <si>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</si>
  <si>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</si>
  <si>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</si>
  <si>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</si>
  <si>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</si>
  <si>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</si>
  <si>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</si>
  <si>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</si>
  <si>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</si>
  <si>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</si>
  <si>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</si>
  <si>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</si>
  <si>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</si>
  <si>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</si>
  <si>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</si>
  <si>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</si>
  <si>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</si>
  <si>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</si>
  <si>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</si>
  <si>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</si>
  <si>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</si>
  <si>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</si>
  <si>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</si>
  <si>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</si>
  <si>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</si>
  <si>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</si>
  <si>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</si>
  <si>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</si>
  <si>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</si>
  <si>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</si>
  <si>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</si>
  <si>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</si>
  <si>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</si>
  <si>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</si>
  <si>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</si>
  <si>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</si>
  <si>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</si>
  <si>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</si>
  <si>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</si>
  <si>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</si>
  <si>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</si>
  <si>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</si>
  <si>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</si>
  <si>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</si>
  <si>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</si>
  <si>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</si>
  <si>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</si>
  <si>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</si>
  <si>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</si>
  <si>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</si>
  <si>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</si>
  <si>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</si>
  <si>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Surxondaryo filiali boshlig'i</t>
  </si>
  <si>
    <t>Pardayev Abdisattor Jaylovovich</t>
  </si>
  <si>
    <t>№ -SR</t>
  </si>
  <si>
    <t>Ijrochi direktor</t>
  </si>
  <si>
    <t>N. Abduraximov</t>
  </si>
  <si>
    <t>B. Mominov</t>
  </si>
  <si>
    <t>B. Jumanazarov</t>
  </si>
  <si>
    <t>A.PARDAYEV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</si>
</sst>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55">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46"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left"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center"/>
    </xf>
    <xf numFmtId="0" fontId="10" fillId="0" borderId="0" xfId="0" applyFont="1" applyAlignment="1">
      <alignment horizontal="right" vertical="top" wrapText="1"/>
    </xf>
    <xf numFmtId="0" fontId="9" fillId="0" borderId="0" xfId="0" applyFont="1" applyAlignment="1">
      <alignment horizontal="justify" wrapText="1"/>
    </xf>
    <xf numFmtId="0" fontId="9" fillId="0" borderId="0" xfId="0" applyFont="1" applyAlignment="1">
      <alignment horizontal="justify" vertical="top" wrapText="1"/>
    </xf>
    <xf numFmtId="0" fontId="10"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54"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0" xfId="0" applyFont="1" applyAlignment="1">
      <alignment horizontal="right" vertical="top"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vertical="top" wrapText="1"/>
    </xf>
    <xf numFmtId="0" fontId="16" fillId="0" borderId="0" xfId="0" applyFont="1" applyAlignment="1">
      <alignment horizontal="justify" vertical="top"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4" t="str">
        <f>""&amp;'Общие данные'!B147&amp;"
mikromoliya tashkiloti
Kredit qo‘mitasining yig‘ilishi"</f>
        <v>«CLEVER MIKROMOLIYA TASHKILOTI» MChJ
mikromoliya tashkiloti
Kredit qo‘mitasining yig‘ilishi</v>
      </c>
      <c r="B1" s="234"/>
      <c r="C1" s="234"/>
      <c r="D1" s="234"/>
      <c r="E1" s="234"/>
    </row>
    <row r="2" spans="1:33" ht="29.25" customHeight="1">
      <c r="A2" s="234" t="str">
        <f>""&amp;H7&amp;" protokolidan ko'chirma"</f>
        <v>№ -SR protokolidan ko'chirma</v>
      </c>
      <c r="B2" s="234"/>
      <c r="C2" s="234"/>
      <c r="D2" s="234"/>
      <c r="E2" s="234"/>
    </row>
    <row r="3" spans="1:33" ht="29.25" customHeight="1">
      <c r="A3" s="132" t="s">
        <v>203</v>
      </c>
      <c r="B3" s="50"/>
      <c r="C3" s="50"/>
      <c r="D3" s="50"/>
      <c r="E3" s="133" t="str">
        <f>'Общие данные'!B68</f>
        <v>11 mart 2025 y.</v>
      </c>
    </row>
    <row r="4" spans="1:33" ht="29.25" customHeight="1">
      <c r="A4" s="50"/>
      <c r="B4" s="234" t="s">
        <v>202</v>
      </c>
      <c r="C4" s="234"/>
      <c r="D4" s="234"/>
      <c r="E4" s="50"/>
    </row>
    <row r="5" spans="1:33" ht="36" customHeight="1">
      <c r="A5" s="233" t="str">
        <f>"         "&amp;H8&amp;"."&amp;'Общие данные'!B5&amp;" ga "&amp;'Общие данные'!B65&amp;" berish masalasini ko‘rib chiqish to‘g‘risida."</f>
        <v xml:space="preserve">         1.NUTFULLAYEV AKBARJON AXMEDOVICH ga mikroqarz berish masalasini ko‘rib chiqish to‘g‘risida.</v>
      </c>
      <c r="B5" s="233"/>
      <c r="C5" s="233"/>
      <c r="D5" s="233"/>
      <c r="E5" s="233"/>
    </row>
    <row r="7" spans="1:33" ht="21" customHeight="1">
      <c r="A7" s="232"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2"/>
      <c r="C7" s="232"/>
      <c r="D7" s="232"/>
      <c r="E7" s="232"/>
      <c r="G7" s="62" t="s">
        <v>258</v>
      </c>
      <c r="H7" s="63" t="str">
        <f>'Общие данные'!B1</f>
        <v>№ -SR</v>
      </c>
    </row>
    <row r="8" spans="1:33" ht="23.25">
      <c r="A8" s="232"/>
      <c r="B8" s="232"/>
      <c r="C8" s="232"/>
      <c r="D8" s="232"/>
      <c r="E8" s="232"/>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2"/>
      <c r="B9" s="232"/>
      <c r="C9" s="232"/>
      <c r="D9" s="232"/>
      <c r="E9" s="232"/>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2"/>
      <c r="B10" s="232"/>
      <c r="C10" s="232"/>
      <c r="D10" s="232"/>
      <c r="E10" s="232"/>
    </row>
    <row r="11" spans="1:33" ht="9" hidden="1" customHeight="1">
      <c r="A11" s="232"/>
      <c r="B11" s="232"/>
      <c r="C11" s="232"/>
      <c r="D11" s="232"/>
      <c r="E11" s="232"/>
    </row>
    <row r="12" spans="1:33" ht="3" hidden="1" customHeight="1">
      <c r="A12" s="232"/>
      <c r="B12" s="232"/>
      <c r="C12" s="232"/>
      <c r="D12" s="232"/>
      <c r="E12" s="232"/>
    </row>
    <row r="13" spans="1:33" ht="7.5" customHeight="1"/>
    <row r="14" spans="1:33" ht="15.75" customHeight="1">
      <c r="A14" s="235" t="str">
        <f>""&amp;'Общие данные'!C64&amp;" ta’minoti:"</f>
        <v>Mikroqarz ta’minoti:</v>
      </c>
      <c r="B14" s="235"/>
      <c r="C14" s="235"/>
      <c r="D14" s="235"/>
      <c r="E14" s="235"/>
    </row>
    <row r="15" spans="1:33" ht="7.5" customHeight="1"/>
    <row r="16" spans="1:33" ht="57" customHeight="1">
      <c r="A16" s="232"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2"/>
      <c r="C16" s="232"/>
      <c r="D16" s="232"/>
      <c r="E16" s="232"/>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2"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2"/>
      <c r="C18" s="232"/>
      <c r="D18" s="232"/>
      <c r="E18" s="232"/>
    </row>
    <row r="19" spans="1:5" ht="24" customHeight="1">
      <c r="A19" s="236" t="s">
        <v>261</v>
      </c>
      <c r="B19" s="236"/>
      <c r="C19" s="236"/>
      <c r="D19" s="236"/>
      <c r="E19" s="236"/>
    </row>
    <row r="20" spans="1:5" ht="32.25" customHeight="1">
      <c r="A20" s="232" t="str">
        <f>"       "&amp;'Общие данные'!B5&amp;"ga quyidagi shartlarda "&amp;'Общие данные'!B65&amp;" berish masalasi ma’qullansin:"</f>
        <v xml:space="preserve">       NUTFULLAYEV AKBARJON AXMEDOVICHga quyidagi shartlarda mikroqarz berish masalasi ma’qullansin:</v>
      </c>
      <c r="B20" s="232"/>
      <c r="C20" s="232"/>
      <c r="D20" s="232"/>
      <c r="E20" s="232"/>
    </row>
    <row r="21" spans="1:5" s="134" customFormat="1" ht="18.75" customHeight="1">
      <c r="A21" s="233" t="str">
        <f>"1. "&amp;'Общие данные'!C64&amp;" summasi: "&amp;FIXED('Общие данные'!B75)&amp;" ("&amp;'Общие данные'!B76&amp;") so'm."</f>
        <v>1. Mikroqarz summasi: 27 000 000,00 (yigirma yetti million so'm) so'm.</v>
      </c>
      <c r="B21" s="233"/>
      <c r="C21" s="233"/>
      <c r="D21" s="233"/>
      <c r="E21" s="233"/>
    </row>
    <row r="22" spans="1:5" s="134" customFormat="1" ht="18.75" customHeight="1">
      <c r="A22" s="233" t="str">
        <f>"2. "&amp;'Общие данные'!C64&amp;" muddati: "&amp;'Общие данные'!B81&amp;" ("&amp;'Общие данные'!B82&amp;") oy "</f>
        <v xml:space="preserve">2. Mikroqarz muddati: 36 (o'ttiz olti) oy </v>
      </c>
      <c r="B22" s="233"/>
      <c r="C22" s="233"/>
      <c r="D22" s="233"/>
      <c r="E22" s="233"/>
    </row>
    <row r="23" spans="1:5" s="134" customFormat="1" ht="18.75" customHeight="1">
      <c r="A23" s="233" t="str">
        <f>"3. "&amp;'Общие данные'!C64&amp;"dan foydalanganlik uchun foiz stavkasi:yillik "&amp;'Общие данные'!B85&amp;"% ("&amp;'Общие данные'!B86&amp;") foiz."</f>
        <v>3. Mikroqarzdan foydalanganlik uchun foiz stavkasi:yillik 60% (Oltmish) foiz.</v>
      </c>
      <c r="B23" s="233"/>
      <c r="C23" s="233"/>
      <c r="D23" s="233"/>
      <c r="E23" s="233"/>
    </row>
    <row r="24" spans="1:5" s="134" customFormat="1" ht="18.75" customHeight="1">
      <c r="A24" s="233" t="str">
        <f>"4. "&amp;'Общие данные'!C64&amp;" bo‘yicha asosiy qarz va foizlarni to‘lash:"</f>
        <v>4. Mikroqarz bo‘yicha asosiy qarz va foizlarni to‘lash:</v>
      </c>
      <c r="B24" s="233"/>
      <c r="C24" s="233"/>
      <c r="D24" s="233"/>
      <c r="E24" s="233"/>
    </row>
    <row r="25" spans="1:5" s="134" customFormat="1" ht="18.75" customHeight="1">
      <c r="A25" s="233" t="str">
        <f>'Кредитная заявка'!A19:D19</f>
        <v xml:space="preserve"> - mikroqarz shartnomasi bo'yicha har oy differensial to'lovlari amalga oshiriladi</v>
      </c>
      <c r="B25" s="233"/>
      <c r="C25" s="233"/>
      <c r="D25" s="233"/>
      <c r="E25" s="233"/>
    </row>
    <row r="26" spans="1:5" ht="48" customHeight="1">
      <c r="A26" s="232"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2"/>
      <c r="C26" s="232"/>
      <c r="D26" s="232"/>
      <c r="E26" s="232"/>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2" t="str">
        <f>'Акт согласования'!A22:E22</f>
        <v>-* avtotransport egasi: NUTFULLAYEV AKBARJON AXMEDOVICH</v>
      </c>
      <c r="B29" s="232"/>
      <c r="C29" s="232"/>
      <c r="D29" s="232"/>
      <c r="E29" s="232"/>
    </row>
    <row r="30" spans="1:5" ht="20.25" customHeight="1">
      <c r="A30" s="232" t="str">
        <f>'Акт согласования'!A23:E23</f>
        <v>-* texnik pasport: AAG   2346592  13.09.2023y</v>
      </c>
      <c r="B30" s="232"/>
      <c r="C30" s="232"/>
      <c r="D30" s="232"/>
      <c r="E30" s="232"/>
    </row>
    <row r="31" spans="1:5" ht="22.5" customHeight="1">
      <c r="A31" s="232" t="str">
        <f>'Акт согласования'!A24:E24</f>
        <v>-* roʻyxatdan oʻtgan manzili/garaj manzili: BUXORO VILOYATI BUXORO SHAHAR TADBIRKOR KO'CHASI 12-UY</v>
      </c>
      <c r="B31" s="232"/>
      <c r="C31" s="232"/>
      <c r="D31" s="232"/>
      <c r="E31" s="232"/>
    </row>
    <row r="32" spans="1:5" ht="25.5" customHeight="1">
      <c r="A32" s="232" t="str">
        <f>'Акт согласования'!A25:E25</f>
        <v>-* davlat raqami: 80T312WA</v>
      </c>
      <c r="B32" s="232"/>
      <c r="C32" s="232"/>
      <c r="D32" s="232"/>
      <c r="E32" s="232"/>
    </row>
    <row r="33" spans="1:5" ht="12" customHeight="1">
      <c r="A33" s="135"/>
      <c r="B33" s="135"/>
      <c r="C33" s="135"/>
      <c r="D33" s="135"/>
      <c r="E33" s="135"/>
    </row>
    <row r="34" spans="1:5" ht="20.25" customHeight="1">
      <c r="A34" s="232"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2"/>
      <c r="C34" s="232"/>
      <c r="D34" s="232"/>
      <c r="E34" s="232"/>
    </row>
    <row r="36" spans="1:5" ht="29.25" customHeight="1">
      <c r="A36" s="229" t="s">
        <v>262</v>
      </c>
      <c r="B36" s="229"/>
      <c r="C36" s="229"/>
      <c r="D36" s="229"/>
      <c r="E36" s="229"/>
    </row>
    <row r="37" spans="1:5" ht="29.25" customHeight="1">
      <c r="A37" s="230" t="s">
        <v>400</v>
      </c>
      <c r="B37" s="230"/>
      <c r="C37" s="162"/>
      <c r="D37" s="163"/>
      <c r="E37" s="163"/>
    </row>
    <row r="38" spans="1:5" ht="29.25" customHeight="1">
      <c r="A38" s="231" t="str">
        <f>"2. "&amp;'Общие данные'!B159&amp;""</f>
        <v>2. Mominov B.X.</v>
      </c>
      <c r="B38" s="231"/>
      <c r="C38" s="162"/>
      <c r="D38" s="164"/>
      <c r="E38" s="164"/>
    </row>
    <row r="39" spans="1:5" ht="29.25" customHeight="1">
      <c r="A39" s="230" t="str">
        <f>"3. "&amp;'Общие данные'!B160&amp;""</f>
        <v>3. Jumanazarov B.T.</v>
      </c>
      <c r="B39" s="230"/>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6" t="s">
        <v>16</v>
      </c>
      <c r="F1" s="246"/>
    </row>
    <row r="2" spans="1:22">
      <c r="A2" s="86"/>
      <c r="B2" s="86"/>
      <c r="C2" s="86"/>
      <c r="D2" s="86"/>
      <c r="E2" s="86"/>
      <c r="F2" s="88" t="str">
        <f>"к договору микрозайма "&amp;'Общие данные'!B74&amp;""</f>
        <v>к договору микрозайма 11 mart 2025 y.dan № -SR</v>
      </c>
    </row>
    <row r="3" spans="1:22" ht="19.5" customHeight="1">
      <c r="A3" s="86"/>
      <c r="B3" s="86"/>
      <c r="C3" s="86"/>
      <c r="D3" s="86"/>
      <c r="E3" s="86"/>
      <c r="F3" s="86"/>
      <c r="H3" s="89"/>
      <c r="I3" s="89"/>
      <c r="J3" s="90"/>
      <c r="K3" s="90"/>
    </row>
    <row r="4" spans="1:22" ht="19.5" customHeight="1">
      <c r="A4" s="247" t="s">
        <v>17</v>
      </c>
      <c r="B4" s="247"/>
      <c r="C4" s="247"/>
      <c r="D4" s="247"/>
      <c r="E4" s="247"/>
      <c r="F4" s="247"/>
      <c r="H4" s="89"/>
      <c r="I4" s="89"/>
      <c r="J4" s="89"/>
      <c r="K4" s="89"/>
    </row>
    <row r="5" spans="1:22" ht="19.5" customHeight="1">
      <c r="L5" s="87">
        <f>'Общие данные'!B81</f>
        <v>36</v>
      </c>
    </row>
    <row r="6" spans="1:22">
      <c r="A6" s="248" t="s">
        <v>15</v>
      </c>
      <c r="B6" s="249" t="s">
        <v>9</v>
      </c>
      <c r="C6" s="249" t="s">
        <v>10</v>
      </c>
      <c r="D6" s="250" t="s">
        <v>11</v>
      </c>
      <c r="E6" s="250"/>
      <c r="F6" s="250"/>
    </row>
    <row r="7" spans="1:22" s="16" customFormat="1">
      <c r="A7" s="248"/>
      <c r="B7" s="249"/>
      <c r="C7" s="249"/>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3" t="s">
        <v>18</v>
      </c>
      <c r="B46" s="243"/>
      <c r="C46" s="243"/>
      <c r="D46" s="243"/>
      <c r="E46" s="243"/>
      <c r="F46" s="243"/>
    </row>
    <row r="47" spans="1:22" ht="7.5" customHeight="1"/>
    <row r="48" spans="1:22">
      <c r="A48" s="244" t="e">
        <f>#REF!</f>
        <v>#REF!</v>
      </c>
      <c r="B48" s="244"/>
      <c r="C48" s="244"/>
      <c r="D48" s="244" t="e">
        <f>#REF!</f>
        <v>#REF!</v>
      </c>
      <c r="E48" s="244"/>
      <c r="F48" s="244"/>
    </row>
    <row r="49" spans="1:6" ht="11.25" customHeight="1">
      <c r="A49" s="245"/>
      <c r="B49" s="245"/>
      <c r="C49" s="245"/>
      <c r="D49" s="245"/>
      <c r="E49" s="245"/>
      <c r="F49" s="245"/>
    </row>
    <row r="50" spans="1:6" ht="30" customHeight="1">
      <c r="A50" s="242" t="e">
        <f>#REF!</f>
        <v>#REF!</v>
      </c>
      <c r="B50" s="242"/>
      <c r="C50" s="242"/>
      <c r="D50" s="242" t="e">
        <f>#REF!</f>
        <v>#REF!</v>
      </c>
      <c r="E50" s="242"/>
      <c r="F50" s="242"/>
    </row>
    <row r="51" spans="1:6" ht="32.25" customHeight="1">
      <c r="A51" s="238" t="e">
        <f>#REF!</f>
        <v>#REF!</v>
      </c>
      <c r="B51" s="238"/>
      <c r="C51" s="238"/>
      <c r="D51" s="238" t="e">
        <f>#REF!</f>
        <v>#REF!</v>
      </c>
      <c r="E51" s="238"/>
      <c r="F51" s="238"/>
    </row>
    <row r="52" spans="1:6">
      <c r="A52" s="238" t="e">
        <f>#REF!</f>
        <v>#REF!</v>
      </c>
      <c r="B52" s="238"/>
      <c r="C52" s="238"/>
      <c r="D52" s="238" t="str">
        <f>"паспорт серии "&amp;'Общие данные'!B16&amp;", "&amp;'Общие данные'!B20&amp;""</f>
        <v>паспорт серии AA 9481167, BUXORO VILOYATI BUXORO SHAHAR IIB tomonidan 24.04.2015 yilda berilgan</v>
      </c>
      <c r="E52" s="238"/>
      <c r="F52" s="238"/>
    </row>
    <row r="53" spans="1:6" ht="32.25" customHeight="1">
      <c r="A53" s="238" t="e">
        <f>#REF!</f>
        <v>#REF!</v>
      </c>
      <c r="B53" s="238"/>
      <c r="C53" s="238"/>
      <c r="D53" s="238"/>
      <c r="E53" s="238"/>
      <c r="F53" s="238"/>
    </row>
    <row r="54" spans="1:6">
      <c r="A54" s="238" t="e">
        <f>#REF!</f>
        <v>#REF!</v>
      </c>
      <c r="B54" s="238"/>
      <c r="C54" s="238"/>
      <c r="D54" s="238" t="e">
        <f>#REF!</f>
        <v>#REF!</v>
      </c>
      <c r="E54" s="238"/>
      <c r="F54" s="238"/>
    </row>
    <row r="55" spans="1:6">
      <c r="A55" s="238" t="e">
        <f>#REF!</f>
        <v>#REF!</v>
      </c>
      <c r="B55" s="238"/>
      <c r="C55" s="238"/>
      <c r="D55" s="238" t="e">
        <f>#REF!</f>
        <v>#REF!</v>
      </c>
      <c r="E55" s="238"/>
      <c r="F55" s="238"/>
    </row>
    <row r="56" spans="1:6">
      <c r="A56" s="238" t="e">
        <f>#REF!</f>
        <v>#REF!</v>
      </c>
      <c r="B56" s="238"/>
      <c r="C56" s="238"/>
      <c r="D56" s="238" t="e">
        <f>#REF!</f>
        <v>#REF!</v>
      </c>
      <c r="E56" s="238"/>
      <c r="F56" s="238"/>
    </row>
    <row r="57" spans="1:6" ht="8.25" customHeight="1">
      <c r="A57" s="238"/>
      <c r="B57" s="238"/>
      <c r="C57" s="238"/>
      <c r="D57" s="238"/>
      <c r="E57" s="238"/>
      <c r="F57" s="238"/>
    </row>
    <row r="58" spans="1:6">
      <c r="A58" s="242" t="e">
        <f>#REF!</f>
        <v>#REF!</v>
      </c>
      <c r="B58" s="242"/>
      <c r="C58" s="242"/>
      <c r="D58" s="242" t="e">
        <f>#REF!</f>
        <v>#REF!</v>
      </c>
      <c r="E58" s="242"/>
      <c r="F58" s="242"/>
    </row>
    <row r="59" spans="1:6" ht="7.5" customHeight="1">
      <c r="A59" s="242"/>
      <c r="B59" s="242"/>
      <c r="C59" s="242"/>
      <c r="D59" s="242"/>
      <c r="E59" s="242"/>
      <c r="F59" s="242"/>
    </row>
    <row r="60" spans="1:6">
      <c r="A60" s="242" t="e">
        <f>#REF!</f>
        <v>#REF!</v>
      </c>
      <c r="B60" s="242"/>
      <c r="C60" s="242"/>
      <c r="D60" s="242" t="e">
        <f>#REF!</f>
        <v>#REF!</v>
      </c>
      <c r="E60" s="242"/>
      <c r="F60" s="242"/>
    </row>
    <row r="61" spans="1:6" ht="8.25" customHeight="1">
      <c r="A61" s="238"/>
      <c r="B61" s="238"/>
      <c r="C61" s="238"/>
      <c r="D61" s="238"/>
      <c r="E61" s="238"/>
      <c r="F61" s="238"/>
    </row>
    <row r="62" spans="1:6" ht="30" customHeight="1">
      <c r="A62" s="239"/>
      <c r="B62" s="239"/>
      <c r="C62" s="239"/>
      <c r="D62" s="240" t="e">
        <f>#REF!</f>
        <v>#REF!</v>
      </c>
      <c r="E62" s="240"/>
      <c r="F62" s="240"/>
    </row>
    <row r="63" spans="1:6">
      <c r="A63" s="241"/>
      <c r="B63" s="241"/>
      <c r="C63" s="241"/>
      <c r="D63" s="241"/>
      <c r="E63" s="241"/>
      <c r="F63" s="241"/>
    </row>
    <row r="64" spans="1:6">
      <c r="A64" s="237"/>
      <c r="B64" s="237"/>
      <c r="C64" s="237"/>
      <c r="D64" s="237"/>
      <c r="E64" s="237"/>
      <c r="F64" s="237"/>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1" t="s">
        <v>53</v>
      </c>
      <c r="B4" s="251"/>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2" t="s">
        <v>97</v>
      </c>
      <c r="B57" s="253"/>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1" t="s">
        <v>103</v>
      </c>
      <c r="B64" s="251"/>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-SR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-SR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1" t="s">
        <v>126</v>
      </c>
      <c r="B91" s="251"/>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1"/>
      <c r="B97" s="251"/>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1" t="s">
        <v>357</v>
      </c>
      <c r="B146" s="251"/>
    </row>
    <row r="147" spans="1:2">
      <c r="A147" s="3" t="s">
        <v>175</v>
      </c>
      <c r="B147" s="1" t="s">
        <v>381</v>
      </c>
    </row>
    <row r="148" spans="1:2">
      <c r="A148" s="3"/>
      <c r="B148" s="1" t="s">
        <v>381</v>
      </c>
    </row>
    <row r="149" spans="1:2">
      <c r="A149" s="3"/>
      <c r="B149" s="1" t="s">
        <v>381</v>
      </c>
    </row>
    <row r="150" spans="1:2">
      <c r="A150" s="228" t="s">
        <v>428</v>
      </c>
      <c r="B150" s="227" t="s">
        <v>435</v>
      </c>
    </row>
    <row r="151" spans="1:2">
      <c r="A151" s="228"/>
      <c r="B151" s="227"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6" t="s">
        <v>428</v>
      </c>
      <c r="B161" s="227" t="s">
        <v>435</v>
      </c>
    </row>
    <row r="162" spans="1:2">
      <c r="A162" s="3" t="s">
        <v>186</v>
      </c>
      <c r="B162" s="2" t="s">
        <v>349</v>
      </c>
    </row>
    <row r="163" spans="1:2">
      <c r="A163" s="3" t="s">
        <v>187</v>
      </c>
      <c r="B163" s="2" t="s">
        <v>350</v>
      </c>
    </row>
    <row r="164" spans="1:2">
      <c r="A164" s="3" t="s">
        <v>188</v>
      </c>
      <c r="B164" s="1" t="str">
        <f>B1</f>
        <v>№ -SR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2" t="s">
        <v>16</v>
      </c>
      <c r="F1" s="262"/>
    </row>
    <row r="2" spans="1:8">
      <c r="A2" s="37"/>
      <c r="B2" s="37"/>
      <c r="C2" s="37"/>
      <c r="D2" s="37"/>
      <c r="E2" s="37"/>
      <c r="F2" s="38" t="str">
        <f>"к договору микрозайма "&amp;'Общие данные'!B74&amp;""</f>
        <v>к договору микрозайма 11 mart 2025 y.dan № -SR</v>
      </c>
    </row>
    <row r="3" spans="1:8" ht="6.75" customHeight="1">
      <c r="A3" s="37"/>
      <c r="B3" s="37"/>
      <c r="C3" s="37"/>
      <c r="D3" s="37"/>
      <c r="E3" s="37"/>
      <c r="F3" s="37"/>
    </row>
    <row r="4" spans="1:8">
      <c r="A4" s="263" t="s">
        <v>17</v>
      </c>
      <c r="B4" s="263"/>
      <c r="C4" s="263"/>
      <c r="D4" s="263"/>
      <c r="E4" s="263"/>
      <c r="F4" s="263"/>
    </row>
    <row r="5" spans="1:8" ht="7.5" customHeight="1"/>
    <row r="6" spans="1:8">
      <c r="A6" s="264" t="s">
        <v>15</v>
      </c>
      <c r="B6" s="265" t="s">
        <v>9</v>
      </c>
      <c r="C6" s="265" t="s">
        <v>10</v>
      </c>
      <c r="D6" s="266" t="s">
        <v>11</v>
      </c>
      <c r="E6" s="266"/>
      <c r="F6" s="266"/>
    </row>
    <row r="7" spans="1:8" s="16" customFormat="1">
      <c r="A7" s="264"/>
      <c r="B7" s="265"/>
      <c r="C7" s="265"/>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2" t="s">
        <v>18</v>
      </c>
      <c r="B46" s="232"/>
      <c r="C46" s="232"/>
      <c r="D46" s="232"/>
      <c r="E46" s="232"/>
      <c r="F46" s="232"/>
    </row>
    <row r="47" spans="1:8" ht="7.5" customHeight="1"/>
    <row r="48" spans="1:8">
      <c r="A48" s="260" t="e">
        <f>#REF!</f>
        <v>#REF!</v>
      </c>
      <c r="B48" s="260"/>
      <c r="C48" s="260"/>
      <c r="D48" s="260" t="e">
        <f>#REF!</f>
        <v>#REF!</v>
      </c>
      <c r="E48" s="260"/>
      <c r="F48" s="260"/>
    </row>
    <row r="49" spans="1:6" ht="11.25" customHeight="1">
      <c r="A49" s="261"/>
      <c r="B49" s="261"/>
      <c r="C49" s="261"/>
      <c r="D49" s="261"/>
      <c r="E49" s="261"/>
      <c r="F49" s="261"/>
    </row>
    <row r="50" spans="1:6" ht="30" customHeight="1">
      <c r="A50" s="259" t="e">
        <f>#REF!</f>
        <v>#REF!</v>
      </c>
      <c r="B50" s="259"/>
      <c r="C50" s="259"/>
      <c r="D50" s="259" t="e">
        <f>#REF!</f>
        <v>#REF!</v>
      </c>
      <c r="E50" s="259"/>
      <c r="F50" s="259"/>
    </row>
    <row r="51" spans="1:6" ht="32.25" customHeight="1">
      <c r="A51" s="255" t="e">
        <f>#REF!</f>
        <v>#REF!</v>
      </c>
      <c r="B51" s="255"/>
      <c r="C51" s="255"/>
      <c r="D51" s="255" t="e">
        <f>#REF!</f>
        <v>#REF!</v>
      </c>
      <c r="E51" s="255"/>
      <c r="F51" s="255"/>
    </row>
    <row r="52" spans="1:6">
      <c r="A52" s="255" t="e">
        <f>#REF!</f>
        <v>#REF!</v>
      </c>
      <c r="B52" s="255"/>
      <c r="C52" s="255"/>
      <c r="D52" s="255" t="str">
        <f>"паспорт серии "&amp;'Общие данные'!B16&amp;", "&amp;'Общие данные'!B20&amp;""</f>
        <v>паспорт серии AA 9481167, BUXORO VILOYATI BUXORO SHAHAR IIB tomonidan 24.04.2015 yilda berilgan</v>
      </c>
      <c r="E52" s="255"/>
      <c r="F52" s="255"/>
    </row>
    <row r="53" spans="1:6" ht="32.25" customHeight="1">
      <c r="A53" s="255" t="e">
        <f>#REF!</f>
        <v>#REF!</v>
      </c>
      <c r="B53" s="255"/>
      <c r="C53" s="255"/>
      <c r="D53" s="255"/>
      <c r="E53" s="255"/>
      <c r="F53" s="255"/>
    </row>
    <row r="54" spans="1:6">
      <c r="A54" s="255" t="e">
        <f>#REF!</f>
        <v>#REF!</v>
      </c>
      <c r="B54" s="255"/>
      <c r="C54" s="255"/>
      <c r="D54" s="255" t="e">
        <f>#REF!</f>
        <v>#REF!</v>
      </c>
      <c r="E54" s="255"/>
      <c r="F54" s="255"/>
    </row>
    <row r="55" spans="1:6">
      <c r="A55" s="255" t="e">
        <f>#REF!</f>
        <v>#REF!</v>
      </c>
      <c r="B55" s="255"/>
      <c r="C55" s="255"/>
      <c r="D55" s="255" t="e">
        <f>#REF!</f>
        <v>#REF!</v>
      </c>
      <c r="E55" s="255"/>
      <c r="F55" s="255"/>
    </row>
    <row r="56" spans="1:6">
      <c r="A56" s="255" t="e">
        <f>#REF!</f>
        <v>#REF!</v>
      </c>
      <c r="B56" s="255"/>
      <c r="C56" s="255"/>
      <c r="D56" s="255" t="e">
        <f>#REF!</f>
        <v>#REF!</v>
      </c>
      <c r="E56" s="255"/>
      <c r="F56" s="255"/>
    </row>
    <row r="57" spans="1:6" ht="8.25" customHeight="1">
      <c r="A57" s="255"/>
      <c r="B57" s="255"/>
      <c r="C57" s="255"/>
      <c r="D57" s="255"/>
      <c r="E57" s="255"/>
      <c r="F57" s="255"/>
    </row>
    <row r="58" spans="1:6">
      <c r="A58" s="259" t="e">
        <f>#REF!</f>
        <v>#REF!</v>
      </c>
      <c r="B58" s="259"/>
      <c r="C58" s="259"/>
      <c r="D58" s="259" t="e">
        <f>#REF!</f>
        <v>#REF!</v>
      </c>
      <c r="E58" s="259"/>
      <c r="F58" s="259"/>
    </row>
    <row r="59" spans="1:6" ht="7.5" customHeight="1">
      <c r="A59" s="259"/>
      <c r="B59" s="259"/>
      <c r="C59" s="259"/>
      <c r="D59" s="259"/>
      <c r="E59" s="259"/>
      <c r="F59" s="259"/>
    </row>
    <row r="60" spans="1:6">
      <c r="A60" s="259" t="e">
        <f>#REF!</f>
        <v>#REF!</v>
      </c>
      <c r="B60" s="259"/>
      <c r="C60" s="259"/>
      <c r="D60" s="259" t="e">
        <f>#REF!</f>
        <v>#REF!</v>
      </c>
      <c r="E60" s="259"/>
      <c r="F60" s="259"/>
    </row>
    <row r="61" spans="1:6" ht="8.25" customHeight="1">
      <c r="A61" s="255"/>
      <c r="B61" s="255"/>
      <c r="C61" s="255"/>
      <c r="D61" s="255"/>
      <c r="E61" s="255"/>
      <c r="F61" s="255"/>
    </row>
    <row r="62" spans="1:6" ht="30" customHeight="1">
      <c r="A62" s="256"/>
      <c r="B62" s="256"/>
      <c r="C62" s="256"/>
      <c r="D62" s="257"/>
      <c r="E62" s="257"/>
      <c r="F62" s="257"/>
    </row>
    <row r="63" spans="1:6">
      <c r="A63" s="258"/>
      <c r="B63" s="258"/>
      <c r="C63" s="258"/>
      <c r="D63" s="258"/>
      <c r="E63" s="258"/>
      <c r="F63" s="258"/>
    </row>
    <row r="64" spans="1:6">
      <c r="A64" s="254"/>
      <c r="B64" s="254"/>
      <c r="C64" s="254"/>
      <c r="D64" s="254"/>
      <c r="E64" s="254"/>
      <c r="F64" s="254"/>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68" t="s">
        <v>218</v>
      </c>
      <c r="B1" s="268"/>
      <c r="C1" s="268"/>
      <c r="D1" s="268"/>
      <c r="E1" s="268"/>
      <c r="F1" s="268"/>
    </row>
    <row r="2" spans="1:6" ht="35.25" customHeight="1">
      <c r="A2" s="269" t="s">
        <v>328</v>
      </c>
      <c r="B2" s="269"/>
      <c r="C2" s="269"/>
      <c r="D2" s="269"/>
      <c r="E2" s="269"/>
      <c r="F2" s="269"/>
    </row>
    <row r="3" spans="1:6">
      <c r="A3" s="268" t="s">
        <v>219</v>
      </c>
      <c r="B3" s="268"/>
      <c r="C3" s="268"/>
      <c r="D3" s="268"/>
      <c r="E3" s="268"/>
      <c r="F3" s="268"/>
    </row>
    <row r="4" spans="1:6">
      <c r="A4" s="267" t="str">
        <f>'Заключение КК'!A4:E4</f>
        <v>Mijozning to'liq ismi sharifi: NUTFULLAYEV AKBARJON AXMEDOVICH</v>
      </c>
      <c r="B4" s="267"/>
      <c r="C4" s="267"/>
      <c r="D4" s="267"/>
      <c r="E4" s="267"/>
      <c r="F4" s="267"/>
    </row>
    <row r="5" spans="1:6">
      <c r="A5" s="267" t="str">
        <f>'Заключение КК'!A5:E5</f>
        <v>Tug'ilgan sanasi: 14.09.1989 y</v>
      </c>
      <c r="B5" s="267"/>
      <c r="C5" s="267"/>
      <c r="D5" s="267"/>
      <c r="E5" s="267"/>
      <c r="F5" s="267"/>
    </row>
    <row r="6" spans="1:6" ht="32.25" customHeight="1">
      <c r="A6" s="267" t="str">
        <f>'Заключение КК'!A6:E6</f>
        <v>Pasport seriyasi AA 9481167 BUXORO VILOYATI BUXORO SHAHAR IIB tomonidan 24.04.2015 yilda berilgan, amal qilish muddati - 23.04.2025 y.</v>
      </c>
      <c r="B6" s="267"/>
      <c r="C6" s="267"/>
      <c r="D6" s="267"/>
      <c r="E6" s="267"/>
      <c r="F6" s="267"/>
    </row>
    <row r="7" spans="1:6">
      <c r="A7" s="267" t="str">
        <f>"Fuqaroligi: "&amp;'Общие данные'!B32&amp;""</f>
        <v>Fuqaroligi: O’zbekiston Respublikasi</v>
      </c>
      <c r="B7" s="267"/>
      <c r="C7" s="267"/>
      <c r="D7" s="267"/>
      <c r="E7" s="267"/>
      <c r="F7" s="267"/>
    </row>
    <row r="8" spans="1:6" ht="26.25" customHeight="1">
      <c r="A8" s="267" t="str">
        <f>'Заключение КК'!A7:E7</f>
        <v>Ro‘yxatdan o‘tgan manzili: BUXORO VILOYATI BUXORO SHAHAR TADBIRKOR KO'CHASI 12-UY, mo'ljal: GOR VODAKANAL</v>
      </c>
      <c r="B8" s="267"/>
      <c r="C8" s="267"/>
      <c r="D8" s="267"/>
      <c r="E8" s="267"/>
      <c r="F8" s="267"/>
    </row>
    <row r="9" spans="1:6">
      <c r="A9" s="267" t="str">
        <f>IF('Общие данные'!B23="mos keladi"," ",'Анкета Клиента'!A10:F10)</f>
        <v xml:space="preserve"> </v>
      </c>
      <c r="B9" s="267"/>
      <c r="C9" s="267"/>
      <c r="D9" s="267"/>
      <c r="E9" s="267"/>
      <c r="F9" s="267"/>
    </row>
    <row r="10" spans="1:6" ht="31.5" hidden="1" customHeight="1">
      <c r="A10" s="267" t="str">
        <f>"Haqiqatdan yashash joy manzili: "&amp;'Общие данные'!B28&amp;""</f>
        <v>Haqiqatdan yashash joy manzili: BUXORO VILOYATI BUXORO SHAHAR TADBIRKOR KO'CHASI 12-UY</v>
      </c>
      <c r="B10" s="267"/>
      <c r="C10" s="267"/>
      <c r="D10" s="267"/>
      <c r="E10" s="267"/>
      <c r="F10" s="267"/>
    </row>
    <row r="11" spans="1:6" ht="16.5" hidden="1" customHeight="1">
      <c r="A11" s="267" t="str">
        <f>'Заключение КК'!A8:E8</f>
        <v>Ish joyi:  lavozimi Yakka tartibdagi tadbirkorda Yakka tartibdagi tadbirkor</v>
      </c>
      <c r="B11" s="267"/>
      <c r="C11" s="267"/>
      <c r="D11" s="267"/>
      <c r="E11" s="267"/>
      <c r="F11" s="267"/>
    </row>
    <row r="12" spans="1:6">
      <c r="A12" s="268" t="s">
        <v>220</v>
      </c>
      <c r="B12" s="268"/>
      <c r="C12" s="268"/>
      <c r="D12" s="268"/>
      <c r="E12" s="268"/>
      <c r="F12" s="268"/>
    </row>
    <row r="13" spans="1:6">
      <c r="A13" s="267" t="str">
        <f>"Uy telefoni raqami: "&amp;'Общие данные'!B40&amp;""</f>
        <v>Uy telefoni raqami: 91 408 76 67  UZI</v>
      </c>
      <c r="B13" s="267"/>
      <c r="C13" s="267"/>
      <c r="D13" s="267"/>
      <c r="E13" s="267"/>
      <c r="F13" s="267"/>
    </row>
    <row r="14" spans="1:6">
      <c r="A14" s="267" t="str">
        <f>"Uyali telefon raqami: "&amp;'Общие данные'!B41&amp;""</f>
        <v>Uyali telefon raqami: 88 305 76 67 AYOLI</v>
      </c>
      <c r="B14" s="267"/>
      <c r="C14" s="267"/>
      <c r="D14" s="267"/>
      <c r="E14" s="267"/>
      <c r="F14" s="267"/>
    </row>
    <row r="15" spans="1:6">
      <c r="A15" s="267" t="str">
        <f>"Uyali telefon raqami: "&amp;'Общие данные'!B42&amp;""</f>
        <v>Uyali telefon raqami: 88 870 76 67 AKASI</v>
      </c>
      <c r="B15" s="267"/>
      <c r="C15" s="267"/>
      <c r="D15" s="267"/>
      <c r="E15" s="267"/>
      <c r="F15" s="267"/>
    </row>
    <row r="16" spans="1:6" hidden="1">
      <c r="A16" s="267" t="str">
        <f>"Uyali telefon raqami: "&amp;'Общие данные'!B42&amp;""</f>
        <v>Uyali telefon raqami: 88 870 76 67 AKASI</v>
      </c>
      <c r="B16" s="267"/>
      <c r="C16" s="267"/>
      <c r="D16" s="267"/>
      <c r="E16" s="267"/>
      <c r="F16" s="267"/>
    </row>
    <row r="17" spans="1:6">
      <c r="A17" s="267" t="str">
        <f>"Ish telefoni raqami: "&amp;'Общие данные'!B43&amp;""</f>
        <v xml:space="preserve">Ish telefoni raqami: </v>
      </c>
      <c r="B17" s="267"/>
      <c r="C17" s="267"/>
      <c r="D17" s="267"/>
      <c r="E17" s="267"/>
      <c r="F17" s="267"/>
    </row>
    <row r="18" spans="1:6">
      <c r="A18" s="268" t="s">
        <v>221</v>
      </c>
      <c r="B18" s="268"/>
      <c r="C18" s="268"/>
      <c r="D18" s="268"/>
      <c r="E18" s="268"/>
      <c r="F18" s="268"/>
    </row>
    <row r="19" spans="1:6">
      <c r="A19" s="267" t="str">
        <f>"Muassasa nomlanishi:"&amp;'Общие данные'!B58&amp;""</f>
        <v>Muassasa nomlanishi:Yakka tartibdagi tadbirkor</v>
      </c>
      <c r="B19" s="267"/>
      <c r="C19" s="267"/>
      <c r="D19" s="267"/>
      <c r="E19" s="267"/>
      <c r="F19" s="267"/>
    </row>
    <row r="20" spans="1:6">
      <c r="A20" s="267" t="str">
        <f>"Ro‘yxatdan o‘tish manzili:"&amp;'Общие данные'!B50&amp;""</f>
        <v>Ro‘yxatdan o‘tish manzili:</v>
      </c>
      <c r="B20" s="267"/>
      <c r="C20" s="267"/>
      <c r="D20" s="267"/>
      <c r="E20" s="267"/>
      <c r="F20" s="267"/>
    </row>
    <row r="21" spans="1:6">
      <c r="A21" s="267" t="str">
        <f>"Lavozimi: "&amp;'Общие данные'!B59&amp;""</f>
        <v>Lavozimi: Yakka tartibdagi tadbirkor</v>
      </c>
      <c r="B21" s="267"/>
      <c r="C21" s="267"/>
      <c r="D21" s="267"/>
      <c r="E21" s="267"/>
      <c r="F21" s="267"/>
    </row>
    <row r="22" spans="1:6">
      <c r="A22" s="268" t="s">
        <v>222</v>
      </c>
      <c r="B22" s="270"/>
      <c r="C22" s="270"/>
      <c r="D22" s="270"/>
      <c r="E22" s="270"/>
      <c r="F22" s="270"/>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7"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7"/>
      <c r="C28" s="267"/>
      <c r="D28" s="267"/>
      <c r="E28" s="267"/>
      <c r="F28" s="267"/>
    </row>
    <row r="29" spans="1:6">
      <c r="A29" s="267" t="str">
        <f>"Men,  "&amp;'Общие данные'!B5&amp;", quyidagilarni tan olaman va roziman::"</f>
        <v>Men,  NUTFULLAYEV AKBARJON AXMEDOVICH, quyidagilarni tan olaman va roziman::</v>
      </c>
      <c r="B29" s="267"/>
      <c r="C29" s="267"/>
      <c r="D29" s="267"/>
      <c r="E29" s="267"/>
      <c r="F29" s="267"/>
    </row>
    <row r="30" spans="1:6" ht="45.75" customHeight="1">
      <c r="A30" s="267"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7"/>
      <c r="C30" s="267"/>
      <c r="D30" s="267"/>
      <c r="E30" s="267"/>
      <c r="F30" s="267"/>
    </row>
    <row r="31" spans="1:6" ht="42.75" customHeight="1">
      <c r="A31" s="267"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7"/>
      <c r="C31" s="267"/>
      <c r="D31" s="267"/>
      <c r="E31" s="267"/>
      <c r="F31" s="267"/>
    </row>
    <row r="32" spans="1:6" ht="71.25" customHeight="1">
      <c r="A32" s="267" t="s">
        <v>235</v>
      </c>
      <c r="B32" s="267"/>
      <c r="C32" s="267"/>
      <c r="D32" s="267"/>
      <c r="E32" s="267"/>
      <c r="F32" s="267"/>
    </row>
    <row r="33" spans="1:6">
      <c r="A33" s="267"/>
      <c r="B33" s="267"/>
      <c r="C33" s="267"/>
      <c r="D33" s="267"/>
      <c r="E33" s="267"/>
      <c r="F33" s="267"/>
    </row>
    <row r="34" spans="1:6" ht="12.75" customHeight="1">
      <c r="A34" s="270" t="s">
        <v>236</v>
      </c>
      <c r="B34" s="270"/>
      <c r="C34" s="270"/>
      <c r="D34" s="148" t="s">
        <v>157</v>
      </c>
      <c r="E34" s="270" t="s">
        <v>237</v>
      </c>
      <c r="F34" s="270"/>
    </row>
    <row r="35" spans="1:6" ht="25.5" customHeight="1">
      <c r="A35" s="271"/>
      <c r="B35" s="271"/>
      <c r="C35" s="271"/>
      <c r="D35" s="272" t="str">
        <f>'Общие данные'!B2</f>
        <v>11.03.2025</v>
      </c>
      <c r="E35" s="271"/>
      <c r="F35" s="271"/>
    </row>
    <row r="36" spans="1:6" ht="25.5" customHeight="1">
      <c r="A36" s="271"/>
      <c r="B36" s="271"/>
      <c r="C36" s="271"/>
      <c r="D36" s="272"/>
      <c r="E36" s="271"/>
      <c r="F36" s="271"/>
    </row>
    <row r="37" spans="1:6">
      <c r="A37" s="267"/>
      <c r="B37" s="267"/>
      <c r="C37" s="267"/>
      <c r="D37" s="267"/>
      <c r="E37" s="267"/>
      <c r="F37" s="267"/>
    </row>
    <row r="38" spans="1:6">
      <c r="A38" s="267"/>
      <c r="B38" s="267"/>
      <c r="C38" s="267"/>
      <c r="D38" s="267"/>
      <c r="E38" s="267"/>
      <c r="F38" s="267"/>
    </row>
    <row r="39" spans="1:6">
      <c r="A39" s="267"/>
      <c r="B39" s="267"/>
      <c r="C39" s="267"/>
      <c r="D39" s="267"/>
      <c r="E39" s="267"/>
      <c r="F39" s="267"/>
    </row>
    <row r="40" spans="1:6">
      <c r="A40" s="267"/>
      <c r="B40" s="267"/>
      <c r="C40" s="267"/>
      <c r="D40" s="267"/>
      <c r="E40" s="267"/>
      <c r="F40" s="267"/>
    </row>
    <row r="41" spans="1:6">
      <c r="A41" s="267"/>
      <c r="B41" s="267"/>
      <c r="C41" s="267"/>
      <c r="D41" s="267"/>
      <c r="E41" s="267"/>
      <c r="F41" s="267"/>
    </row>
    <row r="42" spans="1:6">
      <c r="A42" s="267"/>
      <c r="B42" s="267"/>
      <c r="C42" s="267"/>
      <c r="D42" s="267"/>
      <c r="E42" s="267"/>
      <c r="F42" s="267"/>
    </row>
    <row r="43" spans="1:6">
      <c r="A43" s="267"/>
      <c r="B43" s="267"/>
      <c r="C43" s="267"/>
      <c r="D43" s="267"/>
      <c r="E43" s="267"/>
      <c r="F43" s="267"/>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7" t="s">
        <v>238</v>
      </c>
      <c r="B2" s="277"/>
      <c r="C2" s="277"/>
      <c r="D2" s="277"/>
      <c r="E2" s="277"/>
    </row>
    <row r="3" spans="1:5">
      <c r="E3" s="121" t="str">
        <f>'Общие данные'!B68</f>
        <v>11 mart 2025 y.</v>
      </c>
    </row>
    <row r="5" spans="1:5" s="123" customFormat="1" ht="27" customHeight="1">
      <c r="A5" s="281" t="s">
        <v>239</v>
      </c>
      <c r="B5" s="282"/>
      <c r="C5" s="278" t="str">
        <f>'Общие данные'!B8</f>
        <v>NUTFULLAYEV AKBARJON AXMEDOVICH</v>
      </c>
      <c r="D5" s="279"/>
      <c r="E5" s="280"/>
    </row>
    <row r="7" spans="1:5" ht="15.75" customHeight="1">
      <c r="A7" s="283" t="s">
        <v>358</v>
      </c>
      <c r="B7" s="284"/>
      <c r="C7" s="285"/>
      <c r="D7" s="124" t="s">
        <v>133</v>
      </c>
      <c r="E7" s="124"/>
    </row>
    <row r="8" spans="1:5">
      <c r="A8" s="286"/>
      <c r="B8" s="287"/>
      <c r="C8" s="288"/>
      <c r="D8" s="124" t="s">
        <v>243</v>
      </c>
      <c r="E8" s="124"/>
    </row>
    <row r="9" spans="1:5" ht="15.75" customHeight="1">
      <c r="A9" s="274" t="s">
        <v>240</v>
      </c>
      <c r="B9" s="274"/>
      <c r="C9" s="274"/>
      <c r="D9" s="124" t="s">
        <v>133</v>
      </c>
      <c r="E9" s="124"/>
    </row>
    <row r="10" spans="1:5">
      <c r="A10" s="274"/>
      <c r="B10" s="274"/>
      <c r="C10" s="274"/>
      <c r="D10" s="124" t="s">
        <v>243</v>
      </c>
      <c r="E10" s="124"/>
    </row>
    <row r="11" spans="1:5" ht="15.75" customHeight="1">
      <c r="A11" s="274" t="s">
        <v>241</v>
      </c>
      <c r="B11" s="274"/>
      <c r="C11" s="274"/>
      <c r="D11" s="124" t="s">
        <v>133</v>
      </c>
      <c r="E11" s="124"/>
    </row>
    <row r="12" spans="1:5">
      <c r="A12" s="274"/>
      <c r="B12" s="274"/>
      <c r="C12" s="274"/>
      <c r="D12" s="124" t="s">
        <v>243</v>
      </c>
      <c r="E12" s="124"/>
    </row>
    <row r="13" spans="1:5" ht="34.5" customHeight="1">
      <c r="A13" s="275" t="s">
        <v>242</v>
      </c>
      <c r="B13" s="275"/>
      <c r="C13" s="275"/>
      <c r="D13" s="275"/>
      <c r="E13" s="275"/>
    </row>
    <row r="14" spans="1:5" ht="16.5" thickBot="1">
      <c r="A14" s="276"/>
      <c r="B14" s="276"/>
      <c r="C14" s="276"/>
      <c r="D14" s="276"/>
      <c r="E14" s="276"/>
    </row>
    <row r="15" spans="1:5" ht="16.5" thickBot="1">
      <c r="A15" s="276"/>
      <c r="B15" s="276"/>
      <c r="C15" s="276"/>
      <c r="D15" s="276"/>
      <c r="E15" s="276"/>
    </row>
    <row r="16" spans="1:5" ht="16.5" thickBot="1">
      <c r="A16" s="276"/>
      <c r="B16" s="276"/>
      <c r="C16" s="276"/>
      <c r="D16" s="276"/>
      <c r="E16" s="276"/>
    </row>
    <row r="18" spans="1:8" ht="18.75" customHeight="1">
      <c r="A18" s="274" t="s">
        <v>244</v>
      </c>
      <c r="B18" s="274"/>
      <c r="C18" s="274"/>
      <c r="D18" s="124" t="s">
        <v>133</v>
      </c>
      <c r="E18" s="124"/>
    </row>
    <row r="19" spans="1:8" ht="18.75" customHeight="1">
      <c r="A19" s="274"/>
      <c r="B19" s="274"/>
      <c r="C19" s="274"/>
      <c r="D19" s="124" t="s">
        <v>243</v>
      </c>
      <c r="E19" s="124"/>
    </row>
    <row r="20" spans="1:8" ht="29.25" customHeight="1">
      <c r="A20" s="274" t="s">
        <v>245</v>
      </c>
      <c r="B20" s="274"/>
      <c r="C20" s="274"/>
      <c r="D20" s="124" t="s">
        <v>133</v>
      </c>
      <c r="E20" s="124"/>
    </row>
    <row r="21" spans="1:8" ht="29.25" customHeight="1">
      <c r="A21" s="274"/>
      <c r="B21" s="274"/>
      <c r="C21" s="274"/>
      <c r="D21" s="124" t="s">
        <v>243</v>
      </c>
      <c r="E21" s="124"/>
    </row>
    <row r="23" spans="1:8" ht="15.75" customHeight="1">
      <c r="A23" s="275" t="s">
        <v>246</v>
      </c>
      <c r="B23" s="275"/>
      <c r="C23" s="275"/>
      <c r="D23" s="275"/>
      <c r="E23" s="275"/>
    </row>
    <row r="24" spans="1:8" ht="16.5" thickBot="1">
      <c r="A24" s="276"/>
      <c r="B24" s="276"/>
      <c r="C24" s="276"/>
      <c r="D24" s="276"/>
      <c r="E24" s="276"/>
    </row>
    <row r="25" spans="1:8" ht="16.5" thickBot="1">
      <c r="A25" s="276"/>
      <c r="B25" s="276"/>
      <c r="C25" s="276"/>
      <c r="D25" s="276"/>
      <c r="E25" s="276"/>
    </row>
    <row r="26" spans="1:8" ht="16.5" thickBot="1">
      <c r="A26" s="276"/>
      <c r="B26" s="276"/>
      <c r="C26" s="276"/>
      <c r="D26" s="276"/>
      <c r="E26" s="276"/>
    </row>
    <row r="28" spans="1:8" ht="78.75" customHeight="1">
      <c r="A28" s="273" t="s">
        <v>247</v>
      </c>
      <c r="B28" s="273"/>
      <c r="C28" s="273"/>
      <c r="D28" s="273"/>
      <c r="E28" s="273"/>
    </row>
    <row r="30" spans="1:8" ht="33" customHeight="1">
      <c r="A30" s="273" t="s">
        <v>248</v>
      </c>
      <c r="B30" s="273"/>
      <c r="C30" s="273"/>
      <c r="D30" s="273"/>
      <c r="E30" s="273"/>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0" t="str">
        <f>""&amp;'Общие данные'!B147&amp;"ning
"&amp;'Общие данные'!A150&amp;""</f>
        <v>«CLEVER MIKROMOLIYA TASHKILOTI» MChJning
Surxondaryo filiali boshlig'i</v>
      </c>
      <c r="D1" s="290"/>
    </row>
    <row r="2" spans="1:4">
      <c r="C2" s="13"/>
      <c r="D2" s="14" t="str">
        <f>""&amp;'Общие данные'!B150&amp;"ga"</f>
        <v>A.PARDAYEVga</v>
      </c>
    </row>
    <row r="4" spans="1:4">
      <c r="A4" s="289" t="str">
        <f>""&amp;'Общие данные'!C64&amp;" olish uchun Ariza"</f>
        <v>Mikroqarz olish uchun Ariza</v>
      </c>
      <c r="B4" s="289"/>
      <c r="C4" s="289"/>
      <c r="D4" s="289"/>
    </row>
    <row r="5" spans="1:4">
      <c r="A5" s="289"/>
      <c r="B5" s="289"/>
      <c r="C5" s="289"/>
      <c r="D5" s="289"/>
    </row>
    <row r="6" spans="1:4" ht="60" customHeight="1">
      <c r="A6" s="291"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1"/>
      <c r="C6" s="291"/>
      <c r="D6" s="291"/>
    </row>
    <row r="7" spans="1:4" ht="15.75" customHeight="1">
      <c r="A7" s="291" t="str">
        <f>"Tug'ilgan kuni: "&amp;'Общие данные'!B15&amp;""</f>
        <v>Tug'ilgan kuni: 14.09.1989 y</v>
      </c>
      <c r="B7" s="291"/>
      <c r="C7" s="291"/>
      <c r="D7" s="291"/>
    </row>
    <row r="8" spans="1:4" ht="33" customHeight="1">
      <c r="A8" s="291" t="str">
        <f>"Pasport seriyasi: "&amp;'Общие данные'!B16&amp;" "&amp;'Общие данные'!B20&amp;""</f>
        <v>Pasport seriyasi: AA 9481167 BUXORO VILOYATI BUXORO SHAHAR IIB tomonidan 24.04.2015 yilda berilgan</v>
      </c>
      <c r="B8" s="291"/>
      <c r="C8" s="291"/>
      <c r="D8" s="291"/>
    </row>
    <row r="9" spans="1:4" ht="16.5" customHeight="1">
      <c r="A9" s="291" t="str">
        <f>"Asosiy ish joyi : "&amp;'Общие данные'!B58&amp;""</f>
        <v>Asosiy ish joyi : Yakka tartibdagi tadbirkor</v>
      </c>
      <c r="B9" s="291"/>
      <c r="C9" s="291"/>
      <c r="D9" s="291"/>
    </row>
    <row r="10" spans="1:4" ht="15.75" customHeight="1">
      <c r="A10" s="291" t="str">
        <f>"Lavozimi: "&amp;'Общие данные'!B59&amp;""</f>
        <v>Lavozimi: Yakka tartibdagi tadbirkor</v>
      </c>
      <c r="B10" s="291"/>
      <c r="C10" s="291"/>
      <c r="D10" s="291"/>
    </row>
    <row r="11" spans="1:4">
      <c r="A11" s="291" t="str">
        <f>"O’rtacha oylik daromadi: "&amp;FIXED('Общие данные'!B60,2)&amp;" so'm."</f>
        <v>O’rtacha oylik daromadi: 10 000 000,00 so'm.</v>
      </c>
      <c r="B11" s="291"/>
      <c r="C11" s="291"/>
      <c r="D11" s="291"/>
    </row>
    <row r="12" spans="1:4">
      <c r="A12" s="291" t="str">
        <f>"Menga quyidagi shartlarda "&amp;'Общие данные'!B65&amp;" berishingizni so’rayman:"</f>
        <v>Menga quyidagi shartlarda mikroqarz berishingizni so’rayman:</v>
      </c>
      <c r="B12" s="291"/>
      <c r="C12" s="291"/>
      <c r="D12" s="291"/>
    </row>
    <row r="13" spans="1:4">
      <c r="A13" s="291" t="str">
        <f>""&amp;'Общие данные'!C64&amp;" summasi: "&amp;FIXED('Общие данные'!B75,2)&amp;" ("&amp;'Общие данные'!B76&amp;") so'm."</f>
        <v>Mikroqarz summasi: 27 000 000,00 (yigirma yetti million so'm) so'm.</v>
      </c>
      <c r="B13" s="291"/>
      <c r="C13" s="291"/>
      <c r="D13" s="291"/>
    </row>
    <row r="14" spans="1:4">
      <c r="A14" s="291" t="str">
        <f>""&amp;'Общие данные'!C64&amp;" muddati: "&amp;'Общие данные'!B81&amp;" ("&amp;'Общие данные'!B82&amp;") oy."</f>
        <v>Mikroqarz muddati: 36 (o'ttiz olti) oy.</v>
      </c>
      <c r="B14" s="291"/>
      <c r="C14" s="291"/>
      <c r="D14" s="291"/>
    </row>
    <row r="15" spans="1:4" ht="17.25" customHeight="1">
      <c r="A15" s="291" t="str">
        <f>""&amp;'Общие данные'!C64&amp;"dan foydalanganlik uchun foiz stavkasi: yillik  "&amp;'Общие данные'!B85&amp;"% ("&amp;'Общие данные'!B86&amp;") foiz"</f>
        <v>Mikroqarzdan foydalanganlik uchun foiz stavkasi: yillik  60% (Oltmish) foiz</v>
      </c>
      <c r="B15" s="291"/>
      <c r="C15" s="291"/>
      <c r="D15" s="291"/>
    </row>
    <row r="16" spans="1:4">
      <c r="A16" s="291" t="str">
        <f>""&amp;'Общие данные'!C64&amp;" bo'yicha asosiy qarz va foizlarni to'lash:"</f>
        <v>Mikroqarz bo'yicha asosiy qarz va foizlarni to'lash:</v>
      </c>
      <c r="B16" s="291"/>
      <c r="C16" s="291"/>
      <c r="D16" s="291"/>
    </row>
    <row r="17" spans="1:5" ht="20.25" hidden="1" customHeight="1">
      <c r="A17" s="292" t="str">
        <f>" - "&amp;'Общие данные'!B65&amp;" shartnomasi bo'yicha har oy differensial to'lovlari amalga oshiriladi"</f>
        <v xml:space="preserve"> - mikroqarz shartnomasi bo'yicha har oy differensial to'lovlari amalga oshiriladi</v>
      </c>
      <c r="B17" s="292"/>
      <c r="C17" s="292"/>
      <c r="D17" s="292"/>
    </row>
    <row r="18" spans="1:5" ht="33.75" hidden="1" customHeight="1">
      <c r="A18" s="292" t="str">
        <f>" - "&amp;'Общие данные'!B65&amp;" shartnomasi bo'yicha har oy annuitet to'lovlari amalga oshiriladi"</f>
        <v xml:space="preserve"> - mikroqarz shartnomasi bo'yicha har oy annuitet to'lovlari amalga oshiriladi</v>
      </c>
      <c r="B18" s="292"/>
      <c r="C18" s="292"/>
      <c r="D18" s="292"/>
    </row>
    <row r="19" spans="1:5" ht="33.75" customHeight="1">
      <c r="A19" s="292"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2"/>
      <c r="C19" s="292"/>
      <c r="D19" s="292"/>
    </row>
    <row r="20" spans="1:5" ht="33.75" hidden="1" customHeight="1">
      <c r="A20" s="291" t="str">
        <f>IF(DAY('Общие данные'!E67)&lt;15,"   ","  Oxirgi yakuniy to'lov "&amp;'Общие данные'!B65&amp;" shartnomasi tuzilgan kundan boshlab oxirgi oyning oxirgi kunida amalga oshiriladi")</f>
        <v xml:space="preserve">   </v>
      </c>
      <c r="B20" s="291"/>
      <c r="C20" s="291"/>
      <c r="D20" s="291"/>
    </row>
    <row r="21" spans="1:5">
      <c r="A21" s="291" t="str">
        <f>""&amp;'Общие данные'!C64&amp;" ta’minoti::"</f>
        <v>Mikroqarz ta’minoti::</v>
      </c>
      <c r="B21" s="291"/>
      <c r="C21" s="291"/>
      <c r="D21" s="291"/>
    </row>
    <row r="22" spans="1:5" ht="72.75" customHeight="1">
      <c r="A22" s="292"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2"/>
      <c r="C22" s="292"/>
      <c r="D22" s="292"/>
    </row>
    <row r="23" spans="1:5" ht="79.5" hidden="1" customHeight="1">
      <c r="A23" s="292"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2"/>
      <c r="C23" s="292"/>
      <c r="D23" s="292"/>
    </row>
    <row r="24" spans="1:5" ht="96.75" hidden="1" customHeight="1">
      <c r="A24" s="292"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2"/>
      <c r="C24" s="292"/>
      <c r="D24" s="292"/>
      <c r="E24" s="154"/>
    </row>
    <row r="25" spans="1:5" ht="92.25" hidden="1" customHeight="1">
      <c r="A25" s="292"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2"/>
      <c r="C25" s="292"/>
      <c r="D25" s="292"/>
    </row>
    <row r="26" spans="1:5" ht="78" hidden="1" customHeight="1">
      <c r="A26" s="292"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2"/>
      <c r="C26" s="292"/>
      <c r="D26" s="292"/>
    </row>
    <row r="27" spans="1:5" ht="93" hidden="1" customHeight="1">
      <c r="A27" s="292"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2"/>
      <c r="C27" s="292"/>
      <c r="D27" s="292"/>
    </row>
    <row r="28" spans="1:5" ht="93.75" hidden="1" customHeight="1">
      <c r="A28" s="292"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2"/>
      <c r="C28" s="292"/>
      <c r="D28" s="292"/>
    </row>
    <row r="29" spans="1:5" ht="10.5" customHeight="1">
      <c r="A29" s="291"/>
      <c r="B29" s="291"/>
      <c r="C29" s="291"/>
      <c r="D29" s="291"/>
    </row>
    <row r="30" spans="1:5" ht="53.25" customHeight="1">
      <c r="A30" s="292"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2"/>
      <c r="C30" s="292"/>
      <c r="D30" s="292"/>
    </row>
    <row r="31" spans="1:5" ht="15.75" customHeight="1">
      <c r="A31" s="292" t="s">
        <v>249</v>
      </c>
      <c r="B31" s="292"/>
      <c r="C31" s="292"/>
      <c r="D31" s="292"/>
    </row>
    <row r="32" spans="1:5">
      <c r="A32" s="292" t="s">
        <v>250</v>
      </c>
      <c r="B32" s="292"/>
      <c r="C32" s="292"/>
      <c r="D32" s="292"/>
    </row>
    <row r="33" spans="1:4">
      <c r="A33" s="292" t="s">
        <v>251</v>
      </c>
      <c r="B33" s="292"/>
      <c r="C33" s="292"/>
      <c r="D33" s="292"/>
    </row>
    <row r="34" spans="1:4">
      <c r="A34" s="291" t="str">
        <f>"Ariza berilgan sana: "&amp;TEXT('Общие данные'!B2,"ДД.ММ.ГГГГ")&amp;"y."</f>
        <v>Ariza berilgan sana: 11.03.2025y.</v>
      </c>
      <c r="B34" s="291"/>
      <c r="C34" s="291"/>
      <c r="D34" s="291"/>
    </row>
    <row r="35" spans="1:4">
      <c r="A35" s="291"/>
      <c r="B35" s="291"/>
      <c r="C35" s="291"/>
      <c r="D35" s="291"/>
    </row>
    <row r="36" spans="1:4">
      <c r="A36" s="291" t="s">
        <v>252</v>
      </c>
      <c r="B36" s="291"/>
      <c r="C36" s="291"/>
      <c r="D36" s="291"/>
    </row>
    <row r="37" spans="1:4">
      <c r="A37" s="291"/>
      <c r="B37" s="291"/>
      <c r="C37" s="291"/>
      <c r="D37" s="291"/>
    </row>
    <row r="38" spans="1:4">
      <c r="A38" s="291"/>
      <c r="B38" s="291"/>
      <c r="C38" s="291"/>
      <c r="D38" s="291"/>
    </row>
    <row r="39" spans="1:4" ht="15.75" customHeight="1">
      <c r="A39" s="293" t="str">
        <f>'Общие данные'!B5</f>
        <v>NUTFULLAYEV AKBARJON AXMEDOVICH</v>
      </c>
      <c r="B39" s="293"/>
      <c r="C39" s="293"/>
      <c r="D39" s="11" t="s">
        <v>4</v>
      </c>
    </row>
    <row r="40" spans="1:4">
      <c r="A40" s="10"/>
      <c r="B40" s="10"/>
      <c r="D40" s="12" t="s">
        <v>333</v>
      </c>
    </row>
    <row r="41" spans="1:4">
      <c r="A41" s="291"/>
      <c r="B41" s="291"/>
      <c r="C41" s="291"/>
      <c r="D41" s="291"/>
    </row>
    <row r="42" spans="1:4">
      <c r="A42" s="291"/>
      <c r="B42" s="291"/>
      <c r="C42" s="291"/>
      <c r="D42" s="291"/>
    </row>
    <row r="43" spans="1:4">
      <c r="A43" s="291"/>
      <c r="B43" s="291"/>
      <c r="C43" s="291"/>
      <c r="D43" s="291"/>
    </row>
    <row r="44" spans="1:4">
      <c r="A44" s="291"/>
      <c r="B44" s="291"/>
      <c r="C44" s="291"/>
      <c r="D44" s="291"/>
    </row>
    <row r="45" spans="1:4">
      <c r="A45" s="291"/>
      <c r="B45" s="291"/>
      <c r="C45" s="291"/>
      <c r="D45" s="291"/>
    </row>
    <row r="46" spans="1:4">
      <c r="A46" s="291"/>
      <c r="B46" s="291"/>
      <c r="C46" s="291"/>
      <c r="D46" s="291"/>
    </row>
    <row r="47" spans="1:4">
      <c r="A47" s="291"/>
      <c r="B47" s="291"/>
      <c r="C47" s="291"/>
      <c r="D47" s="291"/>
    </row>
    <row r="48" spans="1:4">
      <c r="A48" s="291"/>
      <c r="B48" s="291"/>
      <c r="C48" s="291"/>
      <c r="D48" s="291"/>
    </row>
    <row r="49" spans="1:4">
      <c r="A49" s="291"/>
      <c r="B49" s="291"/>
      <c r="C49" s="291"/>
      <c r="D49" s="291"/>
    </row>
    <row r="50" spans="1:4">
      <c r="A50" s="291"/>
      <c r="B50" s="291"/>
      <c r="C50" s="291"/>
      <c r="D50" s="291"/>
    </row>
    <row r="51" spans="1:4">
      <c r="A51" s="291"/>
      <c r="B51" s="291"/>
      <c r="C51" s="291"/>
      <c r="D51" s="291"/>
    </row>
    <row r="52" spans="1:4">
      <c r="A52" s="291"/>
      <c r="B52" s="291"/>
      <c r="C52" s="291"/>
      <c r="D52" s="291"/>
    </row>
    <row r="53" spans="1:4">
      <c r="A53" s="291"/>
      <c r="B53" s="291"/>
      <c r="C53" s="291"/>
      <c r="D53" s="291"/>
    </row>
    <row r="54" spans="1:4">
      <c r="A54" s="291"/>
      <c r="B54" s="291"/>
      <c r="C54" s="291"/>
      <c r="D54" s="291"/>
    </row>
    <row r="55" spans="1:4">
      <c r="A55" s="291"/>
      <c r="B55" s="291"/>
      <c r="C55" s="291"/>
      <c r="D55" s="291"/>
    </row>
    <row r="56" spans="1:4">
      <c r="A56" s="291"/>
      <c r="B56" s="291"/>
      <c r="C56" s="291"/>
      <c r="D56" s="291"/>
    </row>
    <row r="57" spans="1:4">
      <c r="A57" s="291"/>
      <c r="B57" s="291"/>
      <c r="C57" s="291"/>
      <c r="D57" s="291"/>
    </row>
    <row r="58" spans="1:4">
      <c r="A58" s="291"/>
      <c r="B58" s="291"/>
      <c r="C58" s="291"/>
      <c r="D58" s="291"/>
    </row>
    <row r="59" spans="1:4">
      <c r="A59" s="291"/>
      <c r="B59" s="291"/>
      <c r="C59" s="291"/>
      <c r="D59" s="291"/>
    </row>
    <row r="60" spans="1:4">
      <c r="A60" s="291"/>
      <c r="B60" s="291"/>
      <c r="C60" s="291"/>
      <c r="D60" s="291"/>
    </row>
    <row r="61" spans="1:4">
      <c r="A61" s="291"/>
      <c r="B61" s="291"/>
      <c r="C61" s="291"/>
      <c r="D61" s="291"/>
    </row>
    <row r="62" spans="1:4">
      <c r="A62" s="291"/>
      <c r="B62" s="291"/>
      <c r="C62" s="291"/>
      <c r="D62" s="291"/>
    </row>
    <row r="63" spans="1:4">
      <c r="A63" s="291"/>
      <c r="B63" s="291"/>
      <c r="C63" s="291"/>
      <c r="D63" s="291"/>
    </row>
    <row r="64" spans="1:4">
      <c r="A64" s="291"/>
      <c r="B64" s="291"/>
      <c r="C64" s="291"/>
      <c r="D64" s="291"/>
    </row>
    <row r="65" spans="1:4">
      <c r="A65" s="291"/>
      <c r="B65" s="291"/>
      <c r="C65" s="291"/>
      <c r="D65" s="291"/>
    </row>
    <row r="66" spans="1:4">
      <c r="A66" s="291"/>
      <c r="B66" s="291"/>
      <c r="C66" s="291"/>
      <c r="D66" s="291"/>
    </row>
    <row r="67" spans="1:4">
      <c r="A67" s="291"/>
      <c r="B67" s="291"/>
      <c r="C67" s="291"/>
      <c r="D67" s="291"/>
    </row>
    <row r="68" spans="1:4">
      <c r="A68" s="291"/>
      <c r="B68" s="291"/>
      <c r="C68" s="291"/>
      <c r="D68" s="291"/>
    </row>
    <row r="69" spans="1:4">
      <c r="A69" s="291"/>
      <c r="B69" s="291"/>
      <c r="C69" s="291"/>
      <c r="D69" s="291"/>
    </row>
    <row r="70" spans="1:4">
      <c r="A70" s="291"/>
      <c r="B70" s="291"/>
      <c r="C70" s="291"/>
      <c r="D70" s="291"/>
    </row>
    <row r="71" spans="1:4">
      <c r="A71" s="291"/>
      <c r="B71" s="291"/>
      <c r="C71" s="291"/>
      <c r="D71" s="291"/>
    </row>
    <row r="72" spans="1:4">
      <c r="A72" s="291"/>
      <c r="B72" s="291"/>
      <c r="C72" s="291"/>
      <c r="D72" s="291"/>
    </row>
    <row r="73" spans="1:4">
      <c r="A73" s="291"/>
      <c r="B73" s="291"/>
      <c r="C73" s="291"/>
      <c r="D73" s="291"/>
    </row>
    <row r="74" spans="1:4">
      <c r="A74" s="291"/>
      <c r="B74" s="291"/>
      <c r="C74" s="291"/>
      <c r="D74" s="291"/>
    </row>
    <row r="75" spans="1:4">
      <c r="A75" s="291"/>
      <c r="B75" s="291"/>
      <c r="C75" s="291"/>
      <c r="D75" s="291"/>
    </row>
    <row r="76" spans="1:4">
      <c r="A76" s="291"/>
      <c r="B76" s="291"/>
      <c r="C76" s="291"/>
      <c r="D76" s="291"/>
    </row>
    <row r="77" spans="1:4">
      <c r="A77" s="291"/>
      <c r="B77" s="291"/>
      <c r="C77" s="291"/>
      <c r="D77" s="291"/>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4" t="s">
        <v>215</v>
      </c>
      <c r="B3" s="294"/>
    </row>
    <row r="4" spans="1:2" ht="92.25" customHeight="1">
      <c r="A4" s="232"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-SR-sonli shartnomaning garov ta'minoti sifatida taqdim etilayotgan mulk CHANGAN CHANGAN SC 1027SB rusumli avtotransport vositasini qonunga xilof ravishda o‘zlashtirmaslikka, yashirmaslikka, nobud qilmaslikka yoki unga shikast yetkazmaslik majburiyatini olaman.</v>
      </c>
      <c r="B4" s="232"/>
    </row>
    <row r="5" spans="1:2" ht="56.25" customHeight="1">
      <c r="A5" s="295" t="s">
        <v>216</v>
      </c>
      <c r="B5" s="295"/>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1" zoomScaleSheetLayoutView="100" workbookViewId="0">
      <selection activeCell="D51" sqref="D51"/>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59" t="str">
        <f>""&amp;'Общие данные'!B147&amp;"
mikromoliya tashkilotining Xulosasi"</f>
        <v>«CLEVER MIKROMOLIYA TASHKILOTI» MChJ
mikromoliya tashkilotining Xulosasi</v>
      </c>
      <c r="B1" s="259"/>
      <c r="C1" s="259"/>
      <c r="D1" s="259"/>
      <c r="E1" s="259"/>
    </row>
    <row r="2" spans="1:5">
      <c r="A2" s="232"/>
      <c r="B2" s="232"/>
      <c r="C2" s="232"/>
      <c r="D2" s="232"/>
      <c r="E2" s="232"/>
    </row>
    <row r="3" spans="1:5">
      <c r="A3" s="259" t="s">
        <v>204</v>
      </c>
      <c r="B3" s="259"/>
      <c r="C3" s="259"/>
      <c r="D3" s="259"/>
      <c r="E3" s="259"/>
    </row>
    <row r="4" spans="1:5" ht="19.5" customHeight="1">
      <c r="A4" s="232" t="str">
        <f>"Mijozning to'liq ismi sharifi: "&amp;'Общие данные'!B5&amp;""</f>
        <v>Mijozning to'liq ismi sharifi: NUTFULLAYEV AKBARJON AXMEDOVICH</v>
      </c>
      <c r="B4" s="232"/>
      <c r="C4" s="232"/>
      <c r="D4" s="232"/>
      <c r="E4" s="232"/>
    </row>
    <row r="5" spans="1:5">
      <c r="A5" s="232" t="str">
        <f>"Tug'ilgan sanasi: "&amp;'Общие данные'!B15&amp;""</f>
        <v>Tug'ilgan sanasi: 14.09.1989 y</v>
      </c>
      <c r="B5" s="232"/>
      <c r="C5" s="232"/>
      <c r="D5" s="232"/>
      <c r="E5" s="232"/>
    </row>
    <row r="6" spans="1:5" ht="31.5" customHeight="1">
      <c r="A6" s="232"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2"/>
      <c r="C6" s="232"/>
      <c r="D6" s="232"/>
      <c r="E6" s="232"/>
    </row>
    <row r="7" spans="1:5" ht="39.75" customHeight="1">
      <c r="A7" s="232" t="str">
        <f>"Ro‘yxatdan o‘tgan manzili: "&amp;'Общие данные'!B28&amp;", mo'ljal: "&amp;'Общие данные'!B26&amp;""</f>
        <v>Ro‘yxatdan o‘tgan manzili: BUXORO VILOYATI BUXORO SHAHAR TADBIRKOR KO'CHASI 12-UY, mo'ljal: GOR VODAKANAL</v>
      </c>
      <c r="B7" s="232"/>
      <c r="C7" s="232"/>
      <c r="D7" s="232"/>
      <c r="E7" s="232"/>
    </row>
    <row r="8" spans="1:5" ht="26.25" customHeight="1">
      <c r="A8" s="232" t="str">
        <f>"Ish joyi: "&amp;'Общие данные'!B52&amp;" lavozimi "&amp;'Общие данные'!B49&amp;"da "&amp;'Общие данные'!B44&amp;""</f>
        <v>Ish joyi:  lavozimi Yakka tartibdagi tadbirkorda Yakka tartibdagi tadbirkor</v>
      </c>
      <c r="B8" s="232"/>
      <c r="C8" s="232"/>
      <c r="D8" s="232"/>
      <c r="E8" s="232"/>
    </row>
    <row r="9" spans="1:5">
      <c r="A9" s="232"/>
      <c r="B9" s="232"/>
      <c r="C9" s="232"/>
      <c r="D9" s="232"/>
      <c r="E9" s="232"/>
    </row>
    <row r="10" spans="1:5">
      <c r="A10" s="259" t="str">
        <f>"Mijoz tomonidan so’ralgan "&amp;'Общие данные'!B65&amp;" shartlari:"</f>
        <v>Mijoz tomonidan so’ralgan mikroqarz shartlari:</v>
      </c>
      <c r="B10" s="259"/>
      <c r="C10" s="259"/>
      <c r="D10" s="259"/>
      <c r="E10" s="259"/>
    </row>
    <row r="11" spans="1:5">
      <c r="A11" s="232" t="str">
        <f>'Кредитная заявка'!A13:D13</f>
        <v>Mikroqarz summasi: 27 000 000,00 (yigirma yetti million so'm) so'm.</v>
      </c>
      <c r="B11" s="232"/>
      <c r="C11" s="232"/>
      <c r="D11" s="232"/>
      <c r="E11" s="232"/>
    </row>
    <row r="12" spans="1:5">
      <c r="A12" s="232" t="str">
        <f>'Кредитная заявка'!A14:D14</f>
        <v>Mikroqarz muddati: 36 (o'ttiz olti) oy.</v>
      </c>
      <c r="B12" s="232"/>
      <c r="C12" s="232"/>
      <c r="D12" s="232"/>
      <c r="E12" s="232"/>
    </row>
    <row r="13" spans="1:5">
      <c r="A13" s="232" t="str">
        <f>'Кредитная заявка'!A15:D15</f>
        <v>Mikroqarzdan foydalanganlik uchun foiz stavkasi: yillik  60% (Oltmish) foiz</v>
      </c>
      <c r="B13" s="232"/>
      <c r="C13" s="232"/>
      <c r="D13" s="232"/>
      <c r="E13" s="232"/>
    </row>
    <row r="14" spans="1:5">
      <c r="A14" s="232" t="str">
        <f>'Кредитная заявка'!A16:D16</f>
        <v>Mikroqarz bo'yicha asosiy qarz va foizlarni to'lash:</v>
      </c>
      <c r="B14" s="232"/>
      <c r="C14" s="232"/>
      <c r="D14" s="232"/>
      <c r="E14" s="232"/>
    </row>
    <row r="15" spans="1:5" ht="18.75" customHeight="1">
      <c r="A15" s="232" t="str">
        <f>'Кредитная заявка'!A19:D19</f>
        <v xml:space="preserve"> - mikroqarz shartnomasi bo'yicha har oy differensial to'lovlari amalga oshiriladi</v>
      </c>
      <c r="B15" s="232"/>
      <c r="C15" s="232"/>
      <c r="D15" s="232"/>
      <c r="E15" s="232"/>
    </row>
    <row r="16" spans="1:5" ht="14.25" customHeight="1">
      <c r="A16" s="235" t="str">
        <f>'Кредитная заявка'!A20:D20</f>
        <v xml:space="preserve">   </v>
      </c>
      <c r="B16" s="235"/>
      <c r="C16" s="235"/>
      <c r="D16" s="235"/>
      <c r="E16" s="235"/>
    </row>
    <row r="17" spans="1:5">
      <c r="A17" s="232" t="str">
        <f>'Кредитная заявка'!A21:D21</f>
        <v>Mikroqarz ta’minoti::</v>
      </c>
      <c r="B17" s="232"/>
      <c r="C17" s="232"/>
      <c r="D17" s="232"/>
      <c r="E17" s="232"/>
    </row>
    <row r="18" spans="1:5" ht="83.25" customHeight="1">
      <c r="A18" s="232"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2"/>
      <c r="C18" s="232"/>
      <c r="D18" s="232"/>
      <c r="E18" s="232"/>
    </row>
    <row r="19" spans="1:5">
      <c r="A19" s="259" t="s">
        <v>205</v>
      </c>
      <c r="B19" s="259"/>
      <c r="C19" s="259"/>
      <c r="D19" s="259"/>
      <c r="E19" s="259"/>
    </row>
    <row r="20" spans="1:5" ht="21" customHeight="1">
      <c r="A20" s="232" t="str">
        <f>"Anketaga muvofiq "&amp;'Общие данные'!B9&amp;"ning o‘rtacha oylik daromadi  "&amp;FIXED('Общие данные'!B60)&amp;" so‘mni tashkil etdi."</f>
        <v>Anketaga muvofiq NUTFULLAYEV A.A.ning o‘rtacha oylik daromadi  10 000 000,00 so‘mni tashkil etdi.</v>
      </c>
      <c r="B20" s="232"/>
      <c r="C20" s="232"/>
      <c r="D20" s="232"/>
      <c r="E20" s="232"/>
    </row>
    <row r="21" spans="1:5" ht="27" customHeight="1">
      <c r="A21" s="232" t="str">
        <f>"Mijozning o'rtacha oylik xarajatlari "&amp;FIXED('Анкета Клиента'!F27)&amp;" so'mni tashkil etdi"</f>
        <v>Mijozning o'rtacha oylik xarajatlari 1 650 000,00 so'mni tashkil etdi</v>
      </c>
      <c r="B21" s="232"/>
      <c r="C21" s="232"/>
      <c r="D21" s="232"/>
      <c r="E21" s="232"/>
    </row>
    <row r="22" spans="1:5" ht="24.75" customHeight="1">
      <c r="A22" s="232" t="str">
        <f>IF('Общие данные'!B77='Общие данные'!C77,'Заключение КК'!A23:E23,'Заключение КК'!A24:E24)</f>
        <v>Mikroqarz shartnomasi bo'yicha birinchi oy uchun to'lov 2 051 917,76 so'mni tashkil etadi.</v>
      </c>
      <c r="B22" s="232"/>
      <c r="C22" s="232"/>
      <c r="D22" s="232"/>
      <c r="E22" s="232"/>
    </row>
    <row r="23" spans="1:5" ht="19.5" hidden="1" customHeight="1">
      <c r="A23" s="232" t="str">
        <f>""&amp;'Общие данные'!C64&amp;" shartnomasi bo'yicha birinchi oy uchun to'lov "&amp;FIXED('Общие данные'!B90)&amp;" so'mni tashkil etadi."</f>
        <v>Mikroqarz shartnomasi bo'yicha birinchi oy uchun to'lov 2 051 917,76 so'mni tashkil etadi.</v>
      </c>
      <c r="B23" s="232"/>
      <c r="C23" s="232"/>
      <c r="D23" s="232"/>
      <c r="E23" s="232"/>
    </row>
    <row r="24" spans="1:5" ht="19.5" hidden="1" customHeight="1">
      <c r="A24" s="232" t="str">
        <f>""&amp;'Общие данные'!C64&amp;" bo‘yicha oylik "&amp;'Общие данные'!B77&amp;" to‘lovi miqdori "&amp;FIXED('Общие данные'!B90)&amp;" so‘mni tashkil etadi."</f>
        <v>Mikroqarz bo‘yicha oylik differensial to‘lovi miqdori 2 051 917,76 so‘mni tashkil etadi.</v>
      </c>
      <c r="B24" s="232"/>
      <c r="C24" s="232"/>
      <c r="D24" s="232"/>
      <c r="E24" s="232"/>
    </row>
    <row r="25" spans="1:5" ht="56.25" hidden="1" customHeight="1">
      <c r="A25" s="235" t="s">
        <v>402</v>
      </c>
      <c r="B25" s="235"/>
      <c r="C25" s="235"/>
      <c r="D25" s="235"/>
      <c r="E25" s="235"/>
    </row>
    <row r="26" spans="1:5">
      <c r="A26" s="259" t="str">
        <f>""&amp;'Общие данные'!C64&amp;" bo’yicha ta’minot:"</f>
        <v>Mikroqarz bo’yicha ta’minot:</v>
      </c>
      <c r="B26" s="259"/>
      <c r="C26" s="259"/>
      <c r="D26" s="259"/>
      <c r="E26" s="259"/>
    </row>
    <row r="27" spans="1:5" ht="31.5" hidden="1" customHeight="1">
      <c r="A27" s="232"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2"/>
      <c r="C27" s="232"/>
      <c r="D27" s="232"/>
      <c r="E27" s="232"/>
    </row>
    <row r="28" spans="1:5" ht="67.5" hidden="1" customHeight="1">
      <c r="A28" s="232"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2"/>
      <c r="C28" s="232"/>
      <c r="D28" s="232"/>
      <c r="E28" s="232"/>
    </row>
    <row r="29" spans="1:5" ht="44.25" customHeight="1">
      <c r="A29" s="232"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2"/>
      <c r="C29" s="232"/>
      <c r="D29" s="232"/>
      <c r="E29" s="232"/>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2" t="str">
        <f>'Акт согласования'!A22</f>
        <v>-* avtotransport egasi: NUTFULLAYEV AKBARJON AXMEDOVICH</v>
      </c>
      <c r="B32" s="232"/>
      <c r="C32" s="232"/>
      <c r="D32" s="232"/>
      <c r="E32" s="232"/>
    </row>
    <row r="33" spans="1:5" ht="15" customHeight="1" outlineLevel="1">
      <c r="A33" s="232" t="str">
        <f>'Акт согласования'!A23</f>
        <v>-* texnik pasport: AAG   2346592  13.09.2023y</v>
      </c>
      <c r="B33" s="232"/>
      <c r="C33" s="232"/>
      <c r="D33" s="232"/>
      <c r="E33" s="232"/>
    </row>
    <row r="34" spans="1:5" ht="33" customHeight="1" outlineLevel="1">
      <c r="A34" s="232" t="str">
        <f>'Акт согласования'!A24</f>
        <v>-* roʻyxatdan oʻtgan manzili/garaj manzili: BUXORO VILOYATI BUXORO SHAHAR TADBIRKOR KO'CHASI 12-UY</v>
      </c>
      <c r="B34" s="232"/>
      <c r="C34" s="232"/>
      <c r="D34" s="232"/>
      <c r="E34" s="232"/>
    </row>
    <row r="35" spans="1:5" ht="15" customHeight="1" outlineLevel="1">
      <c r="A35" s="232" t="str">
        <f>'Акт согласования'!A25</f>
        <v>-* davlat raqami: 80T312WA</v>
      </c>
      <c r="B35" s="232"/>
      <c r="C35" s="232"/>
      <c r="D35" s="232"/>
      <c r="E35" s="232"/>
    </row>
    <row r="36" spans="1:5" ht="9" customHeight="1">
      <c r="A36" s="232"/>
      <c r="B36" s="232"/>
      <c r="C36" s="232"/>
      <c r="D36" s="232"/>
      <c r="E36" s="232"/>
    </row>
    <row r="37" spans="1:5" ht="39" customHeight="1">
      <c r="A37" s="259" t="str">
        <f>""&amp;'Общие данные'!B147&amp;"
mikromoliya tashkilotining Xulosasi"</f>
        <v>«CLEVER MIKROMOLIYA TASHKILOTI» MChJ
mikromoliya tashkilotining Xulosasi</v>
      </c>
      <c r="B37" s="259"/>
      <c r="C37" s="259"/>
      <c r="D37" s="259"/>
      <c r="E37" s="259"/>
    </row>
    <row r="38" spans="1:5" ht="48" customHeight="1">
      <c r="A38" s="232"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2"/>
      <c r="C38" s="232"/>
      <c r="D38" s="232"/>
      <c r="E38" s="232"/>
    </row>
    <row r="39" spans="1:5">
      <c r="A39" s="232" t="str">
        <f>A11</f>
        <v>Mikroqarz summasi: 27 000 000,00 (yigirma yetti million so'm) so'm.</v>
      </c>
      <c r="B39" s="232"/>
      <c r="C39" s="232"/>
      <c r="D39" s="232"/>
      <c r="E39" s="232"/>
    </row>
    <row r="40" spans="1:5">
      <c r="A40" s="232" t="str">
        <f t="shared" ref="A40:A46" si="0">A12</f>
        <v>Mikroqarz muddati: 36 (o'ttiz olti) oy.</v>
      </c>
      <c r="B40" s="232"/>
      <c r="C40" s="232"/>
      <c r="D40" s="232"/>
      <c r="E40" s="232"/>
    </row>
    <row r="41" spans="1:5">
      <c r="A41" s="232" t="str">
        <f t="shared" si="0"/>
        <v>Mikroqarzdan foydalanganlik uchun foiz stavkasi: yillik  60% (Oltmish) foiz</v>
      </c>
      <c r="B41" s="232"/>
      <c r="C41" s="232"/>
      <c r="D41" s="232"/>
      <c r="E41" s="232"/>
    </row>
    <row r="42" spans="1:5">
      <c r="A42" s="232" t="str">
        <f t="shared" si="0"/>
        <v>Mikroqarz bo'yicha asosiy qarz va foizlarni to'lash:</v>
      </c>
      <c r="B42" s="232"/>
      <c r="C42" s="232"/>
      <c r="D42" s="232"/>
      <c r="E42" s="232"/>
    </row>
    <row r="43" spans="1:5" ht="20.25" customHeight="1">
      <c r="A43" s="232" t="str">
        <f t="shared" si="0"/>
        <v xml:space="preserve"> - mikroqarz shartnomasi bo'yicha har oy differensial to'lovlari amalga oshiriladi</v>
      </c>
      <c r="B43" s="232"/>
      <c r="C43" s="232"/>
      <c r="D43" s="232"/>
      <c r="E43" s="232"/>
    </row>
    <row r="44" spans="1:5" ht="26.25" customHeight="1">
      <c r="A44" s="232" t="str">
        <f t="shared" si="0"/>
        <v xml:space="preserve">   </v>
      </c>
      <c r="B44" s="232"/>
      <c r="C44" s="232"/>
      <c r="D44" s="232"/>
      <c r="E44" s="232"/>
    </row>
    <row r="45" spans="1:5">
      <c r="A45" s="232" t="str">
        <f t="shared" si="0"/>
        <v>Mikroqarz ta’minoti::</v>
      </c>
      <c r="B45" s="232"/>
      <c r="C45" s="232"/>
      <c r="D45" s="232"/>
      <c r="E45" s="232"/>
    </row>
    <row r="46" spans="1:5" ht="72" customHeight="1">
      <c r="A46" s="232"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2"/>
      <c r="C46" s="232"/>
      <c r="D46" s="232"/>
      <c r="E46" s="232"/>
    </row>
    <row r="47" spans="1:5">
      <c r="A47" s="232"/>
      <c r="B47" s="232"/>
      <c r="C47" s="232"/>
      <c r="D47" s="232"/>
      <c r="E47" s="232"/>
    </row>
    <row r="48" spans="1:5" ht="36.75" customHeight="1">
      <c r="A48" s="232" t="str">
        <f>""&amp;'Общие данные'!B147&amp;" mikromoliya tashkilotining xulosasi  "&amp;TEXT('Общие данные'!B2,"ДД.ММ.ГГГГ")&amp;" y. tayyorlangan"</f>
        <v>«CLEVER MIKROMOLIYA TASHKILOTI» MChJ mikromoliya tashkilotining xulosasi  11.03.2025 y. tayyorlangan</v>
      </c>
      <c r="B48" s="232"/>
      <c r="C48" s="232"/>
      <c r="D48" s="232"/>
      <c r="E48" s="232"/>
    </row>
    <row r="49" spans="1:5">
      <c r="A49" s="232"/>
      <c r="B49" s="232"/>
      <c r="C49" s="232"/>
      <c r="D49" s="232"/>
      <c r="E49" s="232"/>
    </row>
    <row r="50" spans="1:5" ht="15.75" customHeight="1">
      <c r="A50" s="235"/>
      <c r="B50" s="235"/>
      <c r="C50" s="235"/>
      <c r="D50" s="22"/>
      <c r="E50" s="23"/>
    </row>
    <row r="51" spans="1:5" ht="35.25" customHeight="1">
      <c r="A51" s="132" t="str">
        <f>'Общие данные'!A150</f>
        <v>Surxondaryo filiali boshlig'i</v>
      </c>
      <c r="B51" s="221"/>
      <c r="C51" s="221"/>
      <c r="D51" s="132" t="str">
        <f>'Общие данные'!B150</f>
        <v>A.PARDAYEV</v>
      </c>
      <c r="E51" s="23"/>
    </row>
    <row r="52" spans="1:5">
      <c r="A52" s="232"/>
      <c r="B52" s="232"/>
      <c r="C52" s="232"/>
      <c r="D52" s="232"/>
      <c r="E52" s="232"/>
    </row>
    <row r="53" spans="1:5" ht="47.25" customHeight="1">
      <c r="A53" s="232"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2"/>
      <c r="C53" s="232"/>
      <c r="D53" s="232"/>
      <c r="E53" s="232"/>
    </row>
    <row r="54" spans="1:5">
      <c r="A54" s="19"/>
      <c r="B54" s="19"/>
      <c r="C54" s="19"/>
      <c r="D54" s="19"/>
      <c r="E54" s="19"/>
    </row>
    <row r="55" spans="1:5">
      <c r="A55" s="224" t="s">
        <v>431</v>
      </c>
      <c r="B55" s="225"/>
      <c r="C55" s="222"/>
      <c r="D55" s="353" t="s">
        <v>432</v>
      </c>
      <c r="E55" s="225"/>
    </row>
    <row r="56" spans="1:5">
      <c r="A56" s="224"/>
      <c r="B56" s="222"/>
      <c r="C56" s="222"/>
      <c r="D56" s="354"/>
      <c r="E56" s="225"/>
    </row>
    <row r="57" spans="1:5" ht="28.5">
      <c r="A57" s="224" t="str">
        <f>'[2]Общие данные'!A159</f>
        <v>Kreditlash bo’limi boshlig’i</v>
      </c>
      <c r="B57" s="225"/>
      <c r="C57" s="225"/>
      <c r="D57" s="353" t="s">
        <v>433</v>
      </c>
      <c r="E57" s="225"/>
    </row>
    <row r="58" spans="1:5">
      <c r="A58" s="224"/>
      <c r="B58" s="223"/>
      <c r="C58" s="225"/>
      <c r="D58" s="353"/>
      <c r="E58" s="225"/>
    </row>
    <row r="59" spans="1:5" ht="29.25" customHeight="1">
      <c r="A59" s="224" t="str">
        <f>'[2]Общие данные'!A160</f>
        <v>Monitoring bo’limi boshlig’i</v>
      </c>
      <c r="B59" s="225"/>
      <c r="C59" s="225"/>
      <c r="D59" s="353" t="s">
        <v>434</v>
      </c>
      <c r="E59" s="225"/>
    </row>
  </sheetData>
  <mergeCells count="50">
    <mergeCell ref="A53:E53"/>
    <mergeCell ref="A38:E38"/>
    <mergeCell ref="A39:E39"/>
    <mergeCell ref="A40:E40"/>
    <mergeCell ref="A41:E41"/>
    <mergeCell ref="A42:E42"/>
    <mergeCell ref="A43:E43"/>
    <mergeCell ref="A44:E44"/>
    <mergeCell ref="A45:E45"/>
    <mergeCell ref="A46:E46"/>
    <mergeCell ref="A47:E47"/>
    <mergeCell ref="A48:E48"/>
    <mergeCell ref="A49:E49"/>
    <mergeCell ref="A52:E52"/>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96" t="str">
        <f>""&amp;'Общие данные'!C64&amp;" shartnoma "&amp;'Общие данные'!B66&amp;""</f>
        <v>Mikroqarz shartnoma № -SR</v>
      </c>
      <c r="B1" s="296"/>
    </row>
    <row r="3" spans="1:3">
      <c r="A3" s="296" t="str">
        <f>"Toshkent shahri                                                                               "&amp;'Общие данные'!B70&amp;""</f>
        <v>Toshkent shahri                                                                               11 mart 2025 y.</v>
      </c>
      <c r="B3" s="296"/>
    </row>
    <row r="4" spans="1:3">
      <c r="A4" s="66"/>
    </row>
    <row r="5" spans="1:3" ht="132.75" customHeight="1">
      <c r="A5" s="297"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Surxondaryo filiali boshlig'i A.PARDAYEV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7"/>
    </row>
    <row r="7" spans="1:3">
      <c r="A7" s="296" t="s">
        <v>264</v>
      </c>
      <c r="B7" s="296"/>
    </row>
    <row r="8" spans="1:3" ht="51.75" customHeight="1">
      <c r="A8" s="297"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7"/>
    </row>
    <row r="9" spans="1:3" ht="36" customHeight="1">
      <c r="A9" s="297"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7"/>
    </row>
    <row r="10" spans="1:3">
      <c r="A10" s="32"/>
    </row>
    <row r="11" spans="1:3">
      <c r="A11" s="300" t="str">
        <f>"2. "&amp;'Общие данные'!D64&amp;" BERISH VA QAYTARISH TARTIBI"</f>
        <v>2. MIKROQARZ BERISH VA QAYTARISH TARTIBI</v>
      </c>
      <c r="B11" s="300"/>
      <c r="C11" s="64"/>
    </row>
    <row r="12" spans="1:3" ht="36" customHeight="1">
      <c r="A12" s="297"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7"/>
    </row>
    <row r="13" spans="1:3" ht="35.25" customHeight="1">
      <c r="A13" s="297"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7"/>
    </row>
    <row r="14" spans="1:3" ht="35.25" customHeight="1">
      <c r="A14" s="297"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7"/>
    </row>
    <row r="15" spans="1:3" ht="69.75" customHeight="1">
      <c r="A15" s="297"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7"/>
    </row>
    <row r="16" spans="1:3" ht="177.75" customHeight="1">
      <c r="A16" s="297" t="s">
        <v>332</v>
      </c>
      <c r="B16" s="297"/>
    </row>
    <row r="17" spans="1:11" ht="161.25" customHeight="1">
      <c r="A17" s="29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7"/>
      <c r="C17" s="154" t="s">
        <v>337</v>
      </c>
      <c r="H17" s="6" t="str">
        <f>'Общие данные'!B65</f>
        <v>mikroqarz</v>
      </c>
      <c r="I17" s="6" t="s">
        <v>338</v>
      </c>
    </row>
    <row r="18" spans="1:11" ht="100.5" customHeight="1">
      <c r="A18" s="299" t="s">
        <v>377</v>
      </c>
      <c r="B18" s="299"/>
    </row>
    <row r="19" spans="1:11" ht="36" customHeight="1">
      <c r="A19" s="297"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7"/>
    </row>
    <row r="20" spans="1:11" ht="48.75" customHeight="1">
      <c r="A20" s="297"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7"/>
    </row>
    <row r="21" spans="1:11" ht="113.25" customHeight="1">
      <c r="A21" s="30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1"/>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0" t="str">
        <f>"3. "&amp;'Общие данные'!D64&amp;" TA'MINOTI BO‘YICHA "</f>
        <v xml:space="preserve">3. MIKROQARZ TA'MINOTI BO‘YICHA </v>
      </c>
      <c r="B22" s="300"/>
    </row>
    <row r="23" spans="1:11" ht="19.5" customHeight="1">
      <c r="A23" s="297" t="str">
        <f>"3.1. Ushbu Shartnoma bo‘yicha taqdim etilgan "&amp;'Общие данные'!C64&amp;" quyidagi garov bilan ta'minlanadi:"</f>
        <v>3.1. Ushbu Shartnoma bo‘yicha taqdim etilgan Mikroqarz quyidagi garov bilan ta'minlanadi:</v>
      </c>
      <c r="B23" s="297"/>
    </row>
    <row r="24" spans="1:11" ht="151.5" customHeight="1">
      <c r="A24" s="298"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8"/>
    </row>
    <row r="25" spans="1:11" ht="129" hidden="1" customHeight="1">
      <c r="A25" s="297"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7"/>
    </row>
    <row r="26" spans="1:11" ht="129.75" hidden="1" customHeight="1">
      <c r="A26" s="298"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8"/>
    </row>
    <row r="27" spans="1:11" ht="131.25" hidden="1" customHeight="1">
      <c r="A27" s="297"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7"/>
    </row>
    <row r="28" spans="1:11" ht="114" hidden="1" customHeight="1">
      <c r="A28" s="298"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8"/>
      <c r="K28" s="6" t="s">
        <v>329</v>
      </c>
    </row>
    <row r="29" spans="1:11" ht="114.75" hidden="1" customHeight="1">
      <c r="A29" s="298"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8"/>
    </row>
    <row r="30" spans="1:11" ht="115.5" hidden="1" customHeight="1">
      <c r="A30" s="303"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3"/>
    </row>
    <row r="31" spans="1:11" ht="117" customHeight="1">
      <c r="A31" s="302"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2"/>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2" t="s">
        <v>265</v>
      </c>
      <c r="B34" s="302"/>
    </row>
    <row r="35" spans="1:8" ht="84" customHeight="1">
      <c r="A35" s="302" t="s">
        <v>317</v>
      </c>
      <c r="B35" s="302"/>
    </row>
    <row r="37" spans="1:8">
      <c r="A37" s="305" t="s">
        <v>316</v>
      </c>
      <c r="B37" s="305"/>
      <c r="C37" s="75"/>
    </row>
    <row r="38" spans="1:8">
      <c r="A38" s="304" t="s">
        <v>315</v>
      </c>
      <c r="B38" s="304"/>
    </row>
    <row r="39" spans="1:8" ht="114" customHeight="1">
      <c r="A39" s="302"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2"/>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2"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2"/>
    </row>
    <row r="41" spans="1:8">
      <c r="A41" s="302" t="s">
        <v>318</v>
      </c>
      <c r="B41" s="302"/>
    </row>
    <row r="42" spans="1:8" ht="33" customHeight="1">
      <c r="A42" s="302" t="str">
        <f>"b) "&amp;'Общие данные'!B65&amp;" summasiga hisoblanadigan asosiy qarz bo‘yicha muddati o‘tgan qarzdorlik va/yoki foizlarning yuzaga kelishi;"</f>
        <v>b) mikroqarz summasiga hisoblanadigan asosiy qarz bo‘yicha muddati o‘tgan qarzdorlik va/yoki foizlarning yuzaga kelishi;</v>
      </c>
      <c r="B42" s="302"/>
    </row>
    <row r="43" spans="1:8" ht="37.5" customHeight="1">
      <c r="A43" s="302" t="s">
        <v>319</v>
      </c>
      <c r="B43" s="302"/>
    </row>
    <row r="44" spans="1:8" ht="52.5" customHeight="1">
      <c r="A44" s="302" t="s">
        <v>320</v>
      </c>
      <c r="B44" s="302"/>
    </row>
    <row r="45" spans="1:8" ht="19.5" customHeight="1">
      <c r="A45" s="302" t="s">
        <v>321</v>
      </c>
      <c r="B45" s="302"/>
    </row>
    <row r="46" spans="1:8" ht="51.75" customHeight="1">
      <c r="A46" s="302"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2"/>
    </row>
    <row r="47" spans="1:8" ht="33.75" customHeight="1">
      <c r="A47" s="302" t="s">
        <v>314</v>
      </c>
      <c r="B47" s="302"/>
    </row>
    <row r="48" spans="1:8" ht="36.75" customHeight="1">
      <c r="A48" s="302" t="s">
        <v>313</v>
      </c>
      <c r="B48" s="302"/>
      <c r="C48" s="158"/>
    </row>
    <row r="49" spans="1:8" ht="100.5" customHeight="1">
      <c r="A49" s="297" t="s">
        <v>312</v>
      </c>
      <c r="B49" s="297"/>
      <c r="C49" s="158"/>
    </row>
    <row r="50" spans="1:8" ht="70.5" customHeight="1">
      <c r="A50" s="297" t="s">
        <v>311</v>
      </c>
      <c r="B50" s="297"/>
      <c r="C50" s="158"/>
    </row>
    <row r="51" spans="1:8" ht="39.75" customHeight="1">
      <c r="A51" s="297"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7"/>
      <c r="C51" s="158"/>
    </row>
    <row r="52" spans="1:8" ht="33" customHeight="1">
      <c r="A52" s="297" t="s">
        <v>322</v>
      </c>
      <c r="B52" s="297"/>
      <c r="C52" s="158"/>
    </row>
    <row r="53" spans="1:8" ht="39.75" customHeight="1">
      <c r="A53" s="297" t="s">
        <v>310</v>
      </c>
      <c r="B53" s="297"/>
      <c r="C53" s="158"/>
    </row>
    <row r="54" spans="1:8" ht="50.25" customHeight="1">
      <c r="A54" s="297"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7"/>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7" t="str">
        <f>"4.1.11. Oldingi "&amp;'Общие данные'!B65&amp;" to‘liq to‘lanmagunga qadar yangi "&amp;'Общие данные'!B65&amp;" berishni rad etish."</f>
        <v>4.1.11. Oldingi mikroqarz to‘liq to‘lanmagunga qadar yangi mikroqarz berishni rad etish.</v>
      </c>
      <c r="B55" s="297"/>
      <c r="C55" s="158"/>
    </row>
    <row r="57" spans="1:8">
      <c r="A57" s="300" t="s">
        <v>309</v>
      </c>
      <c r="B57" s="300"/>
      <c r="C57" s="157"/>
    </row>
    <row r="58" spans="1:8">
      <c r="A58" s="306" t="s">
        <v>308</v>
      </c>
      <c r="B58" s="306"/>
      <c r="C58" s="159"/>
    </row>
    <row r="59" spans="1:8" ht="36" customHeight="1">
      <c r="A59" s="297"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7"/>
      <c r="C59" s="158"/>
    </row>
    <row r="60" spans="1:8" ht="36.75" customHeight="1">
      <c r="A60" s="297"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7"/>
      <c r="C60" s="158"/>
    </row>
    <row r="61" spans="1:8" ht="17.25" customHeight="1">
      <c r="A61" s="297" t="str">
        <f>"5.1.3. "&amp;'Общие данные'!C64&amp;" xizmatlari ko‘rsatish qoidalari bilan tanishish."</f>
        <v>5.1.3. Mikroqarz xizmatlari ko‘rsatish qoidalari bilan tanishish.</v>
      </c>
      <c r="B61" s="297"/>
      <c r="C61" s="158"/>
    </row>
    <row r="62" spans="1:8" ht="36" customHeight="1">
      <c r="A62" s="297"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7"/>
      <c r="C62" s="158"/>
    </row>
    <row r="63" spans="1:8" ht="33.75" customHeight="1">
      <c r="A63" s="297" t="s">
        <v>323</v>
      </c>
      <c r="B63" s="297"/>
      <c r="C63" s="158"/>
    </row>
    <row r="64" spans="1:8">
      <c r="A64" s="306" t="s">
        <v>307</v>
      </c>
      <c r="B64" s="306"/>
      <c r="C64" s="159"/>
    </row>
    <row r="65" spans="1:8" ht="37.5" customHeight="1">
      <c r="A65" s="297"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7"/>
      <c r="C65" s="158"/>
    </row>
    <row r="66" spans="1:8" ht="39.75" customHeight="1">
      <c r="A66" s="297" t="s">
        <v>324</v>
      </c>
      <c r="B66" s="297"/>
      <c r="C66" s="158"/>
    </row>
    <row r="67" spans="1:8" ht="27" customHeight="1">
      <c r="A67" s="297" t="str">
        <f>"5.2.3. To‘lov jadvaliga muvofiq "&amp;'Общие данные'!B65&amp;", shuningdek hisoblangan foizlar to‘lovlarini amalga oshirish."</f>
        <v>5.2.3. To‘lov jadvaliga muvofiq mikroqarz, shuningdek hisoblangan foizlar to‘lovlarini amalga oshirish.</v>
      </c>
      <c r="B67" s="297"/>
      <c r="C67" s="158"/>
    </row>
    <row r="68" spans="1:8" ht="84" customHeight="1">
      <c r="A68" s="297"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7"/>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7" t="s">
        <v>325</v>
      </c>
      <c r="B69" s="297"/>
      <c r="C69" s="158"/>
    </row>
    <row r="70" spans="1:8" ht="36" customHeight="1">
      <c r="A70" s="297"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7"/>
      <c r="C70" s="158"/>
    </row>
    <row r="71" spans="1:8" ht="51.75" customHeight="1">
      <c r="A71" s="299" t="s">
        <v>343</v>
      </c>
      <c r="B71" s="299"/>
      <c r="C71" s="161"/>
    </row>
    <row r="72" spans="1:8" ht="71.25" customHeight="1">
      <c r="A72" s="297"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7"/>
      <c r="C72" s="158"/>
    </row>
    <row r="73" spans="1:8" ht="33.75" customHeight="1">
      <c r="A73" s="297"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7"/>
      <c r="C73" s="158"/>
      <c r="H73" s="6" t="s">
        <v>339</v>
      </c>
    </row>
    <row r="74" spans="1:8" ht="68.25" customHeight="1">
      <c r="A74" s="297"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7"/>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5" t="s">
        <v>306</v>
      </c>
      <c r="B76" s="305"/>
      <c r="C76" s="160"/>
    </row>
    <row r="77" spans="1:8" ht="98.25" customHeight="1">
      <c r="A77" s="297"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7"/>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7" t="s">
        <v>305</v>
      </c>
      <c r="B78" s="297"/>
      <c r="C78" s="158"/>
    </row>
    <row r="79" spans="1:8" ht="35.25" customHeight="1">
      <c r="A79" s="297" t="s">
        <v>304</v>
      </c>
      <c r="B79" s="297"/>
      <c r="C79" s="158"/>
    </row>
    <row r="80" spans="1:8" ht="33" customHeight="1">
      <c r="A80" s="297" t="s">
        <v>303</v>
      </c>
      <c r="B80" s="297"/>
      <c r="C80" s="158"/>
    </row>
    <row r="82" spans="1:3">
      <c r="A82" s="289" t="s">
        <v>302</v>
      </c>
      <c r="B82" s="289"/>
      <c r="C82" s="65"/>
    </row>
    <row r="83" spans="1:3" ht="162.75" customHeight="1">
      <c r="A83" s="297" t="s">
        <v>301</v>
      </c>
      <c r="B83" s="297"/>
      <c r="C83" s="158"/>
    </row>
    <row r="84" spans="1:3" ht="33.75" customHeight="1">
      <c r="A84" s="297" t="s">
        <v>346</v>
      </c>
      <c r="B84" s="297"/>
      <c r="C84" s="158"/>
    </row>
    <row r="85" spans="1:3" ht="51.75" customHeight="1">
      <c r="A85" s="297" t="s">
        <v>300</v>
      </c>
      <c r="B85" s="297"/>
      <c r="C85" s="158"/>
    </row>
    <row r="86" spans="1:3" ht="36" customHeight="1">
      <c r="A86" s="297" t="s">
        <v>299</v>
      </c>
      <c r="B86" s="297"/>
      <c r="C86" s="158"/>
    </row>
    <row r="88" spans="1:3">
      <c r="A88" s="289" t="s">
        <v>298</v>
      </c>
      <c r="B88" s="289"/>
      <c r="C88" s="65"/>
    </row>
    <row r="89" spans="1:3" ht="114.75" customHeight="1">
      <c r="A89" s="297" t="s">
        <v>360</v>
      </c>
      <c r="B89" s="297"/>
      <c r="C89" s="158"/>
    </row>
    <row r="90" spans="1:3" ht="36" customHeight="1">
      <c r="A90" s="297" t="s">
        <v>326</v>
      </c>
      <c r="B90" s="297"/>
      <c r="C90" s="158"/>
    </row>
    <row r="91" spans="1:3" ht="64.5" customHeight="1">
      <c r="A91" s="297"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7"/>
      <c r="C91" s="158"/>
    </row>
    <row r="93" spans="1:3">
      <c r="A93" s="307" t="s">
        <v>297</v>
      </c>
      <c r="B93" s="307"/>
      <c r="C93" s="73"/>
    </row>
    <row r="94" spans="1:3" ht="20.25" customHeight="1">
      <c r="A94" s="297" t="s">
        <v>296</v>
      </c>
      <c r="B94" s="297"/>
      <c r="C94" s="158"/>
    </row>
    <row r="95" spans="1:3" ht="33.75" customHeight="1">
      <c r="A95" s="297"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7"/>
      <c r="C95" s="158"/>
    </row>
    <row r="96" spans="1:3" ht="51" customHeight="1">
      <c r="A96" s="297" t="s">
        <v>295</v>
      </c>
      <c r="B96" s="297"/>
      <c r="C96" s="158"/>
    </row>
    <row r="98" spans="1:3">
      <c r="A98" s="300" t="s">
        <v>294</v>
      </c>
      <c r="B98" s="300"/>
      <c r="C98" s="64"/>
    </row>
    <row r="99" spans="1:3" ht="82.5" customHeight="1">
      <c r="A99" s="297" t="s">
        <v>293</v>
      </c>
      <c r="B99" s="297"/>
      <c r="C99" s="158"/>
    </row>
    <row r="100" spans="1:3" ht="66" customHeight="1">
      <c r="A100" s="297" t="s">
        <v>292</v>
      </c>
      <c r="B100" s="297"/>
      <c r="C100" s="158"/>
    </row>
    <row r="101" spans="1:3" ht="48" customHeight="1">
      <c r="A101" s="297" t="s">
        <v>291</v>
      </c>
      <c r="B101" s="297"/>
      <c r="C101" s="158"/>
    </row>
    <row r="103" spans="1:3">
      <c r="A103" s="289" t="s">
        <v>290</v>
      </c>
      <c r="B103" s="289"/>
      <c r="C103" s="144"/>
    </row>
    <row r="104" spans="1:3" ht="37.5" customHeight="1">
      <c r="A104" s="297" t="s">
        <v>289</v>
      </c>
      <c r="B104" s="297"/>
      <c r="C104" s="158"/>
    </row>
    <row r="105" spans="1:3" ht="34.5" customHeight="1">
      <c r="A105" s="297" t="s">
        <v>288</v>
      </c>
      <c r="B105" s="297"/>
      <c r="C105" s="158"/>
    </row>
    <row r="106" spans="1:3" ht="66.75" customHeight="1">
      <c r="A106" s="297" t="s">
        <v>287</v>
      </c>
      <c r="B106" s="297"/>
      <c r="C106" s="158"/>
    </row>
    <row r="107" spans="1:3" ht="51" customHeight="1">
      <c r="A107" s="297" t="s">
        <v>286</v>
      </c>
      <c r="B107" s="297"/>
      <c r="C107" s="158"/>
    </row>
    <row r="108" spans="1:3" ht="37.5" customHeight="1">
      <c r="A108" s="297" t="s">
        <v>285</v>
      </c>
      <c r="B108" s="297"/>
      <c r="C108" s="158"/>
    </row>
    <row r="109" spans="1:3" ht="38.25" customHeight="1">
      <c r="A109" s="297" t="s">
        <v>284</v>
      </c>
      <c r="B109" s="297"/>
      <c r="C109" s="158"/>
    </row>
    <row r="110" spans="1:3" ht="21" customHeight="1">
      <c r="A110" s="297" t="s">
        <v>283</v>
      </c>
      <c r="B110" s="297"/>
      <c r="C110" s="158"/>
    </row>
    <row r="111" spans="1:3" ht="32.25" customHeight="1">
      <c r="A111" s="297"/>
      <c r="B111" s="297"/>
      <c r="C111" s="158"/>
    </row>
    <row r="113" spans="1:3">
      <c r="A113" s="307" t="s">
        <v>327</v>
      </c>
      <c r="B113" s="307"/>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8" t="str">
        <f>'Общие данные'!A161</f>
        <v>Surxondaryo filiali boshlig'i</v>
      </c>
    </row>
    <row r="127" spans="1:3">
      <c r="A127" s="308"/>
      <c r="B127" s="65" t="str">
        <f>""&amp;'Общие данные'!B7&amp;"     __________________"</f>
        <v>NUTFULLAYEV A.A.     __________________</v>
      </c>
    </row>
    <row r="129" spans="1:2">
      <c r="A129" s="144" t="str">
        <f>""&amp;'Общие данные'!B161&amp;"     __________________"</f>
        <v>A.PARDAYEV     __________________</v>
      </c>
      <c r="B129" s="172"/>
    </row>
    <row r="131" spans="1:2">
      <c r="B131" s="6" t="s">
        <v>399</v>
      </c>
    </row>
    <row r="132" spans="1:2" hidden="1">
      <c r="A132" s="6" t="str">
        <f>"менеджер :   "&amp;'Общие данные'!B161&amp;"______________"</f>
        <v>менеджер :   A.PARDAYEV______________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2"/>
      <c r="F2" s="262"/>
      <c r="G2" s="20"/>
    </row>
    <row r="3" spans="1:16" ht="77.25" customHeight="1">
      <c r="A3" s="37"/>
      <c r="B3" s="37"/>
      <c r="C3" s="37"/>
      <c r="D3" s="37"/>
      <c r="E3" s="311" t="str">
        <f>""&amp;'Общие данные'!B74&amp;" 
"&amp;'Общие данные'!B65&amp;" shartnomasiga 
1 sonli ilova"</f>
        <v>11 mart 2025 y.dan № -SR 
mikroqarz shartnomasiga 
1 sonli ilova</v>
      </c>
      <c r="F3" s="311"/>
      <c r="G3" s="20"/>
    </row>
    <row r="4" spans="1:16" ht="6.75" customHeight="1">
      <c r="A4" s="37"/>
      <c r="B4" s="37"/>
      <c r="C4" s="37"/>
      <c r="D4" s="37"/>
      <c r="E4" s="37"/>
      <c r="F4" s="37"/>
    </row>
    <row r="5" spans="1:16">
      <c r="A5" s="263" t="s">
        <v>266</v>
      </c>
      <c r="B5" s="263"/>
      <c r="C5" s="263"/>
      <c r="D5" s="263"/>
      <c r="E5" s="263"/>
      <c r="F5" s="263"/>
    </row>
    <row r="6" spans="1:16" ht="7.5" customHeight="1"/>
    <row r="7" spans="1:16" ht="15" customHeight="1">
      <c r="A7" s="264" t="s">
        <v>15</v>
      </c>
      <c r="B7" s="265" t="s">
        <v>267</v>
      </c>
      <c r="C7" s="265" t="s">
        <v>268</v>
      </c>
      <c r="D7" s="266" t="s">
        <v>269</v>
      </c>
      <c r="E7" s="266"/>
      <c r="F7" s="266"/>
    </row>
    <row r="8" spans="1:16" s="16" customFormat="1">
      <c r="A8" s="264"/>
      <c r="B8" s="265"/>
      <c r="C8" s="265"/>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09" t="s">
        <v>378</v>
      </c>
      <c r="I12" s="309"/>
      <c r="J12" s="309"/>
      <c r="K12" s="309"/>
      <c r="L12" s="309"/>
      <c r="M12" s="309"/>
      <c r="N12" s="309"/>
      <c r="O12" s="309"/>
      <c r="P12" s="309"/>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09"/>
      <c r="I13" s="309"/>
      <c r="J13" s="309"/>
      <c r="K13" s="309"/>
      <c r="L13" s="309"/>
      <c r="M13" s="309"/>
      <c r="N13" s="309"/>
      <c r="O13" s="309"/>
      <c r="P13" s="309"/>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09"/>
      <c r="I14" s="309"/>
      <c r="J14" s="309"/>
      <c r="K14" s="309"/>
      <c r="L14" s="309"/>
      <c r="M14" s="309"/>
      <c r="N14" s="309"/>
      <c r="O14" s="309"/>
      <c r="P14" s="309"/>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09"/>
      <c r="I15" s="309"/>
      <c r="J15" s="309"/>
      <c r="K15" s="309"/>
      <c r="L15" s="309"/>
      <c r="M15" s="309"/>
      <c r="N15" s="309"/>
      <c r="O15" s="309"/>
      <c r="P15" s="309"/>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09"/>
      <c r="I16" s="309"/>
      <c r="J16" s="309"/>
      <c r="K16" s="309"/>
      <c r="L16" s="309"/>
      <c r="M16" s="309"/>
      <c r="N16" s="309"/>
      <c r="O16" s="309"/>
      <c r="P16" s="309"/>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09"/>
      <c r="I17" s="309"/>
      <c r="J17" s="309"/>
      <c r="K17" s="309"/>
      <c r="L17" s="309"/>
      <c r="M17" s="309"/>
      <c r="N17" s="309"/>
      <c r="O17" s="309"/>
      <c r="P17" s="309"/>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09"/>
      <c r="I18" s="309"/>
      <c r="J18" s="309"/>
      <c r="K18" s="309"/>
      <c r="L18" s="309"/>
      <c r="M18" s="309"/>
      <c r="N18" s="309"/>
      <c r="O18" s="309"/>
      <c r="P18" s="309"/>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09"/>
      <c r="I19" s="309"/>
      <c r="J19" s="309"/>
      <c r="K19" s="309"/>
      <c r="L19" s="309"/>
      <c r="M19" s="309"/>
      <c r="N19" s="309"/>
      <c r="O19" s="309"/>
      <c r="P19" s="309"/>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09"/>
      <c r="I20" s="309"/>
      <c r="J20" s="309"/>
      <c r="K20" s="309"/>
      <c r="L20" s="309"/>
      <c r="M20" s="309"/>
      <c r="N20" s="309"/>
      <c r="O20" s="309"/>
      <c r="P20" s="309"/>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09"/>
      <c r="I21" s="309"/>
      <c r="J21" s="309"/>
      <c r="K21" s="309"/>
      <c r="L21" s="309"/>
      <c r="M21" s="309"/>
      <c r="N21" s="309"/>
      <c r="O21" s="309"/>
      <c r="P21" s="309"/>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09"/>
      <c r="I22" s="309"/>
      <c r="J22" s="309"/>
      <c r="K22" s="309"/>
      <c r="L22" s="309"/>
      <c r="M22" s="309"/>
      <c r="N22" s="309"/>
      <c r="O22" s="309"/>
      <c r="P22" s="309"/>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09"/>
      <c r="I23" s="309"/>
      <c r="J23" s="309"/>
      <c r="K23" s="309"/>
      <c r="L23" s="309"/>
      <c r="M23" s="309"/>
      <c r="N23" s="309"/>
      <c r="O23" s="309"/>
      <c r="P23" s="309"/>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09"/>
      <c r="I24" s="309"/>
      <c r="J24" s="309"/>
      <c r="K24" s="309"/>
      <c r="L24" s="309"/>
      <c r="M24" s="309"/>
      <c r="N24" s="309"/>
      <c r="O24" s="309"/>
      <c r="P24" s="309"/>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2"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2"/>
      <c r="C47" s="232"/>
      <c r="D47" s="232"/>
      <c r="E47" s="232"/>
      <c r="F47" s="232"/>
    </row>
    <row r="48" spans="1:6" ht="7.5" customHeight="1"/>
    <row r="49" spans="1:6" ht="15" customHeight="1">
      <c r="A49" s="260" t="s">
        <v>273</v>
      </c>
      <c r="B49" s="260"/>
      <c r="C49" s="260"/>
      <c r="D49" s="260" t="s">
        <v>281</v>
      </c>
      <c r="E49" s="260"/>
      <c r="F49" s="260"/>
    </row>
    <row r="50" spans="1:6" ht="11.25" customHeight="1">
      <c r="A50" s="261"/>
      <c r="B50" s="261"/>
      <c r="C50" s="261"/>
      <c r="D50" s="261"/>
      <c r="E50" s="261"/>
      <c r="F50" s="261"/>
    </row>
    <row r="51" spans="1:6" ht="30" customHeight="1">
      <c r="A51" s="259" t="str">
        <f>договор!A117</f>
        <v>«CLEVER MIKROMOLIYA TASHKILOTI» MChJ</v>
      </c>
      <c r="B51" s="259"/>
      <c r="C51" s="259"/>
      <c r="D51" s="259" t="str">
        <f>договор!B117</f>
        <v>NUTFULLAYEV AKBARJON AXMEDOVICH</v>
      </c>
      <c r="E51" s="259"/>
      <c r="F51" s="259"/>
    </row>
    <row r="52" spans="1:6" ht="39" customHeight="1">
      <c r="A52" s="255" t="str">
        <f>договор!A119</f>
        <v>Manzil: Toshkent shahri, Olmazor tumani, Sagbon ko'chasi, 30 boshi berk, 6-uy</v>
      </c>
      <c r="B52" s="255"/>
      <c r="C52" s="255"/>
      <c r="D52" s="255" t="str">
        <f>договор!B119</f>
        <v>Manzil: BUXORO VILOYATI BUXORO SHAHAR TADBIRKOR KO'CHASI 12-UY</v>
      </c>
      <c r="E52" s="255"/>
      <c r="F52" s="255"/>
    </row>
    <row r="53" spans="1:6" ht="15" customHeight="1">
      <c r="A53" s="255" t="str">
        <f>договор!A120</f>
        <v>h/r: №20216000705068380001</v>
      </c>
      <c r="B53" s="255"/>
      <c r="C53" s="255"/>
      <c r="D53" s="255" t="str">
        <f>договор!B121</f>
        <v>pasport seriyasi: AA 9481167, BUXORO VILOYATI BUXORO SHAHAR IIB tomonidan 24.04.2015 yilda berilgan</v>
      </c>
      <c r="E53" s="255"/>
      <c r="F53" s="255"/>
    </row>
    <row r="54" spans="1:6" ht="32.25" customHeight="1">
      <c r="A54" s="255" t="str">
        <f>договор!A121</f>
        <v>MFO: №01042 в ATB “Kapitalbank” Sergeli filiali</v>
      </c>
      <c r="B54" s="255"/>
      <c r="C54" s="255"/>
      <c r="D54" s="255"/>
      <c r="E54" s="255"/>
      <c r="F54" s="255"/>
    </row>
    <row r="55" spans="1:6" ht="15" customHeight="1">
      <c r="A55" s="255" t="str">
        <f>договор!A122</f>
        <v>STIR: 306365847</v>
      </c>
      <c r="B55" s="255"/>
      <c r="C55" s="255"/>
      <c r="D55" s="255" t="str">
        <f>договор!B122</f>
        <v>Tel: 91 408 76 67  UZI</v>
      </c>
      <c r="E55" s="255"/>
      <c r="F55" s="255"/>
    </row>
    <row r="56" spans="1:6" ht="15" customHeight="1">
      <c r="A56" s="255" t="str">
        <f>договор!A123</f>
        <v>Tel: (78) 113 31 33</v>
      </c>
      <c r="B56" s="255"/>
      <c r="C56" s="255"/>
      <c r="D56" s="255" t="str">
        <f>договор!B123</f>
        <v>88 305 76 67 AYOLI</v>
      </c>
      <c r="E56" s="255"/>
      <c r="F56" s="255"/>
    </row>
    <row r="57" spans="1:6" ht="15" customHeight="1">
      <c r="A57" s="255" t="str">
        <f>договор!A124</f>
        <v>(78) 113 31 34</v>
      </c>
      <c r="B57" s="255"/>
      <c r="C57" s="255"/>
      <c r="D57" s="255" t="str">
        <f>договор!B124</f>
        <v>88 870 76 67 AKASI</v>
      </c>
      <c r="E57" s="255"/>
      <c r="F57" s="255"/>
    </row>
    <row r="58" spans="1:6" ht="23.25" customHeight="1">
      <c r="A58" s="255"/>
      <c r="B58" s="255"/>
      <c r="C58" s="255"/>
      <c r="D58" s="255" t="str">
        <f>IF(договор!B125=0,"",договор!B125)</f>
        <v/>
      </c>
      <c r="E58" s="255"/>
      <c r="F58" s="255"/>
    </row>
    <row r="59" spans="1:6" ht="29.25" customHeight="1">
      <c r="A59" s="310" t="str">
        <f>'Общие данные'!A161</f>
        <v>Surxondaryo filiali boshlig'i</v>
      </c>
      <c r="B59" s="310"/>
      <c r="C59" s="310"/>
      <c r="D59" s="259" t="str">
        <f>договор!B127</f>
        <v>NUTFULLAYEV A.A.     __________________</v>
      </c>
      <c r="E59" s="259"/>
      <c r="F59" s="259"/>
    </row>
    <row r="60" spans="1:6" ht="15" customHeight="1">
      <c r="A60" s="255"/>
      <c r="B60" s="255"/>
      <c r="C60" s="255"/>
      <c r="D60" s="259"/>
      <c r="E60" s="259"/>
      <c r="F60" s="259"/>
    </row>
    <row r="61" spans="1:6">
      <c r="A61" s="310" t="str">
        <f>договор!A129</f>
        <v>A.PARDAYEV     __________________</v>
      </c>
      <c r="B61" s="310"/>
      <c r="C61" s="310"/>
      <c r="D61" s="259"/>
      <c r="E61" s="259"/>
      <c r="F61" s="259"/>
    </row>
    <row r="62" spans="1:6" ht="8.25" customHeight="1">
      <c r="A62" s="255"/>
      <c r="B62" s="255"/>
      <c r="C62" s="255"/>
      <c r="D62" s="255"/>
      <c r="E62" s="255"/>
      <c r="F62" s="255"/>
    </row>
    <row r="63" spans="1:6" ht="30" customHeight="1">
      <c r="A63" s="256"/>
      <c r="B63" s="256"/>
      <c r="C63" s="256"/>
      <c r="D63" s="257"/>
      <c r="E63" s="257"/>
      <c r="F63" s="257"/>
    </row>
    <row r="64" spans="1:6">
      <c r="A64" s="258"/>
      <c r="B64" s="258"/>
      <c r="C64" s="258"/>
      <c r="D64" s="258"/>
      <c r="E64" s="258"/>
      <c r="F64" s="258"/>
    </row>
    <row r="65" spans="1:6">
      <c r="A65" s="254"/>
      <c r="B65" s="254"/>
      <c r="C65" s="254"/>
      <c r="D65" s="254"/>
      <c r="E65" s="254"/>
      <c r="F65" s="254"/>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Surxondaryo filiali boshlig'i A.PARDAYEVga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2"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2"/>
    </row>
    <row r="14" spans="1:2" ht="124.5" hidden="1" customHeight="1">
      <c r="A14"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2"/>
    </row>
    <row r="15" spans="1:2" ht="116.25" hidden="1" customHeight="1">
      <c r="A15"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2"/>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2" t="str">
        <f>IF('Общие данные'!B94='Общие данные'!D94,CONCATENATE(A24," ",A28,A22),"")</f>
        <v/>
      </c>
      <c r="B20" s="312"/>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3" t="str">
        <f>"GAROV PREDMETI QIYMATINI KELISHISH 
№"&amp;'Общие данные'!B141&amp;" SONLI DALOLATNOMASI
 "</f>
        <v xml:space="preserve">GAROV PREDMETI QIYMATINI KELISHISH 
№1 SONLI DALOLATNOMASI
 </v>
      </c>
      <c r="B2" s="263"/>
      <c r="C2" s="263"/>
      <c r="D2" s="263"/>
      <c r="E2" s="263"/>
    </row>
    <row r="3" spans="1:5">
      <c r="A3" s="40"/>
      <c r="B3" s="40"/>
      <c r="C3" s="40"/>
      <c r="D3" s="40"/>
      <c r="E3" s="40"/>
    </row>
    <row r="4" spans="1:5">
      <c r="A4" s="37" t="s">
        <v>208</v>
      </c>
      <c r="B4" s="37"/>
      <c r="C4" s="37"/>
      <c r="D4" s="37"/>
      <c r="E4" s="37" t="str">
        <f>'Общие данные'!B142</f>
        <v>11 mart 2025 y.</v>
      </c>
    </row>
    <row r="5" spans="1:5" ht="9" customHeight="1">
      <c r="A5" s="232"/>
      <c r="B5" s="232"/>
      <c r="C5" s="232"/>
      <c r="D5" s="232"/>
      <c r="E5" s="232"/>
    </row>
    <row r="6" spans="1:5" ht="76.5" customHeight="1">
      <c r="A6" s="232" t="str">
        <f>IF('Общие данные'!B103="avtotransport",'Акт согласования'!A10:E10,'Акт согласования'!A7:E7)</f>
        <v>«CLEVER MIKROMOLIYA TASHKILOTI» MChJning (1-tomon) vakili bo‘lgan  Surxondaryo filiali boshlig'i A.PARDAYEV, O‘zbekiston Respublikasi fuqarosi va garovga beruvchi NUTFULLAYEV AKBARJON AXMEDOVICH (2-tomon) o’rtalarida, 11 mart 2025 y.dan № -SR-sonli Mikroqarz shartnomasiga muvofiq 1-tomon 2-tomonga berilgan mikroqarz bo‘yicha ta’minot sifatida taqdim etilgan, 2-tomonga mulk huquqi asosida tegishli bo‘lgan mulkning garov qiymatini kelishish muzokaralari o’tkazildi.</v>
      </c>
      <c r="B6" s="232"/>
      <c r="C6" s="232"/>
      <c r="D6" s="232"/>
      <c r="E6" s="232"/>
    </row>
    <row r="7" spans="1:5" ht="88.5" hidden="1" customHeight="1">
      <c r="A7" s="232" t="str">
        <f>IF('Общие данные'!B93="ha",'Акт согласования'!A9:E9,'Акт согласования'!A8:E8)</f>
        <v xml:space="preserve">«CLEVER MIKROMOLIYA TASHKILOTI» MChJning (1-tomon) vakili bo‘lgan  Surxondaryo filiali boshlig'i A.PARDAYEV, va O‘zbekiston Respublikasi fuqarosi  NUTFULLAYEV AKBARJON AXMEDOVICH (2-tomon) va garov egasi NUTFULLAYEV AKBARJON AXMEDOVICH (3-tomon) 11 mart 2025 y.dan № -SR Mikroqarz shartnomasiga muvofiq 1-tomon 2-tomonga berilgan mikroqarz bo‘yicha ta’minot sifatida taqdim etilgan, 2-tomonga mulk huquqi asosida tegishli bo‘lgan mulkning garov qiymatini kelishish muzokaralari o’tkazildi. </v>
      </c>
      <c r="B7" s="232"/>
      <c r="C7" s="232"/>
      <c r="D7" s="232"/>
      <c r="E7" s="232"/>
    </row>
    <row r="8" spans="1:5" ht="88.5" hidden="1" customHeight="1">
      <c r="A8"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Surxondaryo filiali boshlig'i A.PARDAYEV, va O‘zbekiston Respublikasi fuqarosi  NUTFULLAYEV AKBARJON AXMEDOVICH (2-tomon) va garov egasi NUTFULLAYEV AKBARJON AXMEDOVICH (3-tomon) 11 mart 2025 y.dan № -SR Mikroqarz shartnomasiga muvofiq 1-tomon 2-tomonga berilgan mikroqarz bo‘yicha ta’minot sifatida taqdim etilgan, 2-tomonga mulk huquqi asosida tegishli bo‘lgan mulkning garov qiymatini kelishish muzokaralari o’tkazildi. </v>
      </c>
      <c r="B8" s="232"/>
      <c r="C8" s="232"/>
      <c r="D8" s="232"/>
      <c r="E8" s="232"/>
    </row>
    <row r="9" spans="1:5" ht="88.5" hidden="1" customHeight="1">
      <c r="A9"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Surxondaryo filiali boshlig'i A.PARDAYEV, va O‘zbekiston Respublikasi fuqarosi  NUTFULLAYEV AKBARJON AXMEDOVICH (2-tomon) va garov egasi NUTFULLAYEV AKBARJON AXMEDOVICH (3-tomon) 11 mart 2025 y.dan № -SR Mikroqarz shartnomasiga muvofiq 1-tomon 2-tomonga berilgan mikroqarz bo‘yicha ta’minot sifatida taqdim etilgan, 2-tomonga mulk huquqi asosida tegishli bo‘lgan mulkning garov qiymatini kelishish muzokaralari o’tkazildi. </v>
      </c>
      <c r="B9" s="232"/>
      <c r="C9" s="232"/>
      <c r="D9" s="232"/>
      <c r="E9" s="232"/>
    </row>
    <row r="10" spans="1:5" ht="88.5" hidden="1" customHeight="1">
      <c r="A10" s="232" t="str">
        <f>IF('Общие данные'!B93="ha",'Акт согласования'!A12:E12,'Акт согласования'!A11:E11)</f>
        <v>«CLEVER MIKROMOLIYA TASHKILOTI» MChJning (1-tomon) vakili bo‘lgan  Surxondaryo filiali boshlig'i A.PARDAYEV, O‘zbekiston Respublikasi fuqarosi va garovga beruvchi NUTFULLAYEV AKBARJON AXMEDOVICH (2-tomon) o’rtalarida, 11 mart 2025 y.dan № -SR-sonli Mikroqarz shartnomasiga muvofiq 1-tomon 2-tomonga berilgan mikroqarz bo‘yicha ta’minot sifatida taqdim etilgan, 2-tomonga mulk huquqi asosida tegishli bo‘lgan mulkning garov qiymatini kelishish muzokaralari o’tkazildi.</v>
      </c>
      <c r="B10" s="232"/>
      <c r="C10" s="232"/>
      <c r="D10" s="232"/>
      <c r="E10" s="232"/>
    </row>
    <row r="11" spans="1:5" ht="88.5" hidden="1" customHeight="1">
      <c r="A11" s="232"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Surxondaryo filiali boshlig'i A.PARDAYEV, O‘zbekiston Respublikasi fuqarosi NUTFULLAYEV AKBARJON AXMEDOVICH (2-tomon) va garovga beruvchi O‘zbekiston Respublikasi fuqarosi NUTFULLAYEV AKBARJON AXMEDOVICH (3-tomon) o’rtalarida, 11 mart 2025 y.dan № -SR-sonli Mikroqarz shartnomasiga muvofiq 1-tomon 2-tomonga berilgan mikroqarz bo‘yicha ta’minot sifatida taqdim etilgan, 3-tomonga mulk huquqi asosida tegishli bo‘lgan mulkning garov qiymatini kelishish muzokaralari o’tkazildi.</v>
      </c>
      <c r="B11" s="232"/>
      <c r="C11" s="232"/>
      <c r="D11" s="232"/>
      <c r="E11" s="232"/>
    </row>
    <row r="12" spans="1:5" ht="88.5" hidden="1" customHeight="1">
      <c r="A12" s="232"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Surxondaryo filiali boshlig'i A.PARDAYEV, O‘zbekiston Respublikasi fuqarosi va garovga beruvchi NUTFULLAYEV AKBARJON AXMEDOVICH (2-tomon) o’rtalarida, 11 mart 2025 y.dan № -SR-sonli Mikroqarz shartnomasiga muvofiq 1-tomon 2-tomonga berilgan mikroqarz bo‘yicha ta’minot sifatida taqdim etilgan, 2-tomonga mulk huquqi asosida tegishli bo‘lgan mulkning garov qiymatini kelishish muzokaralari o’tkazildi.</v>
      </c>
      <c r="B12" s="232"/>
      <c r="C12" s="232"/>
      <c r="D12" s="232"/>
      <c r="E12" s="232"/>
    </row>
    <row r="13" spans="1:5" ht="88.5" hidden="1" customHeight="1">
      <c r="A13" s="232"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2"/>
      <c r="C13" s="232"/>
      <c r="D13" s="232"/>
      <c r="E13" s="232"/>
    </row>
    <row r="14" spans="1:5" ht="88.5" hidden="1" customHeight="1">
      <c r="A14" s="232"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2"/>
      <c r="C14" s="232"/>
      <c r="D14" s="232"/>
      <c r="E14" s="232"/>
    </row>
    <row r="15" spans="1:5" ht="88.5" hidden="1" customHeight="1">
      <c r="A15" s="232"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2"/>
      <c r="C15" s="232"/>
      <c r="D15" s="232"/>
      <c r="E15" s="232"/>
    </row>
    <row r="16" spans="1:5" ht="88.5" hidden="1" customHeight="1">
      <c r="A16" s="232"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2"/>
      <c r="C16" s="232"/>
      <c r="D16" s="232"/>
      <c r="E16" s="232"/>
    </row>
    <row r="17" spans="1:5" ht="13.5" hidden="1" customHeight="1">
      <c r="A17" s="232"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2"/>
      <c r="C17" s="232"/>
      <c r="D17" s="232"/>
      <c r="E17" s="232"/>
    </row>
    <row r="18" spans="1:5" ht="11.25" hidden="1" customHeight="1">
      <c r="A18" s="232" t="str">
        <f>IF('Общие данные'!B93="ha",'Акт согласования'!A16:E16,'Акт согласования'!A17:E17)</f>
        <v>Garov predmeti sifatida 3 - xonali yakka tartibdagi uy-joy, 2-tomonga egalik huquqi tegishli bo'lgan, quyidagi tafsilotlarga ega ko'chmas mulk taqdim etiladi:</v>
      </c>
      <c r="B18" s="232"/>
      <c r="C18" s="232"/>
      <c r="D18" s="232"/>
      <c r="E18" s="232"/>
    </row>
    <row r="19" spans="1:5" ht="32.25" customHeight="1">
      <c r="A19" s="232"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2"/>
      <c r="C19" s="232"/>
      <c r="D19" s="232"/>
      <c r="E19" s="232"/>
    </row>
    <row r="20" spans="1:5" ht="48" customHeight="1" outlineLevel="1">
      <c r="A20" s="39" t="s">
        <v>206</v>
      </c>
      <c r="B20" s="313" t="str">
        <f>IF('Общие данные'!B103='Общие данные'!C103,"Kuzov turi  va kuzov raqami*","Foydali maydoni")</f>
        <v>Kuzov turi  va kuzov raqami*</v>
      </c>
      <c r="C20" s="314"/>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5" t="str">
        <f>IF('Общие данные'!B103='Общие данные'!C103,'Общие данные'!B127,CONCATENATE('Общие данные'!F130," ","kv.m"))</f>
        <v>kuzov turi - YUK BORTLI TENT, kuzov raqami LSCAB23D8EG228387</v>
      </c>
      <c r="C21" s="265"/>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2" t="str">
        <f>"-* "&amp;IF('Общие данные'!B103='Общие данные'!C103,"avtotransport "&amp;"egasi: "&amp;'Общие данные'!B117&amp;"","ko'chmas mulk"&amp;" egasi: "&amp;'Общие данные'!B117&amp;"")</f>
        <v>-* avtotransport egasi: NUTFULLAYEV AKBARJON AXMEDOVICH</v>
      </c>
      <c r="B22" s="232"/>
      <c r="C22" s="232"/>
      <c r="D22" s="232"/>
      <c r="E22" s="232"/>
    </row>
    <row r="23" spans="1:5" outlineLevel="1">
      <c r="A23" s="232" t="str">
        <f>IF('Общие данные'!B103='Общие данные'!C103,"-* texnik pasport: "&amp;'Общие данные'!B124&amp;"","-* reest raqami: "&amp;'Общие данные'!C124&amp;"")</f>
        <v>-* texnik pasport: AAG   2346592  13.09.2023y</v>
      </c>
      <c r="B23" s="232"/>
      <c r="C23" s="232"/>
      <c r="D23" s="232"/>
      <c r="E23" s="232"/>
    </row>
    <row r="24" spans="1:5" s="182" customFormat="1" outlineLevel="1">
      <c r="A24" s="232"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2"/>
      <c r="C24" s="232"/>
      <c r="D24" s="232"/>
      <c r="E24" s="232"/>
    </row>
    <row r="25" spans="1:5" ht="27" customHeight="1" outlineLevel="1">
      <c r="A25" s="232" t="str">
        <f>IF('Общие данные'!B103='Общие данные'!C103,"-* davlat raqami: "&amp;'Общие данные'!B126&amp;"","-* manzili: "&amp;'Общие данные'!C123&amp;"")</f>
        <v>-* davlat raqami: 80T312WA</v>
      </c>
      <c r="B25" s="232"/>
      <c r="C25" s="232"/>
      <c r="D25" s="232"/>
      <c r="E25" s="232"/>
    </row>
    <row r="26" spans="1:5" ht="65.25" customHeight="1">
      <c r="A26" s="232"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-SR Mikroqarz shartnomasi bo‘yicha berilgan mikroqarz bo‘yicha  
40 500 000,00 (qirq million besh yuz ming so'm) so’m bo‘lgan kelishilgan garov qiymatida qabul qiladi::</v>
      </c>
      <c r="B26" s="232"/>
      <c r="C26" s="232"/>
      <c r="D26" s="232"/>
      <c r="E26" s="232"/>
    </row>
    <row r="27" spans="1:5" ht="66" hidden="1" customHeight="1">
      <c r="A27" s="232"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-SR mikroqarz shartnomasi bo‘yicha berilgan mikroqarz bo‘yicha  
40 500 000,00 (qirq million besh yuz ming so'm) so’m bo‘lgan kelishilgan garov qiymatida qabul qiladi::</v>
      </c>
      <c r="B27" s="232"/>
      <c r="C27" s="232"/>
      <c r="D27" s="232"/>
      <c r="E27" s="232"/>
    </row>
    <row r="28" spans="1:5" ht="58.5" hidden="1" customHeight="1">
      <c r="A28" s="232"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-SR Mikroqarz shartnomasi bo‘yicha berilgan mikroqarz bo‘yicha  
40 500 000,00 (qirq million besh yuz ming so'm) so’m bo‘lgan kelishilgan garov qiymatida qabul qiladi::</v>
      </c>
      <c r="B28" s="232"/>
      <c r="C28" s="232"/>
      <c r="D28" s="232"/>
      <c r="E28" s="232"/>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6" t="str">
        <f>""&amp;FIXED('Общие данные'!C136,2)&amp;" ("&amp;'Общие данные'!B137&amp;")"</f>
        <v>40 500 000,00 (qirq million besh yuz ming so'm)</v>
      </c>
    </row>
    <row r="34" spans="1:5" ht="15.75" hidden="1" customHeight="1" outlineLevel="1">
      <c r="A34" s="17"/>
      <c r="B34" s="111"/>
      <c r="C34" s="111"/>
      <c r="D34" s="111"/>
      <c r="E34" s="317"/>
    </row>
    <row r="35" spans="1:5" ht="15.75" hidden="1" customHeight="1" outlineLevel="1">
      <c r="A35" s="17" t="e">
        <f>#REF!</f>
        <v>#REF!</v>
      </c>
      <c r="B35" s="111" t="e">
        <f>#REF!</f>
        <v>#REF!</v>
      </c>
      <c r="C35" s="111" t="e">
        <f>#REF!</f>
        <v>#REF!</v>
      </c>
      <c r="D35" s="111" t="e">
        <f>#REF!</f>
        <v>#REF!</v>
      </c>
      <c r="E35" s="317"/>
    </row>
    <row r="36" spans="1:5" ht="15.75" hidden="1" customHeight="1" outlineLevel="1">
      <c r="A36" s="17" t="e">
        <f>#REF!</f>
        <v>#REF!</v>
      </c>
      <c r="B36" s="111" t="e">
        <f>#REF!</f>
        <v>#REF!</v>
      </c>
      <c r="C36" s="111" t="e">
        <f>#REF!</f>
        <v>#REF!</v>
      </c>
      <c r="D36" s="111" t="e">
        <f>#REF!</f>
        <v>#REF!</v>
      </c>
      <c r="E36" s="317"/>
    </row>
    <row r="37" spans="1:5" ht="15.75" hidden="1" customHeight="1" outlineLevel="1">
      <c r="A37" s="17" t="e">
        <f>#REF!</f>
        <v>#REF!</v>
      </c>
      <c r="B37" s="111" t="e">
        <f>#REF!</f>
        <v>#REF!</v>
      </c>
      <c r="C37" s="111" t="e">
        <f>#REF!</f>
        <v>#REF!</v>
      </c>
      <c r="D37" s="111" t="e">
        <f>#REF!</f>
        <v>#REF!</v>
      </c>
      <c r="E37" s="317"/>
    </row>
    <row r="38" spans="1:5" ht="15.75" hidden="1" customHeight="1" outlineLevel="1">
      <c r="A38" s="17" t="e">
        <f>#REF!</f>
        <v>#REF!</v>
      </c>
      <c r="B38" s="111" t="e">
        <f>#REF!</f>
        <v>#REF!</v>
      </c>
      <c r="C38" s="111" t="e">
        <f>#REF!</f>
        <v>#REF!</v>
      </c>
      <c r="D38" s="111" t="e">
        <f>#REF!</f>
        <v>#REF!</v>
      </c>
      <c r="E38" s="317"/>
    </row>
    <row r="39" spans="1:5" ht="15.75" hidden="1" customHeight="1" outlineLevel="1">
      <c r="A39" s="17" t="e">
        <f>#REF!</f>
        <v>#REF!</v>
      </c>
      <c r="B39" s="111" t="e">
        <f>#REF!</f>
        <v>#REF!</v>
      </c>
      <c r="C39" s="111" t="e">
        <f>#REF!</f>
        <v>#REF!</v>
      </c>
      <c r="D39" s="111" t="e">
        <f>#REF!</f>
        <v>#REF!</v>
      </c>
      <c r="E39" s="317"/>
    </row>
    <row r="40" spans="1:5" ht="15.75" hidden="1" customHeight="1" outlineLevel="1">
      <c r="A40" s="17" t="e">
        <f>#REF!</f>
        <v>#REF!</v>
      </c>
      <c r="B40" s="111" t="e">
        <f>#REF!</f>
        <v>#REF!</v>
      </c>
      <c r="C40" s="111" t="e">
        <f>#REF!</f>
        <v>#REF!</v>
      </c>
      <c r="D40" s="111" t="e">
        <f>#REF!</f>
        <v>#REF!</v>
      </c>
      <c r="E40" s="317"/>
    </row>
    <row r="41" spans="1:5" ht="15.75" hidden="1" customHeight="1" outlineLevel="1">
      <c r="A41" s="17" t="e">
        <f>#REF!</f>
        <v>#REF!</v>
      </c>
      <c r="B41" s="111" t="e">
        <f>#REF!</f>
        <v>#REF!</v>
      </c>
      <c r="C41" s="111" t="e">
        <f>#REF!</f>
        <v>#REF!</v>
      </c>
      <c r="D41" s="111" t="e">
        <f>#REF!</f>
        <v>#REF!</v>
      </c>
      <c r="E41" s="317"/>
    </row>
    <row r="42" spans="1:5" ht="15.75" hidden="1" customHeight="1" outlineLevel="1">
      <c r="A42" s="17" t="e">
        <f>#REF!</f>
        <v>#REF!</v>
      </c>
      <c r="B42" s="111" t="e">
        <f>#REF!</f>
        <v>#REF!</v>
      </c>
      <c r="C42" s="111" t="e">
        <f>#REF!</f>
        <v>#REF!</v>
      </c>
      <c r="D42" s="111" t="e">
        <f>#REF!</f>
        <v>#REF!</v>
      </c>
      <c r="E42" s="317"/>
    </row>
    <row r="43" spans="1:5" ht="15.75" hidden="1" customHeight="1" outlineLevel="1">
      <c r="A43" s="17" t="e">
        <f>#REF!</f>
        <v>#REF!</v>
      </c>
      <c r="B43" s="17" t="e">
        <f>#REF!</f>
        <v>#REF!</v>
      </c>
      <c r="C43" s="17" t="e">
        <f>#REF!</f>
        <v>#REF!</v>
      </c>
      <c r="D43" s="17" t="e">
        <f>#REF!</f>
        <v>#REF!</v>
      </c>
      <c r="E43" s="318"/>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2"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2"/>
      <c r="C46" s="232"/>
      <c r="D46" s="232"/>
      <c r="E46" s="232"/>
    </row>
    <row r="47" spans="1:5" ht="42" customHeight="1">
      <c r="A47" s="232" t="s">
        <v>211</v>
      </c>
      <c r="B47" s="232"/>
      <c r="C47" s="232"/>
      <c r="D47" s="232"/>
      <c r="E47" s="232"/>
    </row>
    <row r="48" spans="1:5" ht="35.25" customHeight="1">
      <c r="A48" s="232"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2"/>
      <c r="C48" s="232"/>
      <c r="D48" s="232"/>
      <c r="E48" s="232"/>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0" t="s">
        <v>212</v>
      </c>
      <c r="B50" s="310"/>
      <c r="C50" s="310"/>
      <c r="D50" s="22"/>
      <c r="E50" s="22"/>
    </row>
    <row r="51" spans="1:6">
      <c r="A51" s="235" t="str">
        <f>'Общие данные'!B148</f>
        <v>«CLEVER MIKROMOLIYA TASHKILOTI» MChJ</v>
      </c>
      <c r="B51" s="235"/>
      <c r="C51" s="235"/>
      <c r="D51" s="167"/>
      <c r="E51" s="167"/>
    </row>
    <row r="52" spans="1:6" ht="15" customHeight="1">
      <c r="A52" s="235" t="str">
        <f>""&amp;'Общие данные'!A150&amp;""</f>
        <v>Surxondaryo filiali boshlig'i</v>
      </c>
      <c r="B52" s="235"/>
      <c r="C52" s="235"/>
      <c r="D52" s="310" t="str">
        <f>"_______________   "&amp;'Общие данные'!B150&amp;""</f>
        <v>_______________   A.PARDAYEV</v>
      </c>
      <c r="E52" s="310"/>
    </row>
    <row r="53" spans="1:6">
      <c r="A53" s="53"/>
      <c r="B53" s="53"/>
      <c r="C53" s="53"/>
      <c r="D53" s="53"/>
      <c r="E53" s="53"/>
    </row>
    <row r="54" spans="1:6">
      <c r="A54" s="310"/>
      <c r="B54" s="310"/>
      <c r="C54" s="310"/>
      <c r="D54" s="53"/>
      <c r="E54" s="53"/>
    </row>
    <row r="55" spans="1:6" hidden="1">
      <c r="A55" s="235" t="s">
        <v>47</v>
      </c>
      <c r="B55" s="235"/>
      <c r="C55" s="235"/>
      <c r="D55" s="53"/>
      <c r="E55" s="53"/>
    </row>
    <row r="56" spans="1:6" hidden="1">
      <c r="A56" s="235" t="str">
        <f>'Общие данные'!B148</f>
        <v>«CLEVER MIKROMOLIYA TASHKILOTI» MChJ</v>
      </c>
      <c r="B56" s="235"/>
      <c r="C56" s="235"/>
      <c r="D56" s="235" t="str">
        <f>"_______________   "&amp;'Общие данные'!B159&amp;""</f>
        <v>_______________   Mominov B.X.</v>
      </c>
      <c r="E56" s="235"/>
    </row>
    <row r="57" spans="1:6" ht="12.75" customHeight="1">
      <c r="A57" s="235"/>
      <c r="B57" s="235"/>
      <c r="C57" s="235"/>
      <c r="D57" s="235"/>
      <c r="E57" s="235"/>
    </row>
    <row r="58" spans="1:6">
      <c r="A58" s="310" t="s">
        <v>213</v>
      </c>
      <c r="B58" s="310"/>
      <c r="C58" s="310"/>
      <c r="D58" s="235"/>
      <c r="E58" s="235"/>
    </row>
    <row r="59" spans="1:6" ht="31.5" customHeight="1">
      <c r="A59" s="235" t="s">
        <v>214</v>
      </c>
      <c r="B59" s="235"/>
      <c r="C59" s="235"/>
      <c r="D59" s="310" t="str">
        <f>"_______________  "&amp;'Общие данные'!B7&amp;""</f>
        <v>_______________  NUTFULLAYEV A.A.</v>
      </c>
      <c r="E59" s="310"/>
    </row>
    <row r="60" spans="1:6" ht="12.75" customHeight="1">
      <c r="A60" s="235"/>
      <c r="B60" s="235"/>
      <c r="C60" s="235"/>
      <c r="D60" s="315" t="str">
        <f>IF('Общие данные'!B93="да","",'Общие данные'!B118)</f>
        <v>NUTFULLAYEV A.A.</v>
      </c>
      <c r="E60" s="315"/>
    </row>
    <row r="61" spans="1:6" ht="17.25" hidden="1" customHeight="1">
      <c r="A61" s="310" t="str">
        <f>+IF('Общие данные'!B93="ha"," ","3-tomondan:")</f>
        <v xml:space="preserve"> </v>
      </c>
      <c r="B61" s="310"/>
      <c r="C61" s="310"/>
      <c r="D61" s="310"/>
      <c r="E61" s="310"/>
      <c r="F61" s="15" t="str">
        <f>IF('Общие данные'!B94='Общие данные'!D94,B7,"")</f>
        <v/>
      </c>
    </row>
    <row r="62" spans="1:6" ht="17.25" hidden="1" customHeight="1">
      <c r="A62" s="235" t="str">
        <f>+IF('Общие данные'!B93="ha"," ","O'zbekiston Respublikasi fuqarosi")</f>
        <v xml:space="preserve"> </v>
      </c>
      <c r="B62" s="235"/>
      <c r="C62" s="235"/>
      <c r="D62" s="310" t="str">
        <f>"_______________  "&amp;'Общие данные'!B112&amp;""</f>
        <v>_______________  NUTFULLAYEV A.A.</v>
      </c>
      <c r="E62" s="310"/>
    </row>
    <row r="63" spans="1:6" ht="63.75" hidden="1" customHeight="1">
      <c r="A63" s="190" t="str">
        <f>IF('Общие данные'!B94='Общие данные'!C94,"_______________  "&amp;'Общие данные'!B112&amp;"","_______________  "&amp;'Общие данные'!B7&amp;"")</f>
        <v>_______________  NUTFULLAYEV A.A.</v>
      </c>
      <c r="B63" s="53"/>
      <c r="C63" s="235" t="str">
        <f>'заявление залогодателя'!A20</f>
        <v/>
      </c>
      <c r="D63" s="235"/>
      <c r="E63" s="235"/>
    </row>
    <row r="64" spans="1:6" ht="6.75" customHeight="1">
      <c r="D64" s="256"/>
      <c r="E64" s="256"/>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59" t="str">
        <f>""&amp;'Общие данные'!B147&amp;" ijrochi direktorining
"&amp;'Общие данные'!B165&amp;"dagi "&amp;'Общие данные'!B164&amp;"-sonli buyrug‘i"</f>
        <v>«CLEVER MIKROMOLIYA TASHKILOTI» MChJ ijrochi direktorining
11 mart 2025 y.dagi № -SR-sonli buyrug‘i</v>
      </c>
      <c r="B4" s="259"/>
      <c r="C4" s="259"/>
      <c r="D4" s="259"/>
      <c r="E4" s="259"/>
    </row>
    <row r="5" spans="1:5">
      <c r="A5" s="259"/>
      <c r="B5" s="259"/>
      <c r="C5" s="259"/>
      <c r="D5" s="259"/>
      <c r="E5" s="259"/>
    </row>
    <row r="6" spans="1:5">
      <c r="A6" s="259"/>
      <c r="B6" s="259"/>
      <c r="C6" s="259"/>
      <c r="D6" s="259"/>
      <c r="E6" s="259"/>
    </row>
    <row r="7" spans="1:5">
      <c r="A7" s="232"/>
      <c r="B7" s="232"/>
      <c r="C7" s="232"/>
      <c r="D7" s="232"/>
      <c r="E7" s="232"/>
    </row>
    <row r="8" spans="1:5" ht="53.25" customHeight="1">
      <c r="A8" s="232"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2"/>
      <c r="C8" s="232"/>
      <c r="D8" s="232"/>
      <c r="E8" s="232"/>
    </row>
    <row r="9" spans="1:5" ht="26.25" customHeight="1">
      <c r="A9" s="232" t="str">
        <f>'Кредитная заявка'!A13:D13</f>
        <v>Mikroqarz summasi: 27 000 000,00 (yigirma yetti million so'm) so'm.</v>
      </c>
      <c r="B9" s="232"/>
      <c r="C9" s="232"/>
      <c r="D9" s="232"/>
      <c r="E9" s="232"/>
    </row>
    <row r="10" spans="1:5" ht="21" customHeight="1">
      <c r="A10" s="232" t="str">
        <f>'Кредитная заявка'!A14:D14</f>
        <v>Mikroqarz muddati: 36 (o'ttiz olti) oy.</v>
      </c>
      <c r="B10" s="232"/>
      <c r="C10" s="232"/>
      <c r="D10" s="232"/>
      <c r="E10" s="232"/>
    </row>
    <row r="11" spans="1:5" ht="27" customHeight="1">
      <c r="A11" s="232" t="str">
        <f>'Кредитная заявка'!A15:D15</f>
        <v>Mikroqarzdan foydalanganlik uchun foiz stavkasi: yillik  60% (Oltmish) foiz</v>
      </c>
      <c r="B11" s="232"/>
      <c r="C11" s="232"/>
      <c r="D11" s="232"/>
      <c r="E11" s="232"/>
    </row>
    <row r="12" spans="1:5" ht="26.25" customHeight="1">
      <c r="A12" s="232" t="str">
        <f>'Кредитная заявка'!A16:D16</f>
        <v>Mikroqarz bo'yicha asosiy qarz va foizlarni to'lash:</v>
      </c>
      <c r="B12" s="232"/>
      <c r="C12" s="232"/>
      <c r="D12" s="232"/>
      <c r="E12" s="232"/>
    </row>
    <row r="13" spans="1:5" ht="21.75" hidden="1" customHeight="1">
      <c r="A13" s="232" t="str">
        <f>'Кредитная заявка'!A17:D17</f>
        <v xml:space="preserve"> - mikroqarz shartnomasi bo'yicha har oy differensial to'lovlari amalga oshiriladi</v>
      </c>
      <c r="B13" s="232"/>
      <c r="C13" s="232"/>
      <c r="D13" s="232"/>
      <c r="E13" s="232"/>
    </row>
    <row r="14" spans="1:5" hidden="1">
      <c r="A14" s="232" t="str">
        <f>'Кредитная заявка'!A19:D19</f>
        <v xml:space="preserve"> - mikroqarz shartnomasi bo'yicha har oy differensial to'lovlari amalga oshiriladi</v>
      </c>
      <c r="B14" s="232"/>
      <c r="C14" s="232"/>
      <c r="D14" s="232"/>
      <c r="E14" s="232"/>
    </row>
    <row r="15" spans="1:5" ht="23.25" customHeight="1">
      <c r="A15" s="232" t="str">
        <f>IF('Общие данные'!B103="Avtotransport",'Приказ на сделку'!A14:E14,'Приказ на сделку'!A13:E13)</f>
        <v xml:space="preserve"> - mikroqarz shartnomasi bo'yicha har oy differensial to'lovlari amalga oshiriladi</v>
      </c>
      <c r="B15" s="232"/>
      <c r="C15" s="232"/>
      <c r="D15" s="232"/>
      <c r="E15" s="232"/>
    </row>
    <row r="16" spans="1:5" ht="45.75" customHeight="1">
      <c r="A16" s="235"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5"/>
      <c r="C16" s="235"/>
      <c r="D16" s="235"/>
      <c r="E16" s="235"/>
    </row>
    <row r="17" spans="1:5" ht="50.25" hidden="1" customHeight="1">
      <c r="A17" s="232"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2"/>
      <c r="C17" s="232"/>
      <c r="D17" s="232"/>
      <c r="E17" s="232"/>
    </row>
    <row r="18" spans="1:5" ht="47.25" hidden="1" customHeight="1">
      <c r="A18" s="232"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2"/>
      <c r="C18" s="232"/>
      <c r="D18" s="232"/>
      <c r="E18" s="232"/>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2" t="str">
        <f>'Акт согласования'!A22:E22</f>
        <v>-* avtotransport egasi: NUTFULLAYEV AKBARJON AXMEDOVICH</v>
      </c>
      <c r="B21" s="232"/>
      <c r="C21" s="232"/>
      <c r="D21" s="232"/>
      <c r="E21" s="232"/>
    </row>
    <row r="22" spans="1:5" ht="20.25" customHeight="1" outlineLevel="1">
      <c r="A22" s="232" t="str">
        <f>'Акт согласования'!A23:E23</f>
        <v>-* texnik pasport: AAG   2346592  13.09.2023y</v>
      </c>
      <c r="B22" s="232"/>
      <c r="C22" s="232"/>
      <c r="D22" s="232"/>
      <c r="E22" s="232"/>
    </row>
    <row r="23" spans="1:5" ht="36" customHeight="1" outlineLevel="1">
      <c r="A23" s="232" t="str">
        <f>'Акт согласования'!A24:E24</f>
        <v>-* roʻyxatdan oʻtgan manzili/garaj manzili: BUXORO VILOYATI BUXORO SHAHAR TADBIRKOR KO'CHASI 12-UY</v>
      </c>
      <c r="B23" s="232"/>
      <c r="C23" s="232"/>
      <c r="D23" s="232"/>
      <c r="E23" s="232"/>
    </row>
    <row r="24" spans="1:5" ht="35.25" customHeight="1" outlineLevel="1">
      <c r="A24" s="232" t="str">
        <f>'Акт согласования'!A25:E25</f>
        <v>-* davlat raqami: 80T312WA</v>
      </c>
      <c r="B24" s="232"/>
      <c r="C24" s="232"/>
      <c r="D24" s="232"/>
      <c r="E24" s="232"/>
    </row>
    <row r="25" spans="1:5">
      <c r="A25" s="232"/>
      <c r="B25" s="232"/>
      <c r="C25" s="232"/>
      <c r="D25" s="232"/>
      <c r="E25" s="232"/>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5"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5"/>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5"/>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5"/>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5"/>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5"/>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5"/>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5"/>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5"/>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5"/>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5"/>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2" t="e">
        <f>_xlfn.SINGLE('Акт согласования'!#REF!)</f>
        <v>#REF!</v>
      </c>
      <c r="B39" s="232"/>
      <c r="C39" s="232"/>
      <c r="D39" s="232"/>
      <c r="E39" s="232"/>
    </row>
    <row r="40" spans="1:5" s="37" customFormat="1" hidden="1" outlineLevel="1">
      <c r="A40" s="232" t="e">
        <f>_xlfn.SINGLE('Акт согласования'!#REF!)</f>
        <v>#REF!</v>
      </c>
      <c r="B40" s="232"/>
      <c r="C40" s="232"/>
      <c r="D40" s="232"/>
      <c r="E40" s="232"/>
    </row>
    <row r="41" spans="1:5" s="37" customFormat="1" hidden="1" outlineLevel="1">
      <c r="A41" s="232" t="e">
        <f>_xlfn.SINGLE('Акт согласования'!#REF!)</f>
        <v>#REF!</v>
      </c>
      <c r="B41" s="232"/>
      <c r="C41" s="232"/>
      <c r="D41" s="232"/>
      <c r="E41" s="232"/>
    </row>
    <row r="42" spans="1:5" s="37" customFormat="1" hidden="1" outlineLevel="1">
      <c r="A42" s="232" t="e">
        <f>_xlfn.SINGLE('Акт согласования'!#REF!)</f>
        <v>#REF!</v>
      </c>
      <c r="B42" s="232"/>
      <c r="C42" s="232"/>
      <c r="D42" s="232"/>
      <c r="E42" s="232"/>
    </row>
    <row r="43" spans="1:5" s="37" customFormat="1" collapsed="1">
      <c r="A43" s="232"/>
      <c r="B43" s="232"/>
      <c r="C43" s="232"/>
      <c r="D43" s="232"/>
      <c r="E43" s="232"/>
    </row>
    <row r="44" spans="1:5" s="37" customFormat="1">
      <c r="A44" s="232"/>
      <c r="B44" s="232"/>
      <c r="C44" s="232"/>
      <c r="D44" s="232"/>
      <c r="E44" s="232"/>
    </row>
    <row r="45" spans="1:5" s="37" customFormat="1" hidden="1">
      <c r="A45" s="232"/>
      <c r="B45" s="232"/>
      <c r="C45" s="232"/>
      <c r="D45" s="232"/>
      <c r="E45" s="232"/>
    </row>
    <row r="46" spans="1:5" s="37" customFormat="1" ht="14.25" hidden="1">
      <c r="A46" s="50"/>
      <c r="B46" s="50"/>
      <c r="C46" s="50"/>
      <c r="D46" s="50"/>
      <c r="E46" s="50"/>
    </row>
    <row r="47" spans="1:5" hidden="1">
      <c r="A47" s="232"/>
      <c r="B47" s="232"/>
      <c r="C47" s="232"/>
      <c r="D47" s="232"/>
      <c r="E47" s="232"/>
    </row>
    <row r="48" spans="1:5" ht="15" customHeight="1">
      <c r="A48" s="310" t="s">
        <v>381</v>
      </c>
      <c r="B48" s="310"/>
      <c r="C48" s="310"/>
      <c r="D48" s="319"/>
      <c r="E48" s="319"/>
    </row>
    <row r="49" spans="1:5" ht="15" customHeight="1">
      <c r="A49" s="310" t="s">
        <v>335</v>
      </c>
      <c r="B49" s="310"/>
      <c r="C49" s="310"/>
      <c r="D49" s="319" t="s">
        <v>382</v>
      </c>
      <c r="E49" s="319"/>
    </row>
    <row r="50" spans="1:5">
      <c r="A50" s="232"/>
      <c r="B50" s="232"/>
      <c r="C50" s="232"/>
      <c r="D50" s="232"/>
      <c r="E50" s="232"/>
    </row>
    <row r="51" spans="1:5">
      <c r="A51" s="232"/>
      <c r="B51" s="232"/>
      <c r="C51" s="232"/>
      <c r="D51" s="232"/>
      <c r="E51" s="232"/>
    </row>
    <row r="52" spans="1:5">
      <c r="A52" s="232"/>
      <c r="B52" s="232"/>
      <c r="C52" s="232"/>
      <c r="D52" s="232"/>
      <c r="E52" s="232"/>
    </row>
    <row r="53" spans="1:5">
      <c r="A53" s="232"/>
      <c r="B53" s="232"/>
      <c r="C53" s="232"/>
      <c r="D53" s="232"/>
      <c r="E53" s="232"/>
    </row>
    <row r="54" spans="1:5">
      <c r="A54" s="232"/>
      <c r="B54" s="232"/>
      <c r="C54" s="232"/>
      <c r="D54" s="232"/>
      <c r="E54" s="232"/>
    </row>
    <row r="55" spans="1:5">
      <c r="A55" s="232"/>
      <c r="B55" s="232"/>
      <c r="C55" s="232"/>
      <c r="D55" s="232"/>
      <c r="E55" s="232"/>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0" t="str">
        <f>'Общие данные'!B148</f>
        <v>«CLEVER MIKROMOLIYA TASHKILOTI» MChJ</v>
      </c>
      <c r="C2" s="331"/>
      <c r="D2" s="331"/>
      <c r="E2" s="331"/>
      <c r="F2" s="332"/>
      <c r="G2" s="41"/>
    </row>
    <row r="3" spans="2:7">
      <c r="B3" s="323"/>
      <c r="C3" s="258"/>
      <c r="D3" s="258"/>
      <c r="E3" s="258"/>
      <c r="F3" s="324"/>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3" t="s">
        <v>27</v>
      </c>
      <c r="C10" s="258"/>
      <c r="D10" s="258"/>
      <c r="E10" s="258"/>
      <c r="F10" s="324"/>
      <c r="G10" s="42"/>
    </row>
    <row r="11" spans="2:7">
      <c r="B11" s="323" t="s">
        <v>27</v>
      </c>
      <c r="C11" s="258"/>
      <c r="D11" s="258"/>
      <c r="E11" s="258"/>
      <c r="F11" s="324"/>
      <c r="G11" s="42"/>
    </row>
    <row r="12" spans="2:7" ht="135" customHeight="1">
      <c r="B12" s="333" t="str">
        <f>'Общие данные'!B5</f>
        <v>NUTFULLAYEV AKBARJON AXMEDOVICH</v>
      </c>
      <c r="C12" s="334"/>
      <c r="D12" s="334"/>
      <c r="E12" s="334"/>
      <c r="F12" s="335"/>
      <c r="G12" s="43"/>
    </row>
    <row r="13" spans="2:7">
      <c r="B13" s="323"/>
      <c r="C13" s="258"/>
      <c r="D13" s="258"/>
      <c r="E13" s="258"/>
      <c r="F13" s="324"/>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3"/>
      <c r="C18" s="258"/>
      <c r="D18" s="258"/>
      <c r="E18" s="258"/>
      <c r="F18" s="324"/>
      <c r="G18" s="42"/>
    </row>
    <row r="19" spans="2:7" ht="20.25">
      <c r="B19" s="327" t="str">
        <f>""&amp;'Общие данные'!C64&amp;" shartnoma "&amp;'Общие данные'!B74&amp;""</f>
        <v>Mikroqarz shartnoma 11 mart 2025 y.dan № -SR</v>
      </c>
      <c r="C19" s="328"/>
      <c r="D19" s="328"/>
      <c r="E19" s="328"/>
      <c r="F19" s="329"/>
      <c r="G19" s="42"/>
    </row>
    <row r="20" spans="2:7">
      <c r="B20" s="323"/>
      <c r="C20" s="258"/>
      <c r="D20" s="258"/>
      <c r="E20" s="258"/>
      <c r="F20" s="324"/>
      <c r="G20" s="42"/>
    </row>
    <row r="21" spans="2:7">
      <c r="B21" s="323"/>
      <c r="C21" s="258"/>
      <c r="D21" s="258"/>
      <c r="E21" s="258"/>
      <c r="F21" s="324"/>
      <c r="G21" s="42"/>
    </row>
    <row r="22" spans="2:7">
      <c r="B22" s="323"/>
      <c r="C22" s="258"/>
      <c r="D22" s="258"/>
      <c r="E22" s="258"/>
      <c r="F22" s="324"/>
      <c r="G22" s="42"/>
    </row>
    <row r="23" spans="2:7">
      <c r="B23" s="323"/>
      <c r="C23" s="258"/>
      <c r="D23" s="258"/>
      <c r="E23" s="258"/>
      <c r="F23" s="324"/>
      <c r="G23" s="42"/>
    </row>
    <row r="24" spans="2:7">
      <c r="B24" s="325" t="str">
        <f>" Foiz stavkasi: "&amp;'Общие данные'!B85&amp;"%"</f>
        <v xml:space="preserve"> Foiz stavkasi: 60%</v>
      </c>
      <c r="C24" s="231"/>
      <c r="D24" s="231"/>
      <c r="E24" s="231"/>
      <c r="F24" s="326"/>
      <c r="G24" s="42"/>
    </row>
    <row r="25" spans="2:7" ht="15" customHeight="1">
      <c r="B25" s="325" t="str">
        <f>" "&amp;'Общие данные'!C64&amp;" muddati: "&amp;'Общие данные'!B81&amp;" oy"</f>
        <v xml:space="preserve"> Mikroqarz muddati: 36 oy</v>
      </c>
      <c r="C25" s="231"/>
      <c r="D25" s="231"/>
      <c r="E25" s="231"/>
      <c r="F25" s="326"/>
      <c r="G25" s="42"/>
    </row>
    <row r="26" spans="2:7">
      <c r="B26" s="325" t="str">
        <f>" "&amp;'Общие данные'!C64&amp;" miqdori: "&amp;FIXED('Общие данные'!B75,2)&amp;" so'm"</f>
        <v xml:space="preserve"> Mikroqarz miqdori: 27 000 000,00 so'm</v>
      </c>
      <c r="C26" s="231"/>
      <c r="D26" s="231"/>
      <c r="E26" s="231"/>
      <c r="F26" s="326"/>
      <c r="G26" s="42"/>
    </row>
    <row r="27" spans="2:7">
      <c r="B27" s="323"/>
      <c r="C27" s="258"/>
      <c r="D27" s="258"/>
      <c r="E27" s="258"/>
      <c r="F27" s="324"/>
      <c r="G27" s="42"/>
    </row>
    <row r="28" spans="2:7" hidden="1">
      <c r="G28" s="42"/>
    </row>
    <row r="29" spans="2:7">
      <c r="B29" s="323"/>
      <c r="C29" s="258"/>
      <c r="D29" s="258"/>
      <c r="E29" s="258"/>
      <c r="F29" s="324"/>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0" t="str">
        <f>"Toshkent sh., "&amp;'Общие данные'!B70&amp;""</f>
        <v>Toshkent sh., 11 mart 2025 y.</v>
      </c>
      <c r="C40" s="321"/>
      <c r="D40" s="321"/>
      <c r="E40" s="321"/>
      <c r="F40" s="322"/>
      <c r="G40" s="42"/>
    </row>
    <row r="41" spans="2:7">
      <c r="B41" s="258"/>
      <c r="C41" s="258"/>
      <c r="D41" s="258"/>
      <c r="E41" s="258"/>
      <c r="F41" s="258"/>
      <c r="G41" s="42"/>
    </row>
    <row r="42" spans="2:7">
      <c r="B42" s="258"/>
      <c r="C42" s="258"/>
      <c r="D42" s="258"/>
      <c r="E42" s="258"/>
      <c r="F42" s="258"/>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7"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-SR, на сумму 27 000 000,00 (yigirma yetti million so'm) сум, сроком на 36 (o'ttiz olti) месяцев. В качестве своевременного исполнения обязательств по договору Микрозайма 11 mart 2025 y.dan № -SR планирует предоставить нижеследующее автотранспортного средство марки CHANGAN CHANGAN SC 1027SB принадлежащее на правах собственности NUTFULLAYEV AKBARJON AXMEDOVICH</v>
      </c>
      <c r="B9" s="337"/>
      <c r="C9" s="337"/>
      <c r="D9" s="337"/>
      <c r="E9" s="337"/>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1" t="str">
        <f>'Приказ на сделку'!A21:E21</f>
        <v>-* avtotransport egasi: NUTFULLAYEV AKBARJON AXMEDOVICH</v>
      </c>
      <c r="B13" s="341"/>
      <c r="C13" s="341"/>
      <c r="D13" s="341"/>
      <c r="E13" s="341"/>
    </row>
    <row r="14" spans="1:5">
      <c r="A14" s="341" t="str">
        <f>'Приказ на сделку'!A22:E22</f>
        <v>-* texnik pasport: AAG   2346592  13.09.2023y</v>
      </c>
      <c r="B14" s="341"/>
      <c r="C14" s="341"/>
      <c r="D14" s="341"/>
      <c r="E14" s="341"/>
    </row>
    <row r="15" spans="1:5">
      <c r="A15" s="341" t="str">
        <f>'Приказ на сделку'!A23:E23</f>
        <v>-* roʻyxatdan oʻtgan manzili/garaj manzili: BUXORO VILOYATI BUXORO SHAHAR TADBIRKOR KO'CHASI 12-UY</v>
      </c>
      <c r="B15" s="341"/>
      <c r="C15" s="341"/>
      <c r="D15" s="341"/>
      <c r="E15" s="341"/>
    </row>
    <row r="16" spans="1:5">
      <c r="A16" s="341" t="str">
        <f>'Приказ на сделку'!A24:E24</f>
        <v>-* davlat raqami: 80T312WA</v>
      </c>
      <c r="B16" s="341"/>
      <c r="C16" s="341"/>
      <c r="D16" s="341"/>
      <c r="E16" s="341"/>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6"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7"/>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7"/>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7"/>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7"/>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7"/>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7"/>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7"/>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7"/>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7"/>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8"/>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7" t="e">
        <f>_xlfn.SINGLE('Акт согласования'!#REF!)</f>
        <v>#REF!</v>
      </c>
      <c r="B32" s="337"/>
      <c r="C32" s="337"/>
      <c r="D32" s="337"/>
      <c r="E32" s="337"/>
    </row>
    <row r="33" spans="1:5" ht="24.75" hidden="1" customHeight="1">
      <c r="A33" s="337" t="e">
        <f>_xlfn.SINGLE('Акт согласования'!#REF!)</f>
        <v>#REF!</v>
      </c>
      <c r="B33" s="337"/>
      <c r="C33" s="337"/>
      <c r="D33" s="337"/>
      <c r="E33" s="337"/>
    </row>
    <row r="34" spans="1:5" ht="30.75" hidden="1" customHeight="1">
      <c r="A34" s="337" t="e">
        <f>_xlfn.SINGLE('Акт согласования'!#REF!)</f>
        <v>#REF!</v>
      </c>
      <c r="B34" s="337"/>
      <c r="C34" s="337"/>
      <c r="D34" s="337"/>
      <c r="E34" s="337"/>
    </row>
    <row r="35" spans="1:5" ht="15" hidden="1" customHeight="1">
      <c r="A35" s="337" t="e">
        <f>_xlfn.SINGLE('Акт согласования'!#REF!)</f>
        <v>#REF!</v>
      </c>
      <c r="B35" s="337"/>
      <c r="C35" s="337"/>
      <c r="D35" s="337"/>
      <c r="E35" s="337"/>
    </row>
    <row r="36" spans="1:5">
      <c r="A36" s="22"/>
      <c r="B36" s="22"/>
      <c r="C36" s="22"/>
      <c r="D36" s="22"/>
      <c r="E36" s="22"/>
    </row>
    <row r="37" spans="1:5" s="130" customFormat="1" ht="51" customHeight="1">
      <c r="A37" s="340"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0"/>
      <c r="C37" s="340"/>
      <c r="D37" s="340"/>
      <c r="E37" s="340"/>
    </row>
    <row r="38" spans="1:5" ht="40.5" customHeight="1">
      <c r="A38" s="337" t="str">
        <f>'Акт согласования'!A47:E47</f>
        <v>Shu bilan birga, garov predmetining kelishilgan garov qiymati deganda ushbu mulk garov sifatida taqdim etilgan/qabul qilingan qiymati tushuniladi.</v>
      </c>
      <c r="B38" s="337"/>
      <c r="C38" s="337"/>
      <c r="D38" s="337"/>
      <c r="E38" s="337"/>
    </row>
    <row r="39" spans="1:5" ht="39" customHeight="1">
      <c r="A39" s="33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-SR, при сохранении запрета.</v>
      </c>
      <c r="B39" s="337"/>
      <c r="C39" s="337"/>
      <c r="D39" s="337"/>
      <c r="E39" s="337"/>
    </row>
    <row r="40" spans="1:5">
      <c r="A40" s="338"/>
      <c r="B40" s="338"/>
      <c r="C40" s="338"/>
      <c r="D40" s="338"/>
      <c r="E40" s="338"/>
    </row>
    <row r="41" spans="1:5">
      <c r="A41" s="339" t="s">
        <v>37</v>
      </c>
      <c r="B41" s="339"/>
      <c r="C41" s="339"/>
      <c r="D41" s="339"/>
      <c r="E41" s="339"/>
    </row>
    <row r="42" spans="1:5">
      <c r="A42" s="338"/>
      <c r="B42" s="338"/>
      <c r="C42" s="338"/>
      <c r="D42" s="338"/>
      <c r="E42" s="338"/>
    </row>
    <row r="43" spans="1:5">
      <c r="A43" s="339" t="s">
        <v>38</v>
      </c>
      <c r="B43" s="339"/>
      <c r="C43" s="339"/>
      <c r="D43" s="339"/>
      <c r="E43" s="339"/>
    </row>
    <row r="44" spans="1:5" ht="28.5" customHeight="1">
      <c r="A44" s="336" t="s">
        <v>39</v>
      </c>
      <c r="B44" s="336"/>
      <c r="C44" s="336"/>
      <c r="D44" s="336"/>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F5" s="156"/>
      <c r="H5" s="141" t="str">
        <f>TEXT('Общие данные'!D2,"ДД.ММ.ГГГГ")</f>
        <v>07.09.2025</v>
      </c>
    </row>
    <row r="7" spans="1:9" ht="45" customHeight="1">
      <c r="A7" s="343"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Surxondaryo filiali boshlig'ii A.PARDAYEV, jismoniy shaxs  NUTFULLAYEV AKBARJON AXMEDOVICH  11 mart 2025 y.dan № -SR-sonli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'Акт согласования'!A20</f>
        <v>Nomi</v>
      </c>
      <c r="B9" s="349"/>
      <c r="C9" s="348" t="str">
        <f>'Акт согласования'!B20</f>
        <v>Kuzov turi  va kuzov raqami*</v>
      </c>
      <c r="D9" s="349"/>
      <c r="E9" s="348" t="str">
        <f>'Акт согласования'!D20</f>
        <v>Dvigatel va shassi raqami*</v>
      </c>
      <c r="F9" s="349"/>
      <c r="G9" s="348" t="str">
        <f>'Акт согласования'!E20</f>
        <v>Ishlab chiqarilgan yili va rangi**</v>
      </c>
      <c r="H9" s="349"/>
    </row>
    <row r="10" spans="1:9" s="140" customFormat="1" ht="58.5" customHeight="1">
      <c r="A10" s="350" t="str">
        <f>'Акт согласования'!A21</f>
        <v>CHANGAN CHANGAN SC 1027SB</v>
      </c>
      <c r="B10" s="350"/>
      <c r="C10" s="350" t="str">
        <f>'Акт согласования'!B21</f>
        <v>kuzov turi - YUK BORTLI TENT, kuzov raqami LSCAB23D8EG228387</v>
      </c>
      <c r="D10" s="350"/>
      <c r="E10" s="350" t="str">
        <f>'Акт согласования'!D21</f>
        <v>dvigatel raqami JL466Q1%E61H022801, shassi raqami - URINDIKLAR SONI 5TA</v>
      </c>
      <c r="F10" s="350"/>
      <c r="G10" s="350" t="str">
        <f>'Акт согласования'!E21</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27" customHeight="1">
      <c r="A17" s="346" t="s">
        <v>277</v>
      </c>
      <c r="B17" s="346"/>
      <c r="C17" s="346"/>
      <c r="D17" s="346"/>
      <c r="E17" s="346"/>
      <c r="F17" s="346"/>
      <c r="G17" s="346"/>
      <c r="H17" s="346"/>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данные'!B2+360,"ДД.ММ.ГГГГ")</f>
        <v>06.03.2026</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Surxondaryo filiali boshlig'ii A.PARDAYEV, jismoniy shaxs  NUTFULLAYEV AKBARJON AXMEDOVICH  11 mart 2025 y.dan № -SR-sonli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35.25" customHeight="1">
      <c r="A17" s="346" t="s">
        <v>277</v>
      </c>
      <c r="B17" s="346"/>
      <c r="C17" s="346"/>
      <c r="D17" s="346"/>
      <c r="E17" s="346"/>
      <c r="F17" s="346"/>
      <c r="G17" s="346"/>
      <c r="H17" s="346"/>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данные'!B2+540,"ДД.ММ.ГГГГ")</f>
        <v>02.09.2026</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Surxondaryo filiali boshlig'ii A.PARDAYEV, jismoniy shaxs  NUTFULLAYEV AKBARJON AXMEDOVICH  11 mart 2025 y.dan № -SR-sonli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1" t="str">
        <f>' Акт мониторинга 1'!A10</f>
        <v>CHANGAN CHANGAN SC 1027SB</v>
      </c>
      <c r="B10" s="352"/>
      <c r="C10" s="351" t="str">
        <f>' Акт мониторинга 1'!C10</f>
        <v>kuzov turi - YUK BORTLI TENT, kuzov raqami LSCAB23D8EG228387</v>
      </c>
      <c r="D10" s="352"/>
      <c r="E10" s="351" t="str">
        <f>' Акт мониторинга 1'!E10</f>
        <v>dvigatel raqami JL466Q1%E61H022801, shassi raqami - URINDIKLAR SONI 5TA</v>
      </c>
      <c r="F10" s="352"/>
      <c r="G10" s="351" t="str">
        <f>' Акт мониторинга 1'!G10</f>
        <v>rangi -  OQ BELIY, ishlab chiqarilgan yili - 2014</v>
      </c>
      <c r="H10" s="352"/>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s="140" customFormat="1" ht="32.25" customHeight="1">
      <c r="A17" s="346" t="s">
        <v>277</v>
      </c>
      <c r="B17" s="346"/>
      <c r="C17" s="346"/>
      <c r="D17" s="346"/>
      <c r="E17" s="346"/>
      <c r="F17" s="346"/>
      <c r="G17" s="346"/>
      <c r="H17" s="346"/>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-SR-sonli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данные'!B2+720,"ДД.ММ.ГГГГ")</f>
        <v>01.03.2027</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Surxondaryo filiali boshlig'ii A.PARDAYEV, jismoniy shaxs  NUTFULLAYEV AKBARJON AXMEDOVICH  11 mart 2025 y.dan № -SR-sonli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28.5" customHeight="1">
      <c r="A17" s="346" t="s">
        <v>277</v>
      </c>
      <c r="B17" s="346"/>
      <c r="C17" s="346"/>
      <c r="D17" s="346"/>
      <c r="E17" s="346"/>
      <c r="F17" s="346"/>
      <c r="G17" s="346"/>
      <c r="H17" s="346"/>
    </row>
    <row r="21" spans="1:8" s="31" customFormat="1"/>
    <row r="22" spans="1:8" s="31" customFormat="1">
      <c r="A22" s="31" t="str">
        <f>'Общие данные'!A150</f>
        <v>Surxondaryo filiali boshlig'i</v>
      </c>
      <c r="H22" s="143" t="str">
        <f>'Общие данные'!B150</f>
        <v>A.PARDAYEV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2025-03-13T08:52:12Z</dcterms:modified>
</cp:coreProperties>
</file>