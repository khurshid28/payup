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06228B1B-9E1A-4D15-9233-9590CE2173F5}"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 r:id="rId24"/>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КК'!$A$1:$E$64</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1" i="3" l="1"/>
  <c r="D51" i="3"/>
  <c r="A59" i="3"/>
  <c r="A57" i="3"/>
  <c r="A53"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<sst xmlns="http://schemas.openxmlformats.org/spreadsheetml/2006/main" count="594" uniqueCount="436">
  <si>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</si>
  <si>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</si>
  <si>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</si>
  <si>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</si>
  <si>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</si>
  <si>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</si>
  <si>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</si>
  <si>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</si>
  <si>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</si>
  <si>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</si>
  <si>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</si>
  <si>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</si>
  <si>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</si>
  <si>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</si>
  <si>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</si>
  <si>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</si>
  <si>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</si>
  <si>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</si>
  <si>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</si>
  <si>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</si>
  <si>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</si>
  <si>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</si>
  <si>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</si>
  <si>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</si>
  <si>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</si>
  <si>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</si>
  <si>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</si>
  <si>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</si>
  <si>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</si>
  <si>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</si>
  <si>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</si>
  <si>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</si>
  <si>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</si>
  <si>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</si>
  <si>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</si>
  <si>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</si>
  <si>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</si>
  <si>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</si>
  <si>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</si>
  <si>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</si>
  <si>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</si>
  <si>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</si>
  <si>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</si>
  <si>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</si>
  <si>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</si>
  <si>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</si>
  <si>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</si>
  <si>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</si>
  <si>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</si>
  <si>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</si>
  <si>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</si>
  <si>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</si>
  <si>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</si>
  <si>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</si>
  <si>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</si>
  <si>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</si>
  <si>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</si>
  <si>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</si>
  <si>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</si>
  <si>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</si>
  <si>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</si>
  <si>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</si>
  <si>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</si>
  <si>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</si>
  <si>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</si>
  <si>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</si>
  <si>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</si>
  <si>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</si>
  <si>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</si>
  <si>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</si>
  <si>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</si>
  <si>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</si>
  <si>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</si>
  <si>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</si>
  <si>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</si>
  <si>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</si>
  <si>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</si>
  <si>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</si>
  <si>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</si>
  <si>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</si>
  <si>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</si>
  <si>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</si>
  <si>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</si>
  <si>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</si>
  <si>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</si>
  <si>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</si>
  <si>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</si>
  <si>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</si>
  <si>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</si>
  <si>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</si>
  <si>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</si>
  <si>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</si>
  <si>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</si>
  <si>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</si>
  <si>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</si>
  <si>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</si>
  <si>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</si>
  <si>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</si>
  <si>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</si>
  <si>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</si>
  <si>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</si>
  <si>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</si>
  <si>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</si>
  <si>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</si>
  <si>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</si>
  <si>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</si>
  <si>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</si>
  <si>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</si>
  <si>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</si>
  <si>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</si>
  <si>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</si>
  <si>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</si>
  <si>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</si>
  <si>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</si>
  <si>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</si>
  <si>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</si>
  <si>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</si>
  <si>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</si>
  <si>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</si>
  <si>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</si>
  <si>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</si>
  <si>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</si>
  <si>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</si>
  <si>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</si>
  <si>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</si>
  <si>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</si>
  <si>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</si>
  <si>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</si>
  <si>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</si>
  <si>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</si>
  <si>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</si>
  <si>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</si>
  <si>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</si>
  <si>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</si>
  <si>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</si>
  <si>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</si>
  <si>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</si>
  <si>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</si>
  <si>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</si>
  <si>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</si>
  <si>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</si>
  <si>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</si>
  <si>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</si>
  <si>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</si>
  <si>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</si>
  <si>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</si>
  <si>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</si>
  <si>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</si>
  <si>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</si>
  <si>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</si>
  <si>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</si>
  <si>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</si>
  <si>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</si>
  <si>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</si>
  <si>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</si>
  <si>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</si>
  <si>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</si>
  <si>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</si>
  <si>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</si>
  <si>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</si>
  <si>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</si>
  <si>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</si>
  <si>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</si>
  <si>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</si>
  <si>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</si>
  <si>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</si>
  <si>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</si>
  <si>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</si>
  <si>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</si>
  <si>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</si>
  <si>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</si>
  <si>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</si>
  <si>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</si>
  <si>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</si>
  <si>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</si>
  <si>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</si>
  <si>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</si>
  <si>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</si>
  <si>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</si>
  <si>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</si>
  <si>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</si>
  <si>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</si>
  <si>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</si>
  <si>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</si>
  <si>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</si>
  <si>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</si>
  <si>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</si>
  <si>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</si>
  <si>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</si>
  <si>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</si>
  <si>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</si>
  <si>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</si>
  <si>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</si>
  <si>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</si>
  <si>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</si>
  <si>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</si>
  <si>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</si>
  <si>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</si>
  <si>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</si>
  <si>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</si>
  <si>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</si>
  <si>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</si>
  <si>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</si>
  <si>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</si>
  <si>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</si>
  <si>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</si>
  <si>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</si>
  <si>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</si>
  <si>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</si>
  <si>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</si>
  <si>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</si>
  <si>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</si>
  <si>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</si>
  <si>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</si>
  <si>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</si>
  <si>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</si>
  <si>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</si>
  <si>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</si>
  <si>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</si>
  <si>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</si>
  <si>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</si>
  <si>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</si>
  <si>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</si>
  <si>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</si>
  <si>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</si>
  <si>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</si>
  <si>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</si>
  <si>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</si>
  <si>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</si>
  <si>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</si>
  <si>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</si>
  <si>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</si>
  <si>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</si>
  <si>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</si>
  <si>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</si>
  <si>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</si>
  <si>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</si>
  <si>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</si>
  <si>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</si>
  <si>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</si>
  <si>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</si>
  <si>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</si>
  <si>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</si>
  <si>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</si>
  <si>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</si>
  <si>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</si>
  <si>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</si>
  <si>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</si>
  <si>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</si>
  <si>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</si>
  <si>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</si>
  <si>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</si>
  <si>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</si>
  <si>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</si>
  <si>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</si>
  <si>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</si>
  <si>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</si>
  <si>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</si>
  <si>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</si>
  <si>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</si>
  <si>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</si>
  <si>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</si>
  <si>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</si>
  <si>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</si>
  <si>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</si>
  <si>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</si>
  <si>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</si>
  <si>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</si>
  <si>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</si>
  <si>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</si>
  <si>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</si>
  <si>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</si>
  <si>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</si>
  <si>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</si>
  <si>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</si>
  <si>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</si>
  <si>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</si>
  <si>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</si>
  <si>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</si>
  <si>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</si>
  <si>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</si>
  <si>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</si>
  <si>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</si>
  <si>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</si>
  <si>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</si>
  <si>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</si>
  <si>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</si>
  <si>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</si>
  <si>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</si>
  <si>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</si>
  <si>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</si>
  <si>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</si>
  <si>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</si>
  <si>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</si>
  <si>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</si>
  <si>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</si>
  <si>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</si>
  <si>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</si>
  <si>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</si>
  <si>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</si>
  <si>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</si>
  <si>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</si>
  <si>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</si>
  <si>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</si>
  <si>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</si>
  <si>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</si>
  <si>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</si>
  <si>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</si>
  <si>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</si>
  <si>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</si>
  <si>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</si>
  <si>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</si>
  <si>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</si>
  <si>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</si>
  <si>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</si>
  <si>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</si>
  <si>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</si>
  <si>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</si>
  <si>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</si>
  <si>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</si>
  <si>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</si>
  <si>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</si>
  <si>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</si>
  <si>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</si>
  <si>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</si>
  <si>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</si>
  <si>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</si>
  <si>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</si>
  <si>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</si>
  <si>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</si>
  <si>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</si>
  <si>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</si>
  <si>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</si>
  <si>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</si>
  <si>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</si>
  <si>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</si>
  <si>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</si>
  <si>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</si>
  <si>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</si>
  <si>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</si>
  <si>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</si>
  <si>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</si>
  <si>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</si>
  <si>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</si>
  <si>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</si>
  <si>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</si>
  <si>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</si>
  <si>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</si>
  <si>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</si>
  <si>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</si>
  <si>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</si>
  <si>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</si>
  <si>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</si>
  <si>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</si>
  <si>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</si>
  <si>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</si>
  <si>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</si>
  <si>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</si>
  <si>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</si>
  <si>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</si>
  <si>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</si>
  <si>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</si>
  <si>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</si>
  <si>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</si>
  <si>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</si>
  <si>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</si>
  <si>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</si>
  <si>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</si>
  <si>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</si>
  <si>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</si>
  <si>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</si>
  <si>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</si>
  <si>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</si>
  <si>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</si>
  <si>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</si>
  <si>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</si>
  <si>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</si>
  <si>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</si>
  <si>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</si>
  <si>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</si>
  <si>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</si>
  <si>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</si>
  <si>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</si>
  <si>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</si>
  <si>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</si>
  <si>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</si>
  <si>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</si>
  <si>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</si>
  <si>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</si>
  <si>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</si>
  <si>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</si>
  <si>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</si>
  <si>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</si>
  <si>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</si>
  <si>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</si>
  <si>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</si>
  <si>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</si>
  <si>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</si>
  <si>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Mikroqarz shartnomasining bir nusxasini oldim _______________</t>
  </si>
  <si>
    <t>1. Abduraximov N.K.</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</si>
  <si>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</si>
  <si>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</si>
  <si>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</si>
  <si>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</si>
  <si>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</si>
  <si>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</si>
  <si>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</si>
  <si>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</si>
  <si>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</si>
  <si>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</si>
  <si>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</si>
  <si>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</si>
  <si>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</si>
  <si>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</si>
  <si>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</si>
  <si>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</si>
  <si>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</si>
  <si>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</si>
  <si>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</si>
  <si>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</si>
  <si>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</si>
  <si>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</si>
  <si>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</si>
  <si>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</si>
  <si>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</si>
  <si>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</si>
  <si>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-BR</t>
  </si>
  <si>
    <t>Buxoro filiali boshlig'i</t>
  </si>
  <si>
    <t>Xudayberdiyev Alijon Ravshanovich</t>
  </si>
  <si>
    <t>B.Mominov</t>
  </si>
  <si>
    <t>B.Jumanazarov</t>
  </si>
  <si>
    <t>A.Xudayberdiyev</t>
  </si>
  <si>
    <t>N. Abduraximov</t>
  </si>
  <si>
    <t>Ijrochi direktor</t>
  </si>
  <si>
    <t>B. Mominov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</si>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</sst>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2343">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cellStyleXfs>
  <cellXfs count="357">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7" fillId="0" borderId="0" xfId="0" applyFont="1" applyAlignment="1">
      <alignment vertical="top" wrapText="1"/>
    </xf>
    <xf numFmtId="0" fontId="17" fillId="0" borderId="0" xfId="0" applyFont="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47" fillId="0" borderId="0" xfId="0" applyFont="1" applyAlignment="1">
      <alignment horizontal="justify" vertical="top" wrapText="1"/>
    </xf>
    <xf numFmtId="0" fontId="17" fillId="0" borderId="0" xfId="0" applyFont="1" applyAlignment="1">
      <alignment horizontal="left"/>
    </xf>
    <xf numFmtId="0" fontId="17" fillId="0" borderId="0" xfId="0" applyFont="1" applyAlignment="1">
      <alignment horizontal="left"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center" vertical="top" wrapText="1"/>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7"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9" fillId="0" borderId="0" xfId="0" applyFont="1" applyAlignment="1">
      <alignment horizontal="justify" vertical="top"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30" fillId="0" borderId="0" xfId="0" applyFont="1" applyAlignment="1">
      <alignment horizontal="justify" vertical="center" wrapText="1"/>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11" fillId="0" borderId="0" xfId="0" applyFont="1" applyAlignment="1">
      <alignment horizontal="center"/>
    </xf>
    <xf numFmtId="0" fontId="11" fillId="0" borderId="0" xfId="0" applyFont="1" applyAlignment="1">
      <alignment horizontal="right" vertical="top" wrapText="1"/>
    </xf>
    <xf numFmtId="0" fontId="10" fillId="0" borderId="0" xfId="0" applyFont="1" applyAlignment="1">
      <alignment horizontal="justify" wrapText="1"/>
    </xf>
    <xf numFmtId="0" fontId="10" fillId="0" borderId="0" xfId="0" applyFont="1" applyAlignment="1">
      <alignment horizontal="justify" vertical="top" wrapText="1"/>
    </xf>
    <xf numFmtId="0" fontId="11"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center" vertical="center"/>
    </xf>
    <xf numFmtId="0" fontId="10" fillId="0" borderId="0" xfId="0" applyFont="1" applyAlignment="1">
      <alignment horizontal="left" vertical="top" wrapText="1"/>
    </xf>
    <xf numFmtId="0" fontId="30" fillId="0" borderId="0" xfId="0" applyFont="1" applyAlignment="1">
      <alignment horizontal="left" vertical="top" wrapText="1"/>
    </xf>
    <xf numFmtId="49" fontId="10" fillId="0" borderId="0" xfId="0" applyNumberFormat="1" applyFont="1" applyAlignment="1">
      <alignment horizontal="left" vertical="top" wrapText="1"/>
    </xf>
    <xf numFmtId="0" fontId="11" fillId="0" borderId="0" xfId="0" applyFont="1" applyAlignment="1">
      <alignment horizontal="center" vertical="center" wrapText="1"/>
    </xf>
    <xf numFmtId="0" fontId="10" fillId="0" borderId="0" xfId="0" applyFont="1" applyAlignment="1">
      <alignment horizontal="left" wrapText="1"/>
    </xf>
    <xf numFmtId="0" fontId="10" fillId="0" borderId="0" xfId="0" applyFont="1" applyAlignment="1">
      <alignment vertical="top" wrapText="1"/>
    </xf>
    <xf numFmtId="0" fontId="30" fillId="5" borderId="0" xfId="0" applyFont="1" applyFill="1" applyAlignment="1">
      <alignment horizontal="left" vertical="top" wrapText="1"/>
    </xf>
    <xf numFmtId="0" fontId="34" fillId="0" borderId="0" xfId="0" applyFont="1" applyAlignment="1">
      <alignment horizontal="center" vertical="top" wrapText="1"/>
    </xf>
    <xf numFmtId="0" fontId="11" fillId="0" borderId="0" xfId="0" applyFont="1" applyAlignment="1">
      <alignment horizontal="center" vertical="top" wrapText="1"/>
    </xf>
    <xf numFmtId="0" fontId="34"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wrapText="1"/>
    </xf>
    <xf numFmtId="0" fontId="55"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right" vertical="center" wrapText="1"/>
    </xf>
    <xf numFmtId="0" fontId="10" fillId="0" borderId="0" xfId="0" applyFont="1" applyAlignment="1">
      <alignment horizontal="left"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7" fillId="0" borderId="0" xfId="0" applyFont="1" applyAlignment="1">
      <alignment horizontal="right" vertical="top"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right" vertical="top"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6" fillId="0" borderId="0" xfId="0" applyFont="1" applyAlignment="1">
      <alignment horizontal="left"/>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justify" vertical="top" wrapText="1"/>
    </xf>
  </cellXfs>
  <cellStyles count="2343">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2 3" xfId="2264" xr:uid="{891687F7-10F8-4E6C-A18E-8CF7B492D71A}"/>
    <cellStyle name="Обычный 10 2 3" xfId="575" xr:uid="{00000000-0005-0000-0000-000005000000}"/>
    <cellStyle name="Обычный 10 2 4" xfId="1712" xr:uid="{00000000-0005-0000-0000-000006000000}"/>
    <cellStyle name="Обычный 10 2 5" xfId="1992" xr:uid="{C1A13528-AA6D-40FD-9118-3F93EA3505EE}"/>
    <cellStyle name="Обычный 10 3" xfId="344" xr:uid="{00000000-0005-0000-0000-000007000000}"/>
    <cellStyle name="Обычный 10 3 2" xfId="583" xr:uid="{00000000-0005-0000-0000-000008000000}"/>
    <cellStyle name="Обычный 10 3 3" xfId="2128" xr:uid="{97104848-212A-454A-8D09-DF3522AD42E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0 8" xfId="1856" xr:uid="{E5BE61F4-302C-4285-913E-B236EE58080A}"/>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2 3" xfId="2265" xr:uid="{CEEDF380-FAFF-4F37-B025-787F9426C053}"/>
    <cellStyle name="Обычный 11 2 3" xfId="576" xr:uid="{00000000-0005-0000-0000-000012000000}"/>
    <cellStyle name="Обычный 11 2 4" xfId="1713" xr:uid="{00000000-0005-0000-0000-000013000000}"/>
    <cellStyle name="Обычный 11 2 5" xfId="1993" xr:uid="{443379EF-8219-4F94-8B9A-25A4F34D8168}"/>
    <cellStyle name="Обычный 11 3" xfId="345" xr:uid="{00000000-0005-0000-0000-000014000000}"/>
    <cellStyle name="Обычный 11 3 2" xfId="584" xr:uid="{00000000-0005-0000-0000-000015000000}"/>
    <cellStyle name="Обычный 11 3 3" xfId="2129" xr:uid="{709C9D16-2D3D-4F10-8DAB-EA4E29A72AF1}"/>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1 8" xfId="1857" xr:uid="{EC534315-1CEE-4B0B-9601-670BD683873C}"/>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2 3" xfId="2258" xr:uid="{1EBF9304-1368-4A02-A1DE-B0D05EB90EA3}"/>
    <cellStyle name="Обычный 4 2 3" xfId="569" xr:uid="{00000000-0005-0000-0000-000024000000}"/>
    <cellStyle name="Обычный 4 2 4" xfId="1706" xr:uid="{00000000-0005-0000-0000-000025000000}"/>
    <cellStyle name="Обычный 4 2 5" xfId="1986" xr:uid="{6C8B9FF4-DB87-45E9-84C1-E8B73EF96DA4}"/>
    <cellStyle name="Обычный 4 3" xfId="338" xr:uid="{00000000-0005-0000-0000-000026000000}"/>
    <cellStyle name="Обычный 4 3 2" xfId="577" xr:uid="{00000000-0005-0000-0000-000027000000}"/>
    <cellStyle name="Обычный 4 3 3" xfId="2122" xr:uid="{895DD2C2-4721-4000-B449-0D8ED0CEED4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4 8" xfId="1850" xr:uid="{C7A21FD6-F06A-42FF-BE00-EA5D6618C745}"/>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2 3" xfId="2259" xr:uid="{CD37CABD-A11C-4B77-AE76-D5F30B2E16F6}"/>
    <cellStyle name="Обычный 5 2 3" xfId="570" xr:uid="{00000000-0005-0000-0000-000031000000}"/>
    <cellStyle name="Обычный 5 2 4" xfId="1707" xr:uid="{00000000-0005-0000-0000-000032000000}"/>
    <cellStyle name="Обычный 5 2 5" xfId="1987" xr:uid="{425EA268-AB48-478E-A410-3CFA8AE60A6A}"/>
    <cellStyle name="Обычный 5 3" xfId="339" xr:uid="{00000000-0005-0000-0000-000033000000}"/>
    <cellStyle name="Обычный 5 3 2" xfId="578" xr:uid="{00000000-0005-0000-0000-000034000000}"/>
    <cellStyle name="Обычный 5 3 3" xfId="2123" xr:uid="{858464D2-BC3C-4E5D-9897-7A454CEDB09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5 8" xfId="1851" xr:uid="{ADDFFB02-61BC-4819-8E13-C105CB7A87B1}"/>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2 3" xfId="2260" xr:uid="{A918EA59-3121-414A-BB48-51E4F2466AFB}"/>
    <cellStyle name="Обычный 6 2 3" xfId="571" xr:uid="{00000000-0005-0000-0000-00003E000000}"/>
    <cellStyle name="Обычный 6 2 4" xfId="1708" xr:uid="{00000000-0005-0000-0000-00003F000000}"/>
    <cellStyle name="Обычный 6 2 5" xfId="1988" xr:uid="{9CE3C122-F61B-4F81-911D-83955C10663E}"/>
    <cellStyle name="Обычный 6 3" xfId="340" xr:uid="{00000000-0005-0000-0000-000040000000}"/>
    <cellStyle name="Обычный 6 3 2" xfId="579" xr:uid="{00000000-0005-0000-0000-000041000000}"/>
    <cellStyle name="Обычный 6 3 3" xfId="2124" xr:uid="{5E9C031C-8702-4E8D-8EA9-3CDEAF58D11F}"/>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6 8" xfId="1852" xr:uid="{D570EFB2-0E8A-4F95-B027-63065E7D00B7}"/>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2 3" xfId="2261" xr:uid="{31E9B96B-5877-4247-B4D9-A06C70F3155F}"/>
    <cellStyle name="Обычный 7 2 3" xfId="572" xr:uid="{00000000-0005-0000-0000-00004B000000}"/>
    <cellStyle name="Обычный 7 2 4" xfId="1709" xr:uid="{00000000-0005-0000-0000-00004C000000}"/>
    <cellStyle name="Обычный 7 2 5" xfId="1989" xr:uid="{06350B4E-92A6-44B2-9E00-291D15DCFFEC}"/>
    <cellStyle name="Обычный 7 3" xfId="341" xr:uid="{00000000-0005-0000-0000-00004D000000}"/>
    <cellStyle name="Обычный 7 3 2" xfId="580" xr:uid="{00000000-0005-0000-0000-00004E000000}"/>
    <cellStyle name="Обычный 7 3 3" xfId="2125" xr:uid="{B4B852C4-D221-4DAD-A894-8A671D06A3E1}"/>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7 8" xfId="1853" xr:uid="{4B9BF680-390D-4A9C-94DB-2031E982E005}"/>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2 3" xfId="2262" xr:uid="{1F567868-FB4A-445E-9D79-756FE7C0DB6E}"/>
    <cellStyle name="Обычный 8 2 3" xfId="573" xr:uid="{00000000-0005-0000-0000-000058000000}"/>
    <cellStyle name="Обычный 8 2 4" xfId="1710" xr:uid="{00000000-0005-0000-0000-000059000000}"/>
    <cellStyle name="Обычный 8 2 5" xfId="1990" xr:uid="{EA86B718-42B3-4F78-87FD-AFE0B2E0111C}"/>
    <cellStyle name="Обычный 8 3" xfId="342" xr:uid="{00000000-0005-0000-0000-00005A000000}"/>
    <cellStyle name="Обычный 8 3 2" xfId="581" xr:uid="{00000000-0005-0000-0000-00005B000000}"/>
    <cellStyle name="Обычный 8 3 3" xfId="2126" xr:uid="{70EB74D0-89F4-4F30-8300-EBF02A49B2CB}"/>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8 8" xfId="1854" xr:uid="{A8B99830-F1B8-4F1E-81F1-6E4C64BDF99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2 3" xfId="2263" xr:uid="{6BC4C5F6-BE16-48F3-A7B3-10AB5C5841B7}"/>
    <cellStyle name="Обычный 9 2 3" xfId="574" xr:uid="{00000000-0005-0000-0000-000065000000}"/>
    <cellStyle name="Обычный 9 2 4" xfId="1711" xr:uid="{00000000-0005-0000-0000-000066000000}"/>
    <cellStyle name="Обычный 9 2 5" xfId="1991" xr:uid="{21F42D17-42B6-4A42-B473-2B4A054BEC1D}"/>
    <cellStyle name="Обычный 9 3" xfId="343" xr:uid="{00000000-0005-0000-0000-000067000000}"/>
    <cellStyle name="Обычный 9 3 2" xfId="582" xr:uid="{00000000-0005-0000-0000-000068000000}"/>
    <cellStyle name="Обычный 9 3 3" xfId="2127" xr:uid="{0B6BD177-8342-460A-BE20-409D97F53CAD}"/>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Обычный 9 8" xfId="1855" xr:uid="{9A5AEE9A-12FA-4479-B2FF-2380820DBC63}"/>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2 3" xfId="2317" xr:uid="{8FABA748-71F9-424A-A78D-08B0669C277C}"/>
    <cellStyle name="Финансовый 10 2 3" xfId="1236" xr:uid="{00000000-0005-0000-0000-000076000000}"/>
    <cellStyle name="Финансовый 10 2 4" xfId="1765" xr:uid="{00000000-0005-0000-0000-000077000000}"/>
    <cellStyle name="Финансовый 10 2 5" xfId="2045" xr:uid="{77CE409B-2239-4A98-878F-CC0036FBC49E}"/>
    <cellStyle name="Финансовый 10 3" xfId="397" xr:uid="{00000000-0005-0000-0000-000078000000}"/>
    <cellStyle name="Финансовый 10 3 2" xfId="1364" xr:uid="{00000000-0005-0000-0000-000079000000}"/>
    <cellStyle name="Финансовый 10 3 3" xfId="2181" xr:uid="{913E9FD5-463F-48C9-BDD9-B10D9C9595DC}"/>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0 8" xfId="1909" xr:uid="{52E20D7F-C335-4157-97A3-337C3E37AA4E}"/>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2 3" xfId="2255" xr:uid="{20447527-995B-4B46-8252-4CF6DCEDE51D}"/>
    <cellStyle name="Финансовый 11 2 3" xfId="1182" xr:uid="{00000000-0005-0000-0000-000083000000}"/>
    <cellStyle name="Финансовый 11 2 4" xfId="1703" xr:uid="{00000000-0005-0000-0000-000084000000}"/>
    <cellStyle name="Финансовый 11 2 5" xfId="1983" xr:uid="{701E434F-441D-4219-BF34-62439696CDE6}"/>
    <cellStyle name="Финансовый 11 3" xfId="335" xr:uid="{00000000-0005-0000-0000-000085000000}"/>
    <cellStyle name="Финансовый 11 3 2" xfId="1310" xr:uid="{00000000-0005-0000-0000-000086000000}"/>
    <cellStyle name="Финансовый 11 3 3" xfId="2119" xr:uid="{84880FCE-6BBC-429C-BE13-56D0BFD274C6}"/>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1 8" xfId="1846" xr:uid="{05328A74-F7A6-4EB5-B0E8-0A690E33E204}"/>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2 3" xfId="2243" xr:uid="{8CF2A1E0-524D-4B0C-87C4-F56D2F95C751}"/>
    <cellStyle name="Финансовый 12 2 3" xfId="1170" xr:uid="{00000000-0005-0000-0000-000090000000}"/>
    <cellStyle name="Финансовый 12 2 4" xfId="1691" xr:uid="{00000000-0005-0000-0000-000091000000}"/>
    <cellStyle name="Финансовый 12 2 5" xfId="1971" xr:uid="{DE01A31F-4973-4DA2-8CC1-E724E7007C13}"/>
    <cellStyle name="Финансовый 12 3" xfId="323" xr:uid="{00000000-0005-0000-0000-000092000000}"/>
    <cellStyle name="Финансовый 12 3 2" xfId="1298" xr:uid="{00000000-0005-0000-0000-000093000000}"/>
    <cellStyle name="Финансовый 12 3 3" xfId="2107" xr:uid="{37B87D7E-5FBE-402A-94BC-B735164CA1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2 8" xfId="1834" xr:uid="{ECD1D242-F552-4CE6-B74D-35CF262D3921}"/>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2 3" xfId="2319" xr:uid="{32500D65-2E9E-413F-B852-AAE31ADEAAE7}"/>
    <cellStyle name="Финансовый 13 2 3" xfId="1238" xr:uid="{00000000-0005-0000-0000-00009D000000}"/>
    <cellStyle name="Финансовый 13 2 4" xfId="1767" xr:uid="{00000000-0005-0000-0000-00009E000000}"/>
    <cellStyle name="Финансовый 13 2 5" xfId="2047" xr:uid="{8178B8C9-BEA5-4E8E-A721-8377FB420313}"/>
    <cellStyle name="Финансовый 13 3" xfId="399" xr:uid="{00000000-0005-0000-0000-00009F000000}"/>
    <cellStyle name="Финансовый 13 3 2" xfId="1366" xr:uid="{00000000-0005-0000-0000-0000A0000000}"/>
    <cellStyle name="Финансовый 13 3 3" xfId="2183" xr:uid="{761B98E4-1A25-49B1-8937-AAC2E2EEF394}"/>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3 8" xfId="1911" xr:uid="{4E923787-DCB4-4D5B-8A79-B48DD01FA7D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2 3" xfId="2219" xr:uid="{73706EFC-7ED7-49FA-8DC8-584E6EE34E93}"/>
    <cellStyle name="Финансовый 14 2 3" xfId="1146" xr:uid="{00000000-0005-0000-0000-0000AA000000}"/>
    <cellStyle name="Финансовый 14 2 4" xfId="1667" xr:uid="{00000000-0005-0000-0000-0000AB000000}"/>
    <cellStyle name="Финансовый 14 2 5" xfId="1947" xr:uid="{A4C850A3-87C7-4951-92E5-2EDF6AAAEE56}"/>
    <cellStyle name="Финансовый 14 3" xfId="299" xr:uid="{00000000-0005-0000-0000-0000AC000000}"/>
    <cellStyle name="Финансовый 14 3 2" xfId="1274" xr:uid="{00000000-0005-0000-0000-0000AD000000}"/>
    <cellStyle name="Финансовый 14 3 3" xfId="2083" xr:uid="{ADDC5653-2248-4336-8FDB-8EBA2AC3E837}"/>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4 8" xfId="1810" xr:uid="{C1C9BDD9-B79B-4074-AA5D-DB91AB7D2268}"/>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2 3" xfId="2207" xr:uid="{289E6935-8ED9-4A6E-88FD-58E081FDA861}"/>
    <cellStyle name="Финансовый 15 2 3" xfId="1134" xr:uid="{00000000-0005-0000-0000-0000B7000000}"/>
    <cellStyle name="Финансовый 15 2 4" xfId="1655" xr:uid="{00000000-0005-0000-0000-0000B8000000}"/>
    <cellStyle name="Финансовый 15 2 5" xfId="1935" xr:uid="{641CF14D-8121-4F66-9D3D-2B3DB35DB87B}"/>
    <cellStyle name="Финансовый 15 3" xfId="287" xr:uid="{00000000-0005-0000-0000-0000B9000000}"/>
    <cellStyle name="Финансовый 15 3 2" xfId="1262" xr:uid="{00000000-0005-0000-0000-0000BA000000}"/>
    <cellStyle name="Финансовый 15 3 3" xfId="2071" xr:uid="{F5E6EC3B-F47C-4F9D-9E2A-17E6C45753CF}"/>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5 8" xfId="1798" xr:uid="{FCE964D6-5689-4D9D-ACB9-DABAD4D0F07C}"/>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2 3" xfId="2195" xr:uid="{711A5FCC-DA6C-4B9A-9F03-8137AEAC5848}"/>
    <cellStyle name="Финансовый 16 3" xfId="1122" xr:uid="{00000000-0005-0000-0000-0000C3000000}"/>
    <cellStyle name="Финансовый 16 4" xfId="1643" xr:uid="{00000000-0005-0000-0000-0000C4000000}"/>
    <cellStyle name="Финансовый 16 5" xfId="1923" xr:uid="{921C376C-B620-497F-BB43-5B2DF28F0A43}"/>
    <cellStyle name="Финансовый 17" xfId="547" xr:uid="{00000000-0005-0000-0000-0000C5000000}"/>
    <cellStyle name="Финансовый 17 2" xfId="1250" xr:uid="{00000000-0005-0000-0000-0000C6000000}"/>
    <cellStyle name="Финансовый 17 3" xfId="2331" xr:uid="{E59E0FB3-5508-4BCC-B33D-4E776D82D982}"/>
    <cellStyle name="Финансовый 18" xfId="275" xr:uid="{00000000-0005-0000-0000-0000C7000000}"/>
    <cellStyle name="Финансовый 18 2" xfId="2059" xr:uid="{EFDACD89-9AE1-49EF-8818-0737D85D279D}"/>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2 3" xfId="2256" xr:uid="{85EAD36C-86D1-4693-83B9-AB08BAEF276C}"/>
    <cellStyle name="Финансовый 2 10 2 3" xfId="1183" xr:uid="{00000000-0005-0000-0000-0000CF000000}"/>
    <cellStyle name="Финансовый 2 10 2 4" xfId="1704" xr:uid="{00000000-0005-0000-0000-0000D0000000}"/>
    <cellStyle name="Финансовый 2 10 2 5" xfId="1984" xr:uid="{CE3978EE-183C-4F29-81F2-E761CD0BB892}"/>
    <cellStyle name="Финансовый 2 10 3" xfId="336" xr:uid="{00000000-0005-0000-0000-0000D1000000}"/>
    <cellStyle name="Финансовый 2 10 3 2" xfId="1311" xr:uid="{00000000-0005-0000-0000-0000D2000000}"/>
    <cellStyle name="Финансовый 2 10 3 3" xfId="2120" xr:uid="{E9266DB3-14EF-40C4-B79B-8ED2806643C1}"/>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0 8" xfId="1847" xr:uid="{C3E5528C-7A1A-45FA-B1E5-0DFC995A1154}"/>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2 3" xfId="2244" xr:uid="{53E388E1-FCCA-47B0-8A43-23432943D9ED}"/>
    <cellStyle name="Финансовый 2 11 2 3" xfId="1171" xr:uid="{00000000-0005-0000-0000-0000DC000000}"/>
    <cellStyle name="Финансовый 2 11 2 4" xfId="1692" xr:uid="{00000000-0005-0000-0000-0000DD000000}"/>
    <cellStyle name="Финансовый 2 11 2 5" xfId="1972" xr:uid="{6C5D34D7-2E30-42BE-A5FE-61DD15777F4F}"/>
    <cellStyle name="Финансовый 2 11 3" xfId="324" xr:uid="{00000000-0005-0000-0000-0000DE000000}"/>
    <cellStyle name="Финансовый 2 11 3 2" xfId="1299" xr:uid="{00000000-0005-0000-0000-0000DF000000}"/>
    <cellStyle name="Финансовый 2 11 3 3" xfId="2108" xr:uid="{A110CC94-B160-4174-83F3-A64FB2AE8EE8}"/>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1 8" xfId="1835" xr:uid="{91E59E3A-92AE-41DC-8782-6C4167FBDCA6}"/>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2 3" xfId="2320" xr:uid="{237184DE-8F61-41BE-8979-CCDF3BFB952A}"/>
    <cellStyle name="Финансовый 2 12 2 3" xfId="1239" xr:uid="{00000000-0005-0000-0000-0000E9000000}"/>
    <cellStyle name="Финансовый 2 12 2 4" xfId="1768" xr:uid="{00000000-0005-0000-0000-0000EA000000}"/>
    <cellStyle name="Финансовый 2 12 2 5" xfId="2048" xr:uid="{4E9F6F4A-B2E4-4C08-B6B7-72531EE3C2F9}"/>
    <cellStyle name="Финансовый 2 12 3" xfId="400" xr:uid="{00000000-0005-0000-0000-0000EB000000}"/>
    <cellStyle name="Финансовый 2 12 3 2" xfId="1367" xr:uid="{00000000-0005-0000-0000-0000EC000000}"/>
    <cellStyle name="Финансовый 2 12 3 3" xfId="2184" xr:uid="{9EAABCD6-9652-4EF6-AACE-BC546CAACC0D}"/>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2 8" xfId="1912" xr:uid="{38C62DAE-E8A0-44DD-92FD-BC5AB8FE896D}"/>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2 3" xfId="2220" xr:uid="{03541F36-2A3A-4AF1-8690-2D6291BDDF2A}"/>
    <cellStyle name="Финансовый 2 13 2 3" xfId="1147" xr:uid="{00000000-0005-0000-0000-0000F6000000}"/>
    <cellStyle name="Финансовый 2 13 2 4" xfId="1668" xr:uid="{00000000-0005-0000-0000-0000F7000000}"/>
    <cellStyle name="Финансовый 2 13 2 5" xfId="1948" xr:uid="{B0134D18-4AE2-47B6-8FA4-3BA03005D550}"/>
    <cellStyle name="Финансовый 2 13 3" xfId="300" xr:uid="{00000000-0005-0000-0000-0000F8000000}"/>
    <cellStyle name="Финансовый 2 13 3 2" xfId="1275" xr:uid="{00000000-0005-0000-0000-0000F9000000}"/>
    <cellStyle name="Финансовый 2 13 3 3" xfId="2084" xr:uid="{1BA7FA9B-9031-4FE5-A14E-2D3B5B2BF535}"/>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3 8" xfId="1811" xr:uid="{510442E4-869C-4DE1-9624-E9884CC5D794}"/>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2 3" xfId="2208" xr:uid="{962FDFC6-1D11-41F9-BB82-5B1BF2B32394}"/>
    <cellStyle name="Финансовый 2 14 2 3" xfId="1135" xr:uid="{00000000-0005-0000-0000-000003010000}"/>
    <cellStyle name="Финансовый 2 14 2 4" xfId="1656" xr:uid="{00000000-0005-0000-0000-000004010000}"/>
    <cellStyle name="Финансовый 2 14 2 5" xfId="1936" xr:uid="{E082B7C6-9E9A-4AA5-B14F-31F681DB7D4F}"/>
    <cellStyle name="Финансовый 2 14 3" xfId="288" xr:uid="{00000000-0005-0000-0000-000005010000}"/>
    <cellStyle name="Финансовый 2 14 3 2" xfId="1263" xr:uid="{00000000-0005-0000-0000-000006010000}"/>
    <cellStyle name="Финансовый 2 14 3 3" xfId="2072" xr:uid="{818179EB-717E-41E0-9F66-2DC2D9734251}"/>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4 8" xfId="1799" xr:uid="{ECBE3E2F-87D7-495C-A996-0ED3D4D8B185}"/>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2 3" xfId="2196" xr:uid="{796D71EA-9F04-415E-BA59-AAB1A85D5BD7}"/>
    <cellStyle name="Финансовый 2 15 3" xfId="1123" xr:uid="{00000000-0005-0000-0000-00000F010000}"/>
    <cellStyle name="Финансовый 2 15 4" xfId="1644" xr:uid="{00000000-0005-0000-0000-000010010000}"/>
    <cellStyle name="Финансовый 2 15 5" xfId="1924" xr:uid="{0457B352-FD71-490F-8B05-FC249B106D8C}"/>
    <cellStyle name="Финансовый 2 16" xfId="548" xr:uid="{00000000-0005-0000-0000-000011010000}"/>
    <cellStyle name="Финансовый 2 16 2" xfId="1251" xr:uid="{00000000-0005-0000-0000-000012010000}"/>
    <cellStyle name="Финансовый 2 16 3" xfId="2332" xr:uid="{802141B1-6AD6-4EAB-885B-D7A184270833}"/>
    <cellStyle name="Финансовый 2 17" xfId="276" xr:uid="{00000000-0005-0000-0000-000013010000}"/>
    <cellStyle name="Финансовый 2 17 2" xfId="2060" xr:uid="{79D10FF3-C750-48AE-89E6-7F5CCAF98CE4}"/>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2 3" xfId="2222" xr:uid="{3953268F-6745-4EB8-BD3A-703474DD9B53}"/>
    <cellStyle name="Финансовый 2 2 10 2 3" xfId="1149" xr:uid="{00000000-0005-0000-0000-00001C010000}"/>
    <cellStyle name="Финансовый 2 2 10 2 4" xfId="1670" xr:uid="{00000000-0005-0000-0000-00001D010000}"/>
    <cellStyle name="Финансовый 2 2 10 2 5" xfId="1950" xr:uid="{BC9931AA-0018-4760-928C-A12054B755F7}"/>
    <cellStyle name="Финансовый 2 2 10 3" xfId="302" xr:uid="{00000000-0005-0000-0000-00001E010000}"/>
    <cellStyle name="Финансовый 2 2 10 3 2" xfId="1277" xr:uid="{00000000-0005-0000-0000-00001F010000}"/>
    <cellStyle name="Финансовый 2 2 10 3 3" xfId="2086" xr:uid="{9386146C-BA80-4094-8C9A-F6FE2C70B151}"/>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0 8" xfId="1813" xr:uid="{AA43B253-F6CD-40DD-A893-FEAB03C9A6AC}"/>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2 3" xfId="2210" xr:uid="{9FEEEFB9-70CD-456A-BD71-F3A1E75D3543}"/>
    <cellStyle name="Финансовый 2 2 11 2 3" xfId="1137" xr:uid="{00000000-0005-0000-0000-000029010000}"/>
    <cellStyle name="Финансовый 2 2 11 2 4" xfId="1658" xr:uid="{00000000-0005-0000-0000-00002A010000}"/>
    <cellStyle name="Финансовый 2 2 11 2 5" xfId="1938" xr:uid="{0C2CB7AD-3303-48DE-9FCE-DF1D5F19F7DD}"/>
    <cellStyle name="Финансовый 2 2 11 3" xfId="290" xr:uid="{00000000-0005-0000-0000-00002B010000}"/>
    <cellStyle name="Финансовый 2 2 11 3 2" xfId="1265" xr:uid="{00000000-0005-0000-0000-00002C010000}"/>
    <cellStyle name="Финансовый 2 2 11 3 3" xfId="2074" xr:uid="{C94D6B58-9189-4CC5-8362-1334B6D7A43A}"/>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1 8" xfId="1801" xr:uid="{572F0FF4-809E-48E3-966E-B75E2A7BFB42}"/>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2 3" xfId="2198" xr:uid="{9BE8F7BA-BD6A-477C-86D3-C5E4FFC18752}"/>
    <cellStyle name="Финансовый 2 2 12 3" xfId="1125" xr:uid="{00000000-0005-0000-0000-000035010000}"/>
    <cellStyle name="Финансовый 2 2 12 4" xfId="1646" xr:uid="{00000000-0005-0000-0000-000036010000}"/>
    <cellStyle name="Финансовый 2 2 12 5" xfId="1926" xr:uid="{35C0E072-48DF-40F7-845A-CC21500AA1C5}"/>
    <cellStyle name="Финансовый 2 2 13" xfId="550" xr:uid="{00000000-0005-0000-0000-000037010000}"/>
    <cellStyle name="Финансовый 2 2 13 2" xfId="1253" xr:uid="{00000000-0005-0000-0000-000038010000}"/>
    <cellStyle name="Финансовый 2 2 13 3" xfId="2334" xr:uid="{B2270330-08E6-4E27-942E-D06C74302A81}"/>
    <cellStyle name="Финансовый 2 2 14" xfId="278" xr:uid="{00000000-0005-0000-0000-000039010000}"/>
    <cellStyle name="Финансовый 2 2 14 2" xfId="2062" xr:uid="{B7705E99-C450-4291-9EB0-16746172FB21}"/>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18" xfId="1789" xr:uid="{60A9A5F1-6372-4394-B1B0-CB0693DA4A9D}"/>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0 3" xfId="2340" xr:uid="{514F4DD9-1A5C-4A20-B8B0-161FEB268535}"/>
    <cellStyle name="Финансовый 2 2 2 11" xfId="284" xr:uid="{00000000-0005-0000-0000-000041010000}"/>
    <cellStyle name="Финансовый 2 2 2 11 2" xfId="2068" xr:uid="{2CF526EC-2B0D-409E-B662-2A475CC45758}"/>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15" xfId="1795" xr:uid="{89F260A6-72A6-40E1-8966-865BD31E769A}"/>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2 3" xfId="2296" xr:uid="{46C2D9A1-C54B-4F79-BE27-8DA173F711E8}"/>
    <cellStyle name="Финансовый 2 2 2 2 2 2 3" xfId="1215" xr:uid="{00000000-0005-0000-0000-00004B010000}"/>
    <cellStyle name="Финансовый 2 2 2 2 2 2 4" xfId="1744" xr:uid="{00000000-0005-0000-0000-00004C010000}"/>
    <cellStyle name="Финансовый 2 2 2 2 2 2 5" xfId="2024" xr:uid="{BC56011E-B86E-49ED-A790-1A4AFA8914F9}"/>
    <cellStyle name="Финансовый 2 2 2 2 2 3" xfId="376" xr:uid="{00000000-0005-0000-0000-00004D010000}"/>
    <cellStyle name="Финансовый 2 2 2 2 2 3 2" xfId="1343" xr:uid="{00000000-0005-0000-0000-00004E010000}"/>
    <cellStyle name="Финансовый 2 2 2 2 2 3 3" xfId="2160" xr:uid="{F427C651-F2C9-4464-AEB9-1AC6BA5A79CB}"/>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2 8" xfId="1888" xr:uid="{02663585-DA0E-4F0C-AD34-CC3B4750723C}"/>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2 3" xfId="2240" xr:uid="{4A66BF7F-3219-444F-962D-71F9DF3EE460}"/>
    <cellStyle name="Финансовый 2 2 2 2 3 3" xfId="1167" xr:uid="{00000000-0005-0000-0000-000057010000}"/>
    <cellStyle name="Финансовый 2 2 2 2 3 4" xfId="1688" xr:uid="{00000000-0005-0000-0000-000058010000}"/>
    <cellStyle name="Финансовый 2 2 2 2 3 5" xfId="1968" xr:uid="{550ED280-B30F-4A94-AF26-1A88EC727229}"/>
    <cellStyle name="Финансовый 2 2 2 2 4" xfId="320" xr:uid="{00000000-0005-0000-0000-000059010000}"/>
    <cellStyle name="Финансовый 2 2 2 2 4 2" xfId="1295" xr:uid="{00000000-0005-0000-0000-00005A010000}"/>
    <cellStyle name="Финансовый 2 2 2 2 4 3" xfId="2104" xr:uid="{41932044-6939-488C-B7DE-421BC23D4C82}"/>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2 9" xfId="1831" xr:uid="{F8931404-E8DE-49B9-AA1B-82B16F0B2095}"/>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2 3" xfId="2308" xr:uid="{AAD043C7-951D-485A-AC81-47F26EA4365F}"/>
    <cellStyle name="Финансовый 2 2 2 3 2 3" xfId="1227" xr:uid="{00000000-0005-0000-0000-000064010000}"/>
    <cellStyle name="Финансовый 2 2 2 3 2 4" xfId="1756" xr:uid="{00000000-0005-0000-0000-000065010000}"/>
    <cellStyle name="Финансовый 2 2 2 3 2 5" xfId="2036" xr:uid="{D23C0DCE-7B25-46E9-BB58-6FB36D5BE583}"/>
    <cellStyle name="Финансовый 2 2 2 3 3" xfId="388" xr:uid="{00000000-0005-0000-0000-000066010000}"/>
    <cellStyle name="Финансовый 2 2 2 3 3 2" xfId="1355" xr:uid="{00000000-0005-0000-0000-000067010000}"/>
    <cellStyle name="Финансовый 2 2 2 3 3 3" xfId="2172" xr:uid="{A4006570-224D-4BC0-8024-E5DFDBD8E7D1}"/>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3 8" xfId="1900" xr:uid="{2E98180D-6899-4026-AD4C-818CD14F74E1}"/>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2 3" xfId="2272" xr:uid="{70B54573-182B-4001-B41B-C835CC7DE2D2}"/>
    <cellStyle name="Финансовый 2 2 2 4 2 3" xfId="1191" xr:uid="{00000000-0005-0000-0000-000071010000}"/>
    <cellStyle name="Финансовый 2 2 2 4 2 4" xfId="1720" xr:uid="{00000000-0005-0000-0000-000072010000}"/>
    <cellStyle name="Финансовый 2 2 2 4 2 5" xfId="2000" xr:uid="{FDB4052E-2012-4434-8729-7464D88B22B9}"/>
    <cellStyle name="Финансовый 2 2 2 4 3" xfId="352" xr:uid="{00000000-0005-0000-0000-000073010000}"/>
    <cellStyle name="Финансовый 2 2 2 4 3 2" xfId="1319" xr:uid="{00000000-0005-0000-0000-000074010000}"/>
    <cellStyle name="Финансовый 2 2 2 4 3 3" xfId="2136" xr:uid="{4B23BDF2-EA87-47D5-87F0-4A1BE29C7C5A}"/>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4 8" xfId="1864" xr:uid="{3BF7CF41-F87B-4FA6-AF4D-5ABB77ED0481}"/>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2 3" xfId="2252" xr:uid="{305F76BE-F270-49A5-91F0-E962D8E7012C}"/>
    <cellStyle name="Финансовый 2 2 2 5 2 3" xfId="1179" xr:uid="{00000000-0005-0000-0000-00007E010000}"/>
    <cellStyle name="Финансовый 2 2 2 5 2 4" xfId="1700" xr:uid="{00000000-0005-0000-0000-00007F010000}"/>
    <cellStyle name="Финансовый 2 2 2 5 2 5" xfId="1980" xr:uid="{30C179C6-4A6A-4A76-BCA0-6C0E6B266730}"/>
    <cellStyle name="Финансовый 2 2 2 5 3" xfId="332" xr:uid="{00000000-0005-0000-0000-000080010000}"/>
    <cellStyle name="Финансовый 2 2 2 5 3 2" xfId="1307" xr:uid="{00000000-0005-0000-0000-000081010000}"/>
    <cellStyle name="Финансовый 2 2 2 5 3 3" xfId="2116" xr:uid="{74688BF0-C6BF-488A-9885-F782E067A4FE}"/>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5 8" xfId="1843" xr:uid="{8E7CE9D6-16BF-46EE-ACA9-17650D466AC9}"/>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2 3" xfId="2328" xr:uid="{0664B194-75E5-4E4D-B38B-68E20E4C9C41}"/>
    <cellStyle name="Финансовый 2 2 2 6 2 3" xfId="1247" xr:uid="{00000000-0005-0000-0000-00008B010000}"/>
    <cellStyle name="Финансовый 2 2 2 6 2 4" xfId="1776" xr:uid="{00000000-0005-0000-0000-00008C010000}"/>
    <cellStyle name="Финансовый 2 2 2 6 2 5" xfId="2056" xr:uid="{8FF72112-6D17-4925-8D62-6985C6CCC03B}"/>
    <cellStyle name="Финансовый 2 2 2 6 3" xfId="408" xr:uid="{00000000-0005-0000-0000-00008D010000}"/>
    <cellStyle name="Финансовый 2 2 2 6 3 2" xfId="1375" xr:uid="{00000000-0005-0000-0000-00008E010000}"/>
    <cellStyle name="Финансовый 2 2 2 6 3 3" xfId="2192" xr:uid="{483C1F7A-0161-4CE2-ADA3-6EF322F5C7E4}"/>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6 8" xfId="1920" xr:uid="{E5030B61-CD89-4292-9100-9AED0F460A1F}"/>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2 3" xfId="2228" xr:uid="{6879166D-D252-4A6A-9E0F-8A36659F501E}"/>
    <cellStyle name="Финансовый 2 2 2 7 2 3" xfId="1155" xr:uid="{00000000-0005-0000-0000-000098010000}"/>
    <cellStyle name="Финансовый 2 2 2 7 2 4" xfId="1676" xr:uid="{00000000-0005-0000-0000-000099010000}"/>
    <cellStyle name="Финансовый 2 2 2 7 2 5" xfId="1956" xr:uid="{F153020D-4DA5-404E-A76B-7C574E8F26C2}"/>
    <cellStyle name="Финансовый 2 2 2 7 3" xfId="308" xr:uid="{00000000-0005-0000-0000-00009A010000}"/>
    <cellStyle name="Финансовый 2 2 2 7 3 2" xfId="1283" xr:uid="{00000000-0005-0000-0000-00009B010000}"/>
    <cellStyle name="Финансовый 2 2 2 7 3 3" xfId="2092" xr:uid="{8A9230C0-1BAE-417F-B484-974EBBED6FD6}"/>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7 8" xfId="1819" xr:uid="{B6D75DF9-5C07-4044-AF63-0D147475980C}"/>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2 3" xfId="2216" xr:uid="{8373CD86-7DBC-41FB-8630-1829F6558DBF}"/>
    <cellStyle name="Финансовый 2 2 2 8 2 3" xfId="1143" xr:uid="{00000000-0005-0000-0000-0000A5010000}"/>
    <cellStyle name="Финансовый 2 2 2 8 2 4" xfId="1664" xr:uid="{00000000-0005-0000-0000-0000A6010000}"/>
    <cellStyle name="Финансовый 2 2 2 8 2 5" xfId="1944" xr:uid="{389B02EF-E146-41CB-84C8-275C303E1E48}"/>
    <cellStyle name="Финансовый 2 2 2 8 3" xfId="296" xr:uid="{00000000-0005-0000-0000-0000A7010000}"/>
    <cellStyle name="Финансовый 2 2 2 8 3 2" xfId="1271" xr:uid="{00000000-0005-0000-0000-0000A8010000}"/>
    <cellStyle name="Финансовый 2 2 2 8 3 3" xfId="2080" xr:uid="{89B7D140-EC1F-476F-B8E6-DA52ED1CBDAD}"/>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8 8" xfId="1807" xr:uid="{163EDF70-6EC2-4BB9-8AF8-EAAFA934208C}"/>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2 3" xfId="2204" xr:uid="{2532FAEB-16A7-4BD8-A8B5-D502FEEC1493}"/>
    <cellStyle name="Финансовый 2 2 2 9 3" xfId="1131" xr:uid="{00000000-0005-0000-0000-0000B1010000}"/>
    <cellStyle name="Финансовый 2 2 2 9 4" xfId="1652" xr:uid="{00000000-0005-0000-0000-0000B2010000}"/>
    <cellStyle name="Финансовый 2 2 2 9 5" xfId="1932" xr:uid="{338ACD31-ABE2-4D33-9D53-EE3F2A0058D3}"/>
    <cellStyle name="Финансовый 2 2 3" xfId="40" xr:uid="{00000000-0005-0000-0000-0000B3010000}"/>
    <cellStyle name="Финансовый 2 2 3 10" xfId="1825" xr:uid="{41A253BA-064B-49ED-84A8-2225252FEA65}"/>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2 3" xfId="2314" xr:uid="{1911B090-C1E7-4490-A4F6-380AAE579C56}"/>
    <cellStyle name="Финансовый 2 2 3 2 2 3" xfId="1233" xr:uid="{00000000-0005-0000-0000-0000B8010000}"/>
    <cellStyle name="Финансовый 2 2 3 2 2 4" xfId="1762" xr:uid="{00000000-0005-0000-0000-0000B9010000}"/>
    <cellStyle name="Финансовый 2 2 3 2 2 5" xfId="2042" xr:uid="{707F8E3D-092D-434C-A416-208B26C445AC}"/>
    <cellStyle name="Финансовый 2 2 3 2 3" xfId="394" xr:uid="{00000000-0005-0000-0000-0000BA010000}"/>
    <cellStyle name="Финансовый 2 2 3 2 3 2" xfId="1361" xr:uid="{00000000-0005-0000-0000-0000BB010000}"/>
    <cellStyle name="Финансовый 2 2 3 2 3 3" xfId="2178" xr:uid="{FF464B2A-A881-4A11-ACA7-2078242BC556}"/>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2 8" xfId="1906" xr:uid="{C6E42436-A1B8-453B-AEB5-DD958EE2E7E4}"/>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2 3" xfId="2278" xr:uid="{C177C204-FA8A-4150-905D-61D392D103BA}"/>
    <cellStyle name="Финансовый 2 2 3 3 2 3" xfId="1197" xr:uid="{00000000-0005-0000-0000-0000C5010000}"/>
    <cellStyle name="Финансовый 2 2 3 3 2 4" xfId="1726" xr:uid="{00000000-0005-0000-0000-0000C6010000}"/>
    <cellStyle name="Финансовый 2 2 3 3 2 5" xfId="2006" xr:uid="{A053C2EF-9034-4A40-AE3F-8B24DE33E7FA}"/>
    <cellStyle name="Финансовый 2 2 3 3 3" xfId="358" xr:uid="{00000000-0005-0000-0000-0000C7010000}"/>
    <cellStyle name="Финансовый 2 2 3 3 3 2" xfId="1325" xr:uid="{00000000-0005-0000-0000-0000C8010000}"/>
    <cellStyle name="Финансовый 2 2 3 3 3 3" xfId="2142" xr:uid="{19B69585-7EC4-4673-B463-21E26D3C23C3}"/>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3 8" xfId="1870" xr:uid="{E39AA63E-80F5-4477-8CC4-35EB822569B3}"/>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2 3" xfId="2234" xr:uid="{C46DA16F-B209-460B-A99E-8F71C581B598}"/>
    <cellStyle name="Финансовый 2 2 3 4 3" xfId="1161" xr:uid="{00000000-0005-0000-0000-0000D1010000}"/>
    <cellStyle name="Финансовый 2 2 3 4 4" xfId="1682" xr:uid="{00000000-0005-0000-0000-0000D2010000}"/>
    <cellStyle name="Финансовый 2 2 3 4 5" xfId="1962" xr:uid="{5E029E14-3A97-4BF6-AB4A-2C2BC1BB4F23}"/>
    <cellStyle name="Финансовый 2 2 3 5" xfId="314" xr:uid="{00000000-0005-0000-0000-0000D3010000}"/>
    <cellStyle name="Финансовый 2 2 3 5 2" xfId="1289" xr:uid="{00000000-0005-0000-0000-0000D4010000}"/>
    <cellStyle name="Финансовый 2 2 3 5 3" xfId="2098" xr:uid="{EBB89ADB-6A63-497B-AD8C-6215979B656A}"/>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2 3" xfId="2284" xr:uid="{9FC655F3-AB22-4FA7-8E6D-555AF193BA42}"/>
    <cellStyle name="Финансовый 2 2 4 2 3" xfId="1203" xr:uid="{00000000-0005-0000-0000-0000DE010000}"/>
    <cellStyle name="Финансовый 2 2 4 2 4" xfId="1732" xr:uid="{00000000-0005-0000-0000-0000DF010000}"/>
    <cellStyle name="Финансовый 2 2 4 2 5" xfId="2012" xr:uid="{26970A25-0EF7-4CB8-8C9B-15F73330B73A}"/>
    <cellStyle name="Финансовый 2 2 4 3" xfId="364" xr:uid="{00000000-0005-0000-0000-0000E0010000}"/>
    <cellStyle name="Финансовый 2 2 4 3 2" xfId="1331" xr:uid="{00000000-0005-0000-0000-0000E1010000}"/>
    <cellStyle name="Финансовый 2 2 4 3 3" xfId="2148" xr:uid="{07B7E535-CB93-463D-A76F-147A0BD9374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4 8" xfId="1876" xr:uid="{3E5E883F-38D7-4921-92E0-192489B0EDE2}"/>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2 3" xfId="2290" xr:uid="{E818AD5E-3214-4988-8734-829C46B31318}"/>
    <cellStyle name="Финансовый 2 2 5 2 3" xfId="1209" xr:uid="{00000000-0005-0000-0000-0000EB010000}"/>
    <cellStyle name="Финансовый 2 2 5 2 4" xfId="1738" xr:uid="{00000000-0005-0000-0000-0000EC010000}"/>
    <cellStyle name="Финансовый 2 2 5 2 5" xfId="2018" xr:uid="{7FB6A199-BA8B-4E57-A603-7729834D7355}"/>
    <cellStyle name="Финансовый 2 2 5 3" xfId="370" xr:uid="{00000000-0005-0000-0000-0000ED010000}"/>
    <cellStyle name="Финансовый 2 2 5 3 2" xfId="1337" xr:uid="{00000000-0005-0000-0000-0000EE010000}"/>
    <cellStyle name="Финансовый 2 2 5 3 3" xfId="2154" xr:uid="{D8B34D1C-C947-44B3-BC32-23FEC33B839A}"/>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5 8" xfId="1882" xr:uid="{F8ED35DD-3378-4FDF-A6AF-7BB26BE487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2 3" xfId="2302" xr:uid="{D0A4B130-B83D-4F9C-98C4-CBBEC9765971}"/>
    <cellStyle name="Финансовый 2 2 6 2 3" xfId="1221" xr:uid="{00000000-0005-0000-0000-0000F8010000}"/>
    <cellStyle name="Финансовый 2 2 6 2 4" xfId="1750" xr:uid="{00000000-0005-0000-0000-0000F9010000}"/>
    <cellStyle name="Финансовый 2 2 6 2 5" xfId="2030" xr:uid="{989970C3-E429-43CA-B792-290E01F092EA}"/>
    <cellStyle name="Финансовый 2 2 6 3" xfId="382" xr:uid="{00000000-0005-0000-0000-0000FA010000}"/>
    <cellStyle name="Финансовый 2 2 6 3 2" xfId="1349" xr:uid="{00000000-0005-0000-0000-0000FB010000}"/>
    <cellStyle name="Финансовый 2 2 6 3 3" xfId="2166" xr:uid="{809039D1-E5A9-450D-8218-B809192F116D}"/>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6 8" xfId="1894" xr:uid="{790D87D0-0D44-42BF-943F-94775144023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2 3" xfId="2257" xr:uid="{E01F329E-2486-4D87-AB32-8B9FD9AA3709}"/>
    <cellStyle name="Финансовый 2 2 7 2 3" xfId="1184" xr:uid="{00000000-0005-0000-0000-000005020000}"/>
    <cellStyle name="Финансовый 2 2 7 2 4" xfId="1705" xr:uid="{00000000-0005-0000-0000-000006020000}"/>
    <cellStyle name="Финансовый 2 2 7 2 5" xfId="1985" xr:uid="{2198F5EF-83AC-4EB0-822C-C05FCC31FE56}"/>
    <cellStyle name="Финансовый 2 2 7 3" xfId="337" xr:uid="{00000000-0005-0000-0000-000007020000}"/>
    <cellStyle name="Финансовый 2 2 7 3 2" xfId="1312" xr:uid="{00000000-0005-0000-0000-000008020000}"/>
    <cellStyle name="Финансовый 2 2 7 3 3" xfId="2121" xr:uid="{51504827-D2C6-486F-88D3-987AD991FDA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7 8" xfId="1849" xr:uid="{671F6712-629F-44EF-8917-E6274C49AFC2}"/>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2 3" xfId="2246" xr:uid="{A060D2EF-4FEB-4C80-BEEA-21EC28C11C15}"/>
    <cellStyle name="Финансовый 2 2 8 2 3" xfId="1173" xr:uid="{00000000-0005-0000-0000-000012020000}"/>
    <cellStyle name="Финансовый 2 2 8 2 4" xfId="1694" xr:uid="{00000000-0005-0000-0000-000013020000}"/>
    <cellStyle name="Финансовый 2 2 8 2 5" xfId="1974" xr:uid="{531C9FF3-A913-4368-B4B2-1285CBA20289}"/>
    <cellStyle name="Финансовый 2 2 8 3" xfId="326" xr:uid="{00000000-0005-0000-0000-000014020000}"/>
    <cellStyle name="Финансовый 2 2 8 3 2" xfId="1301" xr:uid="{00000000-0005-0000-0000-000015020000}"/>
    <cellStyle name="Финансовый 2 2 8 3 3" xfId="2110" xr:uid="{84D043E0-7543-46FA-9723-14D9864BF239}"/>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8 8" xfId="1837" xr:uid="{16207B57-7A54-4D48-9C3A-8AFF7D6BCE6E}"/>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2 3" xfId="2322" xr:uid="{ACAF7C05-F0EE-40ED-99A2-C8EA60304E9C}"/>
    <cellStyle name="Финансовый 2 2 9 2 3" xfId="1241" xr:uid="{00000000-0005-0000-0000-00001F020000}"/>
    <cellStyle name="Финансовый 2 2 9 2 4" xfId="1770" xr:uid="{00000000-0005-0000-0000-000020020000}"/>
    <cellStyle name="Финансовый 2 2 9 2 5" xfId="2050" xr:uid="{6DB039F7-0C6C-4C01-8AA0-F51EE0745B4B}"/>
    <cellStyle name="Финансовый 2 2 9 3" xfId="402" xr:uid="{00000000-0005-0000-0000-000021020000}"/>
    <cellStyle name="Финансовый 2 2 9 3 2" xfId="1369" xr:uid="{00000000-0005-0000-0000-000022020000}"/>
    <cellStyle name="Финансовый 2 2 9 3 3" xfId="2186" xr:uid="{88E37103-42B9-4963-8B07-BD39959F83BA}"/>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 9 8" xfId="1914" xr:uid="{2E7C6C21-09A4-4670-B041-10459D51162E}"/>
    <cellStyle name="Финансовый 2 20" xfId="734" xr:uid="{00000000-0005-0000-0000-000028020000}"/>
    <cellStyle name="Финансовый 2 21" xfId="1787" xr:uid="{127C120B-9399-4F33-853C-22251701135B}"/>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2 3" xfId="2224" xr:uid="{E3681AA4-F24C-4995-B532-53C762E9C8FF}"/>
    <cellStyle name="Финансовый 2 3 10 2 3" xfId="1151" xr:uid="{00000000-0005-0000-0000-00002E020000}"/>
    <cellStyle name="Финансовый 2 3 10 2 4" xfId="1672" xr:uid="{00000000-0005-0000-0000-00002F020000}"/>
    <cellStyle name="Финансовый 2 3 10 2 5" xfId="1952" xr:uid="{C64D8685-AA31-42D4-BEB6-FADEBB8A7EE2}"/>
    <cellStyle name="Финансовый 2 3 10 3" xfId="304" xr:uid="{00000000-0005-0000-0000-000030020000}"/>
    <cellStyle name="Финансовый 2 3 10 3 2" xfId="1279" xr:uid="{00000000-0005-0000-0000-000031020000}"/>
    <cellStyle name="Финансовый 2 3 10 3 3" xfId="2088" xr:uid="{965FF5D3-BD74-47BC-A848-F06319FFDCFD}"/>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0 8" xfId="1815" xr:uid="{E4D2416D-FFC3-45C7-A8E2-1A5BB44DDC1C}"/>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2 3" xfId="2212" xr:uid="{F31AF86B-F46C-41C5-981F-AFD9E5845631}"/>
    <cellStyle name="Финансовый 2 3 11 2 3" xfId="1139" xr:uid="{00000000-0005-0000-0000-00003B020000}"/>
    <cellStyle name="Финансовый 2 3 11 2 4" xfId="1660" xr:uid="{00000000-0005-0000-0000-00003C020000}"/>
    <cellStyle name="Финансовый 2 3 11 2 5" xfId="1940" xr:uid="{1C8C1BE2-6F1D-4BF2-A573-A84156ABBE5B}"/>
    <cellStyle name="Финансовый 2 3 11 3" xfId="292" xr:uid="{00000000-0005-0000-0000-00003D020000}"/>
    <cellStyle name="Финансовый 2 3 11 3 2" xfId="1267" xr:uid="{00000000-0005-0000-0000-00003E020000}"/>
    <cellStyle name="Финансовый 2 3 11 3 3" xfId="2076" xr:uid="{9EEC0BF9-BA9A-4266-8D10-19FF2338AFC6}"/>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1 8" xfId="1803" xr:uid="{E935CDCE-1CD7-4785-9742-D9CAD6467142}"/>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2 3" xfId="2200" xr:uid="{84A9FCCB-228A-4526-A261-A2ED2030685C}"/>
    <cellStyle name="Финансовый 2 3 12 3" xfId="1127" xr:uid="{00000000-0005-0000-0000-000047020000}"/>
    <cellStyle name="Финансовый 2 3 12 4" xfId="1648" xr:uid="{00000000-0005-0000-0000-000048020000}"/>
    <cellStyle name="Финансовый 2 3 12 5" xfId="1928" xr:uid="{6A8DDFD0-D44B-4FBA-9068-BA09280E60FB}"/>
    <cellStyle name="Финансовый 2 3 13" xfId="552" xr:uid="{00000000-0005-0000-0000-000049020000}"/>
    <cellStyle name="Финансовый 2 3 13 2" xfId="1255" xr:uid="{00000000-0005-0000-0000-00004A020000}"/>
    <cellStyle name="Финансовый 2 3 13 3" xfId="2336" xr:uid="{D685DE5C-B088-4D64-B5DA-EA006A7A072C}"/>
    <cellStyle name="Финансовый 2 3 14" xfId="280" xr:uid="{00000000-0005-0000-0000-00004B020000}"/>
    <cellStyle name="Финансовый 2 3 14 2" xfId="2064" xr:uid="{2854C500-E6F1-4469-82F5-3643D177A095}"/>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18" xfId="1791" xr:uid="{FCA3144B-ECB8-407E-88E3-C9951BEA2A47}"/>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0 3" xfId="2342" xr:uid="{4A906CB4-FD66-4898-8609-AC1E5DE10650}"/>
    <cellStyle name="Финансовый 2 3 2 11" xfId="286" xr:uid="{00000000-0005-0000-0000-000053020000}"/>
    <cellStyle name="Финансовый 2 3 2 11 2" xfId="2070" xr:uid="{3423688B-18DF-427C-89AB-0201618E4A16}"/>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15" xfId="1797" xr:uid="{D18A4624-CCAB-4801-BD5A-B1062CAB5836}"/>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2 3" xfId="2298" xr:uid="{0FEF4C2F-A3AF-4C4B-809A-4F5E5F010008}"/>
    <cellStyle name="Финансовый 2 3 2 2 2 2 3" xfId="1217" xr:uid="{00000000-0005-0000-0000-00005D020000}"/>
    <cellStyle name="Финансовый 2 3 2 2 2 2 4" xfId="1746" xr:uid="{00000000-0005-0000-0000-00005E020000}"/>
    <cellStyle name="Финансовый 2 3 2 2 2 2 5" xfId="2026" xr:uid="{7BF06602-AC78-4160-AEA2-838B4CE508D3}"/>
    <cellStyle name="Финансовый 2 3 2 2 2 3" xfId="378" xr:uid="{00000000-0005-0000-0000-00005F020000}"/>
    <cellStyle name="Финансовый 2 3 2 2 2 3 2" xfId="1345" xr:uid="{00000000-0005-0000-0000-000060020000}"/>
    <cellStyle name="Финансовый 2 3 2 2 2 3 3" xfId="2162" xr:uid="{BA4AEE88-7F47-4B54-9DC8-DDBA75AE83E3}"/>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2 8" xfId="1890" xr:uid="{63DF021D-4BC2-432B-A9E1-FC3E88C81A1E}"/>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2 3" xfId="2242" xr:uid="{4A6AB1E5-B9D1-4968-9940-5DB0DBB6ADC3}"/>
    <cellStyle name="Финансовый 2 3 2 2 3 3" xfId="1169" xr:uid="{00000000-0005-0000-0000-000069020000}"/>
    <cellStyle name="Финансовый 2 3 2 2 3 4" xfId="1690" xr:uid="{00000000-0005-0000-0000-00006A020000}"/>
    <cellStyle name="Финансовый 2 3 2 2 3 5" xfId="1970" xr:uid="{C3C65EB3-539A-447C-B6B1-E00909B1C9C1}"/>
    <cellStyle name="Финансовый 2 3 2 2 4" xfId="322" xr:uid="{00000000-0005-0000-0000-00006B020000}"/>
    <cellStyle name="Финансовый 2 3 2 2 4 2" xfId="1297" xr:uid="{00000000-0005-0000-0000-00006C020000}"/>
    <cellStyle name="Финансовый 2 3 2 2 4 3" xfId="2106" xr:uid="{92B8A0D8-4C1A-43E3-9CDC-9892C708B68B}"/>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2 9" xfId="1833" xr:uid="{45683369-5009-4A04-BA7E-EEE6C7581677}"/>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2 3" xfId="2310" xr:uid="{2A459186-9AA4-4313-9953-3AE84E7B1D62}"/>
    <cellStyle name="Финансовый 2 3 2 3 2 3" xfId="1229" xr:uid="{00000000-0005-0000-0000-000076020000}"/>
    <cellStyle name="Финансовый 2 3 2 3 2 4" xfId="1758" xr:uid="{00000000-0005-0000-0000-000077020000}"/>
    <cellStyle name="Финансовый 2 3 2 3 2 5" xfId="2038" xr:uid="{7C1EFF13-F306-42A8-B311-B1A925CFE822}"/>
    <cellStyle name="Финансовый 2 3 2 3 3" xfId="390" xr:uid="{00000000-0005-0000-0000-000078020000}"/>
    <cellStyle name="Финансовый 2 3 2 3 3 2" xfId="1357" xr:uid="{00000000-0005-0000-0000-000079020000}"/>
    <cellStyle name="Финансовый 2 3 2 3 3 3" xfId="2174" xr:uid="{5B1B7434-3BF7-4E4A-8715-8B2097FC7DBF}"/>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3 8" xfId="1902" xr:uid="{577B8F89-68AB-4571-8419-3BEE565ED762}"/>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2 3" xfId="2274" xr:uid="{B207D5FF-B569-4B30-8087-31F343D328E5}"/>
    <cellStyle name="Финансовый 2 3 2 4 2 3" xfId="1193" xr:uid="{00000000-0005-0000-0000-000083020000}"/>
    <cellStyle name="Финансовый 2 3 2 4 2 4" xfId="1722" xr:uid="{00000000-0005-0000-0000-000084020000}"/>
    <cellStyle name="Финансовый 2 3 2 4 2 5" xfId="2002" xr:uid="{4F3B95A6-3D92-461F-BD3E-AF55C81141D9}"/>
    <cellStyle name="Финансовый 2 3 2 4 3" xfId="354" xr:uid="{00000000-0005-0000-0000-000085020000}"/>
    <cellStyle name="Финансовый 2 3 2 4 3 2" xfId="1321" xr:uid="{00000000-0005-0000-0000-000086020000}"/>
    <cellStyle name="Финансовый 2 3 2 4 3 3" xfId="2138" xr:uid="{62E48910-14EE-4BF2-912F-3BB715D26709}"/>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4 8" xfId="1866" xr:uid="{03CC6B45-4E2C-4919-9FBA-8B9A518E7A93}"/>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2 3" xfId="2254" xr:uid="{A5B4B62C-96B7-4AB1-853E-715A5982D985}"/>
    <cellStyle name="Финансовый 2 3 2 5 2 3" xfId="1181" xr:uid="{00000000-0005-0000-0000-000090020000}"/>
    <cellStyle name="Финансовый 2 3 2 5 2 4" xfId="1702" xr:uid="{00000000-0005-0000-0000-000091020000}"/>
    <cellStyle name="Финансовый 2 3 2 5 2 5" xfId="1982" xr:uid="{173363C1-29E0-4FF4-BAFF-8045768D7060}"/>
    <cellStyle name="Финансовый 2 3 2 5 3" xfId="334" xr:uid="{00000000-0005-0000-0000-000092020000}"/>
    <cellStyle name="Финансовый 2 3 2 5 3 2" xfId="1309" xr:uid="{00000000-0005-0000-0000-000093020000}"/>
    <cellStyle name="Финансовый 2 3 2 5 3 3" xfId="2118" xr:uid="{D0126A37-BCEE-4733-B00F-1C785141E41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5 8" xfId="1845" xr:uid="{122D0665-DA40-4AB0-9956-D1737302CDA6}"/>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2 3" xfId="2330" xr:uid="{BB249B59-FF92-4765-ABA5-EE3217449E25}"/>
    <cellStyle name="Финансовый 2 3 2 6 2 3" xfId="1249" xr:uid="{00000000-0005-0000-0000-00009D020000}"/>
    <cellStyle name="Финансовый 2 3 2 6 2 4" xfId="1778" xr:uid="{00000000-0005-0000-0000-00009E020000}"/>
    <cellStyle name="Финансовый 2 3 2 6 2 5" xfId="2058" xr:uid="{718713B3-BA46-44D4-99F9-F427ED45F0B6}"/>
    <cellStyle name="Финансовый 2 3 2 6 3" xfId="410" xr:uid="{00000000-0005-0000-0000-00009F020000}"/>
    <cellStyle name="Финансовый 2 3 2 6 3 2" xfId="1377" xr:uid="{00000000-0005-0000-0000-0000A0020000}"/>
    <cellStyle name="Финансовый 2 3 2 6 3 3" xfId="2194" xr:uid="{E81A2499-1CF7-45BC-8533-11BD2C6B44B2}"/>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6 8" xfId="1922" xr:uid="{390E18FA-1C2C-43FF-AB74-D51788A845B5}"/>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2 3" xfId="2230" xr:uid="{4D940012-505D-4D9F-9955-85842EB02DC7}"/>
    <cellStyle name="Финансовый 2 3 2 7 2 3" xfId="1157" xr:uid="{00000000-0005-0000-0000-0000AA020000}"/>
    <cellStyle name="Финансовый 2 3 2 7 2 4" xfId="1678" xr:uid="{00000000-0005-0000-0000-0000AB020000}"/>
    <cellStyle name="Финансовый 2 3 2 7 2 5" xfId="1958" xr:uid="{2BCEA785-B8AA-482A-9C2C-3B9A7BB1A596}"/>
    <cellStyle name="Финансовый 2 3 2 7 3" xfId="310" xr:uid="{00000000-0005-0000-0000-0000AC020000}"/>
    <cellStyle name="Финансовый 2 3 2 7 3 2" xfId="1285" xr:uid="{00000000-0005-0000-0000-0000AD020000}"/>
    <cellStyle name="Финансовый 2 3 2 7 3 3" xfId="2094" xr:uid="{E81BE5F5-9C2F-4041-A75D-13489A282043}"/>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7 8" xfId="1821" xr:uid="{1F891EBC-108F-4E1F-A9DE-F5A53CC39DCF}"/>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2 3" xfId="2218" xr:uid="{A152694D-C8C2-4D83-88D2-1CC352AC5F52}"/>
    <cellStyle name="Финансовый 2 3 2 8 2 3" xfId="1145" xr:uid="{00000000-0005-0000-0000-0000B7020000}"/>
    <cellStyle name="Финансовый 2 3 2 8 2 4" xfId="1666" xr:uid="{00000000-0005-0000-0000-0000B8020000}"/>
    <cellStyle name="Финансовый 2 3 2 8 2 5" xfId="1946" xr:uid="{EC309050-1742-40F8-84E7-1DCAB5556DBF}"/>
    <cellStyle name="Финансовый 2 3 2 8 3" xfId="298" xr:uid="{00000000-0005-0000-0000-0000B9020000}"/>
    <cellStyle name="Финансовый 2 3 2 8 3 2" xfId="1273" xr:uid="{00000000-0005-0000-0000-0000BA020000}"/>
    <cellStyle name="Финансовый 2 3 2 8 3 3" xfId="2082" xr:uid="{BED59FA2-824B-42A3-BB7F-0BF9263FB24D}"/>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8 8" xfId="1809" xr:uid="{B290A29E-E53A-49D8-BC77-8CA681837F49}"/>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2 3" xfId="2206" xr:uid="{FE68FE28-E6CF-4322-94EA-950FB364635E}"/>
    <cellStyle name="Финансовый 2 3 2 9 3" xfId="1133" xr:uid="{00000000-0005-0000-0000-0000C3020000}"/>
    <cellStyle name="Финансовый 2 3 2 9 4" xfId="1654" xr:uid="{00000000-0005-0000-0000-0000C4020000}"/>
    <cellStyle name="Финансовый 2 3 2 9 5" xfId="1934" xr:uid="{FFF91044-DB34-4C6E-B6E1-C9F9A92C44F9}"/>
    <cellStyle name="Финансовый 2 3 3" xfId="42" xr:uid="{00000000-0005-0000-0000-0000C5020000}"/>
    <cellStyle name="Финансовый 2 3 3 10" xfId="1827" xr:uid="{F3C9AFE8-0453-4626-9A59-4628B04A996B}"/>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2 3" xfId="2316" xr:uid="{C499BC4B-276F-4452-80D8-AB6D742AFB3E}"/>
    <cellStyle name="Финансовый 2 3 3 2 2 3" xfId="1235" xr:uid="{00000000-0005-0000-0000-0000CA020000}"/>
    <cellStyle name="Финансовый 2 3 3 2 2 4" xfId="1764" xr:uid="{00000000-0005-0000-0000-0000CB020000}"/>
    <cellStyle name="Финансовый 2 3 3 2 2 5" xfId="2044" xr:uid="{7505EB0E-5A4C-4E2D-87E7-29C81F93331D}"/>
    <cellStyle name="Финансовый 2 3 3 2 3" xfId="396" xr:uid="{00000000-0005-0000-0000-0000CC020000}"/>
    <cellStyle name="Финансовый 2 3 3 2 3 2" xfId="1363" xr:uid="{00000000-0005-0000-0000-0000CD020000}"/>
    <cellStyle name="Финансовый 2 3 3 2 3 3" xfId="2180" xr:uid="{8DF66860-0186-4443-A4F1-4EA1BEA1D5E2}"/>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2 8" xfId="1908" xr:uid="{10860EA0-B380-47C5-9ABF-F085A8A7E9FF}"/>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2 3" xfId="2280" xr:uid="{F4724840-7A1E-4850-9DFF-752BEDB1D3B4}"/>
    <cellStyle name="Финансовый 2 3 3 3 2 3" xfId="1199" xr:uid="{00000000-0005-0000-0000-0000D7020000}"/>
    <cellStyle name="Финансовый 2 3 3 3 2 4" xfId="1728" xr:uid="{00000000-0005-0000-0000-0000D8020000}"/>
    <cellStyle name="Финансовый 2 3 3 3 2 5" xfId="2008" xr:uid="{90BC7A56-4F21-4689-8065-B676B6AB6673}"/>
    <cellStyle name="Финансовый 2 3 3 3 3" xfId="360" xr:uid="{00000000-0005-0000-0000-0000D9020000}"/>
    <cellStyle name="Финансовый 2 3 3 3 3 2" xfId="1327" xr:uid="{00000000-0005-0000-0000-0000DA020000}"/>
    <cellStyle name="Финансовый 2 3 3 3 3 3" xfId="2144" xr:uid="{6769AABE-B4F3-49F5-B624-7E47EB451CF6}"/>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3 8" xfId="1872" xr:uid="{57462BC2-1914-409B-AC36-FEB899397359}"/>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2 3" xfId="2236" xr:uid="{6BB6A023-F30D-4E04-B5D5-825DCBBA81E5}"/>
    <cellStyle name="Финансовый 2 3 3 4 3" xfId="1163" xr:uid="{00000000-0005-0000-0000-0000E3020000}"/>
    <cellStyle name="Финансовый 2 3 3 4 4" xfId="1684" xr:uid="{00000000-0005-0000-0000-0000E4020000}"/>
    <cellStyle name="Финансовый 2 3 3 4 5" xfId="1964" xr:uid="{29E9467A-66DB-4010-9600-F16A262583E7}"/>
    <cellStyle name="Финансовый 2 3 3 5" xfId="316" xr:uid="{00000000-0005-0000-0000-0000E5020000}"/>
    <cellStyle name="Финансовый 2 3 3 5 2" xfId="1291" xr:uid="{00000000-0005-0000-0000-0000E6020000}"/>
    <cellStyle name="Финансовый 2 3 3 5 3" xfId="2100" xr:uid="{849BF43D-C246-4A1E-8E38-1E50FC9658D1}"/>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2 3" xfId="2286" xr:uid="{094550E2-9B85-4503-9A1E-3C8C4CD812E1}"/>
    <cellStyle name="Финансовый 2 3 4 2 3" xfId="1205" xr:uid="{00000000-0005-0000-0000-0000F0020000}"/>
    <cellStyle name="Финансовый 2 3 4 2 4" xfId="1734" xr:uid="{00000000-0005-0000-0000-0000F1020000}"/>
    <cellStyle name="Финансовый 2 3 4 2 5" xfId="2014" xr:uid="{FC430EBE-5619-4860-8AC7-0704D96FCDE9}"/>
    <cellStyle name="Финансовый 2 3 4 3" xfId="366" xr:uid="{00000000-0005-0000-0000-0000F2020000}"/>
    <cellStyle name="Финансовый 2 3 4 3 2" xfId="1333" xr:uid="{00000000-0005-0000-0000-0000F3020000}"/>
    <cellStyle name="Финансовый 2 3 4 3 3" xfId="2150" xr:uid="{FE4A4124-5392-4C2C-8EAD-BF1A8C1F3C11}"/>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4 8" xfId="1878" xr:uid="{815A7E3E-2DA0-47F3-B4F2-00CBC147E3F3}"/>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2 3" xfId="2292" xr:uid="{AB084077-0AF1-4746-BBB4-0CC2E8C82ED1}"/>
    <cellStyle name="Финансовый 2 3 5 2 3" xfId="1211" xr:uid="{00000000-0005-0000-0000-0000FD020000}"/>
    <cellStyle name="Финансовый 2 3 5 2 4" xfId="1740" xr:uid="{00000000-0005-0000-0000-0000FE020000}"/>
    <cellStyle name="Финансовый 2 3 5 2 5" xfId="2020" xr:uid="{DC9E3B44-A112-48F3-9692-C6EED2F9C6E4}"/>
    <cellStyle name="Финансовый 2 3 5 3" xfId="372" xr:uid="{00000000-0005-0000-0000-0000FF020000}"/>
    <cellStyle name="Финансовый 2 3 5 3 2" xfId="1339" xr:uid="{00000000-0005-0000-0000-000000030000}"/>
    <cellStyle name="Финансовый 2 3 5 3 3" xfId="2156" xr:uid="{2B12678E-9B2A-449E-8E32-2FEAE6C2178B}"/>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5 8" xfId="1884" xr:uid="{EAD62311-93F2-43D9-9FEA-DF9AA2BB1973}"/>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2 3" xfId="2304" xr:uid="{9B6AB2B6-D029-46F8-9C2D-39BC5B371282}"/>
    <cellStyle name="Финансовый 2 3 6 2 3" xfId="1223" xr:uid="{00000000-0005-0000-0000-00000A030000}"/>
    <cellStyle name="Финансовый 2 3 6 2 4" xfId="1752" xr:uid="{00000000-0005-0000-0000-00000B030000}"/>
    <cellStyle name="Финансовый 2 3 6 2 5" xfId="2032" xr:uid="{475DA495-675C-4F3A-9399-CA241196650B}"/>
    <cellStyle name="Финансовый 2 3 6 3" xfId="384" xr:uid="{00000000-0005-0000-0000-00000C030000}"/>
    <cellStyle name="Финансовый 2 3 6 3 2" xfId="1351" xr:uid="{00000000-0005-0000-0000-00000D030000}"/>
    <cellStyle name="Финансовый 2 3 6 3 3" xfId="2168" xr:uid="{71731A89-065A-4B93-8576-25EEF2282D54}"/>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6 8" xfId="1896" xr:uid="{F7B156C3-AF95-484F-9A48-E77C34347A8C}"/>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2 3" xfId="2268" xr:uid="{557A24C7-6F36-4AD2-ABD8-3682C6A2126A}"/>
    <cellStyle name="Финансовый 2 3 7 2 3" xfId="1187" xr:uid="{00000000-0005-0000-0000-000017030000}"/>
    <cellStyle name="Финансовый 2 3 7 2 4" xfId="1716" xr:uid="{00000000-0005-0000-0000-000018030000}"/>
    <cellStyle name="Финансовый 2 3 7 2 5" xfId="1996" xr:uid="{673DCDCE-52C9-46D9-A50F-BC243386410C}"/>
    <cellStyle name="Финансовый 2 3 7 3" xfId="348" xr:uid="{00000000-0005-0000-0000-000019030000}"/>
    <cellStyle name="Финансовый 2 3 7 3 2" xfId="1315" xr:uid="{00000000-0005-0000-0000-00001A030000}"/>
    <cellStyle name="Финансовый 2 3 7 3 3" xfId="2132" xr:uid="{0E68769F-5E78-4142-AE5C-2B108B844CCE}"/>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7 8" xfId="1860" xr:uid="{66DFB435-BE5A-4795-B7CC-54A43AF4A377}"/>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2 3" xfId="2248" xr:uid="{D6CCD54B-0569-4424-A9CB-1B170E678AA6}"/>
    <cellStyle name="Финансовый 2 3 8 2 3" xfId="1175" xr:uid="{00000000-0005-0000-0000-000024030000}"/>
    <cellStyle name="Финансовый 2 3 8 2 4" xfId="1696" xr:uid="{00000000-0005-0000-0000-000025030000}"/>
    <cellStyle name="Финансовый 2 3 8 2 5" xfId="1976" xr:uid="{712CD923-4810-494B-95A6-4B7D60558CEA}"/>
    <cellStyle name="Финансовый 2 3 8 3" xfId="328" xr:uid="{00000000-0005-0000-0000-000026030000}"/>
    <cellStyle name="Финансовый 2 3 8 3 2" xfId="1303" xr:uid="{00000000-0005-0000-0000-000027030000}"/>
    <cellStyle name="Финансовый 2 3 8 3 3" xfId="2112" xr:uid="{9E3539DB-3C9A-4D4D-B0AC-52C854C97C62}"/>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8 8" xfId="1839" xr:uid="{67341ADE-2A01-4EB6-8F54-59EC7722C67B}"/>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2 3" xfId="2324" xr:uid="{1F226D46-A762-43C4-B0BD-69B679401027}"/>
    <cellStyle name="Финансовый 2 3 9 2 3" xfId="1243" xr:uid="{00000000-0005-0000-0000-000031030000}"/>
    <cellStyle name="Финансовый 2 3 9 2 4" xfId="1772" xr:uid="{00000000-0005-0000-0000-000032030000}"/>
    <cellStyle name="Финансовый 2 3 9 2 5" xfId="2052" xr:uid="{C61A27A0-EBF3-4704-9EB6-60C9081A9E16}"/>
    <cellStyle name="Финансовый 2 3 9 3" xfId="404" xr:uid="{00000000-0005-0000-0000-000033030000}"/>
    <cellStyle name="Финансовый 2 3 9 3 2" xfId="1371" xr:uid="{00000000-0005-0000-0000-000034030000}"/>
    <cellStyle name="Финансовый 2 3 9 3 3" xfId="2188" xr:uid="{6EBC573D-D65D-476C-B016-490709AC551B}"/>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3 9 8" xfId="1916" xr:uid="{CB2D856D-D4C3-460C-8374-BBC065F279AD}"/>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0 3" xfId="2338" xr:uid="{6C57DA00-3A1A-4193-AA7B-36B8F1AC5525}"/>
    <cellStyle name="Финансовый 2 4 11" xfId="282" xr:uid="{00000000-0005-0000-0000-00003D030000}"/>
    <cellStyle name="Финансовый 2 4 11 2" xfId="2066" xr:uid="{28A7E3A7-E008-456D-9A8C-04CC6A0413D2}"/>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15" xfId="1793" xr:uid="{91965AE0-FDD4-4007-8AA3-33426672BA7B}"/>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2 3" xfId="2294" xr:uid="{E20FAD22-FBB2-452E-B969-2524666E148A}"/>
    <cellStyle name="Финансовый 2 4 2 2 2 3" xfId="1213" xr:uid="{00000000-0005-0000-0000-000047030000}"/>
    <cellStyle name="Финансовый 2 4 2 2 2 4" xfId="1742" xr:uid="{00000000-0005-0000-0000-000048030000}"/>
    <cellStyle name="Финансовый 2 4 2 2 2 5" xfId="2022" xr:uid="{B08E4CD8-7065-4FBE-9D90-6B2A9DCD5151}"/>
    <cellStyle name="Финансовый 2 4 2 2 3" xfId="374" xr:uid="{00000000-0005-0000-0000-000049030000}"/>
    <cellStyle name="Финансовый 2 4 2 2 3 2" xfId="1341" xr:uid="{00000000-0005-0000-0000-00004A030000}"/>
    <cellStyle name="Финансовый 2 4 2 2 3 3" xfId="2158" xr:uid="{A6B79AA8-AC00-4763-B5A3-CC5EDFCD922A}"/>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2 8" xfId="1886" xr:uid="{E85557C1-1768-49ED-B7CB-92A19E992667}"/>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2 3" xfId="2238" xr:uid="{C5B92D3A-285C-40F5-BDB5-0FE9FDA33052}"/>
    <cellStyle name="Финансовый 2 4 2 3 3" xfId="1165" xr:uid="{00000000-0005-0000-0000-000053030000}"/>
    <cellStyle name="Финансовый 2 4 2 3 4" xfId="1686" xr:uid="{00000000-0005-0000-0000-000054030000}"/>
    <cellStyle name="Финансовый 2 4 2 3 5" xfId="1966" xr:uid="{F0119BA1-FBC2-4DC5-BC32-37433E8CF932}"/>
    <cellStyle name="Финансовый 2 4 2 4" xfId="318" xr:uid="{00000000-0005-0000-0000-000055030000}"/>
    <cellStyle name="Финансовый 2 4 2 4 2" xfId="1293" xr:uid="{00000000-0005-0000-0000-000056030000}"/>
    <cellStyle name="Финансовый 2 4 2 4 3" xfId="2102" xr:uid="{047D4785-49A9-4F94-BD2B-B391AE2741A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2 9" xfId="1829" xr:uid="{80A29C68-DEC5-4769-8CA0-802C5F2E1633}"/>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2 3" xfId="2306" xr:uid="{8CF23872-EF4C-4FC8-8248-AB83C31C6084}"/>
    <cellStyle name="Финансовый 2 4 3 2 3" xfId="1225" xr:uid="{00000000-0005-0000-0000-000060030000}"/>
    <cellStyle name="Финансовый 2 4 3 2 4" xfId="1754" xr:uid="{00000000-0005-0000-0000-000061030000}"/>
    <cellStyle name="Финансовый 2 4 3 2 5" xfId="2034" xr:uid="{665156A1-17F4-48DA-AA9E-A63EBC10E7F7}"/>
    <cellStyle name="Финансовый 2 4 3 3" xfId="386" xr:uid="{00000000-0005-0000-0000-000062030000}"/>
    <cellStyle name="Финансовый 2 4 3 3 2" xfId="1353" xr:uid="{00000000-0005-0000-0000-000063030000}"/>
    <cellStyle name="Финансовый 2 4 3 3 3" xfId="2170" xr:uid="{49F0CF90-C587-4D76-BF0F-E2BBBBAE12C1}"/>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3 8" xfId="1898" xr:uid="{D2961D29-9184-4C84-89ED-071DA3AE90E6}"/>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2 3" xfId="2270" xr:uid="{E8850059-BDCD-4DEE-8D09-303900291008}"/>
    <cellStyle name="Финансовый 2 4 4 2 3" xfId="1189" xr:uid="{00000000-0005-0000-0000-00006D030000}"/>
    <cellStyle name="Финансовый 2 4 4 2 4" xfId="1718" xr:uid="{00000000-0005-0000-0000-00006E030000}"/>
    <cellStyle name="Финансовый 2 4 4 2 5" xfId="1998" xr:uid="{37F7B9FA-5E93-4E04-A2F8-7F65DBA46398}"/>
    <cellStyle name="Финансовый 2 4 4 3" xfId="350" xr:uid="{00000000-0005-0000-0000-00006F030000}"/>
    <cellStyle name="Финансовый 2 4 4 3 2" xfId="1317" xr:uid="{00000000-0005-0000-0000-000070030000}"/>
    <cellStyle name="Финансовый 2 4 4 3 3" xfId="2134" xr:uid="{3E1D1509-7C8D-41BF-9F0B-50BBE5421E01}"/>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4 8" xfId="1862" xr:uid="{9A0CFCF8-14D2-466E-82EB-509E3BD83DEF}"/>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2 3" xfId="2250" xr:uid="{7D85F66A-1237-44D8-9EAA-4291B0413218}"/>
    <cellStyle name="Финансовый 2 4 5 2 3" xfId="1177" xr:uid="{00000000-0005-0000-0000-00007A030000}"/>
    <cellStyle name="Финансовый 2 4 5 2 4" xfId="1698" xr:uid="{00000000-0005-0000-0000-00007B030000}"/>
    <cellStyle name="Финансовый 2 4 5 2 5" xfId="1978" xr:uid="{5478FACC-6C55-45A9-852D-2CFD9433014D}"/>
    <cellStyle name="Финансовый 2 4 5 3" xfId="330" xr:uid="{00000000-0005-0000-0000-00007C030000}"/>
    <cellStyle name="Финансовый 2 4 5 3 2" xfId="1305" xr:uid="{00000000-0005-0000-0000-00007D030000}"/>
    <cellStyle name="Финансовый 2 4 5 3 3" xfId="2114" xr:uid="{BF2C8DAB-09A5-4078-91DA-88C6F5C80C76}"/>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5 8" xfId="1841" xr:uid="{4722EF53-1CDF-4225-8A60-E2AD9E1CD7AE}"/>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2 3" xfId="2326" xr:uid="{3A5EC261-3EF1-469F-97CC-6CC21E30B535}"/>
    <cellStyle name="Финансовый 2 4 6 2 3" xfId="1245" xr:uid="{00000000-0005-0000-0000-000087030000}"/>
    <cellStyle name="Финансовый 2 4 6 2 4" xfId="1774" xr:uid="{00000000-0005-0000-0000-000088030000}"/>
    <cellStyle name="Финансовый 2 4 6 2 5" xfId="2054" xr:uid="{B94814B4-EE20-483E-A456-A461BC1001C7}"/>
    <cellStyle name="Финансовый 2 4 6 3" xfId="406" xr:uid="{00000000-0005-0000-0000-000089030000}"/>
    <cellStyle name="Финансовый 2 4 6 3 2" xfId="1373" xr:uid="{00000000-0005-0000-0000-00008A030000}"/>
    <cellStyle name="Финансовый 2 4 6 3 3" xfId="2190" xr:uid="{C898FCBB-74F1-496A-BB1F-424F3C82AA2F}"/>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6 8" xfId="1918" xr:uid="{DAA80AB3-C04F-47D4-8616-C5EECC964E67}"/>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2 3" xfId="2226" xr:uid="{8FF3ED88-6ABF-432D-A43C-52CE4A903B29}"/>
    <cellStyle name="Финансовый 2 4 7 2 3" xfId="1153" xr:uid="{00000000-0005-0000-0000-000094030000}"/>
    <cellStyle name="Финансовый 2 4 7 2 4" xfId="1674" xr:uid="{00000000-0005-0000-0000-000095030000}"/>
    <cellStyle name="Финансовый 2 4 7 2 5" xfId="1954" xr:uid="{756172A4-E165-4FA0-8CAE-991A614CDAFA}"/>
    <cellStyle name="Финансовый 2 4 7 3" xfId="306" xr:uid="{00000000-0005-0000-0000-000096030000}"/>
    <cellStyle name="Финансовый 2 4 7 3 2" xfId="1281" xr:uid="{00000000-0005-0000-0000-000097030000}"/>
    <cellStyle name="Финансовый 2 4 7 3 3" xfId="2090" xr:uid="{694BB00F-FDBC-4DA3-8CB2-F46B7CD3E60C}"/>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7 8" xfId="1817" xr:uid="{655BFD22-9B8A-4F5A-B6F2-67D7F22DEF58}"/>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2 3" xfId="2214" xr:uid="{8254414C-9FD9-428A-BE33-0C3A4E3FB3F6}"/>
    <cellStyle name="Финансовый 2 4 8 2 3" xfId="1141" xr:uid="{00000000-0005-0000-0000-0000A1030000}"/>
    <cellStyle name="Финансовый 2 4 8 2 4" xfId="1662" xr:uid="{00000000-0005-0000-0000-0000A2030000}"/>
    <cellStyle name="Финансовый 2 4 8 2 5" xfId="1942" xr:uid="{0BB7216C-0BD3-40A6-903D-910D564F446A}"/>
    <cellStyle name="Финансовый 2 4 8 3" xfId="294" xr:uid="{00000000-0005-0000-0000-0000A3030000}"/>
    <cellStyle name="Финансовый 2 4 8 3 2" xfId="1269" xr:uid="{00000000-0005-0000-0000-0000A4030000}"/>
    <cellStyle name="Финансовый 2 4 8 3 3" xfId="2078" xr:uid="{3AB458DC-3861-4998-9209-B58E4EA67896}"/>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8 8" xfId="1805" xr:uid="{46F704F3-07D9-478D-A117-5F058E245668}"/>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2 3" xfId="2202" xr:uid="{7695F395-CFAD-4683-9FC4-DA0EC2848C23}"/>
    <cellStyle name="Финансовый 2 4 9 3" xfId="1129" xr:uid="{00000000-0005-0000-0000-0000AD030000}"/>
    <cellStyle name="Финансовый 2 4 9 4" xfId="1650" xr:uid="{00000000-0005-0000-0000-0000AE030000}"/>
    <cellStyle name="Финансовый 2 4 9 5" xfId="1930" xr:uid="{2D1D11E4-3DD5-4C17-94CC-A5FCE351C49E}"/>
    <cellStyle name="Финансовый 2 5" xfId="38" xr:uid="{00000000-0005-0000-0000-0000AF030000}"/>
    <cellStyle name="Финансовый 2 5 10" xfId="1823" xr:uid="{0E918070-E531-4053-B054-65DF454CAE6E}"/>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2 3" xfId="2312" xr:uid="{6F2D4982-5E15-403D-B1A4-1B5205DE7D0F}"/>
    <cellStyle name="Финансовый 2 5 2 2 3" xfId="1231" xr:uid="{00000000-0005-0000-0000-0000B4030000}"/>
    <cellStyle name="Финансовый 2 5 2 2 4" xfId="1760" xr:uid="{00000000-0005-0000-0000-0000B5030000}"/>
    <cellStyle name="Финансовый 2 5 2 2 5" xfId="2040" xr:uid="{A6BA8042-F066-4BA1-A9CD-7FF4432C6C83}"/>
    <cellStyle name="Финансовый 2 5 2 3" xfId="392" xr:uid="{00000000-0005-0000-0000-0000B6030000}"/>
    <cellStyle name="Финансовый 2 5 2 3 2" xfId="1359" xr:uid="{00000000-0005-0000-0000-0000B7030000}"/>
    <cellStyle name="Финансовый 2 5 2 3 3" xfId="2176" xr:uid="{1EE5407F-4129-4374-979A-F25EB3CBFE8B}"/>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2 8" xfId="1904" xr:uid="{1058995A-8673-4E0D-9810-2818BF8C9DA2}"/>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2 3" xfId="2276" xr:uid="{A606C9D8-E98B-4DFB-8B75-409CE510CC95}"/>
    <cellStyle name="Финансовый 2 5 3 2 3" xfId="1195" xr:uid="{00000000-0005-0000-0000-0000C1030000}"/>
    <cellStyle name="Финансовый 2 5 3 2 4" xfId="1724" xr:uid="{00000000-0005-0000-0000-0000C2030000}"/>
    <cellStyle name="Финансовый 2 5 3 2 5" xfId="2004" xr:uid="{5387F0C2-2287-4EC5-AE55-F01867E838A4}"/>
    <cellStyle name="Финансовый 2 5 3 3" xfId="356" xr:uid="{00000000-0005-0000-0000-0000C3030000}"/>
    <cellStyle name="Финансовый 2 5 3 3 2" xfId="1323" xr:uid="{00000000-0005-0000-0000-0000C4030000}"/>
    <cellStyle name="Финансовый 2 5 3 3 3" xfId="2140" xr:uid="{24548790-AA61-4F52-8CA8-60C5304D414B}"/>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3 8" xfId="1868" xr:uid="{937BAAD5-C71F-471E-BBD4-CDA5B0ED8EE2}"/>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2 3" xfId="2232" xr:uid="{DA88D6E5-CEB2-4401-9E7A-535971056637}"/>
    <cellStyle name="Финансовый 2 5 4 3" xfId="1159" xr:uid="{00000000-0005-0000-0000-0000CD030000}"/>
    <cellStyle name="Финансовый 2 5 4 4" xfId="1680" xr:uid="{00000000-0005-0000-0000-0000CE030000}"/>
    <cellStyle name="Финансовый 2 5 4 5" xfId="1960" xr:uid="{204F387A-B4C6-4CDF-891D-A5F0461102ED}"/>
    <cellStyle name="Финансовый 2 5 5" xfId="312" xr:uid="{00000000-0005-0000-0000-0000CF030000}"/>
    <cellStyle name="Финансовый 2 5 5 2" xfId="1287" xr:uid="{00000000-0005-0000-0000-0000D0030000}"/>
    <cellStyle name="Финансовый 2 5 5 3" xfId="2096" xr:uid="{BE7C6C1B-E2EF-42AD-A0F9-02D69D769CD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2 3" xfId="2282" xr:uid="{BAD56CA9-482A-4A7A-80A0-8A8637CF0E85}"/>
    <cellStyle name="Финансовый 2 6 2 3" xfId="1201" xr:uid="{00000000-0005-0000-0000-0000DA030000}"/>
    <cellStyle name="Финансовый 2 6 2 4" xfId="1730" xr:uid="{00000000-0005-0000-0000-0000DB030000}"/>
    <cellStyle name="Финансовый 2 6 2 5" xfId="2010" xr:uid="{458D75CA-6791-499A-B963-F69416C6A060}"/>
    <cellStyle name="Финансовый 2 6 3" xfId="362" xr:uid="{00000000-0005-0000-0000-0000DC030000}"/>
    <cellStyle name="Финансовый 2 6 3 2" xfId="1329" xr:uid="{00000000-0005-0000-0000-0000DD030000}"/>
    <cellStyle name="Финансовый 2 6 3 3" xfId="2146" xr:uid="{BABA0F6E-1F37-4BFD-9B5A-4BE9A1FD0B4B}"/>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6 8" xfId="1874" xr:uid="{2DF1679A-39D0-40ED-908E-260A8A73AE85}"/>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2 3" xfId="2288" xr:uid="{6BA81291-B78B-4A5E-8565-FEE0F61D2C55}"/>
    <cellStyle name="Финансовый 2 7 2 3" xfId="1207" xr:uid="{00000000-0005-0000-0000-0000E7030000}"/>
    <cellStyle name="Финансовый 2 7 2 4" xfId="1736" xr:uid="{00000000-0005-0000-0000-0000E8030000}"/>
    <cellStyle name="Финансовый 2 7 2 5" xfId="2016" xr:uid="{20E96A19-D540-42E8-AB65-48847613339B}"/>
    <cellStyle name="Финансовый 2 7 3" xfId="368" xr:uid="{00000000-0005-0000-0000-0000E9030000}"/>
    <cellStyle name="Финансовый 2 7 3 2" xfId="1335" xr:uid="{00000000-0005-0000-0000-0000EA030000}"/>
    <cellStyle name="Финансовый 2 7 3 3" xfId="2152" xr:uid="{15DB4A87-B81C-48D7-9775-1CD67226045E}"/>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7 8" xfId="1880" xr:uid="{04407905-2950-4A5C-B3AA-40F4941F488A}"/>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2 3" xfId="2300" xr:uid="{8AB9BC2A-199E-4542-AFB9-E6E22DE827F3}"/>
    <cellStyle name="Финансовый 2 8 2 3" xfId="1219" xr:uid="{00000000-0005-0000-0000-0000F4030000}"/>
    <cellStyle name="Финансовый 2 8 2 4" xfId="1748" xr:uid="{00000000-0005-0000-0000-0000F5030000}"/>
    <cellStyle name="Финансовый 2 8 2 5" xfId="2028" xr:uid="{1FC27E8B-6A47-436C-BC96-7C1D4021C2D7}"/>
    <cellStyle name="Финансовый 2 8 3" xfId="380" xr:uid="{00000000-0005-0000-0000-0000F6030000}"/>
    <cellStyle name="Финансовый 2 8 3 2" xfId="1347" xr:uid="{00000000-0005-0000-0000-0000F7030000}"/>
    <cellStyle name="Финансовый 2 8 3 3" xfId="2164" xr:uid="{8F087C39-AB64-469A-BE71-567AA0322EFD}"/>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8 8" xfId="1892" xr:uid="{BBAEEFAD-B0A0-4D5B-BE26-067A62935AA2}"/>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2 3" xfId="2318" xr:uid="{77D768EA-066A-435F-BB32-72E5528CF917}"/>
    <cellStyle name="Финансовый 2 9 2 3" xfId="1237" xr:uid="{00000000-0005-0000-0000-000001040000}"/>
    <cellStyle name="Финансовый 2 9 2 4" xfId="1766" xr:uid="{00000000-0005-0000-0000-000002040000}"/>
    <cellStyle name="Финансовый 2 9 2 5" xfId="2046" xr:uid="{B88B6727-C155-42EB-8DD0-26CBBC767D58}"/>
    <cellStyle name="Финансовый 2 9 3" xfId="398" xr:uid="{00000000-0005-0000-0000-000003040000}"/>
    <cellStyle name="Финансовый 2 9 3 2" xfId="1365" xr:uid="{00000000-0005-0000-0000-000004040000}"/>
    <cellStyle name="Финансовый 2 9 3 3" xfId="2182" xr:uid="{7DBCABA6-787C-47A0-8B02-23D08650D925}"/>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 9 8" xfId="1910" xr:uid="{A6B29C2E-86A0-4CE4-B18D-45FE289D2039}"/>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2 3" xfId="2221" xr:uid="{D92BF45B-88BA-427C-A12F-502EAF8EF210}"/>
    <cellStyle name="Финансовый 3 10 2 3" xfId="1148" xr:uid="{00000000-0005-0000-0000-000019040000}"/>
    <cellStyle name="Финансовый 3 10 2 4" xfId="1669" xr:uid="{00000000-0005-0000-0000-00001A040000}"/>
    <cellStyle name="Финансовый 3 10 2 5" xfId="1949" xr:uid="{D8D98F3F-81DE-4C0E-B1B5-618044F82909}"/>
    <cellStyle name="Финансовый 3 10 3" xfId="301" xr:uid="{00000000-0005-0000-0000-00001B040000}"/>
    <cellStyle name="Финансовый 3 10 3 2" xfId="1276" xr:uid="{00000000-0005-0000-0000-00001C040000}"/>
    <cellStyle name="Финансовый 3 10 3 3" xfId="2085" xr:uid="{813EF6C3-E250-49F3-97E5-A03C5F212D3B}"/>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0 8" xfId="1812" xr:uid="{AED54420-6E91-4479-9467-D04272D1F1C7}"/>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2 3" xfId="2209" xr:uid="{1DD8ADC5-5C0C-4005-B592-D604B5982CDE}"/>
    <cellStyle name="Финансовый 3 11 2 3" xfId="1136" xr:uid="{00000000-0005-0000-0000-000026040000}"/>
    <cellStyle name="Финансовый 3 11 2 4" xfId="1657" xr:uid="{00000000-0005-0000-0000-000027040000}"/>
    <cellStyle name="Финансовый 3 11 2 5" xfId="1937" xr:uid="{89B39098-6BDE-4C76-8547-BC0D7C5F7F6B}"/>
    <cellStyle name="Финансовый 3 11 3" xfId="289" xr:uid="{00000000-0005-0000-0000-000028040000}"/>
    <cellStyle name="Финансовый 3 11 3 2" xfId="1264" xr:uid="{00000000-0005-0000-0000-000029040000}"/>
    <cellStyle name="Финансовый 3 11 3 3" xfId="2073" xr:uid="{A78E6DAB-CF2B-4528-90F3-A2489A2EBD45}"/>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1 8" xfId="1800" xr:uid="{D3208647-EB05-4C7F-BC33-E012A5D196C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2 3" xfId="2197" xr:uid="{6CDB07AD-53FD-42E8-BFAC-E079F30AE179}"/>
    <cellStyle name="Финансовый 3 12 3" xfId="1124" xr:uid="{00000000-0005-0000-0000-000032040000}"/>
    <cellStyle name="Финансовый 3 12 4" xfId="1645" xr:uid="{00000000-0005-0000-0000-000033040000}"/>
    <cellStyle name="Финансовый 3 12 5" xfId="1925" xr:uid="{3D217CFE-8304-46DE-8568-8E901A593957}"/>
    <cellStyle name="Финансовый 3 13" xfId="549" xr:uid="{00000000-0005-0000-0000-000034040000}"/>
    <cellStyle name="Финансовый 3 13 2" xfId="1252" xr:uid="{00000000-0005-0000-0000-000035040000}"/>
    <cellStyle name="Финансовый 3 13 3" xfId="2333" xr:uid="{E356F30E-56EC-478D-A61F-5E15F3CFBC0C}"/>
    <cellStyle name="Финансовый 3 14" xfId="277" xr:uid="{00000000-0005-0000-0000-000036040000}"/>
    <cellStyle name="Финансовый 3 14 2" xfId="2061" xr:uid="{61194E7A-0AA7-4EB0-8D77-E54C8EDAE219}"/>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18" xfId="1788" xr:uid="{3F3FFA59-44A8-41B2-9FC2-71725BE238CA}"/>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0 3" xfId="2339" xr:uid="{015A21F7-0F8F-4487-BD3D-09E91B771A10}"/>
    <cellStyle name="Финансовый 3 2 11" xfId="283" xr:uid="{00000000-0005-0000-0000-00003E040000}"/>
    <cellStyle name="Финансовый 3 2 11 2" xfId="2067" xr:uid="{10E14432-CB0A-4370-9BE4-0CFE25BC2E36}"/>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15" xfId="1794" xr:uid="{8506F309-B7CB-4A82-ABCD-8EA9C62014C5}"/>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2 3" xfId="2295" xr:uid="{857F6F56-552A-4A1C-AC3C-F6F436B7AB48}"/>
    <cellStyle name="Финансовый 3 2 2 2 2 3" xfId="1214" xr:uid="{00000000-0005-0000-0000-000048040000}"/>
    <cellStyle name="Финансовый 3 2 2 2 2 4" xfId="1743" xr:uid="{00000000-0005-0000-0000-000049040000}"/>
    <cellStyle name="Финансовый 3 2 2 2 2 5" xfId="2023" xr:uid="{CFAF4C97-3193-42F5-8C90-7F51DD29D694}"/>
    <cellStyle name="Финансовый 3 2 2 2 3" xfId="375" xr:uid="{00000000-0005-0000-0000-00004A040000}"/>
    <cellStyle name="Финансовый 3 2 2 2 3 2" xfId="1342" xr:uid="{00000000-0005-0000-0000-00004B040000}"/>
    <cellStyle name="Финансовый 3 2 2 2 3 3" xfId="2159" xr:uid="{8105F90C-E4C8-499B-98FC-11C378E4EC69}"/>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2 8" xfId="1887" xr:uid="{C509213D-17C1-4297-ADE5-6764F30150C2}"/>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2 3" xfId="2239" xr:uid="{E4DBED8A-F9EC-4A63-80A1-9B9651E8D678}"/>
    <cellStyle name="Финансовый 3 2 2 3 3" xfId="1166" xr:uid="{00000000-0005-0000-0000-000054040000}"/>
    <cellStyle name="Финансовый 3 2 2 3 4" xfId="1687" xr:uid="{00000000-0005-0000-0000-000055040000}"/>
    <cellStyle name="Финансовый 3 2 2 3 5" xfId="1967" xr:uid="{37504C05-77B5-4D1D-8DEA-0FC11AE9F529}"/>
    <cellStyle name="Финансовый 3 2 2 4" xfId="319" xr:uid="{00000000-0005-0000-0000-000056040000}"/>
    <cellStyle name="Финансовый 3 2 2 4 2" xfId="1294" xr:uid="{00000000-0005-0000-0000-000057040000}"/>
    <cellStyle name="Финансовый 3 2 2 4 3" xfId="2103" xr:uid="{5B2298D1-4BD9-48DF-8E55-AAB9AD05EFE6}"/>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2 9" xfId="1830" xr:uid="{3D99A34A-ADFD-4F8C-900E-725CA85C4955}"/>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2 3" xfId="2307" xr:uid="{C57ABF8D-383A-4EAB-9ABD-A39DFEDE2399}"/>
    <cellStyle name="Финансовый 3 2 3 2 3" xfId="1226" xr:uid="{00000000-0005-0000-0000-000061040000}"/>
    <cellStyle name="Финансовый 3 2 3 2 4" xfId="1755" xr:uid="{00000000-0005-0000-0000-000062040000}"/>
    <cellStyle name="Финансовый 3 2 3 2 5" xfId="2035" xr:uid="{692B7BF4-B4E7-463F-A4ED-D053B4C92225}"/>
    <cellStyle name="Финансовый 3 2 3 3" xfId="387" xr:uid="{00000000-0005-0000-0000-000063040000}"/>
    <cellStyle name="Финансовый 3 2 3 3 2" xfId="1354" xr:uid="{00000000-0005-0000-0000-000064040000}"/>
    <cellStyle name="Финансовый 3 2 3 3 3" xfId="2171" xr:uid="{22FBFD04-9C34-4046-89BF-A881EAB6CE6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3 8" xfId="1899" xr:uid="{8F30B7CA-ACDC-4EAB-96E8-C1D7ED49E55F}"/>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2 3" xfId="2271" xr:uid="{65215F58-3E6E-4841-8C37-38644D293946}"/>
    <cellStyle name="Финансовый 3 2 4 2 3" xfId="1190" xr:uid="{00000000-0005-0000-0000-00006E040000}"/>
    <cellStyle name="Финансовый 3 2 4 2 4" xfId="1719" xr:uid="{00000000-0005-0000-0000-00006F040000}"/>
    <cellStyle name="Финансовый 3 2 4 2 5" xfId="1999" xr:uid="{3EE2E58F-A31D-4DA6-942C-209F1BB6708C}"/>
    <cellStyle name="Финансовый 3 2 4 3" xfId="351" xr:uid="{00000000-0005-0000-0000-000070040000}"/>
    <cellStyle name="Финансовый 3 2 4 3 2" xfId="1318" xr:uid="{00000000-0005-0000-0000-000071040000}"/>
    <cellStyle name="Финансовый 3 2 4 3 3" xfId="2135" xr:uid="{E977D649-5FDB-497C-B81F-54B6A535A9B9}"/>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4 8" xfId="1863" xr:uid="{D10DB9E5-AAB9-41A3-9C11-A58CF8EBE368}"/>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2 3" xfId="2251" xr:uid="{D901DC48-87D7-4CBC-8565-9649B73FE261}"/>
    <cellStyle name="Финансовый 3 2 5 2 3" xfId="1178" xr:uid="{00000000-0005-0000-0000-00007B040000}"/>
    <cellStyle name="Финансовый 3 2 5 2 4" xfId="1699" xr:uid="{00000000-0005-0000-0000-00007C040000}"/>
    <cellStyle name="Финансовый 3 2 5 2 5" xfId="1979" xr:uid="{FC5AABFF-4BC6-4C39-95AF-C8A6FDCD4EAC}"/>
    <cellStyle name="Финансовый 3 2 5 3" xfId="331" xr:uid="{00000000-0005-0000-0000-00007D040000}"/>
    <cellStyle name="Финансовый 3 2 5 3 2" xfId="1306" xr:uid="{00000000-0005-0000-0000-00007E040000}"/>
    <cellStyle name="Финансовый 3 2 5 3 3" xfId="2115" xr:uid="{AF9C4288-0629-46BC-9881-7BBEFC7D590F}"/>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5 8" xfId="1842" xr:uid="{A7142F83-2D5B-4AEA-B7A2-D2E9E5A2B1AB}"/>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2 3" xfId="2327" xr:uid="{97A29134-43EC-415F-9A0E-F2AF54E816FD}"/>
    <cellStyle name="Финансовый 3 2 6 2 3" xfId="1246" xr:uid="{00000000-0005-0000-0000-000088040000}"/>
    <cellStyle name="Финансовый 3 2 6 2 4" xfId="1775" xr:uid="{00000000-0005-0000-0000-000089040000}"/>
    <cellStyle name="Финансовый 3 2 6 2 5" xfId="2055" xr:uid="{A4ECE1A2-6278-4F84-8F23-CFE3D514C6CA}"/>
    <cellStyle name="Финансовый 3 2 6 3" xfId="407" xr:uid="{00000000-0005-0000-0000-00008A040000}"/>
    <cellStyle name="Финансовый 3 2 6 3 2" xfId="1374" xr:uid="{00000000-0005-0000-0000-00008B040000}"/>
    <cellStyle name="Финансовый 3 2 6 3 3" xfId="2191" xr:uid="{0B3D9153-99BE-43BE-A4A8-330CDA208446}"/>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6 8" xfId="1919" xr:uid="{40F0A027-807F-4251-B576-9B393F0655D9}"/>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2 3" xfId="2227" xr:uid="{8B9919C1-549A-4E2C-93FD-7041F5784787}"/>
    <cellStyle name="Финансовый 3 2 7 2 3" xfId="1154" xr:uid="{00000000-0005-0000-0000-000095040000}"/>
    <cellStyle name="Финансовый 3 2 7 2 4" xfId="1675" xr:uid="{00000000-0005-0000-0000-000096040000}"/>
    <cellStyle name="Финансовый 3 2 7 2 5" xfId="1955" xr:uid="{92AE7094-6B07-457F-98EC-5B450C3E4F9C}"/>
    <cellStyle name="Финансовый 3 2 7 3" xfId="307" xr:uid="{00000000-0005-0000-0000-000097040000}"/>
    <cellStyle name="Финансовый 3 2 7 3 2" xfId="1282" xr:uid="{00000000-0005-0000-0000-000098040000}"/>
    <cellStyle name="Финансовый 3 2 7 3 3" xfId="2091" xr:uid="{78565F4B-1048-44EF-A4A7-DBF744D08AA7}"/>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7 8" xfId="1818" xr:uid="{04BD02E1-905E-4367-89A2-BCC1EB5EE273}"/>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2 3" xfId="2215" xr:uid="{B879B3FD-AAEB-4786-9876-1C4C53F29446}"/>
    <cellStyle name="Финансовый 3 2 8 2 3" xfId="1142" xr:uid="{00000000-0005-0000-0000-0000A2040000}"/>
    <cellStyle name="Финансовый 3 2 8 2 4" xfId="1663" xr:uid="{00000000-0005-0000-0000-0000A3040000}"/>
    <cellStyle name="Финансовый 3 2 8 2 5" xfId="1943" xr:uid="{28F792E7-8F8D-4341-B4E2-4AD9F4832650}"/>
    <cellStyle name="Финансовый 3 2 8 3" xfId="295" xr:uid="{00000000-0005-0000-0000-0000A4040000}"/>
    <cellStyle name="Финансовый 3 2 8 3 2" xfId="1270" xr:uid="{00000000-0005-0000-0000-0000A5040000}"/>
    <cellStyle name="Финансовый 3 2 8 3 3" xfId="2079" xr:uid="{400EDDB7-716A-41D6-8208-CC50F1E29084}"/>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8 8" xfId="1806" xr:uid="{E24FF150-4C3A-4358-AC63-42F3DE304B84}"/>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2 3" xfId="2203" xr:uid="{E99C941A-8AE3-42DA-A912-587992A9A966}"/>
    <cellStyle name="Финансовый 3 2 9 3" xfId="1130" xr:uid="{00000000-0005-0000-0000-0000AE040000}"/>
    <cellStyle name="Финансовый 3 2 9 4" xfId="1651" xr:uid="{00000000-0005-0000-0000-0000AF040000}"/>
    <cellStyle name="Финансовый 3 2 9 5" xfId="1931" xr:uid="{1AA73F8C-209C-4B04-8F1F-32AF96D049A8}"/>
    <cellStyle name="Финансовый 3 3" xfId="39" xr:uid="{00000000-0005-0000-0000-0000B0040000}"/>
    <cellStyle name="Финансовый 3 3 10" xfId="1824" xr:uid="{4E195A05-8E3A-4A9E-B8D2-84B36174007F}"/>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2 3" xfId="2313" xr:uid="{6971607C-2D62-45D6-A2F7-51A1147A7A0D}"/>
    <cellStyle name="Финансовый 3 3 2 2 3" xfId="1232" xr:uid="{00000000-0005-0000-0000-0000B5040000}"/>
    <cellStyle name="Финансовый 3 3 2 2 4" xfId="1761" xr:uid="{00000000-0005-0000-0000-0000B6040000}"/>
    <cellStyle name="Финансовый 3 3 2 2 5" xfId="2041" xr:uid="{B46619F2-4BBB-42AB-9C7D-DF5D4EC5742D}"/>
    <cellStyle name="Финансовый 3 3 2 3" xfId="393" xr:uid="{00000000-0005-0000-0000-0000B7040000}"/>
    <cellStyle name="Финансовый 3 3 2 3 2" xfId="1360" xr:uid="{00000000-0005-0000-0000-0000B8040000}"/>
    <cellStyle name="Финансовый 3 3 2 3 3" xfId="2177" xr:uid="{7E0CE532-53E1-42D9-9370-525462E252A5}"/>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2 8" xfId="1905" xr:uid="{C3C75441-BDC9-4111-BB1F-777530FB994D}"/>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2 3" xfId="2277" xr:uid="{6F89236A-0F83-4E12-9CE6-43AB0C60BDF2}"/>
    <cellStyle name="Финансовый 3 3 3 2 3" xfId="1196" xr:uid="{00000000-0005-0000-0000-0000C2040000}"/>
    <cellStyle name="Финансовый 3 3 3 2 4" xfId="1725" xr:uid="{00000000-0005-0000-0000-0000C3040000}"/>
    <cellStyle name="Финансовый 3 3 3 2 5" xfId="2005" xr:uid="{5D27D05A-3374-425F-BE03-D1087ACB2283}"/>
    <cellStyle name="Финансовый 3 3 3 3" xfId="357" xr:uid="{00000000-0005-0000-0000-0000C4040000}"/>
    <cellStyle name="Финансовый 3 3 3 3 2" xfId="1324" xr:uid="{00000000-0005-0000-0000-0000C5040000}"/>
    <cellStyle name="Финансовый 3 3 3 3 3" xfId="2141" xr:uid="{E59EA61F-768D-4AA2-B813-C5E3CC8E571B}"/>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3 8" xfId="1869" xr:uid="{2781129C-F186-4487-BE39-04631705E8E2}"/>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2 3" xfId="2233" xr:uid="{144D701E-FEF3-46DE-9E39-C2E7A2EB0DF8}"/>
    <cellStyle name="Финансовый 3 3 4 3" xfId="1160" xr:uid="{00000000-0005-0000-0000-0000CE040000}"/>
    <cellStyle name="Финансовый 3 3 4 4" xfId="1681" xr:uid="{00000000-0005-0000-0000-0000CF040000}"/>
    <cellStyle name="Финансовый 3 3 4 5" xfId="1961" xr:uid="{5451C32C-B31D-4915-8F5F-CC1E020904D0}"/>
    <cellStyle name="Финансовый 3 3 5" xfId="313" xr:uid="{00000000-0005-0000-0000-0000D0040000}"/>
    <cellStyle name="Финансовый 3 3 5 2" xfId="1288" xr:uid="{00000000-0005-0000-0000-0000D1040000}"/>
    <cellStyle name="Финансовый 3 3 5 3" xfId="2097" xr:uid="{748ECD93-F871-49DE-ADB8-48F9BEED405A}"/>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2 3" xfId="2283" xr:uid="{DD684DFA-0335-42F8-9A61-B1D50F893279}"/>
    <cellStyle name="Финансовый 3 4 2 3" xfId="1202" xr:uid="{00000000-0005-0000-0000-0000DB040000}"/>
    <cellStyle name="Финансовый 3 4 2 4" xfId="1731" xr:uid="{00000000-0005-0000-0000-0000DC040000}"/>
    <cellStyle name="Финансовый 3 4 2 5" xfId="2011" xr:uid="{896C80BD-2792-4847-9A21-F8DDCCC31466}"/>
    <cellStyle name="Финансовый 3 4 3" xfId="363" xr:uid="{00000000-0005-0000-0000-0000DD040000}"/>
    <cellStyle name="Финансовый 3 4 3 2" xfId="1330" xr:uid="{00000000-0005-0000-0000-0000DE040000}"/>
    <cellStyle name="Финансовый 3 4 3 3" xfId="2147" xr:uid="{01F89340-5E6E-4474-9AB6-73CA881170E7}"/>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4 8" xfId="1875" xr:uid="{61BA1641-C6E5-4A59-98A1-B9ED7BE19CAC}"/>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2 3" xfId="2289" xr:uid="{9E157920-56F7-4D05-9BA3-D16F8A22FC3C}"/>
    <cellStyle name="Финансовый 3 5 2 3" xfId="1208" xr:uid="{00000000-0005-0000-0000-0000E8040000}"/>
    <cellStyle name="Финансовый 3 5 2 4" xfId="1737" xr:uid="{00000000-0005-0000-0000-0000E9040000}"/>
    <cellStyle name="Финансовый 3 5 2 5" xfId="2017" xr:uid="{0020A7B2-B583-4D5A-8A22-47D6B41F1E7C}"/>
    <cellStyle name="Финансовый 3 5 3" xfId="369" xr:uid="{00000000-0005-0000-0000-0000EA040000}"/>
    <cellStyle name="Финансовый 3 5 3 2" xfId="1336" xr:uid="{00000000-0005-0000-0000-0000EB040000}"/>
    <cellStyle name="Финансовый 3 5 3 3" xfId="2153" xr:uid="{99F7116B-A415-4032-865A-462AF5ABBF33}"/>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5 8" xfId="1881" xr:uid="{D65071E8-7A4E-4681-B923-C1D96C02798A}"/>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2 3" xfId="2301" xr:uid="{1E647F46-D2BA-4928-9230-6BF056276410}"/>
    <cellStyle name="Финансовый 3 6 2 3" xfId="1220" xr:uid="{00000000-0005-0000-0000-0000F5040000}"/>
    <cellStyle name="Финансовый 3 6 2 4" xfId="1749" xr:uid="{00000000-0005-0000-0000-0000F6040000}"/>
    <cellStyle name="Финансовый 3 6 2 5" xfId="2029" xr:uid="{AD527344-AF1A-498D-8A77-71FBCEEEBB91}"/>
    <cellStyle name="Финансовый 3 6 3" xfId="381" xr:uid="{00000000-0005-0000-0000-0000F7040000}"/>
    <cellStyle name="Финансовый 3 6 3 2" xfId="1348" xr:uid="{00000000-0005-0000-0000-0000F8040000}"/>
    <cellStyle name="Финансовый 3 6 3 3" xfId="2165" xr:uid="{C1440501-A28B-483E-9303-B0E6595C8849}"/>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6 8" xfId="1893" xr:uid="{A3D34B5E-37B7-48BE-909A-1038E0E28016}"/>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2 3" xfId="2266" xr:uid="{6023E363-7269-4B0C-BD45-B0AF405279E4}"/>
    <cellStyle name="Финансовый 3 7 2 3" xfId="1185" xr:uid="{00000000-0005-0000-0000-000002050000}"/>
    <cellStyle name="Финансовый 3 7 2 4" xfId="1714" xr:uid="{00000000-0005-0000-0000-000003050000}"/>
    <cellStyle name="Финансовый 3 7 2 5" xfId="1994" xr:uid="{F8FBF68D-1BC8-4184-8F4E-402FDE390E30}"/>
    <cellStyle name="Финансовый 3 7 3" xfId="346" xr:uid="{00000000-0005-0000-0000-000004050000}"/>
    <cellStyle name="Финансовый 3 7 3 2" xfId="1313" xr:uid="{00000000-0005-0000-0000-000005050000}"/>
    <cellStyle name="Финансовый 3 7 3 3" xfId="2130" xr:uid="{7E001F25-2C3C-4B17-A957-4042812AD971}"/>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7 8" xfId="1858" xr:uid="{E9922172-1123-42FB-87D2-5DA240EE1C3F}"/>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2 3" xfId="2245" xr:uid="{D06E860E-7B38-4B4C-8E8D-E55A640749E9}"/>
    <cellStyle name="Финансовый 3 8 2 3" xfId="1172" xr:uid="{00000000-0005-0000-0000-00000F050000}"/>
    <cellStyle name="Финансовый 3 8 2 4" xfId="1693" xr:uid="{00000000-0005-0000-0000-000010050000}"/>
    <cellStyle name="Финансовый 3 8 2 5" xfId="1973" xr:uid="{71B6EC0C-28C4-4C47-9398-A411243A6868}"/>
    <cellStyle name="Финансовый 3 8 3" xfId="325" xr:uid="{00000000-0005-0000-0000-000011050000}"/>
    <cellStyle name="Финансовый 3 8 3 2" xfId="1300" xr:uid="{00000000-0005-0000-0000-000012050000}"/>
    <cellStyle name="Финансовый 3 8 3 3" xfId="2109" xr:uid="{6EB1FA57-DD8E-46AF-B56D-A87D9D762418}"/>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8 8" xfId="1836" xr:uid="{61BD00C8-5BA0-4233-BC56-D6499FBC899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2 3" xfId="2321" xr:uid="{965DA54E-25A5-406D-9A43-A506F79D6B02}"/>
    <cellStyle name="Финансовый 3 9 2 3" xfId="1240" xr:uid="{00000000-0005-0000-0000-00001C050000}"/>
    <cellStyle name="Финансовый 3 9 2 4" xfId="1769" xr:uid="{00000000-0005-0000-0000-00001D050000}"/>
    <cellStyle name="Финансовый 3 9 2 5" xfId="2049" xr:uid="{820FE0D8-C08F-40A9-9465-46B3A224015A}"/>
    <cellStyle name="Финансовый 3 9 3" xfId="401" xr:uid="{00000000-0005-0000-0000-00001E050000}"/>
    <cellStyle name="Финансовый 3 9 3 2" xfId="1368" xr:uid="{00000000-0005-0000-0000-00001F050000}"/>
    <cellStyle name="Финансовый 3 9 3 3" xfId="2185" xr:uid="{94AE93C7-0BD5-4AF7-891C-C5D01A6A809E}"/>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 9 8" xfId="1913" xr:uid="{A8A6F720-BA6E-4534-B441-00F1C34E3CBE}"/>
    <cellStyle name="Финансовый 30" xfId="795" xr:uid="{00000000-0005-0000-0000-000025050000}"/>
    <cellStyle name="Финансовый 31" xfId="1786" xr:uid="{41B9A08D-158A-4716-8B1B-B1EE475854A5}"/>
    <cellStyle name="Финансовый 32" xfId="1848" xr:uid="{80297A00-BDD0-4492-8B67-38953D00C36D}"/>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2 3" xfId="2223" xr:uid="{3EB8BD1E-6455-4262-85F7-D90C3D87397F}"/>
    <cellStyle name="Финансовый 4 10 2 3" xfId="1150" xr:uid="{00000000-0005-0000-0000-00002B050000}"/>
    <cellStyle name="Финансовый 4 10 2 4" xfId="1671" xr:uid="{00000000-0005-0000-0000-00002C050000}"/>
    <cellStyle name="Финансовый 4 10 2 5" xfId="1951" xr:uid="{C61357EC-23D0-42A9-A51B-29A55108990F}"/>
    <cellStyle name="Финансовый 4 10 3" xfId="303" xr:uid="{00000000-0005-0000-0000-00002D050000}"/>
    <cellStyle name="Финансовый 4 10 3 2" xfId="1278" xr:uid="{00000000-0005-0000-0000-00002E050000}"/>
    <cellStyle name="Финансовый 4 10 3 3" xfId="2087" xr:uid="{A210D506-C513-4E70-9772-1F74A2A31022}"/>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0 8" xfId="1814" xr:uid="{D4930A59-A837-44D7-9451-28D2F48E43F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2 3" xfId="2211" xr:uid="{6CB83AB0-BA82-46EA-952D-10C202BBBBCD}"/>
    <cellStyle name="Финансовый 4 11 2 3" xfId="1138" xr:uid="{00000000-0005-0000-0000-000038050000}"/>
    <cellStyle name="Финансовый 4 11 2 4" xfId="1659" xr:uid="{00000000-0005-0000-0000-000039050000}"/>
    <cellStyle name="Финансовый 4 11 2 5" xfId="1939" xr:uid="{5D58BE94-C8F5-4367-BB37-4AEF97BEF90F}"/>
    <cellStyle name="Финансовый 4 11 3" xfId="291" xr:uid="{00000000-0005-0000-0000-00003A050000}"/>
    <cellStyle name="Финансовый 4 11 3 2" xfId="1266" xr:uid="{00000000-0005-0000-0000-00003B050000}"/>
    <cellStyle name="Финансовый 4 11 3 3" xfId="2075" xr:uid="{1992F56C-FD28-4B3F-B110-0A61F94900E3}"/>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1 8" xfId="1802" xr:uid="{AF56AE51-7A9D-450A-95B1-F1D8F6E63883}"/>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2 3" xfId="2199" xr:uid="{ED1CB310-9FFE-4AA8-A492-1F6DC6266E24}"/>
    <cellStyle name="Финансовый 4 12 3" xfId="1126" xr:uid="{00000000-0005-0000-0000-000044050000}"/>
    <cellStyle name="Финансовый 4 12 4" xfId="1647" xr:uid="{00000000-0005-0000-0000-000045050000}"/>
    <cellStyle name="Финансовый 4 12 5" xfId="1927" xr:uid="{A2DB77E8-9716-48B8-A739-F775BFC78CEF}"/>
    <cellStyle name="Финансовый 4 13" xfId="551" xr:uid="{00000000-0005-0000-0000-000046050000}"/>
    <cellStyle name="Финансовый 4 13 2" xfId="1254" xr:uid="{00000000-0005-0000-0000-000047050000}"/>
    <cellStyle name="Финансовый 4 13 3" xfId="2335" xr:uid="{E734446E-2930-4D40-ACB3-B9D77CC0E9E9}"/>
    <cellStyle name="Финансовый 4 14" xfId="279" xr:uid="{00000000-0005-0000-0000-000048050000}"/>
    <cellStyle name="Финансовый 4 14 2" xfId="2063" xr:uid="{E5DF683A-726F-40F8-8668-B4124E733319}"/>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18" xfId="1790" xr:uid="{F7C7A737-F1EC-45B3-862A-E1BE525C2D35}"/>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0 3" xfId="2341" xr:uid="{CA8EEEE3-B16C-4D60-936D-579FD5CD96D7}"/>
    <cellStyle name="Финансовый 4 2 11" xfId="285" xr:uid="{00000000-0005-0000-0000-000050050000}"/>
    <cellStyle name="Финансовый 4 2 11 2" xfId="2069" xr:uid="{29CD3A4A-47C2-44BA-8E27-BCEADDD1C06E}"/>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15" xfId="1796" xr:uid="{0DB40DCD-549A-40A5-8A04-5736EC41588F}"/>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2 3" xfId="2297" xr:uid="{F7E5F978-C7A4-4059-BCCD-99F4ABD60866}"/>
    <cellStyle name="Финансовый 4 2 2 2 2 3" xfId="1216" xr:uid="{00000000-0005-0000-0000-00005A050000}"/>
    <cellStyle name="Финансовый 4 2 2 2 2 4" xfId="1745" xr:uid="{00000000-0005-0000-0000-00005B050000}"/>
    <cellStyle name="Финансовый 4 2 2 2 2 5" xfId="2025" xr:uid="{521A8EE5-189A-4D06-874D-F2506A7C3127}"/>
    <cellStyle name="Финансовый 4 2 2 2 3" xfId="377" xr:uid="{00000000-0005-0000-0000-00005C050000}"/>
    <cellStyle name="Финансовый 4 2 2 2 3 2" xfId="1344" xr:uid="{00000000-0005-0000-0000-00005D050000}"/>
    <cellStyle name="Финансовый 4 2 2 2 3 3" xfId="2161" xr:uid="{03B8F665-EC05-4C53-9A20-715678112DBC}"/>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2 8" xfId="1889" xr:uid="{8E9D02F3-D6B0-4EA4-908C-2E15A071307F}"/>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2 3" xfId="2241" xr:uid="{C08A1514-1497-4B7E-BC31-3DD3E9904A1C}"/>
    <cellStyle name="Финансовый 4 2 2 3 3" xfId="1168" xr:uid="{00000000-0005-0000-0000-000066050000}"/>
    <cellStyle name="Финансовый 4 2 2 3 4" xfId="1689" xr:uid="{00000000-0005-0000-0000-000067050000}"/>
    <cellStyle name="Финансовый 4 2 2 3 5" xfId="1969" xr:uid="{6A1BD328-FD74-4E51-B062-8FB64DAA04D8}"/>
    <cellStyle name="Финансовый 4 2 2 4" xfId="321" xr:uid="{00000000-0005-0000-0000-000068050000}"/>
    <cellStyle name="Финансовый 4 2 2 4 2" xfId="1296" xr:uid="{00000000-0005-0000-0000-000069050000}"/>
    <cellStyle name="Финансовый 4 2 2 4 3" xfId="2105" xr:uid="{48EF4225-FF17-442D-8B6B-009E5F89C892}"/>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2 9" xfId="1832" xr:uid="{E58E97DE-B5A7-40AA-8862-7546CB451DED}"/>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2 3" xfId="2309" xr:uid="{F803B336-680B-4C29-AEE8-BA2DD31C6893}"/>
    <cellStyle name="Финансовый 4 2 3 2 3" xfId="1228" xr:uid="{00000000-0005-0000-0000-000073050000}"/>
    <cellStyle name="Финансовый 4 2 3 2 4" xfId="1757" xr:uid="{00000000-0005-0000-0000-000074050000}"/>
    <cellStyle name="Финансовый 4 2 3 2 5" xfId="2037" xr:uid="{A64A68B6-AB2A-4531-A097-5147AE57ADE4}"/>
    <cellStyle name="Финансовый 4 2 3 3" xfId="389" xr:uid="{00000000-0005-0000-0000-000075050000}"/>
    <cellStyle name="Финансовый 4 2 3 3 2" xfId="1356" xr:uid="{00000000-0005-0000-0000-000076050000}"/>
    <cellStyle name="Финансовый 4 2 3 3 3" xfId="2173" xr:uid="{7D853DF3-837E-46E0-A61D-27F0A37C8889}"/>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3 8" xfId="1901" xr:uid="{0C655C39-BFE9-4134-B26C-1CBA75BBA4BB}"/>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2 3" xfId="2273" xr:uid="{34C08C90-979F-4607-920A-4B8A6E8E85A1}"/>
    <cellStyle name="Финансовый 4 2 4 2 3" xfId="1192" xr:uid="{00000000-0005-0000-0000-000080050000}"/>
    <cellStyle name="Финансовый 4 2 4 2 4" xfId="1721" xr:uid="{00000000-0005-0000-0000-000081050000}"/>
    <cellStyle name="Финансовый 4 2 4 2 5" xfId="2001" xr:uid="{1E470E92-3288-450C-A04F-711666E36146}"/>
    <cellStyle name="Финансовый 4 2 4 3" xfId="353" xr:uid="{00000000-0005-0000-0000-000082050000}"/>
    <cellStyle name="Финансовый 4 2 4 3 2" xfId="1320" xr:uid="{00000000-0005-0000-0000-000083050000}"/>
    <cellStyle name="Финансовый 4 2 4 3 3" xfId="2137" xr:uid="{1E9338D4-B4A4-4B37-BD1E-85D23CF1A479}"/>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4 8" xfId="1865" xr:uid="{488548FF-C893-44EF-890D-B7ACD275F416}"/>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2 3" xfId="2253" xr:uid="{981A2128-027B-481A-B2C8-4FD50A321309}"/>
    <cellStyle name="Финансовый 4 2 5 2 3" xfId="1180" xr:uid="{00000000-0005-0000-0000-00008D050000}"/>
    <cellStyle name="Финансовый 4 2 5 2 4" xfId="1701" xr:uid="{00000000-0005-0000-0000-00008E050000}"/>
    <cellStyle name="Финансовый 4 2 5 2 5" xfId="1981" xr:uid="{0456B6AF-954C-4577-816C-A490A2B0F515}"/>
    <cellStyle name="Финансовый 4 2 5 3" xfId="333" xr:uid="{00000000-0005-0000-0000-00008F050000}"/>
    <cellStyle name="Финансовый 4 2 5 3 2" xfId="1308" xr:uid="{00000000-0005-0000-0000-000090050000}"/>
    <cellStyle name="Финансовый 4 2 5 3 3" xfId="2117" xr:uid="{0E71FEBD-D415-49E6-B543-2E0E09FE2282}"/>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5 8" xfId="1844" xr:uid="{9C1F9A7C-5607-4E28-8C43-F28AF448D8B7}"/>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2 3" xfId="2329" xr:uid="{035F9833-D1E3-429B-B4E6-7987228F7DF8}"/>
    <cellStyle name="Финансовый 4 2 6 2 3" xfId="1248" xr:uid="{00000000-0005-0000-0000-00009A050000}"/>
    <cellStyle name="Финансовый 4 2 6 2 4" xfId="1777" xr:uid="{00000000-0005-0000-0000-00009B050000}"/>
    <cellStyle name="Финансовый 4 2 6 2 5" xfId="2057" xr:uid="{12313A69-8875-4FF9-ADC1-D3C456ED90B1}"/>
    <cellStyle name="Финансовый 4 2 6 3" xfId="409" xr:uid="{00000000-0005-0000-0000-00009C050000}"/>
    <cellStyle name="Финансовый 4 2 6 3 2" xfId="1376" xr:uid="{00000000-0005-0000-0000-00009D050000}"/>
    <cellStyle name="Финансовый 4 2 6 3 3" xfId="2193" xr:uid="{6D1CF195-0939-4390-93B5-11C2B1C4B49C}"/>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6 8" xfId="1921" xr:uid="{281C6B4B-3BC2-414B-B665-F7DD10B435C8}"/>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2 3" xfId="2229" xr:uid="{B56961DA-3F17-4796-8B04-67F80AC13C0B}"/>
    <cellStyle name="Финансовый 4 2 7 2 3" xfId="1156" xr:uid="{00000000-0005-0000-0000-0000A7050000}"/>
    <cellStyle name="Финансовый 4 2 7 2 4" xfId="1677" xr:uid="{00000000-0005-0000-0000-0000A8050000}"/>
    <cellStyle name="Финансовый 4 2 7 2 5" xfId="1957" xr:uid="{A58DD2E9-CAB3-4EFF-AB6D-CB63D498B434}"/>
    <cellStyle name="Финансовый 4 2 7 3" xfId="309" xr:uid="{00000000-0005-0000-0000-0000A9050000}"/>
    <cellStyle name="Финансовый 4 2 7 3 2" xfId="1284" xr:uid="{00000000-0005-0000-0000-0000AA050000}"/>
    <cellStyle name="Финансовый 4 2 7 3 3" xfId="2093" xr:uid="{CD6B2E0C-BC1D-49DE-9CD3-CA5CCBD92B4C}"/>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7 8" xfId="1820" xr:uid="{91DE16F1-4797-45EC-ABA7-4B6D8D3166D3}"/>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2 3" xfId="2217" xr:uid="{A24C67DD-5309-447B-8489-D59FF4E9F44F}"/>
    <cellStyle name="Финансовый 4 2 8 2 3" xfId="1144" xr:uid="{00000000-0005-0000-0000-0000B4050000}"/>
    <cellStyle name="Финансовый 4 2 8 2 4" xfId="1665" xr:uid="{00000000-0005-0000-0000-0000B5050000}"/>
    <cellStyle name="Финансовый 4 2 8 2 5" xfId="1945" xr:uid="{714515B9-DBAE-4699-A34C-E352C9974628}"/>
    <cellStyle name="Финансовый 4 2 8 3" xfId="297" xr:uid="{00000000-0005-0000-0000-0000B6050000}"/>
    <cellStyle name="Финансовый 4 2 8 3 2" xfId="1272" xr:uid="{00000000-0005-0000-0000-0000B7050000}"/>
    <cellStyle name="Финансовый 4 2 8 3 3" xfId="2081" xr:uid="{2CB24F1D-5FC4-43F5-9D1B-2BAA59B6599E}"/>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8 8" xfId="1808" xr:uid="{0275FF1C-CF5B-4B31-A403-76D37E871F6A}"/>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2 3" xfId="2205" xr:uid="{F150CA6B-D1BA-4F90-A9EB-5B8AC1DB2976}"/>
    <cellStyle name="Финансовый 4 2 9 3" xfId="1132" xr:uid="{00000000-0005-0000-0000-0000C0050000}"/>
    <cellStyle name="Финансовый 4 2 9 4" xfId="1653" xr:uid="{00000000-0005-0000-0000-0000C1050000}"/>
    <cellStyle name="Финансовый 4 2 9 5" xfId="1933" xr:uid="{E0409F84-4F41-4167-BADC-F54ED4FA0B91}"/>
    <cellStyle name="Финансовый 4 3" xfId="41" xr:uid="{00000000-0005-0000-0000-0000C2050000}"/>
    <cellStyle name="Финансовый 4 3 10" xfId="1826" xr:uid="{70E7F1EA-2613-4D56-9ABD-7F2EDCB66324}"/>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2 3" xfId="2315" xr:uid="{CE8CFE6B-C1C2-4F0A-B64B-3304EED206A0}"/>
    <cellStyle name="Финансовый 4 3 2 2 3" xfId="1234" xr:uid="{00000000-0005-0000-0000-0000C7050000}"/>
    <cellStyle name="Финансовый 4 3 2 2 4" xfId="1763" xr:uid="{00000000-0005-0000-0000-0000C8050000}"/>
    <cellStyle name="Финансовый 4 3 2 2 5" xfId="2043" xr:uid="{EC718692-C1B1-499E-BF20-9F0447AEEFB8}"/>
    <cellStyle name="Финансовый 4 3 2 3" xfId="395" xr:uid="{00000000-0005-0000-0000-0000C9050000}"/>
    <cellStyle name="Финансовый 4 3 2 3 2" xfId="1362" xr:uid="{00000000-0005-0000-0000-0000CA050000}"/>
    <cellStyle name="Финансовый 4 3 2 3 3" xfId="2179" xr:uid="{D19CA3B7-DB65-4E7A-BF1C-0E46A2C0F31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2 8" xfId="1907" xr:uid="{6AC5E94D-61E3-4962-9EF5-AE353E476FBB}"/>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2 3" xfId="2279" xr:uid="{2AF994BB-C731-4819-AF2D-F432F9CB9E0E}"/>
    <cellStyle name="Финансовый 4 3 3 2 3" xfId="1198" xr:uid="{00000000-0005-0000-0000-0000D4050000}"/>
    <cellStyle name="Финансовый 4 3 3 2 4" xfId="1727" xr:uid="{00000000-0005-0000-0000-0000D5050000}"/>
    <cellStyle name="Финансовый 4 3 3 2 5" xfId="2007" xr:uid="{2001C514-D67E-4FD8-BBDE-0B8EEF261263}"/>
    <cellStyle name="Финансовый 4 3 3 3" xfId="359" xr:uid="{00000000-0005-0000-0000-0000D6050000}"/>
    <cellStyle name="Финансовый 4 3 3 3 2" xfId="1326" xr:uid="{00000000-0005-0000-0000-0000D7050000}"/>
    <cellStyle name="Финансовый 4 3 3 3 3" xfId="2143" xr:uid="{236810D7-81B2-4E8B-9AEF-C75427BC6ED9}"/>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3 8" xfId="1871" xr:uid="{44AEDF5F-DB57-4E24-822A-6EEDB3480EF2}"/>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2 3" xfId="2235" xr:uid="{B2D032ED-8E43-43D2-9080-C6C4820077F2}"/>
    <cellStyle name="Финансовый 4 3 4 3" xfId="1162" xr:uid="{00000000-0005-0000-0000-0000E0050000}"/>
    <cellStyle name="Финансовый 4 3 4 4" xfId="1683" xr:uid="{00000000-0005-0000-0000-0000E1050000}"/>
    <cellStyle name="Финансовый 4 3 4 5" xfId="1963" xr:uid="{DABA8593-7039-4639-AB47-5F5E6CE0A170}"/>
    <cellStyle name="Финансовый 4 3 5" xfId="315" xr:uid="{00000000-0005-0000-0000-0000E2050000}"/>
    <cellStyle name="Финансовый 4 3 5 2" xfId="1290" xr:uid="{00000000-0005-0000-0000-0000E3050000}"/>
    <cellStyle name="Финансовый 4 3 5 3" xfId="2099" xr:uid="{5F40A934-78CF-432A-B0C9-24F9C40B8EAB}"/>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2 3" xfId="2285" xr:uid="{B8A9F4C9-BDA9-433D-9B60-9630294E9597}"/>
    <cellStyle name="Финансовый 4 4 2 3" xfId="1204" xr:uid="{00000000-0005-0000-0000-0000ED050000}"/>
    <cellStyle name="Финансовый 4 4 2 4" xfId="1733" xr:uid="{00000000-0005-0000-0000-0000EE050000}"/>
    <cellStyle name="Финансовый 4 4 2 5" xfId="2013" xr:uid="{0B958918-F076-4A36-80E8-01FFA78B06DC}"/>
    <cellStyle name="Финансовый 4 4 3" xfId="365" xr:uid="{00000000-0005-0000-0000-0000EF050000}"/>
    <cellStyle name="Финансовый 4 4 3 2" xfId="1332" xr:uid="{00000000-0005-0000-0000-0000F0050000}"/>
    <cellStyle name="Финансовый 4 4 3 3" xfId="2149" xr:uid="{1B61C13A-9C7E-49A2-AE1F-BFDD5E54C158}"/>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4 8" xfId="1877" xr:uid="{36220D53-0920-452E-9BFB-6BB72C809B02}"/>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2 3" xfId="2291" xr:uid="{7950CA1C-7DBD-4B92-A803-663017F806DE}"/>
    <cellStyle name="Финансовый 4 5 2 3" xfId="1210" xr:uid="{00000000-0005-0000-0000-0000FA050000}"/>
    <cellStyle name="Финансовый 4 5 2 4" xfId="1739" xr:uid="{00000000-0005-0000-0000-0000FB050000}"/>
    <cellStyle name="Финансовый 4 5 2 5" xfId="2019" xr:uid="{CEFFAAD2-3D43-4516-94B2-9732EA0E49E5}"/>
    <cellStyle name="Финансовый 4 5 3" xfId="371" xr:uid="{00000000-0005-0000-0000-0000FC050000}"/>
    <cellStyle name="Финансовый 4 5 3 2" xfId="1338" xr:uid="{00000000-0005-0000-0000-0000FD050000}"/>
    <cellStyle name="Финансовый 4 5 3 3" xfId="2155" xr:uid="{FF022B46-9D65-46A0-8165-38B799D242EC}"/>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5 8" xfId="1883" xr:uid="{FF286697-06FC-4D29-8CEB-481D4622A2AE}"/>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2 3" xfId="2303" xr:uid="{03C7E9AC-F1A3-441B-BCEE-565143AE4773}"/>
    <cellStyle name="Финансовый 4 6 2 3" xfId="1222" xr:uid="{00000000-0005-0000-0000-000007060000}"/>
    <cellStyle name="Финансовый 4 6 2 4" xfId="1751" xr:uid="{00000000-0005-0000-0000-000008060000}"/>
    <cellStyle name="Финансовый 4 6 2 5" xfId="2031" xr:uid="{CC6661CC-680F-41E2-8267-5E4DFD9508C2}"/>
    <cellStyle name="Финансовый 4 6 3" xfId="383" xr:uid="{00000000-0005-0000-0000-000009060000}"/>
    <cellStyle name="Финансовый 4 6 3 2" xfId="1350" xr:uid="{00000000-0005-0000-0000-00000A060000}"/>
    <cellStyle name="Финансовый 4 6 3 3" xfId="2167" xr:uid="{6BE97DCF-ACC6-4AD5-8B95-35EBF7E50C43}"/>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6 8" xfId="1895" xr:uid="{DFDBF6D1-3D70-417C-B52D-AE276D4B0905}"/>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2 3" xfId="2267" xr:uid="{25D7C6B0-E3A9-4E6D-A687-6091B1AF9758}"/>
    <cellStyle name="Финансовый 4 7 2 3" xfId="1186" xr:uid="{00000000-0005-0000-0000-000014060000}"/>
    <cellStyle name="Финансовый 4 7 2 4" xfId="1715" xr:uid="{00000000-0005-0000-0000-000015060000}"/>
    <cellStyle name="Финансовый 4 7 2 5" xfId="1995" xr:uid="{06F12189-21F3-4BC1-8A70-C5E4FDD40E39}"/>
    <cellStyle name="Финансовый 4 7 3" xfId="347" xr:uid="{00000000-0005-0000-0000-000016060000}"/>
    <cellStyle name="Финансовый 4 7 3 2" xfId="1314" xr:uid="{00000000-0005-0000-0000-000017060000}"/>
    <cellStyle name="Финансовый 4 7 3 3" xfId="2131" xr:uid="{E96325F1-A861-4BB9-9C08-71FEDB3D3623}"/>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7 8" xfId="1859" xr:uid="{FCED7A8D-B160-4A25-B50D-56C4DDEA4BE3}"/>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2 3" xfId="2247" xr:uid="{9AB9825E-C5C1-414B-8C98-AA38BF4802FF}"/>
    <cellStyle name="Финансовый 4 8 2 3" xfId="1174" xr:uid="{00000000-0005-0000-0000-000021060000}"/>
    <cellStyle name="Финансовый 4 8 2 4" xfId="1695" xr:uid="{00000000-0005-0000-0000-000022060000}"/>
    <cellStyle name="Финансовый 4 8 2 5" xfId="1975" xr:uid="{28D06367-3C67-4D9D-BB1E-8A394C543534}"/>
    <cellStyle name="Финансовый 4 8 3" xfId="327" xr:uid="{00000000-0005-0000-0000-000023060000}"/>
    <cellStyle name="Финансовый 4 8 3 2" xfId="1302" xr:uid="{00000000-0005-0000-0000-000024060000}"/>
    <cellStyle name="Финансовый 4 8 3 3" xfId="2111" xr:uid="{AF1BB149-DFC9-4250-8F1C-B8B541624EAC}"/>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8 8" xfId="1838" xr:uid="{C42FE40B-7A4D-46B3-8718-65758FA284F2}"/>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2 3" xfId="2323" xr:uid="{38AB2BDA-AA8C-45F2-A2F4-985871A739CB}"/>
    <cellStyle name="Финансовый 4 9 2 3" xfId="1242" xr:uid="{00000000-0005-0000-0000-00002E060000}"/>
    <cellStyle name="Финансовый 4 9 2 4" xfId="1771" xr:uid="{00000000-0005-0000-0000-00002F060000}"/>
    <cellStyle name="Финансовый 4 9 2 5" xfId="2051" xr:uid="{3914C72C-2090-4B94-9A00-090CDFF8A9FE}"/>
    <cellStyle name="Финансовый 4 9 3" xfId="403" xr:uid="{00000000-0005-0000-0000-000030060000}"/>
    <cellStyle name="Финансовый 4 9 3 2" xfId="1370" xr:uid="{00000000-0005-0000-0000-000031060000}"/>
    <cellStyle name="Финансовый 4 9 3 3" xfId="2187" xr:uid="{928BE7D3-677D-40C8-B76A-6F1043651DBE}"/>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4 9 8" xfId="1915" xr:uid="{BA278585-05B1-4FA3-A6F7-561FD8D17FBE}"/>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0 3" xfId="2337" xr:uid="{2A34BD4D-5875-4FCA-A453-19A4BB8B2D61}"/>
    <cellStyle name="Финансовый 5 11" xfId="281" xr:uid="{00000000-0005-0000-0000-00003A060000}"/>
    <cellStyle name="Финансовый 5 11 2" xfId="2065" xr:uid="{AFBCA425-7BE3-4B63-9119-A7DC9290931C}"/>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15" xfId="1792" xr:uid="{1970D5FE-7758-434D-AE36-1F02A257C57A}"/>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2 3" xfId="2293" xr:uid="{A39EFFCB-F83E-4F10-8700-6B0A663F4E61}"/>
    <cellStyle name="Финансовый 5 2 2 2 3" xfId="1212" xr:uid="{00000000-0005-0000-0000-000044060000}"/>
    <cellStyle name="Финансовый 5 2 2 2 4" xfId="1741" xr:uid="{00000000-0005-0000-0000-000045060000}"/>
    <cellStyle name="Финансовый 5 2 2 2 5" xfId="2021" xr:uid="{FC0A2B82-710F-4669-A2BA-B34AFB4124ED}"/>
    <cellStyle name="Финансовый 5 2 2 3" xfId="373" xr:uid="{00000000-0005-0000-0000-000046060000}"/>
    <cellStyle name="Финансовый 5 2 2 3 2" xfId="1340" xr:uid="{00000000-0005-0000-0000-000047060000}"/>
    <cellStyle name="Финансовый 5 2 2 3 3" xfId="2157" xr:uid="{A84E9DC1-262D-4C27-B86A-9F114904AB0F}"/>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2 8" xfId="1885" xr:uid="{D0C39C32-671D-47CD-BF3C-022C16F82614}"/>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2 3" xfId="2237" xr:uid="{E5030D36-4FBC-4786-BCB4-A38B207306EC}"/>
    <cellStyle name="Финансовый 5 2 3 3" xfId="1164" xr:uid="{00000000-0005-0000-0000-000050060000}"/>
    <cellStyle name="Финансовый 5 2 3 4" xfId="1685" xr:uid="{00000000-0005-0000-0000-000051060000}"/>
    <cellStyle name="Финансовый 5 2 3 5" xfId="1965" xr:uid="{2F75488C-8ED6-4928-9426-9AC64014DB80}"/>
    <cellStyle name="Финансовый 5 2 4" xfId="317" xr:uid="{00000000-0005-0000-0000-000052060000}"/>
    <cellStyle name="Финансовый 5 2 4 2" xfId="1292" xr:uid="{00000000-0005-0000-0000-000053060000}"/>
    <cellStyle name="Финансовый 5 2 4 3" xfId="2101" xr:uid="{0FAC5A27-F83F-43F2-A10B-D52325FEC113}"/>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2 9" xfId="1828" xr:uid="{EBE97C02-0D3C-4C58-9AA3-6A777A9C12A4}"/>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2 3" xfId="2305" xr:uid="{2D31E00D-E7A2-4C00-A1F0-9E630DC55025}"/>
    <cellStyle name="Финансовый 5 3 2 3" xfId="1224" xr:uid="{00000000-0005-0000-0000-00005D060000}"/>
    <cellStyle name="Финансовый 5 3 2 4" xfId="1753" xr:uid="{00000000-0005-0000-0000-00005E060000}"/>
    <cellStyle name="Финансовый 5 3 2 5" xfId="2033" xr:uid="{4597D782-E229-4DF8-9FAC-B710B019F4F4}"/>
    <cellStyle name="Финансовый 5 3 3" xfId="385" xr:uid="{00000000-0005-0000-0000-00005F060000}"/>
    <cellStyle name="Финансовый 5 3 3 2" xfId="1352" xr:uid="{00000000-0005-0000-0000-000060060000}"/>
    <cellStyle name="Финансовый 5 3 3 3" xfId="2169" xr:uid="{784FF95F-65F6-4A93-BA13-94EE778FAD53}"/>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3 8" xfId="1897" xr:uid="{600BD02C-D3A1-43F0-A6B2-40436AA52E0C}"/>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2 3" xfId="2269" xr:uid="{6043D3FC-8700-458A-B881-E808A6819EF0}"/>
    <cellStyle name="Финансовый 5 4 2 3" xfId="1188" xr:uid="{00000000-0005-0000-0000-00006A060000}"/>
    <cellStyle name="Финансовый 5 4 2 4" xfId="1717" xr:uid="{00000000-0005-0000-0000-00006B060000}"/>
    <cellStyle name="Финансовый 5 4 2 5" xfId="1997" xr:uid="{E1814DAE-F63C-4327-A6CB-1B8A6C28A52C}"/>
    <cellStyle name="Финансовый 5 4 3" xfId="349" xr:uid="{00000000-0005-0000-0000-00006C060000}"/>
    <cellStyle name="Финансовый 5 4 3 2" xfId="1316" xr:uid="{00000000-0005-0000-0000-00006D060000}"/>
    <cellStyle name="Финансовый 5 4 3 3" xfId="2133" xr:uid="{772D289D-68F3-4927-BB08-53FF4CD15558}"/>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4 8" xfId="1861" xr:uid="{D7912ED0-03B6-41DA-A58B-1521D5041632}"/>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2 3" xfId="2249" xr:uid="{D3080806-415F-4E50-AB18-372607D731EF}"/>
    <cellStyle name="Финансовый 5 5 2 3" xfId="1176" xr:uid="{00000000-0005-0000-0000-000077060000}"/>
    <cellStyle name="Финансовый 5 5 2 4" xfId="1697" xr:uid="{00000000-0005-0000-0000-000078060000}"/>
    <cellStyle name="Финансовый 5 5 2 5" xfId="1977" xr:uid="{3575B7DC-EDA0-460E-8367-FCCC8047A404}"/>
    <cellStyle name="Финансовый 5 5 3" xfId="329" xr:uid="{00000000-0005-0000-0000-000079060000}"/>
    <cellStyle name="Финансовый 5 5 3 2" xfId="1304" xr:uid="{00000000-0005-0000-0000-00007A060000}"/>
    <cellStyle name="Финансовый 5 5 3 3" xfId="2113" xr:uid="{DE6ABD95-897C-4AB5-9C98-5B49126C4C11}"/>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5 8" xfId="1840" xr:uid="{467F8CC7-2616-4815-B871-CA12E726DE6D}"/>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2 3" xfId="2325" xr:uid="{48F83E30-4EEC-4280-A552-7FC970EBBF00}"/>
    <cellStyle name="Финансовый 5 6 2 3" xfId="1244" xr:uid="{00000000-0005-0000-0000-000084060000}"/>
    <cellStyle name="Финансовый 5 6 2 4" xfId="1773" xr:uid="{00000000-0005-0000-0000-000085060000}"/>
    <cellStyle name="Финансовый 5 6 2 5" xfId="2053" xr:uid="{33BE7175-7CA9-46AB-AB3A-CFE59ABDB51B}"/>
    <cellStyle name="Финансовый 5 6 3" xfId="405" xr:uid="{00000000-0005-0000-0000-000086060000}"/>
    <cellStyle name="Финансовый 5 6 3 2" xfId="1372" xr:uid="{00000000-0005-0000-0000-000087060000}"/>
    <cellStyle name="Финансовый 5 6 3 3" xfId="2189" xr:uid="{7E567700-F92A-4ADA-8AAA-37B01C8C3816}"/>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6 8" xfId="1917" xr:uid="{2F8EC712-D235-4A48-9920-5FFDFD67BE96}"/>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2 3" xfId="2225" xr:uid="{A2BB8088-1237-47BC-A93D-F9E99751F53B}"/>
    <cellStyle name="Финансовый 5 7 2 3" xfId="1152" xr:uid="{00000000-0005-0000-0000-000091060000}"/>
    <cellStyle name="Финансовый 5 7 2 4" xfId="1673" xr:uid="{00000000-0005-0000-0000-000092060000}"/>
    <cellStyle name="Финансовый 5 7 2 5" xfId="1953" xr:uid="{2FEDAF99-912C-4AE5-8867-9F386C5A3648}"/>
    <cellStyle name="Финансовый 5 7 3" xfId="305" xr:uid="{00000000-0005-0000-0000-000093060000}"/>
    <cellStyle name="Финансовый 5 7 3 2" xfId="1280" xr:uid="{00000000-0005-0000-0000-000094060000}"/>
    <cellStyle name="Финансовый 5 7 3 3" xfId="2089" xr:uid="{1E806FB5-5679-4F8D-AA7D-8E05B1B6CA45}"/>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7 8" xfId="1816" xr:uid="{67C6CD3B-2D36-4F69-A24C-6796DA526B86}"/>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2 3" xfId="2213" xr:uid="{37CC7A82-925E-4D99-AA7B-5EB82C512271}"/>
    <cellStyle name="Финансовый 5 8 2 3" xfId="1140" xr:uid="{00000000-0005-0000-0000-00009E060000}"/>
    <cellStyle name="Финансовый 5 8 2 4" xfId="1661" xr:uid="{00000000-0005-0000-0000-00009F060000}"/>
    <cellStyle name="Финансовый 5 8 2 5" xfId="1941" xr:uid="{621492E3-3B5E-4949-B208-C56638716556}"/>
    <cellStyle name="Финансовый 5 8 3" xfId="293" xr:uid="{00000000-0005-0000-0000-0000A0060000}"/>
    <cellStyle name="Финансовый 5 8 3 2" xfId="1268" xr:uid="{00000000-0005-0000-0000-0000A1060000}"/>
    <cellStyle name="Финансовый 5 8 3 3" xfId="2077" xr:uid="{83FF7E93-F423-4827-A4FC-5E7DBB0EA71C}"/>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8 8" xfId="1804" xr:uid="{327A2CFF-DDB4-407E-B254-1245312800B8}"/>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2 3" xfId="2201" xr:uid="{9A72A96C-EEC2-4107-8AD7-74FBF2658B81}"/>
    <cellStyle name="Финансовый 5 9 3" xfId="1128" xr:uid="{00000000-0005-0000-0000-0000AA060000}"/>
    <cellStyle name="Финансовый 5 9 4" xfId="1649" xr:uid="{00000000-0005-0000-0000-0000AB060000}"/>
    <cellStyle name="Финансовый 5 9 5" xfId="1929" xr:uid="{5D3A9C28-8FA6-4636-A773-DE5E2C760945}"/>
    <cellStyle name="Финансовый 6" xfId="37" xr:uid="{00000000-0005-0000-0000-0000AC060000}"/>
    <cellStyle name="Финансовый 6 10" xfId="1822" xr:uid="{3B52ADAF-647C-46DF-BDF6-FDF65AF9A2FF}"/>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2 3" xfId="2311" xr:uid="{BA3DDE29-8C30-4217-9FCF-A7D8A5857408}"/>
    <cellStyle name="Финансовый 6 2 2 3" xfId="1230" xr:uid="{00000000-0005-0000-0000-0000B1060000}"/>
    <cellStyle name="Финансовый 6 2 2 4" xfId="1759" xr:uid="{00000000-0005-0000-0000-0000B2060000}"/>
    <cellStyle name="Финансовый 6 2 2 5" xfId="2039" xr:uid="{9268E9A6-0588-484A-BF6E-CF70F996DED0}"/>
    <cellStyle name="Финансовый 6 2 3" xfId="391" xr:uid="{00000000-0005-0000-0000-0000B3060000}"/>
    <cellStyle name="Финансовый 6 2 3 2" xfId="1358" xr:uid="{00000000-0005-0000-0000-0000B4060000}"/>
    <cellStyle name="Финансовый 6 2 3 3" xfId="2175" xr:uid="{B47D09C4-8917-47E9-AABD-56F00407A51A}"/>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2 8" xfId="1903" xr:uid="{593CA5BB-1ED5-45DD-BC19-25C6520B98E8}"/>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2 3" xfId="2275" xr:uid="{406044A3-60F0-4856-9E93-1A4BCBDB3195}"/>
    <cellStyle name="Финансовый 6 3 2 3" xfId="1194" xr:uid="{00000000-0005-0000-0000-0000BE060000}"/>
    <cellStyle name="Финансовый 6 3 2 4" xfId="1723" xr:uid="{00000000-0005-0000-0000-0000BF060000}"/>
    <cellStyle name="Финансовый 6 3 2 5" xfId="2003" xr:uid="{029D976C-3372-4D3E-95B3-307B43988ACA}"/>
    <cellStyle name="Финансовый 6 3 3" xfId="355" xr:uid="{00000000-0005-0000-0000-0000C0060000}"/>
    <cellStyle name="Финансовый 6 3 3 2" xfId="1322" xr:uid="{00000000-0005-0000-0000-0000C1060000}"/>
    <cellStyle name="Финансовый 6 3 3 3" xfId="2139" xr:uid="{7E10E073-D428-48D4-AB18-2ED13B9E84FA}"/>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3 8" xfId="1867" xr:uid="{B6E89293-361A-441E-B7AE-5BAB708B789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2 3" xfId="2231" xr:uid="{BC165392-388F-4C72-918E-028AC1D48E67}"/>
    <cellStyle name="Финансовый 6 4 3" xfId="1158" xr:uid="{00000000-0005-0000-0000-0000CA060000}"/>
    <cellStyle name="Финансовый 6 4 4" xfId="1679" xr:uid="{00000000-0005-0000-0000-0000CB060000}"/>
    <cellStyle name="Финансовый 6 4 5" xfId="1959" xr:uid="{4B9B6EB0-A135-4325-A50D-A9F3735A45F6}"/>
    <cellStyle name="Финансовый 6 5" xfId="311" xr:uid="{00000000-0005-0000-0000-0000CC060000}"/>
    <cellStyle name="Финансовый 6 5 2" xfId="1286" xr:uid="{00000000-0005-0000-0000-0000CD060000}"/>
    <cellStyle name="Финансовый 6 5 3" xfId="2095" xr:uid="{A9CDF69B-C7FA-49B5-8D5B-E4567E227FBF}"/>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2 3" xfId="2281" xr:uid="{81527292-A5C6-477C-8CCA-63AC8AF724E4}"/>
    <cellStyle name="Финансовый 7 2 3" xfId="1200" xr:uid="{00000000-0005-0000-0000-0000D7060000}"/>
    <cellStyle name="Финансовый 7 2 4" xfId="1729" xr:uid="{00000000-0005-0000-0000-0000D8060000}"/>
    <cellStyle name="Финансовый 7 2 5" xfId="2009" xr:uid="{3E0B66A0-4512-463E-9552-D45409459792}"/>
    <cellStyle name="Финансовый 7 3" xfId="361" xr:uid="{00000000-0005-0000-0000-0000D9060000}"/>
    <cellStyle name="Финансовый 7 3 2" xfId="1328" xr:uid="{00000000-0005-0000-0000-0000DA060000}"/>
    <cellStyle name="Финансовый 7 3 3" xfId="2145" xr:uid="{80FEE035-32A0-45A5-8457-F4BB3F02C982}"/>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7 8" xfId="1873" xr:uid="{8BAD2638-4CAC-4C6A-AA8B-3F9489899FE1}"/>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2 3" xfId="2287" xr:uid="{C5EDC1DF-F2CF-4749-BF28-5962FC5EC63E}"/>
    <cellStyle name="Финансовый 8 2 3" xfId="1206" xr:uid="{00000000-0005-0000-0000-0000E4060000}"/>
    <cellStyle name="Финансовый 8 2 4" xfId="1735" xr:uid="{00000000-0005-0000-0000-0000E5060000}"/>
    <cellStyle name="Финансовый 8 2 5" xfId="2015" xr:uid="{39CA817F-7396-4A04-8234-F3C1B7E6513B}"/>
    <cellStyle name="Финансовый 8 3" xfId="367" xr:uid="{00000000-0005-0000-0000-0000E6060000}"/>
    <cellStyle name="Финансовый 8 3 2" xfId="1334" xr:uid="{00000000-0005-0000-0000-0000E7060000}"/>
    <cellStyle name="Финансовый 8 3 3" xfId="2151" xr:uid="{FE1F3087-3BC0-42DF-B15D-5FB5DA0BB83D}"/>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8 8" xfId="1879" xr:uid="{7C526F86-4BAA-4F6C-B191-890107542A9A}"/>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2 3" xfId="2299" xr:uid="{3CEDCCDE-9C1B-4A24-9EE6-973CC03D17B3}"/>
    <cellStyle name="Финансовый 9 2 3" xfId="1218" xr:uid="{00000000-0005-0000-0000-0000F1060000}"/>
    <cellStyle name="Финансовый 9 2 4" xfId="1747" xr:uid="{00000000-0005-0000-0000-0000F2060000}"/>
    <cellStyle name="Финансовый 9 2 5" xfId="2027" xr:uid="{9C3AB008-D6F8-4080-8D05-C14A21DAFBFD}"/>
    <cellStyle name="Финансовый 9 3" xfId="379" xr:uid="{00000000-0005-0000-0000-0000F3060000}"/>
    <cellStyle name="Финансовый 9 3 2" xfId="1346" xr:uid="{00000000-0005-0000-0000-0000F4060000}"/>
    <cellStyle name="Финансовый 9 3 3" xfId="2163" xr:uid="{9887D8D8-BC46-4F3B-AD99-DD2F75D30A99}"/>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 name="Финансовый 9 8" xfId="1891" xr:uid="{5F0B3799-BF4C-468A-AC93-076A40267562}"/>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40;&#1083;&#1084;&#1072;&#1083;&#1099;&#1082;%20v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7" t="str">
        <f>""&amp;'Общие данные'!B147&amp;"
mikromoliya tashkiloti
Kredit qo‘mitasining yig‘ilishi"</f>
        <v>«CLEVER MIKROMOLIYA TASHKILOTI» MChJ
mikromoliya tashkiloti
Kredit qo‘mitasining yig‘ilishi</v>
      </c>
      <c r="B1" s="237"/>
      <c r="C1" s="237"/>
      <c r="D1" s="237"/>
      <c r="E1" s="237"/>
    </row>
    <row r="2" spans="1:33" ht="29.25" customHeight="1">
      <c r="A2" s="237" t="str">
        <f>""&amp;H7&amp;" protokolidan ko'chirma"</f>
        <v>№ -BR protokolidan ko'chirma</v>
      </c>
      <c r="B2" s="237"/>
      <c r="C2" s="237"/>
      <c r="D2" s="237"/>
      <c r="E2" s="237"/>
    </row>
    <row r="3" spans="1:33" ht="29.25" customHeight="1">
      <c r="A3" s="132" t="s">
        <v>203</v>
      </c>
      <c r="B3" s="50"/>
      <c r="C3" s="50"/>
      <c r="D3" s="50"/>
      <c r="E3" s="133" t="str">
        <f>'Общие данные'!B68</f>
        <v>11 mart 2025 y.</v>
      </c>
    </row>
    <row r="4" spans="1:33" ht="29.25" customHeight="1">
      <c r="A4" s="50"/>
      <c r="B4" s="237" t="s">
        <v>202</v>
      </c>
      <c r="C4" s="237"/>
      <c r="D4" s="237"/>
      <c r="E4" s="50"/>
    </row>
    <row r="5" spans="1:33" ht="36" customHeight="1">
      <c r="A5" s="236" t="str">
        <f>"         "&amp;H8&amp;"."&amp;'Общие данные'!B5&amp;" ga "&amp;'Общие данные'!B65&amp;" berish masalasini ko‘rib chiqish to‘g‘risida."</f>
        <v xml:space="preserve">         1.NUTFULLAYEV AKBARJON AXMEDOVICH ga mikroqarz berish masalasini ko‘rib chiqish to‘g‘risida.</v>
      </c>
      <c r="B5" s="236"/>
      <c r="C5" s="236"/>
      <c r="D5" s="236"/>
      <c r="E5" s="236"/>
    </row>
    <row r="7" spans="1:33" ht="21" customHeight="1">
      <c r="A7" s="235"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5"/>
      <c r="C7" s="235"/>
      <c r="D7" s="235"/>
      <c r="E7" s="235"/>
      <c r="G7" s="62" t="s">
        <v>258</v>
      </c>
      <c r="H7" s="63" t="str">
        <f>'Общие данные'!B1</f>
        <v>№ -BR</v>
      </c>
    </row>
    <row r="8" spans="1:33" ht="23.25">
      <c r="A8" s="235"/>
      <c r="B8" s="235"/>
      <c r="C8" s="235"/>
      <c r="D8" s="235"/>
      <c r="E8" s="235"/>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5"/>
      <c r="B9" s="235"/>
      <c r="C9" s="235"/>
      <c r="D9" s="235"/>
      <c r="E9" s="235"/>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5"/>
      <c r="B10" s="235"/>
      <c r="C10" s="235"/>
      <c r="D10" s="235"/>
      <c r="E10" s="235"/>
    </row>
    <row r="11" spans="1:33" ht="9" hidden="1" customHeight="1">
      <c r="A11" s="235"/>
      <c r="B11" s="235"/>
      <c r="C11" s="235"/>
      <c r="D11" s="235"/>
      <c r="E11" s="235"/>
    </row>
    <row r="12" spans="1:33" ht="3" hidden="1" customHeight="1">
      <c r="A12" s="235"/>
      <c r="B12" s="235"/>
      <c r="C12" s="235"/>
      <c r="D12" s="235"/>
      <c r="E12" s="235"/>
    </row>
    <row r="13" spans="1:33" ht="7.5" customHeight="1"/>
    <row r="14" spans="1:33" ht="15.75" customHeight="1">
      <c r="A14" s="238" t="str">
        <f>""&amp;'Общие данные'!C64&amp;" ta’minoti:"</f>
        <v>Mikroqarz ta’minoti:</v>
      </c>
      <c r="B14" s="238"/>
      <c r="C14" s="238"/>
      <c r="D14" s="238"/>
      <c r="E14" s="238"/>
    </row>
    <row r="15" spans="1:33" ht="7.5" customHeight="1"/>
    <row r="16" spans="1:33" ht="57" customHeight="1">
      <c r="A16" s="235"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5"/>
      <c r="C16" s="235"/>
      <c r="D16" s="235"/>
      <c r="E16" s="235"/>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5"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5"/>
      <c r="C18" s="235"/>
      <c r="D18" s="235"/>
      <c r="E18" s="235"/>
    </row>
    <row r="19" spans="1:5" ht="24" customHeight="1">
      <c r="A19" s="239" t="s">
        <v>261</v>
      </c>
      <c r="B19" s="239"/>
      <c r="C19" s="239"/>
      <c r="D19" s="239"/>
      <c r="E19" s="239"/>
    </row>
    <row r="20" spans="1:5" ht="32.25" customHeight="1">
      <c r="A20" s="235" t="str">
        <f>"       "&amp;'Общие данные'!B5&amp;"ga quyidagi shartlarda "&amp;'Общие данные'!B65&amp;" berish masalasi ma’qullansin:"</f>
        <v xml:space="preserve">       NUTFULLAYEV AKBARJON AXMEDOVICHga quyidagi shartlarda mikroqarz berish masalasi ma’qullansin:</v>
      </c>
      <c r="B20" s="235"/>
      <c r="C20" s="235"/>
      <c r="D20" s="235"/>
      <c r="E20" s="235"/>
    </row>
    <row r="21" spans="1:5" s="134" customFormat="1" ht="18.75" customHeight="1">
      <c r="A21" s="236" t="str">
        <f>"1. "&amp;'Общие данные'!C64&amp;" summasi: "&amp;FIXED('Общие данные'!B75)&amp;" ("&amp;'Общие данные'!B76&amp;") so'm."</f>
        <v>1. Mikroqarz summasi: 27 000 000,00 (yigirma yetti million so'm) so'm.</v>
      </c>
      <c r="B21" s="236"/>
      <c r="C21" s="236"/>
      <c r="D21" s="236"/>
      <c r="E21" s="236"/>
    </row>
    <row r="22" spans="1:5" s="134" customFormat="1" ht="18.75" customHeight="1">
      <c r="A22" s="236" t="str">
        <f>"2. "&amp;'Общие данные'!C64&amp;" muddati: "&amp;'Общие данные'!B81&amp;" ("&amp;'Общие данные'!B82&amp;") oy "</f>
        <v xml:space="preserve">2. Mikroqarz muddati: 36 (o'ttiz olti) oy </v>
      </c>
      <c r="B22" s="236"/>
      <c r="C22" s="236"/>
      <c r="D22" s="236"/>
      <c r="E22" s="236"/>
    </row>
    <row r="23" spans="1:5" s="134" customFormat="1" ht="18.75" customHeight="1">
      <c r="A23" s="236" t="str">
        <f>"3. "&amp;'Общие данные'!C64&amp;"dan foydalanganlik uchun foiz stavkasi:yillik "&amp;'Общие данные'!B85&amp;"% ("&amp;'Общие данные'!B86&amp;") foiz."</f>
        <v>3. Mikroqarzdan foydalanganlik uchun foiz stavkasi:yillik 60% (Oltmish) foiz.</v>
      </c>
      <c r="B23" s="236"/>
      <c r="C23" s="236"/>
      <c r="D23" s="236"/>
      <c r="E23" s="236"/>
    </row>
    <row r="24" spans="1:5" s="134" customFormat="1" ht="18.75" customHeight="1">
      <c r="A24" s="236" t="str">
        <f>"4. "&amp;'Общие данные'!C64&amp;" bo‘yicha asosiy qarz va foizlarni to‘lash:"</f>
        <v>4. Mikroqarz bo‘yicha asosiy qarz va foizlarni to‘lash:</v>
      </c>
      <c r="B24" s="236"/>
      <c r="C24" s="236"/>
      <c r="D24" s="236"/>
      <c r="E24" s="236"/>
    </row>
    <row r="25" spans="1:5" s="134" customFormat="1" ht="18.75" customHeight="1">
      <c r="A25" s="236" t="str">
        <f>'Кредитная заявка'!A19:D19</f>
        <v xml:space="preserve"> - mikroqarz shartnomasi bo'yicha har oy differensial to'lovlari amalga oshiriladi</v>
      </c>
      <c r="B25" s="236"/>
      <c r="C25" s="236"/>
      <c r="D25" s="236"/>
      <c r="E25" s="236"/>
    </row>
    <row r="26" spans="1:5" ht="48" customHeight="1">
      <c r="A26" s="235"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5"/>
      <c r="C26" s="235"/>
      <c r="D26" s="235"/>
      <c r="E26" s="235"/>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5" t="str">
        <f>'Акт согласования'!A22:E22</f>
        <v>-* avtotransport egasi: NUTFULLAYEV AKBARJON AXMEDOVICH</v>
      </c>
      <c r="B29" s="235"/>
      <c r="C29" s="235"/>
      <c r="D29" s="235"/>
      <c r="E29" s="235"/>
    </row>
    <row r="30" spans="1:5" ht="20.25" customHeight="1">
      <c r="A30" s="235" t="str">
        <f>'Акт согласования'!A23:E23</f>
        <v>-* texnik pasport: AAG   2346592  13.09.2023y</v>
      </c>
      <c r="B30" s="235"/>
      <c r="C30" s="235"/>
      <c r="D30" s="235"/>
      <c r="E30" s="235"/>
    </row>
    <row r="31" spans="1:5" ht="22.5" customHeight="1">
      <c r="A31" s="235" t="str">
        <f>'Акт согласования'!A24:E24</f>
        <v>-* roʻyxatdan oʻtgan manzili/garaj manzili: BUXORO VILOYATI BUXORO SHAHAR TADBIRKOR KO'CHASI 12-UY</v>
      </c>
      <c r="B31" s="235"/>
      <c r="C31" s="235"/>
      <c r="D31" s="235"/>
      <c r="E31" s="235"/>
    </row>
    <row r="32" spans="1:5" ht="25.5" customHeight="1">
      <c r="A32" s="235" t="str">
        <f>'Акт согласования'!A25:E25</f>
        <v>-* davlat raqami: 80T312WA</v>
      </c>
      <c r="B32" s="235"/>
      <c r="C32" s="235"/>
      <c r="D32" s="235"/>
      <c r="E32" s="235"/>
    </row>
    <row r="33" spans="1:5" ht="12" customHeight="1">
      <c r="A33" s="135"/>
      <c r="B33" s="135"/>
      <c r="C33" s="135"/>
      <c r="D33" s="135"/>
      <c r="E33" s="135"/>
    </row>
    <row r="34" spans="1:5" ht="20.25" customHeight="1">
      <c r="A34" s="235"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5"/>
      <c r="C34" s="235"/>
      <c r="D34" s="235"/>
      <c r="E34" s="235"/>
    </row>
    <row r="36" spans="1:5" ht="29.25" customHeight="1">
      <c r="A36" s="232" t="s">
        <v>262</v>
      </c>
      <c r="B36" s="232"/>
      <c r="C36" s="232"/>
      <c r="D36" s="232"/>
      <c r="E36" s="232"/>
    </row>
    <row r="37" spans="1:5" ht="29.25" customHeight="1">
      <c r="A37" s="233" t="s">
        <v>399</v>
      </c>
      <c r="B37" s="233"/>
      <c r="C37" s="162"/>
      <c r="D37" s="163"/>
      <c r="E37" s="163"/>
    </row>
    <row r="38" spans="1:5" ht="29.25" customHeight="1">
      <c r="A38" s="234" t="str">
        <f>"2. "&amp;'Общие данные'!B159&amp;""</f>
        <v>2. B.Mominov</v>
      </c>
      <c r="B38" s="234"/>
      <c r="C38" s="162"/>
      <c r="D38" s="164"/>
      <c r="E38" s="164"/>
    </row>
    <row r="39" spans="1:5" ht="29.25" customHeight="1">
      <c r="A39" s="233" t="str">
        <f>"3. "&amp;'Общие данные'!B160&amp;""</f>
        <v>3. B.Jumanazarov</v>
      </c>
      <c r="B39" s="233"/>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9" t="s">
        <v>16</v>
      </c>
      <c r="F1" s="249"/>
    </row>
    <row r="2" spans="1:22">
      <c r="A2" s="86"/>
      <c r="B2" s="86"/>
      <c r="C2" s="86"/>
      <c r="D2" s="86"/>
      <c r="E2" s="86"/>
      <c r="F2" s="88" t="str">
        <f>"к договору микрозайма "&amp;'Общие данные'!B74&amp;""</f>
        <v>к договору микрозайма 11 mart 2025 y.dan № -BR</v>
      </c>
    </row>
    <row r="3" spans="1:22" ht="19.5" customHeight="1">
      <c r="A3" s="86"/>
      <c r="B3" s="86"/>
      <c r="C3" s="86"/>
      <c r="D3" s="86"/>
      <c r="E3" s="86"/>
      <c r="F3" s="86"/>
      <c r="H3" s="89"/>
      <c r="I3" s="89"/>
      <c r="J3" s="90"/>
      <c r="K3" s="90"/>
    </row>
    <row r="4" spans="1:22" ht="19.5" customHeight="1">
      <c r="A4" s="250" t="s">
        <v>17</v>
      </c>
      <c r="B4" s="250"/>
      <c r="C4" s="250"/>
      <c r="D4" s="250"/>
      <c r="E4" s="250"/>
      <c r="F4" s="250"/>
      <c r="H4" s="89"/>
      <c r="I4" s="89"/>
      <c r="J4" s="89"/>
      <c r="K4" s="89"/>
    </row>
    <row r="5" spans="1:22" ht="19.5" customHeight="1">
      <c r="L5" s="87">
        <f>'Общие данные'!B81</f>
        <v>36</v>
      </c>
    </row>
    <row r="6" spans="1:22">
      <c r="A6" s="251" t="s">
        <v>15</v>
      </c>
      <c r="B6" s="252" t="s">
        <v>9</v>
      </c>
      <c r="C6" s="252" t="s">
        <v>10</v>
      </c>
      <c r="D6" s="253" t="s">
        <v>11</v>
      </c>
      <c r="E6" s="253"/>
      <c r="F6" s="253"/>
    </row>
    <row r="7" spans="1:22" s="16" customFormat="1">
      <c r="A7" s="251"/>
      <c r="B7" s="252"/>
      <c r="C7" s="252"/>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6" t="s">
        <v>18</v>
      </c>
      <c r="B46" s="246"/>
      <c r="C46" s="246"/>
      <c r="D46" s="246"/>
      <c r="E46" s="246"/>
      <c r="F46" s="246"/>
    </row>
    <row r="47" spans="1:22" ht="7.5" customHeight="1"/>
    <row r="48" spans="1:22">
      <c r="A48" s="247" t="e">
        <f>#REF!</f>
        <v>#REF!</v>
      </c>
      <c r="B48" s="247"/>
      <c r="C48" s="247"/>
      <c r="D48" s="247" t="e">
        <f>#REF!</f>
        <v>#REF!</v>
      </c>
      <c r="E48" s="247"/>
      <c r="F48" s="247"/>
    </row>
    <row r="49" spans="1:6" ht="11.25" customHeight="1">
      <c r="A49" s="248"/>
      <c r="B49" s="248"/>
      <c r="C49" s="248"/>
      <c r="D49" s="248"/>
      <c r="E49" s="248"/>
      <c r="F49" s="248"/>
    </row>
    <row r="50" spans="1:6" ht="30" customHeight="1">
      <c r="A50" s="245" t="e">
        <f>#REF!</f>
        <v>#REF!</v>
      </c>
      <c r="B50" s="245"/>
      <c r="C50" s="245"/>
      <c r="D50" s="245" t="e">
        <f>#REF!</f>
        <v>#REF!</v>
      </c>
      <c r="E50" s="245"/>
      <c r="F50" s="245"/>
    </row>
    <row r="51" spans="1:6" ht="32.25" customHeight="1">
      <c r="A51" s="241" t="e">
        <f>#REF!</f>
        <v>#REF!</v>
      </c>
      <c r="B51" s="241"/>
      <c r="C51" s="241"/>
      <c r="D51" s="241" t="e">
        <f>#REF!</f>
        <v>#REF!</v>
      </c>
      <c r="E51" s="241"/>
      <c r="F51" s="241"/>
    </row>
    <row r="52" spans="1:6">
      <c r="A52" s="241" t="e">
        <f>#REF!</f>
        <v>#REF!</v>
      </c>
      <c r="B52" s="241"/>
      <c r="C52" s="241"/>
      <c r="D52" s="241" t="str">
        <f>"паспорт серии "&amp;'Общие данные'!B16&amp;", "&amp;'Общие данные'!B20&amp;""</f>
        <v>паспорт серии AA 9481167, BUXORO VILOYATI BUXORO SHAHAR IIB tomonidan 24.04.2015 yilda berilgan</v>
      </c>
      <c r="E52" s="241"/>
      <c r="F52" s="241"/>
    </row>
    <row r="53" spans="1:6" ht="32.25" customHeight="1">
      <c r="A53" s="241" t="e">
        <f>#REF!</f>
        <v>#REF!</v>
      </c>
      <c r="B53" s="241"/>
      <c r="C53" s="241"/>
      <c r="D53" s="241"/>
      <c r="E53" s="241"/>
      <c r="F53" s="241"/>
    </row>
    <row r="54" spans="1:6">
      <c r="A54" s="241" t="e">
        <f>#REF!</f>
        <v>#REF!</v>
      </c>
      <c r="B54" s="241"/>
      <c r="C54" s="241"/>
      <c r="D54" s="241" t="e">
        <f>#REF!</f>
        <v>#REF!</v>
      </c>
      <c r="E54" s="241"/>
      <c r="F54" s="241"/>
    </row>
    <row r="55" spans="1:6">
      <c r="A55" s="241" t="e">
        <f>#REF!</f>
        <v>#REF!</v>
      </c>
      <c r="B55" s="241"/>
      <c r="C55" s="241"/>
      <c r="D55" s="241" t="e">
        <f>#REF!</f>
        <v>#REF!</v>
      </c>
      <c r="E55" s="241"/>
      <c r="F55" s="241"/>
    </row>
    <row r="56" spans="1:6">
      <c r="A56" s="241" t="e">
        <f>#REF!</f>
        <v>#REF!</v>
      </c>
      <c r="B56" s="241"/>
      <c r="C56" s="241"/>
      <c r="D56" s="241" t="e">
        <f>#REF!</f>
        <v>#REF!</v>
      </c>
      <c r="E56" s="241"/>
      <c r="F56" s="241"/>
    </row>
    <row r="57" spans="1:6" ht="8.25" customHeight="1">
      <c r="A57" s="241"/>
      <c r="B57" s="241"/>
      <c r="C57" s="241"/>
      <c r="D57" s="241"/>
      <c r="E57" s="241"/>
      <c r="F57" s="241"/>
    </row>
    <row r="58" spans="1:6">
      <c r="A58" s="245" t="e">
        <f>#REF!</f>
        <v>#REF!</v>
      </c>
      <c r="B58" s="245"/>
      <c r="C58" s="245"/>
      <c r="D58" s="245" t="e">
        <f>#REF!</f>
        <v>#REF!</v>
      </c>
      <c r="E58" s="245"/>
      <c r="F58" s="245"/>
    </row>
    <row r="59" spans="1:6" ht="7.5" customHeight="1">
      <c r="A59" s="245"/>
      <c r="B59" s="245"/>
      <c r="C59" s="245"/>
      <c r="D59" s="245"/>
      <c r="E59" s="245"/>
      <c r="F59" s="245"/>
    </row>
    <row r="60" spans="1:6">
      <c r="A60" s="245" t="e">
        <f>#REF!</f>
        <v>#REF!</v>
      </c>
      <c r="B60" s="245"/>
      <c r="C60" s="245"/>
      <c r="D60" s="245" t="e">
        <f>#REF!</f>
        <v>#REF!</v>
      </c>
      <c r="E60" s="245"/>
      <c r="F60" s="245"/>
    </row>
    <row r="61" spans="1:6" ht="8.25" customHeight="1">
      <c r="A61" s="241"/>
      <c r="B61" s="241"/>
      <c r="C61" s="241"/>
      <c r="D61" s="241"/>
      <c r="E61" s="241"/>
      <c r="F61" s="241"/>
    </row>
    <row r="62" spans="1:6" ht="30" customHeight="1">
      <c r="A62" s="242"/>
      <c r="B62" s="242"/>
      <c r="C62" s="242"/>
      <c r="D62" s="243" t="e">
        <f>#REF!</f>
        <v>#REF!</v>
      </c>
      <c r="E62" s="243"/>
      <c r="F62" s="243"/>
    </row>
    <row r="63" spans="1:6">
      <c r="A63" s="244"/>
      <c r="B63" s="244"/>
      <c r="C63" s="244"/>
      <c r="D63" s="244"/>
      <c r="E63" s="244"/>
      <c r="F63" s="244"/>
    </row>
    <row r="64" spans="1:6">
      <c r="A64" s="240"/>
      <c r="B64" s="240"/>
      <c r="C64" s="240"/>
      <c r="D64" s="240"/>
      <c r="E64" s="240"/>
      <c r="F64" s="240"/>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39" zoomScaleNormal="100" workbookViewId="0">
      <selection activeCell="B159" sqref="B159"/>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426</v>
      </c>
    </row>
    <row r="2" spans="1:4" ht="15" customHeight="1">
      <c r="A2" s="3" t="str">
        <f>CONCATENATE(B65," olish uchun ariza sanasi QO’L BILAN KIRITILADI")</f>
        <v>mikroqarz olish uchun ariza sanasi QO’L BILAN KIRITILADI</v>
      </c>
      <c r="B2" s="57" t="s">
        <v>402</v>
      </c>
      <c r="D2" s="183">
        <f>180+B2</f>
        <v>45907</v>
      </c>
    </row>
    <row r="3" spans="1:4">
      <c r="A3" s="3"/>
      <c r="B3" s="1"/>
    </row>
    <row r="4" spans="1:4">
      <c r="A4" s="254" t="s">
        <v>53</v>
      </c>
      <c r="B4" s="254"/>
    </row>
    <row r="5" spans="1:4" ht="30">
      <c r="A5" s="3" t="s">
        <v>54</v>
      </c>
      <c r="B5" s="49" t="s">
        <v>403</v>
      </c>
      <c r="C5" s="183" t="s">
        <v>391</v>
      </c>
    </row>
    <row r="6" spans="1:4" ht="30">
      <c r="A6" s="3" t="s">
        <v>55</v>
      </c>
      <c r="B6" s="49" t="s">
        <v>134</v>
      </c>
      <c r="C6" s="183" t="s">
        <v>257</v>
      </c>
      <c r="D6" s="183" t="s">
        <v>134</v>
      </c>
    </row>
    <row r="7" spans="1:4" ht="30">
      <c r="A7" s="3" t="s">
        <v>56</v>
      </c>
      <c r="B7" s="49" t="s">
        <v>404</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405</v>
      </c>
    </row>
    <row r="16" spans="1:4">
      <c r="A16" s="3" t="s">
        <v>65</v>
      </c>
      <c r="B16" s="49" t="s">
        <v>406</v>
      </c>
    </row>
    <row r="17" spans="1:7">
      <c r="A17" s="3"/>
      <c r="B17" s="49" t="s">
        <v>422</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407</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408</v>
      </c>
    </row>
    <row r="26" spans="1:7" ht="44.25" customHeight="1">
      <c r="A26" s="3" t="s">
        <v>74</v>
      </c>
      <c r="B26" s="49" t="s">
        <v>409</v>
      </c>
      <c r="C26" s="183" t="s">
        <v>27</v>
      </c>
    </row>
    <row r="27" spans="1:7" ht="44.25" hidden="1" customHeight="1">
      <c r="A27" s="3"/>
      <c r="B27" s="49" t="str">
        <f>IF(B23="mos keladi",B22,B28)</f>
        <v>BUXORO VILOYATI BUXORO SHAHAR TADBIRKOR KO'CHASI 12-UY</v>
      </c>
    </row>
    <row r="28" spans="1:7" ht="45">
      <c r="A28" s="3" t="s">
        <v>75</v>
      </c>
      <c r="B28" s="49" t="s">
        <v>407</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410</v>
      </c>
      <c r="C31" s="183" t="s">
        <v>390</v>
      </c>
    </row>
    <row r="32" spans="1:7">
      <c r="A32" s="3" t="s">
        <v>63</v>
      </c>
      <c r="B32" s="49" t="s">
        <v>66</v>
      </c>
    </row>
    <row r="33" spans="1:4">
      <c r="A33" s="3" t="s">
        <v>73</v>
      </c>
      <c r="B33" s="49" t="s">
        <v>411</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411</v>
      </c>
    </row>
    <row r="41" spans="1:4" ht="24.75" customHeight="1">
      <c r="A41" s="3" t="s">
        <v>84</v>
      </c>
      <c r="B41" s="49" t="s">
        <v>412</v>
      </c>
    </row>
    <row r="42" spans="1:4" ht="24.75" customHeight="1">
      <c r="A42" s="3" t="s">
        <v>83</v>
      </c>
      <c r="B42" s="49" t="s">
        <v>413</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5" t="s">
        <v>97</v>
      </c>
      <c r="B57" s="256"/>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4" t="s">
        <v>103</v>
      </c>
      <c r="B64" s="254"/>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-BR</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-BR</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414</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4" t="s">
        <v>126</v>
      </c>
      <c r="B91" s="254"/>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4"/>
      <c r="B97" s="254"/>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423</v>
      </c>
      <c r="C123" s="209" t="s">
        <v>48</v>
      </c>
      <c r="N123" s="183" t="str">
        <f>IF(B103=C103,B117,IF(B103=D103,C117,0))</f>
        <v>NUTFULLAYEV AKBARJON AXMEDOVICH</v>
      </c>
    </row>
    <row r="124" spans="1:18" ht="45">
      <c r="A124" s="3" t="s">
        <v>162</v>
      </c>
      <c r="B124" s="49" t="s">
        <v>415</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416</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417</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418</v>
      </c>
      <c r="C128" s="213"/>
    </row>
    <row r="129" spans="1:6">
      <c r="A129" s="69" t="s">
        <v>167</v>
      </c>
      <c r="B129" s="49" t="s">
        <v>419</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420</v>
      </c>
      <c r="C131" s="202"/>
      <c r="D131" s="214" t="s">
        <v>155</v>
      </c>
    </row>
    <row r="132" spans="1:6">
      <c r="A132" s="69" t="s">
        <v>170</v>
      </c>
      <c r="B132" s="49" t="s">
        <v>424</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421</v>
      </c>
      <c r="C134" s="202"/>
    </row>
    <row r="135" spans="1:6" ht="30">
      <c r="A135" s="69" t="s">
        <v>173</v>
      </c>
      <c r="B135" s="57" t="s">
        <v>401</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4" t="s">
        <v>357</v>
      </c>
      <c r="B146" s="254"/>
    </row>
    <row r="147" spans="1:2">
      <c r="A147" s="3" t="s">
        <v>175</v>
      </c>
      <c r="B147" s="1" t="s">
        <v>381</v>
      </c>
    </row>
    <row r="148" spans="1:2">
      <c r="A148" s="3"/>
      <c r="B148" s="1" t="s">
        <v>381</v>
      </c>
    </row>
    <row r="149" spans="1:2">
      <c r="A149" s="3"/>
      <c r="B149" s="1" t="s">
        <v>381</v>
      </c>
    </row>
    <row r="150" spans="1:2">
      <c r="A150" s="223" t="s">
        <v>427</v>
      </c>
      <c r="B150" s="222" t="s">
        <v>431</v>
      </c>
    </row>
    <row r="151" spans="1:2">
      <c r="A151" s="223"/>
      <c r="B151" s="222" t="s">
        <v>428</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425</v>
      </c>
      <c r="B159" s="1" t="s">
        <v>429</v>
      </c>
    </row>
    <row r="160" spans="1:2">
      <c r="A160" s="3" t="s">
        <v>379</v>
      </c>
      <c r="B160" s="1" t="s">
        <v>430</v>
      </c>
    </row>
    <row r="161" spans="1:2">
      <c r="A161" s="225" t="s">
        <v>427</v>
      </c>
      <c r="B161" s="224" t="s">
        <v>431</v>
      </c>
    </row>
    <row r="162" spans="1:2">
      <c r="A162" s="3" t="s">
        <v>186</v>
      </c>
      <c r="B162" s="2" t="s">
        <v>349</v>
      </c>
    </row>
    <row r="163" spans="1:2">
      <c r="A163" s="3" t="s">
        <v>187</v>
      </c>
      <c r="B163" s="2" t="s">
        <v>350</v>
      </c>
    </row>
    <row r="164" spans="1:2">
      <c r="A164" s="3" t="s">
        <v>188</v>
      </c>
      <c r="B164" s="1" t="str">
        <f>B1</f>
        <v>№ -BR</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5" t="s">
        <v>16</v>
      </c>
      <c r="F1" s="265"/>
    </row>
    <row r="2" spans="1:8">
      <c r="A2" s="37"/>
      <c r="B2" s="37"/>
      <c r="C2" s="37"/>
      <c r="D2" s="37"/>
      <c r="E2" s="37"/>
      <c r="F2" s="38" t="str">
        <f>"к договору микрозайма "&amp;'Общие данные'!B74&amp;""</f>
        <v>к договору микрозайма 11 mart 2025 y.dan № -BR</v>
      </c>
    </row>
    <row r="3" spans="1:8" ht="6.75" customHeight="1">
      <c r="A3" s="37"/>
      <c r="B3" s="37"/>
      <c r="C3" s="37"/>
      <c r="D3" s="37"/>
      <c r="E3" s="37"/>
      <c r="F3" s="37"/>
    </row>
    <row r="4" spans="1:8">
      <c r="A4" s="266" t="s">
        <v>17</v>
      </c>
      <c r="B4" s="266"/>
      <c r="C4" s="266"/>
      <c r="D4" s="266"/>
      <c r="E4" s="266"/>
      <c r="F4" s="266"/>
    </row>
    <row r="5" spans="1:8" ht="7.5" customHeight="1"/>
    <row r="6" spans="1:8">
      <c r="A6" s="267" t="s">
        <v>15</v>
      </c>
      <c r="B6" s="268" t="s">
        <v>9</v>
      </c>
      <c r="C6" s="268" t="s">
        <v>10</v>
      </c>
      <c r="D6" s="269" t="s">
        <v>11</v>
      </c>
      <c r="E6" s="269"/>
      <c r="F6" s="269"/>
    </row>
    <row r="7" spans="1:8" s="16" customFormat="1">
      <c r="A7" s="267"/>
      <c r="B7" s="268"/>
      <c r="C7" s="268"/>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5" t="s">
        <v>18</v>
      </c>
      <c r="B46" s="235"/>
      <c r="C46" s="235"/>
      <c r="D46" s="235"/>
      <c r="E46" s="235"/>
      <c r="F46" s="235"/>
    </row>
    <row r="47" spans="1:8" ht="7.5" customHeight="1"/>
    <row r="48" spans="1:8">
      <c r="A48" s="263" t="e">
        <f>#REF!</f>
        <v>#REF!</v>
      </c>
      <c r="B48" s="263"/>
      <c r="C48" s="263"/>
      <c r="D48" s="263" t="e">
        <f>#REF!</f>
        <v>#REF!</v>
      </c>
      <c r="E48" s="263"/>
      <c r="F48" s="263"/>
    </row>
    <row r="49" spans="1:6" ht="11.25" customHeight="1">
      <c r="A49" s="264"/>
      <c r="B49" s="264"/>
      <c r="C49" s="264"/>
      <c r="D49" s="264"/>
      <c r="E49" s="264"/>
      <c r="F49" s="264"/>
    </row>
    <row r="50" spans="1:6" ht="30" customHeight="1">
      <c r="A50" s="262" t="e">
        <f>#REF!</f>
        <v>#REF!</v>
      </c>
      <c r="B50" s="262"/>
      <c r="C50" s="262"/>
      <c r="D50" s="262" t="e">
        <f>#REF!</f>
        <v>#REF!</v>
      </c>
      <c r="E50" s="262"/>
      <c r="F50" s="262"/>
    </row>
    <row r="51" spans="1:6" ht="32.25" customHeight="1">
      <c r="A51" s="258" t="e">
        <f>#REF!</f>
        <v>#REF!</v>
      </c>
      <c r="B51" s="258"/>
      <c r="C51" s="258"/>
      <c r="D51" s="258" t="e">
        <f>#REF!</f>
        <v>#REF!</v>
      </c>
      <c r="E51" s="258"/>
      <c r="F51" s="258"/>
    </row>
    <row r="52" spans="1:6">
      <c r="A52" s="258" t="e">
        <f>#REF!</f>
        <v>#REF!</v>
      </c>
      <c r="B52" s="258"/>
      <c r="C52" s="258"/>
      <c r="D52" s="258" t="str">
        <f>"паспорт серии "&amp;'Общие данные'!B16&amp;", "&amp;'Общие данные'!B20&amp;""</f>
        <v>паспорт серии AA 9481167, BUXORO VILOYATI BUXORO SHAHAR IIB tomonidan 24.04.2015 yilda berilgan</v>
      </c>
      <c r="E52" s="258"/>
      <c r="F52" s="258"/>
    </row>
    <row r="53" spans="1:6" ht="32.25" customHeight="1">
      <c r="A53" s="258" t="e">
        <f>#REF!</f>
        <v>#REF!</v>
      </c>
      <c r="B53" s="258"/>
      <c r="C53" s="258"/>
      <c r="D53" s="258"/>
      <c r="E53" s="258"/>
      <c r="F53" s="258"/>
    </row>
    <row r="54" spans="1:6">
      <c r="A54" s="258" t="e">
        <f>#REF!</f>
        <v>#REF!</v>
      </c>
      <c r="B54" s="258"/>
      <c r="C54" s="258"/>
      <c r="D54" s="258" t="e">
        <f>#REF!</f>
        <v>#REF!</v>
      </c>
      <c r="E54" s="258"/>
      <c r="F54" s="258"/>
    </row>
    <row r="55" spans="1:6">
      <c r="A55" s="258" t="e">
        <f>#REF!</f>
        <v>#REF!</v>
      </c>
      <c r="B55" s="258"/>
      <c r="C55" s="258"/>
      <c r="D55" s="258" t="e">
        <f>#REF!</f>
        <v>#REF!</v>
      </c>
      <c r="E55" s="258"/>
      <c r="F55" s="258"/>
    </row>
    <row r="56" spans="1:6">
      <c r="A56" s="258" t="e">
        <f>#REF!</f>
        <v>#REF!</v>
      </c>
      <c r="B56" s="258"/>
      <c r="C56" s="258"/>
      <c r="D56" s="258" t="e">
        <f>#REF!</f>
        <v>#REF!</v>
      </c>
      <c r="E56" s="258"/>
      <c r="F56" s="258"/>
    </row>
    <row r="57" spans="1:6" ht="8.25" customHeight="1">
      <c r="A57" s="258"/>
      <c r="B57" s="258"/>
      <c r="C57" s="258"/>
      <c r="D57" s="258"/>
      <c r="E57" s="258"/>
      <c r="F57" s="258"/>
    </row>
    <row r="58" spans="1:6">
      <c r="A58" s="262" t="e">
        <f>#REF!</f>
        <v>#REF!</v>
      </c>
      <c r="B58" s="262"/>
      <c r="C58" s="262"/>
      <c r="D58" s="262" t="e">
        <f>#REF!</f>
        <v>#REF!</v>
      </c>
      <c r="E58" s="262"/>
      <c r="F58" s="262"/>
    </row>
    <row r="59" spans="1:6" ht="7.5" customHeight="1">
      <c r="A59" s="262"/>
      <c r="B59" s="262"/>
      <c r="C59" s="262"/>
      <c r="D59" s="262"/>
      <c r="E59" s="262"/>
      <c r="F59" s="262"/>
    </row>
    <row r="60" spans="1:6">
      <c r="A60" s="262" t="e">
        <f>#REF!</f>
        <v>#REF!</v>
      </c>
      <c r="B60" s="262"/>
      <c r="C60" s="262"/>
      <c r="D60" s="262" t="e">
        <f>#REF!</f>
        <v>#REF!</v>
      </c>
      <c r="E60" s="262"/>
      <c r="F60" s="262"/>
    </row>
    <row r="61" spans="1:6" ht="8.25" customHeight="1">
      <c r="A61" s="258"/>
      <c r="B61" s="258"/>
      <c r="C61" s="258"/>
      <c r="D61" s="258"/>
      <c r="E61" s="258"/>
      <c r="F61" s="258"/>
    </row>
    <row r="62" spans="1:6" ht="30" customHeight="1">
      <c r="A62" s="259"/>
      <c r="B62" s="259"/>
      <c r="C62" s="259"/>
      <c r="D62" s="260"/>
      <c r="E62" s="260"/>
      <c r="F62" s="260"/>
    </row>
    <row r="63" spans="1:6">
      <c r="A63" s="261"/>
      <c r="B63" s="261"/>
      <c r="C63" s="261"/>
      <c r="D63" s="261"/>
      <c r="E63" s="261"/>
      <c r="F63" s="261"/>
    </row>
    <row r="64" spans="1:6">
      <c r="A64" s="257"/>
      <c r="B64" s="257"/>
      <c r="C64" s="257"/>
      <c r="D64" s="257"/>
      <c r="E64" s="257"/>
      <c r="F64" s="257"/>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1" t="s">
        <v>218</v>
      </c>
      <c r="B1" s="271"/>
      <c r="C1" s="271"/>
      <c r="D1" s="271"/>
      <c r="E1" s="271"/>
      <c r="F1" s="271"/>
    </row>
    <row r="2" spans="1:6" ht="35.25" customHeight="1">
      <c r="A2" s="272" t="s">
        <v>328</v>
      </c>
      <c r="B2" s="272"/>
      <c r="C2" s="272"/>
      <c r="D2" s="272"/>
      <c r="E2" s="272"/>
      <c r="F2" s="272"/>
    </row>
    <row r="3" spans="1:6">
      <c r="A3" s="271" t="s">
        <v>219</v>
      </c>
      <c r="B3" s="271"/>
      <c r="C3" s="271"/>
      <c r="D3" s="271"/>
      <c r="E3" s="271"/>
      <c r="F3" s="271"/>
    </row>
    <row r="4" spans="1:6">
      <c r="A4" s="270" t="str">
        <f>'Заключение КК'!A4:E4</f>
        <v>Mijozning to'liq ismi sharifi: NUTFULLAYEV AKBARJON AXMEDOVICH</v>
      </c>
      <c r="B4" s="270"/>
      <c r="C4" s="270"/>
      <c r="D4" s="270"/>
      <c r="E4" s="270"/>
      <c r="F4" s="270"/>
    </row>
    <row r="5" spans="1:6">
      <c r="A5" s="270" t="str">
        <f>'Заключение КК'!A5:E5</f>
        <v>Tug'ilgan sanasi: 14.09.1989 y</v>
      </c>
      <c r="B5" s="270"/>
      <c r="C5" s="270"/>
      <c r="D5" s="270"/>
      <c r="E5" s="270"/>
      <c r="F5" s="270"/>
    </row>
    <row r="6" spans="1:6" ht="32.25" customHeight="1">
      <c r="A6" s="270" t="str">
        <f>'Заключение КК'!A6:E6</f>
        <v>Pasport seriyasi AA 9481167 BUXORO VILOYATI BUXORO SHAHAR IIB tomonidan 24.04.2015 yilda berilgan, amal qilish muddati - 23.04.2025 y.</v>
      </c>
      <c r="B6" s="270"/>
      <c r="C6" s="270"/>
      <c r="D6" s="270"/>
      <c r="E6" s="270"/>
      <c r="F6" s="270"/>
    </row>
    <row r="7" spans="1:6">
      <c r="A7" s="270" t="str">
        <f>"Fuqaroligi: "&amp;'Общие данные'!B32&amp;""</f>
        <v>Fuqaroligi: O’zbekiston Respublikasi</v>
      </c>
      <c r="B7" s="270"/>
      <c r="C7" s="270"/>
      <c r="D7" s="270"/>
      <c r="E7" s="270"/>
      <c r="F7" s="270"/>
    </row>
    <row r="8" spans="1:6" ht="26.25" customHeight="1">
      <c r="A8" s="270" t="str">
        <f>'Заключение КК'!A7:E7</f>
        <v>Ro‘yxatdan o‘tgan manzili: BUXORO VILOYATI BUXORO SHAHAR TADBIRKOR KO'CHASI 12-UY, mo'ljal: GOR VODAKANAL</v>
      </c>
      <c r="B8" s="270"/>
      <c r="C8" s="270"/>
      <c r="D8" s="270"/>
      <c r="E8" s="270"/>
      <c r="F8" s="270"/>
    </row>
    <row r="9" spans="1:6">
      <c r="A9" s="270" t="str">
        <f>IF('Общие данные'!B23="mos keladi"," ",'Анкета Клиента'!A10:F10)</f>
        <v xml:space="preserve"> </v>
      </c>
      <c r="B9" s="270"/>
      <c r="C9" s="270"/>
      <c r="D9" s="270"/>
      <c r="E9" s="270"/>
      <c r="F9" s="270"/>
    </row>
    <row r="10" spans="1:6" ht="31.5" hidden="1" customHeight="1">
      <c r="A10" s="270" t="str">
        <f>"Haqiqatdan yashash joy manzili: "&amp;'Общие данные'!B28&amp;""</f>
        <v>Haqiqatdan yashash joy manzili: BUXORO VILOYATI BUXORO SHAHAR TADBIRKOR KO'CHASI 12-UY</v>
      </c>
      <c r="B10" s="270"/>
      <c r="C10" s="270"/>
      <c r="D10" s="270"/>
      <c r="E10" s="270"/>
      <c r="F10" s="270"/>
    </row>
    <row r="11" spans="1:6" ht="16.5" hidden="1" customHeight="1">
      <c r="A11" s="270" t="str">
        <f>'Заключение КК'!A8:E8</f>
        <v>Ish joyi:  lavozimi Yakka tartibdagi tadbirkorda Yakka tartibdagi tadbirkor</v>
      </c>
      <c r="B11" s="270"/>
      <c r="C11" s="270"/>
      <c r="D11" s="270"/>
      <c r="E11" s="270"/>
      <c r="F11" s="270"/>
    </row>
    <row r="12" spans="1:6">
      <c r="A12" s="271" t="s">
        <v>220</v>
      </c>
      <c r="B12" s="271"/>
      <c r="C12" s="271"/>
      <c r="D12" s="271"/>
      <c r="E12" s="271"/>
      <c r="F12" s="271"/>
    </row>
    <row r="13" spans="1:6">
      <c r="A13" s="270" t="str">
        <f>"Uy telefoni raqami: "&amp;'Общие данные'!B40&amp;""</f>
        <v>Uy telefoni raqami: 91 408 76 67  UZI</v>
      </c>
      <c r="B13" s="270"/>
      <c r="C13" s="270"/>
      <c r="D13" s="270"/>
      <c r="E13" s="270"/>
      <c r="F13" s="270"/>
    </row>
    <row r="14" spans="1:6">
      <c r="A14" s="270" t="str">
        <f>"Uyali telefon raqami: "&amp;'Общие данные'!B41&amp;""</f>
        <v>Uyali telefon raqami: 88 305 76 67 AYOLI</v>
      </c>
      <c r="B14" s="270"/>
      <c r="C14" s="270"/>
      <c r="D14" s="270"/>
      <c r="E14" s="270"/>
      <c r="F14" s="270"/>
    </row>
    <row r="15" spans="1:6">
      <c r="A15" s="270" t="str">
        <f>"Uyali telefon raqami: "&amp;'Общие данные'!B42&amp;""</f>
        <v>Uyali telefon raqami: 88 870 76 67 AKASI</v>
      </c>
      <c r="B15" s="270"/>
      <c r="C15" s="270"/>
      <c r="D15" s="270"/>
      <c r="E15" s="270"/>
      <c r="F15" s="270"/>
    </row>
    <row r="16" spans="1:6" hidden="1">
      <c r="A16" s="270" t="str">
        <f>"Uyali telefon raqami: "&amp;'Общие данные'!B42&amp;""</f>
        <v>Uyali telefon raqami: 88 870 76 67 AKASI</v>
      </c>
      <c r="B16" s="270"/>
      <c r="C16" s="270"/>
      <c r="D16" s="270"/>
      <c r="E16" s="270"/>
      <c r="F16" s="270"/>
    </row>
    <row r="17" spans="1:6">
      <c r="A17" s="270" t="str">
        <f>"Ish telefoni raqami: "&amp;'Общие данные'!B43&amp;""</f>
        <v xml:space="preserve">Ish telefoni raqami: </v>
      </c>
      <c r="B17" s="270"/>
      <c r="C17" s="270"/>
      <c r="D17" s="270"/>
      <c r="E17" s="270"/>
      <c r="F17" s="270"/>
    </row>
    <row r="18" spans="1:6">
      <c r="A18" s="271" t="s">
        <v>221</v>
      </c>
      <c r="B18" s="271"/>
      <c r="C18" s="271"/>
      <c r="D18" s="271"/>
      <c r="E18" s="271"/>
      <c r="F18" s="271"/>
    </row>
    <row r="19" spans="1:6">
      <c r="A19" s="270" t="str">
        <f>"Muassasa nomlanishi:"&amp;'Общие данные'!B58&amp;""</f>
        <v>Muassasa nomlanishi:Yakka tartibdagi tadbirkor</v>
      </c>
      <c r="B19" s="270"/>
      <c r="C19" s="270"/>
      <c r="D19" s="270"/>
      <c r="E19" s="270"/>
      <c r="F19" s="270"/>
    </row>
    <row r="20" spans="1:6">
      <c r="A20" s="270" t="str">
        <f>"Ro‘yxatdan o‘tish manzili:"&amp;'Общие данные'!B50&amp;""</f>
        <v>Ro‘yxatdan o‘tish manzili:</v>
      </c>
      <c r="B20" s="270"/>
      <c r="C20" s="270"/>
      <c r="D20" s="270"/>
      <c r="E20" s="270"/>
      <c r="F20" s="270"/>
    </row>
    <row r="21" spans="1:6">
      <c r="A21" s="270" t="str">
        <f>"Lavozimi: "&amp;'Общие данные'!B59&amp;""</f>
        <v>Lavozimi: Yakka tartibdagi tadbirkor</v>
      </c>
      <c r="B21" s="270"/>
      <c r="C21" s="270"/>
      <c r="D21" s="270"/>
      <c r="E21" s="270"/>
      <c r="F21" s="270"/>
    </row>
    <row r="22" spans="1:6">
      <c r="A22" s="271" t="s">
        <v>222</v>
      </c>
      <c r="B22" s="273"/>
      <c r="C22" s="273"/>
      <c r="D22" s="273"/>
      <c r="E22" s="273"/>
      <c r="F22" s="273"/>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0"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0"/>
      <c r="C28" s="270"/>
      <c r="D28" s="270"/>
      <c r="E28" s="270"/>
      <c r="F28" s="270"/>
    </row>
    <row r="29" spans="1:6">
      <c r="A29" s="270" t="str">
        <f>"Men,  "&amp;'Общие данные'!B5&amp;", quyidagilarni tan olaman va roziman::"</f>
        <v>Men,  NUTFULLAYEV AKBARJON AXMEDOVICH, quyidagilarni tan olaman va roziman::</v>
      </c>
      <c r="B29" s="270"/>
      <c r="C29" s="270"/>
      <c r="D29" s="270"/>
      <c r="E29" s="270"/>
      <c r="F29" s="270"/>
    </row>
    <row r="30" spans="1:6" ht="45.75" customHeight="1">
      <c r="A30" s="270"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0"/>
      <c r="C30" s="270"/>
      <c r="D30" s="270"/>
      <c r="E30" s="270"/>
      <c r="F30" s="270"/>
    </row>
    <row r="31" spans="1:6" ht="42.75" customHeight="1">
      <c r="A31" s="270"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0"/>
      <c r="C31" s="270"/>
      <c r="D31" s="270"/>
      <c r="E31" s="270"/>
      <c r="F31" s="270"/>
    </row>
    <row r="32" spans="1:6" ht="71.25" customHeight="1">
      <c r="A32" s="270" t="s">
        <v>235</v>
      </c>
      <c r="B32" s="270"/>
      <c r="C32" s="270"/>
      <c r="D32" s="270"/>
      <c r="E32" s="270"/>
      <c r="F32" s="270"/>
    </row>
    <row r="33" spans="1:6">
      <c r="A33" s="270"/>
      <c r="B33" s="270"/>
      <c r="C33" s="270"/>
      <c r="D33" s="270"/>
      <c r="E33" s="270"/>
      <c r="F33" s="270"/>
    </row>
    <row r="34" spans="1:6" ht="12.75" customHeight="1">
      <c r="A34" s="273" t="s">
        <v>236</v>
      </c>
      <c r="B34" s="273"/>
      <c r="C34" s="273"/>
      <c r="D34" s="148" t="s">
        <v>157</v>
      </c>
      <c r="E34" s="273" t="s">
        <v>237</v>
      </c>
      <c r="F34" s="273"/>
    </row>
    <row r="35" spans="1:6" ht="25.5" customHeight="1">
      <c r="A35" s="274"/>
      <c r="B35" s="274"/>
      <c r="C35" s="274"/>
      <c r="D35" s="275" t="str">
        <f>'Общие данные'!B2</f>
        <v>11.03.2025</v>
      </c>
      <c r="E35" s="274"/>
      <c r="F35" s="274"/>
    </row>
    <row r="36" spans="1:6" ht="25.5" customHeight="1">
      <c r="A36" s="274"/>
      <c r="B36" s="274"/>
      <c r="C36" s="274"/>
      <c r="D36" s="275"/>
      <c r="E36" s="274"/>
      <c r="F36" s="274"/>
    </row>
    <row r="37" spans="1:6">
      <c r="A37" s="270"/>
      <c r="B37" s="270"/>
      <c r="C37" s="270"/>
      <c r="D37" s="270"/>
      <c r="E37" s="270"/>
      <c r="F37" s="270"/>
    </row>
    <row r="38" spans="1:6">
      <c r="A38" s="270"/>
      <c r="B38" s="270"/>
      <c r="C38" s="270"/>
      <c r="D38" s="270"/>
      <c r="E38" s="270"/>
      <c r="F38" s="270"/>
    </row>
    <row r="39" spans="1:6">
      <c r="A39" s="270"/>
      <c r="B39" s="270"/>
      <c r="C39" s="270"/>
      <c r="D39" s="270"/>
      <c r="E39" s="270"/>
      <c r="F39" s="270"/>
    </row>
    <row r="40" spans="1:6">
      <c r="A40" s="270"/>
      <c r="B40" s="270"/>
      <c r="C40" s="270"/>
      <c r="D40" s="270"/>
      <c r="E40" s="270"/>
      <c r="F40" s="270"/>
    </row>
    <row r="41" spans="1:6">
      <c r="A41" s="270"/>
      <c r="B41" s="270"/>
      <c r="C41" s="270"/>
      <c r="D41" s="270"/>
      <c r="E41" s="270"/>
      <c r="F41" s="270"/>
    </row>
    <row r="42" spans="1:6">
      <c r="A42" s="270"/>
      <c r="B42" s="270"/>
      <c r="C42" s="270"/>
      <c r="D42" s="270"/>
      <c r="E42" s="270"/>
      <c r="F42" s="270"/>
    </row>
    <row r="43" spans="1:6">
      <c r="A43" s="270"/>
      <c r="B43" s="270"/>
      <c r="C43" s="270"/>
      <c r="D43" s="270"/>
      <c r="E43" s="270"/>
      <c r="F43" s="270"/>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80" t="s">
        <v>238</v>
      </c>
      <c r="B2" s="280"/>
      <c r="C2" s="280"/>
      <c r="D2" s="280"/>
      <c r="E2" s="280"/>
    </row>
    <row r="3" spans="1:5">
      <c r="E3" s="121" t="str">
        <f>'Общие данные'!B68</f>
        <v>11 mart 2025 y.</v>
      </c>
    </row>
    <row r="5" spans="1:5" s="123" customFormat="1" ht="27" customHeight="1">
      <c r="A5" s="284" t="s">
        <v>239</v>
      </c>
      <c r="B5" s="285"/>
      <c r="C5" s="281" t="str">
        <f>'Общие данные'!B8</f>
        <v>NUTFULLAYEV AKBARJON AXMEDOVICH</v>
      </c>
      <c r="D5" s="282"/>
      <c r="E5" s="283"/>
    </row>
    <row r="7" spans="1:5" ht="15.75" customHeight="1">
      <c r="A7" s="286" t="s">
        <v>358</v>
      </c>
      <c r="B7" s="287"/>
      <c r="C7" s="288"/>
      <c r="D7" s="124" t="s">
        <v>133</v>
      </c>
      <c r="E7" s="124"/>
    </row>
    <row r="8" spans="1:5">
      <c r="A8" s="289"/>
      <c r="B8" s="290"/>
      <c r="C8" s="291"/>
      <c r="D8" s="124" t="s">
        <v>243</v>
      </c>
      <c r="E8" s="124"/>
    </row>
    <row r="9" spans="1:5" ht="15.75" customHeight="1">
      <c r="A9" s="277" t="s">
        <v>240</v>
      </c>
      <c r="B9" s="277"/>
      <c r="C9" s="277"/>
      <c r="D9" s="124" t="s">
        <v>133</v>
      </c>
      <c r="E9" s="124"/>
    </row>
    <row r="10" spans="1:5">
      <c r="A10" s="277"/>
      <c r="B10" s="277"/>
      <c r="C10" s="277"/>
      <c r="D10" s="124" t="s">
        <v>243</v>
      </c>
      <c r="E10" s="124"/>
    </row>
    <row r="11" spans="1:5" ht="15.75" customHeight="1">
      <c r="A11" s="277" t="s">
        <v>241</v>
      </c>
      <c r="B11" s="277"/>
      <c r="C11" s="277"/>
      <c r="D11" s="124" t="s">
        <v>133</v>
      </c>
      <c r="E11" s="124"/>
    </row>
    <row r="12" spans="1:5">
      <c r="A12" s="277"/>
      <c r="B12" s="277"/>
      <c r="C12" s="277"/>
      <c r="D12" s="124" t="s">
        <v>243</v>
      </c>
      <c r="E12" s="124"/>
    </row>
    <row r="13" spans="1:5" ht="34.5" customHeight="1">
      <c r="A13" s="278" t="s">
        <v>242</v>
      </c>
      <c r="B13" s="278"/>
      <c r="C13" s="278"/>
      <c r="D13" s="278"/>
      <c r="E13" s="278"/>
    </row>
    <row r="14" spans="1:5" ht="16.5" thickBot="1">
      <c r="A14" s="279"/>
      <c r="B14" s="279"/>
      <c r="C14" s="279"/>
      <c r="D14" s="279"/>
      <c r="E14" s="279"/>
    </row>
    <row r="15" spans="1:5" ht="16.5" thickBot="1">
      <c r="A15" s="279"/>
      <c r="B15" s="279"/>
      <c r="C15" s="279"/>
      <c r="D15" s="279"/>
      <c r="E15" s="279"/>
    </row>
    <row r="16" spans="1:5" ht="16.5" thickBot="1">
      <c r="A16" s="279"/>
      <c r="B16" s="279"/>
      <c r="C16" s="279"/>
      <c r="D16" s="279"/>
      <c r="E16" s="279"/>
    </row>
    <row r="18" spans="1:8" ht="18.75" customHeight="1">
      <c r="A18" s="277" t="s">
        <v>244</v>
      </c>
      <c r="B18" s="277"/>
      <c r="C18" s="277"/>
      <c r="D18" s="124" t="s">
        <v>133</v>
      </c>
      <c r="E18" s="124"/>
    </row>
    <row r="19" spans="1:8" ht="18.75" customHeight="1">
      <c r="A19" s="277"/>
      <c r="B19" s="277"/>
      <c r="C19" s="277"/>
      <c r="D19" s="124" t="s">
        <v>243</v>
      </c>
      <c r="E19" s="124"/>
    </row>
    <row r="20" spans="1:8" ht="29.25" customHeight="1">
      <c r="A20" s="277" t="s">
        <v>245</v>
      </c>
      <c r="B20" s="277"/>
      <c r="C20" s="277"/>
      <c r="D20" s="124" t="s">
        <v>133</v>
      </c>
      <c r="E20" s="124"/>
    </row>
    <row r="21" spans="1:8" ht="29.25" customHeight="1">
      <c r="A21" s="277"/>
      <c r="B21" s="277"/>
      <c r="C21" s="277"/>
      <c r="D21" s="124" t="s">
        <v>243</v>
      </c>
      <c r="E21" s="124"/>
    </row>
    <row r="23" spans="1:8" ht="15.75" customHeight="1">
      <c r="A23" s="278" t="s">
        <v>246</v>
      </c>
      <c r="B23" s="278"/>
      <c r="C23" s="278"/>
      <c r="D23" s="278"/>
      <c r="E23" s="278"/>
    </row>
    <row r="24" spans="1:8" ht="16.5" thickBot="1">
      <c r="A24" s="279"/>
      <c r="B24" s="279"/>
      <c r="C24" s="279"/>
      <c r="D24" s="279"/>
      <c r="E24" s="279"/>
    </row>
    <row r="25" spans="1:8" ht="16.5" thickBot="1">
      <c r="A25" s="279"/>
      <c r="B25" s="279"/>
      <c r="C25" s="279"/>
      <c r="D25" s="279"/>
      <c r="E25" s="279"/>
    </row>
    <row r="26" spans="1:8" ht="16.5" thickBot="1">
      <c r="A26" s="279"/>
      <c r="B26" s="279"/>
      <c r="C26" s="279"/>
      <c r="D26" s="279"/>
      <c r="E26" s="279"/>
    </row>
    <row r="28" spans="1:8" ht="78.75" customHeight="1">
      <c r="A28" s="276" t="s">
        <v>247</v>
      </c>
      <c r="B28" s="276"/>
      <c r="C28" s="276"/>
      <c r="D28" s="276"/>
      <c r="E28" s="276"/>
    </row>
    <row r="30" spans="1:8" ht="33" customHeight="1">
      <c r="A30" s="276" t="s">
        <v>248</v>
      </c>
      <c r="B30" s="276"/>
      <c r="C30" s="276"/>
      <c r="D30" s="276"/>
      <c r="E30" s="276"/>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3" t="str">
        <f>""&amp;'Общие данные'!B147&amp;"ning
"&amp;'Общие данные'!A150&amp;""</f>
        <v>«CLEVER MIKROMOLIYA TASHKILOTI» MChJning
Buxoro filiali boshlig'i</v>
      </c>
      <c r="D1" s="293"/>
    </row>
    <row r="2" spans="1:4">
      <c r="C2" s="13"/>
      <c r="D2" s="14" t="str">
        <f>""&amp;'Общие данные'!B150&amp;"ga"</f>
        <v>A.Xudayberdiyevga</v>
      </c>
    </row>
    <row r="4" spans="1:4">
      <c r="A4" s="292" t="str">
        <f>""&amp;'Общие данные'!C64&amp;" olish uchun Ariza"</f>
        <v>Mikroqarz olish uchun Ariza</v>
      </c>
      <c r="B4" s="292"/>
      <c r="C4" s="292"/>
      <c r="D4" s="292"/>
    </row>
    <row r="5" spans="1:4">
      <c r="A5" s="292"/>
      <c r="B5" s="292"/>
      <c r="C5" s="292"/>
      <c r="D5" s="292"/>
    </row>
    <row r="6" spans="1:4" ht="60" customHeight="1">
      <c r="A6" s="294"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4"/>
      <c r="C6" s="294"/>
      <c r="D6" s="294"/>
    </row>
    <row r="7" spans="1:4" ht="15.75" customHeight="1">
      <c r="A7" s="294" t="str">
        <f>"Tug'ilgan kuni: "&amp;'Общие данные'!B15&amp;""</f>
        <v>Tug'ilgan kuni: 14.09.1989 y</v>
      </c>
      <c r="B7" s="294"/>
      <c r="C7" s="294"/>
      <c r="D7" s="294"/>
    </row>
    <row r="8" spans="1:4" ht="33" customHeight="1">
      <c r="A8" s="294" t="str">
        <f>"Pasport seriyasi: "&amp;'Общие данные'!B16&amp;" "&amp;'Общие данные'!B20&amp;""</f>
        <v>Pasport seriyasi: AA 9481167 BUXORO VILOYATI BUXORO SHAHAR IIB tomonidan 24.04.2015 yilda berilgan</v>
      </c>
      <c r="B8" s="294"/>
      <c r="C8" s="294"/>
      <c r="D8" s="294"/>
    </row>
    <row r="9" spans="1:4" ht="16.5" customHeight="1">
      <c r="A9" s="294" t="str">
        <f>"Asosiy ish joyi : "&amp;'Общие данные'!B58&amp;""</f>
        <v>Asosiy ish joyi : Yakka tartibdagi tadbirkor</v>
      </c>
      <c r="B9" s="294"/>
      <c r="C9" s="294"/>
      <c r="D9" s="294"/>
    </row>
    <row r="10" spans="1:4" ht="15.75" customHeight="1">
      <c r="A10" s="294" t="str">
        <f>"Lavozimi: "&amp;'Общие данные'!B59&amp;""</f>
        <v>Lavozimi: Yakka tartibdagi tadbirkor</v>
      </c>
      <c r="B10" s="294"/>
      <c r="C10" s="294"/>
      <c r="D10" s="294"/>
    </row>
    <row r="11" spans="1:4">
      <c r="A11" s="294" t="str">
        <f>"O’rtacha oylik daromadi: "&amp;FIXED('Общие данные'!B60,2)&amp;" so'm."</f>
        <v>O’rtacha oylik daromadi: 10 000 000,00 so'm.</v>
      </c>
      <c r="B11" s="294"/>
      <c r="C11" s="294"/>
      <c r="D11" s="294"/>
    </row>
    <row r="12" spans="1:4">
      <c r="A12" s="294" t="str">
        <f>"Menga quyidagi shartlarda "&amp;'Общие данные'!B65&amp;" berishingizni so’rayman:"</f>
        <v>Menga quyidagi shartlarda mikroqarz berishingizni so’rayman:</v>
      </c>
      <c r="B12" s="294"/>
      <c r="C12" s="294"/>
      <c r="D12" s="294"/>
    </row>
    <row r="13" spans="1:4">
      <c r="A13" s="294" t="str">
        <f>""&amp;'Общие данные'!C64&amp;" summasi: "&amp;FIXED('Общие данные'!B75,2)&amp;" ("&amp;'Общие данные'!B76&amp;") so'm."</f>
        <v>Mikroqarz summasi: 27 000 000,00 (yigirma yetti million so'm) so'm.</v>
      </c>
      <c r="B13" s="294"/>
      <c r="C13" s="294"/>
      <c r="D13" s="294"/>
    </row>
    <row r="14" spans="1:4">
      <c r="A14" s="294" t="str">
        <f>""&amp;'Общие данные'!C64&amp;" muddati: "&amp;'Общие данные'!B81&amp;" ("&amp;'Общие данные'!B82&amp;") oy."</f>
        <v>Mikroqarz muddati: 36 (o'ttiz olti) oy.</v>
      </c>
      <c r="B14" s="294"/>
      <c r="C14" s="294"/>
      <c r="D14" s="294"/>
    </row>
    <row r="15" spans="1:4" ht="17.25" customHeight="1">
      <c r="A15" s="294" t="str">
        <f>""&amp;'Общие данные'!C64&amp;"dan foydalanganlik uchun foiz stavkasi: yillik  "&amp;'Общие данные'!B85&amp;"% ("&amp;'Общие данные'!B86&amp;") foiz"</f>
        <v>Mikroqarzdan foydalanganlik uchun foiz stavkasi: yillik  60% (Oltmish) foiz</v>
      </c>
      <c r="B15" s="294"/>
      <c r="C15" s="294"/>
      <c r="D15" s="294"/>
    </row>
    <row r="16" spans="1:4">
      <c r="A16" s="294" t="str">
        <f>""&amp;'Общие данные'!C64&amp;" bo'yicha asosiy qarz va foizlarni to'lash:"</f>
        <v>Mikroqarz bo'yicha asosiy qarz va foizlarni to'lash:</v>
      </c>
      <c r="B16" s="294"/>
      <c r="C16" s="294"/>
      <c r="D16" s="294"/>
    </row>
    <row r="17" spans="1:5" ht="20.25" hidden="1" customHeight="1">
      <c r="A17" s="295" t="str">
        <f>" - "&amp;'Общие данные'!B65&amp;" shartnomasi bo'yicha har oy differensial to'lovlari amalga oshiriladi"</f>
        <v xml:space="preserve"> - mikroqarz shartnomasi bo'yicha har oy differensial to'lovlari amalga oshiriladi</v>
      </c>
      <c r="B17" s="295"/>
      <c r="C17" s="295"/>
      <c r="D17" s="295"/>
    </row>
    <row r="18" spans="1:5" ht="33.75" hidden="1" customHeight="1">
      <c r="A18" s="295" t="str">
        <f>" - "&amp;'Общие данные'!B65&amp;" shartnomasi bo'yicha har oy annuitet to'lovlari amalga oshiriladi"</f>
        <v xml:space="preserve"> - mikroqarz shartnomasi bo'yicha har oy annuitet to'lovlari amalga oshiriladi</v>
      </c>
      <c r="B18" s="295"/>
      <c r="C18" s="295"/>
      <c r="D18" s="295"/>
    </row>
    <row r="19" spans="1:5" ht="33.75" customHeight="1">
      <c r="A19" s="295"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5"/>
      <c r="C19" s="295"/>
      <c r="D19" s="295"/>
    </row>
    <row r="20" spans="1:5" ht="33.75" hidden="1" customHeight="1">
      <c r="A20" s="294" t="str">
        <f>IF(DAY('Общие данные'!E67)&lt;15,"   ","  Oxirgi yakuniy to'lov "&amp;'Общие данные'!B65&amp;" shartnomasi tuzilgan kundan boshlab oxirgi oyning oxirgi kunida amalga oshiriladi")</f>
        <v xml:space="preserve">   </v>
      </c>
      <c r="B20" s="294"/>
      <c r="C20" s="294"/>
      <c r="D20" s="294"/>
    </row>
    <row r="21" spans="1:5">
      <c r="A21" s="294" t="str">
        <f>""&amp;'Общие данные'!C64&amp;" ta’minoti::"</f>
        <v>Mikroqarz ta’minoti::</v>
      </c>
      <c r="B21" s="294"/>
      <c r="C21" s="294"/>
      <c r="D21" s="294"/>
    </row>
    <row r="22" spans="1:5" ht="72.75" customHeight="1">
      <c r="A22" s="295"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5"/>
      <c r="C22" s="295"/>
      <c r="D22" s="295"/>
    </row>
    <row r="23" spans="1:5" ht="79.5" hidden="1" customHeight="1">
      <c r="A23" s="295"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5"/>
      <c r="C23" s="295"/>
      <c r="D23" s="295"/>
    </row>
    <row r="24" spans="1:5" ht="96.75" hidden="1" customHeight="1">
      <c r="A24" s="295"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5"/>
      <c r="C24" s="295"/>
      <c r="D24" s="295"/>
      <c r="E24" s="154"/>
    </row>
    <row r="25" spans="1:5" ht="92.25" hidden="1" customHeight="1">
      <c r="A25" s="295"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5"/>
      <c r="C25" s="295"/>
      <c r="D25" s="295"/>
    </row>
    <row r="26" spans="1:5" ht="78" hidden="1" customHeight="1">
      <c r="A26" s="295"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5"/>
      <c r="C26" s="295"/>
      <c r="D26" s="295"/>
    </row>
    <row r="27" spans="1:5" ht="93" hidden="1" customHeight="1">
      <c r="A27" s="295"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5"/>
      <c r="C27" s="295"/>
      <c r="D27" s="295"/>
    </row>
    <row r="28" spans="1:5" ht="93.75" hidden="1" customHeight="1">
      <c r="A28" s="295"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5"/>
      <c r="C28" s="295"/>
      <c r="D28" s="295"/>
    </row>
    <row r="29" spans="1:5" ht="10.5" customHeight="1">
      <c r="A29" s="294"/>
      <c r="B29" s="294"/>
      <c r="C29" s="294"/>
      <c r="D29" s="294"/>
    </row>
    <row r="30" spans="1:5" ht="53.25" customHeight="1">
      <c r="A30" s="295"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5"/>
      <c r="C30" s="295"/>
      <c r="D30" s="295"/>
    </row>
    <row r="31" spans="1:5" ht="15.75" customHeight="1">
      <c r="A31" s="295" t="s">
        <v>249</v>
      </c>
      <c r="B31" s="295"/>
      <c r="C31" s="295"/>
      <c r="D31" s="295"/>
    </row>
    <row r="32" spans="1:5">
      <c r="A32" s="295" t="s">
        <v>250</v>
      </c>
      <c r="B32" s="295"/>
      <c r="C32" s="295"/>
      <c r="D32" s="295"/>
    </row>
    <row r="33" spans="1:4">
      <c r="A33" s="295" t="s">
        <v>251</v>
      </c>
      <c r="B33" s="295"/>
      <c r="C33" s="295"/>
      <c r="D33" s="295"/>
    </row>
    <row r="34" spans="1:4">
      <c r="A34" s="294" t="str">
        <f>"Ariza berilgan sana: "&amp;TEXT('Общие данные'!B2,"ДД.ММ.ГГГГ")&amp;"y."</f>
        <v>Ariza berilgan sana: 11.03.2025y.</v>
      </c>
      <c r="B34" s="294"/>
      <c r="C34" s="294"/>
      <c r="D34" s="294"/>
    </row>
    <row r="35" spans="1:4">
      <c r="A35" s="294"/>
      <c r="B35" s="294"/>
      <c r="C35" s="294"/>
      <c r="D35" s="294"/>
    </row>
    <row r="36" spans="1:4">
      <c r="A36" s="294" t="s">
        <v>252</v>
      </c>
      <c r="B36" s="294"/>
      <c r="C36" s="294"/>
      <c r="D36" s="294"/>
    </row>
    <row r="37" spans="1:4">
      <c r="A37" s="294"/>
      <c r="B37" s="294"/>
      <c r="C37" s="294"/>
      <c r="D37" s="294"/>
    </row>
    <row r="38" spans="1:4">
      <c r="A38" s="294"/>
      <c r="B38" s="294"/>
      <c r="C38" s="294"/>
      <c r="D38" s="294"/>
    </row>
    <row r="39" spans="1:4" ht="15.75" customHeight="1">
      <c r="A39" s="296" t="str">
        <f>'Общие данные'!B5</f>
        <v>NUTFULLAYEV AKBARJON AXMEDOVICH</v>
      </c>
      <c r="B39" s="296"/>
      <c r="C39" s="296"/>
      <c r="D39" s="11" t="s">
        <v>4</v>
      </c>
    </row>
    <row r="40" spans="1:4">
      <c r="A40" s="10"/>
      <c r="B40" s="10"/>
      <c r="D40" s="12" t="s">
        <v>333</v>
      </c>
    </row>
    <row r="41" spans="1:4">
      <c r="A41" s="294"/>
      <c r="B41" s="294"/>
      <c r="C41" s="294"/>
      <c r="D41" s="294"/>
    </row>
    <row r="42" spans="1:4">
      <c r="A42" s="294"/>
      <c r="B42" s="294"/>
      <c r="C42" s="294"/>
      <c r="D42" s="294"/>
    </row>
    <row r="43" spans="1:4">
      <c r="A43" s="294"/>
      <c r="B43" s="294"/>
      <c r="C43" s="294"/>
      <c r="D43" s="294"/>
    </row>
    <row r="44" spans="1:4">
      <c r="A44" s="294"/>
      <c r="B44" s="294"/>
      <c r="C44" s="294"/>
      <c r="D44" s="294"/>
    </row>
    <row r="45" spans="1:4">
      <c r="A45" s="294"/>
      <c r="B45" s="294"/>
      <c r="C45" s="294"/>
      <c r="D45" s="294"/>
    </row>
    <row r="46" spans="1:4">
      <c r="A46" s="294"/>
      <c r="B46" s="294"/>
      <c r="C46" s="294"/>
      <c r="D46" s="294"/>
    </row>
    <row r="47" spans="1:4">
      <c r="A47" s="294"/>
      <c r="B47" s="294"/>
      <c r="C47" s="294"/>
      <c r="D47" s="294"/>
    </row>
    <row r="48" spans="1:4">
      <c r="A48" s="294"/>
      <c r="B48" s="294"/>
      <c r="C48" s="294"/>
      <c r="D48" s="294"/>
    </row>
    <row r="49" spans="1:4">
      <c r="A49" s="294"/>
      <c r="B49" s="294"/>
      <c r="C49" s="294"/>
      <c r="D49" s="294"/>
    </row>
    <row r="50" spans="1:4">
      <c r="A50" s="294"/>
      <c r="B50" s="294"/>
      <c r="C50" s="294"/>
      <c r="D50" s="294"/>
    </row>
    <row r="51" spans="1:4">
      <c r="A51" s="294"/>
      <c r="B51" s="294"/>
      <c r="C51" s="294"/>
      <c r="D51" s="294"/>
    </row>
    <row r="52" spans="1:4">
      <c r="A52" s="294"/>
      <c r="B52" s="294"/>
      <c r="C52" s="294"/>
      <c r="D52" s="294"/>
    </row>
    <row r="53" spans="1:4">
      <c r="A53" s="294"/>
      <c r="B53" s="294"/>
      <c r="C53" s="294"/>
      <c r="D53" s="294"/>
    </row>
    <row r="54" spans="1:4">
      <c r="A54" s="294"/>
      <c r="B54" s="294"/>
      <c r="C54" s="294"/>
      <c r="D54" s="294"/>
    </row>
    <row r="55" spans="1:4">
      <c r="A55" s="294"/>
      <c r="B55" s="294"/>
      <c r="C55" s="294"/>
      <c r="D55" s="294"/>
    </row>
    <row r="56" spans="1:4">
      <c r="A56" s="294"/>
      <c r="B56" s="294"/>
      <c r="C56" s="294"/>
      <c r="D56" s="294"/>
    </row>
    <row r="57" spans="1:4">
      <c r="A57" s="294"/>
      <c r="B57" s="294"/>
      <c r="C57" s="294"/>
      <c r="D57" s="294"/>
    </row>
    <row r="58" spans="1:4">
      <c r="A58" s="294"/>
      <c r="B58" s="294"/>
      <c r="C58" s="294"/>
      <c r="D58" s="294"/>
    </row>
    <row r="59" spans="1:4">
      <c r="A59" s="294"/>
      <c r="B59" s="294"/>
      <c r="C59" s="294"/>
      <c r="D59" s="294"/>
    </row>
    <row r="60" spans="1:4">
      <c r="A60" s="294"/>
      <c r="B60" s="294"/>
      <c r="C60" s="294"/>
      <c r="D60" s="294"/>
    </row>
    <row r="61" spans="1:4">
      <c r="A61" s="294"/>
      <c r="B61" s="294"/>
      <c r="C61" s="294"/>
      <c r="D61" s="294"/>
    </row>
    <row r="62" spans="1:4">
      <c r="A62" s="294"/>
      <c r="B62" s="294"/>
      <c r="C62" s="294"/>
      <c r="D62" s="294"/>
    </row>
    <row r="63" spans="1:4">
      <c r="A63" s="294"/>
      <c r="B63" s="294"/>
      <c r="C63" s="294"/>
      <c r="D63" s="294"/>
    </row>
    <row r="64" spans="1:4">
      <c r="A64" s="294"/>
      <c r="B64" s="294"/>
      <c r="C64" s="294"/>
      <c r="D64" s="294"/>
    </row>
    <row r="65" spans="1:4">
      <c r="A65" s="294"/>
      <c r="B65" s="294"/>
      <c r="C65" s="294"/>
      <c r="D65" s="294"/>
    </row>
    <row r="66" spans="1:4">
      <c r="A66" s="294"/>
      <c r="B66" s="294"/>
      <c r="C66" s="294"/>
      <c r="D66" s="294"/>
    </row>
    <row r="67" spans="1:4">
      <c r="A67" s="294"/>
      <c r="B67" s="294"/>
      <c r="C67" s="294"/>
      <c r="D67" s="294"/>
    </row>
    <row r="68" spans="1:4">
      <c r="A68" s="294"/>
      <c r="B68" s="294"/>
      <c r="C68" s="294"/>
      <c r="D68" s="294"/>
    </row>
    <row r="69" spans="1:4">
      <c r="A69" s="294"/>
      <c r="B69" s="294"/>
      <c r="C69" s="294"/>
      <c r="D69" s="294"/>
    </row>
    <row r="70" spans="1:4">
      <c r="A70" s="294"/>
      <c r="B70" s="294"/>
      <c r="C70" s="294"/>
      <c r="D70" s="294"/>
    </row>
    <row r="71" spans="1:4">
      <c r="A71" s="294"/>
      <c r="B71" s="294"/>
      <c r="C71" s="294"/>
      <c r="D71" s="294"/>
    </row>
    <row r="72" spans="1:4">
      <c r="A72" s="294"/>
      <c r="B72" s="294"/>
      <c r="C72" s="294"/>
      <c r="D72" s="294"/>
    </row>
    <row r="73" spans="1:4">
      <c r="A73" s="294"/>
      <c r="B73" s="294"/>
      <c r="C73" s="294"/>
      <c r="D73" s="294"/>
    </row>
    <row r="74" spans="1:4">
      <c r="A74" s="294"/>
      <c r="B74" s="294"/>
      <c r="C74" s="294"/>
      <c r="D74" s="294"/>
    </row>
    <row r="75" spans="1:4">
      <c r="A75" s="294"/>
      <c r="B75" s="294"/>
      <c r="C75" s="294"/>
      <c r="D75" s="294"/>
    </row>
    <row r="76" spans="1:4">
      <c r="A76" s="294"/>
      <c r="B76" s="294"/>
      <c r="C76" s="294"/>
      <c r="D76" s="294"/>
    </row>
    <row r="77" spans="1:4">
      <c r="A77" s="294"/>
      <c r="B77" s="294"/>
      <c r="C77" s="294"/>
      <c r="D77" s="294"/>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7" t="s">
        <v>215</v>
      </c>
      <c r="B3" s="297"/>
    </row>
    <row r="4" spans="1:2" ht="92.25" customHeight="1">
      <c r="A4" s="235"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-BR-sonli shartnomaning garov ta'minoti sifatida taqdim etilayotgan mulk CHANGAN CHANGAN SC 1027SB rusumli avtotransport vositasini qonunga xilof ravishda o‘zlashtirmaslikka, yashirmaslikka, nobud qilmaslikka yoki unga shikast yetkazmaslik majburiyatini olaman.</v>
      </c>
      <c r="B4" s="235"/>
    </row>
    <row r="5" spans="1:2" ht="56.25" customHeight="1">
      <c r="A5" s="298" t="s">
        <v>216</v>
      </c>
      <c r="B5" s="298"/>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1" zoomScaleSheetLayoutView="100" workbookViewId="0">
      <selection activeCell="A52" sqref="A52:E52"/>
    </sheetView>
  </sheetViews>
  <sheetFormatPr defaultColWidth="9.140625" defaultRowHeight="15" outlineLevelRow="1"/>
  <cols>
    <col min="1" max="1" width="23.7109375" style="15" customWidth="1"/>
    <col min="2" max="2" width="25.140625" style="15" customWidth="1"/>
    <col min="3" max="5" width="17" style="15" customWidth="1"/>
    <col min="6" max="16384" width="9.140625" style="15"/>
  </cols>
  <sheetData>
    <row r="1" spans="1:5" ht="36" customHeight="1">
      <c r="A1" s="262" t="str">
        <f>""&amp;'Общие данные'!B147&amp;"
mikromoliya tashkilotining Xulosasi"</f>
        <v>«CLEVER MIKROMOLIYA TASHKILOTI» MChJ
mikromoliya tashkilotining Xulosasi</v>
      </c>
      <c r="B1" s="262"/>
      <c r="C1" s="262"/>
      <c r="D1" s="262"/>
      <c r="E1" s="262"/>
    </row>
    <row r="2" spans="1:5">
      <c r="A2" s="235"/>
      <c r="B2" s="235"/>
      <c r="C2" s="235"/>
      <c r="D2" s="235"/>
      <c r="E2" s="235"/>
    </row>
    <row r="3" spans="1:5">
      <c r="A3" s="262" t="s">
        <v>204</v>
      </c>
      <c r="B3" s="262"/>
      <c r="C3" s="262"/>
      <c r="D3" s="262"/>
      <c r="E3" s="262"/>
    </row>
    <row r="4" spans="1:5" ht="19.5" customHeight="1">
      <c r="A4" s="235" t="str">
        <f>"Mijozning to'liq ismi sharifi: "&amp;'Общие данные'!B5&amp;""</f>
        <v>Mijozning to'liq ismi sharifi: NUTFULLAYEV AKBARJON AXMEDOVICH</v>
      </c>
      <c r="B4" s="235"/>
      <c r="C4" s="235"/>
      <c r="D4" s="235"/>
      <c r="E4" s="235"/>
    </row>
    <row r="5" spans="1:5">
      <c r="A5" s="235" t="str">
        <f>"Tug'ilgan sanasi: "&amp;'Общие данные'!B15&amp;""</f>
        <v>Tug'ilgan sanasi: 14.09.1989 y</v>
      </c>
      <c r="B5" s="235"/>
      <c r="C5" s="235"/>
      <c r="D5" s="235"/>
      <c r="E5" s="235"/>
    </row>
    <row r="6" spans="1:5" ht="31.5" customHeight="1">
      <c r="A6" s="235"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5"/>
      <c r="C6" s="235"/>
      <c r="D6" s="235"/>
      <c r="E6" s="235"/>
    </row>
    <row r="7" spans="1:5" ht="39.75" customHeight="1">
      <c r="A7" s="235" t="str">
        <f>"Ro‘yxatdan o‘tgan manzili: "&amp;'Общие данные'!B28&amp;", mo'ljal: "&amp;'Общие данные'!B26&amp;""</f>
        <v>Ro‘yxatdan o‘tgan manzili: BUXORO VILOYATI BUXORO SHAHAR TADBIRKOR KO'CHASI 12-UY, mo'ljal: GOR VODAKANAL</v>
      </c>
      <c r="B7" s="235"/>
      <c r="C7" s="235"/>
      <c r="D7" s="235"/>
      <c r="E7" s="235"/>
    </row>
    <row r="8" spans="1:5" ht="26.25" customHeight="1">
      <c r="A8" s="235" t="str">
        <f>"Ish joyi: "&amp;'Общие данные'!B52&amp;" lavozimi "&amp;'Общие данные'!B49&amp;"da "&amp;'Общие данные'!B44&amp;""</f>
        <v>Ish joyi:  lavozimi Yakka tartibdagi tadbirkorda Yakka tartibdagi tadbirkor</v>
      </c>
      <c r="B8" s="235"/>
      <c r="C8" s="235"/>
      <c r="D8" s="235"/>
      <c r="E8" s="235"/>
    </row>
    <row r="9" spans="1:5">
      <c r="A9" s="235"/>
      <c r="B9" s="235"/>
      <c r="C9" s="235"/>
      <c r="D9" s="235"/>
      <c r="E9" s="235"/>
    </row>
    <row r="10" spans="1:5">
      <c r="A10" s="262" t="str">
        <f>"Mijoz tomonidan so’ralgan "&amp;'Общие данные'!B65&amp;" shartlari:"</f>
        <v>Mijoz tomonidan so’ralgan mikroqarz shartlari:</v>
      </c>
      <c r="B10" s="262"/>
      <c r="C10" s="262"/>
      <c r="D10" s="262"/>
      <c r="E10" s="262"/>
    </row>
    <row r="11" spans="1:5">
      <c r="A11" s="235" t="str">
        <f>'Кредитная заявка'!A13:D13</f>
        <v>Mikroqarz summasi: 27 000 000,00 (yigirma yetti million so'm) so'm.</v>
      </c>
      <c r="B11" s="235"/>
      <c r="C11" s="235"/>
      <c r="D11" s="235"/>
      <c r="E11" s="235"/>
    </row>
    <row r="12" spans="1:5">
      <c r="A12" s="235" t="str">
        <f>'Кредитная заявка'!A14:D14</f>
        <v>Mikroqarz muddati: 36 (o'ttiz olti) oy.</v>
      </c>
      <c r="B12" s="235"/>
      <c r="C12" s="235"/>
      <c r="D12" s="235"/>
      <c r="E12" s="235"/>
    </row>
    <row r="13" spans="1:5">
      <c r="A13" s="235" t="str">
        <f>'Кредитная заявка'!A15:D15</f>
        <v>Mikroqarzdan foydalanganlik uchun foiz stavkasi: yillik  60% (Oltmish) foiz</v>
      </c>
      <c r="B13" s="235"/>
      <c r="C13" s="235"/>
      <c r="D13" s="235"/>
      <c r="E13" s="235"/>
    </row>
    <row r="14" spans="1:5">
      <c r="A14" s="235" t="str">
        <f>'Кредитная заявка'!A16:D16</f>
        <v>Mikroqarz bo'yicha asosiy qarz va foizlarni to'lash:</v>
      </c>
      <c r="B14" s="235"/>
      <c r="C14" s="235"/>
      <c r="D14" s="235"/>
      <c r="E14" s="235"/>
    </row>
    <row r="15" spans="1:5" ht="18.75" customHeight="1">
      <c r="A15" s="235" t="str">
        <f>'Кредитная заявка'!A19:D19</f>
        <v xml:space="preserve"> - mikroqarz shartnomasi bo'yicha har oy differensial to'lovlari amalga oshiriladi</v>
      </c>
      <c r="B15" s="235"/>
      <c r="C15" s="235"/>
      <c r="D15" s="235"/>
      <c r="E15" s="235"/>
    </row>
    <row r="16" spans="1:5" ht="14.25" customHeight="1">
      <c r="A16" s="238" t="str">
        <f>'Кредитная заявка'!A20:D20</f>
        <v xml:space="preserve">   </v>
      </c>
      <c r="B16" s="238"/>
      <c r="C16" s="238"/>
      <c r="D16" s="238"/>
      <c r="E16" s="238"/>
    </row>
    <row r="17" spans="1:5">
      <c r="A17" s="235" t="str">
        <f>'Кредитная заявка'!A21:D21</f>
        <v>Mikroqarz ta’minoti::</v>
      </c>
      <c r="B17" s="235"/>
      <c r="C17" s="235"/>
      <c r="D17" s="235"/>
      <c r="E17" s="235"/>
    </row>
    <row r="18" spans="1:5" ht="83.25" customHeight="1">
      <c r="A18" s="235"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5"/>
      <c r="C18" s="235"/>
      <c r="D18" s="235"/>
      <c r="E18" s="235"/>
    </row>
    <row r="19" spans="1:5">
      <c r="A19" s="262" t="s">
        <v>205</v>
      </c>
      <c r="B19" s="262"/>
      <c r="C19" s="262"/>
      <c r="D19" s="262"/>
      <c r="E19" s="262"/>
    </row>
    <row r="20" spans="1:5" ht="21" customHeight="1">
      <c r="A20" s="235" t="str">
        <f>"Anketaga muvofiq "&amp;'Общие данные'!B9&amp;"ning o‘rtacha oylik daromadi  "&amp;FIXED('Общие данные'!B60)&amp;" so‘mni tashkil etdi."</f>
        <v>Anketaga muvofiq NUTFULLAYEV A.A.ning o‘rtacha oylik daromadi  10 000 000,00 so‘mni tashkil etdi.</v>
      </c>
      <c r="B20" s="235"/>
      <c r="C20" s="235"/>
      <c r="D20" s="235"/>
      <c r="E20" s="235"/>
    </row>
    <row r="21" spans="1:5" ht="27" customHeight="1">
      <c r="A21" s="235" t="str">
        <f>"Mijozning o'rtacha oylik xarajatlari "&amp;FIXED('Анкета Клиента'!F27)&amp;" so'mni tashkil etdi"</f>
        <v>Mijozning o'rtacha oylik xarajatlari 1 650 000,00 so'mni tashkil etdi</v>
      </c>
      <c r="B21" s="235"/>
      <c r="C21" s="235"/>
      <c r="D21" s="235"/>
      <c r="E21" s="235"/>
    </row>
    <row r="22" spans="1:5" ht="24.75" customHeight="1">
      <c r="A22" s="235" t="str">
        <f>IF('Общие данные'!B77='Общие данные'!C77,'Заключение КК'!A23:E23,'Заключение КК'!A24:E24)</f>
        <v>Mikroqarz shartnomasi bo'yicha birinchi oy uchun to'lov 2 051 917,76 so'mni tashkil etadi.</v>
      </c>
      <c r="B22" s="235"/>
      <c r="C22" s="235"/>
      <c r="D22" s="235"/>
      <c r="E22" s="235"/>
    </row>
    <row r="23" spans="1:5" ht="19.5" hidden="1" customHeight="1">
      <c r="A23" s="235" t="str">
        <f>""&amp;'Общие данные'!C64&amp;" shartnomasi bo'yicha birinchi oy uchun to'lov "&amp;FIXED('Общие данные'!B90)&amp;" so'mni tashkil etadi."</f>
        <v>Mikroqarz shartnomasi bo'yicha birinchi oy uchun to'lov 2 051 917,76 so'mni tashkil etadi.</v>
      </c>
      <c r="B23" s="235"/>
      <c r="C23" s="235"/>
      <c r="D23" s="235"/>
      <c r="E23" s="235"/>
    </row>
    <row r="24" spans="1:5" ht="19.5" hidden="1" customHeight="1">
      <c r="A24" s="235" t="str">
        <f>""&amp;'Общие данные'!C64&amp;" bo‘yicha oylik "&amp;'Общие данные'!B77&amp;" to‘lovi miqdori "&amp;FIXED('Общие данные'!B90)&amp;" so‘mni tashkil etadi."</f>
        <v>Mikroqarz bo‘yicha oylik differensial to‘lovi miqdori 2 051 917,76 so‘mni tashkil etadi.</v>
      </c>
      <c r="B24" s="235"/>
      <c r="C24" s="235"/>
      <c r="D24" s="235"/>
      <c r="E24" s="235"/>
    </row>
    <row r="25" spans="1:5" ht="56.25" hidden="1" customHeight="1">
      <c r="A25" s="238" t="s">
        <v>400</v>
      </c>
      <c r="B25" s="238"/>
      <c r="C25" s="238"/>
      <c r="D25" s="238"/>
      <c r="E25" s="238"/>
    </row>
    <row r="26" spans="1:5">
      <c r="A26" s="262" t="str">
        <f>""&amp;'Общие данные'!C64&amp;" bo’yicha ta’minot:"</f>
        <v>Mikroqarz bo’yicha ta’minot:</v>
      </c>
      <c r="B26" s="262"/>
      <c r="C26" s="262"/>
      <c r="D26" s="262"/>
      <c r="E26" s="262"/>
    </row>
    <row r="27" spans="1:5" ht="31.5" hidden="1" customHeight="1">
      <c r="A27" s="235"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5"/>
      <c r="C27" s="235"/>
      <c r="D27" s="235"/>
      <c r="E27" s="235"/>
    </row>
    <row r="28" spans="1:5" ht="67.5" hidden="1" customHeight="1">
      <c r="A28" s="235"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5"/>
      <c r="C28" s="235"/>
      <c r="D28" s="235"/>
      <c r="E28" s="235"/>
    </row>
    <row r="29" spans="1:5" ht="44.25" customHeight="1">
      <c r="A29" s="235"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5"/>
      <c r="C29" s="235"/>
      <c r="D29" s="235"/>
      <c r="E29" s="235"/>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5" t="str">
        <f>'Акт согласования'!A22</f>
        <v>-* avtotransport egasi: NUTFULLAYEV AKBARJON AXMEDOVICH</v>
      </c>
      <c r="B32" s="235"/>
      <c r="C32" s="235"/>
      <c r="D32" s="235"/>
      <c r="E32" s="235"/>
    </row>
    <row r="33" spans="1:5" ht="15" customHeight="1" outlineLevel="1">
      <c r="A33" s="235" t="str">
        <f>'Акт согласования'!A23</f>
        <v>-* texnik pasport: AAG   2346592  13.09.2023y</v>
      </c>
      <c r="B33" s="235"/>
      <c r="C33" s="235"/>
      <c r="D33" s="235"/>
      <c r="E33" s="235"/>
    </row>
    <row r="34" spans="1:5" ht="33" customHeight="1" outlineLevel="1">
      <c r="A34" s="235" t="str">
        <f>'Акт согласования'!A24</f>
        <v>-* roʻyxatdan oʻtgan manzili/garaj manzili: BUXORO VILOYATI BUXORO SHAHAR TADBIRKOR KO'CHASI 12-UY</v>
      </c>
      <c r="B34" s="235"/>
      <c r="C34" s="235"/>
      <c r="D34" s="235"/>
      <c r="E34" s="235"/>
    </row>
    <row r="35" spans="1:5" ht="15" customHeight="1" outlineLevel="1">
      <c r="A35" s="235" t="str">
        <f>'Акт согласования'!A25</f>
        <v>-* davlat raqami: 80T312WA</v>
      </c>
      <c r="B35" s="235"/>
      <c r="C35" s="235"/>
      <c r="D35" s="235"/>
      <c r="E35" s="235"/>
    </row>
    <row r="36" spans="1:5" ht="9" customHeight="1">
      <c r="A36" s="235"/>
      <c r="B36" s="235"/>
      <c r="C36" s="235"/>
      <c r="D36" s="235"/>
      <c r="E36" s="235"/>
    </row>
    <row r="37" spans="1:5" ht="39" customHeight="1">
      <c r="A37" s="262" t="str">
        <f>""&amp;'Общие данные'!B147&amp;"
mikromoliya tashkilotining Xulosasi"</f>
        <v>«CLEVER MIKROMOLIYA TASHKILOTI» MChJ
mikromoliya tashkilotining Xulosasi</v>
      </c>
      <c r="B37" s="262"/>
      <c r="C37" s="262"/>
      <c r="D37" s="262"/>
      <c r="E37" s="262"/>
    </row>
    <row r="38" spans="1:5" ht="48" customHeight="1">
      <c r="A38" s="235"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5"/>
      <c r="C38" s="235"/>
      <c r="D38" s="235"/>
      <c r="E38" s="235"/>
    </row>
    <row r="39" spans="1:5">
      <c r="A39" s="235" t="str">
        <f>A11</f>
        <v>Mikroqarz summasi: 27 000 000,00 (yigirma yetti million so'm) so'm.</v>
      </c>
      <c r="B39" s="235"/>
      <c r="C39" s="235"/>
      <c r="D39" s="235"/>
      <c r="E39" s="235"/>
    </row>
    <row r="40" spans="1:5">
      <c r="A40" s="235" t="str">
        <f t="shared" ref="A40:A46" si="0">A12</f>
        <v>Mikroqarz muddati: 36 (o'ttiz olti) oy.</v>
      </c>
      <c r="B40" s="235"/>
      <c r="C40" s="235"/>
      <c r="D40" s="235"/>
      <c r="E40" s="235"/>
    </row>
    <row r="41" spans="1:5">
      <c r="A41" s="235" t="str">
        <f t="shared" si="0"/>
        <v>Mikroqarzdan foydalanganlik uchun foiz stavkasi: yillik  60% (Oltmish) foiz</v>
      </c>
      <c r="B41" s="235"/>
      <c r="C41" s="235"/>
      <c r="D41" s="235"/>
      <c r="E41" s="235"/>
    </row>
    <row r="42" spans="1:5">
      <c r="A42" s="235" t="str">
        <f t="shared" si="0"/>
        <v>Mikroqarz bo'yicha asosiy qarz va foizlarni to'lash:</v>
      </c>
      <c r="B42" s="235"/>
      <c r="C42" s="235"/>
      <c r="D42" s="235"/>
      <c r="E42" s="235"/>
    </row>
    <row r="43" spans="1:5" ht="20.25" customHeight="1">
      <c r="A43" s="235" t="str">
        <f t="shared" si="0"/>
        <v xml:space="preserve"> - mikroqarz shartnomasi bo'yicha har oy differensial to'lovlari amalga oshiriladi</v>
      </c>
      <c r="B43" s="235"/>
      <c r="C43" s="235"/>
      <c r="D43" s="235"/>
      <c r="E43" s="235"/>
    </row>
    <row r="44" spans="1:5" ht="26.25" customHeight="1">
      <c r="A44" s="235" t="str">
        <f t="shared" si="0"/>
        <v xml:space="preserve">   </v>
      </c>
      <c r="B44" s="235"/>
      <c r="C44" s="235"/>
      <c r="D44" s="235"/>
      <c r="E44" s="235"/>
    </row>
    <row r="45" spans="1:5">
      <c r="A45" s="235" t="str">
        <f t="shared" si="0"/>
        <v>Mikroqarz ta’minoti::</v>
      </c>
      <c r="B45" s="235"/>
      <c r="C45" s="235"/>
      <c r="D45" s="235"/>
      <c r="E45" s="235"/>
    </row>
    <row r="46" spans="1:5" ht="72" customHeight="1">
      <c r="A46" s="235"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5"/>
      <c r="C46" s="235"/>
      <c r="D46" s="235"/>
      <c r="E46" s="235"/>
    </row>
    <row r="47" spans="1:5">
      <c r="A47" s="235"/>
      <c r="B47" s="235"/>
      <c r="C47" s="235"/>
      <c r="D47" s="235"/>
      <c r="E47" s="235"/>
    </row>
    <row r="48" spans="1:5" ht="36.75" customHeight="1">
      <c r="A48" s="235" t="str">
        <f>""&amp;'Общие данные'!B147&amp;" mikromoliya tashkilotining xulosasi  "&amp;TEXT('Общие данные'!B2,"ДД.ММ.ГГГГ")&amp;" y. tayyorlangan"</f>
        <v>«CLEVER MIKROMOLIYA TASHKILOTI» MChJ mikromoliya tashkilotining xulosasi  11.03.2025 y. tayyorlangan</v>
      </c>
      <c r="B48" s="235"/>
      <c r="C48" s="235"/>
      <c r="D48" s="235"/>
      <c r="E48" s="235"/>
    </row>
    <row r="49" spans="1:5">
      <c r="A49" s="235"/>
      <c r="B49" s="235"/>
      <c r="C49" s="235"/>
      <c r="D49" s="235"/>
      <c r="E49" s="235"/>
    </row>
    <row r="50" spans="1:5" ht="15.75" customHeight="1">
      <c r="A50" s="238"/>
      <c r="B50" s="238"/>
      <c r="C50" s="238"/>
      <c r="D50" s="22"/>
      <c r="E50" s="23"/>
    </row>
    <row r="51" spans="1:5" ht="46.5" customHeight="1">
      <c r="A51" s="132" t="str">
        <f>'Общие данные'!A150</f>
        <v>Buxoro filiali boshlig'i</v>
      </c>
      <c r="B51" s="227"/>
      <c r="C51" s="227"/>
      <c r="D51" s="132" t="str">
        <f>'Общие данные'!B150</f>
        <v>A.Xudayberdiyev</v>
      </c>
      <c r="E51" s="23"/>
    </row>
    <row r="52" spans="1:5" ht="16.5" customHeight="1">
      <c r="A52" s="235"/>
      <c r="B52" s="235"/>
      <c r="C52" s="235"/>
      <c r="D52" s="235"/>
      <c r="E52" s="235"/>
    </row>
    <row r="53" spans="1:5" ht="48" customHeight="1">
      <c r="A53" s="235"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5"/>
      <c r="C53" s="235"/>
      <c r="D53" s="235"/>
      <c r="E53" s="235"/>
    </row>
    <row r="54" spans="1:5" s="221" customFormat="1">
      <c r="A54" s="228"/>
      <c r="B54" s="228"/>
      <c r="C54" s="228"/>
      <c r="D54" s="228"/>
      <c r="E54" s="228"/>
    </row>
    <row r="55" spans="1:5" s="221" customFormat="1">
      <c r="A55" s="230" t="s">
        <v>433</v>
      </c>
      <c r="B55" s="231"/>
      <c r="C55" s="228"/>
      <c r="D55" s="226" t="s">
        <v>432</v>
      </c>
      <c r="E55" s="231"/>
    </row>
    <row r="56" spans="1:5" s="221" customFormat="1" ht="21" customHeight="1">
      <c r="A56" s="230"/>
      <c r="B56" s="228"/>
      <c r="C56" s="228"/>
      <c r="D56" s="356"/>
      <c r="E56" s="231"/>
    </row>
    <row r="57" spans="1:5" s="221" customFormat="1" ht="24.75" customHeight="1">
      <c r="A57" s="230" t="str">
        <f>'[3]Общие данные'!A159</f>
        <v>Kreditlash bo’limi boshlig’i</v>
      </c>
      <c r="B57" s="231"/>
      <c r="C57" s="231"/>
      <c r="D57" s="226" t="s">
        <v>434</v>
      </c>
      <c r="E57" s="231"/>
    </row>
    <row r="58" spans="1:5" s="221" customFormat="1">
      <c r="A58" s="230"/>
      <c r="B58" s="229"/>
      <c r="C58" s="231"/>
      <c r="D58" s="226"/>
      <c r="E58" s="231"/>
    </row>
    <row r="59" spans="1:5" s="221" customFormat="1" ht="30.75" customHeight="1">
      <c r="A59" s="230" t="str">
        <f>'[3]Общие данные'!A160</f>
        <v>Monitoring bo’limi boshlig’i</v>
      </c>
      <c r="B59" s="231"/>
      <c r="C59" s="231"/>
      <c r="D59" s="226" t="s">
        <v>435</v>
      </c>
      <c r="E59" s="231"/>
    </row>
  </sheetData>
  <mergeCells count="50">
    <mergeCell ref="A53:E53"/>
    <mergeCell ref="A48:E48"/>
    <mergeCell ref="A49:E49"/>
    <mergeCell ref="A50:C50"/>
    <mergeCell ref="A52:E52"/>
    <mergeCell ref="A43:E43"/>
    <mergeCell ref="A44:E44"/>
    <mergeCell ref="A45:E45"/>
    <mergeCell ref="A46:E46"/>
    <mergeCell ref="A47:E47"/>
    <mergeCell ref="A38:E38"/>
    <mergeCell ref="A39:E39"/>
    <mergeCell ref="A40:E40"/>
    <mergeCell ref="A41:E41"/>
    <mergeCell ref="A42:E42"/>
    <mergeCell ref="A33:E33"/>
    <mergeCell ref="A34:E34"/>
    <mergeCell ref="A35:E35"/>
    <mergeCell ref="A36:E36"/>
    <mergeCell ref="A37:E37"/>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52"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99" t="str">
        <f>""&amp;'Общие данные'!C64&amp;" shartnoma "&amp;'Общие данные'!B66&amp;""</f>
        <v>Mikroqarz shartnoma № -BR</v>
      </c>
      <c r="B1" s="299"/>
    </row>
    <row r="3" spans="1:3">
      <c r="A3" s="299" t="str">
        <f>"Toshkent shahri                                                                               "&amp;'Общие данные'!B70&amp;""</f>
        <v>Toshkent shahri                                                                               11 mart 2025 y.</v>
      </c>
      <c r="B3" s="299"/>
    </row>
    <row r="4" spans="1:3">
      <c r="A4" s="66"/>
    </row>
    <row r="5" spans="1:3" ht="132.75" customHeight="1">
      <c r="A5" s="300"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Buxoro filiali boshlig'i A.Xudayberdiyev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0"/>
    </row>
    <row r="7" spans="1:3">
      <c r="A7" s="299" t="s">
        <v>264</v>
      </c>
      <c r="B7" s="299"/>
    </row>
    <row r="8" spans="1:3" ht="51.75" customHeight="1">
      <c r="A8" s="300"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0"/>
    </row>
    <row r="9" spans="1:3" ht="36" customHeight="1">
      <c r="A9" s="300"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0"/>
    </row>
    <row r="10" spans="1:3">
      <c r="A10" s="32"/>
    </row>
    <row r="11" spans="1:3">
      <c r="A11" s="303" t="str">
        <f>"2. "&amp;'Общие данные'!D64&amp;" BERISH VA QAYTARISH TARTIBI"</f>
        <v>2. MIKROQARZ BERISH VA QAYTARISH TARTIBI</v>
      </c>
      <c r="B11" s="303"/>
      <c r="C11" s="64"/>
    </row>
    <row r="12" spans="1:3" ht="36" customHeight="1">
      <c r="A12" s="300"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0"/>
    </row>
    <row r="13" spans="1:3" ht="35.25" customHeight="1">
      <c r="A13" s="300"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0"/>
    </row>
    <row r="14" spans="1:3" ht="35.25" customHeight="1">
      <c r="A14" s="300"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0"/>
    </row>
    <row r="15" spans="1:3" ht="69.75" customHeight="1">
      <c r="A15" s="300"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0"/>
    </row>
    <row r="16" spans="1:3" ht="177.75" customHeight="1">
      <c r="A16" s="300" t="s">
        <v>332</v>
      </c>
      <c r="B16" s="300"/>
    </row>
    <row r="17" spans="1:11" ht="161.25" customHeight="1">
      <c r="A17" s="300"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0"/>
      <c r="C17" s="154" t="s">
        <v>337</v>
      </c>
      <c r="H17" s="6" t="str">
        <f>'Общие данные'!B65</f>
        <v>mikroqarz</v>
      </c>
      <c r="I17" s="6" t="s">
        <v>338</v>
      </c>
    </row>
    <row r="18" spans="1:11" ht="100.5" customHeight="1">
      <c r="A18" s="302" t="s">
        <v>377</v>
      </c>
      <c r="B18" s="302"/>
    </row>
    <row r="19" spans="1:11" ht="36" customHeight="1">
      <c r="A19" s="300"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0"/>
    </row>
    <row r="20" spans="1:11" ht="48.75" customHeight="1">
      <c r="A20" s="300"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0"/>
    </row>
    <row r="21" spans="1:11" ht="113.25" customHeight="1">
      <c r="A21" s="304"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4"/>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3" t="str">
        <f>"3. "&amp;'Общие данные'!D64&amp;" TA'MINOTI BO‘YICHA "</f>
        <v xml:space="preserve">3. MIKROQARZ TA'MINOTI BO‘YICHA </v>
      </c>
      <c r="B22" s="303"/>
    </row>
    <row r="23" spans="1:11" ht="19.5" customHeight="1">
      <c r="A23" s="300" t="str">
        <f>"3.1. Ushbu Shartnoma bo‘yicha taqdim etilgan "&amp;'Общие данные'!C64&amp;" quyidagi garov bilan ta'minlanadi:"</f>
        <v>3.1. Ushbu Shartnoma bo‘yicha taqdim etilgan Mikroqarz quyidagi garov bilan ta'minlanadi:</v>
      </c>
      <c r="B23" s="300"/>
    </row>
    <row r="24" spans="1:11" ht="151.5" customHeight="1">
      <c r="A24" s="301"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1"/>
    </row>
    <row r="25" spans="1:11" ht="129" hidden="1" customHeight="1">
      <c r="A25" s="300"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0"/>
    </row>
    <row r="26" spans="1:11" ht="129.75" hidden="1" customHeight="1">
      <c r="A26" s="301"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1"/>
    </row>
    <row r="27" spans="1:11" ht="131.25" hidden="1" customHeight="1">
      <c r="A27" s="300"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0"/>
    </row>
    <row r="28" spans="1:11" ht="114" hidden="1" customHeight="1">
      <c r="A28" s="301"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1"/>
      <c r="K28" s="6" t="s">
        <v>329</v>
      </c>
    </row>
    <row r="29" spans="1:11" ht="114.75" hidden="1" customHeight="1">
      <c r="A29" s="301"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1"/>
    </row>
    <row r="30" spans="1:11" ht="115.5" hidden="1" customHeight="1">
      <c r="A30" s="306"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6"/>
    </row>
    <row r="31" spans="1:11" ht="117" customHeight="1">
      <c r="A31" s="305"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5"/>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5" t="s">
        <v>265</v>
      </c>
      <c r="B34" s="305"/>
    </row>
    <row r="35" spans="1:8" ht="84" customHeight="1">
      <c r="A35" s="305" t="s">
        <v>317</v>
      </c>
      <c r="B35" s="305"/>
    </row>
    <row r="37" spans="1:8">
      <c r="A37" s="308" t="s">
        <v>316</v>
      </c>
      <c r="B37" s="308"/>
      <c r="C37" s="75"/>
    </row>
    <row r="38" spans="1:8">
      <c r="A38" s="307" t="s">
        <v>315</v>
      </c>
      <c r="B38" s="307"/>
    </row>
    <row r="39" spans="1:8" ht="114" customHeight="1">
      <c r="A39" s="305"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5"/>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5"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5"/>
    </row>
    <row r="41" spans="1:8">
      <c r="A41" s="305" t="s">
        <v>318</v>
      </c>
      <c r="B41" s="305"/>
    </row>
    <row r="42" spans="1:8" ht="33" customHeight="1">
      <c r="A42" s="305" t="str">
        <f>"b) "&amp;'Общие данные'!B65&amp;" summasiga hisoblanadigan asosiy qarz bo‘yicha muddati o‘tgan qarzdorlik va/yoki foizlarning yuzaga kelishi;"</f>
        <v>b) mikroqarz summasiga hisoblanadigan asosiy qarz bo‘yicha muddati o‘tgan qarzdorlik va/yoki foizlarning yuzaga kelishi;</v>
      </c>
      <c r="B42" s="305"/>
    </row>
    <row r="43" spans="1:8" ht="37.5" customHeight="1">
      <c r="A43" s="305" t="s">
        <v>319</v>
      </c>
      <c r="B43" s="305"/>
    </row>
    <row r="44" spans="1:8" ht="52.5" customHeight="1">
      <c r="A44" s="305" t="s">
        <v>320</v>
      </c>
      <c r="B44" s="305"/>
    </row>
    <row r="45" spans="1:8" ht="19.5" customHeight="1">
      <c r="A45" s="305" t="s">
        <v>321</v>
      </c>
      <c r="B45" s="305"/>
    </row>
    <row r="46" spans="1:8" ht="51.75" customHeight="1">
      <c r="A46" s="305"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5"/>
    </row>
    <row r="47" spans="1:8" ht="33.75" customHeight="1">
      <c r="A47" s="305" t="s">
        <v>314</v>
      </c>
      <c r="B47" s="305"/>
    </row>
    <row r="48" spans="1:8" ht="36.75" customHeight="1">
      <c r="A48" s="305" t="s">
        <v>313</v>
      </c>
      <c r="B48" s="305"/>
      <c r="C48" s="158"/>
    </row>
    <row r="49" spans="1:8" ht="100.5" customHeight="1">
      <c r="A49" s="300" t="s">
        <v>312</v>
      </c>
      <c r="B49" s="300"/>
      <c r="C49" s="158"/>
    </row>
    <row r="50" spans="1:8" ht="70.5" customHeight="1">
      <c r="A50" s="300" t="s">
        <v>311</v>
      </c>
      <c r="B50" s="300"/>
      <c r="C50" s="158"/>
    </row>
    <row r="51" spans="1:8" ht="39.75" customHeight="1">
      <c r="A51" s="300"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0"/>
      <c r="C51" s="158"/>
    </row>
    <row r="52" spans="1:8" ht="33" customHeight="1">
      <c r="A52" s="300" t="s">
        <v>322</v>
      </c>
      <c r="B52" s="300"/>
      <c r="C52" s="158"/>
    </row>
    <row r="53" spans="1:8" ht="39.75" customHeight="1">
      <c r="A53" s="300" t="s">
        <v>310</v>
      </c>
      <c r="B53" s="300"/>
      <c r="C53" s="158"/>
    </row>
    <row r="54" spans="1:8" ht="50.25" customHeight="1">
      <c r="A54" s="300"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0"/>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0" t="str">
        <f>"4.1.11. Oldingi "&amp;'Общие данные'!B65&amp;" to‘liq to‘lanmagunga qadar yangi "&amp;'Общие данные'!B65&amp;" berishni rad etish."</f>
        <v>4.1.11. Oldingi mikroqarz to‘liq to‘lanmagunga qadar yangi mikroqarz berishni rad etish.</v>
      </c>
      <c r="B55" s="300"/>
      <c r="C55" s="158"/>
    </row>
    <row r="57" spans="1:8">
      <c r="A57" s="303" t="s">
        <v>309</v>
      </c>
      <c r="B57" s="303"/>
      <c r="C57" s="157"/>
    </row>
    <row r="58" spans="1:8">
      <c r="A58" s="309" t="s">
        <v>308</v>
      </c>
      <c r="B58" s="309"/>
      <c r="C58" s="159"/>
    </row>
    <row r="59" spans="1:8" ht="36" customHeight="1">
      <c r="A59" s="300"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0"/>
      <c r="C59" s="158"/>
    </row>
    <row r="60" spans="1:8" ht="36.75" customHeight="1">
      <c r="A60" s="300"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0"/>
      <c r="C60" s="158"/>
    </row>
    <row r="61" spans="1:8" ht="17.25" customHeight="1">
      <c r="A61" s="300" t="str">
        <f>"5.1.3. "&amp;'Общие данные'!C64&amp;" xizmatlari ko‘rsatish qoidalari bilan tanishish."</f>
        <v>5.1.3. Mikroqarz xizmatlari ko‘rsatish qoidalari bilan tanishish.</v>
      </c>
      <c r="B61" s="300"/>
      <c r="C61" s="158"/>
    </row>
    <row r="62" spans="1:8" ht="36" customHeight="1">
      <c r="A62" s="300"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0"/>
      <c r="C62" s="158"/>
    </row>
    <row r="63" spans="1:8" ht="33.75" customHeight="1">
      <c r="A63" s="300" t="s">
        <v>323</v>
      </c>
      <c r="B63" s="300"/>
      <c r="C63" s="158"/>
    </row>
    <row r="64" spans="1:8">
      <c r="A64" s="309" t="s">
        <v>307</v>
      </c>
      <c r="B64" s="309"/>
      <c r="C64" s="159"/>
    </row>
    <row r="65" spans="1:8" ht="37.5" customHeight="1">
      <c r="A65" s="300"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0"/>
      <c r="C65" s="158"/>
    </row>
    <row r="66" spans="1:8" ht="39.75" customHeight="1">
      <c r="A66" s="300" t="s">
        <v>324</v>
      </c>
      <c r="B66" s="300"/>
      <c r="C66" s="158"/>
    </row>
    <row r="67" spans="1:8" ht="27" customHeight="1">
      <c r="A67" s="300" t="str">
        <f>"5.2.3. To‘lov jadvaliga muvofiq "&amp;'Общие данные'!B65&amp;", shuningdek hisoblangan foizlar to‘lovlarini amalga oshirish."</f>
        <v>5.2.3. To‘lov jadvaliga muvofiq mikroqarz, shuningdek hisoblangan foizlar to‘lovlarini amalga oshirish.</v>
      </c>
      <c r="B67" s="300"/>
      <c r="C67" s="158"/>
    </row>
    <row r="68" spans="1:8" ht="84" customHeight="1">
      <c r="A68" s="300"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0"/>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0" t="s">
        <v>325</v>
      </c>
      <c r="B69" s="300"/>
      <c r="C69" s="158"/>
    </row>
    <row r="70" spans="1:8" ht="36" customHeight="1">
      <c r="A70" s="300"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0"/>
      <c r="C70" s="158"/>
    </row>
    <row r="71" spans="1:8" ht="51.75" customHeight="1">
      <c r="A71" s="302" t="s">
        <v>343</v>
      </c>
      <c r="B71" s="302"/>
      <c r="C71" s="161"/>
    </row>
    <row r="72" spans="1:8" ht="71.25" customHeight="1">
      <c r="A72" s="300"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0"/>
      <c r="C72" s="158"/>
    </row>
    <row r="73" spans="1:8" ht="33.75" customHeight="1">
      <c r="A73" s="300"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0"/>
      <c r="C73" s="158"/>
      <c r="H73" s="6" t="s">
        <v>339</v>
      </c>
    </row>
    <row r="74" spans="1:8" ht="68.25" customHeight="1">
      <c r="A74" s="300"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0"/>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8" t="s">
        <v>306</v>
      </c>
      <c r="B76" s="308"/>
      <c r="C76" s="160"/>
    </row>
    <row r="77" spans="1:8" ht="98.25" customHeight="1">
      <c r="A77" s="300"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0"/>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0" t="s">
        <v>305</v>
      </c>
      <c r="B78" s="300"/>
      <c r="C78" s="158"/>
    </row>
    <row r="79" spans="1:8" ht="35.25" customHeight="1">
      <c r="A79" s="300" t="s">
        <v>304</v>
      </c>
      <c r="B79" s="300"/>
      <c r="C79" s="158"/>
    </row>
    <row r="80" spans="1:8" ht="33" customHeight="1">
      <c r="A80" s="300" t="s">
        <v>303</v>
      </c>
      <c r="B80" s="300"/>
      <c r="C80" s="158"/>
    </row>
    <row r="82" spans="1:3">
      <c r="A82" s="292" t="s">
        <v>302</v>
      </c>
      <c r="B82" s="292"/>
      <c r="C82" s="65"/>
    </row>
    <row r="83" spans="1:3" ht="162.75" customHeight="1">
      <c r="A83" s="300" t="s">
        <v>301</v>
      </c>
      <c r="B83" s="300"/>
      <c r="C83" s="158"/>
    </row>
    <row r="84" spans="1:3" ht="33.75" customHeight="1">
      <c r="A84" s="300" t="s">
        <v>346</v>
      </c>
      <c r="B84" s="300"/>
      <c r="C84" s="158"/>
    </row>
    <row r="85" spans="1:3" ht="51.75" customHeight="1">
      <c r="A85" s="300" t="s">
        <v>300</v>
      </c>
      <c r="B85" s="300"/>
      <c r="C85" s="158"/>
    </row>
    <row r="86" spans="1:3" ht="36" customHeight="1">
      <c r="A86" s="300" t="s">
        <v>299</v>
      </c>
      <c r="B86" s="300"/>
      <c r="C86" s="158"/>
    </row>
    <row r="88" spans="1:3">
      <c r="A88" s="292" t="s">
        <v>298</v>
      </c>
      <c r="B88" s="292"/>
      <c r="C88" s="65"/>
    </row>
    <row r="89" spans="1:3" ht="114.75" customHeight="1">
      <c r="A89" s="300" t="s">
        <v>360</v>
      </c>
      <c r="B89" s="300"/>
      <c r="C89" s="158"/>
    </row>
    <row r="90" spans="1:3" ht="36" customHeight="1">
      <c r="A90" s="300" t="s">
        <v>326</v>
      </c>
      <c r="B90" s="300"/>
      <c r="C90" s="158"/>
    </row>
    <row r="91" spans="1:3" ht="64.5" customHeight="1">
      <c r="A91" s="300"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0"/>
      <c r="C91" s="158"/>
    </row>
    <row r="93" spans="1:3">
      <c r="A93" s="310" t="s">
        <v>297</v>
      </c>
      <c r="B93" s="310"/>
      <c r="C93" s="73"/>
    </row>
    <row r="94" spans="1:3" ht="20.25" customHeight="1">
      <c r="A94" s="300" t="s">
        <v>296</v>
      </c>
      <c r="B94" s="300"/>
      <c r="C94" s="158"/>
    </row>
    <row r="95" spans="1:3" ht="33.75" customHeight="1">
      <c r="A95" s="300"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0"/>
      <c r="C95" s="158"/>
    </row>
    <row r="96" spans="1:3" ht="51" customHeight="1">
      <c r="A96" s="300" t="s">
        <v>295</v>
      </c>
      <c r="B96" s="300"/>
      <c r="C96" s="158"/>
    </row>
    <row r="98" spans="1:3">
      <c r="A98" s="303" t="s">
        <v>294</v>
      </c>
      <c r="B98" s="303"/>
      <c r="C98" s="64"/>
    </row>
    <row r="99" spans="1:3" ht="82.5" customHeight="1">
      <c r="A99" s="300" t="s">
        <v>293</v>
      </c>
      <c r="B99" s="300"/>
      <c r="C99" s="158"/>
    </row>
    <row r="100" spans="1:3" ht="66" customHeight="1">
      <c r="A100" s="300" t="s">
        <v>292</v>
      </c>
      <c r="B100" s="300"/>
      <c r="C100" s="158"/>
    </row>
    <row r="101" spans="1:3" ht="48" customHeight="1">
      <c r="A101" s="300" t="s">
        <v>291</v>
      </c>
      <c r="B101" s="300"/>
      <c r="C101" s="158"/>
    </row>
    <row r="103" spans="1:3">
      <c r="A103" s="292" t="s">
        <v>290</v>
      </c>
      <c r="B103" s="292"/>
      <c r="C103" s="144"/>
    </row>
    <row r="104" spans="1:3" ht="37.5" customHeight="1">
      <c r="A104" s="300" t="s">
        <v>289</v>
      </c>
      <c r="B104" s="300"/>
      <c r="C104" s="158"/>
    </row>
    <row r="105" spans="1:3" ht="34.5" customHeight="1">
      <c r="A105" s="300" t="s">
        <v>288</v>
      </c>
      <c r="B105" s="300"/>
      <c r="C105" s="158"/>
    </row>
    <row r="106" spans="1:3" ht="66.75" customHeight="1">
      <c r="A106" s="300" t="s">
        <v>287</v>
      </c>
      <c r="B106" s="300"/>
      <c r="C106" s="158"/>
    </row>
    <row r="107" spans="1:3" ht="51" customHeight="1">
      <c r="A107" s="300" t="s">
        <v>286</v>
      </c>
      <c r="B107" s="300"/>
      <c r="C107" s="158"/>
    </row>
    <row r="108" spans="1:3" ht="37.5" customHeight="1">
      <c r="A108" s="300" t="s">
        <v>285</v>
      </c>
      <c r="B108" s="300"/>
      <c r="C108" s="158"/>
    </row>
    <row r="109" spans="1:3" ht="38.25" customHeight="1">
      <c r="A109" s="300" t="s">
        <v>284</v>
      </c>
      <c r="B109" s="300"/>
      <c r="C109" s="158"/>
    </row>
    <row r="110" spans="1:3" ht="21" customHeight="1">
      <c r="A110" s="300" t="s">
        <v>283</v>
      </c>
      <c r="B110" s="300"/>
      <c r="C110" s="158"/>
    </row>
    <row r="111" spans="1:3" ht="32.25" customHeight="1">
      <c r="A111" s="300"/>
      <c r="B111" s="300"/>
      <c r="C111" s="158"/>
    </row>
    <row r="113" spans="1:3">
      <c r="A113" s="310" t="s">
        <v>327</v>
      </c>
      <c r="B113" s="310"/>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11" t="str">
        <f>'Общие данные'!A161</f>
        <v>Buxoro filiali boshlig'i</v>
      </c>
    </row>
    <row r="127" spans="1:3">
      <c r="A127" s="311"/>
      <c r="B127" s="65" t="str">
        <f>""&amp;'Общие данные'!B7&amp;"     __________________"</f>
        <v>NUTFULLAYEV A.A.     __________________</v>
      </c>
    </row>
    <row r="129" spans="1:2">
      <c r="A129" s="144" t="str">
        <f>""&amp;'Общие данные'!B161&amp;"     __________________"</f>
        <v>A.Xudayberdiyev     __________________</v>
      </c>
      <c r="B129" s="172"/>
    </row>
    <row r="131" spans="1:2">
      <c r="B131" s="6" t="s">
        <v>398</v>
      </c>
    </row>
    <row r="132" spans="1:2" hidden="1">
      <c r="A132" s="6" t="str">
        <f>"менеджер :   "&amp;'Общие данные'!B161&amp;"______________"</f>
        <v>менеджер :   A.Xudayberdiyev______________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5"/>
      <c r="F2" s="265"/>
      <c r="G2" s="20"/>
    </row>
    <row r="3" spans="1:16" ht="77.25" customHeight="1">
      <c r="A3" s="37"/>
      <c r="B3" s="37"/>
      <c r="C3" s="37"/>
      <c r="D3" s="37"/>
      <c r="E3" s="314" t="str">
        <f>""&amp;'Общие данные'!B74&amp;" 
"&amp;'Общие данные'!B65&amp;" shartnomasiga 
1 sonli ilova"</f>
        <v>11 mart 2025 y.dan № -BR 
mikroqarz shartnomasiga 
1 sonli ilova</v>
      </c>
      <c r="F3" s="314"/>
      <c r="G3" s="20"/>
    </row>
    <row r="4" spans="1:16" ht="6.75" customHeight="1">
      <c r="A4" s="37"/>
      <c r="B4" s="37"/>
      <c r="C4" s="37"/>
      <c r="D4" s="37"/>
      <c r="E4" s="37"/>
      <c r="F4" s="37"/>
    </row>
    <row r="5" spans="1:16">
      <c r="A5" s="266" t="s">
        <v>266</v>
      </c>
      <c r="B5" s="266"/>
      <c r="C5" s="266"/>
      <c r="D5" s="266"/>
      <c r="E5" s="266"/>
      <c r="F5" s="266"/>
    </row>
    <row r="6" spans="1:16" ht="7.5" customHeight="1"/>
    <row r="7" spans="1:16" ht="15" customHeight="1">
      <c r="A7" s="267" t="s">
        <v>15</v>
      </c>
      <c r="B7" s="268" t="s">
        <v>267</v>
      </c>
      <c r="C7" s="268" t="s">
        <v>268</v>
      </c>
      <c r="D7" s="269" t="s">
        <v>269</v>
      </c>
      <c r="E7" s="269"/>
      <c r="F7" s="269"/>
    </row>
    <row r="8" spans="1:16" s="16" customFormat="1">
      <c r="A8" s="267"/>
      <c r="B8" s="268"/>
      <c r="C8" s="268"/>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2" t="s">
        <v>378</v>
      </c>
      <c r="I12" s="312"/>
      <c r="J12" s="312"/>
      <c r="K12" s="312"/>
      <c r="L12" s="312"/>
      <c r="M12" s="312"/>
      <c r="N12" s="312"/>
      <c r="O12" s="312"/>
      <c r="P12" s="312"/>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2"/>
      <c r="I13" s="312"/>
      <c r="J13" s="312"/>
      <c r="K13" s="312"/>
      <c r="L13" s="312"/>
      <c r="M13" s="312"/>
      <c r="N13" s="312"/>
      <c r="O13" s="312"/>
      <c r="P13" s="312"/>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2"/>
      <c r="I14" s="312"/>
      <c r="J14" s="312"/>
      <c r="K14" s="312"/>
      <c r="L14" s="312"/>
      <c r="M14" s="312"/>
      <c r="N14" s="312"/>
      <c r="O14" s="312"/>
      <c r="P14" s="312"/>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2"/>
      <c r="I15" s="312"/>
      <c r="J15" s="312"/>
      <c r="K15" s="312"/>
      <c r="L15" s="312"/>
      <c r="M15" s="312"/>
      <c r="N15" s="312"/>
      <c r="O15" s="312"/>
      <c r="P15" s="312"/>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2"/>
      <c r="I16" s="312"/>
      <c r="J16" s="312"/>
      <c r="K16" s="312"/>
      <c r="L16" s="312"/>
      <c r="M16" s="312"/>
      <c r="N16" s="312"/>
      <c r="O16" s="312"/>
      <c r="P16" s="312"/>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2"/>
      <c r="I17" s="312"/>
      <c r="J17" s="312"/>
      <c r="K17" s="312"/>
      <c r="L17" s="312"/>
      <c r="M17" s="312"/>
      <c r="N17" s="312"/>
      <c r="O17" s="312"/>
      <c r="P17" s="312"/>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2"/>
      <c r="I18" s="312"/>
      <c r="J18" s="312"/>
      <c r="K18" s="312"/>
      <c r="L18" s="312"/>
      <c r="M18" s="312"/>
      <c r="N18" s="312"/>
      <c r="O18" s="312"/>
      <c r="P18" s="312"/>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2"/>
      <c r="I19" s="312"/>
      <c r="J19" s="312"/>
      <c r="K19" s="312"/>
      <c r="L19" s="312"/>
      <c r="M19" s="312"/>
      <c r="N19" s="312"/>
      <c r="O19" s="312"/>
      <c r="P19" s="312"/>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2"/>
      <c r="I20" s="312"/>
      <c r="J20" s="312"/>
      <c r="K20" s="312"/>
      <c r="L20" s="312"/>
      <c r="M20" s="312"/>
      <c r="N20" s="312"/>
      <c r="O20" s="312"/>
      <c r="P20" s="312"/>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2"/>
      <c r="I21" s="312"/>
      <c r="J21" s="312"/>
      <c r="K21" s="312"/>
      <c r="L21" s="312"/>
      <c r="M21" s="312"/>
      <c r="N21" s="312"/>
      <c r="O21" s="312"/>
      <c r="P21" s="312"/>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2"/>
      <c r="I22" s="312"/>
      <c r="J22" s="312"/>
      <c r="K22" s="312"/>
      <c r="L22" s="312"/>
      <c r="M22" s="312"/>
      <c r="N22" s="312"/>
      <c r="O22" s="312"/>
      <c r="P22" s="312"/>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2"/>
      <c r="I23" s="312"/>
      <c r="J23" s="312"/>
      <c r="K23" s="312"/>
      <c r="L23" s="312"/>
      <c r="M23" s="312"/>
      <c r="N23" s="312"/>
      <c r="O23" s="312"/>
      <c r="P23" s="312"/>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2"/>
      <c r="I24" s="312"/>
      <c r="J24" s="312"/>
      <c r="K24" s="312"/>
      <c r="L24" s="312"/>
      <c r="M24" s="312"/>
      <c r="N24" s="312"/>
      <c r="O24" s="312"/>
      <c r="P24" s="312"/>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5"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5"/>
      <c r="C47" s="235"/>
      <c r="D47" s="235"/>
      <c r="E47" s="235"/>
      <c r="F47" s="235"/>
    </row>
    <row r="48" spans="1:6" ht="7.5" customHeight="1"/>
    <row r="49" spans="1:6" ht="15" customHeight="1">
      <c r="A49" s="263" t="s">
        <v>273</v>
      </c>
      <c r="B49" s="263"/>
      <c r="C49" s="263"/>
      <c r="D49" s="263" t="s">
        <v>281</v>
      </c>
      <c r="E49" s="263"/>
      <c r="F49" s="263"/>
    </row>
    <row r="50" spans="1:6" ht="11.25" customHeight="1">
      <c r="A50" s="264"/>
      <c r="B50" s="264"/>
      <c r="C50" s="264"/>
      <c r="D50" s="264"/>
      <c r="E50" s="264"/>
      <c r="F50" s="264"/>
    </row>
    <row r="51" spans="1:6" ht="30" customHeight="1">
      <c r="A51" s="262" t="str">
        <f>договор!A117</f>
        <v>«CLEVER MIKROMOLIYA TASHKILOTI» MChJ</v>
      </c>
      <c r="B51" s="262"/>
      <c r="C51" s="262"/>
      <c r="D51" s="262" t="str">
        <f>договор!B117</f>
        <v>NUTFULLAYEV AKBARJON AXMEDOVICH</v>
      </c>
      <c r="E51" s="262"/>
      <c r="F51" s="262"/>
    </row>
    <row r="52" spans="1:6" ht="39" customHeight="1">
      <c r="A52" s="258" t="str">
        <f>договор!A119</f>
        <v>Manzil: Toshkent shahri, Olmazor tumani, Sagbon ko'chasi, 30 boshi berk, 6-uy</v>
      </c>
      <c r="B52" s="258"/>
      <c r="C52" s="258"/>
      <c r="D52" s="258" t="str">
        <f>договор!B119</f>
        <v>Manzil: BUXORO VILOYATI BUXORO SHAHAR TADBIRKOR KO'CHASI 12-UY</v>
      </c>
      <c r="E52" s="258"/>
      <c r="F52" s="258"/>
    </row>
    <row r="53" spans="1:6" ht="15" customHeight="1">
      <c r="A53" s="258" t="str">
        <f>договор!A120</f>
        <v>h/r: №20216000705068380001</v>
      </c>
      <c r="B53" s="258"/>
      <c r="C53" s="258"/>
      <c r="D53" s="258" t="str">
        <f>договор!B121</f>
        <v>pasport seriyasi: AA 9481167, BUXORO VILOYATI BUXORO SHAHAR IIB tomonidan 24.04.2015 yilda berilgan</v>
      </c>
      <c r="E53" s="258"/>
      <c r="F53" s="258"/>
    </row>
    <row r="54" spans="1:6" ht="32.25" customHeight="1">
      <c r="A54" s="258" t="str">
        <f>договор!A121</f>
        <v>MFO: №01042 в ATB “Kapitalbank” Sergeli filiali</v>
      </c>
      <c r="B54" s="258"/>
      <c r="C54" s="258"/>
      <c r="D54" s="258"/>
      <c r="E54" s="258"/>
      <c r="F54" s="258"/>
    </row>
    <row r="55" spans="1:6" ht="15" customHeight="1">
      <c r="A55" s="258" t="str">
        <f>договор!A122</f>
        <v>STIR: 306365847</v>
      </c>
      <c r="B55" s="258"/>
      <c r="C55" s="258"/>
      <c r="D55" s="258" t="str">
        <f>договор!B122</f>
        <v>Tel: 91 408 76 67  UZI</v>
      </c>
      <c r="E55" s="258"/>
      <c r="F55" s="258"/>
    </row>
    <row r="56" spans="1:6" ht="15" customHeight="1">
      <c r="A56" s="258" t="str">
        <f>договор!A123</f>
        <v>Tel: (78) 113 31 33</v>
      </c>
      <c r="B56" s="258"/>
      <c r="C56" s="258"/>
      <c r="D56" s="258" t="str">
        <f>договор!B123</f>
        <v>88 305 76 67 AYOLI</v>
      </c>
      <c r="E56" s="258"/>
      <c r="F56" s="258"/>
    </row>
    <row r="57" spans="1:6" ht="15" customHeight="1">
      <c r="A57" s="258" t="str">
        <f>договор!A124</f>
        <v>(78) 113 31 34</v>
      </c>
      <c r="B57" s="258"/>
      <c r="C57" s="258"/>
      <c r="D57" s="258" t="str">
        <f>договор!B124</f>
        <v>88 870 76 67 AKASI</v>
      </c>
      <c r="E57" s="258"/>
      <c r="F57" s="258"/>
    </row>
    <row r="58" spans="1:6" ht="23.25" customHeight="1">
      <c r="A58" s="258"/>
      <c r="B58" s="258"/>
      <c r="C58" s="258"/>
      <c r="D58" s="258" t="str">
        <f>IF(договор!B125=0,"",договор!B125)</f>
        <v/>
      </c>
      <c r="E58" s="258"/>
      <c r="F58" s="258"/>
    </row>
    <row r="59" spans="1:6" ht="29.25" customHeight="1">
      <c r="A59" s="313" t="str">
        <f>'Общие данные'!A161</f>
        <v>Buxoro filiali boshlig'i</v>
      </c>
      <c r="B59" s="313"/>
      <c r="C59" s="313"/>
      <c r="D59" s="262" t="str">
        <f>договор!B127</f>
        <v>NUTFULLAYEV A.A.     __________________</v>
      </c>
      <c r="E59" s="262"/>
      <c r="F59" s="262"/>
    </row>
    <row r="60" spans="1:6" ht="15" customHeight="1">
      <c r="A60" s="258"/>
      <c r="B60" s="258"/>
      <c r="C60" s="258"/>
      <c r="D60" s="262"/>
      <c r="E60" s="262"/>
      <c r="F60" s="262"/>
    </row>
    <row r="61" spans="1:6">
      <c r="A61" s="313" t="str">
        <f>договор!A129</f>
        <v>A.Xudayberdiyev     __________________</v>
      </c>
      <c r="B61" s="313"/>
      <c r="C61" s="313"/>
      <c r="D61" s="262"/>
      <c r="E61" s="262"/>
      <c r="F61" s="262"/>
    </row>
    <row r="62" spans="1:6" ht="8.25" customHeight="1">
      <c r="A62" s="258"/>
      <c r="B62" s="258"/>
      <c r="C62" s="258"/>
      <c r="D62" s="258"/>
      <c r="E62" s="258"/>
      <c r="F62" s="258"/>
    </row>
    <row r="63" spans="1:6" ht="30" customHeight="1">
      <c r="A63" s="259"/>
      <c r="B63" s="259"/>
      <c r="C63" s="259"/>
      <c r="D63" s="260"/>
      <c r="E63" s="260"/>
      <c r="F63" s="260"/>
    </row>
    <row r="64" spans="1:6">
      <c r="A64" s="261"/>
      <c r="B64" s="261"/>
      <c r="C64" s="261"/>
      <c r="D64" s="261"/>
      <c r="E64" s="261"/>
      <c r="F64" s="261"/>
    </row>
    <row r="65" spans="1:6">
      <c r="A65" s="257"/>
      <c r="B65" s="257"/>
      <c r="C65" s="257"/>
      <c r="D65" s="257"/>
      <c r="E65" s="257"/>
      <c r="F65" s="257"/>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Buxoro filiali boshlig'i A.Xudayberdiyevga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5"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5"/>
    </row>
    <row r="14" spans="1:2" ht="124.5" hidden="1" customHeight="1">
      <c r="A14" s="29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5"/>
    </row>
    <row r="15" spans="1:2" ht="116.25" hidden="1" customHeight="1">
      <c r="A15" s="29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5"/>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5" t="str">
        <f>IF('Общие данные'!B94='Общие данные'!D94,CONCATENATE(A24," ",A28,A22),"")</f>
        <v/>
      </c>
      <c r="B20" s="315"/>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6" t="str">
        <f>"GAROV PREDMETI QIYMATINI KELISHISH 
№"&amp;'Общие данные'!B141&amp;" SONLI DALOLATNOMASI
 "</f>
        <v xml:space="preserve">GAROV PREDMETI QIYMATINI KELISHISH 
№1 SONLI DALOLATNOMASI
 </v>
      </c>
      <c r="B2" s="266"/>
      <c r="C2" s="266"/>
      <c r="D2" s="266"/>
      <c r="E2" s="266"/>
    </row>
    <row r="3" spans="1:5">
      <c r="A3" s="40"/>
      <c r="B3" s="40"/>
      <c r="C3" s="40"/>
      <c r="D3" s="40"/>
      <c r="E3" s="40"/>
    </row>
    <row r="4" spans="1:5">
      <c r="A4" s="37" t="s">
        <v>208</v>
      </c>
      <c r="B4" s="37"/>
      <c r="C4" s="37"/>
      <c r="D4" s="37"/>
      <c r="E4" s="37" t="str">
        <f>'Общие данные'!B142</f>
        <v>11 mart 2025 y.</v>
      </c>
    </row>
    <row r="5" spans="1:5" ht="9" customHeight="1">
      <c r="A5" s="235"/>
      <c r="B5" s="235"/>
      <c r="C5" s="235"/>
      <c r="D5" s="235"/>
      <c r="E5" s="235"/>
    </row>
    <row r="6" spans="1:5" ht="76.5" customHeight="1">
      <c r="A6" s="235" t="str">
        <f>IF('Общие данные'!B103="avtotransport",'Акт согласования'!A10:E10,'Акт согласования'!A7:E7)</f>
        <v>«CLEVER MIKROMOLIYA TASHKILOTI» MChJning (1-tomon) vakili bo‘lgan  Buxoro filiali boshlig'i A.Xudayberdiyev, O‘zbekiston Respublikasi fuqarosi va garovga beruvchi NUTFULLAYEV AKBARJON AXMEDOVICH (2-tomon) o’rtalarida, 11 mart 2025 y.dan № -BR-sonli Mikroqarz shartnomasiga muvofiq 1-tomon 2-tomonga berilgan mikroqarz bo‘yicha ta’minot sifatida taqdim etilgan, 2-tomonga mulk huquqi asosida tegishli bo‘lgan mulkning garov qiymatini kelishish muzokaralari o’tkazildi.</v>
      </c>
      <c r="B6" s="235"/>
      <c r="C6" s="235"/>
      <c r="D6" s="235"/>
      <c r="E6" s="235"/>
    </row>
    <row r="7" spans="1:5" ht="88.5" hidden="1" customHeight="1">
      <c r="A7" s="235" t="str">
        <f>IF('Общие данные'!B93="ha",'Акт согласования'!A9:E9,'Акт согласования'!A8:E8)</f>
        <v xml:space="preserve">«CLEVER MIKROMOLIYA TASHKILOTI» MChJning (1-tomon) vakili bo‘lgan  Buxoro filiali boshlig'i A.Xudayberdiyev, va O‘zbekiston Respublikasi fuqarosi  NUTFULLAYEV AKBARJON AXMEDOVICH (2-tomon) va garov egasi NUTFULLAYEV AKBARJON AXMEDOVICH (3-tomon) 11 mart 2025 y.dan № -BR Mikroqarz shartnomasiga muvofiq 1-tomon 2-tomonga berilgan mikroqarz bo‘yicha ta’minot sifatida taqdim etilgan, 2-tomonga mulk huquqi asosida tegishli bo‘lgan mulkning garov qiymatini kelishish muzokaralari o’tkazildi. </v>
      </c>
      <c r="B7" s="235"/>
      <c r="C7" s="235"/>
      <c r="D7" s="235"/>
      <c r="E7" s="235"/>
    </row>
    <row r="8" spans="1:5" ht="88.5" hidden="1" customHeight="1">
      <c r="A8" s="235"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NUTFULLAYEV AKBARJON AXMEDOVICH (2-tomon) va garov egasi NUTFULLAYEV AKBARJON AXMEDOVICH (3-tomon) 11 mart 2025 y.dan № -BR Mikroqarz shartnomasiga muvofiq 1-tomon 2-tomonga berilgan mikroqarz bo‘yicha ta’minot sifatida taqdim etilgan, 2-tomonga mulk huquqi asosida tegishli bo‘lgan mulkning garov qiymatini kelishish muzokaralari o’tkazildi. </v>
      </c>
      <c r="B8" s="235"/>
      <c r="C8" s="235"/>
      <c r="D8" s="235"/>
      <c r="E8" s="235"/>
    </row>
    <row r="9" spans="1:5" ht="88.5" hidden="1" customHeight="1">
      <c r="A9" s="235"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NUTFULLAYEV AKBARJON AXMEDOVICH (2-tomon) va garov egasi NUTFULLAYEV AKBARJON AXMEDOVICH (3-tomon) 11 mart 2025 y.dan № -BR Mikroqarz shartnomasiga muvofiq 1-tomon 2-tomonga berilgan mikroqarz bo‘yicha ta’minot sifatida taqdim etilgan, 2-tomonga mulk huquqi asosida tegishli bo‘lgan mulkning garov qiymatini kelishish muzokaralari o’tkazildi. </v>
      </c>
      <c r="B9" s="235"/>
      <c r="C9" s="235"/>
      <c r="D9" s="235"/>
      <c r="E9" s="235"/>
    </row>
    <row r="10" spans="1:5" ht="88.5" hidden="1" customHeight="1">
      <c r="A10" s="235" t="str">
        <f>IF('Общие данные'!B93="ha",'Акт согласования'!A12:E12,'Акт согласования'!A11:E11)</f>
        <v>«CLEVER MIKROMOLIYA TASHKILOTI» MChJning (1-tomon) vakili bo‘lgan  Buxoro filiali boshlig'i A.Xudayberdiyev, O‘zbekiston Respublikasi fuqarosi va garovga beruvchi NUTFULLAYEV AKBARJON AXMEDOVICH (2-tomon) o’rtalarida, 11 mart 2025 y.dan № -BR-sonli Mikroqarz shartnomasiga muvofiq 1-tomon 2-tomonga berilgan mikroqarz bo‘yicha ta’minot sifatida taqdim etilgan, 2-tomonga mulk huquqi asosida tegishli bo‘lgan mulkning garov qiymatini kelishish muzokaralari o’tkazildi.</v>
      </c>
      <c r="B10" s="235"/>
      <c r="C10" s="235"/>
      <c r="D10" s="235"/>
      <c r="E10" s="235"/>
    </row>
    <row r="11" spans="1:5" ht="88.5" hidden="1" customHeight="1">
      <c r="A11" s="235"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Buxoro filiali boshlig'i A.Xudayberdiyev, O‘zbekiston Respublikasi fuqarosi NUTFULLAYEV AKBARJON AXMEDOVICH (2-tomon) va garovga beruvchi O‘zbekiston Respublikasi fuqarosi NUTFULLAYEV AKBARJON AXMEDOVICH (3-tomon) o’rtalarida, 11 mart 2025 y.dan № -BR-sonli Mikroqarz shartnomasiga muvofiq 1-tomon 2-tomonga berilgan mikroqarz bo‘yicha ta’minot sifatida taqdim etilgan, 3-tomonga mulk huquqi asosida tegishli bo‘lgan mulkning garov qiymatini kelishish muzokaralari o’tkazildi.</v>
      </c>
      <c r="B11" s="235"/>
      <c r="C11" s="235"/>
      <c r="D11" s="235"/>
      <c r="E11" s="235"/>
    </row>
    <row r="12" spans="1:5" ht="88.5" hidden="1" customHeight="1">
      <c r="A12" s="235"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Buxoro filiali boshlig'i A.Xudayberdiyev, O‘zbekiston Respublikasi fuqarosi va garovga beruvchi NUTFULLAYEV AKBARJON AXMEDOVICH (2-tomon) o’rtalarida, 11 mart 2025 y.dan № -BR-sonli Mikroqarz shartnomasiga muvofiq 1-tomon 2-tomonga berilgan mikroqarz bo‘yicha ta’minot sifatida taqdim etilgan, 2-tomonga mulk huquqi asosida tegishli bo‘lgan mulkning garov qiymatini kelishish muzokaralari o’tkazildi.</v>
      </c>
      <c r="B12" s="235"/>
      <c r="C12" s="235"/>
      <c r="D12" s="235"/>
      <c r="E12" s="235"/>
    </row>
    <row r="13" spans="1:5" ht="88.5" hidden="1" customHeight="1">
      <c r="A13" s="235"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5"/>
      <c r="C13" s="235"/>
      <c r="D13" s="235"/>
      <c r="E13" s="235"/>
    </row>
    <row r="14" spans="1:5" ht="88.5" hidden="1" customHeight="1">
      <c r="A14" s="235"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5"/>
      <c r="C14" s="235"/>
      <c r="D14" s="235"/>
      <c r="E14" s="235"/>
    </row>
    <row r="15" spans="1:5" ht="88.5" hidden="1" customHeight="1">
      <c r="A15" s="235"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5"/>
      <c r="C15" s="235"/>
      <c r="D15" s="235"/>
      <c r="E15" s="235"/>
    </row>
    <row r="16" spans="1:5" ht="88.5" hidden="1" customHeight="1">
      <c r="A16" s="235"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5"/>
      <c r="C16" s="235"/>
      <c r="D16" s="235"/>
      <c r="E16" s="235"/>
    </row>
    <row r="17" spans="1:5" ht="13.5" hidden="1" customHeight="1">
      <c r="A17" s="235"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5"/>
      <c r="C17" s="235"/>
      <c r="D17" s="235"/>
      <c r="E17" s="235"/>
    </row>
    <row r="18" spans="1:5" ht="11.25" hidden="1" customHeight="1">
      <c r="A18" s="235" t="str">
        <f>IF('Общие данные'!B93="ha",'Акт согласования'!A16:E16,'Акт согласования'!A17:E17)</f>
        <v>Garov predmeti sifatida 3 - xonali yakka tartibdagi uy-joy, 2-tomonga egalik huquqi tegishli bo'lgan, quyidagi tafsilotlarga ega ko'chmas mulk taqdim etiladi:</v>
      </c>
      <c r="B18" s="235"/>
      <c r="C18" s="235"/>
      <c r="D18" s="235"/>
      <c r="E18" s="235"/>
    </row>
    <row r="19" spans="1:5" ht="32.25" customHeight="1">
      <c r="A19" s="235"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5"/>
      <c r="C19" s="235"/>
      <c r="D19" s="235"/>
      <c r="E19" s="235"/>
    </row>
    <row r="20" spans="1:5" ht="48" customHeight="1" outlineLevel="1">
      <c r="A20" s="39" t="s">
        <v>206</v>
      </c>
      <c r="B20" s="316" t="str">
        <f>IF('Общие данные'!B103='Общие данные'!C103,"Kuzov turi  va kuzov raqami*","Foydali maydoni")</f>
        <v>Kuzov turi  va kuzov raqami*</v>
      </c>
      <c r="C20" s="317"/>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8" t="str">
        <f>IF('Общие данные'!B103='Общие данные'!C103,'Общие данные'!B127,CONCATENATE('Общие данные'!F130," ","kv.m"))</f>
        <v>kuzov turi - YUK BORTLI TENT, kuzov raqami LSCAB23D8EG228387</v>
      </c>
      <c r="C21" s="268"/>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5" t="str">
        <f>"-* "&amp;IF('Общие данные'!B103='Общие данные'!C103,"avtotransport "&amp;"egasi: "&amp;'Общие данные'!B117&amp;"","ko'chmas mulk"&amp;" egasi: "&amp;'Общие данные'!B117&amp;"")</f>
        <v>-* avtotransport egasi: NUTFULLAYEV AKBARJON AXMEDOVICH</v>
      </c>
      <c r="B22" s="235"/>
      <c r="C22" s="235"/>
      <c r="D22" s="235"/>
      <c r="E22" s="235"/>
    </row>
    <row r="23" spans="1:5" outlineLevel="1">
      <c r="A23" s="235" t="str">
        <f>IF('Общие данные'!B103='Общие данные'!C103,"-* texnik pasport: "&amp;'Общие данные'!B124&amp;"","-* reest raqami: "&amp;'Общие данные'!C124&amp;"")</f>
        <v>-* texnik pasport: AAG   2346592  13.09.2023y</v>
      </c>
      <c r="B23" s="235"/>
      <c r="C23" s="235"/>
      <c r="D23" s="235"/>
      <c r="E23" s="235"/>
    </row>
    <row r="24" spans="1:5" s="182" customFormat="1" outlineLevel="1">
      <c r="A24" s="235"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5"/>
      <c r="C24" s="235"/>
      <c r="D24" s="235"/>
      <c r="E24" s="235"/>
    </row>
    <row r="25" spans="1:5" ht="27" customHeight="1" outlineLevel="1">
      <c r="A25" s="235" t="str">
        <f>IF('Общие данные'!B103='Общие данные'!C103,"-* davlat raqami: "&amp;'Общие данные'!B126&amp;"","-* manzili: "&amp;'Общие данные'!C123&amp;"")</f>
        <v>-* davlat raqami: 80T312WA</v>
      </c>
      <c r="B25" s="235"/>
      <c r="C25" s="235"/>
      <c r="D25" s="235"/>
      <c r="E25" s="235"/>
    </row>
    <row r="26" spans="1:5" ht="65.25" customHeight="1">
      <c r="A26" s="235"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-BR Mikroqarz shartnomasi bo‘yicha berilgan mikroqarz bo‘yicha  
40 500 000,00 (qirq million besh yuz ming so'm) so’m bo‘lgan kelishilgan garov qiymatida qabul qiladi::</v>
      </c>
      <c r="B26" s="235"/>
      <c r="C26" s="235"/>
      <c r="D26" s="235"/>
      <c r="E26" s="235"/>
    </row>
    <row r="27" spans="1:5" ht="66" hidden="1" customHeight="1">
      <c r="A27" s="235"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-BR mikroqarz shartnomasi bo‘yicha berilgan mikroqarz bo‘yicha  
40 500 000,00 (qirq million besh yuz ming so'm) so’m bo‘lgan kelishilgan garov qiymatida qabul qiladi::</v>
      </c>
      <c r="B27" s="235"/>
      <c r="C27" s="235"/>
      <c r="D27" s="235"/>
      <c r="E27" s="235"/>
    </row>
    <row r="28" spans="1:5" ht="58.5" hidden="1" customHeight="1">
      <c r="A28" s="235"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-BR Mikroqarz shartnomasi bo‘yicha berilgan mikroqarz bo‘yicha  
40 500 000,00 (qirq million besh yuz ming so'm) so’m bo‘lgan kelishilgan garov qiymatida qabul qiladi::</v>
      </c>
      <c r="B28" s="235"/>
      <c r="C28" s="235"/>
      <c r="D28" s="235"/>
      <c r="E28" s="235"/>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9" t="str">
        <f>""&amp;FIXED('Общие данные'!C136,2)&amp;" ("&amp;'Общие данные'!B137&amp;")"</f>
        <v>40 500 000,00 (qirq million besh yuz ming so'm)</v>
      </c>
    </row>
    <row r="34" spans="1:5" ht="15.75" hidden="1" customHeight="1" outlineLevel="1">
      <c r="A34" s="17"/>
      <c r="B34" s="111"/>
      <c r="C34" s="111"/>
      <c r="D34" s="111"/>
      <c r="E34" s="320"/>
    </row>
    <row r="35" spans="1:5" ht="15.75" hidden="1" customHeight="1" outlineLevel="1">
      <c r="A35" s="17" t="e">
        <f>#REF!</f>
        <v>#REF!</v>
      </c>
      <c r="B35" s="111" t="e">
        <f>#REF!</f>
        <v>#REF!</v>
      </c>
      <c r="C35" s="111" t="e">
        <f>#REF!</f>
        <v>#REF!</v>
      </c>
      <c r="D35" s="111" t="e">
        <f>#REF!</f>
        <v>#REF!</v>
      </c>
      <c r="E35" s="320"/>
    </row>
    <row r="36" spans="1:5" ht="15.75" hidden="1" customHeight="1" outlineLevel="1">
      <c r="A36" s="17" t="e">
        <f>#REF!</f>
        <v>#REF!</v>
      </c>
      <c r="B36" s="111" t="e">
        <f>#REF!</f>
        <v>#REF!</v>
      </c>
      <c r="C36" s="111" t="e">
        <f>#REF!</f>
        <v>#REF!</v>
      </c>
      <c r="D36" s="111" t="e">
        <f>#REF!</f>
        <v>#REF!</v>
      </c>
      <c r="E36" s="320"/>
    </row>
    <row r="37" spans="1:5" ht="15.75" hidden="1" customHeight="1" outlineLevel="1">
      <c r="A37" s="17" t="e">
        <f>#REF!</f>
        <v>#REF!</v>
      </c>
      <c r="B37" s="111" t="e">
        <f>#REF!</f>
        <v>#REF!</v>
      </c>
      <c r="C37" s="111" t="e">
        <f>#REF!</f>
        <v>#REF!</v>
      </c>
      <c r="D37" s="111" t="e">
        <f>#REF!</f>
        <v>#REF!</v>
      </c>
      <c r="E37" s="320"/>
    </row>
    <row r="38" spans="1:5" ht="15.75" hidden="1" customHeight="1" outlineLevel="1">
      <c r="A38" s="17" t="e">
        <f>#REF!</f>
        <v>#REF!</v>
      </c>
      <c r="B38" s="111" t="e">
        <f>#REF!</f>
        <v>#REF!</v>
      </c>
      <c r="C38" s="111" t="e">
        <f>#REF!</f>
        <v>#REF!</v>
      </c>
      <c r="D38" s="111" t="e">
        <f>#REF!</f>
        <v>#REF!</v>
      </c>
      <c r="E38" s="320"/>
    </row>
    <row r="39" spans="1:5" ht="15.75" hidden="1" customHeight="1" outlineLevel="1">
      <c r="A39" s="17" t="e">
        <f>#REF!</f>
        <v>#REF!</v>
      </c>
      <c r="B39" s="111" t="e">
        <f>#REF!</f>
        <v>#REF!</v>
      </c>
      <c r="C39" s="111" t="e">
        <f>#REF!</f>
        <v>#REF!</v>
      </c>
      <c r="D39" s="111" t="e">
        <f>#REF!</f>
        <v>#REF!</v>
      </c>
      <c r="E39" s="320"/>
    </row>
    <row r="40" spans="1:5" ht="15.75" hidden="1" customHeight="1" outlineLevel="1">
      <c r="A40" s="17" t="e">
        <f>#REF!</f>
        <v>#REF!</v>
      </c>
      <c r="B40" s="111" t="e">
        <f>#REF!</f>
        <v>#REF!</v>
      </c>
      <c r="C40" s="111" t="e">
        <f>#REF!</f>
        <v>#REF!</v>
      </c>
      <c r="D40" s="111" t="e">
        <f>#REF!</f>
        <v>#REF!</v>
      </c>
      <c r="E40" s="320"/>
    </row>
    <row r="41" spans="1:5" ht="15.75" hidden="1" customHeight="1" outlineLevel="1">
      <c r="A41" s="17" t="e">
        <f>#REF!</f>
        <v>#REF!</v>
      </c>
      <c r="B41" s="111" t="e">
        <f>#REF!</f>
        <v>#REF!</v>
      </c>
      <c r="C41" s="111" t="e">
        <f>#REF!</f>
        <v>#REF!</v>
      </c>
      <c r="D41" s="111" t="e">
        <f>#REF!</f>
        <v>#REF!</v>
      </c>
      <c r="E41" s="320"/>
    </row>
    <row r="42" spans="1:5" ht="15.75" hidden="1" customHeight="1" outlineLevel="1">
      <c r="A42" s="17" t="e">
        <f>#REF!</f>
        <v>#REF!</v>
      </c>
      <c r="B42" s="111" t="e">
        <f>#REF!</f>
        <v>#REF!</v>
      </c>
      <c r="C42" s="111" t="e">
        <f>#REF!</f>
        <v>#REF!</v>
      </c>
      <c r="D42" s="111" t="e">
        <f>#REF!</f>
        <v>#REF!</v>
      </c>
      <c r="E42" s="320"/>
    </row>
    <row r="43" spans="1:5" ht="15.75" hidden="1" customHeight="1" outlineLevel="1">
      <c r="A43" s="17" t="e">
        <f>#REF!</f>
        <v>#REF!</v>
      </c>
      <c r="B43" s="17" t="e">
        <f>#REF!</f>
        <v>#REF!</v>
      </c>
      <c r="C43" s="17" t="e">
        <f>#REF!</f>
        <v>#REF!</v>
      </c>
      <c r="D43" s="17" t="e">
        <f>#REF!</f>
        <v>#REF!</v>
      </c>
      <c r="E43" s="321"/>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5"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5"/>
      <c r="C46" s="235"/>
      <c r="D46" s="235"/>
      <c r="E46" s="235"/>
    </row>
    <row r="47" spans="1:5" ht="42" customHeight="1">
      <c r="A47" s="235" t="s">
        <v>211</v>
      </c>
      <c r="B47" s="235"/>
      <c r="C47" s="235"/>
      <c r="D47" s="235"/>
      <c r="E47" s="235"/>
    </row>
    <row r="48" spans="1:5" ht="35.25" customHeight="1">
      <c r="A48" s="235"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5"/>
      <c r="C48" s="235"/>
      <c r="D48" s="235"/>
      <c r="E48" s="235"/>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3" t="s">
        <v>212</v>
      </c>
      <c r="B50" s="313"/>
      <c r="C50" s="313"/>
      <c r="D50" s="22"/>
      <c r="E50" s="22"/>
    </row>
    <row r="51" spans="1:6">
      <c r="A51" s="238" t="str">
        <f>'Общие данные'!B148</f>
        <v>«CLEVER MIKROMOLIYA TASHKILOTI» MChJ</v>
      </c>
      <c r="B51" s="238"/>
      <c r="C51" s="238"/>
      <c r="D51" s="167"/>
      <c r="E51" s="167"/>
    </row>
    <row r="52" spans="1:6" ht="15" customHeight="1">
      <c r="A52" s="238" t="str">
        <f>""&amp;'Общие данные'!A150&amp;""</f>
        <v>Buxoro filiali boshlig'i</v>
      </c>
      <c r="B52" s="238"/>
      <c r="C52" s="238"/>
      <c r="D52" s="313" t="str">
        <f>"_______________   "&amp;'Общие данные'!B150&amp;""</f>
        <v>_______________   A.Xudayberdiyev</v>
      </c>
      <c r="E52" s="313"/>
    </row>
    <row r="53" spans="1:6">
      <c r="A53" s="53"/>
      <c r="B53" s="53"/>
      <c r="C53" s="53"/>
      <c r="D53" s="53"/>
      <c r="E53" s="53"/>
    </row>
    <row r="54" spans="1:6">
      <c r="A54" s="313"/>
      <c r="B54" s="313"/>
      <c r="C54" s="313"/>
      <c r="D54" s="53"/>
      <c r="E54" s="53"/>
    </row>
    <row r="55" spans="1:6" hidden="1">
      <c r="A55" s="238" t="s">
        <v>47</v>
      </c>
      <c r="B55" s="238"/>
      <c r="C55" s="238"/>
      <c r="D55" s="53"/>
      <c r="E55" s="53"/>
    </row>
    <row r="56" spans="1:6" hidden="1">
      <c r="A56" s="238" t="str">
        <f>'Общие данные'!B148</f>
        <v>«CLEVER MIKROMOLIYA TASHKILOTI» MChJ</v>
      </c>
      <c r="B56" s="238"/>
      <c r="C56" s="238"/>
      <c r="D56" s="238" t="str">
        <f>"_______________   "&amp;'Общие данные'!B159&amp;""</f>
        <v>_______________   B.Mominov</v>
      </c>
      <c r="E56" s="238"/>
    </row>
    <row r="57" spans="1:6" ht="12.75" customHeight="1">
      <c r="A57" s="238"/>
      <c r="B57" s="238"/>
      <c r="C57" s="238"/>
      <c r="D57" s="238"/>
      <c r="E57" s="238"/>
    </row>
    <row r="58" spans="1:6">
      <c r="A58" s="313" t="s">
        <v>213</v>
      </c>
      <c r="B58" s="313"/>
      <c r="C58" s="313"/>
      <c r="D58" s="238"/>
      <c r="E58" s="238"/>
    </row>
    <row r="59" spans="1:6" ht="31.5" customHeight="1">
      <c r="A59" s="238" t="s">
        <v>214</v>
      </c>
      <c r="B59" s="238"/>
      <c r="C59" s="238"/>
      <c r="D59" s="313" t="str">
        <f>"_______________  "&amp;'Общие данные'!B7&amp;""</f>
        <v>_______________  NUTFULLAYEV A.A.</v>
      </c>
      <c r="E59" s="313"/>
    </row>
    <row r="60" spans="1:6" ht="12.75" customHeight="1">
      <c r="A60" s="238"/>
      <c r="B60" s="238"/>
      <c r="C60" s="238"/>
      <c r="D60" s="318" t="str">
        <f>IF('Общие данные'!B93="да","",'Общие данные'!B118)</f>
        <v>NUTFULLAYEV A.A.</v>
      </c>
      <c r="E60" s="318"/>
    </row>
    <row r="61" spans="1:6" ht="17.25" hidden="1" customHeight="1">
      <c r="A61" s="313" t="str">
        <f>+IF('Общие данные'!B93="ha"," ","3-tomondan:")</f>
        <v xml:space="preserve"> </v>
      </c>
      <c r="B61" s="313"/>
      <c r="C61" s="313"/>
      <c r="D61" s="313"/>
      <c r="E61" s="313"/>
      <c r="F61" s="15" t="str">
        <f>IF('Общие данные'!B94='Общие данные'!D94,B7,"")</f>
        <v/>
      </c>
    </row>
    <row r="62" spans="1:6" ht="17.25" hidden="1" customHeight="1">
      <c r="A62" s="238" t="str">
        <f>+IF('Общие данные'!B93="ha"," ","O'zbekiston Respublikasi fuqarosi")</f>
        <v xml:space="preserve"> </v>
      </c>
      <c r="B62" s="238"/>
      <c r="C62" s="238"/>
      <c r="D62" s="313" t="str">
        <f>"_______________  "&amp;'Общие данные'!B112&amp;""</f>
        <v>_______________  NUTFULLAYEV A.A.</v>
      </c>
      <c r="E62" s="313"/>
    </row>
    <row r="63" spans="1:6" ht="63.75" hidden="1" customHeight="1">
      <c r="A63" s="190" t="str">
        <f>IF('Общие данные'!B94='Общие данные'!C94,"_______________  "&amp;'Общие данные'!B112&amp;"","_______________  "&amp;'Общие данные'!B7&amp;"")</f>
        <v>_______________  NUTFULLAYEV A.A.</v>
      </c>
      <c r="B63" s="53"/>
      <c r="C63" s="238" t="str">
        <f>'заявление залогодателя'!A20</f>
        <v/>
      </c>
      <c r="D63" s="238"/>
      <c r="E63" s="238"/>
    </row>
    <row r="64" spans="1:6" ht="6.75" customHeight="1">
      <c r="D64" s="259"/>
      <c r="E64" s="259"/>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2" t="str">
        <f>""&amp;'Общие данные'!B147&amp;" ijrochi direktorining
"&amp;'Общие данные'!B165&amp;"dagi "&amp;'Общие данные'!B164&amp;"-sonli buyrug‘i"</f>
        <v>«CLEVER MIKROMOLIYA TASHKILOTI» MChJ ijrochi direktorining
11 mart 2025 y.dagi № -BR-sonli buyrug‘i</v>
      </c>
      <c r="B4" s="262"/>
      <c r="C4" s="262"/>
      <c r="D4" s="262"/>
      <c r="E4" s="262"/>
    </row>
    <row r="5" spans="1:5">
      <c r="A5" s="262"/>
      <c r="B5" s="262"/>
      <c r="C5" s="262"/>
      <c r="D5" s="262"/>
      <c r="E5" s="262"/>
    </row>
    <row r="6" spans="1:5">
      <c r="A6" s="262"/>
      <c r="B6" s="262"/>
      <c r="C6" s="262"/>
      <c r="D6" s="262"/>
      <c r="E6" s="262"/>
    </row>
    <row r="7" spans="1:5">
      <c r="A7" s="235"/>
      <c r="B7" s="235"/>
      <c r="C7" s="235"/>
      <c r="D7" s="235"/>
      <c r="E7" s="235"/>
    </row>
    <row r="8" spans="1:5" ht="53.25" customHeight="1">
      <c r="A8" s="235"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5"/>
      <c r="C8" s="235"/>
      <c r="D8" s="235"/>
      <c r="E8" s="235"/>
    </row>
    <row r="9" spans="1:5" ht="26.25" customHeight="1">
      <c r="A9" s="235" t="str">
        <f>'Кредитная заявка'!A13:D13</f>
        <v>Mikroqarz summasi: 27 000 000,00 (yigirma yetti million so'm) so'm.</v>
      </c>
      <c r="B9" s="235"/>
      <c r="C9" s="235"/>
      <c r="D9" s="235"/>
      <c r="E9" s="235"/>
    </row>
    <row r="10" spans="1:5" ht="21" customHeight="1">
      <c r="A10" s="235" t="str">
        <f>'Кредитная заявка'!A14:D14</f>
        <v>Mikroqarz muddati: 36 (o'ttiz olti) oy.</v>
      </c>
      <c r="B10" s="235"/>
      <c r="C10" s="235"/>
      <c r="D10" s="235"/>
      <c r="E10" s="235"/>
    </row>
    <row r="11" spans="1:5" ht="27" customHeight="1">
      <c r="A11" s="235" t="str">
        <f>'Кредитная заявка'!A15:D15</f>
        <v>Mikroqarzdan foydalanganlik uchun foiz stavkasi: yillik  60% (Oltmish) foiz</v>
      </c>
      <c r="B11" s="235"/>
      <c r="C11" s="235"/>
      <c r="D11" s="235"/>
      <c r="E11" s="235"/>
    </row>
    <row r="12" spans="1:5" ht="26.25" customHeight="1">
      <c r="A12" s="235" t="str">
        <f>'Кредитная заявка'!A16:D16</f>
        <v>Mikroqarz bo'yicha asosiy qarz va foizlarni to'lash:</v>
      </c>
      <c r="B12" s="235"/>
      <c r="C12" s="235"/>
      <c r="D12" s="235"/>
      <c r="E12" s="235"/>
    </row>
    <row r="13" spans="1:5" ht="21.75" hidden="1" customHeight="1">
      <c r="A13" s="235" t="str">
        <f>'Кредитная заявка'!A17:D17</f>
        <v xml:space="preserve"> - mikroqarz shartnomasi bo'yicha har oy differensial to'lovlari amalga oshiriladi</v>
      </c>
      <c r="B13" s="235"/>
      <c r="C13" s="235"/>
      <c r="D13" s="235"/>
      <c r="E13" s="235"/>
    </row>
    <row r="14" spans="1:5" hidden="1">
      <c r="A14" s="235" t="str">
        <f>'Кредитная заявка'!A19:D19</f>
        <v xml:space="preserve"> - mikroqarz shartnomasi bo'yicha har oy differensial to'lovlari amalga oshiriladi</v>
      </c>
      <c r="B14" s="235"/>
      <c r="C14" s="235"/>
      <c r="D14" s="235"/>
      <c r="E14" s="235"/>
    </row>
    <row r="15" spans="1:5" ht="23.25" customHeight="1">
      <c r="A15" s="235" t="str">
        <f>IF('Общие данные'!B103="Avtotransport",'Приказ на сделку'!A14:E14,'Приказ на сделку'!A13:E13)</f>
        <v xml:space="preserve"> - mikroqarz shartnomasi bo'yicha har oy differensial to'lovlari amalga oshiriladi</v>
      </c>
      <c r="B15" s="235"/>
      <c r="C15" s="235"/>
      <c r="D15" s="235"/>
      <c r="E15" s="235"/>
    </row>
    <row r="16" spans="1:5" ht="45.75" customHeight="1">
      <c r="A16" s="238"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8"/>
      <c r="C16" s="238"/>
      <c r="D16" s="238"/>
      <c r="E16" s="238"/>
    </row>
    <row r="17" spans="1:5" ht="50.25" hidden="1" customHeight="1">
      <c r="A17" s="235"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5"/>
      <c r="C17" s="235"/>
      <c r="D17" s="235"/>
      <c r="E17" s="235"/>
    </row>
    <row r="18" spans="1:5" ht="47.25" hidden="1" customHeight="1">
      <c r="A18" s="235"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5"/>
      <c r="C18" s="235"/>
      <c r="D18" s="235"/>
      <c r="E18" s="235"/>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5" t="str">
        <f>'Акт согласования'!A22:E22</f>
        <v>-* avtotransport egasi: NUTFULLAYEV AKBARJON AXMEDOVICH</v>
      </c>
      <c r="B21" s="235"/>
      <c r="C21" s="235"/>
      <c r="D21" s="235"/>
      <c r="E21" s="235"/>
    </row>
    <row r="22" spans="1:5" ht="20.25" customHeight="1" outlineLevel="1">
      <c r="A22" s="235" t="str">
        <f>'Акт согласования'!A23:E23</f>
        <v>-* texnik pasport: AAG   2346592  13.09.2023y</v>
      </c>
      <c r="B22" s="235"/>
      <c r="C22" s="235"/>
      <c r="D22" s="235"/>
      <c r="E22" s="235"/>
    </row>
    <row r="23" spans="1:5" ht="36" customHeight="1" outlineLevel="1">
      <c r="A23" s="235" t="str">
        <f>'Акт согласования'!A24:E24</f>
        <v>-* roʻyxatdan oʻtgan manzili/garaj manzili: BUXORO VILOYATI BUXORO SHAHAR TADBIRKOR KO'CHASI 12-UY</v>
      </c>
      <c r="B23" s="235"/>
      <c r="C23" s="235"/>
      <c r="D23" s="235"/>
      <c r="E23" s="235"/>
    </row>
    <row r="24" spans="1:5" ht="35.25" customHeight="1" outlineLevel="1">
      <c r="A24" s="235" t="str">
        <f>'Акт согласования'!A25:E25</f>
        <v>-* davlat raqami: 80T312WA</v>
      </c>
      <c r="B24" s="235"/>
      <c r="C24" s="235"/>
      <c r="D24" s="235"/>
      <c r="E24" s="235"/>
    </row>
    <row r="25" spans="1:5">
      <c r="A25" s="235"/>
      <c r="B25" s="235"/>
      <c r="C25" s="235"/>
      <c r="D25" s="235"/>
      <c r="E25" s="235"/>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8"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8"/>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8"/>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8"/>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8"/>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8"/>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8"/>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8"/>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8"/>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8"/>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8"/>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5" t="e">
        <f>_xlfn.SINGLE('Акт согласования'!#REF!)</f>
        <v>#REF!</v>
      </c>
      <c r="B39" s="235"/>
      <c r="C39" s="235"/>
      <c r="D39" s="235"/>
      <c r="E39" s="235"/>
    </row>
    <row r="40" spans="1:5" s="37" customFormat="1" hidden="1" outlineLevel="1">
      <c r="A40" s="235" t="e">
        <f>_xlfn.SINGLE('Акт согласования'!#REF!)</f>
        <v>#REF!</v>
      </c>
      <c r="B40" s="235"/>
      <c r="C40" s="235"/>
      <c r="D40" s="235"/>
      <c r="E40" s="235"/>
    </row>
    <row r="41" spans="1:5" s="37" customFormat="1" hidden="1" outlineLevel="1">
      <c r="A41" s="235" t="e">
        <f>_xlfn.SINGLE('Акт согласования'!#REF!)</f>
        <v>#REF!</v>
      </c>
      <c r="B41" s="235"/>
      <c r="C41" s="235"/>
      <c r="D41" s="235"/>
      <c r="E41" s="235"/>
    </row>
    <row r="42" spans="1:5" s="37" customFormat="1" hidden="1" outlineLevel="1">
      <c r="A42" s="235" t="e">
        <f>_xlfn.SINGLE('Акт согласования'!#REF!)</f>
        <v>#REF!</v>
      </c>
      <c r="B42" s="235"/>
      <c r="C42" s="235"/>
      <c r="D42" s="235"/>
      <c r="E42" s="235"/>
    </row>
    <row r="43" spans="1:5" s="37" customFormat="1" collapsed="1">
      <c r="A43" s="235"/>
      <c r="B43" s="235"/>
      <c r="C43" s="235"/>
      <c r="D43" s="235"/>
      <c r="E43" s="235"/>
    </row>
    <row r="44" spans="1:5" s="37" customFormat="1">
      <c r="A44" s="235"/>
      <c r="B44" s="235"/>
      <c r="C44" s="235"/>
      <c r="D44" s="235"/>
      <c r="E44" s="235"/>
    </row>
    <row r="45" spans="1:5" s="37" customFormat="1" hidden="1">
      <c r="A45" s="235"/>
      <c r="B45" s="235"/>
      <c r="C45" s="235"/>
      <c r="D45" s="235"/>
      <c r="E45" s="235"/>
    </row>
    <row r="46" spans="1:5" s="37" customFormat="1" ht="14.25" hidden="1">
      <c r="A46" s="50"/>
      <c r="B46" s="50"/>
      <c r="C46" s="50"/>
      <c r="D46" s="50"/>
      <c r="E46" s="50"/>
    </row>
    <row r="47" spans="1:5" hidden="1">
      <c r="A47" s="235"/>
      <c r="B47" s="235"/>
      <c r="C47" s="235"/>
      <c r="D47" s="235"/>
      <c r="E47" s="235"/>
    </row>
    <row r="48" spans="1:5" ht="15" customHeight="1">
      <c r="A48" s="313" t="s">
        <v>381</v>
      </c>
      <c r="B48" s="313"/>
      <c r="C48" s="313"/>
      <c r="D48" s="322"/>
      <c r="E48" s="322"/>
    </row>
    <row r="49" spans="1:5" ht="15" customHeight="1">
      <c r="A49" s="313" t="s">
        <v>335</v>
      </c>
      <c r="B49" s="313"/>
      <c r="C49" s="313"/>
      <c r="D49" s="322" t="s">
        <v>382</v>
      </c>
      <c r="E49" s="322"/>
    </row>
    <row r="50" spans="1:5">
      <c r="A50" s="235"/>
      <c r="B50" s="235"/>
      <c r="C50" s="235"/>
      <c r="D50" s="235"/>
      <c r="E50" s="235"/>
    </row>
    <row r="51" spans="1:5">
      <c r="A51" s="235"/>
      <c r="B51" s="235"/>
      <c r="C51" s="235"/>
      <c r="D51" s="235"/>
      <c r="E51" s="235"/>
    </row>
    <row r="52" spans="1:5">
      <c r="A52" s="235"/>
      <c r="B52" s="235"/>
      <c r="C52" s="235"/>
      <c r="D52" s="235"/>
      <c r="E52" s="235"/>
    </row>
    <row r="53" spans="1:5">
      <c r="A53" s="235"/>
      <c r="B53" s="235"/>
      <c r="C53" s="235"/>
      <c r="D53" s="235"/>
      <c r="E53" s="235"/>
    </row>
    <row r="54" spans="1:5">
      <c r="A54" s="235"/>
      <c r="B54" s="235"/>
      <c r="C54" s="235"/>
      <c r="D54" s="235"/>
      <c r="E54" s="235"/>
    </row>
    <row r="55" spans="1:5">
      <c r="A55" s="235"/>
      <c r="B55" s="235"/>
      <c r="C55" s="235"/>
      <c r="D55" s="235"/>
      <c r="E55" s="235"/>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3" t="str">
        <f>'Общие данные'!B148</f>
        <v>«CLEVER MIKROMOLIYA TASHKILOTI» MChJ</v>
      </c>
      <c r="C2" s="334"/>
      <c r="D2" s="334"/>
      <c r="E2" s="334"/>
      <c r="F2" s="335"/>
      <c r="G2" s="41"/>
    </row>
    <row r="3" spans="2:7">
      <c r="B3" s="326"/>
      <c r="C3" s="261"/>
      <c r="D3" s="261"/>
      <c r="E3" s="261"/>
      <c r="F3" s="327"/>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6" t="s">
        <v>27</v>
      </c>
      <c r="C10" s="261"/>
      <c r="D10" s="261"/>
      <c r="E10" s="261"/>
      <c r="F10" s="327"/>
      <c r="G10" s="42"/>
    </row>
    <row r="11" spans="2:7">
      <c r="B11" s="326" t="s">
        <v>27</v>
      </c>
      <c r="C11" s="261"/>
      <c r="D11" s="261"/>
      <c r="E11" s="261"/>
      <c r="F11" s="327"/>
      <c r="G11" s="42"/>
    </row>
    <row r="12" spans="2:7" ht="135" customHeight="1">
      <c r="B12" s="336" t="str">
        <f>'Общие данные'!B5</f>
        <v>NUTFULLAYEV AKBARJON AXMEDOVICH</v>
      </c>
      <c r="C12" s="337"/>
      <c r="D12" s="337"/>
      <c r="E12" s="337"/>
      <c r="F12" s="338"/>
      <c r="G12" s="43"/>
    </row>
    <row r="13" spans="2:7">
      <c r="B13" s="326"/>
      <c r="C13" s="261"/>
      <c r="D13" s="261"/>
      <c r="E13" s="261"/>
      <c r="F13" s="327"/>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6"/>
      <c r="C18" s="261"/>
      <c r="D18" s="261"/>
      <c r="E18" s="261"/>
      <c r="F18" s="327"/>
      <c r="G18" s="42"/>
    </row>
    <row r="19" spans="2:7" ht="20.25">
      <c r="B19" s="330" t="str">
        <f>""&amp;'Общие данные'!C64&amp;" shartnoma "&amp;'Общие данные'!B74&amp;""</f>
        <v>Mikroqarz shartnoma 11 mart 2025 y.dan № -BR</v>
      </c>
      <c r="C19" s="331"/>
      <c r="D19" s="331"/>
      <c r="E19" s="331"/>
      <c r="F19" s="332"/>
      <c r="G19" s="42"/>
    </row>
    <row r="20" spans="2:7">
      <c r="B20" s="326"/>
      <c r="C20" s="261"/>
      <c r="D20" s="261"/>
      <c r="E20" s="261"/>
      <c r="F20" s="327"/>
      <c r="G20" s="42"/>
    </row>
    <row r="21" spans="2:7">
      <c r="B21" s="326"/>
      <c r="C21" s="261"/>
      <c r="D21" s="261"/>
      <c r="E21" s="261"/>
      <c r="F21" s="327"/>
      <c r="G21" s="42"/>
    </row>
    <row r="22" spans="2:7">
      <c r="B22" s="326"/>
      <c r="C22" s="261"/>
      <c r="D22" s="261"/>
      <c r="E22" s="261"/>
      <c r="F22" s="327"/>
      <c r="G22" s="42"/>
    </row>
    <row r="23" spans="2:7">
      <c r="B23" s="326"/>
      <c r="C23" s="261"/>
      <c r="D23" s="261"/>
      <c r="E23" s="261"/>
      <c r="F23" s="327"/>
      <c r="G23" s="42"/>
    </row>
    <row r="24" spans="2:7">
      <c r="B24" s="328" t="str">
        <f>" Foiz stavkasi: "&amp;'Общие данные'!B85&amp;"%"</f>
        <v xml:space="preserve"> Foiz stavkasi: 60%</v>
      </c>
      <c r="C24" s="234"/>
      <c r="D24" s="234"/>
      <c r="E24" s="234"/>
      <c r="F24" s="329"/>
      <c r="G24" s="42"/>
    </row>
    <row r="25" spans="2:7" ht="15" customHeight="1">
      <c r="B25" s="328" t="str">
        <f>" "&amp;'Общие данные'!C64&amp;" muddati: "&amp;'Общие данные'!B81&amp;" oy"</f>
        <v xml:space="preserve"> Mikroqarz muddati: 36 oy</v>
      </c>
      <c r="C25" s="234"/>
      <c r="D25" s="234"/>
      <c r="E25" s="234"/>
      <c r="F25" s="329"/>
      <c r="G25" s="42"/>
    </row>
    <row r="26" spans="2:7">
      <c r="B26" s="328" t="str">
        <f>" "&amp;'Общие данные'!C64&amp;" miqdori: "&amp;FIXED('Общие данные'!B75,2)&amp;" so'm"</f>
        <v xml:space="preserve"> Mikroqarz miqdori: 27 000 000,00 so'm</v>
      </c>
      <c r="C26" s="234"/>
      <c r="D26" s="234"/>
      <c r="E26" s="234"/>
      <c r="F26" s="329"/>
      <c r="G26" s="42"/>
    </row>
    <row r="27" spans="2:7">
      <c r="B27" s="326"/>
      <c r="C27" s="261"/>
      <c r="D27" s="261"/>
      <c r="E27" s="261"/>
      <c r="F27" s="327"/>
      <c r="G27" s="42"/>
    </row>
    <row r="28" spans="2:7" hidden="1">
      <c r="G28" s="42"/>
    </row>
    <row r="29" spans="2:7">
      <c r="B29" s="326"/>
      <c r="C29" s="261"/>
      <c r="D29" s="261"/>
      <c r="E29" s="261"/>
      <c r="F29" s="327"/>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3" t="str">
        <f>"Toshkent sh., "&amp;'Общие данные'!B70&amp;""</f>
        <v>Toshkent sh., 11 mart 2025 y.</v>
      </c>
      <c r="C40" s="324"/>
      <c r="D40" s="324"/>
      <c r="E40" s="324"/>
      <c r="F40" s="325"/>
      <c r="G40" s="42"/>
    </row>
    <row r="41" spans="2:7">
      <c r="B41" s="261"/>
      <c r="C41" s="261"/>
      <c r="D41" s="261"/>
      <c r="E41" s="261"/>
      <c r="F41" s="261"/>
      <c r="G41" s="42"/>
    </row>
    <row r="42" spans="2:7">
      <c r="B42" s="261"/>
      <c r="C42" s="261"/>
      <c r="D42" s="261"/>
      <c r="E42" s="261"/>
      <c r="F42" s="261"/>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0"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-BR, на сумму 27 000 000,00 (yigirma yetti million so'm) сум, сроком на 36 (o'ttiz olti) месяцев. В качестве своевременного исполнения обязательств по договору Микрозайма 11 mart 2025 y.dan № -BR планирует предоставить нижеследующее автотранспортного средство марки CHANGAN CHANGAN SC 1027SB принадлежащее на правах собственности NUTFULLAYEV AKBARJON AXMEDOVICH</v>
      </c>
      <c r="B9" s="340"/>
      <c r="C9" s="340"/>
      <c r="D9" s="340"/>
      <c r="E9" s="340"/>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4" t="str">
        <f>'Приказ на сделку'!A21:E21</f>
        <v>-* avtotransport egasi: NUTFULLAYEV AKBARJON AXMEDOVICH</v>
      </c>
      <c r="B13" s="344"/>
      <c r="C13" s="344"/>
      <c r="D13" s="344"/>
      <c r="E13" s="344"/>
    </row>
    <row r="14" spans="1:5">
      <c r="A14" s="344" t="str">
        <f>'Приказ на сделку'!A22:E22</f>
        <v>-* texnik pasport: AAG   2346592  13.09.2023y</v>
      </c>
      <c r="B14" s="344"/>
      <c r="C14" s="344"/>
      <c r="D14" s="344"/>
      <c r="E14" s="344"/>
    </row>
    <row r="15" spans="1:5">
      <c r="A15" s="344" t="str">
        <f>'Приказ на сделку'!A23:E23</f>
        <v>-* roʻyxatdan oʻtgan manzili/garaj manzili: BUXORO VILOYATI BUXORO SHAHAR TADBIRKOR KO'CHASI 12-UY</v>
      </c>
      <c r="B15" s="344"/>
      <c r="C15" s="344"/>
      <c r="D15" s="344"/>
      <c r="E15" s="344"/>
    </row>
    <row r="16" spans="1:5">
      <c r="A16" s="344" t="str">
        <f>'Приказ на сделку'!A24:E24</f>
        <v>-* davlat raqami: 80T312WA</v>
      </c>
      <c r="B16" s="344"/>
      <c r="C16" s="344"/>
      <c r="D16" s="344"/>
      <c r="E16" s="344"/>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9"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20"/>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20"/>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20"/>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20"/>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20"/>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20"/>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20"/>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20"/>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20"/>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1"/>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0" t="e">
        <f>_xlfn.SINGLE('Акт согласования'!#REF!)</f>
        <v>#REF!</v>
      </c>
      <c r="B32" s="340"/>
      <c r="C32" s="340"/>
      <c r="D32" s="340"/>
      <c r="E32" s="340"/>
    </row>
    <row r="33" spans="1:5" ht="24.75" hidden="1" customHeight="1">
      <c r="A33" s="340" t="e">
        <f>_xlfn.SINGLE('Акт согласования'!#REF!)</f>
        <v>#REF!</v>
      </c>
      <c r="B33" s="340"/>
      <c r="C33" s="340"/>
      <c r="D33" s="340"/>
      <c r="E33" s="340"/>
    </row>
    <row r="34" spans="1:5" ht="30.75" hidden="1" customHeight="1">
      <c r="A34" s="340" t="e">
        <f>_xlfn.SINGLE('Акт согласования'!#REF!)</f>
        <v>#REF!</v>
      </c>
      <c r="B34" s="340"/>
      <c r="C34" s="340"/>
      <c r="D34" s="340"/>
      <c r="E34" s="340"/>
    </row>
    <row r="35" spans="1:5" ht="15" hidden="1" customHeight="1">
      <c r="A35" s="340" t="e">
        <f>_xlfn.SINGLE('Акт согласования'!#REF!)</f>
        <v>#REF!</v>
      </c>
      <c r="B35" s="340"/>
      <c r="C35" s="340"/>
      <c r="D35" s="340"/>
      <c r="E35" s="340"/>
    </row>
    <row r="36" spans="1:5">
      <c r="A36" s="22"/>
      <c r="B36" s="22"/>
      <c r="C36" s="22"/>
      <c r="D36" s="22"/>
      <c r="E36" s="22"/>
    </row>
    <row r="37" spans="1:5" s="130" customFormat="1" ht="51" customHeight="1">
      <c r="A37" s="343"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3"/>
      <c r="C37" s="343"/>
      <c r="D37" s="343"/>
      <c r="E37" s="343"/>
    </row>
    <row r="38" spans="1:5" ht="40.5" customHeight="1">
      <c r="A38" s="340" t="str">
        <f>'Акт согласования'!A47:E47</f>
        <v>Shu bilan birga, garov predmetining kelishilgan garov qiymati deganda ushbu mulk garov sifatida taqdim etilgan/qabul qilingan qiymati tushuniladi.</v>
      </c>
      <c r="B38" s="340"/>
      <c r="C38" s="340"/>
      <c r="D38" s="340"/>
      <c r="E38" s="340"/>
    </row>
    <row r="39" spans="1:5" ht="39" customHeight="1">
      <c r="A39" s="340"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-BR, при сохранении запрета.</v>
      </c>
      <c r="B39" s="340"/>
      <c r="C39" s="340"/>
      <c r="D39" s="340"/>
      <c r="E39" s="340"/>
    </row>
    <row r="40" spans="1:5">
      <c r="A40" s="341"/>
      <c r="B40" s="341"/>
      <c r="C40" s="341"/>
      <c r="D40" s="341"/>
      <c r="E40" s="341"/>
    </row>
    <row r="41" spans="1:5">
      <c r="A41" s="342" t="s">
        <v>37</v>
      </c>
      <c r="B41" s="342"/>
      <c r="C41" s="342"/>
      <c r="D41" s="342"/>
      <c r="E41" s="342"/>
    </row>
    <row r="42" spans="1:5">
      <c r="A42" s="341"/>
      <c r="B42" s="341"/>
      <c r="C42" s="341"/>
      <c r="D42" s="341"/>
      <c r="E42" s="341"/>
    </row>
    <row r="43" spans="1:5">
      <c r="A43" s="342" t="s">
        <v>38</v>
      </c>
      <c r="B43" s="342"/>
      <c r="C43" s="342"/>
      <c r="D43" s="342"/>
      <c r="E43" s="342"/>
    </row>
    <row r="44" spans="1:5" ht="28.5" customHeight="1">
      <c r="A44" s="339" t="s">
        <v>39</v>
      </c>
      <c r="B44" s="339"/>
      <c r="C44" s="339"/>
      <c r="D44" s="339"/>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-BR-sonli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F5" s="156"/>
      <c r="H5" s="141" t="str">
        <f>TEXT('Общие данные'!D2,"ДД.ММ.ГГГГ")</f>
        <v>07.09.2025</v>
      </c>
    </row>
    <row r="7" spans="1:9" ht="45" customHeight="1">
      <c r="A7" s="346"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Buxoro filiali boshlig'ii A.Xudayberdiyev, jismoniy shaxs  NUTFULLAYEV AKBARJON AXMEDOVICH  11 mart 2025 y.dan № -BR-sonli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'Акт согласования'!A20</f>
        <v>Nomi</v>
      </c>
      <c r="B9" s="352"/>
      <c r="C9" s="351" t="str">
        <f>'Акт согласования'!B20</f>
        <v>Kuzov turi  va kuzov raqami*</v>
      </c>
      <c r="D9" s="352"/>
      <c r="E9" s="351" t="str">
        <f>'Акт согласования'!D20</f>
        <v>Dvigatel va shassi raqami*</v>
      </c>
      <c r="F9" s="352"/>
      <c r="G9" s="351" t="str">
        <f>'Акт согласования'!E20</f>
        <v>Ishlab chiqarilgan yili va rangi**</v>
      </c>
      <c r="H9" s="352"/>
    </row>
    <row r="10" spans="1:9" s="140" customFormat="1" ht="58.5" customHeight="1">
      <c r="A10" s="353" t="str">
        <f>'Акт согласования'!A21</f>
        <v>CHANGAN CHANGAN SC 1027SB</v>
      </c>
      <c r="B10" s="353"/>
      <c r="C10" s="353" t="str">
        <f>'Акт согласования'!B21</f>
        <v>kuzov turi - YUK BORTLI TENT, kuzov raqami LSCAB23D8EG228387</v>
      </c>
      <c r="D10" s="353"/>
      <c r="E10" s="353" t="str">
        <f>'Акт согласования'!D21</f>
        <v>dvigatel raqami JL466Q1%E61H022801, shassi raqami - URINDIKLAR SONI 5TA</v>
      </c>
      <c r="F10" s="353"/>
      <c r="G10" s="353" t="str">
        <f>'Акт согласования'!E21</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27" customHeight="1">
      <c r="A17" s="349" t="s">
        <v>277</v>
      </c>
      <c r="B17" s="349"/>
      <c r="C17" s="349"/>
      <c r="D17" s="349"/>
      <c r="E17" s="349"/>
      <c r="F17" s="349"/>
      <c r="G17" s="349"/>
      <c r="H17" s="349"/>
    </row>
    <row r="21" spans="1:8" s="31" customFormat="1"/>
    <row r="22" spans="1:8" s="31" customFormat="1">
      <c r="A22" s="31" t="str">
        <f>'Общие данные'!A150</f>
        <v>Buxoro filiali boshlig'i</v>
      </c>
      <c r="H22" s="143" t="str">
        <f>'Общие данные'!B150</f>
        <v>A.Xudayberdiyev</v>
      </c>
    </row>
    <row r="23" spans="1:8" s="31" customFormat="1" ht="32.25" customHeight="1">
      <c r="H23" s="143"/>
    </row>
    <row r="24" spans="1:8" s="31" customFormat="1" ht="16.5" customHeight="1">
      <c r="A24" s="31" t="s">
        <v>278</v>
      </c>
      <c r="H24" s="31" t="str">
        <f>'Общие данные'!B160</f>
        <v>B.Jumanazarov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-BR-sonli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данные'!B2+360,"ДД.ММ.ГГГГ")</f>
        <v>06.03.2026</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Buxoro filiali boshlig'ii A.Xudayberdiyev, jismoniy shaxs  NUTFULLAYEV AKBARJON AXMEDOVICH  11 mart 2025 y.dan № -BR-sonli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3" t="str">
        <f>' Акт мониторинга 1'!A10</f>
        <v>CHANGAN CHANGAN SC 1027SB</v>
      </c>
      <c r="B10" s="353"/>
      <c r="C10" s="353" t="str">
        <f>' Акт мониторинга 1'!C10</f>
        <v>kuzov turi - YUK BORTLI TENT, kuzov raqami LSCAB23D8EG228387</v>
      </c>
      <c r="D10" s="353"/>
      <c r="E10" s="353" t="str">
        <f>' Акт мониторинга 1'!E10</f>
        <v>dvigatel raqami JL466Q1%E61H022801, shassi raqami - URINDIKLAR SONI 5TA</v>
      </c>
      <c r="F10" s="353"/>
      <c r="G10" s="353" t="str">
        <f>' Акт мониторинга 1'!G10</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35.25" customHeight="1">
      <c r="A17" s="349" t="s">
        <v>277</v>
      </c>
      <c r="B17" s="349"/>
      <c r="C17" s="349"/>
      <c r="D17" s="349"/>
      <c r="E17" s="349"/>
      <c r="F17" s="349"/>
      <c r="G17" s="349"/>
      <c r="H17" s="349"/>
    </row>
    <row r="21" spans="1:8" s="31" customFormat="1"/>
    <row r="22" spans="1:8" s="31" customFormat="1">
      <c r="A22" s="31" t="str">
        <f>'Общие данные'!A150</f>
        <v>Buxoro filiali boshlig'i</v>
      </c>
      <c r="H22" s="143" t="str">
        <f>'Общие данные'!B150</f>
        <v>A.Xudayberdiyev</v>
      </c>
    </row>
    <row r="23" spans="1:8" s="31" customFormat="1" ht="32.25" customHeight="1">
      <c r="H23" s="143"/>
    </row>
    <row r="24" spans="1:8" s="31" customFormat="1" ht="16.5" customHeight="1">
      <c r="A24" s="31" t="s">
        <v>278</v>
      </c>
      <c r="H24" s="31" t="str">
        <f>'Общие данные'!B160</f>
        <v>B.Jumanazarov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-BR-sonli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данные'!B2+540,"ДД.ММ.ГГГГ")</f>
        <v>02.09.2026</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Buxoro filiali boshlig'ii A.Xudayberdiyev, jismoniy shaxs  NUTFULLAYEV AKBARJON AXMEDOVICH  11 mart 2025 y.dan № -BR-sonli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4" t="str">
        <f>' Акт мониторинга 1'!A10</f>
        <v>CHANGAN CHANGAN SC 1027SB</v>
      </c>
      <c r="B10" s="355"/>
      <c r="C10" s="354" t="str">
        <f>' Акт мониторинга 1'!C10</f>
        <v>kuzov turi - YUK BORTLI TENT, kuzov raqami LSCAB23D8EG228387</v>
      </c>
      <c r="D10" s="355"/>
      <c r="E10" s="354" t="str">
        <f>' Акт мониторинга 1'!E10</f>
        <v>dvigatel raqami JL466Q1%E61H022801, shassi raqami - URINDIKLAR SONI 5TA</v>
      </c>
      <c r="F10" s="355"/>
      <c r="G10" s="354" t="str">
        <f>' Акт мониторинга 1'!G10</f>
        <v>rangi -  OQ BELIY, ishlab chiqarilgan yili - 2014</v>
      </c>
      <c r="H10" s="355"/>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s="140" customFormat="1" ht="32.25" customHeight="1">
      <c r="A17" s="349" t="s">
        <v>277</v>
      </c>
      <c r="B17" s="349"/>
      <c r="C17" s="349"/>
      <c r="D17" s="349"/>
      <c r="E17" s="349"/>
      <c r="F17" s="349"/>
      <c r="G17" s="349"/>
      <c r="H17" s="349"/>
    </row>
    <row r="21" spans="1:8" s="31" customFormat="1"/>
    <row r="22" spans="1:8" s="31" customFormat="1">
      <c r="A22" s="31" t="str">
        <f>'Общие данные'!A150</f>
        <v>Buxoro filiali boshlig'i</v>
      </c>
      <c r="H22" s="143" t="str">
        <f>'Общие данные'!B150</f>
        <v>A.Xudayberdiyev</v>
      </c>
    </row>
    <row r="23" spans="1:8" s="31" customFormat="1" ht="32.25" customHeight="1">
      <c r="H23" s="143"/>
    </row>
    <row r="24" spans="1:8" s="31" customFormat="1" ht="16.5" customHeight="1">
      <c r="A24" s="31" t="s">
        <v>278</v>
      </c>
      <c r="H24" s="31" t="str">
        <f>'Общие данные'!B160</f>
        <v>B.Jumanazarov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-BR-sonli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данные'!B2+720,"ДД.ММ.ГГГГ")</f>
        <v>01.03.2027</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Buxoro filiali boshlig'ii A.Xudayberdiyev, jismoniy shaxs  NUTFULLAYEV AKBARJON AXMEDOVICH  11 mart 2025 y.dan № -BR-sonli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3" t="str">
        <f>' Акт мониторинга 1'!A10</f>
        <v>CHANGAN CHANGAN SC 1027SB</v>
      </c>
      <c r="B10" s="353"/>
      <c r="C10" s="353" t="str">
        <f>' Акт мониторинга 1'!C10</f>
        <v>kuzov turi - YUK BORTLI TENT, kuzov raqami LSCAB23D8EG228387</v>
      </c>
      <c r="D10" s="353"/>
      <c r="E10" s="353" t="str">
        <f>' Акт мониторинга 1'!E10</f>
        <v>dvigatel raqami JL466Q1%E61H022801, shassi raqami - URINDIKLAR SONI 5TA</v>
      </c>
      <c r="F10" s="353"/>
      <c r="G10" s="353" t="str">
        <f>' Акт мониторинга 1'!G10</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28.5" customHeight="1">
      <c r="A17" s="349" t="s">
        <v>277</v>
      </c>
      <c r="B17" s="349"/>
      <c r="C17" s="349"/>
      <c r="D17" s="349"/>
      <c r="E17" s="349"/>
      <c r="F17" s="349"/>
      <c r="G17" s="349"/>
      <c r="H17" s="349"/>
    </row>
    <row r="21" spans="1:8" s="31" customFormat="1"/>
    <row r="22" spans="1:8" s="31" customFormat="1">
      <c r="A22" s="31" t="str">
        <f>'Общие данные'!A150</f>
        <v>Buxoro filiali boshlig'i</v>
      </c>
      <c r="H22" s="143" t="str">
        <f>'Общие данные'!B150</f>
        <v>A.Xudayberdiyev</v>
      </c>
    </row>
    <row r="23" spans="1:8" s="31" customFormat="1" ht="32.25" customHeight="1">
      <c r="H23" s="143"/>
    </row>
    <row r="24" spans="1:8" s="31" customFormat="1" ht="16.5" customHeight="1">
      <c r="A24" s="31" t="s">
        <v>278</v>
      </c>
      <c r="H24" s="31" t="str">
        <f>'Общие данные'!B160</f>
        <v>B.Jumanazarov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2025-03-13T11:39:11Z</dcterms:modified>
</cp:coreProperties>
</file>