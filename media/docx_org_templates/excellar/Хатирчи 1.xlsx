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C:\Users\Ruslanbek\Desktop\Клевер\Готовые\"/>
    </mc:Choice>
  </mc:AlternateContent>
  <bookViews>
    <workbookView xWindow="-120" yWindow="-120" windowWidth="29040" windowHeight="15840" tabRatio="915" firstSheet="3" activeTab="3"/>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E51" i="3"/>
  <c r="A51" i="3"/>
  <c r="A59" i="3"/>
  <c r="A57" i="3"/>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a="1"/>
  <c r="B39"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<sst xmlns="http://schemas.openxmlformats.org/spreadsheetml/2006/main" count="591" uniqueCount="433">
  <si>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</si>
  <si>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</si>
  <si>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</si>
  <si>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</si>
  <si>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</si>
  <si>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</si>
  <si>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</si>
  <si>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</si>
  <si>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</si>
  <si>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</si>
  <si>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</si>
  <si>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</si>
  <si>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</si>
  <si>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</si>
  <si>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</si>
  <si>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</si>
  <si>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</si>
  <si>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</si>
  <si>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</si>
  <si>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</si>
  <si>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</si>
  <si>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</si>
  <si>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</si>
  <si>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</si>
  <si>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</si>
  <si>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</si>
  <si>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</si>
  <si>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</si>
  <si>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</si>
  <si>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</si>
  <si>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</si>
  <si>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</si>
  <si>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</si>
  <si>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</si>
  <si>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</si>
  <si>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</si>
  <si>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</si>
  <si>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</si>
  <si>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</si>
  <si>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</si>
  <si>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</si>
  <si>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</si>
  <si>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</si>
  <si>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</si>
  <si>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</si>
  <si>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</si>
  <si>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</si>
  <si>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</si>
  <si>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</si>
  <si>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</si>
  <si>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</si>
  <si>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</si>
  <si>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</si>
  <si>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</si>
  <si>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</si>
  <si>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</si>
  <si>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</si>
  <si>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</si>
  <si>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</si>
  <si>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</si>
  <si>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</si>
  <si>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</si>
  <si>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</si>
  <si>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</si>
  <si>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</si>
  <si>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</si>
  <si>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</si>
  <si>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</si>
  <si>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</si>
  <si>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</si>
  <si>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</si>
  <si>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</si>
  <si>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</si>
  <si>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</si>
  <si>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</si>
  <si>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</si>
  <si>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</si>
  <si>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</si>
  <si>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</si>
  <si>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</si>
  <si>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</si>
  <si>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</si>
  <si>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</si>
  <si>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</si>
  <si>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</si>
  <si>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</si>
  <si>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</si>
  <si>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</si>
  <si>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</si>
  <si>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</si>
  <si>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</si>
  <si>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</si>
  <si>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</si>
  <si>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</si>
  <si>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</si>
  <si>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</si>
  <si>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</si>
  <si>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</si>
  <si>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</si>
  <si>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</si>
  <si>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</si>
  <si>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</si>
  <si>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</si>
  <si>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</si>
  <si>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</si>
  <si>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</si>
  <si>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</si>
  <si>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</si>
  <si>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</si>
  <si>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</si>
  <si>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</si>
  <si>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</si>
  <si>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</si>
  <si>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</si>
  <si>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</si>
  <si>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</si>
  <si>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</si>
  <si>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</si>
  <si>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</si>
  <si>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</si>
  <si>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</si>
  <si>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</si>
  <si>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</si>
  <si>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</si>
  <si>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</si>
  <si>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</si>
  <si>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</si>
  <si>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</si>
  <si>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</si>
  <si>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</si>
  <si>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</si>
  <si>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</si>
  <si>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</si>
  <si>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</si>
  <si>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</si>
  <si>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</si>
  <si>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</si>
  <si>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</si>
  <si>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</si>
  <si>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</si>
  <si>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</si>
  <si>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</si>
  <si>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</si>
  <si>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</si>
  <si>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</si>
  <si>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</si>
  <si>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</si>
  <si>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</si>
  <si>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</si>
  <si>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</si>
  <si>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</si>
  <si>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</si>
  <si>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</si>
  <si>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</si>
  <si>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</si>
  <si>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</si>
  <si>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</si>
  <si>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</si>
  <si>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</si>
  <si>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</si>
  <si>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</si>
  <si>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</si>
  <si>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</si>
  <si>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</si>
  <si>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</si>
  <si>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</si>
  <si>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</si>
  <si>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</si>
  <si>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</si>
  <si>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</si>
  <si>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</si>
  <si>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</si>
  <si>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</si>
  <si>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</si>
  <si>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</si>
  <si>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</si>
  <si>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</si>
  <si>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</si>
  <si>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</si>
  <si>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</si>
  <si>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</si>
  <si>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</si>
  <si>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</si>
  <si>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</si>
  <si>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</si>
  <si>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</si>
  <si>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</si>
  <si>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</si>
  <si>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</si>
  <si>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</si>
  <si>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</si>
  <si>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</si>
  <si>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</si>
  <si>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</si>
  <si>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</si>
  <si>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</si>
  <si>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</si>
  <si>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</si>
  <si>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</si>
  <si>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</si>
  <si>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</si>
  <si>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</si>
  <si>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</si>
  <si>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</si>
  <si>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</si>
  <si>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</si>
  <si>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</si>
  <si>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</si>
  <si>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</si>
  <si>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</si>
  <si>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</si>
  <si>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</si>
  <si>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</si>
  <si>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</si>
  <si>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</si>
  <si>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</si>
  <si>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</si>
  <si>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</si>
  <si>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</si>
  <si>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</si>
  <si>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</si>
  <si>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</si>
  <si>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</si>
  <si>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</si>
  <si>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</si>
  <si>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</si>
  <si>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</si>
  <si>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</si>
  <si>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</si>
  <si>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</si>
  <si>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</si>
  <si>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</si>
  <si>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</si>
  <si>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</si>
  <si>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</si>
  <si>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</si>
  <si>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</si>
  <si>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</si>
  <si>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</si>
  <si>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</si>
  <si>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</si>
  <si>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</si>
  <si>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</si>
  <si>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</si>
  <si>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</si>
  <si>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</si>
  <si>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</si>
  <si>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</si>
  <si>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</si>
  <si>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</si>
  <si>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</si>
  <si>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</si>
  <si>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</si>
  <si>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</si>
  <si>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</si>
  <si>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</si>
  <si>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</si>
  <si>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</si>
  <si>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</si>
  <si>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</si>
  <si>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</si>
  <si>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</si>
  <si>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</si>
  <si>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</si>
  <si>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</si>
  <si>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</si>
  <si>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</si>
  <si>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</si>
  <si>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</si>
  <si>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</si>
  <si>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</si>
  <si>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</si>
  <si>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</si>
  <si>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</si>
  <si>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</si>
  <si>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</si>
  <si>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</si>
  <si>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</si>
  <si>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</si>
  <si>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</si>
  <si>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</si>
  <si>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</si>
  <si>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</si>
  <si>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</si>
  <si>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</si>
  <si>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</si>
  <si>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</si>
  <si>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</si>
  <si>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</si>
  <si>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</si>
  <si>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</si>
  <si>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</si>
  <si>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</si>
  <si>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</si>
  <si>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</si>
  <si>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</si>
  <si>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</si>
  <si>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</si>
  <si>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</si>
  <si>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</si>
  <si>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</si>
  <si>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</si>
  <si>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</si>
  <si>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</si>
  <si>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</si>
  <si>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</si>
  <si>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</si>
  <si>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</si>
  <si>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</si>
  <si>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</si>
  <si>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</si>
  <si>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</si>
  <si>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</si>
  <si>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</si>
  <si>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</si>
  <si>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</si>
  <si>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</si>
  <si>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</si>
  <si>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</si>
  <si>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</si>
  <si>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</si>
  <si>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</si>
  <si>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</si>
  <si>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</si>
  <si>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</si>
  <si>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</si>
  <si>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</si>
  <si>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</si>
  <si>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</si>
  <si>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</si>
  <si>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</si>
  <si>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</si>
  <si>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</si>
  <si>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</si>
  <si>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</si>
  <si>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</si>
  <si>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</si>
  <si>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</si>
  <si>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</si>
  <si>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</si>
  <si>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</si>
  <si>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</si>
  <si>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</si>
  <si>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</si>
  <si>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</si>
  <si>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</si>
  <si>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</si>
  <si>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</si>
  <si>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</si>
  <si>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</si>
  <si>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</si>
  <si>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</si>
  <si>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</si>
  <si>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</si>
  <si>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</si>
  <si>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</si>
  <si>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</si>
  <si>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</si>
  <si>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</si>
  <si>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</si>
  <si>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</si>
  <si>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</si>
  <si>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</si>
  <si>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</si>
  <si>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</si>
  <si>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</si>
  <si>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</si>
  <si>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</si>
  <si>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</si>
  <si>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</si>
  <si>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</si>
  <si>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</si>
  <si>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</si>
  <si>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</si>
  <si>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</si>
  <si>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</si>
  <si>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</si>
  <si>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</si>
  <si>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</si>
  <si>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</si>
  <si>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</si>
  <si>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</si>
  <si>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</si>
  <si>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</si>
  <si>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</si>
  <si>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</si>
  <si>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</si>
  <si>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</si>
  <si>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</si>
  <si>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</si>
  <si>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</si>
  <si>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</si>
  <si>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</si>
  <si>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</si>
  <si>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</si>
  <si>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</si>
  <si>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</si>
  <si>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</si>
  <si>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</si>
  <si>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</si>
  <si>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Abduraximov N.K.</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</si>
  <si>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</si>
  <si>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</si>
  <si>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</si>
  <si>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</si>
  <si>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</si>
  <si>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</si>
  <si>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</si>
  <si>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</si>
  <si>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</si>
  <si>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</si>
  <si>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</si>
  <si>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</si>
  <si>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</si>
  <si>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</si>
  <si>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</si>
  <si>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</si>
  <si>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</si>
  <si>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</si>
  <si>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</si>
  <si>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</si>
  <si>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</si>
  <si>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</si>
  <si>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</si>
  <si>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</si>
  <si>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</si>
  <si>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</si>
  <si>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</si>
  <si>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</si>
  <si>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-XT</t>
  </si>
  <si>
    <t>Xatirchi  filial boshlig'i</t>
  </si>
  <si>
    <t>XAYRIYEV SH.B.</t>
  </si>
  <si>
    <t>XAYRIYEV SHERALI BO'RIBOYEVICH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</si>
</sst>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 _₽_-;\-* #,##0.00\ _₽_-;_-* &quot;-&quot;??\ _₽_-;_-@_-"/>
    <numFmt numFmtId="164" formatCode="_-* #,##0.00_-;\-* #,##0.00_-;_-* &quot;-&quot;??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 numFmtId="171" formatCode="_-* #,##0_-;\-* #,##0_-;_-* &quot;-&quot;_-;_-@_-"/>
  </numFmts>
  <fonts count="6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b/>
      <sz val="11"/>
      <color theme="1"/>
      <name val="Arial"/>
      <charset val="204"/>
    </font>
    <font>
      <sz val="11"/>
      <color theme="1"/>
      <name val="Arial"/>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4">
    <xf numFmtId="0" fontId="0"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56" fillId="0" borderId="0">
      <alignment vertical="center"/>
    </xf>
    <xf numFmtId="0" fontId="56" fillId="0" borderId="0">
      <alignment vertical="center"/>
    </xf>
    <xf numFmtId="164"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49">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164"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43"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164" fontId="19" fillId="0" borderId="1" xfId="1" applyFont="1" applyBorder="1" applyAlignment="1">
      <alignment horizontal="center" vertical="top" wrapText="1"/>
    </xf>
    <xf numFmtId="0" fontId="18" fillId="0" borderId="1" xfId="0" applyFont="1" applyBorder="1" applyAlignment="1">
      <alignment horizontal="center" vertical="top" wrapText="1"/>
    </xf>
    <xf numFmtId="164"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164" fontId="16" fillId="0" borderId="1" xfId="1" applyFont="1" applyBorder="1"/>
    <xf numFmtId="14" fontId="16" fillId="0" borderId="0" xfId="0" applyNumberFormat="1" applyFont="1"/>
    <xf numFmtId="164"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164"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164" fontId="29" fillId="0" borderId="1" xfId="1" applyFont="1" applyBorder="1"/>
    <xf numFmtId="164"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164"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43"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164" fontId="36" fillId="0" borderId="1" xfId="1" applyFont="1" applyBorder="1"/>
    <xf numFmtId="14" fontId="29" fillId="0" borderId="0" xfId="0" applyNumberFormat="1" applyFont="1"/>
    <xf numFmtId="164"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164"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164"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43"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43"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164"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43"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164"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43" fontId="8" fillId="10" borderId="1" xfId="0" applyNumberFormat="1" applyFont="1" applyFill="1" applyBorder="1" applyAlignment="1">
      <alignment vertical="center" wrapText="1"/>
    </xf>
    <xf numFmtId="43"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64" fillId="0" borderId="1" xfId="593" applyFont="1" applyBorder="1" applyAlignment="1">
      <alignment vertical="center" wrapText="1"/>
    </xf>
    <xf numFmtId="0" fontId="63" fillId="2" borderId="1" xfId="593" applyFont="1" applyFill="1" applyBorder="1" applyAlignment="1">
      <alignment vertical="center" wrapText="1"/>
    </xf>
    <xf numFmtId="0" fontId="63" fillId="2" borderId="1" xfId="593" applyFont="1" applyFill="1" applyBorder="1" applyAlignment="1">
      <alignment vertical="center" wrapText="1"/>
    </xf>
    <xf numFmtId="0" fontId="64" fillId="0" borderId="1" xfId="593" applyFont="1" applyBorder="1" applyAlignment="1">
      <alignment vertical="center" wrapText="1"/>
    </xf>
  </cellXfs>
  <cellStyles count="1804">
    <cellStyle name="Обычный" xfId="0" builtinId="0"/>
    <cellStyle name="Обычный 10" xfId="72"/>
    <cellStyle name="Обычный 10 2" xfId="208"/>
    <cellStyle name="Обычный 10 2 2" xfId="480"/>
    <cellStyle name="Обычный 10 2 2 2" xfId="591"/>
    <cellStyle name="Обычный 10 2 3" xfId="575"/>
    <cellStyle name="Обычный 10 2 4" xfId="1712"/>
    <cellStyle name="Обычный 10 2 5" xfId="1801"/>
    <cellStyle name="Обычный 10 3" xfId="344"/>
    <cellStyle name="Обычный 10 3 2" xfId="583"/>
    <cellStyle name="Обычный 10 4" xfId="601"/>
    <cellStyle name="Обычный 10 4 2" xfId="1055"/>
    <cellStyle name="Обычный 10 5" xfId="567"/>
    <cellStyle name="Обычный 10 6" xfId="1576"/>
    <cellStyle name="Обычный 10 7" xfId="803"/>
    <cellStyle name="Обычный 10 8" xfId="1793"/>
    <cellStyle name="Обычный 11" xfId="73"/>
    <cellStyle name="Обычный 11 2" xfId="209"/>
    <cellStyle name="Обычный 11 2 2" xfId="481"/>
    <cellStyle name="Обычный 11 2 2 2" xfId="592"/>
    <cellStyle name="Обычный 11 2 3" xfId="576"/>
    <cellStyle name="Обычный 11 2 4" xfId="1713"/>
    <cellStyle name="Обычный 11 2 5" xfId="1802"/>
    <cellStyle name="Обычный 11 3" xfId="345"/>
    <cellStyle name="Обычный 11 3 2" xfId="584"/>
    <cellStyle name="Обычный 11 4" xfId="617"/>
    <cellStyle name="Обычный 11 4 2" xfId="1056"/>
    <cellStyle name="Обычный 11 5" xfId="568"/>
    <cellStyle name="Обычный 11 6" xfId="1577"/>
    <cellStyle name="Обычный 11 7" xfId="804"/>
    <cellStyle name="Обычный 11 8" xfId="1794"/>
    <cellStyle name="Обычный 12" xfId="593"/>
    <cellStyle name="Обычный 2" xfId="63"/>
    <cellStyle name="Обычный 2 2" xfId="615"/>
    <cellStyle name="Обычный 3" xfId="64"/>
    <cellStyle name="Обычный 3 2" xfId="600"/>
    <cellStyle name="Обычный 4" xfId="66"/>
    <cellStyle name="Обычный 4 2" xfId="202"/>
    <cellStyle name="Обычный 4 2 2" xfId="474"/>
    <cellStyle name="Обычный 4 2 2 2" xfId="585"/>
    <cellStyle name="Обычный 4 2 3" xfId="569"/>
    <cellStyle name="Обычный 4 2 4" xfId="1706"/>
    <cellStyle name="Обычный 4 2 5" xfId="1795"/>
    <cellStyle name="Обычный 4 3" xfId="338"/>
    <cellStyle name="Обычный 4 3 2" xfId="577"/>
    <cellStyle name="Обычный 4 4" xfId="594"/>
    <cellStyle name="Обычный 4 4 2" xfId="1049"/>
    <cellStyle name="Обычный 4 5" xfId="561"/>
    <cellStyle name="Обычный 4 6" xfId="1570"/>
    <cellStyle name="Обычный 4 7" xfId="797"/>
    <cellStyle name="Обычный 4 8" xfId="1787"/>
    <cellStyle name="Обычный 5" xfId="67"/>
    <cellStyle name="Обычный 5 2" xfId="203"/>
    <cellStyle name="Обычный 5 2 2" xfId="475"/>
    <cellStyle name="Обычный 5 2 2 2" xfId="586"/>
    <cellStyle name="Обычный 5 2 3" xfId="570"/>
    <cellStyle name="Обычный 5 2 4" xfId="1707"/>
    <cellStyle name="Обычный 5 2 5" xfId="1796"/>
    <cellStyle name="Обычный 5 3" xfId="339"/>
    <cellStyle name="Обычный 5 3 2" xfId="578"/>
    <cellStyle name="Обычный 5 4" xfId="597"/>
    <cellStyle name="Обычный 5 4 2" xfId="1050"/>
    <cellStyle name="Обычный 5 5" xfId="562"/>
    <cellStyle name="Обычный 5 6" xfId="1571"/>
    <cellStyle name="Обычный 5 7" xfId="798"/>
    <cellStyle name="Обычный 5 8" xfId="1788"/>
    <cellStyle name="Обычный 6" xfId="68"/>
    <cellStyle name="Обычный 6 2" xfId="204"/>
    <cellStyle name="Обычный 6 2 2" xfId="476"/>
    <cellStyle name="Обычный 6 2 2 2" xfId="587"/>
    <cellStyle name="Обычный 6 2 3" xfId="571"/>
    <cellStyle name="Обычный 6 2 4" xfId="1708"/>
    <cellStyle name="Обычный 6 2 5" xfId="1797"/>
    <cellStyle name="Обычный 6 3" xfId="340"/>
    <cellStyle name="Обычный 6 3 2" xfId="579"/>
    <cellStyle name="Обычный 6 4" xfId="603"/>
    <cellStyle name="Обычный 6 4 2" xfId="1051"/>
    <cellStyle name="Обычный 6 5" xfId="563"/>
    <cellStyle name="Обычный 6 6" xfId="1572"/>
    <cellStyle name="Обычный 6 7" xfId="799"/>
    <cellStyle name="Обычный 6 8" xfId="1789"/>
    <cellStyle name="Обычный 7" xfId="69"/>
    <cellStyle name="Обычный 7 2" xfId="205"/>
    <cellStyle name="Обычный 7 2 2" xfId="477"/>
    <cellStyle name="Обычный 7 2 2 2" xfId="588"/>
    <cellStyle name="Обычный 7 2 3" xfId="572"/>
    <cellStyle name="Обычный 7 2 4" xfId="1709"/>
    <cellStyle name="Обычный 7 2 5" xfId="1798"/>
    <cellStyle name="Обычный 7 3" xfId="341"/>
    <cellStyle name="Обычный 7 3 2" xfId="580"/>
    <cellStyle name="Обычный 7 4" xfId="604"/>
    <cellStyle name="Обычный 7 4 2" xfId="1052"/>
    <cellStyle name="Обычный 7 5" xfId="564"/>
    <cellStyle name="Обычный 7 6" xfId="1573"/>
    <cellStyle name="Обычный 7 7" xfId="800"/>
    <cellStyle name="Обычный 7 8" xfId="1790"/>
    <cellStyle name="Обычный 8" xfId="70"/>
    <cellStyle name="Обычный 8 2" xfId="206"/>
    <cellStyle name="Обычный 8 2 2" xfId="478"/>
    <cellStyle name="Обычный 8 2 2 2" xfId="589"/>
    <cellStyle name="Обычный 8 2 3" xfId="573"/>
    <cellStyle name="Обычный 8 2 4" xfId="1710"/>
    <cellStyle name="Обычный 8 2 5" xfId="1799"/>
    <cellStyle name="Обычный 8 3" xfId="342"/>
    <cellStyle name="Обычный 8 3 2" xfId="581"/>
    <cellStyle name="Обычный 8 4" xfId="605"/>
    <cellStyle name="Обычный 8 4 2" xfId="1053"/>
    <cellStyle name="Обычный 8 5" xfId="565"/>
    <cellStyle name="Обычный 8 6" xfId="1574"/>
    <cellStyle name="Обычный 8 7" xfId="801"/>
    <cellStyle name="Обычный 8 8" xfId="1791"/>
    <cellStyle name="Обычный 9" xfId="71"/>
    <cellStyle name="Обычный 9 2" xfId="207"/>
    <cellStyle name="Обычный 9 2 2" xfId="479"/>
    <cellStyle name="Обычный 9 2 2 2" xfId="590"/>
    <cellStyle name="Обычный 9 2 3" xfId="574"/>
    <cellStyle name="Обычный 9 2 4" xfId="1711"/>
    <cellStyle name="Обычный 9 2 5" xfId="1800"/>
    <cellStyle name="Обычный 9 3" xfId="343"/>
    <cellStyle name="Обычный 9 3 2" xfId="582"/>
    <cellStyle name="Обычный 9 4" xfId="606"/>
    <cellStyle name="Обычный 9 4 2" xfId="1054"/>
    <cellStyle name="Обычный 9 5" xfId="566"/>
    <cellStyle name="Обычный 9 6" xfId="1575"/>
    <cellStyle name="Обычный 9 7" xfId="802"/>
    <cellStyle name="Обычный 9 8" xfId="1792"/>
    <cellStyle name="Процентный" xfId="559" builtinId="5"/>
    <cellStyle name="Процентный 2" xfId="732"/>
    <cellStyle name="Финансовый" xfId="1" builtinId="3"/>
    <cellStyle name="Финансовый [0] 2" xfId="560"/>
    <cellStyle name="Финансовый 10" xfId="125"/>
    <cellStyle name="Финансовый 10 2" xfId="261"/>
    <cellStyle name="Финансовый 10 2 2" xfId="533"/>
    <cellStyle name="Финансовый 10 2 2 2" xfId="1492"/>
    <cellStyle name="Финансовый 10 2 3" xfId="1236"/>
    <cellStyle name="Финансовый 10 2 4" xfId="1765"/>
    <cellStyle name="Финансовый 10 3" xfId="397"/>
    <cellStyle name="Финансовый 10 3 2" xfId="1364"/>
    <cellStyle name="Финансовый 10 4" xfId="619"/>
    <cellStyle name="Финансовый 10 4 2" xfId="1108"/>
    <cellStyle name="Финансовый 10 5" xfId="984"/>
    <cellStyle name="Финансовый 10 6" xfId="1629"/>
    <cellStyle name="Финансовый 10 7" xfId="856"/>
    <cellStyle name="Финансовый 11" xfId="61"/>
    <cellStyle name="Финансовый 11 2" xfId="199"/>
    <cellStyle name="Финансовый 11 2 2" xfId="471"/>
    <cellStyle name="Финансовый 11 2 2 2" xfId="1438"/>
    <cellStyle name="Финансовый 11 2 3" xfId="1182"/>
    <cellStyle name="Финансовый 11 2 4" xfId="1703"/>
    <cellStyle name="Финансовый 11 3" xfId="335"/>
    <cellStyle name="Финансовый 11 3 2" xfId="1310"/>
    <cellStyle name="Финансовый 11 4" xfId="611"/>
    <cellStyle name="Финансовый 11 4 2" xfId="1046"/>
    <cellStyle name="Финансовый 11 5" xfId="930"/>
    <cellStyle name="Финансовый 11 6" xfId="1566"/>
    <cellStyle name="Финансовый 11 7" xfId="793"/>
    <cellStyle name="Финансовый 12" xfId="49"/>
    <cellStyle name="Финансовый 12 2" xfId="187"/>
    <cellStyle name="Финансовый 12 2 2" xfId="459"/>
    <cellStyle name="Финансовый 12 2 2 2" xfId="1426"/>
    <cellStyle name="Финансовый 12 2 3" xfId="1170"/>
    <cellStyle name="Финансовый 12 2 4" xfId="1691"/>
    <cellStyle name="Финансовый 12 3" xfId="323"/>
    <cellStyle name="Финансовый 12 3 2" xfId="1298"/>
    <cellStyle name="Финансовый 12 4" xfId="613"/>
    <cellStyle name="Финансовый 12 4 2" xfId="1034"/>
    <cellStyle name="Финансовый 12 5" xfId="918"/>
    <cellStyle name="Финансовый 12 6" xfId="1554"/>
    <cellStyle name="Финансовый 12 7" xfId="781"/>
    <cellStyle name="Финансовый 13" xfId="127"/>
    <cellStyle name="Финансовый 13 2" xfId="263"/>
    <cellStyle name="Финансовый 13 2 2" xfId="535"/>
    <cellStyle name="Финансовый 13 2 2 2" xfId="1494"/>
    <cellStyle name="Финансовый 13 2 3" xfId="1238"/>
    <cellStyle name="Финансовый 13 2 4" xfId="1767"/>
    <cellStyle name="Финансовый 13 3" xfId="399"/>
    <cellStyle name="Финансовый 13 3 2" xfId="1366"/>
    <cellStyle name="Финансовый 13 4" xfId="614"/>
    <cellStyle name="Финансовый 13 4 2" xfId="1110"/>
    <cellStyle name="Финансовый 13 5" xfId="986"/>
    <cellStyle name="Финансовый 13 6" xfId="1631"/>
    <cellStyle name="Финансовый 13 7" xfId="858"/>
    <cellStyle name="Финансовый 14" xfId="25"/>
    <cellStyle name="Финансовый 14 2" xfId="163"/>
    <cellStyle name="Финансовый 14 2 2" xfId="435"/>
    <cellStyle name="Финансовый 14 2 2 2" xfId="1402"/>
    <cellStyle name="Финансовый 14 2 3" xfId="1146"/>
    <cellStyle name="Финансовый 14 2 4" xfId="1667"/>
    <cellStyle name="Финансовый 14 3" xfId="299"/>
    <cellStyle name="Финансовый 14 3 2" xfId="1274"/>
    <cellStyle name="Финансовый 14 4" xfId="616"/>
    <cellStyle name="Финансовый 14 4 2" xfId="1010"/>
    <cellStyle name="Финансовый 14 5" xfId="894"/>
    <cellStyle name="Финансовый 14 6" xfId="1530"/>
    <cellStyle name="Финансовый 14 7" xfId="757"/>
    <cellStyle name="Финансовый 15" xfId="13"/>
    <cellStyle name="Финансовый 15 2" xfId="151"/>
    <cellStyle name="Финансовый 15 2 2" xfId="423"/>
    <cellStyle name="Финансовый 15 2 2 2" xfId="1390"/>
    <cellStyle name="Финансовый 15 2 3" xfId="1134"/>
    <cellStyle name="Финансовый 15 2 4" xfId="1655"/>
    <cellStyle name="Финансовый 15 3" xfId="287"/>
    <cellStyle name="Финансовый 15 3 2" xfId="1262"/>
    <cellStyle name="Финансовый 15 4" xfId="610"/>
    <cellStyle name="Финансовый 15 4 2" xfId="998"/>
    <cellStyle name="Финансовый 15 5" xfId="882"/>
    <cellStyle name="Финансовый 15 6" xfId="1518"/>
    <cellStyle name="Финансовый 15 7" xfId="745"/>
    <cellStyle name="Финансовый 16" xfId="139"/>
    <cellStyle name="Финансовый 16 2" xfId="411"/>
    <cellStyle name="Финансовый 16 2 2" xfId="1378"/>
    <cellStyle name="Финансовый 16 3" xfId="1122"/>
    <cellStyle name="Финансовый 16 4" xfId="1643"/>
    <cellStyle name="Финансовый 17" xfId="547"/>
    <cellStyle name="Финансовый 17 2" xfId="1250"/>
    <cellStyle name="Финансовый 18" xfId="275"/>
    <cellStyle name="Финансовый 19" xfId="596"/>
    <cellStyle name="Финансовый 19 2" xfId="870"/>
    <cellStyle name="Финансовый 2" xfId="2"/>
    <cellStyle name="Финансовый 2 10" xfId="62"/>
    <cellStyle name="Финансовый 2 10 2" xfId="200"/>
    <cellStyle name="Финансовый 2 10 2 2" xfId="472"/>
    <cellStyle name="Финансовый 2 10 2 2 2" xfId="1439"/>
    <cellStyle name="Финансовый 2 10 2 3" xfId="1183"/>
    <cellStyle name="Финансовый 2 10 2 4" xfId="1704"/>
    <cellStyle name="Финансовый 2 10 3" xfId="336"/>
    <cellStyle name="Финансовый 2 10 3 2" xfId="1311"/>
    <cellStyle name="Финансовый 2 10 4" xfId="623"/>
    <cellStyle name="Финансовый 2 10 4 2" xfId="1047"/>
    <cellStyle name="Финансовый 2 10 5" xfId="931"/>
    <cellStyle name="Финансовый 2 10 6" xfId="1567"/>
    <cellStyle name="Финансовый 2 10 7" xfId="794"/>
    <cellStyle name="Финансовый 2 11" xfId="50"/>
    <cellStyle name="Финансовый 2 11 2" xfId="188"/>
    <cellStyle name="Финансовый 2 11 2 2" xfId="460"/>
    <cellStyle name="Финансовый 2 11 2 2 2" xfId="1427"/>
    <cellStyle name="Финансовый 2 11 2 3" xfId="1171"/>
    <cellStyle name="Финансовый 2 11 2 4" xfId="1692"/>
    <cellStyle name="Финансовый 2 11 3" xfId="324"/>
    <cellStyle name="Финансовый 2 11 3 2" xfId="1299"/>
    <cellStyle name="Финансовый 2 11 4" xfId="609"/>
    <cellStyle name="Финансовый 2 11 4 2" xfId="1035"/>
    <cellStyle name="Финансовый 2 11 5" xfId="919"/>
    <cellStyle name="Финансовый 2 11 6" xfId="1555"/>
    <cellStyle name="Финансовый 2 11 7" xfId="782"/>
    <cellStyle name="Финансовый 2 12" xfId="128"/>
    <cellStyle name="Финансовый 2 12 2" xfId="264"/>
    <cellStyle name="Финансовый 2 12 2 2" xfId="536"/>
    <cellStyle name="Финансовый 2 12 2 2 2" xfId="1495"/>
    <cellStyle name="Финансовый 2 12 2 3" xfId="1239"/>
    <cellStyle name="Финансовый 2 12 2 4" xfId="1768"/>
    <cellStyle name="Финансовый 2 12 3" xfId="400"/>
    <cellStyle name="Финансовый 2 12 3 2" xfId="1367"/>
    <cellStyle name="Финансовый 2 12 4" xfId="625"/>
    <cellStyle name="Финансовый 2 12 4 2" xfId="1111"/>
    <cellStyle name="Финансовый 2 12 5" xfId="987"/>
    <cellStyle name="Финансовый 2 12 6" xfId="1632"/>
    <cellStyle name="Финансовый 2 12 7" xfId="859"/>
    <cellStyle name="Финансовый 2 13" xfId="26"/>
    <cellStyle name="Финансовый 2 13 2" xfId="164"/>
    <cellStyle name="Финансовый 2 13 2 2" xfId="436"/>
    <cellStyle name="Финансовый 2 13 2 2 2" xfId="1403"/>
    <cellStyle name="Финансовый 2 13 2 3" xfId="1147"/>
    <cellStyle name="Финансовый 2 13 2 4" xfId="1668"/>
    <cellStyle name="Финансовый 2 13 3" xfId="300"/>
    <cellStyle name="Финансовый 2 13 3 2" xfId="1275"/>
    <cellStyle name="Финансовый 2 13 4" xfId="626"/>
    <cellStyle name="Финансовый 2 13 4 2" xfId="1011"/>
    <cellStyle name="Финансовый 2 13 5" xfId="895"/>
    <cellStyle name="Финансовый 2 13 6" xfId="1531"/>
    <cellStyle name="Финансовый 2 13 7" xfId="758"/>
    <cellStyle name="Финансовый 2 14" xfId="14"/>
    <cellStyle name="Финансовый 2 14 2" xfId="152"/>
    <cellStyle name="Финансовый 2 14 2 2" xfId="424"/>
    <cellStyle name="Финансовый 2 14 2 2 2" xfId="1391"/>
    <cellStyle name="Финансовый 2 14 2 3" xfId="1135"/>
    <cellStyle name="Финансовый 2 14 2 4" xfId="1656"/>
    <cellStyle name="Финансовый 2 14 3" xfId="288"/>
    <cellStyle name="Финансовый 2 14 3 2" xfId="1263"/>
    <cellStyle name="Финансовый 2 14 4" xfId="627"/>
    <cellStyle name="Финансовый 2 14 4 2" xfId="999"/>
    <cellStyle name="Финансовый 2 14 5" xfId="883"/>
    <cellStyle name="Финансовый 2 14 6" xfId="1519"/>
    <cellStyle name="Финансовый 2 14 7" xfId="746"/>
    <cellStyle name="Финансовый 2 15" xfId="140"/>
    <cellStyle name="Финансовый 2 15 2" xfId="412"/>
    <cellStyle name="Финансовый 2 15 2 2" xfId="1379"/>
    <cellStyle name="Финансовый 2 15 3" xfId="1123"/>
    <cellStyle name="Финансовый 2 15 4" xfId="1644"/>
    <cellStyle name="Финансовый 2 16" xfId="548"/>
    <cellStyle name="Финансовый 2 16 2" xfId="1251"/>
    <cellStyle name="Финансовый 2 17" xfId="276"/>
    <cellStyle name="Финансовый 2 18" xfId="620"/>
    <cellStyle name="Финансовый 2 18 2" xfId="871"/>
    <cellStyle name="Финансовый 2 19" xfId="1507"/>
    <cellStyle name="Финансовый 2 2" xfId="4"/>
    <cellStyle name="Финансовый 2 2 10" xfId="28"/>
    <cellStyle name="Финансовый 2 2 10 2" xfId="166"/>
    <cellStyle name="Финансовый 2 2 10 2 2" xfId="438"/>
    <cellStyle name="Финансовый 2 2 10 2 2 2" xfId="1405"/>
    <cellStyle name="Финансовый 2 2 10 2 3" xfId="1149"/>
    <cellStyle name="Финансовый 2 2 10 2 4" xfId="1670"/>
    <cellStyle name="Финансовый 2 2 10 3" xfId="302"/>
    <cellStyle name="Финансовый 2 2 10 3 2" xfId="1277"/>
    <cellStyle name="Финансовый 2 2 10 4" xfId="630"/>
    <cellStyle name="Финансовый 2 2 10 4 2" xfId="1013"/>
    <cellStyle name="Финансовый 2 2 10 5" xfId="897"/>
    <cellStyle name="Финансовый 2 2 10 6" xfId="1533"/>
    <cellStyle name="Финансовый 2 2 10 7" xfId="760"/>
    <cellStyle name="Финансовый 2 2 11" xfId="16"/>
    <cellStyle name="Финансовый 2 2 11 2" xfId="154"/>
    <cellStyle name="Финансовый 2 2 11 2 2" xfId="426"/>
    <cellStyle name="Финансовый 2 2 11 2 2 2" xfId="1393"/>
    <cellStyle name="Финансовый 2 2 11 2 3" xfId="1137"/>
    <cellStyle name="Финансовый 2 2 11 2 4" xfId="1658"/>
    <cellStyle name="Финансовый 2 2 11 3" xfId="290"/>
    <cellStyle name="Финансовый 2 2 11 3 2" xfId="1265"/>
    <cellStyle name="Финансовый 2 2 11 4" xfId="599"/>
    <cellStyle name="Финансовый 2 2 11 4 2" xfId="1001"/>
    <cellStyle name="Финансовый 2 2 11 5" xfId="885"/>
    <cellStyle name="Финансовый 2 2 11 6" xfId="1521"/>
    <cellStyle name="Финансовый 2 2 11 7" xfId="748"/>
    <cellStyle name="Финансовый 2 2 12" xfId="142"/>
    <cellStyle name="Финансовый 2 2 12 2" xfId="414"/>
    <cellStyle name="Финансовый 2 2 12 2 2" xfId="1381"/>
    <cellStyle name="Финансовый 2 2 12 3" xfId="1125"/>
    <cellStyle name="Финансовый 2 2 12 4" xfId="1646"/>
    <cellStyle name="Финансовый 2 2 13" xfId="550"/>
    <cellStyle name="Финансовый 2 2 13 2" xfId="1253"/>
    <cellStyle name="Финансовый 2 2 14" xfId="278"/>
    <cellStyle name="Финансовый 2 2 15" xfId="629"/>
    <cellStyle name="Финансовый 2 2 15 2" xfId="873"/>
    <cellStyle name="Финансовый 2 2 16" xfId="1509"/>
    <cellStyle name="Финансовый 2 2 17" xfId="736"/>
    <cellStyle name="Финансовый 2 2 2" xfId="10"/>
    <cellStyle name="Финансовый 2 2 2 10" xfId="556"/>
    <cellStyle name="Финансовый 2 2 2 10 2" xfId="1259"/>
    <cellStyle name="Финансовый 2 2 2 11" xfId="284"/>
    <cellStyle name="Финансовый 2 2 2 12" xfId="632"/>
    <cellStyle name="Финансовый 2 2 2 12 2" xfId="879"/>
    <cellStyle name="Финансовый 2 2 2 13" xfId="1515"/>
    <cellStyle name="Финансовый 2 2 2 14" xfId="742"/>
    <cellStyle name="Финансовый 2 2 2 2" xfId="46"/>
    <cellStyle name="Финансовый 2 2 2 2 2" xfId="104"/>
    <cellStyle name="Финансовый 2 2 2 2 2 2" xfId="240"/>
    <cellStyle name="Финансовый 2 2 2 2 2 2 2" xfId="512"/>
    <cellStyle name="Финансовый 2 2 2 2 2 2 2 2" xfId="1471"/>
    <cellStyle name="Финансовый 2 2 2 2 2 2 3" xfId="1215"/>
    <cellStyle name="Финансовый 2 2 2 2 2 2 4" xfId="1744"/>
    <cellStyle name="Финансовый 2 2 2 2 2 3" xfId="376"/>
    <cellStyle name="Финансовый 2 2 2 2 2 3 2" xfId="1343"/>
    <cellStyle name="Финансовый 2 2 2 2 2 4" xfId="635"/>
    <cellStyle name="Финансовый 2 2 2 2 2 4 2" xfId="1087"/>
    <cellStyle name="Финансовый 2 2 2 2 2 5" xfId="963"/>
    <cellStyle name="Финансовый 2 2 2 2 2 6" xfId="1608"/>
    <cellStyle name="Финансовый 2 2 2 2 2 7" xfId="835"/>
    <cellStyle name="Финансовый 2 2 2 2 3" xfId="184"/>
    <cellStyle name="Финансовый 2 2 2 2 3 2" xfId="456"/>
    <cellStyle name="Финансовый 2 2 2 2 3 2 2" xfId="1423"/>
    <cellStyle name="Финансовый 2 2 2 2 3 3" xfId="1167"/>
    <cellStyle name="Финансовый 2 2 2 2 3 4" xfId="1688"/>
    <cellStyle name="Финансовый 2 2 2 2 4" xfId="320"/>
    <cellStyle name="Финансовый 2 2 2 2 4 2" xfId="1295"/>
    <cellStyle name="Финансовый 2 2 2 2 5" xfId="633"/>
    <cellStyle name="Финансовый 2 2 2 2 5 2" xfId="1031"/>
    <cellStyle name="Финансовый 2 2 2 2 6" xfId="915"/>
    <cellStyle name="Финансовый 2 2 2 2 7" xfId="1551"/>
    <cellStyle name="Финансовый 2 2 2 2 8" xfId="778"/>
    <cellStyle name="Финансовый 2 2 2 3" xfId="116"/>
    <cellStyle name="Финансовый 2 2 2 3 2" xfId="252"/>
    <cellStyle name="Финансовый 2 2 2 3 2 2" xfId="524"/>
    <cellStyle name="Финансовый 2 2 2 3 2 2 2" xfId="1483"/>
    <cellStyle name="Финансовый 2 2 2 3 2 3" xfId="1227"/>
    <cellStyle name="Финансовый 2 2 2 3 2 4" xfId="1756"/>
    <cellStyle name="Финансовый 2 2 2 3 3" xfId="388"/>
    <cellStyle name="Финансовый 2 2 2 3 3 2" xfId="1355"/>
    <cellStyle name="Финансовый 2 2 2 3 4" xfId="636"/>
    <cellStyle name="Финансовый 2 2 2 3 4 2" xfId="1099"/>
    <cellStyle name="Финансовый 2 2 2 3 5" xfId="975"/>
    <cellStyle name="Финансовый 2 2 2 3 6" xfId="1620"/>
    <cellStyle name="Финансовый 2 2 2 3 7" xfId="847"/>
    <cellStyle name="Финансовый 2 2 2 4" xfId="80"/>
    <cellStyle name="Финансовый 2 2 2 4 2" xfId="216"/>
    <cellStyle name="Финансовый 2 2 2 4 2 2" xfId="488"/>
    <cellStyle name="Финансовый 2 2 2 4 2 2 2" xfId="1447"/>
    <cellStyle name="Финансовый 2 2 2 4 2 3" xfId="1191"/>
    <cellStyle name="Финансовый 2 2 2 4 2 4" xfId="1720"/>
    <cellStyle name="Финансовый 2 2 2 4 3" xfId="352"/>
    <cellStyle name="Финансовый 2 2 2 4 3 2" xfId="1319"/>
    <cellStyle name="Финансовый 2 2 2 4 4" xfId="637"/>
    <cellStyle name="Финансовый 2 2 2 4 4 2" xfId="1063"/>
    <cellStyle name="Финансовый 2 2 2 4 5" xfId="939"/>
    <cellStyle name="Финансовый 2 2 2 4 6" xfId="1584"/>
    <cellStyle name="Финансовый 2 2 2 4 7" xfId="811"/>
    <cellStyle name="Финансовый 2 2 2 5" xfId="58"/>
    <cellStyle name="Финансовый 2 2 2 5 2" xfId="196"/>
    <cellStyle name="Финансовый 2 2 2 5 2 2" xfId="468"/>
    <cellStyle name="Финансовый 2 2 2 5 2 2 2" xfId="1435"/>
    <cellStyle name="Финансовый 2 2 2 5 2 3" xfId="1179"/>
    <cellStyle name="Финансовый 2 2 2 5 2 4" xfId="1700"/>
    <cellStyle name="Финансовый 2 2 2 5 3" xfId="332"/>
    <cellStyle name="Финансовый 2 2 2 5 3 2" xfId="1307"/>
    <cellStyle name="Финансовый 2 2 2 5 4" xfId="638"/>
    <cellStyle name="Финансовый 2 2 2 5 4 2" xfId="1043"/>
    <cellStyle name="Финансовый 2 2 2 5 5" xfId="927"/>
    <cellStyle name="Финансовый 2 2 2 5 6" xfId="1563"/>
    <cellStyle name="Финансовый 2 2 2 5 7" xfId="790"/>
    <cellStyle name="Финансовый 2 2 2 6" xfId="136"/>
    <cellStyle name="Финансовый 2 2 2 6 2" xfId="272"/>
    <cellStyle name="Финансовый 2 2 2 6 2 2" xfId="544"/>
    <cellStyle name="Финансовый 2 2 2 6 2 2 2" xfId="1503"/>
    <cellStyle name="Финансовый 2 2 2 6 2 3" xfId="1247"/>
    <cellStyle name="Финансовый 2 2 2 6 2 4" xfId="1776"/>
    <cellStyle name="Финансовый 2 2 2 6 3" xfId="408"/>
    <cellStyle name="Финансовый 2 2 2 6 3 2" xfId="1375"/>
    <cellStyle name="Финансовый 2 2 2 6 4" xfId="639"/>
    <cellStyle name="Финансовый 2 2 2 6 4 2" xfId="1119"/>
    <cellStyle name="Финансовый 2 2 2 6 5" xfId="995"/>
    <cellStyle name="Финансовый 2 2 2 6 6" xfId="1640"/>
    <cellStyle name="Финансовый 2 2 2 6 7" xfId="867"/>
    <cellStyle name="Финансовый 2 2 2 7" xfId="34"/>
    <cellStyle name="Финансовый 2 2 2 7 2" xfId="172"/>
    <cellStyle name="Финансовый 2 2 2 7 2 2" xfId="444"/>
    <cellStyle name="Финансовый 2 2 2 7 2 2 2" xfId="1411"/>
    <cellStyle name="Финансовый 2 2 2 7 2 3" xfId="1155"/>
    <cellStyle name="Финансовый 2 2 2 7 2 4" xfId="1676"/>
    <cellStyle name="Финансовый 2 2 2 7 3" xfId="308"/>
    <cellStyle name="Финансовый 2 2 2 7 3 2" xfId="1283"/>
    <cellStyle name="Финансовый 2 2 2 7 4" xfId="640"/>
    <cellStyle name="Финансовый 2 2 2 7 4 2" xfId="1019"/>
    <cellStyle name="Финансовый 2 2 2 7 5" xfId="903"/>
    <cellStyle name="Финансовый 2 2 2 7 6" xfId="1539"/>
    <cellStyle name="Финансовый 2 2 2 7 7" xfId="766"/>
    <cellStyle name="Финансовый 2 2 2 8" xfId="22"/>
    <cellStyle name="Финансовый 2 2 2 8 2" xfId="160"/>
    <cellStyle name="Финансовый 2 2 2 8 2 2" xfId="432"/>
    <cellStyle name="Финансовый 2 2 2 8 2 2 2" xfId="1399"/>
    <cellStyle name="Финансовый 2 2 2 8 2 3" xfId="1143"/>
    <cellStyle name="Финансовый 2 2 2 8 2 4" xfId="1664"/>
    <cellStyle name="Финансовый 2 2 2 8 3" xfId="296"/>
    <cellStyle name="Финансовый 2 2 2 8 3 2" xfId="1271"/>
    <cellStyle name="Финансовый 2 2 2 8 4" xfId="641"/>
    <cellStyle name="Финансовый 2 2 2 8 4 2" xfId="1007"/>
    <cellStyle name="Финансовый 2 2 2 8 5" xfId="891"/>
    <cellStyle name="Финансовый 2 2 2 8 6" xfId="1527"/>
    <cellStyle name="Финансовый 2 2 2 8 7" xfId="754"/>
    <cellStyle name="Финансовый 2 2 2 9" xfId="148"/>
    <cellStyle name="Финансовый 2 2 2 9 2" xfId="420"/>
    <cellStyle name="Финансовый 2 2 2 9 2 2" xfId="1387"/>
    <cellStyle name="Финансовый 2 2 2 9 3" xfId="1131"/>
    <cellStyle name="Финансовый 2 2 2 9 4" xfId="1652"/>
    <cellStyle name="Финансовый 2 2 3" xfId="40"/>
    <cellStyle name="Финансовый 2 2 3 2" xfId="122"/>
    <cellStyle name="Финансовый 2 2 3 2 2" xfId="258"/>
    <cellStyle name="Финансовый 2 2 3 2 2 2" xfId="530"/>
    <cellStyle name="Финансовый 2 2 3 2 2 2 2" xfId="1489"/>
    <cellStyle name="Финансовый 2 2 3 2 2 3" xfId="1233"/>
    <cellStyle name="Финансовый 2 2 3 2 2 4" xfId="1762"/>
    <cellStyle name="Финансовый 2 2 3 2 3" xfId="394"/>
    <cellStyle name="Финансовый 2 2 3 2 3 2" xfId="1361"/>
    <cellStyle name="Финансовый 2 2 3 2 4" xfId="644"/>
    <cellStyle name="Финансовый 2 2 3 2 4 2" xfId="1105"/>
    <cellStyle name="Финансовый 2 2 3 2 5" xfId="981"/>
    <cellStyle name="Финансовый 2 2 3 2 6" xfId="1626"/>
    <cellStyle name="Финансовый 2 2 3 2 7" xfId="853"/>
    <cellStyle name="Финансовый 2 2 3 3" xfId="86"/>
    <cellStyle name="Финансовый 2 2 3 3 2" xfId="222"/>
    <cellStyle name="Финансовый 2 2 3 3 2 2" xfId="494"/>
    <cellStyle name="Финансовый 2 2 3 3 2 2 2" xfId="1453"/>
    <cellStyle name="Финансовый 2 2 3 3 2 3" xfId="1197"/>
    <cellStyle name="Финансовый 2 2 3 3 2 4" xfId="1726"/>
    <cellStyle name="Финансовый 2 2 3 3 3" xfId="358"/>
    <cellStyle name="Финансовый 2 2 3 3 3 2" xfId="1325"/>
    <cellStyle name="Финансовый 2 2 3 3 4" xfId="645"/>
    <cellStyle name="Финансовый 2 2 3 3 4 2" xfId="1069"/>
    <cellStyle name="Финансовый 2 2 3 3 5" xfId="945"/>
    <cellStyle name="Финансовый 2 2 3 3 6" xfId="1590"/>
    <cellStyle name="Финансовый 2 2 3 3 7" xfId="817"/>
    <cellStyle name="Финансовый 2 2 3 4" xfId="178"/>
    <cellStyle name="Финансовый 2 2 3 4 2" xfId="450"/>
    <cellStyle name="Финансовый 2 2 3 4 2 2" xfId="1417"/>
    <cellStyle name="Финансовый 2 2 3 4 3" xfId="1161"/>
    <cellStyle name="Финансовый 2 2 3 4 4" xfId="1682"/>
    <cellStyle name="Финансовый 2 2 3 5" xfId="314"/>
    <cellStyle name="Финансовый 2 2 3 5 2" xfId="1289"/>
    <cellStyle name="Финансовый 2 2 3 6" xfId="643"/>
    <cellStyle name="Финансовый 2 2 3 6 2" xfId="1025"/>
    <cellStyle name="Финансовый 2 2 3 7" xfId="909"/>
    <cellStyle name="Финансовый 2 2 3 8" xfId="1545"/>
    <cellStyle name="Финансовый 2 2 3 9" xfId="772"/>
    <cellStyle name="Финансовый 2 2 4" xfId="92"/>
    <cellStyle name="Финансовый 2 2 4 2" xfId="228"/>
    <cellStyle name="Финансовый 2 2 4 2 2" xfId="500"/>
    <cellStyle name="Финансовый 2 2 4 2 2 2" xfId="1459"/>
    <cellStyle name="Финансовый 2 2 4 2 3" xfId="1203"/>
    <cellStyle name="Финансовый 2 2 4 2 4" xfId="1732"/>
    <cellStyle name="Финансовый 2 2 4 3" xfId="364"/>
    <cellStyle name="Финансовый 2 2 4 3 2" xfId="1331"/>
    <cellStyle name="Финансовый 2 2 4 4" xfId="646"/>
    <cellStyle name="Финансовый 2 2 4 4 2" xfId="1075"/>
    <cellStyle name="Финансовый 2 2 4 5" xfId="951"/>
    <cellStyle name="Финансовый 2 2 4 6" xfId="1596"/>
    <cellStyle name="Финансовый 2 2 4 7" xfId="823"/>
    <cellStyle name="Финансовый 2 2 5" xfId="98"/>
    <cellStyle name="Финансовый 2 2 5 2" xfId="234"/>
    <cellStyle name="Финансовый 2 2 5 2 2" xfId="506"/>
    <cellStyle name="Финансовый 2 2 5 2 2 2" xfId="1465"/>
    <cellStyle name="Финансовый 2 2 5 2 3" xfId="1209"/>
    <cellStyle name="Финансовый 2 2 5 2 4" xfId="1738"/>
    <cellStyle name="Финансовый 2 2 5 3" xfId="370"/>
    <cellStyle name="Финансовый 2 2 5 3 2" xfId="1337"/>
    <cellStyle name="Финансовый 2 2 5 4" xfId="647"/>
    <cellStyle name="Финансовый 2 2 5 4 2" xfId="1081"/>
    <cellStyle name="Финансовый 2 2 5 5" xfId="957"/>
    <cellStyle name="Финансовый 2 2 5 6" xfId="1602"/>
    <cellStyle name="Финансовый 2 2 5 7" xfId="829"/>
    <cellStyle name="Финансовый 2 2 6" xfId="110"/>
    <cellStyle name="Финансовый 2 2 6 2" xfId="246"/>
    <cellStyle name="Финансовый 2 2 6 2 2" xfId="518"/>
    <cellStyle name="Финансовый 2 2 6 2 2 2" xfId="1477"/>
    <cellStyle name="Финансовый 2 2 6 2 3" xfId="1221"/>
    <cellStyle name="Финансовый 2 2 6 2 4" xfId="1750"/>
    <cellStyle name="Финансовый 2 2 6 3" xfId="382"/>
    <cellStyle name="Финансовый 2 2 6 3 2" xfId="1349"/>
    <cellStyle name="Финансовый 2 2 6 4" xfId="634"/>
    <cellStyle name="Финансовый 2 2 6 4 2" xfId="1093"/>
    <cellStyle name="Финансовый 2 2 6 5" xfId="969"/>
    <cellStyle name="Финансовый 2 2 6 6" xfId="1614"/>
    <cellStyle name="Финансовый 2 2 6 7" xfId="841"/>
    <cellStyle name="Финансовый 2 2 7" xfId="65"/>
    <cellStyle name="Финансовый 2 2 7 2" xfId="201"/>
    <cellStyle name="Финансовый 2 2 7 2 2" xfId="473"/>
    <cellStyle name="Финансовый 2 2 7 2 2 2" xfId="1440"/>
    <cellStyle name="Финансовый 2 2 7 2 3" xfId="1184"/>
    <cellStyle name="Финансовый 2 2 7 2 4" xfId="1705"/>
    <cellStyle name="Финансовый 2 2 7 3" xfId="337"/>
    <cellStyle name="Финансовый 2 2 7 3 2" xfId="1312"/>
    <cellStyle name="Финансовый 2 2 7 4" xfId="648"/>
    <cellStyle name="Финансовый 2 2 7 4 2" xfId="1048"/>
    <cellStyle name="Финансовый 2 2 7 5" xfId="932"/>
    <cellStyle name="Финансовый 2 2 7 6" xfId="1569"/>
    <cellStyle name="Финансовый 2 2 7 7" xfId="796"/>
    <cellStyle name="Финансовый 2 2 8" xfId="52"/>
    <cellStyle name="Финансовый 2 2 8 2" xfId="190"/>
    <cellStyle name="Финансовый 2 2 8 2 2" xfId="462"/>
    <cellStyle name="Финансовый 2 2 8 2 2 2" xfId="1429"/>
    <cellStyle name="Финансовый 2 2 8 2 3" xfId="1173"/>
    <cellStyle name="Финансовый 2 2 8 2 4" xfId="1694"/>
    <cellStyle name="Финансовый 2 2 8 3" xfId="326"/>
    <cellStyle name="Финансовый 2 2 8 3 2" xfId="1301"/>
    <cellStyle name="Финансовый 2 2 8 4" xfId="649"/>
    <cellStyle name="Финансовый 2 2 8 4 2" xfId="1037"/>
    <cellStyle name="Финансовый 2 2 8 5" xfId="921"/>
    <cellStyle name="Финансовый 2 2 8 6" xfId="1557"/>
    <cellStyle name="Финансовый 2 2 8 7" xfId="784"/>
    <cellStyle name="Финансовый 2 2 9" xfId="130"/>
    <cellStyle name="Финансовый 2 2 9 2" xfId="266"/>
    <cellStyle name="Финансовый 2 2 9 2 2" xfId="538"/>
    <cellStyle name="Финансовый 2 2 9 2 2 2" xfId="1497"/>
    <cellStyle name="Финансовый 2 2 9 2 3" xfId="1241"/>
    <cellStyle name="Финансовый 2 2 9 2 4" xfId="1770"/>
    <cellStyle name="Финансовый 2 2 9 3" xfId="402"/>
    <cellStyle name="Финансовый 2 2 9 3 2" xfId="1369"/>
    <cellStyle name="Финансовый 2 2 9 4" xfId="650"/>
    <cellStyle name="Финансовый 2 2 9 4 2" xfId="1113"/>
    <cellStyle name="Финансовый 2 2 9 5" xfId="989"/>
    <cellStyle name="Финансовый 2 2 9 6" xfId="1634"/>
    <cellStyle name="Финансовый 2 2 9 7" xfId="861"/>
    <cellStyle name="Финансовый 2 20" xfId="734"/>
    <cellStyle name="Финансовый 2 3" xfId="6"/>
    <cellStyle name="Финансовый 2 3 10" xfId="30"/>
    <cellStyle name="Финансовый 2 3 10 2" xfId="168"/>
    <cellStyle name="Финансовый 2 3 10 2 2" xfId="440"/>
    <cellStyle name="Финансовый 2 3 10 2 2 2" xfId="1407"/>
    <cellStyle name="Финансовый 2 3 10 2 3" xfId="1151"/>
    <cellStyle name="Финансовый 2 3 10 2 4" xfId="1672"/>
    <cellStyle name="Финансовый 2 3 10 3" xfId="304"/>
    <cellStyle name="Финансовый 2 3 10 3 2" xfId="1279"/>
    <cellStyle name="Финансовый 2 3 10 4" xfId="654"/>
    <cellStyle name="Финансовый 2 3 10 4 2" xfId="1015"/>
    <cellStyle name="Финансовый 2 3 10 5" xfId="899"/>
    <cellStyle name="Финансовый 2 3 10 6" xfId="1535"/>
    <cellStyle name="Финансовый 2 3 10 7" xfId="762"/>
    <cellStyle name="Финансовый 2 3 11" xfId="18"/>
    <cellStyle name="Финансовый 2 3 11 2" xfId="156"/>
    <cellStyle name="Финансовый 2 3 11 2 2" xfId="428"/>
    <cellStyle name="Финансовый 2 3 11 2 2 2" xfId="1395"/>
    <cellStyle name="Финансовый 2 3 11 2 3" xfId="1139"/>
    <cellStyle name="Финансовый 2 3 11 2 4" xfId="1660"/>
    <cellStyle name="Финансовый 2 3 11 3" xfId="292"/>
    <cellStyle name="Финансовый 2 3 11 3 2" xfId="1267"/>
    <cellStyle name="Финансовый 2 3 11 4" xfId="622"/>
    <cellStyle name="Финансовый 2 3 11 4 2" xfId="1003"/>
    <cellStyle name="Финансовый 2 3 11 5" xfId="887"/>
    <cellStyle name="Финансовый 2 3 11 6" xfId="1523"/>
    <cellStyle name="Финансовый 2 3 11 7" xfId="750"/>
    <cellStyle name="Финансовый 2 3 12" xfId="144"/>
    <cellStyle name="Финансовый 2 3 12 2" xfId="416"/>
    <cellStyle name="Финансовый 2 3 12 2 2" xfId="1383"/>
    <cellStyle name="Финансовый 2 3 12 3" xfId="1127"/>
    <cellStyle name="Финансовый 2 3 12 4" xfId="1648"/>
    <cellStyle name="Финансовый 2 3 13" xfId="552"/>
    <cellStyle name="Финансовый 2 3 13 2" xfId="1255"/>
    <cellStyle name="Финансовый 2 3 14" xfId="280"/>
    <cellStyle name="Финансовый 2 3 15" xfId="652"/>
    <cellStyle name="Финансовый 2 3 15 2" xfId="875"/>
    <cellStyle name="Финансовый 2 3 16" xfId="1511"/>
    <cellStyle name="Финансовый 2 3 17" xfId="738"/>
    <cellStyle name="Финансовый 2 3 2" xfId="12"/>
    <cellStyle name="Финансовый 2 3 2 10" xfId="558"/>
    <cellStyle name="Финансовый 2 3 2 10 2" xfId="1261"/>
    <cellStyle name="Финансовый 2 3 2 11" xfId="286"/>
    <cellStyle name="Финансовый 2 3 2 12" xfId="655"/>
    <cellStyle name="Финансовый 2 3 2 12 2" xfId="881"/>
    <cellStyle name="Финансовый 2 3 2 13" xfId="1517"/>
    <cellStyle name="Финансовый 2 3 2 14" xfId="744"/>
    <cellStyle name="Финансовый 2 3 2 2" xfId="48"/>
    <cellStyle name="Финансовый 2 3 2 2 2" xfId="106"/>
    <cellStyle name="Финансовый 2 3 2 2 2 2" xfId="242"/>
    <cellStyle name="Финансовый 2 3 2 2 2 2 2" xfId="514"/>
    <cellStyle name="Финансовый 2 3 2 2 2 2 2 2" xfId="1473"/>
    <cellStyle name="Финансовый 2 3 2 2 2 2 3" xfId="1217"/>
    <cellStyle name="Финансовый 2 3 2 2 2 2 4" xfId="1746"/>
    <cellStyle name="Финансовый 2 3 2 2 2 3" xfId="378"/>
    <cellStyle name="Финансовый 2 3 2 2 2 3 2" xfId="1345"/>
    <cellStyle name="Финансовый 2 3 2 2 2 4" xfId="657"/>
    <cellStyle name="Финансовый 2 3 2 2 2 4 2" xfId="1089"/>
    <cellStyle name="Финансовый 2 3 2 2 2 5" xfId="965"/>
    <cellStyle name="Финансовый 2 3 2 2 2 6" xfId="1610"/>
    <cellStyle name="Финансовый 2 3 2 2 2 7" xfId="837"/>
    <cellStyle name="Финансовый 2 3 2 2 3" xfId="186"/>
    <cellStyle name="Финансовый 2 3 2 2 3 2" xfId="458"/>
    <cellStyle name="Финансовый 2 3 2 2 3 2 2" xfId="1425"/>
    <cellStyle name="Финансовый 2 3 2 2 3 3" xfId="1169"/>
    <cellStyle name="Финансовый 2 3 2 2 3 4" xfId="1690"/>
    <cellStyle name="Финансовый 2 3 2 2 4" xfId="322"/>
    <cellStyle name="Финансовый 2 3 2 2 4 2" xfId="1297"/>
    <cellStyle name="Финансовый 2 3 2 2 5" xfId="656"/>
    <cellStyle name="Финансовый 2 3 2 2 5 2" xfId="1033"/>
    <cellStyle name="Финансовый 2 3 2 2 6" xfId="917"/>
    <cellStyle name="Финансовый 2 3 2 2 7" xfId="1553"/>
    <cellStyle name="Финансовый 2 3 2 2 8" xfId="780"/>
    <cellStyle name="Финансовый 2 3 2 3" xfId="118"/>
    <cellStyle name="Финансовый 2 3 2 3 2" xfId="254"/>
    <cellStyle name="Финансовый 2 3 2 3 2 2" xfId="526"/>
    <cellStyle name="Финансовый 2 3 2 3 2 2 2" xfId="1485"/>
    <cellStyle name="Финансовый 2 3 2 3 2 3" xfId="1229"/>
    <cellStyle name="Финансовый 2 3 2 3 2 4" xfId="1758"/>
    <cellStyle name="Финансовый 2 3 2 3 3" xfId="390"/>
    <cellStyle name="Финансовый 2 3 2 3 3 2" xfId="1357"/>
    <cellStyle name="Финансовый 2 3 2 3 4" xfId="658"/>
    <cellStyle name="Финансовый 2 3 2 3 4 2" xfId="1101"/>
    <cellStyle name="Финансовый 2 3 2 3 5" xfId="977"/>
    <cellStyle name="Финансовый 2 3 2 3 6" xfId="1622"/>
    <cellStyle name="Финансовый 2 3 2 3 7" xfId="849"/>
    <cellStyle name="Финансовый 2 3 2 4" xfId="82"/>
    <cellStyle name="Финансовый 2 3 2 4 2" xfId="218"/>
    <cellStyle name="Финансовый 2 3 2 4 2 2" xfId="490"/>
    <cellStyle name="Финансовый 2 3 2 4 2 2 2" xfId="1449"/>
    <cellStyle name="Финансовый 2 3 2 4 2 3" xfId="1193"/>
    <cellStyle name="Финансовый 2 3 2 4 2 4" xfId="1722"/>
    <cellStyle name="Финансовый 2 3 2 4 3" xfId="354"/>
    <cellStyle name="Финансовый 2 3 2 4 3 2" xfId="1321"/>
    <cellStyle name="Финансовый 2 3 2 4 4" xfId="659"/>
    <cellStyle name="Финансовый 2 3 2 4 4 2" xfId="1065"/>
    <cellStyle name="Финансовый 2 3 2 4 5" xfId="941"/>
    <cellStyle name="Финансовый 2 3 2 4 6" xfId="1586"/>
    <cellStyle name="Финансовый 2 3 2 4 7" xfId="813"/>
    <cellStyle name="Финансовый 2 3 2 5" xfId="60"/>
    <cellStyle name="Финансовый 2 3 2 5 2" xfId="198"/>
    <cellStyle name="Финансовый 2 3 2 5 2 2" xfId="470"/>
    <cellStyle name="Финансовый 2 3 2 5 2 2 2" xfId="1437"/>
    <cellStyle name="Финансовый 2 3 2 5 2 3" xfId="1181"/>
    <cellStyle name="Финансовый 2 3 2 5 2 4" xfId="1702"/>
    <cellStyle name="Финансовый 2 3 2 5 3" xfId="334"/>
    <cellStyle name="Финансовый 2 3 2 5 3 2" xfId="1309"/>
    <cellStyle name="Финансовый 2 3 2 5 4" xfId="660"/>
    <cellStyle name="Финансовый 2 3 2 5 4 2" xfId="1045"/>
    <cellStyle name="Финансовый 2 3 2 5 5" xfId="929"/>
    <cellStyle name="Финансовый 2 3 2 5 6" xfId="1565"/>
    <cellStyle name="Финансовый 2 3 2 5 7" xfId="792"/>
    <cellStyle name="Финансовый 2 3 2 6" xfId="138"/>
    <cellStyle name="Финансовый 2 3 2 6 2" xfId="274"/>
    <cellStyle name="Финансовый 2 3 2 6 2 2" xfId="546"/>
    <cellStyle name="Финансовый 2 3 2 6 2 2 2" xfId="1505"/>
    <cellStyle name="Финансовый 2 3 2 6 2 3" xfId="1249"/>
    <cellStyle name="Финансовый 2 3 2 6 2 4" xfId="1778"/>
    <cellStyle name="Финансовый 2 3 2 6 3" xfId="410"/>
    <cellStyle name="Финансовый 2 3 2 6 3 2" xfId="1377"/>
    <cellStyle name="Финансовый 2 3 2 6 4" xfId="661"/>
    <cellStyle name="Финансовый 2 3 2 6 4 2" xfId="1121"/>
    <cellStyle name="Финансовый 2 3 2 6 5" xfId="997"/>
    <cellStyle name="Финансовый 2 3 2 6 6" xfId="1642"/>
    <cellStyle name="Финансовый 2 3 2 6 7" xfId="869"/>
    <cellStyle name="Финансовый 2 3 2 7" xfId="36"/>
    <cellStyle name="Финансовый 2 3 2 7 2" xfId="174"/>
    <cellStyle name="Финансовый 2 3 2 7 2 2" xfId="446"/>
    <cellStyle name="Финансовый 2 3 2 7 2 2 2" xfId="1413"/>
    <cellStyle name="Финансовый 2 3 2 7 2 3" xfId="1157"/>
    <cellStyle name="Финансовый 2 3 2 7 2 4" xfId="1678"/>
    <cellStyle name="Финансовый 2 3 2 7 3" xfId="310"/>
    <cellStyle name="Финансовый 2 3 2 7 3 2" xfId="1285"/>
    <cellStyle name="Финансовый 2 3 2 7 4" xfId="631"/>
    <cellStyle name="Финансовый 2 3 2 7 4 2" xfId="1021"/>
    <cellStyle name="Финансовый 2 3 2 7 5" xfId="905"/>
    <cellStyle name="Финансовый 2 3 2 7 6" xfId="1541"/>
    <cellStyle name="Финансовый 2 3 2 7 7" xfId="768"/>
    <cellStyle name="Финансовый 2 3 2 8" xfId="24"/>
    <cellStyle name="Финансовый 2 3 2 8 2" xfId="162"/>
    <cellStyle name="Финансовый 2 3 2 8 2 2" xfId="434"/>
    <cellStyle name="Финансовый 2 3 2 8 2 2 2" xfId="1401"/>
    <cellStyle name="Финансовый 2 3 2 8 2 3" xfId="1145"/>
    <cellStyle name="Финансовый 2 3 2 8 2 4" xfId="1666"/>
    <cellStyle name="Финансовый 2 3 2 8 3" xfId="298"/>
    <cellStyle name="Финансовый 2 3 2 8 3 2" xfId="1273"/>
    <cellStyle name="Финансовый 2 3 2 8 4" xfId="642"/>
    <cellStyle name="Финансовый 2 3 2 8 4 2" xfId="1009"/>
    <cellStyle name="Финансовый 2 3 2 8 5" xfId="893"/>
    <cellStyle name="Финансовый 2 3 2 8 6" xfId="1529"/>
    <cellStyle name="Финансовый 2 3 2 8 7" xfId="756"/>
    <cellStyle name="Финансовый 2 3 2 9" xfId="150"/>
    <cellStyle name="Финансовый 2 3 2 9 2" xfId="422"/>
    <cellStyle name="Финансовый 2 3 2 9 2 2" xfId="1389"/>
    <cellStyle name="Финансовый 2 3 2 9 3" xfId="1133"/>
    <cellStyle name="Финансовый 2 3 2 9 4" xfId="1654"/>
    <cellStyle name="Финансовый 2 3 3" xfId="42"/>
    <cellStyle name="Финансовый 2 3 3 2" xfId="124"/>
    <cellStyle name="Финансовый 2 3 3 2 2" xfId="260"/>
    <cellStyle name="Финансовый 2 3 3 2 2 2" xfId="532"/>
    <cellStyle name="Финансовый 2 3 3 2 2 2 2" xfId="1491"/>
    <cellStyle name="Финансовый 2 3 3 2 2 3" xfId="1235"/>
    <cellStyle name="Финансовый 2 3 3 2 2 4" xfId="1764"/>
    <cellStyle name="Финансовый 2 3 3 2 3" xfId="396"/>
    <cellStyle name="Финансовый 2 3 3 2 3 2" xfId="1363"/>
    <cellStyle name="Финансовый 2 3 3 2 4" xfId="663"/>
    <cellStyle name="Финансовый 2 3 3 2 4 2" xfId="1107"/>
    <cellStyle name="Финансовый 2 3 3 2 5" xfId="983"/>
    <cellStyle name="Финансовый 2 3 3 2 6" xfId="1628"/>
    <cellStyle name="Финансовый 2 3 3 2 7" xfId="855"/>
    <cellStyle name="Финансовый 2 3 3 3" xfId="88"/>
    <cellStyle name="Финансовый 2 3 3 3 2" xfId="224"/>
    <cellStyle name="Финансовый 2 3 3 3 2 2" xfId="496"/>
    <cellStyle name="Финансовый 2 3 3 3 2 2 2" xfId="1455"/>
    <cellStyle name="Финансовый 2 3 3 3 2 3" xfId="1199"/>
    <cellStyle name="Финансовый 2 3 3 3 2 4" xfId="1728"/>
    <cellStyle name="Финансовый 2 3 3 3 3" xfId="360"/>
    <cellStyle name="Финансовый 2 3 3 3 3 2" xfId="1327"/>
    <cellStyle name="Финансовый 2 3 3 3 4" xfId="664"/>
    <cellStyle name="Финансовый 2 3 3 3 4 2" xfId="1071"/>
    <cellStyle name="Финансовый 2 3 3 3 5" xfId="947"/>
    <cellStyle name="Финансовый 2 3 3 3 6" xfId="1592"/>
    <cellStyle name="Финансовый 2 3 3 3 7" xfId="819"/>
    <cellStyle name="Финансовый 2 3 3 4" xfId="180"/>
    <cellStyle name="Финансовый 2 3 3 4 2" xfId="452"/>
    <cellStyle name="Финансовый 2 3 3 4 2 2" xfId="1419"/>
    <cellStyle name="Финансовый 2 3 3 4 3" xfId="1163"/>
    <cellStyle name="Финансовый 2 3 3 4 4" xfId="1684"/>
    <cellStyle name="Финансовый 2 3 3 5" xfId="316"/>
    <cellStyle name="Финансовый 2 3 3 5 2" xfId="1291"/>
    <cellStyle name="Финансовый 2 3 3 6" xfId="662"/>
    <cellStyle name="Финансовый 2 3 3 6 2" xfId="1027"/>
    <cellStyle name="Финансовый 2 3 3 7" xfId="911"/>
    <cellStyle name="Финансовый 2 3 3 8" xfId="1547"/>
    <cellStyle name="Финансовый 2 3 3 9" xfId="774"/>
    <cellStyle name="Финансовый 2 3 4" xfId="94"/>
    <cellStyle name="Финансовый 2 3 4 2" xfId="230"/>
    <cellStyle name="Финансовый 2 3 4 2 2" xfId="502"/>
    <cellStyle name="Финансовый 2 3 4 2 2 2" xfId="1461"/>
    <cellStyle name="Финансовый 2 3 4 2 3" xfId="1205"/>
    <cellStyle name="Финансовый 2 3 4 2 4" xfId="1734"/>
    <cellStyle name="Финансовый 2 3 4 3" xfId="366"/>
    <cellStyle name="Финансовый 2 3 4 3 2" xfId="1333"/>
    <cellStyle name="Финансовый 2 3 4 4" xfId="665"/>
    <cellStyle name="Финансовый 2 3 4 4 2" xfId="1077"/>
    <cellStyle name="Финансовый 2 3 4 5" xfId="953"/>
    <cellStyle name="Финансовый 2 3 4 6" xfId="1598"/>
    <cellStyle name="Финансовый 2 3 4 7" xfId="825"/>
    <cellStyle name="Финансовый 2 3 5" xfId="100"/>
    <cellStyle name="Финансовый 2 3 5 2" xfId="236"/>
    <cellStyle name="Финансовый 2 3 5 2 2" xfId="508"/>
    <cellStyle name="Финансовый 2 3 5 2 2 2" xfId="1467"/>
    <cellStyle name="Финансовый 2 3 5 2 3" xfId="1211"/>
    <cellStyle name="Финансовый 2 3 5 2 4" xfId="1740"/>
    <cellStyle name="Финансовый 2 3 5 3" xfId="372"/>
    <cellStyle name="Финансовый 2 3 5 3 2" xfId="1339"/>
    <cellStyle name="Финансовый 2 3 5 4" xfId="666"/>
    <cellStyle name="Финансовый 2 3 5 4 2" xfId="1083"/>
    <cellStyle name="Финансовый 2 3 5 5" xfId="959"/>
    <cellStyle name="Финансовый 2 3 5 6" xfId="1604"/>
    <cellStyle name="Финансовый 2 3 5 7" xfId="831"/>
    <cellStyle name="Финансовый 2 3 6" xfId="112"/>
    <cellStyle name="Финансовый 2 3 6 2" xfId="248"/>
    <cellStyle name="Финансовый 2 3 6 2 2" xfId="520"/>
    <cellStyle name="Финансовый 2 3 6 2 2 2" xfId="1479"/>
    <cellStyle name="Финансовый 2 3 6 2 3" xfId="1223"/>
    <cellStyle name="Финансовый 2 3 6 2 4" xfId="1752"/>
    <cellStyle name="Финансовый 2 3 6 3" xfId="384"/>
    <cellStyle name="Финансовый 2 3 6 3 2" xfId="1351"/>
    <cellStyle name="Финансовый 2 3 6 4" xfId="667"/>
    <cellStyle name="Финансовый 2 3 6 4 2" xfId="1095"/>
    <cellStyle name="Финансовый 2 3 6 5" xfId="971"/>
    <cellStyle name="Финансовый 2 3 6 6" xfId="1616"/>
    <cellStyle name="Финансовый 2 3 6 7" xfId="843"/>
    <cellStyle name="Финансовый 2 3 7" xfId="76"/>
    <cellStyle name="Финансовый 2 3 7 2" xfId="212"/>
    <cellStyle name="Финансовый 2 3 7 2 2" xfId="484"/>
    <cellStyle name="Финансовый 2 3 7 2 2 2" xfId="1443"/>
    <cellStyle name="Финансовый 2 3 7 2 3" xfId="1187"/>
    <cellStyle name="Финансовый 2 3 7 2 4" xfId="1716"/>
    <cellStyle name="Финансовый 2 3 7 3" xfId="348"/>
    <cellStyle name="Финансовый 2 3 7 3 2" xfId="1315"/>
    <cellStyle name="Финансовый 2 3 7 4" xfId="668"/>
    <cellStyle name="Финансовый 2 3 7 4 2" xfId="1059"/>
    <cellStyle name="Финансовый 2 3 7 5" xfId="935"/>
    <cellStyle name="Финансовый 2 3 7 6" xfId="1580"/>
    <cellStyle name="Финансовый 2 3 7 7" xfId="807"/>
    <cellStyle name="Финансовый 2 3 8" xfId="54"/>
    <cellStyle name="Финансовый 2 3 8 2" xfId="192"/>
    <cellStyle name="Финансовый 2 3 8 2 2" xfId="464"/>
    <cellStyle name="Финансовый 2 3 8 2 2 2" xfId="1431"/>
    <cellStyle name="Финансовый 2 3 8 2 3" xfId="1175"/>
    <cellStyle name="Финансовый 2 3 8 2 4" xfId="1696"/>
    <cellStyle name="Финансовый 2 3 8 3" xfId="328"/>
    <cellStyle name="Финансовый 2 3 8 3 2" xfId="1303"/>
    <cellStyle name="Финансовый 2 3 8 4" xfId="669"/>
    <cellStyle name="Финансовый 2 3 8 4 2" xfId="1039"/>
    <cellStyle name="Финансовый 2 3 8 5" xfId="923"/>
    <cellStyle name="Финансовый 2 3 8 6" xfId="1559"/>
    <cellStyle name="Финансовый 2 3 8 7" xfId="786"/>
    <cellStyle name="Финансовый 2 3 9" xfId="132"/>
    <cellStyle name="Финансовый 2 3 9 2" xfId="268"/>
    <cellStyle name="Финансовый 2 3 9 2 2" xfId="540"/>
    <cellStyle name="Финансовый 2 3 9 2 2 2" xfId="1499"/>
    <cellStyle name="Финансовый 2 3 9 2 3" xfId="1243"/>
    <cellStyle name="Финансовый 2 3 9 2 4" xfId="1772"/>
    <cellStyle name="Финансовый 2 3 9 3" xfId="404"/>
    <cellStyle name="Финансовый 2 3 9 3 2" xfId="1371"/>
    <cellStyle name="Финансовый 2 3 9 4" xfId="670"/>
    <cellStyle name="Финансовый 2 3 9 4 2" xfId="1115"/>
    <cellStyle name="Финансовый 2 3 9 5" xfId="991"/>
    <cellStyle name="Финансовый 2 3 9 6" xfId="1636"/>
    <cellStyle name="Финансовый 2 3 9 7" xfId="863"/>
    <cellStyle name="Финансовый 2 4" xfId="8"/>
    <cellStyle name="Финансовый 2 4 10" xfId="554"/>
    <cellStyle name="Финансовый 2 4 10 2" xfId="1257"/>
    <cellStyle name="Финансовый 2 4 11" xfId="282"/>
    <cellStyle name="Финансовый 2 4 12" xfId="672"/>
    <cellStyle name="Финансовый 2 4 12 2" xfId="877"/>
    <cellStyle name="Финансовый 2 4 13" xfId="1513"/>
    <cellStyle name="Финансовый 2 4 14" xfId="740"/>
    <cellStyle name="Финансовый 2 4 2" xfId="44"/>
    <cellStyle name="Финансовый 2 4 2 2" xfId="102"/>
    <cellStyle name="Финансовый 2 4 2 2 2" xfId="238"/>
    <cellStyle name="Финансовый 2 4 2 2 2 2" xfId="510"/>
    <cellStyle name="Финансовый 2 4 2 2 2 2 2" xfId="1469"/>
    <cellStyle name="Финансовый 2 4 2 2 2 3" xfId="1213"/>
    <cellStyle name="Финансовый 2 4 2 2 2 4" xfId="1742"/>
    <cellStyle name="Финансовый 2 4 2 2 3" xfId="374"/>
    <cellStyle name="Финансовый 2 4 2 2 3 2" xfId="1341"/>
    <cellStyle name="Финансовый 2 4 2 2 4" xfId="674"/>
    <cellStyle name="Финансовый 2 4 2 2 4 2" xfId="1085"/>
    <cellStyle name="Финансовый 2 4 2 2 5" xfId="961"/>
    <cellStyle name="Финансовый 2 4 2 2 6" xfId="1606"/>
    <cellStyle name="Финансовый 2 4 2 2 7" xfId="833"/>
    <cellStyle name="Финансовый 2 4 2 3" xfId="182"/>
    <cellStyle name="Финансовый 2 4 2 3 2" xfId="454"/>
    <cellStyle name="Финансовый 2 4 2 3 2 2" xfId="1421"/>
    <cellStyle name="Финансовый 2 4 2 3 3" xfId="1165"/>
    <cellStyle name="Финансовый 2 4 2 3 4" xfId="1686"/>
    <cellStyle name="Финансовый 2 4 2 4" xfId="318"/>
    <cellStyle name="Финансовый 2 4 2 4 2" xfId="1293"/>
    <cellStyle name="Финансовый 2 4 2 5" xfId="673"/>
    <cellStyle name="Финансовый 2 4 2 5 2" xfId="1029"/>
    <cellStyle name="Финансовый 2 4 2 6" xfId="913"/>
    <cellStyle name="Финансовый 2 4 2 7" xfId="1549"/>
    <cellStyle name="Финансовый 2 4 2 8" xfId="776"/>
    <cellStyle name="Финансовый 2 4 3" xfId="114"/>
    <cellStyle name="Финансовый 2 4 3 2" xfId="250"/>
    <cellStyle name="Финансовый 2 4 3 2 2" xfId="522"/>
    <cellStyle name="Финансовый 2 4 3 2 2 2" xfId="1481"/>
    <cellStyle name="Финансовый 2 4 3 2 3" xfId="1225"/>
    <cellStyle name="Финансовый 2 4 3 2 4" xfId="1754"/>
    <cellStyle name="Финансовый 2 4 3 3" xfId="386"/>
    <cellStyle name="Финансовый 2 4 3 3 2" xfId="1353"/>
    <cellStyle name="Финансовый 2 4 3 4" xfId="675"/>
    <cellStyle name="Финансовый 2 4 3 4 2" xfId="1097"/>
    <cellStyle name="Финансовый 2 4 3 5" xfId="973"/>
    <cellStyle name="Финансовый 2 4 3 6" xfId="1618"/>
    <cellStyle name="Финансовый 2 4 3 7" xfId="845"/>
    <cellStyle name="Финансовый 2 4 4" xfId="78"/>
    <cellStyle name="Финансовый 2 4 4 2" xfId="214"/>
    <cellStyle name="Финансовый 2 4 4 2 2" xfId="486"/>
    <cellStyle name="Финансовый 2 4 4 2 2 2" xfId="1445"/>
    <cellStyle name="Финансовый 2 4 4 2 3" xfId="1189"/>
    <cellStyle name="Финансовый 2 4 4 2 4" xfId="1718"/>
    <cellStyle name="Финансовый 2 4 4 3" xfId="350"/>
    <cellStyle name="Финансовый 2 4 4 3 2" xfId="1317"/>
    <cellStyle name="Финансовый 2 4 4 4" xfId="676"/>
    <cellStyle name="Финансовый 2 4 4 4 2" xfId="1061"/>
    <cellStyle name="Финансовый 2 4 4 5" xfId="937"/>
    <cellStyle name="Финансовый 2 4 4 6" xfId="1582"/>
    <cellStyle name="Финансовый 2 4 4 7" xfId="809"/>
    <cellStyle name="Финансовый 2 4 5" xfId="56"/>
    <cellStyle name="Финансовый 2 4 5 2" xfId="194"/>
    <cellStyle name="Финансовый 2 4 5 2 2" xfId="466"/>
    <cellStyle name="Финансовый 2 4 5 2 2 2" xfId="1433"/>
    <cellStyle name="Финансовый 2 4 5 2 3" xfId="1177"/>
    <cellStyle name="Финансовый 2 4 5 2 4" xfId="1698"/>
    <cellStyle name="Финансовый 2 4 5 3" xfId="330"/>
    <cellStyle name="Финансовый 2 4 5 3 2" xfId="1305"/>
    <cellStyle name="Финансовый 2 4 5 4" xfId="677"/>
    <cellStyle name="Финансовый 2 4 5 4 2" xfId="1041"/>
    <cellStyle name="Финансовый 2 4 5 5" xfId="925"/>
    <cellStyle name="Финансовый 2 4 5 6" xfId="1561"/>
    <cellStyle name="Финансовый 2 4 5 7" xfId="788"/>
    <cellStyle name="Финансовый 2 4 6" xfId="134"/>
    <cellStyle name="Финансовый 2 4 6 2" xfId="270"/>
    <cellStyle name="Финансовый 2 4 6 2 2" xfId="542"/>
    <cellStyle name="Финансовый 2 4 6 2 2 2" xfId="1501"/>
    <cellStyle name="Финансовый 2 4 6 2 3" xfId="1245"/>
    <cellStyle name="Финансовый 2 4 6 2 4" xfId="1774"/>
    <cellStyle name="Финансовый 2 4 6 3" xfId="406"/>
    <cellStyle name="Финансовый 2 4 6 3 2" xfId="1373"/>
    <cellStyle name="Финансовый 2 4 6 4" xfId="678"/>
    <cellStyle name="Финансовый 2 4 6 4 2" xfId="1117"/>
    <cellStyle name="Финансовый 2 4 6 5" xfId="993"/>
    <cellStyle name="Финансовый 2 4 6 6" xfId="1638"/>
    <cellStyle name="Финансовый 2 4 6 7" xfId="865"/>
    <cellStyle name="Финансовый 2 4 7" xfId="32"/>
    <cellStyle name="Финансовый 2 4 7 2" xfId="170"/>
    <cellStyle name="Финансовый 2 4 7 2 2" xfId="442"/>
    <cellStyle name="Финансовый 2 4 7 2 2 2" xfId="1409"/>
    <cellStyle name="Финансовый 2 4 7 2 3" xfId="1153"/>
    <cellStyle name="Финансовый 2 4 7 2 4" xfId="1674"/>
    <cellStyle name="Финансовый 2 4 7 3" xfId="306"/>
    <cellStyle name="Финансовый 2 4 7 3 2" xfId="1281"/>
    <cellStyle name="Финансовый 2 4 7 4" xfId="679"/>
    <cellStyle name="Финансовый 2 4 7 4 2" xfId="1017"/>
    <cellStyle name="Финансовый 2 4 7 5" xfId="901"/>
    <cellStyle name="Финансовый 2 4 7 6" xfId="1537"/>
    <cellStyle name="Финансовый 2 4 7 7" xfId="764"/>
    <cellStyle name="Финансовый 2 4 8" xfId="20"/>
    <cellStyle name="Финансовый 2 4 8 2" xfId="158"/>
    <cellStyle name="Финансовый 2 4 8 2 2" xfId="430"/>
    <cellStyle name="Финансовый 2 4 8 2 2 2" xfId="1397"/>
    <cellStyle name="Финансовый 2 4 8 2 3" xfId="1141"/>
    <cellStyle name="Финансовый 2 4 8 2 4" xfId="1662"/>
    <cellStyle name="Финансовый 2 4 8 3" xfId="294"/>
    <cellStyle name="Финансовый 2 4 8 3 2" xfId="1269"/>
    <cellStyle name="Финансовый 2 4 8 4" xfId="680"/>
    <cellStyle name="Финансовый 2 4 8 4 2" xfId="1005"/>
    <cellStyle name="Финансовый 2 4 8 5" xfId="889"/>
    <cellStyle name="Финансовый 2 4 8 6" xfId="1525"/>
    <cellStyle name="Финансовый 2 4 8 7" xfId="752"/>
    <cellStyle name="Финансовый 2 4 9" xfId="146"/>
    <cellStyle name="Финансовый 2 4 9 2" xfId="418"/>
    <cellStyle name="Финансовый 2 4 9 2 2" xfId="1385"/>
    <cellStyle name="Финансовый 2 4 9 3" xfId="1129"/>
    <cellStyle name="Финансовый 2 4 9 4" xfId="1650"/>
    <cellStyle name="Финансовый 2 5" xfId="38"/>
    <cellStyle name="Финансовый 2 5 2" xfId="120"/>
    <cellStyle name="Финансовый 2 5 2 2" xfId="256"/>
    <cellStyle name="Финансовый 2 5 2 2 2" xfId="528"/>
    <cellStyle name="Финансовый 2 5 2 2 2 2" xfId="1487"/>
    <cellStyle name="Финансовый 2 5 2 2 3" xfId="1231"/>
    <cellStyle name="Финансовый 2 5 2 2 4" xfId="1760"/>
    <cellStyle name="Финансовый 2 5 2 3" xfId="392"/>
    <cellStyle name="Финансовый 2 5 2 3 2" xfId="1359"/>
    <cellStyle name="Финансовый 2 5 2 4" xfId="682"/>
    <cellStyle name="Финансовый 2 5 2 4 2" xfId="1103"/>
    <cellStyle name="Финансовый 2 5 2 5" xfId="979"/>
    <cellStyle name="Финансовый 2 5 2 6" xfId="1624"/>
    <cellStyle name="Финансовый 2 5 2 7" xfId="851"/>
    <cellStyle name="Финансовый 2 5 3" xfId="84"/>
    <cellStyle name="Финансовый 2 5 3 2" xfId="220"/>
    <cellStyle name="Финансовый 2 5 3 2 2" xfId="492"/>
    <cellStyle name="Финансовый 2 5 3 2 2 2" xfId="1451"/>
    <cellStyle name="Финансовый 2 5 3 2 3" xfId="1195"/>
    <cellStyle name="Финансовый 2 5 3 2 4" xfId="1724"/>
    <cellStyle name="Финансовый 2 5 3 3" xfId="356"/>
    <cellStyle name="Финансовый 2 5 3 3 2" xfId="1323"/>
    <cellStyle name="Финансовый 2 5 3 4" xfId="612"/>
    <cellStyle name="Финансовый 2 5 3 4 2" xfId="1067"/>
    <cellStyle name="Финансовый 2 5 3 5" xfId="943"/>
    <cellStyle name="Финансовый 2 5 3 6" xfId="1588"/>
    <cellStyle name="Финансовый 2 5 3 7" xfId="815"/>
    <cellStyle name="Финансовый 2 5 4" xfId="176"/>
    <cellStyle name="Финансовый 2 5 4 2" xfId="448"/>
    <cellStyle name="Финансовый 2 5 4 2 2" xfId="1415"/>
    <cellStyle name="Финансовый 2 5 4 3" xfId="1159"/>
    <cellStyle name="Финансовый 2 5 4 4" xfId="1680"/>
    <cellStyle name="Финансовый 2 5 5" xfId="312"/>
    <cellStyle name="Финансовый 2 5 5 2" xfId="1287"/>
    <cellStyle name="Финансовый 2 5 6" xfId="681"/>
    <cellStyle name="Финансовый 2 5 6 2" xfId="1023"/>
    <cellStyle name="Финансовый 2 5 7" xfId="907"/>
    <cellStyle name="Финансовый 2 5 8" xfId="1543"/>
    <cellStyle name="Финансовый 2 5 9" xfId="770"/>
    <cellStyle name="Финансовый 2 6" xfId="90"/>
    <cellStyle name="Финансовый 2 6 2" xfId="226"/>
    <cellStyle name="Финансовый 2 6 2 2" xfId="498"/>
    <cellStyle name="Финансовый 2 6 2 2 2" xfId="1457"/>
    <cellStyle name="Финансовый 2 6 2 3" xfId="1201"/>
    <cellStyle name="Финансовый 2 6 2 4" xfId="1730"/>
    <cellStyle name="Финансовый 2 6 3" xfId="362"/>
    <cellStyle name="Финансовый 2 6 3 2" xfId="1329"/>
    <cellStyle name="Финансовый 2 6 4" xfId="683"/>
    <cellStyle name="Финансовый 2 6 4 2" xfId="1073"/>
    <cellStyle name="Финансовый 2 6 5" xfId="949"/>
    <cellStyle name="Финансовый 2 6 6" xfId="1594"/>
    <cellStyle name="Финансовый 2 6 7" xfId="821"/>
    <cellStyle name="Финансовый 2 7" xfId="96"/>
    <cellStyle name="Финансовый 2 7 2" xfId="232"/>
    <cellStyle name="Финансовый 2 7 2 2" xfId="504"/>
    <cellStyle name="Финансовый 2 7 2 2 2" xfId="1463"/>
    <cellStyle name="Финансовый 2 7 2 3" xfId="1207"/>
    <cellStyle name="Финансовый 2 7 2 4" xfId="1736"/>
    <cellStyle name="Финансовый 2 7 3" xfId="368"/>
    <cellStyle name="Финансовый 2 7 3 2" xfId="1335"/>
    <cellStyle name="Финансовый 2 7 4" xfId="684"/>
    <cellStyle name="Финансовый 2 7 4 2" xfId="1079"/>
    <cellStyle name="Финансовый 2 7 5" xfId="955"/>
    <cellStyle name="Финансовый 2 7 6" xfId="1600"/>
    <cellStyle name="Финансовый 2 7 7" xfId="827"/>
    <cellStyle name="Финансовый 2 8" xfId="108"/>
    <cellStyle name="Финансовый 2 8 2" xfId="244"/>
    <cellStyle name="Финансовый 2 8 2 2" xfId="516"/>
    <cellStyle name="Финансовый 2 8 2 2 2" xfId="1475"/>
    <cellStyle name="Финансовый 2 8 2 3" xfId="1219"/>
    <cellStyle name="Финансовый 2 8 2 4" xfId="1748"/>
    <cellStyle name="Финансовый 2 8 3" xfId="380"/>
    <cellStyle name="Финансовый 2 8 3 2" xfId="1347"/>
    <cellStyle name="Финансовый 2 8 4" xfId="685"/>
    <cellStyle name="Финансовый 2 8 4 2" xfId="1091"/>
    <cellStyle name="Финансовый 2 8 5" xfId="967"/>
    <cellStyle name="Финансовый 2 8 6" xfId="1612"/>
    <cellStyle name="Финансовый 2 8 7" xfId="839"/>
    <cellStyle name="Финансовый 2 9" xfId="126"/>
    <cellStyle name="Финансовый 2 9 2" xfId="262"/>
    <cellStyle name="Финансовый 2 9 2 2" xfId="534"/>
    <cellStyle name="Финансовый 2 9 2 2 2" xfId="1493"/>
    <cellStyle name="Финансовый 2 9 2 3" xfId="1237"/>
    <cellStyle name="Финансовый 2 9 2 4" xfId="1766"/>
    <cellStyle name="Финансовый 2 9 3" xfId="398"/>
    <cellStyle name="Финансовый 2 9 3 2" xfId="1365"/>
    <cellStyle name="Финансовый 2 9 4" xfId="686"/>
    <cellStyle name="Финансовый 2 9 4 2" xfId="1109"/>
    <cellStyle name="Финансовый 2 9 5" xfId="985"/>
    <cellStyle name="Финансовый 2 9 6" xfId="1630"/>
    <cellStyle name="Финансовый 2 9 7" xfId="857"/>
    <cellStyle name="Финансовый 20" xfId="1506"/>
    <cellStyle name="Финансовый 21" xfId="1568"/>
    <cellStyle name="Финансовый 22" xfId="1781"/>
    <cellStyle name="Финансовый 23" xfId="1779"/>
    <cellStyle name="Финансовый 24" xfId="1785"/>
    <cellStyle name="Финансовый 25" xfId="1783"/>
    <cellStyle name="Финансовый 26" xfId="1782"/>
    <cellStyle name="Финансовый 27" xfId="1780"/>
    <cellStyle name="Финансовый 28" xfId="1784"/>
    <cellStyle name="Финансовый 29" xfId="733"/>
    <cellStyle name="Финансовый 3" xfId="3"/>
    <cellStyle name="Финансовый 3 10" xfId="27"/>
    <cellStyle name="Финансовый 3 10 2" xfId="165"/>
    <cellStyle name="Финансовый 3 10 2 2" xfId="437"/>
    <cellStyle name="Финансовый 3 10 2 2 2" xfId="1404"/>
    <cellStyle name="Финансовый 3 10 2 3" xfId="1148"/>
    <cellStyle name="Финансовый 3 10 2 4" xfId="1669"/>
    <cellStyle name="Финансовый 3 10 3" xfId="301"/>
    <cellStyle name="Финансовый 3 10 3 2" xfId="1276"/>
    <cellStyle name="Финансовый 3 10 4" xfId="688"/>
    <cellStyle name="Финансовый 3 10 4 2" xfId="1012"/>
    <cellStyle name="Финансовый 3 10 5" xfId="896"/>
    <cellStyle name="Финансовый 3 10 6" xfId="1532"/>
    <cellStyle name="Финансовый 3 10 7" xfId="759"/>
    <cellStyle name="Финансовый 3 11" xfId="15"/>
    <cellStyle name="Финансовый 3 11 2" xfId="153"/>
    <cellStyle name="Финансовый 3 11 2 2" xfId="425"/>
    <cellStyle name="Финансовый 3 11 2 2 2" xfId="1392"/>
    <cellStyle name="Финансовый 3 11 2 3" xfId="1136"/>
    <cellStyle name="Финансовый 3 11 2 4" xfId="1657"/>
    <cellStyle name="Финансовый 3 11 3" xfId="289"/>
    <cellStyle name="Финансовый 3 11 3 2" xfId="1264"/>
    <cellStyle name="Финансовый 3 11 4" xfId="689"/>
    <cellStyle name="Финансовый 3 11 4 2" xfId="1000"/>
    <cellStyle name="Финансовый 3 11 5" xfId="884"/>
    <cellStyle name="Финансовый 3 11 6" xfId="1520"/>
    <cellStyle name="Финансовый 3 11 7" xfId="747"/>
    <cellStyle name="Финансовый 3 12" xfId="141"/>
    <cellStyle name="Финансовый 3 12 2" xfId="413"/>
    <cellStyle name="Финансовый 3 12 2 2" xfId="1380"/>
    <cellStyle name="Финансовый 3 12 3" xfId="1124"/>
    <cellStyle name="Финансовый 3 12 4" xfId="1645"/>
    <cellStyle name="Финансовый 3 13" xfId="549"/>
    <cellStyle name="Финансовый 3 13 2" xfId="1252"/>
    <cellStyle name="Финансовый 3 14" xfId="277"/>
    <cellStyle name="Финансовый 3 15" xfId="687"/>
    <cellStyle name="Финансовый 3 15 2" xfId="872"/>
    <cellStyle name="Финансовый 3 16" xfId="1508"/>
    <cellStyle name="Финансовый 3 17" xfId="735"/>
    <cellStyle name="Финансовый 3 2" xfId="9"/>
    <cellStyle name="Финансовый 3 2 10" xfId="555"/>
    <cellStyle name="Финансовый 3 2 10 2" xfId="1258"/>
    <cellStyle name="Финансовый 3 2 11" xfId="283"/>
    <cellStyle name="Финансовый 3 2 12" xfId="690"/>
    <cellStyle name="Финансовый 3 2 12 2" xfId="878"/>
    <cellStyle name="Финансовый 3 2 13" xfId="1514"/>
    <cellStyle name="Финансовый 3 2 14" xfId="741"/>
    <cellStyle name="Финансовый 3 2 2" xfId="45"/>
    <cellStyle name="Финансовый 3 2 2 2" xfId="103"/>
    <cellStyle name="Финансовый 3 2 2 2 2" xfId="239"/>
    <cellStyle name="Финансовый 3 2 2 2 2 2" xfId="511"/>
    <cellStyle name="Финансовый 3 2 2 2 2 2 2" xfId="1470"/>
    <cellStyle name="Финансовый 3 2 2 2 2 3" xfId="1214"/>
    <cellStyle name="Финансовый 3 2 2 2 2 4" xfId="1743"/>
    <cellStyle name="Финансовый 3 2 2 2 3" xfId="375"/>
    <cellStyle name="Финансовый 3 2 2 2 3 2" xfId="1342"/>
    <cellStyle name="Финансовый 3 2 2 2 4" xfId="692"/>
    <cellStyle name="Финансовый 3 2 2 2 4 2" xfId="1086"/>
    <cellStyle name="Финансовый 3 2 2 2 5" xfId="962"/>
    <cellStyle name="Финансовый 3 2 2 2 6" xfId="1607"/>
    <cellStyle name="Финансовый 3 2 2 2 7" xfId="834"/>
    <cellStyle name="Финансовый 3 2 2 3" xfId="183"/>
    <cellStyle name="Финансовый 3 2 2 3 2" xfId="455"/>
    <cellStyle name="Финансовый 3 2 2 3 2 2" xfId="1422"/>
    <cellStyle name="Финансовый 3 2 2 3 3" xfId="1166"/>
    <cellStyle name="Финансовый 3 2 2 3 4" xfId="1687"/>
    <cellStyle name="Финансовый 3 2 2 4" xfId="319"/>
    <cellStyle name="Финансовый 3 2 2 4 2" xfId="1294"/>
    <cellStyle name="Финансовый 3 2 2 5" xfId="691"/>
    <cellStyle name="Финансовый 3 2 2 5 2" xfId="1030"/>
    <cellStyle name="Финансовый 3 2 2 6" xfId="914"/>
    <cellStyle name="Финансовый 3 2 2 7" xfId="1550"/>
    <cellStyle name="Финансовый 3 2 2 8" xfId="777"/>
    <cellStyle name="Финансовый 3 2 3" xfId="115"/>
    <cellStyle name="Финансовый 3 2 3 2" xfId="251"/>
    <cellStyle name="Финансовый 3 2 3 2 2" xfId="523"/>
    <cellStyle name="Финансовый 3 2 3 2 2 2" xfId="1482"/>
    <cellStyle name="Финансовый 3 2 3 2 3" xfId="1226"/>
    <cellStyle name="Финансовый 3 2 3 2 4" xfId="1755"/>
    <cellStyle name="Финансовый 3 2 3 3" xfId="387"/>
    <cellStyle name="Финансовый 3 2 3 3 2" xfId="1354"/>
    <cellStyle name="Финансовый 3 2 3 4" xfId="693"/>
    <cellStyle name="Финансовый 3 2 3 4 2" xfId="1098"/>
    <cellStyle name="Финансовый 3 2 3 5" xfId="974"/>
    <cellStyle name="Финансовый 3 2 3 6" xfId="1619"/>
    <cellStyle name="Финансовый 3 2 3 7" xfId="846"/>
    <cellStyle name="Финансовый 3 2 4" xfId="79"/>
    <cellStyle name="Финансовый 3 2 4 2" xfId="215"/>
    <cellStyle name="Финансовый 3 2 4 2 2" xfId="487"/>
    <cellStyle name="Финансовый 3 2 4 2 2 2" xfId="1446"/>
    <cellStyle name="Финансовый 3 2 4 2 3" xfId="1190"/>
    <cellStyle name="Финансовый 3 2 4 2 4" xfId="1719"/>
    <cellStyle name="Финансовый 3 2 4 3" xfId="351"/>
    <cellStyle name="Финансовый 3 2 4 3 2" xfId="1318"/>
    <cellStyle name="Финансовый 3 2 4 4" xfId="694"/>
    <cellStyle name="Финансовый 3 2 4 4 2" xfId="1062"/>
    <cellStyle name="Финансовый 3 2 4 5" xfId="938"/>
    <cellStyle name="Финансовый 3 2 4 6" xfId="1583"/>
    <cellStyle name="Финансовый 3 2 4 7" xfId="810"/>
    <cellStyle name="Финансовый 3 2 5" xfId="57"/>
    <cellStyle name="Финансовый 3 2 5 2" xfId="195"/>
    <cellStyle name="Финансовый 3 2 5 2 2" xfId="467"/>
    <cellStyle name="Финансовый 3 2 5 2 2 2" xfId="1434"/>
    <cellStyle name="Финансовый 3 2 5 2 3" xfId="1178"/>
    <cellStyle name="Финансовый 3 2 5 2 4" xfId="1699"/>
    <cellStyle name="Финансовый 3 2 5 3" xfId="331"/>
    <cellStyle name="Финансовый 3 2 5 3 2" xfId="1306"/>
    <cellStyle name="Финансовый 3 2 5 4" xfId="695"/>
    <cellStyle name="Финансовый 3 2 5 4 2" xfId="1042"/>
    <cellStyle name="Финансовый 3 2 5 5" xfId="926"/>
    <cellStyle name="Финансовый 3 2 5 6" xfId="1562"/>
    <cellStyle name="Финансовый 3 2 5 7" xfId="789"/>
    <cellStyle name="Финансовый 3 2 6" xfId="135"/>
    <cellStyle name="Финансовый 3 2 6 2" xfId="271"/>
    <cellStyle name="Финансовый 3 2 6 2 2" xfId="543"/>
    <cellStyle name="Финансовый 3 2 6 2 2 2" xfId="1502"/>
    <cellStyle name="Финансовый 3 2 6 2 3" xfId="1246"/>
    <cellStyle name="Финансовый 3 2 6 2 4" xfId="1775"/>
    <cellStyle name="Финансовый 3 2 6 3" xfId="407"/>
    <cellStyle name="Финансовый 3 2 6 3 2" xfId="1374"/>
    <cellStyle name="Финансовый 3 2 6 4" xfId="696"/>
    <cellStyle name="Финансовый 3 2 6 4 2" xfId="1118"/>
    <cellStyle name="Финансовый 3 2 6 5" xfId="994"/>
    <cellStyle name="Финансовый 3 2 6 6" xfId="1639"/>
    <cellStyle name="Финансовый 3 2 6 7" xfId="866"/>
    <cellStyle name="Финансовый 3 2 7" xfId="33"/>
    <cellStyle name="Финансовый 3 2 7 2" xfId="171"/>
    <cellStyle name="Финансовый 3 2 7 2 2" xfId="443"/>
    <cellStyle name="Финансовый 3 2 7 2 2 2" xfId="1410"/>
    <cellStyle name="Финансовый 3 2 7 2 3" xfId="1154"/>
    <cellStyle name="Финансовый 3 2 7 2 4" xfId="1675"/>
    <cellStyle name="Финансовый 3 2 7 3" xfId="307"/>
    <cellStyle name="Финансовый 3 2 7 3 2" xfId="1282"/>
    <cellStyle name="Финансовый 3 2 7 4" xfId="697"/>
    <cellStyle name="Финансовый 3 2 7 4 2" xfId="1018"/>
    <cellStyle name="Финансовый 3 2 7 5" xfId="902"/>
    <cellStyle name="Финансовый 3 2 7 6" xfId="1538"/>
    <cellStyle name="Финансовый 3 2 7 7" xfId="765"/>
    <cellStyle name="Финансовый 3 2 8" xfId="21"/>
    <cellStyle name="Финансовый 3 2 8 2" xfId="159"/>
    <cellStyle name="Финансовый 3 2 8 2 2" xfId="431"/>
    <cellStyle name="Финансовый 3 2 8 2 2 2" xfId="1398"/>
    <cellStyle name="Финансовый 3 2 8 2 3" xfId="1142"/>
    <cellStyle name="Финансовый 3 2 8 2 4" xfId="1663"/>
    <cellStyle name="Финансовый 3 2 8 3" xfId="295"/>
    <cellStyle name="Финансовый 3 2 8 3 2" xfId="1270"/>
    <cellStyle name="Финансовый 3 2 8 4" xfId="698"/>
    <cellStyle name="Финансовый 3 2 8 4 2" xfId="1006"/>
    <cellStyle name="Финансовый 3 2 8 5" xfId="890"/>
    <cellStyle name="Финансовый 3 2 8 6" xfId="1526"/>
    <cellStyle name="Финансовый 3 2 8 7" xfId="753"/>
    <cellStyle name="Финансовый 3 2 9" xfId="147"/>
    <cellStyle name="Финансовый 3 2 9 2" xfId="419"/>
    <cellStyle name="Финансовый 3 2 9 2 2" xfId="1386"/>
    <cellStyle name="Финансовый 3 2 9 3" xfId="1130"/>
    <cellStyle name="Финансовый 3 2 9 4" xfId="1651"/>
    <cellStyle name="Финансовый 3 3" xfId="39"/>
    <cellStyle name="Финансовый 3 3 2" xfId="121"/>
    <cellStyle name="Финансовый 3 3 2 2" xfId="257"/>
    <cellStyle name="Финансовый 3 3 2 2 2" xfId="529"/>
    <cellStyle name="Финансовый 3 3 2 2 2 2" xfId="1488"/>
    <cellStyle name="Финансовый 3 3 2 2 3" xfId="1232"/>
    <cellStyle name="Финансовый 3 3 2 2 4" xfId="1761"/>
    <cellStyle name="Финансовый 3 3 2 3" xfId="393"/>
    <cellStyle name="Финансовый 3 3 2 3 2" xfId="1360"/>
    <cellStyle name="Финансовый 3 3 2 4" xfId="700"/>
    <cellStyle name="Финансовый 3 3 2 4 2" xfId="1104"/>
    <cellStyle name="Финансовый 3 3 2 5" xfId="980"/>
    <cellStyle name="Финансовый 3 3 2 6" xfId="1625"/>
    <cellStyle name="Финансовый 3 3 2 7" xfId="852"/>
    <cellStyle name="Финансовый 3 3 3" xfId="85"/>
    <cellStyle name="Финансовый 3 3 3 2" xfId="221"/>
    <cellStyle name="Финансовый 3 3 3 2 2" xfId="493"/>
    <cellStyle name="Финансовый 3 3 3 2 2 2" xfId="1452"/>
    <cellStyle name="Финансовый 3 3 3 2 3" xfId="1196"/>
    <cellStyle name="Финансовый 3 3 3 2 4" xfId="1725"/>
    <cellStyle name="Финансовый 3 3 3 3" xfId="357"/>
    <cellStyle name="Финансовый 3 3 3 3 2" xfId="1324"/>
    <cellStyle name="Финансовый 3 3 3 4" xfId="701"/>
    <cellStyle name="Финансовый 3 3 3 4 2" xfId="1068"/>
    <cellStyle name="Финансовый 3 3 3 5" xfId="944"/>
    <cellStyle name="Финансовый 3 3 3 6" xfId="1589"/>
    <cellStyle name="Финансовый 3 3 3 7" xfId="816"/>
    <cellStyle name="Финансовый 3 3 4" xfId="177"/>
    <cellStyle name="Финансовый 3 3 4 2" xfId="449"/>
    <cellStyle name="Финансовый 3 3 4 2 2" xfId="1416"/>
    <cellStyle name="Финансовый 3 3 4 3" xfId="1160"/>
    <cellStyle name="Финансовый 3 3 4 4" xfId="1681"/>
    <cellStyle name="Финансовый 3 3 5" xfId="313"/>
    <cellStyle name="Финансовый 3 3 5 2" xfId="1288"/>
    <cellStyle name="Финансовый 3 3 6" xfId="699"/>
    <cellStyle name="Финансовый 3 3 6 2" xfId="1024"/>
    <cellStyle name="Финансовый 3 3 7" xfId="908"/>
    <cellStyle name="Финансовый 3 3 8" xfId="1544"/>
    <cellStyle name="Финансовый 3 3 9" xfId="771"/>
    <cellStyle name="Финансовый 3 4" xfId="91"/>
    <cellStyle name="Финансовый 3 4 2" xfId="227"/>
    <cellStyle name="Финансовый 3 4 2 2" xfId="499"/>
    <cellStyle name="Финансовый 3 4 2 2 2" xfId="1458"/>
    <cellStyle name="Финансовый 3 4 2 3" xfId="1202"/>
    <cellStyle name="Финансовый 3 4 2 4" xfId="1731"/>
    <cellStyle name="Финансовый 3 4 3" xfId="363"/>
    <cellStyle name="Финансовый 3 4 3 2" xfId="1330"/>
    <cellStyle name="Финансовый 3 4 4" xfId="702"/>
    <cellStyle name="Финансовый 3 4 4 2" xfId="1074"/>
    <cellStyle name="Финансовый 3 4 5" xfId="950"/>
    <cellStyle name="Финансовый 3 4 6" xfId="1595"/>
    <cellStyle name="Финансовый 3 4 7" xfId="822"/>
    <cellStyle name="Финансовый 3 5" xfId="97"/>
    <cellStyle name="Финансовый 3 5 2" xfId="233"/>
    <cellStyle name="Финансовый 3 5 2 2" xfId="505"/>
    <cellStyle name="Финансовый 3 5 2 2 2" xfId="1464"/>
    <cellStyle name="Финансовый 3 5 2 3" xfId="1208"/>
    <cellStyle name="Финансовый 3 5 2 4" xfId="1737"/>
    <cellStyle name="Финансовый 3 5 3" xfId="369"/>
    <cellStyle name="Финансовый 3 5 3 2" xfId="1336"/>
    <cellStyle name="Финансовый 3 5 4" xfId="703"/>
    <cellStyle name="Финансовый 3 5 4 2" xfId="1080"/>
    <cellStyle name="Финансовый 3 5 5" xfId="956"/>
    <cellStyle name="Финансовый 3 5 6" xfId="1601"/>
    <cellStyle name="Финансовый 3 5 7" xfId="828"/>
    <cellStyle name="Финансовый 3 6" xfId="109"/>
    <cellStyle name="Финансовый 3 6 2" xfId="245"/>
    <cellStyle name="Финансовый 3 6 2 2" xfId="517"/>
    <cellStyle name="Финансовый 3 6 2 2 2" xfId="1476"/>
    <cellStyle name="Финансовый 3 6 2 3" xfId="1220"/>
    <cellStyle name="Финансовый 3 6 2 4" xfId="1749"/>
    <cellStyle name="Финансовый 3 6 3" xfId="381"/>
    <cellStyle name="Финансовый 3 6 3 2" xfId="1348"/>
    <cellStyle name="Финансовый 3 6 4" xfId="704"/>
    <cellStyle name="Финансовый 3 6 4 2" xfId="1092"/>
    <cellStyle name="Финансовый 3 6 5" xfId="968"/>
    <cellStyle name="Финансовый 3 6 6" xfId="1613"/>
    <cellStyle name="Финансовый 3 6 7" xfId="840"/>
    <cellStyle name="Финансовый 3 7" xfId="74"/>
    <cellStyle name="Финансовый 3 7 2" xfId="210"/>
    <cellStyle name="Финансовый 3 7 2 2" xfId="482"/>
    <cellStyle name="Финансовый 3 7 2 2 2" xfId="1441"/>
    <cellStyle name="Финансовый 3 7 2 3" xfId="1185"/>
    <cellStyle name="Финансовый 3 7 2 4" xfId="1714"/>
    <cellStyle name="Финансовый 3 7 3" xfId="346"/>
    <cellStyle name="Финансовый 3 7 3 2" xfId="1313"/>
    <cellStyle name="Финансовый 3 7 4" xfId="705"/>
    <cellStyle name="Финансовый 3 7 4 2" xfId="1057"/>
    <cellStyle name="Финансовый 3 7 5" xfId="933"/>
    <cellStyle name="Финансовый 3 7 6" xfId="1578"/>
    <cellStyle name="Финансовый 3 7 7" xfId="805"/>
    <cellStyle name="Финансовый 3 8" xfId="51"/>
    <cellStyle name="Финансовый 3 8 2" xfId="189"/>
    <cellStyle name="Финансовый 3 8 2 2" xfId="461"/>
    <cellStyle name="Финансовый 3 8 2 2 2" xfId="1428"/>
    <cellStyle name="Финансовый 3 8 2 3" xfId="1172"/>
    <cellStyle name="Финансовый 3 8 2 4" xfId="1693"/>
    <cellStyle name="Финансовый 3 8 3" xfId="325"/>
    <cellStyle name="Финансовый 3 8 3 2" xfId="1300"/>
    <cellStyle name="Финансовый 3 8 4" xfId="595"/>
    <cellStyle name="Финансовый 3 8 4 2" xfId="1036"/>
    <cellStyle name="Финансовый 3 8 5" xfId="920"/>
    <cellStyle name="Финансовый 3 8 6" xfId="1556"/>
    <cellStyle name="Финансовый 3 8 7" xfId="783"/>
    <cellStyle name="Финансовый 3 9" xfId="129"/>
    <cellStyle name="Финансовый 3 9 2" xfId="265"/>
    <cellStyle name="Финансовый 3 9 2 2" xfId="537"/>
    <cellStyle name="Финансовый 3 9 2 2 2" xfId="1496"/>
    <cellStyle name="Финансовый 3 9 2 3" xfId="1240"/>
    <cellStyle name="Финансовый 3 9 2 4" xfId="1769"/>
    <cellStyle name="Финансовый 3 9 3" xfId="401"/>
    <cellStyle name="Финансовый 3 9 3 2" xfId="1368"/>
    <cellStyle name="Финансовый 3 9 4" xfId="598"/>
    <cellStyle name="Финансовый 3 9 4 2" xfId="1112"/>
    <cellStyle name="Финансовый 3 9 5" xfId="988"/>
    <cellStyle name="Финансовый 3 9 6" xfId="1633"/>
    <cellStyle name="Финансовый 3 9 7" xfId="860"/>
    <cellStyle name="Финансовый 30" xfId="795"/>
    <cellStyle name="Финансовый 31" xfId="1786"/>
    <cellStyle name="Финансовый 32" xfId="1803"/>
    <cellStyle name="Финансовый 4" xfId="5"/>
    <cellStyle name="Финансовый 4 10" xfId="29"/>
    <cellStyle name="Финансовый 4 10 2" xfId="167"/>
    <cellStyle name="Финансовый 4 10 2 2" xfId="439"/>
    <cellStyle name="Финансовый 4 10 2 2 2" xfId="1406"/>
    <cellStyle name="Финансовый 4 10 2 3" xfId="1150"/>
    <cellStyle name="Финансовый 4 10 2 4" xfId="1671"/>
    <cellStyle name="Финансовый 4 10 3" xfId="303"/>
    <cellStyle name="Финансовый 4 10 3 2" xfId="1278"/>
    <cellStyle name="Финансовый 4 10 4" xfId="707"/>
    <cellStyle name="Финансовый 4 10 4 2" xfId="1014"/>
    <cellStyle name="Финансовый 4 10 5" xfId="898"/>
    <cellStyle name="Финансовый 4 10 6" xfId="1534"/>
    <cellStyle name="Финансовый 4 10 7" xfId="761"/>
    <cellStyle name="Финансовый 4 11" xfId="17"/>
    <cellStyle name="Финансовый 4 11 2" xfId="155"/>
    <cellStyle name="Финансовый 4 11 2 2" xfId="427"/>
    <cellStyle name="Финансовый 4 11 2 2 2" xfId="1394"/>
    <cellStyle name="Финансовый 4 11 2 3" xfId="1138"/>
    <cellStyle name="Финансовый 4 11 2 4" xfId="1659"/>
    <cellStyle name="Финансовый 4 11 3" xfId="291"/>
    <cellStyle name="Финансовый 4 11 3 2" xfId="1266"/>
    <cellStyle name="Финансовый 4 11 4" xfId="708"/>
    <cellStyle name="Финансовый 4 11 4 2" xfId="1002"/>
    <cellStyle name="Финансовый 4 11 5" xfId="886"/>
    <cellStyle name="Финансовый 4 11 6" xfId="1522"/>
    <cellStyle name="Финансовый 4 11 7" xfId="749"/>
    <cellStyle name="Финансовый 4 12" xfId="143"/>
    <cellStyle name="Финансовый 4 12 2" xfId="415"/>
    <cellStyle name="Финансовый 4 12 2 2" xfId="1382"/>
    <cellStyle name="Финансовый 4 12 3" xfId="1126"/>
    <cellStyle name="Финансовый 4 12 4" xfId="1647"/>
    <cellStyle name="Финансовый 4 13" xfId="551"/>
    <cellStyle name="Финансовый 4 13 2" xfId="1254"/>
    <cellStyle name="Финансовый 4 14" xfId="279"/>
    <cellStyle name="Финансовый 4 15" xfId="706"/>
    <cellStyle name="Финансовый 4 15 2" xfId="874"/>
    <cellStyle name="Финансовый 4 16" xfId="1510"/>
    <cellStyle name="Финансовый 4 17" xfId="737"/>
    <cellStyle name="Финансовый 4 2" xfId="11"/>
    <cellStyle name="Финансовый 4 2 10" xfId="557"/>
    <cellStyle name="Финансовый 4 2 10 2" xfId="1260"/>
    <cellStyle name="Финансовый 4 2 11" xfId="285"/>
    <cellStyle name="Финансовый 4 2 12" xfId="709"/>
    <cellStyle name="Финансовый 4 2 12 2" xfId="880"/>
    <cellStyle name="Финансовый 4 2 13" xfId="1516"/>
    <cellStyle name="Финансовый 4 2 14" xfId="743"/>
    <cellStyle name="Финансовый 4 2 2" xfId="47"/>
    <cellStyle name="Финансовый 4 2 2 2" xfId="105"/>
    <cellStyle name="Финансовый 4 2 2 2 2" xfId="241"/>
    <cellStyle name="Финансовый 4 2 2 2 2 2" xfId="513"/>
    <cellStyle name="Финансовый 4 2 2 2 2 2 2" xfId="1472"/>
    <cellStyle name="Финансовый 4 2 2 2 2 3" xfId="1216"/>
    <cellStyle name="Финансовый 4 2 2 2 2 4" xfId="1745"/>
    <cellStyle name="Финансовый 4 2 2 2 3" xfId="377"/>
    <cellStyle name="Финансовый 4 2 2 2 3 2" xfId="1344"/>
    <cellStyle name="Финансовый 4 2 2 2 4" xfId="602"/>
    <cellStyle name="Финансовый 4 2 2 2 4 2" xfId="1088"/>
    <cellStyle name="Финансовый 4 2 2 2 5" xfId="964"/>
    <cellStyle name="Финансовый 4 2 2 2 6" xfId="1609"/>
    <cellStyle name="Финансовый 4 2 2 2 7" xfId="836"/>
    <cellStyle name="Финансовый 4 2 2 3" xfId="185"/>
    <cellStyle name="Финансовый 4 2 2 3 2" xfId="457"/>
    <cellStyle name="Финансовый 4 2 2 3 2 2" xfId="1424"/>
    <cellStyle name="Финансовый 4 2 2 3 3" xfId="1168"/>
    <cellStyle name="Финансовый 4 2 2 3 4" xfId="1689"/>
    <cellStyle name="Финансовый 4 2 2 4" xfId="321"/>
    <cellStyle name="Финансовый 4 2 2 4 2" xfId="1296"/>
    <cellStyle name="Финансовый 4 2 2 5" xfId="710"/>
    <cellStyle name="Финансовый 4 2 2 5 2" xfId="1032"/>
    <cellStyle name="Финансовый 4 2 2 6" xfId="916"/>
    <cellStyle name="Финансовый 4 2 2 7" xfId="1552"/>
    <cellStyle name="Финансовый 4 2 2 8" xfId="779"/>
    <cellStyle name="Финансовый 4 2 3" xfId="117"/>
    <cellStyle name="Финансовый 4 2 3 2" xfId="253"/>
    <cellStyle name="Финансовый 4 2 3 2 2" xfId="525"/>
    <cellStyle name="Финансовый 4 2 3 2 2 2" xfId="1484"/>
    <cellStyle name="Финансовый 4 2 3 2 3" xfId="1228"/>
    <cellStyle name="Финансовый 4 2 3 2 4" xfId="1757"/>
    <cellStyle name="Финансовый 4 2 3 3" xfId="389"/>
    <cellStyle name="Финансовый 4 2 3 3 2" xfId="1356"/>
    <cellStyle name="Финансовый 4 2 3 4" xfId="711"/>
    <cellStyle name="Финансовый 4 2 3 4 2" xfId="1100"/>
    <cellStyle name="Финансовый 4 2 3 5" xfId="976"/>
    <cellStyle name="Финансовый 4 2 3 6" xfId="1621"/>
    <cellStyle name="Финансовый 4 2 3 7" xfId="848"/>
    <cellStyle name="Финансовый 4 2 4" xfId="81"/>
    <cellStyle name="Финансовый 4 2 4 2" xfId="217"/>
    <cellStyle name="Финансовый 4 2 4 2 2" xfId="489"/>
    <cellStyle name="Финансовый 4 2 4 2 2 2" xfId="1448"/>
    <cellStyle name="Финансовый 4 2 4 2 3" xfId="1192"/>
    <cellStyle name="Финансовый 4 2 4 2 4" xfId="1721"/>
    <cellStyle name="Финансовый 4 2 4 3" xfId="353"/>
    <cellStyle name="Финансовый 4 2 4 3 2" xfId="1320"/>
    <cellStyle name="Финансовый 4 2 4 4" xfId="712"/>
    <cellStyle name="Финансовый 4 2 4 4 2" xfId="1064"/>
    <cellStyle name="Финансовый 4 2 4 5" xfId="940"/>
    <cellStyle name="Финансовый 4 2 4 6" xfId="1585"/>
    <cellStyle name="Финансовый 4 2 4 7" xfId="812"/>
    <cellStyle name="Финансовый 4 2 5" xfId="59"/>
    <cellStyle name="Финансовый 4 2 5 2" xfId="197"/>
    <cellStyle name="Финансовый 4 2 5 2 2" xfId="469"/>
    <cellStyle name="Финансовый 4 2 5 2 2 2" xfId="1436"/>
    <cellStyle name="Финансовый 4 2 5 2 3" xfId="1180"/>
    <cellStyle name="Финансовый 4 2 5 2 4" xfId="1701"/>
    <cellStyle name="Финансовый 4 2 5 3" xfId="333"/>
    <cellStyle name="Финансовый 4 2 5 3 2" xfId="1308"/>
    <cellStyle name="Финансовый 4 2 5 4" xfId="713"/>
    <cellStyle name="Финансовый 4 2 5 4 2" xfId="1044"/>
    <cellStyle name="Финансовый 4 2 5 5" xfId="928"/>
    <cellStyle name="Финансовый 4 2 5 6" xfId="1564"/>
    <cellStyle name="Финансовый 4 2 5 7" xfId="791"/>
    <cellStyle name="Финансовый 4 2 6" xfId="137"/>
    <cellStyle name="Финансовый 4 2 6 2" xfId="273"/>
    <cellStyle name="Финансовый 4 2 6 2 2" xfId="545"/>
    <cellStyle name="Финансовый 4 2 6 2 2 2" xfId="1504"/>
    <cellStyle name="Финансовый 4 2 6 2 3" xfId="1248"/>
    <cellStyle name="Финансовый 4 2 6 2 4" xfId="1777"/>
    <cellStyle name="Финансовый 4 2 6 3" xfId="409"/>
    <cellStyle name="Финансовый 4 2 6 3 2" xfId="1376"/>
    <cellStyle name="Финансовый 4 2 6 4" xfId="628"/>
    <cellStyle name="Финансовый 4 2 6 4 2" xfId="1120"/>
    <cellStyle name="Финансовый 4 2 6 5" xfId="996"/>
    <cellStyle name="Финансовый 4 2 6 6" xfId="1641"/>
    <cellStyle name="Финансовый 4 2 6 7" xfId="868"/>
    <cellStyle name="Финансовый 4 2 7" xfId="35"/>
    <cellStyle name="Финансовый 4 2 7 2" xfId="173"/>
    <cellStyle name="Финансовый 4 2 7 2 2" xfId="445"/>
    <cellStyle name="Финансовый 4 2 7 2 2 2" xfId="1412"/>
    <cellStyle name="Финансовый 4 2 7 2 3" xfId="1156"/>
    <cellStyle name="Финансовый 4 2 7 2 4" xfId="1677"/>
    <cellStyle name="Финансовый 4 2 7 3" xfId="309"/>
    <cellStyle name="Финансовый 4 2 7 3 2" xfId="1284"/>
    <cellStyle name="Финансовый 4 2 7 4" xfId="651"/>
    <cellStyle name="Финансовый 4 2 7 4 2" xfId="1020"/>
    <cellStyle name="Финансовый 4 2 7 5" xfId="904"/>
    <cellStyle name="Финансовый 4 2 7 6" xfId="1540"/>
    <cellStyle name="Финансовый 4 2 7 7" xfId="767"/>
    <cellStyle name="Финансовый 4 2 8" xfId="23"/>
    <cellStyle name="Финансовый 4 2 8 2" xfId="161"/>
    <cellStyle name="Финансовый 4 2 8 2 2" xfId="433"/>
    <cellStyle name="Финансовый 4 2 8 2 2 2" xfId="1400"/>
    <cellStyle name="Финансовый 4 2 8 2 3" xfId="1144"/>
    <cellStyle name="Финансовый 4 2 8 2 4" xfId="1665"/>
    <cellStyle name="Финансовый 4 2 8 3" xfId="297"/>
    <cellStyle name="Финансовый 4 2 8 3 2" xfId="1272"/>
    <cellStyle name="Финансовый 4 2 8 4" xfId="671"/>
    <cellStyle name="Финансовый 4 2 8 4 2" xfId="1008"/>
    <cellStyle name="Финансовый 4 2 8 5" xfId="892"/>
    <cellStyle name="Финансовый 4 2 8 6" xfId="1528"/>
    <cellStyle name="Финансовый 4 2 8 7" xfId="755"/>
    <cellStyle name="Финансовый 4 2 9" xfId="149"/>
    <cellStyle name="Финансовый 4 2 9 2" xfId="421"/>
    <cellStyle name="Финансовый 4 2 9 2 2" xfId="1388"/>
    <cellStyle name="Финансовый 4 2 9 3" xfId="1132"/>
    <cellStyle name="Финансовый 4 2 9 4" xfId="1653"/>
    <cellStyle name="Финансовый 4 3" xfId="41"/>
    <cellStyle name="Финансовый 4 3 2" xfId="123"/>
    <cellStyle name="Финансовый 4 3 2 2" xfId="259"/>
    <cellStyle name="Финансовый 4 3 2 2 2" xfId="531"/>
    <cellStyle name="Финансовый 4 3 2 2 2 2" xfId="1490"/>
    <cellStyle name="Финансовый 4 3 2 2 3" xfId="1234"/>
    <cellStyle name="Финансовый 4 3 2 2 4" xfId="1763"/>
    <cellStyle name="Финансовый 4 3 2 3" xfId="395"/>
    <cellStyle name="Финансовый 4 3 2 3 2" xfId="1362"/>
    <cellStyle name="Финансовый 4 3 2 4" xfId="714"/>
    <cellStyle name="Финансовый 4 3 2 4 2" xfId="1106"/>
    <cellStyle name="Финансовый 4 3 2 5" xfId="982"/>
    <cellStyle name="Финансовый 4 3 2 6" xfId="1627"/>
    <cellStyle name="Финансовый 4 3 2 7" xfId="854"/>
    <cellStyle name="Финансовый 4 3 3" xfId="87"/>
    <cellStyle name="Финансовый 4 3 3 2" xfId="223"/>
    <cellStyle name="Финансовый 4 3 3 2 2" xfId="495"/>
    <cellStyle name="Финансовый 4 3 3 2 2 2" xfId="1454"/>
    <cellStyle name="Финансовый 4 3 3 2 3" xfId="1198"/>
    <cellStyle name="Финансовый 4 3 3 2 4" xfId="1727"/>
    <cellStyle name="Финансовый 4 3 3 3" xfId="359"/>
    <cellStyle name="Финансовый 4 3 3 3 2" xfId="1326"/>
    <cellStyle name="Финансовый 4 3 3 4" xfId="715"/>
    <cellStyle name="Финансовый 4 3 3 4 2" xfId="1070"/>
    <cellStyle name="Финансовый 4 3 3 5" xfId="946"/>
    <cellStyle name="Финансовый 4 3 3 6" xfId="1591"/>
    <cellStyle name="Финансовый 4 3 3 7" xfId="818"/>
    <cellStyle name="Финансовый 4 3 4" xfId="179"/>
    <cellStyle name="Финансовый 4 3 4 2" xfId="451"/>
    <cellStyle name="Финансовый 4 3 4 2 2" xfId="1418"/>
    <cellStyle name="Финансовый 4 3 4 3" xfId="1162"/>
    <cellStyle name="Финансовый 4 3 4 4" xfId="1683"/>
    <cellStyle name="Финансовый 4 3 5" xfId="315"/>
    <cellStyle name="Финансовый 4 3 5 2" xfId="1290"/>
    <cellStyle name="Финансовый 4 3 6" xfId="607"/>
    <cellStyle name="Финансовый 4 3 6 2" xfId="1026"/>
    <cellStyle name="Финансовый 4 3 7" xfId="910"/>
    <cellStyle name="Финансовый 4 3 8" xfId="1546"/>
    <cellStyle name="Финансовый 4 3 9" xfId="773"/>
    <cellStyle name="Финансовый 4 4" xfId="93"/>
    <cellStyle name="Финансовый 4 4 2" xfId="229"/>
    <cellStyle name="Финансовый 4 4 2 2" xfId="501"/>
    <cellStyle name="Финансовый 4 4 2 2 2" xfId="1460"/>
    <cellStyle name="Финансовый 4 4 2 3" xfId="1204"/>
    <cellStyle name="Финансовый 4 4 2 4" xfId="1733"/>
    <cellStyle name="Финансовый 4 4 3" xfId="365"/>
    <cellStyle name="Финансовый 4 4 3 2" xfId="1332"/>
    <cellStyle name="Финансовый 4 4 4" xfId="716"/>
    <cellStyle name="Финансовый 4 4 4 2" xfId="1076"/>
    <cellStyle name="Финансовый 4 4 5" xfId="952"/>
    <cellStyle name="Финансовый 4 4 6" xfId="1597"/>
    <cellStyle name="Финансовый 4 4 7" xfId="824"/>
    <cellStyle name="Финансовый 4 5" xfId="99"/>
    <cellStyle name="Финансовый 4 5 2" xfId="235"/>
    <cellStyle name="Финансовый 4 5 2 2" xfId="507"/>
    <cellStyle name="Финансовый 4 5 2 2 2" xfId="1466"/>
    <cellStyle name="Финансовый 4 5 2 3" xfId="1210"/>
    <cellStyle name="Финансовый 4 5 2 4" xfId="1739"/>
    <cellStyle name="Финансовый 4 5 3" xfId="371"/>
    <cellStyle name="Финансовый 4 5 3 2" xfId="1338"/>
    <cellStyle name="Финансовый 4 5 4" xfId="717"/>
    <cellStyle name="Финансовый 4 5 4 2" xfId="1082"/>
    <cellStyle name="Финансовый 4 5 5" xfId="958"/>
    <cellStyle name="Финансовый 4 5 6" xfId="1603"/>
    <cellStyle name="Финансовый 4 5 7" xfId="830"/>
    <cellStyle name="Финансовый 4 6" xfId="111"/>
    <cellStyle name="Финансовый 4 6 2" xfId="247"/>
    <cellStyle name="Финансовый 4 6 2 2" xfId="519"/>
    <cellStyle name="Финансовый 4 6 2 2 2" xfId="1478"/>
    <cellStyle name="Финансовый 4 6 2 3" xfId="1222"/>
    <cellStyle name="Финансовый 4 6 2 4" xfId="1751"/>
    <cellStyle name="Финансовый 4 6 3" xfId="383"/>
    <cellStyle name="Финансовый 4 6 3 2" xfId="1350"/>
    <cellStyle name="Финансовый 4 6 4" xfId="653"/>
    <cellStyle name="Финансовый 4 6 4 2" xfId="1094"/>
    <cellStyle name="Финансовый 4 6 5" xfId="970"/>
    <cellStyle name="Финансовый 4 6 6" xfId="1615"/>
    <cellStyle name="Финансовый 4 6 7" xfId="842"/>
    <cellStyle name="Финансовый 4 7" xfId="75"/>
    <cellStyle name="Финансовый 4 7 2" xfId="211"/>
    <cellStyle name="Финансовый 4 7 2 2" xfId="483"/>
    <cellStyle name="Финансовый 4 7 2 2 2" xfId="1442"/>
    <cellStyle name="Финансовый 4 7 2 3" xfId="1186"/>
    <cellStyle name="Финансовый 4 7 2 4" xfId="1715"/>
    <cellStyle name="Финансовый 4 7 3" xfId="347"/>
    <cellStyle name="Финансовый 4 7 3 2" xfId="1314"/>
    <cellStyle name="Финансовый 4 7 4" xfId="621"/>
    <cellStyle name="Финансовый 4 7 4 2" xfId="1058"/>
    <cellStyle name="Финансовый 4 7 5" xfId="934"/>
    <cellStyle name="Финансовый 4 7 6" xfId="1579"/>
    <cellStyle name="Финансовый 4 7 7" xfId="806"/>
    <cellStyle name="Финансовый 4 8" xfId="53"/>
    <cellStyle name="Финансовый 4 8 2" xfId="191"/>
    <cellStyle name="Финансовый 4 8 2 2" xfId="463"/>
    <cellStyle name="Финансовый 4 8 2 2 2" xfId="1430"/>
    <cellStyle name="Финансовый 4 8 2 3" xfId="1174"/>
    <cellStyle name="Финансовый 4 8 2 4" xfId="1695"/>
    <cellStyle name="Финансовый 4 8 3" xfId="327"/>
    <cellStyle name="Финансовый 4 8 3 2" xfId="1302"/>
    <cellStyle name="Финансовый 4 8 4" xfId="608"/>
    <cellStyle name="Финансовый 4 8 4 2" xfId="1038"/>
    <cellStyle name="Финансовый 4 8 5" xfId="922"/>
    <cellStyle name="Финансовый 4 8 6" xfId="1558"/>
    <cellStyle name="Финансовый 4 8 7" xfId="785"/>
    <cellStyle name="Финансовый 4 9" xfId="131"/>
    <cellStyle name="Финансовый 4 9 2" xfId="267"/>
    <cellStyle name="Финансовый 4 9 2 2" xfId="539"/>
    <cellStyle name="Финансовый 4 9 2 2 2" xfId="1498"/>
    <cellStyle name="Финансовый 4 9 2 3" xfId="1242"/>
    <cellStyle name="Финансовый 4 9 2 4" xfId="1771"/>
    <cellStyle name="Финансовый 4 9 3" xfId="403"/>
    <cellStyle name="Финансовый 4 9 3 2" xfId="1370"/>
    <cellStyle name="Финансовый 4 9 4" xfId="624"/>
    <cellStyle name="Финансовый 4 9 4 2" xfId="1114"/>
    <cellStyle name="Финансовый 4 9 5" xfId="990"/>
    <cellStyle name="Финансовый 4 9 6" xfId="1635"/>
    <cellStyle name="Финансовый 4 9 7" xfId="862"/>
    <cellStyle name="Финансовый 5" xfId="7"/>
    <cellStyle name="Финансовый 5 10" xfId="553"/>
    <cellStyle name="Финансовый 5 10 2" xfId="1256"/>
    <cellStyle name="Финансовый 5 11" xfId="281"/>
    <cellStyle name="Финансовый 5 12" xfId="718"/>
    <cellStyle name="Финансовый 5 12 2" xfId="876"/>
    <cellStyle name="Финансовый 5 13" xfId="1512"/>
    <cellStyle name="Финансовый 5 14" xfId="739"/>
    <cellStyle name="Финансовый 5 2" xfId="43"/>
    <cellStyle name="Финансовый 5 2 2" xfId="101"/>
    <cellStyle name="Финансовый 5 2 2 2" xfId="237"/>
    <cellStyle name="Финансовый 5 2 2 2 2" xfId="509"/>
    <cellStyle name="Финансовый 5 2 2 2 2 2" xfId="1468"/>
    <cellStyle name="Финансовый 5 2 2 2 3" xfId="1212"/>
    <cellStyle name="Финансовый 5 2 2 2 4" xfId="1741"/>
    <cellStyle name="Финансовый 5 2 2 3" xfId="373"/>
    <cellStyle name="Финансовый 5 2 2 3 2" xfId="1340"/>
    <cellStyle name="Финансовый 5 2 2 4" xfId="720"/>
    <cellStyle name="Финансовый 5 2 2 4 2" xfId="1084"/>
    <cellStyle name="Финансовый 5 2 2 5" xfId="960"/>
    <cellStyle name="Финансовый 5 2 2 6" xfId="1605"/>
    <cellStyle name="Финансовый 5 2 2 7" xfId="832"/>
    <cellStyle name="Финансовый 5 2 3" xfId="181"/>
    <cellStyle name="Финансовый 5 2 3 2" xfId="453"/>
    <cellStyle name="Финансовый 5 2 3 2 2" xfId="1420"/>
    <cellStyle name="Финансовый 5 2 3 3" xfId="1164"/>
    <cellStyle name="Финансовый 5 2 3 4" xfId="1685"/>
    <cellStyle name="Финансовый 5 2 4" xfId="317"/>
    <cellStyle name="Финансовый 5 2 4 2" xfId="1292"/>
    <cellStyle name="Финансовый 5 2 5" xfId="719"/>
    <cellStyle name="Финансовый 5 2 5 2" xfId="1028"/>
    <cellStyle name="Финансовый 5 2 6" xfId="912"/>
    <cellStyle name="Финансовый 5 2 7" xfId="1548"/>
    <cellStyle name="Финансовый 5 2 8" xfId="775"/>
    <cellStyle name="Финансовый 5 3" xfId="113"/>
    <cellStyle name="Финансовый 5 3 2" xfId="249"/>
    <cellStyle name="Финансовый 5 3 2 2" xfId="521"/>
    <cellStyle name="Финансовый 5 3 2 2 2" xfId="1480"/>
    <cellStyle name="Финансовый 5 3 2 3" xfId="1224"/>
    <cellStyle name="Финансовый 5 3 2 4" xfId="1753"/>
    <cellStyle name="Финансовый 5 3 3" xfId="385"/>
    <cellStyle name="Финансовый 5 3 3 2" xfId="1352"/>
    <cellStyle name="Финансовый 5 3 4" xfId="721"/>
    <cellStyle name="Финансовый 5 3 4 2" xfId="1096"/>
    <cellStyle name="Финансовый 5 3 5" xfId="972"/>
    <cellStyle name="Финансовый 5 3 6" xfId="1617"/>
    <cellStyle name="Финансовый 5 3 7" xfId="844"/>
    <cellStyle name="Финансовый 5 4" xfId="77"/>
    <cellStyle name="Финансовый 5 4 2" xfId="213"/>
    <cellStyle name="Финансовый 5 4 2 2" xfId="485"/>
    <cellStyle name="Финансовый 5 4 2 2 2" xfId="1444"/>
    <cellStyle name="Финансовый 5 4 2 3" xfId="1188"/>
    <cellStyle name="Финансовый 5 4 2 4" xfId="1717"/>
    <cellStyle name="Финансовый 5 4 3" xfId="349"/>
    <cellStyle name="Финансовый 5 4 3 2" xfId="1316"/>
    <cellStyle name="Финансовый 5 4 4" xfId="722"/>
    <cellStyle name="Финансовый 5 4 4 2" xfId="1060"/>
    <cellStyle name="Финансовый 5 4 5" xfId="936"/>
    <cellStyle name="Финансовый 5 4 6" xfId="1581"/>
    <cellStyle name="Финансовый 5 4 7" xfId="808"/>
    <cellStyle name="Финансовый 5 5" xfId="55"/>
    <cellStyle name="Финансовый 5 5 2" xfId="193"/>
    <cellStyle name="Финансовый 5 5 2 2" xfId="465"/>
    <cellStyle name="Финансовый 5 5 2 2 2" xfId="1432"/>
    <cellStyle name="Финансовый 5 5 2 3" xfId="1176"/>
    <cellStyle name="Финансовый 5 5 2 4" xfId="1697"/>
    <cellStyle name="Финансовый 5 5 3" xfId="329"/>
    <cellStyle name="Финансовый 5 5 3 2" xfId="1304"/>
    <cellStyle name="Финансовый 5 5 4" xfId="723"/>
    <cellStyle name="Финансовый 5 5 4 2" xfId="1040"/>
    <cellStyle name="Финансовый 5 5 5" xfId="924"/>
    <cellStyle name="Финансовый 5 5 6" xfId="1560"/>
    <cellStyle name="Финансовый 5 5 7" xfId="787"/>
    <cellStyle name="Финансовый 5 6" xfId="133"/>
    <cellStyle name="Финансовый 5 6 2" xfId="269"/>
    <cellStyle name="Финансовый 5 6 2 2" xfId="541"/>
    <cellStyle name="Финансовый 5 6 2 2 2" xfId="1500"/>
    <cellStyle name="Финансовый 5 6 2 3" xfId="1244"/>
    <cellStyle name="Финансовый 5 6 2 4" xfId="1773"/>
    <cellStyle name="Финансовый 5 6 3" xfId="405"/>
    <cellStyle name="Финансовый 5 6 3 2" xfId="1372"/>
    <cellStyle name="Финансовый 5 6 4" xfId="724"/>
    <cellStyle name="Финансовый 5 6 4 2" xfId="1116"/>
    <cellStyle name="Финансовый 5 6 5" xfId="992"/>
    <cellStyle name="Финансовый 5 6 6" xfId="1637"/>
    <cellStyle name="Финансовый 5 6 7" xfId="864"/>
    <cellStyle name="Финансовый 5 7" xfId="31"/>
    <cellStyle name="Финансовый 5 7 2" xfId="169"/>
    <cellStyle name="Финансовый 5 7 2 2" xfId="441"/>
    <cellStyle name="Финансовый 5 7 2 2 2" xfId="1408"/>
    <cellStyle name="Финансовый 5 7 2 3" xfId="1152"/>
    <cellStyle name="Финансовый 5 7 2 4" xfId="1673"/>
    <cellStyle name="Финансовый 5 7 3" xfId="305"/>
    <cellStyle name="Финансовый 5 7 3 2" xfId="1280"/>
    <cellStyle name="Финансовый 5 7 4" xfId="725"/>
    <cellStyle name="Финансовый 5 7 4 2" xfId="1016"/>
    <cellStyle name="Финансовый 5 7 5" xfId="900"/>
    <cellStyle name="Финансовый 5 7 6" xfId="1536"/>
    <cellStyle name="Финансовый 5 7 7" xfId="763"/>
    <cellStyle name="Финансовый 5 8" xfId="19"/>
    <cellStyle name="Финансовый 5 8 2" xfId="157"/>
    <cellStyle name="Финансовый 5 8 2 2" xfId="429"/>
    <cellStyle name="Финансовый 5 8 2 2 2" xfId="1396"/>
    <cellStyle name="Финансовый 5 8 2 3" xfId="1140"/>
    <cellStyle name="Финансовый 5 8 2 4" xfId="1661"/>
    <cellStyle name="Финансовый 5 8 3" xfId="293"/>
    <cellStyle name="Финансовый 5 8 3 2" xfId="1268"/>
    <cellStyle name="Финансовый 5 8 4" xfId="726"/>
    <cellStyle name="Финансовый 5 8 4 2" xfId="1004"/>
    <cellStyle name="Финансовый 5 8 5" xfId="888"/>
    <cellStyle name="Финансовый 5 8 6" xfId="1524"/>
    <cellStyle name="Финансовый 5 8 7" xfId="751"/>
    <cellStyle name="Финансовый 5 9" xfId="145"/>
    <cellStyle name="Финансовый 5 9 2" xfId="417"/>
    <cellStyle name="Финансовый 5 9 2 2" xfId="1384"/>
    <cellStyle name="Финансовый 5 9 3" xfId="1128"/>
    <cellStyle name="Финансовый 5 9 4" xfId="1649"/>
    <cellStyle name="Финансовый 6" xfId="37"/>
    <cellStyle name="Финансовый 6 2" xfId="119"/>
    <cellStyle name="Финансовый 6 2 2" xfId="255"/>
    <cellStyle name="Финансовый 6 2 2 2" xfId="527"/>
    <cellStyle name="Финансовый 6 2 2 2 2" xfId="1486"/>
    <cellStyle name="Финансовый 6 2 2 3" xfId="1230"/>
    <cellStyle name="Финансовый 6 2 2 4" xfId="1759"/>
    <cellStyle name="Финансовый 6 2 3" xfId="391"/>
    <cellStyle name="Финансовый 6 2 3 2" xfId="1358"/>
    <cellStyle name="Финансовый 6 2 4" xfId="728"/>
    <cellStyle name="Финансовый 6 2 4 2" xfId="1102"/>
    <cellStyle name="Финансовый 6 2 5" xfId="978"/>
    <cellStyle name="Финансовый 6 2 6" xfId="1623"/>
    <cellStyle name="Финансовый 6 2 7" xfId="850"/>
    <cellStyle name="Финансовый 6 3" xfId="83"/>
    <cellStyle name="Финансовый 6 3 2" xfId="219"/>
    <cellStyle name="Финансовый 6 3 2 2" xfId="491"/>
    <cellStyle name="Финансовый 6 3 2 2 2" xfId="1450"/>
    <cellStyle name="Финансовый 6 3 2 3" xfId="1194"/>
    <cellStyle name="Финансовый 6 3 2 4" xfId="1723"/>
    <cellStyle name="Финансовый 6 3 3" xfId="355"/>
    <cellStyle name="Финансовый 6 3 3 2" xfId="1322"/>
    <cellStyle name="Финансовый 6 3 4" xfId="618"/>
    <cellStyle name="Финансовый 6 3 4 2" xfId="1066"/>
    <cellStyle name="Финансовый 6 3 5" xfId="942"/>
    <cellStyle name="Финансовый 6 3 6" xfId="1587"/>
    <cellStyle name="Финансовый 6 3 7" xfId="814"/>
    <cellStyle name="Финансовый 6 4" xfId="175"/>
    <cellStyle name="Финансовый 6 4 2" xfId="447"/>
    <cellStyle name="Финансовый 6 4 2 2" xfId="1414"/>
    <cellStyle name="Финансовый 6 4 3" xfId="1158"/>
    <cellStyle name="Финансовый 6 4 4" xfId="1679"/>
    <cellStyle name="Финансовый 6 5" xfId="311"/>
    <cellStyle name="Финансовый 6 5 2" xfId="1286"/>
    <cellStyle name="Финансовый 6 6" xfId="727"/>
    <cellStyle name="Финансовый 6 6 2" xfId="1022"/>
    <cellStyle name="Финансовый 6 7" xfId="906"/>
    <cellStyle name="Финансовый 6 8" xfId="1542"/>
    <cellStyle name="Финансовый 6 9" xfId="769"/>
    <cellStyle name="Финансовый 7" xfId="89"/>
    <cellStyle name="Финансовый 7 2" xfId="225"/>
    <cellStyle name="Финансовый 7 2 2" xfId="497"/>
    <cellStyle name="Финансовый 7 2 2 2" xfId="1456"/>
    <cellStyle name="Финансовый 7 2 3" xfId="1200"/>
    <cellStyle name="Финансовый 7 2 4" xfId="1729"/>
    <cellStyle name="Финансовый 7 3" xfId="361"/>
    <cellStyle name="Финансовый 7 3 2" xfId="1328"/>
    <cellStyle name="Финансовый 7 4" xfId="729"/>
    <cellStyle name="Финансовый 7 4 2" xfId="1072"/>
    <cellStyle name="Финансовый 7 5" xfId="948"/>
    <cellStyle name="Финансовый 7 6" xfId="1593"/>
    <cellStyle name="Финансовый 7 7" xfId="820"/>
    <cellStyle name="Финансовый 8" xfId="95"/>
    <cellStyle name="Финансовый 8 2" xfId="231"/>
    <cellStyle name="Финансовый 8 2 2" xfId="503"/>
    <cellStyle name="Финансовый 8 2 2 2" xfId="1462"/>
    <cellStyle name="Финансовый 8 2 3" xfId="1206"/>
    <cellStyle name="Финансовый 8 2 4" xfId="1735"/>
    <cellStyle name="Финансовый 8 3" xfId="367"/>
    <cellStyle name="Финансовый 8 3 2" xfId="1334"/>
    <cellStyle name="Финансовый 8 4" xfId="730"/>
    <cellStyle name="Финансовый 8 4 2" xfId="1078"/>
    <cellStyle name="Финансовый 8 5" xfId="954"/>
    <cellStyle name="Финансовый 8 6" xfId="1599"/>
    <cellStyle name="Финансовый 8 7" xfId="826"/>
    <cellStyle name="Финансовый 9" xfId="107"/>
    <cellStyle name="Финансовый 9 2" xfId="243"/>
    <cellStyle name="Финансовый 9 2 2" xfId="515"/>
    <cellStyle name="Финансовый 9 2 2 2" xfId="1474"/>
    <cellStyle name="Финансовый 9 2 3" xfId="1218"/>
    <cellStyle name="Финансовый 9 2 4" xfId="1747"/>
    <cellStyle name="Финансовый 9 3" xfId="379"/>
    <cellStyle name="Финансовый 9 3 2" xfId="1346"/>
    <cellStyle name="Финансовый 9 4" xfId="731"/>
    <cellStyle name="Финансовый 9 4 2" xfId="1090"/>
    <cellStyle name="Финансовый 9 5" xfId="966"/>
    <cellStyle name="Финансовый 9 6" xfId="1611"/>
    <cellStyle name="Финансовый 9 7" xfId="838"/>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4.4"/>
  <cols>
    <col min="1" max="1" width="22.88671875" style="61" customWidth="1"/>
    <col min="2" max="2" width="24.33203125" style="61" customWidth="1"/>
    <col min="3" max="3" width="21.33203125" style="61" customWidth="1"/>
    <col min="4" max="4" width="18" style="61" customWidth="1"/>
    <col min="5" max="5" width="25.109375" style="61" customWidth="1"/>
    <col min="6" max="6" width="9.109375" customWidth="1"/>
    <col min="7" max="7" width="24.44140625" customWidth="1"/>
    <col min="8" max="8" width="17.109375" customWidth="1"/>
    <col min="9" max="34" width="9.109375" hidden="1" customWidth="1"/>
    <col min="35" max="35" width="8.6640625" customWidth="1"/>
  </cols>
  <sheetData>
    <row r="1" spans="1:33" ht="63.75" customHeight="1">
      <c r="A1" s="226" t="str">
        <f>""&amp;'Общие данные'!B147&amp;"
mikromoliya tashkiloti
Kredit qo‘mitasining yig‘ilishi"</f>
        <v>«CLEVER MIKROMOLIYA TASHKILOTI» MChJ
mikromoliya tashkiloti
Kredit qo‘mitasining yig‘ilishi</v>
      </c>
      <c r="B1" s="226"/>
      <c r="C1" s="226"/>
      <c r="D1" s="226"/>
      <c r="E1" s="226"/>
    </row>
    <row r="2" spans="1:33" ht="29.25" customHeight="1">
      <c r="A2" s="226" t="str">
        <f>""&amp;H7&amp;" protokolidan ko'chirma"</f>
        <v>№ -XT protokolidan ko'chirma</v>
      </c>
      <c r="B2" s="226"/>
      <c r="C2" s="226"/>
      <c r="D2" s="226"/>
      <c r="E2" s="226"/>
    </row>
    <row r="3" spans="1:33" ht="29.25" customHeight="1">
      <c r="A3" s="132" t="s">
        <v>203</v>
      </c>
      <c r="B3" s="50"/>
      <c r="C3" s="50"/>
      <c r="D3" s="50"/>
      <c r="E3" s="133" t="str">
        <f>'Общие данные'!B68</f>
        <v>11 mart 2025 y.</v>
      </c>
    </row>
    <row r="4" spans="1:33" ht="29.25" customHeight="1">
      <c r="A4" s="50"/>
      <c r="B4" s="226" t="s">
        <v>202</v>
      </c>
      <c r="C4" s="226"/>
      <c r="D4" s="226"/>
      <c r="E4" s="50"/>
    </row>
    <row r="5" spans="1:33" ht="36" customHeight="1">
      <c r="A5" s="225" t="str">
        <f>"         "&amp;H8&amp;"."&amp;'Общие данные'!B5&amp;" ga "&amp;'Общие данные'!B65&amp;" berish masalasini ko‘rib chiqish to‘g‘risida."</f>
        <v xml:space="preserve">         1.NUTFULLAYEV AKBARJON AXMEDOVICH ga mikroqarz berish masalasini ko‘rib chiqish to‘g‘risida.</v>
      </c>
      <c r="B5" s="225"/>
      <c r="C5" s="225"/>
      <c r="D5" s="225"/>
      <c r="E5" s="225"/>
    </row>
    <row r="7" spans="1:33" ht="21" customHeight="1">
      <c r="A7" s="224"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24"/>
      <c r="C7" s="224"/>
      <c r="D7" s="224"/>
      <c r="E7" s="224"/>
      <c r="G7" s="62" t="s">
        <v>258</v>
      </c>
      <c r="H7" s="63" t="str">
        <f>'Общие данные'!B1</f>
        <v>№ -XT</v>
      </c>
    </row>
    <row r="8" spans="1:33" ht="23.4">
      <c r="A8" s="224"/>
      <c r="B8" s="224"/>
      <c r="C8" s="224"/>
      <c r="D8" s="224"/>
      <c r="E8" s="224"/>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24"/>
      <c r="B9" s="224"/>
      <c r="C9" s="224"/>
      <c r="D9" s="224"/>
      <c r="E9" s="224"/>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24"/>
      <c r="B10" s="224"/>
      <c r="C10" s="224"/>
      <c r="D10" s="224"/>
      <c r="E10" s="224"/>
    </row>
    <row r="11" spans="1:33" ht="9" hidden="1" customHeight="1">
      <c r="A11" s="224"/>
      <c r="B11" s="224"/>
      <c r="C11" s="224"/>
      <c r="D11" s="224"/>
      <c r="E11" s="224"/>
    </row>
    <row r="12" spans="1:33" ht="3" hidden="1" customHeight="1">
      <c r="A12" s="224"/>
      <c r="B12" s="224"/>
      <c r="C12" s="224"/>
      <c r="D12" s="224"/>
      <c r="E12" s="224"/>
    </row>
    <row r="13" spans="1:33" ht="7.5" customHeight="1"/>
    <row r="14" spans="1:33" ht="15.75" customHeight="1">
      <c r="A14" s="227" t="str">
        <f>""&amp;'Общие данные'!C64&amp;" ta’minoti:"</f>
        <v>Mikroqarz ta’minoti:</v>
      </c>
      <c r="B14" s="227"/>
      <c r="C14" s="227"/>
      <c r="D14" s="227"/>
      <c r="E14" s="227"/>
    </row>
    <row r="15" spans="1:33" ht="7.5" customHeight="1"/>
    <row r="16" spans="1:33" ht="57" customHeight="1">
      <c r="A16" s="224"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24"/>
      <c r="C16" s="224"/>
      <c r="D16" s="224"/>
      <c r="E16" s="224"/>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24"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24"/>
      <c r="C18" s="224"/>
      <c r="D18" s="224"/>
      <c r="E18" s="224"/>
    </row>
    <row r="19" spans="1:5" ht="24" customHeight="1">
      <c r="A19" s="228" t="s">
        <v>261</v>
      </c>
      <c r="B19" s="228"/>
      <c r="C19" s="228"/>
      <c r="D19" s="228"/>
      <c r="E19" s="228"/>
    </row>
    <row r="20" spans="1:5" ht="32.25" customHeight="1">
      <c r="A20" s="224" t="str">
        <f>"       "&amp;'Общие данные'!B5&amp;"ga quyidagi shartlarda "&amp;'Общие данные'!B65&amp;" berish masalasi ma’qullansin:"</f>
        <v xml:space="preserve">       NUTFULLAYEV AKBARJON AXMEDOVICHga quyidagi shartlarda mikroqarz berish masalasi ma’qullansin:</v>
      </c>
      <c r="B20" s="224"/>
      <c r="C20" s="224"/>
      <c r="D20" s="224"/>
      <c r="E20" s="224"/>
    </row>
    <row r="21" spans="1:5" s="134" customFormat="1" ht="18.75" customHeight="1">
      <c r="A21" s="225" t="str">
        <f>"1. "&amp;'Общие данные'!C64&amp;" summasi: "&amp;FIXED('Общие данные'!B75)&amp;" ("&amp;'Общие данные'!B76&amp;") so'm."</f>
        <v>1. Mikroqarz summasi: 27 000 000,00 (yigirma yetti million so'm) so'm.</v>
      </c>
      <c r="B21" s="225"/>
      <c r="C21" s="225"/>
      <c r="D21" s="225"/>
      <c r="E21" s="225"/>
    </row>
    <row r="22" spans="1:5" s="134" customFormat="1" ht="18.75" customHeight="1">
      <c r="A22" s="225" t="str">
        <f>"2. "&amp;'Общие данные'!C64&amp;" muddati: "&amp;'Общие данные'!B81&amp;" ("&amp;'Общие данные'!B82&amp;") oy "</f>
        <v xml:space="preserve">2. Mikroqarz muddati: 36 (o'ttiz olti) oy </v>
      </c>
      <c r="B22" s="225"/>
      <c r="C22" s="225"/>
      <c r="D22" s="225"/>
      <c r="E22" s="225"/>
    </row>
    <row r="23" spans="1:5" s="134" customFormat="1" ht="18.75" customHeight="1">
      <c r="A23" s="225" t="str">
        <f>"3. "&amp;'Общие данные'!C64&amp;"dan foydalanganlik uchun foiz stavkasi:yillik "&amp;'Общие данные'!B85&amp;"% ("&amp;'Общие данные'!B86&amp;") foiz."</f>
        <v>3. Mikroqarzdan foydalanganlik uchun foiz stavkasi:yillik 60% (Oltmish) foiz.</v>
      </c>
      <c r="B23" s="225"/>
      <c r="C23" s="225"/>
      <c r="D23" s="225"/>
      <c r="E23" s="225"/>
    </row>
    <row r="24" spans="1:5" s="134" customFormat="1" ht="18.75" customHeight="1">
      <c r="A24" s="225" t="str">
        <f>"4. "&amp;'Общие данные'!C64&amp;" bo‘yicha asosiy qarz va foizlarni to‘lash:"</f>
        <v>4. Mikroqarz bo‘yicha asosiy qarz va foizlarni to‘lash:</v>
      </c>
      <c r="B24" s="225"/>
      <c r="C24" s="225"/>
      <c r="D24" s="225"/>
      <c r="E24" s="225"/>
    </row>
    <row r="25" spans="1:5" s="134" customFormat="1" ht="18.75" customHeight="1">
      <c r="A25" s="225" t="str">
        <f>'Кредитная заявка'!A19:D19</f>
        <v xml:space="preserve"> - mikroqarz shartnomasi bo'yicha har oy differensial to'lovlari amalga oshiriladi</v>
      </c>
      <c r="B25" s="225"/>
      <c r="C25" s="225"/>
      <c r="D25" s="225"/>
      <c r="E25" s="225"/>
    </row>
    <row r="26" spans="1:5" ht="48" customHeight="1">
      <c r="A26" s="224"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24"/>
      <c r="C26" s="224"/>
      <c r="D26" s="224"/>
      <c r="E26" s="224"/>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24" t="str">
        <f>'Акт согласования'!A22:E22</f>
        <v>-* avtotransport egasi: NUTFULLAYEV AKBARJON AXMEDOVICH</v>
      </c>
      <c r="B29" s="224"/>
      <c r="C29" s="224"/>
      <c r="D29" s="224"/>
      <c r="E29" s="224"/>
    </row>
    <row r="30" spans="1:5" ht="20.25" customHeight="1">
      <c r="A30" s="224" t="str">
        <f>'Акт согласования'!A23:E23</f>
        <v>-* texnik pasport: AAG   2346592  13.09.2023y</v>
      </c>
      <c r="B30" s="224"/>
      <c r="C30" s="224"/>
      <c r="D30" s="224"/>
      <c r="E30" s="224"/>
    </row>
    <row r="31" spans="1:5" ht="22.5" customHeight="1">
      <c r="A31" s="224" t="str">
        <f>'Акт согласования'!A24:E24</f>
        <v>-* roʻyxatdan oʻtgan manzili/garaj manzili: BUXORO VILOYATI BUXORO SHAHAR TADBIRKOR KO'CHASI 12-UY</v>
      </c>
      <c r="B31" s="224"/>
      <c r="C31" s="224"/>
      <c r="D31" s="224"/>
      <c r="E31" s="224"/>
    </row>
    <row r="32" spans="1:5" ht="25.5" customHeight="1">
      <c r="A32" s="224" t="str">
        <f>'Акт согласования'!A25:E25</f>
        <v>-* davlat raqami: 80T312WA</v>
      </c>
      <c r="B32" s="224"/>
      <c r="C32" s="224"/>
      <c r="D32" s="224"/>
      <c r="E32" s="224"/>
    </row>
    <row r="33" spans="1:5" ht="12" customHeight="1">
      <c r="A33" s="135"/>
      <c r="B33" s="135"/>
      <c r="C33" s="135"/>
      <c r="D33" s="135"/>
      <c r="E33" s="135"/>
    </row>
    <row r="34" spans="1:5" ht="20.25" customHeight="1">
      <c r="A34" s="224"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24"/>
      <c r="C34" s="224"/>
      <c r="D34" s="224"/>
      <c r="E34" s="224"/>
    </row>
    <row r="36" spans="1:5" ht="29.25" customHeight="1">
      <c r="A36" s="221" t="s">
        <v>262</v>
      </c>
      <c r="B36" s="221"/>
      <c r="C36" s="221"/>
      <c r="D36" s="221"/>
      <c r="E36" s="221"/>
    </row>
    <row r="37" spans="1:5" ht="29.25" customHeight="1">
      <c r="A37" s="222" t="s">
        <v>401</v>
      </c>
      <c r="B37" s="222"/>
      <c r="C37" s="162"/>
      <c r="D37" s="163"/>
      <c r="E37" s="163"/>
    </row>
    <row r="38" spans="1:5" ht="29.25" customHeight="1">
      <c r="A38" s="223" t="str">
        <f>"2. "&amp;'Общие данные'!B159&amp;""</f>
        <v>2. Mominov B.X.</v>
      </c>
      <c r="B38" s="223"/>
      <c r="C38" s="162"/>
      <c r="D38" s="164"/>
      <c r="E38" s="164"/>
    </row>
    <row r="39" spans="1:5" ht="29.25" customHeight="1">
      <c r="A39" s="222" t="str">
        <f>"3. "&amp;'Общие данные'!B160&amp;""</f>
        <v>3. Jumanazarov B.T.</v>
      </c>
      <c r="B39" s="222"/>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tabColor theme="1"/>
  </sheetPr>
  <dimension ref="A1:V64"/>
  <sheetViews>
    <sheetView zoomScale="70" zoomScaleNormal="70" zoomScaleSheetLayoutView="70" workbookViewId="0">
      <selection activeCell="D43" sqref="D43"/>
    </sheetView>
  </sheetViews>
  <sheetFormatPr defaultColWidth="9.109375" defaultRowHeight="13.8" outlineLevelCol="1"/>
  <cols>
    <col min="1" max="1" width="9.109375" style="87"/>
    <col min="2" max="2" width="12.33203125" style="87" customWidth="1"/>
    <col min="3" max="3" width="16.5546875" style="87" customWidth="1"/>
    <col min="4" max="4" width="16.6640625" style="87" customWidth="1"/>
    <col min="5" max="5" width="16.5546875" style="87" customWidth="1"/>
    <col min="6" max="6" width="20.88671875" style="87" customWidth="1"/>
    <col min="7" max="7" width="10.109375" style="87" customWidth="1" outlineLevel="1"/>
    <col min="8" max="8" width="19.109375" style="87" customWidth="1"/>
    <col min="9" max="9" width="21.44140625" style="87" customWidth="1"/>
    <col min="10" max="10" width="20.88671875" style="87" customWidth="1"/>
    <col min="11" max="11" width="20.109375" style="87" customWidth="1"/>
    <col min="12" max="12" width="21.44140625" style="87" customWidth="1"/>
    <col min="13" max="13" width="25.44140625" style="87" customWidth="1"/>
    <col min="14" max="14" width="18.33203125" style="87" customWidth="1"/>
    <col min="15" max="17" width="9.109375" style="15"/>
    <col min="18" max="18" width="24.44140625" style="15" customWidth="1"/>
    <col min="19" max="16384" width="9.109375" style="15"/>
  </cols>
  <sheetData>
    <row r="1" spans="1:22">
      <c r="A1" s="86"/>
      <c r="B1" s="86"/>
      <c r="C1" s="86"/>
      <c r="D1" s="86"/>
      <c r="E1" s="238" t="s">
        <v>16</v>
      </c>
      <c r="F1" s="238"/>
    </row>
    <row r="2" spans="1:22">
      <c r="A2" s="86"/>
      <c r="B2" s="86"/>
      <c r="C2" s="86"/>
      <c r="D2" s="86"/>
      <c r="E2" s="86"/>
      <c r="F2" s="88" t="str">
        <f>"к договору микрозайма "&amp;'Общие данные'!B74&amp;""</f>
        <v>к договору микрозайма 11 mart 2025 y.dan № -XT</v>
      </c>
    </row>
    <row r="3" spans="1:22" ht="19.5" customHeight="1">
      <c r="A3" s="86"/>
      <c r="B3" s="86"/>
      <c r="C3" s="86"/>
      <c r="D3" s="86"/>
      <c r="E3" s="86"/>
      <c r="F3" s="86"/>
      <c r="H3" s="89"/>
      <c r="I3" s="89"/>
      <c r="J3" s="90"/>
      <c r="K3" s="90"/>
    </row>
    <row r="4" spans="1:22" ht="19.5" customHeight="1">
      <c r="A4" s="239" t="s">
        <v>17</v>
      </c>
      <c r="B4" s="239"/>
      <c r="C4" s="239"/>
      <c r="D4" s="239"/>
      <c r="E4" s="239"/>
      <c r="F4" s="239"/>
      <c r="H4" s="89"/>
      <c r="I4" s="89"/>
      <c r="J4" s="89"/>
      <c r="K4" s="89"/>
    </row>
    <row r="5" spans="1:22" ht="19.5" customHeight="1">
      <c r="L5" s="87">
        <f>'Общие данные'!B81</f>
        <v>36</v>
      </c>
    </row>
    <row r="6" spans="1:22">
      <c r="A6" s="240" t="s">
        <v>15</v>
      </c>
      <c r="B6" s="241" t="s">
        <v>9</v>
      </c>
      <c r="C6" s="241" t="s">
        <v>10</v>
      </c>
      <c r="D6" s="242" t="s">
        <v>11</v>
      </c>
      <c r="E6" s="242"/>
      <c r="F6" s="242"/>
    </row>
    <row r="7" spans="1:22" s="16" customFormat="1">
      <c r="A7" s="240"/>
      <c r="B7" s="241"/>
      <c r="C7" s="24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35" t="s">
        <v>18</v>
      </c>
      <c r="B46" s="235"/>
      <c r="C46" s="235"/>
      <c r="D46" s="235"/>
      <c r="E46" s="235"/>
      <c r="F46" s="235"/>
    </row>
    <row r="47" spans="1:22" ht="7.5" customHeight="1"/>
    <row r="48" spans="1:22">
      <c r="A48" s="236" t="e">
        <f>#REF!</f>
        <v>#REF!</v>
      </c>
      <c r="B48" s="236"/>
      <c r="C48" s="236"/>
      <c r="D48" s="236" t="e">
        <f>#REF!</f>
        <v>#REF!</v>
      </c>
      <c r="E48" s="236"/>
      <c r="F48" s="236"/>
    </row>
    <row r="49" spans="1:6" ht="11.25" customHeight="1">
      <c r="A49" s="237"/>
      <c r="B49" s="237"/>
      <c r="C49" s="237"/>
      <c r="D49" s="237"/>
      <c r="E49" s="237"/>
      <c r="F49" s="237"/>
    </row>
    <row r="50" spans="1:6" ht="30" customHeight="1">
      <c r="A50" s="234" t="e">
        <f>#REF!</f>
        <v>#REF!</v>
      </c>
      <c r="B50" s="234"/>
      <c r="C50" s="234"/>
      <c r="D50" s="234" t="e">
        <f>#REF!</f>
        <v>#REF!</v>
      </c>
      <c r="E50" s="234"/>
      <c r="F50" s="234"/>
    </row>
    <row r="51" spans="1:6" ht="32.25" customHeight="1">
      <c r="A51" s="230" t="e">
        <f>#REF!</f>
        <v>#REF!</v>
      </c>
      <c r="B51" s="230"/>
      <c r="C51" s="230"/>
      <c r="D51" s="230" t="e">
        <f>#REF!</f>
        <v>#REF!</v>
      </c>
      <c r="E51" s="230"/>
      <c r="F51" s="230"/>
    </row>
    <row r="52" spans="1:6">
      <c r="A52" s="230" t="e">
        <f>#REF!</f>
        <v>#REF!</v>
      </c>
      <c r="B52" s="230"/>
      <c r="C52" s="230"/>
      <c r="D52" s="230" t="str">
        <f>"паспорт серии "&amp;'Общие данные'!B16&amp;", "&amp;'Общие данные'!B20&amp;""</f>
        <v>паспорт серии AA 9481167, BUXORO VILOYATI BUXORO SHAHAR IIB tomonidan 24.04.2015 yilda berilgan</v>
      </c>
      <c r="E52" s="230"/>
      <c r="F52" s="230"/>
    </row>
    <row r="53" spans="1:6" ht="32.25" customHeight="1">
      <c r="A53" s="230" t="e">
        <f>#REF!</f>
        <v>#REF!</v>
      </c>
      <c r="B53" s="230"/>
      <c r="C53" s="230"/>
      <c r="D53" s="230"/>
      <c r="E53" s="230"/>
      <c r="F53" s="230"/>
    </row>
    <row r="54" spans="1:6">
      <c r="A54" s="230" t="e">
        <f>#REF!</f>
        <v>#REF!</v>
      </c>
      <c r="B54" s="230"/>
      <c r="C54" s="230"/>
      <c r="D54" s="230" t="e">
        <f>#REF!</f>
        <v>#REF!</v>
      </c>
      <c r="E54" s="230"/>
      <c r="F54" s="230"/>
    </row>
    <row r="55" spans="1:6">
      <c r="A55" s="230" t="e">
        <f>#REF!</f>
        <v>#REF!</v>
      </c>
      <c r="B55" s="230"/>
      <c r="C55" s="230"/>
      <c r="D55" s="230" t="e">
        <f>#REF!</f>
        <v>#REF!</v>
      </c>
      <c r="E55" s="230"/>
      <c r="F55" s="230"/>
    </row>
    <row r="56" spans="1:6">
      <c r="A56" s="230" t="e">
        <f>#REF!</f>
        <v>#REF!</v>
      </c>
      <c r="B56" s="230"/>
      <c r="C56" s="230"/>
      <c r="D56" s="230" t="e">
        <f>#REF!</f>
        <v>#REF!</v>
      </c>
      <c r="E56" s="230"/>
      <c r="F56" s="230"/>
    </row>
    <row r="57" spans="1:6" ht="8.25" customHeight="1">
      <c r="A57" s="230"/>
      <c r="B57" s="230"/>
      <c r="C57" s="230"/>
      <c r="D57" s="230"/>
      <c r="E57" s="230"/>
      <c r="F57" s="230"/>
    </row>
    <row r="58" spans="1:6">
      <c r="A58" s="234" t="e">
        <f>#REF!</f>
        <v>#REF!</v>
      </c>
      <c r="B58" s="234"/>
      <c r="C58" s="234"/>
      <c r="D58" s="234" t="e">
        <f>#REF!</f>
        <v>#REF!</v>
      </c>
      <c r="E58" s="234"/>
      <c r="F58" s="234"/>
    </row>
    <row r="59" spans="1:6" ht="7.5" customHeight="1">
      <c r="A59" s="234"/>
      <c r="B59" s="234"/>
      <c r="C59" s="234"/>
      <c r="D59" s="234"/>
      <c r="E59" s="234"/>
      <c r="F59" s="234"/>
    </row>
    <row r="60" spans="1:6">
      <c r="A60" s="234" t="e">
        <f>#REF!</f>
        <v>#REF!</v>
      </c>
      <c r="B60" s="234"/>
      <c r="C60" s="234"/>
      <c r="D60" s="234" t="e">
        <f>#REF!</f>
        <v>#REF!</v>
      </c>
      <c r="E60" s="234"/>
      <c r="F60" s="234"/>
    </row>
    <row r="61" spans="1:6" ht="8.25" customHeight="1">
      <c r="A61" s="230"/>
      <c r="B61" s="230"/>
      <c r="C61" s="230"/>
      <c r="D61" s="230"/>
      <c r="E61" s="230"/>
      <c r="F61" s="230"/>
    </row>
    <row r="62" spans="1:6" ht="30" customHeight="1">
      <c r="A62" s="231"/>
      <c r="B62" s="231"/>
      <c r="C62" s="231"/>
      <c r="D62" s="232" t="e">
        <f>#REF!</f>
        <v>#REF!</v>
      </c>
      <c r="E62" s="232"/>
      <c r="F62" s="232"/>
    </row>
    <row r="63" spans="1:6">
      <c r="A63" s="233"/>
      <c r="B63" s="233"/>
      <c r="C63" s="233"/>
      <c r="D63" s="233"/>
      <c r="E63" s="233"/>
      <c r="F63" s="233"/>
    </row>
    <row r="64" spans="1:6">
      <c r="A64" s="229"/>
      <c r="B64" s="229"/>
      <c r="C64" s="229"/>
      <c r="D64" s="229"/>
      <c r="E64" s="229"/>
      <c r="F64" s="229"/>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4.4"/>
  <cols>
    <col min="1" max="1" width="16.6640625" style="113" customWidth="1"/>
    <col min="2" max="2" width="13.33203125" hidden="1" customWidth="1"/>
    <col min="3" max="3" width="8.44140625" hidden="1" customWidth="1"/>
    <col min="4" max="4" width="18.109375" customWidth="1"/>
    <col min="5" max="5" width="45.44140625" customWidth="1"/>
    <col min="6" max="6" width="15.44140625" customWidth="1"/>
    <col min="7" max="10" width="15.44140625" hidden="1" customWidth="1"/>
    <col min="11" max="11" width="18.109375" hidden="1" customWidth="1"/>
    <col min="12" max="12" width="10.5546875" customWidth="1"/>
    <col min="13" max="13" width="22.6640625" customWidth="1"/>
    <col min="14" max="14" width="28.109375" customWidth="1"/>
    <col min="15" max="15" width="125.44140625" customWidth="1"/>
    <col min="16" max="22" width="9.109375" customWidth="1"/>
    <col min="23" max="23" width="117.6640625" customWidth="1"/>
    <col min="24" max="24" width="9.109375" customWidth="1"/>
    <col min="25" max="25" width="2.5546875" customWidth="1"/>
    <col min="26" max="38" width="9.10937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tabColor rgb="FF00B050"/>
  </sheetPr>
  <dimension ref="A1:BK165"/>
  <sheetViews>
    <sheetView tabSelected="1" topLeftCell="A132" zoomScaleNormal="100" workbookViewId="0">
      <selection activeCell="A161" sqref="A161:B161"/>
    </sheetView>
  </sheetViews>
  <sheetFormatPr defaultColWidth="0" defaultRowHeight="13.8" zeroHeight="1"/>
  <cols>
    <col min="1" max="1" width="50" style="191" customWidth="1"/>
    <col min="2" max="2" width="61.88671875" style="193" customWidth="1"/>
    <col min="3" max="3" width="63.88671875" style="183" customWidth="1"/>
    <col min="4" max="4" width="29.6640625" style="183" customWidth="1"/>
    <col min="5" max="7" width="9.109375" style="183" hidden="1" customWidth="1"/>
    <col min="8" max="8" width="62.5546875" style="183" hidden="1" customWidth="1"/>
    <col min="9" max="13" width="9.109375" style="183" hidden="1" customWidth="1"/>
    <col min="14" max="14" width="70.6640625" style="183" hidden="1" customWidth="1"/>
    <col min="15" max="16" width="9.109375" style="183" hidden="1" customWidth="1"/>
    <col min="17" max="17" width="59.6640625" style="183" hidden="1" customWidth="1"/>
    <col min="18" max="18" width="49.88671875" style="183" hidden="1" customWidth="1"/>
    <col min="19" max="16384" width="9.109375" style="183" hidden="1"/>
  </cols>
  <sheetData>
    <row r="1" spans="1:4">
      <c r="A1" s="3" t="str">
        <f>CONCATENATE(B65," olish uchun ariza")</f>
        <v>mikroqarz olish uchun ariza</v>
      </c>
      <c r="B1" s="49" t="s">
        <v>429</v>
      </c>
    </row>
    <row r="2" spans="1:4" ht="15" customHeight="1">
      <c r="A2" s="3" t="str">
        <f>CONCATENATE(B65," olish uchun ariza sanasi QO’L BILAN KIRITILADI")</f>
        <v>mikroqarz olish uchun ariza sanasi QO’L BILAN KIRITILADI</v>
      </c>
      <c r="B2" s="57" t="s">
        <v>405</v>
      </c>
      <c r="D2" s="183">
        <f>180+B2</f>
        <v>45907</v>
      </c>
    </row>
    <row r="3" spans="1:4">
      <c r="A3" s="3"/>
      <c r="B3" s="1"/>
    </row>
    <row r="4" spans="1:4">
      <c r="A4" s="243" t="s">
        <v>53</v>
      </c>
      <c r="B4" s="243"/>
    </row>
    <row r="5" spans="1:4" ht="27.6">
      <c r="A5" s="3" t="s">
        <v>54</v>
      </c>
      <c r="B5" s="49" t="s">
        <v>406</v>
      </c>
      <c r="C5" s="183" t="s">
        <v>391</v>
      </c>
    </row>
    <row r="6" spans="1:4" ht="27.6">
      <c r="A6" s="3" t="s">
        <v>55</v>
      </c>
      <c r="B6" s="49" t="s">
        <v>134</v>
      </c>
      <c r="C6" s="183" t="s">
        <v>257</v>
      </c>
      <c r="D6" s="183" t="s">
        <v>134</v>
      </c>
    </row>
    <row r="7" spans="1:4">
      <c r="A7" s="3" t="s">
        <v>56</v>
      </c>
      <c r="B7" s="49" t="s">
        <v>407</v>
      </c>
    </row>
    <row r="8" spans="1:4" ht="27.6" hidden="1">
      <c r="A8" s="3" t="s">
        <v>57</v>
      </c>
      <c r="B8" s="76" t="str">
        <f>B5</f>
        <v>NUTFULLAYEV AKBARJON AXMEDOVICH</v>
      </c>
    </row>
    <row r="9" spans="1:4" hidden="1">
      <c r="A9" s="3" t="s">
        <v>58</v>
      </c>
      <c r="B9" s="76" t="str">
        <f>B7</f>
        <v>NUTFULLAYEV A.A.</v>
      </c>
    </row>
    <row r="10" spans="1:4" hidden="1">
      <c r="A10" s="3" t="s">
        <v>59</v>
      </c>
      <c r="B10" s="76" t="str">
        <f>B8</f>
        <v>NUTFULLAYEV AKBARJON AXMEDOVICH</v>
      </c>
    </row>
    <row r="11" spans="1:4" hidden="1">
      <c r="A11" s="3" t="s">
        <v>60</v>
      </c>
      <c r="B11" s="76" t="str">
        <f>B9</f>
        <v>NUTFULLAYEV A.A.</v>
      </c>
    </row>
    <row r="12" spans="1:4" ht="27.6"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408</v>
      </c>
    </row>
    <row r="16" spans="1:4">
      <c r="A16" s="3" t="s">
        <v>65</v>
      </c>
      <c r="B16" s="49" t="s">
        <v>409</v>
      </c>
    </row>
    <row r="17" spans="1:7">
      <c r="A17" s="3"/>
      <c r="B17" s="49" t="s">
        <v>425</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55.2">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1.4">
      <c r="A21" s="3" t="s">
        <v>69</v>
      </c>
      <c r="B21" s="60" t="str">
        <f>""&amp;C19&amp;" y."</f>
        <v>23.04.2025 y.</v>
      </c>
      <c r="C21" s="202" t="str">
        <f>""&amp;C19&amp;" yilgacha"</f>
        <v>23.04.2025 yilgacha</v>
      </c>
    </row>
    <row r="22" spans="1:7" ht="57.75" customHeight="1">
      <c r="A22" s="3" t="s">
        <v>70</v>
      </c>
      <c r="B22" s="49" t="s">
        <v>410</v>
      </c>
      <c r="C22" s="202" t="str">
        <f>TEXT(B19,"ДД.ММ.ГГГГ")</f>
        <v>23.04.2025</v>
      </c>
    </row>
    <row r="23" spans="1:7" ht="27.6">
      <c r="A23" s="3" t="s">
        <v>71</v>
      </c>
      <c r="B23" s="49" t="s">
        <v>95</v>
      </c>
      <c r="C23" s="183" t="s">
        <v>95</v>
      </c>
      <c r="D23" s="183" t="s">
        <v>96</v>
      </c>
    </row>
    <row r="24" spans="1:7" ht="27.6" hidden="1">
      <c r="A24" s="3" t="s">
        <v>72</v>
      </c>
      <c r="B24" s="76" t="s">
        <v>93</v>
      </c>
      <c r="C24" s="183" t="s">
        <v>93</v>
      </c>
      <c r="D24" s="183" t="s">
        <v>94</v>
      </c>
      <c r="E24" s="183" t="s">
        <v>0</v>
      </c>
      <c r="F24" s="183" t="s">
        <v>1</v>
      </c>
      <c r="G24" s="183" t="s">
        <v>3</v>
      </c>
    </row>
    <row r="25" spans="1:7">
      <c r="A25" s="3" t="s">
        <v>73</v>
      </c>
      <c r="B25" s="49" t="s">
        <v>411</v>
      </c>
    </row>
    <row r="26" spans="1:7" ht="44.25" customHeight="1">
      <c r="A26" s="3" t="s">
        <v>74</v>
      </c>
      <c r="B26" s="49" t="s">
        <v>412</v>
      </c>
      <c r="C26" s="183" t="s">
        <v>27</v>
      </c>
    </row>
    <row r="27" spans="1:7" ht="44.25" hidden="1" customHeight="1">
      <c r="A27" s="3"/>
      <c r="B27" s="49" t="str">
        <f>IF(B23="mos keladi",B22,B28)</f>
        <v>BUXORO VILOYATI BUXORO SHAHAR TADBIRKOR KO'CHASI 12-UY</v>
      </c>
    </row>
    <row r="28" spans="1:7" ht="27.6">
      <c r="A28" s="3" t="s">
        <v>75</v>
      </c>
      <c r="B28" s="49" t="s">
        <v>410</v>
      </c>
    </row>
    <row r="29" spans="1:7">
      <c r="A29" s="3" t="s">
        <v>76</v>
      </c>
      <c r="B29" s="49" t="s">
        <v>93</v>
      </c>
      <c r="C29" s="183" t="s">
        <v>93</v>
      </c>
      <c r="D29" s="183" t="s">
        <v>94</v>
      </c>
      <c r="E29" s="183" t="s">
        <v>330</v>
      </c>
      <c r="F29" s="183" t="s">
        <v>331</v>
      </c>
      <c r="G29" s="183" t="s">
        <v>3</v>
      </c>
    </row>
    <row r="30" spans="1:7" ht="27.6">
      <c r="A30" s="3" t="s">
        <v>77</v>
      </c>
      <c r="B30" s="174" t="s">
        <v>148</v>
      </c>
      <c r="C30" s="183" t="s">
        <v>148</v>
      </c>
      <c r="D30" s="183" t="s">
        <v>334</v>
      </c>
    </row>
    <row r="31" spans="1:7">
      <c r="A31" s="3" t="s">
        <v>78</v>
      </c>
      <c r="B31" s="49" t="s">
        <v>413</v>
      </c>
      <c r="C31" s="183" t="s">
        <v>390</v>
      </c>
    </row>
    <row r="32" spans="1:7">
      <c r="A32" s="3" t="s">
        <v>63</v>
      </c>
      <c r="B32" s="49" t="s">
        <v>66</v>
      </c>
    </row>
    <row r="33" spans="1:4">
      <c r="A33" s="3" t="s">
        <v>73</v>
      </c>
      <c r="B33" s="49" t="s">
        <v>414</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ref="B39">+A39:B96</f>
        <v>Mutaxassisligi</v>
      </c>
    </row>
    <row r="40" spans="1:4" ht="24.75" customHeight="1">
      <c r="A40" s="3" t="s">
        <v>83</v>
      </c>
      <c r="B40" s="49" t="s">
        <v>414</v>
      </c>
    </row>
    <row r="41" spans="1:4" ht="24.75" customHeight="1">
      <c r="A41" s="3" t="s">
        <v>84</v>
      </c>
      <c r="B41" s="49" t="s">
        <v>415</v>
      </c>
    </row>
    <row r="42" spans="1:4" ht="24.75" customHeight="1">
      <c r="A42" s="3" t="s">
        <v>83</v>
      </c>
      <c r="B42" s="49" t="s">
        <v>416</v>
      </c>
    </row>
    <row r="43" spans="1:4">
      <c r="A43" s="3" t="s">
        <v>84</v>
      </c>
      <c r="B43" s="49"/>
    </row>
    <row r="44" spans="1:4" ht="22.8">
      <c r="A44" s="176" t="s">
        <v>85</v>
      </c>
      <c r="B44" s="175" t="s">
        <v>347</v>
      </c>
      <c r="C44" s="183" t="s">
        <v>347</v>
      </c>
      <c r="D44" s="183" t="s">
        <v>354</v>
      </c>
    </row>
    <row r="45" spans="1:4" hidden="1">
      <c r="A45" s="3"/>
      <c r="B45" s="173" t="str">
        <f>IF(B44=D44,CONCATENATE("MA'LUMOTNOMA ",B47,B46),C44)</f>
        <v>Yakka tartibdagi tadbirkor</v>
      </c>
    </row>
    <row r="46" spans="1:4" ht="68.400000000000006">
      <c r="A46" s="176" t="s">
        <v>355</v>
      </c>
      <c r="B46" s="220"/>
    </row>
    <row r="47" spans="1:4" ht="22.8">
      <c r="A47" s="176"/>
      <c r="B47" s="194"/>
      <c r="C47" s="183" t="s">
        <v>15</v>
      </c>
    </row>
    <row r="48" spans="1:4" ht="68.400000000000006">
      <c r="A48" s="176" t="s">
        <v>356</v>
      </c>
      <c r="B48" s="173"/>
    </row>
    <row r="49" spans="1:4" hidden="1">
      <c r="A49" s="3" t="s">
        <v>86</v>
      </c>
      <c r="B49" s="49" t="str">
        <f>IF(B44=C44,C44,B48)</f>
        <v>Yakka tartibdagi tadbirkor</v>
      </c>
    </row>
    <row r="50" spans="1:4" ht="27.6">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44" t="s">
        <v>97</v>
      </c>
      <c r="B57" s="245"/>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2.8">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43" t="s">
        <v>103</v>
      </c>
      <c r="B64" s="243"/>
      <c r="C64" s="183" t="str">
        <f>PROPER(B65)</f>
        <v>Mikroqarz</v>
      </c>
      <c r="D64" s="183" t="str">
        <f>UPPER(B65)</f>
        <v>MIKROQARZ</v>
      </c>
    </row>
    <row r="65" spans="1:14" ht="14.4" thickBot="1">
      <c r="A65" s="3" t="s">
        <v>104</v>
      </c>
      <c r="B65" s="1" t="str">
        <f>IF(B75&gt;100000001,"mikrokredit",IF(B75&lt;100000001,"mikroqarz",0))</f>
        <v>mikroqarz</v>
      </c>
      <c r="C65" s="185">
        <f>DATE(YEAR(B67),MONTH(B67)+B81,DAY(B67))</f>
        <v>46823</v>
      </c>
    </row>
    <row r="66" spans="1:14" hidden="1">
      <c r="A66" s="3" t="s">
        <v>105</v>
      </c>
      <c r="B66" s="49" t="str">
        <f>B1</f>
        <v>№ -XT</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4.4" hidden="1" thickBot="1">
      <c r="A74" s="3" t="s">
        <v>121</v>
      </c>
      <c r="B74" s="1" t="str">
        <f>""&amp;B68&amp;"dan "&amp;B66&amp;""</f>
        <v>11 mart 2025 y.dan № -XT</v>
      </c>
    </row>
    <row r="75" spans="1:14" ht="15">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27.6"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27.6"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417</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43" t="s">
        <v>126</v>
      </c>
      <c r="B91" s="243"/>
    </row>
    <row r="92" spans="1:63" ht="17.399999999999999">
      <c r="A92" s="84"/>
      <c r="B92" s="139" t="s">
        <v>131</v>
      </c>
      <c r="C92" s="188" t="s">
        <v>131</v>
      </c>
      <c r="D92" s="183" t="s">
        <v>132</v>
      </c>
    </row>
    <row r="93" spans="1:63" ht="17.399999999999999">
      <c r="A93" s="8" t="s">
        <v>137</v>
      </c>
      <c r="B93" s="139" t="s">
        <v>133</v>
      </c>
      <c r="C93" s="189" t="s">
        <v>133</v>
      </c>
      <c r="D93" s="183" t="s">
        <v>134</v>
      </c>
    </row>
    <row r="94" spans="1:63" ht="52.2">
      <c r="A94" s="8" t="s">
        <v>138</v>
      </c>
      <c r="B94" s="139" t="s">
        <v>135</v>
      </c>
      <c r="C94" s="183" t="s">
        <v>135</v>
      </c>
      <c r="D94" s="183" t="s">
        <v>136</v>
      </c>
    </row>
    <row r="95" spans="1:63" ht="34.799999999999997">
      <c r="A95" s="8" t="s">
        <v>139</v>
      </c>
      <c r="B95" s="139"/>
    </row>
    <row r="96" spans="1:63" ht="34.799999999999997">
      <c r="A96" s="8" t="s">
        <v>140</v>
      </c>
      <c r="B96" s="139"/>
    </row>
    <row r="97" spans="1:4">
      <c r="A97" s="243"/>
      <c r="B97" s="243"/>
    </row>
    <row r="98" spans="1:4" ht="34.799999999999997">
      <c r="A98" s="8" t="s">
        <v>141</v>
      </c>
      <c r="B98" s="139"/>
    </row>
    <row r="99" spans="1:4" ht="34.799999999999997">
      <c r="A99" s="8" t="s">
        <v>142</v>
      </c>
      <c r="B99" s="139"/>
    </row>
    <row r="100" spans="1:4" ht="17.399999999999999">
      <c r="A100" s="8" t="s">
        <v>143</v>
      </c>
      <c r="B100" s="146"/>
    </row>
    <row r="101" spans="1:4" ht="17.399999999999999">
      <c r="A101" s="8" t="s">
        <v>144</v>
      </c>
      <c r="B101" s="146"/>
    </row>
    <row r="102" spans="1:4" ht="17.399999999999999" hidden="1">
      <c r="A102" s="8"/>
      <c r="B102" s="139" t="str">
        <f>TEXT(B101,"ДД.ММ.ГГГГ")</f>
        <v>00.01.1900</v>
      </c>
    </row>
    <row r="103" spans="1:4" ht="17.399999999999999">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55.2" hidden="1">
      <c r="A121" s="3" t="s">
        <v>68</v>
      </c>
      <c r="B121" s="1" t="str">
        <f>IF(B93="ha",B20,B115)</f>
        <v>BUXORO VILOYATI BUXORO SHAHAR IIB tomonidan 24.04.2015 yilda berilgan</v>
      </c>
      <c r="C121" s="207" t="str">
        <f>IF(B93="ha",B20,C115)</f>
        <v>BUXORO VILOYATI BUXORO SHAHAR IIB tomonidan 24.04.2015 yilda berilgan</v>
      </c>
    </row>
    <row r="122" spans="1:18" ht="55.2" hidden="1">
      <c r="A122" s="3" t="s">
        <v>70</v>
      </c>
      <c r="B122" s="166" t="str">
        <f>IF(B93="ha",B22,B116)</f>
        <v>BUXORO VILOYATI BUXORO SHAHAR TADBIRKOR KO'CHASI 12-UY</v>
      </c>
      <c r="C122" s="208" t="str">
        <f>IF(B93="ha",B22,C116)</f>
        <v>BUXORO VILOYATI BUXORO SHAHAR TADBIRKOR KO'CHASI 12-UY</v>
      </c>
    </row>
    <row r="123" spans="1:18" ht="41.4">
      <c r="A123" s="3" t="s">
        <v>161</v>
      </c>
      <c r="B123" s="49" t="s">
        <v>426</v>
      </c>
      <c r="C123" s="209" t="s">
        <v>48</v>
      </c>
      <c r="N123" s="183" t="str">
        <f>IF(B103=C103,B117,IF(B103=D103,C117,0))</f>
        <v>NUTFULLAYEV AKBARJON AXMEDOVICH</v>
      </c>
    </row>
    <row r="124" spans="1:18" ht="41.4">
      <c r="A124" s="3" t="s">
        <v>162</v>
      </c>
      <c r="B124" s="49" t="s">
        <v>418</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1.4">
      <c r="A125" s="3" t="s">
        <v>163</v>
      </c>
      <c r="B125" s="49" t="s">
        <v>419</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27.6">
      <c r="A126" s="3" t="s">
        <v>164</v>
      </c>
      <c r="B126" s="201" t="s">
        <v>420</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421</v>
      </c>
      <c r="C128" s="213"/>
    </row>
    <row r="129" spans="1:6">
      <c r="A129" s="69" t="s">
        <v>167</v>
      </c>
      <c r="B129" s="49" t="s">
        <v>422</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423</v>
      </c>
      <c r="C131" s="202"/>
      <c r="D131" s="214" t="s">
        <v>155</v>
      </c>
    </row>
    <row r="132" spans="1:6">
      <c r="A132" s="69" t="s">
        <v>170</v>
      </c>
      <c r="B132" s="49" t="s">
        <v>427</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424</v>
      </c>
      <c r="C134" s="202"/>
    </row>
    <row r="135" spans="1:6" ht="27.6">
      <c r="A135" s="69" t="s">
        <v>173</v>
      </c>
      <c r="B135" s="57" t="s">
        <v>404</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1">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43" t="s">
        <v>357</v>
      </c>
      <c r="B146" s="243"/>
    </row>
    <row r="147" spans="1:2">
      <c r="A147" s="3" t="s">
        <v>175</v>
      </c>
      <c r="B147" s="1" t="s">
        <v>381</v>
      </c>
    </row>
    <row r="148" spans="1:2">
      <c r="A148" s="3"/>
      <c r="B148" s="1" t="s">
        <v>381</v>
      </c>
    </row>
    <row r="149" spans="1:2">
      <c r="A149" s="3"/>
      <c r="B149" s="1" t="s">
        <v>381</v>
      </c>
    </row>
    <row r="150" spans="1:2">
      <c r="A150" s="346" t="s">
        <v>430</v>
      </c>
      <c r="B150" s="345" t="s">
        <v>431</v>
      </c>
    </row>
    <row r="151" spans="1:2">
      <c r="A151" s="346"/>
      <c r="B151" s="345" t="s">
        <v>432</v>
      </c>
    </row>
    <row r="152" spans="1:2" hidden="1">
      <c r="A152" s="3" t="s">
        <v>179</v>
      </c>
      <c r="B152" s="1" t="s">
        <v>176</v>
      </c>
    </row>
    <row r="153" spans="1:2" ht="27.6"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428</v>
      </c>
      <c r="B159" s="1" t="s">
        <v>402</v>
      </c>
    </row>
    <row r="160" spans="1:2">
      <c r="A160" s="3" t="s">
        <v>379</v>
      </c>
      <c r="B160" s="1" t="s">
        <v>398</v>
      </c>
    </row>
    <row r="161" spans="1:2">
      <c r="A161" s="347" t="s">
        <v>430</v>
      </c>
      <c r="B161" s="348" t="s">
        <v>431</v>
      </c>
    </row>
    <row r="162" spans="1:2">
      <c r="A162" s="3" t="s">
        <v>186</v>
      </c>
      <c r="B162" s="2" t="s">
        <v>349</v>
      </c>
    </row>
    <row r="163" spans="1:2">
      <c r="A163" s="3" t="s">
        <v>187</v>
      </c>
      <c r="B163" s="2" t="s">
        <v>350</v>
      </c>
    </row>
    <row r="164" spans="1:2">
      <c r="A164" s="3" t="s">
        <v>188</v>
      </c>
      <c r="B164" s="1" t="str">
        <f>B1</f>
        <v>№ -XT</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formula1>$C$30:$D$30</formula1>
    </dataValidation>
    <dataValidation type="list" allowBlank="1" showInputMessage="1" showErrorMessage="1" sqref="B93">
      <formula1>$C$93:$D$93</formula1>
    </dataValidation>
    <dataValidation type="list" allowBlank="1" showInputMessage="1" showErrorMessage="1" sqref="B103">
      <formula1>$C$103:$D$103</formula1>
    </dataValidation>
    <dataValidation type="list" allowBlank="1" showInputMessage="1" showErrorMessage="1" sqref="B77">
      <formula1>$C$77:$D$77</formula1>
    </dataValidation>
    <dataValidation type="list" allowBlank="1" showInputMessage="1" showErrorMessage="1" sqref="C129">
      <formula1>$D$129:$E$129</formula1>
    </dataValidation>
    <dataValidation type="list" allowBlank="1" showInputMessage="1" showErrorMessage="1" sqref="B92">
      <formula1>$C$92:$D$92</formula1>
    </dataValidation>
    <dataValidation type="list" allowBlank="1" showInputMessage="1" showErrorMessage="1" sqref="B94">
      <formula1>$C$94:$D$94</formula1>
    </dataValidation>
    <dataValidation type="list" allowBlank="1" showInputMessage="1" showErrorMessage="1" sqref="B23">
      <formula1>$C$23:$D$23</formula1>
    </dataValidation>
    <dataValidation type="list" allowBlank="1" showInputMessage="1" showErrorMessage="1" sqref="B29">
      <formula1>$C$29:$F$29</formula1>
    </dataValidation>
    <dataValidation type="list" allowBlank="1" showInputMessage="1" showErrorMessage="1" sqref="B24">
      <formula1>$C$24:$D$24</formula1>
    </dataValidation>
    <dataValidation type="list" allowBlank="1" showInputMessage="1" showErrorMessage="1" sqref="B83">
      <formula1>$BJ$83:$BK$83</formula1>
    </dataValidation>
    <dataValidation type="list" allowBlank="1" showInputMessage="1" showErrorMessage="1" sqref="B6">
      <formula1>$C$6:$D$6</formula1>
    </dataValidation>
    <dataValidation type="list" allowBlank="1" showInputMessage="1" showErrorMessage="1" sqref="B44">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theme="1"/>
  </sheetPr>
  <dimension ref="A1:H64"/>
  <sheetViews>
    <sheetView view="pageBreakPreview" topLeftCell="A17" zoomScaleSheetLayoutView="100" workbookViewId="0">
      <selection activeCell="D37" sqref="D37"/>
    </sheetView>
  </sheetViews>
  <sheetFormatPr defaultColWidth="9.109375" defaultRowHeight="13.8" outlineLevelCol="1"/>
  <cols>
    <col min="1" max="1" width="9.109375" style="15"/>
    <col min="2" max="2" width="10.109375" style="15" bestFit="1" customWidth="1"/>
    <col min="3" max="3" width="16.5546875" style="15" customWidth="1"/>
    <col min="4" max="4" width="17.109375" style="15" customWidth="1"/>
    <col min="5" max="5" width="17.88671875" style="15" customWidth="1"/>
    <col min="6" max="6" width="20.88671875" style="15" customWidth="1"/>
    <col min="7" max="7" width="10.109375" style="15" customWidth="1" outlineLevel="1"/>
    <col min="8" max="16384" width="9.109375" style="15"/>
  </cols>
  <sheetData>
    <row r="1" spans="1:8">
      <c r="A1" s="37"/>
      <c r="B1" s="37"/>
      <c r="C1" s="37"/>
      <c r="D1" s="37"/>
      <c r="E1" s="254" t="s">
        <v>16</v>
      </c>
      <c r="F1" s="254"/>
    </row>
    <row r="2" spans="1:8">
      <c r="A2" s="37"/>
      <c r="B2" s="37"/>
      <c r="C2" s="37"/>
      <c r="D2" s="37"/>
      <c r="E2" s="37"/>
      <c r="F2" s="38" t="str">
        <f>"к договору микрозайма "&amp;'Общие данные'!B74&amp;""</f>
        <v>к договору микрозайма 11 mart 2025 y.dan № -XT</v>
      </c>
    </row>
    <row r="3" spans="1:8" ht="6.75" customHeight="1">
      <c r="A3" s="37"/>
      <c r="B3" s="37"/>
      <c r="C3" s="37"/>
      <c r="D3" s="37"/>
      <c r="E3" s="37"/>
      <c r="F3" s="37"/>
    </row>
    <row r="4" spans="1:8">
      <c r="A4" s="255" t="s">
        <v>17</v>
      </c>
      <c r="B4" s="255"/>
      <c r="C4" s="255"/>
      <c r="D4" s="255"/>
      <c r="E4" s="255"/>
      <c r="F4" s="255"/>
    </row>
    <row r="5" spans="1:8" ht="7.5" customHeight="1"/>
    <row r="6" spans="1:8">
      <c r="A6" s="256" t="s">
        <v>15</v>
      </c>
      <c r="B6" s="257" t="s">
        <v>9</v>
      </c>
      <c r="C6" s="257" t="s">
        <v>10</v>
      </c>
      <c r="D6" s="258" t="s">
        <v>11</v>
      </c>
      <c r="E6" s="258"/>
      <c r="F6" s="258"/>
    </row>
    <row r="7" spans="1:8" s="16" customFormat="1">
      <c r="A7" s="256"/>
      <c r="B7" s="257"/>
      <c r="C7" s="257"/>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24" t="s">
        <v>18</v>
      </c>
      <c r="B46" s="224"/>
      <c r="C46" s="224"/>
      <c r="D46" s="224"/>
      <c r="E46" s="224"/>
      <c r="F46" s="224"/>
    </row>
    <row r="47" spans="1:8" ht="7.5" customHeight="1"/>
    <row r="48" spans="1:8">
      <c r="A48" s="252" t="e">
        <f>#REF!</f>
        <v>#REF!</v>
      </c>
      <c r="B48" s="252"/>
      <c r="C48" s="252"/>
      <c r="D48" s="252" t="e">
        <f>#REF!</f>
        <v>#REF!</v>
      </c>
      <c r="E48" s="252"/>
      <c r="F48" s="252"/>
    </row>
    <row r="49" spans="1:6" ht="11.25" customHeight="1">
      <c r="A49" s="253"/>
      <c r="B49" s="253"/>
      <c r="C49" s="253"/>
      <c r="D49" s="253"/>
      <c r="E49" s="253"/>
      <c r="F49" s="253"/>
    </row>
    <row r="50" spans="1:6" ht="30" customHeight="1">
      <c r="A50" s="251" t="e">
        <f>#REF!</f>
        <v>#REF!</v>
      </c>
      <c r="B50" s="251"/>
      <c r="C50" s="251"/>
      <c r="D50" s="251" t="e">
        <f>#REF!</f>
        <v>#REF!</v>
      </c>
      <c r="E50" s="251"/>
      <c r="F50" s="251"/>
    </row>
    <row r="51" spans="1:6" ht="32.25" customHeight="1">
      <c r="A51" s="247" t="e">
        <f>#REF!</f>
        <v>#REF!</v>
      </c>
      <c r="B51" s="247"/>
      <c r="C51" s="247"/>
      <c r="D51" s="247" t="e">
        <f>#REF!</f>
        <v>#REF!</v>
      </c>
      <c r="E51" s="247"/>
      <c r="F51" s="247"/>
    </row>
    <row r="52" spans="1:6">
      <c r="A52" s="247" t="e">
        <f>#REF!</f>
        <v>#REF!</v>
      </c>
      <c r="B52" s="247"/>
      <c r="C52" s="247"/>
      <c r="D52" s="247" t="str">
        <f>"паспорт серии "&amp;'Общие данные'!B16&amp;", "&amp;'Общие данные'!B20&amp;""</f>
        <v>паспорт серии AA 9481167, BUXORO VILOYATI BUXORO SHAHAR IIB tomonidan 24.04.2015 yilda berilgan</v>
      </c>
      <c r="E52" s="247"/>
      <c r="F52" s="247"/>
    </row>
    <row r="53" spans="1:6" ht="32.25" customHeight="1">
      <c r="A53" s="247" t="e">
        <f>#REF!</f>
        <v>#REF!</v>
      </c>
      <c r="B53" s="247"/>
      <c r="C53" s="247"/>
      <c r="D53" s="247"/>
      <c r="E53" s="247"/>
      <c r="F53" s="247"/>
    </row>
    <row r="54" spans="1:6">
      <c r="A54" s="247" t="e">
        <f>#REF!</f>
        <v>#REF!</v>
      </c>
      <c r="B54" s="247"/>
      <c r="C54" s="247"/>
      <c r="D54" s="247" t="e">
        <f>#REF!</f>
        <v>#REF!</v>
      </c>
      <c r="E54" s="247"/>
      <c r="F54" s="247"/>
    </row>
    <row r="55" spans="1:6">
      <c r="A55" s="247" t="e">
        <f>#REF!</f>
        <v>#REF!</v>
      </c>
      <c r="B55" s="247"/>
      <c r="C55" s="247"/>
      <c r="D55" s="247" t="e">
        <f>#REF!</f>
        <v>#REF!</v>
      </c>
      <c r="E55" s="247"/>
      <c r="F55" s="247"/>
    </row>
    <row r="56" spans="1:6">
      <c r="A56" s="247" t="e">
        <f>#REF!</f>
        <v>#REF!</v>
      </c>
      <c r="B56" s="247"/>
      <c r="C56" s="247"/>
      <c r="D56" s="247" t="e">
        <f>#REF!</f>
        <v>#REF!</v>
      </c>
      <c r="E56" s="247"/>
      <c r="F56" s="247"/>
    </row>
    <row r="57" spans="1:6" ht="8.25" customHeight="1">
      <c r="A57" s="247"/>
      <c r="B57" s="247"/>
      <c r="C57" s="247"/>
      <c r="D57" s="247"/>
      <c r="E57" s="247"/>
      <c r="F57" s="247"/>
    </row>
    <row r="58" spans="1:6">
      <c r="A58" s="251" t="e">
        <f>#REF!</f>
        <v>#REF!</v>
      </c>
      <c r="B58" s="251"/>
      <c r="C58" s="251"/>
      <c r="D58" s="251" t="e">
        <f>#REF!</f>
        <v>#REF!</v>
      </c>
      <c r="E58" s="251"/>
      <c r="F58" s="251"/>
    </row>
    <row r="59" spans="1:6" ht="7.5" customHeight="1">
      <c r="A59" s="251"/>
      <c r="B59" s="251"/>
      <c r="C59" s="251"/>
      <c r="D59" s="251"/>
      <c r="E59" s="251"/>
      <c r="F59" s="251"/>
    </row>
    <row r="60" spans="1:6">
      <c r="A60" s="251" t="e">
        <f>#REF!</f>
        <v>#REF!</v>
      </c>
      <c r="B60" s="251"/>
      <c r="C60" s="251"/>
      <c r="D60" s="251" t="e">
        <f>#REF!</f>
        <v>#REF!</v>
      </c>
      <c r="E60" s="251"/>
      <c r="F60" s="251"/>
    </row>
    <row r="61" spans="1:6" ht="8.25" customHeight="1">
      <c r="A61" s="247"/>
      <c r="B61" s="247"/>
      <c r="C61" s="247"/>
      <c r="D61" s="247"/>
      <c r="E61" s="247"/>
      <c r="F61" s="247"/>
    </row>
    <row r="62" spans="1:6" ht="30" customHeight="1">
      <c r="A62" s="248"/>
      <c r="B62" s="248"/>
      <c r="C62" s="248"/>
      <c r="D62" s="249"/>
      <c r="E62" s="249"/>
      <c r="F62" s="249"/>
    </row>
    <row r="63" spans="1:6">
      <c r="A63" s="250"/>
      <c r="B63" s="250"/>
      <c r="C63" s="250"/>
      <c r="D63" s="250"/>
      <c r="E63" s="250"/>
      <c r="F63" s="250"/>
    </row>
    <row r="64" spans="1:6">
      <c r="A64" s="246"/>
      <c r="B64" s="246"/>
      <c r="C64" s="246"/>
      <c r="D64" s="246"/>
      <c r="E64" s="246"/>
      <c r="F64" s="246"/>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00B050"/>
  </sheetPr>
  <dimension ref="A1:F43"/>
  <sheetViews>
    <sheetView view="pageBreakPreview" topLeftCell="A27" zoomScaleSheetLayoutView="100" workbookViewId="0">
      <selection activeCell="F26" sqref="F26"/>
    </sheetView>
  </sheetViews>
  <sheetFormatPr defaultColWidth="9.109375" defaultRowHeight="13.2"/>
  <cols>
    <col min="1" max="6" width="14.33203125" style="24" customWidth="1"/>
    <col min="7" max="16384" width="9.109375" style="24"/>
  </cols>
  <sheetData>
    <row r="1" spans="1:6">
      <c r="A1" s="260" t="s">
        <v>218</v>
      </c>
      <c r="B1" s="260"/>
      <c r="C1" s="260"/>
      <c r="D1" s="260"/>
      <c r="E1" s="260"/>
      <c r="F1" s="260"/>
    </row>
    <row r="2" spans="1:6" ht="35.25" customHeight="1">
      <c r="A2" s="261" t="s">
        <v>328</v>
      </c>
      <c r="B2" s="261"/>
      <c r="C2" s="261"/>
      <c r="D2" s="261"/>
      <c r="E2" s="261"/>
      <c r="F2" s="261"/>
    </row>
    <row r="3" spans="1:6">
      <c r="A3" s="260" t="s">
        <v>219</v>
      </c>
      <c r="B3" s="260"/>
      <c r="C3" s="260"/>
      <c r="D3" s="260"/>
      <c r="E3" s="260"/>
      <c r="F3" s="260"/>
    </row>
    <row r="4" spans="1:6">
      <c r="A4" s="259" t="str">
        <f>'Заключение КК'!A4:E4</f>
        <v>Mijozning to'liq ismi sharifi: NUTFULLAYEV AKBARJON AXMEDOVICH</v>
      </c>
      <c r="B4" s="259"/>
      <c r="C4" s="259"/>
      <c r="D4" s="259"/>
      <c r="E4" s="259"/>
      <c r="F4" s="259"/>
    </row>
    <row r="5" spans="1:6">
      <c r="A5" s="259" t="str">
        <f>'Заключение КК'!A5:E5</f>
        <v>Tug'ilgan sanasi: 14.09.1989 y</v>
      </c>
      <c r="B5" s="259"/>
      <c r="C5" s="259"/>
      <c r="D5" s="259"/>
      <c r="E5" s="259"/>
      <c r="F5" s="259"/>
    </row>
    <row r="6" spans="1:6" ht="32.25" customHeight="1">
      <c r="A6" s="259" t="str">
        <f>'Заключение КК'!A6:E6</f>
        <v>Pasport seriyasi AA 9481167 BUXORO VILOYATI BUXORO SHAHAR IIB tomonidan 24.04.2015 yilda berilgan, amal qilish muddati - 23.04.2025 y.</v>
      </c>
      <c r="B6" s="259"/>
      <c r="C6" s="259"/>
      <c r="D6" s="259"/>
      <c r="E6" s="259"/>
      <c r="F6" s="259"/>
    </row>
    <row r="7" spans="1:6">
      <c r="A7" s="259" t="str">
        <f>"Fuqaroligi: "&amp;'Общие данные'!B32&amp;""</f>
        <v>Fuqaroligi: O’zbekiston Respublikasi</v>
      </c>
      <c r="B7" s="259"/>
      <c r="C7" s="259"/>
      <c r="D7" s="259"/>
      <c r="E7" s="259"/>
      <c r="F7" s="259"/>
    </row>
    <row r="8" spans="1:6" ht="26.25" customHeight="1">
      <c r="A8" s="259" t="str">
        <f>'Заключение КК'!A7:E7</f>
        <v>Ro‘yxatdan o‘tgan manzili: BUXORO VILOYATI BUXORO SHAHAR TADBIRKOR KO'CHASI 12-UY, mo'ljal: GOR VODAKANAL</v>
      </c>
      <c r="B8" s="259"/>
      <c r="C8" s="259"/>
      <c r="D8" s="259"/>
      <c r="E8" s="259"/>
      <c r="F8" s="259"/>
    </row>
    <row r="9" spans="1:6">
      <c r="A9" s="259" t="str">
        <f>IF('Общие данные'!B23="mos keladi"," ",'Анкета Клиента'!A10:F10)</f>
        <v xml:space="preserve"> </v>
      </c>
      <c r="B9" s="259"/>
      <c r="C9" s="259"/>
      <c r="D9" s="259"/>
      <c r="E9" s="259"/>
      <c r="F9" s="259"/>
    </row>
    <row r="10" spans="1:6" ht="31.5" hidden="1" customHeight="1">
      <c r="A10" s="259" t="str">
        <f>"Haqiqatdan yashash joy manzili: "&amp;'Общие данные'!B28&amp;""</f>
        <v>Haqiqatdan yashash joy manzili: BUXORO VILOYATI BUXORO SHAHAR TADBIRKOR KO'CHASI 12-UY</v>
      </c>
      <c r="B10" s="259"/>
      <c r="C10" s="259"/>
      <c r="D10" s="259"/>
      <c r="E10" s="259"/>
      <c r="F10" s="259"/>
    </row>
    <row r="11" spans="1:6" ht="16.5" hidden="1" customHeight="1">
      <c r="A11" s="259" t="str">
        <f>'Заключение КК'!A8:E8</f>
        <v>Ish joyi:  lavozimi Yakka tartibdagi tadbirkorda Yakka tartibdagi tadbirkor</v>
      </c>
      <c r="B11" s="259"/>
      <c r="C11" s="259"/>
      <c r="D11" s="259"/>
      <c r="E11" s="259"/>
      <c r="F11" s="259"/>
    </row>
    <row r="12" spans="1:6">
      <c r="A12" s="260" t="s">
        <v>220</v>
      </c>
      <c r="B12" s="260"/>
      <c r="C12" s="260"/>
      <c r="D12" s="260"/>
      <c r="E12" s="260"/>
      <c r="F12" s="260"/>
    </row>
    <row r="13" spans="1:6">
      <c r="A13" s="259" t="str">
        <f>"Uy telefoni raqami: "&amp;'Общие данные'!B40&amp;""</f>
        <v>Uy telefoni raqami: 91 408 76 67  UZI</v>
      </c>
      <c r="B13" s="259"/>
      <c r="C13" s="259"/>
      <c r="D13" s="259"/>
      <c r="E13" s="259"/>
      <c r="F13" s="259"/>
    </row>
    <row r="14" spans="1:6">
      <c r="A14" s="259" t="str">
        <f>"Uyali telefon raqami: "&amp;'Общие данные'!B41&amp;""</f>
        <v>Uyali telefon raqami: 88 305 76 67 AYOLI</v>
      </c>
      <c r="B14" s="259"/>
      <c r="C14" s="259"/>
      <c r="D14" s="259"/>
      <c r="E14" s="259"/>
      <c r="F14" s="259"/>
    </row>
    <row r="15" spans="1:6">
      <c r="A15" s="259" t="str">
        <f>"Uyali telefon raqami: "&amp;'Общие данные'!B42&amp;""</f>
        <v>Uyali telefon raqami: 88 870 76 67 AKASI</v>
      </c>
      <c r="B15" s="259"/>
      <c r="C15" s="259"/>
      <c r="D15" s="259"/>
      <c r="E15" s="259"/>
      <c r="F15" s="259"/>
    </row>
    <row r="16" spans="1:6" hidden="1">
      <c r="A16" s="259" t="str">
        <f>"Uyali telefon raqami: "&amp;'Общие данные'!B42&amp;""</f>
        <v>Uyali telefon raqami: 88 870 76 67 AKASI</v>
      </c>
      <c r="B16" s="259"/>
      <c r="C16" s="259"/>
      <c r="D16" s="259"/>
      <c r="E16" s="259"/>
      <c r="F16" s="259"/>
    </row>
    <row r="17" spans="1:6">
      <c r="A17" s="259" t="str">
        <f>"Ish telefoni raqami: "&amp;'Общие данные'!B43&amp;""</f>
        <v xml:space="preserve">Ish telefoni raqami: </v>
      </c>
      <c r="B17" s="259"/>
      <c r="C17" s="259"/>
      <c r="D17" s="259"/>
      <c r="E17" s="259"/>
      <c r="F17" s="259"/>
    </row>
    <row r="18" spans="1:6">
      <c r="A18" s="260" t="s">
        <v>221</v>
      </c>
      <c r="B18" s="260"/>
      <c r="C18" s="260"/>
      <c r="D18" s="260"/>
      <c r="E18" s="260"/>
      <c r="F18" s="260"/>
    </row>
    <row r="19" spans="1:6">
      <c r="A19" s="259" t="str">
        <f>"Muassasa nomlanishi:"&amp;'Общие данные'!B58&amp;""</f>
        <v>Muassasa nomlanishi:Yakka tartibdagi tadbirkor</v>
      </c>
      <c r="B19" s="259"/>
      <c r="C19" s="259"/>
      <c r="D19" s="259"/>
      <c r="E19" s="259"/>
      <c r="F19" s="259"/>
    </row>
    <row r="20" spans="1:6">
      <c r="A20" s="259" t="str">
        <f>"Ro‘yxatdan o‘tish manzili:"&amp;'Общие данные'!B50&amp;""</f>
        <v>Ro‘yxatdan o‘tish manzili:</v>
      </c>
      <c r="B20" s="259"/>
      <c r="C20" s="259"/>
      <c r="D20" s="259"/>
      <c r="E20" s="259"/>
      <c r="F20" s="259"/>
    </row>
    <row r="21" spans="1:6">
      <c r="A21" s="259" t="str">
        <f>"Lavozimi: "&amp;'Общие данные'!B59&amp;""</f>
        <v>Lavozimi: Yakka tartibdagi tadbirkor</v>
      </c>
      <c r="B21" s="259"/>
      <c r="C21" s="259"/>
      <c r="D21" s="259"/>
      <c r="E21" s="259"/>
      <c r="F21" s="259"/>
    </row>
    <row r="22" spans="1:6">
      <c r="A22" s="260" t="s">
        <v>222</v>
      </c>
      <c r="B22" s="262"/>
      <c r="C22" s="262"/>
      <c r="D22" s="262"/>
      <c r="E22" s="262"/>
      <c r="F22" s="262"/>
    </row>
    <row r="23" spans="1:6" s="26" customFormat="1" ht="26.4">
      <c r="A23" s="25" t="s">
        <v>223</v>
      </c>
      <c r="B23" s="25" t="s">
        <v>224</v>
      </c>
      <c r="C23" s="25" t="s">
        <v>225</v>
      </c>
      <c r="D23" s="25" t="s">
        <v>226</v>
      </c>
      <c r="E23" s="25" t="s">
        <v>227</v>
      </c>
      <c r="F23" s="25" t="s">
        <v>228</v>
      </c>
    </row>
    <row r="24" spans="1:6" ht="52.8">
      <c r="A24" s="27" t="s">
        <v>229</v>
      </c>
      <c r="B24" s="28">
        <f>'Общие данные'!B60</f>
        <v>10000000</v>
      </c>
      <c r="C24" s="28">
        <v>0</v>
      </c>
      <c r="D24" s="28">
        <v>0</v>
      </c>
      <c r="E24" s="27" t="s">
        <v>232</v>
      </c>
      <c r="F24" s="28">
        <v>700000</v>
      </c>
    </row>
    <row r="25" spans="1:6" ht="26.4">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59"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59"/>
      <c r="C28" s="259"/>
      <c r="D28" s="259"/>
      <c r="E28" s="259"/>
      <c r="F28" s="259"/>
    </row>
    <row r="29" spans="1:6">
      <c r="A29" s="259" t="str">
        <f>"Men,  "&amp;'Общие данные'!B5&amp;", quyidagilarni tan olaman va roziman::"</f>
        <v>Men,  NUTFULLAYEV AKBARJON AXMEDOVICH, quyidagilarni tan olaman va roziman::</v>
      </c>
      <c r="B29" s="259"/>
      <c r="C29" s="259"/>
      <c r="D29" s="259"/>
      <c r="E29" s="259"/>
      <c r="F29" s="259"/>
    </row>
    <row r="30" spans="1:6" ht="45.75" customHeight="1">
      <c r="A30" s="259"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59"/>
      <c r="C30" s="259"/>
      <c r="D30" s="259"/>
      <c r="E30" s="259"/>
      <c r="F30" s="259"/>
    </row>
    <row r="31" spans="1:6" ht="42.75" customHeight="1">
      <c r="A31" s="259"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59"/>
      <c r="C31" s="259"/>
      <c r="D31" s="259"/>
      <c r="E31" s="259"/>
      <c r="F31" s="259"/>
    </row>
    <row r="32" spans="1:6" ht="71.25" customHeight="1">
      <c r="A32" s="259" t="s">
        <v>235</v>
      </c>
      <c r="B32" s="259"/>
      <c r="C32" s="259"/>
      <c r="D32" s="259"/>
      <c r="E32" s="259"/>
      <c r="F32" s="259"/>
    </row>
    <row r="33" spans="1:6">
      <c r="A33" s="259"/>
      <c r="B33" s="259"/>
      <c r="C33" s="259"/>
      <c r="D33" s="259"/>
      <c r="E33" s="259"/>
      <c r="F33" s="259"/>
    </row>
    <row r="34" spans="1:6" ht="12.75" customHeight="1">
      <c r="A34" s="262" t="s">
        <v>236</v>
      </c>
      <c r="B34" s="262"/>
      <c r="C34" s="262"/>
      <c r="D34" s="148" t="s">
        <v>157</v>
      </c>
      <c r="E34" s="262" t="s">
        <v>237</v>
      </c>
      <c r="F34" s="262"/>
    </row>
    <row r="35" spans="1:6" ht="25.5" customHeight="1">
      <c r="A35" s="263"/>
      <c r="B35" s="263"/>
      <c r="C35" s="263"/>
      <c r="D35" s="264" t="str">
        <f>'Общие данные'!B2</f>
        <v>11.03.2025</v>
      </c>
      <c r="E35" s="263"/>
      <c r="F35" s="263"/>
    </row>
    <row r="36" spans="1:6" ht="25.5" customHeight="1">
      <c r="A36" s="263"/>
      <c r="B36" s="263"/>
      <c r="C36" s="263"/>
      <c r="D36" s="264"/>
      <c r="E36" s="263"/>
      <c r="F36" s="263"/>
    </row>
    <row r="37" spans="1:6">
      <c r="A37" s="259"/>
      <c r="B37" s="259"/>
      <c r="C37" s="259"/>
      <c r="D37" s="259"/>
      <c r="E37" s="259"/>
      <c r="F37" s="259"/>
    </row>
    <row r="38" spans="1:6">
      <c r="A38" s="259"/>
      <c r="B38" s="259"/>
      <c r="C38" s="259"/>
      <c r="D38" s="259"/>
      <c r="E38" s="259"/>
      <c r="F38" s="259"/>
    </row>
    <row r="39" spans="1:6">
      <c r="A39" s="259"/>
      <c r="B39" s="259"/>
      <c r="C39" s="259"/>
      <c r="D39" s="259"/>
      <c r="E39" s="259"/>
      <c r="F39" s="259"/>
    </row>
    <row r="40" spans="1:6">
      <c r="A40" s="259"/>
      <c r="B40" s="259"/>
      <c r="C40" s="259"/>
      <c r="D40" s="259"/>
      <c r="E40" s="259"/>
      <c r="F40" s="259"/>
    </row>
    <row r="41" spans="1:6">
      <c r="A41" s="259"/>
      <c r="B41" s="259"/>
      <c r="C41" s="259"/>
      <c r="D41" s="259"/>
      <c r="E41" s="259"/>
      <c r="F41" s="259"/>
    </row>
    <row r="42" spans="1:6">
      <c r="A42" s="259"/>
      <c r="B42" s="259"/>
      <c r="C42" s="259"/>
      <c r="D42" s="259"/>
      <c r="E42" s="259"/>
      <c r="F42" s="259"/>
    </row>
    <row r="43" spans="1:6">
      <c r="A43" s="259"/>
      <c r="B43" s="259"/>
      <c r="C43" s="259"/>
      <c r="D43" s="259"/>
      <c r="E43" s="259"/>
      <c r="F43" s="259"/>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09375" defaultRowHeight="15.6"/>
  <cols>
    <col min="1" max="2" width="17.44140625" style="122" customWidth="1"/>
    <col min="3" max="3" width="29.88671875" style="122" customWidth="1"/>
    <col min="4" max="4" width="18.109375" style="122" customWidth="1"/>
    <col min="5" max="5" width="6.5546875" style="122" customWidth="1"/>
    <col min="6" max="16384" width="9.109375" style="122"/>
  </cols>
  <sheetData>
    <row r="2" spans="1:5">
      <c r="A2" s="269" t="s">
        <v>238</v>
      </c>
      <c r="B2" s="269"/>
      <c r="C2" s="269"/>
      <c r="D2" s="269"/>
      <c r="E2" s="269"/>
    </row>
    <row r="3" spans="1:5">
      <c r="E3" s="121" t="str">
        <f>'Общие данные'!B68</f>
        <v>11 mart 2025 y.</v>
      </c>
    </row>
    <row r="5" spans="1:5" s="123" customFormat="1" ht="27" customHeight="1">
      <c r="A5" s="273" t="s">
        <v>239</v>
      </c>
      <c r="B5" s="274"/>
      <c r="C5" s="270" t="str">
        <f>'Общие данные'!B8</f>
        <v>NUTFULLAYEV AKBARJON AXMEDOVICH</v>
      </c>
      <c r="D5" s="271"/>
      <c r="E5" s="272"/>
    </row>
    <row r="7" spans="1:5" ht="15.75" customHeight="1">
      <c r="A7" s="275" t="s">
        <v>358</v>
      </c>
      <c r="B7" s="276"/>
      <c r="C7" s="277"/>
      <c r="D7" s="124" t="s">
        <v>133</v>
      </c>
      <c r="E7" s="124"/>
    </row>
    <row r="8" spans="1:5">
      <c r="A8" s="278"/>
      <c r="B8" s="279"/>
      <c r="C8" s="280"/>
      <c r="D8" s="124" t="s">
        <v>243</v>
      </c>
      <c r="E8" s="124"/>
    </row>
    <row r="9" spans="1:5" ht="15.75" customHeight="1">
      <c r="A9" s="266" t="s">
        <v>240</v>
      </c>
      <c r="B9" s="266"/>
      <c r="C9" s="266"/>
      <c r="D9" s="124" t="s">
        <v>133</v>
      </c>
      <c r="E9" s="124"/>
    </row>
    <row r="10" spans="1:5">
      <c r="A10" s="266"/>
      <c r="B10" s="266"/>
      <c r="C10" s="266"/>
      <c r="D10" s="124" t="s">
        <v>243</v>
      </c>
      <c r="E10" s="124"/>
    </row>
    <row r="11" spans="1:5" ht="15.75" customHeight="1">
      <c r="A11" s="266" t="s">
        <v>241</v>
      </c>
      <c r="B11" s="266"/>
      <c r="C11" s="266"/>
      <c r="D11" s="124" t="s">
        <v>133</v>
      </c>
      <c r="E11" s="124"/>
    </row>
    <row r="12" spans="1:5">
      <c r="A12" s="266"/>
      <c r="B12" s="266"/>
      <c r="C12" s="266"/>
      <c r="D12" s="124" t="s">
        <v>243</v>
      </c>
      <c r="E12" s="124"/>
    </row>
    <row r="13" spans="1:5" ht="34.5" customHeight="1">
      <c r="A13" s="267" t="s">
        <v>242</v>
      </c>
      <c r="B13" s="267"/>
      <c r="C13" s="267"/>
      <c r="D13" s="267"/>
      <c r="E13" s="267"/>
    </row>
    <row r="14" spans="1:5" ht="16.2" thickBot="1">
      <c r="A14" s="268"/>
      <c r="B14" s="268"/>
      <c r="C14" s="268"/>
      <c r="D14" s="268"/>
      <c r="E14" s="268"/>
    </row>
    <row r="15" spans="1:5" ht="16.2" thickBot="1">
      <c r="A15" s="268"/>
      <c r="B15" s="268"/>
      <c r="C15" s="268"/>
      <c r="D15" s="268"/>
      <c r="E15" s="268"/>
    </row>
    <row r="16" spans="1:5" ht="16.2" thickBot="1">
      <c r="A16" s="268"/>
      <c r="B16" s="268"/>
      <c r="C16" s="268"/>
      <c r="D16" s="268"/>
      <c r="E16" s="268"/>
    </row>
    <row r="18" spans="1:8" ht="18.75" customHeight="1">
      <c r="A18" s="266" t="s">
        <v>244</v>
      </c>
      <c r="B18" s="266"/>
      <c r="C18" s="266"/>
      <c r="D18" s="124" t="s">
        <v>133</v>
      </c>
      <c r="E18" s="124"/>
    </row>
    <row r="19" spans="1:8" ht="18.75" customHeight="1">
      <c r="A19" s="266"/>
      <c r="B19" s="266"/>
      <c r="C19" s="266"/>
      <c r="D19" s="124" t="s">
        <v>243</v>
      </c>
      <c r="E19" s="124"/>
    </row>
    <row r="20" spans="1:8" ht="29.25" customHeight="1">
      <c r="A20" s="266" t="s">
        <v>245</v>
      </c>
      <c r="B20" s="266"/>
      <c r="C20" s="266"/>
      <c r="D20" s="124" t="s">
        <v>133</v>
      </c>
      <c r="E20" s="124"/>
    </row>
    <row r="21" spans="1:8" ht="29.25" customHeight="1">
      <c r="A21" s="266"/>
      <c r="B21" s="266"/>
      <c r="C21" s="266"/>
      <c r="D21" s="124" t="s">
        <v>243</v>
      </c>
      <c r="E21" s="124"/>
    </row>
    <row r="23" spans="1:8" ht="15.75" customHeight="1">
      <c r="A23" s="267" t="s">
        <v>246</v>
      </c>
      <c r="B23" s="267"/>
      <c r="C23" s="267"/>
      <c r="D23" s="267"/>
      <c r="E23" s="267"/>
    </row>
    <row r="24" spans="1:8" ht="16.2" thickBot="1">
      <c r="A24" s="268"/>
      <c r="B24" s="268"/>
      <c r="C24" s="268"/>
      <c r="D24" s="268"/>
      <c r="E24" s="268"/>
    </row>
    <row r="25" spans="1:8" ht="16.2" thickBot="1">
      <c r="A25" s="268"/>
      <c r="B25" s="268"/>
      <c r="C25" s="268"/>
      <c r="D25" s="268"/>
      <c r="E25" s="268"/>
    </row>
    <row r="26" spans="1:8" ht="16.2" thickBot="1">
      <c r="A26" s="268"/>
      <c r="B26" s="268"/>
      <c r="C26" s="268"/>
      <c r="D26" s="268"/>
      <c r="E26" s="268"/>
    </row>
    <row r="28" spans="1:8" ht="78.75" customHeight="1">
      <c r="A28" s="265" t="s">
        <v>247</v>
      </c>
      <c r="B28" s="265"/>
      <c r="C28" s="265"/>
      <c r="D28" s="265"/>
      <c r="E28" s="265"/>
    </row>
    <row r="30" spans="1:8" ht="33" customHeight="1">
      <c r="A30" s="265" t="s">
        <v>248</v>
      </c>
      <c r="B30" s="265"/>
      <c r="C30" s="265"/>
      <c r="D30" s="265"/>
      <c r="E30" s="265"/>
      <c r="F30" s="125"/>
      <c r="G30" s="125"/>
      <c r="H30" s="125"/>
    </row>
    <row r="33" spans="1:5" ht="16.2"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tabColor rgb="FF00B050"/>
  </sheetPr>
  <dimension ref="A1:E77"/>
  <sheetViews>
    <sheetView view="pageBreakPreview" topLeftCell="A19" zoomScaleSheetLayoutView="100" workbookViewId="0">
      <selection activeCell="F69" sqref="F69"/>
    </sheetView>
  </sheetViews>
  <sheetFormatPr defaultColWidth="9.109375" defaultRowHeight="15.6"/>
  <cols>
    <col min="1" max="1" width="20.109375" style="6" customWidth="1"/>
    <col min="2" max="2" width="18.6640625" style="6" customWidth="1"/>
    <col min="3" max="3" width="19.6640625" style="6" customWidth="1"/>
    <col min="4" max="4" width="28.6640625" style="6" customWidth="1"/>
    <col min="5" max="16384" width="9.109375" style="6"/>
  </cols>
  <sheetData>
    <row r="1" spans="1:4" ht="66.75" customHeight="1">
      <c r="C1" s="282" t="str">
        <f>""&amp;'Общие данные'!B147&amp;"ning
"&amp;'Общие данные'!A150&amp;""</f>
        <v>«CLEVER MIKROMOLIYA TASHKILOTI» MChJning
Xatirchi  filial boshlig'i</v>
      </c>
      <c r="D1" s="282"/>
    </row>
    <row r="2" spans="1:4">
      <c r="C2" s="13"/>
      <c r="D2" s="14" t="str">
        <f>""&amp;'Общие данные'!B150&amp;"ga"</f>
        <v>XAYRIYEV SH.B.ga</v>
      </c>
    </row>
    <row r="4" spans="1:4">
      <c r="A4" s="281" t="str">
        <f>""&amp;'Общие данные'!C64&amp;" olish uchun Ariza"</f>
        <v>Mikroqarz olish uchun Ariza</v>
      </c>
      <c r="B4" s="281"/>
      <c r="C4" s="281"/>
      <c r="D4" s="281"/>
    </row>
    <row r="5" spans="1:4">
      <c r="A5" s="281"/>
      <c r="B5" s="281"/>
      <c r="C5" s="281"/>
      <c r="D5" s="281"/>
    </row>
    <row r="6" spans="1:4" ht="60" customHeight="1">
      <c r="A6" s="283"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83"/>
      <c r="C6" s="283"/>
      <c r="D6" s="283"/>
    </row>
    <row r="7" spans="1:4" ht="15.75" customHeight="1">
      <c r="A7" s="283" t="str">
        <f>"Tug'ilgan kuni: "&amp;'Общие данные'!B15&amp;""</f>
        <v>Tug'ilgan kuni: 14.09.1989 y</v>
      </c>
      <c r="B7" s="283"/>
      <c r="C7" s="283"/>
      <c r="D7" s="283"/>
    </row>
    <row r="8" spans="1:4" ht="33" customHeight="1">
      <c r="A8" s="283" t="str">
        <f>"Pasport seriyasi: "&amp;'Общие данные'!B16&amp;" "&amp;'Общие данные'!B20&amp;""</f>
        <v>Pasport seriyasi: AA 9481167 BUXORO VILOYATI BUXORO SHAHAR IIB tomonidan 24.04.2015 yilda berilgan</v>
      </c>
      <c r="B8" s="283"/>
      <c r="C8" s="283"/>
      <c r="D8" s="283"/>
    </row>
    <row r="9" spans="1:4" ht="16.5" customHeight="1">
      <c r="A9" s="283" t="str">
        <f>"Asosiy ish joyi : "&amp;'Общие данные'!B58&amp;""</f>
        <v>Asosiy ish joyi : Yakka tartibdagi tadbirkor</v>
      </c>
      <c r="B9" s="283"/>
      <c r="C9" s="283"/>
      <c r="D9" s="283"/>
    </row>
    <row r="10" spans="1:4" ht="15.75" customHeight="1">
      <c r="A10" s="283" t="str">
        <f>"Lavozimi: "&amp;'Общие данные'!B59&amp;""</f>
        <v>Lavozimi: Yakka tartibdagi tadbirkor</v>
      </c>
      <c r="B10" s="283"/>
      <c r="C10" s="283"/>
      <c r="D10" s="283"/>
    </row>
    <row r="11" spans="1:4">
      <c r="A11" s="283" t="str">
        <f>"O’rtacha oylik daromadi: "&amp;FIXED('Общие данные'!B60,2)&amp;" so'm."</f>
        <v>O’rtacha oylik daromadi: 10 000 000,00 so'm.</v>
      </c>
      <c r="B11" s="283"/>
      <c r="C11" s="283"/>
      <c r="D11" s="283"/>
    </row>
    <row r="12" spans="1:4">
      <c r="A12" s="283" t="str">
        <f>"Menga quyidagi shartlarda "&amp;'Общие данные'!B65&amp;" berishingizni so’rayman:"</f>
        <v>Menga quyidagi shartlarda mikroqarz berishingizni so’rayman:</v>
      </c>
      <c r="B12" s="283"/>
      <c r="C12" s="283"/>
      <c r="D12" s="283"/>
    </row>
    <row r="13" spans="1:4">
      <c r="A13" s="283" t="str">
        <f>""&amp;'Общие данные'!C64&amp;" summasi: "&amp;FIXED('Общие данные'!B75,2)&amp;" ("&amp;'Общие данные'!B76&amp;") so'm."</f>
        <v>Mikroqarz summasi: 27 000 000,00 (yigirma yetti million so'm) so'm.</v>
      </c>
      <c r="B13" s="283"/>
      <c r="C13" s="283"/>
      <c r="D13" s="283"/>
    </row>
    <row r="14" spans="1:4">
      <c r="A14" s="283" t="str">
        <f>""&amp;'Общие данные'!C64&amp;" muddati: "&amp;'Общие данные'!B81&amp;" ("&amp;'Общие данные'!B82&amp;") oy."</f>
        <v>Mikroqarz muddati: 36 (o'ttiz olti) oy.</v>
      </c>
      <c r="B14" s="283"/>
      <c r="C14" s="283"/>
      <c r="D14" s="283"/>
    </row>
    <row r="15" spans="1:4" ht="17.25" customHeight="1">
      <c r="A15" s="283" t="str">
        <f>""&amp;'Общие данные'!C64&amp;"dan foydalanganlik uchun foiz stavkasi: yillik  "&amp;'Общие данные'!B85&amp;"% ("&amp;'Общие данные'!B86&amp;") foiz"</f>
        <v>Mikroqarzdan foydalanganlik uchun foiz stavkasi: yillik  60% (Oltmish) foiz</v>
      </c>
      <c r="B15" s="283"/>
      <c r="C15" s="283"/>
      <c r="D15" s="283"/>
    </row>
    <row r="16" spans="1:4">
      <c r="A16" s="283" t="str">
        <f>""&amp;'Общие данные'!C64&amp;" bo'yicha asosiy qarz va foizlarni to'lash:"</f>
        <v>Mikroqarz bo'yicha asosiy qarz va foizlarni to'lash:</v>
      </c>
      <c r="B16" s="283"/>
      <c r="C16" s="283"/>
      <c r="D16" s="283"/>
    </row>
    <row r="17" spans="1:5" ht="20.25" hidden="1" customHeight="1">
      <c r="A17" s="284" t="str">
        <f>" - "&amp;'Общие данные'!B65&amp;" shartnomasi bo'yicha har oy differensial to'lovlari amalga oshiriladi"</f>
        <v xml:space="preserve"> - mikroqarz shartnomasi bo'yicha har oy differensial to'lovlari amalga oshiriladi</v>
      </c>
      <c r="B17" s="284"/>
      <c r="C17" s="284"/>
      <c r="D17" s="284"/>
    </row>
    <row r="18" spans="1:5" ht="33.75" hidden="1" customHeight="1">
      <c r="A18" s="284" t="str">
        <f>" - "&amp;'Общие данные'!B65&amp;" shartnomasi bo'yicha har oy annuitet to'lovlari amalga oshiriladi"</f>
        <v xml:space="preserve"> - mikroqarz shartnomasi bo'yicha har oy annuitet to'lovlari amalga oshiriladi</v>
      </c>
      <c r="B18" s="284"/>
      <c r="C18" s="284"/>
      <c r="D18" s="284"/>
    </row>
    <row r="19" spans="1:5" ht="33.75" customHeight="1">
      <c r="A19" s="284"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84"/>
      <c r="C19" s="284"/>
      <c r="D19" s="284"/>
    </row>
    <row r="20" spans="1:5" ht="33.75" hidden="1" customHeight="1">
      <c r="A20" s="283" t="str">
        <f>IF(DAY('Общие данные'!E67)&lt;15,"   ","  Oxirgi yakuniy to'lov "&amp;'Общие данные'!B65&amp;" shartnomasi tuzilgan kundan boshlab oxirgi oyning oxirgi kunida amalga oshiriladi")</f>
        <v xml:space="preserve">   </v>
      </c>
      <c r="B20" s="283"/>
      <c r="C20" s="283"/>
      <c r="D20" s="283"/>
    </row>
    <row r="21" spans="1:5">
      <c r="A21" s="283" t="str">
        <f>""&amp;'Общие данные'!C64&amp;" ta’minoti::"</f>
        <v>Mikroqarz ta’minoti::</v>
      </c>
      <c r="B21" s="283"/>
      <c r="C21" s="283"/>
      <c r="D21" s="283"/>
    </row>
    <row r="22" spans="1:5" ht="72.75" customHeight="1">
      <c r="A22" s="284"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84"/>
      <c r="C22" s="284"/>
      <c r="D22" s="284"/>
    </row>
    <row r="23" spans="1:5" ht="79.5" hidden="1" customHeight="1">
      <c r="A23" s="284"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84"/>
      <c r="C23" s="284"/>
      <c r="D23" s="284"/>
    </row>
    <row r="24" spans="1:5" ht="96.75" hidden="1" customHeight="1">
      <c r="A24" s="284"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84"/>
      <c r="C24" s="284"/>
      <c r="D24" s="284"/>
      <c r="E24" s="154"/>
    </row>
    <row r="25" spans="1:5" ht="92.25" hidden="1" customHeight="1">
      <c r="A25" s="284"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84"/>
      <c r="C25" s="284"/>
      <c r="D25" s="284"/>
    </row>
    <row r="26" spans="1:5" ht="78" hidden="1" customHeight="1">
      <c r="A26" s="284"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84"/>
      <c r="C26" s="284"/>
      <c r="D26" s="284"/>
    </row>
    <row r="27" spans="1:5" ht="93" hidden="1" customHeight="1">
      <c r="A27" s="284"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84"/>
      <c r="C27" s="284"/>
      <c r="D27" s="284"/>
    </row>
    <row r="28" spans="1:5" ht="93.75" hidden="1" customHeight="1">
      <c r="A28" s="284"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84"/>
      <c r="C28" s="284"/>
      <c r="D28" s="284"/>
    </row>
    <row r="29" spans="1:5" ht="10.5" customHeight="1">
      <c r="A29" s="283"/>
      <c r="B29" s="283"/>
      <c r="C29" s="283"/>
      <c r="D29" s="283"/>
    </row>
    <row r="30" spans="1:5" ht="53.25" customHeight="1">
      <c r="A30" s="284"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84"/>
      <c r="C30" s="284"/>
      <c r="D30" s="284"/>
    </row>
    <row r="31" spans="1:5" ht="15.75" customHeight="1">
      <c r="A31" s="284" t="s">
        <v>249</v>
      </c>
      <c r="B31" s="284"/>
      <c r="C31" s="284"/>
      <c r="D31" s="284"/>
    </row>
    <row r="32" spans="1:5">
      <c r="A32" s="284" t="s">
        <v>250</v>
      </c>
      <c r="B32" s="284"/>
      <c r="C32" s="284"/>
      <c r="D32" s="284"/>
    </row>
    <row r="33" spans="1:4">
      <c r="A33" s="284" t="s">
        <v>251</v>
      </c>
      <c r="B33" s="284"/>
      <c r="C33" s="284"/>
      <c r="D33" s="284"/>
    </row>
    <row r="34" spans="1:4">
      <c r="A34" s="283" t="str">
        <f>"Ariza berilgan sana: "&amp;TEXT('Общие данные'!B2,"ДД.ММ.ГГГГ")&amp;"y."</f>
        <v>Ariza berilgan sana: 11.03.2025y.</v>
      </c>
      <c r="B34" s="283"/>
      <c r="C34" s="283"/>
      <c r="D34" s="283"/>
    </row>
    <row r="35" spans="1:4">
      <c r="A35" s="283"/>
      <c r="B35" s="283"/>
      <c r="C35" s="283"/>
      <c r="D35" s="283"/>
    </row>
    <row r="36" spans="1:4">
      <c r="A36" s="283" t="s">
        <v>252</v>
      </c>
      <c r="B36" s="283"/>
      <c r="C36" s="283"/>
      <c r="D36" s="283"/>
    </row>
    <row r="37" spans="1:4">
      <c r="A37" s="283"/>
      <c r="B37" s="283"/>
      <c r="C37" s="283"/>
      <c r="D37" s="283"/>
    </row>
    <row r="38" spans="1:4">
      <c r="A38" s="283"/>
      <c r="B38" s="283"/>
      <c r="C38" s="283"/>
      <c r="D38" s="283"/>
    </row>
    <row r="39" spans="1:4" ht="15.75" customHeight="1">
      <c r="A39" s="285" t="str">
        <f>'Общие данные'!B5</f>
        <v>NUTFULLAYEV AKBARJON AXMEDOVICH</v>
      </c>
      <c r="B39" s="285"/>
      <c r="C39" s="285"/>
      <c r="D39" s="11" t="s">
        <v>4</v>
      </c>
    </row>
    <row r="40" spans="1:4">
      <c r="A40" s="10"/>
      <c r="B40" s="10"/>
      <c r="D40" s="12" t="s">
        <v>333</v>
      </c>
    </row>
    <row r="41" spans="1:4">
      <c r="A41" s="283"/>
      <c r="B41" s="283"/>
      <c r="C41" s="283"/>
      <c r="D41" s="283"/>
    </row>
    <row r="42" spans="1:4">
      <c r="A42" s="283"/>
      <c r="B42" s="283"/>
      <c r="C42" s="283"/>
      <c r="D42" s="283"/>
    </row>
    <row r="43" spans="1:4">
      <c r="A43" s="283"/>
      <c r="B43" s="283"/>
      <c r="C43" s="283"/>
      <c r="D43" s="283"/>
    </row>
    <row r="44" spans="1:4">
      <c r="A44" s="283"/>
      <c r="B44" s="283"/>
      <c r="C44" s="283"/>
      <c r="D44" s="283"/>
    </row>
    <row r="45" spans="1:4">
      <c r="A45" s="283"/>
      <c r="B45" s="283"/>
      <c r="C45" s="283"/>
      <c r="D45" s="283"/>
    </row>
    <row r="46" spans="1:4">
      <c r="A46" s="283"/>
      <c r="B46" s="283"/>
      <c r="C46" s="283"/>
      <c r="D46" s="283"/>
    </row>
    <row r="47" spans="1:4">
      <c r="A47" s="283"/>
      <c r="B47" s="283"/>
      <c r="C47" s="283"/>
      <c r="D47" s="283"/>
    </row>
    <row r="48" spans="1:4">
      <c r="A48" s="283"/>
      <c r="B48" s="283"/>
      <c r="C48" s="283"/>
      <c r="D48" s="283"/>
    </row>
    <row r="49" spans="1:4">
      <c r="A49" s="283"/>
      <c r="B49" s="283"/>
      <c r="C49" s="283"/>
      <c r="D49" s="283"/>
    </row>
    <row r="50" spans="1:4">
      <c r="A50" s="283"/>
      <c r="B50" s="283"/>
      <c r="C50" s="283"/>
      <c r="D50" s="283"/>
    </row>
    <row r="51" spans="1:4">
      <c r="A51" s="283"/>
      <c r="B51" s="283"/>
      <c r="C51" s="283"/>
      <c r="D51" s="283"/>
    </row>
    <row r="52" spans="1:4">
      <c r="A52" s="283"/>
      <c r="B52" s="283"/>
      <c r="C52" s="283"/>
      <c r="D52" s="283"/>
    </row>
    <row r="53" spans="1:4">
      <c r="A53" s="283"/>
      <c r="B53" s="283"/>
      <c r="C53" s="283"/>
      <c r="D53" s="283"/>
    </row>
    <row r="54" spans="1:4">
      <c r="A54" s="283"/>
      <c r="B54" s="283"/>
      <c r="C54" s="283"/>
      <c r="D54" s="283"/>
    </row>
    <row r="55" spans="1:4">
      <c r="A55" s="283"/>
      <c r="B55" s="283"/>
      <c r="C55" s="283"/>
      <c r="D55" s="283"/>
    </row>
    <row r="56" spans="1:4">
      <c r="A56" s="283"/>
      <c r="B56" s="283"/>
      <c r="C56" s="283"/>
      <c r="D56" s="283"/>
    </row>
    <row r="57" spans="1:4">
      <c r="A57" s="283"/>
      <c r="B57" s="283"/>
      <c r="C57" s="283"/>
      <c r="D57" s="283"/>
    </row>
    <row r="58" spans="1:4">
      <c r="A58" s="283"/>
      <c r="B58" s="283"/>
      <c r="C58" s="283"/>
      <c r="D58" s="283"/>
    </row>
    <row r="59" spans="1:4">
      <c r="A59" s="283"/>
      <c r="B59" s="283"/>
      <c r="C59" s="283"/>
      <c r="D59" s="283"/>
    </row>
    <row r="60" spans="1:4">
      <c r="A60" s="283"/>
      <c r="B60" s="283"/>
      <c r="C60" s="283"/>
      <c r="D60" s="283"/>
    </row>
    <row r="61" spans="1:4">
      <c r="A61" s="283"/>
      <c r="B61" s="283"/>
      <c r="C61" s="283"/>
      <c r="D61" s="283"/>
    </row>
    <row r="62" spans="1:4">
      <c r="A62" s="283"/>
      <c r="B62" s="283"/>
      <c r="C62" s="283"/>
      <c r="D62" s="283"/>
    </row>
    <row r="63" spans="1:4">
      <c r="A63" s="283"/>
      <c r="B63" s="283"/>
      <c r="C63" s="283"/>
      <c r="D63" s="283"/>
    </row>
    <row r="64" spans="1:4">
      <c r="A64" s="283"/>
      <c r="B64" s="283"/>
      <c r="C64" s="283"/>
      <c r="D64" s="283"/>
    </row>
    <row r="65" spans="1:4">
      <c r="A65" s="283"/>
      <c r="B65" s="283"/>
      <c r="C65" s="283"/>
      <c r="D65" s="283"/>
    </row>
    <row r="66" spans="1:4">
      <c r="A66" s="283"/>
      <c r="B66" s="283"/>
      <c r="C66" s="283"/>
      <c r="D66" s="283"/>
    </row>
    <row r="67" spans="1:4">
      <c r="A67" s="283"/>
      <c r="B67" s="283"/>
      <c r="C67" s="283"/>
      <c r="D67" s="283"/>
    </row>
    <row r="68" spans="1:4">
      <c r="A68" s="283"/>
      <c r="B68" s="283"/>
      <c r="C68" s="283"/>
      <c r="D68" s="283"/>
    </row>
    <row r="69" spans="1:4">
      <c r="A69" s="283"/>
      <c r="B69" s="283"/>
      <c r="C69" s="283"/>
      <c r="D69" s="283"/>
    </row>
    <row r="70" spans="1:4">
      <c r="A70" s="283"/>
      <c r="B70" s="283"/>
      <c r="C70" s="283"/>
      <c r="D70" s="283"/>
    </row>
    <row r="71" spans="1:4">
      <c r="A71" s="283"/>
      <c r="B71" s="283"/>
      <c r="C71" s="283"/>
      <c r="D71" s="283"/>
    </row>
    <row r="72" spans="1:4">
      <c r="A72" s="283"/>
      <c r="B72" s="283"/>
      <c r="C72" s="283"/>
      <c r="D72" s="283"/>
    </row>
    <row r="73" spans="1:4">
      <c r="A73" s="283"/>
      <c r="B73" s="283"/>
      <c r="C73" s="283"/>
      <c r="D73" s="283"/>
    </row>
    <row r="74" spans="1:4">
      <c r="A74" s="283"/>
      <c r="B74" s="283"/>
      <c r="C74" s="283"/>
      <c r="D74" s="283"/>
    </row>
    <row r="75" spans="1:4">
      <c r="A75" s="283"/>
      <c r="B75" s="283"/>
      <c r="C75" s="283"/>
      <c r="D75" s="283"/>
    </row>
    <row r="76" spans="1:4">
      <c r="A76" s="283"/>
      <c r="B76" s="283"/>
      <c r="C76" s="283"/>
      <c r="D76" s="283"/>
    </row>
    <row r="77" spans="1:4">
      <c r="A77" s="283"/>
      <c r="B77" s="283"/>
      <c r="C77" s="283"/>
      <c r="D77" s="283"/>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00B050"/>
  </sheetPr>
  <dimension ref="A3:B11"/>
  <sheetViews>
    <sheetView view="pageBreakPreview" zoomScale="85" zoomScaleNormal="100" zoomScaleSheetLayoutView="85" workbookViewId="0">
      <selection activeCell="I31" sqref="I31"/>
    </sheetView>
  </sheetViews>
  <sheetFormatPr defaultRowHeight="14.4"/>
  <cols>
    <col min="1" max="1" width="54.44140625" style="15" customWidth="1"/>
    <col min="2" max="2" width="32.33203125" style="15" customWidth="1"/>
  </cols>
  <sheetData>
    <row r="3" spans="1:2" ht="35.25" customHeight="1">
      <c r="A3" s="286" t="s">
        <v>215</v>
      </c>
      <c r="B3" s="286"/>
    </row>
    <row r="4" spans="1:2" ht="92.25" customHeight="1">
      <c r="A4" s="224"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-XT-sonli shartnomaning garov ta'minoti sifatida taqdim etilayotgan mulk CHANGAN CHANGAN SC 1027SB rusumli avtotransport vositasini qonunga xilof ravishda o‘zlashtirmaslikka, yashirmaslikka, nobud qilmaslikka yoki unga shikast yetkazmaslik majburiyatini olaman.</v>
      </c>
      <c r="B4" s="224"/>
    </row>
    <row r="5" spans="1:2" ht="56.25" customHeight="1">
      <c r="A5" s="287" t="s">
        <v>216</v>
      </c>
      <c r="B5" s="287"/>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00B050"/>
  </sheetPr>
  <dimension ref="A1:E59"/>
  <sheetViews>
    <sheetView view="pageBreakPreview" topLeftCell="A44" zoomScaleSheetLayoutView="100" workbookViewId="0">
      <selection activeCell="A51" sqref="A51:C51"/>
    </sheetView>
  </sheetViews>
  <sheetFormatPr defaultColWidth="9.109375" defaultRowHeight="13.8" outlineLevelRow="1"/>
  <cols>
    <col min="1" max="1" width="23.6640625" style="15" customWidth="1"/>
    <col min="2" max="5" width="17" style="15" customWidth="1"/>
    <col min="6" max="16384" width="9.109375" style="15"/>
  </cols>
  <sheetData>
    <row r="1" spans="1:5" ht="36" customHeight="1">
      <c r="A1" s="251" t="str">
        <f>""&amp;'Общие данные'!B147&amp;"
mikromoliya tashkilotining Xulosasi"</f>
        <v>«CLEVER MIKROMOLIYA TASHKILOTI» MChJ
mikromoliya tashkilotining Xulosasi</v>
      </c>
      <c r="B1" s="251"/>
      <c r="C1" s="251"/>
      <c r="D1" s="251"/>
      <c r="E1" s="251"/>
    </row>
    <row r="2" spans="1:5">
      <c r="A2" s="224"/>
      <c r="B2" s="224"/>
      <c r="C2" s="224"/>
      <c r="D2" s="224"/>
      <c r="E2" s="224"/>
    </row>
    <row r="3" spans="1:5">
      <c r="A3" s="251" t="s">
        <v>204</v>
      </c>
      <c r="B3" s="251"/>
      <c r="C3" s="251"/>
      <c r="D3" s="251"/>
      <c r="E3" s="251"/>
    </row>
    <row r="4" spans="1:5" ht="19.5" customHeight="1">
      <c r="A4" s="224" t="str">
        <f>"Mijozning to'liq ismi sharifi: "&amp;'Общие данные'!B5&amp;""</f>
        <v>Mijozning to'liq ismi sharifi: NUTFULLAYEV AKBARJON AXMEDOVICH</v>
      </c>
      <c r="B4" s="224"/>
      <c r="C4" s="224"/>
      <c r="D4" s="224"/>
      <c r="E4" s="224"/>
    </row>
    <row r="5" spans="1:5">
      <c r="A5" s="224" t="str">
        <f>"Tug'ilgan sanasi: "&amp;'Общие данные'!B15&amp;""</f>
        <v>Tug'ilgan sanasi: 14.09.1989 y</v>
      </c>
      <c r="B5" s="224"/>
      <c r="C5" s="224"/>
      <c r="D5" s="224"/>
      <c r="E5" s="224"/>
    </row>
    <row r="6" spans="1:5" ht="31.5" customHeight="1">
      <c r="A6" s="224"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24"/>
      <c r="C6" s="224"/>
      <c r="D6" s="224"/>
      <c r="E6" s="224"/>
    </row>
    <row r="7" spans="1:5" ht="39.75" customHeight="1">
      <c r="A7" s="224" t="str">
        <f>"Ro‘yxatdan o‘tgan manzili: "&amp;'Общие данные'!B28&amp;", mo'ljal: "&amp;'Общие данные'!B26&amp;""</f>
        <v>Ro‘yxatdan o‘tgan manzili: BUXORO VILOYATI BUXORO SHAHAR TADBIRKOR KO'CHASI 12-UY, mo'ljal: GOR VODAKANAL</v>
      </c>
      <c r="B7" s="224"/>
      <c r="C7" s="224"/>
      <c r="D7" s="224"/>
      <c r="E7" s="224"/>
    </row>
    <row r="8" spans="1:5" ht="26.25" customHeight="1">
      <c r="A8" s="224" t="str">
        <f>"Ish joyi: "&amp;'Общие данные'!B52&amp;" lavozimi "&amp;'Общие данные'!B49&amp;"da "&amp;'Общие данные'!B44&amp;""</f>
        <v>Ish joyi:  lavozimi Yakka tartibdagi tadbirkorda Yakka tartibdagi tadbirkor</v>
      </c>
      <c r="B8" s="224"/>
      <c r="C8" s="224"/>
      <c r="D8" s="224"/>
      <c r="E8" s="224"/>
    </row>
    <row r="9" spans="1:5">
      <c r="A9" s="224"/>
      <c r="B9" s="224"/>
      <c r="C9" s="224"/>
      <c r="D9" s="224"/>
      <c r="E9" s="224"/>
    </row>
    <row r="10" spans="1:5">
      <c r="A10" s="251" t="str">
        <f>"Mijoz tomonidan so’ralgan "&amp;'Общие данные'!B65&amp;" shartlari:"</f>
        <v>Mijoz tomonidan so’ralgan mikroqarz shartlari:</v>
      </c>
      <c r="B10" s="251"/>
      <c r="C10" s="251"/>
      <c r="D10" s="251"/>
      <c r="E10" s="251"/>
    </row>
    <row r="11" spans="1:5">
      <c r="A11" s="224" t="str">
        <f>'Кредитная заявка'!A13:D13</f>
        <v>Mikroqarz summasi: 27 000 000,00 (yigirma yetti million so'm) so'm.</v>
      </c>
      <c r="B11" s="224"/>
      <c r="C11" s="224"/>
      <c r="D11" s="224"/>
      <c r="E11" s="224"/>
    </row>
    <row r="12" spans="1:5">
      <c r="A12" s="224" t="str">
        <f>'Кредитная заявка'!A14:D14</f>
        <v>Mikroqarz muddati: 36 (o'ttiz olti) oy.</v>
      </c>
      <c r="B12" s="224"/>
      <c r="C12" s="224"/>
      <c r="D12" s="224"/>
      <c r="E12" s="224"/>
    </row>
    <row r="13" spans="1:5">
      <c r="A13" s="224" t="str">
        <f>'Кредитная заявка'!A15:D15</f>
        <v>Mikroqarzdan foydalanganlik uchun foiz stavkasi: yillik  60% (Oltmish) foiz</v>
      </c>
      <c r="B13" s="224"/>
      <c r="C13" s="224"/>
      <c r="D13" s="224"/>
      <c r="E13" s="224"/>
    </row>
    <row r="14" spans="1:5">
      <c r="A14" s="224" t="str">
        <f>'Кредитная заявка'!A16:D16</f>
        <v>Mikroqarz bo'yicha asosiy qarz va foizlarni to'lash:</v>
      </c>
      <c r="B14" s="224"/>
      <c r="C14" s="224"/>
      <c r="D14" s="224"/>
      <c r="E14" s="224"/>
    </row>
    <row r="15" spans="1:5" ht="18.75" customHeight="1">
      <c r="A15" s="224" t="str">
        <f>'Кредитная заявка'!A19:D19</f>
        <v xml:space="preserve"> - mikroqarz shartnomasi bo'yicha har oy differensial to'lovlari amalga oshiriladi</v>
      </c>
      <c r="B15" s="224"/>
      <c r="C15" s="224"/>
      <c r="D15" s="224"/>
      <c r="E15" s="224"/>
    </row>
    <row r="16" spans="1:5" ht="14.25" customHeight="1">
      <c r="A16" s="227" t="str">
        <f>'Кредитная заявка'!A20:D20</f>
        <v xml:space="preserve">   </v>
      </c>
      <c r="B16" s="227"/>
      <c r="C16" s="227"/>
      <c r="D16" s="227"/>
      <c r="E16" s="227"/>
    </row>
    <row r="17" spans="1:5">
      <c r="A17" s="224" t="str">
        <f>'Кредитная заявка'!A21:D21</f>
        <v>Mikroqarz ta’minoti::</v>
      </c>
      <c r="B17" s="224"/>
      <c r="C17" s="224"/>
      <c r="D17" s="224"/>
      <c r="E17" s="224"/>
    </row>
    <row r="18" spans="1:5" ht="83.25" customHeight="1">
      <c r="A18" s="224"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24"/>
      <c r="C18" s="224"/>
      <c r="D18" s="224"/>
      <c r="E18" s="224"/>
    </row>
    <row r="19" spans="1:5">
      <c r="A19" s="251" t="s">
        <v>205</v>
      </c>
      <c r="B19" s="251"/>
      <c r="C19" s="251"/>
      <c r="D19" s="251"/>
      <c r="E19" s="251"/>
    </row>
    <row r="20" spans="1:5" ht="21" customHeight="1">
      <c r="A20" s="224" t="str">
        <f>"Anketaga muvofiq "&amp;'Общие данные'!B9&amp;"ning o‘rtacha oylik daromadi  "&amp;FIXED('Общие данные'!B60)&amp;" so‘mni tashkil etdi."</f>
        <v>Anketaga muvofiq NUTFULLAYEV A.A.ning o‘rtacha oylik daromadi  10 000 000,00 so‘mni tashkil etdi.</v>
      </c>
      <c r="B20" s="224"/>
      <c r="C20" s="224"/>
      <c r="D20" s="224"/>
      <c r="E20" s="224"/>
    </row>
    <row r="21" spans="1:5" ht="27" customHeight="1">
      <c r="A21" s="224" t="str">
        <f>"Mijozning o'rtacha oylik xarajatlari "&amp;FIXED('Анкета Клиента'!F27)&amp;" so'mni tashkil etdi"</f>
        <v>Mijozning o'rtacha oylik xarajatlari 1 650 000,00 so'mni tashkil etdi</v>
      </c>
      <c r="B21" s="224"/>
      <c r="C21" s="224"/>
      <c r="D21" s="224"/>
      <c r="E21" s="224"/>
    </row>
    <row r="22" spans="1:5" ht="24.75" customHeight="1">
      <c r="A22" s="224" t="str">
        <f>IF('Общие данные'!B77='Общие данные'!C77,'Заключение КК'!A23:E23,'Заключение КК'!A24:E24)</f>
        <v>Mikroqarz shartnomasi bo'yicha birinchi oy uchun to'lov 2 051 917,76 so'mni tashkil etadi.</v>
      </c>
      <c r="B22" s="224"/>
      <c r="C22" s="224"/>
      <c r="D22" s="224"/>
      <c r="E22" s="224"/>
    </row>
    <row r="23" spans="1:5" ht="19.5" hidden="1" customHeight="1">
      <c r="A23" s="224" t="str">
        <f>""&amp;'Общие данные'!C64&amp;" shartnomasi bo'yicha birinchi oy uchun to'lov "&amp;FIXED('Общие данные'!B90)&amp;" so'mni tashkil etadi."</f>
        <v>Mikroqarz shartnomasi bo'yicha birinchi oy uchun to'lov 2 051 917,76 so'mni tashkil etadi.</v>
      </c>
      <c r="B23" s="224"/>
      <c r="C23" s="224"/>
      <c r="D23" s="224"/>
      <c r="E23" s="224"/>
    </row>
    <row r="24" spans="1:5" ht="19.5" hidden="1" customHeight="1">
      <c r="A24" s="224" t="str">
        <f>""&amp;'Общие данные'!C64&amp;" bo‘yicha oylik "&amp;'Общие данные'!B77&amp;" to‘lovi miqdori "&amp;FIXED('Общие данные'!B90)&amp;" so‘mni tashkil etadi."</f>
        <v>Mikroqarz bo‘yicha oylik differensial to‘lovi miqdori 2 051 917,76 so‘mni tashkil etadi.</v>
      </c>
      <c r="B24" s="224"/>
      <c r="C24" s="224"/>
      <c r="D24" s="224"/>
      <c r="E24" s="224"/>
    </row>
    <row r="25" spans="1:5" ht="56.25" hidden="1" customHeight="1">
      <c r="A25" s="227" t="s">
        <v>403</v>
      </c>
      <c r="B25" s="227"/>
      <c r="C25" s="227"/>
      <c r="D25" s="227"/>
      <c r="E25" s="227"/>
    </row>
    <row r="26" spans="1:5">
      <c r="A26" s="251" t="str">
        <f>""&amp;'Общие данные'!C64&amp;" bo’yicha ta’minot:"</f>
        <v>Mikroqarz bo’yicha ta’minot:</v>
      </c>
      <c r="B26" s="251"/>
      <c r="C26" s="251"/>
      <c r="D26" s="251"/>
      <c r="E26" s="251"/>
    </row>
    <row r="27" spans="1:5" ht="31.5" hidden="1" customHeight="1">
      <c r="A27" s="224"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24"/>
      <c r="C27" s="224"/>
      <c r="D27" s="224"/>
      <c r="E27" s="224"/>
    </row>
    <row r="28" spans="1:5" ht="67.5" hidden="1" customHeight="1">
      <c r="A28" s="224"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24"/>
      <c r="C28" s="224"/>
      <c r="D28" s="224"/>
      <c r="E28" s="224"/>
    </row>
    <row r="29" spans="1:5" ht="44.25" customHeight="1">
      <c r="A29" s="224"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24"/>
      <c r="C29" s="224"/>
      <c r="D29" s="224"/>
      <c r="E29" s="224"/>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24" t="str">
        <f>'Акт согласования'!A22</f>
        <v>-* avtotransport egasi: NUTFULLAYEV AKBARJON AXMEDOVICH</v>
      </c>
      <c r="B32" s="224"/>
      <c r="C32" s="224"/>
      <c r="D32" s="224"/>
      <c r="E32" s="224"/>
    </row>
    <row r="33" spans="1:5" ht="15" customHeight="1" outlineLevel="1">
      <c r="A33" s="224" t="str">
        <f>'Акт согласования'!A23</f>
        <v>-* texnik pasport: AAG   2346592  13.09.2023y</v>
      </c>
      <c r="B33" s="224"/>
      <c r="C33" s="224"/>
      <c r="D33" s="224"/>
      <c r="E33" s="224"/>
    </row>
    <row r="34" spans="1:5" ht="33" customHeight="1" outlineLevel="1">
      <c r="A34" s="224" t="str">
        <f>'Акт согласования'!A24</f>
        <v>-* roʻyxatdan oʻtgan manzili/garaj manzili: BUXORO VILOYATI BUXORO SHAHAR TADBIRKOR KO'CHASI 12-UY</v>
      </c>
      <c r="B34" s="224"/>
      <c r="C34" s="224"/>
      <c r="D34" s="224"/>
      <c r="E34" s="224"/>
    </row>
    <row r="35" spans="1:5" ht="15" customHeight="1" outlineLevel="1">
      <c r="A35" s="224" t="str">
        <f>'Акт согласования'!A25</f>
        <v>-* davlat raqami: 80T312WA</v>
      </c>
      <c r="B35" s="224"/>
      <c r="C35" s="224"/>
      <c r="D35" s="224"/>
      <c r="E35" s="224"/>
    </row>
    <row r="36" spans="1:5" ht="9" customHeight="1">
      <c r="A36" s="224"/>
      <c r="B36" s="224"/>
      <c r="C36" s="224"/>
      <c r="D36" s="224"/>
      <c r="E36" s="224"/>
    </row>
    <row r="37" spans="1:5" ht="39" customHeight="1">
      <c r="A37" s="251" t="str">
        <f>""&amp;'Общие данные'!B147&amp;"
mikromoliya tashkilotining Xulosasi"</f>
        <v>«CLEVER MIKROMOLIYA TASHKILOTI» MChJ
mikromoliya tashkilotining Xulosasi</v>
      </c>
      <c r="B37" s="251"/>
      <c r="C37" s="251"/>
      <c r="D37" s="251"/>
      <c r="E37" s="251"/>
    </row>
    <row r="38" spans="1:5" ht="48" customHeight="1">
      <c r="A38" s="224"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24"/>
      <c r="C38" s="224"/>
      <c r="D38" s="224"/>
      <c r="E38" s="224"/>
    </row>
    <row r="39" spans="1:5">
      <c r="A39" s="224" t="str">
        <f>A11</f>
        <v>Mikroqarz summasi: 27 000 000,00 (yigirma yetti million so'm) so'm.</v>
      </c>
      <c r="B39" s="224"/>
      <c r="C39" s="224"/>
      <c r="D39" s="224"/>
      <c r="E39" s="224"/>
    </row>
    <row r="40" spans="1:5">
      <c r="A40" s="224" t="str">
        <f t="shared" ref="A40:A46" si="0">A12</f>
        <v>Mikroqarz muddati: 36 (o'ttiz olti) oy.</v>
      </c>
      <c r="B40" s="224"/>
      <c r="C40" s="224"/>
      <c r="D40" s="224"/>
      <c r="E40" s="224"/>
    </row>
    <row r="41" spans="1:5">
      <c r="A41" s="224" t="str">
        <f t="shared" si="0"/>
        <v>Mikroqarzdan foydalanganlik uchun foiz stavkasi: yillik  60% (Oltmish) foiz</v>
      </c>
      <c r="B41" s="224"/>
      <c r="C41" s="224"/>
      <c r="D41" s="224"/>
      <c r="E41" s="224"/>
    </row>
    <row r="42" spans="1:5">
      <c r="A42" s="224" t="str">
        <f t="shared" si="0"/>
        <v>Mikroqarz bo'yicha asosiy qarz va foizlarni to'lash:</v>
      </c>
      <c r="B42" s="224"/>
      <c r="C42" s="224"/>
      <c r="D42" s="224"/>
      <c r="E42" s="224"/>
    </row>
    <row r="43" spans="1:5" ht="20.25" customHeight="1">
      <c r="A43" s="224" t="str">
        <f t="shared" si="0"/>
        <v xml:space="preserve"> - mikroqarz shartnomasi bo'yicha har oy differensial to'lovlari amalga oshiriladi</v>
      </c>
      <c r="B43" s="224"/>
      <c r="C43" s="224"/>
      <c r="D43" s="224"/>
      <c r="E43" s="224"/>
    </row>
    <row r="44" spans="1:5" ht="26.25" customHeight="1">
      <c r="A44" s="224" t="str">
        <f t="shared" si="0"/>
        <v xml:space="preserve">   </v>
      </c>
      <c r="B44" s="224"/>
      <c r="C44" s="224"/>
      <c r="D44" s="224"/>
      <c r="E44" s="224"/>
    </row>
    <row r="45" spans="1:5">
      <c r="A45" s="224" t="str">
        <f t="shared" si="0"/>
        <v>Mikroqarz ta’minoti::</v>
      </c>
      <c r="B45" s="224"/>
      <c r="C45" s="224"/>
      <c r="D45" s="224"/>
      <c r="E45" s="224"/>
    </row>
    <row r="46" spans="1:5" ht="72" customHeight="1">
      <c r="A46" s="224"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24"/>
      <c r="C46" s="224"/>
      <c r="D46" s="224"/>
      <c r="E46" s="224"/>
    </row>
    <row r="47" spans="1:5">
      <c r="A47" s="224"/>
      <c r="B47" s="224"/>
      <c r="C47" s="224"/>
      <c r="D47" s="224"/>
      <c r="E47" s="224"/>
    </row>
    <row r="48" spans="1:5" ht="36.75" customHeight="1">
      <c r="A48" s="224" t="str">
        <f>""&amp;'Общие данные'!B147&amp;" mikromoliya tashkilotining xulosasi  "&amp;TEXT('Общие данные'!B2,"ДД.ММ.ГГГГ")&amp;" y. tayyorlangan"</f>
        <v>«CLEVER MIKROMOLIYA TASHKILOTI» MChJ mikromoliya tashkilotining xulosasi  11.03.2025 y. tayyorlangan</v>
      </c>
      <c r="B48" s="224"/>
      <c r="C48" s="224"/>
      <c r="D48" s="224"/>
      <c r="E48" s="224"/>
    </row>
    <row r="49" spans="1:5">
      <c r="A49" s="224"/>
      <c r="B49" s="224"/>
      <c r="C49" s="224"/>
      <c r="D49" s="224"/>
      <c r="E49" s="224"/>
    </row>
    <row r="50" spans="1:5" ht="15.75" customHeight="1">
      <c r="A50" s="227"/>
      <c r="B50" s="227"/>
      <c r="C50" s="227"/>
      <c r="D50" s="22"/>
      <c r="E50" s="23"/>
    </row>
    <row r="51" spans="1:5" ht="35.25" customHeight="1">
      <c r="A51" s="227" t="str">
        <f>'Общие данные'!A161</f>
        <v>Xatirchi  filial boshlig'i</v>
      </c>
      <c r="B51" s="227"/>
      <c r="C51" s="227"/>
      <c r="D51" s="23"/>
      <c r="E51" s="23" t="str">
        <f>'Общие данные'!B161</f>
        <v>XAYRIYEV SH.B.</v>
      </c>
    </row>
    <row r="52" spans="1:5">
      <c r="A52" s="224"/>
      <c r="B52" s="224"/>
      <c r="C52" s="224"/>
      <c r="D52" s="224"/>
      <c r="E52" s="224"/>
    </row>
    <row r="53" spans="1:5" ht="47.25" customHeight="1">
      <c r="A53" s="224"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24"/>
      <c r="C53" s="224"/>
      <c r="D53" s="224"/>
      <c r="E53" s="224"/>
    </row>
    <row r="54" spans="1:5">
      <c r="A54" s="19"/>
      <c r="B54" s="19"/>
      <c r="C54" s="19"/>
      <c r="D54" s="19"/>
      <c r="E54" s="19"/>
    </row>
    <row r="55" spans="1:5">
      <c r="A55" s="227" t="s">
        <v>400</v>
      </c>
      <c r="B55" s="227"/>
      <c r="C55" s="19"/>
      <c r="D55" s="19"/>
      <c r="E55" s="19"/>
    </row>
    <row r="56" spans="1:5">
      <c r="A56" s="19"/>
      <c r="B56" s="19"/>
      <c r="C56" s="19"/>
      <c r="D56" s="19"/>
      <c r="E56" s="19"/>
    </row>
    <row r="57" spans="1:5">
      <c r="A57" s="227" t="str">
        <f>'Общие данные'!B160</f>
        <v>Jumanazarov B.T.</v>
      </c>
      <c r="B57" s="227"/>
      <c r="C57" s="22"/>
      <c r="D57" s="22"/>
      <c r="E57" s="22"/>
    </row>
    <row r="58" spans="1:5">
      <c r="A58" s="53"/>
      <c r="B58" s="53"/>
      <c r="C58" s="22"/>
      <c r="D58" s="22"/>
      <c r="E58" s="22"/>
    </row>
    <row r="59" spans="1:5" ht="21" customHeight="1">
      <c r="A59" s="224" t="str">
        <f>'Общие данные'!B159</f>
        <v>Mominov B.X.</v>
      </c>
      <c r="B59" s="224"/>
      <c r="C59" s="224"/>
      <c r="D59" s="224"/>
      <c r="E59" s="224"/>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00B050"/>
  </sheetPr>
  <dimension ref="A1:K132"/>
  <sheetViews>
    <sheetView view="pageBreakPreview" topLeftCell="A115" zoomScale="85" zoomScaleNormal="55" zoomScaleSheetLayoutView="85" workbookViewId="0">
      <selection activeCell="A5" sqref="A5:B5"/>
    </sheetView>
  </sheetViews>
  <sheetFormatPr defaultColWidth="9.109375" defaultRowHeight="15.6"/>
  <cols>
    <col min="1" max="1" width="50.44140625" style="6" customWidth="1"/>
    <col min="2" max="2" width="57.44140625" style="6" customWidth="1"/>
    <col min="3" max="3" width="93.33203125" style="6" customWidth="1"/>
    <col min="4" max="7" width="9.109375" style="6" customWidth="1"/>
    <col min="8" max="8" width="111.5546875" style="6" customWidth="1"/>
    <col min="9" max="16" width="9.109375" style="6" customWidth="1"/>
    <col min="17" max="16384" width="9.109375" style="6"/>
  </cols>
  <sheetData>
    <row r="1" spans="1:3">
      <c r="A1" s="288" t="str">
        <f>""&amp;'Общие данные'!C64&amp;" shartnoma "&amp;'Общие данные'!B66&amp;""</f>
        <v>Mikroqarz shartnoma № -XT</v>
      </c>
      <c r="B1" s="288"/>
    </row>
    <row r="3" spans="1:3">
      <c r="A3" s="288" t="str">
        <f>"Toshkent shahri                                                                               "&amp;'Общие данные'!B70&amp;""</f>
        <v>Toshkent shahri                                                                               11 mart 2025 y.</v>
      </c>
      <c r="B3" s="288"/>
    </row>
    <row r="4" spans="1:3">
      <c r="A4" s="66"/>
    </row>
    <row r="5" spans="1:3" ht="132.75" customHeight="1">
      <c r="A5" s="289"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Xatirchi  filial boshlig'i XAYRIYEV SH.B.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89"/>
    </row>
    <row r="7" spans="1:3">
      <c r="A7" s="288" t="s">
        <v>264</v>
      </c>
      <c r="B7" s="288"/>
    </row>
    <row r="8" spans="1:3" ht="51.75" customHeight="1">
      <c r="A8" s="289"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89"/>
    </row>
    <row r="9" spans="1:3" ht="36" customHeight="1">
      <c r="A9" s="289"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89"/>
    </row>
    <row r="10" spans="1:3">
      <c r="A10" s="32"/>
    </row>
    <row r="11" spans="1:3">
      <c r="A11" s="292" t="str">
        <f>"2. "&amp;'Общие данные'!D64&amp;" BERISH VA QAYTARISH TARTIBI"</f>
        <v>2. MIKROQARZ BERISH VA QAYTARISH TARTIBI</v>
      </c>
      <c r="B11" s="292"/>
      <c r="C11" s="64"/>
    </row>
    <row r="12" spans="1:3" ht="36" customHeight="1">
      <c r="A12" s="289"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89"/>
    </row>
    <row r="13" spans="1:3" ht="35.25" customHeight="1">
      <c r="A13" s="289"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89"/>
    </row>
    <row r="14" spans="1:3" ht="35.25" customHeight="1">
      <c r="A14" s="289"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89"/>
    </row>
    <row r="15" spans="1:3" ht="69.75" customHeight="1">
      <c r="A15" s="289"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89"/>
    </row>
    <row r="16" spans="1:3" ht="177.75" customHeight="1">
      <c r="A16" s="289" t="s">
        <v>332</v>
      </c>
      <c r="B16" s="289"/>
    </row>
    <row r="17" spans="1:11" ht="161.25" customHeight="1">
      <c r="A17" s="289"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89"/>
      <c r="C17" s="154" t="s">
        <v>337</v>
      </c>
      <c r="H17" s="6" t="str">
        <f>'Общие данные'!B65</f>
        <v>mikroqarz</v>
      </c>
      <c r="I17" s="6" t="s">
        <v>338</v>
      </c>
    </row>
    <row r="18" spans="1:11" ht="100.5" customHeight="1">
      <c r="A18" s="291" t="s">
        <v>377</v>
      </c>
      <c r="B18" s="291"/>
    </row>
    <row r="19" spans="1:11" ht="36" customHeight="1">
      <c r="A19" s="289"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89"/>
    </row>
    <row r="20" spans="1:11" ht="48.75" customHeight="1">
      <c r="A20" s="289"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89"/>
    </row>
    <row r="21" spans="1:11" ht="113.25" customHeight="1">
      <c r="A21" s="293"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93"/>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92" t="str">
        <f>"3. "&amp;'Общие данные'!D64&amp;" TA'MINOTI BO‘YICHA "</f>
        <v xml:space="preserve">3. MIKROQARZ TA'MINOTI BO‘YICHA </v>
      </c>
      <c r="B22" s="292"/>
    </row>
    <row r="23" spans="1:11" ht="19.5" customHeight="1">
      <c r="A23" s="289" t="str">
        <f>"3.1. Ushbu Shartnoma bo‘yicha taqdim etilgan "&amp;'Общие данные'!C64&amp;" quyidagi garov bilan ta'minlanadi:"</f>
        <v>3.1. Ushbu Shartnoma bo‘yicha taqdim etilgan Mikroqarz quyidagi garov bilan ta'minlanadi:</v>
      </c>
      <c r="B23" s="289"/>
    </row>
    <row r="24" spans="1:11" ht="151.5" customHeight="1">
      <c r="A24" s="290"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0"/>
    </row>
    <row r="25" spans="1:11" ht="129" hidden="1" customHeight="1">
      <c r="A25" s="289"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89"/>
    </row>
    <row r="26" spans="1:11" ht="129.75" hidden="1" customHeight="1">
      <c r="A26" s="290"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0"/>
    </row>
    <row r="27" spans="1:11" ht="131.25" hidden="1" customHeight="1">
      <c r="A27" s="28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89"/>
    </row>
    <row r="28" spans="1:11" ht="114" hidden="1" customHeight="1">
      <c r="A28" s="290"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0"/>
      <c r="K28" s="6" t="s">
        <v>329</v>
      </c>
    </row>
    <row r="29" spans="1:11" ht="114.75" hidden="1" customHeight="1">
      <c r="A29" s="290"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0"/>
    </row>
    <row r="30" spans="1:11" ht="115.5" hidden="1" customHeight="1">
      <c r="A30" s="295"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95"/>
    </row>
    <row r="31" spans="1:11" ht="117" customHeight="1">
      <c r="A31" s="29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94"/>
    </row>
    <row r="32" spans="1:11" ht="93.6"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294" t="s">
        <v>265</v>
      </c>
      <c r="B34" s="294"/>
    </row>
    <row r="35" spans="1:8" ht="84" customHeight="1">
      <c r="A35" s="294" t="s">
        <v>317</v>
      </c>
      <c r="B35" s="294"/>
    </row>
    <row r="37" spans="1:8">
      <c r="A37" s="297" t="s">
        <v>316</v>
      </c>
      <c r="B37" s="297"/>
      <c r="C37" s="75"/>
    </row>
    <row r="38" spans="1:8" ht="16.2">
      <c r="A38" s="296" t="s">
        <v>315</v>
      </c>
      <c r="B38" s="296"/>
    </row>
    <row r="39" spans="1:8" ht="114" customHeight="1">
      <c r="A39" s="294"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94"/>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294"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94"/>
    </row>
    <row r="41" spans="1:8">
      <c r="A41" s="294" t="s">
        <v>318</v>
      </c>
      <c r="B41" s="294"/>
    </row>
    <row r="42" spans="1:8" ht="33" customHeight="1">
      <c r="A42" s="294" t="str">
        <f>"b) "&amp;'Общие данные'!B65&amp;" summasiga hisoblanadigan asosiy qarz bo‘yicha muddati o‘tgan qarzdorlik va/yoki foizlarning yuzaga kelishi;"</f>
        <v>b) mikroqarz summasiga hisoblanadigan asosiy qarz bo‘yicha muddati o‘tgan qarzdorlik va/yoki foizlarning yuzaga kelishi;</v>
      </c>
      <c r="B42" s="294"/>
    </row>
    <row r="43" spans="1:8" ht="37.5" customHeight="1">
      <c r="A43" s="294" t="s">
        <v>319</v>
      </c>
      <c r="B43" s="294"/>
    </row>
    <row r="44" spans="1:8" ht="52.5" customHeight="1">
      <c r="A44" s="294" t="s">
        <v>320</v>
      </c>
      <c r="B44" s="294"/>
    </row>
    <row r="45" spans="1:8" ht="19.5" customHeight="1">
      <c r="A45" s="294" t="s">
        <v>321</v>
      </c>
      <c r="B45" s="294"/>
    </row>
    <row r="46" spans="1:8" ht="51.75" customHeight="1">
      <c r="A46" s="294"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94"/>
    </row>
    <row r="47" spans="1:8" ht="33.75" customHeight="1">
      <c r="A47" s="294" t="s">
        <v>314</v>
      </c>
      <c r="B47" s="294"/>
    </row>
    <row r="48" spans="1:8" ht="36.75" customHeight="1">
      <c r="A48" s="294" t="s">
        <v>313</v>
      </c>
      <c r="B48" s="294"/>
      <c r="C48" s="158"/>
    </row>
    <row r="49" spans="1:8" ht="100.5" customHeight="1">
      <c r="A49" s="289" t="s">
        <v>312</v>
      </c>
      <c r="B49" s="289"/>
      <c r="C49" s="158"/>
    </row>
    <row r="50" spans="1:8" ht="70.5" customHeight="1">
      <c r="A50" s="289" t="s">
        <v>311</v>
      </c>
      <c r="B50" s="289"/>
      <c r="C50" s="158"/>
    </row>
    <row r="51" spans="1:8" ht="39.75" customHeight="1">
      <c r="A51" s="289"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89"/>
      <c r="C51" s="158"/>
    </row>
    <row r="52" spans="1:8" ht="33" customHeight="1">
      <c r="A52" s="289" t="s">
        <v>322</v>
      </c>
      <c r="B52" s="289"/>
      <c r="C52" s="158"/>
    </row>
    <row r="53" spans="1:8" ht="39.75" customHeight="1">
      <c r="A53" s="289" t="s">
        <v>310</v>
      </c>
      <c r="B53" s="289"/>
      <c r="C53" s="158"/>
    </row>
    <row r="54" spans="1:8" ht="50.25" customHeight="1">
      <c r="A54" s="289"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89"/>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89" t="str">
        <f>"4.1.11. Oldingi "&amp;'Общие данные'!B65&amp;" to‘liq to‘lanmagunga qadar yangi "&amp;'Общие данные'!B65&amp;" berishni rad etish."</f>
        <v>4.1.11. Oldingi mikroqarz to‘liq to‘lanmagunga qadar yangi mikroqarz berishni rad etish.</v>
      </c>
      <c r="B55" s="289"/>
      <c r="C55" s="158"/>
    </row>
    <row r="57" spans="1:8">
      <c r="A57" s="292" t="s">
        <v>309</v>
      </c>
      <c r="B57" s="292"/>
      <c r="C57" s="157"/>
    </row>
    <row r="58" spans="1:8" ht="16.2">
      <c r="A58" s="298" t="s">
        <v>308</v>
      </c>
      <c r="B58" s="298"/>
      <c r="C58" s="159"/>
    </row>
    <row r="59" spans="1:8" ht="36" customHeight="1">
      <c r="A59" s="289"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89"/>
      <c r="C59" s="158"/>
    </row>
    <row r="60" spans="1:8" ht="36.75" customHeight="1">
      <c r="A60" s="289"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89"/>
      <c r="C60" s="158"/>
    </row>
    <row r="61" spans="1:8" ht="17.25" customHeight="1">
      <c r="A61" s="289" t="str">
        <f>"5.1.3. "&amp;'Общие данные'!C64&amp;" xizmatlari ko‘rsatish qoidalari bilan tanishish."</f>
        <v>5.1.3. Mikroqarz xizmatlari ko‘rsatish qoidalari bilan tanishish.</v>
      </c>
      <c r="B61" s="289"/>
      <c r="C61" s="158"/>
    </row>
    <row r="62" spans="1:8" ht="36" customHeight="1">
      <c r="A62" s="289"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89"/>
      <c r="C62" s="158"/>
    </row>
    <row r="63" spans="1:8" ht="33.75" customHeight="1">
      <c r="A63" s="289" t="s">
        <v>323</v>
      </c>
      <c r="B63" s="289"/>
      <c r="C63" s="158"/>
    </row>
    <row r="64" spans="1:8" ht="16.2">
      <c r="A64" s="298" t="s">
        <v>307</v>
      </c>
      <c r="B64" s="298"/>
      <c r="C64" s="159"/>
    </row>
    <row r="65" spans="1:8" ht="37.5" customHeight="1">
      <c r="A65" s="289"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89"/>
      <c r="C65" s="158"/>
    </row>
    <row r="66" spans="1:8" ht="39.75" customHeight="1">
      <c r="A66" s="289" t="s">
        <v>324</v>
      </c>
      <c r="B66" s="289"/>
      <c r="C66" s="158"/>
    </row>
    <row r="67" spans="1:8" ht="27" customHeight="1">
      <c r="A67" s="289" t="str">
        <f>"5.2.3. To‘lov jadvaliga muvofiq "&amp;'Общие данные'!B65&amp;", shuningdek hisoblangan foizlar to‘lovlarini amalga oshirish."</f>
        <v>5.2.3. To‘lov jadvaliga muvofiq mikroqarz, shuningdek hisoblangan foizlar to‘lovlarini amalga oshirish.</v>
      </c>
      <c r="B67" s="289"/>
      <c r="C67" s="158"/>
    </row>
    <row r="68" spans="1:8" ht="84" customHeight="1">
      <c r="A68" s="289"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89"/>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89" t="s">
        <v>325</v>
      </c>
      <c r="B69" s="289"/>
      <c r="C69" s="158"/>
    </row>
    <row r="70" spans="1:8" ht="36" customHeight="1">
      <c r="A70" s="289"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89"/>
      <c r="C70" s="158"/>
    </row>
    <row r="71" spans="1:8" ht="51.75" customHeight="1">
      <c r="A71" s="291" t="s">
        <v>343</v>
      </c>
      <c r="B71" s="291"/>
      <c r="C71" s="161"/>
    </row>
    <row r="72" spans="1:8" ht="71.25" customHeight="1">
      <c r="A72" s="289"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89"/>
      <c r="C72" s="158"/>
    </row>
    <row r="73" spans="1:8" ht="33.75" customHeight="1">
      <c r="A73" s="289"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89"/>
      <c r="C73" s="158"/>
      <c r="H73" s="6" t="s">
        <v>339</v>
      </c>
    </row>
    <row r="74" spans="1:8" ht="68.25" customHeight="1">
      <c r="A74" s="289"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89"/>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297" t="s">
        <v>306</v>
      </c>
      <c r="B76" s="297"/>
      <c r="C76" s="160"/>
    </row>
    <row r="77" spans="1:8" ht="98.25" customHeight="1">
      <c r="A77" s="289"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89"/>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89" t="s">
        <v>305</v>
      </c>
      <c r="B78" s="289"/>
      <c r="C78" s="158"/>
    </row>
    <row r="79" spans="1:8" ht="35.25" customHeight="1">
      <c r="A79" s="289" t="s">
        <v>304</v>
      </c>
      <c r="B79" s="289"/>
      <c r="C79" s="158"/>
    </row>
    <row r="80" spans="1:8" ht="33" customHeight="1">
      <c r="A80" s="289" t="s">
        <v>303</v>
      </c>
      <c r="B80" s="289"/>
      <c r="C80" s="158"/>
    </row>
    <row r="82" spans="1:3">
      <c r="A82" s="281" t="s">
        <v>302</v>
      </c>
      <c r="B82" s="281"/>
      <c r="C82" s="65"/>
    </row>
    <row r="83" spans="1:3" ht="162.75" customHeight="1">
      <c r="A83" s="289" t="s">
        <v>301</v>
      </c>
      <c r="B83" s="289"/>
      <c r="C83" s="158"/>
    </row>
    <row r="84" spans="1:3" ht="33.75" customHeight="1">
      <c r="A84" s="289" t="s">
        <v>346</v>
      </c>
      <c r="B84" s="289"/>
      <c r="C84" s="158"/>
    </row>
    <row r="85" spans="1:3" ht="51.75" customHeight="1">
      <c r="A85" s="289" t="s">
        <v>300</v>
      </c>
      <c r="B85" s="289"/>
      <c r="C85" s="158"/>
    </row>
    <row r="86" spans="1:3" ht="36" customHeight="1">
      <c r="A86" s="289" t="s">
        <v>299</v>
      </c>
      <c r="B86" s="289"/>
      <c r="C86" s="158"/>
    </row>
    <row r="88" spans="1:3">
      <c r="A88" s="281" t="s">
        <v>298</v>
      </c>
      <c r="B88" s="281"/>
      <c r="C88" s="65"/>
    </row>
    <row r="89" spans="1:3" ht="114.75" customHeight="1">
      <c r="A89" s="289" t="s">
        <v>360</v>
      </c>
      <c r="B89" s="289"/>
      <c r="C89" s="158"/>
    </row>
    <row r="90" spans="1:3" ht="36" customHeight="1">
      <c r="A90" s="289" t="s">
        <v>326</v>
      </c>
      <c r="B90" s="289"/>
      <c r="C90" s="158"/>
    </row>
    <row r="91" spans="1:3" ht="64.5" customHeight="1">
      <c r="A91" s="289"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89"/>
      <c r="C91" s="158"/>
    </row>
    <row r="93" spans="1:3">
      <c r="A93" s="299" t="s">
        <v>297</v>
      </c>
      <c r="B93" s="299"/>
      <c r="C93" s="73"/>
    </row>
    <row r="94" spans="1:3" ht="20.25" customHeight="1">
      <c r="A94" s="289" t="s">
        <v>296</v>
      </c>
      <c r="B94" s="289"/>
      <c r="C94" s="158"/>
    </row>
    <row r="95" spans="1:3" ht="33.75" customHeight="1">
      <c r="A95" s="289"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89"/>
      <c r="C95" s="158"/>
    </row>
    <row r="96" spans="1:3" ht="51" customHeight="1">
      <c r="A96" s="289" t="s">
        <v>295</v>
      </c>
      <c r="B96" s="289"/>
      <c r="C96" s="158"/>
    </row>
    <row r="98" spans="1:3">
      <c r="A98" s="292" t="s">
        <v>294</v>
      </c>
      <c r="B98" s="292"/>
      <c r="C98" s="64"/>
    </row>
    <row r="99" spans="1:3" ht="82.5" customHeight="1">
      <c r="A99" s="289" t="s">
        <v>293</v>
      </c>
      <c r="B99" s="289"/>
      <c r="C99" s="158"/>
    </row>
    <row r="100" spans="1:3" ht="66" customHeight="1">
      <c r="A100" s="289" t="s">
        <v>292</v>
      </c>
      <c r="B100" s="289"/>
      <c r="C100" s="158"/>
    </row>
    <row r="101" spans="1:3" ht="48" customHeight="1">
      <c r="A101" s="289" t="s">
        <v>291</v>
      </c>
      <c r="B101" s="289"/>
      <c r="C101" s="158"/>
    </row>
    <row r="103" spans="1:3">
      <c r="A103" s="281" t="s">
        <v>290</v>
      </c>
      <c r="B103" s="281"/>
      <c r="C103" s="144"/>
    </row>
    <row r="104" spans="1:3" ht="37.5" customHeight="1">
      <c r="A104" s="289" t="s">
        <v>289</v>
      </c>
      <c r="B104" s="289"/>
      <c r="C104" s="158"/>
    </row>
    <row r="105" spans="1:3" ht="34.5" customHeight="1">
      <c r="A105" s="289" t="s">
        <v>288</v>
      </c>
      <c r="B105" s="289"/>
      <c r="C105" s="158"/>
    </row>
    <row r="106" spans="1:3" ht="66.75" customHeight="1">
      <c r="A106" s="289" t="s">
        <v>287</v>
      </c>
      <c r="B106" s="289"/>
      <c r="C106" s="158"/>
    </row>
    <row r="107" spans="1:3" ht="51" customHeight="1">
      <c r="A107" s="289" t="s">
        <v>286</v>
      </c>
      <c r="B107" s="289"/>
      <c r="C107" s="158"/>
    </row>
    <row r="108" spans="1:3" ht="37.5" customHeight="1">
      <c r="A108" s="289" t="s">
        <v>285</v>
      </c>
      <c r="B108" s="289"/>
      <c r="C108" s="158"/>
    </row>
    <row r="109" spans="1:3" ht="38.25" customHeight="1">
      <c r="A109" s="289" t="s">
        <v>284</v>
      </c>
      <c r="B109" s="289"/>
      <c r="C109" s="158"/>
    </row>
    <row r="110" spans="1:3" ht="21" customHeight="1">
      <c r="A110" s="289" t="s">
        <v>283</v>
      </c>
      <c r="B110" s="289"/>
      <c r="C110" s="158"/>
    </row>
    <row r="111" spans="1:3" ht="32.25" customHeight="1">
      <c r="A111" s="289"/>
      <c r="B111" s="289"/>
      <c r="C111" s="158"/>
    </row>
    <row r="113" spans="1:3">
      <c r="A113" s="299" t="s">
        <v>327</v>
      </c>
      <c r="B113" s="299"/>
      <c r="C113" s="73"/>
    </row>
    <row r="115" spans="1:3">
      <c r="A115" s="74" t="s">
        <v>282</v>
      </c>
      <c r="B115" s="74" t="s">
        <v>281</v>
      </c>
    </row>
    <row r="117" spans="1:3" ht="31.2">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0" t="str">
        <f>'Общие данные'!A161</f>
        <v>Xatirchi  filial boshlig'i</v>
      </c>
    </row>
    <row r="127" spans="1:3">
      <c r="A127" s="300"/>
      <c r="B127" s="65" t="str">
        <f>""&amp;'Общие данные'!B7&amp;"     __________________"</f>
        <v>NUTFULLAYEV A.A.     __________________</v>
      </c>
    </row>
    <row r="129" spans="1:2">
      <c r="A129" s="144" t="str">
        <f>""&amp;'Общие данные'!B161&amp;"     __________________"</f>
        <v>XAYRIYEV SH.B.     __________________</v>
      </c>
      <c r="B129" s="172"/>
    </row>
    <row r="131" spans="1:2">
      <c r="B131" s="6" t="s">
        <v>399</v>
      </c>
    </row>
    <row r="132" spans="1:2" hidden="1">
      <c r="A132" s="6" t="str">
        <f>"менеджер :   "&amp;'Общие данные'!B161&amp;"______________"</f>
        <v>менеджер :   XAYRIYEV SH.B.______________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09375" defaultRowHeight="13.8" outlineLevelCol="1"/>
  <cols>
    <col min="1" max="1" width="9.109375" style="15"/>
    <col min="2" max="2" width="13.6640625" style="15" customWidth="1"/>
    <col min="3" max="3" width="20.109375" style="15" customWidth="1"/>
    <col min="4" max="4" width="20.33203125" style="15" customWidth="1"/>
    <col min="5" max="5" width="19.5546875" style="15" customWidth="1"/>
    <col min="6" max="6" width="18.33203125" style="15" customWidth="1"/>
    <col min="7" max="7" width="10.109375" style="15" customWidth="1" outlineLevel="1"/>
    <col min="8" max="8" width="19.6640625" style="15" customWidth="1"/>
    <col min="9" max="10" width="9.109375" style="15" customWidth="1"/>
    <col min="11" max="16384" width="9.109375" style="15"/>
  </cols>
  <sheetData>
    <row r="1" spans="1:16" ht="9" customHeight="1"/>
    <row r="2" spans="1:16" ht="6" customHeight="1">
      <c r="A2" s="37"/>
      <c r="B2" s="37"/>
      <c r="C2" s="37"/>
      <c r="D2" s="37"/>
      <c r="E2" s="254"/>
      <c r="F2" s="254"/>
      <c r="G2" s="20"/>
    </row>
    <row r="3" spans="1:16" ht="77.25" customHeight="1">
      <c r="A3" s="37"/>
      <c r="B3" s="37"/>
      <c r="C3" s="37"/>
      <c r="D3" s="37"/>
      <c r="E3" s="303" t="str">
        <f>""&amp;'Общие данные'!B74&amp;" 
"&amp;'Общие данные'!B65&amp;" shartnomasiga 
1 sonli ilova"</f>
        <v>11 mart 2025 y.dan № -XT 
mikroqarz shartnomasiga 
1 sonli ilova</v>
      </c>
      <c r="F3" s="303"/>
      <c r="G3" s="20"/>
    </row>
    <row r="4" spans="1:16" ht="6.75" customHeight="1">
      <c r="A4" s="37"/>
      <c r="B4" s="37"/>
      <c r="C4" s="37"/>
      <c r="D4" s="37"/>
      <c r="E4" s="37"/>
      <c r="F4" s="37"/>
    </row>
    <row r="5" spans="1:16">
      <c r="A5" s="255" t="s">
        <v>266</v>
      </c>
      <c r="B5" s="255"/>
      <c r="C5" s="255"/>
      <c r="D5" s="255"/>
      <c r="E5" s="255"/>
      <c r="F5" s="255"/>
    </row>
    <row r="6" spans="1:16" ht="7.5" customHeight="1"/>
    <row r="7" spans="1:16" ht="15" customHeight="1">
      <c r="A7" s="256" t="s">
        <v>15</v>
      </c>
      <c r="B7" s="257" t="s">
        <v>267</v>
      </c>
      <c r="C7" s="257" t="s">
        <v>268</v>
      </c>
      <c r="D7" s="258" t="s">
        <v>269</v>
      </c>
      <c r="E7" s="258"/>
      <c r="F7" s="258"/>
    </row>
    <row r="8" spans="1:16" s="16" customFormat="1">
      <c r="A8" s="256"/>
      <c r="B8" s="257"/>
      <c r="C8" s="257"/>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01" t="s">
        <v>378</v>
      </c>
      <c r="I12" s="301"/>
      <c r="J12" s="301"/>
      <c r="K12" s="301"/>
      <c r="L12" s="301"/>
      <c r="M12" s="301"/>
      <c r="N12" s="301"/>
      <c r="O12" s="301"/>
      <c r="P12" s="301"/>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01"/>
      <c r="I13" s="301"/>
      <c r="J13" s="301"/>
      <c r="K13" s="301"/>
      <c r="L13" s="301"/>
      <c r="M13" s="301"/>
      <c r="N13" s="301"/>
      <c r="O13" s="301"/>
      <c r="P13" s="301"/>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01"/>
      <c r="I14" s="301"/>
      <c r="J14" s="301"/>
      <c r="K14" s="301"/>
      <c r="L14" s="301"/>
      <c r="M14" s="301"/>
      <c r="N14" s="301"/>
      <c r="O14" s="301"/>
      <c r="P14" s="301"/>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01"/>
      <c r="I15" s="301"/>
      <c r="J15" s="301"/>
      <c r="K15" s="301"/>
      <c r="L15" s="301"/>
      <c r="M15" s="301"/>
      <c r="N15" s="301"/>
      <c r="O15" s="301"/>
      <c r="P15" s="301"/>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01"/>
      <c r="I16" s="301"/>
      <c r="J16" s="301"/>
      <c r="K16" s="301"/>
      <c r="L16" s="301"/>
      <c r="M16" s="301"/>
      <c r="N16" s="301"/>
      <c r="O16" s="301"/>
      <c r="P16" s="301"/>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01"/>
      <c r="I17" s="301"/>
      <c r="J17" s="301"/>
      <c r="K17" s="301"/>
      <c r="L17" s="301"/>
      <c r="M17" s="301"/>
      <c r="N17" s="301"/>
      <c r="O17" s="301"/>
      <c r="P17" s="301"/>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01"/>
      <c r="I18" s="301"/>
      <c r="J18" s="301"/>
      <c r="K18" s="301"/>
      <c r="L18" s="301"/>
      <c r="M18" s="301"/>
      <c r="N18" s="301"/>
      <c r="O18" s="301"/>
      <c r="P18" s="301"/>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01"/>
      <c r="I19" s="301"/>
      <c r="J19" s="301"/>
      <c r="K19" s="301"/>
      <c r="L19" s="301"/>
      <c r="M19" s="301"/>
      <c r="N19" s="301"/>
      <c r="O19" s="301"/>
      <c r="P19" s="301"/>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01"/>
      <c r="I20" s="301"/>
      <c r="J20" s="301"/>
      <c r="K20" s="301"/>
      <c r="L20" s="301"/>
      <c r="M20" s="301"/>
      <c r="N20" s="301"/>
      <c r="O20" s="301"/>
      <c r="P20" s="301"/>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01"/>
      <c r="I21" s="301"/>
      <c r="J21" s="301"/>
      <c r="K21" s="301"/>
      <c r="L21" s="301"/>
      <c r="M21" s="301"/>
      <c r="N21" s="301"/>
      <c r="O21" s="301"/>
      <c r="P21" s="301"/>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01"/>
      <c r="I22" s="301"/>
      <c r="J22" s="301"/>
      <c r="K22" s="301"/>
      <c r="L22" s="301"/>
      <c r="M22" s="301"/>
      <c r="N22" s="301"/>
      <c r="O22" s="301"/>
      <c r="P22" s="301"/>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01"/>
      <c r="I23" s="301"/>
      <c r="J23" s="301"/>
      <c r="K23" s="301"/>
      <c r="L23" s="301"/>
      <c r="M23" s="301"/>
      <c r="N23" s="301"/>
      <c r="O23" s="301"/>
      <c r="P23" s="301"/>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01"/>
      <c r="I24" s="301"/>
      <c r="J24" s="301"/>
      <c r="K24" s="301"/>
      <c r="L24" s="301"/>
      <c r="M24" s="301"/>
      <c r="N24" s="301"/>
      <c r="O24" s="301"/>
      <c r="P24" s="301"/>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24"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24"/>
      <c r="C47" s="224"/>
      <c r="D47" s="224"/>
      <c r="E47" s="224"/>
      <c r="F47" s="224"/>
    </row>
    <row r="48" spans="1:6" ht="7.5" customHeight="1"/>
    <row r="49" spans="1:6" ht="15" customHeight="1">
      <c r="A49" s="252" t="s">
        <v>273</v>
      </c>
      <c r="B49" s="252"/>
      <c r="C49" s="252"/>
      <c r="D49" s="252" t="s">
        <v>281</v>
      </c>
      <c r="E49" s="252"/>
      <c r="F49" s="252"/>
    </row>
    <row r="50" spans="1:6" ht="11.25" customHeight="1">
      <c r="A50" s="253"/>
      <c r="B50" s="253"/>
      <c r="C50" s="253"/>
      <c r="D50" s="253"/>
      <c r="E50" s="253"/>
      <c r="F50" s="253"/>
    </row>
    <row r="51" spans="1:6" ht="30" customHeight="1">
      <c r="A51" s="251" t="str">
        <f>договор!A117</f>
        <v>«CLEVER MIKROMOLIYA TASHKILOTI» MChJ</v>
      </c>
      <c r="B51" s="251"/>
      <c r="C51" s="251"/>
      <c r="D51" s="251" t="str">
        <f>договор!B117</f>
        <v>NUTFULLAYEV AKBARJON AXMEDOVICH</v>
      </c>
      <c r="E51" s="251"/>
      <c r="F51" s="251"/>
    </row>
    <row r="52" spans="1:6" ht="39" customHeight="1">
      <c r="A52" s="247" t="str">
        <f>договор!A119</f>
        <v>Manzil: Toshkent shahri, Olmazor tumani, Sagbon ko'chasi, 30 boshi berk, 6-uy</v>
      </c>
      <c r="B52" s="247"/>
      <c r="C52" s="247"/>
      <c r="D52" s="247" t="str">
        <f>договор!B119</f>
        <v>Manzil: BUXORO VILOYATI BUXORO SHAHAR TADBIRKOR KO'CHASI 12-UY</v>
      </c>
      <c r="E52" s="247"/>
      <c r="F52" s="247"/>
    </row>
    <row r="53" spans="1:6" ht="15" customHeight="1">
      <c r="A53" s="247" t="str">
        <f>договор!A120</f>
        <v>h/r: №20216000705068380001</v>
      </c>
      <c r="B53" s="247"/>
      <c r="C53" s="247"/>
      <c r="D53" s="247" t="str">
        <f>договор!B121</f>
        <v>pasport seriyasi: AA 9481167, BUXORO VILOYATI BUXORO SHAHAR IIB tomonidan 24.04.2015 yilda berilgan</v>
      </c>
      <c r="E53" s="247"/>
      <c r="F53" s="247"/>
    </row>
    <row r="54" spans="1:6" ht="32.25" customHeight="1">
      <c r="A54" s="247" t="str">
        <f>договор!A121</f>
        <v>MFO: №01042 в ATB “Kapitalbank” Sergeli filiali</v>
      </c>
      <c r="B54" s="247"/>
      <c r="C54" s="247"/>
      <c r="D54" s="247"/>
      <c r="E54" s="247"/>
      <c r="F54" s="247"/>
    </row>
    <row r="55" spans="1:6" ht="15" customHeight="1">
      <c r="A55" s="247" t="str">
        <f>договор!A122</f>
        <v>STIR: 306365847</v>
      </c>
      <c r="B55" s="247"/>
      <c r="C55" s="247"/>
      <c r="D55" s="247" t="str">
        <f>договор!B122</f>
        <v>Tel: 91 408 76 67  UZI</v>
      </c>
      <c r="E55" s="247"/>
      <c r="F55" s="247"/>
    </row>
    <row r="56" spans="1:6" ht="15" customHeight="1">
      <c r="A56" s="247" t="str">
        <f>договор!A123</f>
        <v>Tel: (78) 113 31 33</v>
      </c>
      <c r="B56" s="247"/>
      <c r="C56" s="247"/>
      <c r="D56" s="247" t="str">
        <f>договор!B123</f>
        <v>88 305 76 67 AYOLI</v>
      </c>
      <c r="E56" s="247"/>
      <c r="F56" s="247"/>
    </row>
    <row r="57" spans="1:6" ht="15" customHeight="1">
      <c r="A57" s="247" t="str">
        <f>договор!A124</f>
        <v>(78) 113 31 34</v>
      </c>
      <c r="B57" s="247"/>
      <c r="C57" s="247"/>
      <c r="D57" s="247" t="str">
        <f>договор!B124</f>
        <v>88 870 76 67 AKASI</v>
      </c>
      <c r="E57" s="247"/>
      <c r="F57" s="247"/>
    </row>
    <row r="58" spans="1:6" ht="23.25" customHeight="1">
      <c r="A58" s="247"/>
      <c r="B58" s="247"/>
      <c r="C58" s="247"/>
      <c r="D58" s="247" t="str">
        <f>IF(договор!B125=0,"",договор!B125)</f>
        <v/>
      </c>
      <c r="E58" s="247"/>
      <c r="F58" s="247"/>
    </row>
    <row r="59" spans="1:6" ht="29.25" customHeight="1">
      <c r="A59" s="302" t="str">
        <f>'Общие данные'!A161</f>
        <v>Xatirchi  filial boshlig'i</v>
      </c>
      <c r="B59" s="302"/>
      <c r="C59" s="302"/>
      <c r="D59" s="251" t="str">
        <f>договор!B127</f>
        <v>NUTFULLAYEV A.A.     __________________</v>
      </c>
      <c r="E59" s="251"/>
      <c r="F59" s="251"/>
    </row>
    <row r="60" spans="1:6" ht="15" customHeight="1">
      <c r="A60" s="247"/>
      <c r="B60" s="247"/>
      <c r="C60" s="247"/>
      <c r="D60" s="251"/>
      <c r="E60" s="251"/>
      <c r="F60" s="251"/>
    </row>
    <row r="61" spans="1:6">
      <c r="A61" s="302" t="str">
        <f>договор!A129</f>
        <v>XAYRIYEV SH.B.     __________________</v>
      </c>
      <c r="B61" s="302"/>
      <c r="C61" s="302"/>
      <c r="D61" s="251"/>
      <c r="E61" s="251"/>
      <c r="F61" s="251"/>
    </row>
    <row r="62" spans="1:6" ht="8.25" customHeight="1">
      <c r="A62" s="247"/>
      <c r="B62" s="247"/>
      <c r="C62" s="247"/>
      <c r="D62" s="247"/>
      <c r="E62" s="247"/>
      <c r="F62" s="247"/>
    </row>
    <row r="63" spans="1:6" ht="30" customHeight="1">
      <c r="A63" s="248"/>
      <c r="B63" s="248"/>
      <c r="C63" s="248"/>
      <c r="D63" s="249"/>
      <c r="E63" s="249"/>
      <c r="F63" s="249"/>
    </row>
    <row r="64" spans="1:6">
      <c r="A64" s="250"/>
      <c r="B64" s="250"/>
      <c r="C64" s="250"/>
      <c r="D64" s="250"/>
      <c r="E64" s="250"/>
      <c r="F64" s="250"/>
    </row>
    <row r="65" spans="1:6">
      <c r="A65" s="246"/>
      <c r="B65" s="246"/>
      <c r="C65" s="246"/>
      <c r="D65" s="246"/>
      <c r="E65" s="246"/>
      <c r="F65" s="246"/>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6" zeroHeight="1"/>
  <cols>
    <col min="1" max="1" width="33" style="6" customWidth="1"/>
    <col min="2" max="2" width="53.44140625" style="6" customWidth="1"/>
    <col min="3" max="16384" width="9.10937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Xatirchi  filial boshlig'i XAYRIYEV SH.B.ga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84"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84"/>
    </row>
    <row r="14" spans="1:2" ht="124.5" hidden="1" customHeight="1">
      <c r="A14" s="28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84"/>
    </row>
    <row r="15" spans="1:2" ht="116.25" hidden="1" customHeight="1">
      <c r="A15" s="28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84"/>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04" t="str">
        <f>IF('Общие данные'!B94='Общие данные'!D94,CONCATENATE(A24," ",A28,A22),"")</f>
        <v/>
      </c>
      <c r="B20" s="304"/>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tabColor rgb="FF00B050"/>
  </sheetPr>
  <dimension ref="A1:F64"/>
  <sheetViews>
    <sheetView view="pageBreakPreview" zoomScaleNormal="100" zoomScaleSheetLayoutView="100" workbookViewId="0">
      <selection activeCell="K74" sqref="K74"/>
    </sheetView>
  </sheetViews>
  <sheetFormatPr defaultColWidth="9.109375" defaultRowHeight="13.8" outlineLevelRow="1"/>
  <cols>
    <col min="1" max="1" width="28.44140625" style="15" customWidth="1"/>
    <col min="2" max="2" width="22.88671875" style="15" customWidth="1"/>
    <col min="3" max="3" width="22.44140625" style="15" customWidth="1"/>
    <col min="4" max="4" width="21.44140625" style="15" customWidth="1"/>
    <col min="5" max="5" width="25.109375" style="15" customWidth="1"/>
    <col min="6" max="16384" width="9.109375" style="15"/>
  </cols>
  <sheetData>
    <row r="1" spans="1:5" ht="106.5" customHeight="1"/>
    <row r="2" spans="1:5">
      <c r="A2" s="255" t="str">
        <f>"GAROV PREDMETI QIYMATINI KELISHISH 
№"&amp;'Общие данные'!B141&amp;" SONLI DALOLATNOMASI
 "</f>
        <v xml:space="preserve">GAROV PREDMETI QIYMATINI KELISHISH 
№1 SONLI DALOLATNOMASI
 </v>
      </c>
      <c r="B2" s="255"/>
      <c r="C2" s="255"/>
      <c r="D2" s="255"/>
      <c r="E2" s="255"/>
    </row>
    <row r="3" spans="1:5">
      <c r="A3" s="40"/>
      <c r="B3" s="40"/>
      <c r="C3" s="40"/>
      <c r="D3" s="40"/>
      <c r="E3" s="40"/>
    </row>
    <row r="4" spans="1:5">
      <c r="A4" s="37" t="s">
        <v>208</v>
      </c>
      <c r="B4" s="37"/>
      <c r="C4" s="37"/>
      <c r="D4" s="37"/>
      <c r="E4" s="37" t="str">
        <f>'Общие данные'!B142</f>
        <v>11 mart 2025 y.</v>
      </c>
    </row>
    <row r="5" spans="1:5" ht="9" customHeight="1">
      <c r="A5" s="224"/>
      <c r="B5" s="224"/>
      <c r="C5" s="224"/>
      <c r="D5" s="224"/>
      <c r="E5" s="224"/>
    </row>
    <row r="6" spans="1:5" ht="76.5" customHeight="1">
      <c r="A6" s="224" t="str">
        <f>IF('Общие данные'!B103="avtotransport",'Акт согласования'!A10:E10,'Акт согласования'!A7:E7)</f>
        <v>«CLEVER MIKROMOLIYA TASHKILOTI» MChJning (1-tomon) vakili bo‘lgan  Xatirchi  filial boshlig'i XAYRIYEV SH.B., O‘zbekiston Respublikasi fuqarosi va garovga beruvchi NUTFULLAYEV AKBARJON AXMEDOVICH (2-tomon) o’rtalarida, 11 mart 2025 y.dan № -XT-sonli Mikroqarz shartnomasiga muvofiq 1-tomon 2-tomonga berilgan mikroqarz bo‘yicha ta’minot sifatida taqdim etilgan, 2-tomonga mulk huquqi asosida tegishli bo‘lgan mulkning garov qiymatini kelishish muzokaralari o’tkazildi.</v>
      </c>
      <c r="B6" s="224"/>
      <c r="C6" s="224"/>
      <c r="D6" s="224"/>
      <c r="E6" s="224"/>
    </row>
    <row r="7" spans="1:5" ht="88.5" hidden="1" customHeight="1">
      <c r="A7" s="224" t="str">
        <f>IF('Общие данные'!B93="ha",'Акт согласования'!A9:E9,'Акт согласования'!A8:E8)</f>
        <v xml:space="preserve">«CLEVER MIKROMOLIYA TASHKILOTI» MChJning (1-tomon) vakili bo‘lgan  Xatirchi  filial boshlig'i XAYRIYEV SH.B., va O‘zbekiston Respublikasi fuqarosi  NUTFULLAYEV AKBARJON AXMEDOVICH (2-tomon) va garov egasi NUTFULLAYEV AKBARJON AXMEDOVICH (3-tomon) 11 mart 2025 y.dan № -XT Mikroqarz shartnomasiga muvofiq 1-tomon 2-tomonga berilgan mikroqarz bo‘yicha ta’minot sifatida taqdim etilgan, 2-tomonga mulk huquqi asosida tegishli bo‘lgan mulkning garov qiymatini kelishish muzokaralari o’tkazildi. </v>
      </c>
      <c r="B7" s="224"/>
      <c r="C7" s="224"/>
      <c r="D7" s="224"/>
      <c r="E7" s="224"/>
    </row>
    <row r="8" spans="1:5" ht="88.5" hidden="1" customHeight="1">
      <c r="A8" s="224"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Xatirchi  filial boshlig'i XAYRIYEV SH.B., va O‘zbekiston Respublikasi fuqarosi  NUTFULLAYEV AKBARJON AXMEDOVICH (2-tomon) va garov egasi NUTFULLAYEV AKBARJON AXMEDOVICH (3-tomon) 11 mart 2025 y.dan № -XT Mikroqarz shartnomasiga muvofiq 1-tomon 2-tomonga berilgan mikroqarz bo‘yicha ta’minot sifatida taqdim etilgan, 2-tomonga mulk huquqi asosida tegishli bo‘lgan mulkning garov qiymatini kelishish muzokaralari o’tkazildi. </v>
      </c>
      <c r="B8" s="224"/>
      <c r="C8" s="224"/>
      <c r="D8" s="224"/>
      <c r="E8" s="224"/>
    </row>
    <row r="9" spans="1:5" ht="88.5" hidden="1" customHeight="1">
      <c r="A9" s="224"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Xatirchi  filial boshlig'i XAYRIYEV SH.B., va O‘zbekiston Respublikasi fuqarosi  NUTFULLAYEV AKBARJON AXMEDOVICH (2-tomon) va garov egasi NUTFULLAYEV AKBARJON AXMEDOVICH (3-tomon) 11 mart 2025 y.dan № -XT Mikroqarz shartnomasiga muvofiq 1-tomon 2-tomonga berilgan mikroqarz bo‘yicha ta’minot sifatida taqdim etilgan, 2-tomonga mulk huquqi asosida tegishli bo‘lgan mulkning garov qiymatini kelishish muzokaralari o’tkazildi. </v>
      </c>
      <c r="B9" s="224"/>
      <c r="C9" s="224"/>
      <c r="D9" s="224"/>
      <c r="E9" s="224"/>
    </row>
    <row r="10" spans="1:5" ht="88.5" hidden="1" customHeight="1">
      <c r="A10" s="224" t="str">
        <f>IF('Общие данные'!B93="ha",'Акт согласования'!A12:E12,'Акт согласования'!A11:E11)</f>
        <v>«CLEVER MIKROMOLIYA TASHKILOTI» MChJning (1-tomon) vakili bo‘lgan  Xatirchi  filial boshlig'i XAYRIYEV SH.B., O‘zbekiston Respublikasi fuqarosi va garovga beruvchi NUTFULLAYEV AKBARJON AXMEDOVICH (2-tomon) o’rtalarida, 11 mart 2025 y.dan № -XT-sonli Mikroqarz shartnomasiga muvofiq 1-tomon 2-tomonga berilgan mikroqarz bo‘yicha ta’minot sifatida taqdim etilgan, 2-tomonga mulk huquqi asosida tegishli bo‘lgan mulkning garov qiymatini kelishish muzokaralari o’tkazildi.</v>
      </c>
      <c r="B10" s="224"/>
      <c r="C10" s="224"/>
      <c r="D10" s="224"/>
      <c r="E10" s="224"/>
    </row>
    <row r="11" spans="1:5" ht="88.5" hidden="1" customHeight="1">
      <c r="A11" s="224"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Xatirchi  filial boshlig'i XAYRIYEV SH.B., O‘zbekiston Respublikasi fuqarosi NUTFULLAYEV AKBARJON AXMEDOVICH (2-tomon) va garovga beruvchi O‘zbekiston Respublikasi fuqarosi NUTFULLAYEV AKBARJON AXMEDOVICH (3-tomon) o’rtalarida, 11 mart 2025 y.dan № -XT-sonli Mikroqarz shartnomasiga muvofiq 1-tomon 2-tomonga berilgan mikroqarz bo‘yicha ta’minot sifatida taqdim etilgan, 3-tomonga mulk huquqi asosida tegishli bo‘lgan mulkning garov qiymatini kelishish muzokaralari o’tkazildi.</v>
      </c>
      <c r="B11" s="224"/>
      <c r="C11" s="224"/>
      <c r="D11" s="224"/>
      <c r="E11" s="224"/>
    </row>
    <row r="12" spans="1:5" ht="88.5" hidden="1" customHeight="1">
      <c r="A12" s="224"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Xatirchi  filial boshlig'i XAYRIYEV SH.B., O‘zbekiston Respublikasi fuqarosi va garovga beruvchi NUTFULLAYEV AKBARJON AXMEDOVICH (2-tomon) o’rtalarida, 11 mart 2025 y.dan № -XT-sonli Mikroqarz shartnomasiga muvofiq 1-tomon 2-tomonga berilgan mikroqarz bo‘yicha ta’minot sifatida taqdim etilgan, 2-tomonga mulk huquqi asosida tegishli bo‘lgan mulkning garov qiymatini kelishish muzokaralari o’tkazildi.</v>
      </c>
      <c r="B12" s="224"/>
      <c r="C12" s="224"/>
      <c r="D12" s="224"/>
      <c r="E12" s="224"/>
    </row>
    <row r="13" spans="1:5" ht="88.5" hidden="1" customHeight="1">
      <c r="A13" s="224"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24"/>
      <c r="C13" s="224"/>
      <c r="D13" s="224"/>
      <c r="E13" s="224"/>
    </row>
    <row r="14" spans="1:5" ht="88.5" hidden="1" customHeight="1">
      <c r="A14" s="224"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24"/>
      <c r="C14" s="224"/>
      <c r="D14" s="224"/>
      <c r="E14" s="224"/>
    </row>
    <row r="15" spans="1:5" ht="88.5" hidden="1" customHeight="1">
      <c r="A15" s="224"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24"/>
      <c r="C15" s="224"/>
      <c r="D15" s="224"/>
      <c r="E15" s="224"/>
    </row>
    <row r="16" spans="1:5" ht="88.5" hidden="1" customHeight="1">
      <c r="A16" s="224"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24"/>
      <c r="C16" s="224"/>
      <c r="D16" s="224"/>
      <c r="E16" s="224"/>
    </row>
    <row r="17" spans="1:5" ht="13.5" hidden="1" customHeight="1">
      <c r="A17" s="224"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24"/>
      <c r="C17" s="224"/>
      <c r="D17" s="224"/>
      <c r="E17" s="224"/>
    </row>
    <row r="18" spans="1:5" ht="11.25" hidden="1" customHeight="1">
      <c r="A18" s="224" t="str">
        <f>IF('Общие данные'!B93="ha",'Акт согласования'!A16:E16,'Акт согласования'!A17:E17)</f>
        <v>Garov predmeti sifatida 3 - xonali yakka tartibdagi uy-joy, 2-tomonga egalik huquqi tegishli bo'lgan, quyidagi tafsilotlarga ega ko'chmas mulk taqdim etiladi:</v>
      </c>
      <c r="B18" s="224"/>
      <c r="C18" s="224"/>
      <c r="D18" s="224"/>
      <c r="E18" s="224"/>
    </row>
    <row r="19" spans="1:5" ht="32.25" customHeight="1">
      <c r="A19" s="224"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24"/>
      <c r="C19" s="224"/>
      <c r="D19" s="224"/>
      <c r="E19" s="224"/>
    </row>
    <row r="20" spans="1:5" ht="48" customHeight="1" outlineLevel="1">
      <c r="A20" s="39" t="s">
        <v>206</v>
      </c>
      <c r="B20" s="305" t="str">
        <f>IF('Общие данные'!B103='Общие данные'!C103,"Kuzov turi  va kuzov raqami*","Foydali maydoni")</f>
        <v>Kuzov turi  va kuzov raqami*</v>
      </c>
      <c r="C20" s="306"/>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7" t="str">
        <f>IF('Общие данные'!B103='Общие данные'!C103,'Общие данные'!B127,CONCATENATE('Общие данные'!F130," ","kv.m"))</f>
        <v>kuzov turi - YUK BORTLI TENT, kuzov raqami LSCAB23D8EG228387</v>
      </c>
      <c r="C21" s="257"/>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24" t="str">
        <f>"-* "&amp;IF('Общие данные'!B103='Общие данные'!C103,"avtotransport "&amp;"egasi: "&amp;'Общие данные'!B117&amp;"","ko'chmas mulk"&amp;" egasi: "&amp;'Общие данные'!B117&amp;"")</f>
        <v>-* avtotransport egasi: NUTFULLAYEV AKBARJON AXMEDOVICH</v>
      </c>
      <c r="B22" s="224"/>
      <c r="C22" s="224"/>
      <c r="D22" s="224"/>
      <c r="E22" s="224"/>
    </row>
    <row r="23" spans="1:5" outlineLevel="1">
      <c r="A23" s="224" t="str">
        <f>IF('Общие данные'!B103='Общие данные'!C103,"-* texnik pasport: "&amp;'Общие данные'!B124&amp;"","-* reest raqami: "&amp;'Общие данные'!C124&amp;"")</f>
        <v>-* texnik pasport: AAG   2346592  13.09.2023y</v>
      </c>
      <c r="B23" s="224"/>
      <c r="C23" s="224"/>
      <c r="D23" s="224"/>
      <c r="E23" s="224"/>
    </row>
    <row r="24" spans="1:5" s="182" customFormat="1" outlineLevel="1">
      <c r="A24" s="224"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24"/>
      <c r="C24" s="224"/>
      <c r="D24" s="224"/>
      <c r="E24" s="224"/>
    </row>
    <row r="25" spans="1:5" ht="27" customHeight="1" outlineLevel="1">
      <c r="A25" s="224" t="str">
        <f>IF('Общие данные'!B103='Общие данные'!C103,"-* davlat raqami: "&amp;'Общие данные'!B126&amp;"","-* manzili: "&amp;'Общие данные'!C123&amp;"")</f>
        <v>-* davlat raqami: 80T312WA</v>
      </c>
      <c r="B25" s="224"/>
      <c r="C25" s="224"/>
      <c r="D25" s="224"/>
      <c r="E25" s="224"/>
    </row>
    <row r="26" spans="1:5" ht="65.25" customHeight="1">
      <c r="A26" s="224"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-XT Mikroqarz shartnomasi bo‘yicha berilgan mikroqarz bo‘yicha  
40 500 000,00 (qirq million besh yuz ming so'm) so’m bo‘lgan kelishilgan garov qiymatida qabul qiladi::</v>
      </c>
      <c r="B26" s="224"/>
      <c r="C26" s="224"/>
      <c r="D26" s="224"/>
      <c r="E26" s="224"/>
    </row>
    <row r="27" spans="1:5" ht="66" hidden="1" customHeight="1">
      <c r="A27" s="224"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-XT mikroqarz shartnomasi bo‘yicha berilgan mikroqarz bo‘yicha  
40 500 000,00 (qirq million besh yuz ming so'm) so’m bo‘lgan kelishilgan garov qiymatida qabul qiladi::</v>
      </c>
      <c r="B27" s="224"/>
      <c r="C27" s="224"/>
      <c r="D27" s="224"/>
      <c r="E27" s="224"/>
    </row>
    <row r="28" spans="1:5" ht="58.5" hidden="1" customHeight="1">
      <c r="A28" s="224"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-XT Mikroqarz shartnomasi bo‘yicha berilgan mikroqarz bo‘yicha  
40 500 000,00 (qirq million besh yuz ming so'm) so’m bo‘lgan kelishilgan garov qiymatida qabul qiladi::</v>
      </c>
      <c r="B28" s="224"/>
      <c r="C28" s="224"/>
      <c r="D28" s="224"/>
      <c r="E28" s="224"/>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08" t="str">
        <f>""&amp;FIXED('Общие данные'!C136,2)&amp;" ("&amp;'Общие данные'!B137&amp;")"</f>
        <v>40 500 000,00 (qirq million besh yuz ming so'm)</v>
      </c>
    </row>
    <row r="34" spans="1:5" ht="15.75" hidden="1" customHeight="1" outlineLevel="1">
      <c r="A34" s="17"/>
      <c r="B34" s="111"/>
      <c r="C34" s="111"/>
      <c r="D34" s="111"/>
      <c r="E34" s="309"/>
    </row>
    <row r="35" spans="1:5" ht="15.75" hidden="1" customHeight="1" outlineLevel="1">
      <c r="A35" s="17" t="e">
        <f>#REF!</f>
        <v>#REF!</v>
      </c>
      <c r="B35" s="111" t="e">
        <f>#REF!</f>
        <v>#REF!</v>
      </c>
      <c r="C35" s="111" t="e">
        <f>#REF!</f>
        <v>#REF!</v>
      </c>
      <c r="D35" s="111" t="e">
        <f>#REF!</f>
        <v>#REF!</v>
      </c>
      <c r="E35" s="309"/>
    </row>
    <row r="36" spans="1:5" ht="15.75" hidden="1" customHeight="1" outlineLevel="1">
      <c r="A36" s="17" t="e">
        <f>#REF!</f>
        <v>#REF!</v>
      </c>
      <c r="B36" s="111" t="e">
        <f>#REF!</f>
        <v>#REF!</v>
      </c>
      <c r="C36" s="111" t="e">
        <f>#REF!</f>
        <v>#REF!</v>
      </c>
      <c r="D36" s="111" t="e">
        <f>#REF!</f>
        <v>#REF!</v>
      </c>
      <c r="E36" s="309"/>
    </row>
    <row r="37" spans="1:5" ht="15.75" hidden="1" customHeight="1" outlineLevel="1">
      <c r="A37" s="17" t="e">
        <f>#REF!</f>
        <v>#REF!</v>
      </c>
      <c r="B37" s="111" t="e">
        <f>#REF!</f>
        <v>#REF!</v>
      </c>
      <c r="C37" s="111" t="e">
        <f>#REF!</f>
        <v>#REF!</v>
      </c>
      <c r="D37" s="111" t="e">
        <f>#REF!</f>
        <v>#REF!</v>
      </c>
      <c r="E37" s="309"/>
    </row>
    <row r="38" spans="1:5" ht="15.75" hidden="1" customHeight="1" outlineLevel="1">
      <c r="A38" s="17" t="e">
        <f>#REF!</f>
        <v>#REF!</v>
      </c>
      <c r="B38" s="111" t="e">
        <f>#REF!</f>
        <v>#REF!</v>
      </c>
      <c r="C38" s="111" t="e">
        <f>#REF!</f>
        <v>#REF!</v>
      </c>
      <c r="D38" s="111" t="e">
        <f>#REF!</f>
        <v>#REF!</v>
      </c>
      <c r="E38" s="309"/>
    </row>
    <row r="39" spans="1:5" ht="15.75" hidden="1" customHeight="1" outlineLevel="1">
      <c r="A39" s="17" t="e">
        <f>#REF!</f>
        <v>#REF!</v>
      </c>
      <c r="B39" s="111" t="e">
        <f>#REF!</f>
        <v>#REF!</v>
      </c>
      <c r="C39" s="111" t="e">
        <f>#REF!</f>
        <v>#REF!</v>
      </c>
      <c r="D39" s="111" t="e">
        <f>#REF!</f>
        <v>#REF!</v>
      </c>
      <c r="E39" s="309"/>
    </row>
    <row r="40" spans="1:5" ht="15.75" hidden="1" customHeight="1" outlineLevel="1">
      <c r="A40" s="17" t="e">
        <f>#REF!</f>
        <v>#REF!</v>
      </c>
      <c r="B40" s="111" t="e">
        <f>#REF!</f>
        <v>#REF!</v>
      </c>
      <c r="C40" s="111" t="e">
        <f>#REF!</f>
        <v>#REF!</v>
      </c>
      <c r="D40" s="111" t="e">
        <f>#REF!</f>
        <v>#REF!</v>
      </c>
      <c r="E40" s="309"/>
    </row>
    <row r="41" spans="1:5" ht="15.75" hidden="1" customHeight="1" outlineLevel="1">
      <c r="A41" s="17" t="e">
        <f>#REF!</f>
        <v>#REF!</v>
      </c>
      <c r="B41" s="111" t="e">
        <f>#REF!</f>
        <v>#REF!</v>
      </c>
      <c r="C41" s="111" t="e">
        <f>#REF!</f>
        <v>#REF!</v>
      </c>
      <c r="D41" s="111" t="e">
        <f>#REF!</f>
        <v>#REF!</v>
      </c>
      <c r="E41" s="309"/>
    </row>
    <row r="42" spans="1:5" ht="15.75" hidden="1" customHeight="1" outlineLevel="1">
      <c r="A42" s="17" t="e">
        <f>#REF!</f>
        <v>#REF!</v>
      </c>
      <c r="B42" s="111" t="e">
        <f>#REF!</f>
        <v>#REF!</v>
      </c>
      <c r="C42" s="111" t="e">
        <f>#REF!</f>
        <v>#REF!</v>
      </c>
      <c r="D42" s="111" t="e">
        <f>#REF!</f>
        <v>#REF!</v>
      </c>
      <c r="E42" s="309"/>
    </row>
    <row r="43" spans="1:5" ht="15.75" hidden="1" customHeight="1" outlineLevel="1">
      <c r="A43" s="17" t="e">
        <f>#REF!</f>
        <v>#REF!</v>
      </c>
      <c r="B43" s="17" t="e">
        <f>#REF!</f>
        <v>#REF!</v>
      </c>
      <c r="C43" s="17" t="e">
        <f>#REF!</f>
        <v>#REF!</v>
      </c>
      <c r="D43" s="17" t="e">
        <f>#REF!</f>
        <v>#REF!</v>
      </c>
      <c r="E43" s="310"/>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24"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24"/>
      <c r="C46" s="224"/>
      <c r="D46" s="224"/>
      <c r="E46" s="224"/>
    </row>
    <row r="47" spans="1:5" ht="42" customHeight="1">
      <c r="A47" s="224" t="s">
        <v>211</v>
      </c>
      <c r="B47" s="224"/>
      <c r="C47" s="224"/>
      <c r="D47" s="224"/>
      <c r="E47" s="224"/>
    </row>
    <row r="48" spans="1:5" ht="35.25" customHeight="1">
      <c r="A48" s="224"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24"/>
      <c r="C48" s="224"/>
      <c r="D48" s="224"/>
      <c r="E48" s="224"/>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02" t="s">
        <v>212</v>
      </c>
      <c r="B50" s="302"/>
      <c r="C50" s="302"/>
      <c r="D50" s="22"/>
      <c r="E50" s="22"/>
    </row>
    <row r="51" spans="1:6">
      <c r="A51" s="227" t="str">
        <f>'Общие данные'!B148</f>
        <v>«CLEVER MIKROMOLIYA TASHKILOTI» MChJ</v>
      </c>
      <c r="B51" s="227"/>
      <c r="C51" s="227"/>
      <c r="D51" s="167"/>
      <c r="E51" s="167"/>
    </row>
    <row r="52" spans="1:6" ht="15" customHeight="1">
      <c r="A52" s="227" t="str">
        <f>""&amp;'Общие данные'!A150&amp;""</f>
        <v>Xatirchi  filial boshlig'i</v>
      </c>
      <c r="B52" s="227"/>
      <c r="C52" s="227"/>
      <c r="D52" s="302" t="str">
        <f>"_______________   "&amp;'Общие данные'!B150&amp;""</f>
        <v>_______________   XAYRIYEV SH.B.</v>
      </c>
      <c r="E52" s="302"/>
    </row>
    <row r="53" spans="1:6">
      <c r="A53" s="53"/>
      <c r="B53" s="53"/>
      <c r="C53" s="53"/>
      <c r="D53" s="53"/>
      <c r="E53" s="53"/>
    </row>
    <row r="54" spans="1:6">
      <c r="A54" s="302"/>
      <c r="B54" s="302"/>
      <c r="C54" s="302"/>
      <c r="D54" s="53"/>
      <c r="E54" s="53"/>
    </row>
    <row r="55" spans="1:6" hidden="1">
      <c r="A55" s="227" t="s">
        <v>47</v>
      </c>
      <c r="B55" s="227"/>
      <c r="C55" s="227"/>
      <c r="D55" s="53"/>
      <c r="E55" s="53"/>
    </row>
    <row r="56" spans="1:6" hidden="1">
      <c r="A56" s="227" t="str">
        <f>'Общие данные'!B148</f>
        <v>«CLEVER MIKROMOLIYA TASHKILOTI» MChJ</v>
      </c>
      <c r="B56" s="227"/>
      <c r="C56" s="227"/>
      <c r="D56" s="227" t="str">
        <f>"_______________   "&amp;'Общие данные'!B159&amp;""</f>
        <v>_______________   Mominov B.X.</v>
      </c>
      <c r="E56" s="227"/>
    </row>
    <row r="57" spans="1:6" ht="12.75" customHeight="1">
      <c r="A57" s="227"/>
      <c r="B57" s="227"/>
      <c r="C57" s="227"/>
      <c r="D57" s="227"/>
      <c r="E57" s="227"/>
    </row>
    <row r="58" spans="1:6">
      <c r="A58" s="302" t="s">
        <v>213</v>
      </c>
      <c r="B58" s="302"/>
      <c r="C58" s="302"/>
      <c r="D58" s="227"/>
      <c r="E58" s="227"/>
    </row>
    <row r="59" spans="1:6" ht="31.5" customHeight="1">
      <c r="A59" s="227" t="s">
        <v>214</v>
      </c>
      <c r="B59" s="227"/>
      <c r="C59" s="227"/>
      <c r="D59" s="302" t="str">
        <f>"_______________  "&amp;'Общие данные'!B7&amp;""</f>
        <v>_______________  NUTFULLAYEV A.A.</v>
      </c>
      <c r="E59" s="302"/>
    </row>
    <row r="60" spans="1:6" ht="12.75" customHeight="1">
      <c r="A60" s="227"/>
      <c r="B60" s="227"/>
      <c r="C60" s="227"/>
      <c r="D60" s="307" t="str">
        <f>IF('Общие данные'!B93="да","",'Общие данные'!B118)</f>
        <v>NUTFULLAYEV A.A.</v>
      </c>
      <c r="E60" s="307"/>
    </row>
    <row r="61" spans="1:6" ht="17.25" hidden="1" customHeight="1">
      <c r="A61" s="302" t="str">
        <f>+IF('Общие данные'!B93="ha"," ","3-tomondan:")</f>
        <v xml:space="preserve"> </v>
      </c>
      <c r="B61" s="302"/>
      <c r="C61" s="302"/>
      <c r="D61" s="302"/>
      <c r="E61" s="302"/>
      <c r="F61" s="15" t="str">
        <f>IF('Общие данные'!B94='Общие данные'!D94,B7,"")</f>
        <v/>
      </c>
    </row>
    <row r="62" spans="1:6" ht="17.25" hidden="1" customHeight="1">
      <c r="A62" s="227" t="str">
        <f>+IF('Общие данные'!B93="ha"," ","O'zbekiston Respublikasi fuqarosi")</f>
        <v xml:space="preserve"> </v>
      </c>
      <c r="B62" s="227"/>
      <c r="C62" s="227"/>
      <c r="D62" s="302" t="str">
        <f>"_______________  "&amp;'Общие данные'!B112&amp;""</f>
        <v>_______________  NUTFULLAYEV A.A.</v>
      </c>
      <c r="E62" s="302"/>
    </row>
    <row r="63" spans="1:6" ht="63.75" hidden="1" customHeight="1">
      <c r="A63" s="190" t="str">
        <f>IF('Общие данные'!B94='Общие данные'!C94,"_______________  "&amp;'Общие данные'!B112&amp;"","_______________  "&amp;'Общие данные'!B7&amp;"")</f>
        <v>_______________  NUTFULLAYEV A.A.</v>
      </c>
      <c r="B63" s="53"/>
      <c r="C63" s="227" t="str">
        <f>'заявление залогодателя'!A20</f>
        <v/>
      </c>
      <c r="D63" s="227"/>
      <c r="E63" s="227"/>
    </row>
    <row r="64" spans="1:6" ht="6.75" customHeight="1">
      <c r="D64" s="248"/>
      <c r="E64" s="248"/>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00B050"/>
  </sheetPr>
  <dimension ref="A3:E55"/>
  <sheetViews>
    <sheetView view="pageBreakPreview" topLeftCell="A9" zoomScaleSheetLayoutView="100" workbookViewId="0">
      <selection activeCell="A51" sqref="A51:E51"/>
    </sheetView>
  </sheetViews>
  <sheetFormatPr defaultColWidth="9.109375" defaultRowHeight="13.8" outlineLevelRow="1"/>
  <cols>
    <col min="1" max="1" width="23.88671875" style="15" customWidth="1"/>
    <col min="2" max="2" width="23.33203125" style="15" customWidth="1"/>
    <col min="3" max="3" width="17" style="15" customWidth="1"/>
    <col min="4" max="4" width="17.5546875" style="15" customWidth="1"/>
    <col min="5" max="5" width="19.6640625" style="15" customWidth="1"/>
    <col min="6" max="16384" width="9.109375" style="15"/>
  </cols>
  <sheetData>
    <row r="3" spans="1:5" ht="16.5" customHeight="1"/>
    <row r="4" spans="1:5" ht="17.25" customHeight="1">
      <c r="A4" s="251" t="str">
        <f>""&amp;'Общие данные'!B147&amp;" ijrochi direktorining
"&amp;'Общие данные'!B165&amp;"dagi "&amp;'Общие данные'!B164&amp;"-sonli buyrug‘i"</f>
        <v>«CLEVER MIKROMOLIYA TASHKILOTI» MChJ ijrochi direktorining
11 mart 2025 y.dagi № -XT-sonli buyrug‘i</v>
      </c>
      <c r="B4" s="251"/>
      <c r="C4" s="251"/>
      <c r="D4" s="251"/>
      <c r="E4" s="251"/>
    </row>
    <row r="5" spans="1:5">
      <c r="A5" s="251"/>
      <c r="B5" s="251"/>
      <c r="C5" s="251"/>
      <c r="D5" s="251"/>
      <c r="E5" s="251"/>
    </row>
    <row r="6" spans="1:5">
      <c r="A6" s="251"/>
      <c r="B6" s="251"/>
      <c r="C6" s="251"/>
      <c r="D6" s="251"/>
      <c r="E6" s="251"/>
    </row>
    <row r="7" spans="1:5">
      <c r="A7" s="224"/>
      <c r="B7" s="224"/>
      <c r="C7" s="224"/>
      <c r="D7" s="224"/>
      <c r="E7" s="224"/>
    </row>
    <row r="8" spans="1:5" ht="53.25" customHeight="1">
      <c r="A8" s="224"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24"/>
      <c r="C8" s="224"/>
      <c r="D8" s="224"/>
      <c r="E8" s="224"/>
    </row>
    <row r="9" spans="1:5" ht="26.25" customHeight="1">
      <c r="A9" s="224" t="str">
        <f>'Кредитная заявка'!A13:D13</f>
        <v>Mikroqarz summasi: 27 000 000,00 (yigirma yetti million so'm) so'm.</v>
      </c>
      <c r="B9" s="224"/>
      <c r="C9" s="224"/>
      <c r="D9" s="224"/>
      <c r="E9" s="224"/>
    </row>
    <row r="10" spans="1:5" ht="21" customHeight="1">
      <c r="A10" s="224" t="str">
        <f>'Кредитная заявка'!A14:D14</f>
        <v>Mikroqarz muddati: 36 (o'ttiz olti) oy.</v>
      </c>
      <c r="B10" s="224"/>
      <c r="C10" s="224"/>
      <c r="D10" s="224"/>
      <c r="E10" s="224"/>
    </row>
    <row r="11" spans="1:5" ht="27" customHeight="1">
      <c r="A11" s="224" t="str">
        <f>'Кредитная заявка'!A15:D15</f>
        <v>Mikroqarzdan foydalanganlik uchun foiz stavkasi: yillik  60% (Oltmish) foiz</v>
      </c>
      <c r="B11" s="224"/>
      <c r="C11" s="224"/>
      <c r="D11" s="224"/>
      <c r="E11" s="224"/>
    </row>
    <row r="12" spans="1:5" ht="26.25" customHeight="1">
      <c r="A12" s="224" t="str">
        <f>'Кредитная заявка'!A16:D16</f>
        <v>Mikroqarz bo'yicha asosiy qarz va foizlarni to'lash:</v>
      </c>
      <c r="B12" s="224"/>
      <c r="C12" s="224"/>
      <c r="D12" s="224"/>
      <c r="E12" s="224"/>
    </row>
    <row r="13" spans="1:5" ht="21.75" hidden="1" customHeight="1">
      <c r="A13" s="224" t="str">
        <f>'Кредитная заявка'!A17:D17</f>
        <v xml:space="preserve"> - mikroqarz shartnomasi bo'yicha har oy differensial to'lovlari amalga oshiriladi</v>
      </c>
      <c r="B13" s="224"/>
      <c r="C13" s="224"/>
      <c r="D13" s="224"/>
      <c r="E13" s="224"/>
    </row>
    <row r="14" spans="1:5" hidden="1">
      <c r="A14" s="224" t="str">
        <f>'Кредитная заявка'!A19:D19</f>
        <v xml:space="preserve"> - mikroqarz shartnomasi bo'yicha har oy differensial to'lovlari amalga oshiriladi</v>
      </c>
      <c r="B14" s="224"/>
      <c r="C14" s="224"/>
      <c r="D14" s="224"/>
      <c r="E14" s="224"/>
    </row>
    <row r="15" spans="1:5" ht="23.25" customHeight="1">
      <c r="A15" s="224" t="str">
        <f>IF('Общие данные'!B103="Avtotransport",'Приказ на сделку'!A14:E14,'Приказ на сделку'!A13:E13)</f>
        <v xml:space="preserve"> - mikroqarz shartnomasi bo'yicha har oy differensial to'lovlari amalga oshiriladi</v>
      </c>
      <c r="B15" s="224"/>
      <c r="C15" s="224"/>
      <c r="D15" s="224"/>
      <c r="E15" s="224"/>
    </row>
    <row r="16" spans="1:5" ht="45.75" customHeight="1">
      <c r="A16" s="227"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27"/>
      <c r="C16" s="227"/>
      <c r="D16" s="227"/>
      <c r="E16" s="227"/>
    </row>
    <row r="17" spans="1:5" ht="50.25" hidden="1" customHeight="1">
      <c r="A17" s="224"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24"/>
      <c r="C17" s="224"/>
      <c r="D17" s="224"/>
      <c r="E17" s="224"/>
    </row>
    <row r="18" spans="1:5" ht="47.25" hidden="1" customHeight="1">
      <c r="A18" s="224"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24"/>
      <c r="C18" s="224"/>
      <c r="D18" s="224"/>
      <c r="E18" s="224"/>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24" t="str">
        <f>'Акт согласования'!A22:E22</f>
        <v>-* avtotransport egasi: NUTFULLAYEV AKBARJON AXMEDOVICH</v>
      </c>
      <c r="B21" s="224"/>
      <c r="C21" s="224"/>
      <c r="D21" s="224"/>
      <c r="E21" s="224"/>
    </row>
    <row r="22" spans="1:5" ht="20.25" customHeight="1" outlineLevel="1">
      <c r="A22" s="224" t="str">
        <f>'Акт согласования'!A23:E23</f>
        <v>-* texnik pasport: AAG   2346592  13.09.2023y</v>
      </c>
      <c r="B22" s="224"/>
      <c r="C22" s="224"/>
      <c r="D22" s="224"/>
      <c r="E22" s="224"/>
    </row>
    <row r="23" spans="1:5" ht="36" customHeight="1" outlineLevel="1">
      <c r="A23" s="224" t="str">
        <f>'Акт согласования'!A24:E24</f>
        <v>-* roʻyxatdan oʻtgan manzili/garaj manzili: BUXORO VILOYATI BUXORO SHAHAR TADBIRKOR KO'CHASI 12-UY</v>
      </c>
      <c r="B23" s="224"/>
      <c r="C23" s="224"/>
      <c r="D23" s="224"/>
      <c r="E23" s="224"/>
    </row>
    <row r="24" spans="1:5" ht="35.25" customHeight="1" outlineLevel="1">
      <c r="A24" s="224" t="str">
        <f>'Акт согласования'!A25:E25</f>
        <v>-* davlat raqami: 80T312WA</v>
      </c>
      <c r="B24" s="224"/>
      <c r="C24" s="224"/>
      <c r="D24" s="224"/>
      <c r="E24" s="224"/>
    </row>
    <row r="25" spans="1:5">
      <c r="A25" s="224"/>
      <c r="B25" s="224"/>
      <c r="C25" s="224"/>
      <c r="D25" s="224"/>
      <c r="E25" s="224"/>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7"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7"/>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7"/>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7"/>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7"/>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7"/>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7"/>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7"/>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7"/>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7"/>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7"/>
    </row>
    <row r="38" spans="1:5" s="37" customFormat="1"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24" t="e">
        <f>_xlfn.SINGLE('Акт согласования'!#REF!)</f>
        <v>#REF!</v>
      </c>
      <c r="B39" s="224"/>
      <c r="C39" s="224"/>
      <c r="D39" s="224"/>
      <c r="E39" s="224"/>
    </row>
    <row r="40" spans="1:5" s="37" customFormat="1" hidden="1" outlineLevel="1">
      <c r="A40" s="224" t="e">
        <f>_xlfn.SINGLE('Акт согласования'!#REF!)</f>
        <v>#REF!</v>
      </c>
      <c r="B40" s="224"/>
      <c r="C40" s="224"/>
      <c r="D40" s="224"/>
      <c r="E40" s="224"/>
    </row>
    <row r="41" spans="1:5" s="37" customFormat="1" hidden="1" outlineLevel="1">
      <c r="A41" s="224" t="e">
        <f>_xlfn.SINGLE('Акт согласования'!#REF!)</f>
        <v>#REF!</v>
      </c>
      <c r="B41" s="224"/>
      <c r="C41" s="224"/>
      <c r="D41" s="224"/>
      <c r="E41" s="224"/>
    </row>
    <row r="42" spans="1:5" s="37" customFormat="1" hidden="1" outlineLevel="1">
      <c r="A42" s="224" t="e">
        <f>_xlfn.SINGLE('Акт согласования'!#REF!)</f>
        <v>#REF!</v>
      </c>
      <c r="B42" s="224"/>
      <c r="C42" s="224"/>
      <c r="D42" s="224"/>
      <c r="E42" s="224"/>
    </row>
    <row r="43" spans="1:5" s="37" customFormat="1" collapsed="1">
      <c r="A43" s="224"/>
      <c r="B43" s="224"/>
      <c r="C43" s="224"/>
      <c r="D43" s="224"/>
      <c r="E43" s="224"/>
    </row>
    <row r="44" spans="1:5" s="37" customFormat="1">
      <c r="A44" s="224"/>
      <c r="B44" s="224"/>
      <c r="C44" s="224"/>
      <c r="D44" s="224"/>
      <c r="E44" s="224"/>
    </row>
    <row r="45" spans="1:5" s="37" customFormat="1" hidden="1">
      <c r="A45" s="224"/>
      <c r="B45" s="224"/>
      <c r="C45" s="224"/>
      <c r="D45" s="224"/>
      <c r="E45" s="224"/>
    </row>
    <row r="46" spans="1:5" s="37" customFormat="1" hidden="1">
      <c r="A46" s="50"/>
      <c r="B46" s="50"/>
      <c r="C46" s="50"/>
      <c r="D46" s="50"/>
      <c r="E46" s="50"/>
    </row>
    <row r="47" spans="1:5" hidden="1">
      <c r="A47" s="224"/>
      <c r="B47" s="224"/>
      <c r="C47" s="224"/>
      <c r="D47" s="224"/>
      <c r="E47" s="224"/>
    </row>
    <row r="48" spans="1:5" ht="15" customHeight="1">
      <c r="A48" s="302" t="s">
        <v>381</v>
      </c>
      <c r="B48" s="302"/>
      <c r="C48" s="302"/>
      <c r="D48" s="311"/>
      <c r="E48" s="311"/>
    </row>
    <row r="49" spans="1:5" ht="15" customHeight="1">
      <c r="A49" s="302" t="s">
        <v>335</v>
      </c>
      <c r="B49" s="302"/>
      <c r="C49" s="302"/>
      <c r="D49" s="311" t="s">
        <v>382</v>
      </c>
      <c r="E49" s="311"/>
    </row>
    <row r="50" spans="1:5">
      <c r="A50" s="224"/>
      <c r="B50" s="224"/>
      <c r="C50" s="224"/>
      <c r="D50" s="224"/>
      <c r="E50" s="224"/>
    </row>
    <row r="51" spans="1:5">
      <c r="A51" s="224"/>
      <c r="B51" s="224"/>
      <c r="C51" s="224"/>
      <c r="D51" s="224"/>
      <c r="E51" s="224"/>
    </row>
    <row r="52" spans="1:5">
      <c r="A52" s="224"/>
      <c r="B52" s="224"/>
      <c r="C52" s="224"/>
      <c r="D52" s="224"/>
      <c r="E52" s="224"/>
    </row>
    <row r="53" spans="1:5">
      <c r="A53" s="224"/>
      <c r="B53" s="224"/>
      <c r="C53" s="224"/>
      <c r="D53" s="224"/>
      <c r="E53" s="224"/>
    </row>
    <row r="54" spans="1:5">
      <c r="A54" s="224"/>
      <c r="B54" s="224"/>
      <c r="C54" s="224"/>
      <c r="D54" s="224"/>
      <c r="E54" s="224"/>
    </row>
    <row r="55" spans="1:5">
      <c r="A55" s="224"/>
      <c r="B55" s="224"/>
      <c r="C55" s="224"/>
      <c r="D55" s="224"/>
      <c r="E55" s="224"/>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00B050"/>
  </sheetPr>
  <dimension ref="B1:G42"/>
  <sheetViews>
    <sheetView view="pageBreakPreview" topLeftCell="A7" zoomScaleSheetLayoutView="100" workbookViewId="0">
      <selection activeCell="E8" sqref="E8"/>
    </sheetView>
  </sheetViews>
  <sheetFormatPr defaultColWidth="9.109375" defaultRowHeight="13.8"/>
  <cols>
    <col min="1" max="1" width="3.44140625" style="15" customWidth="1"/>
    <col min="2" max="3" width="17.88671875" style="20" customWidth="1"/>
    <col min="4" max="4" width="15" style="20" customWidth="1"/>
    <col min="5" max="5" width="17.88671875" style="20" customWidth="1"/>
    <col min="6" max="6" width="9" style="20" customWidth="1"/>
    <col min="7" max="7" width="4.6640625" style="20" customWidth="1"/>
    <col min="8" max="16384" width="9.109375" style="15"/>
  </cols>
  <sheetData>
    <row r="1" spans="2:7" ht="14.4" thickBot="1"/>
    <row r="2" spans="2:7" ht="62.25" customHeight="1">
      <c r="B2" s="322" t="str">
        <f>'Общие данные'!B148</f>
        <v>«CLEVER MIKROMOLIYA TASHKILOTI» MChJ</v>
      </c>
      <c r="C2" s="323"/>
      <c r="D2" s="323"/>
      <c r="E2" s="323"/>
      <c r="F2" s="324"/>
      <c r="G2" s="41"/>
    </row>
    <row r="3" spans="2:7">
      <c r="B3" s="315"/>
      <c r="C3" s="250"/>
      <c r="D3" s="250"/>
      <c r="E3" s="250"/>
      <c r="F3" s="316"/>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15" t="s">
        <v>27</v>
      </c>
      <c r="C10" s="250"/>
      <c r="D10" s="250"/>
      <c r="E10" s="250"/>
      <c r="F10" s="316"/>
      <c r="G10" s="42"/>
    </row>
    <row r="11" spans="2:7">
      <c r="B11" s="315" t="s">
        <v>27</v>
      </c>
      <c r="C11" s="250"/>
      <c r="D11" s="250"/>
      <c r="E11" s="250"/>
      <c r="F11" s="316"/>
      <c r="G11" s="42"/>
    </row>
    <row r="12" spans="2:7" ht="135" customHeight="1">
      <c r="B12" s="325" t="str">
        <f>'Общие данные'!B5</f>
        <v>NUTFULLAYEV AKBARJON AXMEDOVICH</v>
      </c>
      <c r="C12" s="326"/>
      <c r="D12" s="326"/>
      <c r="E12" s="326"/>
      <c r="F12" s="327"/>
      <c r="G12" s="43"/>
    </row>
    <row r="13" spans="2:7">
      <c r="B13" s="315"/>
      <c r="C13" s="250"/>
      <c r="D13" s="250"/>
      <c r="E13" s="250"/>
      <c r="F13" s="316"/>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15"/>
      <c r="C18" s="250"/>
      <c r="D18" s="250"/>
      <c r="E18" s="250"/>
      <c r="F18" s="316"/>
      <c r="G18" s="42"/>
    </row>
    <row r="19" spans="2:7" ht="20.399999999999999">
      <c r="B19" s="319" t="str">
        <f>""&amp;'Общие данные'!C64&amp;" shartnoma "&amp;'Общие данные'!B74&amp;""</f>
        <v>Mikroqarz shartnoma 11 mart 2025 y.dan № -XT</v>
      </c>
      <c r="C19" s="320"/>
      <c r="D19" s="320"/>
      <c r="E19" s="320"/>
      <c r="F19" s="321"/>
      <c r="G19" s="42"/>
    </row>
    <row r="20" spans="2:7">
      <c r="B20" s="315"/>
      <c r="C20" s="250"/>
      <c r="D20" s="250"/>
      <c r="E20" s="250"/>
      <c r="F20" s="316"/>
      <c r="G20" s="42"/>
    </row>
    <row r="21" spans="2:7">
      <c r="B21" s="315"/>
      <c r="C21" s="250"/>
      <c r="D21" s="250"/>
      <c r="E21" s="250"/>
      <c r="F21" s="316"/>
      <c r="G21" s="42"/>
    </row>
    <row r="22" spans="2:7">
      <c r="B22" s="315"/>
      <c r="C22" s="250"/>
      <c r="D22" s="250"/>
      <c r="E22" s="250"/>
      <c r="F22" s="316"/>
      <c r="G22" s="42"/>
    </row>
    <row r="23" spans="2:7">
      <c r="B23" s="315"/>
      <c r="C23" s="250"/>
      <c r="D23" s="250"/>
      <c r="E23" s="250"/>
      <c r="F23" s="316"/>
      <c r="G23" s="42"/>
    </row>
    <row r="24" spans="2:7">
      <c r="B24" s="317" t="str">
        <f>" Foiz stavkasi: "&amp;'Общие данные'!B85&amp;"%"</f>
        <v xml:space="preserve"> Foiz stavkasi: 60%</v>
      </c>
      <c r="C24" s="223"/>
      <c r="D24" s="223"/>
      <c r="E24" s="223"/>
      <c r="F24" s="318"/>
      <c r="G24" s="42"/>
    </row>
    <row r="25" spans="2:7" ht="15" customHeight="1">
      <c r="B25" s="317" t="str">
        <f>" "&amp;'Общие данные'!C64&amp;" muddati: "&amp;'Общие данные'!B81&amp;" oy"</f>
        <v xml:space="preserve"> Mikroqarz muddati: 36 oy</v>
      </c>
      <c r="C25" s="223"/>
      <c r="D25" s="223"/>
      <c r="E25" s="223"/>
      <c r="F25" s="318"/>
      <c r="G25" s="42"/>
    </row>
    <row r="26" spans="2:7">
      <c r="B26" s="317" t="str">
        <f>" "&amp;'Общие данные'!C64&amp;" miqdori: "&amp;FIXED('Общие данные'!B75,2)&amp;" so'm"</f>
        <v xml:space="preserve"> Mikroqarz miqdori: 27 000 000,00 so'm</v>
      </c>
      <c r="C26" s="223"/>
      <c r="D26" s="223"/>
      <c r="E26" s="223"/>
      <c r="F26" s="318"/>
      <c r="G26" s="42"/>
    </row>
    <row r="27" spans="2:7">
      <c r="B27" s="315"/>
      <c r="C27" s="250"/>
      <c r="D27" s="250"/>
      <c r="E27" s="250"/>
      <c r="F27" s="316"/>
      <c r="G27" s="42"/>
    </row>
    <row r="28" spans="2:7" hidden="1">
      <c r="G28" s="42"/>
    </row>
    <row r="29" spans="2:7">
      <c r="B29" s="315"/>
      <c r="C29" s="250"/>
      <c r="D29" s="250"/>
      <c r="E29" s="250"/>
      <c r="F29" s="316"/>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4.4" thickBot="1">
      <c r="B40" s="312" t="str">
        <f>"Toshkent sh., "&amp;'Общие данные'!B70&amp;""</f>
        <v>Toshkent sh., 11 mart 2025 y.</v>
      </c>
      <c r="C40" s="313"/>
      <c r="D40" s="313"/>
      <c r="E40" s="313"/>
      <c r="F40" s="314"/>
      <c r="G40" s="42"/>
    </row>
    <row r="41" spans="2:7">
      <c r="B41" s="250"/>
      <c r="C41" s="250"/>
      <c r="D41" s="250"/>
      <c r="E41" s="250"/>
      <c r="F41" s="250"/>
      <c r="G41" s="42"/>
    </row>
    <row r="42" spans="2:7">
      <c r="B42" s="250"/>
      <c r="C42" s="250"/>
      <c r="D42" s="250"/>
      <c r="E42" s="250"/>
      <c r="F42" s="250"/>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dimension ref="A2:E44"/>
  <sheetViews>
    <sheetView view="pageBreakPreview" zoomScaleNormal="100" zoomScaleSheetLayoutView="100" workbookViewId="0">
      <selection activeCell="E8" sqref="E8"/>
    </sheetView>
  </sheetViews>
  <sheetFormatPr defaultColWidth="9.109375" defaultRowHeight="13.8"/>
  <cols>
    <col min="1" max="1" width="33.88671875" style="15" customWidth="1"/>
    <col min="2" max="2" width="21.33203125" style="15" customWidth="1"/>
    <col min="3" max="3" width="19.109375" style="15" customWidth="1"/>
    <col min="4" max="5" width="21.33203125" style="15" customWidth="1"/>
    <col min="6" max="16384" width="9.109375" style="15"/>
  </cols>
  <sheetData>
    <row r="2" spans="1:5">
      <c r="A2" s="108" t="s">
        <v>49</v>
      </c>
    </row>
    <row r="3" spans="1:5">
      <c r="A3" s="108" t="s">
        <v>50</v>
      </c>
    </row>
    <row r="6" spans="1:5" ht="20.25" customHeight="1">
      <c r="E6" s="109" t="s">
        <v>36</v>
      </c>
    </row>
    <row r="7" spans="1:5">
      <c r="E7" s="109" t="s">
        <v>51</v>
      </c>
    </row>
    <row r="9" spans="1:5" ht="107.25" customHeight="1">
      <c r="A9" s="329"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-XT, на сумму 27 000 000,00 (yigirma yetti million so'm) сум, сроком на 36 (o'ttiz olti) месяцев. В качестве своевременного исполнения обязательств по договору Микрозайма 11 mart 2025 y.dan № -XT планирует предоставить нижеследующее автотранспортного средство марки CHANGAN CHANGAN SC 1027SB принадлежащее на правах собственности NUTFULLAYEV AKBARJON AXMEDOVICH</v>
      </c>
      <c r="B9" s="329"/>
      <c r="C9" s="329"/>
      <c r="D9" s="329"/>
      <c r="E9" s="329"/>
    </row>
    <row r="11" spans="1:5" ht="27.6">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3" t="str">
        <f>'Приказ на сделку'!A21:E21</f>
        <v>-* avtotransport egasi: NUTFULLAYEV AKBARJON AXMEDOVICH</v>
      </c>
      <c r="B13" s="333"/>
      <c r="C13" s="333"/>
      <c r="D13" s="333"/>
      <c r="E13" s="333"/>
    </row>
    <row r="14" spans="1:5">
      <c r="A14" s="333" t="str">
        <f>'Приказ на сделку'!A22:E22</f>
        <v>-* texnik pasport: AAG   2346592  13.09.2023y</v>
      </c>
      <c r="B14" s="333"/>
      <c r="C14" s="333"/>
      <c r="D14" s="333"/>
      <c r="E14" s="333"/>
    </row>
    <row r="15" spans="1:5">
      <c r="A15" s="333" t="str">
        <f>'Приказ на сделку'!A23:E23</f>
        <v>-* roʻyxatdan oʻtgan manzili/garaj manzili: BUXORO VILOYATI BUXORO SHAHAR TADBIRKOR KO'CHASI 12-UY</v>
      </c>
      <c r="B15" s="333"/>
      <c r="C15" s="333"/>
      <c r="D15" s="333"/>
      <c r="E15" s="333"/>
    </row>
    <row r="16" spans="1:5">
      <c r="A16" s="333" t="str">
        <f>'Приказ на сделку'!A24:E24</f>
        <v>-* davlat raqami: 80T312WA</v>
      </c>
      <c r="B16" s="333"/>
      <c r="C16" s="333"/>
      <c r="D16" s="333"/>
      <c r="E16" s="333"/>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08"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09"/>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09"/>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09"/>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09"/>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09"/>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09"/>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09"/>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09"/>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09"/>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0"/>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29" t="e">
        <f>_xlfn.SINGLE('Акт согласования'!#REF!)</f>
        <v>#REF!</v>
      </c>
      <c r="B32" s="329"/>
      <c r="C32" s="329"/>
      <c r="D32" s="329"/>
      <c r="E32" s="329"/>
    </row>
    <row r="33" spans="1:5" ht="24.75" hidden="1" customHeight="1">
      <c r="A33" s="329" t="e">
        <f>_xlfn.SINGLE('Акт согласования'!#REF!)</f>
        <v>#REF!</v>
      </c>
      <c r="B33" s="329"/>
      <c r="C33" s="329"/>
      <c r="D33" s="329"/>
      <c r="E33" s="329"/>
    </row>
    <row r="34" spans="1:5" ht="30.75" hidden="1" customHeight="1">
      <c r="A34" s="329" t="e">
        <f>_xlfn.SINGLE('Акт согласования'!#REF!)</f>
        <v>#REF!</v>
      </c>
      <c r="B34" s="329"/>
      <c r="C34" s="329"/>
      <c r="D34" s="329"/>
      <c r="E34" s="329"/>
    </row>
    <row r="35" spans="1:5" ht="15" hidden="1" customHeight="1">
      <c r="A35" s="329" t="e">
        <f>_xlfn.SINGLE('Акт согласования'!#REF!)</f>
        <v>#REF!</v>
      </c>
      <c r="B35" s="329"/>
      <c r="C35" s="329"/>
      <c r="D35" s="329"/>
      <c r="E35" s="329"/>
    </row>
    <row r="36" spans="1:5">
      <c r="A36" s="22"/>
      <c r="B36" s="22"/>
      <c r="C36" s="22"/>
      <c r="D36" s="22"/>
      <c r="E36" s="22"/>
    </row>
    <row r="37" spans="1:5" s="130" customFormat="1" ht="51" customHeight="1">
      <c r="A37" s="332"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2"/>
      <c r="C37" s="332"/>
      <c r="D37" s="332"/>
      <c r="E37" s="332"/>
    </row>
    <row r="38" spans="1:5" ht="40.5" customHeight="1">
      <c r="A38" s="329" t="str">
        <f>'Акт согласования'!A47:E47</f>
        <v>Shu bilan birga, garov predmetining kelishilgan garov qiymati deganda ushbu mulk garov sifatida taqdim etilgan/qabul qilingan qiymati tushuniladi.</v>
      </c>
      <c r="B38" s="329"/>
      <c r="C38" s="329"/>
      <c r="D38" s="329"/>
      <c r="E38" s="329"/>
    </row>
    <row r="39" spans="1:5" ht="39" customHeight="1">
      <c r="A39" s="32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-XT, при сохранении запрета.</v>
      </c>
      <c r="B39" s="329"/>
      <c r="C39" s="329"/>
      <c r="D39" s="329"/>
      <c r="E39" s="329"/>
    </row>
    <row r="40" spans="1:5">
      <c r="A40" s="330"/>
      <c r="B40" s="330"/>
      <c r="C40" s="330"/>
      <c r="D40" s="330"/>
      <c r="E40" s="330"/>
    </row>
    <row r="41" spans="1:5">
      <c r="A41" s="331" t="s">
        <v>37</v>
      </c>
      <c r="B41" s="331"/>
      <c r="C41" s="331"/>
      <c r="D41" s="331"/>
      <c r="E41" s="331"/>
    </row>
    <row r="42" spans="1:5">
      <c r="A42" s="330"/>
      <c r="B42" s="330"/>
      <c r="C42" s="330"/>
      <c r="D42" s="330"/>
      <c r="E42" s="330"/>
    </row>
    <row r="43" spans="1:5">
      <c r="A43" s="331" t="s">
        <v>38</v>
      </c>
      <c r="B43" s="331"/>
      <c r="C43" s="331"/>
      <c r="D43" s="331"/>
      <c r="E43" s="331"/>
    </row>
    <row r="44" spans="1:5" ht="28.5" customHeight="1">
      <c r="A44" s="328" t="s">
        <v>39</v>
      </c>
      <c r="B44" s="328"/>
      <c r="C44" s="328"/>
      <c r="D44" s="328"/>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9" width="9.109375" style="24" hidden="1" customWidth="1"/>
    <col min="10" max="10" width="9.109375" style="24" customWidth="1"/>
    <col min="11" max="11" width="0.5546875" style="24" customWidth="1"/>
    <col min="12"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F5" s="156"/>
      <c r="H5" s="141" t="str">
        <f>TEXT('Общие данные'!D2,"ДД.ММ.ГГГГ")</f>
        <v>07.09.2025</v>
      </c>
    </row>
    <row r="7" spans="1:9" ht="45" customHeight="1">
      <c r="A7" s="335"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Xatirchi  filial boshlig'ii XAYRIYEV SH.B., jismoniy shaxs  NUTFULLAYEV AKBARJON AXMEDOVICH  11 mart 2025 y.dan № -XT-sonli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'Акт согласования'!A20</f>
        <v>Nomi</v>
      </c>
      <c r="B9" s="341"/>
      <c r="C9" s="340" t="str">
        <f>'Акт согласования'!B20</f>
        <v>Kuzov turi  va kuzov raqami*</v>
      </c>
      <c r="D9" s="341"/>
      <c r="E9" s="340" t="str">
        <f>'Акт согласования'!D20</f>
        <v>Dvigatel va shassi raqami*</v>
      </c>
      <c r="F9" s="341"/>
      <c r="G9" s="340" t="str">
        <f>'Акт согласования'!E20</f>
        <v>Ishlab chiqarilgan yili va rangi**</v>
      </c>
      <c r="H9" s="341"/>
    </row>
    <row r="10" spans="1:9" s="140" customFormat="1" ht="58.5" customHeight="1">
      <c r="A10" s="342" t="str">
        <f>'Акт согласования'!A21</f>
        <v>CHANGAN CHANGAN SC 1027SB</v>
      </c>
      <c r="B10" s="342"/>
      <c r="C10" s="342" t="str">
        <f>'Акт согласования'!B21</f>
        <v>kuzov turi - YUK BORTLI TENT, kuzov raqami LSCAB23D8EG228387</v>
      </c>
      <c r="D10" s="342"/>
      <c r="E10" s="342" t="str">
        <f>'Акт согласования'!D21</f>
        <v>dvigatel raqami JL466Q1%E61H022801, shassi raqami - URINDIKLAR SONI 5TA</v>
      </c>
      <c r="F10" s="342"/>
      <c r="G10" s="342" t="str">
        <f>'Акт согласования'!E21</f>
        <v>rangi -  OQ BELIY, ishlab chiqarilgan yili - 2014</v>
      </c>
      <c r="H10" s="342"/>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ht="27" customHeight="1">
      <c r="A17" s="338" t="s">
        <v>277</v>
      </c>
      <c r="B17" s="338"/>
      <c r="C17" s="338"/>
      <c r="D17" s="338"/>
      <c r="E17" s="338"/>
      <c r="F17" s="338"/>
      <c r="G17" s="338"/>
      <c r="H17" s="338"/>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H5" s="141" t="str">
        <f>TEXT(+'Общие данные'!B2+360,"ДД.ММ.ГГГГ")</f>
        <v>06.03.2026</v>
      </c>
    </row>
    <row r="7" spans="1:9" ht="45" customHeight="1">
      <c r="A7" s="33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Xatirchi  filial boshlig'ii XAYRIYEV SH.B., jismoniy shaxs  NUTFULLAYEV AKBARJON AXMEDOVICH  11 mart 2025 y.dan № -XT-sonli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40" customFormat="1" ht="58.5" customHeight="1">
      <c r="A10" s="342" t="str">
        <f>' Акт мониторинга 1'!A10</f>
        <v>CHANGAN CHANGAN SC 1027SB</v>
      </c>
      <c r="B10" s="342"/>
      <c r="C10" s="342" t="str">
        <f>' Акт мониторинга 1'!C10</f>
        <v>kuzov turi - YUK BORTLI TENT, kuzov raqami LSCAB23D8EG228387</v>
      </c>
      <c r="D10" s="342"/>
      <c r="E10" s="342" t="str">
        <f>' Акт мониторинга 1'!E10</f>
        <v>dvigatel raqami JL466Q1%E61H022801, shassi raqami - URINDIKLAR SONI 5TA</v>
      </c>
      <c r="F10" s="342"/>
      <c r="G10" s="342" t="str">
        <f>' Акт мониторинга 1'!G10</f>
        <v>rangi -  OQ BELIY, ishlab chiqarilgan yili - 2014</v>
      </c>
      <c r="H10" s="342"/>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ht="35.25" customHeight="1">
      <c r="A17" s="338" t="s">
        <v>277</v>
      </c>
      <c r="B17" s="338"/>
      <c r="C17" s="338"/>
      <c r="D17" s="338"/>
      <c r="E17" s="338"/>
      <c r="F17" s="338"/>
      <c r="G17" s="338"/>
      <c r="H17" s="338"/>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H5" s="141" t="str">
        <f>TEXT(+'Общие данные'!B2+540,"ДД.ММ.ГГГГ")</f>
        <v>02.09.2026</v>
      </c>
    </row>
    <row r="7" spans="1:9" ht="45" customHeight="1">
      <c r="A7" s="33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Xatirchi  filial boshlig'ii XAYRIYEV SH.B., jismoniy shaxs  NUTFULLAYEV AKBARJON AXMEDOVICH  11 mart 2025 y.dan № -XT-sonli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40" customFormat="1" ht="58.5" customHeight="1">
      <c r="A10" s="343" t="str">
        <f>' Акт мониторинга 1'!A10</f>
        <v>CHANGAN CHANGAN SC 1027SB</v>
      </c>
      <c r="B10" s="344"/>
      <c r="C10" s="343" t="str">
        <f>' Акт мониторинга 1'!C10</f>
        <v>kuzov turi - YUK BORTLI TENT, kuzov raqami LSCAB23D8EG228387</v>
      </c>
      <c r="D10" s="344"/>
      <c r="E10" s="343" t="str">
        <f>' Акт мониторинга 1'!E10</f>
        <v>dvigatel raqami JL466Q1%E61H022801, shassi raqami - URINDIKLAR SONI 5TA</v>
      </c>
      <c r="F10" s="344"/>
      <c r="G10" s="343" t="str">
        <f>' Акт мониторинга 1'!G10</f>
        <v>rangi -  OQ BELIY, ishlab chiqarilgan yili - 2014</v>
      </c>
      <c r="H10" s="344"/>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s="140" customFormat="1" ht="32.25" customHeight="1">
      <c r="A17" s="338" t="s">
        <v>277</v>
      </c>
      <c r="B17" s="338"/>
      <c r="C17" s="338"/>
      <c r="D17" s="338"/>
      <c r="E17" s="338"/>
      <c r="F17" s="338"/>
      <c r="G17" s="338"/>
      <c r="H17" s="338"/>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00B050"/>
  </sheetPr>
  <dimension ref="A1:I29"/>
  <sheetViews>
    <sheetView view="pageBreakPreview" topLeftCell="A16" zoomScaleNormal="100" zoomScaleSheetLayoutView="100" workbookViewId="0">
      <selection activeCell="G1" sqref="G1"/>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H5" s="141" t="str">
        <f>TEXT(+'Общие данные'!B2+720,"ДД.ММ.ГГГГ")</f>
        <v>01.03.2027</v>
      </c>
    </row>
    <row r="7" spans="1:9" ht="45" customHeight="1">
      <c r="A7" s="33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Xatirchi  filial boshlig'ii XAYRIYEV SH.B., jismoniy shaxs  NUTFULLAYEV AKBARJON AXMEDOVICH  11 mart 2025 y.dan № -XT-sonli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40" customFormat="1" ht="58.5" customHeight="1">
      <c r="A10" s="342" t="str">
        <f>' Акт мониторинга 1'!A10</f>
        <v>CHANGAN CHANGAN SC 1027SB</v>
      </c>
      <c r="B10" s="342"/>
      <c r="C10" s="342" t="str">
        <f>' Акт мониторинга 1'!C10</f>
        <v>kuzov turi - YUK BORTLI TENT, kuzov raqami LSCAB23D8EG228387</v>
      </c>
      <c r="D10" s="342"/>
      <c r="E10" s="342" t="str">
        <f>' Акт мониторинга 1'!E10</f>
        <v>dvigatel raqami JL466Q1%E61H022801, shassi raqami - URINDIKLAR SONI 5TA</v>
      </c>
      <c r="F10" s="342"/>
      <c r="G10" s="342" t="str">
        <f>' Акт мониторинга 1'!G10</f>
        <v>rangi -  OQ BELIY, ishlab chiqarilgan yili - 2014</v>
      </c>
      <c r="H10" s="342"/>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ht="28.5" customHeight="1">
      <c r="A17" s="338" t="s">
        <v>277</v>
      </c>
      <c r="B17" s="338"/>
      <c r="C17" s="338"/>
      <c r="D17" s="338"/>
      <c r="E17" s="338"/>
      <c r="F17" s="338"/>
      <c r="G17" s="338"/>
      <c r="H17" s="338"/>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Ruslanbek</cp:lastModifiedBy>
  <cp:lastPrinted>2025-01-06T10:54:18Z</cp:lastPrinted>
  <dcterms:created xsi:type="dcterms:W3CDTF">2015-06-05T18:19:34Z</dcterms:created>
  <dcterms:modified xsi:type="dcterms:W3CDTF">2025-03-11T15:24:27Z</dcterms:modified>
</cp:coreProperties>
</file>