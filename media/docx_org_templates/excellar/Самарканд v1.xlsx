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FC265699-F57E-49F8-BECB-A4FC1A0CD918}" xr6:coauthVersionLast="47" xr6:coauthVersionMax="47" xr10:uidLastSave="{00000000-0000-0000-0000-000000000000}"/>
  <bookViews>
    <workbookView xWindow="-120" yWindow="-120" windowWidth="29040" windowHeight="15840" tabRatio="915" firstSheet="3" activeTab="9" xr2:uid="{00000000-000D-0000-FFFF-FFFF00000000}"/>
  </bookViews>
  <sheets>
    <sheet name="График дифференц" sheetId="15" state="hidden" r:id="rId1"/>
    <sheet name="Данные для послед. Залога" sheetId="21" state="hidden" r:id="rId2"/>
    <sheet name="Протокол  (2)" sheetId="23"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 r:id="rId24"/>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9">'Заключение КК'!$A$1:$E$63</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2">'Протокол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1" i="3" l="1"/>
  <c r="D51" i="3"/>
  <c r="A59" i="3"/>
  <c r="A57" i="3"/>
  <c r="A53" i="3"/>
  <c r="B133" i="1" l="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E21" i="16"/>
  <c r="E22" i="16"/>
  <c r="E23" i="16"/>
  <c r="E24" i="16"/>
  <c r="E25" i="16"/>
  <c r="E26" i="16"/>
  <c r="E27" i="16"/>
  <c r="E28" i="16"/>
  <c r="E29" i="16"/>
  <c r="E30" i="16"/>
  <c r="E31" i="16"/>
  <c r="E32" i="16"/>
  <c r="E33" i="16"/>
  <c r="E34" i="16"/>
  <c r="E35" i="16"/>
  <c r="E36" i="16"/>
  <c r="E37" i="16"/>
  <c r="E38" i="16"/>
  <c r="E39" i="16"/>
  <c r="E40" i="16"/>
  <c r="E41" i="16"/>
  <c r="E42" i="16"/>
  <c r="E43" i="16"/>
  <c r="C63" i="1"/>
  <c r="C60" i="1" s="1"/>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c r="E42" i="12" l="1"/>
  <c r="F42" i="12" l="1"/>
  <c r="D42" i="12" s="1"/>
  <c r="C43" i="12" s="1"/>
  <c r="D43" i="12" s="1"/>
  <c r="D44" i="12" s="1"/>
  <c r="E43" i="12" l="1"/>
  <c r="E44" i="12" s="1"/>
  <c r="F43" i="12" l="1"/>
  <c r="F44" i="12" s="1"/>
  <c r="B39" i="1" l="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<sst xmlns="http://schemas.openxmlformats.org/spreadsheetml/2006/main" count="594" uniqueCount="436">
  <si>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</si>
  <si>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</si>
  <si>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</si>
  <si>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</si>
  <si>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</si>
  <si>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</si>
  <si>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</si>
  <si>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</si>
  <si>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</si>
  <si>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</si>
  <si>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</si>
  <si>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</si>
  <si>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</si>
  <si>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</si>
  <si>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</si>
  <si>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</si>
  <si>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</si>
  <si>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</si>
  <si>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</si>
  <si>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</si>
  <si>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</si>
  <si>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</si>
  <si>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</si>
  <si>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</si>
  <si>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</si>
  <si>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</si>
  <si>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</si>
  <si>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</si>
  <si>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</si>
  <si>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</si>
  <si>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</si>
  <si>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</si>
  <si>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</si>
  <si>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</si>
  <si>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</si>
  <si>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</si>
  <si>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</si>
  <si>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</si>
  <si>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</si>
  <si>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</si>
  <si>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</si>
  <si>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</si>
  <si>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</si>
  <si>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</si>
  <si>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</si>
  <si>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</si>
  <si>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</si>
  <si>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</si>
  <si>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</si>
  <si>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</si>
  <si>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</si>
  <si>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</si>
  <si>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</si>
  <si>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</si>
  <si>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</si>
  <si>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</si>
  <si>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</si>
  <si>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</si>
  <si>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</si>
  <si>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</si>
  <si>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</si>
  <si>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</si>
  <si>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</si>
  <si>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</si>
  <si>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</si>
  <si>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</si>
  <si>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</si>
  <si>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</si>
  <si>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</si>
  <si>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</si>
  <si>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</si>
  <si>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</si>
  <si>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</si>
  <si>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</si>
  <si>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</si>
  <si>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</si>
  <si>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</si>
  <si>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</si>
  <si>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</si>
  <si>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</si>
  <si>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</si>
  <si>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</si>
  <si>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</si>
  <si>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</si>
  <si>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</si>
  <si>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</si>
  <si>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</si>
  <si>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</si>
  <si>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</si>
  <si>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</si>
  <si>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</si>
  <si>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</si>
  <si>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</si>
  <si>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</si>
  <si>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</si>
  <si>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</si>
  <si>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</si>
  <si>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</si>
  <si>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</si>
  <si>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</si>
  <si>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</si>
  <si>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</si>
  <si>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</si>
  <si>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</si>
  <si>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</si>
  <si>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</si>
  <si>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</si>
  <si>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</si>
  <si>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</si>
  <si>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</si>
  <si>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</si>
  <si>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</si>
  <si>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</si>
  <si>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</si>
  <si>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</si>
  <si>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</si>
  <si>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</si>
  <si>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</si>
  <si>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</si>
  <si>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</si>
  <si>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</si>
  <si>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</si>
  <si>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</si>
  <si>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</si>
  <si>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</si>
  <si>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</si>
  <si>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</si>
  <si>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</si>
  <si>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</si>
  <si>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</si>
  <si>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</si>
  <si>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</si>
  <si>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</si>
  <si>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</si>
  <si>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</si>
  <si>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</si>
  <si>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</si>
  <si>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</si>
  <si>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</si>
  <si>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</si>
  <si>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</si>
  <si>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</si>
  <si>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</si>
  <si>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</si>
  <si>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</si>
  <si>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</si>
  <si>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</si>
  <si>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</si>
  <si>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</si>
  <si>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</si>
  <si>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</si>
  <si>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</si>
  <si>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</si>
  <si>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</si>
  <si>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</si>
  <si>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</si>
  <si>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</si>
  <si>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</si>
  <si>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</si>
  <si>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</si>
  <si>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</si>
  <si>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</si>
  <si>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</si>
  <si>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</si>
  <si>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</si>
  <si>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</si>
  <si>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</si>
  <si>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</si>
  <si>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</si>
  <si>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</si>
  <si>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</si>
  <si>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</si>
  <si>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</si>
  <si>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</si>
  <si>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</si>
  <si>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</si>
  <si>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</si>
  <si>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</si>
  <si>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</si>
  <si>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</si>
  <si>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</si>
  <si>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</si>
  <si>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</si>
  <si>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</si>
  <si>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</si>
  <si>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</si>
  <si>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</si>
  <si>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</si>
  <si>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</si>
  <si>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</si>
  <si>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</si>
  <si>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</si>
  <si>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</si>
  <si>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</si>
  <si>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</si>
  <si>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</si>
  <si>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</si>
  <si>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</si>
  <si>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</si>
  <si>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</si>
  <si>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</si>
  <si>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</si>
  <si>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</si>
  <si>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</si>
  <si>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</si>
  <si>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</si>
  <si>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</si>
  <si>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</si>
  <si>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</si>
  <si>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</si>
  <si>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</si>
  <si>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</si>
  <si>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</si>
  <si>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</si>
  <si>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</si>
  <si>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</si>
  <si>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</si>
  <si>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</si>
  <si>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</si>
  <si>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</si>
  <si>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</si>
  <si>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</si>
  <si>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</si>
  <si>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</si>
  <si>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</si>
  <si>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</si>
  <si>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</si>
  <si>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</si>
  <si>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</si>
  <si>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</si>
  <si>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</si>
  <si>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</si>
  <si>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</si>
  <si>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</si>
  <si>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</si>
  <si>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</si>
  <si>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</si>
  <si>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</si>
  <si>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</si>
  <si>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</si>
  <si>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</si>
  <si>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</si>
  <si>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</si>
  <si>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</si>
  <si>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</si>
  <si>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</si>
  <si>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</si>
  <si>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</si>
  <si>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</si>
  <si>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</si>
  <si>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</si>
  <si>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</si>
  <si>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</si>
  <si>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</si>
  <si>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</si>
  <si>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</si>
  <si>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</si>
  <si>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</si>
  <si>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</si>
  <si>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</si>
  <si>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</si>
  <si>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</si>
  <si>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</si>
  <si>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</si>
  <si>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</si>
  <si>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</si>
  <si>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</si>
  <si>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</si>
  <si>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</si>
  <si>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</si>
  <si>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</si>
  <si>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</si>
  <si>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</si>
  <si>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</si>
  <si>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</si>
  <si>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</si>
  <si>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</si>
  <si>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</si>
  <si>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</si>
  <si>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</si>
  <si>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</si>
  <si>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</si>
  <si>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</si>
  <si>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</si>
  <si>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</si>
  <si>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</si>
  <si>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</si>
  <si>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</si>
  <si>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</si>
  <si>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</si>
  <si>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</si>
  <si>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</si>
  <si>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</si>
  <si>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</si>
  <si>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</si>
  <si>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</si>
  <si>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</si>
  <si>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</si>
  <si>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</si>
  <si>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</si>
  <si>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</si>
  <si>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</si>
  <si>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</si>
  <si>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</si>
  <si>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</si>
  <si>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</si>
  <si>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</si>
  <si>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</si>
  <si>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</si>
  <si>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</si>
  <si>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</si>
  <si>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</si>
  <si>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</si>
  <si>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</si>
  <si>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</si>
  <si>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</si>
  <si>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</si>
  <si>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</si>
  <si>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</si>
  <si>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</si>
  <si>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</si>
  <si>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</si>
  <si>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</si>
  <si>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</si>
  <si>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</si>
  <si>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</si>
  <si>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</si>
  <si>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</si>
  <si>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</si>
  <si>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</si>
  <si>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</si>
  <si>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</si>
  <si>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</si>
  <si>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</si>
  <si>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</si>
  <si>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</si>
  <si>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</si>
  <si>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</si>
  <si>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</si>
  <si>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</si>
  <si>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</si>
  <si>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</si>
  <si>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</si>
  <si>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</si>
  <si>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</si>
  <si>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</si>
  <si>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</si>
  <si>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</si>
  <si>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</si>
  <si>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</si>
  <si>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</si>
  <si>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</si>
  <si>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</si>
  <si>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</si>
  <si>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</si>
  <si>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</si>
  <si>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</si>
  <si>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</si>
  <si>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</si>
  <si>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</si>
  <si>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</si>
  <si>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</si>
  <si>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</si>
  <si>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</si>
  <si>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</si>
  <si>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</si>
  <si>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</si>
  <si>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</si>
  <si>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</si>
  <si>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</si>
  <si>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</si>
  <si>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</si>
  <si>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</si>
  <si>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</si>
  <si>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</si>
  <si>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</si>
  <si>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</si>
  <si>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</si>
  <si>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</si>
  <si>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</si>
  <si>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</si>
  <si>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</si>
  <si>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</si>
  <si>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</si>
  <si>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</si>
  <si>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</si>
  <si>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</si>
  <si>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</si>
  <si>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</si>
  <si>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</si>
  <si>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</si>
  <si>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</si>
  <si>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</si>
  <si>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</si>
  <si>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</si>
  <si>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</si>
  <si>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</si>
  <si>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</si>
  <si>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</si>
  <si>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</si>
  <si>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</si>
  <si>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</si>
  <si>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</si>
  <si>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</si>
  <si>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</si>
  <si>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</si>
  <si>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</si>
  <si>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</si>
  <si>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</si>
  <si>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</si>
  <si>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</si>
  <si>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</si>
  <si>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</si>
  <si>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</si>
  <si>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</si>
  <si>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</si>
  <si>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</si>
  <si>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</si>
  <si>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</si>
  <si>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</si>
  <si>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</si>
  <si>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</si>
  <si>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</si>
  <si>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</si>
  <si>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</si>
  <si>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</si>
  <si>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</si>
  <si>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</si>
  <si>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Samarqand viloyati Samarqand  filial boshlig'i</t>
  </si>
  <si>
    <t>Asrorov Savlat Saloidinovich</t>
  </si>
  <si>
    <t>№ -SM</t>
  </si>
  <si>
    <t>S.Asrorov</t>
  </si>
  <si>
    <t>N. Abduraximov</t>
  </si>
  <si>
    <t>Ijrochi direktor</t>
  </si>
  <si>
    <t>B. Mominov</t>
  </si>
  <si>
    <t>B. Jumanazarov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</si>
</sst>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2">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786">
    <xf numFmtId="0" fontId="0"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55" fillId="0" borderId="0">
      <alignment vertical="center"/>
    </xf>
    <xf numFmtId="0" fontId="55" fillId="0" borderId="0">
      <alignment vertical="center"/>
    </xf>
    <xf numFmtId="43" fontId="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1"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0" fontId="60" fillId="0" borderId="0"/>
    <xf numFmtId="170" fontId="59" fillId="0" borderId="0" applyFont="0" applyFill="0" applyBorder="0" applyAlignment="0" applyProtection="0"/>
    <xf numFmtId="0" fontId="60" fillId="0" borderId="0"/>
    <xf numFmtId="0" fontId="60" fillId="0" borderId="0"/>
    <xf numFmtId="0" fontId="60"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9" fontId="5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cellStyleXfs>
  <cellXfs count="354">
    <xf numFmtId="0" fontId="0" fillId="0" borderId="0" xfId="0"/>
    <xf numFmtId="0" fontId="7" fillId="0" borderId="1" xfId="0" applyFont="1" applyBorder="1" applyAlignment="1">
      <alignment vertical="center" wrapText="1"/>
    </xf>
    <xf numFmtId="49" fontId="7" fillId="0" borderId="1" xfId="0" applyNumberFormat="1" applyFont="1" applyBorder="1" applyAlignment="1">
      <alignment vertical="center" wrapText="1"/>
    </xf>
    <xf numFmtId="0" fontId="8" fillId="2" borderId="1" xfId="0" applyFont="1" applyFill="1" applyBorder="1" applyAlignment="1">
      <alignment vertical="center" wrapText="1"/>
    </xf>
    <xf numFmtId="165" fontId="7" fillId="0" borderId="1" xfId="0" applyNumberFormat="1" applyFont="1" applyBorder="1" applyAlignment="1">
      <alignment vertical="center" wrapText="1"/>
    </xf>
    <xf numFmtId="43" fontId="7" fillId="0" borderId="1" xfId="1" applyFont="1" applyBorder="1" applyAlignment="1">
      <alignment vertical="center" wrapText="1"/>
    </xf>
    <xf numFmtId="0" fontId="9" fillId="0" borderId="0" xfId="0" applyFont="1"/>
    <xf numFmtId="0" fontId="9" fillId="0" borderId="0" xfId="0" applyFont="1" applyAlignment="1">
      <alignment horizontal="right"/>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4" fillId="0" borderId="0" xfId="0" applyFont="1" applyAlignment="1" applyProtection="1">
      <alignment horizontal="center" vertical="top"/>
      <protection hidden="1"/>
    </xf>
    <xf numFmtId="0" fontId="12" fillId="0" borderId="0" xfId="0" applyFont="1" applyAlignment="1" applyProtection="1">
      <alignment horizontal="center" vertical="center"/>
      <protection hidden="1"/>
    </xf>
    <xf numFmtId="0" fontId="14" fillId="0" borderId="0" xfId="0" applyFont="1" applyAlignment="1" applyProtection="1">
      <alignment horizontal="center" vertical="center"/>
      <protection hidden="1"/>
    </xf>
    <xf numFmtId="0" fontId="10" fillId="0" borderId="0" xfId="0" applyFont="1"/>
    <xf numFmtId="0" fontId="10" fillId="0" borderId="0" xfId="0" applyFont="1" applyAlignment="1">
      <alignment horizontal="right"/>
    </xf>
    <xf numFmtId="0" fontId="15" fillId="0" borderId="0" xfId="0" applyFont="1"/>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xf numFmtId="0" fontId="15" fillId="0" borderId="0" xfId="0" applyFont="1" applyAlignment="1">
      <alignment horizontal="justify" vertical="top" wrapText="1"/>
    </xf>
    <xf numFmtId="0" fontId="15" fillId="0" borderId="0" xfId="0" applyFont="1" applyAlignment="1">
      <alignment wrapText="1"/>
    </xf>
    <xf numFmtId="164" fontId="7" fillId="0" borderId="1" xfId="0" applyNumberFormat="1" applyFont="1" applyBorder="1" applyAlignment="1">
      <alignment vertical="center" wrapText="1"/>
    </xf>
    <xf numFmtId="0" fontId="15" fillId="0" borderId="0" xfId="0" applyFont="1" applyAlignment="1">
      <alignment vertical="top" wrapText="1"/>
    </xf>
    <xf numFmtId="0" fontId="15" fillId="0" borderId="0" xfId="0" applyFont="1" applyAlignment="1">
      <alignment vertical="center" wrapText="1"/>
    </xf>
    <xf numFmtId="0" fontId="18" fillId="0" borderId="0" xfId="0" applyFont="1"/>
    <xf numFmtId="0" fontId="17" fillId="0" borderId="1" xfId="0" applyFont="1" applyBorder="1" applyAlignment="1">
      <alignment horizontal="center" vertical="center" wrapText="1"/>
    </xf>
    <xf numFmtId="0" fontId="17" fillId="0" borderId="0" xfId="0" applyFont="1" applyAlignment="1">
      <alignment horizontal="center" vertical="center" wrapText="1"/>
    </xf>
    <xf numFmtId="0" fontId="18" fillId="0" borderId="1" xfId="0" applyFont="1" applyBorder="1" applyAlignment="1">
      <alignment horizontal="center" vertical="top" wrapText="1"/>
    </xf>
    <xf numFmtId="43" fontId="18" fillId="0" borderId="1" xfId="1" applyFont="1" applyBorder="1" applyAlignment="1">
      <alignment horizontal="center" vertical="top" wrapText="1"/>
    </xf>
    <xf numFmtId="0" fontId="17" fillId="0" borderId="1" xfId="0" applyFont="1" applyBorder="1" applyAlignment="1">
      <alignment horizontal="center" vertical="top" wrapText="1"/>
    </xf>
    <xf numFmtId="43" fontId="17" fillId="0" borderId="1" xfId="0" applyNumberFormat="1" applyFont="1" applyBorder="1" applyAlignment="1">
      <alignment horizontal="center" vertical="top" wrapText="1"/>
    </xf>
    <xf numFmtId="0" fontId="17" fillId="0" borderId="0" xfId="0" applyFont="1"/>
    <xf numFmtId="0" fontId="9" fillId="0" borderId="0" xfId="0" applyFont="1" applyAlignment="1">
      <alignment horizontal="left"/>
    </xf>
    <xf numFmtId="14" fontId="15" fillId="0" borderId="1" xfId="0" applyNumberFormat="1" applyFont="1" applyBorder="1"/>
    <xf numFmtId="43" fontId="15" fillId="0" borderId="1" xfId="1" applyFont="1" applyBorder="1"/>
    <xf numFmtId="14" fontId="15" fillId="0" borderId="0" xfId="0" applyNumberFormat="1" applyFont="1"/>
    <xf numFmtId="43" fontId="15" fillId="0" borderId="0" xfId="1" applyFont="1" applyBorder="1"/>
    <xf numFmtId="0" fontId="16" fillId="0" borderId="0" xfId="0" applyFont="1"/>
    <xf numFmtId="0" fontId="16" fillId="0" borderId="0" xfId="0" applyFont="1" applyAlignment="1">
      <alignment horizontal="right"/>
    </xf>
    <xf numFmtId="0" fontId="16" fillId="0" borderId="1" xfId="0" applyFont="1" applyBorder="1" applyAlignment="1">
      <alignment horizontal="center" vertical="center" wrapText="1"/>
    </xf>
    <xf numFmtId="0" fontId="16" fillId="0" borderId="0" xfId="0" applyFont="1" applyAlignment="1">
      <alignment horizontal="center"/>
    </xf>
    <xf numFmtId="0" fontId="23" fillId="0" borderId="0" xfId="0" applyFont="1" applyAlignment="1">
      <alignment horizontal="center" wrapText="1"/>
    </xf>
    <xf numFmtId="0" fontId="15" fillId="0" borderId="0" xfId="0" applyFont="1" applyAlignment="1">
      <alignment horizontal="center" wrapText="1"/>
    </xf>
    <xf numFmtId="0" fontId="22" fillId="0" borderId="0" xfId="0" applyFont="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1" xfId="0" applyFont="1" applyBorder="1"/>
    <xf numFmtId="14" fontId="16" fillId="0" borderId="1" xfId="0" applyNumberFormat="1" applyFont="1" applyBorder="1"/>
    <xf numFmtId="43" fontId="16" fillId="0" borderId="1" xfId="1" applyFont="1" applyBorder="1"/>
    <xf numFmtId="0" fontId="7" fillId="4" borderId="1" xfId="0" applyFont="1" applyFill="1" applyBorder="1" applyAlignment="1">
      <alignment vertical="center" wrapText="1"/>
    </xf>
    <xf numFmtId="0" fontId="16" fillId="0" borderId="0" xfId="0" applyFont="1" applyAlignment="1">
      <alignment horizontal="center" vertical="center" wrapText="1"/>
    </xf>
    <xf numFmtId="43" fontId="28" fillId="0" borderId="1" xfId="1" applyFont="1" applyBorder="1"/>
    <xf numFmtId="43" fontId="7" fillId="4" borderId="1" xfId="1" applyFont="1" applyFill="1" applyBorder="1" applyAlignment="1">
      <alignment vertical="center" wrapText="1"/>
    </xf>
    <xf numFmtId="0" fontId="15" fillId="0" borderId="0" xfId="0" applyFont="1" applyAlignment="1">
      <alignment horizontal="left" vertical="top" wrapText="1"/>
    </xf>
    <xf numFmtId="0" fontId="15" fillId="0" borderId="8" xfId="0" applyFont="1" applyBorder="1" applyAlignment="1">
      <alignment wrapText="1"/>
    </xf>
    <xf numFmtId="0" fontId="15" fillId="0" borderId="9" xfId="0" applyFont="1" applyBorder="1" applyAlignment="1">
      <alignment wrapText="1"/>
    </xf>
    <xf numFmtId="49" fontId="9" fillId="0" borderId="0" xfId="0" applyNumberFormat="1" applyFont="1" applyAlignment="1">
      <alignment horizontal="right"/>
    </xf>
    <xf numFmtId="49" fontId="7" fillId="4" borderId="1" xfId="0" applyNumberFormat="1" applyFont="1" applyFill="1" applyBorder="1" applyAlignment="1">
      <alignment vertical="center" wrapText="1"/>
    </xf>
    <xf numFmtId="165" fontId="27" fillId="2" borderId="1" xfId="0" applyNumberFormat="1" applyFont="1" applyFill="1" applyBorder="1" applyAlignment="1">
      <alignment vertical="center" wrapText="1"/>
    </xf>
    <xf numFmtId="165" fontId="7" fillId="2" borderId="1" xfId="0" applyNumberFormat="1" applyFont="1" applyFill="1" applyBorder="1" applyAlignment="1">
      <alignment vertical="center" wrapText="1"/>
    </xf>
    <xf numFmtId="0" fontId="7"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2" fillId="4" borderId="1" xfId="0" applyFont="1" applyFill="1" applyBorder="1"/>
    <xf numFmtId="0" fontId="10" fillId="0" borderId="0" xfId="0" applyFont="1" applyAlignment="1">
      <alignment horizontal="center" vertical="center" wrapText="1"/>
    </xf>
    <xf numFmtId="0" fontId="10" fillId="0" borderId="0" xfId="0" applyFont="1" applyAlignment="1">
      <alignment horizontal="center"/>
    </xf>
    <xf numFmtId="0" fontId="9" fillId="0" borderId="0" xfId="0" applyFont="1" applyAlignment="1">
      <alignment horizontal="center" vertical="center"/>
    </xf>
    <xf numFmtId="0" fontId="10" fillId="0" borderId="0" xfId="0" applyFont="1" applyAlignment="1">
      <alignment horizontal="center" vertical="center"/>
    </xf>
    <xf numFmtId="43" fontId="7" fillId="4" borderId="3" xfId="1" applyFont="1" applyFill="1" applyBorder="1" applyAlignment="1">
      <alignment vertical="center" wrapText="1"/>
    </xf>
    <xf numFmtId="0" fontId="8" fillId="2" borderId="1" xfId="0" applyFont="1" applyFill="1" applyBorder="1" applyAlignment="1">
      <alignment horizontal="right" vertical="center" wrapText="1"/>
    </xf>
    <xf numFmtId="0" fontId="9" fillId="0" borderId="0" xfId="0" applyFont="1" applyAlignment="1">
      <alignment horizontal="center" vertical="center" wrapText="1"/>
    </xf>
    <xf numFmtId="0" fontId="9" fillId="0" borderId="0" xfId="0" applyFont="1" applyAlignment="1">
      <alignment vertical="top" wrapText="1"/>
    </xf>
    <xf numFmtId="0" fontId="9" fillId="0" borderId="0" xfId="0" applyFont="1" applyAlignment="1">
      <alignment horizontal="center" wrapText="1"/>
    </xf>
    <xf numFmtId="0" fontId="10" fillId="0" borderId="0" xfId="0" applyFont="1" applyAlignment="1">
      <alignment horizontal="center" wrapText="1"/>
    </xf>
    <xf numFmtId="0" fontId="19" fillId="0" borderId="0" xfId="0" applyFont="1" applyAlignment="1">
      <alignment horizontal="center"/>
    </xf>
    <xf numFmtId="0" fontId="9" fillId="0" borderId="0" xfId="0" applyFont="1" applyAlignment="1">
      <alignment vertical="top"/>
    </xf>
    <xf numFmtId="0" fontId="7" fillId="6" borderId="1" xfId="0" applyFont="1" applyFill="1" applyBorder="1" applyAlignment="1">
      <alignment vertical="center" wrapText="1"/>
    </xf>
    <xf numFmtId="165" fontId="7" fillId="2" borderId="1" xfId="0" applyNumberFormat="1" applyFont="1" applyFill="1" applyBorder="1" applyAlignment="1">
      <alignment horizontal="left" vertical="center" wrapText="1"/>
    </xf>
    <xf numFmtId="14" fontId="7" fillId="6" borderId="1" xfId="0" applyNumberFormat="1" applyFont="1" applyFill="1" applyBorder="1" applyAlignment="1">
      <alignment vertical="center" wrapText="1"/>
    </xf>
    <xf numFmtId="165" fontId="7" fillId="6" borderId="1" xfId="0" applyNumberFormat="1" applyFont="1" applyFill="1" applyBorder="1" applyAlignment="1">
      <alignment vertical="center" wrapText="1"/>
    </xf>
    <xf numFmtId="0" fontId="7" fillId="7" borderId="1" xfId="0" applyFont="1" applyFill="1" applyBorder="1" applyAlignment="1">
      <alignment vertical="center" wrapText="1"/>
    </xf>
    <xf numFmtId="9" fontId="7" fillId="7" borderId="1" xfId="0" applyNumberFormat="1" applyFont="1" applyFill="1" applyBorder="1" applyAlignment="1">
      <alignment vertical="center" wrapText="1"/>
    </xf>
    <xf numFmtId="49" fontId="7" fillId="7" borderId="1" xfId="1" applyNumberFormat="1" applyFont="1" applyFill="1" applyBorder="1" applyAlignment="1">
      <alignment vertical="center" wrapText="1"/>
    </xf>
    <xf numFmtId="40" fontId="7" fillId="7" borderId="1" xfId="1" applyNumberFormat="1" applyFont="1" applyFill="1" applyBorder="1" applyAlignment="1">
      <alignment vertical="center" wrapText="1"/>
    </xf>
    <xf numFmtId="0" fontId="8" fillId="2" borderId="1" xfId="0" applyFont="1" applyFill="1" applyBorder="1" applyAlignment="1">
      <alignment horizontal="center" vertical="center" wrapText="1"/>
    </xf>
    <xf numFmtId="49" fontId="7" fillId="4" borderId="1" xfId="0" applyNumberFormat="1" applyFont="1" applyFill="1" applyBorder="1" applyAlignment="1">
      <alignment horizontal="left" vertical="center" wrapText="1"/>
    </xf>
    <xf numFmtId="0" fontId="35" fillId="0" borderId="0" xfId="0" applyFont="1"/>
    <xf numFmtId="0" fontId="28" fillId="0" borderId="0" xfId="0" applyFont="1"/>
    <xf numFmtId="0" fontId="35" fillId="0" borderId="0" xfId="0" applyFont="1" applyAlignment="1">
      <alignment horizontal="right"/>
    </xf>
    <xf numFmtId="164" fontId="28" fillId="0" borderId="0" xfId="0" applyNumberFormat="1" applyFont="1"/>
    <xf numFmtId="166" fontId="28" fillId="0" borderId="0" xfId="0" applyNumberFormat="1" applyFont="1"/>
    <xf numFmtId="0" fontId="28" fillId="0" borderId="1" xfId="0" applyFont="1" applyBorder="1" applyAlignment="1">
      <alignment horizontal="center" vertical="center" wrapText="1"/>
    </xf>
    <xf numFmtId="0" fontId="28" fillId="0" borderId="0" xfId="0" applyFont="1" applyAlignment="1">
      <alignment horizontal="center" vertical="center" wrapText="1"/>
    </xf>
    <xf numFmtId="0" fontId="28" fillId="0" borderId="1" xfId="0" applyFont="1" applyBorder="1"/>
    <xf numFmtId="14" fontId="28" fillId="0" borderId="1" xfId="0" applyNumberFormat="1" applyFont="1" applyBorder="1"/>
    <xf numFmtId="167" fontId="28" fillId="0" borderId="0" xfId="0" applyNumberFormat="1" applyFont="1"/>
    <xf numFmtId="0" fontId="35" fillId="0" borderId="1" xfId="0" applyFont="1" applyBorder="1"/>
    <xf numFmtId="14" fontId="35" fillId="0" borderId="1" xfId="0" applyNumberFormat="1" applyFont="1" applyBorder="1"/>
    <xf numFmtId="43" fontId="35" fillId="0" borderId="1" xfId="1" applyFont="1" applyBorder="1"/>
    <xf numFmtId="14" fontId="28" fillId="0" borderId="0" xfId="0" applyNumberFormat="1" applyFont="1"/>
    <xf numFmtId="43" fontId="28" fillId="0" borderId="0" xfId="1" applyFont="1" applyBorder="1"/>
    <xf numFmtId="14" fontId="27" fillId="5" borderId="0" xfId="0" applyNumberFormat="1" applyFont="1" applyFill="1"/>
    <xf numFmtId="0" fontId="27" fillId="5" borderId="0" xfId="0" applyFont="1" applyFill="1"/>
    <xf numFmtId="0" fontId="27" fillId="0" borderId="0" xfId="0" applyFont="1"/>
    <xf numFmtId="168" fontId="38" fillId="5" borderId="0" xfId="0" applyNumberFormat="1" applyFont="1" applyFill="1"/>
    <xf numFmtId="0" fontId="27" fillId="4" borderId="0" xfId="0" applyFont="1" applyFill="1"/>
    <xf numFmtId="1" fontId="27" fillId="5" borderId="0" xfId="0" applyNumberFormat="1" applyFont="1" applyFill="1"/>
    <xf numFmtId="49" fontId="28"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43" fontId="15" fillId="0" borderId="1" xfId="1" applyFont="1" applyBorder="1" applyAlignment="1">
      <alignment horizontal="center"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7"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9" fillId="0" borderId="0" xfId="0" applyFont="1" applyAlignment="1">
      <alignment horizontal="right"/>
    </xf>
    <xf numFmtId="0" fontId="29" fillId="0" borderId="0" xfId="0" applyFont="1" applyAlignment="1">
      <alignment horizontal="justify"/>
    </xf>
    <xf numFmtId="0" fontId="29" fillId="0" borderId="0" xfId="0" applyFont="1" applyAlignment="1">
      <alignment horizontal="justify" vertical="center"/>
    </xf>
    <xf numFmtId="0" fontId="29" fillId="0" borderId="1" xfId="0" applyFont="1" applyBorder="1" applyAlignment="1">
      <alignment horizontal="justify"/>
    </xf>
    <xf numFmtId="0" fontId="29" fillId="0" borderId="0" xfId="0" applyFont="1" applyAlignment="1">
      <alignment horizontal="justify" vertical="center" wrapText="1"/>
    </xf>
    <xf numFmtId="0" fontId="29" fillId="0" borderId="0" xfId="0" applyFont="1" applyAlignment="1">
      <alignment horizontal="left"/>
    </xf>
    <xf numFmtId="0" fontId="29" fillId="0" borderId="11" xfId="0" applyFont="1" applyBorder="1" applyAlignment="1">
      <alignment horizontal="center"/>
    </xf>
    <xf numFmtId="0" fontId="29" fillId="0" borderId="0" xfId="0" applyFont="1" applyAlignment="1">
      <alignment horizontal="center"/>
    </xf>
    <xf numFmtId="0" fontId="7" fillId="3" borderId="1" xfId="0" applyFont="1" applyFill="1" applyBorder="1" applyAlignment="1">
      <alignment horizontal="center" vertical="center" wrapText="1"/>
    </xf>
    <xf numFmtId="0" fontId="15" fillId="0" borderId="0" xfId="0" applyFont="1" applyAlignment="1">
      <alignment vertical="top"/>
    </xf>
    <xf numFmtId="0" fontId="31" fillId="0" borderId="0" xfId="0" applyFont="1" applyAlignment="1">
      <alignment horizontal="justify" vertical="top" wrapText="1"/>
    </xf>
    <xf numFmtId="0" fontId="16" fillId="0" borderId="0" xfId="0" applyFont="1" applyAlignment="1">
      <alignment horizontal="left" vertical="center" wrapText="1"/>
    </xf>
    <xf numFmtId="0" fontId="16" fillId="0" borderId="0" xfId="0" applyFont="1" applyAlignment="1">
      <alignment horizontal="right" vertical="center" wrapText="1"/>
    </xf>
    <xf numFmtId="0" fontId="0" fillId="0" borderId="0" xfId="0" applyAlignment="1">
      <alignment horizontal="left" vertical="center"/>
    </xf>
    <xf numFmtId="0" fontId="15" fillId="0" borderId="0" xfId="0" applyFont="1" applyAlignment="1">
      <alignment horizontal="left" vertical="center" wrapText="1"/>
    </xf>
    <xf numFmtId="0" fontId="15" fillId="0" borderId="0" xfId="0" applyFont="1" applyAlignment="1">
      <alignment horizontal="right"/>
    </xf>
    <xf numFmtId="0" fontId="8" fillId="6" borderId="1" xfId="0" applyFont="1" applyFill="1" applyBorder="1" applyAlignment="1">
      <alignment horizontal="left" vertical="center" wrapText="1"/>
    </xf>
    <xf numFmtId="0" fontId="8" fillId="6" borderId="1" xfId="0" applyFont="1" applyFill="1" applyBorder="1" applyAlignment="1">
      <alignment vertical="center" wrapText="1"/>
    </xf>
    <xf numFmtId="0" fontId="11" fillId="4" borderId="1" xfId="0" applyFont="1" applyFill="1" applyBorder="1" applyAlignment="1">
      <alignment horizontal="center" vertical="center" wrapText="1"/>
    </xf>
    <xf numFmtId="0" fontId="18" fillId="0" borderId="0" xfId="0" applyFont="1" applyAlignment="1">
      <alignment wrapText="1"/>
    </xf>
    <xf numFmtId="165" fontId="18" fillId="0" borderId="0" xfId="0" applyNumberFormat="1" applyFont="1"/>
    <xf numFmtId="0" fontId="17" fillId="0" borderId="0" xfId="0" applyFont="1" applyAlignment="1">
      <alignment vertical="center" wrapText="1"/>
    </xf>
    <xf numFmtId="0" fontId="17" fillId="0" borderId="0" xfId="0" applyFont="1" applyAlignment="1">
      <alignment horizontal="left"/>
    </xf>
    <xf numFmtId="0" fontId="10" fillId="0" borderId="0" xfId="0" applyFont="1" applyAlignment="1">
      <alignment horizontal="left"/>
    </xf>
    <xf numFmtId="0" fontId="7" fillId="4" borderId="3" xfId="0" applyFont="1" applyFill="1" applyBorder="1" applyAlignment="1">
      <alignment vertical="center" wrapText="1"/>
    </xf>
    <xf numFmtId="49" fontId="11" fillId="4" borderId="1" xfId="0" applyNumberFormat="1" applyFont="1" applyFill="1" applyBorder="1" applyAlignment="1">
      <alignment horizontal="center" vertical="center" wrapText="1"/>
    </xf>
    <xf numFmtId="164" fontId="7" fillId="4" borderId="1" xfId="0" applyNumberFormat="1" applyFont="1" applyFill="1" applyBorder="1" applyAlignment="1">
      <alignment vertical="center" wrapText="1"/>
    </xf>
    <xf numFmtId="0" fontId="18" fillId="0" borderId="0" xfId="0" applyFont="1" applyAlignment="1">
      <alignment horizontal="center" vertical="top" wrapText="1"/>
    </xf>
    <xf numFmtId="0" fontId="43" fillId="2" borderId="1" xfId="0" applyFont="1" applyFill="1" applyBorder="1" applyAlignment="1">
      <alignment vertical="center" wrapText="1"/>
    </xf>
    <xf numFmtId="0" fontId="7" fillId="9" borderId="1" xfId="0" applyFont="1" applyFill="1" applyBorder="1" applyAlignment="1">
      <alignment vertical="center" wrapText="1"/>
    </xf>
    <xf numFmtId="0" fontId="5" fillId="0" borderId="0" xfId="0" applyFont="1"/>
    <xf numFmtId="0" fontId="44" fillId="0" borderId="0" xfId="0" applyFont="1" applyAlignment="1">
      <alignment vertical="center"/>
    </xf>
    <xf numFmtId="0" fontId="45" fillId="0" borderId="0" xfId="0" applyFont="1" applyAlignment="1">
      <alignment wrapText="1"/>
    </xf>
    <xf numFmtId="0" fontId="9" fillId="0" borderId="0" xfId="0" applyFont="1" applyAlignment="1">
      <alignment wrapText="1"/>
    </xf>
    <xf numFmtId="0" fontId="47" fillId="0" borderId="0" xfId="0" applyFont="1"/>
    <xf numFmtId="0" fontId="48" fillId="0" borderId="0" xfId="0" applyFont="1"/>
    <xf numFmtId="0" fontId="10" fillId="0" borderId="0" xfId="0" applyFont="1" applyAlignment="1">
      <alignment horizontal="left" vertical="center" wrapText="1"/>
    </xf>
    <xf numFmtId="0" fontId="9" fillId="0" borderId="0" xfId="0" applyFont="1" applyAlignment="1">
      <alignment horizontal="left" vertical="top" wrapText="1"/>
    </xf>
    <xf numFmtId="0" fontId="33" fillId="0" borderId="0" xfId="0" applyFont="1" applyAlignment="1">
      <alignment horizontal="left"/>
    </xf>
    <xf numFmtId="0" fontId="10" fillId="0" borderId="0" xfId="0" applyFont="1" applyAlignment="1">
      <alignment horizontal="left" vertical="top" wrapText="1"/>
    </xf>
    <xf numFmtId="49" fontId="9" fillId="0" borderId="0" xfId="0" applyNumberFormat="1" applyFont="1" applyAlignment="1">
      <alignment horizontal="left" vertical="top" wrapText="1"/>
    </xf>
    <xf numFmtId="0" fontId="46" fillId="0" borderId="0" xfId="0" applyFont="1" applyAlignment="1">
      <alignment vertical="top" wrapText="1"/>
    </xf>
    <xf numFmtId="0" fontId="46" fillId="0" borderId="4" xfId="0" applyFont="1" applyBorder="1" applyAlignment="1">
      <alignment vertical="top" wrapText="1"/>
    </xf>
    <xf numFmtId="0" fontId="46" fillId="0" borderId="18" xfId="0" applyFont="1" applyBorder="1" applyAlignment="1">
      <alignment vertical="top" wrapText="1"/>
    </xf>
    <xf numFmtId="0" fontId="31" fillId="0" borderId="18" xfId="0" applyFont="1" applyBorder="1" applyAlignment="1">
      <alignment horizontal="justify" vertical="top" wrapText="1"/>
    </xf>
    <xf numFmtId="0" fontId="7" fillId="5" borderId="1" xfId="0" applyFont="1" applyFill="1" applyBorder="1" applyAlignment="1">
      <alignment vertical="center" wrapText="1"/>
    </xf>
    <xf numFmtId="0" fontId="15" fillId="0" borderId="0" xfId="0" applyFont="1" applyAlignment="1">
      <alignment horizontal="left"/>
    </xf>
    <xf numFmtId="0" fontId="10" fillId="0" borderId="0" xfId="0" applyFont="1" applyAlignment="1">
      <alignment horizontal="right" wrapText="1"/>
    </xf>
    <xf numFmtId="14" fontId="7" fillId="3" borderId="1" xfId="0" applyNumberFormat="1" applyFont="1" applyFill="1" applyBorder="1" applyAlignment="1">
      <alignment horizontal="center" vertical="center" wrapText="1"/>
    </xf>
    <xf numFmtId="0" fontId="50" fillId="2" borderId="1" xfId="0" applyFont="1" applyFill="1" applyBorder="1" applyAlignment="1">
      <alignment horizontal="left" vertical="center" wrapText="1"/>
    </xf>
    <xf numFmtId="0" fontId="50" fillId="2" borderId="1" xfId="0" applyFont="1" applyFill="1" applyBorder="1" applyAlignment="1">
      <alignment vertical="center" wrapText="1"/>
    </xf>
    <xf numFmtId="0" fontId="9" fillId="0" borderId="0" xfId="0" applyFont="1" applyAlignment="1">
      <alignment horizontal="center"/>
    </xf>
    <xf numFmtId="0" fontId="30" fillId="4" borderId="1" xfId="0" applyFont="1" applyFill="1" applyBorder="1" applyAlignment="1">
      <alignment vertical="center" wrapText="1"/>
    </xf>
    <xf numFmtId="0" fontId="51" fillId="4" borderId="1" xfId="0" applyFont="1" applyFill="1" applyBorder="1" applyAlignment="1">
      <alignment vertical="center" wrapText="1"/>
    </xf>
    <xf numFmtId="0" fontId="53" fillId="4" borderId="1" xfId="0" applyFont="1" applyFill="1" applyBorder="1" applyAlignment="1">
      <alignment vertical="center" wrapText="1"/>
    </xf>
    <xf numFmtId="0" fontId="52" fillId="2" borderId="1" xfId="0" applyFont="1" applyFill="1" applyBorder="1" applyAlignment="1">
      <alignment vertical="center" wrapText="1"/>
    </xf>
    <xf numFmtId="0" fontId="10" fillId="0" borderId="0" xfId="0" applyFont="1" applyAlignment="1">
      <alignment wrapText="1"/>
    </xf>
    <xf numFmtId="0" fontId="50" fillId="10" borderId="2" xfId="0" applyFont="1" applyFill="1" applyBorder="1" applyAlignment="1">
      <alignment horizontal="left" vertical="center" wrapText="1"/>
    </xf>
    <xf numFmtId="0" fontId="50" fillId="10" borderId="24" xfId="0" applyFont="1" applyFill="1" applyBorder="1" applyAlignment="1">
      <alignment horizontal="left" vertical="center" wrapText="1"/>
    </xf>
    <xf numFmtId="43" fontId="53" fillId="4" borderId="1" xfId="1" applyFont="1" applyFill="1" applyBorder="1" applyAlignment="1">
      <alignment vertical="center" wrapText="1"/>
    </xf>
    <xf numFmtId="0" fontId="9" fillId="5" borderId="0" xfId="0" applyFont="1" applyFill="1" applyAlignment="1">
      <alignment horizontal="center" wrapText="1"/>
    </xf>
    <xf numFmtId="0" fontId="15" fillId="11" borderId="0" xfId="0" applyFont="1" applyFill="1"/>
    <xf numFmtId="0" fontId="7" fillId="10" borderId="0" xfId="0" applyFont="1" applyFill="1"/>
    <xf numFmtId="164" fontId="7" fillId="10" borderId="3" xfId="0" applyNumberFormat="1" applyFont="1" applyFill="1" applyBorder="1" applyAlignment="1">
      <alignment horizontal="left" vertical="top" wrapText="1"/>
    </xf>
    <xf numFmtId="14" fontId="7" fillId="10" borderId="0" xfId="0" applyNumberFormat="1" applyFont="1" applyFill="1"/>
    <xf numFmtId="0" fontId="56" fillId="10" borderId="16" xfId="0" applyFont="1" applyFill="1" applyBorder="1"/>
    <xf numFmtId="168" fontId="8" fillId="10" borderId="0" xfId="0" applyNumberFormat="1" applyFont="1" applyFill="1"/>
    <xf numFmtId="0" fontId="7" fillId="10" borderId="19" xfId="0" applyFont="1" applyFill="1" applyBorder="1"/>
    <xf numFmtId="0" fontId="7" fillId="10" borderId="20" xfId="0" applyFont="1" applyFill="1" applyBorder="1"/>
    <xf numFmtId="0" fontId="26" fillId="0" borderId="0" xfId="0" applyFont="1" applyAlignment="1">
      <alignment horizontal="left" vertical="top" wrapText="1"/>
    </xf>
    <xf numFmtId="0" fontId="8" fillId="10" borderId="0" xfId="0" applyFont="1" applyFill="1" applyAlignment="1">
      <alignment vertical="center" wrapText="1"/>
    </xf>
    <xf numFmtId="49" fontId="7" fillId="10" borderId="0" xfId="0" applyNumberFormat="1" applyFont="1" applyFill="1"/>
    <xf numFmtId="0" fontId="7" fillId="10" borderId="0" xfId="0" applyFont="1" applyFill="1" applyAlignment="1">
      <alignment vertical="center" wrapText="1"/>
    </xf>
    <xf numFmtId="49" fontId="57" fillId="4" borderId="1" xfId="0" applyNumberFormat="1" applyFont="1" applyFill="1" applyBorder="1" applyAlignment="1">
      <alignment vertical="center" wrapText="1"/>
    </xf>
    <xf numFmtId="169" fontId="58" fillId="4" borderId="1" xfId="0" applyNumberFormat="1" applyFont="1" applyFill="1" applyBorder="1" applyAlignment="1">
      <alignment vertical="center" wrapText="1"/>
    </xf>
    <xf numFmtId="0" fontId="30" fillId="10" borderId="0" xfId="0" applyFont="1" applyFill="1"/>
    <xf numFmtId="43" fontId="7" fillId="10" borderId="0" xfId="0" applyNumberFormat="1" applyFont="1" applyFill="1"/>
    <xf numFmtId="10" fontId="30" fillId="10" borderId="0" xfId="559" applyNumberFormat="1" applyFont="1" applyFill="1" applyAlignment="1">
      <alignment horizontal="center" vertical="center"/>
    </xf>
    <xf numFmtId="0" fontId="30" fillId="10" borderId="0" xfId="0" applyFont="1" applyFill="1" applyAlignment="1">
      <alignment horizontal="center" vertical="center"/>
    </xf>
    <xf numFmtId="169" fontId="11" fillId="2" borderId="1" xfId="0" applyNumberFormat="1" applyFont="1" applyFill="1" applyBorder="1" applyAlignment="1">
      <alignment horizontal="center" vertical="center" wrapText="1"/>
    </xf>
    <xf numFmtId="11" fontId="7" fillId="4" borderId="1" xfId="0" applyNumberFormat="1" applyFont="1" applyFill="1" applyBorder="1" applyAlignment="1">
      <alignment vertical="center" wrapText="1"/>
    </xf>
    <xf numFmtId="0" fontId="7" fillId="10" borderId="1" xfId="0" applyFont="1" applyFill="1" applyBorder="1"/>
    <xf numFmtId="0" fontId="7" fillId="10" borderId="1" xfId="0" applyFont="1" applyFill="1" applyBorder="1" applyAlignment="1">
      <alignment wrapText="1"/>
    </xf>
    <xf numFmtId="0" fontId="11" fillId="10"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xf>
    <xf numFmtId="0" fontId="7" fillId="10" borderId="1" xfId="0" applyFont="1" applyFill="1" applyBorder="1" applyAlignment="1">
      <alignment horizontal="left" vertical="center" wrapText="1"/>
    </xf>
    <xf numFmtId="0" fontId="7" fillId="10" borderId="1" xfId="0" applyFont="1" applyFill="1" applyBorder="1" applyAlignment="1">
      <alignment vertical="center" wrapText="1"/>
    </xf>
    <xf numFmtId="0" fontId="8" fillId="10" borderId="0" xfId="0" applyFont="1" applyFill="1" applyAlignment="1">
      <alignment vertical="center"/>
    </xf>
    <xf numFmtId="0" fontId="7" fillId="10" borderId="13" xfId="0" applyFont="1" applyFill="1" applyBorder="1" applyAlignment="1">
      <alignment vertical="center"/>
    </xf>
    <xf numFmtId="0" fontId="7" fillId="10" borderId="15" xfId="0" applyFont="1" applyFill="1" applyBorder="1" applyAlignment="1">
      <alignment vertical="center"/>
    </xf>
    <xf numFmtId="14" fontId="7" fillId="10" borderId="1" xfId="0" applyNumberFormat="1" applyFont="1" applyFill="1" applyBorder="1"/>
    <xf numFmtId="0" fontId="8" fillId="10" borderId="0" xfId="0" applyFont="1" applyFill="1"/>
    <xf numFmtId="49" fontId="7" fillId="10" borderId="1" xfId="0" applyNumberFormat="1" applyFont="1" applyFill="1" applyBorder="1"/>
    <xf numFmtId="0" fontId="8" fillId="10" borderId="0" xfId="0" applyFont="1" applyFill="1" applyAlignment="1">
      <alignment wrapText="1"/>
    </xf>
    <xf numFmtId="164" fontId="7" fillId="10" borderId="1" xfId="0" applyNumberFormat="1" applyFont="1" applyFill="1" applyBorder="1" applyAlignment="1">
      <alignment vertical="center" wrapText="1"/>
    </xf>
    <xf numFmtId="164" fontId="7" fillId="10" borderId="0" xfId="0" applyNumberFormat="1" applyFont="1" applyFill="1" applyAlignment="1">
      <alignment vertical="center" wrapText="1"/>
    </xf>
    <xf numFmtId="169" fontId="7" fillId="4" borderId="1" xfId="0" applyNumberFormat="1" applyFont="1" applyFill="1" applyBorder="1" applyAlignment="1">
      <alignment horizontal="left" vertical="top" wrapText="1"/>
    </xf>
    <xf numFmtId="49" fontId="30" fillId="4" borderId="1" xfId="0" applyNumberFormat="1" applyFont="1" applyFill="1" applyBorder="1" applyAlignment="1">
      <alignment vertical="center"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16" fillId="0" borderId="0" xfId="0" applyFont="1" applyAlignment="1">
      <alignment vertical="top" wrapText="1"/>
    </xf>
    <xf numFmtId="0" fontId="16" fillId="0" borderId="0" xfId="0" applyFont="1" applyAlignment="1">
      <alignment horizontal="center" vertical="center" wrapText="1"/>
    </xf>
    <xf numFmtId="0" fontId="15" fillId="0" borderId="0" xfId="0" applyFont="1" applyAlignment="1">
      <alignment horizontal="justify" vertical="top"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5" fillId="0" borderId="0" xfId="0" applyFont="1" applyAlignment="1">
      <alignment vertical="top" wrapText="1"/>
    </xf>
    <xf numFmtId="0" fontId="28" fillId="0" borderId="0" xfId="0" applyFont="1" applyAlignment="1">
      <alignment horizontal="center"/>
    </xf>
    <xf numFmtId="0" fontId="28" fillId="0" borderId="0" xfId="0" applyFont="1" applyAlignment="1">
      <alignment horizontal="center" vertical="top" wrapText="1"/>
    </xf>
    <xf numFmtId="0" fontId="28" fillId="0" borderId="0" xfId="0" applyFont="1" applyAlignment="1">
      <alignment horizontal="left" wrapText="1"/>
    </xf>
    <xf numFmtId="0" fontId="37" fillId="0" borderId="0" xfId="0" applyFont="1" applyAlignment="1">
      <alignment horizontal="center" vertical="top" wrapText="1"/>
    </xf>
    <xf numFmtId="0" fontId="28" fillId="0" borderId="0" xfId="0" applyFont="1" applyAlignment="1">
      <alignment horizontal="center" wrapText="1"/>
    </xf>
    <xf numFmtId="0" fontId="35" fillId="0" borderId="0" xfId="0" applyFont="1" applyAlignment="1">
      <alignment horizontal="center" vertical="top" wrapText="1"/>
    </xf>
    <xf numFmtId="0" fontId="28"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right"/>
    </xf>
    <xf numFmtId="0" fontId="35" fillId="0" borderId="0" xfId="0" applyFont="1" applyAlignment="1">
      <alignment horizontal="center"/>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horizontal="center"/>
    </xf>
    <xf numFmtId="0" fontId="46" fillId="0" borderId="0" xfId="0" applyFont="1" applyAlignment="1">
      <alignment horizontal="justify" vertical="top" wrapText="1"/>
    </xf>
    <xf numFmtId="0" fontId="16" fillId="0" borderId="0" xfId="0" applyFont="1" applyAlignment="1">
      <alignment horizontal="left"/>
    </xf>
    <xf numFmtId="0" fontId="16" fillId="0" borderId="0" xfId="0" applyFont="1" applyAlignment="1">
      <alignment horizontal="left" wrapText="1"/>
    </xf>
    <xf numFmtId="0" fontId="15" fillId="0" borderId="0" xfId="0" applyFont="1" applyAlignment="1">
      <alignment horizontal="justify" vertical="top" wrapText="1"/>
    </xf>
    <xf numFmtId="0" fontId="15" fillId="0" borderId="0" xfId="0" applyFont="1" applyAlignment="1">
      <alignment horizontal="left" vertical="center" wrapText="1"/>
    </xf>
    <xf numFmtId="0" fontId="16" fillId="0" borderId="0" xfId="0" applyFont="1" applyAlignment="1">
      <alignment horizontal="center" vertical="center" wrapText="1"/>
    </xf>
    <xf numFmtId="0" fontId="15" fillId="0" borderId="0" xfId="0" applyFont="1" applyAlignment="1">
      <alignment horizontal="left" vertical="top" wrapText="1"/>
    </xf>
    <xf numFmtId="0" fontId="35" fillId="0" borderId="0" xfId="0" applyFont="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5" fillId="0" borderId="0" xfId="0" applyFont="1" applyAlignment="1">
      <alignment horizontal="center"/>
    </xf>
    <xf numFmtId="0" fontId="15" fillId="0" borderId="0" xfId="0" applyFont="1" applyAlignment="1">
      <alignment horizontal="center" vertical="top" wrapText="1"/>
    </xf>
    <xf numFmtId="0" fontId="15" fillId="0" borderId="0" xfId="0" applyFont="1" applyAlignment="1">
      <alignment horizontal="left" wrapText="1"/>
    </xf>
    <xf numFmtId="0" fontId="20" fillId="0" borderId="0" xfId="0" applyFont="1" applyAlignment="1">
      <alignment horizontal="center" vertical="top" wrapText="1"/>
    </xf>
    <xf numFmtId="0" fontId="15" fillId="0" borderId="0" xfId="0" applyFont="1" applyAlignment="1">
      <alignment horizontal="center" wrapText="1"/>
    </xf>
    <xf numFmtId="0" fontId="16" fillId="0" borderId="0" xfId="0" applyFont="1" applyAlignment="1">
      <alignment horizontal="center" vertical="top" wrapText="1"/>
    </xf>
    <xf numFmtId="0" fontId="21" fillId="0" borderId="0" xfId="0" applyFont="1" applyAlignment="1">
      <alignment horizontal="center" vertical="center" wrapText="1"/>
    </xf>
    <xf numFmtId="0" fontId="16" fillId="0" borderId="0" xfId="0" applyFont="1" applyAlignment="1">
      <alignment horizontal="center" wrapText="1"/>
    </xf>
    <xf numFmtId="0" fontId="16" fillId="0" borderId="0" xfId="0" applyFont="1" applyAlignment="1">
      <alignment horizontal="right"/>
    </xf>
    <xf numFmtId="0" fontId="16" fillId="0" borderId="0" xfId="0" applyFont="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xf>
    <xf numFmtId="0" fontId="18" fillId="0" borderId="0" xfId="0" applyFont="1" applyAlignment="1">
      <alignment horizontal="justify" vertical="top" wrapText="1"/>
    </xf>
    <xf numFmtId="0" fontId="17" fillId="0" borderId="0" xfId="0" applyFont="1" applyAlignment="1">
      <alignment horizontal="center" vertical="top" wrapText="1"/>
    </xf>
    <xf numFmtId="0" fontId="18" fillId="0" borderId="0" xfId="0" applyFont="1" applyAlignment="1">
      <alignment horizontal="left" vertical="top" wrapText="1"/>
    </xf>
    <xf numFmtId="0" fontId="18" fillId="0" borderId="0" xfId="0" applyFont="1" applyAlignment="1">
      <alignment horizontal="center" vertical="top" wrapText="1"/>
    </xf>
    <xf numFmtId="0" fontId="18" fillId="0" borderId="4" xfId="0" applyFont="1" applyBorder="1" applyAlignment="1">
      <alignment horizontal="center" vertical="top" wrapText="1"/>
    </xf>
    <xf numFmtId="49" fontId="18" fillId="0" borderId="0" xfId="0" applyNumberFormat="1" applyFont="1" applyAlignment="1">
      <alignment horizontal="center" vertical="center" wrapText="1"/>
    </xf>
    <xf numFmtId="0" fontId="29" fillId="0" borderId="0" xfId="0" applyFont="1" applyAlignment="1">
      <alignment horizontal="justify" vertical="center" wrapText="1"/>
    </xf>
    <xf numFmtId="0" fontId="29" fillId="0" borderId="1" xfId="0" applyFont="1" applyBorder="1" applyAlignment="1">
      <alignment horizontal="justify" vertical="center" wrapText="1"/>
    </xf>
    <xf numFmtId="0" fontId="29" fillId="0" borderId="17" xfId="0" applyFont="1" applyBorder="1" applyAlignment="1">
      <alignment horizontal="justify" vertical="center" wrapText="1"/>
    </xf>
    <xf numFmtId="0" fontId="29" fillId="0" borderId="11" xfId="0" applyFont="1" applyBorder="1" applyAlignment="1">
      <alignment horizontal="justify"/>
    </xf>
    <xf numFmtId="0" fontId="29" fillId="0" borderId="0" xfId="0" applyFont="1" applyAlignment="1">
      <alignment horizontal="center"/>
    </xf>
    <xf numFmtId="0" fontId="29" fillId="0" borderId="3" xfId="0" applyFont="1" applyBorder="1" applyAlignment="1">
      <alignment horizontal="justify" vertical="center" wrapText="1"/>
    </xf>
    <xf numFmtId="0" fontId="29" fillId="0" borderId="18" xfId="0" applyFont="1" applyBorder="1" applyAlignment="1">
      <alignment horizontal="justify" vertical="center" wrapText="1"/>
    </xf>
    <xf numFmtId="0" fontId="29" fillId="0" borderId="2" xfId="0" applyFont="1" applyBorder="1" applyAlignment="1">
      <alignment horizontal="justify" vertical="center" wrapText="1"/>
    </xf>
    <xf numFmtId="0" fontId="29" fillId="0" borderId="3" xfId="0" applyFont="1" applyBorder="1" applyAlignment="1">
      <alignment horizontal="justify" vertical="center"/>
    </xf>
    <xf numFmtId="0" fontId="29" fillId="0" borderId="2" xfId="0" applyFont="1" applyBorder="1" applyAlignment="1">
      <alignment horizontal="justify" vertical="center"/>
    </xf>
    <xf numFmtId="0" fontId="29" fillId="0" borderId="21" xfId="0" applyFont="1" applyBorder="1" applyAlignment="1">
      <alignment horizontal="justify" vertical="center"/>
    </xf>
    <xf numFmtId="0" fontId="29" fillId="0" borderId="17" xfId="0" applyFont="1" applyBorder="1" applyAlignment="1">
      <alignment horizontal="justify" vertical="center"/>
    </xf>
    <xf numFmtId="0" fontId="29" fillId="0" borderId="22" xfId="0" applyFont="1" applyBorder="1" applyAlignment="1">
      <alignment horizontal="justify" vertical="center"/>
    </xf>
    <xf numFmtId="0" fontId="29" fillId="0" borderId="20" xfId="0" applyFont="1" applyBorder="1" applyAlignment="1">
      <alignment horizontal="justify" vertical="center"/>
    </xf>
    <xf numFmtId="0" fontId="29" fillId="0" borderId="4" xfId="0" applyFont="1" applyBorder="1" applyAlignment="1">
      <alignment horizontal="justify" vertical="center"/>
    </xf>
    <xf numFmtId="0" fontId="29" fillId="0" borderId="23" xfId="0" applyFont="1" applyBorder="1" applyAlignment="1">
      <alignment horizontal="justify" vertical="center"/>
    </xf>
    <xf numFmtId="0" fontId="10" fillId="0" borderId="0" xfId="0" applyFont="1" applyAlignment="1">
      <alignment horizontal="center"/>
    </xf>
    <xf numFmtId="0" fontId="10" fillId="0" borderId="0" xfId="0" applyFont="1" applyAlignment="1">
      <alignment horizontal="right" vertical="top" wrapText="1"/>
    </xf>
    <xf numFmtId="0" fontId="9" fillId="0" borderId="0" xfId="0" applyFont="1" applyAlignment="1">
      <alignment horizontal="justify" wrapText="1"/>
    </xf>
    <xf numFmtId="0" fontId="9" fillId="0" borderId="0" xfId="0" applyFont="1" applyAlignment="1">
      <alignment horizontal="justify" vertical="top" wrapText="1"/>
    </xf>
    <xf numFmtId="0" fontId="10" fillId="0" borderId="0" xfId="0" applyFont="1" applyAlignment="1">
      <alignment horizontal="left" vertical="center" wrapText="1"/>
    </xf>
    <xf numFmtId="0" fontId="15" fillId="0" borderId="0" xfId="0" applyFont="1" applyAlignment="1">
      <alignment horizontal="center" vertical="center"/>
    </xf>
    <xf numFmtId="49" fontId="15" fillId="0" borderId="0" xfId="0" applyNumberFormat="1" applyFont="1" applyAlignment="1">
      <alignment horizontal="justify" vertical="top" wrapText="1"/>
    </xf>
    <xf numFmtId="0" fontId="10" fillId="0" borderId="0" xfId="0" applyFont="1" applyAlignment="1">
      <alignment horizontal="center" vertical="center"/>
    </xf>
    <xf numFmtId="0" fontId="9" fillId="0" borderId="0" xfId="0" applyFont="1" applyAlignment="1">
      <alignment horizontal="left" vertical="top" wrapText="1"/>
    </xf>
    <xf numFmtId="0" fontId="29" fillId="0" borderId="0" xfId="0" applyFont="1" applyAlignment="1">
      <alignment horizontal="left" vertical="top" wrapText="1"/>
    </xf>
    <xf numFmtId="49" fontId="9" fillId="0" borderId="0" xfId="0" applyNumberFormat="1"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left" wrapText="1"/>
    </xf>
    <xf numFmtId="0" fontId="9" fillId="0" borderId="0" xfId="0" applyFont="1" applyAlignment="1">
      <alignment vertical="top" wrapText="1"/>
    </xf>
    <xf numFmtId="0" fontId="29" fillId="5" borderId="0" xfId="0" applyFont="1" applyFill="1" applyAlignment="1">
      <alignment horizontal="left" vertical="top" wrapText="1"/>
    </xf>
    <xf numFmtId="0" fontId="33" fillId="0" borderId="0" xfId="0" applyFont="1" applyAlignment="1">
      <alignment horizontal="center" vertical="top" wrapText="1"/>
    </xf>
    <xf numFmtId="0" fontId="10" fillId="0" borderId="0" xfId="0" applyFont="1" applyAlignment="1">
      <alignment horizontal="center" vertical="top" wrapText="1"/>
    </xf>
    <xf numFmtId="0" fontId="33" fillId="0" borderId="0" xfId="0" applyFont="1" applyAlignment="1">
      <alignment horizontal="left"/>
    </xf>
    <xf numFmtId="0" fontId="10" fillId="0" borderId="0" xfId="0" applyFont="1" applyAlignment="1">
      <alignment horizontal="center" wrapText="1"/>
    </xf>
    <xf numFmtId="0" fontId="10" fillId="0" borderId="0" xfId="0" applyFont="1" applyAlignment="1">
      <alignment horizontal="left" wrapText="1"/>
    </xf>
    <xf numFmtId="0" fontId="54" fillId="0" borderId="0" xfId="0" applyFont="1" applyAlignment="1">
      <alignment horizontal="center" wrapText="1"/>
    </xf>
    <xf numFmtId="0" fontId="16" fillId="0" borderId="0" xfId="0" applyFont="1" applyAlignment="1">
      <alignment horizontal="left" vertical="top" wrapText="1"/>
    </xf>
    <xf numFmtId="0" fontId="16" fillId="0" borderId="0" xfId="0" applyFont="1" applyAlignment="1">
      <alignment horizontal="right" vertical="center" wrapText="1"/>
    </xf>
    <xf numFmtId="0" fontId="9" fillId="0" borderId="0" xfId="0" applyFont="1" applyAlignment="1">
      <alignment horizontal="left" vertical="center"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26" fillId="0" borderId="0" xfId="0" applyFont="1" applyAlignment="1">
      <alignment horizontal="right" vertical="top"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6" fillId="0" borderId="0" xfId="0" applyFont="1" applyAlignment="1">
      <alignment horizontal="right" vertical="top" wrapText="1"/>
    </xf>
    <xf numFmtId="0" fontId="16" fillId="0" borderId="10" xfId="0" applyFont="1" applyBorder="1" applyAlignment="1">
      <alignment horizontal="center" wrapText="1"/>
    </xf>
    <xf numFmtId="0" fontId="16" fillId="0" borderId="11" xfId="0" applyFont="1" applyBorder="1" applyAlignment="1">
      <alignment horizontal="center" wrapText="1"/>
    </xf>
    <xf numFmtId="0" fontId="16" fillId="0" borderId="12" xfId="0" applyFont="1" applyBorder="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8" xfId="0" applyFont="1" applyBorder="1" applyAlignment="1">
      <alignment horizontal="left" wrapText="1"/>
    </xf>
    <xf numFmtId="0" fontId="16" fillId="0" borderId="9" xfId="0" applyFont="1" applyBorder="1" applyAlignment="1">
      <alignment horizontal="left" wrapText="1"/>
    </xf>
    <xf numFmtId="0" fontId="24" fillId="0" borderId="8" xfId="0" applyFont="1" applyBorder="1" applyAlignment="1">
      <alignment horizontal="center" wrapText="1"/>
    </xf>
    <xf numFmtId="0" fontId="24" fillId="0" borderId="0" xfId="0" applyFont="1" applyAlignment="1">
      <alignment horizontal="center" wrapText="1"/>
    </xf>
    <xf numFmtId="0" fontId="24" fillId="0" borderId="9" xfId="0" applyFont="1" applyBorder="1" applyAlignment="1">
      <alignment horizontal="center" wrapText="1"/>
    </xf>
    <xf numFmtId="0" fontId="25" fillId="0" borderId="5" xfId="0" applyFont="1" applyBorder="1" applyAlignment="1">
      <alignment horizontal="center" wrapText="1"/>
    </xf>
    <xf numFmtId="0" fontId="25" fillId="0" borderId="6" xfId="0" applyFont="1" applyBorder="1" applyAlignment="1">
      <alignment horizontal="center" wrapText="1"/>
    </xf>
    <xf numFmtId="0" fontId="25" fillId="0" borderId="7" xfId="0" applyFont="1" applyBorder="1" applyAlignment="1">
      <alignment horizontal="center" wrapText="1"/>
    </xf>
    <xf numFmtId="0" fontId="34" fillId="0" borderId="8" xfId="0" applyFont="1" applyBorder="1" applyAlignment="1">
      <alignment horizontal="center" wrapText="1"/>
    </xf>
    <xf numFmtId="0" fontId="34" fillId="0" borderId="0" xfId="0" applyFont="1" applyAlignment="1">
      <alignment horizontal="center" wrapText="1"/>
    </xf>
    <xf numFmtId="0" fontId="34" fillId="0" borderId="9" xfId="0" applyFont="1" applyBorder="1" applyAlignment="1">
      <alignment horizontal="center" wrapText="1"/>
    </xf>
    <xf numFmtId="0" fontId="40" fillId="0" borderId="0" xfId="0" applyFont="1" applyAlignment="1">
      <alignment vertical="center" wrapText="1"/>
    </xf>
    <xf numFmtId="0" fontId="39" fillId="0" borderId="0" xfId="0" applyFont="1" applyAlignment="1">
      <alignment horizontal="justify" vertical="center" wrapText="1"/>
    </xf>
    <xf numFmtId="0" fontId="15" fillId="0" borderId="0" xfId="0" applyFont="1" applyAlignment="1">
      <alignment vertical="top" wrapText="1"/>
    </xf>
    <xf numFmtId="0" fontId="40" fillId="0" borderId="0" xfId="0" applyFont="1" applyAlignment="1">
      <alignment horizontal="justify" vertical="center" wrapText="1"/>
    </xf>
    <xf numFmtId="0" fontId="39" fillId="0" borderId="0" xfId="0" applyFont="1" applyAlignment="1">
      <alignment horizontal="justify" vertical="top" wrapText="1"/>
    </xf>
    <xf numFmtId="0" fontId="15" fillId="0" borderId="0" xfId="0" applyFont="1" applyAlignment="1">
      <alignment horizontal="left"/>
    </xf>
    <xf numFmtId="0" fontId="18" fillId="0" borderId="0" xfId="0" applyFont="1" applyAlignment="1">
      <alignment horizontal="left" wrapText="1"/>
    </xf>
    <xf numFmtId="0" fontId="17" fillId="0" borderId="4" xfId="0" applyFont="1" applyBorder="1" applyAlignment="1">
      <alignment horizontal="left" vertical="top"/>
    </xf>
    <xf numFmtId="0" fontId="17" fillId="8" borderId="3"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0" xfId="0" applyFont="1" applyAlignment="1">
      <alignment horizontal="left"/>
    </xf>
    <xf numFmtId="0" fontId="18" fillId="0" borderId="0" xfId="0" applyFont="1" applyAlignment="1">
      <alignment horizontal="justify" vertical="top" wrapText="1" readingOrder="1"/>
    </xf>
    <xf numFmtId="0" fontId="17" fillId="0" borderId="0" xfId="0" applyFont="1" applyAlignment="1">
      <alignment horizontal="center" wrapText="1"/>
    </xf>
    <xf numFmtId="0" fontId="42" fillId="0" borderId="0" xfId="0" applyFont="1" applyAlignment="1">
      <alignment horizontal="left" vertical="center" wrapText="1" readingOrder="1"/>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16" fillId="0" borderId="0" xfId="0" applyFont="1" applyAlignment="1">
      <alignment horizontal="justify" vertical="top" wrapText="1"/>
    </xf>
  </cellXfs>
  <cellStyles count="1786">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3" xfId="344" xr:uid="{00000000-0005-0000-0000-000007000000}"/>
    <cellStyle name="Обычный 10 3 2" xfId="583" xr:uid="{00000000-0005-0000-0000-00000800000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3" xfId="576" xr:uid="{00000000-0005-0000-0000-000012000000}"/>
    <cellStyle name="Обычный 11 2 4" xfId="1713" xr:uid="{00000000-0005-0000-0000-000013000000}"/>
    <cellStyle name="Обычный 11 3" xfId="345" xr:uid="{00000000-0005-0000-0000-000014000000}"/>
    <cellStyle name="Обычный 11 3 2" xfId="584" xr:uid="{00000000-0005-0000-0000-000015000000}"/>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3" xfId="569" xr:uid="{00000000-0005-0000-0000-000024000000}"/>
    <cellStyle name="Обычный 4 2 4" xfId="1706" xr:uid="{00000000-0005-0000-0000-000025000000}"/>
    <cellStyle name="Обычный 4 3" xfId="338" xr:uid="{00000000-0005-0000-0000-000026000000}"/>
    <cellStyle name="Обычный 4 3 2" xfId="577" xr:uid="{00000000-0005-0000-0000-00002700000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3" xfId="570" xr:uid="{00000000-0005-0000-0000-000031000000}"/>
    <cellStyle name="Обычный 5 2 4" xfId="1707" xr:uid="{00000000-0005-0000-0000-000032000000}"/>
    <cellStyle name="Обычный 5 3" xfId="339" xr:uid="{00000000-0005-0000-0000-000033000000}"/>
    <cellStyle name="Обычный 5 3 2" xfId="578" xr:uid="{00000000-0005-0000-0000-00003400000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3" xfId="571" xr:uid="{00000000-0005-0000-0000-00003E000000}"/>
    <cellStyle name="Обычный 6 2 4" xfId="1708" xr:uid="{00000000-0005-0000-0000-00003F000000}"/>
    <cellStyle name="Обычный 6 3" xfId="340" xr:uid="{00000000-0005-0000-0000-000040000000}"/>
    <cellStyle name="Обычный 6 3 2" xfId="579" xr:uid="{00000000-0005-0000-0000-000041000000}"/>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3" xfId="572" xr:uid="{00000000-0005-0000-0000-00004B000000}"/>
    <cellStyle name="Обычный 7 2 4" xfId="1709" xr:uid="{00000000-0005-0000-0000-00004C000000}"/>
    <cellStyle name="Обычный 7 3" xfId="341" xr:uid="{00000000-0005-0000-0000-00004D000000}"/>
    <cellStyle name="Обычный 7 3 2" xfId="580" xr:uid="{00000000-0005-0000-0000-00004E000000}"/>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3" xfId="573" xr:uid="{00000000-0005-0000-0000-000058000000}"/>
    <cellStyle name="Обычный 8 2 4" xfId="1710" xr:uid="{00000000-0005-0000-0000-000059000000}"/>
    <cellStyle name="Обычный 8 3" xfId="342" xr:uid="{00000000-0005-0000-0000-00005A000000}"/>
    <cellStyle name="Обычный 8 3 2" xfId="581" xr:uid="{00000000-0005-0000-0000-00005B000000}"/>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3" xfId="574" xr:uid="{00000000-0005-0000-0000-000065000000}"/>
    <cellStyle name="Обычный 9 2 4" xfId="1711" xr:uid="{00000000-0005-0000-0000-000066000000}"/>
    <cellStyle name="Обычный 9 3" xfId="343" xr:uid="{00000000-0005-0000-0000-000067000000}"/>
    <cellStyle name="Обычный 9 3 2" xfId="582" xr:uid="{00000000-0005-0000-0000-000068000000}"/>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Процентный" xfId="559" builtinId="5"/>
    <cellStyle name="Процентный 2" xfId="732" xr:uid="{00000000-0005-0000-0000-00006F000000}"/>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3" xfId="1236" xr:uid="{00000000-0005-0000-0000-000076000000}"/>
    <cellStyle name="Финансовый 10 2 4" xfId="1765" xr:uid="{00000000-0005-0000-0000-000077000000}"/>
    <cellStyle name="Финансовый 10 3" xfId="397" xr:uid="{00000000-0005-0000-0000-000078000000}"/>
    <cellStyle name="Финансовый 10 3 2" xfId="1364" xr:uid="{00000000-0005-0000-0000-000079000000}"/>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3" xfId="1182" xr:uid="{00000000-0005-0000-0000-000083000000}"/>
    <cellStyle name="Финансовый 11 2 4" xfId="1703" xr:uid="{00000000-0005-0000-0000-000084000000}"/>
    <cellStyle name="Финансовый 11 3" xfId="335" xr:uid="{00000000-0005-0000-0000-000085000000}"/>
    <cellStyle name="Финансовый 11 3 2" xfId="1310" xr:uid="{00000000-0005-0000-0000-000086000000}"/>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3" xfId="1170" xr:uid="{00000000-0005-0000-0000-000090000000}"/>
    <cellStyle name="Финансовый 12 2 4" xfId="1691" xr:uid="{00000000-0005-0000-0000-000091000000}"/>
    <cellStyle name="Финансовый 12 3" xfId="323" xr:uid="{00000000-0005-0000-0000-000092000000}"/>
    <cellStyle name="Финансовый 12 3 2" xfId="1298" xr:uid="{00000000-0005-0000-0000-0000930000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3" xfId="1238" xr:uid="{00000000-0005-0000-0000-00009D000000}"/>
    <cellStyle name="Финансовый 13 2 4" xfId="1767" xr:uid="{00000000-0005-0000-0000-00009E000000}"/>
    <cellStyle name="Финансовый 13 3" xfId="399" xr:uid="{00000000-0005-0000-0000-00009F000000}"/>
    <cellStyle name="Финансовый 13 3 2" xfId="1366" xr:uid="{00000000-0005-0000-0000-0000A0000000}"/>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3" xfId="1146" xr:uid="{00000000-0005-0000-0000-0000AA000000}"/>
    <cellStyle name="Финансовый 14 2 4" xfId="1667" xr:uid="{00000000-0005-0000-0000-0000AB000000}"/>
    <cellStyle name="Финансовый 14 3" xfId="299" xr:uid="{00000000-0005-0000-0000-0000AC000000}"/>
    <cellStyle name="Финансовый 14 3 2" xfId="1274" xr:uid="{00000000-0005-0000-0000-0000AD000000}"/>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3" xfId="1134" xr:uid="{00000000-0005-0000-0000-0000B7000000}"/>
    <cellStyle name="Финансовый 15 2 4" xfId="1655" xr:uid="{00000000-0005-0000-0000-0000B8000000}"/>
    <cellStyle name="Финансовый 15 3" xfId="287" xr:uid="{00000000-0005-0000-0000-0000B9000000}"/>
    <cellStyle name="Финансовый 15 3 2" xfId="1262" xr:uid="{00000000-0005-0000-0000-0000BA000000}"/>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3" xfId="1122" xr:uid="{00000000-0005-0000-0000-0000C3000000}"/>
    <cellStyle name="Финансовый 16 4" xfId="1643" xr:uid="{00000000-0005-0000-0000-0000C4000000}"/>
    <cellStyle name="Финансовый 17" xfId="547" xr:uid="{00000000-0005-0000-0000-0000C5000000}"/>
    <cellStyle name="Финансовый 17 2" xfId="1250" xr:uid="{00000000-0005-0000-0000-0000C6000000}"/>
    <cellStyle name="Финансовый 18" xfId="275" xr:uid="{00000000-0005-0000-0000-0000C7000000}"/>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3" xfId="1183" xr:uid="{00000000-0005-0000-0000-0000CF000000}"/>
    <cellStyle name="Финансовый 2 10 2 4" xfId="1704" xr:uid="{00000000-0005-0000-0000-0000D0000000}"/>
    <cellStyle name="Финансовый 2 10 3" xfId="336" xr:uid="{00000000-0005-0000-0000-0000D1000000}"/>
    <cellStyle name="Финансовый 2 10 3 2" xfId="1311" xr:uid="{00000000-0005-0000-0000-0000D2000000}"/>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3" xfId="1171" xr:uid="{00000000-0005-0000-0000-0000DC000000}"/>
    <cellStyle name="Финансовый 2 11 2 4" xfId="1692" xr:uid="{00000000-0005-0000-0000-0000DD000000}"/>
    <cellStyle name="Финансовый 2 11 3" xfId="324" xr:uid="{00000000-0005-0000-0000-0000DE000000}"/>
    <cellStyle name="Финансовый 2 11 3 2" xfId="1299" xr:uid="{00000000-0005-0000-0000-0000DF000000}"/>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3" xfId="1239" xr:uid="{00000000-0005-0000-0000-0000E9000000}"/>
    <cellStyle name="Финансовый 2 12 2 4" xfId="1768" xr:uid="{00000000-0005-0000-0000-0000EA000000}"/>
    <cellStyle name="Финансовый 2 12 3" xfId="400" xr:uid="{00000000-0005-0000-0000-0000EB000000}"/>
    <cellStyle name="Финансовый 2 12 3 2" xfId="1367" xr:uid="{00000000-0005-0000-0000-0000EC000000}"/>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3" xfId="1147" xr:uid="{00000000-0005-0000-0000-0000F6000000}"/>
    <cellStyle name="Финансовый 2 13 2 4" xfId="1668" xr:uid="{00000000-0005-0000-0000-0000F7000000}"/>
    <cellStyle name="Финансовый 2 13 3" xfId="300" xr:uid="{00000000-0005-0000-0000-0000F8000000}"/>
    <cellStyle name="Финансовый 2 13 3 2" xfId="1275" xr:uid="{00000000-0005-0000-0000-0000F9000000}"/>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3" xfId="1135" xr:uid="{00000000-0005-0000-0000-000003010000}"/>
    <cellStyle name="Финансовый 2 14 2 4" xfId="1656" xr:uid="{00000000-0005-0000-0000-000004010000}"/>
    <cellStyle name="Финансовый 2 14 3" xfId="288" xr:uid="{00000000-0005-0000-0000-000005010000}"/>
    <cellStyle name="Финансовый 2 14 3 2" xfId="1263" xr:uid="{00000000-0005-0000-0000-000006010000}"/>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3" xfId="1123" xr:uid="{00000000-0005-0000-0000-00000F010000}"/>
    <cellStyle name="Финансовый 2 15 4" xfId="1644" xr:uid="{00000000-0005-0000-0000-000010010000}"/>
    <cellStyle name="Финансовый 2 16" xfId="548" xr:uid="{00000000-0005-0000-0000-000011010000}"/>
    <cellStyle name="Финансовый 2 16 2" xfId="1251" xr:uid="{00000000-0005-0000-0000-000012010000}"/>
    <cellStyle name="Финансовый 2 17" xfId="276" xr:uid="{00000000-0005-0000-0000-000013010000}"/>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3" xfId="1149" xr:uid="{00000000-0005-0000-0000-00001C010000}"/>
    <cellStyle name="Финансовый 2 2 10 2 4" xfId="1670" xr:uid="{00000000-0005-0000-0000-00001D010000}"/>
    <cellStyle name="Финансовый 2 2 10 3" xfId="302" xr:uid="{00000000-0005-0000-0000-00001E010000}"/>
    <cellStyle name="Финансовый 2 2 10 3 2" xfId="1277" xr:uid="{00000000-0005-0000-0000-00001F010000}"/>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3" xfId="1137" xr:uid="{00000000-0005-0000-0000-000029010000}"/>
    <cellStyle name="Финансовый 2 2 11 2 4" xfId="1658" xr:uid="{00000000-0005-0000-0000-00002A010000}"/>
    <cellStyle name="Финансовый 2 2 11 3" xfId="290" xr:uid="{00000000-0005-0000-0000-00002B010000}"/>
    <cellStyle name="Финансовый 2 2 11 3 2" xfId="1265" xr:uid="{00000000-0005-0000-0000-00002C010000}"/>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3" xfId="1125" xr:uid="{00000000-0005-0000-0000-000035010000}"/>
    <cellStyle name="Финансовый 2 2 12 4" xfId="1646" xr:uid="{00000000-0005-0000-0000-000036010000}"/>
    <cellStyle name="Финансовый 2 2 13" xfId="550" xr:uid="{00000000-0005-0000-0000-000037010000}"/>
    <cellStyle name="Финансовый 2 2 13 2" xfId="1253" xr:uid="{00000000-0005-0000-0000-000038010000}"/>
    <cellStyle name="Финансовый 2 2 14" xfId="278" xr:uid="{00000000-0005-0000-0000-000039010000}"/>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1" xfId="284" xr:uid="{00000000-0005-0000-0000-000041010000}"/>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2" xfId="46" xr:uid="{00000000-0005-0000-0000-000046010000}"/>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3" xfId="1215" xr:uid="{00000000-0005-0000-0000-00004B010000}"/>
    <cellStyle name="Финансовый 2 2 2 2 2 2 4" xfId="1744" xr:uid="{00000000-0005-0000-0000-00004C010000}"/>
    <cellStyle name="Финансовый 2 2 2 2 2 3" xfId="376" xr:uid="{00000000-0005-0000-0000-00004D010000}"/>
    <cellStyle name="Финансовый 2 2 2 2 2 3 2" xfId="1343" xr:uid="{00000000-0005-0000-0000-00004E010000}"/>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3" xfId="1167" xr:uid="{00000000-0005-0000-0000-000057010000}"/>
    <cellStyle name="Финансовый 2 2 2 2 3 4" xfId="1688" xr:uid="{00000000-0005-0000-0000-000058010000}"/>
    <cellStyle name="Финансовый 2 2 2 2 4" xfId="320" xr:uid="{00000000-0005-0000-0000-000059010000}"/>
    <cellStyle name="Финансовый 2 2 2 2 4 2" xfId="1295" xr:uid="{00000000-0005-0000-0000-00005A010000}"/>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3" xfId="1227" xr:uid="{00000000-0005-0000-0000-000064010000}"/>
    <cellStyle name="Финансовый 2 2 2 3 2 4" xfId="1756" xr:uid="{00000000-0005-0000-0000-000065010000}"/>
    <cellStyle name="Финансовый 2 2 2 3 3" xfId="388" xr:uid="{00000000-0005-0000-0000-000066010000}"/>
    <cellStyle name="Финансовый 2 2 2 3 3 2" xfId="1355" xr:uid="{00000000-0005-0000-0000-000067010000}"/>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3" xfId="1191" xr:uid="{00000000-0005-0000-0000-000071010000}"/>
    <cellStyle name="Финансовый 2 2 2 4 2 4" xfId="1720" xr:uid="{00000000-0005-0000-0000-000072010000}"/>
    <cellStyle name="Финансовый 2 2 2 4 3" xfId="352" xr:uid="{00000000-0005-0000-0000-000073010000}"/>
    <cellStyle name="Финансовый 2 2 2 4 3 2" xfId="1319" xr:uid="{00000000-0005-0000-0000-000074010000}"/>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3" xfId="1179" xr:uid="{00000000-0005-0000-0000-00007E010000}"/>
    <cellStyle name="Финансовый 2 2 2 5 2 4" xfId="1700" xr:uid="{00000000-0005-0000-0000-00007F010000}"/>
    <cellStyle name="Финансовый 2 2 2 5 3" xfId="332" xr:uid="{00000000-0005-0000-0000-000080010000}"/>
    <cellStyle name="Финансовый 2 2 2 5 3 2" xfId="1307" xr:uid="{00000000-0005-0000-0000-000081010000}"/>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3" xfId="1247" xr:uid="{00000000-0005-0000-0000-00008B010000}"/>
    <cellStyle name="Финансовый 2 2 2 6 2 4" xfId="1776" xr:uid="{00000000-0005-0000-0000-00008C010000}"/>
    <cellStyle name="Финансовый 2 2 2 6 3" xfId="408" xr:uid="{00000000-0005-0000-0000-00008D010000}"/>
    <cellStyle name="Финансовый 2 2 2 6 3 2" xfId="1375" xr:uid="{00000000-0005-0000-0000-00008E010000}"/>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3" xfId="1155" xr:uid="{00000000-0005-0000-0000-000098010000}"/>
    <cellStyle name="Финансовый 2 2 2 7 2 4" xfId="1676" xr:uid="{00000000-0005-0000-0000-000099010000}"/>
    <cellStyle name="Финансовый 2 2 2 7 3" xfId="308" xr:uid="{00000000-0005-0000-0000-00009A010000}"/>
    <cellStyle name="Финансовый 2 2 2 7 3 2" xfId="1283" xr:uid="{00000000-0005-0000-0000-00009B010000}"/>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3" xfId="1143" xr:uid="{00000000-0005-0000-0000-0000A5010000}"/>
    <cellStyle name="Финансовый 2 2 2 8 2 4" xfId="1664" xr:uid="{00000000-0005-0000-0000-0000A6010000}"/>
    <cellStyle name="Финансовый 2 2 2 8 3" xfId="296" xr:uid="{00000000-0005-0000-0000-0000A7010000}"/>
    <cellStyle name="Финансовый 2 2 2 8 3 2" xfId="1271" xr:uid="{00000000-0005-0000-0000-0000A8010000}"/>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3" xfId="1131" xr:uid="{00000000-0005-0000-0000-0000B1010000}"/>
    <cellStyle name="Финансовый 2 2 2 9 4" xfId="1652" xr:uid="{00000000-0005-0000-0000-0000B2010000}"/>
    <cellStyle name="Финансовый 2 2 3" xfId="40" xr:uid="{00000000-0005-0000-0000-0000B3010000}"/>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3" xfId="1233" xr:uid="{00000000-0005-0000-0000-0000B8010000}"/>
    <cellStyle name="Финансовый 2 2 3 2 2 4" xfId="1762" xr:uid="{00000000-0005-0000-0000-0000B9010000}"/>
    <cellStyle name="Финансовый 2 2 3 2 3" xfId="394" xr:uid="{00000000-0005-0000-0000-0000BA010000}"/>
    <cellStyle name="Финансовый 2 2 3 2 3 2" xfId="1361" xr:uid="{00000000-0005-0000-0000-0000BB010000}"/>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3" xfId="1197" xr:uid="{00000000-0005-0000-0000-0000C5010000}"/>
    <cellStyle name="Финансовый 2 2 3 3 2 4" xfId="1726" xr:uid="{00000000-0005-0000-0000-0000C6010000}"/>
    <cellStyle name="Финансовый 2 2 3 3 3" xfId="358" xr:uid="{00000000-0005-0000-0000-0000C7010000}"/>
    <cellStyle name="Финансовый 2 2 3 3 3 2" xfId="1325" xr:uid="{00000000-0005-0000-0000-0000C8010000}"/>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3" xfId="1161" xr:uid="{00000000-0005-0000-0000-0000D1010000}"/>
    <cellStyle name="Финансовый 2 2 3 4 4" xfId="1682" xr:uid="{00000000-0005-0000-0000-0000D2010000}"/>
    <cellStyle name="Финансовый 2 2 3 5" xfId="314" xr:uid="{00000000-0005-0000-0000-0000D3010000}"/>
    <cellStyle name="Финансовый 2 2 3 5 2" xfId="1289" xr:uid="{00000000-0005-0000-0000-0000D4010000}"/>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3" xfId="1203" xr:uid="{00000000-0005-0000-0000-0000DE010000}"/>
    <cellStyle name="Финансовый 2 2 4 2 4" xfId="1732" xr:uid="{00000000-0005-0000-0000-0000DF010000}"/>
    <cellStyle name="Финансовый 2 2 4 3" xfId="364" xr:uid="{00000000-0005-0000-0000-0000E0010000}"/>
    <cellStyle name="Финансовый 2 2 4 3 2" xfId="1331" xr:uid="{00000000-0005-0000-0000-0000E101000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3" xfId="1209" xr:uid="{00000000-0005-0000-0000-0000EB010000}"/>
    <cellStyle name="Финансовый 2 2 5 2 4" xfId="1738" xr:uid="{00000000-0005-0000-0000-0000EC010000}"/>
    <cellStyle name="Финансовый 2 2 5 3" xfId="370" xr:uid="{00000000-0005-0000-0000-0000ED010000}"/>
    <cellStyle name="Финансовый 2 2 5 3 2" xfId="1337" xr:uid="{00000000-0005-0000-0000-0000EE010000}"/>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3" xfId="1221" xr:uid="{00000000-0005-0000-0000-0000F8010000}"/>
    <cellStyle name="Финансовый 2 2 6 2 4" xfId="1750" xr:uid="{00000000-0005-0000-0000-0000F9010000}"/>
    <cellStyle name="Финансовый 2 2 6 3" xfId="382" xr:uid="{00000000-0005-0000-0000-0000FA010000}"/>
    <cellStyle name="Финансовый 2 2 6 3 2" xfId="1349" xr:uid="{00000000-0005-0000-0000-0000FB010000}"/>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3" xfId="1184" xr:uid="{00000000-0005-0000-0000-000005020000}"/>
    <cellStyle name="Финансовый 2 2 7 2 4" xfId="1705" xr:uid="{00000000-0005-0000-0000-000006020000}"/>
    <cellStyle name="Финансовый 2 2 7 3" xfId="337" xr:uid="{00000000-0005-0000-0000-000007020000}"/>
    <cellStyle name="Финансовый 2 2 7 3 2" xfId="1312" xr:uid="{00000000-0005-0000-0000-00000802000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3" xfId="1173" xr:uid="{00000000-0005-0000-0000-000012020000}"/>
    <cellStyle name="Финансовый 2 2 8 2 4" xfId="1694" xr:uid="{00000000-0005-0000-0000-000013020000}"/>
    <cellStyle name="Финансовый 2 2 8 3" xfId="326" xr:uid="{00000000-0005-0000-0000-000014020000}"/>
    <cellStyle name="Финансовый 2 2 8 3 2" xfId="1301" xr:uid="{00000000-0005-0000-0000-000015020000}"/>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3" xfId="1241" xr:uid="{00000000-0005-0000-0000-00001F020000}"/>
    <cellStyle name="Финансовый 2 2 9 2 4" xfId="1770" xr:uid="{00000000-0005-0000-0000-000020020000}"/>
    <cellStyle name="Финансовый 2 2 9 3" xfId="402" xr:uid="{00000000-0005-0000-0000-000021020000}"/>
    <cellStyle name="Финансовый 2 2 9 3 2" xfId="1369" xr:uid="{00000000-0005-0000-0000-000022020000}"/>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0" xfId="734" xr:uid="{00000000-0005-0000-0000-000028020000}"/>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3" xfId="1151" xr:uid="{00000000-0005-0000-0000-00002E020000}"/>
    <cellStyle name="Финансовый 2 3 10 2 4" xfId="1672" xr:uid="{00000000-0005-0000-0000-00002F020000}"/>
    <cellStyle name="Финансовый 2 3 10 3" xfId="304" xr:uid="{00000000-0005-0000-0000-000030020000}"/>
    <cellStyle name="Финансовый 2 3 10 3 2" xfId="1279" xr:uid="{00000000-0005-0000-0000-000031020000}"/>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3" xfId="1139" xr:uid="{00000000-0005-0000-0000-00003B020000}"/>
    <cellStyle name="Финансовый 2 3 11 2 4" xfId="1660" xr:uid="{00000000-0005-0000-0000-00003C020000}"/>
    <cellStyle name="Финансовый 2 3 11 3" xfId="292" xr:uid="{00000000-0005-0000-0000-00003D020000}"/>
    <cellStyle name="Финансовый 2 3 11 3 2" xfId="1267" xr:uid="{00000000-0005-0000-0000-00003E020000}"/>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3" xfId="1127" xr:uid="{00000000-0005-0000-0000-000047020000}"/>
    <cellStyle name="Финансовый 2 3 12 4" xfId="1648" xr:uid="{00000000-0005-0000-0000-000048020000}"/>
    <cellStyle name="Финансовый 2 3 13" xfId="552" xr:uid="{00000000-0005-0000-0000-000049020000}"/>
    <cellStyle name="Финансовый 2 3 13 2" xfId="1255" xr:uid="{00000000-0005-0000-0000-00004A020000}"/>
    <cellStyle name="Финансовый 2 3 14" xfId="280" xr:uid="{00000000-0005-0000-0000-00004B020000}"/>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1" xfId="286" xr:uid="{00000000-0005-0000-0000-000053020000}"/>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2" xfId="48" xr:uid="{00000000-0005-0000-0000-000058020000}"/>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3" xfId="1217" xr:uid="{00000000-0005-0000-0000-00005D020000}"/>
    <cellStyle name="Финансовый 2 3 2 2 2 2 4" xfId="1746" xr:uid="{00000000-0005-0000-0000-00005E020000}"/>
    <cellStyle name="Финансовый 2 3 2 2 2 3" xfId="378" xr:uid="{00000000-0005-0000-0000-00005F020000}"/>
    <cellStyle name="Финансовый 2 3 2 2 2 3 2" xfId="1345" xr:uid="{00000000-0005-0000-0000-000060020000}"/>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3" xfId="1169" xr:uid="{00000000-0005-0000-0000-000069020000}"/>
    <cellStyle name="Финансовый 2 3 2 2 3 4" xfId="1690" xr:uid="{00000000-0005-0000-0000-00006A020000}"/>
    <cellStyle name="Финансовый 2 3 2 2 4" xfId="322" xr:uid="{00000000-0005-0000-0000-00006B020000}"/>
    <cellStyle name="Финансовый 2 3 2 2 4 2" xfId="1297" xr:uid="{00000000-0005-0000-0000-00006C020000}"/>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3" xfId="1229" xr:uid="{00000000-0005-0000-0000-000076020000}"/>
    <cellStyle name="Финансовый 2 3 2 3 2 4" xfId="1758" xr:uid="{00000000-0005-0000-0000-000077020000}"/>
    <cellStyle name="Финансовый 2 3 2 3 3" xfId="390" xr:uid="{00000000-0005-0000-0000-000078020000}"/>
    <cellStyle name="Финансовый 2 3 2 3 3 2" xfId="1357" xr:uid="{00000000-0005-0000-0000-000079020000}"/>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3" xfId="1193" xr:uid="{00000000-0005-0000-0000-000083020000}"/>
    <cellStyle name="Финансовый 2 3 2 4 2 4" xfId="1722" xr:uid="{00000000-0005-0000-0000-000084020000}"/>
    <cellStyle name="Финансовый 2 3 2 4 3" xfId="354" xr:uid="{00000000-0005-0000-0000-000085020000}"/>
    <cellStyle name="Финансовый 2 3 2 4 3 2" xfId="1321" xr:uid="{00000000-0005-0000-0000-000086020000}"/>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3" xfId="1181" xr:uid="{00000000-0005-0000-0000-000090020000}"/>
    <cellStyle name="Финансовый 2 3 2 5 2 4" xfId="1702" xr:uid="{00000000-0005-0000-0000-000091020000}"/>
    <cellStyle name="Финансовый 2 3 2 5 3" xfId="334" xr:uid="{00000000-0005-0000-0000-000092020000}"/>
    <cellStyle name="Финансовый 2 3 2 5 3 2" xfId="1309" xr:uid="{00000000-0005-0000-0000-00009302000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3" xfId="1249" xr:uid="{00000000-0005-0000-0000-00009D020000}"/>
    <cellStyle name="Финансовый 2 3 2 6 2 4" xfId="1778" xr:uid="{00000000-0005-0000-0000-00009E020000}"/>
    <cellStyle name="Финансовый 2 3 2 6 3" xfId="410" xr:uid="{00000000-0005-0000-0000-00009F020000}"/>
    <cellStyle name="Финансовый 2 3 2 6 3 2" xfId="1377" xr:uid="{00000000-0005-0000-0000-0000A0020000}"/>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3" xfId="1157" xr:uid="{00000000-0005-0000-0000-0000AA020000}"/>
    <cellStyle name="Финансовый 2 3 2 7 2 4" xfId="1678" xr:uid="{00000000-0005-0000-0000-0000AB020000}"/>
    <cellStyle name="Финансовый 2 3 2 7 3" xfId="310" xr:uid="{00000000-0005-0000-0000-0000AC020000}"/>
    <cellStyle name="Финансовый 2 3 2 7 3 2" xfId="1285" xr:uid="{00000000-0005-0000-0000-0000AD020000}"/>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3" xfId="1145" xr:uid="{00000000-0005-0000-0000-0000B7020000}"/>
    <cellStyle name="Финансовый 2 3 2 8 2 4" xfId="1666" xr:uid="{00000000-0005-0000-0000-0000B8020000}"/>
    <cellStyle name="Финансовый 2 3 2 8 3" xfId="298" xr:uid="{00000000-0005-0000-0000-0000B9020000}"/>
    <cellStyle name="Финансовый 2 3 2 8 3 2" xfId="1273" xr:uid="{00000000-0005-0000-0000-0000BA020000}"/>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3" xfId="1133" xr:uid="{00000000-0005-0000-0000-0000C3020000}"/>
    <cellStyle name="Финансовый 2 3 2 9 4" xfId="1654" xr:uid="{00000000-0005-0000-0000-0000C4020000}"/>
    <cellStyle name="Финансовый 2 3 3" xfId="42" xr:uid="{00000000-0005-0000-0000-0000C5020000}"/>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3" xfId="1235" xr:uid="{00000000-0005-0000-0000-0000CA020000}"/>
    <cellStyle name="Финансовый 2 3 3 2 2 4" xfId="1764" xr:uid="{00000000-0005-0000-0000-0000CB020000}"/>
    <cellStyle name="Финансовый 2 3 3 2 3" xfId="396" xr:uid="{00000000-0005-0000-0000-0000CC020000}"/>
    <cellStyle name="Финансовый 2 3 3 2 3 2" xfId="1363" xr:uid="{00000000-0005-0000-0000-0000CD020000}"/>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3" xfId="1199" xr:uid="{00000000-0005-0000-0000-0000D7020000}"/>
    <cellStyle name="Финансовый 2 3 3 3 2 4" xfId="1728" xr:uid="{00000000-0005-0000-0000-0000D8020000}"/>
    <cellStyle name="Финансовый 2 3 3 3 3" xfId="360" xr:uid="{00000000-0005-0000-0000-0000D9020000}"/>
    <cellStyle name="Финансовый 2 3 3 3 3 2" xfId="1327" xr:uid="{00000000-0005-0000-0000-0000DA020000}"/>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3" xfId="1163" xr:uid="{00000000-0005-0000-0000-0000E3020000}"/>
    <cellStyle name="Финансовый 2 3 3 4 4" xfId="1684" xr:uid="{00000000-0005-0000-0000-0000E4020000}"/>
    <cellStyle name="Финансовый 2 3 3 5" xfId="316" xr:uid="{00000000-0005-0000-0000-0000E5020000}"/>
    <cellStyle name="Финансовый 2 3 3 5 2" xfId="1291" xr:uid="{00000000-0005-0000-0000-0000E6020000}"/>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3" xfId="1205" xr:uid="{00000000-0005-0000-0000-0000F0020000}"/>
    <cellStyle name="Финансовый 2 3 4 2 4" xfId="1734" xr:uid="{00000000-0005-0000-0000-0000F1020000}"/>
    <cellStyle name="Финансовый 2 3 4 3" xfId="366" xr:uid="{00000000-0005-0000-0000-0000F2020000}"/>
    <cellStyle name="Финансовый 2 3 4 3 2" xfId="1333" xr:uid="{00000000-0005-0000-0000-0000F3020000}"/>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3" xfId="1211" xr:uid="{00000000-0005-0000-0000-0000FD020000}"/>
    <cellStyle name="Финансовый 2 3 5 2 4" xfId="1740" xr:uid="{00000000-0005-0000-0000-0000FE020000}"/>
    <cellStyle name="Финансовый 2 3 5 3" xfId="372" xr:uid="{00000000-0005-0000-0000-0000FF020000}"/>
    <cellStyle name="Финансовый 2 3 5 3 2" xfId="1339" xr:uid="{00000000-0005-0000-0000-000000030000}"/>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3" xfId="1223" xr:uid="{00000000-0005-0000-0000-00000A030000}"/>
    <cellStyle name="Финансовый 2 3 6 2 4" xfId="1752" xr:uid="{00000000-0005-0000-0000-00000B030000}"/>
    <cellStyle name="Финансовый 2 3 6 3" xfId="384" xr:uid="{00000000-0005-0000-0000-00000C030000}"/>
    <cellStyle name="Финансовый 2 3 6 3 2" xfId="1351" xr:uid="{00000000-0005-0000-0000-00000D030000}"/>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3" xfId="1187" xr:uid="{00000000-0005-0000-0000-000017030000}"/>
    <cellStyle name="Финансовый 2 3 7 2 4" xfId="1716" xr:uid="{00000000-0005-0000-0000-000018030000}"/>
    <cellStyle name="Финансовый 2 3 7 3" xfId="348" xr:uid="{00000000-0005-0000-0000-000019030000}"/>
    <cellStyle name="Финансовый 2 3 7 3 2" xfId="1315" xr:uid="{00000000-0005-0000-0000-00001A030000}"/>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3" xfId="1175" xr:uid="{00000000-0005-0000-0000-000024030000}"/>
    <cellStyle name="Финансовый 2 3 8 2 4" xfId="1696" xr:uid="{00000000-0005-0000-0000-000025030000}"/>
    <cellStyle name="Финансовый 2 3 8 3" xfId="328" xr:uid="{00000000-0005-0000-0000-000026030000}"/>
    <cellStyle name="Финансовый 2 3 8 3 2" xfId="1303" xr:uid="{00000000-0005-0000-0000-000027030000}"/>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3" xfId="1243" xr:uid="{00000000-0005-0000-0000-000031030000}"/>
    <cellStyle name="Финансовый 2 3 9 2 4" xfId="1772" xr:uid="{00000000-0005-0000-0000-000032030000}"/>
    <cellStyle name="Финансовый 2 3 9 3" xfId="404" xr:uid="{00000000-0005-0000-0000-000033030000}"/>
    <cellStyle name="Финансовый 2 3 9 3 2" xfId="1371" xr:uid="{00000000-0005-0000-0000-000034030000}"/>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1" xfId="282" xr:uid="{00000000-0005-0000-0000-00003D030000}"/>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2" xfId="44" xr:uid="{00000000-0005-0000-0000-000042030000}"/>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3" xfId="1213" xr:uid="{00000000-0005-0000-0000-000047030000}"/>
    <cellStyle name="Финансовый 2 4 2 2 2 4" xfId="1742" xr:uid="{00000000-0005-0000-0000-000048030000}"/>
    <cellStyle name="Финансовый 2 4 2 2 3" xfId="374" xr:uid="{00000000-0005-0000-0000-000049030000}"/>
    <cellStyle name="Финансовый 2 4 2 2 3 2" xfId="1341" xr:uid="{00000000-0005-0000-0000-00004A030000}"/>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3" xfId="1165" xr:uid="{00000000-0005-0000-0000-000053030000}"/>
    <cellStyle name="Финансовый 2 4 2 3 4" xfId="1686" xr:uid="{00000000-0005-0000-0000-000054030000}"/>
    <cellStyle name="Финансовый 2 4 2 4" xfId="318" xr:uid="{00000000-0005-0000-0000-000055030000}"/>
    <cellStyle name="Финансовый 2 4 2 4 2" xfId="1293" xr:uid="{00000000-0005-0000-0000-00005603000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3" xfId="1225" xr:uid="{00000000-0005-0000-0000-000060030000}"/>
    <cellStyle name="Финансовый 2 4 3 2 4" xfId="1754" xr:uid="{00000000-0005-0000-0000-000061030000}"/>
    <cellStyle name="Финансовый 2 4 3 3" xfId="386" xr:uid="{00000000-0005-0000-0000-000062030000}"/>
    <cellStyle name="Финансовый 2 4 3 3 2" xfId="1353" xr:uid="{00000000-0005-0000-0000-000063030000}"/>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3" xfId="1189" xr:uid="{00000000-0005-0000-0000-00006D030000}"/>
    <cellStyle name="Финансовый 2 4 4 2 4" xfId="1718" xr:uid="{00000000-0005-0000-0000-00006E030000}"/>
    <cellStyle name="Финансовый 2 4 4 3" xfId="350" xr:uid="{00000000-0005-0000-0000-00006F030000}"/>
    <cellStyle name="Финансовый 2 4 4 3 2" xfId="1317" xr:uid="{00000000-0005-0000-0000-000070030000}"/>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3" xfId="1177" xr:uid="{00000000-0005-0000-0000-00007A030000}"/>
    <cellStyle name="Финансовый 2 4 5 2 4" xfId="1698" xr:uid="{00000000-0005-0000-0000-00007B030000}"/>
    <cellStyle name="Финансовый 2 4 5 3" xfId="330" xr:uid="{00000000-0005-0000-0000-00007C030000}"/>
    <cellStyle name="Финансовый 2 4 5 3 2" xfId="1305" xr:uid="{00000000-0005-0000-0000-00007D030000}"/>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3" xfId="1245" xr:uid="{00000000-0005-0000-0000-000087030000}"/>
    <cellStyle name="Финансовый 2 4 6 2 4" xfId="1774" xr:uid="{00000000-0005-0000-0000-000088030000}"/>
    <cellStyle name="Финансовый 2 4 6 3" xfId="406" xr:uid="{00000000-0005-0000-0000-000089030000}"/>
    <cellStyle name="Финансовый 2 4 6 3 2" xfId="1373" xr:uid="{00000000-0005-0000-0000-00008A030000}"/>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3" xfId="1153" xr:uid="{00000000-0005-0000-0000-000094030000}"/>
    <cellStyle name="Финансовый 2 4 7 2 4" xfId="1674" xr:uid="{00000000-0005-0000-0000-000095030000}"/>
    <cellStyle name="Финансовый 2 4 7 3" xfId="306" xr:uid="{00000000-0005-0000-0000-000096030000}"/>
    <cellStyle name="Финансовый 2 4 7 3 2" xfId="1281" xr:uid="{00000000-0005-0000-0000-000097030000}"/>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3" xfId="1141" xr:uid="{00000000-0005-0000-0000-0000A1030000}"/>
    <cellStyle name="Финансовый 2 4 8 2 4" xfId="1662" xr:uid="{00000000-0005-0000-0000-0000A2030000}"/>
    <cellStyle name="Финансовый 2 4 8 3" xfId="294" xr:uid="{00000000-0005-0000-0000-0000A3030000}"/>
    <cellStyle name="Финансовый 2 4 8 3 2" xfId="1269" xr:uid="{00000000-0005-0000-0000-0000A4030000}"/>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3" xfId="1129" xr:uid="{00000000-0005-0000-0000-0000AD030000}"/>
    <cellStyle name="Финансовый 2 4 9 4" xfId="1650" xr:uid="{00000000-0005-0000-0000-0000AE030000}"/>
    <cellStyle name="Финансовый 2 5" xfId="38" xr:uid="{00000000-0005-0000-0000-0000AF030000}"/>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3" xfId="1231" xr:uid="{00000000-0005-0000-0000-0000B4030000}"/>
    <cellStyle name="Финансовый 2 5 2 2 4" xfId="1760" xr:uid="{00000000-0005-0000-0000-0000B5030000}"/>
    <cellStyle name="Финансовый 2 5 2 3" xfId="392" xr:uid="{00000000-0005-0000-0000-0000B6030000}"/>
    <cellStyle name="Финансовый 2 5 2 3 2" xfId="1359" xr:uid="{00000000-0005-0000-0000-0000B7030000}"/>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3" xfId="1195" xr:uid="{00000000-0005-0000-0000-0000C1030000}"/>
    <cellStyle name="Финансовый 2 5 3 2 4" xfId="1724" xr:uid="{00000000-0005-0000-0000-0000C2030000}"/>
    <cellStyle name="Финансовый 2 5 3 3" xfId="356" xr:uid="{00000000-0005-0000-0000-0000C3030000}"/>
    <cellStyle name="Финансовый 2 5 3 3 2" xfId="1323" xr:uid="{00000000-0005-0000-0000-0000C4030000}"/>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3" xfId="1159" xr:uid="{00000000-0005-0000-0000-0000CD030000}"/>
    <cellStyle name="Финансовый 2 5 4 4" xfId="1680" xr:uid="{00000000-0005-0000-0000-0000CE030000}"/>
    <cellStyle name="Финансовый 2 5 5" xfId="312" xr:uid="{00000000-0005-0000-0000-0000CF030000}"/>
    <cellStyle name="Финансовый 2 5 5 2" xfId="1287" xr:uid="{00000000-0005-0000-0000-0000D003000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3" xfId="1201" xr:uid="{00000000-0005-0000-0000-0000DA030000}"/>
    <cellStyle name="Финансовый 2 6 2 4" xfId="1730" xr:uid="{00000000-0005-0000-0000-0000DB030000}"/>
    <cellStyle name="Финансовый 2 6 3" xfId="362" xr:uid="{00000000-0005-0000-0000-0000DC030000}"/>
    <cellStyle name="Финансовый 2 6 3 2" xfId="1329" xr:uid="{00000000-0005-0000-0000-0000DD030000}"/>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3" xfId="1207" xr:uid="{00000000-0005-0000-0000-0000E7030000}"/>
    <cellStyle name="Финансовый 2 7 2 4" xfId="1736" xr:uid="{00000000-0005-0000-0000-0000E8030000}"/>
    <cellStyle name="Финансовый 2 7 3" xfId="368" xr:uid="{00000000-0005-0000-0000-0000E9030000}"/>
    <cellStyle name="Финансовый 2 7 3 2" xfId="1335" xr:uid="{00000000-0005-0000-0000-0000EA030000}"/>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3" xfId="1219" xr:uid="{00000000-0005-0000-0000-0000F4030000}"/>
    <cellStyle name="Финансовый 2 8 2 4" xfId="1748" xr:uid="{00000000-0005-0000-0000-0000F5030000}"/>
    <cellStyle name="Финансовый 2 8 3" xfId="380" xr:uid="{00000000-0005-0000-0000-0000F6030000}"/>
    <cellStyle name="Финансовый 2 8 3 2" xfId="1347" xr:uid="{00000000-0005-0000-0000-0000F7030000}"/>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3" xfId="1237" xr:uid="{00000000-0005-0000-0000-000001040000}"/>
    <cellStyle name="Финансовый 2 9 2 4" xfId="1766" xr:uid="{00000000-0005-0000-0000-000002040000}"/>
    <cellStyle name="Финансовый 2 9 3" xfId="398" xr:uid="{00000000-0005-0000-0000-000003040000}"/>
    <cellStyle name="Финансовый 2 9 3 2" xfId="1365" xr:uid="{00000000-0005-0000-0000-000004040000}"/>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3" xfId="1148" xr:uid="{00000000-0005-0000-0000-000019040000}"/>
    <cellStyle name="Финансовый 3 10 2 4" xfId="1669" xr:uid="{00000000-0005-0000-0000-00001A040000}"/>
    <cellStyle name="Финансовый 3 10 3" xfId="301" xr:uid="{00000000-0005-0000-0000-00001B040000}"/>
    <cellStyle name="Финансовый 3 10 3 2" xfId="1276" xr:uid="{00000000-0005-0000-0000-00001C040000}"/>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3" xfId="1136" xr:uid="{00000000-0005-0000-0000-000026040000}"/>
    <cellStyle name="Финансовый 3 11 2 4" xfId="1657" xr:uid="{00000000-0005-0000-0000-000027040000}"/>
    <cellStyle name="Финансовый 3 11 3" xfId="289" xr:uid="{00000000-0005-0000-0000-000028040000}"/>
    <cellStyle name="Финансовый 3 11 3 2" xfId="1264" xr:uid="{00000000-0005-0000-0000-000029040000}"/>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3" xfId="1124" xr:uid="{00000000-0005-0000-0000-000032040000}"/>
    <cellStyle name="Финансовый 3 12 4" xfId="1645" xr:uid="{00000000-0005-0000-0000-000033040000}"/>
    <cellStyle name="Финансовый 3 13" xfId="549" xr:uid="{00000000-0005-0000-0000-000034040000}"/>
    <cellStyle name="Финансовый 3 13 2" xfId="1252" xr:uid="{00000000-0005-0000-0000-000035040000}"/>
    <cellStyle name="Финансовый 3 14" xfId="277" xr:uid="{00000000-0005-0000-0000-000036040000}"/>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1" xfId="283" xr:uid="{00000000-0005-0000-0000-00003E040000}"/>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2" xfId="45" xr:uid="{00000000-0005-0000-0000-00004304000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3" xfId="1214" xr:uid="{00000000-0005-0000-0000-000048040000}"/>
    <cellStyle name="Финансовый 3 2 2 2 2 4" xfId="1743" xr:uid="{00000000-0005-0000-0000-000049040000}"/>
    <cellStyle name="Финансовый 3 2 2 2 3" xfId="375" xr:uid="{00000000-0005-0000-0000-00004A040000}"/>
    <cellStyle name="Финансовый 3 2 2 2 3 2" xfId="1342" xr:uid="{00000000-0005-0000-0000-00004B040000}"/>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3" xfId="1166" xr:uid="{00000000-0005-0000-0000-000054040000}"/>
    <cellStyle name="Финансовый 3 2 2 3 4" xfId="1687" xr:uid="{00000000-0005-0000-0000-000055040000}"/>
    <cellStyle name="Финансовый 3 2 2 4" xfId="319" xr:uid="{00000000-0005-0000-0000-000056040000}"/>
    <cellStyle name="Финансовый 3 2 2 4 2" xfId="1294" xr:uid="{00000000-0005-0000-0000-000057040000}"/>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3" xfId="1226" xr:uid="{00000000-0005-0000-0000-000061040000}"/>
    <cellStyle name="Финансовый 3 2 3 2 4" xfId="1755" xr:uid="{00000000-0005-0000-0000-000062040000}"/>
    <cellStyle name="Финансовый 3 2 3 3" xfId="387" xr:uid="{00000000-0005-0000-0000-000063040000}"/>
    <cellStyle name="Финансовый 3 2 3 3 2" xfId="1354" xr:uid="{00000000-0005-0000-0000-00006404000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3" xfId="1190" xr:uid="{00000000-0005-0000-0000-00006E040000}"/>
    <cellStyle name="Финансовый 3 2 4 2 4" xfId="1719" xr:uid="{00000000-0005-0000-0000-00006F040000}"/>
    <cellStyle name="Финансовый 3 2 4 3" xfId="351" xr:uid="{00000000-0005-0000-0000-000070040000}"/>
    <cellStyle name="Финансовый 3 2 4 3 2" xfId="1318" xr:uid="{00000000-0005-0000-0000-000071040000}"/>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3" xfId="1178" xr:uid="{00000000-0005-0000-0000-00007B040000}"/>
    <cellStyle name="Финансовый 3 2 5 2 4" xfId="1699" xr:uid="{00000000-0005-0000-0000-00007C040000}"/>
    <cellStyle name="Финансовый 3 2 5 3" xfId="331" xr:uid="{00000000-0005-0000-0000-00007D040000}"/>
    <cellStyle name="Финансовый 3 2 5 3 2" xfId="1306" xr:uid="{00000000-0005-0000-0000-00007E040000}"/>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3" xfId="1246" xr:uid="{00000000-0005-0000-0000-000088040000}"/>
    <cellStyle name="Финансовый 3 2 6 2 4" xfId="1775" xr:uid="{00000000-0005-0000-0000-000089040000}"/>
    <cellStyle name="Финансовый 3 2 6 3" xfId="407" xr:uid="{00000000-0005-0000-0000-00008A040000}"/>
    <cellStyle name="Финансовый 3 2 6 3 2" xfId="1374" xr:uid="{00000000-0005-0000-0000-00008B040000}"/>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3" xfId="1154" xr:uid="{00000000-0005-0000-0000-000095040000}"/>
    <cellStyle name="Финансовый 3 2 7 2 4" xfId="1675" xr:uid="{00000000-0005-0000-0000-000096040000}"/>
    <cellStyle name="Финансовый 3 2 7 3" xfId="307" xr:uid="{00000000-0005-0000-0000-000097040000}"/>
    <cellStyle name="Финансовый 3 2 7 3 2" xfId="1282" xr:uid="{00000000-0005-0000-0000-000098040000}"/>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3" xfId="1142" xr:uid="{00000000-0005-0000-0000-0000A2040000}"/>
    <cellStyle name="Финансовый 3 2 8 2 4" xfId="1663" xr:uid="{00000000-0005-0000-0000-0000A3040000}"/>
    <cellStyle name="Финансовый 3 2 8 3" xfId="295" xr:uid="{00000000-0005-0000-0000-0000A4040000}"/>
    <cellStyle name="Финансовый 3 2 8 3 2" xfId="1270" xr:uid="{00000000-0005-0000-0000-0000A5040000}"/>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3" xfId="1130" xr:uid="{00000000-0005-0000-0000-0000AE040000}"/>
    <cellStyle name="Финансовый 3 2 9 4" xfId="1651" xr:uid="{00000000-0005-0000-0000-0000AF040000}"/>
    <cellStyle name="Финансовый 3 3" xfId="39" xr:uid="{00000000-0005-0000-0000-0000B0040000}"/>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3" xfId="1232" xr:uid="{00000000-0005-0000-0000-0000B5040000}"/>
    <cellStyle name="Финансовый 3 3 2 2 4" xfId="1761" xr:uid="{00000000-0005-0000-0000-0000B6040000}"/>
    <cellStyle name="Финансовый 3 3 2 3" xfId="393" xr:uid="{00000000-0005-0000-0000-0000B7040000}"/>
    <cellStyle name="Финансовый 3 3 2 3 2" xfId="1360" xr:uid="{00000000-0005-0000-0000-0000B8040000}"/>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3" xfId="1196" xr:uid="{00000000-0005-0000-0000-0000C2040000}"/>
    <cellStyle name="Финансовый 3 3 3 2 4" xfId="1725" xr:uid="{00000000-0005-0000-0000-0000C3040000}"/>
    <cellStyle name="Финансовый 3 3 3 3" xfId="357" xr:uid="{00000000-0005-0000-0000-0000C4040000}"/>
    <cellStyle name="Финансовый 3 3 3 3 2" xfId="1324" xr:uid="{00000000-0005-0000-0000-0000C5040000}"/>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3" xfId="1160" xr:uid="{00000000-0005-0000-0000-0000CE040000}"/>
    <cellStyle name="Финансовый 3 3 4 4" xfId="1681" xr:uid="{00000000-0005-0000-0000-0000CF040000}"/>
    <cellStyle name="Финансовый 3 3 5" xfId="313" xr:uid="{00000000-0005-0000-0000-0000D0040000}"/>
    <cellStyle name="Финансовый 3 3 5 2" xfId="1288" xr:uid="{00000000-0005-0000-0000-0000D1040000}"/>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3" xfId="1202" xr:uid="{00000000-0005-0000-0000-0000DB040000}"/>
    <cellStyle name="Финансовый 3 4 2 4" xfId="1731" xr:uid="{00000000-0005-0000-0000-0000DC040000}"/>
    <cellStyle name="Финансовый 3 4 3" xfId="363" xr:uid="{00000000-0005-0000-0000-0000DD040000}"/>
    <cellStyle name="Финансовый 3 4 3 2" xfId="1330" xr:uid="{00000000-0005-0000-0000-0000DE040000}"/>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3" xfId="1208" xr:uid="{00000000-0005-0000-0000-0000E8040000}"/>
    <cellStyle name="Финансовый 3 5 2 4" xfId="1737" xr:uid="{00000000-0005-0000-0000-0000E9040000}"/>
    <cellStyle name="Финансовый 3 5 3" xfId="369" xr:uid="{00000000-0005-0000-0000-0000EA040000}"/>
    <cellStyle name="Финансовый 3 5 3 2" xfId="1336" xr:uid="{00000000-0005-0000-0000-0000EB040000}"/>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3" xfId="1220" xr:uid="{00000000-0005-0000-0000-0000F5040000}"/>
    <cellStyle name="Финансовый 3 6 2 4" xfId="1749" xr:uid="{00000000-0005-0000-0000-0000F6040000}"/>
    <cellStyle name="Финансовый 3 6 3" xfId="381" xr:uid="{00000000-0005-0000-0000-0000F7040000}"/>
    <cellStyle name="Финансовый 3 6 3 2" xfId="1348" xr:uid="{00000000-0005-0000-0000-0000F8040000}"/>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3" xfId="1185" xr:uid="{00000000-0005-0000-0000-000002050000}"/>
    <cellStyle name="Финансовый 3 7 2 4" xfId="1714" xr:uid="{00000000-0005-0000-0000-000003050000}"/>
    <cellStyle name="Финансовый 3 7 3" xfId="346" xr:uid="{00000000-0005-0000-0000-000004050000}"/>
    <cellStyle name="Финансовый 3 7 3 2" xfId="1313" xr:uid="{00000000-0005-0000-0000-000005050000}"/>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3" xfId="1172" xr:uid="{00000000-0005-0000-0000-00000F050000}"/>
    <cellStyle name="Финансовый 3 8 2 4" xfId="1693" xr:uid="{00000000-0005-0000-0000-000010050000}"/>
    <cellStyle name="Финансовый 3 8 3" xfId="325" xr:uid="{00000000-0005-0000-0000-000011050000}"/>
    <cellStyle name="Финансовый 3 8 3 2" xfId="1300" xr:uid="{00000000-0005-0000-0000-000012050000}"/>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3" xfId="1240" xr:uid="{00000000-0005-0000-0000-00001C050000}"/>
    <cellStyle name="Финансовый 3 9 2 4" xfId="1769" xr:uid="{00000000-0005-0000-0000-00001D050000}"/>
    <cellStyle name="Финансовый 3 9 3" xfId="401" xr:uid="{00000000-0005-0000-0000-00001E050000}"/>
    <cellStyle name="Финансовый 3 9 3 2" xfId="1368" xr:uid="{00000000-0005-0000-0000-00001F050000}"/>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0" xfId="795" xr:uid="{00000000-0005-0000-0000-000025050000}"/>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3" xfId="1150" xr:uid="{00000000-0005-0000-0000-00002B050000}"/>
    <cellStyle name="Финансовый 4 10 2 4" xfId="1671" xr:uid="{00000000-0005-0000-0000-00002C050000}"/>
    <cellStyle name="Финансовый 4 10 3" xfId="303" xr:uid="{00000000-0005-0000-0000-00002D050000}"/>
    <cellStyle name="Финансовый 4 10 3 2" xfId="1278" xr:uid="{00000000-0005-0000-0000-00002E050000}"/>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3" xfId="1138" xr:uid="{00000000-0005-0000-0000-000038050000}"/>
    <cellStyle name="Финансовый 4 11 2 4" xfId="1659" xr:uid="{00000000-0005-0000-0000-000039050000}"/>
    <cellStyle name="Финансовый 4 11 3" xfId="291" xr:uid="{00000000-0005-0000-0000-00003A050000}"/>
    <cellStyle name="Финансовый 4 11 3 2" xfId="1266" xr:uid="{00000000-0005-0000-0000-00003B050000}"/>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3" xfId="1126" xr:uid="{00000000-0005-0000-0000-000044050000}"/>
    <cellStyle name="Финансовый 4 12 4" xfId="1647" xr:uid="{00000000-0005-0000-0000-000045050000}"/>
    <cellStyle name="Финансовый 4 13" xfId="551" xr:uid="{00000000-0005-0000-0000-000046050000}"/>
    <cellStyle name="Финансовый 4 13 2" xfId="1254" xr:uid="{00000000-0005-0000-0000-000047050000}"/>
    <cellStyle name="Финансовый 4 14" xfId="279" xr:uid="{00000000-0005-0000-0000-000048050000}"/>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1" xfId="285" xr:uid="{00000000-0005-0000-0000-000050050000}"/>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2" xfId="47" xr:uid="{00000000-0005-0000-0000-000055050000}"/>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3" xfId="1216" xr:uid="{00000000-0005-0000-0000-00005A050000}"/>
    <cellStyle name="Финансовый 4 2 2 2 2 4" xfId="1745" xr:uid="{00000000-0005-0000-0000-00005B050000}"/>
    <cellStyle name="Финансовый 4 2 2 2 3" xfId="377" xr:uid="{00000000-0005-0000-0000-00005C050000}"/>
    <cellStyle name="Финансовый 4 2 2 2 3 2" xfId="1344" xr:uid="{00000000-0005-0000-0000-00005D050000}"/>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3" xfId="1168" xr:uid="{00000000-0005-0000-0000-000066050000}"/>
    <cellStyle name="Финансовый 4 2 2 3 4" xfId="1689" xr:uid="{00000000-0005-0000-0000-000067050000}"/>
    <cellStyle name="Финансовый 4 2 2 4" xfId="321" xr:uid="{00000000-0005-0000-0000-000068050000}"/>
    <cellStyle name="Финансовый 4 2 2 4 2" xfId="1296" xr:uid="{00000000-0005-0000-0000-000069050000}"/>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3" xfId="1228" xr:uid="{00000000-0005-0000-0000-000073050000}"/>
    <cellStyle name="Финансовый 4 2 3 2 4" xfId="1757" xr:uid="{00000000-0005-0000-0000-000074050000}"/>
    <cellStyle name="Финансовый 4 2 3 3" xfId="389" xr:uid="{00000000-0005-0000-0000-000075050000}"/>
    <cellStyle name="Финансовый 4 2 3 3 2" xfId="1356" xr:uid="{00000000-0005-0000-0000-000076050000}"/>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3" xfId="1192" xr:uid="{00000000-0005-0000-0000-000080050000}"/>
    <cellStyle name="Финансовый 4 2 4 2 4" xfId="1721" xr:uid="{00000000-0005-0000-0000-000081050000}"/>
    <cellStyle name="Финансовый 4 2 4 3" xfId="353" xr:uid="{00000000-0005-0000-0000-000082050000}"/>
    <cellStyle name="Финансовый 4 2 4 3 2" xfId="1320" xr:uid="{00000000-0005-0000-0000-000083050000}"/>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3" xfId="1180" xr:uid="{00000000-0005-0000-0000-00008D050000}"/>
    <cellStyle name="Финансовый 4 2 5 2 4" xfId="1701" xr:uid="{00000000-0005-0000-0000-00008E050000}"/>
    <cellStyle name="Финансовый 4 2 5 3" xfId="333" xr:uid="{00000000-0005-0000-0000-00008F050000}"/>
    <cellStyle name="Финансовый 4 2 5 3 2" xfId="1308" xr:uid="{00000000-0005-0000-0000-000090050000}"/>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3" xfId="1248" xr:uid="{00000000-0005-0000-0000-00009A050000}"/>
    <cellStyle name="Финансовый 4 2 6 2 4" xfId="1777" xr:uid="{00000000-0005-0000-0000-00009B050000}"/>
    <cellStyle name="Финансовый 4 2 6 3" xfId="409" xr:uid="{00000000-0005-0000-0000-00009C050000}"/>
    <cellStyle name="Финансовый 4 2 6 3 2" xfId="1376" xr:uid="{00000000-0005-0000-0000-00009D050000}"/>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3" xfId="1156" xr:uid="{00000000-0005-0000-0000-0000A7050000}"/>
    <cellStyle name="Финансовый 4 2 7 2 4" xfId="1677" xr:uid="{00000000-0005-0000-0000-0000A8050000}"/>
    <cellStyle name="Финансовый 4 2 7 3" xfId="309" xr:uid="{00000000-0005-0000-0000-0000A9050000}"/>
    <cellStyle name="Финансовый 4 2 7 3 2" xfId="1284" xr:uid="{00000000-0005-0000-0000-0000AA050000}"/>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3" xfId="1144" xr:uid="{00000000-0005-0000-0000-0000B4050000}"/>
    <cellStyle name="Финансовый 4 2 8 2 4" xfId="1665" xr:uid="{00000000-0005-0000-0000-0000B5050000}"/>
    <cellStyle name="Финансовый 4 2 8 3" xfId="297" xr:uid="{00000000-0005-0000-0000-0000B6050000}"/>
    <cellStyle name="Финансовый 4 2 8 3 2" xfId="1272" xr:uid="{00000000-0005-0000-0000-0000B7050000}"/>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3" xfId="1132" xr:uid="{00000000-0005-0000-0000-0000C0050000}"/>
    <cellStyle name="Финансовый 4 2 9 4" xfId="1653" xr:uid="{00000000-0005-0000-0000-0000C1050000}"/>
    <cellStyle name="Финансовый 4 3" xfId="41" xr:uid="{00000000-0005-0000-0000-0000C2050000}"/>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3" xfId="1234" xr:uid="{00000000-0005-0000-0000-0000C7050000}"/>
    <cellStyle name="Финансовый 4 3 2 2 4" xfId="1763" xr:uid="{00000000-0005-0000-0000-0000C8050000}"/>
    <cellStyle name="Финансовый 4 3 2 3" xfId="395" xr:uid="{00000000-0005-0000-0000-0000C9050000}"/>
    <cellStyle name="Финансовый 4 3 2 3 2" xfId="1362" xr:uid="{00000000-0005-0000-0000-0000CA05000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3" xfId="1198" xr:uid="{00000000-0005-0000-0000-0000D4050000}"/>
    <cellStyle name="Финансовый 4 3 3 2 4" xfId="1727" xr:uid="{00000000-0005-0000-0000-0000D5050000}"/>
    <cellStyle name="Финансовый 4 3 3 3" xfId="359" xr:uid="{00000000-0005-0000-0000-0000D6050000}"/>
    <cellStyle name="Финансовый 4 3 3 3 2" xfId="1326" xr:uid="{00000000-0005-0000-0000-0000D7050000}"/>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3" xfId="1162" xr:uid="{00000000-0005-0000-0000-0000E0050000}"/>
    <cellStyle name="Финансовый 4 3 4 4" xfId="1683" xr:uid="{00000000-0005-0000-0000-0000E1050000}"/>
    <cellStyle name="Финансовый 4 3 5" xfId="315" xr:uid="{00000000-0005-0000-0000-0000E2050000}"/>
    <cellStyle name="Финансовый 4 3 5 2" xfId="1290" xr:uid="{00000000-0005-0000-0000-0000E3050000}"/>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3" xfId="1204" xr:uid="{00000000-0005-0000-0000-0000ED050000}"/>
    <cellStyle name="Финансовый 4 4 2 4" xfId="1733" xr:uid="{00000000-0005-0000-0000-0000EE050000}"/>
    <cellStyle name="Финансовый 4 4 3" xfId="365" xr:uid="{00000000-0005-0000-0000-0000EF050000}"/>
    <cellStyle name="Финансовый 4 4 3 2" xfId="1332" xr:uid="{00000000-0005-0000-0000-0000F0050000}"/>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3" xfId="1210" xr:uid="{00000000-0005-0000-0000-0000FA050000}"/>
    <cellStyle name="Финансовый 4 5 2 4" xfId="1739" xr:uid="{00000000-0005-0000-0000-0000FB050000}"/>
    <cellStyle name="Финансовый 4 5 3" xfId="371" xr:uid="{00000000-0005-0000-0000-0000FC050000}"/>
    <cellStyle name="Финансовый 4 5 3 2" xfId="1338" xr:uid="{00000000-0005-0000-0000-0000FD050000}"/>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3" xfId="1222" xr:uid="{00000000-0005-0000-0000-000007060000}"/>
    <cellStyle name="Финансовый 4 6 2 4" xfId="1751" xr:uid="{00000000-0005-0000-0000-000008060000}"/>
    <cellStyle name="Финансовый 4 6 3" xfId="383" xr:uid="{00000000-0005-0000-0000-000009060000}"/>
    <cellStyle name="Финансовый 4 6 3 2" xfId="1350" xr:uid="{00000000-0005-0000-0000-00000A060000}"/>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3" xfId="1186" xr:uid="{00000000-0005-0000-0000-000014060000}"/>
    <cellStyle name="Финансовый 4 7 2 4" xfId="1715" xr:uid="{00000000-0005-0000-0000-000015060000}"/>
    <cellStyle name="Финансовый 4 7 3" xfId="347" xr:uid="{00000000-0005-0000-0000-000016060000}"/>
    <cellStyle name="Финансовый 4 7 3 2" xfId="1314" xr:uid="{00000000-0005-0000-0000-000017060000}"/>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3" xfId="1174" xr:uid="{00000000-0005-0000-0000-000021060000}"/>
    <cellStyle name="Финансовый 4 8 2 4" xfId="1695" xr:uid="{00000000-0005-0000-0000-000022060000}"/>
    <cellStyle name="Финансовый 4 8 3" xfId="327" xr:uid="{00000000-0005-0000-0000-000023060000}"/>
    <cellStyle name="Финансовый 4 8 3 2" xfId="1302" xr:uid="{00000000-0005-0000-0000-000024060000}"/>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3" xfId="1242" xr:uid="{00000000-0005-0000-0000-00002E060000}"/>
    <cellStyle name="Финансовый 4 9 2 4" xfId="1771" xr:uid="{00000000-0005-0000-0000-00002F060000}"/>
    <cellStyle name="Финансовый 4 9 3" xfId="403" xr:uid="{00000000-0005-0000-0000-000030060000}"/>
    <cellStyle name="Финансовый 4 9 3 2" xfId="1370" xr:uid="{00000000-0005-0000-0000-000031060000}"/>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1" xfId="281" xr:uid="{00000000-0005-0000-0000-00003A060000}"/>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2" xfId="43" xr:uid="{00000000-0005-0000-0000-00003F06000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3" xfId="1212" xr:uid="{00000000-0005-0000-0000-000044060000}"/>
    <cellStyle name="Финансовый 5 2 2 2 4" xfId="1741" xr:uid="{00000000-0005-0000-0000-000045060000}"/>
    <cellStyle name="Финансовый 5 2 2 3" xfId="373" xr:uid="{00000000-0005-0000-0000-000046060000}"/>
    <cellStyle name="Финансовый 5 2 2 3 2" xfId="1340" xr:uid="{00000000-0005-0000-0000-000047060000}"/>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3" xfId="1164" xr:uid="{00000000-0005-0000-0000-000050060000}"/>
    <cellStyle name="Финансовый 5 2 3 4" xfId="1685" xr:uid="{00000000-0005-0000-0000-000051060000}"/>
    <cellStyle name="Финансовый 5 2 4" xfId="317" xr:uid="{00000000-0005-0000-0000-000052060000}"/>
    <cellStyle name="Финансовый 5 2 4 2" xfId="1292" xr:uid="{00000000-0005-0000-0000-000053060000}"/>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3" xfId="1224" xr:uid="{00000000-0005-0000-0000-00005D060000}"/>
    <cellStyle name="Финансовый 5 3 2 4" xfId="1753" xr:uid="{00000000-0005-0000-0000-00005E060000}"/>
    <cellStyle name="Финансовый 5 3 3" xfId="385" xr:uid="{00000000-0005-0000-0000-00005F060000}"/>
    <cellStyle name="Финансовый 5 3 3 2" xfId="1352" xr:uid="{00000000-0005-0000-0000-000060060000}"/>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3" xfId="1188" xr:uid="{00000000-0005-0000-0000-00006A060000}"/>
    <cellStyle name="Финансовый 5 4 2 4" xfId="1717" xr:uid="{00000000-0005-0000-0000-00006B060000}"/>
    <cellStyle name="Финансовый 5 4 3" xfId="349" xr:uid="{00000000-0005-0000-0000-00006C060000}"/>
    <cellStyle name="Финансовый 5 4 3 2" xfId="1316" xr:uid="{00000000-0005-0000-0000-00006D060000}"/>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3" xfId="1176" xr:uid="{00000000-0005-0000-0000-000077060000}"/>
    <cellStyle name="Финансовый 5 5 2 4" xfId="1697" xr:uid="{00000000-0005-0000-0000-000078060000}"/>
    <cellStyle name="Финансовый 5 5 3" xfId="329" xr:uid="{00000000-0005-0000-0000-000079060000}"/>
    <cellStyle name="Финансовый 5 5 3 2" xfId="1304" xr:uid="{00000000-0005-0000-0000-00007A060000}"/>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3" xfId="1244" xr:uid="{00000000-0005-0000-0000-000084060000}"/>
    <cellStyle name="Финансовый 5 6 2 4" xfId="1773" xr:uid="{00000000-0005-0000-0000-000085060000}"/>
    <cellStyle name="Финансовый 5 6 3" xfId="405" xr:uid="{00000000-0005-0000-0000-000086060000}"/>
    <cellStyle name="Финансовый 5 6 3 2" xfId="1372" xr:uid="{00000000-0005-0000-0000-000087060000}"/>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3" xfId="1152" xr:uid="{00000000-0005-0000-0000-000091060000}"/>
    <cellStyle name="Финансовый 5 7 2 4" xfId="1673" xr:uid="{00000000-0005-0000-0000-000092060000}"/>
    <cellStyle name="Финансовый 5 7 3" xfId="305" xr:uid="{00000000-0005-0000-0000-000093060000}"/>
    <cellStyle name="Финансовый 5 7 3 2" xfId="1280" xr:uid="{00000000-0005-0000-0000-000094060000}"/>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3" xfId="1140" xr:uid="{00000000-0005-0000-0000-00009E060000}"/>
    <cellStyle name="Финансовый 5 8 2 4" xfId="1661" xr:uid="{00000000-0005-0000-0000-00009F060000}"/>
    <cellStyle name="Финансовый 5 8 3" xfId="293" xr:uid="{00000000-0005-0000-0000-0000A0060000}"/>
    <cellStyle name="Финансовый 5 8 3 2" xfId="1268" xr:uid="{00000000-0005-0000-0000-0000A1060000}"/>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3" xfId="1128" xr:uid="{00000000-0005-0000-0000-0000AA060000}"/>
    <cellStyle name="Финансовый 5 9 4" xfId="1649" xr:uid="{00000000-0005-0000-0000-0000AB060000}"/>
    <cellStyle name="Финансовый 6" xfId="37" xr:uid="{00000000-0005-0000-0000-0000AC060000}"/>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3" xfId="1230" xr:uid="{00000000-0005-0000-0000-0000B1060000}"/>
    <cellStyle name="Финансовый 6 2 2 4" xfId="1759" xr:uid="{00000000-0005-0000-0000-0000B2060000}"/>
    <cellStyle name="Финансовый 6 2 3" xfId="391" xr:uid="{00000000-0005-0000-0000-0000B3060000}"/>
    <cellStyle name="Финансовый 6 2 3 2" xfId="1358" xr:uid="{00000000-0005-0000-0000-0000B4060000}"/>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3" xfId="1194" xr:uid="{00000000-0005-0000-0000-0000BE060000}"/>
    <cellStyle name="Финансовый 6 3 2 4" xfId="1723" xr:uid="{00000000-0005-0000-0000-0000BF060000}"/>
    <cellStyle name="Финансовый 6 3 3" xfId="355" xr:uid="{00000000-0005-0000-0000-0000C0060000}"/>
    <cellStyle name="Финансовый 6 3 3 2" xfId="1322" xr:uid="{00000000-0005-0000-0000-0000C1060000}"/>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3" xfId="1158" xr:uid="{00000000-0005-0000-0000-0000CA060000}"/>
    <cellStyle name="Финансовый 6 4 4" xfId="1679" xr:uid="{00000000-0005-0000-0000-0000CB060000}"/>
    <cellStyle name="Финансовый 6 5" xfId="311" xr:uid="{00000000-0005-0000-0000-0000CC060000}"/>
    <cellStyle name="Финансовый 6 5 2" xfId="1286" xr:uid="{00000000-0005-0000-0000-0000CD060000}"/>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3" xfId="1200" xr:uid="{00000000-0005-0000-0000-0000D7060000}"/>
    <cellStyle name="Финансовый 7 2 4" xfId="1729" xr:uid="{00000000-0005-0000-0000-0000D8060000}"/>
    <cellStyle name="Финансовый 7 3" xfId="361" xr:uid="{00000000-0005-0000-0000-0000D9060000}"/>
    <cellStyle name="Финансовый 7 3 2" xfId="1328" xr:uid="{00000000-0005-0000-0000-0000DA060000}"/>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3" xfId="1206" xr:uid="{00000000-0005-0000-0000-0000E4060000}"/>
    <cellStyle name="Финансовый 8 2 4" xfId="1735" xr:uid="{00000000-0005-0000-0000-0000E5060000}"/>
    <cellStyle name="Финансовый 8 3" xfId="367" xr:uid="{00000000-0005-0000-0000-0000E6060000}"/>
    <cellStyle name="Финансовый 8 3 2" xfId="1334" xr:uid="{00000000-0005-0000-0000-0000E7060000}"/>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3" xfId="1218" xr:uid="{00000000-0005-0000-0000-0000F1060000}"/>
    <cellStyle name="Финансовый 9 2 4" xfId="1747" xr:uid="{00000000-0005-0000-0000-0000F2060000}"/>
    <cellStyle name="Финансовый 9 3" xfId="379" xr:uid="{00000000-0005-0000-0000-0000F3060000}"/>
    <cellStyle name="Финансовый 9 3 2" xfId="1346" xr:uid="{00000000-0005-0000-0000-0000F4060000}"/>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53;&#1091;&#1082;&#1091;&#1089;%20v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dmin\PycharmProjects\payup\media\docx_org_templates\mikroqarz\standart\SHUKUROV%20OTABEK%20SHOKIR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заявление залогодателя"/>
      <sheetName val="Акт согласовани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sheetData sheetId="1"/>
      <sheetData sheetId="2"/>
      <sheetData sheetId="3">
        <row r="147">
          <cell r="B147" t="str">
            <v>«CLEVER MIKROMOLIYA TASHKILOTI» MChJ</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Акт согласования"/>
      <sheetName val="заявление залогодател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refreshError="1"/>
      <sheetData sheetId="1" refreshError="1"/>
      <sheetData sheetId="2" refreshError="1"/>
      <sheetData sheetId="3" refreshError="1">
        <row r="159">
          <cell r="A159" t="str">
            <v>Kreditlash bo’limi boshlig’i</v>
          </cell>
        </row>
        <row r="160">
          <cell r="A160" t="str">
            <v>Monitoring bo’limi boshlig’i</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38" t="s">
        <v>16</v>
      </c>
      <c r="F1" s="238"/>
    </row>
    <row r="2" spans="1:22">
      <c r="A2" s="86"/>
      <c r="B2" s="86"/>
      <c r="C2" s="86"/>
      <c r="D2" s="86"/>
      <c r="E2" s="86"/>
      <c r="F2" s="88" t="str">
        <f>"к договору микрозайма "&amp;'Общие данные'!B74&amp;""</f>
        <v>к договору микрозайма 11 mart 2025 y.dan № -SM</v>
      </c>
    </row>
    <row r="3" spans="1:22" ht="19.5" customHeight="1">
      <c r="A3" s="86"/>
      <c r="B3" s="86"/>
      <c r="C3" s="86"/>
      <c r="D3" s="86"/>
      <c r="E3" s="86"/>
      <c r="F3" s="86"/>
      <c r="H3" s="89"/>
      <c r="I3" s="89"/>
      <c r="J3" s="90"/>
      <c r="K3" s="90"/>
    </row>
    <row r="4" spans="1:22" ht="19.5" customHeight="1">
      <c r="A4" s="239" t="s">
        <v>17</v>
      </c>
      <c r="B4" s="239"/>
      <c r="C4" s="239"/>
      <c r="D4" s="239"/>
      <c r="E4" s="239"/>
      <c r="F4" s="239"/>
      <c r="H4" s="89"/>
      <c r="I4" s="89"/>
      <c r="J4" s="89"/>
      <c r="K4" s="89"/>
    </row>
    <row r="5" spans="1:22" ht="19.5" customHeight="1">
      <c r="L5" s="87">
        <f>'Общие данные'!B81</f>
        <v>36</v>
      </c>
    </row>
    <row r="6" spans="1:22">
      <c r="A6" s="240" t="s">
        <v>15</v>
      </c>
      <c r="B6" s="241" t="s">
        <v>9</v>
      </c>
      <c r="C6" s="241" t="s">
        <v>10</v>
      </c>
      <c r="D6" s="242" t="s">
        <v>11</v>
      </c>
      <c r="E6" s="242"/>
      <c r="F6" s="242"/>
    </row>
    <row r="7" spans="1:22" s="16" customFormat="1">
      <c r="A7" s="240"/>
      <c r="B7" s="241"/>
      <c r="C7" s="241"/>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35" t="s">
        <v>18</v>
      </c>
      <c r="B46" s="235"/>
      <c r="C46" s="235"/>
      <c r="D46" s="235"/>
      <c r="E46" s="235"/>
      <c r="F46" s="235"/>
    </row>
    <row r="47" spans="1:22" ht="7.5" customHeight="1"/>
    <row r="48" spans="1:22">
      <c r="A48" s="236" t="e">
        <f>#REF!</f>
        <v>#REF!</v>
      </c>
      <c r="B48" s="236"/>
      <c r="C48" s="236"/>
      <c r="D48" s="236" t="e">
        <f>#REF!</f>
        <v>#REF!</v>
      </c>
      <c r="E48" s="236"/>
      <c r="F48" s="236"/>
    </row>
    <row r="49" spans="1:6" ht="11.25" customHeight="1">
      <c r="A49" s="237"/>
      <c r="B49" s="237"/>
      <c r="C49" s="237"/>
      <c r="D49" s="237"/>
      <c r="E49" s="237"/>
      <c r="F49" s="237"/>
    </row>
    <row r="50" spans="1:6" ht="30" customHeight="1">
      <c r="A50" s="234" t="e">
        <f>#REF!</f>
        <v>#REF!</v>
      </c>
      <c r="B50" s="234"/>
      <c r="C50" s="234"/>
      <c r="D50" s="234" t="e">
        <f>#REF!</f>
        <v>#REF!</v>
      </c>
      <c r="E50" s="234"/>
      <c r="F50" s="234"/>
    </row>
    <row r="51" spans="1:6" ht="32.25" customHeight="1">
      <c r="A51" s="230" t="e">
        <f>#REF!</f>
        <v>#REF!</v>
      </c>
      <c r="B51" s="230"/>
      <c r="C51" s="230"/>
      <c r="D51" s="230" t="e">
        <f>#REF!</f>
        <v>#REF!</v>
      </c>
      <c r="E51" s="230"/>
      <c r="F51" s="230"/>
    </row>
    <row r="52" spans="1:6">
      <c r="A52" s="230" t="e">
        <f>#REF!</f>
        <v>#REF!</v>
      </c>
      <c r="B52" s="230"/>
      <c r="C52" s="230"/>
      <c r="D52" s="230" t="str">
        <f>"паспорт серии "&amp;'Общие данные'!B16&amp;", "&amp;'Общие данные'!B20&amp;""</f>
        <v>паспорт серии AA 9481167, BUXORO VILOYATI BUXORO SHAHAR IIB tomonidan 24.04.2015 yilda berilgan</v>
      </c>
      <c r="E52" s="230"/>
      <c r="F52" s="230"/>
    </row>
    <row r="53" spans="1:6" ht="32.25" customHeight="1">
      <c r="A53" s="230" t="e">
        <f>#REF!</f>
        <v>#REF!</v>
      </c>
      <c r="B53" s="230"/>
      <c r="C53" s="230"/>
      <c r="D53" s="230"/>
      <c r="E53" s="230"/>
      <c r="F53" s="230"/>
    </row>
    <row r="54" spans="1:6">
      <c r="A54" s="230" t="e">
        <f>#REF!</f>
        <v>#REF!</v>
      </c>
      <c r="B54" s="230"/>
      <c r="C54" s="230"/>
      <c r="D54" s="230" t="e">
        <f>#REF!</f>
        <v>#REF!</v>
      </c>
      <c r="E54" s="230"/>
      <c r="F54" s="230"/>
    </row>
    <row r="55" spans="1:6">
      <c r="A55" s="230" t="e">
        <f>#REF!</f>
        <v>#REF!</v>
      </c>
      <c r="B55" s="230"/>
      <c r="C55" s="230"/>
      <c r="D55" s="230" t="e">
        <f>#REF!</f>
        <v>#REF!</v>
      </c>
      <c r="E55" s="230"/>
      <c r="F55" s="230"/>
    </row>
    <row r="56" spans="1:6">
      <c r="A56" s="230" t="e">
        <f>#REF!</f>
        <v>#REF!</v>
      </c>
      <c r="B56" s="230"/>
      <c r="C56" s="230"/>
      <c r="D56" s="230" t="e">
        <f>#REF!</f>
        <v>#REF!</v>
      </c>
      <c r="E56" s="230"/>
      <c r="F56" s="230"/>
    </row>
    <row r="57" spans="1:6" ht="8.25" customHeight="1">
      <c r="A57" s="230"/>
      <c r="B57" s="230"/>
      <c r="C57" s="230"/>
      <c r="D57" s="230"/>
      <c r="E57" s="230"/>
      <c r="F57" s="230"/>
    </row>
    <row r="58" spans="1:6">
      <c r="A58" s="234" t="e">
        <f>#REF!</f>
        <v>#REF!</v>
      </c>
      <c r="B58" s="234"/>
      <c r="C58" s="234"/>
      <c r="D58" s="234" t="e">
        <f>#REF!</f>
        <v>#REF!</v>
      </c>
      <c r="E58" s="234"/>
      <c r="F58" s="234"/>
    </row>
    <row r="59" spans="1:6" ht="7.5" customHeight="1">
      <c r="A59" s="234"/>
      <c r="B59" s="234"/>
      <c r="C59" s="234"/>
      <c r="D59" s="234"/>
      <c r="E59" s="234"/>
      <c r="F59" s="234"/>
    </row>
    <row r="60" spans="1:6">
      <c r="A60" s="234" t="e">
        <f>#REF!</f>
        <v>#REF!</v>
      </c>
      <c r="B60" s="234"/>
      <c r="C60" s="234"/>
      <c r="D60" s="234" t="e">
        <f>#REF!</f>
        <v>#REF!</v>
      </c>
      <c r="E60" s="234"/>
      <c r="F60" s="234"/>
    </row>
    <row r="61" spans="1:6" ht="8.25" customHeight="1">
      <c r="A61" s="230"/>
      <c r="B61" s="230"/>
      <c r="C61" s="230"/>
      <c r="D61" s="230"/>
      <c r="E61" s="230"/>
      <c r="F61" s="230"/>
    </row>
    <row r="62" spans="1:6" ht="30" customHeight="1">
      <c r="A62" s="231"/>
      <c r="B62" s="231"/>
      <c r="C62" s="231"/>
      <c r="D62" s="232" t="e">
        <f>#REF!</f>
        <v>#REF!</v>
      </c>
      <c r="E62" s="232"/>
      <c r="F62" s="232"/>
    </row>
    <row r="63" spans="1:6">
      <c r="A63" s="233"/>
      <c r="B63" s="233"/>
      <c r="C63" s="233"/>
      <c r="D63" s="233"/>
      <c r="E63" s="233"/>
      <c r="F63" s="233"/>
    </row>
    <row r="64" spans="1:6">
      <c r="A64" s="229"/>
      <c r="B64" s="229"/>
      <c r="C64" s="229"/>
      <c r="D64" s="229"/>
      <c r="E64" s="229"/>
      <c r="F64" s="229"/>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zoomScaleNormal="100" zoomScaleSheetLayoutView="100" workbookViewId="0">
      <selection activeCell="C54" sqref="C54"/>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48" t="str">
        <f>""&amp;'Общие данные'!B147&amp;"
mikromoliya tashkiloti
Kredit qo‘mitasining yig‘ilishi"</f>
        <v>«CLEVER MIKROMOLIYA TASHKILOTI» MChJ
mikromoliya tashkiloti
Kredit qo‘mitasining yig‘ilishi</v>
      </c>
      <c r="B1" s="248"/>
      <c r="C1" s="248"/>
      <c r="D1" s="248"/>
      <c r="E1" s="248"/>
    </row>
    <row r="2" spans="1:33" ht="29.25" customHeight="1">
      <c r="A2" s="248" t="str">
        <f>""&amp;H7&amp;" protokolidan ko'chirma"</f>
        <v>№ -SM protokolidan ko'chirma</v>
      </c>
      <c r="B2" s="248"/>
      <c r="C2" s="248"/>
      <c r="D2" s="248"/>
      <c r="E2" s="248"/>
    </row>
    <row r="3" spans="1:33" ht="29.25" customHeight="1">
      <c r="A3" s="132" t="s">
        <v>203</v>
      </c>
      <c r="B3" s="50"/>
      <c r="C3" s="50"/>
      <c r="D3" s="50"/>
      <c r="E3" s="133" t="str">
        <f>'Общие данные'!B68</f>
        <v>11 mart 2025 y.</v>
      </c>
    </row>
    <row r="4" spans="1:33" ht="29.25" customHeight="1">
      <c r="A4" s="50"/>
      <c r="B4" s="248" t="s">
        <v>202</v>
      </c>
      <c r="C4" s="248"/>
      <c r="D4" s="248"/>
      <c r="E4" s="50"/>
    </row>
    <row r="5" spans="1:33" ht="36" customHeight="1">
      <c r="A5" s="247" t="str">
        <f>"         "&amp;H8&amp;"."&amp;'Общие данные'!B5&amp;" ga "&amp;'Общие данные'!B65&amp;" berish masalasini ko‘rib chiqish to‘g‘risida."</f>
        <v xml:space="preserve">         1.NUTFULLAYEV AKBARJON AXMEDOVICH ga mikroqarz berish masalasini ko‘rib chiqish to‘g‘risida.</v>
      </c>
      <c r="B5" s="247"/>
      <c r="C5" s="247"/>
      <c r="D5" s="247"/>
      <c r="E5" s="247"/>
    </row>
    <row r="7" spans="1:33" ht="21" customHeight="1">
      <c r="A7" s="246"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46"/>
      <c r="C7" s="246"/>
      <c r="D7" s="246"/>
      <c r="E7" s="246"/>
      <c r="G7" s="62" t="s">
        <v>258</v>
      </c>
      <c r="H7" s="63" t="str">
        <f>'Общие данные'!B1</f>
        <v>№ -SM</v>
      </c>
    </row>
    <row r="8" spans="1:33" ht="23.25">
      <c r="A8" s="246"/>
      <c r="B8" s="246"/>
      <c r="C8" s="246"/>
      <c r="D8" s="246"/>
      <c r="E8" s="246"/>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46"/>
      <c r="B9" s="246"/>
      <c r="C9" s="246"/>
      <c r="D9" s="246"/>
      <c r="E9" s="246"/>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46"/>
      <c r="B10" s="246"/>
      <c r="C10" s="246"/>
      <c r="D10" s="246"/>
      <c r="E10" s="246"/>
    </row>
    <row r="11" spans="1:33" ht="9" hidden="1" customHeight="1">
      <c r="A11" s="246"/>
      <c r="B11" s="246"/>
      <c r="C11" s="246"/>
      <c r="D11" s="246"/>
      <c r="E11" s="246"/>
    </row>
    <row r="12" spans="1:33" ht="3" hidden="1" customHeight="1">
      <c r="A12" s="246"/>
      <c r="B12" s="246"/>
      <c r="C12" s="246"/>
      <c r="D12" s="246"/>
      <c r="E12" s="246"/>
    </row>
    <row r="13" spans="1:33" ht="7.5" customHeight="1"/>
    <row r="14" spans="1:33" ht="15.75" customHeight="1">
      <c r="A14" s="249" t="str">
        <f>""&amp;'Общие данные'!C64&amp;" ta’minoti:"</f>
        <v>Mikroqarz ta’minoti:</v>
      </c>
      <c r="B14" s="249"/>
      <c r="C14" s="249"/>
      <c r="D14" s="249"/>
      <c r="E14" s="249"/>
    </row>
    <row r="15" spans="1:33" ht="7.5" customHeight="1"/>
    <row r="16" spans="1:33" ht="57" customHeight="1">
      <c r="A16" s="246"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46"/>
      <c r="C16" s="246"/>
      <c r="D16" s="246"/>
      <c r="E16" s="246"/>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46"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46"/>
      <c r="C18" s="246"/>
      <c r="D18" s="246"/>
      <c r="E18" s="246"/>
    </row>
    <row r="19" spans="1:5" ht="24" customHeight="1">
      <c r="A19" s="250" t="s">
        <v>261</v>
      </c>
      <c r="B19" s="250"/>
      <c r="C19" s="250"/>
      <c r="D19" s="250"/>
      <c r="E19" s="250"/>
    </row>
    <row r="20" spans="1:5" ht="32.25" customHeight="1">
      <c r="A20" s="246" t="str">
        <f>"       "&amp;'Общие данные'!B5&amp;"ga quyidagi shartlarda "&amp;'Общие данные'!B65&amp;" berish masalasi ma’qullansin:"</f>
        <v xml:space="preserve">       NUTFULLAYEV AKBARJON AXMEDOVICHga quyidagi shartlarda mikroqarz berish masalasi ma’qullansin:</v>
      </c>
      <c r="B20" s="246"/>
      <c r="C20" s="246"/>
      <c r="D20" s="246"/>
      <c r="E20" s="246"/>
    </row>
    <row r="21" spans="1:5" s="134" customFormat="1" ht="18.75" customHeight="1">
      <c r="A21" s="247" t="str">
        <f>"1. "&amp;'Общие данные'!C64&amp;" summasi: "&amp;FIXED('Общие данные'!B75)&amp;" ("&amp;'Общие данные'!B76&amp;") so'm."</f>
        <v>1. Mikroqarz summasi: 27 000 000,00 (yigirma yetti million so'm) so'm.</v>
      </c>
      <c r="B21" s="247"/>
      <c r="C21" s="247"/>
      <c r="D21" s="247"/>
      <c r="E21" s="247"/>
    </row>
    <row r="22" spans="1:5" s="134" customFormat="1" ht="18.75" customHeight="1">
      <c r="A22" s="247" t="str">
        <f>"2. "&amp;'Общие данные'!C64&amp;" muddati: "&amp;'Общие данные'!B81&amp;" ("&amp;'Общие данные'!B82&amp;") oy "</f>
        <v xml:space="preserve">2. Mikroqarz muddati: 36 (o'ttiz olti) oy </v>
      </c>
      <c r="B22" s="247"/>
      <c r="C22" s="247"/>
      <c r="D22" s="247"/>
      <c r="E22" s="247"/>
    </row>
    <row r="23" spans="1:5" s="134" customFormat="1" ht="18.75" customHeight="1">
      <c r="A23" s="247" t="str">
        <f>"3. "&amp;'Общие данные'!C64&amp;"dan foydalanganlik uchun foiz stavkasi:yillik "&amp;'Общие данные'!B85&amp;"% ("&amp;'Общие данные'!B86&amp;") foiz."</f>
        <v>3. Mikroqarzdan foydalanganlik uchun foiz stavkasi:yillik 60% (Oltmish) foiz.</v>
      </c>
      <c r="B23" s="247"/>
      <c r="C23" s="247"/>
      <c r="D23" s="247"/>
      <c r="E23" s="247"/>
    </row>
    <row r="24" spans="1:5" s="134" customFormat="1" ht="18.75" customHeight="1">
      <c r="A24" s="247" t="str">
        <f>"4. "&amp;'Общие данные'!C64&amp;" bo‘yicha asosiy qarz va foizlarni to‘lash:"</f>
        <v>4. Mikroqarz bo‘yicha asosiy qarz va foizlarni to‘lash:</v>
      </c>
      <c r="B24" s="247"/>
      <c r="C24" s="247"/>
      <c r="D24" s="247"/>
      <c r="E24" s="247"/>
    </row>
    <row r="25" spans="1:5" s="134" customFormat="1" ht="18.75" customHeight="1">
      <c r="A25" s="247" t="str">
        <f>'Кредитная заявка'!A19:D19</f>
        <v xml:space="preserve"> - mikroqarz shartnomasi bo'yicha har oy differensial to'lovlari amalga oshiriladi</v>
      </c>
      <c r="B25" s="247"/>
      <c r="C25" s="247"/>
      <c r="D25" s="247"/>
      <c r="E25" s="247"/>
    </row>
    <row r="26" spans="1:5" ht="48" customHeight="1">
      <c r="A26" s="246"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46"/>
      <c r="C26" s="246"/>
      <c r="D26" s="246"/>
      <c r="E26" s="246"/>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46" t="str">
        <f>'Акт согласования'!A22:E22</f>
        <v>-* avtotransport egasi: NUTFULLAYEV AKBARJON AXMEDOVICH</v>
      </c>
      <c r="B29" s="246"/>
      <c r="C29" s="246"/>
      <c r="D29" s="246"/>
      <c r="E29" s="246"/>
    </row>
    <row r="30" spans="1:5" ht="20.25" customHeight="1">
      <c r="A30" s="246" t="str">
        <f>'Акт согласования'!A23:E23</f>
        <v>-* texnik pasport: AAG   2346592  13.09.2023y</v>
      </c>
      <c r="B30" s="246"/>
      <c r="C30" s="246"/>
      <c r="D30" s="246"/>
      <c r="E30" s="246"/>
    </row>
    <row r="31" spans="1:5" ht="22.5" customHeight="1">
      <c r="A31" s="246" t="str">
        <f>'Акт согласования'!A24:E24</f>
        <v>-* roʻyxatdan oʻtgan manzili/garaj manzili: BUXORO VILOYATI BUXORO SHAHAR TADBIRKOR KO'CHASI 12-UY</v>
      </c>
      <c r="B31" s="246"/>
      <c r="C31" s="246"/>
      <c r="D31" s="246"/>
      <c r="E31" s="246"/>
    </row>
    <row r="32" spans="1:5" ht="25.5" customHeight="1">
      <c r="A32" s="246" t="str">
        <f>'Акт согласования'!A25:E25</f>
        <v>-* davlat raqami: 80T312WA</v>
      </c>
      <c r="B32" s="246"/>
      <c r="C32" s="246"/>
      <c r="D32" s="246"/>
      <c r="E32" s="246"/>
    </row>
    <row r="33" spans="1:5" ht="12" customHeight="1">
      <c r="A33" s="135"/>
      <c r="B33" s="135"/>
      <c r="C33" s="135"/>
      <c r="D33" s="135"/>
      <c r="E33" s="135"/>
    </row>
    <row r="34" spans="1:5" ht="20.25" customHeight="1">
      <c r="A34" s="246"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46"/>
      <c r="C34" s="246"/>
      <c r="D34" s="246"/>
      <c r="E34" s="246"/>
    </row>
    <row r="36" spans="1:5" ht="29.25" customHeight="1">
      <c r="A36" s="243" t="s">
        <v>262</v>
      </c>
      <c r="B36" s="243"/>
      <c r="C36" s="243"/>
      <c r="D36" s="243"/>
      <c r="E36" s="243"/>
    </row>
    <row r="37" spans="1:5" ht="29.25" customHeight="1">
      <c r="A37" s="244" t="s">
        <v>400</v>
      </c>
      <c r="B37" s="244"/>
      <c r="C37" s="162"/>
      <c r="D37" s="163"/>
      <c r="E37" s="163"/>
    </row>
    <row r="38" spans="1:5" ht="29.25" customHeight="1">
      <c r="A38" s="245" t="str">
        <f>"2. "&amp;'Общие данные'!B159&amp;""</f>
        <v>2. Mominov B.X.</v>
      </c>
      <c r="B38" s="245"/>
      <c r="C38" s="162"/>
      <c r="D38" s="164"/>
      <c r="E38" s="164"/>
    </row>
    <row r="39" spans="1:5" ht="29.25" customHeight="1">
      <c r="A39" s="244" t="str">
        <f>"3. "&amp;'Общие данные'!B160&amp;""</f>
        <v>3. Jumanazarov B.T.</v>
      </c>
      <c r="B39" s="244"/>
      <c r="C39" s="131"/>
      <c r="D39" s="165"/>
      <c r="E39" s="165"/>
    </row>
  </sheetData>
  <mergeCells count="25">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 ref="A36:E36"/>
    <mergeCell ref="A37:B37"/>
    <mergeCell ref="A38:B38"/>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opLeftCell="A126" zoomScaleNormal="100" workbookViewId="0">
      <selection activeCell="B161" sqref="B161"/>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430</v>
      </c>
    </row>
    <row r="2" spans="1:4" ht="15" customHeight="1">
      <c r="A2" s="3" t="str">
        <f>CONCATENATE(B65," olish uchun ariza sanasi QO’L BILAN KIRITILADI")</f>
        <v>mikroqarz olish uchun ariza sanasi QO’L BILAN KIRITILADI</v>
      </c>
      <c r="B2" s="57" t="s">
        <v>404</v>
      </c>
      <c r="D2" s="183">
        <f>180+B2</f>
        <v>45907</v>
      </c>
    </row>
    <row r="3" spans="1:4">
      <c r="A3" s="3"/>
      <c r="B3" s="1"/>
    </row>
    <row r="4" spans="1:4">
      <c r="A4" s="251" t="s">
        <v>53</v>
      </c>
      <c r="B4" s="251"/>
    </row>
    <row r="5" spans="1:4" ht="30">
      <c r="A5" s="3" t="s">
        <v>54</v>
      </c>
      <c r="B5" s="49" t="s">
        <v>405</v>
      </c>
      <c r="C5" s="183" t="s">
        <v>391</v>
      </c>
    </row>
    <row r="6" spans="1:4" ht="30">
      <c r="A6" s="3" t="s">
        <v>55</v>
      </c>
      <c r="B6" s="49" t="s">
        <v>134</v>
      </c>
      <c r="C6" s="183" t="s">
        <v>257</v>
      </c>
      <c r="D6" s="183" t="s">
        <v>134</v>
      </c>
    </row>
    <row r="7" spans="1:4" ht="30">
      <c r="A7" s="3" t="s">
        <v>56</v>
      </c>
      <c r="B7" s="49" t="s">
        <v>406</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407</v>
      </c>
    </row>
    <row r="16" spans="1:4">
      <c r="A16" s="3" t="s">
        <v>65</v>
      </c>
      <c r="B16" s="49" t="s">
        <v>408</v>
      </c>
    </row>
    <row r="17" spans="1:7">
      <c r="A17" s="3"/>
      <c r="B17" s="49" t="s">
        <v>424</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409</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410</v>
      </c>
    </row>
    <row r="26" spans="1:7" ht="44.25" customHeight="1">
      <c r="A26" s="3" t="s">
        <v>74</v>
      </c>
      <c r="B26" s="49" t="s">
        <v>411</v>
      </c>
      <c r="C26" s="183" t="s">
        <v>27</v>
      </c>
    </row>
    <row r="27" spans="1:7" ht="44.25" hidden="1" customHeight="1">
      <c r="A27" s="3"/>
      <c r="B27" s="49" t="str">
        <f>IF(B23="mos keladi",B22,B28)</f>
        <v>BUXORO VILOYATI BUXORO SHAHAR TADBIRKOR KO'CHASI 12-UY</v>
      </c>
    </row>
    <row r="28" spans="1:7" ht="45">
      <c r="A28" s="3" t="s">
        <v>75</v>
      </c>
      <c r="B28" s="49" t="s">
        <v>409</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412</v>
      </c>
      <c r="C31" s="183" t="s">
        <v>390</v>
      </c>
    </row>
    <row r="32" spans="1:7">
      <c r="A32" s="3" t="s">
        <v>63</v>
      </c>
      <c r="B32" s="49" t="s">
        <v>66</v>
      </c>
    </row>
    <row r="33" spans="1:4">
      <c r="A33" s="3" t="s">
        <v>73</v>
      </c>
      <c r="B33" s="49" t="s">
        <v>413</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413</v>
      </c>
    </row>
    <row r="41" spans="1:4" ht="24.75" customHeight="1">
      <c r="A41" s="3" t="s">
        <v>84</v>
      </c>
      <c r="B41" s="49" t="s">
        <v>414</v>
      </c>
    </row>
    <row r="42" spans="1:4" ht="24.75" customHeight="1">
      <c r="A42" s="3" t="s">
        <v>83</v>
      </c>
      <c r="B42" s="49" t="s">
        <v>415</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2" t="s">
        <v>97</v>
      </c>
      <c r="B57" s="253"/>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1" t="s">
        <v>103</v>
      </c>
      <c r="B64" s="251"/>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-SM</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-SM</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416</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1" t="s">
        <v>126</v>
      </c>
      <c r="B91" s="251"/>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1"/>
      <c r="B97" s="251"/>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425</v>
      </c>
      <c r="C123" s="209" t="s">
        <v>48</v>
      </c>
      <c r="N123" s="183" t="str">
        <f>IF(B103=C103,B117,IF(B103=D103,C117,0))</f>
        <v>NUTFULLAYEV AKBARJON AXMEDOVICH</v>
      </c>
    </row>
    <row r="124" spans="1:18" ht="45">
      <c r="A124" s="3" t="s">
        <v>162</v>
      </c>
      <c r="B124" s="49" t="s">
        <v>417</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418</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419</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420</v>
      </c>
      <c r="C128" s="213"/>
    </row>
    <row r="129" spans="1:6">
      <c r="A129" s="69" t="s">
        <v>167</v>
      </c>
      <c r="B129" s="49" t="s">
        <v>421</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422</v>
      </c>
      <c r="C131" s="202"/>
      <c r="D131" s="214" t="s">
        <v>155</v>
      </c>
    </row>
    <row r="132" spans="1:6">
      <c r="A132" s="69" t="s">
        <v>170</v>
      </c>
      <c r="B132" s="49" t="s">
        <v>426</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423</v>
      </c>
      <c r="C134" s="202"/>
    </row>
    <row r="135" spans="1:6" ht="30">
      <c r="A135" s="69" t="s">
        <v>173</v>
      </c>
      <c r="B135" s="57" t="s">
        <v>403</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1" t="s">
        <v>357</v>
      </c>
      <c r="B146" s="251"/>
    </row>
    <row r="147" spans="1:2">
      <c r="A147" s="3" t="s">
        <v>175</v>
      </c>
      <c r="B147" s="1" t="s">
        <v>381</v>
      </c>
    </row>
    <row r="148" spans="1:2">
      <c r="A148" s="3"/>
      <c r="B148" s="1" t="s">
        <v>381</v>
      </c>
    </row>
    <row r="149" spans="1:2">
      <c r="A149" s="3"/>
      <c r="B149" s="1" t="s">
        <v>381</v>
      </c>
    </row>
    <row r="150" spans="1:2">
      <c r="A150" s="222" t="s">
        <v>428</v>
      </c>
      <c r="B150" s="221" t="s">
        <v>431</v>
      </c>
    </row>
    <row r="151" spans="1:2">
      <c r="A151" s="222"/>
      <c r="B151" s="221" t="s">
        <v>429</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427</v>
      </c>
      <c r="B159" s="1" t="s">
        <v>401</v>
      </c>
    </row>
    <row r="160" spans="1:2">
      <c r="A160" s="3" t="s">
        <v>379</v>
      </c>
      <c r="B160" s="1" t="s">
        <v>398</v>
      </c>
    </row>
    <row r="161" spans="1:2">
      <c r="A161" s="222" t="s">
        <v>428</v>
      </c>
      <c r="B161" s="221" t="s">
        <v>431</v>
      </c>
    </row>
    <row r="162" spans="1:2">
      <c r="A162" s="3" t="s">
        <v>186</v>
      </c>
      <c r="B162" s="2" t="s">
        <v>349</v>
      </c>
    </row>
    <row r="163" spans="1:2">
      <c r="A163" s="3" t="s">
        <v>187</v>
      </c>
      <c r="B163" s="2" t="s">
        <v>350</v>
      </c>
    </row>
    <row r="164" spans="1:2">
      <c r="A164" s="3" t="s">
        <v>188</v>
      </c>
      <c r="B164" s="1" t="str">
        <f>B1</f>
        <v>№ -SM</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62" t="s">
        <v>16</v>
      </c>
      <c r="F1" s="262"/>
    </row>
    <row r="2" spans="1:8">
      <c r="A2" s="37"/>
      <c r="B2" s="37"/>
      <c r="C2" s="37"/>
      <c r="D2" s="37"/>
      <c r="E2" s="37"/>
      <c r="F2" s="38" t="str">
        <f>"к договору микрозайма "&amp;'Общие данные'!B74&amp;""</f>
        <v>к договору микрозайма 11 mart 2025 y.dan № -SM</v>
      </c>
    </row>
    <row r="3" spans="1:8" ht="6.75" customHeight="1">
      <c r="A3" s="37"/>
      <c r="B3" s="37"/>
      <c r="C3" s="37"/>
      <c r="D3" s="37"/>
      <c r="E3" s="37"/>
      <c r="F3" s="37"/>
    </row>
    <row r="4" spans="1:8">
      <c r="A4" s="263" t="s">
        <v>17</v>
      </c>
      <c r="B4" s="263"/>
      <c r="C4" s="263"/>
      <c r="D4" s="263"/>
      <c r="E4" s="263"/>
      <c r="F4" s="263"/>
    </row>
    <row r="5" spans="1:8" ht="7.5" customHeight="1"/>
    <row r="6" spans="1:8">
      <c r="A6" s="264" t="s">
        <v>15</v>
      </c>
      <c r="B6" s="265" t="s">
        <v>9</v>
      </c>
      <c r="C6" s="265" t="s">
        <v>10</v>
      </c>
      <c r="D6" s="266" t="s">
        <v>11</v>
      </c>
      <c r="E6" s="266"/>
      <c r="F6" s="266"/>
    </row>
    <row r="7" spans="1:8" s="16" customFormat="1">
      <c r="A7" s="264"/>
      <c r="B7" s="265"/>
      <c r="C7" s="265"/>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46" t="s">
        <v>18</v>
      </c>
      <c r="B46" s="246"/>
      <c r="C46" s="246"/>
      <c r="D46" s="246"/>
      <c r="E46" s="246"/>
      <c r="F46" s="246"/>
    </row>
    <row r="47" spans="1:8" ht="7.5" customHeight="1"/>
    <row r="48" spans="1:8">
      <c r="A48" s="260" t="e">
        <f>#REF!</f>
        <v>#REF!</v>
      </c>
      <c r="B48" s="260"/>
      <c r="C48" s="260"/>
      <c r="D48" s="260" t="e">
        <f>#REF!</f>
        <v>#REF!</v>
      </c>
      <c r="E48" s="260"/>
      <c r="F48" s="260"/>
    </row>
    <row r="49" spans="1:6" ht="11.25" customHeight="1">
      <c r="A49" s="261"/>
      <c r="B49" s="261"/>
      <c r="C49" s="261"/>
      <c r="D49" s="261"/>
      <c r="E49" s="261"/>
      <c r="F49" s="261"/>
    </row>
    <row r="50" spans="1:6" ht="30" customHeight="1">
      <c r="A50" s="259" t="e">
        <f>#REF!</f>
        <v>#REF!</v>
      </c>
      <c r="B50" s="259"/>
      <c r="C50" s="259"/>
      <c r="D50" s="259" t="e">
        <f>#REF!</f>
        <v>#REF!</v>
      </c>
      <c r="E50" s="259"/>
      <c r="F50" s="259"/>
    </row>
    <row r="51" spans="1:6" ht="32.25" customHeight="1">
      <c r="A51" s="255" t="e">
        <f>#REF!</f>
        <v>#REF!</v>
      </c>
      <c r="B51" s="255"/>
      <c r="C51" s="255"/>
      <c r="D51" s="255" t="e">
        <f>#REF!</f>
        <v>#REF!</v>
      </c>
      <c r="E51" s="255"/>
      <c r="F51" s="255"/>
    </row>
    <row r="52" spans="1:6">
      <c r="A52" s="255" t="e">
        <f>#REF!</f>
        <v>#REF!</v>
      </c>
      <c r="B52" s="255"/>
      <c r="C52" s="255"/>
      <c r="D52" s="255" t="str">
        <f>"паспорт серии "&amp;'Общие данные'!B16&amp;", "&amp;'Общие данные'!B20&amp;""</f>
        <v>паспорт серии AA 9481167, BUXORO VILOYATI BUXORO SHAHAR IIB tomonidan 24.04.2015 yilda berilgan</v>
      </c>
      <c r="E52" s="255"/>
      <c r="F52" s="255"/>
    </row>
    <row r="53" spans="1:6" ht="32.25" customHeight="1">
      <c r="A53" s="255" t="e">
        <f>#REF!</f>
        <v>#REF!</v>
      </c>
      <c r="B53" s="255"/>
      <c r="C53" s="255"/>
      <c r="D53" s="255"/>
      <c r="E53" s="255"/>
      <c r="F53" s="255"/>
    </row>
    <row r="54" spans="1:6">
      <c r="A54" s="255" t="e">
        <f>#REF!</f>
        <v>#REF!</v>
      </c>
      <c r="B54" s="255"/>
      <c r="C54" s="255"/>
      <c r="D54" s="255" t="e">
        <f>#REF!</f>
        <v>#REF!</v>
      </c>
      <c r="E54" s="255"/>
      <c r="F54" s="255"/>
    </row>
    <row r="55" spans="1:6">
      <c r="A55" s="255" t="e">
        <f>#REF!</f>
        <v>#REF!</v>
      </c>
      <c r="B55" s="255"/>
      <c r="C55" s="255"/>
      <c r="D55" s="255" t="e">
        <f>#REF!</f>
        <v>#REF!</v>
      </c>
      <c r="E55" s="255"/>
      <c r="F55" s="255"/>
    </row>
    <row r="56" spans="1:6">
      <c r="A56" s="255" t="e">
        <f>#REF!</f>
        <v>#REF!</v>
      </c>
      <c r="B56" s="255"/>
      <c r="C56" s="255"/>
      <c r="D56" s="255" t="e">
        <f>#REF!</f>
        <v>#REF!</v>
      </c>
      <c r="E56" s="255"/>
      <c r="F56" s="255"/>
    </row>
    <row r="57" spans="1:6" ht="8.25" customHeight="1">
      <c r="A57" s="255"/>
      <c r="B57" s="255"/>
      <c r="C57" s="255"/>
      <c r="D57" s="255"/>
      <c r="E57" s="255"/>
      <c r="F57" s="255"/>
    </row>
    <row r="58" spans="1:6">
      <c r="A58" s="259" t="e">
        <f>#REF!</f>
        <v>#REF!</v>
      </c>
      <c r="B58" s="259"/>
      <c r="C58" s="259"/>
      <c r="D58" s="259" t="e">
        <f>#REF!</f>
        <v>#REF!</v>
      </c>
      <c r="E58" s="259"/>
      <c r="F58" s="259"/>
    </row>
    <row r="59" spans="1:6" ht="7.5" customHeight="1">
      <c r="A59" s="259"/>
      <c r="B59" s="259"/>
      <c r="C59" s="259"/>
      <c r="D59" s="259"/>
      <c r="E59" s="259"/>
      <c r="F59" s="259"/>
    </row>
    <row r="60" spans="1:6">
      <c r="A60" s="259" t="e">
        <f>#REF!</f>
        <v>#REF!</v>
      </c>
      <c r="B60" s="259"/>
      <c r="C60" s="259"/>
      <c r="D60" s="259" t="e">
        <f>#REF!</f>
        <v>#REF!</v>
      </c>
      <c r="E60" s="259"/>
      <c r="F60" s="259"/>
    </row>
    <row r="61" spans="1:6" ht="8.25" customHeight="1">
      <c r="A61" s="255"/>
      <c r="B61" s="255"/>
      <c r="C61" s="255"/>
      <c r="D61" s="255"/>
      <c r="E61" s="255"/>
      <c r="F61" s="255"/>
    </row>
    <row r="62" spans="1:6" ht="30" customHeight="1">
      <c r="A62" s="256"/>
      <c r="B62" s="256"/>
      <c r="C62" s="256"/>
      <c r="D62" s="257"/>
      <c r="E62" s="257"/>
      <c r="F62" s="257"/>
    </row>
    <row r="63" spans="1:6">
      <c r="A63" s="258"/>
      <c r="B63" s="258"/>
      <c r="C63" s="258"/>
      <c r="D63" s="258"/>
      <c r="E63" s="258"/>
      <c r="F63" s="258"/>
    </row>
    <row r="64" spans="1:6">
      <c r="A64" s="254"/>
      <c r="B64" s="254"/>
      <c r="C64" s="254"/>
      <c r="D64" s="254"/>
      <c r="E64" s="254"/>
      <c r="F64" s="254"/>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68" t="s">
        <v>218</v>
      </c>
      <c r="B1" s="268"/>
      <c r="C1" s="268"/>
      <c r="D1" s="268"/>
      <c r="E1" s="268"/>
      <c r="F1" s="268"/>
    </row>
    <row r="2" spans="1:6" ht="35.25" customHeight="1">
      <c r="A2" s="269" t="s">
        <v>328</v>
      </c>
      <c r="B2" s="269"/>
      <c r="C2" s="269"/>
      <c r="D2" s="269"/>
      <c r="E2" s="269"/>
      <c r="F2" s="269"/>
    </row>
    <row r="3" spans="1:6">
      <c r="A3" s="268" t="s">
        <v>219</v>
      </c>
      <c r="B3" s="268"/>
      <c r="C3" s="268"/>
      <c r="D3" s="268"/>
      <c r="E3" s="268"/>
      <c r="F3" s="268"/>
    </row>
    <row r="4" spans="1:6">
      <c r="A4" s="267" t="str">
        <f>'Заключение КК'!A4:E4</f>
        <v>Mijozning to'liq ismi sharifi: NUTFULLAYEV AKBARJON AXMEDOVICH</v>
      </c>
      <c r="B4" s="267"/>
      <c r="C4" s="267"/>
      <c r="D4" s="267"/>
      <c r="E4" s="267"/>
      <c r="F4" s="267"/>
    </row>
    <row r="5" spans="1:6">
      <c r="A5" s="267" t="str">
        <f>'Заключение КК'!A5:E5</f>
        <v>Tug'ilgan sanasi: 14.09.1989 y</v>
      </c>
      <c r="B5" s="267"/>
      <c r="C5" s="267"/>
      <c r="D5" s="267"/>
      <c r="E5" s="267"/>
      <c r="F5" s="267"/>
    </row>
    <row r="6" spans="1:6" ht="32.25" customHeight="1">
      <c r="A6" s="267" t="str">
        <f>'Заключение КК'!A6:E6</f>
        <v>Pasport seriyasi AA 9481167 BUXORO VILOYATI BUXORO SHAHAR IIB tomonidan 24.04.2015 yilda berilgan, amal qilish muddati - 23.04.2025 y.</v>
      </c>
      <c r="B6" s="267"/>
      <c r="C6" s="267"/>
      <c r="D6" s="267"/>
      <c r="E6" s="267"/>
      <c r="F6" s="267"/>
    </row>
    <row r="7" spans="1:6">
      <c r="A7" s="267" t="str">
        <f>"Fuqaroligi: "&amp;'Общие данные'!B32&amp;""</f>
        <v>Fuqaroligi: O’zbekiston Respublikasi</v>
      </c>
      <c r="B7" s="267"/>
      <c r="C7" s="267"/>
      <c r="D7" s="267"/>
      <c r="E7" s="267"/>
      <c r="F7" s="267"/>
    </row>
    <row r="8" spans="1:6" ht="26.25" customHeight="1">
      <c r="A8" s="267" t="str">
        <f>'Заключение КК'!A7:E7</f>
        <v>Ro‘yxatdan o‘tgan manzili: BUXORO VILOYATI BUXORO SHAHAR TADBIRKOR KO'CHASI 12-UY, mo'ljal: GOR VODAKANAL</v>
      </c>
      <c r="B8" s="267"/>
      <c r="C8" s="267"/>
      <c r="D8" s="267"/>
      <c r="E8" s="267"/>
      <c r="F8" s="267"/>
    </row>
    <row r="9" spans="1:6">
      <c r="A9" s="267" t="str">
        <f>IF('Общие данные'!B23="mos keladi"," ",'Анкета Клиента'!A10:F10)</f>
        <v xml:space="preserve"> </v>
      </c>
      <c r="B9" s="267"/>
      <c r="C9" s="267"/>
      <c r="D9" s="267"/>
      <c r="E9" s="267"/>
      <c r="F9" s="267"/>
    </row>
    <row r="10" spans="1:6" ht="31.5" hidden="1" customHeight="1">
      <c r="A10" s="267" t="str">
        <f>"Haqiqatdan yashash joy manzili: "&amp;'Общие данные'!B28&amp;""</f>
        <v>Haqiqatdan yashash joy manzili: BUXORO VILOYATI BUXORO SHAHAR TADBIRKOR KO'CHASI 12-UY</v>
      </c>
      <c r="B10" s="267"/>
      <c r="C10" s="267"/>
      <c r="D10" s="267"/>
      <c r="E10" s="267"/>
      <c r="F10" s="267"/>
    </row>
    <row r="11" spans="1:6" ht="16.5" hidden="1" customHeight="1">
      <c r="A11" s="267" t="str">
        <f>'Заключение КК'!A8:E8</f>
        <v>Ish joyi:  lavozimi Yakka tartibdagi tadbirkorda Yakka tartibdagi tadbirkor</v>
      </c>
      <c r="B11" s="267"/>
      <c r="C11" s="267"/>
      <c r="D11" s="267"/>
      <c r="E11" s="267"/>
      <c r="F11" s="267"/>
    </row>
    <row r="12" spans="1:6">
      <c r="A12" s="268" t="s">
        <v>220</v>
      </c>
      <c r="B12" s="268"/>
      <c r="C12" s="268"/>
      <c r="D12" s="268"/>
      <c r="E12" s="268"/>
      <c r="F12" s="268"/>
    </row>
    <row r="13" spans="1:6">
      <c r="A13" s="267" t="str">
        <f>"Uy telefoni raqami: "&amp;'Общие данные'!B40&amp;""</f>
        <v>Uy telefoni raqami: 91 408 76 67  UZI</v>
      </c>
      <c r="B13" s="267"/>
      <c r="C13" s="267"/>
      <c r="D13" s="267"/>
      <c r="E13" s="267"/>
      <c r="F13" s="267"/>
    </row>
    <row r="14" spans="1:6">
      <c r="A14" s="267" t="str">
        <f>"Uyali telefon raqami: "&amp;'Общие данные'!B41&amp;""</f>
        <v>Uyali telefon raqami: 88 305 76 67 AYOLI</v>
      </c>
      <c r="B14" s="267"/>
      <c r="C14" s="267"/>
      <c r="D14" s="267"/>
      <c r="E14" s="267"/>
      <c r="F14" s="267"/>
    </row>
    <row r="15" spans="1:6">
      <c r="A15" s="267" t="str">
        <f>"Uyali telefon raqami: "&amp;'Общие данные'!B42&amp;""</f>
        <v>Uyali telefon raqami: 88 870 76 67 AKASI</v>
      </c>
      <c r="B15" s="267"/>
      <c r="C15" s="267"/>
      <c r="D15" s="267"/>
      <c r="E15" s="267"/>
      <c r="F15" s="267"/>
    </row>
    <row r="16" spans="1:6" hidden="1">
      <c r="A16" s="267" t="str">
        <f>"Uyali telefon raqami: "&amp;'Общие данные'!B42&amp;""</f>
        <v>Uyali telefon raqami: 88 870 76 67 AKASI</v>
      </c>
      <c r="B16" s="267"/>
      <c r="C16" s="267"/>
      <c r="D16" s="267"/>
      <c r="E16" s="267"/>
      <c r="F16" s="267"/>
    </row>
    <row r="17" spans="1:6">
      <c r="A17" s="267" t="str">
        <f>"Ish telefoni raqami: "&amp;'Общие данные'!B43&amp;""</f>
        <v xml:space="preserve">Ish telefoni raqami: </v>
      </c>
      <c r="B17" s="267"/>
      <c r="C17" s="267"/>
      <c r="D17" s="267"/>
      <c r="E17" s="267"/>
      <c r="F17" s="267"/>
    </row>
    <row r="18" spans="1:6">
      <c r="A18" s="268" t="s">
        <v>221</v>
      </c>
      <c r="B18" s="268"/>
      <c r="C18" s="268"/>
      <c r="D18" s="268"/>
      <c r="E18" s="268"/>
      <c r="F18" s="268"/>
    </row>
    <row r="19" spans="1:6">
      <c r="A19" s="267" t="str">
        <f>"Muassasa nomlanishi:"&amp;'Общие данные'!B58&amp;""</f>
        <v>Muassasa nomlanishi:Yakka tartibdagi tadbirkor</v>
      </c>
      <c r="B19" s="267"/>
      <c r="C19" s="267"/>
      <c r="D19" s="267"/>
      <c r="E19" s="267"/>
      <c r="F19" s="267"/>
    </row>
    <row r="20" spans="1:6">
      <c r="A20" s="267" t="str">
        <f>"Ro‘yxatdan o‘tish manzili:"&amp;'Общие данные'!B50&amp;""</f>
        <v>Ro‘yxatdan o‘tish manzili:</v>
      </c>
      <c r="B20" s="267"/>
      <c r="C20" s="267"/>
      <c r="D20" s="267"/>
      <c r="E20" s="267"/>
      <c r="F20" s="267"/>
    </row>
    <row r="21" spans="1:6">
      <c r="A21" s="267" t="str">
        <f>"Lavozimi: "&amp;'Общие данные'!B59&amp;""</f>
        <v>Lavozimi: Yakka tartibdagi tadbirkor</v>
      </c>
      <c r="B21" s="267"/>
      <c r="C21" s="267"/>
      <c r="D21" s="267"/>
      <c r="E21" s="267"/>
      <c r="F21" s="267"/>
    </row>
    <row r="22" spans="1:6">
      <c r="A22" s="268" t="s">
        <v>222</v>
      </c>
      <c r="B22" s="270"/>
      <c r="C22" s="270"/>
      <c r="D22" s="270"/>
      <c r="E22" s="270"/>
      <c r="F22" s="270"/>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67"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67"/>
      <c r="C28" s="267"/>
      <c r="D28" s="267"/>
      <c r="E28" s="267"/>
      <c r="F28" s="267"/>
    </row>
    <row r="29" spans="1:6">
      <c r="A29" s="267" t="str">
        <f>"Men,  "&amp;'Общие данные'!B5&amp;", quyidagilarni tan olaman va roziman::"</f>
        <v>Men,  NUTFULLAYEV AKBARJON AXMEDOVICH, quyidagilarni tan olaman va roziman::</v>
      </c>
      <c r="B29" s="267"/>
      <c r="C29" s="267"/>
      <c r="D29" s="267"/>
      <c r="E29" s="267"/>
      <c r="F29" s="267"/>
    </row>
    <row r="30" spans="1:6" ht="45.75" customHeight="1">
      <c r="A30" s="267"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67"/>
      <c r="C30" s="267"/>
      <c r="D30" s="267"/>
      <c r="E30" s="267"/>
      <c r="F30" s="267"/>
    </row>
    <row r="31" spans="1:6" ht="42.75" customHeight="1">
      <c r="A31" s="267"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67"/>
      <c r="C31" s="267"/>
      <c r="D31" s="267"/>
      <c r="E31" s="267"/>
      <c r="F31" s="267"/>
    </row>
    <row r="32" spans="1:6" ht="71.25" customHeight="1">
      <c r="A32" s="267" t="s">
        <v>235</v>
      </c>
      <c r="B32" s="267"/>
      <c r="C32" s="267"/>
      <c r="D32" s="267"/>
      <c r="E32" s="267"/>
      <c r="F32" s="267"/>
    </row>
    <row r="33" spans="1:6">
      <c r="A33" s="267"/>
      <c r="B33" s="267"/>
      <c r="C33" s="267"/>
      <c r="D33" s="267"/>
      <c r="E33" s="267"/>
      <c r="F33" s="267"/>
    </row>
    <row r="34" spans="1:6" ht="12.75" customHeight="1">
      <c r="A34" s="270" t="s">
        <v>236</v>
      </c>
      <c r="B34" s="270"/>
      <c r="C34" s="270"/>
      <c r="D34" s="148" t="s">
        <v>157</v>
      </c>
      <c r="E34" s="270" t="s">
        <v>237</v>
      </c>
      <c r="F34" s="270"/>
    </row>
    <row r="35" spans="1:6" ht="25.5" customHeight="1">
      <c r="A35" s="271"/>
      <c r="B35" s="271"/>
      <c r="C35" s="271"/>
      <c r="D35" s="272" t="str">
        <f>'Общие данные'!B2</f>
        <v>11.03.2025</v>
      </c>
      <c r="E35" s="271"/>
      <c r="F35" s="271"/>
    </row>
    <row r="36" spans="1:6" ht="25.5" customHeight="1">
      <c r="A36" s="271"/>
      <c r="B36" s="271"/>
      <c r="C36" s="271"/>
      <c r="D36" s="272"/>
      <c r="E36" s="271"/>
      <c r="F36" s="271"/>
    </row>
    <row r="37" spans="1:6">
      <c r="A37" s="267"/>
      <c r="B37" s="267"/>
      <c r="C37" s="267"/>
      <c r="D37" s="267"/>
      <c r="E37" s="267"/>
      <c r="F37" s="267"/>
    </row>
    <row r="38" spans="1:6">
      <c r="A38" s="267"/>
      <c r="B38" s="267"/>
      <c r="C38" s="267"/>
      <c r="D38" s="267"/>
      <c r="E38" s="267"/>
      <c r="F38" s="267"/>
    </row>
    <row r="39" spans="1:6">
      <c r="A39" s="267"/>
      <c r="B39" s="267"/>
      <c r="C39" s="267"/>
      <c r="D39" s="267"/>
      <c r="E39" s="267"/>
      <c r="F39" s="267"/>
    </row>
    <row r="40" spans="1:6">
      <c r="A40" s="267"/>
      <c r="B40" s="267"/>
      <c r="C40" s="267"/>
      <c r="D40" s="267"/>
      <c r="E40" s="267"/>
      <c r="F40" s="267"/>
    </row>
    <row r="41" spans="1:6">
      <c r="A41" s="267"/>
      <c r="B41" s="267"/>
      <c r="C41" s="267"/>
      <c r="D41" s="267"/>
      <c r="E41" s="267"/>
      <c r="F41" s="267"/>
    </row>
    <row r="42" spans="1:6">
      <c r="A42" s="267"/>
      <c r="B42" s="267"/>
      <c r="C42" s="267"/>
      <c r="D42" s="267"/>
      <c r="E42" s="267"/>
      <c r="F42" s="267"/>
    </row>
    <row r="43" spans="1:6">
      <c r="A43" s="267"/>
      <c r="B43" s="267"/>
      <c r="C43" s="267"/>
      <c r="D43" s="267"/>
      <c r="E43" s="267"/>
      <c r="F43" s="267"/>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77" t="s">
        <v>238</v>
      </c>
      <c r="B2" s="277"/>
      <c r="C2" s="277"/>
      <c r="D2" s="277"/>
      <c r="E2" s="277"/>
    </row>
    <row r="3" spans="1:5">
      <c r="E3" s="121" t="str">
        <f>'Общие данные'!B68</f>
        <v>11 mart 2025 y.</v>
      </c>
    </row>
    <row r="5" spans="1:5" s="123" customFormat="1" ht="27" customHeight="1">
      <c r="A5" s="281" t="s">
        <v>239</v>
      </c>
      <c r="B5" s="282"/>
      <c r="C5" s="278" t="str">
        <f>'Общие данные'!B8</f>
        <v>NUTFULLAYEV AKBARJON AXMEDOVICH</v>
      </c>
      <c r="D5" s="279"/>
      <c r="E5" s="280"/>
    </row>
    <row r="7" spans="1:5" ht="15.75" customHeight="1">
      <c r="A7" s="283" t="s">
        <v>358</v>
      </c>
      <c r="B7" s="284"/>
      <c r="C7" s="285"/>
      <c r="D7" s="124" t="s">
        <v>133</v>
      </c>
      <c r="E7" s="124"/>
    </row>
    <row r="8" spans="1:5">
      <c r="A8" s="286"/>
      <c r="B8" s="287"/>
      <c r="C8" s="288"/>
      <c r="D8" s="124" t="s">
        <v>243</v>
      </c>
      <c r="E8" s="124"/>
    </row>
    <row r="9" spans="1:5" ht="15.75" customHeight="1">
      <c r="A9" s="274" t="s">
        <v>240</v>
      </c>
      <c r="B9" s="274"/>
      <c r="C9" s="274"/>
      <c r="D9" s="124" t="s">
        <v>133</v>
      </c>
      <c r="E9" s="124"/>
    </row>
    <row r="10" spans="1:5">
      <c r="A10" s="274"/>
      <c r="B10" s="274"/>
      <c r="C10" s="274"/>
      <c r="D10" s="124" t="s">
        <v>243</v>
      </c>
      <c r="E10" s="124"/>
    </row>
    <row r="11" spans="1:5" ht="15.75" customHeight="1">
      <c r="A11" s="274" t="s">
        <v>241</v>
      </c>
      <c r="B11" s="274"/>
      <c r="C11" s="274"/>
      <c r="D11" s="124" t="s">
        <v>133</v>
      </c>
      <c r="E11" s="124"/>
    </row>
    <row r="12" spans="1:5">
      <c r="A12" s="274"/>
      <c r="B12" s="274"/>
      <c r="C12" s="274"/>
      <c r="D12" s="124" t="s">
        <v>243</v>
      </c>
      <c r="E12" s="124"/>
    </row>
    <row r="13" spans="1:5" ht="34.5" customHeight="1">
      <c r="A13" s="275" t="s">
        <v>242</v>
      </c>
      <c r="B13" s="275"/>
      <c r="C13" s="275"/>
      <c r="D13" s="275"/>
      <c r="E13" s="275"/>
    </row>
    <row r="14" spans="1:5" ht="16.5" thickBot="1">
      <c r="A14" s="276"/>
      <c r="B14" s="276"/>
      <c r="C14" s="276"/>
      <c r="D14" s="276"/>
      <c r="E14" s="276"/>
    </row>
    <row r="15" spans="1:5" ht="16.5" thickBot="1">
      <c r="A15" s="276"/>
      <c r="B15" s="276"/>
      <c r="C15" s="276"/>
      <c r="D15" s="276"/>
      <c r="E15" s="276"/>
    </row>
    <row r="16" spans="1:5" ht="16.5" thickBot="1">
      <c r="A16" s="276"/>
      <c r="B16" s="276"/>
      <c r="C16" s="276"/>
      <c r="D16" s="276"/>
      <c r="E16" s="276"/>
    </row>
    <row r="18" spans="1:8" ht="18.75" customHeight="1">
      <c r="A18" s="274" t="s">
        <v>244</v>
      </c>
      <c r="B18" s="274"/>
      <c r="C18" s="274"/>
      <c r="D18" s="124" t="s">
        <v>133</v>
      </c>
      <c r="E18" s="124"/>
    </row>
    <row r="19" spans="1:8" ht="18.75" customHeight="1">
      <c r="A19" s="274"/>
      <c r="B19" s="274"/>
      <c r="C19" s="274"/>
      <c r="D19" s="124" t="s">
        <v>243</v>
      </c>
      <c r="E19" s="124"/>
    </row>
    <row r="20" spans="1:8" ht="29.25" customHeight="1">
      <c r="A20" s="274" t="s">
        <v>245</v>
      </c>
      <c r="B20" s="274"/>
      <c r="C20" s="274"/>
      <c r="D20" s="124" t="s">
        <v>133</v>
      </c>
      <c r="E20" s="124"/>
    </row>
    <row r="21" spans="1:8" ht="29.25" customHeight="1">
      <c r="A21" s="274"/>
      <c r="B21" s="274"/>
      <c r="C21" s="274"/>
      <c r="D21" s="124" t="s">
        <v>243</v>
      </c>
      <c r="E21" s="124"/>
    </row>
    <row r="23" spans="1:8" ht="15.75" customHeight="1">
      <c r="A23" s="275" t="s">
        <v>246</v>
      </c>
      <c r="B23" s="275"/>
      <c r="C23" s="275"/>
      <c r="D23" s="275"/>
      <c r="E23" s="275"/>
    </row>
    <row r="24" spans="1:8" ht="16.5" thickBot="1">
      <c r="A24" s="276"/>
      <c r="B24" s="276"/>
      <c r="C24" s="276"/>
      <c r="D24" s="276"/>
      <c r="E24" s="276"/>
    </row>
    <row r="25" spans="1:8" ht="16.5" thickBot="1">
      <c r="A25" s="276"/>
      <c r="B25" s="276"/>
      <c r="C25" s="276"/>
      <c r="D25" s="276"/>
      <c r="E25" s="276"/>
    </row>
    <row r="26" spans="1:8" ht="16.5" thickBot="1">
      <c r="A26" s="276"/>
      <c r="B26" s="276"/>
      <c r="C26" s="276"/>
      <c r="D26" s="276"/>
      <c r="E26" s="276"/>
    </row>
    <row r="28" spans="1:8" ht="78.75" customHeight="1">
      <c r="A28" s="273" t="s">
        <v>247</v>
      </c>
      <c r="B28" s="273"/>
      <c r="C28" s="273"/>
      <c r="D28" s="273"/>
      <c r="E28" s="273"/>
    </row>
    <row r="30" spans="1:8" ht="33" customHeight="1">
      <c r="A30" s="273" t="s">
        <v>248</v>
      </c>
      <c r="B30" s="273"/>
      <c r="C30" s="273"/>
      <c r="D30" s="273"/>
      <c r="E30" s="273"/>
      <c r="F30" s="125"/>
      <c r="G30" s="125"/>
      <c r="H30" s="125"/>
    </row>
    <row r="33" spans="1:5" ht="16.5" thickBot="1">
      <c r="A33" s="126" t="str">
        <f>C5</f>
        <v>NUTFULLAYEV AKBARJON AXMEDOVICH</v>
      </c>
      <c r="D33" s="127"/>
      <c r="E33" s="128"/>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9"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0" t="str">
        <f>""&amp;'Общие данные'!B147&amp;"ning
"&amp;'Общие данные'!A150&amp;""</f>
        <v>«CLEVER MIKROMOLIYA TASHKILOTI» MChJning
Samarqand viloyati Samarqand  filial boshlig'i</v>
      </c>
      <c r="D1" s="290"/>
    </row>
    <row r="2" spans="1:4">
      <c r="C2" s="13"/>
      <c r="D2" s="14" t="str">
        <f>""&amp;'Общие данные'!B150&amp;"ga"</f>
        <v>S.Asrorovga</v>
      </c>
    </row>
    <row r="4" spans="1:4">
      <c r="A4" s="289" t="str">
        <f>""&amp;'Общие данные'!C64&amp;" olish uchun Ariza"</f>
        <v>Mikroqarz olish uchun Ariza</v>
      </c>
      <c r="B4" s="289"/>
      <c r="C4" s="289"/>
      <c r="D4" s="289"/>
    </row>
    <row r="5" spans="1:4">
      <c r="A5" s="289"/>
      <c r="B5" s="289"/>
      <c r="C5" s="289"/>
      <c r="D5" s="289"/>
    </row>
    <row r="6" spans="1:4" ht="60" customHeight="1">
      <c r="A6" s="291"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1"/>
      <c r="C6" s="291"/>
      <c r="D6" s="291"/>
    </row>
    <row r="7" spans="1:4" ht="15.75" customHeight="1">
      <c r="A7" s="291" t="str">
        <f>"Tug'ilgan kuni: "&amp;'Общие данные'!B15&amp;""</f>
        <v>Tug'ilgan kuni: 14.09.1989 y</v>
      </c>
      <c r="B7" s="291"/>
      <c r="C7" s="291"/>
      <c r="D7" s="291"/>
    </row>
    <row r="8" spans="1:4" ht="33" customHeight="1">
      <c r="A8" s="291" t="str">
        <f>"Pasport seriyasi: "&amp;'Общие данные'!B16&amp;" "&amp;'Общие данные'!B20&amp;""</f>
        <v>Pasport seriyasi: AA 9481167 BUXORO VILOYATI BUXORO SHAHAR IIB tomonidan 24.04.2015 yilda berilgan</v>
      </c>
      <c r="B8" s="291"/>
      <c r="C8" s="291"/>
      <c r="D8" s="291"/>
    </row>
    <row r="9" spans="1:4" ht="16.5" customHeight="1">
      <c r="A9" s="291" t="str">
        <f>"Asosiy ish joyi : "&amp;'Общие данные'!B58&amp;""</f>
        <v>Asosiy ish joyi : Yakka tartibdagi tadbirkor</v>
      </c>
      <c r="B9" s="291"/>
      <c r="C9" s="291"/>
      <c r="D9" s="291"/>
    </row>
    <row r="10" spans="1:4" ht="15.75" customHeight="1">
      <c r="A10" s="291" t="str">
        <f>"Lavozimi: "&amp;'Общие данные'!B59&amp;""</f>
        <v>Lavozimi: Yakka tartibdagi tadbirkor</v>
      </c>
      <c r="B10" s="291"/>
      <c r="C10" s="291"/>
      <c r="D10" s="291"/>
    </row>
    <row r="11" spans="1:4">
      <c r="A11" s="291" t="str">
        <f>"O’rtacha oylik daromadi: "&amp;FIXED('Общие данные'!B60,2)&amp;" so'm."</f>
        <v>O’rtacha oylik daromadi: 10 000 000,00 so'm.</v>
      </c>
      <c r="B11" s="291"/>
      <c r="C11" s="291"/>
      <c r="D11" s="291"/>
    </row>
    <row r="12" spans="1:4">
      <c r="A12" s="291" t="str">
        <f>"Menga quyidagi shartlarda "&amp;'Общие данные'!B65&amp;" berishingizni so’rayman:"</f>
        <v>Menga quyidagi shartlarda mikroqarz berishingizni so’rayman:</v>
      </c>
      <c r="B12" s="291"/>
      <c r="C12" s="291"/>
      <c r="D12" s="291"/>
    </row>
    <row r="13" spans="1:4">
      <c r="A13" s="291" t="str">
        <f>""&amp;'Общие данные'!C64&amp;" summasi: "&amp;FIXED('Общие данные'!B75,2)&amp;" ("&amp;'Общие данные'!B76&amp;") so'm."</f>
        <v>Mikroqarz summasi: 27 000 000,00 (yigirma yetti million so'm) so'm.</v>
      </c>
      <c r="B13" s="291"/>
      <c r="C13" s="291"/>
      <c r="D13" s="291"/>
    </row>
    <row r="14" spans="1:4">
      <c r="A14" s="291" t="str">
        <f>""&amp;'Общие данные'!C64&amp;" muddati: "&amp;'Общие данные'!B81&amp;" ("&amp;'Общие данные'!B82&amp;") oy."</f>
        <v>Mikroqarz muddati: 36 (o'ttiz olti) oy.</v>
      </c>
      <c r="B14" s="291"/>
      <c r="C14" s="291"/>
      <c r="D14" s="291"/>
    </row>
    <row r="15" spans="1:4" ht="17.25" customHeight="1">
      <c r="A15" s="291" t="str">
        <f>""&amp;'Общие данные'!C64&amp;"dan foydalanganlik uchun foiz stavkasi: yillik  "&amp;'Общие данные'!B85&amp;"% ("&amp;'Общие данные'!B86&amp;") foiz"</f>
        <v>Mikroqarzdan foydalanganlik uchun foiz stavkasi: yillik  60% (Oltmish) foiz</v>
      </c>
      <c r="B15" s="291"/>
      <c r="C15" s="291"/>
      <c r="D15" s="291"/>
    </row>
    <row r="16" spans="1:4">
      <c r="A16" s="291" t="str">
        <f>""&amp;'Общие данные'!C64&amp;" bo'yicha asosiy qarz va foizlarni to'lash:"</f>
        <v>Mikroqarz bo'yicha asosiy qarz va foizlarni to'lash:</v>
      </c>
      <c r="B16" s="291"/>
      <c r="C16" s="291"/>
      <c r="D16" s="291"/>
    </row>
    <row r="17" spans="1:5" ht="20.25" hidden="1" customHeight="1">
      <c r="A17" s="292" t="str">
        <f>" - "&amp;'Общие данные'!B65&amp;" shartnomasi bo'yicha har oy differensial to'lovlari amalga oshiriladi"</f>
        <v xml:space="preserve"> - mikroqarz shartnomasi bo'yicha har oy differensial to'lovlari amalga oshiriladi</v>
      </c>
      <c r="B17" s="292"/>
      <c r="C17" s="292"/>
      <c r="D17" s="292"/>
    </row>
    <row r="18" spans="1:5" ht="33.75" hidden="1" customHeight="1">
      <c r="A18" s="292" t="str">
        <f>" - "&amp;'Общие данные'!B65&amp;" shartnomasi bo'yicha har oy annuitet to'lovlari amalga oshiriladi"</f>
        <v xml:space="preserve"> - mikroqarz shartnomasi bo'yicha har oy annuitet to'lovlari amalga oshiriladi</v>
      </c>
      <c r="B18" s="292"/>
      <c r="C18" s="292"/>
      <c r="D18" s="292"/>
    </row>
    <row r="19" spans="1:5" ht="33.75" customHeight="1">
      <c r="A19" s="292"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2"/>
      <c r="C19" s="292"/>
      <c r="D19" s="292"/>
    </row>
    <row r="20" spans="1:5" ht="33.75" hidden="1" customHeight="1">
      <c r="A20" s="291" t="str">
        <f>IF(DAY('Общие данные'!E67)&lt;15,"   ","  Oxirgi yakuniy to'lov "&amp;'Общие данные'!B65&amp;" shartnomasi tuzilgan kundan boshlab oxirgi oyning oxirgi kunida amalga oshiriladi")</f>
        <v xml:space="preserve">   </v>
      </c>
      <c r="B20" s="291"/>
      <c r="C20" s="291"/>
      <c r="D20" s="291"/>
    </row>
    <row r="21" spans="1:5">
      <c r="A21" s="291" t="str">
        <f>""&amp;'Общие данные'!C64&amp;" ta’minoti::"</f>
        <v>Mikroqarz ta’minoti::</v>
      </c>
      <c r="B21" s="291"/>
      <c r="C21" s="291"/>
      <c r="D21" s="291"/>
    </row>
    <row r="22" spans="1:5" ht="72.75" customHeight="1">
      <c r="A22" s="292"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2"/>
      <c r="C22" s="292"/>
      <c r="D22" s="292"/>
    </row>
    <row r="23" spans="1:5" ht="79.5" hidden="1" customHeight="1">
      <c r="A23" s="292"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2"/>
      <c r="C23" s="292"/>
      <c r="D23" s="292"/>
    </row>
    <row r="24" spans="1:5" ht="96.75" hidden="1" customHeight="1">
      <c r="A24" s="292"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2"/>
      <c r="C24" s="292"/>
      <c r="D24" s="292"/>
      <c r="E24" s="154"/>
    </row>
    <row r="25" spans="1:5" ht="92.25" hidden="1" customHeight="1">
      <c r="A25" s="292"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2"/>
      <c r="C25" s="292"/>
      <c r="D25" s="292"/>
    </row>
    <row r="26" spans="1:5" ht="78" hidden="1" customHeight="1">
      <c r="A26" s="292"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2"/>
      <c r="C26" s="292"/>
      <c r="D26" s="292"/>
    </row>
    <row r="27" spans="1:5" ht="93" hidden="1" customHeight="1">
      <c r="A27" s="292"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2"/>
      <c r="C27" s="292"/>
      <c r="D27" s="292"/>
    </row>
    <row r="28" spans="1:5" ht="93.75" hidden="1" customHeight="1">
      <c r="A28" s="292"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2"/>
      <c r="C28" s="292"/>
      <c r="D28" s="292"/>
    </row>
    <row r="29" spans="1:5" ht="10.5" customHeight="1">
      <c r="A29" s="291"/>
      <c r="B29" s="291"/>
      <c r="C29" s="291"/>
      <c r="D29" s="291"/>
    </row>
    <row r="30" spans="1:5" ht="53.25" customHeight="1">
      <c r="A30" s="292"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2"/>
      <c r="C30" s="292"/>
      <c r="D30" s="292"/>
    </row>
    <row r="31" spans="1:5" ht="15.75" customHeight="1">
      <c r="A31" s="292" t="s">
        <v>249</v>
      </c>
      <c r="B31" s="292"/>
      <c r="C31" s="292"/>
      <c r="D31" s="292"/>
    </row>
    <row r="32" spans="1:5">
      <c r="A32" s="292" t="s">
        <v>250</v>
      </c>
      <c r="B32" s="292"/>
      <c r="C32" s="292"/>
      <c r="D32" s="292"/>
    </row>
    <row r="33" spans="1:4">
      <c r="A33" s="292" t="s">
        <v>251</v>
      </c>
      <c r="B33" s="292"/>
      <c r="C33" s="292"/>
      <c r="D33" s="292"/>
    </row>
    <row r="34" spans="1:4">
      <c r="A34" s="291" t="str">
        <f>"Ariza berilgan sana: "&amp;TEXT('Общие данные'!B2,"ДД.ММ.ГГГГ")&amp;"y."</f>
        <v>Ariza berilgan sana: 11.03.2025y.</v>
      </c>
      <c r="B34" s="291"/>
      <c r="C34" s="291"/>
      <c r="D34" s="291"/>
    </row>
    <row r="35" spans="1:4">
      <c r="A35" s="291"/>
      <c r="B35" s="291"/>
      <c r="C35" s="291"/>
      <c r="D35" s="291"/>
    </row>
    <row r="36" spans="1:4">
      <c r="A36" s="291" t="s">
        <v>252</v>
      </c>
      <c r="B36" s="291"/>
      <c r="C36" s="291"/>
      <c r="D36" s="291"/>
    </row>
    <row r="37" spans="1:4">
      <c r="A37" s="291"/>
      <c r="B37" s="291"/>
      <c r="C37" s="291"/>
      <c r="D37" s="291"/>
    </row>
    <row r="38" spans="1:4">
      <c r="A38" s="291"/>
      <c r="B38" s="291"/>
      <c r="C38" s="291"/>
      <c r="D38" s="291"/>
    </row>
    <row r="39" spans="1:4" ht="15.75" customHeight="1">
      <c r="A39" s="293" t="str">
        <f>'Общие данные'!B5</f>
        <v>NUTFULLAYEV AKBARJON AXMEDOVICH</v>
      </c>
      <c r="B39" s="293"/>
      <c r="C39" s="293"/>
      <c r="D39" s="11" t="s">
        <v>4</v>
      </c>
    </row>
    <row r="40" spans="1:4">
      <c r="A40" s="10"/>
      <c r="B40" s="10"/>
      <c r="D40" s="12" t="s">
        <v>333</v>
      </c>
    </row>
    <row r="41" spans="1:4">
      <c r="A41" s="291"/>
      <c r="B41" s="291"/>
      <c r="C41" s="291"/>
      <c r="D41" s="291"/>
    </row>
    <row r="42" spans="1:4">
      <c r="A42" s="291"/>
      <c r="B42" s="291"/>
      <c r="C42" s="291"/>
      <c r="D42" s="291"/>
    </row>
    <row r="43" spans="1:4">
      <c r="A43" s="291"/>
      <c r="B43" s="291"/>
      <c r="C43" s="291"/>
      <c r="D43" s="291"/>
    </row>
    <row r="44" spans="1:4">
      <c r="A44" s="291"/>
      <c r="B44" s="291"/>
      <c r="C44" s="291"/>
      <c r="D44" s="291"/>
    </row>
    <row r="45" spans="1:4">
      <c r="A45" s="291"/>
      <c r="B45" s="291"/>
      <c r="C45" s="291"/>
      <c r="D45" s="291"/>
    </row>
    <row r="46" spans="1:4">
      <c r="A46" s="291"/>
      <c r="B46" s="291"/>
      <c r="C46" s="291"/>
      <c r="D46" s="291"/>
    </row>
    <row r="47" spans="1:4">
      <c r="A47" s="291"/>
      <c r="B47" s="291"/>
      <c r="C47" s="291"/>
      <c r="D47" s="291"/>
    </row>
    <row r="48" spans="1:4">
      <c r="A48" s="291"/>
      <c r="B48" s="291"/>
      <c r="C48" s="291"/>
      <c r="D48" s="291"/>
    </row>
    <row r="49" spans="1:4">
      <c r="A49" s="291"/>
      <c r="B49" s="291"/>
      <c r="C49" s="291"/>
      <c r="D49" s="291"/>
    </row>
    <row r="50" spans="1:4">
      <c r="A50" s="291"/>
      <c r="B50" s="291"/>
      <c r="C50" s="291"/>
      <c r="D50" s="291"/>
    </row>
    <row r="51" spans="1:4">
      <c r="A51" s="291"/>
      <c r="B51" s="291"/>
      <c r="C51" s="291"/>
      <c r="D51" s="291"/>
    </row>
    <row r="52" spans="1:4">
      <c r="A52" s="291"/>
      <c r="B52" s="291"/>
      <c r="C52" s="291"/>
      <c r="D52" s="291"/>
    </row>
    <row r="53" spans="1:4">
      <c r="A53" s="291"/>
      <c r="B53" s="291"/>
      <c r="C53" s="291"/>
      <c r="D53" s="291"/>
    </row>
    <row r="54" spans="1:4">
      <c r="A54" s="291"/>
      <c r="B54" s="291"/>
      <c r="C54" s="291"/>
      <c r="D54" s="291"/>
    </row>
    <row r="55" spans="1:4">
      <c r="A55" s="291"/>
      <c r="B55" s="291"/>
      <c r="C55" s="291"/>
      <c r="D55" s="291"/>
    </row>
    <row r="56" spans="1:4">
      <c r="A56" s="291"/>
      <c r="B56" s="291"/>
      <c r="C56" s="291"/>
      <c r="D56" s="291"/>
    </row>
    <row r="57" spans="1:4">
      <c r="A57" s="291"/>
      <c r="B57" s="291"/>
      <c r="C57" s="291"/>
      <c r="D57" s="291"/>
    </row>
    <row r="58" spans="1:4">
      <c r="A58" s="291"/>
      <c r="B58" s="291"/>
      <c r="C58" s="291"/>
      <c r="D58" s="291"/>
    </row>
    <row r="59" spans="1:4">
      <c r="A59" s="291"/>
      <c r="B59" s="291"/>
      <c r="C59" s="291"/>
      <c r="D59" s="291"/>
    </row>
    <row r="60" spans="1:4">
      <c r="A60" s="291"/>
      <c r="B60" s="291"/>
      <c r="C60" s="291"/>
      <c r="D60" s="291"/>
    </row>
    <row r="61" spans="1:4">
      <c r="A61" s="291"/>
      <c r="B61" s="291"/>
      <c r="C61" s="291"/>
      <c r="D61" s="291"/>
    </row>
    <row r="62" spans="1:4">
      <c r="A62" s="291"/>
      <c r="B62" s="291"/>
      <c r="C62" s="291"/>
      <c r="D62" s="291"/>
    </row>
    <row r="63" spans="1:4">
      <c r="A63" s="291"/>
      <c r="B63" s="291"/>
      <c r="C63" s="291"/>
      <c r="D63" s="291"/>
    </row>
    <row r="64" spans="1:4">
      <c r="A64" s="291"/>
      <c r="B64" s="291"/>
      <c r="C64" s="291"/>
      <c r="D64" s="291"/>
    </row>
    <row r="65" spans="1:4">
      <c r="A65" s="291"/>
      <c r="B65" s="291"/>
      <c r="C65" s="291"/>
      <c r="D65" s="291"/>
    </row>
    <row r="66" spans="1:4">
      <c r="A66" s="291"/>
      <c r="B66" s="291"/>
      <c r="C66" s="291"/>
      <c r="D66" s="291"/>
    </row>
    <row r="67" spans="1:4">
      <c r="A67" s="291"/>
      <c r="B67" s="291"/>
      <c r="C67" s="291"/>
      <c r="D67" s="291"/>
    </row>
    <row r="68" spans="1:4">
      <c r="A68" s="291"/>
      <c r="B68" s="291"/>
      <c r="C68" s="291"/>
      <c r="D68" s="291"/>
    </row>
    <row r="69" spans="1:4">
      <c r="A69" s="291"/>
      <c r="B69" s="291"/>
      <c r="C69" s="291"/>
      <c r="D69" s="291"/>
    </row>
    <row r="70" spans="1:4">
      <c r="A70" s="291"/>
      <c r="B70" s="291"/>
      <c r="C70" s="291"/>
      <c r="D70" s="291"/>
    </row>
    <row r="71" spans="1:4">
      <c r="A71" s="291"/>
      <c r="B71" s="291"/>
      <c r="C71" s="291"/>
      <c r="D71" s="291"/>
    </row>
    <row r="72" spans="1:4">
      <c r="A72" s="291"/>
      <c r="B72" s="291"/>
      <c r="C72" s="291"/>
      <c r="D72" s="291"/>
    </row>
    <row r="73" spans="1:4">
      <c r="A73" s="291"/>
      <c r="B73" s="291"/>
      <c r="C73" s="291"/>
      <c r="D73" s="291"/>
    </row>
    <row r="74" spans="1:4">
      <c r="A74" s="291"/>
      <c r="B74" s="291"/>
      <c r="C74" s="291"/>
      <c r="D74" s="291"/>
    </row>
    <row r="75" spans="1:4">
      <c r="A75" s="291"/>
      <c r="B75" s="291"/>
      <c r="C75" s="291"/>
      <c r="D75" s="291"/>
    </row>
    <row r="76" spans="1:4">
      <c r="A76" s="291"/>
      <c r="B76" s="291"/>
      <c r="C76" s="291"/>
      <c r="D76" s="291"/>
    </row>
    <row r="77" spans="1:4">
      <c r="A77" s="291"/>
      <c r="B77" s="291"/>
      <c r="C77" s="291"/>
      <c r="D77" s="291"/>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4" t="s">
        <v>215</v>
      </c>
      <c r="B3" s="294"/>
    </row>
    <row r="4" spans="1:2" ht="92.25" customHeight="1">
      <c r="A4" s="246"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-SM-sonli shartnomaning garov ta'minoti sifatida taqdim etilayotgan mulk CHANGAN CHANGAN SC 1027SB rusumli avtotransport vositasini qonunga xilof ravishda o‘zlashtirmaslikka, yashirmaslikka, nobud qilmaslikka yoki unga shikast yetkazmaslik majburiyatini olaman.</v>
      </c>
      <c r="B4" s="246"/>
    </row>
    <row r="5" spans="1:2" ht="56.25" customHeight="1">
      <c r="A5" s="295" t="s">
        <v>216</v>
      </c>
      <c r="B5" s="295"/>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topLeftCell="A44" zoomScaleSheetLayoutView="100" workbookViewId="0">
      <selection activeCell="A52" sqref="A52:E52"/>
    </sheetView>
  </sheetViews>
  <sheetFormatPr defaultColWidth="9.140625" defaultRowHeight="15" outlineLevelRow="1"/>
  <cols>
    <col min="1" max="1" width="23.7109375" style="15" customWidth="1"/>
    <col min="2" max="2" width="27.28515625" style="15" customWidth="1"/>
    <col min="3" max="3" width="17" style="15" customWidth="1"/>
    <col min="4" max="4" width="20.42578125" style="15" customWidth="1"/>
    <col min="5" max="5" width="17" style="15" customWidth="1"/>
    <col min="6" max="16384" width="9.140625" style="15"/>
  </cols>
  <sheetData>
    <row r="1" spans="1:5" ht="36" customHeight="1">
      <c r="A1" s="259" t="str">
        <f>""&amp;'Общие данные'!B147&amp;"
mikromoliya tashkilotining Xulosasi"</f>
        <v>«CLEVER MIKROMOLIYA TASHKILOTI» MChJ
mikromoliya tashkilotining Xulosasi</v>
      </c>
      <c r="B1" s="259"/>
      <c r="C1" s="259"/>
      <c r="D1" s="259"/>
      <c r="E1" s="259"/>
    </row>
    <row r="2" spans="1:5">
      <c r="A2" s="246"/>
      <c r="B2" s="246"/>
      <c r="C2" s="246"/>
      <c r="D2" s="246"/>
      <c r="E2" s="246"/>
    </row>
    <row r="3" spans="1:5">
      <c r="A3" s="259" t="s">
        <v>204</v>
      </c>
      <c r="B3" s="259"/>
      <c r="C3" s="259"/>
      <c r="D3" s="259"/>
      <c r="E3" s="259"/>
    </row>
    <row r="4" spans="1:5" ht="19.5" customHeight="1">
      <c r="A4" s="246" t="str">
        <f>"Mijozning to'liq ismi sharifi: "&amp;'Общие данные'!B5&amp;""</f>
        <v>Mijozning to'liq ismi sharifi: NUTFULLAYEV AKBARJON AXMEDOVICH</v>
      </c>
      <c r="B4" s="246"/>
      <c r="C4" s="246"/>
      <c r="D4" s="246"/>
      <c r="E4" s="246"/>
    </row>
    <row r="5" spans="1:5">
      <c r="A5" s="246" t="str">
        <f>"Tug'ilgan sanasi: "&amp;'Общие данные'!B15&amp;""</f>
        <v>Tug'ilgan sanasi: 14.09.1989 y</v>
      </c>
      <c r="B5" s="246"/>
      <c r="C5" s="246"/>
      <c r="D5" s="246"/>
      <c r="E5" s="246"/>
    </row>
    <row r="6" spans="1:5" ht="31.5" customHeight="1">
      <c r="A6" s="246"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46"/>
      <c r="C6" s="246"/>
      <c r="D6" s="246"/>
      <c r="E6" s="246"/>
    </row>
    <row r="7" spans="1:5" ht="39.75" customHeight="1">
      <c r="A7" s="246" t="str">
        <f>"Ro‘yxatdan o‘tgan manzili: "&amp;'Общие данные'!B28&amp;", mo'ljal: "&amp;'Общие данные'!B26&amp;""</f>
        <v>Ro‘yxatdan o‘tgan manzili: BUXORO VILOYATI BUXORO SHAHAR TADBIRKOR KO'CHASI 12-UY, mo'ljal: GOR VODAKANAL</v>
      </c>
      <c r="B7" s="246"/>
      <c r="C7" s="246"/>
      <c r="D7" s="246"/>
      <c r="E7" s="246"/>
    </row>
    <row r="8" spans="1:5" ht="26.25" customHeight="1">
      <c r="A8" s="246" t="str">
        <f>"Ish joyi: "&amp;'Общие данные'!B52&amp;" lavozimi "&amp;'Общие данные'!B49&amp;"da "&amp;'Общие данные'!B44&amp;""</f>
        <v>Ish joyi:  lavozimi Yakka tartibdagi tadbirkorda Yakka tartibdagi tadbirkor</v>
      </c>
      <c r="B8" s="246"/>
      <c r="C8" s="246"/>
      <c r="D8" s="246"/>
      <c r="E8" s="246"/>
    </row>
    <row r="9" spans="1:5">
      <c r="A9" s="246"/>
      <c r="B9" s="246"/>
      <c r="C9" s="246"/>
      <c r="D9" s="246"/>
      <c r="E9" s="246"/>
    </row>
    <row r="10" spans="1:5">
      <c r="A10" s="259" t="str">
        <f>"Mijoz tomonidan so’ralgan "&amp;'Общие данные'!B65&amp;" shartlari:"</f>
        <v>Mijoz tomonidan so’ralgan mikroqarz shartlari:</v>
      </c>
      <c r="B10" s="259"/>
      <c r="C10" s="259"/>
      <c r="D10" s="259"/>
      <c r="E10" s="259"/>
    </row>
    <row r="11" spans="1:5">
      <c r="A11" s="246" t="str">
        <f>'Кредитная заявка'!A13:D13</f>
        <v>Mikroqarz summasi: 27 000 000,00 (yigirma yetti million so'm) so'm.</v>
      </c>
      <c r="B11" s="246"/>
      <c r="C11" s="246"/>
      <c r="D11" s="246"/>
      <c r="E11" s="246"/>
    </row>
    <row r="12" spans="1:5">
      <c r="A12" s="246" t="str">
        <f>'Кредитная заявка'!A14:D14</f>
        <v>Mikroqarz muddati: 36 (o'ttiz olti) oy.</v>
      </c>
      <c r="B12" s="246"/>
      <c r="C12" s="246"/>
      <c r="D12" s="246"/>
      <c r="E12" s="246"/>
    </row>
    <row r="13" spans="1:5">
      <c r="A13" s="246" t="str">
        <f>'Кредитная заявка'!A15:D15</f>
        <v>Mikroqarzdan foydalanganlik uchun foiz stavkasi: yillik  60% (Oltmish) foiz</v>
      </c>
      <c r="B13" s="246"/>
      <c r="C13" s="246"/>
      <c r="D13" s="246"/>
      <c r="E13" s="246"/>
    </row>
    <row r="14" spans="1:5">
      <c r="A14" s="246" t="str">
        <f>'Кредитная заявка'!A16:D16</f>
        <v>Mikroqarz bo'yicha asosiy qarz va foizlarni to'lash:</v>
      </c>
      <c r="B14" s="246"/>
      <c r="C14" s="246"/>
      <c r="D14" s="246"/>
      <c r="E14" s="246"/>
    </row>
    <row r="15" spans="1:5" ht="18.75" customHeight="1">
      <c r="A15" s="246" t="str">
        <f>'Кредитная заявка'!A19:D19</f>
        <v xml:space="preserve"> - mikroqarz shartnomasi bo'yicha har oy differensial to'lovlari amalga oshiriladi</v>
      </c>
      <c r="B15" s="246"/>
      <c r="C15" s="246"/>
      <c r="D15" s="246"/>
      <c r="E15" s="246"/>
    </row>
    <row r="16" spans="1:5" ht="14.25" customHeight="1">
      <c r="A16" s="249" t="str">
        <f>'Кредитная заявка'!A20:D20</f>
        <v xml:space="preserve">   </v>
      </c>
      <c r="B16" s="249"/>
      <c r="C16" s="249"/>
      <c r="D16" s="249"/>
      <c r="E16" s="249"/>
    </row>
    <row r="17" spans="1:5">
      <c r="A17" s="246" t="str">
        <f>'Кредитная заявка'!A21:D21</f>
        <v>Mikroqarz ta’minoti::</v>
      </c>
      <c r="B17" s="246"/>
      <c r="C17" s="246"/>
      <c r="D17" s="246"/>
      <c r="E17" s="246"/>
    </row>
    <row r="18" spans="1:5" ht="83.25" customHeight="1">
      <c r="A18" s="246"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46"/>
      <c r="C18" s="246"/>
      <c r="D18" s="246"/>
      <c r="E18" s="246"/>
    </row>
    <row r="19" spans="1:5">
      <c r="A19" s="259" t="s">
        <v>205</v>
      </c>
      <c r="B19" s="259"/>
      <c r="C19" s="259"/>
      <c r="D19" s="259"/>
      <c r="E19" s="259"/>
    </row>
    <row r="20" spans="1:5" ht="21" customHeight="1">
      <c r="A20" s="246" t="str">
        <f>"Anketaga muvofiq "&amp;'Общие данные'!B9&amp;"ning o‘rtacha oylik daromadi  "&amp;FIXED('Общие данные'!B60)&amp;" so‘mni tashkil etdi."</f>
        <v>Anketaga muvofiq NUTFULLAYEV A.A.ning o‘rtacha oylik daromadi  10 000 000,00 so‘mni tashkil etdi.</v>
      </c>
      <c r="B20" s="246"/>
      <c r="C20" s="246"/>
      <c r="D20" s="246"/>
      <c r="E20" s="246"/>
    </row>
    <row r="21" spans="1:5" ht="27" customHeight="1">
      <c r="A21" s="246" t="str">
        <f>"Mijozning o'rtacha oylik xarajatlari "&amp;FIXED('Анкета Клиента'!F27)&amp;" so'mni tashkil etdi"</f>
        <v>Mijozning o'rtacha oylik xarajatlari 1 650 000,00 so'mni tashkil etdi</v>
      </c>
      <c r="B21" s="246"/>
      <c r="C21" s="246"/>
      <c r="D21" s="246"/>
      <c r="E21" s="246"/>
    </row>
    <row r="22" spans="1:5" ht="24.75" customHeight="1">
      <c r="A22" s="246" t="str">
        <f>IF('Общие данные'!B77='Общие данные'!C77,'Заключение КК'!A23:E23,'Заключение КК'!A24:E24)</f>
        <v>Mikroqarz shartnomasi bo'yicha birinchi oy uchun to'lov 2 051 917,76 so'mni tashkil etadi.</v>
      </c>
      <c r="B22" s="246"/>
      <c r="C22" s="246"/>
      <c r="D22" s="246"/>
      <c r="E22" s="246"/>
    </row>
    <row r="23" spans="1:5" ht="19.5" hidden="1" customHeight="1">
      <c r="A23" s="246" t="str">
        <f>""&amp;'Общие данные'!C64&amp;" shartnomasi bo'yicha birinchi oy uchun to'lov "&amp;FIXED('Общие данные'!B90)&amp;" so'mni tashkil etadi."</f>
        <v>Mikroqarz shartnomasi bo'yicha birinchi oy uchun to'lov 2 051 917,76 so'mni tashkil etadi.</v>
      </c>
      <c r="B23" s="246"/>
      <c r="C23" s="246"/>
      <c r="D23" s="246"/>
      <c r="E23" s="246"/>
    </row>
    <row r="24" spans="1:5" ht="19.5" hidden="1" customHeight="1">
      <c r="A24" s="246" t="str">
        <f>""&amp;'Общие данные'!C64&amp;" bo‘yicha oylik "&amp;'Общие данные'!B77&amp;" to‘lovi miqdori "&amp;FIXED('Общие данные'!B90)&amp;" so‘mni tashkil etadi."</f>
        <v>Mikroqarz bo‘yicha oylik differensial to‘lovi miqdori 2 051 917,76 so‘mni tashkil etadi.</v>
      </c>
      <c r="B24" s="246"/>
      <c r="C24" s="246"/>
      <c r="D24" s="246"/>
      <c r="E24" s="246"/>
    </row>
    <row r="25" spans="1:5" ht="56.25" hidden="1" customHeight="1">
      <c r="A25" s="249" t="s">
        <v>402</v>
      </c>
      <c r="B25" s="249"/>
      <c r="C25" s="249"/>
      <c r="D25" s="249"/>
      <c r="E25" s="249"/>
    </row>
    <row r="26" spans="1:5">
      <c r="A26" s="259" t="str">
        <f>""&amp;'Общие данные'!C64&amp;" bo’yicha ta’minot:"</f>
        <v>Mikroqarz bo’yicha ta’minot:</v>
      </c>
      <c r="B26" s="259"/>
      <c r="C26" s="259"/>
      <c r="D26" s="259"/>
      <c r="E26" s="259"/>
    </row>
    <row r="27" spans="1:5" ht="31.5" hidden="1" customHeight="1">
      <c r="A27" s="246"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46"/>
      <c r="C27" s="246"/>
      <c r="D27" s="246"/>
      <c r="E27" s="246"/>
    </row>
    <row r="28" spans="1:5" ht="67.5" hidden="1" customHeight="1">
      <c r="A28" s="246"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46"/>
      <c r="C28" s="246"/>
      <c r="D28" s="246"/>
      <c r="E28" s="246"/>
    </row>
    <row r="29" spans="1:5" ht="44.25" customHeight="1">
      <c r="A29" s="246"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46"/>
      <c r="C29" s="246"/>
      <c r="D29" s="246"/>
      <c r="E29" s="246"/>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46" t="str">
        <f>'Акт согласования'!A22</f>
        <v>-* avtotransport egasi: NUTFULLAYEV AKBARJON AXMEDOVICH</v>
      </c>
      <c r="B32" s="246"/>
      <c r="C32" s="246"/>
      <c r="D32" s="246"/>
      <c r="E32" s="246"/>
    </row>
    <row r="33" spans="1:5" ht="15" customHeight="1" outlineLevel="1">
      <c r="A33" s="246" t="str">
        <f>'Акт согласования'!A23</f>
        <v>-* texnik pasport: AAG   2346592  13.09.2023y</v>
      </c>
      <c r="B33" s="246"/>
      <c r="C33" s="246"/>
      <c r="D33" s="246"/>
      <c r="E33" s="246"/>
    </row>
    <row r="34" spans="1:5" ht="33" customHeight="1" outlineLevel="1">
      <c r="A34" s="246" t="str">
        <f>'Акт согласования'!A24</f>
        <v>-* roʻyxatdan oʻtgan manzili/garaj manzili: BUXORO VILOYATI BUXORO SHAHAR TADBIRKOR KO'CHASI 12-UY</v>
      </c>
      <c r="B34" s="246"/>
      <c r="C34" s="246"/>
      <c r="D34" s="246"/>
      <c r="E34" s="246"/>
    </row>
    <row r="35" spans="1:5" ht="15" customHeight="1" outlineLevel="1">
      <c r="A35" s="246" t="str">
        <f>'Акт согласования'!A25</f>
        <v>-* davlat raqami: 80T312WA</v>
      </c>
      <c r="B35" s="246"/>
      <c r="C35" s="246"/>
      <c r="D35" s="246"/>
      <c r="E35" s="246"/>
    </row>
    <row r="36" spans="1:5" ht="9" customHeight="1">
      <c r="A36" s="246"/>
      <c r="B36" s="246"/>
      <c r="C36" s="246"/>
      <c r="D36" s="246"/>
      <c r="E36" s="246"/>
    </row>
    <row r="37" spans="1:5" ht="39" customHeight="1">
      <c r="A37" s="259" t="str">
        <f>""&amp;'Общие данные'!B147&amp;"
mikromoliya tashkilotining Xulosasi"</f>
        <v>«CLEVER MIKROMOLIYA TASHKILOTI» MChJ
mikromoliya tashkilotining Xulosasi</v>
      </c>
      <c r="B37" s="259"/>
      <c r="C37" s="259"/>
      <c r="D37" s="259"/>
      <c r="E37" s="259"/>
    </row>
    <row r="38" spans="1:5" ht="48" customHeight="1">
      <c r="A38" s="246"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46"/>
      <c r="C38" s="246"/>
      <c r="D38" s="246"/>
      <c r="E38" s="246"/>
    </row>
    <row r="39" spans="1:5">
      <c r="A39" s="246" t="str">
        <f>A11</f>
        <v>Mikroqarz summasi: 27 000 000,00 (yigirma yetti million so'm) so'm.</v>
      </c>
      <c r="B39" s="246"/>
      <c r="C39" s="246"/>
      <c r="D39" s="246"/>
      <c r="E39" s="246"/>
    </row>
    <row r="40" spans="1:5">
      <c r="A40" s="246" t="str">
        <f t="shared" ref="A40:A46" si="0">A12</f>
        <v>Mikroqarz muddati: 36 (o'ttiz olti) oy.</v>
      </c>
      <c r="B40" s="246"/>
      <c r="C40" s="246"/>
      <c r="D40" s="246"/>
      <c r="E40" s="246"/>
    </row>
    <row r="41" spans="1:5">
      <c r="A41" s="246" t="str">
        <f t="shared" si="0"/>
        <v>Mikroqarzdan foydalanganlik uchun foiz stavkasi: yillik  60% (Oltmish) foiz</v>
      </c>
      <c r="B41" s="246"/>
      <c r="C41" s="246"/>
      <c r="D41" s="246"/>
      <c r="E41" s="246"/>
    </row>
    <row r="42" spans="1:5">
      <c r="A42" s="246" t="str">
        <f t="shared" si="0"/>
        <v>Mikroqarz bo'yicha asosiy qarz va foizlarni to'lash:</v>
      </c>
      <c r="B42" s="246"/>
      <c r="C42" s="246"/>
      <c r="D42" s="246"/>
      <c r="E42" s="246"/>
    </row>
    <row r="43" spans="1:5" ht="20.25" customHeight="1">
      <c r="A43" s="246" t="str">
        <f t="shared" si="0"/>
        <v xml:space="preserve"> - mikroqarz shartnomasi bo'yicha har oy differensial to'lovlari amalga oshiriladi</v>
      </c>
      <c r="B43" s="246"/>
      <c r="C43" s="246"/>
      <c r="D43" s="246"/>
      <c r="E43" s="246"/>
    </row>
    <row r="44" spans="1:5" ht="26.25" customHeight="1">
      <c r="A44" s="246" t="str">
        <f t="shared" si="0"/>
        <v xml:space="preserve">   </v>
      </c>
      <c r="B44" s="246"/>
      <c r="C44" s="246"/>
      <c r="D44" s="246"/>
      <c r="E44" s="246"/>
    </row>
    <row r="45" spans="1:5">
      <c r="A45" s="246" t="str">
        <f t="shared" si="0"/>
        <v>Mikroqarz ta’minoti::</v>
      </c>
      <c r="B45" s="246"/>
      <c r="C45" s="246"/>
      <c r="D45" s="246"/>
      <c r="E45" s="246"/>
    </row>
    <row r="46" spans="1:5" ht="72" customHeight="1">
      <c r="A46" s="246"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46"/>
      <c r="C46" s="246"/>
      <c r="D46" s="246"/>
      <c r="E46" s="246"/>
    </row>
    <row r="47" spans="1:5">
      <c r="A47" s="246"/>
      <c r="B47" s="246"/>
      <c r="C47" s="246"/>
      <c r="D47" s="246"/>
      <c r="E47" s="246"/>
    </row>
    <row r="48" spans="1:5" ht="36.75" customHeight="1">
      <c r="A48" s="246" t="str">
        <f>""&amp;'Общие данные'!B147&amp;" mikromoliya tashkilotining xulosasi  "&amp;TEXT('Общие данные'!B2,"ДД.ММ.ГГГГ")&amp;" y. tayyorlangan"</f>
        <v>«CLEVER MIKROMOLIYA TASHKILOTI» MChJ mikromoliya tashkilotining xulosasi  11.03.2025 y. tayyorlangan</v>
      </c>
      <c r="B48" s="246"/>
      <c r="C48" s="246"/>
      <c r="D48" s="246"/>
      <c r="E48" s="246"/>
    </row>
    <row r="49" spans="1:5">
      <c r="A49" s="246"/>
      <c r="B49" s="246"/>
      <c r="C49" s="246"/>
      <c r="D49" s="246"/>
      <c r="E49" s="246"/>
    </row>
    <row r="50" spans="1:5" ht="15.75" customHeight="1">
      <c r="A50" s="249"/>
      <c r="B50" s="249"/>
      <c r="C50" s="249"/>
      <c r="D50" s="22"/>
      <c r="E50" s="23"/>
    </row>
    <row r="51" spans="1:5" ht="41.25" customHeight="1">
      <c r="A51" s="132" t="str">
        <f>'Общие данные'!A150</f>
        <v>Samarqand viloyati Samarqand  filial boshlig'i</v>
      </c>
      <c r="B51" s="224"/>
      <c r="C51" s="224"/>
      <c r="D51" s="132" t="str">
        <f>'Общие данные'!B150</f>
        <v>S.Asrorov</v>
      </c>
      <c r="E51" s="23"/>
    </row>
    <row r="52" spans="1:5">
      <c r="A52" s="246"/>
      <c r="B52" s="246"/>
      <c r="C52" s="246"/>
      <c r="D52" s="246"/>
      <c r="E52" s="246"/>
    </row>
    <row r="53" spans="1:5" ht="45" customHeight="1">
      <c r="A53" s="246" t="str">
        <f>""&amp;'[2]Общие данные'!B147&amp;" mikromoliya tashkilotining Kredit qo‘mitasi a’zolari "&amp;'[2]Общие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3" s="246"/>
      <c r="C53" s="246"/>
      <c r="D53" s="246"/>
      <c r="E53" s="246"/>
    </row>
    <row r="54" spans="1:5">
      <c r="A54" s="225"/>
      <c r="B54" s="225"/>
      <c r="C54" s="225"/>
      <c r="D54" s="225"/>
      <c r="E54" s="225"/>
    </row>
    <row r="55" spans="1:5">
      <c r="A55" s="227" t="s">
        <v>433</v>
      </c>
      <c r="B55" s="228"/>
      <c r="C55" s="225"/>
      <c r="D55" s="223" t="s">
        <v>432</v>
      </c>
      <c r="E55" s="228"/>
    </row>
    <row r="56" spans="1:5" ht="18.75" customHeight="1">
      <c r="A56" s="227"/>
      <c r="B56" s="225"/>
      <c r="C56" s="225"/>
      <c r="D56" s="353"/>
      <c r="E56" s="228"/>
    </row>
    <row r="57" spans="1:5" ht="28.5">
      <c r="A57" s="227" t="str">
        <f>'[3]Общие данные'!A159</f>
        <v>Kreditlash bo’limi boshlig’i</v>
      </c>
      <c r="B57" s="228"/>
      <c r="C57" s="228"/>
      <c r="D57" s="223" t="s">
        <v>434</v>
      </c>
      <c r="E57" s="228"/>
    </row>
    <row r="58" spans="1:5">
      <c r="A58" s="227"/>
      <c r="B58" s="226"/>
      <c r="C58" s="228"/>
      <c r="D58" s="223"/>
      <c r="E58" s="228"/>
    </row>
    <row r="59" spans="1:5" ht="33" customHeight="1">
      <c r="A59" s="227" t="str">
        <f>'[3]Общие данные'!A160</f>
        <v>Monitoring bo’limi boshlig’i</v>
      </c>
      <c r="B59" s="228"/>
      <c r="C59" s="228"/>
      <c r="D59" s="223" t="s">
        <v>435</v>
      </c>
      <c r="E59" s="228"/>
    </row>
  </sheetData>
  <mergeCells count="50">
    <mergeCell ref="A53:E53"/>
    <mergeCell ref="A48:E48"/>
    <mergeCell ref="A49:E49"/>
    <mergeCell ref="A50:C50"/>
    <mergeCell ref="A52:E52"/>
    <mergeCell ref="A43:E43"/>
    <mergeCell ref="A44:E44"/>
    <mergeCell ref="A45:E45"/>
    <mergeCell ref="A46:E46"/>
    <mergeCell ref="A47:E47"/>
    <mergeCell ref="A38:E38"/>
    <mergeCell ref="A39:E39"/>
    <mergeCell ref="A40:E40"/>
    <mergeCell ref="A41:E41"/>
    <mergeCell ref="A42:E42"/>
    <mergeCell ref="A33:E33"/>
    <mergeCell ref="A34:E34"/>
    <mergeCell ref="A35:E35"/>
    <mergeCell ref="A36:E36"/>
    <mergeCell ref="A37:E37"/>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31" zoomScale="85" zoomScaleNormal="55" zoomScaleSheetLayoutView="85" workbookViewId="0">
      <selection activeCell="A129" sqref="A129"/>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296" t="str">
        <f>""&amp;'Общие данные'!C64&amp;" shartnoma "&amp;'Общие данные'!B66&amp;""</f>
        <v>Mikroqarz shartnoma № -SM</v>
      </c>
      <c r="B1" s="296"/>
    </row>
    <row r="3" spans="1:3">
      <c r="A3" s="296" t="str">
        <f>"Toshkent shahri                                                                               "&amp;'Общие данные'!B70&amp;""</f>
        <v>Toshkent shahri                                                                               11 mart 2025 y.</v>
      </c>
      <c r="B3" s="296"/>
    </row>
    <row r="4" spans="1:3">
      <c r="A4" s="66"/>
    </row>
    <row r="5" spans="1:3" ht="132.75" customHeight="1">
      <c r="A5" s="297"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Samarqand viloyati Samarqand  filial boshlig'i S.Asrorov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297"/>
    </row>
    <row r="7" spans="1:3">
      <c r="A7" s="296" t="s">
        <v>264</v>
      </c>
      <c r="B7" s="296"/>
    </row>
    <row r="8" spans="1:3" ht="51.75" customHeight="1">
      <c r="A8" s="297"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297"/>
    </row>
    <row r="9" spans="1:3" ht="36" customHeight="1">
      <c r="A9" s="297"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297"/>
    </row>
    <row r="10" spans="1:3">
      <c r="A10" s="32"/>
    </row>
    <row r="11" spans="1:3">
      <c r="A11" s="300" t="str">
        <f>"2. "&amp;'Общие данные'!D64&amp;" BERISH VA QAYTARISH TARTIBI"</f>
        <v>2. MIKROQARZ BERISH VA QAYTARISH TARTIBI</v>
      </c>
      <c r="B11" s="300"/>
      <c r="C11" s="64"/>
    </row>
    <row r="12" spans="1:3" ht="36" customHeight="1">
      <c r="A12" s="297"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97"/>
    </row>
    <row r="13" spans="1:3" ht="35.25" customHeight="1">
      <c r="A13" s="297"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97"/>
    </row>
    <row r="14" spans="1:3" ht="35.25" customHeight="1">
      <c r="A14" s="297"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97"/>
    </row>
    <row r="15" spans="1:3" ht="69.75" customHeight="1">
      <c r="A15" s="297"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97"/>
    </row>
    <row r="16" spans="1:3" ht="177.75" customHeight="1">
      <c r="A16" s="297" t="s">
        <v>332</v>
      </c>
      <c r="B16" s="297"/>
    </row>
    <row r="17" spans="1:11" ht="161.25" customHeight="1">
      <c r="A17" s="297"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97"/>
      <c r="C17" s="154" t="s">
        <v>337</v>
      </c>
      <c r="H17" s="6" t="str">
        <f>'Общие данные'!B65</f>
        <v>mikroqarz</v>
      </c>
      <c r="I17" s="6" t="s">
        <v>338</v>
      </c>
    </row>
    <row r="18" spans="1:11" ht="100.5" customHeight="1">
      <c r="A18" s="299" t="s">
        <v>377</v>
      </c>
      <c r="B18" s="299"/>
    </row>
    <row r="19" spans="1:11" ht="36" customHeight="1">
      <c r="A19" s="297"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97"/>
    </row>
    <row r="20" spans="1:11" ht="48.75" customHeight="1">
      <c r="A20" s="297"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97"/>
    </row>
    <row r="21" spans="1:11" ht="113.25" customHeight="1">
      <c r="A21" s="301"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01"/>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0" t="str">
        <f>"3. "&amp;'Общие данные'!D64&amp;" TA'MINOTI BO‘YICHA "</f>
        <v xml:space="preserve">3. MIKROQARZ TA'MINOTI BO‘YICHA </v>
      </c>
      <c r="B22" s="300"/>
    </row>
    <row r="23" spans="1:11" ht="19.5" customHeight="1">
      <c r="A23" s="297" t="str">
        <f>"3.1. Ushbu Shartnoma bo‘yicha taqdim etilgan "&amp;'Общие данные'!C64&amp;" quyidagi garov bilan ta'minlanadi:"</f>
        <v>3.1. Ushbu Shartnoma bo‘yicha taqdim etilgan Mikroqarz quyidagi garov bilan ta'minlanadi:</v>
      </c>
      <c r="B23" s="297"/>
    </row>
    <row r="24" spans="1:11" ht="151.5" customHeight="1">
      <c r="A24" s="298"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298"/>
    </row>
    <row r="25" spans="1:11" ht="129" hidden="1" customHeight="1">
      <c r="A25" s="297"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297"/>
    </row>
    <row r="26" spans="1:11" ht="129.75" hidden="1" customHeight="1">
      <c r="A26" s="298"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298"/>
    </row>
    <row r="27" spans="1:11" ht="131.25" hidden="1" customHeight="1">
      <c r="A27" s="297"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297"/>
    </row>
    <row r="28" spans="1:11" ht="114" hidden="1" customHeight="1">
      <c r="A28" s="298"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298"/>
      <c r="K28" s="6" t="s">
        <v>329</v>
      </c>
    </row>
    <row r="29" spans="1:11" ht="114.75" hidden="1" customHeight="1">
      <c r="A29" s="298"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298"/>
    </row>
    <row r="30" spans="1:11" ht="115.5" hidden="1" customHeight="1">
      <c r="A30" s="303"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03"/>
    </row>
    <row r="31" spans="1:11" ht="117" customHeight="1">
      <c r="A31" s="302"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2"/>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2" t="s">
        <v>265</v>
      </c>
      <c r="B34" s="302"/>
    </row>
    <row r="35" spans="1:8" ht="84" customHeight="1">
      <c r="A35" s="302" t="s">
        <v>317</v>
      </c>
      <c r="B35" s="302"/>
    </row>
    <row r="37" spans="1:8">
      <c r="A37" s="305" t="s">
        <v>316</v>
      </c>
      <c r="B37" s="305"/>
      <c r="C37" s="75"/>
    </row>
    <row r="38" spans="1:8">
      <c r="A38" s="304" t="s">
        <v>315</v>
      </c>
      <c r="B38" s="304"/>
    </row>
    <row r="39" spans="1:8" ht="114" customHeight="1">
      <c r="A39" s="302"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2"/>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2"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2"/>
    </row>
    <row r="41" spans="1:8">
      <c r="A41" s="302" t="s">
        <v>318</v>
      </c>
      <c r="B41" s="302"/>
    </row>
    <row r="42" spans="1:8" ht="33" customHeight="1">
      <c r="A42" s="302" t="str">
        <f>"b) "&amp;'Общие данные'!B65&amp;" summasiga hisoblanadigan asosiy qarz bo‘yicha muddati o‘tgan qarzdorlik va/yoki foizlarning yuzaga kelishi;"</f>
        <v>b) mikroqarz summasiga hisoblanadigan asosiy qarz bo‘yicha muddati o‘tgan qarzdorlik va/yoki foizlarning yuzaga kelishi;</v>
      </c>
      <c r="B42" s="302"/>
    </row>
    <row r="43" spans="1:8" ht="37.5" customHeight="1">
      <c r="A43" s="302" t="s">
        <v>319</v>
      </c>
      <c r="B43" s="302"/>
    </row>
    <row r="44" spans="1:8" ht="52.5" customHeight="1">
      <c r="A44" s="302" t="s">
        <v>320</v>
      </c>
      <c r="B44" s="302"/>
    </row>
    <row r="45" spans="1:8" ht="19.5" customHeight="1">
      <c r="A45" s="302" t="s">
        <v>321</v>
      </c>
      <c r="B45" s="302"/>
    </row>
    <row r="46" spans="1:8" ht="51.75" customHeight="1">
      <c r="A46" s="302"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2"/>
    </row>
    <row r="47" spans="1:8" ht="33.75" customHeight="1">
      <c r="A47" s="302" t="s">
        <v>314</v>
      </c>
      <c r="B47" s="302"/>
    </row>
    <row r="48" spans="1:8" ht="36.75" customHeight="1">
      <c r="A48" s="302" t="s">
        <v>313</v>
      </c>
      <c r="B48" s="302"/>
      <c r="C48" s="158"/>
    </row>
    <row r="49" spans="1:8" ht="100.5" customHeight="1">
      <c r="A49" s="297" t="s">
        <v>312</v>
      </c>
      <c r="B49" s="297"/>
      <c r="C49" s="158"/>
    </row>
    <row r="50" spans="1:8" ht="70.5" customHeight="1">
      <c r="A50" s="297" t="s">
        <v>311</v>
      </c>
      <c r="B50" s="297"/>
      <c r="C50" s="158"/>
    </row>
    <row r="51" spans="1:8" ht="39.75" customHeight="1">
      <c r="A51" s="297"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297"/>
      <c r="C51" s="158"/>
    </row>
    <row r="52" spans="1:8" ht="33" customHeight="1">
      <c r="A52" s="297" t="s">
        <v>322</v>
      </c>
      <c r="B52" s="297"/>
      <c r="C52" s="158"/>
    </row>
    <row r="53" spans="1:8" ht="39.75" customHeight="1">
      <c r="A53" s="297" t="s">
        <v>310</v>
      </c>
      <c r="B53" s="297"/>
      <c r="C53" s="158"/>
    </row>
    <row r="54" spans="1:8" ht="50.25" customHeight="1">
      <c r="A54" s="297"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97"/>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297" t="str">
        <f>"4.1.11. Oldingi "&amp;'Общие данные'!B65&amp;" to‘liq to‘lanmagunga qadar yangi "&amp;'Общие данные'!B65&amp;" berishni rad etish."</f>
        <v>4.1.11. Oldingi mikroqarz to‘liq to‘lanmagunga qadar yangi mikroqarz berishni rad etish.</v>
      </c>
      <c r="B55" s="297"/>
      <c r="C55" s="158"/>
    </row>
    <row r="57" spans="1:8">
      <c r="A57" s="300" t="s">
        <v>309</v>
      </c>
      <c r="B57" s="300"/>
      <c r="C57" s="157"/>
    </row>
    <row r="58" spans="1:8">
      <c r="A58" s="306" t="s">
        <v>308</v>
      </c>
      <c r="B58" s="306"/>
      <c r="C58" s="159"/>
    </row>
    <row r="59" spans="1:8" ht="36" customHeight="1">
      <c r="A59" s="297"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97"/>
      <c r="C59" s="158"/>
    </row>
    <row r="60" spans="1:8" ht="36.75" customHeight="1">
      <c r="A60" s="297"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297"/>
      <c r="C60" s="158"/>
    </row>
    <row r="61" spans="1:8" ht="17.25" customHeight="1">
      <c r="A61" s="297" t="str">
        <f>"5.1.3. "&amp;'Общие данные'!C64&amp;" xizmatlari ko‘rsatish qoidalari bilan tanishish."</f>
        <v>5.1.3. Mikroqarz xizmatlari ko‘rsatish qoidalari bilan tanishish.</v>
      </c>
      <c r="B61" s="297"/>
      <c r="C61" s="158"/>
    </row>
    <row r="62" spans="1:8" ht="36" customHeight="1">
      <c r="A62" s="297"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297"/>
      <c r="C62" s="158"/>
    </row>
    <row r="63" spans="1:8" ht="33.75" customHeight="1">
      <c r="A63" s="297" t="s">
        <v>323</v>
      </c>
      <c r="B63" s="297"/>
      <c r="C63" s="158"/>
    </row>
    <row r="64" spans="1:8">
      <c r="A64" s="306" t="s">
        <v>307</v>
      </c>
      <c r="B64" s="306"/>
      <c r="C64" s="159"/>
    </row>
    <row r="65" spans="1:8" ht="37.5" customHeight="1">
      <c r="A65" s="297"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97"/>
      <c r="C65" s="158"/>
    </row>
    <row r="66" spans="1:8" ht="39.75" customHeight="1">
      <c r="A66" s="297" t="s">
        <v>324</v>
      </c>
      <c r="B66" s="297"/>
      <c r="C66" s="158"/>
    </row>
    <row r="67" spans="1:8" ht="27" customHeight="1">
      <c r="A67" s="297" t="str">
        <f>"5.2.3. To‘lov jadvaliga muvofiq "&amp;'Общие данные'!B65&amp;", shuningdek hisoblangan foizlar to‘lovlarini amalga oshirish."</f>
        <v>5.2.3. To‘lov jadvaliga muvofiq mikroqarz, shuningdek hisoblangan foizlar to‘lovlarini amalga oshirish.</v>
      </c>
      <c r="B67" s="297"/>
      <c r="C67" s="158"/>
    </row>
    <row r="68" spans="1:8" ht="84" customHeight="1">
      <c r="A68" s="297"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97"/>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97" t="s">
        <v>325</v>
      </c>
      <c r="B69" s="297"/>
      <c r="C69" s="158"/>
    </row>
    <row r="70" spans="1:8" ht="36" customHeight="1">
      <c r="A70" s="297"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297"/>
      <c r="C70" s="158"/>
    </row>
    <row r="71" spans="1:8" ht="51.75" customHeight="1">
      <c r="A71" s="299" t="s">
        <v>343</v>
      </c>
      <c r="B71" s="299"/>
      <c r="C71" s="161"/>
    </row>
    <row r="72" spans="1:8" ht="71.25" customHeight="1">
      <c r="A72" s="297"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97"/>
      <c r="C72" s="158"/>
    </row>
    <row r="73" spans="1:8" ht="33.75" customHeight="1">
      <c r="A73" s="297"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97"/>
      <c r="C73" s="158"/>
      <c r="H73" s="6" t="s">
        <v>339</v>
      </c>
    </row>
    <row r="74" spans="1:8" ht="68.25" customHeight="1">
      <c r="A74" s="297"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97"/>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5" t="s">
        <v>306</v>
      </c>
      <c r="B76" s="305"/>
      <c r="C76" s="160"/>
    </row>
    <row r="77" spans="1:8" ht="98.25" customHeight="1">
      <c r="A77" s="297"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97"/>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97" t="s">
        <v>305</v>
      </c>
      <c r="B78" s="297"/>
      <c r="C78" s="158"/>
    </row>
    <row r="79" spans="1:8" ht="35.25" customHeight="1">
      <c r="A79" s="297" t="s">
        <v>304</v>
      </c>
      <c r="B79" s="297"/>
      <c r="C79" s="158"/>
    </row>
    <row r="80" spans="1:8" ht="33" customHeight="1">
      <c r="A80" s="297" t="s">
        <v>303</v>
      </c>
      <c r="B80" s="297"/>
      <c r="C80" s="158"/>
    </row>
    <row r="82" spans="1:3">
      <c r="A82" s="289" t="s">
        <v>302</v>
      </c>
      <c r="B82" s="289"/>
      <c r="C82" s="65"/>
    </row>
    <row r="83" spans="1:3" ht="162.75" customHeight="1">
      <c r="A83" s="297" t="s">
        <v>301</v>
      </c>
      <c r="B83" s="297"/>
      <c r="C83" s="158"/>
    </row>
    <row r="84" spans="1:3" ht="33.75" customHeight="1">
      <c r="A84" s="297" t="s">
        <v>346</v>
      </c>
      <c r="B84" s="297"/>
      <c r="C84" s="158"/>
    </row>
    <row r="85" spans="1:3" ht="51.75" customHeight="1">
      <c r="A85" s="297" t="s">
        <v>300</v>
      </c>
      <c r="B85" s="297"/>
      <c r="C85" s="158"/>
    </row>
    <row r="86" spans="1:3" ht="36" customHeight="1">
      <c r="A86" s="297" t="s">
        <v>299</v>
      </c>
      <c r="B86" s="297"/>
      <c r="C86" s="158"/>
    </row>
    <row r="88" spans="1:3">
      <c r="A88" s="289" t="s">
        <v>298</v>
      </c>
      <c r="B88" s="289"/>
      <c r="C88" s="65"/>
    </row>
    <row r="89" spans="1:3" ht="114.75" customHeight="1">
      <c r="A89" s="297" t="s">
        <v>360</v>
      </c>
      <c r="B89" s="297"/>
      <c r="C89" s="158"/>
    </row>
    <row r="90" spans="1:3" ht="36" customHeight="1">
      <c r="A90" s="297" t="s">
        <v>326</v>
      </c>
      <c r="B90" s="297"/>
      <c r="C90" s="158"/>
    </row>
    <row r="91" spans="1:3" ht="64.5" customHeight="1">
      <c r="A91" s="297"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97"/>
      <c r="C91" s="158"/>
    </row>
    <row r="93" spans="1:3">
      <c r="A93" s="307" t="s">
        <v>297</v>
      </c>
      <c r="B93" s="307"/>
      <c r="C93" s="73"/>
    </row>
    <row r="94" spans="1:3" ht="20.25" customHeight="1">
      <c r="A94" s="297" t="s">
        <v>296</v>
      </c>
      <c r="B94" s="297"/>
      <c r="C94" s="158"/>
    </row>
    <row r="95" spans="1:3" ht="33.75" customHeight="1">
      <c r="A95" s="297"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97"/>
      <c r="C95" s="158"/>
    </row>
    <row r="96" spans="1:3" ht="51" customHeight="1">
      <c r="A96" s="297" t="s">
        <v>295</v>
      </c>
      <c r="B96" s="297"/>
      <c r="C96" s="158"/>
    </row>
    <row r="98" spans="1:3">
      <c r="A98" s="300" t="s">
        <v>294</v>
      </c>
      <c r="B98" s="300"/>
      <c r="C98" s="64"/>
    </row>
    <row r="99" spans="1:3" ht="82.5" customHeight="1">
      <c r="A99" s="297" t="s">
        <v>293</v>
      </c>
      <c r="B99" s="297"/>
      <c r="C99" s="158"/>
    </row>
    <row r="100" spans="1:3" ht="66" customHeight="1">
      <c r="A100" s="297" t="s">
        <v>292</v>
      </c>
      <c r="B100" s="297"/>
      <c r="C100" s="158"/>
    </row>
    <row r="101" spans="1:3" ht="48" customHeight="1">
      <c r="A101" s="297" t="s">
        <v>291</v>
      </c>
      <c r="B101" s="297"/>
      <c r="C101" s="158"/>
    </row>
    <row r="103" spans="1:3">
      <c r="A103" s="289" t="s">
        <v>290</v>
      </c>
      <c r="B103" s="289"/>
      <c r="C103" s="144"/>
    </row>
    <row r="104" spans="1:3" ht="37.5" customHeight="1">
      <c r="A104" s="297" t="s">
        <v>289</v>
      </c>
      <c r="B104" s="297"/>
      <c r="C104" s="158"/>
    </row>
    <row r="105" spans="1:3" ht="34.5" customHeight="1">
      <c r="A105" s="297" t="s">
        <v>288</v>
      </c>
      <c r="B105" s="297"/>
      <c r="C105" s="158"/>
    </row>
    <row r="106" spans="1:3" ht="66.75" customHeight="1">
      <c r="A106" s="297" t="s">
        <v>287</v>
      </c>
      <c r="B106" s="297"/>
      <c r="C106" s="158"/>
    </row>
    <row r="107" spans="1:3" ht="51" customHeight="1">
      <c r="A107" s="297" t="s">
        <v>286</v>
      </c>
      <c r="B107" s="297"/>
      <c r="C107" s="158"/>
    </row>
    <row r="108" spans="1:3" ht="37.5" customHeight="1">
      <c r="A108" s="297" t="s">
        <v>285</v>
      </c>
      <c r="B108" s="297"/>
      <c r="C108" s="158"/>
    </row>
    <row r="109" spans="1:3" ht="38.25" customHeight="1">
      <c r="A109" s="297" t="s">
        <v>284</v>
      </c>
      <c r="B109" s="297"/>
      <c r="C109" s="158"/>
    </row>
    <row r="110" spans="1:3" ht="21" customHeight="1">
      <c r="A110" s="297" t="s">
        <v>283</v>
      </c>
      <c r="B110" s="297"/>
      <c r="C110" s="158"/>
    </row>
    <row r="111" spans="1:3" ht="32.25" customHeight="1">
      <c r="A111" s="297"/>
      <c r="B111" s="297"/>
      <c r="C111" s="158"/>
    </row>
    <row r="113" spans="1:3">
      <c r="A113" s="307" t="s">
        <v>327</v>
      </c>
      <c r="B113" s="307"/>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308" t="str">
        <f>'Общие данные'!A161</f>
        <v>Samarqand viloyati Samarqand  filial boshlig'i</v>
      </c>
    </row>
    <row r="127" spans="1:3">
      <c r="A127" s="308"/>
      <c r="B127" s="65" t="str">
        <f>""&amp;'Общие данные'!B7&amp;"     __________________"</f>
        <v>NUTFULLAYEV A.A.     __________________</v>
      </c>
    </row>
    <row r="129" spans="1:2">
      <c r="A129" s="144" t="str">
        <f>""&amp;'Общие данные'!B161&amp;"     __________________"</f>
        <v>S.Asrorov     __________________</v>
      </c>
      <c r="B129" s="172"/>
    </row>
    <row r="131" spans="1:2">
      <c r="B131" s="6" t="s">
        <v>399</v>
      </c>
    </row>
    <row r="132" spans="1:2" hidden="1">
      <c r="A132" s="6" t="str">
        <f>"менеджер :   "&amp;'Общие данные'!B161&amp;"______________"</f>
        <v>менеджер :   S.Asrorov______________</v>
      </c>
    </row>
  </sheetData>
  <mergeCells count="99">
    <mergeCell ref="A126:A127"/>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6" zoomScaleNormal="100" zoomScaleSheetLayoutView="100" workbookViewId="0">
      <selection activeCell="E9" sqref="E9:E20"/>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62"/>
      <c r="F2" s="262"/>
      <c r="G2" s="20"/>
    </row>
    <row r="3" spans="1:16" ht="77.25" customHeight="1">
      <c r="A3" s="37"/>
      <c r="B3" s="37"/>
      <c r="C3" s="37"/>
      <c r="D3" s="37"/>
      <c r="E3" s="311" t="str">
        <f>""&amp;'Общие данные'!B74&amp;" 
"&amp;'Общие данные'!B65&amp;" shartnomasiga 
1 sonli ilova"</f>
        <v>11 mart 2025 y.dan № -SM 
mikroqarz shartnomasiga 
1 sonli ilova</v>
      </c>
      <c r="F3" s="311"/>
      <c r="G3" s="20"/>
    </row>
    <row r="4" spans="1:16" ht="6.75" customHeight="1">
      <c r="A4" s="37"/>
      <c r="B4" s="37"/>
      <c r="C4" s="37"/>
      <c r="D4" s="37"/>
      <c r="E4" s="37"/>
      <c r="F4" s="37"/>
    </row>
    <row r="5" spans="1:16">
      <c r="A5" s="263" t="s">
        <v>266</v>
      </c>
      <c r="B5" s="263"/>
      <c r="C5" s="263"/>
      <c r="D5" s="263"/>
      <c r="E5" s="263"/>
      <c r="F5" s="263"/>
    </row>
    <row r="6" spans="1:16" ht="7.5" customHeight="1"/>
    <row r="7" spans="1:16" ht="15" customHeight="1">
      <c r="A7" s="264" t="s">
        <v>15</v>
      </c>
      <c r="B7" s="265" t="s">
        <v>267</v>
      </c>
      <c r="C7" s="265" t="s">
        <v>268</v>
      </c>
      <c r="D7" s="266" t="s">
        <v>269</v>
      </c>
      <c r="E7" s="266"/>
      <c r="F7" s="266"/>
    </row>
    <row r="8" spans="1:16" s="16" customFormat="1">
      <c r="A8" s="264"/>
      <c r="B8" s="265"/>
      <c r="C8" s="265"/>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09" t="s">
        <v>378</v>
      </c>
      <c r="I12" s="309"/>
      <c r="J12" s="309"/>
      <c r="K12" s="309"/>
      <c r="L12" s="309"/>
      <c r="M12" s="309"/>
      <c r="N12" s="309"/>
      <c r="O12" s="309"/>
      <c r="P12" s="309"/>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09"/>
      <c r="I13" s="309"/>
      <c r="J13" s="309"/>
      <c r="K13" s="309"/>
      <c r="L13" s="309"/>
      <c r="M13" s="309"/>
      <c r="N13" s="309"/>
      <c r="O13" s="309"/>
      <c r="P13" s="309"/>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09"/>
      <c r="I14" s="309"/>
      <c r="J14" s="309"/>
      <c r="K14" s="309"/>
      <c r="L14" s="309"/>
      <c r="M14" s="309"/>
      <c r="N14" s="309"/>
      <c r="O14" s="309"/>
      <c r="P14" s="309"/>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09"/>
      <c r="I15" s="309"/>
      <c r="J15" s="309"/>
      <c r="K15" s="309"/>
      <c r="L15" s="309"/>
      <c r="M15" s="309"/>
      <c r="N15" s="309"/>
      <c r="O15" s="309"/>
      <c r="P15" s="309"/>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09"/>
      <c r="I16" s="309"/>
      <c r="J16" s="309"/>
      <c r="K16" s="309"/>
      <c r="L16" s="309"/>
      <c r="M16" s="309"/>
      <c r="N16" s="309"/>
      <c r="O16" s="309"/>
      <c r="P16" s="309"/>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09"/>
      <c r="I17" s="309"/>
      <c r="J17" s="309"/>
      <c r="K17" s="309"/>
      <c r="L17" s="309"/>
      <c r="M17" s="309"/>
      <c r="N17" s="309"/>
      <c r="O17" s="309"/>
      <c r="P17" s="309"/>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09"/>
      <c r="I18" s="309"/>
      <c r="J18" s="309"/>
      <c r="K18" s="309"/>
      <c r="L18" s="309"/>
      <c r="M18" s="309"/>
      <c r="N18" s="309"/>
      <c r="O18" s="309"/>
      <c r="P18" s="309"/>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09"/>
      <c r="I19" s="309"/>
      <c r="J19" s="309"/>
      <c r="K19" s="309"/>
      <c r="L19" s="309"/>
      <c r="M19" s="309"/>
      <c r="N19" s="309"/>
      <c r="O19" s="309"/>
      <c r="P19" s="309"/>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09"/>
      <c r="I20" s="309"/>
      <c r="J20" s="309"/>
      <c r="K20" s="309"/>
      <c r="L20" s="309"/>
      <c r="M20" s="309"/>
      <c r="N20" s="309"/>
      <c r="O20" s="309"/>
      <c r="P20" s="309"/>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09"/>
      <c r="I21" s="309"/>
      <c r="J21" s="309"/>
      <c r="K21" s="309"/>
      <c r="L21" s="309"/>
      <c r="M21" s="309"/>
      <c r="N21" s="309"/>
      <c r="O21" s="309"/>
      <c r="P21" s="309"/>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09"/>
      <c r="I22" s="309"/>
      <c r="J22" s="309"/>
      <c r="K22" s="309"/>
      <c r="L22" s="309"/>
      <c r="M22" s="309"/>
      <c r="N22" s="309"/>
      <c r="O22" s="309"/>
      <c r="P22" s="309"/>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09"/>
      <c r="I23" s="309"/>
      <c r="J23" s="309"/>
      <c r="K23" s="309"/>
      <c r="L23" s="309"/>
      <c r="M23" s="309"/>
      <c r="N23" s="309"/>
      <c r="O23" s="309"/>
      <c r="P23" s="309"/>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09"/>
      <c r="I24" s="309"/>
      <c r="J24" s="309"/>
      <c r="K24" s="309"/>
      <c r="L24" s="309"/>
      <c r="M24" s="309"/>
      <c r="N24" s="309"/>
      <c r="O24" s="309"/>
      <c r="P24" s="309"/>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46"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46"/>
      <c r="C47" s="246"/>
      <c r="D47" s="246"/>
      <c r="E47" s="246"/>
      <c r="F47" s="246"/>
    </row>
    <row r="48" spans="1:6" ht="7.5" customHeight="1"/>
    <row r="49" spans="1:6" ht="15" customHeight="1">
      <c r="A49" s="260" t="s">
        <v>273</v>
      </c>
      <c r="B49" s="260"/>
      <c r="C49" s="260"/>
      <c r="D49" s="260" t="s">
        <v>281</v>
      </c>
      <c r="E49" s="260"/>
      <c r="F49" s="260"/>
    </row>
    <row r="50" spans="1:6" ht="11.25" customHeight="1">
      <c r="A50" s="261"/>
      <c r="B50" s="261"/>
      <c r="C50" s="261"/>
      <c r="D50" s="261"/>
      <c r="E50" s="261"/>
      <c r="F50" s="261"/>
    </row>
    <row r="51" spans="1:6" ht="30" customHeight="1">
      <c r="A51" s="259" t="str">
        <f>договор!A117</f>
        <v>«CLEVER MIKROMOLIYA TASHKILOTI» MChJ</v>
      </c>
      <c r="B51" s="259"/>
      <c r="C51" s="259"/>
      <c r="D51" s="259" t="str">
        <f>договор!B117</f>
        <v>NUTFULLAYEV AKBARJON AXMEDOVICH</v>
      </c>
      <c r="E51" s="259"/>
      <c r="F51" s="259"/>
    </row>
    <row r="52" spans="1:6" ht="39" customHeight="1">
      <c r="A52" s="255" t="str">
        <f>договор!A119</f>
        <v>Manzil: Toshkent shahri, Olmazor tumani, Sagbon ko'chasi, 30 boshi berk, 6-uy</v>
      </c>
      <c r="B52" s="255"/>
      <c r="C52" s="255"/>
      <c r="D52" s="255" t="str">
        <f>договор!B119</f>
        <v>Manzil: BUXORO VILOYATI BUXORO SHAHAR TADBIRKOR KO'CHASI 12-UY</v>
      </c>
      <c r="E52" s="255"/>
      <c r="F52" s="255"/>
    </row>
    <row r="53" spans="1:6" ht="15" customHeight="1">
      <c r="A53" s="255" t="str">
        <f>договор!A120</f>
        <v>h/r: №20216000705068380001</v>
      </c>
      <c r="B53" s="255"/>
      <c r="C53" s="255"/>
      <c r="D53" s="255" t="str">
        <f>договор!B121</f>
        <v>pasport seriyasi: AA 9481167, BUXORO VILOYATI BUXORO SHAHAR IIB tomonidan 24.04.2015 yilda berilgan</v>
      </c>
      <c r="E53" s="255"/>
      <c r="F53" s="255"/>
    </row>
    <row r="54" spans="1:6" ht="32.25" customHeight="1">
      <c r="A54" s="255" t="str">
        <f>договор!A121</f>
        <v>MFO: №01042 в ATB “Kapitalbank” Sergeli filiali</v>
      </c>
      <c r="B54" s="255"/>
      <c r="C54" s="255"/>
      <c r="D54" s="255"/>
      <c r="E54" s="255"/>
      <c r="F54" s="255"/>
    </row>
    <row r="55" spans="1:6" ht="15" customHeight="1">
      <c r="A55" s="255" t="str">
        <f>договор!A122</f>
        <v>STIR: 306365847</v>
      </c>
      <c r="B55" s="255"/>
      <c r="C55" s="255"/>
      <c r="D55" s="255" t="str">
        <f>договор!B122</f>
        <v>Tel: 91 408 76 67  UZI</v>
      </c>
      <c r="E55" s="255"/>
      <c r="F55" s="255"/>
    </row>
    <row r="56" spans="1:6" ht="15" customHeight="1">
      <c r="A56" s="255" t="str">
        <f>договор!A123</f>
        <v>Tel: (78) 113 31 33</v>
      </c>
      <c r="B56" s="255"/>
      <c r="C56" s="255"/>
      <c r="D56" s="255" t="str">
        <f>договор!B123</f>
        <v>88 305 76 67 AYOLI</v>
      </c>
      <c r="E56" s="255"/>
      <c r="F56" s="255"/>
    </row>
    <row r="57" spans="1:6" ht="15" customHeight="1">
      <c r="A57" s="255" t="str">
        <f>договор!A124</f>
        <v>(78) 113 31 34</v>
      </c>
      <c r="B57" s="255"/>
      <c r="C57" s="255"/>
      <c r="D57" s="255" t="str">
        <f>договор!B124</f>
        <v>88 870 76 67 AKASI</v>
      </c>
      <c r="E57" s="255"/>
      <c r="F57" s="255"/>
    </row>
    <row r="58" spans="1:6" ht="23.25" customHeight="1">
      <c r="A58" s="255"/>
      <c r="B58" s="255"/>
      <c r="C58" s="255"/>
      <c r="D58" s="255" t="str">
        <f>IF(договор!B125=0,"",договор!B125)</f>
        <v/>
      </c>
      <c r="E58" s="255"/>
      <c r="F58" s="255"/>
    </row>
    <row r="59" spans="1:6" ht="29.25" customHeight="1">
      <c r="A59" s="310" t="str">
        <f>'Общие данные'!A161</f>
        <v>Samarqand viloyati Samarqand  filial boshlig'i</v>
      </c>
      <c r="B59" s="310"/>
      <c r="C59" s="310"/>
      <c r="D59" s="259" t="str">
        <f>договор!B127</f>
        <v>NUTFULLAYEV A.A.     __________________</v>
      </c>
      <c r="E59" s="259"/>
      <c r="F59" s="259"/>
    </row>
    <row r="60" spans="1:6" ht="15" customHeight="1">
      <c r="A60" s="255"/>
      <c r="B60" s="255"/>
      <c r="C60" s="255"/>
      <c r="D60" s="259"/>
      <c r="E60" s="259"/>
      <c r="F60" s="259"/>
    </row>
    <row r="61" spans="1:6">
      <c r="A61" s="310" t="str">
        <f>договор!A129</f>
        <v>S.Asrorov     __________________</v>
      </c>
      <c r="B61" s="310"/>
      <c r="C61" s="310"/>
      <c r="D61" s="259"/>
      <c r="E61" s="259"/>
      <c r="F61" s="259"/>
    </row>
    <row r="62" spans="1:6" ht="8.25" customHeight="1">
      <c r="A62" s="255"/>
      <c r="B62" s="255"/>
      <c r="C62" s="255"/>
      <c r="D62" s="255"/>
      <c r="E62" s="255"/>
      <c r="F62" s="255"/>
    </row>
    <row r="63" spans="1:6" ht="30" customHeight="1">
      <c r="A63" s="256"/>
      <c r="B63" s="256"/>
      <c r="C63" s="256"/>
      <c r="D63" s="257"/>
      <c r="E63" s="257"/>
      <c r="F63" s="257"/>
    </row>
    <row r="64" spans="1:6">
      <c r="A64" s="258"/>
      <c r="B64" s="258"/>
      <c r="C64" s="258"/>
      <c r="D64" s="258"/>
      <c r="E64" s="258"/>
      <c r="F64" s="258"/>
    </row>
    <row r="65" spans="1:6">
      <c r="A65" s="254"/>
      <c r="B65" s="254"/>
      <c r="C65" s="254"/>
      <c r="D65" s="254"/>
      <c r="E65" s="254"/>
      <c r="F65" s="254"/>
    </row>
  </sheetData>
  <mergeCells count="42">
    <mergeCell ref="E2:F2"/>
    <mergeCell ref="A5:F5"/>
    <mergeCell ref="A7:A8"/>
    <mergeCell ref="B7:B8"/>
    <mergeCell ref="C7:C8"/>
    <mergeCell ref="D7:F7"/>
    <mergeCell ref="E3:F3"/>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D56:F56"/>
    <mergeCell ref="A57:C57"/>
    <mergeCell ref="D57:F57"/>
    <mergeCell ref="A58:C58"/>
    <mergeCell ref="D58:F58"/>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Samarqand viloyati Samarqand  filial boshlig'i S.Asrorovga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2"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2"/>
    </row>
    <row r="14" spans="1:2" ht="124.5" hidden="1" customHeight="1">
      <c r="A14" s="292"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2"/>
    </row>
    <row r="15" spans="1:2" ht="116.25" hidden="1" customHeight="1">
      <c r="A15" s="292"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2"/>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2" t="str">
        <f>IF('Общие данные'!B94='Общие данные'!D94,CONCATENATE(A24," ",A28,A22),"")</f>
        <v/>
      </c>
      <c r="B20" s="312"/>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29"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63" t="str">
        <f>"GAROV PREDMETI QIYMATINI KELISHISH 
№"&amp;'Общие данные'!B141&amp;" SONLI DALOLATNOMASI
 "</f>
        <v xml:space="preserve">GAROV PREDMETI QIYMATINI KELISHISH 
№1 SONLI DALOLATNOMASI
 </v>
      </c>
      <c r="B2" s="263"/>
      <c r="C2" s="263"/>
      <c r="D2" s="263"/>
      <c r="E2" s="263"/>
    </row>
    <row r="3" spans="1:5">
      <c r="A3" s="40"/>
      <c r="B3" s="40"/>
      <c r="C3" s="40"/>
      <c r="D3" s="40"/>
      <c r="E3" s="40"/>
    </row>
    <row r="4" spans="1:5">
      <c r="A4" s="37" t="s">
        <v>208</v>
      </c>
      <c r="B4" s="37"/>
      <c r="C4" s="37"/>
      <c r="D4" s="37"/>
      <c r="E4" s="37" t="str">
        <f>'Общие данные'!B142</f>
        <v>11 mart 2025 y.</v>
      </c>
    </row>
    <row r="5" spans="1:5" ht="9" customHeight="1">
      <c r="A5" s="246"/>
      <c r="B5" s="246"/>
      <c r="C5" s="246"/>
      <c r="D5" s="246"/>
      <c r="E5" s="246"/>
    </row>
    <row r="6" spans="1:5" ht="76.5" customHeight="1">
      <c r="A6" s="246" t="str">
        <f>IF('Общие данные'!B103="avtotransport",'Акт согласования'!A10:E10,'Акт согласования'!A7:E7)</f>
        <v>«CLEVER MIKROMOLIYA TASHKILOTI» MChJning (1-tomon) vakili bo‘lgan  Samarqand viloyati Samarqand  filial boshlig'i S.Asrorov, O‘zbekiston Respublikasi fuqarosi va garovga beruvchi NUTFULLAYEV AKBARJON AXMEDOVICH (2-tomon) o’rtalarida, 11 mart 2025 y.dan № -SM-sonli Mikroqarz shartnomasiga muvofiq 1-tomon 2-tomonga berilgan mikroqarz bo‘yicha ta’minot sifatida taqdim etilgan, 2-tomonga mulk huquqi asosida tegishli bo‘lgan mulkning garov qiymatini kelishish muzokaralari o’tkazildi.</v>
      </c>
      <c r="B6" s="246"/>
      <c r="C6" s="246"/>
      <c r="D6" s="246"/>
      <c r="E6" s="246"/>
    </row>
    <row r="7" spans="1:5" ht="88.5" hidden="1" customHeight="1">
      <c r="A7" s="246" t="str">
        <f>IF('Общие данные'!B93="ha",'Акт согласования'!A9:E9,'Акт согласования'!A8:E8)</f>
        <v xml:space="preserve">«CLEVER MIKROMOLIYA TASHKILOTI» MChJning (1-tomon) vakili bo‘lgan  Samarqand viloyati Samarqand  filial boshlig'i S.Asrorov, va O‘zbekiston Respublikasi fuqarosi  NUTFULLAYEV AKBARJON AXMEDOVICH (2-tomon) va garov egasi NUTFULLAYEV AKBARJON AXMEDOVICH (3-tomon) 11 mart 2025 y.dan № -SM Mikroqarz shartnomasiga muvofiq 1-tomon 2-tomonga berilgan mikroqarz bo‘yicha ta’minot sifatida taqdim etilgan, 2-tomonga mulk huquqi asosida tegishli bo‘lgan mulkning garov qiymatini kelishish muzokaralari o’tkazildi. </v>
      </c>
      <c r="B7" s="246"/>
      <c r="C7" s="246"/>
      <c r="D7" s="246"/>
      <c r="E7" s="246"/>
    </row>
    <row r="8" spans="1:5" ht="88.5" hidden="1" customHeight="1">
      <c r="A8" s="246"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Samarqand viloyati Samarqand  filial boshlig'i S.Asrorov, va O‘zbekiston Respublikasi fuqarosi  NUTFULLAYEV AKBARJON AXMEDOVICH (2-tomon) va garov egasi NUTFULLAYEV AKBARJON AXMEDOVICH (3-tomon) 11 mart 2025 y.dan № -SM Mikroqarz shartnomasiga muvofiq 1-tomon 2-tomonga berilgan mikroqarz bo‘yicha ta’minot sifatida taqdim etilgan, 2-tomonga mulk huquqi asosida tegishli bo‘lgan mulkning garov qiymatini kelishish muzokaralari o’tkazildi. </v>
      </c>
      <c r="B8" s="246"/>
      <c r="C8" s="246"/>
      <c r="D8" s="246"/>
      <c r="E8" s="246"/>
    </row>
    <row r="9" spans="1:5" ht="88.5" hidden="1" customHeight="1">
      <c r="A9" s="246"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Samarqand viloyati Samarqand  filial boshlig'i S.Asrorov, va O‘zbekiston Respublikasi fuqarosi  NUTFULLAYEV AKBARJON AXMEDOVICH (2-tomon) va garov egasi NUTFULLAYEV AKBARJON AXMEDOVICH (3-tomon) 11 mart 2025 y.dan № -SM Mikroqarz shartnomasiga muvofiq 1-tomon 2-tomonga berilgan mikroqarz bo‘yicha ta’minot sifatida taqdim etilgan, 2-tomonga mulk huquqi asosida tegishli bo‘lgan mulkning garov qiymatini kelishish muzokaralari o’tkazildi. </v>
      </c>
      <c r="B9" s="246"/>
      <c r="C9" s="246"/>
      <c r="D9" s="246"/>
      <c r="E9" s="246"/>
    </row>
    <row r="10" spans="1:5" ht="88.5" hidden="1" customHeight="1">
      <c r="A10" s="246" t="str">
        <f>IF('Общие данные'!B93="ha",'Акт согласования'!A12:E12,'Акт согласования'!A11:E11)</f>
        <v>«CLEVER MIKROMOLIYA TASHKILOTI» MChJning (1-tomon) vakili bo‘lgan  Samarqand viloyati Samarqand  filial boshlig'i S.Asrorov, O‘zbekiston Respublikasi fuqarosi va garovga beruvchi NUTFULLAYEV AKBARJON AXMEDOVICH (2-tomon) o’rtalarida, 11 mart 2025 y.dan № -SM-sonli Mikroqarz shartnomasiga muvofiq 1-tomon 2-tomonga berilgan mikroqarz bo‘yicha ta’minot sifatida taqdim etilgan, 2-tomonga mulk huquqi asosida tegishli bo‘lgan mulkning garov qiymatini kelishish muzokaralari o’tkazildi.</v>
      </c>
      <c r="B10" s="246"/>
      <c r="C10" s="246"/>
      <c r="D10" s="246"/>
      <c r="E10" s="246"/>
    </row>
    <row r="11" spans="1:5" ht="88.5" hidden="1" customHeight="1">
      <c r="A11" s="246"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Samarqand viloyati Samarqand  filial boshlig'i S.Asrorov, O‘zbekiston Respublikasi fuqarosi NUTFULLAYEV AKBARJON AXMEDOVICH (2-tomon) va garovga beruvchi O‘zbekiston Respublikasi fuqarosi NUTFULLAYEV AKBARJON AXMEDOVICH (3-tomon) o’rtalarida, 11 mart 2025 y.dan № -SM-sonli Mikroqarz shartnomasiga muvofiq 1-tomon 2-tomonga berilgan mikroqarz bo‘yicha ta’minot sifatida taqdim etilgan, 3-tomonga mulk huquqi asosida tegishli bo‘lgan mulkning garov qiymatini kelishish muzokaralari o’tkazildi.</v>
      </c>
      <c r="B11" s="246"/>
      <c r="C11" s="246"/>
      <c r="D11" s="246"/>
      <c r="E11" s="246"/>
    </row>
    <row r="12" spans="1:5" ht="88.5" hidden="1" customHeight="1">
      <c r="A12" s="246"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Samarqand viloyati Samarqand  filial boshlig'i S.Asrorov, O‘zbekiston Respublikasi fuqarosi va garovga beruvchi NUTFULLAYEV AKBARJON AXMEDOVICH (2-tomon) o’rtalarida, 11 mart 2025 y.dan № -SM-sonli Mikroqarz shartnomasiga muvofiq 1-tomon 2-tomonga berilgan mikroqarz bo‘yicha ta’minot sifatida taqdim etilgan, 2-tomonga mulk huquqi asosida tegishli bo‘lgan mulkning garov qiymatini kelishish muzokaralari o’tkazildi.</v>
      </c>
      <c r="B12" s="246"/>
      <c r="C12" s="246"/>
      <c r="D12" s="246"/>
      <c r="E12" s="246"/>
    </row>
    <row r="13" spans="1:5" ht="88.5" hidden="1" customHeight="1">
      <c r="A13" s="246"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46"/>
      <c r="C13" s="246"/>
      <c r="D13" s="246"/>
      <c r="E13" s="246"/>
    </row>
    <row r="14" spans="1:5" ht="88.5" hidden="1" customHeight="1">
      <c r="A14" s="246"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46"/>
      <c r="C14" s="246"/>
      <c r="D14" s="246"/>
      <c r="E14" s="246"/>
    </row>
    <row r="15" spans="1:5" ht="88.5" hidden="1" customHeight="1">
      <c r="A15" s="246"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46"/>
      <c r="C15" s="246"/>
      <c r="D15" s="246"/>
      <c r="E15" s="246"/>
    </row>
    <row r="16" spans="1:5" ht="88.5" hidden="1" customHeight="1">
      <c r="A16" s="246"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46"/>
      <c r="C16" s="246"/>
      <c r="D16" s="246"/>
      <c r="E16" s="246"/>
    </row>
    <row r="17" spans="1:5" ht="13.5" hidden="1" customHeight="1">
      <c r="A17" s="246"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46"/>
      <c r="C17" s="246"/>
      <c r="D17" s="246"/>
      <c r="E17" s="246"/>
    </row>
    <row r="18" spans="1:5" ht="11.25" hidden="1" customHeight="1">
      <c r="A18" s="246" t="str">
        <f>IF('Общие данные'!B93="ha",'Акт согласования'!A16:E16,'Акт согласования'!A17:E17)</f>
        <v>Garov predmeti sifatida 3 - xonali yakka tartibdagi uy-joy, 2-tomonga egalik huquqi tegishli bo'lgan, quyidagi tafsilotlarga ega ko'chmas mulk taqdim etiladi:</v>
      </c>
      <c r="B18" s="246"/>
      <c r="C18" s="246"/>
      <c r="D18" s="246"/>
      <c r="E18" s="246"/>
    </row>
    <row r="19" spans="1:5" ht="32.25" customHeight="1">
      <c r="A19" s="246"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46"/>
      <c r="C19" s="246"/>
      <c r="D19" s="246"/>
      <c r="E19" s="246"/>
    </row>
    <row r="20" spans="1:5" ht="48" customHeight="1" outlineLevel="1">
      <c r="A20" s="39" t="s">
        <v>206</v>
      </c>
      <c r="B20" s="313" t="str">
        <f>IF('Общие данные'!B103='Общие данные'!C103,"Kuzov turi  va kuzov raqami*","Foydali maydoni")</f>
        <v>Kuzov turi  va kuzov raqami*</v>
      </c>
      <c r="C20" s="314"/>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65" t="str">
        <f>IF('Общие данные'!B103='Общие данные'!C103,'Общие данные'!B127,CONCATENATE('Общие данные'!F130," ","kv.m"))</f>
        <v>kuzov turi - YUK BORTLI TENT, kuzov raqami LSCAB23D8EG228387</v>
      </c>
      <c r="C21" s="265"/>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46" t="str">
        <f>"-* "&amp;IF('Общие данные'!B103='Общие данные'!C103,"avtotransport "&amp;"egasi: "&amp;'Общие данные'!B117&amp;"","ko'chmas mulk"&amp;" egasi: "&amp;'Общие данные'!B117&amp;"")</f>
        <v>-* avtotransport egasi: NUTFULLAYEV AKBARJON AXMEDOVICH</v>
      </c>
      <c r="B22" s="246"/>
      <c r="C22" s="246"/>
      <c r="D22" s="246"/>
      <c r="E22" s="246"/>
    </row>
    <row r="23" spans="1:5" outlineLevel="1">
      <c r="A23" s="246" t="str">
        <f>IF('Общие данные'!B103='Общие данные'!C103,"-* texnik pasport: "&amp;'Общие данные'!B124&amp;"","-* reest raqami: "&amp;'Общие данные'!C124&amp;"")</f>
        <v>-* texnik pasport: AAG   2346592  13.09.2023y</v>
      </c>
      <c r="B23" s="246"/>
      <c r="C23" s="246"/>
      <c r="D23" s="246"/>
      <c r="E23" s="246"/>
    </row>
    <row r="24" spans="1:5" s="182" customFormat="1" outlineLevel="1">
      <c r="A24" s="246"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46"/>
      <c r="C24" s="246"/>
      <c r="D24" s="246"/>
      <c r="E24" s="246"/>
    </row>
    <row r="25" spans="1:5" ht="27" customHeight="1" outlineLevel="1">
      <c r="A25" s="246" t="str">
        <f>IF('Общие данные'!B103='Общие данные'!C103,"-* davlat raqami: "&amp;'Общие данные'!B126&amp;"","-* manzili: "&amp;'Общие данные'!C123&amp;"")</f>
        <v>-* davlat raqami: 80T312WA</v>
      </c>
      <c r="B25" s="246"/>
      <c r="C25" s="246"/>
      <c r="D25" s="246"/>
      <c r="E25" s="246"/>
    </row>
    <row r="26" spans="1:5" ht="65.25" customHeight="1">
      <c r="A26" s="246"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-SM Mikroqarz shartnomasi bo‘yicha berilgan mikroqarz bo‘yicha  
40 500 000,00 (qirq million besh yuz ming so'm) so’m bo‘lgan kelishilgan garov qiymatida qabul qiladi::</v>
      </c>
      <c r="B26" s="246"/>
      <c r="C26" s="246"/>
      <c r="D26" s="246"/>
      <c r="E26" s="246"/>
    </row>
    <row r="27" spans="1:5" ht="66" hidden="1" customHeight="1">
      <c r="A27" s="246"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-SM mikroqarz shartnomasi bo‘yicha berilgan mikroqarz bo‘yicha  
40 500 000,00 (qirq million besh yuz ming so'm) so’m bo‘lgan kelishilgan garov qiymatida qabul qiladi::</v>
      </c>
      <c r="B27" s="246"/>
      <c r="C27" s="246"/>
      <c r="D27" s="246"/>
      <c r="E27" s="246"/>
    </row>
    <row r="28" spans="1:5" ht="58.5" hidden="1" customHeight="1">
      <c r="A28" s="246"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-SM Mikroqarz shartnomasi bo‘yicha berilgan mikroqarz bo‘yicha  
40 500 000,00 (qirq million besh yuz ming so'm) so’m bo‘lgan kelishilgan garov qiymatida qabul qiladi::</v>
      </c>
      <c r="B28" s="246"/>
      <c r="C28" s="246"/>
      <c r="D28" s="246"/>
      <c r="E28" s="246"/>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16" t="str">
        <f>""&amp;FIXED('Общие данные'!C136,2)&amp;" ("&amp;'Общие данные'!B137&amp;")"</f>
        <v>40 500 000,00 (qirq million besh yuz ming so'm)</v>
      </c>
    </row>
    <row r="34" spans="1:5" ht="15.75" hidden="1" customHeight="1" outlineLevel="1">
      <c r="A34" s="17"/>
      <c r="B34" s="111"/>
      <c r="C34" s="111"/>
      <c r="D34" s="111"/>
      <c r="E34" s="317"/>
    </row>
    <row r="35" spans="1:5" ht="15.75" hidden="1" customHeight="1" outlineLevel="1">
      <c r="A35" s="17" t="e">
        <f>#REF!</f>
        <v>#REF!</v>
      </c>
      <c r="B35" s="111" t="e">
        <f>#REF!</f>
        <v>#REF!</v>
      </c>
      <c r="C35" s="111" t="e">
        <f>#REF!</f>
        <v>#REF!</v>
      </c>
      <c r="D35" s="111" t="e">
        <f>#REF!</f>
        <v>#REF!</v>
      </c>
      <c r="E35" s="317"/>
    </row>
    <row r="36" spans="1:5" ht="15.75" hidden="1" customHeight="1" outlineLevel="1">
      <c r="A36" s="17" t="e">
        <f>#REF!</f>
        <v>#REF!</v>
      </c>
      <c r="B36" s="111" t="e">
        <f>#REF!</f>
        <v>#REF!</v>
      </c>
      <c r="C36" s="111" t="e">
        <f>#REF!</f>
        <v>#REF!</v>
      </c>
      <c r="D36" s="111" t="e">
        <f>#REF!</f>
        <v>#REF!</v>
      </c>
      <c r="E36" s="317"/>
    </row>
    <row r="37" spans="1:5" ht="15.75" hidden="1" customHeight="1" outlineLevel="1">
      <c r="A37" s="17" t="e">
        <f>#REF!</f>
        <v>#REF!</v>
      </c>
      <c r="B37" s="111" t="e">
        <f>#REF!</f>
        <v>#REF!</v>
      </c>
      <c r="C37" s="111" t="e">
        <f>#REF!</f>
        <v>#REF!</v>
      </c>
      <c r="D37" s="111" t="e">
        <f>#REF!</f>
        <v>#REF!</v>
      </c>
      <c r="E37" s="317"/>
    </row>
    <row r="38" spans="1:5" ht="15.75" hidden="1" customHeight="1" outlineLevel="1">
      <c r="A38" s="17" t="e">
        <f>#REF!</f>
        <v>#REF!</v>
      </c>
      <c r="B38" s="111" t="e">
        <f>#REF!</f>
        <v>#REF!</v>
      </c>
      <c r="C38" s="111" t="e">
        <f>#REF!</f>
        <v>#REF!</v>
      </c>
      <c r="D38" s="111" t="e">
        <f>#REF!</f>
        <v>#REF!</v>
      </c>
      <c r="E38" s="317"/>
    </row>
    <row r="39" spans="1:5" ht="15.75" hidden="1" customHeight="1" outlineLevel="1">
      <c r="A39" s="17" t="e">
        <f>#REF!</f>
        <v>#REF!</v>
      </c>
      <c r="B39" s="111" t="e">
        <f>#REF!</f>
        <v>#REF!</v>
      </c>
      <c r="C39" s="111" t="e">
        <f>#REF!</f>
        <v>#REF!</v>
      </c>
      <c r="D39" s="111" t="e">
        <f>#REF!</f>
        <v>#REF!</v>
      </c>
      <c r="E39" s="317"/>
    </row>
    <row r="40" spans="1:5" ht="15.75" hidden="1" customHeight="1" outlineLevel="1">
      <c r="A40" s="17" t="e">
        <f>#REF!</f>
        <v>#REF!</v>
      </c>
      <c r="B40" s="111" t="e">
        <f>#REF!</f>
        <v>#REF!</v>
      </c>
      <c r="C40" s="111" t="e">
        <f>#REF!</f>
        <v>#REF!</v>
      </c>
      <c r="D40" s="111" t="e">
        <f>#REF!</f>
        <v>#REF!</v>
      </c>
      <c r="E40" s="317"/>
    </row>
    <row r="41" spans="1:5" ht="15.75" hidden="1" customHeight="1" outlineLevel="1">
      <c r="A41" s="17" t="e">
        <f>#REF!</f>
        <v>#REF!</v>
      </c>
      <c r="B41" s="111" t="e">
        <f>#REF!</f>
        <v>#REF!</v>
      </c>
      <c r="C41" s="111" t="e">
        <f>#REF!</f>
        <v>#REF!</v>
      </c>
      <c r="D41" s="111" t="e">
        <f>#REF!</f>
        <v>#REF!</v>
      </c>
      <c r="E41" s="317"/>
    </row>
    <row r="42" spans="1:5" ht="15.75" hidden="1" customHeight="1" outlineLevel="1">
      <c r="A42" s="17" t="e">
        <f>#REF!</f>
        <v>#REF!</v>
      </c>
      <c r="B42" s="111" t="e">
        <f>#REF!</f>
        <v>#REF!</v>
      </c>
      <c r="C42" s="111" t="e">
        <f>#REF!</f>
        <v>#REF!</v>
      </c>
      <c r="D42" s="111" t="e">
        <f>#REF!</f>
        <v>#REF!</v>
      </c>
      <c r="E42" s="317"/>
    </row>
    <row r="43" spans="1:5" ht="15.75" hidden="1" customHeight="1" outlineLevel="1">
      <c r="A43" s="17" t="e">
        <f>#REF!</f>
        <v>#REF!</v>
      </c>
      <c r="B43" s="17" t="e">
        <f>#REF!</f>
        <v>#REF!</v>
      </c>
      <c r="C43" s="17" t="e">
        <f>#REF!</f>
        <v>#REF!</v>
      </c>
      <c r="D43" s="17" t="e">
        <f>#REF!</f>
        <v>#REF!</v>
      </c>
      <c r="E43" s="318"/>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46"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46"/>
      <c r="C46" s="246"/>
      <c r="D46" s="246"/>
      <c r="E46" s="246"/>
    </row>
    <row r="47" spans="1:5" ht="42" customHeight="1">
      <c r="A47" s="246" t="s">
        <v>211</v>
      </c>
      <c r="B47" s="246"/>
      <c r="C47" s="246"/>
      <c r="D47" s="246"/>
      <c r="E47" s="246"/>
    </row>
    <row r="48" spans="1:5" ht="35.25" customHeight="1">
      <c r="A48" s="246"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46"/>
      <c r="C48" s="246"/>
      <c r="D48" s="246"/>
      <c r="E48" s="246"/>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10" t="s">
        <v>212</v>
      </c>
      <c r="B50" s="310"/>
      <c r="C50" s="310"/>
      <c r="D50" s="22"/>
      <c r="E50" s="22"/>
    </row>
    <row r="51" spans="1:6">
      <c r="A51" s="249" t="str">
        <f>'Общие данные'!B148</f>
        <v>«CLEVER MIKROMOLIYA TASHKILOTI» MChJ</v>
      </c>
      <c r="B51" s="249"/>
      <c r="C51" s="249"/>
      <c r="D51" s="167"/>
      <c r="E51" s="167"/>
    </row>
    <row r="52" spans="1:6" ht="15" customHeight="1">
      <c r="A52" s="249" t="str">
        <f>""&amp;'Общие данные'!A150&amp;""</f>
        <v>Samarqand viloyati Samarqand  filial boshlig'i</v>
      </c>
      <c r="B52" s="249"/>
      <c r="C52" s="249"/>
      <c r="D52" s="310" t="str">
        <f>"_______________   "&amp;'Общие данные'!B150&amp;""</f>
        <v>_______________   S.Asrorov</v>
      </c>
      <c r="E52" s="310"/>
    </row>
    <row r="53" spans="1:6">
      <c r="A53" s="53"/>
      <c r="B53" s="53"/>
      <c r="C53" s="53"/>
      <c r="D53" s="53"/>
      <c r="E53" s="53"/>
    </row>
    <row r="54" spans="1:6">
      <c r="A54" s="310"/>
      <c r="B54" s="310"/>
      <c r="C54" s="310"/>
      <c r="D54" s="53"/>
      <c r="E54" s="53"/>
    </row>
    <row r="55" spans="1:6" hidden="1">
      <c r="A55" s="249" t="s">
        <v>47</v>
      </c>
      <c r="B55" s="249"/>
      <c r="C55" s="249"/>
      <c r="D55" s="53"/>
      <c r="E55" s="53"/>
    </row>
    <row r="56" spans="1:6" hidden="1">
      <c r="A56" s="249" t="str">
        <f>'Общие данные'!B148</f>
        <v>«CLEVER MIKROMOLIYA TASHKILOTI» MChJ</v>
      </c>
      <c r="B56" s="249"/>
      <c r="C56" s="249"/>
      <c r="D56" s="249" t="str">
        <f>"_______________   "&amp;'Общие данные'!B159&amp;""</f>
        <v>_______________   Mominov B.X.</v>
      </c>
      <c r="E56" s="249"/>
    </row>
    <row r="57" spans="1:6" ht="12.75" customHeight="1">
      <c r="A57" s="249"/>
      <c r="B57" s="249"/>
      <c r="C57" s="249"/>
      <c r="D57" s="249"/>
      <c r="E57" s="249"/>
    </row>
    <row r="58" spans="1:6">
      <c r="A58" s="310" t="s">
        <v>213</v>
      </c>
      <c r="B58" s="310"/>
      <c r="C58" s="310"/>
      <c r="D58" s="249"/>
      <c r="E58" s="249"/>
    </row>
    <row r="59" spans="1:6" ht="31.5" customHeight="1">
      <c r="A59" s="249" t="s">
        <v>214</v>
      </c>
      <c r="B59" s="249"/>
      <c r="C59" s="249"/>
      <c r="D59" s="310" t="str">
        <f>"_______________  "&amp;'Общие данные'!B7&amp;""</f>
        <v>_______________  NUTFULLAYEV A.A.</v>
      </c>
      <c r="E59" s="310"/>
    </row>
    <row r="60" spans="1:6" ht="12.75" customHeight="1">
      <c r="A60" s="249"/>
      <c r="B60" s="249"/>
      <c r="C60" s="249"/>
      <c r="D60" s="315" t="str">
        <f>IF('Общие данные'!B93="да","",'Общие данные'!B118)</f>
        <v>NUTFULLAYEV A.A.</v>
      </c>
      <c r="E60" s="315"/>
    </row>
    <row r="61" spans="1:6" ht="17.25" hidden="1" customHeight="1">
      <c r="A61" s="310" t="str">
        <f>+IF('Общие данные'!B93="ha"," ","3-tomondan:")</f>
        <v xml:space="preserve"> </v>
      </c>
      <c r="B61" s="310"/>
      <c r="C61" s="310"/>
      <c r="D61" s="310"/>
      <c r="E61" s="310"/>
      <c r="F61" s="15" t="str">
        <f>IF('Общие данные'!B94='Общие данные'!D94,B7,"")</f>
        <v/>
      </c>
    </row>
    <row r="62" spans="1:6" ht="17.25" hidden="1" customHeight="1">
      <c r="A62" s="249" t="str">
        <f>+IF('Общие данные'!B93="ha"," ","O'zbekiston Respublikasi fuqarosi")</f>
        <v xml:space="preserve"> </v>
      </c>
      <c r="B62" s="249"/>
      <c r="C62" s="249"/>
      <c r="D62" s="310" t="str">
        <f>"_______________  "&amp;'Общие данные'!B112&amp;""</f>
        <v>_______________  NUTFULLAYEV A.A.</v>
      </c>
      <c r="E62" s="310"/>
    </row>
    <row r="63" spans="1:6" ht="63.75" hidden="1" customHeight="1">
      <c r="A63" s="190" t="str">
        <f>IF('Общие данные'!B94='Общие данные'!C94,"_______________  "&amp;'Общие данные'!B112&amp;"","_______________  "&amp;'Общие данные'!B7&amp;"")</f>
        <v>_______________  NUTFULLAYEV A.A.</v>
      </c>
      <c r="B63" s="53"/>
      <c r="C63" s="249" t="str">
        <f>'заявление залогодателя'!A20</f>
        <v/>
      </c>
      <c r="D63" s="249"/>
      <c r="E63" s="249"/>
    </row>
    <row r="64" spans="1:6" ht="6.75" customHeight="1">
      <c r="D64" s="256"/>
      <c r="E64" s="256"/>
    </row>
  </sheetData>
  <mergeCells count="51">
    <mergeCell ref="A56:C56"/>
    <mergeCell ref="D56:E56"/>
    <mergeCell ref="A27:E27"/>
    <mergeCell ref="A50:C50"/>
    <mergeCell ref="A51:C51"/>
    <mergeCell ref="A52:C52"/>
    <mergeCell ref="D52:E52"/>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9"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59" t="str">
        <f>""&amp;'Общие данные'!B147&amp;" ijrochi direktorining
"&amp;'Общие данные'!B165&amp;"dagi "&amp;'Общие данные'!B164&amp;"-sonli buyrug‘i"</f>
        <v>«CLEVER MIKROMOLIYA TASHKILOTI» MChJ ijrochi direktorining
11 mart 2025 y.dagi № -SM-sonli buyrug‘i</v>
      </c>
      <c r="B4" s="259"/>
      <c r="C4" s="259"/>
      <c r="D4" s="259"/>
      <c r="E4" s="259"/>
    </row>
    <row r="5" spans="1:5">
      <c r="A5" s="259"/>
      <c r="B5" s="259"/>
      <c r="C5" s="259"/>
      <c r="D5" s="259"/>
      <c r="E5" s="259"/>
    </row>
    <row r="6" spans="1:5">
      <c r="A6" s="259"/>
      <c r="B6" s="259"/>
      <c r="C6" s="259"/>
      <c r="D6" s="259"/>
      <c r="E6" s="259"/>
    </row>
    <row r="7" spans="1:5">
      <c r="A7" s="246"/>
      <c r="B7" s="246"/>
      <c r="C7" s="246"/>
      <c r="D7" s="246"/>
      <c r="E7" s="246"/>
    </row>
    <row r="8" spans="1:5" ht="53.25" customHeight="1">
      <c r="A8" s="246"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46"/>
      <c r="C8" s="246"/>
      <c r="D8" s="246"/>
      <c r="E8" s="246"/>
    </row>
    <row r="9" spans="1:5" ht="26.25" customHeight="1">
      <c r="A9" s="246" t="str">
        <f>'Кредитная заявка'!A13:D13</f>
        <v>Mikroqarz summasi: 27 000 000,00 (yigirma yetti million so'm) so'm.</v>
      </c>
      <c r="B9" s="246"/>
      <c r="C9" s="246"/>
      <c r="D9" s="246"/>
      <c r="E9" s="246"/>
    </row>
    <row r="10" spans="1:5" ht="21" customHeight="1">
      <c r="A10" s="246" t="str">
        <f>'Кредитная заявка'!A14:D14</f>
        <v>Mikroqarz muddati: 36 (o'ttiz olti) oy.</v>
      </c>
      <c r="B10" s="246"/>
      <c r="C10" s="246"/>
      <c r="D10" s="246"/>
      <c r="E10" s="246"/>
    </row>
    <row r="11" spans="1:5" ht="27" customHeight="1">
      <c r="A11" s="246" t="str">
        <f>'Кредитная заявка'!A15:D15</f>
        <v>Mikroqarzdan foydalanganlik uchun foiz stavkasi: yillik  60% (Oltmish) foiz</v>
      </c>
      <c r="B11" s="246"/>
      <c r="C11" s="246"/>
      <c r="D11" s="246"/>
      <c r="E11" s="246"/>
    </row>
    <row r="12" spans="1:5" ht="26.25" customHeight="1">
      <c r="A12" s="246" t="str">
        <f>'Кредитная заявка'!A16:D16</f>
        <v>Mikroqarz bo'yicha asosiy qarz va foizlarni to'lash:</v>
      </c>
      <c r="B12" s="246"/>
      <c r="C12" s="246"/>
      <c r="D12" s="246"/>
      <c r="E12" s="246"/>
    </row>
    <row r="13" spans="1:5" ht="21.75" hidden="1" customHeight="1">
      <c r="A13" s="246" t="str">
        <f>'Кредитная заявка'!A17:D17</f>
        <v xml:space="preserve"> - mikroqarz shartnomasi bo'yicha har oy differensial to'lovlari amalga oshiriladi</v>
      </c>
      <c r="B13" s="246"/>
      <c r="C13" s="246"/>
      <c r="D13" s="246"/>
      <c r="E13" s="246"/>
    </row>
    <row r="14" spans="1:5" hidden="1">
      <c r="A14" s="246" t="str">
        <f>'Кредитная заявка'!A19:D19</f>
        <v xml:space="preserve"> - mikroqarz shartnomasi bo'yicha har oy differensial to'lovlari amalga oshiriladi</v>
      </c>
      <c r="B14" s="246"/>
      <c r="C14" s="246"/>
      <c r="D14" s="246"/>
      <c r="E14" s="246"/>
    </row>
    <row r="15" spans="1:5" ht="23.25" customHeight="1">
      <c r="A15" s="246" t="str">
        <f>IF('Общие данные'!B103="Avtotransport",'Приказ на сделку'!A14:E14,'Приказ на сделку'!A13:E13)</f>
        <v xml:space="preserve"> - mikroqarz shartnomasi bo'yicha har oy differensial to'lovlari amalga oshiriladi</v>
      </c>
      <c r="B15" s="246"/>
      <c r="C15" s="246"/>
      <c r="D15" s="246"/>
      <c r="E15" s="246"/>
    </row>
    <row r="16" spans="1:5" ht="45.75" customHeight="1">
      <c r="A16" s="249"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49"/>
      <c r="C16" s="249"/>
      <c r="D16" s="249"/>
      <c r="E16" s="249"/>
    </row>
    <row r="17" spans="1:5" ht="50.25" hidden="1" customHeight="1">
      <c r="A17" s="246"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46"/>
      <c r="C17" s="246"/>
      <c r="D17" s="246"/>
      <c r="E17" s="246"/>
    </row>
    <row r="18" spans="1:5" ht="47.25" hidden="1" customHeight="1">
      <c r="A18" s="246"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46"/>
      <c r="C18" s="246"/>
      <c r="D18" s="246"/>
      <c r="E18" s="246"/>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46" t="str">
        <f>'Акт согласования'!A22:E22</f>
        <v>-* avtotransport egasi: NUTFULLAYEV AKBARJON AXMEDOVICH</v>
      </c>
      <c r="B21" s="246"/>
      <c r="C21" s="246"/>
      <c r="D21" s="246"/>
      <c r="E21" s="246"/>
    </row>
    <row r="22" spans="1:5" ht="20.25" customHeight="1" outlineLevel="1">
      <c r="A22" s="246" t="str">
        <f>'Акт согласования'!A23:E23</f>
        <v>-* texnik pasport: AAG   2346592  13.09.2023y</v>
      </c>
      <c r="B22" s="246"/>
      <c r="C22" s="246"/>
      <c r="D22" s="246"/>
      <c r="E22" s="246"/>
    </row>
    <row r="23" spans="1:5" ht="36" customHeight="1" outlineLevel="1">
      <c r="A23" s="246" t="str">
        <f>'Акт согласования'!A24:E24</f>
        <v>-* roʻyxatdan oʻtgan manzili/garaj manzili: BUXORO VILOYATI BUXORO SHAHAR TADBIRKOR KO'CHASI 12-UY</v>
      </c>
      <c r="B23" s="246"/>
      <c r="C23" s="246"/>
      <c r="D23" s="246"/>
      <c r="E23" s="246"/>
    </row>
    <row r="24" spans="1:5" ht="35.25" customHeight="1" outlineLevel="1">
      <c r="A24" s="246" t="str">
        <f>'Акт согласования'!A25:E25</f>
        <v>-* davlat raqami: 80T312WA</v>
      </c>
      <c r="B24" s="246"/>
      <c r="C24" s="246"/>
      <c r="D24" s="246"/>
      <c r="E24" s="246"/>
    </row>
    <row r="25" spans="1:5">
      <c r="A25" s="246"/>
      <c r="B25" s="246"/>
      <c r="C25" s="246"/>
      <c r="D25" s="246"/>
      <c r="E25" s="246"/>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65"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65"/>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65"/>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65"/>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65"/>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65"/>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65"/>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65"/>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65"/>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65"/>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65"/>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46" t="e">
        <f>_xlfn.SINGLE('Акт согласования'!#REF!)</f>
        <v>#REF!</v>
      </c>
      <c r="B39" s="246"/>
      <c r="C39" s="246"/>
      <c r="D39" s="246"/>
      <c r="E39" s="246"/>
    </row>
    <row r="40" spans="1:5" s="37" customFormat="1" hidden="1" outlineLevel="1">
      <c r="A40" s="246" t="e">
        <f>_xlfn.SINGLE('Акт согласования'!#REF!)</f>
        <v>#REF!</v>
      </c>
      <c r="B40" s="246"/>
      <c r="C40" s="246"/>
      <c r="D40" s="246"/>
      <c r="E40" s="246"/>
    </row>
    <row r="41" spans="1:5" s="37" customFormat="1" hidden="1" outlineLevel="1">
      <c r="A41" s="246" t="e">
        <f>_xlfn.SINGLE('Акт согласования'!#REF!)</f>
        <v>#REF!</v>
      </c>
      <c r="B41" s="246"/>
      <c r="C41" s="246"/>
      <c r="D41" s="246"/>
      <c r="E41" s="246"/>
    </row>
    <row r="42" spans="1:5" s="37" customFormat="1" hidden="1" outlineLevel="1">
      <c r="A42" s="246" t="e">
        <f>_xlfn.SINGLE('Акт согласования'!#REF!)</f>
        <v>#REF!</v>
      </c>
      <c r="B42" s="246"/>
      <c r="C42" s="246"/>
      <c r="D42" s="246"/>
      <c r="E42" s="246"/>
    </row>
    <row r="43" spans="1:5" s="37" customFormat="1" collapsed="1">
      <c r="A43" s="246"/>
      <c r="B43" s="246"/>
      <c r="C43" s="246"/>
      <c r="D43" s="246"/>
      <c r="E43" s="246"/>
    </row>
    <row r="44" spans="1:5" s="37" customFormat="1">
      <c r="A44" s="246"/>
      <c r="B44" s="246"/>
      <c r="C44" s="246"/>
      <c r="D44" s="246"/>
      <c r="E44" s="246"/>
    </row>
    <row r="45" spans="1:5" s="37" customFormat="1" hidden="1">
      <c r="A45" s="246"/>
      <c r="B45" s="246"/>
      <c r="C45" s="246"/>
      <c r="D45" s="246"/>
      <c r="E45" s="246"/>
    </row>
    <row r="46" spans="1:5" s="37" customFormat="1" ht="14.25" hidden="1">
      <c r="A46" s="50"/>
      <c r="B46" s="50"/>
      <c r="C46" s="50"/>
      <c r="D46" s="50"/>
      <c r="E46" s="50"/>
    </row>
    <row r="47" spans="1:5" hidden="1">
      <c r="A47" s="246"/>
      <c r="B47" s="246"/>
      <c r="C47" s="246"/>
      <c r="D47" s="246"/>
      <c r="E47" s="246"/>
    </row>
    <row r="48" spans="1:5" ht="15" customHeight="1">
      <c r="A48" s="310" t="s">
        <v>381</v>
      </c>
      <c r="B48" s="310"/>
      <c r="C48" s="310"/>
      <c r="D48" s="319"/>
      <c r="E48" s="319"/>
    </row>
    <row r="49" spans="1:5" ht="15" customHeight="1">
      <c r="A49" s="310" t="s">
        <v>335</v>
      </c>
      <c r="B49" s="310"/>
      <c r="C49" s="310"/>
      <c r="D49" s="319" t="s">
        <v>382</v>
      </c>
      <c r="E49" s="319"/>
    </row>
    <row r="50" spans="1:5">
      <c r="A50" s="246"/>
      <c r="B50" s="246"/>
      <c r="C50" s="246"/>
      <c r="D50" s="246"/>
      <c r="E50" s="246"/>
    </row>
    <row r="51" spans="1:5">
      <c r="A51" s="246"/>
      <c r="B51" s="246"/>
      <c r="C51" s="246"/>
      <c r="D51" s="246"/>
      <c r="E51" s="246"/>
    </row>
    <row r="52" spans="1:5">
      <c r="A52" s="246"/>
      <c r="B52" s="246"/>
      <c r="C52" s="246"/>
      <c r="D52" s="246"/>
      <c r="E52" s="246"/>
    </row>
    <row r="53" spans="1:5">
      <c r="A53" s="246"/>
      <c r="B53" s="246"/>
      <c r="C53" s="246"/>
      <c r="D53" s="246"/>
      <c r="E53" s="246"/>
    </row>
    <row r="54" spans="1:5">
      <c r="A54" s="246"/>
      <c r="B54" s="246"/>
      <c r="C54" s="246"/>
      <c r="D54" s="246"/>
      <c r="E54" s="246"/>
    </row>
    <row r="55" spans="1:5">
      <c r="A55" s="246"/>
      <c r="B55" s="246"/>
      <c r="C55" s="246"/>
      <c r="D55" s="246"/>
      <c r="E55" s="246"/>
    </row>
  </sheetData>
  <mergeCells count="37">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12:E12"/>
    <mergeCell ref="A53:E53"/>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30" t="str">
        <f>'Общие данные'!B148</f>
        <v>«CLEVER MIKROMOLIYA TASHKILOTI» MChJ</v>
      </c>
      <c r="C2" s="331"/>
      <c r="D2" s="331"/>
      <c r="E2" s="331"/>
      <c r="F2" s="332"/>
      <c r="G2" s="41"/>
    </row>
    <row r="3" spans="2:7">
      <c r="B3" s="323"/>
      <c r="C3" s="258"/>
      <c r="D3" s="258"/>
      <c r="E3" s="258"/>
      <c r="F3" s="324"/>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3" t="s">
        <v>27</v>
      </c>
      <c r="C10" s="258"/>
      <c r="D10" s="258"/>
      <c r="E10" s="258"/>
      <c r="F10" s="324"/>
      <c r="G10" s="42"/>
    </row>
    <row r="11" spans="2:7">
      <c r="B11" s="323" t="s">
        <v>27</v>
      </c>
      <c r="C11" s="258"/>
      <c r="D11" s="258"/>
      <c r="E11" s="258"/>
      <c r="F11" s="324"/>
      <c r="G11" s="42"/>
    </row>
    <row r="12" spans="2:7" ht="135" customHeight="1">
      <c r="B12" s="333" t="str">
        <f>'Общие данные'!B5</f>
        <v>NUTFULLAYEV AKBARJON AXMEDOVICH</v>
      </c>
      <c r="C12" s="334"/>
      <c r="D12" s="334"/>
      <c r="E12" s="334"/>
      <c r="F12" s="335"/>
      <c r="G12" s="43"/>
    </row>
    <row r="13" spans="2:7">
      <c r="B13" s="323"/>
      <c r="C13" s="258"/>
      <c r="D13" s="258"/>
      <c r="E13" s="258"/>
      <c r="F13" s="324"/>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3"/>
      <c r="C18" s="258"/>
      <c r="D18" s="258"/>
      <c r="E18" s="258"/>
      <c r="F18" s="324"/>
      <c r="G18" s="42"/>
    </row>
    <row r="19" spans="2:7" ht="20.25">
      <c r="B19" s="327" t="str">
        <f>""&amp;'Общие данные'!C64&amp;" shartnoma "&amp;'Общие данные'!B74&amp;""</f>
        <v>Mikroqarz shartnoma 11 mart 2025 y.dan № -SM</v>
      </c>
      <c r="C19" s="328"/>
      <c r="D19" s="328"/>
      <c r="E19" s="328"/>
      <c r="F19" s="329"/>
      <c r="G19" s="42"/>
    </row>
    <row r="20" spans="2:7">
      <c r="B20" s="323"/>
      <c r="C20" s="258"/>
      <c r="D20" s="258"/>
      <c r="E20" s="258"/>
      <c r="F20" s="324"/>
      <c r="G20" s="42"/>
    </row>
    <row r="21" spans="2:7">
      <c r="B21" s="323"/>
      <c r="C21" s="258"/>
      <c r="D21" s="258"/>
      <c r="E21" s="258"/>
      <c r="F21" s="324"/>
      <c r="G21" s="42"/>
    </row>
    <row r="22" spans="2:7">
      <c r="B22" s="323"/>
      <c r="C22" s="258"/>
      <c r="D22" s="258"/>
      <c r="E22" s="258"/>
      <c r="F22" s="324"/>
      <c r="G22" s="42"/>
    </row>
    <row r="23" spans="2:7">
      <c r="B23" s="323"/>
      <c r="C23" s="258"/>
      <c r="D23" s="258"/>
      <c r="E23" s="258"/>
      <c r="F23" s="324"/>
      <c r="G23" s="42"/>
    </row>
    <row r="24" spans="2:7">
      <c r="B24" s="325" t="str">
        <f>" Foiz stavkasi: "&amp;'Общие данные'!B85&amp;"%"</f>
        <v xml:space="preserve"> Foiz stavkasi: 60%</v>
      </c>
      <c r="C24" s="245"/>
      <c r="D24" s="245"/>
      <c r="E24" s="245"/>
      <c r="F24" s="326"/>
      <c r="G24" s="42"/>
    </row>
    <row r="25" spans="2:7" ht="15" customHeight="1">
      <c r="B25" s="325" t="str">
        <f>" "&amp;'Общие данные'!C64&amp;" muddati: "&amp;'Общие данные'!B81&amp;" oy"</f>
        <v xml:space="preserve"> Mikroqarz muddati: 36 oy</v>
      </c>
      <c r="C25" s="245"/>
      <c r="D25" s="245"/>
      <c r="E25" s="245"/>
      <c r="F25" s="326"/>
      <c r="G25" s="42"/>
    </row>
    <row r="26" spans="2:7">
      <c r="B26" s="325" t="str">
        <f>" "&amp;'Общие данные'!C64&amp;" miqdori: "&amp;FIXED('Общие данные'!B75,2)&amp;" so'm"</f>
        <v xml:space="preserve"> Mikroqarz miqdori: 27 000 000,00 so'm</v>
      </c>
      <c r="C26" s="245"/>
      <c r="D26" s="245"/>
      <c r="E26" s="245"/>
      <c r="F26" s="326"/>
      <c r="G26" s="42"/>
    </row>
    <row r="27" spans="2:7">
      <c r="B27" s="323"/>
      <c r="C27" s="258"/>
      <c r="D27" s="258"/>
      <c r="E27" s="258"/>
      <c r="F27" s="324"/>
      <c r="G27" s="42"/>
    </row>
    <row r="28" spans="2:7" hidden="1">
      <c r="G28" s="42"/>
    </row>
    <row r="29" spans="2:7">
      <c r="B29" s="323"/>
      <c r="C29" s="258"/>
      <c r="D29" s="258"/>
      <c r="E29" s="258"/>
      <c r="F29" s="324"/>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20" t="str">
        <f>"Toshkent sh., "&amp;'Общие данные'!B70&amp;""</f>
        <v>Toshkent sh., 11 mart 2025 y.</v>
      </c>
      <c r="C40" s="321"/>
      <c r="D40" s="321"/>
      <c r="E40" s="321"/>
      <c r="F40" s="322"/>
      <c r="G40" s="42"/>
    </row>
    <row r="41" spans="2:7">
      <c r="B41" s="258"/>
      <c r="C41" s="258"/>
      <c r="D41" s="258"/>
      <c r="E41" s="258"/>
      <c r="F41" s="258"/>
      <c r="G41" s="42"/>
    </row>
    <row r="42" spans="2:7">
      <c r="B42" s="258"/>
      <c r="C42" s="258"/>
      <c r="D42" s="258"/>
      <c r="E42" s="258"/>
      <c r="F42" s="258"/>
      <c r="G42" s="42"/>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37"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-SM, на сумму 27 000 000,00 (yigirma yetti million so'm) сум, сроком на 36 (o'ttiz olti) месяцев. В качестве своевременного исполнения обязательств по договору Микрозайма 11 mart 2025 y.dan № -SM планирует предоставить нижеследующее автотранспортного средство марки CHANGAN CHANGAN SC 1027SB принадлежащее на правах собственности NUTFULLAYEV AKBARJON AXMEDOVICH</v>
      </c>
      <c r="B9" s="337"/>
      <c r="C9" s="337"/>
      <c r="D9" s="337"/>
      <c r="E9" s="337"/>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41" t="str">
        <f>'Приказ на сделку'!A21:E21</f>
        <v>-* avtotransport egasi: NUTFULLAYEV AKBARJON AXMEDOVICH</v>
      </c>
      <c r="B13" s="341"/>
      <c r="C13" s="341"/>
      <c r="D13" s="341"/>
      <c r="E13" s="341"/>
    </row>
    <row r="14" spans="1:5">
      <c r="A14" s="341" t="str">
        <f>'Приказ на сделку'!A22:E22</f>
        <v>-* texnik pasport: AAG   2346592  13.09.2023y</v>
      </c>
      <c r="B14" s="341"/>
      <c r="C14" s="341"/>
      <c r="D14" s="341"/>
      <c r="E14" s="341"/>
    </row>
    <row r="15" spans="1:5">
      <c r="A15" s="341" t="str">
        <f>'Приказ на сделку'!A23:E23</f>
        <v>-* roʻyxatdan oʻtgan manzili/garaj manzili: BUXORO VILOYATI BUXORO SHAHAR TADBIRKOR KO'CHASI 12-UY</v>
      </c>
      <c r="B15" s="341"/>
      <c r="C15" s="341"/>
      <c r="D15" s="341"/>
      <c r="E15" s="341"/>
    </row>
    <row r="16" spans="1:5">
      <c r="A16" s="341" t="str">
        <f>'Приказ на сделку'!A24:E24</f>
        <v>-* davlat raqami: 80T312WA</v>
      </c>
      <c r="B16" s="341"/>
      <c r="C16" s="341"/>
      <c r="D16" s="341"/>
      <c r="E16" s="341"/>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16"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17"/>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17"/>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17"/>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17"/>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17"/>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17"/>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17"/>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17"/>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17"/>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18"/>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37" t="e">
        <f>_xlfn.SINGLE('Акт согласования'!#REF!)</f>
        <v>#REF!</v>
      </c>
      <c r="B32" s="337"/>
      <c r="C32" s="337"/>
      <c r="D32" s="337"/>
      <c r="E32" s="337"/>
    </row>
    <row r="33" spans="1:5" ht="24.75" hidden="1" customHeight="1">
      <c r="A33" s="337" t="e">
        <f>_xlfn.SINGLE('Акт согласования'!#REF!)</f>
        <v>#REF!</v>
      </c>
      <c r="B33" s="337"/>
      <c r="C33" s="337"/>
      <c r="D33" s="337"/>
      <c r="E33" s="337"/>
    </row>
    <row r="34" spans="1:5" ht="30.75" hidden="1" customHeight="1">
      <c r="A34" s="337" t="e">
        <f>_xlfn.SINGLE('Акт согласования'!#REF!)</f>
        <v>#REF!</v>
      </c>
      <c r="B34" s="337"/>
      <c r="C34" s="337"/>
      <c r="D34" s="337"/>
      <c r="E34" s="337"/>
    </row>
    <row r="35" spans="1:5" ht="15" hidden="1" customHeight="1">
      <c r="A35" s="337" t="e">
        <f>_xlfn.SINGLE('Акт согласования'!#REF!)</f>
        <v>#REF!</v>
      </c>
      <c r="B35" s="337"/>
      <c r="C35" s="337"/>
      <c r="D35" s="337"/>
      <c r="E35" s="337"/>
    </row>
    <row r="36" spans="1:5">
      <c r="A36" s="22"/>
      <c r="B36" s="22"/>
      <c r="C36" s="22"/>
      <c r="D36" s="22"/>
      <c r="E36" s="22"/>
    </row>
    <row r="37" spans="1:5" s="130" customFormat="1" ht="51" customHeight="1">
      <c r="A37" s="340"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40"/>
      <c r="C37" s="340"/>
      <c r="D37" s="340"/>
      <c r="E37" s="340"/>
    </row>
    <row r="38" spans="1:5" ht="40.5" customHeight="1">
      <c r="A38" s="337" t="str">
        <f>'Акт согласования'!A47:E47</f>
        <v>Shu bilan birga, garov predmetining kelishilgan garov qiymati deganda ushbu mulk garov sifatida taqdim etilgan/qabul qilingan qiymati tushuniladi.</v>
      </c>
      <c r="B38" s="337"/>
      <c r="C38" s="337"/>
      <c r="D38" s="337"/>
      <c r="E38" s="337"/>
    </row>
    <row r="39" spans="1:5" ht="39" customHeight="1">
      <c r="A39" s="337"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-SM, при сохранении запрета.</v>
      </c>
      <c r="B39" s="337"/>
      <c r="C39" s="337"/>
      <c r="D39" s="337"/>
      <c r="E39" s="337"/>
    </row>
    <row r="40" spans="1:5">
      <c r="A40" s="338"/>
      <c r="B40" s="338"/>
      <c r="C40" s="338"/>
      <c r="D40" s="338"/>
      <c r="E40" s="338"/>
    </row>
    <row r="41" spans="1:5">
      <c r="A41" s="339" t="s">
        <v>37</v>
      </c>
      <c r="B41" s="339"/>
      <c r="C41" s="339"/>
      <c r="D41" s="339"/>
      <c r="E41" s="339"/>
    </row>
    <row r="42" spans="1:5">
      <c r="A42" s="338"/>
      <c r="B42" s="338"/>
      <c r="C42" s="338"/>
      <c r="D42" s="338"/>
      <c r="E42" s="338"/>
    </row>
    <row r="43" spans="1:5">
      <c r="A43" s="339" t="s">
        <v>38</v>
      </c>
      <c r="B43" s="339"/>
      <c r="C43" s="339"/>
      <c r="D43" s="339"/>
      <c r="E43" s="339"/>
    </row>
    <row r="44" spans="1:5" ht="28.5" customHeight="1">
      <c r="A44" s="336" t="s">
        <v>39</v>
      </c>
      <c r="B44" s="336"/>
      <c r="C44" s="336"/>
      <c r="D44" s="336"/>
      <c r="E44" s="110"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49" t="str">
        <f>""&amp;" "&amp;'Общие данные'!B74&amp;"-sonli "&amp;" "&amp;'Общие данные'!C64&amp;" shartnomasi bo‘yicha
 garovga qo‘yilgan mol-mulkni tekshirish bo’yicha "&amp;'Общие данные'!B5&amp;" bilan tuzilgan dalolatnomasi"</f>
        <v xml:space="preserve"> 11 mart 2025 y.dan № -SM-sonli  Mikroqarz shartnomasi bo‘yicha
 garovga qo‘yilgan mol-mulkni tekshirish bo’yicha NUTFULLAYEV AKBARJON AXMEDOVICH bilan tuzilgan dalolatnomasi</v>
      </c>
      <c r="B2" s="349"/>
      <c r="C2" s="349"/>
      <c r="D2" s="349"/>
      <c r="E2" s="349"/>
      <c r="F2" s="349"/>
      <c r="G2" s="349"/>
      <c r="H2" s="349"/>
      <c r="I2" s="31"/>
    </row>
    <row r="3" spans="1:9">
      <c r="A3" s="349"/>
      <c r="B3" s="349"/>
      <c r="C3" s="349"/>
      <c r="D3" s="349"/>
      <c r="E3" s="349"/>
      <c r="F3" s="349"/>
      <c r="G3" s="349"/>
      <c r="H3" s="349"/>
      <c r="I3" s="31"/>
    </row>
    <row r="5" spans="1:9">
      <c r="A5" s="24" t="s">
        <v>203</v>
      </c>
      <c r="F5" s="156"/>
      <c r="H5" s="141" t="str">
        <f>TEXT('Общие данные'!D2,"ДД.ММ.ГГГГ")</f>
        <v>07.09.2025</v>
      </c>
    </row>
    <row r="7" spans="1:9" ht="45" customHeight="1">
      <c r="A7" s="348"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Samarqand viloyati Samarqand  filial boshlig'ii S.Asrorov, jismoniy shaxs  NUTFULLAYEV AKBARJON AXMEDOVICH  11 mart 2025 y.dan № -SM-sonli mikroqarz shartnomasi bo‘yicha garovga qo‘yilgan mol-mulkni ko‘zdan kechirdim</v>
      </c>
      <c r="B7" s="348"/>
      <c r="C7" s="348"/>
      <c r="D7" s="348"/>
      <c r="E7" s="348"/>
      <c r="F7" s="348"/>
      <c r="G7" s="348"/>
      <c r="H7" s="348"/>
    </row>
    <row r="8" spans="1:9" ht="19.5" customHeight="1">
      <c r="A8" s="343" t="s">
        <v>276</v>
      </c>
      <c r="B8" s="343"/>
      <c r="C8" s="343"/>
      <c r="D8" s="343"/>
      <c r="E8" s="343"/>
      <c r="F8" s="343"/>
      <c r="G8" s="343"/>
      <c r="H8" s="343"/>
    </row>
    <row r="9" spans="1:9" s="142" customFormat="1" ht="32.25" customHeight="1">
      <c r="A9" s="344" t="str">
        <f>'Акт согласования'!A20</f>
        <v>Nomi</v>
      </c>
      <c r="B9" s="345"/>
      <c r="C9" s="344" t="str">
        <f>'Акт согласования'!B20</f>
        <v>Kuzov turi  va kuzov raqami*</v>
      </c>
      <c r="D9" s="345"/>
      <c r="E9" s="344" t="str">
        <f>'Акт согласования'!D20</f>
        <v>Dvigatel va shassi raqami*</v>
      </c>
      <c r="F9" s="345"/>
      <c r="G9" s="344" t="str">
        <f>'Акт согласования'!E20</f>
        <v>Ishlab chiqarilgan yili va rangi**</v>
      </c>
      <c r="H9" s="345"/>
    </row>
    <row r="10" spans="1:9" s="140" customFormat="1" ht="58.5" customHeight="1">
      <c r="A10" s="346" t="str">
        <f>'Акт согласования'!A21</f>
        <v>CHANGAN CHANGAN SC 1027SB</v>
      </c>
      <c r="B10" s="346"/>
      <c r="C10" s="346" t="str">
        <f>'Акт согласования'!B21</f>
        <v>kuzov turi - YUK BORTLI TENT, kuzov raqami LSCAB23D8EG228387</v>
      </c>
      <c r="D10" s="346"/>
      <c r="E10" s="346" t="str">
        <f>'Акт согласования'!D21</f>
        <v>dvigatel raqami JL466Q1%E61H022801, shassi raqami - URINDIKLAR SONI 5TA</v>
      </c>
      <c r="F10" s="346"/>
      <c r="G10" s="346" t="str">
        <f>'Акт согласования'!E21</f>
        <v>rangi -  OQ BELIY, ishlab chiqarilgan yili - 2014</v>
      </c>
      <c r="H10" s="346"/>
    </row>
    <row r="11" spans="1:9" ht="19.5" customHeight="1">
      <c r="A11" s="347" t="str">
        <f>'Акт согласования'!A22:E22</f>
        <v>-* avtotransport egasi: NUTFULLAYEV AKBARJON AXMEDOVICH</v>
      </c>
      <c r="B11" s="347"/>
      <c r="C11" s="347"/>
      <c r="D11" s="347"/>
      <c r="E11" s="347"/>
      <c r="F11" s="347"/>
      <c r="G11" s="347"/>
      <c r="H11" s="347"/>
    </row>
    <row r="12" spans="1:9" ht="19.5" customHeight="1">
      <c r="A12" s="347" t="str">
        <f>'Акт согласования'!A23:E23</f>
        <v>-* texnik pasport: AAG   2346592  13.09.2023y</v>
      </c>
      <c r="B12" s="347"/>
      <c r="C12" s="347"/>
      <c r="D12" s="347"/>
      <c r="E12" s="347"/>
      <c r="F12" s="347"/>
      <c r="G12" s="347"/>
      <c r="H12" s="347"/>
    </row>
    <row r="13" spans="1:9" ht="19.5" customHeight="1">
      <c r="A13" s="347" t="str">
        <f>'Акт согласования'!A24:E24</f>
        <v>-* roʻyxatdan oʻtgan manzili/garaj manzili: BUXORO VILOYATI BUXORO SHAHAR TADBIRKOR KO'CHASI 12-UY</v>
      </c>
      <c r="B13" s="347"/>
      <c r="C13" s="347"/>
      <c r="D13" s="347"/>
      <c r="E13" s="347"/>
      <c r="F13" s="347"/>
      <c r="G13" s="347"/>
      <c r="H13" s="347"/>
    </row>
    <row r="14" spans="1:9" ht="19.5" customHeight="1">
      <c r="A14" s="347" t="str">
        <f>'Акт согласования'!A25:E25</f>
        <v>-* davlat raqami: 80T312WA</v>
      </c>
      <c r="B14" s="347"/>
      <c r="C14" s="347"/>
      <c r="D14" s="347"/>
      <c r="E14" s="347"/>
      <c r="F14" s="347"/>
      <c r="G14" s="347"/>
      <c r="H14" s="347"/>
    </row>
    <row r="15" spans="1:9" ht="33.75" customHeight="1">
      <c r="A15" s="350" t="str">
        <f>+"Shu bilan birga, yuqoridagi mulkning kelishilgan garov qiymati "&amp;'Акт согласования'!E30</f>
        <v>Shu bilan birga, yuqoridagi mulkning kelishilgan garov qiymati 40 500 000,00 
(qirq million besh yuz ming so'm)</v>
      </c>
      <c r="B15" s="350"/>
      <c r="C15" s="350"/>
      <c r="D15" s="350"/>
      <c r="E15" s="350"/>
      <c r="F15" s="350"/>
      <c r="G15" s="350"/>
      <c r="H15" s="350"/>
    </row>
    <row r="17" spans="1:8" ht="27" customHeight="1">
      <c r="A17" s="342" t="s">
        <v>277</v>
      </c>
      <c r="B17" s="342"/>
      <c r="C17" s="342"/>
      <c r="D17" s="342"/>
      <c r="E17" s="342"/>
      <c r="F17" s="342"/>
      <c r="G17" s="342"/>
      <c r="H17" s="342"/>
    </row>
    <row r="21" spans="1:8" s="31" customFormat="1"/>
    <row r="22" spans="1:8" s="31" customFormat="1">
      <c r="A22" s="31" t="str">
        <f>'Общие данные'!A150</f>
        <v>Samarqand viloyati Samarqand  filial boshlig'i</v>
      </c>
      <c r="H22" s="143" t="str">
        <f>'Общие данные'!B150</f>
        <v>S.Asrorov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9" t="str">
        <f>""&amp;" "&amp;'Общие данные'!B74&amp;"-sonli "&amp;" "&amp;'Общие данные'!C64&amp;" shartnomasi bo‘yicha
 garovga qo‘yilgan mol-mulkni tekshirish bo’yicha "&amp;'Общие данные'!B5&amp;" bilan tuzilgan dalolatnomasi"</f>
        <v xml:space="preserve"> 11 mart 2025 y.dan № -SM-sonli  Mikroqarz shartnomasi bo‘yicha
 garovga qo‘yilgan mol-mulkni tekshirish bo’yicha NUTFULLAYEV AKBARJON AXMEDOVICH bilan tuzilgan dalolatnomasi</v>
      </c>
      <c r="B2" s="349"/>
      <c r="C2" s="349"/>
      <c r="D2" s="349"/>
      <c r="E2" s="349"/>
      <c r="F2" s="349"/>
      <c r="G2" s="349"/>
      <c r="H2" s="349"/>
      <c r="I2" s="31"/>
    </row>
    <row r="3" spans="1:9">
      <c r="A3" s="349"/>
      <c r="B3" s="349"/>
      <c r="C3" s="349"/>
      <c r="D3" s="349"/>
      <c r="E3" s="349"/>
      <c r="F3" s="349"/>
      <c r="G3" s="349"/>
      <c r="H3" s="349"/>
      <c r="I3" s="31"/>
    </row>
    <row r="5" spans="1:9">
      <c r="A5" s="24" t="s">
        <v>203</v>
      </c>
      <c r="H5" s="141" t="str">
        <f>TEXT(+'Общие данные'!B2+360,"ДД.ММ.ГГГГ")</f>
        <v>06.03.2026</v>
      </c>
    </row>
    <row r="7" spans="1:9" ht="45" customHeight="1">
      <c r="A7" s="348"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Samarqand viloyati Samarqand  filial boshlig'ii S.Asrorov, jismoniy shaxs  NUTFULLAYEV AKBARJON AXMEDOVICH  11 mart 2025 y.dan № -SM-sonli Mikroqarz shartnomasi bo‘yicha garovga qo‘yilgan mol-mulkni ko‘zdan kechirdim</v>
      </c>
      <c r="B7" s="348"/>
      <c r="C7" s="348"/>
      <c r="D7" s="348"/>
      <c r="E7" s="348"/>
      <c r="F7" s="348"/>
      <c r="G7" s="348"/>
      <c r="H7" s="348"/>
    </row>
    <row r="8" spans="1:9" ht="19.5" customHeight="1">
      <c r="A8" s="343" t="s">
        <v>276</v>
      </c>
      <c r="B8" s="343"/>
      <c r="C8" s="343"/>
      <c r="D8" s="343"/>
      <c r="E8" s="343"/>
      <c r="F8" s="343"/>
      <c r="G8" s="343"/>
      <c r="H8" s="343"/>
    </row>
    <row r="9" spans="1:9" s="142" customFormat="1" ht="32.25" customHeight="1">
      <c r="A9" s="344" t="str">
        <f>' Акт мониторинга 1'!A9</f>
        <v>Nomi</v>
      </c>
      <c r="B9" s="345"/>
      <c r="C9" s="344" t="str">
        <f>' Акт мониторинга 1'!C9</f>
        <v>Kuzov turi  va kuzov raqami*</v>
      </c>
      <c r="D9" s="345"/>
      <c r="E9" s="344" t="str">
        <f>' Акт мониторинга 1'!E9</f>
        <v>Dvigatel va shassi raqami*</v>
      </c>
      <c r="F9" s="345"/>
      <c r="G9" s="344" t="str">
        <f>' Акт мониторинга 1'!G9</f>
        <v>Ishlab chiqarilgan yili va rangi**</v>
      </c>
      <c r="H9" s="345"/>
    </row>
    <row r="10" spans="1:9" s="140" customFormat="1" ht="58.5" customHeight="1">
      <c r="A10" s="346" t="str">
        <f>' Акт мониторинга 1'!A10</f>
        <v>CHANGAN CHANGAN SC 1027SB</v>
      </c>
      <c r="B10" s="346"/>
      <c r="C10" s="346" t="str">
        <f>' Акт мониторинга 1'!C10</f>
        <v>kuzov turi - YUK BORTLI TENT, kuzov raqami LSCAB23D8EG228387</v>
      </c>
      <c r="D10" s="346"/>
      <c r="E10" s="346" t="str">
        <f>' Акт мониторинга 1'!E10</f>
        <v>dvigatel raqami JL466Q1%E61H022801, shassi raqami - URINDIKLAR SONI 5TA</v>
      </c>
      <c r="F10" s="346"/>
      <c r="G10" s="346" t="str">
        <f>' Акт мониторинга 1'!G10</f>
        <v>rangi -  OQ BELIY, ishlab chiqarilgan yili - 2014</v>
      </c>
      <c r="H10" s="346"/>
    </row>
    <row r="11" spans="1:9" ht="19.5" customHeight="1">
      <c r="A11" s="347" t="str">
        <f>'Акт согласования'!A22:E22</f>
        <v>-* avtotransport egasi: NUTFULLAYEV AKBARJON AXMEDOVICH</v>
      </c>
      <c r="B11" s="347"/>
      <c r="C11" s="347"/>
      <c r="D11" s="347"/>
      <c r="E11" s="347"/>
      <c r="F11" s="347"/>
      <c r="G11" s="347"/>
      <c r="H11" s="347"/>
    </row>
    <row r="12" spans="1:9" ht="19.5" customHeight="1">
      <c r="A12" s="347" t="str">
        <f>'Акт согласования'!A23:E23</f>
        <v>-* texnik pasport: AAG   2346592  13.09.2023y</v>
      </c>
      <c r="B12" s="347"/>
      <c r="C12" s="347"/>
      <c r="D12" s="347"/>
      <c r="E12" s="347"/>
      <c r="F12" s="347"/>
      <c r="G12" s="347"/>
      <c r="H12" s="347"/>
    </row>
    <row r="13" spans="1:9" ht="19.5" customHeight="1">
      <c r="A13" s="347" t="str">
        <f>'Акт согласования'!A24:E24</f>
        <v>-* roʻyxatdan oʻtgan manzili/garaj manzili: BUXORO VILOYATI BUXORO SHAHAR TADBIRKOR KO'CHASI 12-UY</v>
      </c>
      <c r="B13" s="347"/>
      <c r="C13" s="347"/>
      <c r="D13" s="347"/>
      <c r="E13" s="347"/>
      <c r="F13" s="347"/>
      <c r="G13" s="347"/>
      <c r="H13" s="347"/>
    </row>
    <row r="14" spans="1:9" ht="19.5" customHeight="1">
      <c r="A14" s="347" t="str">
        <f>'Акт согласования'!A25:E25</f>
        <v>-* davlat raqami: 80T312WA</v>
      </c>
      <c r="B14" s="347"/>
      <c r="C14" s="347"/>
      <c r="D14" s="347"/>
      <c r="E14" s="347"/>
      <c r="F14" s="347"/>
      <c r="G14" s="347"/>
      <c r="H14" s="347"/>
    </row>
    <row r="15" spans="1:9" ht="33.75" customHeight="1">
      <c r="A15" s="350" t="str">
        <f>+"Shu bilan birga, yuqoridagi mulkning kelishilgan garov qiymati "&amp;'Акт согласования'!E30</f>
        <v>Shu bilan birga, yuqoridagi mulkning kelishilgan garov qiymati 40 500 000,00 
(qirq million besh yuz ming so'm)</v>
      </c>
      <c r="B15" s="350"/>
      <c r="C15" s="350"/>
      <c r="D15" s="350"/>
      <c r="E15" s="350"/>
      <c r="F15" s="350"/>
      <c r="G15" s="350"/>
      <c r="H15" s="350"/>
    </row>
    <row r="17" spans="1:8" ht="35.25" customHeight="1">
      <c r="A17" s="342" t="s">
        <v>277</v>
      </c>
      <c r="B17" s="342"/>
      <c r="C17" s="342"/>
      <c r="D17" s="342"/>
      <c r="E17" s="342"/>
      <c r="F17" s="342"/>
      <c r="G17" s="342"/>
      <c r="H17" s="342"/>
    </row>
    <row r="21" spans="1:8" s="31" customFormat="1"/>
    <row r="22" spans="1:8" s="31" customFormat="1">
      <c r="A22" s="31" t="str">
        <f>'Общие данные'!A150</f>
        <v>Samarqand viloyati Samarqand  filial boshlig'i</v>
      </c>
      <c r="H22" s="143" t="str">
        <f>'Общие данные'!B150</f>
        <v>S.Asrorov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9" t="str">
        <f>""&amp;" "&amp;'Общие данные'!B74&amp;"-sonli "&amp;" "&amp;'Общие данные'!C64&amp;" shartnomasi bo‘yicha
 garovga qo‘yilgan mol-mulkni tekshirish bo’yicha "&amp;'Общие данные'!B5&amp;" bilan tuzilgan dalolatnomasi"</f>
        <v xml:space="preserve"> 11 mart 2025 y.dan № -SM-sonli  Mikroqarz shartnomasi bo‘yicha
 garovga qo‘yilgan mol-mulkni tekshirish bo’yicha NUTFULLAYEV AKBARJON AXMEDOVICH bilan tuzilgan dalolatnomasi</v>
      </c>
      <c r="B2" s="349"/>
      <c r="C2" s="349"/>
      <c r="D2" s="349"/>
      <c r="E2" s="349"/>
      <c r="F2" s="349"/>
      <c r="G2" s="349"/>
      <c r="H2" s="349"/>
      <c r="I2" s="31"/>
    </row>
    <row r="3" spans="1:9">
      <c r="A3" s="349"/>
      <c r="B3" s="349"/>
      <c r="C3" s="349"/>
      <c r="D3" s="349"/>
      <c r="E3" s="349"/>
      <c r="F3" s="349"/>
      <c r="G3" s="349"/>
      <c r="H3" s="349"/>
      <c r="I3" s="31"/>
    </row>
    <row r="5" spans="1:9">
      <c r="A5" s="24" t="s">
        <v>203</v>
      </c>
      <c r="H5" s="141" t="str">
        <f>TEXT(+'Общие данные'!B2+540,"ДД.ММ.ГГГГ")</f>
        <v>02.09.2026</v>
      </c>
    </row>
    <row r="7" spans="1:9" ht="45" customHeight="1">
      <c r="A7" s="348"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Samarqand viloyati Samarqand  filial boshlig'ii S.Asrorov, jismoniy shaxs  NUTFULLAYEV AKBARJON AXMEDOVICH  11 mart 2025 y.dan № -SM-sonli Mikroqarz shartnomasi bo‘yicha garovga qo‘yilgan mol-mulkni ko‘zdan kechirdim</v>
      </c>
      <c r="B7" s="348"/>
      <c r="C7" s="348"/>
      <c r="D7" s="348"/>
      <c r="E7" s="348"/>
      <c r="F7" s="348"/>
      <c r="G7" s="348"/>
      <c r="H7" s="348"/>
    </row>
    <row r="8" spans="1:9" ht="19.5" customHeight="1">
      <c r="A8" s="343" t="s">
        <v>276</v>
      </c>
      <c r="B8" s="343"/>
      <c r="C8" s="343"/>
      <c r="D8" s="343"/>
      <c r="E8" s="343"/>
      <c r="F8" s="343"/>
      <c r="G8" s="343"/>
      <c r="H8" s="343"/>
    </row>
    <row r="9" spans="1:9" s="142" customFormat="1" ht="32.25" customHeight="1">
      <c r="A9" s="344" t="str">
        <f>' Акт мониторинга 1'!A9</f>
        <v>Nomi</v>
      </c>
      <c r="B9" s="345"/>
      <c r="C9" s="344" t="str">
        <f>' Акт мониторинга 1'!C9</f>
        <v>Kuzov turi  va kuzov raqami*</v>
      </c>
      <c r="D9" s="345"/>
      <c r="E9" s="344" t="str">
        <f>' Акт мониторинга 1'!E9</f>
        <v>Dvigatel va shassi raqami*</v>
      </c>
      <c r="F9" s="345"/>
      <c r="G9" s="344" t="str">
        <f>' Акт мониторинга 1'!G9</f>
        <v>Ishlab chiqarilgan yili va rangi**</v>
      </c>
      <c r="H9" s="345"/>
    </row>
    <row r="10" spans="1:9" s="140" customFormat="1" ht="58.5" customHeight="1">
      <c r="A10" s="351" t="str">
        <f>' Акт мониторинга 1'!A10</f>
        <v>CHANGAN CHANGAN SC 1027SB</v>
      </c>
      <c r="B10" s="352"/>
      <c r="C10" s="351" t="str">
        <f>' Акт мониторинга 1'!C10</f>
        <v>kuzov turi - YUK BORTLI TENT, kuzov raqami LSCAB23D8EG228387</v>
      </c>
      <c r="D10" s="352"/>
      <c r="E10" s="351" t="str">
        <f>' Акт мониторинга 1'!E10</f>
        <v>dvigatel raqami JL466Q1%E61H022801, shassi raqami - URINDIKLAR SONI 5TA</v>
      </c>
      <c r="F10" s="352"/>
      <c r="G10" s="351" t="str">
        <f>' Акт мониторинга 1'!G10</f>
        <v>rangi -  OQ BELIY, ishlab chiqarilgan yili - 2014</v>
      </c>
      <c r="H10" s="352"/>
    </row>
    <row r="11" spans="1:9" ht="19.5" customHeight="1">
      <c r="A11" s="347" t="str">
        <f>'Акт согласования'!A22:E22</f>
        <v>-* avtotransport egasi: NUTFULLAYEV AKBARJON AXMEDOVICH</v>
      </c>
      <c r="B11" s="347"/>
      <c r="C11" s="347"/>
      <c r="D11" s="347"/>
      <c r="E11" s="347"/>
      <c r="F11" s="347"/>
      <c r="G11" s="347"/>
      <c r="H11" s="347"/>
    </row>
    <row r="12" spans="1:9" ht="19.5" customHeight="1">
      <c r="A12" s="347" t="str">
        <f>'Акт согласования'!A23:E23</f>
        <v>-* texnik pasport: AAG   2346592  13.09.2023y</v>
      </c>
      <c r="B12" s="347"/>
      <c r="C12" s="347"/>
      <c r="D12" s="347"/>
      <c r="E12" s="347"/>
      <c r="F12" s="347"/>
      <c r="G12" s="347"/>
      <c r="H12" s="347"/>
    </row>
    <row r="13" spans="1:9" ht="19.5" customHeight="1">
      <c r="A13" s="347" t="str">
        <f>'Акт согласования'!A24:E24</f>
        <v>-* roʻyxatdan oʻtgan manzili/garaj manzili: BUXORO VILOYATI BUXORO SHAHAR TADBIRKOR KO'CHASI 12-UY</v>
      </c>
      <c r="B13" s="347"/>
      <c r="C13" s="347"/>
      <c r="D13" s="347"/>
      <c r="E13" s="347"/>
      <c r="F13" s="347"/>
      <c r="G13" s="347"/>
      <c r="H13" s="347"/>
    </row>
    <row r="14" spans="1:9" ht="19.5" customHeight="1">
      <c r="A14" s="347" t="str">
        <f>'Акт согласования'!A25:E25</f>
        <v>-* davlat raqami: 80T312WA</v>
      </c>
      <c r="B14" s="347"/>
      <c r="C14" s="347"/>
      <c r="D14" s="347"/>
      <c r="E14" s="347"/>
      <c r="F14" s="347"/>
      <c r="G14" s="347"/>
      <c r="H14" s="347"/>
    </row>
    <row r="15" spans="1:9" ht="33.75" customHeight="1">
      <c r="A15" s="350" t="str">
        <f>+"Shu bilan birga, yuqoridagi mulkning kelishilgan garov qiymati "&amp;'Акт согласования'!E30</f>
        <v>Shu bilan birga, yuqoridagi mulkning kelishilgan garov qiymati 40 500 000,00 
(qirq million besh yuz ming so'm)</v>
      </c>
      <c r="B15" s="350"/>
      <c r="C15" s="350"/>
      <c r="D15" s="350"/>
      <c r="E15" s="350"/>
      <c r="F15" s="350"/>
      <c r="G15" s="350"/>
      <c r="H15" s="350"/>
    </row>
    <row r="17" spans="1:8" s="140" customFormat="1" ht="32.25" customHeight="1">
      <c r="A17" s="342" t="s">
        <v>277</v>
      </c>
      <c r="B17" s="342"/>
      <c r="C17" s="342"/>
      <c r="D17" s="342"/>
      <c r="E17" s="342"/>
      <c r="F17" s="342"/>
      <c r="G17" s="342"/>
      <c r="H17" s="342"/>
    </row>
    <row r="21" spans="1:8" s="31" customFormat="1"/>
    <row r="22" spans="1:8" s="31" customFormat="1">
      <c r="A22" s="31" t="str">
        <f>'Общие данные'!A150</f>
        <v>Samarqand viloyati Samarqand  filial boshlig'i</v>
      </c>
      <c r="H22" s="143" t="str">
        <f>'Общие данные'!B150</f>
        <v>S.Asrorov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9" t="str">
        <f>""&amp;" "&amp;'Общие данные'!B74&amp;"-sonli "&amp;" "&amp;'Общие данные'!C64&amp;" shartnomasi bo‘yicha
 garovga qo‘yilgan mol-mulkni tekshirish bo’yicha "&amp;'Общие данные'!B5&amp;" bilan tuzilgan dalolatnomasi"</f>
        <v xml:space="preserve"> 11 mart 2025 y.dan № -SM-sonli  Mikroqarz shartnomasi bo‘yicha
 garovga qo‘yilgan mol-mulkni tekshirish bo’yicha NUTFULLAYEV AKBARJON AXMEDOVICH bilan tuzilgan dalolatnomasi</v>
      </c>
      <c r="B2" s="349"/>
      <c r="C2" s="349"/>
      <c r="D2" s="349"/>
      <c r="E2" s="349"/>
      <c r="F2" s="349"/>
      <c r="G2" s="349"/>
      <c r="H2" s="349"/>
      <c r="I2" s="31"/>
    </row>
    <row r="3" spans="1:9">
      <c r="A3" s="349"/>
      <c r="B3" s="349"/>
      <c r="C3" s="349"/>
      <c r="D3" s="349"/>
      <c r="E3" s="349"/>
      <c r="F3" s="349"/>
      <c r="G3" s="349"/>
      <c r="H3" s="349"/>
      <c r="I3" s="31"/>
    </row>
    <row r="5" spans="1:9">
      <c r="A5" s="24" t="s">
        <v>203</v>
      </c>
      <c r="H5" s="141" t="str">
        <f>TEXT(+'Общие данные'!B2+720,"ДД.ММ.ГГГГ")</f>
        <v>01.03.2027</v>
      </c>
    </row>
    <row r="7" spans="1:9" ht="45" customHeight="1">
      <c r="A7" s="348"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Samarqand viloyati Samarqand  filial boshlig'ii S.Asrorov, jismoniy shaxs  NUTFULLAYEV AKBARJON AXMEDOVICH  11 mart 2025 y.dan № -SM-sonli Mikroqarz shartnomasi bo‘yicha garovga qo‘yilgan mol-mulkni ko‘zdan kechirdim</v>
      </c>
      <c r="B7" s="348"/>
      <c r="C7" s="348"/>
      <c r="D7" s="348"/>
      <c r="E7" s="348"/>
      <c r="F7" s="348"/>
      <c r="G7" s="348"/>
      <c r="H7" s="348"/>
    </row>
    <row r="8" spans="1:9" ht="19.5" customHeight="1">
      <c r="A8" s="343" t="s">
        <v>276</v>
      </c>
      <c r="B8" s="343"/>
      <c r="C8" s="343"/>
      <c r="D8" s="343"/>
      <c r="E8" s="343"/>
      <c r="F8" s="343"/>
      <c r="G8" s="343"/>
      <c r="H8" s="343"/>
    </row>
    <row r="9" spans="1:9" s="142" customFormat="1" ht="32.25" customHeight="1">
      <c r="A9" s="344" t="str">
        <f>' Акт мониторинга 1'!A9</f>
        <v>Nomi</v>
      </c>
      <c r="B9" s="345"/>
      <c r="C9" s="344" t="str">
        <f>' Акт мониторинга 1'!C9</f>
        <v>Kuzov turi  va kuzov raqami*</v>
      </c>
      <c r="D9" s="345"/>
      <c r="E9" s="344" t="str">
        <f>' Акт мониторинга 1'!E9</f>
        <v>Dvigatel va shassi raqami*</v>
      </c>
      <c r="F9" s="345"/>
      <c r="G9" s="344" t="str">
        <f>' Акт мониторинга 1'!G9</f>
        <v>Ishlab chiqarilgan yili va rangi**</v>
      </c>
      <c r="H9" s="345"/>
    </row>
    <row r="10" spans="1:9" s="140" customFormat="1" ht="58.5" customHeight="1">
      <c r="A10" s="346" t="str">
        <f>' Акт мониторинга 1'!A10</f>
        <v>CHANGAN CHANGAN SC 1027SB</v>
      </c>
      <c r="B10" s="346"/>
      <c r="C10" s="346" t="str">
        <f>' Акт мониторинга 1'!C10</f>
        <v>kuzov turi - YUK BORTLI TENT, kuzov raqami LSCAB23D8EG228387</v>
      </c>
      <c r="D10" s="346"/>
      <c r="E10" s="346" t="str">
        <f>' Акт мониторинга 1'!E10</f>
        <v>dvigatel raqami JL466Q1%E61H022801, shassi raqami - URINDIKLAR SONI 5TA</v>
      </c>
      <c r="F10" s="346"/>
      <c r="G10" s="346" t="str">
        <f>' Акт мониторинга 1'!G10</f>
        <v>rangi -  OQ BELIY, ishlab chiqarilgan yili - 2014</v>
      </c>
      <c r="H10" s="346"/>
    </row>
    <row r="11" spans="1:9" ht="19.5" customHeight="1">
      <c r="A11" s="347" t="str">
        <f>'Акт согласования'!A22:E22</f>
        <v>-* avtotransport egasi: NUTFULLAYEV AKBARJON AXMEDOVICH</v>
      </c>
      <c r="B11" s="347"/>
      <c r="C11" s="347"/>
      <c r="D11" s="347"/>
      <c r="E11" s="347"/>
      <c r="F11" s="347"/>
      <c r="G11" s="347"/>
      <c r="H11" s="347"/>
    </row>
    <row r="12" spans="1:9" ht="19.5" customHeight="1">
      <c r="A12" s="347" t="str">
        <f>'Акт согласования'!A23:E23</f>
        <v>-* texnik pasport: AAG   2346592  13.09.2023y</v>
      </c>
      <c r="B12" s="347"/>
      <c r="C12" s="347"/>
      <c r="D12" s="347"/>
      <c r="E12" s="347"/>
      <c r="F12" s="347"/>
      <c r="G12" s="347"/>
      <c r="H12" s="347"/>
    </row>
    <row r="13" spans="1:9" ht="19.5" customHeight="1">
      <c r="A13" s="347" t="str">
        <f>'Акт согласования'!A24:E24</f>
        <v>-* roʻyxatdan oʻtgan manzili/garaj manzili: BUXORO VILOYATI BUXORO SHAHAR TADBIRKOR KO'CHASI 12-UY</v>
      </c>
      <c r="B13" s="347"/>
      <c r="C13" s="347"/>
      <c r="D13" s="347"/>
      <c r="E13" s="347"/>
      <c r="F13" s="347"/>
      <c r="G13" s="347"/>
      <c r="H13" s="347"/>
    </row>
    <row r="14" spans="1:9" ht="19.5" customHeight="1">
      <c r="A14" s="347" t="str">
        <f>'Акт согласования'!A25:E25</f>
        <v>-* davlat raqami: 80T312WA</v>
      </c>
      <c r="B14" s="347"/>
      <c r="C14" s="347"/>
      <c r="D14" s="347"/>
      <c r="E14" s="347"/>
      <c r="F14" s="347"/>
      <c r="G14" s="347"/>
      <c r="H14" s="347"/>
    </row>
    <row r="15" spans="1:9" ht="33.75" customHeight="1">
      <c r="A15" s="350" t="str">
        <f>+"Shu bilan birga, yuqoridagi mulkning kelishilgan garov qiymati "&amp;'Акт согласования'!E30</f>
        <v>Shu bilan birga, yuqoridagi mulkning kelishilgan garov qiymati 40 500 000,00 
(qirq million besh yuz ming so'm)</v>
      </c>
      <c r="B15" s="350"/>
      <c r="C15" s="350"/>
      <c r="D15" s="350"/>
      <c r="E15" s="350"/>
      <c r="F15" s="350"/>
      <c r="G15" s="350"/>
      <c r="H15" s="350"/>
    </row>
    <row r="17" spans="1:8" ht="28.5" customHeight="1">
      <c r="A17" s="342" t="s">
        <v>277</v>
      </c>
      <c r="B17" s="342"/>
      <c r="C17" s="342"/>
      <c r="D17" s="342"/>
      <c r="E17" s="342"/>
      <c r="F17" s="342"/>
      <c r="G17" s="342"/>
      <c r="H17" s="342"/>
    </row>
    <row r="21" spans="1:8" s="31" customFormat="1"/>
    <row r="22" spans="1:8" s="31" customFormat="1">
      <c r="A22" s="31" t="str">
        <f>'Общие данные'!A150</f>
        <v>Samarqand viloyati Samarqand  filial boshlig'i</v>
      </c>
      <c r="H22" s="143" t="str">
        <f>'Общие данные'!B150</f>
        <v>S.Asrorov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График дифференц</vt:lpstr>
      <vt:lpstr>Данные для послед. Залога</vt:lpstr>
      <vt:lpstr>Протокол  (2)</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2025-03-13T12:07:38Z</dcterms:modified>
</cp:coreProperties>
</file>