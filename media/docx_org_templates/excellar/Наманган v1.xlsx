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6CD19857-582B-457C-A810-E78B3E88223F}"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КК'!$A$1:$E$61</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9" i="3" l="1"/>
  <c r="A57" i="3"/>
  <c r="A51" i="3"/>
  <c r="D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<sst xmlns="http://schemas.openxmlformats.org/spreadsheetml/2006/main" count="594" uniqueCount="437">
  <si>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</si>
  <si>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</si>
  <si>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</si>
  <si>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</si>
  <si>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</si>
  <si>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</si>
  <si>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</si>
  <si>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</si>
  <si>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</si>
  <si>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</si>
  <si>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</si>
  <si>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</si>
  <si>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</si>
  <si>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</si>
  <si>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</si>
  <si>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</si>
  <si>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</si>
  <si>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</si>
  <si>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</si>
  <si>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</si>
  <si>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</si>
  <si>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</si>
  <si>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</si>
  <si>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</si>
  <si>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</si>
  <si>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</si>
  <si>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</si>
  <si>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</si>
  <si>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</si>
  <si>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</si>
  <si>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</si>
  <si>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</si>
  <si>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</si>
  <si>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</si>
  <si>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</si>
  <si>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</si>
  <si>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</si>
  <si>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</si>
  <si>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</si>
  <si>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</si>
  <si>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</si>
  <si>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</si>
  <si>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</si>
  <si>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</si>
  <si>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</si>
  <si>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</si>
  <si>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</si>
  <si>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</si>
  <si>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</si>
  <si>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</si>
  <si>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</si>
  <si>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</si>
  <si>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</si>
  <si>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</si>
  <si>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</si>
  <si>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</si>
  <si>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</si>
  <si>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</si>
  <si>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</si>
  <si>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</si>
  <si>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</si>
  <si>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</si>
  <si>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</si>
  <si>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</si>
  <si>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</si>
  <si>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</si>
  <si>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</si>
  <si>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</si>
  <si>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</si>
  <si>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</si>
  <si>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</si>
  <si>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</si>
  <si>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</si>
  <si>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</si>
  <si>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</si>
  <si>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</si>
  <si>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</si>
  <si>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</si>
  <si>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</si>
  <si>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</si>
  <si>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</si>
  <si>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</si>
  <si>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</si>
  <si>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</si>
  <si>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</si>
  <si>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</si>
  <si>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</si>
  <si>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</si>
  <si>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</si>
  <si>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</si>
  <si>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</si>
  <si>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</si>
  <si>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</si>
  <si>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</si>
  <si>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</si>
  <si>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</si>
  <si>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</si>
  <si>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</si>
  <si>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</si>
  <si>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</si>
  <si>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</si>
  <si>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</si>
  <si>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</si>
  <si>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</si>
  <si>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</si>
  <si>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</si>
  <si>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</si>
  <si>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</si>
  <si>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</si>
  <si>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</si>
  <si>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</si>
  <si>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</si>
  <si>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</si>
  <si>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</si>
  <si>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</si>
  <si>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</si>
  <si>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</si>
  <si>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</si>
  <si>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</si>
  <si>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</si>
  <si>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</si>
  <si>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</si>
  <si>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</si>
  <si>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</si>
  <si>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</si>
  <si>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</si>
  <si>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</si>
  <si>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</si>
  <si>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</si>
  <si>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</si>
  <si>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</si>
  <si>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</si>
  <si>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</si>
  <si>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</si>
  <si>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</si>
  <si>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</si>
  <si>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</si>
  <si>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</si>
  <si>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</si>
  <si>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</si>
  <si>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</si>
  <si>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</si>
  <si>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</si>
  <si>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</si>
  <si>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</si>
  <si>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</si>
  <si>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</si>
  <si>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</si>
  <si>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</si>
  <si>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</si>
  <si>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</si>
  <si>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</si>
  <si>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</si>
  <si>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</si>
  <si>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</si>
  <si>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</si>
  <si>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</si>
  <si>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</si>
  <si>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</si>
  <si>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</si>
  <si>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</si>
  <si>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</si>
  <si>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</si>
  <si>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</si>
  <si>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</si>
  <si>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</si>
  <si>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</si>
  <si>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</si>
  <si>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</si>
  <si>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</si>
  <si>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</si>
  <si>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</si>
  <si>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</si>
  <si>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</si>
  <si>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</si>
  <si>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</si>
  <si>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</si>
  <si>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</si>
  <si>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</si>
  <si>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</si>
  <si>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</si>
  <si>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</si>
  <si>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</si>
  <si>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</si>
  <si>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</si>
  <si>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</si>
  <si>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</si>
  <si>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</si>
  <si>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</si>
  <si>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</si>
  <si>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</si>
  <si>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</si>
  <si>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</si>
  <si>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</si>
  <si>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</si>
  <si>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</si>
  <si>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</si>
  <si>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</si>
  <si>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</si>
  <si>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</si>
  <si>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</si>
  <si>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</si>
  <si>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</si>
  <si>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</si>
  <si>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</si>
  <si>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</si>
  <si>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</si>
  <si>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</si>
  <si>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</si>
  <si>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</si>
  <si>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</si>
  <si>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</si>
  <si>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</si>
  <si>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</si>
  <si>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</si>
  <si>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</si>
  <si>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</si>
  <si>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</si>
  <si>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</si>
  <si>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</si>
  <si>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</si>
  <si>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</si>
  <si>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</si>
  <si>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</si>
  <si>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</si>
  <si>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</si>
  <si>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</si>
  <si>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</si>
  <si>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</si>
  <si>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</si>
  <si>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</si>
  <si>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</si>
  <si>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</si>
  <si>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</si>
  <si>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</si>
  <si>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</si>
  <si>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</si>
  <si>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</si>
  <si>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</si>
  <si>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</si>
  <si>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</si>
  <si>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</si>
  <si>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</si>
  <si>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</si>
  <si>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</si>
  <si>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</si>
  <si>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</si>
  <si>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</si>
  <si>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</si>
  <si>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</si>
  <si>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</si>
  <si>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</si>
  <si>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</si>
  <si>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</si>
  <si>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</si>
  <si>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</si>
  <si>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</si>
  <si>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</si>
  <si>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</si>
  <si>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</si>
  <si>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</si>
  <si>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</si>
  <si>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</si>
  <si>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</si>
  <si>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</si>
  <si>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</si>
  <si>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</si>
  <si>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</si>
  <si>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</si>
  <si>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</si>
  <si>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</si>
  <si>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</si>
  <si>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</si>
  <si>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</si>
  <si>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</si>
  <si>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</si>
  <si>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</si>
  <si>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</si>
  <si>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</si>
  <si>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</si>
  <si>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</si>
  <si>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</si>
  <si>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</si>
  <si>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</si>
  <si>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</si>
  <si>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</si>
  <si>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</si>
  <si>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</si>
  <si>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</si>
  <si>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</si>
  <si>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</si>
  <si>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</si>
  <si>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</si>
  <si>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</si>
  <si>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</si>
  <si>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</si>
  <si>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</si>
  <si>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</si>
  <si>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</si>
  <si>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</si>
  <si>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</si>
  <si>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</si>
  <si>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</si>
  <si>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</si>
  <si>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</si>
  <si>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</si>
  <si>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</si>
  <si>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</si>
  <si>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</si>
  <si>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</si>
  <si>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</si>
  <si>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</si>
  <si>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</si>
  <si>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</si>
  <si>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</si>
  <si>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</si>
  <si>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</si>
  <si>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</si>
  <si>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</si>
  <si>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</si>
  <si>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</si>
  <si>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</si>
  <si>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</si>
  <si>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</si>
  <si>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</si>
  <si>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</si>
  <si>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</si>
  <si>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</si>
  <si>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</si>
  <si>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</si>
  <si>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</si>
  <si>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</si>
  <si>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</si>
  <si>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</si>
  <si>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</si>
  <si>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</si>
  <si>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</si>
  <si>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</si>
  <si>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</si>
  <si>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</si>
  <si>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</si>
  <si>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</si>
  <si>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</si>
  <si>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</si>
  <si>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</si>
  <si>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</si>
  <si>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</si>
  <si>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</si>
  <si>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</si>
  <si>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</si>
  <si>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</si>
  <si>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</si>
  <si>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</si>
  <si>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</si>
  <si>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</si>
  <si>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</si>
  <si>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</si>
  <si>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</si>
  <si>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</si>
  <si>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</si>
  <si>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</si>
  <si>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</si>
  <si>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</si>
  <si>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</si>
  <si>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</si>
  <si>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</si>
  <si>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</si>
  <si>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</si>
  <si>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</si>
  <si>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</si>
  <si>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</si>
  <si>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</si>
  <si>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</si>
  <si>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</si>
  <si>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</si>
  <si>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</si>
  <si>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</si>
  <si>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</si>
  <si>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</si>
  <si>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</si>
  <si>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</si>
  <si>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</si>
  <si>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</si>
  <si>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</si>
  <si>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</si>
  <si>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</si>
  <si>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</si>
  <si>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</si>
  <si>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</si>
  <si>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</si>
  <si>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</si>
  <si>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</si>
  <si>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</si>
  <si>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</si>
  <si>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</si>
  <si>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</si>
  <si>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</si>
  <si>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</si>
  <si>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</si>
  <si>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</si>
  <si>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</si>
  <si>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</si>
  <si>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</si>
  <si>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</si>
  <si>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</si>
  <si>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</si>
  <si>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</si>
  <si>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</si>
  <si>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</si>
  <si>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</si>
  <si>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</si>
  <si>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</si>
  <si>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</si>
  <si>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</si>
  <si>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</si>
  <si>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</si>
  <si>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</si>
  <si>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</si>
  <si>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</si>
  <si>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</si>
  <si>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</si>
  <si>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</si>
  <si>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</si>
  <si>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</si>
  <si>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</si>
  <si>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</si>
  <si>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</si>
  <si>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</si>
  <si>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-NN</t>
  </si>
  <si>
    <t>Namangan filiali menejeri</t>
  </si>
  <si>
    <t>Misirov A.N</t>
  </si>
  <si>
    <t>Misirov Abduqaxxor Narmirzayevich</t>
  </si>
  <si>
    <t>A.Misirov</t>
  </si>
  <si>
    <t>Ijrochi direktor</t>
  </si>
  <si>
    <t>N. Abduraximov</t>
  </si>
  <si>
    <t>B. Mominov</t>
  </si>
  <si>
    <t>B. Jumanazarov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</si>
</sst>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733">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cellStyleXfs>
  <cellXfs count="356">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46" fillId="0" borderId="0" xfId="0" applyFont="1" applyAlignment="1">
      <alignment horizontal="justify" vertical="top" wrapText="1"/>
    </xf>
    <xf numFmtId="0" fontId="16" fillId="0" borderId="0" xfId="0" applyFont="1" applyAlignment="1">
      <alignment horizontal="left"/>
    </xf>
    <xf numFmtId="0" fontId="16" fillId="0" borderId="0" xfId="0" applyFont="1" applyAlignment="1">
      <alignment horizontal="left"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6"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center"/>
    </xf>
    <xf numFmtId="0" fontId="10" fillId="0" borderId="0" xfId="0" applyFont="1" applyAlignment="1">
      <alignment horizontal="right" vertical="top" wrapText="1"/>
    </xf>
    <xf numFmtId="0" fontId="9" fillId="0" borderId="0" xfId="0" applyFont="1" applyAlignment="1">
      <alignment horizontal="justify" wrapText="1"/>
    </xf>
    <xf numFmtId="0" fontId="9" fillId="0" borderId="0" xfId="0" applyFont="1" applyAlignment="1">
      <alignment horizontal="justify" vertical="top" wrapText="1"/>
    </xf>
    <xf numFmtId="0" fontId="10" fillId="0" borderId="0" xfId="0" applyFont="1" applyAlignment="1">
      <alignment horizontal="left"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wrapText="1"/>
    </xf>
    <xf numFmtId="0" fontId="10" fillId="0" borderId="0" xfId="0" applyFont="1" applyAlignment="1">
      <alignment horizontal="left" wrapText="1"/>
    </xf>
    <xf numFmtId="0" fontId="54" fillId="0" borderId="0" xfId="0" applyFont="1" applyAlignment="1">
      <alignment horizontal="center" wrapText="1"/>
    </xf>
    <xf numFmtId="0" fontId="16" fillId="0" borderId="0" xfId="0" applyFont="1" applyAlignment="1">
      <alignment horizontal="left" vertical="top" wrapText="1"/>
    </xf>
    <xf numFmtId="0" fontId="16" fillId="0" borderId="0" xfId="0" applyFont="1" applyAlignment="1">
      <alignment horizontal="right" vertical="center" wrapText="1"/>
    </xf>
    <xf numFmtId="0" fontId="9" fillId="0" borderId="0" xfId="0" applyFont="1" applyAlignment="1">
      <alignment horizontal="left"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6" fillId="0" borderId="0" xfId="0" applyFont="1" applyAlignment="1">
      <alignment horizontal="right" vertical="top"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vertical="top" wrapText="1"/>
    </xf>
    <xf numFmtId="0" fontId="16" fillId="0" borderId="0" xfId="0" applyFont="1" applyAlignment="1">
      <alignment horizontal="justify" vertical="top" wrapText="1"/>
    </xf>
  </cellXfs>
  <cellStyles count="733">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3" xfId="344" xr:uid="{00000000-0005-0000-0000-000006000000}"/>
    <cellStyle name="Обычный 10 3 2" xfId="583" xr:uid="{00000000-0005-0000-0000-000007000000}"/>
    <cellStyle name="Обычный 10 4" xfId="601" xr:uid="{00000000-0005-0000-0000-000008000000}"/>
    <cellStyle name="Обычный 10 5" xfId="567" xr:uid="{00000000-0005-0000-0000-000009000000}"/>
    <cellStyle name="Обычный 11" xfId="73" xr:uid="{00000000-0005-0000-0000-00000A000000}"/>
    <cellStyle name="Обычный 11 2" xfId="209" xr:uid="{00000000-0005-0000-0000-00000B000000}"/>
    <cellStyle name="Обычный 11 2 2" xfId="481" xr:uid="{00000000-0005-0000-0000-00000C000000}"/>
    <cellStyle name="Обычный 11 2 2 2" xfId="592" xr:uid="{00000000-0005-0000-0000-00000D000000}"/>
    <cellStyle name="Обычный 11 2 3" xfId="576" xr:uid="{00000000-0005-0000-0000-00000E000000}"/>
    <cellStyle name="Обычный 11 3" xfId="345" xr:uid="{00000000-0005-0000-0000-00000F000000}"/>
    <cellStyle name="Обычный 11 3 2" xfId="584" xr:uid="{00000000-0005-0000-0000-000010000000}"/>
    <cellStyle name="Обычный 11 4" xfId="617" xr:uid="{00000000-0005-0000-0000-000011000000}"/>
    <cellStyle name="Обычный 11 5" xfId="568" xr:uid="{00000000-0005-0000-0000-000012000000}"/>
    <cellStyle name="Обычный 12" xfId="593" xr:uid="{00000000-0005-0000-0000-000013000000}"/>
    <cellStyle name="Обычный 2" xfId="63" xr:uid="{00000000-0005-0000-0000-000014000000}"/>
    <cellStyle name="Обычный 2 2" xfId="615" xr:uid="{00000000-0005-0000-0000-000015000000}"/>
    <cellStyle name="Обычный 3" xfId="64" xr:uid="{00000000-0005-0000-0000-000016000000}"/>
    <cellStyle name="Обычный 3 2" xfId="600" xr:uid="{00000000-0005-0000-0000-000017000000}"/>
    <cellStyle name="Обычный 4" xfId="66" xr:uid="{00000000-0005-0000-0000-000018000000}"/>
    <cellStyle name="Обычный 4 2" xfId="202" xr:uid="{00000000-0005-0000-0000-000019000000}"/>
    <cellStyle name="Обычный 4 2 2" xfId="474" xr:uid="{00000000-0005-0000-0000-00001A000000}"/>
    <cellStyle name="Обычный 4 2 2 2" xfId="585" xr:uid="{00000000-0005-0000-0000-00001B000000}"/>
    <cellStyle name="Обычный 4 2 3" xfId="569" xr:uid="{00000000-0005-0000-0000-00001C000000}"/>
    <cellStyle name="Обычный 4 3" xfId="338" xr:uid="{00000000-0005-0000-0000-00001D000000}"/>
    <cellStyle name="Обычный 4 3 2" xfId="577" xr:uid="{00000000-0005-0000-0000-00001E000000}"/>
    <cellStyle name="Обычный 4 4" xfId="594" xr:uid="{00000000-0005-0000-0000-00001F000000}"/>
    <cellStyle name="Обычный 4 5" xfId="561" xr:uid="{00000000-0005-0000-0000-000020000000}"/>
    <cellStyle name="Обычный 5" xfId="67" xr:uid="{00000000-0005-0000-0000-000021000000}"/>
    <cellStyle name="Обычный 5 2" xfId="203" xr:uid="{00000000-0005-0000-0000-000022000000}"/>
    <cellStyle name="Обычный 5 2 2" xfId="475" xr:uid="{00000000-0005-0000-0000-000023000000}"/>
    <cellStyle name="Обычный 5 2 2 2" xfId="586" xr:uid="{00000000-0005-0000-0000-000024000000}"/>
    <cellStyle name="Обычный 5 2 3" xfId="570" xr:uid="{00000000-0005-0000-0000-000025000000}"/>
    <cellStyle name="Обычный 5 3" xfId="339" xr:uid="{00000000-0005-0000-0000-000026000000}"/>
    <cellStyle name="Обычный 5 3 2" xfId="578" xr:uid="{00000000-0005-0000-0000-000027000000}"/>
    <cellStyle name="Обычный 5 4" xfId="597" xr:uid="{00000000-0005-0000-0000-000028000000}"/>
    <cellStyle name="Обычный 5 5" xfId="562" xr:uid="{00000000-0005-0000-0000-000029000000}"/>
    <cellStyle name="Обычный 6" xfId="68" xr:uid="{00000000-0005-0000-0000-00002A000000}"/>
    <cellStyle name="Обычный 6 2" xfId="204" xr:uid="{00000000-0005-0000-0000-00002B000000}"/>
    <cellStyle name="Обычный 6 2 2" xfId="476" xr:uid="{00000000-0005-0000-0000-00002C000000}"/>
    <cellStyle name="Обычный 6 2 2 2" xfId="587" xr:uid="{00000000-0005-0000-0000-00002D000000}"/>
    <cellStyle name="Обычный 6 2 3" xfId="571" xr:uid="{00000000-0005-0000-0000-00002E000000}"/>
    <cellStyle name="Обычный 6 3" xfId="340" xr:uid="{00000000-0005-0000-0000-00002F000000}"/>
    <cellStyle name="Обычный 6 3 2" xfId="579" xr:uid="{00000000-0005-0000-0000-000030000000}"/>
    <cellStyle name="Обычный 6 4" xfId="603" xr:uid="{00000000-0005-0000-0000-000031000000}"/>
    <cellStyle name="Обычный 6 5" xfId="563" xr:uid="{00000000-0005-0000-0000-000032000000}"/>
    <cellStyle name="Обычный 7" xfId="69" xr:uid="{00000000-0005-0000-0000-000033000000}"/>
    <cellStyle name="Обычный 7 2" xfId="205" xr:uid="{00000000-0005-0000-0000-000034000000}"/>
    <cellStyle name="Обычный 7 2 2" xfId="477" xr:uid="{00000000-0005-0000-0000-000035000000}"/>
    <cellStyle name="Обычный 7 2 2 2" xfId="588" xr:uid="{00000000-0005-0000-0000-000036000000}"/>
    <cellStyle name="Обычный 7 2 3" xfId="572" xr:uid="{00000000-0005-0000-0000-000037000000}"/>
    <cellStyle name="Обычный 7 3" xfId="341" xr:uid="{00000000-0005-0000-0000-000038000000}"/>
    <cellStyle name="Обычный 7 3 2" xfId="580" xr:uid="{00000000-0005-0000-0000-000039000000}"/>
    <cellStyle name="Обычный 7 4" xfId="604" xr:uid="{00000000-0005-0000-0000-00003A000000}"/>
    <cellStyle name="Обычный 7 5" xfId="564" xr:uid="{00000000-0005-0000-0000-00003B000000}"/>
    <cellStyle name="Обычный 8" xfId="70" xr:uid="{00000000-0005-0000-0000-00003C000000}"/>
    <cellStyle name="Обычный 8 2" xfId="206" xr:uid="{00000000-0005-0000-0000-00003D000000}"/>
    <cellStyle name="Обычный 8 2 2" xfId="478" xr:uid="{00000000-0005-0000-0000-00003E000000}"/>
    <cellStyle name="Обычный 8 2 2 2" xfId="589" xr:uid="{00000000-0005-0000-0000-00003F000000}"/>
    <cellStyle name="Обычный 8 2 3" xfId="573" xr:uid="{00000000-0005-0000-0000-000040000000}"/>
    <cellStyle name="Обычный 8 3" xfId="342" xr:uid="{00000000-0005-0000-0000-000041000000}"/>
    <cellStyle name="Обычный 8 3 2" xfId="581" xr:uid="{00000000-0005-0000-0000-000042000000}"/>
    <cellStyle name="Обычный 8 4" xfId="605" xr:uid="{00000000-0005-0000-0000-000043000000}"/>
    <cellStyle name="Обычный 8 5" xfId="565" xr:uid="{00000000-0005-0000-0000-000044000000}"/>
    <cellStyle name="Обычный 9" xfId="71" xr:uid="{00000000-0005-0000-0000-000045000000}"/>
    <cellStyle name="Обычный 9 2" xfId="207" xr:uid="{00000000-0005-0000-0000-000046000000}"/>
    <cellStyle name="Обычный 9 2 2" xfId="479" xr:uid="{00000000-0005-0000-0000-000047000000}"/>
    <cellStyle name="Обычный 9 2 2 2" xfId="590" xr:uid="{00000000-0005-0000-0000-000048000000}"/>
    <cellStyle name="Обычный 9 2 3" xfId="574" xr:uid="{00000000-0005-0000-0000-000049000000}"/>
    <cellStyle name="Обычный 9 3" xfId="343" xr:uid="{00000000-0005-0000-0000-00004A000000}"/>
    <cellStyle name="Обычный 9 3 2" xfId="582" xr:uid="{00000000-0005-0000-0000-00004B000000}"/>
    <cellStyle name="Обычный 9 4" xfId="606" xr:uid="{00000000-0005-0000-0000-00004C000000}"/>
    <cellStyle name="Обычный 9 5" xfId="566" xr:uid="{00000000-0005-0000-0000-00004D000000}"/>
    <cellStyle name="Процентный" xfId="559" builtinId="5"/>
    <cellStyle name="Процентный 2" xfId="732" xr:uid="{00000000-0005-0000-0000-00004F000000}"/>
    <cellStyle name="Финансовый" xfId="1" builtinId="3"/>
    <cellStyle name="Финансовый [0] 2" xfId="560" xr:uid="{00000000-0005-0000-0000-000051000000}"/>
    <cellStyle name="Финансовый 10" xfId="125" xr:uid="{00000000-0005-0000-0000-000052000000}"/>
    <cellStyle name="Финансовый 10 2" xfId="261" xr:uid="{00000000-0005-0000-0000-000053000000}"/>
    <cellStyle name="Финансовый 10 2 2" xfId="533" xr:uid="{00000000-0005-0000-0000-000054000000}"/>
    <cellStyle name="Финансовый 10 3" xfId="397" xr:uid="{00000000-0005-0000-0000-000055000000}"/>
    <cellStyle name="Финансовый 10 4" xfId="619" xr:uid="{00000000-0005-0000-0000-000056000000}"/>
    <cellStyle name="Финансовый 11" xfId="61" xr:uid="{00000000-0005-0000-0000-000057000000}"/>
    <cellStyle name="Финансовый 11 2" xfId="199" xr:uid="{00000000-0005-0000-0000-000058000000}"/>
    <cellStyle name="Финансовый 11 2 2" xfId="471" xr:uid="{00000000-0005-0000-0000-000059000000}"/>
    <cellStyle name="Финансовый 11 3" xfId="335" xr:uid="{00000000-0005-0000-0000-00005A000000}"/>
    <cellStyle name="Финансовый 11 4" xfId="611" xr:uid="{00000000-0005-0000-0000-00005B000000}"/>
    <cellStyle name="Финансовый 12" xfId="49" xr:uid="{00000000-0005-0000-0000-00005C000000}"/>
    <cellStyle name="Финансовый 12 2" xfId="187" xr:uid="{00000000-0005-0000-0000-00005D000000}"/>
    <cellStyle name="Финансовый 12 2 2" xfId="459" xr:uid="{00000000-0005-0000-0000-00005E000000}"/>
    <cellStyle name="Финансовый 12 3" xfId="323" xr:uid="{00000000-0005-0000-0000-00005F000000}"/>
    <cellStyle name="Финансовый 12 4" xfId="613" xr:uid="{00000000-0005-0000-0000-000060000000}"/>
    <cellStyle name="Финансовый 13" xfId="127" xr:uid="{00000000-0005-0000-0000-000061000000}"/>
    <cellStyle name="Финансовый 13 2" xfId="263" xr:uid="{00000000-0005-0000-0000-000062000000}"/>
    <cellStyle name="Финансовый 13 2 2" xfId="535" xr:uid="{00000000-0005-0000-0000-000063000000}"/>
    <cellStyle name="Финансовый 13 3" xfId="399" xr:uid="{00000000-0005-0000-0000-000064000000}"/>
    <cellStyle name="Финансовый 13 4" xfId="614" xr:uid="{00000000-0005-0000-0000-000065000000}"/>
    <cellStyle name="Финансовый 14" xfId="25" xr:uid="{00000000-0005-0000-0000-000066000000}"/>
    <cellStyle name="Финансовый 14 2" xfId="163" xr:uid="{00000000-0005-0000-0000-000067000000}"/>
    <cellStyle name="Финансовый 14 2 2" xfId="435" xr:uid="{00000000-0005-0000-0000-000068000000}"/>
    <cellStyle name="Финансовый 14 3" xfId="299" xr:uid="{00000000-0005-0000-0000-000069000000}"/>
    <cellStyle name="Финансовый 14 4" xfId="616" xr:uid="{00000000-0005-0000-0000-00006A000000}"/>
    <cellStyle name="Финансовый 15" xfId="13" xr:uid="{00000000-0005-0000-0000-00006B000000}"/>
    <cellStyle name="Финансовый 15 2" xfId="151" xr:uid="{00000000-0005-0000-0000-00006C000000}"/>
    <cellStyle name="Финансовый 15 2 2" xfId="423" xr:uid="{00000000-0005-0000-0000-00006D000000}"/>
    <cellStyle name="Финансовый 15 3" xfId="287" xr:uid="{00000000-0005-0000-0000-00006E000000}"/>
    <cellStyle name="Финансовый 15 4" xfId="610" xr:uid="{00000000-0005-0000-0000-00006F000000}"/>
    <cellStyle name="Финансовый 16" xfId="139" xr:uid="{00000000-0005-0000-0000-000070000000}"/>
    <cellStyle name="Финансовый 16 2" xfId="411" xr:uid="{00000000-0005-0000-0000-000071000000}"/>
    <cellStyle name="Финансовый 17" xfId="547" xr:uid="{00000000-0005-0000-0000-000072000000}"/>
    <cellStyle name="Финансовый 18" xfId="275" xr:uid="{00000000-0005-0000-0000-000073000000}"/>
    <cellStyle name="Финансовый 19" xfId="596" xr:uid="{00000000-0005-0000-0000-000074000000}"/>
    <cellStyle name="Финансовый 2" xfId="2" xr:uid="{00000000-0005-0000-0000-000075000000}"/>
    <cellStyle name="Финансовый 2 10" xfId="62" xr:uid="{00000000-0005-0000-0000-000076000000}"/>
    <cellStyle name="Финансовый 2 10 2" xfId="200" xr:uid="{00000000-0005-0000-0000-000077000000}"/>
    <cellStyle name="Финансовый 2 10 2 2" xfId="472" xr:uid="{00000000-0005-0000-0000-000078000000}"/>
    <cellStyle name="Финансовый 2 10 3" xfId="336" xr:uid="{00000000-0005-0000-0000-000079000000}"/>
    <cellStyle name="Финансовый 2 10 4" xfId="623" xr:uid="{00000000-0005-0000-0000-00007A000000}"/>
    <cellStyle name="Финансовый 2 11" xfId="50" xr:uid="{00000000-0005-0000-0000-00007B000000}"/>
    <cellStyle name="Финансовый 2 11 2" xfId="188" xr:uid="{00000000-0005-0000-0000-00007C000000}"/>
    <cellStyle name="Финансовый 2 11 2 2" xfId="460" xr:uid="{00000000-0005-0000-0000-00007D000000}"/>
    <cellStyle name="Финансовый 2 11 3" xfId="324" xr:uid="{00000000-0005-0000-0000-00007E000000}"/>
    <cellStyle name="Финансовый 2 11 4" xfId="609" xr:uid="{00000000-0005-0000-0000-00007F000000}"/>
    <cellStyle name="Финансовый 2 12" xfId="128" xr:uid="{00000000-0005-0000-0000-000080000000}"/>
    <cellStyle name="Финансовый 2 12 2" xfId="264" xr:uid="{00000000-0005-0000-0000-000081000000}"/>
    <cellStyle name="Финансовый 2 12 2 2" xfId="536" xr:uid="{00000000-0005-0000-0000-000082000000}"/>
    <cellStyle name="Финансовый 2 12 3" xfId="400" xr:uid="{00000000-0005-0000-0000-000083000000}"/>
    <cellStyle name="Финансовый 2 12 4" xfId="625" xr:uid="{00000000-0005-0000-0000-000084000000}"/>
    <cellStyle name="Финансовый 2 13" xfId="26" xr:uid="{00000000-0005-0000-0000-000085000000}"/>
    <cellStyle name="Финансовый 2 13 2" xfId="164" xr:uid="{00000000-0005-0000-0000-000086000000}"/>
    <cellStyle name="Финансовый 2 13 2 2" xfId="436" xr:uid="{00000000-0005-0000-0000-000087000000}"/>
    <cellStyle name="Финансовый 2 13 3" xfId="300" xr:uid="{00000000-0005-0000-0000-000088000000}"/>
    <cellStyle name="Финансовый 2 13 4" xfId="626" xr:uid="{00000000-0005-0000-0000-000089000000}"/>
    <cellStyle name="Финансовый 2 14" xfId="14" xr:uid="{00000000-0005-0000-0000-00008A000000}"/>
    <cellStyle name="Финансовый 2 14 2" xfId="152" xr:uid="{00000000-0005-0000-0000-00008B000000}"/>
    <cellStyle name="Финансовый 2 14 2 2" xfId="424" xr:uid="{00000000-0005-0000-0000-00008C000000}"/>
    <cellStyle name="Финансовый 2 14 3" xfId="288" xr:uid="{00000000-0005-0000-0000-00008D000000}"/>
    <cellStyle name="Финансовый 2 14 4" xfId="627" xr:uid="{00000000-0005-0000-0000-00008E000000}"/>
    <cellStyle name="Финансовый 2 15" xfId="140" xr:uid="{00000000-0005-0000-0000-00008F000000}"/>
    <cellStyle name="Финансовый 2 15 2" xfId="412" xr:uid="{00000000-0005-0000-0000-000090000000}"/>
    <cellStyle name="Финансовый 2 16" xfId="548" xr:uid="{00000000-0005-0000-0000-000091000000}"/>
    <cellStyle name="Финансовый 2 17" xfId="276" xr:uid="{00000000-0005-0000-0000-000092000000}"/>
    <cellStyle name="Финансовый 2 18" xfId="620" xr:uid="{00000000-0005-0000-0000-000093000000}"/>
    <cellStyle name="Финансовый 2 2" xfId="4" xr:uid="{00000000-0005-0000-0000-000094000000}"/>
    <cellStyle name="Финансовый 2 2 10" xfId="28" xr:uid="{00000000-0005-0000-0000-000095000000}"/>
    <cellStyle name="Финансовый 2 2 10 2" xfId="166" xr:uid="{00000000-0005-0000-0000-000096000000}"/>
    <cellStyle name="Финансовый 2 2 10 2 2" xfId="438" xr:uid="{00000000-0005-0000-0000-000097000000}"/>
    <cellStyle name="Финансовый 2 2 10 3" xfId="302" xr:uid="{00000000-0005-0000-0000-000098000000}"/>
    <cellStyle name="Финансовый 2 2 10 4" xfId="630" xr:uid="{00000000-0005-0000-0000-000099000000}"/>
    <cellStyle name="Финансовый 2 2 11" xfId="16" xr:uid="{00000000-0005-0000-0000-00009A000000}"/>
    <cellStyle name="Финансовый 2 2 11 2" xfId="154" xr:uid="{00000000-0005-0000-0000-00009B000000}"/>
    <cellStyle name="Финансовый 2 2 11 2 2" xfId="426" xr:uid="{00000000-0005-0000-0000-00009C000000}"/>
    <cellStyle name="Финансовый 2 2 11 3" xfId="290" xr:uid="{00000000-0005-0000-0000-00009D000000}"/>
    <cellStyle name="Финансовый 2 2 11 4" xfId="599" xr:uid="{00000000-0005-0000-0000-00009E000000}"/>
    <cellStyle name="Финансовый 2 2 12" xfId="142" xr:uid="{00000000-0005-0000-0000-00009F000000}"/>
    <cellStyle name="Финансовый 2 2 12 2" xfId="414" xr:uid="{00000000-0005-0000-0000-0000A0000000}"/>
    <cellStyle name="Финансовый 2 2 13" xfId="550" xr:uid="{00000000-0005-0000-0000-0000A1000000}"/>
    <cellStyle name="Финансовый 2 2 14" xfId="278" xr:uid="{00000000-0005-0000-0000-0000A2000000}"/>
    <cellStyle name="Финансовый 2 2 15" xfId="629" xr:uid="{00000000-0005-0000-0000-0000A3000000}"/>
    <cellStyle name="Финансовый 2 2 2" xfId="10" xr:uid="{00000000-0005-0000-0000-0000A4000000}"/>
    <cellStyle name="Финансовый 2 2 2 10" xfId="556" xr:uid="{00000000-0005-0000-0000-0000A5000000}"/>
    <cellStyle name="Финансовый 2 2 2 11" xfId="284" xr:uid="{00000000-0005-0000-0000-0000A6000000}"/>
    <cellStyle name="Финансовый 2 2 2 12" xfId="632" xr:uid="{00000000-0005-0000-0000-0000A7000000}"/>
    <cellStyle name="Финансовый 2 2 2 2" xfId="46" xr:uid="{00000000-0005-0000-0000-0000A8000000}"/>
    <cellStyle name="Финансовый 2 2 2 2 2" xfId="104" xr:uid="{00000000-0005-0000-0000-0000A9000000}"/>
    <cellStyle name="Финансовый 2 2 2 2 2 2" xfId="240" xr:uid="{00000000-0005-0000-0000-0000AA000000}"/>
    <cellStyle name="Финансовый 2 2 2 2 2 2 2" xfId="512" xr:uid="{00000000-0005-0000-0000-0000AB000000}"/>
    <cellStyle name="Финансовый 2 2 2 2 2 3" xfId="376" xr:uid="{00000000-0005-0000-0000-0000AC000000}"/>
    <cellStyle name="Финансовый 2 2 2 2 2 4" xfId="635" xr:uid="{00000000-0005-0000-0000-0000AD000000}"/>
    <cellStyle name="Финансовый 2 2 2 2 3" xfId="184" xr:uid="{00000000-0005-0000-0000-0000AE000000}"/>
    <cellStyle name="Финансовый 2 2 2 2 3 2" xfId="456" xr:uid="{00000000-0005-0000-0000-0000AF000000}"/>
    <cellStyle name="Финансовый 2 2 2 2 4" xfId="320" xr:uid="{00000000-0005-0000-0000-0000B0000000}"/>
    <cellStyle name="Финансовый 2 2 2 2 5" xfId="633" xr:uid="{00000000-0005-0000-0000-0000B1000000}"/>
    <cellStyle name="Финансовый 2 2 2 3" xfId="116" xr:uid="{00000000-0005-0000-0000-0000B2000000}"/>
    <cellStyle name="Финансовый 2 2 2 3 2" xfId="252" xr:uid="{00000000-0005-0000-0000-0000B3000000}"/>
    <cellStyle name="Финансовый 2 2 2 3 2 2" xfId="524" xr:uid="{00000000-0005-0000-0000-0000B4000000}"/>
    <cellStyle name="Финансовый 2 2 2 3 3" xfId="388" xr:uid="{00000000-0005-0000-0000-0000B5000000}"/>
    <cellStyle name="Финансовый 2 2 2 3 4" xfId="636" xr:uid="{00000000-0005-0000-0000-0000B6000000}"/>
    <cellStyle name="Финансовый 2 2 2 4" xfId="80" xr:uid="{00000000-0005-0000-0000-0000B7000000}"/>
    <cellStyle name="Финансовый 2 2 2 4 2" xfId="216" xr:uid="{00000000-0005-0000-0000-0000B8000000}"/>
    <cellStyle name="Финансовый 2 2 2 4 2 2" xfId="488" xr:uid="{00000000-0005-0000-0000-0000B9000000}"/>
    <cellStyle name="Финансовый 2 2 2 4 3" xfId="352" xr:uid="{00000000-0005-0000-0000-0000BA000000}"/>
    <cellStyle name="Финансовый 2 2 2 4 4" xfId="637" xr:uid="{00000000-0005-0000-0000-0000BB000000}"/>
    <cellStyle name="Финансовый 2 2 2 5" xfId="58" xr:uid="{00000000-0005-0000-0000-0000BC000000}"/>
    <cellStyle name="Финансовый 2 2 2 5 2" xfId="196" xr:uid="{00000000-0005-0000-0000-0000BD000000}"/>
    <cellStyle name="Финансовый 2 2 2 5 2 2" xfId="468" xr:uid="{00000000-0005-0000-0000-0000BE000000}"/>
    <cellStyle name="Финансовый 2 2 2 5 3" xfId="332" xr:uid="{00000000-0005-0000-0000-0000BF000000}"/>
    <cellStyle name="Финансовый 2 2 2 5 4" xfId="638" xr:uid="{00000000-0005-0000-0000-0000C0000000}"/>
    <cellStyle name="Финансовый 2 2 2 6" xfId="136" xr:uid="{00000000-0005-0000-0000-0000C1000000}"/>
    <cellStyle name="Финансовый 2 2 2 6 2" xfId="272" xr:uid="{00000000-0005-0000-0000-0000C2000000}"/>
    <cellStyle name="Финансовый 2 2 2 6 2 2" xfId="544" xr:uid="{00000000-0005-0000-0000-0000C3000000}"/>
    <cellStyle name="Финансовый 2 2 2 6 3" xfId="408" xr:uid="{00000000-0005-0000-0000-0000C4000000}"/>
    <cellStyle name="Финансовый 2 2 2 6 4" xfId="639" xr:uid="{00000000-0005-0000-0000-0000C5000000}"/>
    <cellStyle name="Финансовый 2 2 2 7" xfId="34" xr:uid="{00000000-0005-0000-0000-0000C6000000}"/>
    <cellStyle name="Финансовый 2 2 2 7 2" xfId="172" xr:uid="{00000000-0005-0000-0000-0000C7000000}"/>
    <cellStyle name="Финансовый 2 2 2 7 2 2" xfId="444" xr:uid="{00000000-0005-0000-0000-0000C8000000}"/>
    <cellStyle name="Финансовый 2 2 2 7 3" xfId="308" xr:uid="{00000000-0005-0000-0000-0000C9000000}"/>
    <cellStyle name="Финансовый 2 2 2 7 4" xfId="640" xr:uid="{00000000-0005-0000-0000-0000CA000000}"/>
    <cellStyle name="Финансовый 2 2 2 8" xfId="22" xr:uid="{00000000-0005-0000-0000-0000CB000000}"/>
    <cellStyle name="Финансовый 2 2 2 8 2" xfId="160" xr:uid="{00000000-0005-0000-0000-0000CC000000}"/>
    <cellStyle name="Финансовый 2 2 2 8 2 2" xfId="432" xr:uid="{00000000-0005-0000-0000-0000CD000000}"/>
    <cellStyle name="Финансовый 2 2 2 8 3" xfId="296" xr:uid="{00000000-0005-0000-0000-0000CE000000}"/>
    <cellStyle name="Финансовый 2 2 2 8 4" xfId="641" xr:uid="{00000000-0005-0000-0000-0000CF000000}"/>
    <cellStyle name="Финансовый 2 2 2 9" xfId="148" xr:uid="{00000000-0005-0000-0000-0000D0000000}"/>
    <cellStyle name="Финансовый 2 2 2 9 2" xfId="420" xr:uid="{00000000-0005-0000-0000-0000D1000000}"/>
    <cellStyle name="Финансовый 2 2 3" xfId="40" xr:uid="{00000000-0005-0000-0000-0000D2000000}"/>
    <cellStyle name="Финансовый 2 2 3 2" xfId="122" xr:uid="{00000000-0005-0000-0000-0000D3000000}"/>
    <cellStyle name="Финансовый 2 2 3 2 2" xfId="258" xr:uid="{00000000-0005-0000-0000-0000D4000000}"/>
    <cellStyle name="Финансовый 2 2 3 2 2 2" xfId="530" xr:uid="{00000000-0005-0000-0000-0000D5000000}"/>
    <cellStyle name="Финансовый 2 2 3 2 3" xfId="394" xr:uid="{00000000-0005-0000-0000-0000D6000000}"/>
    <cellStyle name="Финансовый 2 2 3 2 4" xfId="644" xr:uid="{00000000-0005-0000-0000-0000D7000000}"/>
    <cellStyle name="Финансовый 2 2 3 3" xfId="86" xr:uid="{00000000-0005-0000-0000-0000D8000000}"/>
    <cellStyle name="Финансовый 2 2 3 3 2" xfId="222" xr:uid="{00000000-0005-0000-0000-0000D9000000}"/>
    <cellStyle name="Финансовый 2 2 3 3 2 2" xfId="494" xr:uid="{00000000-0005-0000-0000-0000DA000000}"/>
    <cellStyle name="Финансовый 2 2 3 3 3" xfId="358" xr:uid="{00000000-0005-0000-0000-0000DB000000}"/>
    <cellStyle name="Финансовый 2 2 3 3 4" xfId="645" xr:uid="{00000000-0005-0000-0000-0000DC000000}"/>
    <cellStyle name="Финансовый 2 2 3 4" xfId="178" xr:uid="{00000000-0005-0000-0000-0000DD000000}"/>
    <cellStyle name="Финансовый 2 2 3 4 2" xfId="450" xr:uid="{00000000-0005-0000-0000-0000DE000000}"/>
    <cellStyle name="Финансовый 2 2 3 5" xfId="314" xr:uid="{00000000-0005-0000-0000-0000DF000000}"/>
    <cellStyle name="Финансовый 2 2 3 6" xfId="643" xr:uid="{00000000-0005-0000-0000-0000E0000000}"/>
    <cellStyle name="Финансовый 2 2 4" xfId="92" xr:uid="{00000000-0005-0000-0000-0000E1000000}"/>
    <cellStyle name="Финансовый 2 2 4 2" xfId="228" xr:uid="{00000000-0005-0000-0000-0000E2000000}"/>
    <cellStyle name="Финансовый 2 2 4 2 2" xfId="500" xr:uid="{00000000-0005-0000-0000-0000E3000000}"/>
    <cellStyle name="Финансовый 2 2 4 3" xfId="364" xr:uid="{00000000-0005-0000-0000-0000E4000000}"/>
    <cellStyle name="Финансовый 2 2 4 4" xfId="646" xr:uid="{00000000-0005-0000-0000-0000E5000000}"/>
    <cellStyle name="Финансовый 2 2 5" xfId="98" xr:uid="{00000000-0005-0000-0000-0000E6000000}"/>
    <cellStyle name="Финансовый 2 2 5 2" xfId="234" xr:uid="{00000000-0005-0000-0000-0000E7000000}"/>
    <cellStyle name="Финансовый 2 2 5 2 2" xfId="506" xr:uid="{00000000-0005-0000-0000-0000E8000000}"/>
    <cellStyle name="Финансовый 2 2 5 3" xfId="370" xr:uid="{00000000-0005-0000-0000-0000E9000000}"/>
    <cellStyle name="Финансовый 2 2 5 4" xfId="647" xr:uid="{00000000-0005-0000-0000-0000EA000000}"/>
    <cellStyle name="Финансовый 2 2 6" xfId="110" xr:uid="{00000000-0005-0000-0000-0000EB000000}"/>
    <cellStyle name="Финансовый 2 2 6 2" xfId="246" xr:uid="{00000000-0005-0000-0000-0000EC000000}"/>
    <cellStyle name="Финансовый 2 2 6 2 2" xfId="518" xr:uid="{00000000-0005-0000-0000-0000ED000000}"/>
    <cellStyle name="Финансовый 2 2 6 3" xfId="382" xr:uid="{00000000-0005-0000-0000-0000EE000000}"/>
    <cellStyle name="Финансовый 2 2 6 4" xfId="634" xr:uid="{00000000-0005-0000-0000-0000EF000000}"/>
    <cellStyle name="Финансовый 2 2 7" xfId="65" xr:uid="{00000000-0005-0000-0000-0000F0000000}"/>
    <cellStyle name="Финансовый 2 2 7 2" xfId="201" xr:uid="{00000000-0005-0000-0000-0000F1000000}"/>
    <cellStyle name="Финансовый 2 2 7 2 2" xfId="473" xr:uid="{00000000-0005-0000-0000-0000F2000000}"/>
    <cellStyle name="Финансовый 2 2 7 3" xfId="337" xr:uid="{00000000-0005-0000-0000-0000F3000000}"/>
    <cellStyle name="Финансовый 2 2 7 4" xfId="648" xr:uid="{00000000-0005-0000-0000-0000F4000000}"/>
    <cellStyle name="Финансовый 2 2 8" xfId="52" xr:uid="{00000000-0005-0000-0000-0000F5000000}"/>
    <cellStyle name="Финансовый 2 2 8 2" xfId="190" xr:uid="{00000000-0005-0000-0000-0000F6000000}"/>
    <cellStyle name="Финансовый 2 2 8 2 2" xfId="462" xr:uid="{00000000-0005-0000-0000-0000F7000000}"/>
    <cellStyle name="Финансовый 2 2 8 3" xfId="326" xr:uid="{00000000-0005-0000-0000-0000F8000000}"/>
    <cellStyle name="Финансовый 2 2 8 4" xfId="649" xr:uid="{00000000-0005-0000-0000-0000F9000000}"/>
    <cellStyle name="Финансовый 2 2 9" xfId="130" xr:uid="{00000000-0005-0000-0000-0000FA000000}"/>
    <cellStyle name="Финансовый 2 2 9 2" xfId="266" xr:uid="{00000000-0005-0000-0000-0000FB000000}"/>
    <cellStyle name="Финансовый 2 2 9 2 2" xfId="538" xr:uid="{00000000-0005-0000-0000-0000FC000000}"/>
    <cellStyle name="Финансовый 2 2 9 3" xfId="402" xr:uid="{00000000-0005-0000-0000-0000FD000000}"/>
    <cellStyle name="Финансовый 2 2 9 4" xfId="650" xr:uid="{00000000-0005-0000-0000-0000FE000000}"/>
    <cellStyle name="Финансовый 2 3" xfId="6" xr:uid="{00000000-0005-0000-0000-0000FF000000}"/>
    <cellStyle name="Финансовый 2 3 10" xfId="30" xr:uid="{00000000-0005-0000-0000-000000010000}"/>
    <cellStyle name="Финансовый 2 3 10 2" xfId="168" xr:uid="{00000000-0005-0000-0000-000001010000}"/>
    <cellStyle name="Финансовый 2 3 10 2 2" xfId="440" xr:uid="{00000000-0005-0000-0000-000002010000}"/>
    <cellStyle name="Финансовый 2 3 10 3" xfId="304" xr:uid="{00000000-0005-0000-0000-000003010000}"/>
    <cellStyle name="Финансовый 2 3 10 4" xfId="654" xr:uid="{00000000-0005-0000-0000-000004010000}"/>
    <cellStyle name="Финансовый 2 3 11" xfId="18" xr:uid="{00000000-0005-0000-0000-000005010000}"/>
    <cellStyle name="Финансовый 2 3 11 2" xfId="156" xr:uid="{00000000-0005-0000-0000-000006010000}"/>
    <cellStyle name="Финансовый 2 3 11 2 2" xfId="428" xr:uid="{00000000-0005-0000-0000-000007010000}"/>
    <cellStyle name="Финансовый 2 3 11 3" xfId="292" xr:uid="{00000000-0005-0000-0000-000008010000}"/>
    <cellStyle name="Финансовый 2 3 11 4" xfId="622" xr:uid="{00000000-0005-0000-0000-000009010000}"/>
    <cellStyle name="Финансовый 2 3 12" xfId="144" xr:uid="{00000000-0005-0000-0000-00000A010000}"/>
    <cellStyle name="Финансовый 2 3 12 2" xfId="416" xr:uid="{00000000-0005-0000-0000-00000B010000}"/>
    <cellStyle name="Финансовый 2 3 13" xfId="552" xr:uid="{00000000-0005-0000-0000-00000C010000}"/>
    <cellStyle name="Финансовый 2 3 14" xfId="280" xr:uid="{00000000-0005-0000-0000-00000D010000}"/>
    <cellStyle name="Финансовый 2 3 15" xfId="652" xr:uid="{00000000-0005-0000-0000-00000E010000}"/>
    <cellStyle name="Финансовый 2 3 2" xfId="12" xr:uid="{00000000-0005-0000-0000-00000F010000}"/>
    <cellStyle name="Финансовый 2 3 2 10" xfId="558" xr:uid="{00000000-0005-0000-0000-000010010000}"/>
    <cellStyle name="Финансовый 2 3 2 11" xfId="286" xr:uid="{00000000-0005-0000-0000-000011010000}"/>
    <cellStyle name="Финансовый 2 3 2 12" xfId="655" xr:uid="{00000000-0005-0000-0000-000012010000}"/>
    <cellStyle name="Финансовый 2 3 2 2" xfId="48" xr:uid="{00000000-0005-0000-0000-000013010000}"/>
    <cellStyle name="Финансовый 2 3 2 2 2" xfId="106" xr:uid="{00000000-0005-0000-0000-000014010000}"/>
    <cellStyle name="Финансовый 2 3 2 2 2 2" xfId="242" xr:uid="{00000000-0005-0000-0000-000015010000}"/>
    <cellStyle name="Финансовый 2 3 2 2 2 2 2" xfId="514" xr:uid="{00000000-0005-0000-0000-000016010000}"/>
    <cellStyle name="Финансовый 2 3 2 2 2 3" xfId="378" xr:uid="{00000000-0005-0000-0000-000017010000}"/>
    <cellStyle name="Финансовый 2 3 2 2 2 4" xfId="657" xr:uid="{00000000-0005-0000-0000-000018010000}"/>
    <cellStyle name="Финансовый 2 3 2 2 3" xfId="186" xr:uid="{00000000-0005-0000-0000-000019010000}"/>
    <cellStyle name="Финансовый 2 3 2 2 3 2" xfId="458" xr:uid="{00000000-0005-0000-0000-00001A010000}"/>
    <cellStyle name="Финансовый 2 3 2 2 4" xfId="322" xr:uid="{00000000-0005-0000-0000-00001B010000}"/>
    <cellStyle name="Финансовый 2 3 2 2 5" xfId="656" xr:uid="{00000000-0005-0000-0000-00001C010000}"/>
    <cellStyle name="Финансовый 2 3 2 3" xfId="118" xr:uid="{00000000-0005-0000-0000-00001D010000}"/>
    <cellStyle name="Финансовый 2 3 2 3 2" xfId="254" xr:uid="{00000000-0005-0000-0000-00001E010000}"/>
    <cellStyle name="Финансовый 2 3 2 3 2 2" xfId="526" xr:uid="{00000000-0005-0000-0000-00001F010000}"/>
    <cellStyle name="Финансовый 2 3 2 3 3" xfId="390" xr:uid="{00000000-0005-0000-0000-000020010000}"/>
    <cellStyle name="Финансовый 2 3 2 3 4" xfId="658" xr:uid="{00000000-0005-0000-0000-000021010000}"/>
    <cellStyle name="Финансовый 2 3 2 4" xfId="82" xr:uid="{00000000-0005-0000-0000-000022010000}"/>
    <cellStyle name="Финансовый 2 3 2 4 2" xfId="218" xr:uid="{00000000-0005-0000-0000-000023010000}"/>
    <cellStyle name="Финансовый 2 3 2 4 2 2" xfId="490" xr:uid="{00000000-0005-0000-0000-000024010000}"/>
    <cellStyle name="Финансовый 2 3 2 4 3" xfId="354" xr:uid="{00000000-0005-0000-0000-000025010000}"/>
    <cellStyle name="Финансовый 2 3 2 4 4" xfId="659" xr:uid="{00000000-0005-0000-0000-000026010000}"/>
    <cellStyle name="Финансовый 2 3 2 5" xfId="60" xr:uid="{00000000-0005-0000-0000-000027010000}"/>
    <cellStyle name="Финансовый 2 3 2 5 2" xfId="198" xr:uid="{00000000-0005-0000-0000-000028010000}"/>
    <cellStyle name="Финансовый 2 3 2 5 2 2" xfId="470" xr:uid="{00000000-0005-0000-0000-000029010000}"/>
    <cellStyle name="Финансовый 2 3 2 5 3" xfId="334" xr:uid="{00000000-0005-0000-0000-00002A010000}"/>
    <cellStyle name="Финансовый 2 3 2 5 4" xfId="660" xr:uid="{00000000-0005-0000-0000-00002B010000}"/>
    <cellStyle name="Финансовый 2 3 2 6" xfId="138" xr:uid="{00000000-0005-0000-0000-00002C010000}"/>
    <cellStyle name="Финансовый 2 3 2 6 2" xfId="274" xr:uid="{00000000-0005-0000-0000-00002D010000}"/>
    <cellStyle name="Финансовый 2 3 2 6 2 2" xfId="546" xr:uid="{00000000-0005-0000-0000-00002E010000}"/>
    <cellStyle name="Финансовый 2 3 2 6 3" xfId="410" xr:uid="{00000000-0005-0000-0000-00002F010000}"/>
    <cellStyle name="Финансовый 2 3 2 6 4" xfId="661" xr:uid="{00000000-0005-0000-0000-000030010000}"/>
    <cellStyle name="Финансовый 2 3 2 7" xfId="36" xr:uid="{00000000-0005-0000-0000-000031010000}"/>
    <cellStyle name="Финансовый 2 3 2 7 2" xfId="174" xr:uid="{00000000-0005-0000-0000-000032010000}"/>
    <cellStyle name="Финансовый 2 3 2 7 2 2" xfId="446" xr:uid="{00000000-0005-0000-0000-000033010000}"/>
    <cellStyle name="Финансовый 2 3 2 7 3" xfId="310" xr:uid="{00000000-0005-0000-0000-000034010000}"/>
    <cellStyle name="Финансовый 2 3 2 7 4" xfId="631" xr:uid="{00000000-0005-0000-0000-000035010000}"/>
    <cellStyle name="Финансовый 2 3 2 8" xfId="24" xr:uid="{00000000-0005-0000-0000-000036010000}"/>
    <cellStyle name="Финансовый 2 3 2 8 2" xfId="162" xr:uid="{00000000-0005-0000-0000-000037010000}"/>
    <cellStyle name="Финансовый 2 3 2 8 2 2" xfId="434" xr:uid="{00000000-0005-0000-0000-000038010000}"/>
    <cellStyle name="Финансовый 2 3 2 8 3" xfId="298" xr:uid="{00000000-0005-0000-0000-000039010000}"/>
    <cellStyle name="Финансовый 2 3 2 8 4" xfId="642" xr:uid="{00000000-0005-0000-0000-00003A010000}"/>
    <cellStyle name="Финансовый 2 3 2 9" xfId="150" xr:uid="{00000000-0005-0000-0000-00003B010000}"/>
    <cellStyle name="Финансовый 2 3 2 9 2" xfId="422" xr:uid="{00000000-0005-0000-0000-00003C010000}"/>
    <cellStyle name="Финансовый 2 3 3" xfId="42" xr:uid="{00000000-0005-0000-0000-00003D010000}"/>
    <cellStyle name="Финансовый 2 3 3 2" xfId="124" xr:uid="{00000000-0005-0000-0000-00003E010000}"/>
    <cellStyle name="Финансовый 2 3 3 2 2" xfId="260" xr:uid="{00000000-0005-0000-0000-00003F010000}"/>
    <cellStyle name="Финансовый 2 3 3 2 2 2" xfId="532" xr:uid="{00000000-0005-0000-0000-000040010000}"/>
    <cellStyle name="Финансовый 2 3 3 2 3" xfId="396" xr:uid="{00000000-0005-0000-0000-000041010000}"/>
    <cellStyle name="Финансовый 2 3 3 2 4" xfId="663" xr:uid="{00000000-0005-0000-0000-000042010000}"/>
    <cellStyle name="Финансовый 2 3 3 3" xfId="88" xr:uid="{00000000-0005-0000-0000-000043010000}"/>
    <cellStyle name="Финансовый 2 3 3 3 2" xfId="224" xr:uid="{00000000-0005-0000-0000-000044010000}"/>
    <cellStyle name="Финансовый 2 3 3 3 2 2" xfId="496" xr:uid="{00000000-0005-0000-0000-000045010000}"/>
    <cellStyle name="Финансовый 2 3 3 3 3" xfId="360" xr:uid="{00000000-0005-0000-0000-000046010000}"/>
    <cellStyle name="Финансовый 2 3 3 3 4" xfId="664" xr:uid="{00000000-0005-0000-0000-000047010000}"/>
    <cellStyle name="Финансовый 2 3 3 4" xfId="180" xr:uid="{00000000-0005-0000-0000-000048010000}"/>
    <cellStyle name="Финансовый 2 3 3 4 2" xfId="452" xr:uid="{00000000-0005-0000-0000-000049010000}"/>
    <cellStyle name="Финансовый 2 3 3 5" xfId="316" xr:uid="{00000000-0005-0000-0000-00004A010000}"/>
    <cellStyle name="Финансовый 2 3 3 6" xfId="662" xr:uid="{00000000-0005-0000-0000-00004B010000}"/>
    <cellStyle name="Финансовый 2 3 4" xfId="94" xr:uid="{00000000-0005-0000-0000-00004C010000}"/>
    <cellStyle name="Финансовый 2 3 4 2" xfId="230" xr:uid="{00000000-0005-0000-0000-00004D010000}"/>
    <cellStyle name="Финансовый 2 3 4 2 2" xfId="502" xr:uid="{00000000-0005-0000-0000-00004E010000}"/>
    <cellStyle name="Финансовый 2 3 4 3" xfId="366" xr:uid="{00000000-0005-0000-0000-00004F010000}"/>
    <cellStyle name="Финансовый 2 3 4 4" xfId="665" xr:uid="{00000000-0005-0000-0000-000050010000}"/>
    <cellStyle name="Финансовый 2 3 5" xfId="100" xr:uid="{00000000-0005-0000-0000-000051010000}"/>
    <cellStyle name="Финансовый 2 3 5 2" xfId="236" xr:uid="{00000000-0005-0000-0000-000052010000}"/>
    <cellStyle name="Финансовый 2 3 5 2 2" xfId="508" xr:uid="{00000000-0005-0000-0000-000053010000}"/>
    <cellStyle name="Финансовый 2 3 5 3" xfId="372" xr:uid="{00000000-0005-0000-0000-000054010000}"/>
    <cellStyle name="Финансовый 2 3 5 4" xfId="666" xr:uid="{00000000-0005-0000-0000-000055010000}"/>
    <cellStyle name="Финансовый 2 3 6" xfId="112" xr:uid="{00000000-0005-0000-0000-000056010000}"/>
    <cellStyle name="Финансовый 2 3 6 2" xfId="248" xr:uid="{00000000-0005-0000-0000-000057010000}"/>
    <cellStyle name="Финансовый 2 3 6 2 2" xfId="520" xr:uid="{00000000-0005-0000-0000-000058010000}"/>
    <cellStyle name="Финансовый 2 3 6 3" xfId="384" xr:uid="{00000000-0005-0000-0000-000059010000}"/>
    <cellStyle name="Финансовый 2 3 6 4" xfId="667" xr:uid="{00000000-0005-0000-0000-00005A010000}"/>
    <cellStyle name="Финансовый 2 3 7" xfId="76" xr:uid="{00000000-0005-0000-0000-00005B010000}"/>
    <cellStyle name="Финансовый 2 3 7 2" xfId="212" xr:uid="{00000000-0005-0000-0000-00005C010000}"/>
    <cellStyle name="Финансовый 2 3 7 2 2" xfId="484" xr:uid="{00000000-0005-0000-0000-00005D010000}"/>
    <cellStyle name="Финансовый 2 3 7 3" xfId="348" xr:uid="{00000000-0005-0000-0000-00005E010000}"/>
    <cellStyle name="Финансовый 2 3 7 4" xfId="668" xr:uid="{00000000-0005-0000-0000-00005F010000}"/>
    <cellStyle name="Финансовый 2 3 8" xfId="54" xr:uid="{00000000-0005-0000-0000-000060010000}"/>
    <cellStyle name="Финансовый 2 3 8 2" xfId="192" xr:uid="{00000000-0005-0000-0000-000061010000}"/>
    <cellStyle name="Финансовый 2 3 8 2 2" xfId="464" xr:uid="{00000000-0005-0000-0000-000062010000}"/>
    <cellStyle name="Финансовый 2 3 8 3" xfId="328" xr:uid="{00000000-0005-0000-0000-000063010000}"/>
    <cellStyle name="Финансовый 2 3 8 4" xfId="669" xr:uid="{00000000-0005-0000-0000-000064010000}"/>
    <cellStyle name="Финансовый 2 3 9" xfId="132" xr:uid="{00000000-0005-0000-0000-000065010000}"/>
    <cellStyle name="Финансовый 2 3 9 2" xfId="268" xr:uid="{00000000-0005-0000-0000-000066010000}"/>
    <cellStyle name="Финансовый 2 3 9 2 2" xfId="540" xr:uid="{00000000-0005-0000-0000-000067010000}"/>
    <cellStyle name="Финансовый 2 3 9 3" xfId="404" xr:uid="{00000000-0005-0000-0000-000068010000}"/>
    <cellStyle name="Финансовый 2 3 9 4" xfId="670" xr:uid="{00000000-0005-0000-0000-000069010000}"/>
    <cellStyle name="Финансовый 2 4" xfId="8" xr:uid="{00000000-0005-0000-0000-00006A010000}"/>
    <cellStyle name="Финансовый 2 4 10" xfId="554" xr:uid="{00000000-0005-0000-0000-00006B010000}"/>
    <cellStyle name="Финансовый 2 4 11" xfId="282" xr:uid="{00000000-0005-0000-0000-00006C010000}"/>
    <cellStyle name="Финансовый 2 4 12" xfId="672" xr:uid="{00000000-0005-0000-0000-00006D010000}"/>
    <cellStyle name="Финансовый 2 4 2" xfId="44" xr:uid="{00000000-0005-0000-0000-00006E010000}"/>
    <cellStyle name="Финансовый 2 4 2 2" xfId="102" xr:uid="{00000000-0005-0000-0000-00006F010000}"/>
    <cellStyle name="Финансовый 2 4 2 2 2" xfId="238" xr:uid="{00000000-0005-0000-0000-000070010000}"/>
    <cellStyle name="Финансовый 2 4 2 2 2 2" xfId="510" xr:uid="{00000000-0005-0000-0000-000071010000}"/>
    <cellStyle name="Финансовый 2 4 2 2 3" xfId="374" xr:uid="{00000000-0005-0000-0000-000072010000}"/>
    <cellStyle name="Финансовый 2 4 2 2 4" xfId="674" xr:uid="{00000000-0005-0000-0000-000073010000}"/>
    <cellStyle name="Финансовый 2 4 2 3" xfId="182" xr:uid="{00000000-0005-0000-0000-000074010000}"/>
    <cellStyle name="Финансовый 2 4 2 3 2" xfId="454" xr:uid="{00000000-0005-0000-0000-000075010000}"/>
    <cellStyle name="Финансовый 2 4 2 4" xfId="318" xr:uid="{00000000-0005-0000-0000-000076010000}"/>
    <cellStyle name="Финансовый 2 4 2 5" xfId="673" xr:uid="{00000000-0005-0000-0000-000077010000}"/>
    <cellStyle name="Финансовый 2 4 3" xfId="114" xr:uid="{00000000-0005-0000-0000-000078010000}"/>
    <cellStyle name="Финансовый 2 4 3 2" xfId="250" xr:uid="{00000000-0005-0000-0000-000079010000}"/>
    <cellStyle name="Финансовый 2 4 3 2 2" xfId="522" xr:uid="{00000000-0005-0000-0000-00007A010000}"/>
    <cellStyle name="Финансовый 2 4 3 3" xfId="386" xr:uid="{00000000-0005-0000-0000-00007B010000}"/>
    <cellStyle name="Финансовый 2 4 3 4" xfId="675" xr:uid="{00000000-0005-0000-0000-00007C010000}"/>
    <cellStyle name="Финансовый 2 4 4" xfId="78" xr:uid="{00000000-0005-0000-0000-00007D010000}"/>
    <cellStyle name="Финансовый 2 4 4 2" xfId="214" xr:uid="{00000000-0005-0000-0000-00007E010000}"/>
    <cellStyle name="Финансовый 2 4 4 2 2" xfId="486" xr:uid="{00000000-0005-0000-0000-00007F010000}"/>
    <cellStyle name="Финансовый 2 4 4 3" xfId="350" xr:uid="{00000000-0005-0000-0000-000080010000}"/>
    <cellStyle name="Финансовый 2 4 4 4" xfId="676" xr:uid="{00000000-0005-0000-0000-000081010000}"/>
    <cellStyle name="Финансовый 2 4 5" xfId="56" xr:uid="{00000000-0005-0000-0000-000082010000}"/>
    <cellStyle name="Финансовый 2 4 5 2" xfId="194" xr:uid="{00000000-0005-0000-0000-000083010000}"/>
    <cellStyle name="Финансовый 2 4 5 2 2" xfId="466" xr:uid="{00000000-0005-0000-0000-000084010000}"/>
    <cellStyle name="Финансовый 2 4 5 3" xfId="330" xr:uid="{00000000-0005-0000-0000-000085010000}"/>
    <cellStyle name="Финансовый 2 4 5 4" xfId="677" xr:uid="{00000000-0005-0000-0000-000086010000}"/>
    <cellStyle name="Финансовый 2 4 6" xfId="134" xr:uid="{00000000-0005-0000-0000-000087010000}"/>
    <cellStyle name="Финансовый 2 4 6 2" xfId="270" xr:uid="{00000000-0005-0000-0000-000088010000}"/>
    <cellStyle name="Финансовый 2 4 6 2 2" xfId="542" xr:uid="{00000000-0005-0000-0000-000089010000}"/>
    <cellStyle name="Финансовый 2 4 6 3" xfId="406" xr:uid="{00000000-0005-0000-0000-00008A010000}"/>
    <cellStyle name="Финансовый 2 4 6 4" xfId="678" xr:uid="{00000000-0005-0000-0000-00008B010000}"/>
    <cellStyle name="Финансовый 2 4 7" xfId="32" xr:uid="{00000000-0005-0000-0000-00008C010000}"/>
    <cellStyle name="Финансовый 2 4 7 2" xfId="170" xr:uid="{00000000-0005-0000-0000-00008D010000}"/>
    <cellStyle name="Финансовый 2 4 7 2 2" xfId="442" xr:uid="{00000000-0005-0000-0000-00008E010000}"/>
    <cellStyle name="Финансовый 2 4 7 3" xfId="306" xr:uid="{00000000-0005-0000-0000-00008F010000}"/>
    <cellStyle name="Финансовый 2 4 7 4" xfId="679" xr:uid="{00000000-0005-0000-0000-000090010000}"/>
    <cellStyle name="Финансовый 2 4 8" xfId="20" xr:uid="{00000000-0005-0000-0000-000091010000}"/>
    <cellStyle name="Финансовый 2 4 8 2" xfId="158" xr:uid="{00000000-0005-0000-0000-000092010000}"/>
    <cellStyle name="Финансовый 2 4 8 2 2" xfId="430" xr:uid="{00000000-0005-0000-0000-000093010000}"/>
    <cellStyle name="Финансовый 2 4 8 3" xfId="294" xr:uid="{00000000-0005-0000-0000-000094010000}"/>
    <cellStyle name="Финансовый 2 4 8 4" xfId="680" xr:uid="{00000000-0005-0000-0000-000095010000}"/>
    <cellStyle name="Финансовый 2 4 9" xfId="146" xr:uid="{00000000-0005-0000-0000-000096010000}"/>
    <cellStyle name="Финансовый 2 4 9 2" xfId="418" xr:uid="{00000000-0005-0000-0000-000097010000}"/>
    <cellStyle name="Финансовый 2 5" xfId="38" xr:uid="{00000000-0005-0000-0000-000098010000}"/>
    <cellStyle name="Финансовый 2 5 2" xfId="120" xr:uid="{00000000-0005-0000-0000-000099010000}"/>
    <cellStyle name="Финансовый 2 5 2 2" xfId="256" xr:uid="{00000000-0005-0000-0000-00009A010000}"/>
    <cellStyle name="Финансовый 2 5 2 2 2" xfId="528" xr:uid="{00000000-0005-0000-0000-00009B010000}"/>
    <cellStyle name="Финансовый 2 5 2 3" xfId="392" xr:uid="{00000000-0005-0000-0000-00009C010000}"/>
    <cellStyle name="Финансовый 2 5 2 4" xfId="682" xr:uid="{00000000-0005-0000-0000-00009D010000}"/>
    <cellStyle name="Финансовый 2 5 3" xfId="84" xr:uid="{00000000-0005-0000-0000-00009E010000}"/>
    <cellStyle name="Финансовый 2 5 3 2" xfId="220" xr:uid="{00000000-0005-0000-0000-00009F010000}"/>
    <cellStyle name="Финансовый 2 5 3 2 2" xfId="492" xr:uid="{00000000-0005-0000-0000-0000A0010000}"/>
    <cellStyle name="Финансовый 2 5 3 3" xfId="356" xr:uid="{00000000-0005-0000-0000-0000A1010000}"/>
    <cellStyle name="Финансовый 2 5 3 4" xfId="612" xr:uid="{00000000-0005-0000-0000-0000A2010000}"/>
    <cellStyle name="Финансовый 2 5 4" xfId="176" xr:uid="{00000000-0005-0000-0000-0000A3010000}"/>
    <cellStyle name="Финансовый 2 5 4 2" xfId="448" xr:uid="{00000000-0005-0000-0000-0000A4010000}"/>
    <cellStyle name="Финансовый 2 5 5" xfId="312" xr:uid="{00000000-0005-0000-0000-0000A5010000}"/>
    <cellStyle name="Финансовый 2 5 6" xfId="681" xr:uid="{00000000-0005-0000-0000-0000A6010000}"/>
    <cellStyle name="Финансовый 2 6" xfId="90" xr:uid="{00000000-0005-0000-0000-0000A7010000}"/>
    <cellStyle name="Финансовый 2 6 2" xfId="226" xr:uid="{00000000-0005-0000-0000-0000A8010000}"/>
    <cellStyle name="Финансовый 2 6 2 2" xfId="498" xr:uid="{00000000-0005-0000-0000-0000A9010000}"/>
    <cellStyle name="Финансовый 2 6 3" xfId="362" xr:uid="{00000000-0005-0000-0000-0000AA010000}"/>
    <cellStyle name="Финансовый 2 6 4" xfId="683" xr:uid="{00000000-0005-0000-0000-0000AB010000}"/>
    <cellStyle name="Финансовый 2 7" xfId="96" xr:uid="{00000000-0005-0000-0000-0000AC010000}"/>
    <cellStyle name="Финансовый 2 7 2" xfId="232" xr:uid="{00000000-0005-0000-0000-0000AD010000}"/>
    <cellStyle name="Финансовый 2 7 2 2" xfId="504" xr:uid="{00000000-0005-0000-0000-0000AE010000}"/>
    <cellStyle name="Финансовый 2 7 3" xfId="368" xr:uid="{00000000-0005-0000-0000-0000AF010000}"/>
    <cellStyle name="Финансовый 2 7 4" xfId="684" xr:uid="{00000000-0005-0000-0000-0000B0010000}"/>
    <cellStyle name="Финансовый 2 8" xfId="108" xr:uid="{00000000-0005-0000-0000-0000B1010000}"/>
    <cellStyle name="Финансовый 2 8 2" xfId="244" xr:uid="{00000000-0005-0000-0000-0000B2010000}"/>
    <cellStyle name="Финансовый 2 8 2 2" xfId="516" xr:uid="{00000000-0005-0000-0000-0000B3010000}"/>
    <cellStyle name="Финансовый 2 8 3" xfId="380" xr:uid="{00000000-0005-0000-0000-0000B4010000}"/>
    <cellStyle name="Финансовый 2 8 4" xfId="685" xr:uid="{00000000-0005-0000-0000-0000B5010000}"/>
    <cellStyle name="Финансовый 2 9" xfId="126" xr:uid="{00000000-0005-0000-0000-0000B6010000}"/>
    <cellStyle name="Финансовый 2 9 2" xfId="262" xr:uid="{00000000-0005-0000-0000-0000B7010000}"/>
    <cellStyle name="Финансовый 2 9 2 2" xfId="534" xr:uid="{00000000-0005-0000-0000-0000B8010000}"/>
    <cellStyle name="Финансовый 2 9 3" xfId="398" xr:uid="{00000000-0005-0000-0000-0000B9010000}"/>
    <cellStyle name="Финансовый 2 9 4" xfId="686" xr:uid="{00000000-0005-0000-0000-0000BA010000}"/>
    <cellStyle name="Финансовый 3" xfId="3" xr:uid="{00000000-0005-0000-0000-0000BB010000}"/>
    <cellStyle name="Финансовый 3 10" xfId="27" xr:uid="{00000000-0005-0000-0000-0000BC010000}"/>
    <cellStyle name="Финансовый 3 10 2" xfId="165" xr:uid="{00000000-0005-0000-0000-0000BD010000}"/>
    <cellStyle name="Финансовый 3 10 2 2" xfId="437" xr:uid="{00000000-0005-0000-0000-0000BE010000}"/>
    <cellStyle name="Финансовый 3 10 3" xfId="301" xr:uid="{00000000-0005-0000-0000-0000BF010000}"/>
    <cellStyle name="Финансовый 3 10 4" xfId="688" xr:uid="{00000000-0005-0000-0000-0000C0010000}"/>
    <cellStyle name="Финансовый 3 11" xfId="15" xr:uid="{00000000-0005-0000-0000-0000C1010000}"/>
    <cellStyle name="Финансовый 3 11 2" xfId="153" xr:uid="{00000000-0005-0000-0000-0000C2010000}"/>
    <cellStyle name="Финансовый 3 11 2 2" xfId="425" xr:uid="{00000000-0005-0000-0000-0000C3010000}"/>
    <cellStyle name="Финансовый 3 11 3" xfId="289" xr:uid="{00000000-0005-0000-0000-0000C4010000}"/>
    <cellStyle name="Финансовый 3 11 4" xfId="689" xr:uid="{00000000-0005-0000-0000-0000C5010000}"/>
    <cellStyle name="Финансовый 3 12" xfId="141" xr:uid="{00000000-0005-0000-0000-0000C6010000}"/>
    <cellStyle name="Финансовый 3 12 2" xfId="413" xr:uid="{00000000-0005-0000-0000-0000C7010000}"/>
    <cellStyle name="Финансовый 3 13" xfId="549" xr:uid="{00000000-0005-0000-0000-0000C8010000}"/>
    <cellStyle name="Финансовый 3 14" xfId="277" xr:uid="{00000000-0005-0000-0000-0000C9010000}"/>
    <cellStyle name="Финансовый 3 15" xfId="687" xr:uid="{00000000-0005-0000-0000-0000CA010000}"/>
    <cellStyle name="Финансовый 3 2" xfId="9" xr:uid="{00000000-0005-0000-0000-0000CB010000}"/>
    <cellStyle name="Финансовый 3 2 10" xfId="555" xr:uid="{00000000-0005-0000-0000-0000CC010000}"/>
    <cellStyle name="Финансовый 3 2 11" xfId="283" xr:uid="{00000000-0005-0000-0000-0000CD010000}"/>
    <cellStyle name="Финансовый 3 2 12" xfId="690" xr:uid="{00000000-0005-0000-0000-0000CE010000}"/>
    <cellStyle name="Финансовый 3 2 2" xfId="45" xr:uid="{00000000-0005-0000-0000-0000CF010000}"/>
    <cellStyle name="Финансовый 3 2 2 2" xfId="103" xr:uid="{00000000-0005-0000-0000-0000D0010000}"/>
    <cellStyle name="Финансовый 3 2 2 2 2" xfId="239" xr:uid="{00000000-0005-0000-0000-0000D1010000}"/>
    <cellStyle name="Финансовый 3 2 2 2 2 2" xfId="511" xr:uid="{00000000-0005-0000-0000-0000D2010000}"/>
    <cellStyle name="Финансовый 3 2 2 2 3" xfId="375" xr:uid="{00000000-0005-0000-0000-0000D3010000}"/>
    <cellStyle name="Финансовый 3 2 2 2 4" xfId="692" xr:uid="{00000000-0005-0000-0000-0000D4010000}"/>
    <cellStyle name="Финансовый 3 2 2 3" xfId="183" xr:uid="{00000000-0005-0000-0000-0000D5010000}"/>
    <cellStyle name="Финансовый 3 2 2 3 2" xfId="455" xr:uid="{00000000-0005-0000-0000-0000D6010000}"/>
    <cellStyle name="Финансовый 3 2 2 4" xfId="319" xr:uid="{00000000-0005-0000-0000-0000D7010000}"/>
    <cellStyle name="Финансовый 3 2 2 5" xfId="691" xr:uid="{00000000-0005-0000-0000-0000D8010000}"/>
    <cellStyle name="Финансовый 3 2 3" xfId="115" xr:uid="{00000000-0005-0000-0000-0000D9010000}"/>
    <cellStyle name="Финансовый 3 2 3 2" xfId="251" xr:uid="{00000000-0005-0000-0000-0000DA010000}"/>
    <cellStyle name="Финансовый 3 2 3 2 2" xfId="523" xr:uid="{00000000-0005-0000-0000-0000DB010000}"/>
    <cellStyle name="Финансовый 3 2 3 3" xfId="387" xr:uid="{00000000-0005-0000-0000-0000DC010000}"/>
    <cellStyle name="Финансовый 3 2 3 4" xfId="693" xr:uid="{00000000-0005-0000-0000-0000DD010000}"/>
    <cellStyle name="Финансовый 3 2 4" xfId="79" xr:uid="{00000000-0005-0000-0000-0000DE010000}"/>
    <cellStyle name="Финансовый 3 2 4 2" xfId="215" xr:uid="{00000000-0005-0000-0000-0000DF010000}"/>
    <cellStyle name="Финансовый 3 2 4 2 2" xfId="487" xr:uid="{00000000-0005-0000-0000-0000E0010000}"/>
    <cellStyle name="Финансовый 3 2 4 3" xfId="351" xr:uid="{00000000-0005-0000-0000-0000E1010000}"/>
    <cellStyle name="Финансовый 3 2 4 4" xfId="694" xr:uid="{00000000-0005-0000-0000-0000E2010000}"/>
    <cellStyle name="Финансовый 3 2 5" xfId="57" xr:uid="{00000000-0005-0000-0000-0000E3010000}"/>
    <cellStyle name="Финансовый 3 2 5 2" xfId="195" xr:uid="{00000000-0005-0000-0000-0000E4010000}"/>
    <cellStyle name="Финансовый 3 2 5 2 2" xfId="467" xr:uid="{00000000-0005-0000-0000-0000E5010000}"/>
    <cellStyle name="Финансовый 3 2 5 3" xfId="331" xr:uid="{00000000-0005-0000-0000-0000E6010000}"/>
    <cellStyle name="Финансовый 3 2 5 4" xfId="695" xr:uid="{00000000-0005-0000-0000-0000E7010000}"/>
    <cellStyle name="Финансовый 3 2 6" xfId="135" xr:uid="{00000000-0005-0000-0000-0000E8010000}"/>
    <cellStyle name="Финансовый 3 2 6 2" xfId="271" xr:uid="{00000000-0005-0000-0000-0000E9010000}"/>
    <cellStyle name="Финансовый 3 2 6 2 2" xfId="543" xr:uid="{00000000-0005-0000-0000-0000EA010000}"/>
    <cellStyle name="Финансовый 3 2 6 3" xfId="407" xr:uid="{00000000-0005-0000-0000-0000EB010000}"/>
    <cellStyle name="Финансовый 3 2 6 4" xfId="696" xr:uid="{00000000-0005-0000-0000-0000EC010000}"/>
    <cellStyle name="Финансовый 3 2 7" xfId="33" xr:uid="{00000000-0005-0000-0000-0000ED010000}"/>
    <cellStyle name="Финансовый 3 2 7 2" xfId="171" xr:uid="{00000000-0005-0000-0000-0000EE010000}"/>
    <cellStyle name="Финансовый 3 2 7 2 2" xfId="443" xr:uid="{00000000-0005-0000-0000-0000EF010000}"/>
    <cellStyle name="Финансовый 3 2 7 3" xfId="307" xr:uid="{00000000-0005-0000-0000-0000F0010000}"/>
    <cellStyle name="Финансовый 3 2 7 4" xfId="697" xr:uid="{00000000-0005-0000-0000-0000F1010000}"/>
    <cellStyle name="Финансовый 3 2 8" xfId="21" xr:uid="{00000000-0005-0000-0000-0000F2010000}"/>
    <cellStyle name="Финансовый 3 2 8 2" xfId="159" xr:uid="{00000000-0005-0000-0000-0000F3010000}"/>
    <cellStyle name="Финансовый 3 2 8 2 2" xfId="431" xr:uid="{00000000-0005-0000-0000-0000F4010000}"/>
    <cellStyle name="Финансовый 3 2 8 3" xfId="295" xr:uid="{00000000-0005-0000-0000-0000F5010000}"/>
    <cellStyle name="Финансовый 3 2 8 4" xfId="698" xr:uid="{00000000-0005-0000-0000-0000F6010000}"/>
    <cellStyle name="Финансовый 3 2 9" xfId="147" xr:uid="{00000000-0005-0000-0000-0000F7010000}"/>
    <cellStyle name="Финансовый 3 2 9 2" xfId="419" xr:uid="{00000000-0005-0000-0000-0000F8010000}"/>
    <cellStyle name="Финансовый 3 3" xfId="39" xr:uid="{00000000-0005-0000-0000-0000F9010000}"/>
    <cellStyle name="Финансовый 3 3 2" xfId="121" xr:uid="{00000000-0005-0000-0000-0000FA010000}"/>
    <cellStyle name="Финансовый 3 3 2 2" xfId="257" xr:uid="{00000000-0005-0000-0000-0000FB010000}"/>
    <cellStyle name="Финансовый 3 3 2 2 2" xfId="529" xr:uid="{00000000-0005-0000-0000-0000FC010000}"/>
    <cellStyle name="Финансовый 3 3 2 3" xfId="393" xr:uid="{00000000-0005-0000-0000-0000FD010000}"/>
    <cellStyle name="Финансовый 3 3 2 4" xfId="700" xr:uid="{00000000-0005-0000-0000-0000FE010000}"/>
    <cellStyle name="Финансовый 3 3 3" xfId="85" xr:uid="{00000000-0005-0000-0000-0000FF010000}"/>
    <cellStyle name="Финансовый 3 3 3 2" xfId="221" xr:uid="{00000000-0005-0000-0000-000000020000}"/>
    <cellStyle name="Финансовый 3 3 3 2 2" xfId="493" xr:uid="{00000000-0005-0000-0000-000001020000}"/>
    <cellStyle name="Финансовый 3 3 3 3" xfId="357" xr:uid="{00000000-0005-0000-0000-000002020000}"/>
    <cellStyle name="Финансовый 3 3 3 4" xfId="701" xr:uid="{00000000-0005-0000-0000-000003020000}"/>
    <cellStyle name="Финансовый 3 3 4" xfId="177" xr:uid="{00000000-0005-0000-0000-000004020000}"/>
    <cellStyle name="Финансовый 3 3 4 2" xfId="449" xr:uid="{00000000-0005-0000-0000-000005020000}"/>
    <cellStyle name="Финансовый 3 3 5" xfId="313" xr:uid="{00000000-0005-0000-0000-000006020000}"/>
    <cellStyle name="Финансовый 3 3 6" xfId="699" xr:uid="{00000000-0005-0000-0000-000007020000}"/>
    <cellStyle name="Финансовый 3 4" xfId="91" xr:uid="{00000000-0005-0000-0000-000008020000}"/>
    <cellStyle name="Финансовый 3 4 2" xfId="227" xr:uid="{00000000-0005-0000-0000-000009020000}"/>
    <cellStyle name="Финансовый 3 4 2 2" xfId="499" xr:uid="{00000000-0005-0000-0000-00000A020000}"/>
    <cellStyle name="Финансовый 3 4 3" xfId="363" xr:uid="{00000000-0005-0000-0000-00000B020000}"/>
    <cellStyle name="Финансовый 3 4 4" xfId="702" xr:uid="{00000000-0005-0000-0000-00000C020000}"/>
    <cellStyle name="Финансовый 3 5" xfId="97" xr:uid="{00000000-0005-0000-0000-00000D020000}"/>
    <cellStyle name="Финансовый 3 5 2" xfId="233" xr:uid="{00000000-0005-0000-0000-00000E020000}"/>
    <cellStyle name="Финансовый 3 5 2 2" xfId="505" xr:uid="{00000000-0005-0000-0000-00000F020000}"/>
    <cellStyle name="Финансовый 3 5 3" xfId="369" xr:uid="{00000000-0005-0000-0000-000010020000}"/>
    <cellStyle name="Финансовый 3 5 4" xfId="703" xr:uid="{00000000-0005-0000-0000-000011020000}"/>
    <cellStyle name="Финансовый 3 6" xfId="109" xr:uid="{00000000-0005-0000-0000-000012020000}"/>
    <cellStyle name="Финансовый 3 6 2" xfId="245" xr:uid="{00000000-0005-0000-0000-000013020000}"/>
    <cellStyle name="Финансовый 3 6 2 2" xfId="517" xr:uid="{00000000-0005-0000-0000-000014020000}"/>
    <cellStyle name="Финансовый 3 6 3" xfId="381" xr:uid="{00000000-0005-0000-0000-000015020000}"/>
    <cellStyle name="Финансовый 3 6 4" xfId="704" xr:uid="{00000000-0005-0000-0000-000016020000}"/>
    <cellStyle name="Финансовый 3 7" xfId="74" xr:uid="{00000000-0005-0000-0000-000017020000}"/>
    <cellStyle name="Финансовый 3 7 2" xfId="210" xr:uid="{00000000-0005-0000-0000-000018020000}"/>
    <cellStyle name="Финансовый 3 7 2 2" xfId="482" xr:uid="{00000000-0005-0000-0000-000019020000}"/>
    <cellStyle name="Финансовый 3 7 3" xfId="346" xr:uid="{00000000-0005-0000-0000-00001A020000}"/>
    <cellStyle name="Финансовый 3 7 4" xfId="705" xr:uid="{00000000-0005-0000-0000-00001B020000}"/>
    <cellStyle name="Финансовый 3 8" xfId="51" xr:uid="{00000000-0005-0000-0000-00001C020000}"/>
    <cellStyle name="Финансовый 3 8 2" xfId="189" xr:uid="{00000000-0005-0000-0000-00001D020000}"/>
    <cellStyle name="Финансовый 3 8 2 2" xfId="461" xr:uid="{00000000-0005-0000-0000-00001E020000}"/>
    <cellStyle name="Финансовый 3 8 3" xfId="325" xr:uid="{00000000-0005-0000-0000-00001F020000}"/>
    <cellStyle name="Финансовый 3 8 4" xfId="595" xr:uid="{00000000-0005-0000-0000-000020020000}"/>
    <cellStyle name="Финансовый 3 9" xfId="129" xr:uid="{00000000-0005-0000-0000-000021020000}"/>
    <cellStyle name="Финансовый 3 9 2" xfId="265" xr:uid="{00000000-0005-0000-0000-000022020000}"/>
    <cellStyle name="Финансовый 3 9 2 2" xfId="537" xr:uid="{00000000-0005-0000-0000-000023020000}"/>
    <cellStyle name="Финансовый 3 9 3" xfId="401" xr:uid="{00000000-0005-0000-0000-000024020000}"/>
    <cellStyle name="Финансовый 3 9 4" xfId="598" xr:uid="{00000000-0005-0000-0000-000025020000}"/>
    <cellStyle name="Финансовый 4" xfId="5" xr:uid="{00000000-0005-0000-0000-000026020000}"/>
    <cellStyle name="Финансовый 4 10" xfId="29" xr:uid="{00000000-0005-0000-0000-000027020000}"/>
    <cellStyle name="Финансовый 4 10 2" xfId="167" xr:uid="{00000000-0005-0000-0000-000028020000}"/>
    <cellStyle name="Финансовый 4 10 2 2" xfId="439" xr:uid="{00000000-0005-0000-0000-000029020000}"/>
    <cellStyle name="Финансовый 4 10 3" xfId="303" xr:uid="{00000000-0005-0000-0000-00002A020000}"/>
    <cellStyle name="Финансовый 4 10 4" xfId="707" xr:uid="{00000000-0005-0000-0000-00002B020000}"/>
    <cellStyle name="Финансовый 4 11" xfId="17" xr:uid="{00000000-0005-0000-0000-00002C020000}"/>
    <cellStyle name="Финансовый 4 11 2" xfId="155" xr:uid="{00000000-0005-0000-0000-00002D020000}"/>
    <cellStyle name="Финансовый 4 11 2 2" xfId="427" xr:uid="{00000000-0005-0000-0000-00002E020000}"/>
    <cellStyle name="Финансовый 4 11 3" xfId="291" xr:uid="{00000000-0005-0000-0000-00002F020000}"/>
    <cellStyle name="Финансовый 4 11 4" xfId="708" xr:uid="{00000000-0005-0000-0000-000030020000}"/>
    <cellStyle name="Финансовый 4 12" xfId="143" xr:uid="{00000000-0005-0000-0000-000031020000}"/>
    <cellStyle name="Финансовый 4 12 2" xfId="415" xr:uid="{00000000-0005-0000-0000-000032020000}"/>
    <cellStyle name="Финансовый 4 13" xfId="551" xr:uid="{00000000-0005-0000-0000-000033020000}"/>
    <cellStyle name="Финансовый 4 14" xfId="279" xr:uid="{00000000-0005-0000-0000-000034020000}"/>
    <cellStyle name="Финансовый 4 15" xfId="706" xr:uid="{00000000-0005-0000-0000-000035020000}"/>
    <cellStyle name="Финансовый 4 2" xfId="11" xr:uid="{00000000-0005-0000-0000-000036020000}"/>
    <cellStyle name="Финансовый 4 2 10" xfId="557" xr:uid="{00000000-0005-0000-0000-000037020000}"/>
    <cellStyle name="Финансовый 4 2 11" xfId="285" xr:uid="{00000000-0005-0000-0000-000038020000}"/>
    <cellStyle name="Финансовый 4 2 12" xfId="709" xr:uid="{00000000-0005-0000-0000-000039020000}"/>
    <cellStyle name="Финансовый 4 2 2" xfId="47" xr:uid="{00000000-0005-0000-0000-00003A020000}"/>
    <cellStyle name="Финансовый 4 2 2 2" xfId="105" xr:uid="{00000000-0005-0000-0000-00003B020000}"/>
    <cellStyle name="Финансовый 4 2 2 2 2" xfId="241" xr:uid="{00000000-0005-0000-0000-00003C020000}"/>
    <cellStyle name="Финансовый 4 2 2 2 2 2" xfId="513" xr:uid="{00000000-0005-0000-0000-00003D020000}"/>
    <cellStyle name="Финансовый 4 2 2 2 3" xfId="377" xr:uid="{00000000-0005-0000-0000-00003E020000}"/>
    <cellStyle name="Финансовый 4 2 2 2 4" xfId="602" xr:uid="{00000000-0005-0000-0000-00003F020000}"/>
    <cellStyle name="Финансовый 4 2 2 3" xfId="185" xr:uid="{00000000-0005-0000-0000-000040020000}"/>
    <cellStyle name="Финансовый 4 2 2 3 2" xfId="457" xr:uid="{00000000-0005-0000-0000-000041020000}"/>
    <cellStyle name="Финансовый 4 2 2 4" xfId="321" xr:uid="{00000000-0005-0000-0000-000042020000}"/>
    <cellStyle name="Финансовый 4 2 2 5" xfId="710" xr:uid="{00000000-0005-0000-0000-000043020000}"/>
    <cellStyle name="Финансовый 4 2 3" xfId="117" xr:uid="{00000000-0005-0000-0000-000044020000}"/>
    <cellStyle name="Финансовый 4 2 3 2" xfId="253" xr:uid="{00000000-0005-0000-0000-000045020000}"/>
    <cellStyle name="Финансовый 4 2 3 2 2" xfId="525" xr:uid="{00000000-0005-0000-0000-000046020000}"/>
    <cellStyle name="Финансовый 4 2 3 3" xfId="389" xr:uid="{00000000-0005-0000-0000-000047020000}"/>
    <cellStyle name="Финансовый 4 2 3 4" xfId="711" xr:uid="{00000000-0005-0000-0000-000048020000}"/>
    <cellStyle name="Финансовый 4 2 4" xfId="81" xr:uid="{00000000-0005-0000-0000-000049020000}"/>
    <cellStyle name="Финансовый 4 2 4 2" xfId="217" xr:uid="{00000000-0005-0000-0000-00004A020000}"/>
    <cellStyle name="Финансовый 4 2 4 2 2" xfId="489" xr:uid="{00000000-0005-0000-0000-00004B020000}"/>
    <cellStyle name="Финансовый 4 2 4 3" xfId="353" xr:uid="{00000000-0005-0000-0000-00004C020000}"/>
    <cellStyle name="Финансовый 4 2 4 4" xfId="712" xr:uid="{00000000-0005-0000-0000-00004D020000}"/>
    <cellStyle name="Финансовый 4 2 5" xfId="59" xr:uid="{00000000-0005-0000-0000-00004E020000}"/>
    <cellStyle name="Финансовый 4 2 5 2" xfId="197" xr:uid="{00000000-0005-0000-0000-00004F020000}"/>
    <cellStyle name="Финансовый 4 2 5 2 2" xfId="469" xr:uid="{00000000-0005-0000-0000-000050020000}"/>
    <cellStyle name="Финансовый 4 2 5 3" xfId="333" xr:uid="{00000000-0005-0000-0000-000051020000}"/>
    <cellStyle name="Финансовый 4 2 5 4" xfId="713" xr:uid="{00000000-0005-0000-0000-000052020000}"/>
    <cellStyle name="Финансовый 4 2 6" xfId="137" xr:uid="{00000000-0005-0000-0000-000053020000}"/>
    <cellStyle name="Финансовый 4 2 6 2" xfId="273" xr:uid="{00000000-0005-0000-0000-000054020000}"/>
    <cellStyle name="Финансовый 4 2 6 2 2" xfId="545" xr:uid="{00000000-0005-0000-0000-000055020000}"/>
    <cellStyle name="Финансовый 4 2 6 3" xfId="409" xr:uid="{00000000-0005-0000-0000-000056020000}"/>
    <cellStyle name="Финансовый 4 2 6 4" xfId="628" xr:uid="{00000000-0005-0000-0000-000057020000}"/>
    <cellStyle name="Финансовый 4 2 7" xfId="35" xr:uid="{00000000-0005-0000-0000-000058020000}"/>
    <cellStyle name="Финансовый 4 2 7 2" xfId="173" xr:uid="{00000000-0005-0000-0000-000059020000}"/>
    <cellStyle name="Финансовый 4 2 7 2 2" xfId="445" xr:uid="{00000000-0005-0000-0000-00005A020000}"/>
    <cellStyle name="Финансовый 4 2 7 3" xfId="309" xr:uid="{00000000-0005-0000-0000-00005B020000}"/>
    <cellStyle name="Финансовый 4 2 7 4" xfId="651" xr:uid="{00000000-0005-0000-0000-00005C020000}"/>
    <cellStyle name="Финансовый 4 2 8" xfId="23" xr:uid="{00000000-0005-0000-0000-00005D020000}"/>
    <cellStyle name="Финансовый 4 2 8 2" xfId="161" xr:uid="{00000000-0005-0000-0000-00005E020000}"/>
    <cellStyle name="Финансовый 4 2 8 2 2" xfId="433" xr:uid="{00000000-0005-0000-0000-00005F020000}"/>
    <cellStyle name="Финансовый 4 2 8 3" xfId="297" xr:uid="{00000000-0005-0000-0000-000060020000}"/>
    <cellStyle name="Финансовый 4 2 8 4" xfId="671" xr:uid="{00000000-0005-0000-0000-000061020000}"/>
    <cellStyle name="Финансовый 4 2 9" xfId="149" xr:uid="{00000000-0005-0000-0000-000062020000}"/>
    <cellStyle name="Финансовый 4 2 9 2" xfId="421" xr:uid="{00000000-0005-0000-0000-000063020000}"/>
    <cellStyle name="Финансовый 4 3" xfId="41" xr:uid="{00000000-0005-0000-0000-000064020000}"/>
    <cellStyle name="Финансовый 4 3 2" xfId="123" xr:uid="{00000000-0005-0000-0000-000065020000}"/>
    <cellStyle name="Финансовый 4 3 2 2" xfId="259" xr:uid="{00000000-0005-0000-0000-000066020000}"/>
    <cellStyle name="Финансовый 4 3 2 2 2" xfId="531" xr:uid="{00000000-0005-0000-0000-000067020000}"/>
    <cellStyle name="Финансовый 4 3 2 3" xfId="395" xr:uid="{00000000-0005-0000-0000-000068020000}"/>
    <cellStyle name="Финансовый 4 3 2 4" xfId="714" xr:uid="{00000000-0005-0000-0000-000069020000}"/>
    <cellStyle name="Финансовый 4 3 3" xfId="87" xr:uid="{00000000-0005-0000-0000-00006A020000}"/>
    <cellStyle name="Финансовый 4 3 3 2" xfId="223" xr:uid="{00000000-0005-0000-0000-00006B020000}"/>
    <cellStyle name="Финансовый 4 3 3 2 2" xfId="495" xr:uid="{00000000-0005-0000-0000-00006C020000}"/>
    <cellStyle name="Финансовый 4 3 3 3" xfId="359" xr:uid="{00000000-0005-0000-0000-00006D020000}"/>
    <cellStyle name="Финансовый 4 3 3 4" xfId="715" xr:uid="{00000000-0005-0000-0000-00006E020000}"/>
    <cellStyle name="Финансовый 4 3 4" xfId="179" xr:uid="{00000000-0005-0000-0000-00006F020000}"/>
    <cellStyle name="Финансовый 4 3 4 2" xfId="451" xr:uid="{00000000-0005-0000-0000-000070020000}"/>
    <cellStyle name="Финансовый 4 3 5" xfId="315" xr:uid="{00000000-0005-0000-0000-000071020000}"/>
    <cellStyle name="Финансовый 4 3 6" xfId="607" xr:uid="{00000000-0005-0000-0000-000072020000}"/>
    <cellStyle name="Финансовый 4 4" xfId="93" xr:uid="{00000000-0005-0000-0000-000073020000}"/>
    <cellStyle name="Финансовый 4 4 2" xfId="229" xr:uid="{00000000-0005-0000-0000-000074020000}"/>
    <cellStyle name="Финансовый 4 4 2 2" xfId="501" xr:uid="{00000000-0005-0000-0000-000075020000}"/>
    <cellStyle name="Финансовый 4 4 3" xfId="365" xr:uid="{00000000-0005-0000-0000-000076020000}"/>
    <cellStyle name="Финансовый 4 4 4" xfId="716" xr:uid="{00000000-0005-0000-0000-000077020000}"/>
    <cellStyle name="Финансовый 4 5" xfId="99" xr:uid="{00000000-0005-0000-0000-000078020000}"/>
    <cellStyle name="Финансовый 4 5 2" xfId="235" xr:uid="{00000000-0005-0000-0000-000079020000}"/>
    <cellStyle name="Финансовый 4 5 2 2" xfId="507" xr:uid="{00000000-0005-0000-0000-00007A020000}"/>
    <cellStyle name="Финансовый 4 5 3" xfId="371" xr:uid="{00000000-0005-0000-0000-00007B020000}"/>
    <cellStyle name="Финансовый 4 5 4" xfId="717" xr:uid="{00000000-0005-0000-0000-00007C020000}"/>
    <cellStyle name="Финансовый 4 6" xfId="111" xr:uid="{00000000-0005-0000-0000-00007D020000}"/>
    <cellStyle name="Финансовый 4 6 2" xfId="247" xr:uid="{00000000-0005-0000-0000-00007E020000}"/>
    <cellStyle name="Финансовый 4 6 2 2" xfId="519" xr:uid="{00000000-0005-0000-0000-00007F020000}"/>
    <cellStyle name="Финансовый 4 6 3" xfId="383" xr:uid="{00000000-0005-0000-0000-000080020000}"/>
    <cellStyle name="Финансовый 4 6 4" xfId="653" xr:uid="{00000000-0005-0000-0000-000081020000}"/>
    <cellStyle name="Финансовый 4 7" xfId="75" xr:uid="{00000000-0005-0000-0000-000082020000}"/>
    <cellStyle name="Финансовый 4 7 2" xfId="211" xr:uid="{00000000-0005-0000-0000-000083020000}"/>
    <cellStyle name="Финансовый 4 7 2 2" xfId="483" xr:uid="{00000000-0005-0000-0000-000084020000}"/>
    <cellStyle name="Финансовый 4 7 3" xfId="347" xr:uid="{00000000-0005-0000-0000-000085020000}"/>
    <cellStyle name="Финансовый 4 7 4" xfId="621" xr:uid="{00000000-0005-0000-0000-000086020000}"/>
    <cellStyle name="Финансовый 4 8" xfId="53" xr:uid="{00000000-0005-0000-0000-000087020000}"/>
    <cellStyle name="Финансовый 4 8 2" xfId="191" xr:uid="{00000000-0005-0000-0000-000088020000}"/>
    <cellStyle name="Финансовый 4 8 2 2" xfId="463" xr:uid="{00000000-0005-0000-0000-000089020000}"/>
    <cellStyle name="Финансовый 4 8 3" xfId="327" xr:uid="{00000000-0005-0000-0000-00008A020000}"/>
    <cellStyle name="Финансовый 4 8 4" xfId="608" xr:uid="{00000000-0005-0000-0000-00008B020000}"/>
    <cellStyle name="Финансовый 4 9" xfId="131" xr:uid="{00000000-0005-0000-0000-00008C020000}"/>
    <cellStyle name="Финансовый 4 9 2" xfId="267" xr:uid="{00000000-0005-0000-0000-00008D020000}"/>
    <cellStyle name="Финансовый 4 9 2 2" xfId="539" xr:uid="{00000000-0005-0000-0000-00008E020000}"/>
    <cellStyle name="Финансовый 4 9 3" xfId="403" xr:uid="{00000000-0005-0000-0000-00008F020000}"/>
    <cellStyle name="Финансовый 4 9 4" xfId="624" xr:uid="{00000000-0005-0000-0000-000090020000}"/>
    <cellStyle name="Финансовый 5" xfId="7" xr:uid="{00000000-0005-0000-0000-000091020000}"/>
    <cellStyle name="Финансовый 5 10" xfId="553" xr:uid="{00000000-0005-0000-0000-000092020000}"/>
    <cellStyle name="Финансовый 5 11" xfId="281" xr:uid="{00000000-0005-0000-0000-000093020000}"/>
    <cellStyle name="Финансовый 5 12" xfId="718" xr:uid="{00000000-0005-0000-0000-000094020000}"/>
    <cellStyle name="Финансовый 5 2" xfId="43" xr:uid="{00000000-0005-0000-0000-000095020000}"/>
    <cellStyle name="Финансовый 5 2 2" xfId="101" xr:uid="{00000000-0005-0000-0000-000096020000}"/>
    <cellStyle name="Финансовый 5 2 2 2" xfId="237" xr:uid="{00000000-0005-0000-0000-000097020000}"/>
    <cellStyle name="Финансовый 5 2 2 2 2" xfId="509" xr:uid="{00000000-0005-0000-0000-000098020000}"/>
    <cellStyle name="Финансовый 5 2 2 3" xfId="373" xr:uid="{00000000-0005-0000-0000-000099020000}"/>
    <cellStyle name="Финансовый 5 2 2 4" xfId="720" xr:uid="{00000000-0005-0000-0000-00009A020000}"/>
    <cellStyle name="Финансовый 5 2 3" xfId="181" xr:uid="{00000000-0005-0000-0000-00009B020000}"/>
    <cellStyle name="Финансовый 5 2 3 2" xfId="453" xr:uid="{00000000-0005-0000-0000-00009C020000}"/>
    <cellStyle name="Финансовый 5 2 4" xfId="317" xr:uid="{00000000-0005-0000-0000-00009D020000}"/>
    <cellStyle name="Финансовый 5 2 5" xfId="719" xr:uid="{00000000-0005-0000-0000-00009E020000}"/>
    <cellStyle name="Финансовый 5 3" xfId="113" xr:uid="{00000000-0005-0000-0000-00009F020000}"/>
    <cellStyle name="Финансовый 5 3 2" xfId="249" xr:uid="{00000000-0005-0000-0000-0000A0020000}"/>
    <cellStyle name="Финансовый 5 3 2 2" xfId="521" xr:uid="{00000000-0005-0000-0000-0000A1020000}"/>
    <cellStyle name="Финансовый 5 3 3" xfId="385" xr:uid="{00000000-0005-0000-0000-0000A2020000}"/>
    <cellStyle name="Финансовый 5 3 4" xfId="721" xr:uid="{00000000-0005-0000-0000-0000A3020000}"/>
    <cellStyle name="Финансовый 5 4" xfId="77" xr:uid="{00000000-0005-0000-0000-0000A4020000}"/>
    <cellStyle name="Финансовый 5 4 2" xfId="213" xr:uid="{00000000-0005-0000-0000-0000A5020000}"/>
    <cellStyle name="Финансовый 5 4 2 2" xfId="485" xr:uid="{00000000-0005-0000-0000-0000A6020000}"/>
    <cellStyle name="Финансовый 5 4 3" xfId="349" xr:uid="{00000000-0005-0000-0000-0000A7020000}"/>
    <cellStyle name="Финансовый 5 4 4" xfId="722" xr:uid="{00000000-0005-0000-0000-0000A8020000}"/>
    <cellStyle name="Финансовый 5 5" xfId="55" xr:uid="{00000000-0005-0000-0000-0000A9020000}"/>
    <cellStyle name="Финансовый 5 5 2" xfId="193" xr:uid="{00000000-0005-0000-0000-0000AA020000}"/>
    <cellStyle name="Финансовый 5 5 2 2" xfId="465" xr:uid="{00000000-0005-0000-0000-0000AB020000}"/>
    <cellStyle name="Финансовый 5 5 3" xfId="329" xr:uid="{00000000-0005-0000-0000-0000AC020000}"/>
    <cellStyle name="Финансовый 5 5 4" xfId="723" xr:uid="{00000000-0005-0000-0000-0000AD020000}"/>
    <cellStyle name="Финансовый 5 6" xfId="133" xr:uid="{00000000-0005-0000-0000-0000AE020000}"/>
    <cellStyle name="Финансовый 5 6 2" xfId="269" xr:uid="{00000000-0005-0000-0000-0000AF020000}"/>
    <cellStyle name="Финансовый 5 6 2 2" xfId="541" xr:uid="{00000000-0005-0000-0000-0000B0020000}"/>
    <cellStyle name="Финансовый 5 6 3" xfId="405" xr:uid="{00000000-0005-0000-0000-0000B1020000}"/>
    <cellStyle name="Финансовый 5 6 4" xfId="724" xr:uid="{00000000-0005-0000-0000-0000B2020000}"/>
    <cellStyle name="Финансовый 5 7" xfId="31" xr:uid="{00000000-0005-0000-0000-0000B3020000}"/>
    <cellStyle name="Финансовый 5 7 2" xfId="169" xr:uid="{00000000-0005-0000-0000-0000B4020000}"/>
    <cellStyle name="Финансовый 5 7 2 2" xfId="441" xr:uid="{00000000-0005-0000-0000-0000B5020000}"/>
    <cellStyle name="Финансовый 5 7 3" xfId="305" xr:uid="{00000000-0005-0000-0000-0000B6020000}"/>
    <cellStyle name="Финансовый 5 7 4" xfId="725" xr:uid="{00000000-0005-0000-0000-0000B7020000}"/>
    <cellStyle name="Финансовый 5 8" xfId="19" xr:uid="{00000000-0005-0000-0000-0000B8020000}"/>
    <cellStyle name="Финансовый 5 8 2" xfId="157" xr:uid="{00000000-0005-0000-0000-0000B9020000}"/>
    <cellStyle name="Финансовый 5 8 2 2" xfId="429" xr:uid="{00000000-0005-0000-0000-0000BA020000}"/>
    <cellStyle name="Финансовый 5 8 3" xfId="293" xr:uid="{00000000-0005-0000-0000-0000BB020000}"/>
    <cellStyle name="Финансовый 5 8 4" xfId="726" xr:uid="{00000000-0005-0000-0000-0000BC020000}"/>
    <cellStyle name="Финансовый 5 9" xfId="145" xr:uid="{00000000-0005-0000-0000-0000BD020000}"/>
    <cellStyle name="Финансовый 5 9 2" xfId="417" xr:uid="{00000000-0005-0000-0000-0000BE020000}"/>
    <cellStyle name="Финансовый 6" xfId="37" xr:uid="{00000000-0005-0000-0000-0000BF020000}"/>
    <cellStyle name="Финансовый 6 2" xfId="119" xr:uid="{00000000-0005-0000-0000-0000C0020000}"/>
    <cellStyle name="Финансовый 6 2 2" xfId="255" xr:uid="{00000000-0005-0000-0000-0000C1020000}"/>
    <cellStyle name="Финансовый 6 2 2 2" xfId="527" xr:uid="{00000000-0005-0000-0000-0000C2020000}"/>
    <cellStyle name="Финансовый 6 2 3" xfId="391" xr:uid="{00000000-0005-0000-0000-0000C3020000}"/>
    <cellStyle name="Финансовый 6 2 4" xfId="728" xr:uid="{00000000-0005-0000-0000-0000C4020000}"/>
    <cellStyle name="Финансовый 6 3" xfId="83" xr:uid="{00000000-0005-0000-0000-0000C5020000}"/>
    <cellStyle name="Финансовый 6 3 2" xfId="219" xr:uid="{00000000-0005-0000-0000-0000C6020000}"/>
    <cellStyle name="Финансовый 6 3 2 2" xfId="491" xr:uid="{00000000-0005-0000-0000-0000C7020000}"/>
    <cellStyle name="Финансовый 6 3 3" xfId="355" xr:uid="{00000000-0005-0000-0000-0000C8020000}"/>
    <cellStyle name="Финансовый 6 3 4" xfId="618" xr:uid="{00000000-0005-0000-0000-0000C9020000}"/>
    <cellStyle name="Финансовый 6 4" xfId="175" xr:uid="{00000000-0005-0000-0000-0000CA020000}"/>
    <cellStyle name="Финансовый 6 4 2" xfId="447" xr:uid="{00000000-0005-0000-0000-0000CB020000}"/>
    <cellStyle name="Финансовый 6 5" xfId="311" xr:uid="{00000000-0005-0000-0000-0000CC020000}"/>
    <cellStyle name="Финансовый 6 6" xfId="727" xr:uid="{00000000-0005-0000-0000-0000CD020000}"/>
    <cellStyle name="Финансовый 7" xfId="89" xr:uid="{00000000-0005-0000-0000-0000CE020000}"/>
    <cellStyle name="Финансовый 7 2" xfId="225" xr:uid="{00000000-0005-0000-0000-0000CF020000}"/>
    <cellStyle name="Финансовый 7 2 2" xfId="497" xr:uid="{00000000-0005-0000-0000-0000D0020000}"/>
    <cellStyle name="Финансовый 7 3" xfId="361" xr:uid="{00000000-0005-0000-0000-0000D1020000}"/>
    <cellStyle name="Финансовый 7 4" xfId="729" xr:uid="{00000000-0005-0000-0000-0000D2020000}"/>
    <cellStyle name="Финансовый 8" xfId="95" xr:uid="{00000000-0005-0000-0000-0000D3020000}"/>
    <cellStyle name="Финансовый 8 2" xfId="231" xr:uid="{00000000-0005-0000-0000-0000D4020000}"/>
    <cellStyle name="Финансовый 8 2 2" xfId="503" xr:uid="{00000000-0005-0000-0000-0000D5020000}"/>
    <cellStyle name="Финансовый 8 3" xfId="367" xr:uid="{00000000-0005-0000-0000-0000D6020000}"/>
    <cellStyle name="Финансовый 8 4" xfId="730" xr:uid="{00000000-0005-0000-0000-0000D7020000}"/>
    <cellStyle name="Финансовый 9" xfId="107" xr:uid="{00000000-0005-0000-0000-0000D8020000}"/>
    <cellStyle name="Финансовый 9 2" xfId="243" xr:uid="{00000000-0005-0000-0000-0000D9020000}"/>
    <cellStyle name="Финансовый 9 2 2" xfId="515" xr:uid="{00000000-0005-0000-0000-0000DA020000}"/>
    <cellStyle name="Финансовый 9 3" xfId="379" xr:uid="{00000000-0005-0000-0000-0000DB020000}"/>
    <cellStyle name="Финансовый 9 4" xfId="731" xr:uid="{00000000-0005-0000-0000-0000DC02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5" t="str">
        <f>""&amp;'Общие данные'!B147&amp;"
mikromoliya tashkiloti
Kredit qo‘mitasining yig‘ilishi"</f>
        <v>«CLEVER MIKROMOLIYA TASHKILOTI» MChJ
mikromoliya tashkiloti
Kredit qo‘mitasining yig‘ilishi</v>
      </c>
      <c r="B1" s="235"/>
      <c r="C1" s="235"/>
      <c r="D1" s="235"/>
      <c r="E1" s="235"/>
    </row>
    <row r="2" spans="1:33" ht="29.25" customHeight="1">
      <c r="A2" s="235" t="str">
        <f>""&amp;H7&amp;" protokolidan ko'chirma"</f>
        <v>№ -NN protokolidan ko'chirma</v>
      </c>
      <c r="B2" s="235"/>
      <c r="C2" s="235"/>
      <c r="D2" s="235"/>
      <c r="E2" s="235"/>
    </row>
    <row r="3" spans="1:33" ht="29.25" customHeight="1">
      <c r="A3" s="132" t="s">
        <v>203</v>
      </c>
      <c r="B3" s="50"/>
      <c r="C3" s="50"/>
      <c r="D3" s="50"/>
      <c r="E3" s="133" t="str">
        <f>'Общие данные'!B68</f>
        <v>11 mart 2025 y.</v>
      </c>
    </row>
    <row r="4" spans="1:33" ht="29.25" customHeight="1">
      <c r="A4" s="50"/>
      <c r="B4" s="235" t="s">
        <v>202</v>
      </c>
      <c r="C4" s="235"/>
      <c r="D4" s="235"/>
      <c r="E4" s="50"/>
    </row>
    <row r="5" spans="1:33" ht="36" customHeight="1">
      <c r="A5" s="234" t="str">
        <f>"         "&amp;H8&amp;"."&amp;'Общие данные'!B5&amp;" ga "&amp;'Общие данные'!B65&amp;" berish masalasini ko‘rib chiqish to‘g‘risida."</f>
        <v xml:space="preserve">         1.NUTFULLAYEV AKBARJON AXMEDOVICH ga mikroqarz berish masalasini ko‘rib chiqish to‘g‘risida.</v>
      </c>
      <c r="B5" s="234"/>
      <c r="C5" s="234"/>
      <c r="D5" s="234"/>
      <c r="E5" s="234"/>
    </row>
    <row r="7" spans="1:33" ht="21" customHeight="1">
      <c r="A7" s="233"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3"/>
      <c r="C7" s="233"/>
      <c r="D7" s="233"/>
      <c r="E7" s="233"/>
      <c r="G7" s="62" t="s">
        <v>258</v>
      </c>
      <c r="H7" s="63" t="str">
        <f>'Общие данные'!B1</f>
        <v>№ -NN</v>
      </c>
    </row>
    <row r="8" spans="1:33" ht="23.25">
      <c r="A8" s="233"/>
      <c r="B8" s="233"/>
      <c r="C8" s="233"/>
      <c r="D8" s="233"/>
      <c r="E8" s="233"/>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3"/>
      <c r="B9" s="233"/>
      <c r="C9" s="233"/>
      <c r="D9" s="233"/>
      <c r="E9" s="233"/>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3"/>
      <c r="B10" s="233"/>
      <c r="C10" s="233"/>
      <c r="D10" s="233"/>
      <c r="E10" s="233"/>
    </row>
    <row r="11" spans="1:33" ht="9" hidden="1" customHeight="1">
      <c r="A11" s="233"/>
      <c r="B11" s="233"/>
      <c r="C11" s="233"/>
      <c r="D11" s="233"/>
      <c r="E11" s="233"/>
    </row>
    <row r="12" spans="1:33" ht="3" hidden="1" customHeight="1">
      <c r="A12" s="233"/>
      <c r="B12" s="233"/>
      <c r="C12" s="233"/>
      <c r="D12" s="233"/>
      <c r="E12" s="233"/>
    </row>
    <row r="13" spans="1:33" ht="7.5" customHeight="1"/>
    <row r="14" spans="1:33" ht="15.75" customHeight="1">
      <c r="A14" s="236" t="str">
        <f>""&amp;'Общие данные'!C64&amp;" ta’minoti:"</f>
        <v>Mikroqarz ta’minoti:</v>
      </c>
      <c r="B14" s="236"/>
      <c r="C14" s="236"/>
      <c r="D14" s="236"/>
      <c r="E14" s="236"/>
    </row>
    <row r="15" spans="1:33" ht="7.5" customHeight="1"/>
    <row r="16" spans="1:33" ht="57" customHeight="1">
      <c r="A16" s="233"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3"/>
      <c r="C16" s="233"/>
      <c r="D16" s="233"/>
      <c r="E16" s="233"/>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3"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3"/>
      <c r="C18" s="233"/>
      <c r="D18" s="233"/>
      <c r="E18" s="233"/>
    </row>
    <row r="19" spans="1:5" ht="24" customHeight="1">
      <c r="A19" s="237" t="s">
        <v>261</v>
      </c>
      <c r="B19" s="237"/>
      <c r="C19" s="237"/>
      <c r="D19" s="237"/>
      <c r="E19" s="237"/>
    </row>
    <row r="20" spans="1:5" ht="32.25" customHeight="1">
      <c r="A20" s="233" t="str">
        <f>"       "&amp;'Общие данные'!B5&amp;"ga quyidagi shartlarda "&amp;'Общие данные'!B65&amp;" berish masalasi ma’qullansin:"</f>
        <v xml:space="preserve">       NUTFULLAYEV AKBARJON AXMEDOVICHga quyidagi shartlarda mikroqarz berish masalasi ma’qullansin:</v>
      </c>
      <c r="B20" s="233"/>
      <c r="C20" s="233"/>
      <c r="D20" s="233"/>
      <c r="E20" s="233"/>
    </row>
    <row r="21" spans="1:5" s="134" customFormat="1" ht="18.75" customHeight="1">
      <c r="A21" s="234" t="str">
        <f>"1. "&amp;'Общие данные'!C64&amp;" summasi: "&amp;FIXED('Общие данные'!B75)&amp;" ("&amp;'Общие данные'!B76&amp;") so'm."</f>
        <v>1. Mikroqarz summasi: 27 000 000,00 (yigirma yetti million so'm) so'm.</v>
      </c>
      <c r="B21" s="234"/>
      <c r="C21" s="234"/>
      <c r="D21" s="234"/>
      <c r="E21" s="234"/>
    </row>
    <row r="22" spans="1:5" s="134" customFormat="1" ht="18.75" customHeight="1">
      <c r="A22" s="234" t="str">
        <f>"2. "&amp;'Общие данные'!C64&amp;" muddati: "&amp;'Общие данные'!B81&amp;" ("&amp;'Общие данные'!B82&amp;") oy "</f>
        <v xml:space="preserve">2. Mikroqarz muddati: 36 (o'ttiz olti) oy </v>
      </c>
      <c r="B22" s="234"/>
      <c r="C22" s="234"/>
      <c r="D22" s="234"/>
      <c r="E22" s="234"/>
    </row>
    <row r="23" spans="1:5" s="134" customFormat="1" ht="18.75" customHeight="1">
      <c r="A23" s="234" t="str">
        <f>"3. "&amp;'Общие данные'!C64&amp;"dan foydalanganlik uchun foiz stavkasi:yillik "&amp;'Общие данные'!B85&amp;"% ("&amp;'Общие данные'!B86&amp;") foiz."</f>
        <v>3. Mikroqarzdan foydalanganlik uchun foiz stavkasi:yillik 60% (Oltmish) foiz.</v>
      </c>
      <c r="B23" s="234"/>
      <c r="C23" s="234"/>
      <c r="D23" s="234"/>
      <c r="E23" s="234"/>
    </row>
    <row r="24" spans="1:5" s="134" customFormat="1" ht="18.75" customHeight="1">
      <c r="A24" s="234" t="str">
        <f>"4. "&amp;'Общие данные'!C64&amp;" bo‘yicha asosiy qarz va foizlarni to‘lash:"</f>
        <v>4. Mikroqarz bo‘yicha asosiy qarz va foizlarni to‘lash:</v>
      </c>
      <c r="B24" s="234"/>
      <c r="C24" s="234"/>
      <c r="D24" s="234"/>
      <c r="E24" s="234"/>
    </row>
    <row r="25" spans="1:5" s="134" customFormat="1" ht="18.75" customHeight="1">
      <c r="A25" s="234" t="str">
        <f>'Кредитная заявка'!A19:D19</f>
        <v xml:space="preserve"> - mikroqarz shartnomasi bo'yicha har oy differensial to'lovlari amalga oshiriladi</v>
      </c>
      <c r="B25" s="234"/>
      <c r="C25" s="234"/>
      <c r="D25" s="234"/>
      <c r="E25" s="234"/>
    </row>
    <row r="26" spans="1:5" ht="48" customHeight="1">
      <c r="A26" s="233"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3"/>
      <c r="C26" s="233"/>
      <c r="D26" s="233"/>
      <c r="E26" s="233"/>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3" t="str">
        <f>'Акт согласования'!A22:E22</f>
        <v>-* avtotransport egasi: NUTFULLAYEV AKBARJON AXMEDOVICH</v>
      </c>
      <c r="B29" s="233"/>
      <c r="C29" s="233"/>
      <c r="D29" s="233"/>
      <c r="E29" s="233"/>
    </row>
    <row r="30" spans="1:5" ht="20.25" customHeight="1">
      <c r="A30" s="233" t="str">
        <f>'Акт согласования'!A23:E23</f>
        <v>-* texnik pasport: AAG   2346592  13.09.2023y</v>
      </c>
      <c r="B30" s="233"/>
      <c r="C30" s="233"/>
      <c r="D30" s="233"/>
      <c r="E30" s="233"/>
    </row>
    <row r="31" spans="1:5" ht="22.5" customHeight="1">
      <c r="A31" s="233" t="str">
        <f>'Акт согласования'!A24:E24</f>
        <v>-* roʻyxatdan oʻtgan manzili/garaj manzili: BUXORO VILOYATI BUXORO SHAHAR TADBIRKOR KO'CHASI 12-UY</v>
      </c>
      <c r="B31" s="233"/>
      <c r="C31" s="233"/>
      <c r="D31" s="233"/>
      <c r="E31" s="233"/>
    </row>
    <row r="32" spans="1:5" ht="25.5" customHeight="1">
      <c r="A32" s="233" t="str">
        <f>'Акт согласования'!A25:E25</f>
        <v>-* davlat raqami: 80T312WA</v>
      </c>
      <c r="B32" s="233"/>
      <c r="C32" s="233"/>
      <c r="D32" s="233"/>
      <c r="E32" s="233"/>
    </row>
    <row r="33" spans="1:5" ht="12" customHeight="1">
      <c r="A33" s="135"/>
      <c r="B33" s="135"/>
      <c r="C33" s="135"/>
      <c r="D33" s="135"/>
      <c r="E33" s="135"/>
    </row>
    <row r="34" spans="1:5" ht="20.25" customHeight="1">
      <c r="A34" s="233"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3"/>
      <c r="C34" s="233"/>
      <c r="D34" s="233"/>
      <c r="E34" s="233"/>
    </row>
    <row r="36" spans="1:5" ht="29.25" customHeight="1">
      <c r="A36" s="230" t="s">
        <v>262</v>
      </c>
      <c r="B36" s="230"/>
      <c r="C36" s="230"/>
      <c r="D36" s="230"/>
      <c r="E36" s="230"/>
    </row>
    <row r="37" spans="1:5" ht="29.25" customHeight="1">
      <c r="A37" s="231" t="s">
        <v>400</v>
      </c>
      <c r="B37" s="231"/>
      <c r="C37" s="162"/>
      <c r="D37" s="163"/>
      <c r="E37" s="163"/>
    </row>
    <row r="38" spans="1:5" ht="29.25" customHeight="1">
      <c r="A38" s="232" t="str">
        <f>"2. "&amp;'Общие данные'!B159&amp;""</f>
        <v>2. Mominov B.X.</v>
      </c>
      <c r="B38" s="232"/>
      <c r="C38" s="162"/>
      <c r="D38" s="164"/>
      <c r="E38" s="164"/>
    </row>
    <row r="39" spans="1:5" ht="29.25" customHeight="1">
      <c r="A39" s="231" t="str">
        <f>"3. "&amp;'Общие данные'!B160&amp;""</f>
        <v>3. Jumanazarov B.T.</v>
      </c>
      <c r="B39" s="231"/>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7" t="s">
        <v>16</v>
      </c>
      <c r="F1" s="247"/>
    </row>
    <row r="2" spans="1:22">
      <c r="A2" s="86"/>
      <c r="B2" s="86"/>
      <c r="C2" s="86"/>
      <c r="D2" s="86"/>
      <c r="E2" s="86"/>
      <c r="F2" s="88" t="str">
        <f>"к договору микрозайма "&amp;'Общие данные'!B74&amp;""</f>
        <v>к договору микрозайма 11 mart 2025 y.dan № -NN</v>
      </c>
    </row>
    <row r="3" spans="1:22" ht="19.5" customHeight="1">
      <c r="A3" s="86"/>
      <c r="B3" s="86"/>
      <c r="C3" s="86"/>
      <c r="D3" s="86"/>
      <c r="E3" s="86"/>
      <c r="F3" s="86"/>
      <c r="H3" s="89"/>
      <c r="I3" s="89"/>
      <c r="J3" s="90"/>
      <c r="K3" s="90"/>
    </row>
    <row r="4" spans="1:22" ht="19.5" customHeight="1">
      <c r="A4" s="248" t="s">
        <v>17</v>
      </c>
      <c r="B4" s="248"/>
      <c r="C4" s="248"/>
      <c r="D4" s="248"/>
      <c r="E4" s="248"/>
      <c r="F4" s="248"/>
      <c r="H4" s="89"/>
      <c r="I4" s="89"/>
      <c r="J4" s="89"/>
      <c r="K4" s="89"/>
    </row>
    <row r="5" spans="1:22" ht="19.5" customHeight="1">
      <c r="L5" s="87">
        <f>'Общие данные'!B81</f>
        <v>36</v>
      </c>
    </row>
    <row r="6" spans="1:22">
      <c r="A6" s="249" t="s">
        <v>15</v>
      </c>
      <c r="B6" s="250" t="s">
        <v>9</v>
      </c>
      <c r="C6" s="250" t="s">
        <v>10</v>
      </c>
      <c r="D6" s="251" t="s">
        <v>11</v>
      </c>
      <c r="E6" s="251"/>
      <c r="F6" s="251"/>
    </row>
    <row r="7" spans="1:22" s="16" customFormat="1">
      <c r="A7" s="249"/>
      <c r="B7" s="250"/>
      <c r="C7" s="250"/>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4" t="s">
        <v>18</v>
      </c>
      <c r="B46" s="244"/>
      <c r="C46" s="244"/>
      <c r="D46" s="244"/>
      <c r="E46" s="244"/>
      <c r="F46" s="244"/>
    </row>
    <row r="47" spans="1:22" ht="7.5" customHeight="1"/>
    <row r="48" spans="1:22">
      <c r="A48" s="245" t="e">
        <f>#REF!</f>
        <v>#REF!</v>
      </c>
      <c r="B48" s="245"/>
      <c r="C48" s="245"/>
      <c r="D48" s="245" t="e">
        <f>#REF!</f>
        <v>#REF!</v>
      </c>
      <c r="E48" s="245"/>
      <c r="F48" s="245"/>
    </row>
    <row r="49" spans="1:6" ht="11.25" customHeight="1">
      <c r="A49" s="246"/>
      <c r="B49" s="246"/>
      <c r="C49" s="246"/>
      <c r="D49" s="246"/>
      <c r="E49" s="246"/>
      <c r="F49" s="246"/>
    </row>
    <row r="50" spans="1:6" ht="30" customHeight="1">
      <c r="A50" s="243" t="e">
        <f>#REF!</f>
        <v>#REF!</v>
      </c>
      <c r="B50" s="243"/>
      <c r="C50" s="243"/>
      <c r="D50" s="243" t="e">
        <f>#REF!</f>
        <v>#REF!</v>
      </c>
      <c r="E50" s="243"/>
      <c r="F50" s="243"/>
    </row>
    <row r="51" spans="1:6" ht="32.25" customHeight="1">
      <c r="A51" s="239" t="e">
        <f>#REF!</f>
        <v>#REF!</v>
      </c>
      <c r="B51" s="239"/>
      <c r="C51" s="239"/>
      <c r="D51" s="239" t="e">
        <f>#REF!</f>
        <v>#REF!</v>
      </c>
      <c r="E51" s="239"/>
      <c r="F51" s="239"/>
    </row>
    <row r="52" spans="1:6">
      <c r="A52" s="239" t="e">
        <f>#REF!</f>
        <v>#REF!</v>
      </c>
      <c r="B52" s="239"/>
      <c r="C52" s="239"/>
      <c r="D52" s="239" t="str">
        <f>"паспорт серии "&amp;'Общие данные'!B16&amp;", "&amp;'Общие данные'!B20&amp;""</f>
        <v>паспорт серии AA 9481167, BUXORO VILOYATI BUXORO SHAHAR IIB tomonidan 24.04.2015 yilda berilgan</v>
      </c>
      <c r="E52" s="239"/>
      <c r="F52" s="239"/>
    </row>
    <row r="53" spans="1:6" ht="32.25" customHeight="1">
      <c r="A53" s="239" t="e">
        <f>#REF!</f>
        <v>#REF!</v>
      </c>
      <c r="B53" s="239"/>
      <c r="C53" s="239"/>
      <c r="D53" s="239"/>
      <c r="E53" s="239"/>
      <c r="F53" s="239"/>
    </row>
    <row r="54" spans="1:6">
      <c r="A54" s="239" t="e">
        <f>#REF!</f>
        <v>#REF!</v>
      </c>
      <c r="B54" s="239"/>
      <c r="C54" s="239"/>
      <c r="D54" s="239" t="e">
        <f>#REF!</f>
        <v>#REF!</v>
      </c>
      <c r="E54" s="239"/>
      <c r="F54" s="239"/>
    </row>
    <row r="55" spans="1:6">
      <c r="A55" s="239" t="e">
        <f>#REF!</f>
        <v>#REF!</v>
      </c>
      <c r="B55" s="239"/>
      <c r="C55" s="239"/>
      <c r="D55" s="239" t="e">
        <f>#REF!</f>
        <v>#REF!</v>
      </c>
      <c r="E55" s="239"/>
      <c r="F55" s="239"/>
    </row>
    <row r="56" spans="1:6">
      <c r="A56" s="239" t="e">
        <f>#REF!</f>
        <v>#REF!</v>
      </c>
      <c r="B56" s="239"/>
      <c r="C56" s="239"/>
      <c r="D56" s="239" t="e">
        <f>#REF!</f>
        <v>#REF!</v>
      </c>
      <c r="E56" s="239"/>
      <c r="F56" s="239"/>
    </row>
    <row r="57" spans="1:6" ht="8.25" customHeight="1">
      <c r="A57" s="239"/>
      <c r="B57" s="239"/>
      <c r="C57" s="239"/>
      <c r="D57" s="239"/>
      <c r="E57" s="239"/>
      <c r="F57" s="239"/>
    </row>
    <row r="58" spans="1:6">
      <c r="A58" s="243" t="e">
        <f>#REF!</f>
        <v>#REF!</v>
      </c>
      <c r="B58" s="243"/>
      <c r="C58" s="243"/>
      <c r="D58" s="243" t="e">
        <f>#REF!</f>
        <v>#REF!</v>
      </c>
      <c r="E58" s="243"/>
      <c r="F58" s="243"/>
    </row>
    <row r="59" spans="1:6" ht="7.5" customHeight="1">
      <c r="A59" s="243"/>
      <c r="B59" s="243"/>
      <c r="C59" s="243"/>
      <c r="D59" s="243"/>
      <c r="E59" s="243"/>
      <c r="F59" s="243"/>
    </row>
    <row r="60" spans="1:6">
      <c r="A60" s="243" t="e">
        <f>#REF!</f>
        <v>#REF!</v>
      </c>
      <c r="B60" s="243"/>
      <c r="C60" s="243"/>
      <c r="D60" s="243" t="e">
        <f>#REF!</f>
        <v>#REF!</v>
      </c>
      <c r="E60" s="243"/>
      <c r="F60" s="243"/>
    </row>
    <row r="61" spans="1:6" ht="8.25" customHeight="1">
      <c r="A61" s="239"/>
      <c r="B61" s="239"/>
      <c r="C61" s="239"/>
      <c r="D61" s="239"/>
      <c r="E61" s="239"/>
      <c r="F61" s="239"/>
    </row>
    <row r="62" spans="1:6" ht="30" customHeight="1">
      <c r="A62" s="240"/>
      <c r="B62" s="240"/>
      <c r="C62" s="240"/>
      <c r="D62" s="241" t="e">
        <f>#REF!</f>
        <v>#REF!</v>
      </c>
      <c r="E62" s="241"/>
      <c r="F62" s="241"/>
    </row>
    <row r="63" spans="1:6">
      <c r="A63" s="242"/>
      <c r="B63" s="242"/>
      <c r="C63" s="242"/>
      <c r="D63" s="242"/>
      <c r="E63" s="242"/>
      <c r="F63" s="242"/>
    </row>
    <row r="64" spans="1:6">
      <c r="A64" s="238"/>
      <c r="B64" s="238"/>
      <c r="C64" s="238"/>
      <c r="D64" s="238"/>
      <c r="E64" s="238"/>
      <c r="F64" s="238"/>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32" zoomScaleNormal="100" workbookViewId="0">
      <selection activeCell="B151" sqref="B15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428</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2" t="s">
        <v>53</v>
      </c>
      <c r="B4" s="252"/>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3" t="s">
        <v>97</v>
      </c>
      <c r="B57" s="254"/>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2" t="s">
        <v>103</v>
      </c>
      <c r="B64" s="252"/>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-NN</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-NN</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2" t="s">
        <v>126</v>
      </c>
      <c r="B91" s="252"/>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2"/>
      <c r="B97" s="252"/>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2" t="s">
        <v>357</v>
      </c>
      <c r="B146" s="252"/>
    </row>
    <row r="147" spans="1:2">
      <c r="A147" s="3" t="s">
        <v>175</v>
      </c>
      <c r="B147" s="1" t="s">
        <v>381</v>
      </c>
    </row>
    <row r="148" spans="1:2">
      <c r="A148" s="3"/>
      <c r="B148" s="1" t="s">
        <v>381</v>
      </c>
    </row>
    <row r="149" spans="1:2">
      <c r="A149" s="3"/>
      <c r="B149" s="1" t="s">
        <v>381</v>
      </c>
    </row>
    <row r="150" spans="1:2">
      <c r="A150" s="227" t="s">
        <v>429</v>
      </c>
      <c r="B150" s="226" t="s">
        <v>432</v>
      </c>
    </row>
    <row r="151" spans="1:2">
      <c r="A151" s="227"/>
      <c r="B151" s="226" t="s">
        <v>431</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9" t="s">
        <v>429</v>
      </c>
      <c r="B161" s="228" t="s">
        <v>430</v>
      </c>
    </row>
    <row r="162" spans="1:2">
      <c r="A162" s="3" t="s">
        <v>186</v>
      </c>
      <c r="B162" s="2" t="s">
        <v>349</v>
      </c>
    </row>
    <row r="163" spans="1:2">
      <c r="A163" s="3" t="s">
        <v>187</v>
      </c>
      <c r="B163" s="2" t="s">
        <v>350</v>
      </c>
    </row>
    <row r="164" spans="1:2">
      <c r="A164" s="3" t="s">
        <v>188</v>
      </c>
      <c r="B164" s="1" t="str">
        <f>B1</f>
        <v>№ -NN</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3" t="s">
        <v>16</v>
      </c>
      <c r="F1" s="263"/>
    </row>
    <row r="2" spans="1:8">
      <c r="A2" s="37"/>
      <c r="B2" s="37"/>
      <c r="C2" s="37"/>
      <c r="D2" s="37"/>
      <c r="E2" s="37"/>
      <c r="F2" s="38" t="str">
        <f>"к договору микрозайма "&amp;'Общие данные'!B74&amp;""</f>
        <v>к договору микрозайма 11 mart 2025 y.dan № -NN</v>
      </c>
    </row>
    <row r="3" spans="1:8" ht="6.75" customHeight="1">
      <c r="A3" s="37"/>
      <c r="B3" s="37"/>
      <c r="C3" s="37"/>
      <c r="D3" s="37"/>
      <c r="E3" s="37"/>
      <c r="F3" s="37"/>
    </row>
    <row r="4" spans="1:8">
      <c r="A4" s="264" t="s">
        <v>17</v>
      </c>
      <c r="B4" s="264"/>
      <c r="C4" s="264"/>
      <c r="D4" s="264"/>
      <c r="E4" s="264"/>
      <c r="F4" s="264"/>
    </row>
    <row r="5" spans="1:8" ht="7.5" customHeight="1"/>
    <row r="6" spans="1:8">
      <c r="A6" s="265" t="s">
        <v>15</v>
      </c>
      <c r="B6" s="266" t="s">
        <v>9</v>
      </c>
      <c r="C6" s="266" t="s">
        <v>10</v>
      </c>
      <c r="D6" s="267" t="s">
        <v>11</v>
      </c>
      <c r="E6" s="267"/>
      <c r="F6" s="267"/>
    </row>
    <row r="7" spans="1:8" s="16" customFormat="1">
      <c r="A7" s="265"/>
      <c r="B7" s="266"/>
      <c r="C7" s="266"/>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3" t="s">
        <v>18</v>
      </c>
      <c r="B46" s="233"/>
      <c r="C46" s="233"/>
      <c r="D46" s="233"/>
      <c r="E46" s="233"/>
      <c r="F46" s="233"/>
    </row>
    <row r="47" spans="1:8" ht="7.5" customHeight="1"/>
    <row r="48" spans="1:8">
      <c r="A48" s="261" t="e">
        <f>#REF!</f>
        <v>#REF!</v>
      </c>
      <c r="B48" s="261"/>
      <c r="C48" s="261"/>
      <c r="D48" s="261" t="e">
        <f>#REF!</f>
        <v>#REF!</v>
      </c>
      <c r="E48" s="261"/>
      <c r="F48" s="261"/>
    </row>
    <row r="49" spans="1:6" ht="11.25" customHeight="1">
      <c r="A49" s="262"/>
      <c r="B49" s="262"/>
      <c r="C49" s="262"/>
      <c r="D49" s="262"/>
      <c r="E49" s="262"/>
      <c r="F49" s="262"/>
    </row>
    <row r="50" spans="1:6" ht="30" customHeight="1">
      <c r="A50" s="260" t="e">
        <f>#REF!</f>
        <v>#REF!</v>
      </c>
      <c r="B50" s="260"/>
      <c r="C50" s="260"/>
      <c r="D50" s="260" t="e">
        <f>#REF!</f>
        <v>#REF!</v>
      </c>
      <c r="E50" s="260"/>
      <c r="F50" s="260"/>
    </row>
    <row r="51" spans="1:6" ht="32.25" customHeight="1">
      <c r="A51" s="256" t="e">
        <f>#REF!</f>
        <v>#REF!</v>
      </c>
      <c r="B51" s="256"/>
      <c r="C51" s="256"/>
      <c r="D51" s="256" t="e">
        <f>#REF!</f>
        <v>#REF!</v>
      </c>
      <c r="E51" s="256"/>
      <c r="F51" s="256"/>
    </row>
    <row r="52" spans="1:6">
      <c r="A52" s="256" t="e">
        <f>#REF!</f>
        <v>#REF!</v>
      </c>
      <c r="B52" s="256"/>
      <c r="C52" s="256"/>
      <c r="D52" s="256" t="str">
        <f>"паспорт серии "&amp;'Общие данные'!B16&amp;", "&amp;'Общие данные'!B20&amp;""</f>
        <v>паспорт серии AA 9481167, BUXORO VILOYATI BUXORO SHAHAR IIB tomonidan 24.04.2015 yilda berilgan</v>
      </c>
      <c r="E52" s="256"/>
      <c r="F52" s="256"/>
    </row>
    <row r="53" spans="1:6" ht="32.25" customHeight="1">
      <c r="A53" s="256" t="e">
        <f>#REF!</f>
        <v>#REF!</v>
      </c>
      <c r="B53" s="256"/>
      <c r="C53" s="256"/>
      <c r="D53" s="256"/>
      <c r="E53" s="256"/>
      <c r="F53" s="256"/>
    </row>
    <row r="54" spans="1:6">
      <c r="A54" s="256" t="e">
        <f>#REF!</f>
        <v>#REF!</v>
      </c>
      <c r="B54" s="256"/>
      <c r="C54" s="256"/>
      <c r="D54" s="256" t="e">
        <f>#REF!</f>
        <v>#REF!</v>
      </c>
      <c r="E54" s="256"/>
      <c r="F54" s="256"/>
    </row>
    <row r="55" spans="1:6">
      <c r="A55" s="256" t="e">
        <f>#REF!</f>
        <v>#REF!</v>
      </c>
      <c r="B55" s="256"/>
      <c r="C55" s="256"/>
      <c r="D55" s="256" t="e">
        <f>#REF!</f>
        <v>#REF!</v>
      </c>
      <c r="E55" s="256"/>
      <c r="F55" s="256"/>
    </row>
    <row r="56" spans="1:6">
      <c r="A56" s="256" t="e">
        <f>#REF!</f>
        <v>#REF!</v>
      </c>
      <c r="B56" s="256"/>
      <c r="C56" s="256"/>
      <c r="D56" s="256" t="e">
        <f>#REF!</f>
        <v>#REF!</v>
      </c>
      <c r="E56" s="256"/>
      <c r="F56" s="256"/>
    </row>
    <row r="57" spans="1:6" ht="8.25" customHeight="1">
      <c r="A57" s="256"/>
      <c r="B57" s="256"/>
      <c r="C57" s="256"/>
      <c r="D57" s="256"/>
      <c r="E57" s="256"/>
      <c r="F57" s="256"/>
    </row>
    <row r="58" spans="1:6">
      <c r="A58" s="260" t="e">
        <f>#REF!</f>
        <v>#REF!</v>
      </c>
      <c r="B58" s="260"/>
      <c r="C58" s="260"/>
      <c r="D58" s="260" t="e">
        <f>#REF!</f>
        <v>#REF!</v>
      </c>
      <c r="E58" s="260"/>
      <c r="F58" s="260"/>
    </row>
    <row r="59" spans="1:6" ht="7.5" customHeight="1">
      <c r="A59" s="260"/>
      <c r="B59" s="260"/>
      <c r="C59" s="260"/>
      <c r="D59" s="260"/>
      <c r="E59" s="260"/>
      <c r="F59" s="260"/>
    </row>
    <row r="60" spans="1:6">
      <c r="A60" s="260" t="e">
        <f>#REF!</f>
        <v>#REF!</v>
      </c>
      <c r="B60" s="260"/>
      <c r="C60" s="260"/>
      <c r="D60" s="260" t="e">
        <f>#REF!</f>
        <v>#REF!</v>
      </c>
      <c r="E60" s="260"/>
      <c r="F60" s="260"/>
    </row>
    <row r="61" spans="1:6" ht="8.25" customHeight="1">
      <c r="A61" s="256"/>
      <c r="B61" s="256"/>
      <c r="C61" s="256"/>
      <c r="D61" s="256"/>
      <c r="E61" s="256"/>
      <c r="F61" s="256"/>
    </row>
    <row r="62" spans="1:6" ht="30" customHeight="1">
      <c r="A62" s="257"/>
      <c r="B62" s="257"/>
      <c r="C62" s="257"/>
      <c r="D62" s="258"/>
      <c r="E62" s="258"/>
      <c r="F62" s="258"/>
    </row>
    <row r="63" spans="1:6">
      <c r="A63" s="259"/>
      <c r="B63" s="259"/>
      <c r="C63" s="259"/>
      <c r="D63" s="259"/>
      <c r="E63" s="259"/>
      <c r="F63" s="259"/>
    </row>
    <row r="64" spans="1:6">
      <c r="A64" s="255"/>
      <c r="B64" s="255"/>
      <c r="C64" s="255"/>
      <c r="D64" s="255"/>
      <c r="E64" s="255"/>
      <c r="F64" s="255"/>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69" t="s">
        <v>218</v>
      </c>
      <c r="B1" s="269"/>
      <c r="C1" s="269"/>
      <c r="D1" s="269"/>
      <c r="E1" s="269"/>
      <c r="F1" s="269"/>
    </row>
    <row r="2" spans="1:6" ht="35.25" customHeight="1">
      <c r="A2" s="270" t="s">
        <v>328</v>
      </c>
      <c r="B2" s="270"/>
      <c r="C2" s="270"/>
      <c r="D2" s="270"/>
      <c r="E2" s="270"/>
      <c r="F2" s="270"/>
    </row>
    <row r="3" spans="1:6">
      <c r="A3" s="269" t="s">
        <v>219</v>
      </c>
      <c r="B3" s="269"/>
      <c r="C3" s="269"/>
      <c r="D3" s="269"/>
      <c r="E3" s="269"/>
      <c r="F3" s="269"/>
    </row>
    <row r="4" spans="1:6">
      <c r="A4" s="268" t="str">
        <f>'Заключение КК'!A4:E4</f>
        <v>Mijozning to'liq ismi sharifi: NUTFULLAYEV AKBARJON AXMEDOVICH</v>
      </c>
      <c r="B4" s="268"/>
      <c r="C4" s="268"/>
      <c r="D4" s="268"/>
      <c r="E4" s="268"/>
      <c r="F4" s="268"/>
    </row>
    <row r="5" spans="1:6">
      <c r="A5" s="268" t="str">
        <f>'Заключение КК'!A5:E5</f>
        <v>Tug'ilgan sanasi: 14.09.1989 y</v>
      </c>
      <c r="B5" s="268"/>
      <c r="C5" s="268"/>
      <c r="D5" s="268"/>
      <c r="E5" s="268"/>
      <c r="F5" s="268"/>
    </row>
    <row r="6" spans="1:6" ht="32.25" customHeight="1">
      <c r="A6" s="268" t="str">
        <f>'Заключение КК'!A6:E6</f>
        <v>Pasport seriyasi AA 9481167 BUXORO VILOYATI BUXORO SHAHAR IIB tomonidan 24.04.2015 yilda berilgan, amal qilish muddati - 23.04.2025 y.</v>
      </c>
      <c r="B6" s="268"/>
      <c r="C6" s="268"/>
      <c r="D6" s="268"/>
      <c r="E6" s="268"/>
      <c r="F6" s="268"/>
    </row>
    <row r="7" spans="1:6">
      <c r="A7" s="268" t="str">
        <f>"Fuqaroligi: "&amp;'Общие данные'!B32&amp;""</f>
        <v>Fuqaroligi: O’zbekiston Respublikasi</v>
      </c>
      <c r="B7" s="268"/>
      <c r="C7" s="268"/>
      <c r="D7" s="268"/>
      <c r="E7" s="268"/>
      <c r="F7" s="268"/>
    </row>
    <row r="8" spans="1:6" ht="26.25" customHeight="1">
      <c r="A8" s="268" t="str">
        <f>'Заключение КК'!A7:E7</f>
        <v>Ro‘yxatdan o‘tgan manzili: BUXORO VILOYATI BUXORO SHAHAR TADBIRKOR KO'CHASI 12-UY, mo'ljal: GOR VODAKANAL</v>
      </c>
      <c r="B8" s="268"/>
      <c r="C8" s="268"/>
      <c r="D8" s="268"/>
      <c r="E8" s="268"/>
      <c r="F8" s="268"/>
    </row>
    <row r="9" spans="1:6">
      <c r="A9" s="268" t="str">
        <f>IF('Общие данные'!B23="mos keladi"," ",'Анкета Клиента'!A10:F10)</f>
        <v xml:space="preserve"> </v>
      </c>
      <c r="B9" s="268"/>
      <c r="C9" s="268"/>
      <c r="D9" s="268"/>
      <c r="E9" s="268"/>
      <c r="F9" s="268"/>
    </row>
    <row r="10" spans="1:6" ht="31.5" hidden="1" customHeight="1">
      <c r="A10" s="268" t="str">
        <f>"Haqiqatdan yashash joy manzili: "&amp;'Общие данные'!B28&amp;""</f>
        <v>Haqiqatdan yashash joy manzili: BUXORO VILOYATI BUXORO SHAHAR TADBIRKOR KO'CHASI 12-UY</v>
      </c>
      <c r="B10" s="268"/>
      <c r="C10" s="268"/>
      <c r="D10" s="268"/>
      <c r="E10" s="268"/>
      <c r="F10" s="268"/>
    </row>
    <row r="11" spans="1:6" ht="16.5" hidden="1" customHeight="1">
      <c r="A11" s="268" t="str">
        <f>'Заключение КК'!A8:E8</f>
        <v>Ish joyi:  lavozimi Yakka tartibdagi tadbirkorda Yakka tartibdagi tadbirkor</v>
      </c>
      <c r="B11" s="268"/>
      <c r="C11" s="268"/>
      <c r="D11" s="268"/>
      <c r="E11" s="268"/>
      <c r="F11" s="268"/>
    </row>
    <row r="12" spans="1:6">
      <c r="A12" s="269" t="s">
        <v>220</v>
      </c>
      <c r="B12" s="269"/>
      <c r="C12" s="269"/>
      <c r="D12" s="269"/>
      <c r="E12" s="269"/>
      <c r="F12" s="269"/>
    </row>
    <row r="13" spans="1:6">
      <c r="A13" s="268" t="str">
        <f>"Uy telefoni raqami: "&amp;'Общие данные'!B40&amp;""</f>
        <v>Uy telefoni raqami: 91 408 76 67  UZI</v>
      </c>
      <c r="B13" s="268"/>
      <c r="C13" s="268"/>
      <c r="D13" s="268"/>
      <c r="E13" s="268"/>
      <c r="F13" s="268"/>
    </row>
    <row r="14" spans="1:6">
      <c r="A14" s="268" t="str">
        <f>"Uyali telefon raqami: "&amp;'Общие данные'!B41&amp;""</f>
        <v>Uyali telefon raqami: 88 305 76 67 AYOLI</v>
      </c>
      <c r="B14" s="268"/>
      <c r="C14" s="268"/>
      <c r="D14" s="268"/>
      <c r="E14" s="268"/>
      <c r="F14" s="268"/>
    </row>
    <row r="15" spans="1:6">
      <c r="A15" s="268" t="str">
        <f>"Uyali telefon raqami: "&amp;'Общие данные'!B42&amp;""</f>
        <v>Uyali telefon raqami: 88 870 76 67 AKASI</v>
      </c>
      <c r="B15" s="268"/>
      <c r="C15" s="268"/>
      <c r="D15" s="268"/>
      <c r="E15" s="268"/>
      <c r="F15" s="268"/>
    </row>
    <row r="16" spans="1:6" hidden="1">
      <c r="A16" s="268" t="str">
        <f>"Uyali telefon raqami: "&amp;'Общие данные'!B42&amp;""</f>
        <v>Uyali telefon raqami: 88 870 76 67 AKASI</v>
      </c>
      <c r="B16" s="268"/>
      <c r="C16" s="268"/>
      <c r="D16" s="268"/>
      <c r="E16" s="268"/>
      <c r="F16" s="268"/>
    </row>
    <row r="17" spans="1:6">
      <c r="A17" s="268" t="str">
        <f>"Ish telefoni raqami: "&amp;'Общие данные'!B43&amp;""</f>
        <v xml:space="preserve">Ish telefoni raqami: </v>
      </c>
      <c r="B17" s="268"/>
      <c r="C17" s="268"/>
      <c r="D17" s="268"/>
      <c r="E17" s="268"/>
      <c r="F17" s="268"/>
    </row>
    <row r="18" spans="1:6">
      <c r="A18" s="269" t="s">
        <v>221</v>
      </c>
      <c r="B18" s="269"/>
      <c r="C18" s="269"/>
      <c r="D18" s="269"/>
      <c r="E18" s="269"/>
      <c r="F18" s="269"/>
    </row>
    <row r="19" spans="1:6">
      <c r="A19" s="268" t="str">
        <f>"Muassasa nomlanishi:"&amp;'Общие данные'!B58&amp;""</f>
        <v>Muassasa nomlanishi:Yakka tartibdagi tadbirkor</v>
      </c>
      <c r="B19" s="268"/>
      <c r="C19" s="268"/>
      <c r="D19" s="268"/>
      <c r="E19" s="268"/>
      <c r="F19" s="268"/>
    </row>
    <row r="20" spans="1:6">
      <c r="A20" s="268" t="str">
        <f>"Ro‘yxatdan o‘tish manzili:"&amp;'Общие данные'!B50&amp;""</f>
        <v>Ro‘yxatdan o‘tish manzili:</v>
      </c>
      <c r="B20" s="268"/>
      <c r="C20" s="268"/>
      <c r="D20" s="268"/>
      <c r="E20" s="268"/>
      <c r="F20" s="268"/>
    </row>
    <row r="21" spans="1:6">
      <c r="A21" s="268" t="str">
        <f>"Lavozimi: "&amp;'Общие данные'!B59&amp;""</f>
        <v>Lavozimi: Yakka tartibdagi tadbirkor</v>
      </c>
      <c r="B21" s="268"/>
      <c r="C21" s="268"/>
      <c r="D21" s="268"/>
      <c r="E21" s="268"/>
      <c r="F21" s="268"/>
    </row>
    <row r="22" spans="1:6">
      <c r="A22" s="269" t="s">
        <v>222</v>
      </c>
      <c r="B22" s="271"/>
      <c r="C22" s="271"/>
      <c r="D22" s="271"/>
      <c r="E22" s="271"/>
      <c r="F22" s="271"/>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8"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8"/>
      <c r="C28" s="268"/>
      <c r="D28" s="268"/>
      <c r="E28" s="268"/>
      <c r="F28" s="268"/>
    </row>
    <row r="29" spans="1:6">
      <c r="A29" s="268" t="str">
        <f>"Men,  "&amp;'Общие данные'!B5&amp;", quyidagilarni tan olaman va roziman::"</f>
        <v>Men,  NUTFULLAYEV AKBARJON AXMEDOVICH, quyidagilarni tan olaman va roziman::</v>
      </c>
      <c r="B29" s="268"/>
      <c r="C29" s="268"/>
      <c r="D29" s="268"/>
      <c r="E29" s="268"/>
      <c r="F29" s="268"/>
    </row>
    <row r="30" spans="1:6" ht="45.75" customHeight="1">
      <c r="A30" s="268"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8"/>
      <c r="C30" s="268"/>
      <c r="D30" s="268"/>
      <c r="E30" s="268"/>
      <c r="F30" s="268"/>
    </row>
    <row r="31" spans="1:6" ht="42.75" customHeight="1">
      <c r="A31" s="268"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8"/>
      <c r="C31" s="268"/>
      <c r="D31" s="268"/>
      <c r="E31" s="268"/>
      <c r="F31" s="268"/>
    </row>
    <row r="32" spans="1:6" ht="71.25" customHeight="1">
      <c r="A32" s="268" t="s">
        <v>235</v>
      </c>
      <c r="B32" s="268"/>
      <c r="C32" s="268"/>
      <c r="D32" s="268"/>
      <c r="E32" s="268"/>
      <c r="F32" s="268"/>
    </row>
    <row r="33" spans="1:6">
      <c r="A33" s="268"/>
      <c r="B33" s="268"/>
      <c r="C33" s="268"/>
      <c r="D33" s="268"/>
      <c r="E33" s="268"/>
      <c r="F33" s="268"/>
    </row>
    <row r="34" spans="1:6" ht="12.75" customHeight="1">
      <c r="A34" s="271" t="s">
        <v>236</v>
      </c>
      <c r="B34" s="271"/>
      <c r="C34" s="271"/>
      <c r="D34" s="148" t="s">
        <v>157</v>
      </c>
      <c r="E34" s="271" t="s">
        <v>237</v>
      </c>
      <c r="F34" s="271"/>
    </row>
    <row r="35" spans="1:6" ht="25.5" customHeight="1">
      <c r="A35" s="272"/>
      <c r="B35" s="272"/>
      <c r="C35" s="272"/>
      <c r="D35" s="273" t="str">
        <f>'Общие данные'!B2</f>
        <v>11.03.2025</v>
      </c>
      <c r="E35" s="272"/>
      <c r="F35" s="272"/>
    </row>
    <row r="36" spans="1:6" ht="25.5" customHeight="1">
      <c r="A36" s="272"/>
      <c r="B36" s="272"/>
      <c r="C36" s="272"/>
      <c r="D36" s="273"/>
      <c r="E36" s="272"/>
      <c r="F36" s="272"/>
    </row>
    <row r="37" spans="1:6">
      <c r="A37" s="268"/>
      <c r="B37" s="268"/>
      <c r="C37" s="268"/>
      <c r="D37" s="268"/>
      <c r="E37" s="268"/>
      <c r="F37" s="268"/>
    </row>
    <row r="38" spans="1:6">
      <c r="A38" s="268"/>
      <c r="B38" s="268"/>
      <c r="C38" s="268"/>
      <c r="D38" s="268"/>
      <c r="E38" s="268"/>
      <c r="F38" s="268"/>
    </row>
    <row r="39" spans="1:6">
      <c r="A39" s="268"/>
      <c r="B39" s="268"/>
      <c r="C39" s="268"/>
      <c r="D39" s="268"/>
      <c r="E39" s="268"/>
      <c r="F39" s="268"/>
    </row>
    <row r="40" spans="1:6">
      <c r="A40" s="268"/>
      <c r="B40" s="268"/>
      <c r="C40" s="268"/>
      <c r="D40" s="268"/>
      <c r="E40" s="268"/>
      <c r="F40" s="268"/>
    </row>
    <row r="41" spans="1:6">
      <c r="A41" s="268"/>
      <c r="B41" s="268"/>
      <c r="C41" s="268"/>
      <c r="D41" s="268"/>
      <c r="E41" s="268"/>
      <c r="F41" s="268"/>
    </row>
    <row r="42" spans="1:6">
      <c r="A42" s="268"/>
      <c r="B42" s="268"/>
      <c r="C42" s="268"/>
      <c r="D42" s="268"/>
      <c r="E42" s="268"/>
      <c r="F42" s="268"/>
    </row>
    <row r="43" spans="1:6">
      <c r="A43" s="268"/>
      <c r="B43" s="268"/>
      <c r="C43" s="268"/>
      <c r="D43" s="268"/>
      <c r="E43" s="268"/>
      <c r="F43" s="268"/>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8" t="s">
        <v>238</v>
      </c>
      <c r="B2" s="278"/>
      <c r="C2" s="278"/>
      <c r="D2" s="278"/>
      <c r="E2" s="278"/>
    </row>
    <row r="3" spans="1:5">
      <c r="E3" s="121" t="str">
        <f>'Общие данные'!B68</f>
        <v>11 mart 2025 y.</v>
      </c>
    </row>
    <row r="5" spans="1:5" s="123" customFormat="1" ht="27" customHeight="1">
      <c r="A5" s="282" t="s">
        <v>239</v>
      </c>
      <c r="B5" s="283"/>
      <c r="C5" s="279" t="str">
        <f>'Общие данные'!B8</f>
        <v>NUTFULLAYEV AKBARJON AXMEDOVICH</v>
      </c>
      <c r="D5" s="280"/>
      <c r="E5" s="281"/>
    </row>
    <row r="7" spans="1:5" ht="15.75" customHeight="1">
      <c r="A7" s="284" t="s">
        <v>358</v>
      </c>
      <c r="B7" s="285"/>
      <c r="C7" s="286"/>
      <c r="D7" s="124" t="s">
        <v>133</v>
      </c>
      <c r="E7" s="124"/>
    </row>
    <row r="8" spans="1:5">
      <c r="A8" s="287"/>
      <c r="B8" s="288"/>
      <c r="C8" s="289"/>
      <c r="D8" s="124" t="s">
        <v>243</v>
      </c>
      <c r="E8" s="124"/>
    </row>
    <row r="9" spans="1:5" ht="15.75" customHeight="1">
      <c r="A9" s="275" t="s">
        <v>240</v>
      </c>
      <c r="B9" s="275"/>
      <c r="C9" s="275"/>
      <c r="D9" s="124" t="s">
        <v>133</v>
      </c>
      <c r="E9" s="124"/>
    </row>
    <row r="10" spans="1:5">
      <c r="A10" s="275"/>
      <c r="B10" s="275"/>
      <c r="C10" s="275"/>
      <c r="D10" s="124" t="s">
        <v>243</v>
      </c>
      <c r="E10" s="124"/>
    </row>
    <row r="11" spans="1:5" ht="15.75" customHeight="1">
      <c r="A11" s="275" t="s">
        <v>241</v>
      </c>
      <c r="B11" s="275"/>
      <c r="C11" s="275"/>
      <c r="D11" s="124" t="s">
        <v>133</v>
      </c>
      <c r="E11" s="124"/>
    </row>
    <row r="12" spans="1:5">
      <c r="A12" s="275"/>
      <c r="B12" s="275"/>
      <c r="C12" s="275"/>
      <c r="D12" s="124" t="s">
        <v>243</v>
      </c>
      <c r="E12" s="124"/>
    </row>
    <row r="13" spans="1:5" ht="34.5" customHeight="1">
      <c r="A13" s="276" t="s">
        <v>242</v>
      </c>
      <c r="B13" s="276"/>
      <c r="C13" s="276"/>
      <c r="D13" s="276"/>
      <c r="E13" s="276"/>
    </row>
    <row r="14" spans="1:5" ht="16.5" thickBot="1">
      <c r="A14" s="277"/>
      <c r="B14" s="277"/>
      <c r="C14" s="277"/>
      <c r="D14" s="277"/>
      <c r="E14" s="277"/>
    </row>
    <row r="15" spans="1:5" ht="16.5" thickBot="1">
      <c r="A15" s="277"/>
      <c r="B15" s="277"/>
      <c r="C15" s="277"/>
      <c r="D15" s="277"/>
      <c r="E15" s="277"/>
    </row>
    <row r="16" spans="1:5" ht="16.5" thickBot="1">
      <c r="A16" s="277"/>
      <c r="B16" s="277"/>
      <c r="C16" s="277"/>
      <c r="D16" s="277"/>
      <c r="E16" s="277"/>
    </row>
    <row r="18" spans="1:8" ht="18.75" customHeight="1">
      <c r="A18" s="275" t="s">
        <v>244</v>
      </c>
      <c r="B18" s="275"/>
      <c r="C18" s="275"/>
      <c r="D18" s="124" t="s">
        <v>133</v>
      </c>
      <c r="E18" s="124"/>
    </row>
    <row r="19" spans="1:8" ht="18.75" customHeight="1">
      <c r="A19" s="275"/>
      <c r="B19" s="275"/>
      <c r="C19" s="275"/>
      <c r="D19" s="124" t="s">
        <v>243</v>
      </c>
      <c r="E19" s="124"/>
    </row>
    <row r="20" spans="1:8" ht="29.25" customHeight="1">
      <c r="A20" s="275" t="s">
        <v>245</v>
      </c>
      <c r="B20" s="275"/>
      <c r="C20" s="275"/>
      <c r="D20" s="124" t="s">
        <v>133</v>
      </c>
      <c r="E20" s="124"/>
    </row>
    <row r="21" spans="1:8" ht="29.25" customHeight="1">
      <c r="A21" s="275"/>
      <c r="B21" s="275"/>
      <c r="C21" s="275"/>
      <c r="D21" s="124" t="s">
        <v>243</v>
      </c>
      <c r="E21" s="124"/>
    </row>
    <row r="23" spans="1:8" ht="15.75" customHeight="1">
      <c r="A23" s="276" t="s">
        <v>246</v>
      </c>
      <c r="B23" s="276"/>
      <c r="C23" s="276"/>
      <c r="D23" s="276"/>
      <c r="E23" s="276"/>
    </row>
    <row r="24" spans="1:8" ht="16.5" thickBot="1">
      <c r="A24" s="277"/>
      <c r="B24" s="277"/>
      <c r="C24" s="277"/>
      <c r="D24" s="277"/>
      <c r="E24" s="277"/>
    </row>
    <row r="25" spans="1:8" ht="16.5" thickBot="1">
      <c r="A25" s="277"/>
      <c r="B25" s="277"/>
      <c r="C25" s="277"/>
      <c r="D25" s="277"/>
      <c r="E25" s="277"/>
    </row>
    <row r="26" spans="1:8" ht="16.5" thickBot="1">
      <c r="A26" s="277"/>
      <c r="B26" s="277"/>
      <c r="C26" s="277"/>
      <c r="D26" s="277"/>
      <c r="E26" s="277"/>
    </row>
    <row r="28" spans="1:8" ht="78.75" customHeight="1">
      <c r="A28" s="274" t="s">
        <v>247</v>
      </c>
      <c r="B28" s="274"/>
      <c r="C28" s="274"/>
      <c r="D28" s="274"/>
      <c r="E28" s="274"/>
    </row>
    <row r="30" spans="1:8" ht="33" customHeight="1">
      <c r="A30" s="274" t="s">
        <v>248</v>
      </c>
      <c r="B30" s="274"/>
      <c r="C30" s="274"/>
      <c r="D30" s="274"/>
      <c r="E30" s="274"/>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1" t="str">
        <f>""&amp;'Общие данные'!B147&amp;"ning
"&amp;'Общие данные'!A150&amp;""</f>
        <v>«CLEVER MIKROMOLIYA TASHKILOTI» MChJning
Namangan filiali menejeri</v>
      </c>
      <c r="D1" s="291"/>
    </row>
    <row r="2" spans="1:4">
      <c r="C2" s="13"/>
      <c r="D2" s="14" t="str">
        <f>""&amp;'Общие данные'!B150&amp;"ga"</f>
        <v>A.Misirovga</v>
      </c>
    </row>
    <row r="4" spans="1:4">
      <c r="A4" s="290" t="str">
        <f>""&amp;'Общие данные'!C64&amp;" olish uchun Ariza"</f>
        <v>Mikroqarz olish uchun Ariza</v>
      </c>
      <c r="B4" s="290"/>
      <c r="C4" s="290"/>
      <c r="D4" s="290"/>
    </row>
    <row r="5" spans="1:4">
      <c r="A5" s="290"/>
      <c r="B5" s="290"/>
      <c r="C5" s="290"/>
      <c r="D5" s="290"/>
    </row>
    <row r="6" spans="1:4" ht="60" customHeight="1">
      <c r="A6" s="292"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2"/>
      <c r="C6" s="292"/>
      <c r="D6" s="292"/>
    </row>
    <row r="7" spans="1:4" ht="15.75" customHeight="1">
      <c r="A7" s="292" t="str">
        <f>"Tug'ilgan kuni: "&amp;'Общие данные'!B15&amp;""</f>
        <v>Tug'ilgan kuni: 14.09.1989 y</v>
      </c>
      <c r="B7" s="292"/>
      <c r="C7" s="292"/>
      <c r="D7" s="292"/>
    </row>
    <row r="8" spans="1:4" ht="33" customHeight="1">
      <c r="A8" s="292" t="str">
        <f>"Pasport seriyasi: "&amp;'Общие данные'!B16&amp;" "&amp;'Общие данные'!B20&amp;""</f>
        <v>Pasport seriyasi: AA 9481167 BUXORO VILOYATI BUXORO SHAHAR IIB tomonidan 24.04.2015 yilda berilgan</v>
      </c>
      <c r="B8" s="292"/>
      <c r="C8" s="292"/>
      <c r="D8" s="292"/>
    </row>
    <row r="9" spans="1:4" ht="16.5" customHeight="1">
      <c r="A9" s="292" t="str">
        <f>"Asosiy ish joyi : "&amp;'Общие данные'!B58&amp;""</f>
        <v>Asosiy ish joyi : Yakka tartibdagi tadbirkor</v>
      </c>
      <c r="B9" s="292"/>
      <c r="C9" s="292"/>
      <c r="D9" s="292"/>
    </row>
    <row r="10" spans="1:4" ht="15.75" customHeight="1">
      <c r="A10" s="292" t="str">
        <f>"Lavozimi: "&amp;'Общие данные'!B59&amp;""</f>
        <v>Lavozimi: Yakka tartibdagi tadbirkor</v>
      </c>
      <c r="B10" s="292"/>
      <c r="C10" s="292"/>
      <c r="D10" s="292"/>
    </row>
    <row r="11" spans="1:4">
      <c r="A11" s="292" t="str">
        <f>"O’rtacha oylik daromadi: "&amp;FIXED('Общие данные'!B60,2)&amp;" so'm."</f>
        <v>O’rtacha oylik daromadi: 10 000 000,00 so'm.</v>
      </c>
      <c r="B11" s="292"/>
      <c r="C11" s="292"/>
      <c r="D11" s="292"/>
    </row>
    <row r="12" spans="1:4">
      <c r="A12" s="292" t="str">
        <f>"Menga quyidagi shartlarda "&amp;'Общие данные'!B65&amp;" berishingizni so’rayman:"</f>
        <v>Menga quyidagi shartlarda mikroqarz berishingizni so’rayman:</v>
      </c>
      <c r="B12" s="292"/>
      <c r="C12" s="292"/>
      <c r="D12" s="292"/>
    </row>
    <row r="13" spans="1:4">
      <c r="A13" s="292" t="str">
        <f>""&amp;'Общие данные'!C64&amp;" summasi: "&amp;FIXED('Общие данные'!B75,2)&amp;" ("&amp;'Общие данные'!B76&amp;") so'm."</f>
        <v>Mikroqarz summasi: 27 000 000,00 (yigirma yetti million so'm) so'm.</v>
      </c>
      <c r="B13" s="292"/>
      <c r="C13" s="292"/>
      <c r="D13" s="292"/>
    </row>
    <row r="14" spans="1:4">
      <c r="A14" s="292" t="str">
        <f>""&amp;'Общие данные'!C64&amp;" muddati: "&amp;'Общие данные'!B81&amp;" ("&amp;'Общие данные'!B82&amp;") oy."</f>
        <v>Mikroqarz muddati: 36 (o'ttiz olti) oy.</v>
      </c>
      <c r="B14" s="292"/>
      <c r="C14" s="292"/>
      <c r="D14" s="292"/>
    </row>
    <row r="15" spans="1:4" ht="17.25" customHeight="1">
      <c r="A15" s="292" t="str">
        <f>""&amp;'Общие данные'!C64&amp;"dan foydalanganlik uchun foiz stavkasi: yillik  "&amp;'Общие данные'!B85&amp;"% ("&amp;'Общие данные'!B86&amp;") foiz"</f>
        <v>Mikroqarzdan foydalanganlik uchun foiz stavkasi: yillik  60% (Oltmish) foiz</v>
      </c>
      <c r="B15" s="292"/>
      <c r="C15" s="292"/>
      <c r="D15" s="292"/>
    </row>
    <row r="16" spans="1:4">
      <c r="A16" s="292" t="str">
        <f>""&amp;'Общие данные'!C64&amp;" bo'yicha asosiy qarz va foizlarni to'lash:"</f>
        <v>Mikroqarz bo'yicha asosiy qarz va foizlarni to'lash:</v>
      </c>
      <c r="B16" s="292"/>
      <c r="C16" s="292"/>
      <c r="D16" s="292"/>
    </row>
    <row r="17" spans="1:5" ht="20.25" hidden="1" customHeight="1">
      <c r="A17" s="293" t="str">
        <f>" - "&amp;'Общие данные'!B65&amp;" shartnomasi bo'yicha har oy differensial to'lovlari amalga oshiriladi"</f>
        <v xml:space="preserve"> - mikroqarz shartnomasi bo'yicha har oy differensial to'lovlari amalga oshiriladi</v>
      </c>
      <c r="B17" s="293"/>
      <c r="C17" s="293"/>
      <c r="D17" s="293"/>
    </row>
    <row r="18" spans="1:5" ht="33.75" hidden="1" customHeight="1">
      <c r="A18" s="293" t="str">
        <f>" - "&amp;'Общие данные'!B65&amp;" shartnomasi bo'yicha har oy annuitet to'lovlari amalga oshiriladi"</f>
        <v xml:space="preserve"> - mikroqarz shartnomasi bo'yicha har oy annuitet to'lovlari amalga oshiriladi</v>
      </c>
      <c r="B18" s="293"/>
      <c r="C18" s="293"/>
      <c r="D18" s="293"/>
    </row>
    <row r="19" spans="1:5" ht="33.75" customHeight="1">
      <c r="A19" s="293"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3"/>
      <c r="C19" s="293"/>
      <c r="D19" s="293"/>
    </row>
    <row r="20" spans="1:5" ht="33.75" hidden="1" customHeight="1">
      <c r="A20" s="292" t="str">
        <f>IF(DAY('Общие данные'!E67)&lt;15,"   ","  Oxirgi yakuniy to'lov "&amp;'Общие данные'!B65&amp;" shartnomasi tuzilgan kundan boshlab oxirgi oyning oxirgi kunida amalga oshiriladi")</f>
        <v xml:space="preserve">   </v>
      </c>
      <c r="B20" s="292"/>
      <c r="C20" s="292"/>
      <c r="D20" s="292"/>
    </row>
    <row r="21" spans="1:5">
      <c r="A21" s="292" t="str">
        <f>""&amp;'Общие данные'!C64&amp;" ta’minoti::"</f>
        <v>Mikroqarz ta’minoti::</v>
      </c>
      <c r="B21" s="292"/>
      <c r="C21" s="292"/>
      <c r="D21" s="292"/>
    </row>
    <row r="22" spans="1:5" ht="72.75" customHeight="1">
      <c r="A22" s="293"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3"/>
      <c r="C22" s="293"/>
      <c r="D22" s="293"/>
    </row>
    <row r="23" spans="1:5" ht="79.5" hidden="1" customHeight="1">
      <c r="A23" s="293"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3"/>
      <c r="C23" s="293"/>
      <c r="D23" s="293"/>
    </row>
    <row r="24" spans="1:5" ht="96.75" hidden="1" customHeight="1">
      <c r="A24" s="293"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3"/>
      <c r="C24" s="293"/>
      <c r="D24" s="293"/>
      <c r="E24" s="154"/>
    </row>
    <row r="25" spans="1:5" ht="92.25" hidden="1" customHeight="1">
      <c r="A25" s="293"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3"/>
      <c r="C25" s="293"/>
      <c r="D25" s="293"/>
    </row>
    <row r="26" spans="1:5" ht="78" hidden="1" customHeight="1">
      <c r="A26" s="293"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3"/>
      <c r="C26" s="293"/>
      <c r="D26" s="293"/>
    </row>
    <row r="27" spans="1:5" ht="93" hidden="1" customHeight="1">
      <c r="A27" s="293"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3"/>
      <c r="C27" s="293"/>
      <c r="D27" s="293"/>
    </row>
    <row r="28" spans="1:5" ht="93.75" hidden="1" customHeight="1">
      <c r="A28" s="293"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3"/>
      <c r="C28" s="293"/>
      <c r="D28" s="293"/>
    </row>
    <row r="29" spans="1:5" ht="10.5" customHeight="1">
      <c r="A29" s="292"/>
      <c r="B29" s="292"/>
      <c r="C29" s="292"/>
      <c r="D29" s="292"/>
    </row>
    <row r="30" spans="1:5" ht="53.25" customHeight="1">
      <c r="A30" s="293"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3"/>
      <c r="C30" s="293"/>
      <c r="D30" s="293"/>
    </row>
    <row r="31" spans="1:5" ht="15.75" customHeight="1">
      <c r="A31" s="293" t="s">
        <v>249</v>
      </c>
      <c r="B31" s="293"/>
      <c r="C31" s="293"/>
      <c r="D31" s="293"/>
    </row>
    <row r="32" spans="1:5">
      <c r="A32" s="293" t="s">
        <v>250</v>
      </c>
      <c r="B32" s="293"/>
      <c r="C32" s="293"/>
      <c r="D32" s="293"/>
    </row>
    <row r="33" spans="1:4">
      <c r="A33" s="293" t="s">
        <v>251</v>
      </c>
      <c r="B33" s="293"/>
      <c r="C33" s="293"/>
      <c r="D33" s="293"/>
    </row>
    <row r="34" spans="1:4">
      <c r="A34" s="292" t="str">
        <f>"Ariza berilgan sana: "&amp;TEXT('Общие данные'!B2,"ДД.ММ.ГГГГ")&amp;"y."</f>
        <v>Ariza berilgan sana: 11.03.2025y.</v>
      </c>
      <c r="B34" s="292"/>
      <c r="C34" s="292"/>
      <c r="D34" s="292"/>
    </row>
    <row r="35" spans="1:4">
      <c r="A35" s="292"/>
      <c r="B35" s="292"/>
      <c r="C35" s="292"/>
      <c r="D35" s="292"/>
    </row>
    <row r="36" spans="1:4">
      <c r="A36" s="292" t="s">
        <v>252</v>
      </c>
      <c r="B36" s="292"/>
      <c r="C36" s="292"/>
      <c r="D36" s="292"/>
    </row>
    <row r="37" spans="1:4">
      <c r="A37" s="292"/>
      <c r="B37" s="292"/>
      <c r="C37" s="292"/>
      <c r="D37" s="292"/>
    </row>
    <row r="38" spans="1:4">
      <c r="A38" s="292"/>
      <c r="B38" s="292"/>
      <c r="C38" s="292"/>
      <c r="D38" s="292"/>
    </row>
    <row r="39" spans="1:4" ht="15.75" customHeight="1">
      <c r="A39" s="294" t="str">
        <f>'Общие данные'!B5</f>
        <v>NUTFULLAYEV AKBARJON AXMEDOVICH</v>
      </c>
      <c r="B39" s="294"/>
      <c r="C39" s="294"/>
      <c r="D39" s="11" t="s">
        <v>4</v>
      </c>
    </row>
    <row r="40" spans="1:4">
      <c r="A40" s="10"/>
      <c r="B40" s="10"/>
      <c r="D40" s="12" t="s">
        <v>333</v>
      </c>
    </row>
    <row r="41" spans="1:4">
      <c r="A41" s="292"/>
      <c r="B41" s="292"/>
      <c r="C41" s="292"/>
      <c r="D41" s="292"/>
    </row>
    <row r="42" spans="1:4">
      <c r="A42" s="292"/>
      <c r="B42" s="292"/>
      <c r="C42" s="292"/>
      <c r="D42" s="292"/>
    </row>
    <row r="43" spans="1:4">
      <c r="A43" s="292"/>
      <c r="B43" s="292"/>
      <c r="C43" s="292"/>
      <c r="D43" s="292"/>
    </row>
    <row r="44" spans="1:4">
      <c r="A44" s="292"/>
      <c r="B44" s="292"/>
      <c r="C44" s="292"/>
      <c r="D44" s="292"/>
    </row>
    <row r="45" spans="1:4">
      <c r="A45" s="292"/>
      <c r="B45" s="292"/>
      <c r="C45" s="292"/>
      <c r="D45" s="292"/>
    </row>
    <row r="46" spans="1:4">
      <c r="A46" s="292"/>
      <c r="B46" s="292"/>
      <c r="C46" s="292"/>
      <c r="D46" s="292"/>
    </row>
    <row r="47" spans="1:4">
      <c r="A47" s="292"/>
      <c r="B47" s="292"/>
      <c r="C47" s="292"/>
      <c r="D47" s="292"/>
    </row>
    <row r="48" spans="1:4">
      <c r="A48" s="292"/>
      <c r="B48" s="292"/>
      <c r="C48" s="292"/>
      <c r="D48" s="292"/>
    </row>
    <row r="49" spans="1:4">
      <c r="A49" s="292"/>
      <c r="B49" s="292"/>
      <c r="C49" s="292"/>
      <c r="D49" s="292"/>
    </row>
    <row r="50" spans="1:4">
      <c r="A50" s="292"/>
      <c r="B50" s="292"/>
      <c r="C50" s="292"/>
      <c r="D50" s="292"/>
    </row>
    <row r="51" spans="1:4">
      <c r="A51" s="292"/>
      <c r="B51" s="292"/>
      <c r="C51" s="292"/>
      <c r="D51" s="292"/>
    </row>
    <row r="52" spans="1:4">
      <c r="A52" s="292"/>
      <c r="B52" s="292"/>
      <c r="C52" s="292"/>
      <c r="D52" s="292"/>
    </row>
    <row r="53" spans="1:4">
      <c r="A53" s="292"/>
      <c r="B53" s="292"/>
      <c r="C53" s="292"/>
      <c r="D53" s="292"/>
    </row>
    <row r="54" spans="1:4">
      <c r="A54" s="292"/>
      <c r="B54" s="292"/>
      <c r="C54" s="292"/>
      <c r="D54" s="292"/>
    </row>
    <row r="55" spans="1:4">
      <c r="A55" s="292"/>
      <c r="B55" s="292"/>
      <c r="C55" s="292"/>
      <c r="D55" s="292"/>
    </row>
    <row r="56" spans="1:4">
      <c r="A56" s="292"/>
      <c r="B56" s="292"/>
      <c r="C56" s="292"/>
      <c r="D56" s="292"/>
    </row>
    <row r="57" spans="1:4">
      <c r="A57" s="292"/>
      <c r="B57" s="292"/>
      <c r="C57" s="292"/>
      <c r="D57" s="292"/>
    </row>
    <row r="58" spans="1:4">
      <c r="A58" s="292"/>
      <c r="B58" s="292"/>
      <c r="C58" s="292"/>
      <c r="D58" s="292"/>
    </row>
    <row r="59" spans="1:4">
      <c r="A59" s="292"/>
      <c r="B59" s="292"/>
      <c r="C59" s="292"/>
      <c r="D59" s="292"/>
    </row>
    <row r="60" spans="1:4">
      <c r="A60" s="292"/>
      <c r="B60" s="292"/>
      <c r="C60" s="292"/>
      <c r="D60" s="292"/>
    </row>
    <row r="61" spans="1:4">
      <c r="A61" s="292"/>
      <c r="B61" s="292"/>
      <c r="C61" s="292"/>
      <c r="D61" s="292"/>
    </row>
    <row r="62" spans="1:4">
      <c r="A62" s="292"/>
      <c r="B62" s="292"/>
      <c r="C62" s="292"/>
      <c r="D62" s="292"/>
    </row>
    <row r="63" spans="1:4">
      <c r="A63" s="292"/>
      <c r="B63" s="292"/>
      <c r="C63" s="292"/>
      <c r="D63" s="292"/>
    </row>
    <row r="64" spans="1:4">
      <c r="A64" s="292"/>
      <c r="B64" s="292"/>
      <c r="C64" s="292"/>
      <c r="D64" s="292"/>
    </row>
    <row r="65" spans="1:4">
      <c r="A65" s="292"/>
      <c r="B65" s="292"/>
      <c r="C65" s="292"/>
      <c r="D65" s="292"/>
    </row>
    <row r="66" spans="1:4">
      <c r="A66" s="292"/>
      <c r="B66" s="292"/>
      <c r="C66" s="292"/>
      <c r="D66" s="292"/>
    </row>
    <row r="67" spans="1:4">
      <c r="A67" s="292"/>
      <c r="B67" s="292"/>
      <c r="C67" s="292"/>
      <c r="D67" s="292"/>
    </row>
    <row r="68" spans="1:4">
      <c r="A68" s="292"/>
      <c r="B68" s="292"/>
      <c r="C68" s="292"/>
      <c r="D68" s="292"/>
    </row>
    <row r="69" spans="1:4">
      <c r="A69" s="292"/>
      <c r="B69" s="292"/>
      <c r="C69" s="292"/>
      <c r="D69" s="292"/>
    </row>
    <row r="70" spans="1:4">
      <c r="A70" s="292"/>
      <c r="B70" s="292"/>
      <c r="C70" s="292"/>
      <c r="D70" s="292"/>
    </row>
    <row r="71" spans="1:4">
      <c r="A71" s="292"/>
      <c r="B71" s="292"/>
      <c r="C71" s="292"/>
      <c r="D71" s="292"/>
    </row>
    <row r="72" spans="1:4">
      <c r="A72" s="292"/>
      <c r="B72" s="292"/>
      <c r="C72" s="292"/>
      <c r="D72" s="292"/>
    </row>
    <row r="73" spans="1:4">
      <c r="A73" s="292"/>
      <c r="B73" s="292"/>
      <c r="C73" s="292"/>
      <c r="D73" s="292"/>
    </row>
    <row r="74" spans="1:4">
      <c r="A74" s="292"/>
      <c r="B74" s="292"/>
      <c r="C74" s="292"/>
      <c r="D74" s="292"/>
    </row>
    <row r="75" spans="1:4">
      <c r="A75" s="292"/>
      <c r="B75" s="292"/>
      <c r="C75" s="292"/>
      <c r="D75" s="292"/>
    </row>
    <row r="76" spans="1:4">
      <c r="A76" s="292"/>
      <c r="B76" s="292"/>
      <c r="C76" s="292"/>
      <c r="D76" s="292"/>
    </row>
    <row r="77" spans="1:4">
      <c r="A77" s="292"/>
      <c r="B77" s="292"/>
      <c r="C77" s="292"/>
      <c r="D77" s="292"/>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5" t="s">
        <v>215</v>
      </c>
      <c r="B3" s="295"/>
    </row>
    <row r="4" spans="1:2" ht="92.25" customHeight="1">
      <c r="A4" s="233"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-NN-sonli shartnomaning garov ta'minoti sifatida taqdim etilayotgan mulk CHANGAN CHANGAN SC 1027SB rusumli avtotransport vositasini qonunga xilof ravishda o‘zlashtirmaslikka, yashirmaslikka, nobud qilmaslikka yoki unga shikast yetkazmaslik majburiyatini olaman.</v>
      </c>
      <c r="B4" s="233"/>
    </row>
    <row r="5" spans="1:2" ht="56.25" customHeight="1">
      <c r="A5" s="296" t="s">
        <v>216</v>
      </c>
      <c r="B5" s="296"/>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zoomScaleSheetLayoutView="100" workbookViewId="0">
      <selection activeCell="D51" sqref="D51"/>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60" t="str">
        <f>""&amp;'Общие данные'!B147&amp;"
mikromoliya tashkilotining Xulosasi"</f>
        <v>«CLEVER MIKROMOLIYA TASHKILOTI» MChJ
mikromoliya tashkilotining Xulosasi</v>
      </c>
      <c r="B1" s="260"/>
      <c r="C1" s="260"/>
      <c r="D1" s="260"/>
      <c r="E1" s="260"/>
    </row>
    <row r="2" spans="1:5">
      <c r="A2" s="233"/>
      <c r="B2" s="233"/>
      <c r="C2" s="233"/>
      <c r="D2" s="233"/>
      <c r="E2" s="233"/>
    </row>
    <row r="3" spans="1:5">
      <c r="A3" s="260" t="s">
        <v>204</v>
      </c>
      <c r="B3" s="260"/>
      <c r="C3" s="260"/>
      <c r="D3" s="260"/>
      <c r="E3" s="260"/>
    </row>
    <row r="4" spans="1:5" ht="19.5" customHeight="1">
      <c r="A4" s="233" t="str">
        <f>"Mijozning to'liq ismi sharifi: "&amp;'Общие данные'!B5&amp;""</f>
        <v>Mijozning to'liq ismi sharifi: NUTFULLAYEV AKBARJON AXMEDOVICH</v>
      </c>
      <c r="B4" s="233"/>
      <c r="C4" s="233"/>
      <c r="D4" s="233"/>
      <c r="E4" s="233"/>
    </row>
    <row r="5" spans="1:5">
      <c r="A5" s="233" t="str">
        <f>"Tug'ilgan sanasi: "&amp;'Общие данные'!B15&amp;""</f>
        <v>Tug'ilgan sanasi: 14.09.1989 y</v>
      </c>
      <c r="B5" s="233"/>
      <c r="C5" s="233"/>
      <c r="D5" s="233"/>
      <c r="E5" s="233"/>
    </row>
    <row r="6" spans="1:5" ht="31.5" customHeight="1">
      <c r="A6" s="233"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3"/>
      <c r="C6" s="233"/>
      <c r="D6" s="233"/>
      <c r="E6" s="233"/>
    </row>
    <row r="7" spans="1:5" ht="39.75" customHeight="1">
      <c r="A7" s="233" t="str">
        <f>"Ro‘yxatdan o‘tgan manzili: "&amp;'Общие данные'!B28&amp;", mo'ljal: "&amp;'Общие данные'!B26&amp;""</f>
        <v>Ro‘yxatdan o‘tgan manzili: BUXORO VILOYATI BUXORO SHAHAR TADBIRKOR KO'CHASI 12-UY, mo'ljal: GOR VODAKANAL</v>
      </c>
      <c r="B7" s="233"/>
      <c r="C7" s="233"/>
      <c r="D7" s="233"/>
      <c r="E7" s="233"/>
    </row>
    <row r="8" spans="1:5" ht="26.25" customHeight="1">
      <c r="A8" s="233" t="str">
        <f>"Ish joyi: "&amp;'Общие данные'!B52&amp;" lavozimi "&amp;'Общие данные'!B49&amp;"da "&amp;'Общие данные'!B44&amp;""</f>
        <v>Ish joyi:  lavozimi Yakka tartibdagi tadbirkorda Yakka tartibdagi tadbirkor</v>
      </c>
      <c r="B8" s="233"/>
      <c r="C8" s="233"/>
      <c r="D8" s="233"/>
      <c r="E8" s="233"/>
    </row>
    <row r="9" spans="1:5">
      <c r="A9" s="233"/>
      <c r="B9" s="233"/>
      <c r="C9" s="233"/>
      <c r="D9" s="233"/>
      <c r="E9" s="233"/>
    </row>
    <row r="10" spans="1:5">
      <c r="A10" s="260" t="str">
        <f>"Mijoz tomonidan so’ralgan "&amp;'Общие данные'!B65&amp;" shartlari:"</f>
        <v>Mijoz tomonidan so’ralgan mikroqarz shartlari:</v>
      </c>
      <c r="B10" s="260"/>
      <c r="C10" s="260"/>
      <c r="D10" s="260"/>
      <c r="E10" s="260"/>
    </row>
    <row r="11" spans="1:5">
      <c r="A11" s="233" t="str">
        <f>'Кредитная заявка'!A13:D13</f>
        <v>Mikroqarz summasi: 27 000 000,00 (yigirma yetti million so'm) so'm.</v>
      </c>
      <c r="B11" s="233"/>
      <c r="C11" s="233"/>
      <c r="D11" s="233"/>
      <c r="E11" s="233"/>
    </row>
    <row r="12" spans="1:5">
      <c r="A12" s="233" t="str">
        <f>'Кредитная заявка'!A14:D14</f>
        <v>Mikroqarz muddati: 36 (o'ttiz olti) oy.</v>
      </c>
      <c r="B12" s="233"/>
      <c r="C12" s="233"/>
      <c r="D12" s="233"/>
      <c r="E12" s="233"/>
    </row>
    <row r="13" spans="1:5">
      <c r="A13" s="233" t="str">
        <f>'Кредитная заявка'!A15:D15</f>
        <v>Mikroqarzdan foydalanganlik uchun foiz stavkasi: yillik  60% (Oltmish) foiz</v>
      </c>
      <c r="B13" s="233"/>
      <c r="C13" s="233"/>
      <c r="D13" s="233"/>
      <c r="E13" s="233"/>
    </row>
    <row r="14" spans="1:5">
      <c r="A14" s="233" t="str">
        <f>'Кредитная заявка'!A16:D16</f>
        <v>Mikroqarz bo'yicha asosiy qarz va foizlarni to'lash:</v>
      </c>
      <c r="B14" s="233"/>
      <c r="C14" s="233"/>
      <c r="D14" s="233"/>
      <c r="E14" s="233"/>
    </row>
    <row r="15" spans="1:5" ht="18.75" customHeight="1">
      <c r="A15" s="233" t="str">
        <f>'Кредитная заявка'!A19:D19</f>
        <v xml:space="preserve"> - mikroqarz shartnomasi bo'yicha har oy differensial to'lovlari amalga oshiriladi</v>
      </c>
      <c r="B15" s="233"/>
      <c r="C15" s="233"/>
      <c r="D15" s="233"/>
      <c r="E15" s="233"/>
    </row>
    <row r="16" spans="1:5" ht="14.25" customHeight="1">
      <c r="A16" s="236" t="str">
        <f>'Кредитная заявка'!A20:D20</f>
        <v xml:space="preserve">   </v>
      </c>
      <c r="B16" s="236"/>
      <c r="C16" s="236"/>
      <c r="D16" s="236"/>
      <c r="E16" s="236"/>
    </row>
    <row r="17" spans="1:5">
      <c r="A17" s="233" t="str">
        <f>'Кредитная заявка'!A21:D21</f>
        <v>Mikroqarz ta’minoti::</v>
      </c>
      <c r="B17" s="233"/>
      <c r="C17" s="233"/>
      <c r="D17" s="233"/>
      <c r="E17" s="233"/>
    </row>
    <row r="18" spans="1:5" ht="83.25" customHeight="1">
      <c r="A18" s="233"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3"/>
      <c r="C18" s="233"/>
      <c r="D18" s="233"/>
      <c r="E18" s="233"/>
    </row>
    <row r="19" spans="1:5">
      <c r="A19" s="260" t="s">
        <v>205</v>
      </c>
      <c r="B19" s="260"/>
      <c r="C19" s="260"/>
      <c r="D19" s="260"/>
      <c r="E19" s="260"/>
    </row>
    <row r="20" spans="1:5" ht="21" customHeight="1">
      <c r="A20" s="233" t="str">
        <f>"Anketaga muvofiq "&amp;'Общие данные'!B9&amp;"ning o‘rtacha oylik daromadi  "&amp;FIXED('Общие данные'!B60)&amp;" so‘mni tashkil etdi."</f>
        <v>Anketaga muvofiq NUTFULLAYEV A.A.ning o‘rtacha oylik daromadi  10 000 000,00 so‘mni tashkil etdi.</v>
      </c>
      <c r="B20" s="233"/>
      <c r="C20" s="233"/>
      <c r="D20" s="233"/>
      <c r="E20" s="233"/>
    </row>
    <row r="21" spans="1:5" ht="27" customHeight="1">
      <c r="A21" s="233" t="str">
        <f>"Mijozning o'rtacha oylik xarajatlari "&amp;FIXED('Анкета Клиента'!F27)&amp;" so'mni tashkil etdi"</f>
        <v>Mijozning o'rtacha oylik xarajatlari 1 650 000,00 so'mni tashkil etdi</v>
      </c>
      <c r="B21" s="233"/>
      <c r="C21" s="233"/>
      <c r="D21" s="233"/>
      <c r="E21" s="233"/>
    </row>
    <row r="22" spans="1:5" ht="24.75" customHeight="1">
      <c r="A22" s="233" t="str">
        <f>IF('Общие данные'!B77='Общие данные'!C77,'Заключение КК'!A23:E23,'Заключение КК'!A24:E24)</f>
        <v>Mikroqarz shartnomasi bo'yicha birinchi oy uchun to'lov 2 051 917,76 so'mni tashkil etadi.</v>
      </c>
      <c r="B22" s="233"/>
      <c r="C22" s="233"/>
      <c r="D22" s="233"/>
      <c r="E22" s="233"/>
    </row>
    <row r="23" spans="1:5" ht="19.5" hidden="1" customHeight="1">
      <c r="A23" s="233" t="str">
        <f>""&amp;'Общие данные'!C64&amp;" shartnomasi bo'yicha birinchi oy uchun to'lov "&amp;FIXED('Общие данные'!B90)&amp;" so'mni tashkil etadi."</f>
        <v>Mikroqarz shartnomasi bo'yicha birinchi oy uchun to'lov 2 051 917,76 so'mni tashkil etadi.</v>
      </c>
      <c r="B23" s="233"/>
      <c r="C23" s="233"/>
      <c r="D23" s="233"/>
      <c r="E23" s="233"/>
    </row>
    <row r="24" spans="1:5" ht="19.5" hidden="1" customHeight="1">
      <c r="A24" s="233" t="str">
        <f>""&amp;'Общие данные'!C64&amp;" bo‘yicha oylik "&amp;'Общие данные'!B77&amp;" to‘lovi miqdori "&amp;FIXED('Общие данные'!B90)&amp;" so‘mni tashkil etadi."</f>
        <v>Mikroqarz bo‘yicha oylik differensial to‘lovi miqdori 2 051 917,76 so‘mni tashkil etadi.</v>
      </c>
      <c r="B24" s="233"/>
      <c r="C24" s="233"/>
      <c r="D24" s="233"/>
      <c r="E24" s="233"/>
    </row>
    <row r="25" spans="1:5" ht="56.25" hidden="1" customHeight="1">
      <c r="A25" s="236" t="s">
        <v>402</v>
      </c>
      <c r="B25" s="236"/>
      <c r="C25" s="236"/>
      <c r="D25" s="236"/>
      <c r="E25" s="236"/>
    </row>
    <row r="26" spans="1:5">
      <c r="A26" s="260" t="str">
        <f>""&amp;'Общие данные'!C64&amp;" bo’yicha ta’minot:"</f>
        <v>Mikroqarz bo’yicha ta’minot:</v>
      </c>
      <c r="B26" s="260"/>
      <c r="C26" s="260"/>
      <c r="D26" s="260"/>
      <c r="E26" s="260"/>
    </row>
    <row r="27" spans="1:5" ht="31.5" hidden="1" customHeight="1">
      <c r="A27" s="233"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3"/>
      <c r="C27" s="233"/>
      <c r="D27" s="233"/>
      <c r="E27" s="233"/>
    </row>
    <row r="28" spans="1:5" ht="67.5" hidden="1" customHeight="1">
      <c r="A28" s="233"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3"/>
      <c r="C28" s="233"/>
      <c r="D28" s="233"/>
      <c r="E28" s="233"/>
    </row>
    <row r="29" spans="1:5" ht="44.25" customHeight="1">
      <c r="A29" s="233"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3"/>
      <c r="C29" s="233"/>
      <c r="D29" s="233"/>
      <c r="E29" s="233"/>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3" t="str">
        <f>'Акт согласования'!A22</f>
        <v>-* avtotransport egasi: NUTFULLAYEV AKBARJON AXMEDOVICH</v>
      </c>
      <c r="B32" s="233"/>
      <c r="C32" s="233"/>
      <c r="D32" s="233"/>
      <c r="E32" s="233"/>
    </row>
    <row r="33" spans="1:5" ht="15" customHeight="1" outlineLevel="1">
      <c r="A33" s="233" t="str">
        <f>'Акт согласования'!A23</f>
        <v>-* texnik pasport: AAG   2346592  13.09.2023y</v>
      </c>
      <c r="B33" s="233"/>
      <c r="C33" s="233"/>
      <c r="D33" s="233"/>
      <c r="E33" s="233"/>
    </row>
    <row r="34" spans="1:5" ht="33" customHeight="1" outlineLevel="1">
      <c r="A34" s="233" t="str">
        <f>'Акт согласования'!A24</f>
        <v>-* roʻyxatdan oʻtgan manzili/garaj manzili: BUXORO VILOYATI BUXORO SHAHAR TADBIRKOR KO'CHASI 12-UY</v>
      </c>
      <c r="B34" s="233"/>
      <c r="C34" s="233"/>
      <c r="D34" s="233"/>
      <c r="E34" s="233"/>
    </row>
    <row r="35" spans="1:5" ht="15" customHeight="1" outlineLevel="1">
      <c r="A35" s="233" t="str">
        <f>'Акт согласования'!A25</f>
        <v>-* davlat raqami: 80T312WA</v>
      </c>
      <c r="B35" s="233"/>
      <c r="C35" s="233"/>
      <c r="D35" s="233"/>
      <c r="E35" s="233"/>
    </row>
    <row r="36" spans="1:5" ht="9" customHeight="1">
      <c r="A36" s="233"/>
      <c r="B36" s="233"/>
      <c r="C36" s="233"/>
      <c r="D36" s="233"/>
      <c r="E36" s="233"/>
    </row>
    <row r="37" spans="1:5" ht="39" customHeight="1">
      <c r="A37" s="260" t="str">
        <f>""&amp;'Общие данные'!B147&amp;"
mikromoliya tashkilotining Xulosasi"</f>
        <v>«CLEVER MIKROMOLIYA TASHKILOTI» MChJ
mikromoliya tashkilotining Xulosasi</v>
      </c>
      <c r="B37" s="260"/>
      <c r="C37" s="260"/>
      <c r="D37" s="260"/>
      <c r="E37" s="260"/>
    </row>
    <row r="38" spans="1:5" ht="48" customHeight="1">
      <c r="A38" s="233"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3"/>
      <c r="C38" s="233"/>
      <c r="D38" s="233"/>
      <c r="E38" s="233"/>
    </row>
    <row r="39" spans="1:5">
      <c r="A39" s="233" t="str">
        <f>A11</f>
        <v>Mikroqarz summasi: 27 000 000,00 (yigirma yetti million so'm) so'm.</v>
      </c>
      <c r="B39" s="233"/>
      <c r="C39" s="233"/>
      <c r="D39" s="233"/>
      <c r="E39" s="233"/>
    </row>
    <row r="40" spans="1:5">
      <c r="A40" s="233" t="str">
        <f t="shared" ref="A40:A46" si="0">A12</f>
        <v>Mikroqarz muddati: 36 (o'ttiz olti) oy.</v>
      </c>
      <c r="B40" s="233"/>
      <c r="C40" s="233"/>
      <c r="D40" s="233"/>
      <c r="E40" s="233"/>
    </row>
    <row r="41" spans="1:5">
      <c r="A41" s="233" t="str">
        <f t="shared" si="0"/>
        <v>Mikroqarzdan foydalanganlik uchun foiz stavkasi: yillik  60% (Oltmish) foiz</v>
      </c>
      <c r="B41" s="233"/>
      <c r="C41" s="233"/>
      <c r="D41" s="233"/>
      <c r="E41" s="233"/>
    </row>
    <row r="42" spans="1:5">
      <c r="A42" s="233" t="str">
        <f t="shared" si="0"/>
        <v>Mikroqarz bo'yicha asosiy qarz va foizlarni to'lash:</v>
      </c>
      <c r="B42" s="233"/>
      <c r="C42" s="233"/>
      <c r="D42" s="233"/>
      <c r="E42" s="233"/>
    </row>
    <row r="43" spans="1:5" ht="20.25" customHeight="1">
      <c r="A43" s="233" t="str">
        <f t="shared" si="0"/>
        <v xml:space="preserve"> - mikroqarz shartnomasi bo'yicha har oy differensial to'lovlari amalga oshiriladi</v>
      </c>
      <c r="B43" s="233"/>
      <c r="C43" s="233"/>
      <c r="D43" s="233"/>
      <c r="E43" s="233"/>
    </row>
    <row r="44" spans="1:5" ht="26.25" customHeight="1">
      <c r="A44" s="233" t="str">
        <f t="shared" si="0"/>
        <v xml:space="preserve">   </v>
      </c>
      <c r="B44" s="233"/>
      <c r="C44" s="233"/>
      <c r="D44" s="233"/>
      <c r="E44" s="233"/>
    </row>
    <row r="45" spans="1:5">
      <c r="A45" s="233" t="str">
        <f t="shared" si="0"/>
        <v>Mikroqarz ta’minoti::</v>
      </c>
      <c r="B45" s="233"/>
      <c r="C45" s="233"/>
      <c r="D45" s="233"/>
      <c r="E45" s="233"/>
    </row>
    <row r="46" spans="1:5" ht="72" customHeight="1">
      <c r="A46" s="233"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3"/>
      <c r="C46" s="233"/>
      <c r="D46" s="233"/>
      <c r="E46" s="233"/>
    </row>
    <row r="47" spans="1:5">
      <c r="A47" s="233"/>
      <c r="B47" s="233"/>
      <c r="C47" s="233"/>
      <c r="D47" s="233"/>
      <c r="E47" s="233"/>
    </row>
    <row r="48" spans="1:5" ht="36.75" customHeight="1">
      <c r="A48" s="233" t="str">
        <f>""&amp;'Общие данные'!B147&amp;" mikromoliya tashkilotining xulosasi  "&amp;TEXT('Общие данные'!B2,"ДД.ММ.ГГГГ")&amp;" y. tayyorlangan"</f>
        <v>«CLEVER MIKROMOLIYA TASHKILOTI» MChJ mikromoliya tashkilotining xulosasi  11.03.2025 y. tayyorlangan</v>
      </c>
      <c r="B48" s="233"/>
      <c r="C48" s="233"/>
      <c r="D48" s="233"/>
      <c r="E48" s="233"/>
    </row>
    <row r="49" spans="1:5">
      <c r="A49" s="233"/>
      <c r="B49" s="233"/>
      <c r="C49" s="233"/>
      <c r="D49" s="233"/>
      <c r="E49" s="233"/>
    </row>
    <row r="50" spans="1:5" ht="15.75" customHeight="1">
      <c r="A50" s="236"/>
      <c r="B50" s="236"/>
      <c r="C50" s="236"/>
      <c r="D50" s="22"/>
      <c r="E50" s="23"/>
    </row>
    <row r="51" spans="1:5" ht="35.25" customHeight="1">
      <c r="A51" s="132" t="str">
        <f>'Общие данные'!A150</f>
        <v>Namangan filiali menejeri</v>
      </c>
      <c r="B51" s="221"/>
      <c r="C51" s="221"/>
      <c r="D51" s="132" t="str">
        <f>'Общие данные'!B150</f>
        <v>A.Misirov</v>
      </c>
      <c r="E51" s="23"/>
    </row>
    <row r="52" spans="1:5">
      <c r="A52" s="233"/>
      <c r="B52" s="233"/>
      <c r="C52" s="233"/>
      <c r="D52" s="233"/>
      <c r="E52" s="233"/>
    </row>
    <row r="53" spans="1:5" ht="47.25" customHeight="1">
      <c r="A53" s="233"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3"/>
      <c r="C53" s="233"/>
      <c r="D53" s="233"/>
      <c r="E53" s="233"/>
    </row>
    <row r="54" spans="1:5" s="225" customFormat="1"/>
    <row r="55" spans="1:5" s="225" customFormat="1">
      <c r="A55" s="224" t="s">
        <v>433</v>
      </c>
      <c r="C55" s="222"/>
      <c r="D55" s="354" t="s">
        <v>434</v>
      </c>
    </row>
    <row r="56" spans="1:5" s="225" customFormat="1">
      <c r="A56" s="224"/>
      <c r="B56" s="222"/>
      <c r="C56" s="222"/>
      <c r="D56" s="355"/>
    </row>
    <row r="57" spans="1:5" s="225" customFormat="1" ht="28.5">
      <c r="A57" s="224" t="str">
        <f>'[2]Общие данные'!A159</f>
        <v>Kreditlash bo’limi boshlig’i</v>
      </c>
      <c r="D57" s="354" t="s">
        <v>435</v>
      </c>
    </row>
    <row r="58" spans="1:5" s="225" customFormat="1">
      <c r="A58" s="224"/>
      <c r="B58" s="223"/>
      <c r="D58" s="354"/>
    </row>
    <row r="59" spans="1:5" s="225" customFormat="1" ht="31.5" customHeight="1">
      <c r="A59" s="224" t="str">
        <f>'[2]Общие данные'!A160</f>
        <v>Monitoring bo’limi boshlig’i</v>
      </c>
      <c r="D59" s="354" t="s">
        <v>436</v>
      </c>
    </row>
  </sheetData>
  <mergeCells count="50">
    <mergeCell ref="A53:E53"/>
    <mergeCell ref="A38:E38"/>
    <mergeCell ref="A39:E39"/>
    <mergeCell ref="A40:E40"/>
    <mergeCell ref="A41:E41"/>
    <mergeCell ref="A42:E42"/>
    <mergeCell ref="A43:E43"/>
    <mergeCell ref="A44:E44"/>
    <mergeCell ref="A45:E45"/>
    <mergeCell ref="A46:E46"/>
    <mergeCell ref="A47:E47"/>
    <mergeCell ref="A48:E48"/>
    <mergeCell ref="A49:E49"/>
    <mergeCell ref="A52:E52"/>
    <mergeCell ref="A33:E33"/>
    <mergeCell ref="A34:E34"/>
    <mergeCell ref="A35:E35"/>
    <mergeCell ref="A36:E36"/>
    <mergeCell ref="A37:E37"/>
    <mergeCell ref="A50:C50"/>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5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97" t="str">
        <f>""&amp;'Общие данные'!C64&amp;" shartnoma "&amp;'Общие данные'!B66&amp;""</f>
        <v>Mikroqarz shartnoma № -NN</v>
      </c>
      <c r="B1" s="297"/>
    </row>
    <row r="3" spans="1:3">
      <c r="A3" s="297" t="str">
        <f>"Toshkent shahri                                                                               "&amp;'Общие данные'!B70&amp;""</f>
        <v>Toshkent shahri                                                                               11 mart 2025 y.</v>
      </c>
      <c r="B3" s="297"/>
    </row>
    <row r="4" spans="1:3">
      <c r="A4" s="66"/>
    </row>
    <row r="5" spans="1:3" ht="132.75" customHeight="1">
      <c r="A5" s="298"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Namangan filiali menejeri A.Misirov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8"/>
    </row>
    <row r="7" spans="1:3">
      <c r="A7" s="297" t="s">
        <v>264</v>
      </c>
      <c r="B7" s="297"/>
    </row>
    <row r="8" spans="1:3" ht="51.75" customHeight="1">
      <c r="A8" s="298"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8"/>
    </row>
    <row r="9" spans="1:3" ht="36" customHeight="1">
      <c r="A9" s="298"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8"/>
    </row>
    <row r="10" spans="1:3">
      <c r="A10" s="32"/>
    </row>
    <row r="11" spans="1:3">
      <c r="A11" s="301" t="str">
        <f>"2. "&amp;'Общие данные'!D64&amp;" BERISH VA QAYTARISH TARTIBI"</f>
        <v>2. MIKROQARZ BERISH VA QAYTARISH TARTIBI</v>
      </c>
      <c r="B11" s="301"/>
      <c r="C11" s="64"/>
    </row>
    <row r="12" spans="1:3" ht="36" customHeight="1">
      <c r="A12" s="298"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8"/>
    </row>
    <row r="13" spans="1:3" ht="35.25" customHeight="1">
      <c r="A13" s="298"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8"/>
    </row>
    <row r="14" spans="1:3" ht="35.25" customHeight="1">
      <c r="A14" s="298"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8"/>
    </row>
    <row r="15" spans="1:3" ht="69.75" customHeight="1">
      <c r="A15" s="298"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8"/>
    </row>
    <row r="16" spans="1:3" ht="177.75" customHeight="1">
      <c r="A16" s="298" t="s">
        <v>332</v>
      </c>
      <c r="B16" s="298"/>
    </row>
    <row r="17" spans="1:11" ht="161.25" customHeight="1">
      <c r="A17" s="29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8"/>
      <c r="C17" s="154" t="s">
        <v>337</v>
      </c>
      <c r="H17" s="6" t="str">
        <f>'Общие данные'!B65</f>
        <v>mikroqarz</v>
      </c>
      <c r="I17" s="6" t="s">
        <v>338</v>
      </c>
    </row>
    <row r="18" spans="1:11" ht="100.5" customHeight="1">
      <c r="A18" s="300" t="s">
        <v>377</v>
      </c>
      <c r="B18" s="300"/>
    </row>
    <row r="19" spans="1:11" ht="36" customHeight="1">
      <c r="A19" s="298"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8"/>
    </row>
    <row r="20" spans="1:11" ht="48.75" customHeight="1">
      <c r="A20" s="298"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8"/>
    </row>
    <row r="21" spans="1:11" ht="113.25" customHeight="1">
      <c r="A21" s="30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2"/>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1" t="str">
        <f>"3. "&amp;'Общие данные'!D64&amp;" TA'MINOTI BO‘YICHA "</f>
        <v xml:space="preserve">3. MIKROQARZ TA'MINOTI BO‘YICHA </v>
      </c>
      <c r="B22" s="301"/>
    </row>
    <row r="23" spans="1:11" ht="19.5" customHeight="1">
      <c r="A23" s="298" t="str">
        <f>"3.1. Ushbu Shartnoma bo‘yicha taqdim etilgan "&amp;'Общие данные'!C64&amp;" quyidagi garov bilan ta'minlanadi:"</f>
        <v>3.1. Ushbu Shartnoma bo‘yicha taqdim etilgan Mikroqarz quyidagi garov bilan ta'minlanadi:</v>
      </c>
      <c r="B23" s="298"/>
    </row>
    <row r="24" spans="1:11" ht="151.5" customHeight="1">
      <c r="A24" s="299"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99"/>
    </row>
    <row r="25" spans="1:11" ht="129" hidden="1" customHeight="1">
      <c r="A25" s="298"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8"/>
    </row>
    <row r="26" spans="1:11" ht="129.75" hidden="1" customHeight="1">
      <c r="A26" s="299"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99"/>
    </row>
    <row r="27" spans="1:11" ht="131.25" hidden="1" customHeight="1">
      <c r="A27" s="298"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8"/>
    </row>
    <row r="28" spans="1:11" ht="114" hidden="1" customHeight="1">
      <c r="A28" s="299"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99"/>
      <c r="K28" s="6" t="s">
        <v>329</v>
      </c>
    </row>
    <row r="29" spans="1:11" ht="114.75" hidden="1" customHeight="1">
      <c r="A29" s="299"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99"/>
    </row>
    <row r="30" spans="1:11" ht="115.5" hidden="1" customHeight="1">
      <c r="A30" s="304"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4"/>
    </row>
    <row r="31" spans="1:11" ht="117" customHeight="1">
      <c r="A31" s="303"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3"/>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3" t="s">
        <v>265</v>
      </c>
      <c r="B34" s="303"/>
    </row>
    <row r="35" spans="1:8" ht="84" customHeight="1">
      <c r="A35" s="303" t="s">
        <v>317</v>
      </c>
      <c r="B35" s="303"/>
    </row>
    <row r="37" spans="1:8">
      <c r="A37" s="306" t="s">
        <v>316</v>
      </c>
      <c r="B37" s="306"/>
      <c r="C37" s="75"/>
    </row>
    <row r="38" spans="1:8">
      <c r="A38" s="305" t="s">
        <v>315</v>
      </c>
      <c r="B38" s="305"/>
    </row>
    <row r="39" spans="1:8" ht="114" customHeight="1">
      <c r="A39" s="303"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3"/>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3"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3"/>
    </row>
    <row r="41" spans="1:8">
      <c r="A41" s="303" t="s">
        <v>318</v>
      </c>
      <c r="B41" s="303"/>
    </row>
    <row r="42" spans="1:8" ht="33" customHeight="1">
      <c r="A42" s="303" t="str">
        <f>"b) "&amp;'Общие данные'!B65&amp;" summasiga hisoblanadigan asosiy qarz bo‘yicha muddati o‘tgan qarzdorlik va/yoki foizlarning yuzaga kelishi;"</f>
        <v>b) mikroqarz summasiga hisoblanadigan asosiy qarz bo‘yicha muddati o‘tgan qarzdorlik va/yoki foizlarning yuzaga kelishi;</v>
      </c>
      <c r="B42" s="303"/>
    </row>
    <row r="43" spans="1:8" ht="37.5" customHeight="1">
      <c r="A43" s="303" t="s">
        <v>319</v>
      </c>
      <c r="B43" s="303"/>
    </row>
    <row r="44" spans="1:8" ht="52.5" customHeight="1">
      <c r="A44" s="303" t="s">
        <v>320</v>
      </c>
      <c r="B44" s="303"/>
    </row>
    <row r="45" spans="1:8" ht="19.5" customHeight="1">
      <c r="A45" s="303" t="s">
        <v>321</v>
      </c>
      <c r="B45" s="303"/>
    </row>
    <row r="46" spans="1:8" ht="51.75" customHeight="1">
      <c r="A46" s="303"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3"/>
    </row>
    <row r="47" spans="1:8" ht="33.75" customHeight="1">
      <c r="A47" s="303" t="s">
        <v>314</v>
      </c>
      <c r="B47" s="303"/>
    </row>
    <row r="48" spans="1:8" ht="36.75" customHeight="1">
      <c r="A48" s="303" t="s">
        <v>313</v>
      </c>
      <c r="B48" s="303"/>
      <c r="C48" s="158"/>
    </row>
    <row r="49" spans="1:8" ht="100.5" customHeight="1">
      <c r="A49" s="298" t="s">
        <v>312</v>
      </c>
      <c r="B49" s="298"/>
      <c r="C49" s="158"/>
    </row>
    <row r="50" spans="1:8" ht="70.5" customHeight="1">
      <c r="A50" s="298" t="s">
        <v>311</v>
      </c>
      <c r="B50" s="298"/>
      <c r="C50" s="158"/>
    </row>
    <row r="51" spans="1:8" ht="39.75" customHeight="1">
      <c r="A51" s="298"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8"/>
      <c r="C51" s="158"/>
    </row>
    <row r="52" spans="1:8" ht="33" customHeight="1">
      <c r="A52" s="298" t="s">
        <v>322</v>
      </c>
      <c r="B52" s="298"/>
      <c r="C52" s="158"/>
    </row>
    <row r="53" spans="1:8" ht="39.75" customHeight="1">
      <c r="A53" s="298" t="s">
        <v>310</v>
      </c>
      <c r="B53" s="298"/>
      <c r="C53" s="158"/>
    </row>
    <row r="54" spans="1:8" ht="50.25" customHeight="1">
      <c r="A54" s="298"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8"/>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8" t="str">
        <f>"4.1.11. Oldingi "&amp;'Общие данные'!B65&amp;" to‘liq to‘lanmagunga qadar yangi "&amp;'Общие данные'!B65&amp;" berishni rad etish."</f>
        <v>4.1.11. Oldingi mikroqarz to‘liq to‘lanmagunga qadar yangi mikroqarz berishni rad etish.</v>
      </c>
      <c r="B55" s="298"/>
      <c r="C55" s="158"/>
    </row>
    <row r="57" spans="1:8">
      <c r="A57" s="301" t="s">
        <v>309</v>
      </c>
      <c r="B57" s="301"/>
      <c r="C57" s="157"/>
    </row>
    <row r="58" spans="1:8">
      <c r="A58" s="307" t="s">
        <v>308</v>
      </c>
      <c r="B58" s="307"/>
      <c r="C58" s="159"/>
    </row>
    <row r="59" spans="1:8" ht="36" customHeight="1">
      <c r="A59" s="298"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8"/>
      <c r="C59" s="158"/>
    </row>
    <row r="60" spans="1:8" ht="36.75" customHeight="1">
      <c r="A60" s="298"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8"/>
      <c r="C60" s="158"/>
    </row>
    <row r="61" spans="1:8" ht="17.25" customHeight="1">
      <c r="A61" s="298" t="str">
        <f>"5.1.3. "&amp;'Общие данные'!C64&amp;" xizmatlari ko‘rsatish qoidalari bilan tanishish."</f>
        <v>5.1.3. Mikroqarz xizmatlari ko‘rsatish qoidalari bilan tanishish.</v>
      </c>
      <c r="B61" s="298"/>
      <c r="C61" s="158"/>
    </row>
    <row r="62" spans="1:8" ht="36" customHeight="1">
      <c r="A62" s="298"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8"/>
      <c r="C62" s="158"/>
    </row>
    <row r="63" spans="1:8" ht="33.75" customHeight="1">
      <c r="A63" s="298" t="s">
        <v>323</v>
      </c>
      <c r="B63" s="298"/>
      <c r="C63" s="158"/>
    </row>
    <row r="64" spans="1:8">
      <c r="A64" s="307" t="s">
        <v>307</v>
      </c>
      <c r="B64" s="307"/>
      <c r="C64" s="159"/>
    </row>
    <row r="65" spans="1:8" ht="37.5" customHeight="1">
      <c r="A65" s="298"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8"/>
      <c r="C65" s="158"/>
    </row>
    <row r="66" spans="1:8" ht="39.75" customHeight="1">
      <c r="A66" s="298" t="s">
        <v>324</v>
      </c>
      <c r="B66" s="298"/>
      <c r="C66" s="158"/>
    </row>
    <row r="67" spans="1:8" ht="27" customHeight="1">
      <c r="A67" s="298" t="str">
        <f>"5.2.3. To‘lov jadvaliga muvofiq "&amp;'Общие данные'!B65&amp;", shuningdek hisoblangan foizlar to‘lovlarini amalga oshirish."</f>
        <v>5.2.3. To‘lov jadvaliga muvofiq mikroqarz, shuningdek hisoblangan foizlar to‘lovlarini amalga oshirish.</v>
      </c>
      <c r="B67" s="298"/>
      <c r="C67" s="158"/>
    </row>
    <row r="68" spans="1:8" ht="84" customHeight="1">
      <c r="A68" s="298"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8"/>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8" t="s">
        <v>325</v>
      </c>
      <c r="B69" s="298"/>
      <c r="C69" s="158"/>
    </row>
    <row r="70" spans="1:8" ht="36" customHeight="1">
      <c r="A70" s="298"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8"/>
      <c r="C70" s="158"/>
    </row>
    <row r="71" spans="1:8" ht="51.75" customHeight="1">
      <c r="A71" s="300" t="s">
        <v>343</v>
      </c>
      <c r="B71" s="300"/>
      <c r="C71" s="161"/>
    </row>
    <row r="72" spans="1:8" ht="71.25" customHeight="1">
      <c r="A72" s="298"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8"/>
      <c r="C72" s="158"/>
    </row>
    <row r="73" spans="1:8" ht="33.75" customHeight="1">
      <c r="A73" s="298"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8"/>
      <c r="C73" s="158"/>
      <c r="H73" s="6" t="s">
        <v>339</v>
      </c>
    </row>
    <row r="74" spans="1:8" ht="68.25" customHeight="1">
      <c r="A74" s="298"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8"/>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6" t="s">
        <v>306</v>
      </c>
      <c r="B76" s="306"/>
      <c r="C76" s="160"/>
    </row>
    <row r="77" spans="1:8" ht="98.25" customHeight="1">
      <c r="A77" s="298"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8"/>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8" t="s">
        <v>305</v>
      </c>
      <c r="B78" s="298"/>
      <c r="C78" s="158"/>
    </row>
    <row r="79" spans="1:8" ht="35.25" customHeight="1">
      <c r="A79" s="298" t="s">
        <v>304</v>
      </c>
      <c r="B79" s="298"/>
      <c r="C79" s="158"/>
    </row>
    <row r="80" spans="1:8" ht="33" customHeight="1">
      <c r="A80" s="298" t="s">
        <v>303</v>
      </c>
      <c r="B80" s="298"/>
      <c r="C80" s="158"/>
    </row>
    <row r="82" spans="1:3">
      <c r="A82" s="290" t="s">
        <v>302</v>
      </c>
      <c r="B82" s="290"/>
      <c r="C82" s="65"/>
    </row>
    <row r="83" spans="1:3" ht="162.75" customHeight="1">
      <c r="A83" s="298" t="s">
        <v>301</v>
      </c>
      <c r="B83" s="298"/>
      <c r="C83" s="158"/>
    </row>
    <row r="84" spans="1:3" ht="33.75" customHeight="1">
      <c r="A84" s="298" t="s">
        <v>346</v>
      </c>
      <c r="B84" s="298"/>
      <c r="C84" s="158"/>
    </row>
    <row r="85" spans="1:3" ht="51.75" customHeight="1">
      <c r="A85" s="298" t="s">
        <v>300</v>
      </c>
      <c r="B85" s="298"/>
      <c r="C85" s="158"/>
    </row>
    <row r="86" spans="1:3" ht="36" customHeight="1">
      <c r="A86" s="298" t="s">
        <v>299</v>
      </c>
      <c r="B86" s="298"/>
      <c r="C86" s="158"/>
    </row>
    <row r="88" spans="1:3">
      <c r="A88" s="290" t="s">
        <v>298</v>
      </c>
      <c r="B88" s="290"/>
      <c r="C88" s="65"/>
    </row>
    <row r="89" spans="1:3" ht="114.75" customHeight="1">
      <c r="A89" s="298" t="s">
        <v>360</v>
      </c>
      <c r="B89" s="298"/>
      <c r="C89" s="158"/>
    </row>
    <row r="90" spans="1:3" ht="36" customHeight="1">
      <c r="A90" s="298" t="s">
        <v>326</v>
      </c>
      <c r="B90" s="298"/>
      <c r="C90" s="158"/>
    </row>
    <row r="91" spans="1:3" ht="64.5" customHeight="1">
      <c r="A91" s="298"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8"/>
      <c r="C91" s="158"/>
    </row>
    <row r="93" spans="1:3">
      <c r="A93" s="308" t="s">
        <v>297</v>
      </c>
      <c r="B93" s="308"/>
      <c r="C93" s="73"/>
    </row>
    <row r="94" spans="1:3" ht="20.25" customHeight="1">
      <c r="A94" s="298" t="s">
        <v>296</v>
      </c>
      <c r="B94" s="298"/>
      <c r="C94" s="158"/>
    </row>
    <row r="95" spans="1:3" ht="33.75" customHeight="1">
      <c r="A95" s="298"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8"/>
      <c r="C95" s="158"/>
    </row>
    <row r="96" spans="1:3" ht="51" customHeight="1">
      <c r="A96" s="298" t="s">
        <v>295</v>
      </c>
      <c r="B96" s="298"/>
      <c r="C96" s="158"/>
    </row>
    <row r="98" spans="1:3">
      <c r="A98" s="301" t="s">
        <v>294</v>
      </c>
      <c r="B98" s="301"/>
      <c r="C98" s="64"/>
    </row>
    <row r="99" spans="1:3" ht="82.5" customHeight="1">
      <c r="A99" s="298" t="s">
        <v>293</v>
      </c>
      <c r="B99" s="298"/>
      <c r="C99" s="158"/>
    </row>
    <row r="100" spans="1:3" ht="66" customHeight="1">
      <c r="A100" s="298" t="s">
        <v>292</v>
      </c>
      <c r="B100" s="298"/>
      <c r="C100" s="158"/>
    </row>
    <row r="101" spans="1:3" ht="48" customHeight="1">
      <c r="A101" s="298" t="s">
        <v>291</v>
      </c>
      <c r="B101" s="298"/>
      <c r="C101" s="158"/>
    </row>
    <row r="103" spans="1:3">
      <c r="A103" s="290" t="s">
        <v>290</v>
      </c>
      <c r="B103" s="290"/>
      <c r="C103" s="144"/>
    </row>
    <row r="104" spans="1:3" ht="37.5" customHeight="1">
      <c r="A104" s="298" t="s">
        <v>289</v>
      </c>
      <c r="B104" s="298"/>
      <c r="C104" s="158"/>
    </row>
    <row r="105" spans="1:3" ht="34.5" customHeight="1">
      <c r="A105" s="298" t="s">
        <v>288</v>
      </c>
      <c r="B105" s="298"/>
      <c r="C105" s="158"/>
    </row>
    <row r="106" spans="1:3" ht="66.75" customHeight="1">
      <c r="A106" s="298" t="s">
        <v>287</v>
      </c>
      <c r="B106" s="298"/>
      <c r="C106" s="158"/>
    </row>
    <row r="107" spans="1:3" ht="51" customHeight="1">
      <c r="A107" s="298" t="s">
        <v>286</v>
      </c>
      <c r="B107" s="298"/>
      <c r="C107" s="158"/>
    </row>
    <row r="108" spans="1:3" ht="37.5" customHeight="1">
      <c r="A108" s="298" t="s">
        <v>285</v>
      </c>
      <c r="B108" s="298"/>
      <c r="C108" s="158"/>
    </row>
    <row r="109" spans="1:3" ht="38.25" customHeight="1">
      <c r="A109" s="298" t="s">
        <v>284</v>
      </c>
      <c r="B109" s="298"/>
      <c r="C109" s="158"/>
    </row>
    <row r="110" spans="1:3" ht="21" customHeight="1">
      <c r="A110" s="298" t="s">
        <v>283</v>
      </c>
      <c r="B110" s="298"/>
      <c r="C110" s="158"/>
    </row>
    <row r="111" spans="1:3" ht="32.25" customHeight="1">
      <c r="A111" s="298"/>
      <c r="B111" s="298"/>
      <c r="C111" s="158"/>
    </row>
    <row r="113" spans="1:3">
      <c r="A113" s="308" t="s">
        <v>327</v>
      </c>
      <c r="B113" s="308"/>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9" t="str">
        <f>'Общие данные'!A161</f>
        <v>Namangan filiali menejeri</v>
      </c>
    </row>
    <row r="127" spans="1:3">
      <c r="A127" s="309"/>
      <c r="B127" s="65" t="str">
        <f>""&amp;'Общие данные'!B7&amp;"     __________________"</f>
        <v>NUTFULLAYEV A.A.     __________________</v>
      </c>
    </row>
    <row r="129" spans="1:2">
      <c r="A129" s="144" t="str">
        <f>""&amp;'Общие данные'!B161&amp;"     __________________"</f>
        <v>Misirov A.N     __________________</v>
      </c>
      <c r="B129" s="172"/>
    </row>
    <row r="131" spans="1:2">
      <c r="B131" s="6" t="s">
        <v>399</v>
      </c>
    </row>
    <row r="132" spans="1:2" hidden="1">
      <c r="A132" s="6" t="str">
        <f>"менеджер :   "&amp;'Общие данные'!B161&amp;"______________"</f>
        <v>менеджер :   Misirov A.N______________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3"/>
      <c r="F2" s="263"/>
      <c r="G2" s="20"/>
    </row>
    <row r="3" spans="1:16" ht="77.25" customHeight="1">
      <c r="A3" s="37"/>
      <c r="B3" s="37"/>
      <c r="C3" s="37"/>
      <c r="D3" s="37"/>
      <c r="E3" s="312" t="str">
        <f>""&amp;'Общие данные'!B74&amp;" 
"&amp;'Общие данные'!B65&amp;" shartnomasiga 
1 sonli ilova"</f>
        <v>11 mart 2025 y.dan № -NN 
mikroqarz shartnomasiga 
1 sonli ilova</v>
      </c>
      <c r="F3" s="312"/>
      <c r="G3" s="20"/>
    </row>
    <row r="4" spans="1:16" ht="6.75" customHeight="1">
      <c r="A4" s="37"/>
      <c r="B4" s="37"/>
      <c r="C4" s="37"/>
      <c r="D4" s="37"/>
      <c r="E4" s="37"/>
      <c r="F4" s="37"/>
    </row>
    <row r="5" spans="1:16">
      <c r="A5" s="264" t="s">
        <v>266</v>
      </c>
      <c r="B5" s="264"/>
      <c r="C5" s="264"/>
      <c r="D5" s="264"/>
      <c r="E5" s="264"/>
      <c r="F5" s="264"/>
    </row>
    <row r="6" spans="1:16" ht="7.5" customHeight="1"/>
    <row r="7" spans="1:16" ht="15" customHeight="1">
      <c r="A7" s="265" t="s">
        <v>15</v>
      </c>
      <c r="B7" s="266" t="s">
        <v>267</v>
      </c>
      <c r="C7" s="266" t="s">
        <v>268</v>
      </c>
      <c r="D7" s="267" t="s">
        <v>269</v>
      </c>
      <c r="E7" s="267"/>
      <c r="F7" s="267"/>
    </row>
    <row r="8" spans="1:16" s="16" customFormat="1">
      <c r="A8" s="265"/>
      <c r="B8" s="266"/>
      <c r="C8" s="266"/>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0" t="s">
        <v>378</v>
      </c>
      <c r="I12" s="310"/>
      <c r="J12" s="310"/>
      <c r="K12" s="310"/>
      <c r="L12" s="310"/>
      <c r="M12" s="310"/>
      <c r="N12" s="310"/>
      <c r="O12" s="310"/>
      <c r="P12" s="310"/>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0"/>
      <c r="I13" s="310"/>
      <c r="J13" s="310"/>
      <c r="K13" s="310"/>
      <c r="L13" s="310"/>
      <c r="M13" s="310"/>
      <c r="N13" s="310"/>
      <c r="O13" s="310"/>
      <c r="P13" s="310"/>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0"/>
      <c r="I14" s="310"/>
      <c r="J14" s="310"/>
      <c r="K14" s="310"/>
      <c r="L14" s="310"/>
      <c r="M14" s="310"/>
      <c r="N14" s="310"/>
      <c r="O14" s="310"/>
      <c r="P14" s="310"/>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0"/>
      <c r="I15" s="310"/>
      <c r="J15" s="310"/>
      <c r="K15" s="310"/>
      <c r="L15" s="310"/>
      <c r="M15" s="310"/>
      <c r="N15" s="310"/>
      <c r="O15" s="310"/>
      <c r="P15" s="310"/>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0"/>
      <c r="I16" s="310"/>
      <c r="J16" s="310"/>
      <c r="K16" s="310"/>
      <c r="L16" s="310"/>
      <c r="M16" s="310"/>
      <c r="N16" s="310"/>
      <c r="O16" s="310"/>
      <c r="P16" s="310"/>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0"/>
      <c r="I17" s="310"/>
      <c r="J17" s="310"/>
      <c r="K17" s="310"/>
      <c r="L17" s="310"/>
      <c r="M17" s="310"/>
      <c r="N17" s="310"/>
      <c r="O17" s="310"/>
      <c r="P17" s="310"/>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0"/>
      <c r="I18" s="310"/>
      <c r="J18" s="310"/>
      <c r="K18" s="310"/>
      <c r="L18" s="310"/>
      <c r="M18" s="310"/>
      <c r="N18" s="310"/>
      <c r="O18" s="310"/>
      <c r="P18" s="310"/>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0"/>
      <c r="I19" s="310"/>
      <c r="J19" s="310"/>
      <c r="K19" s="310"/>
      <c r="L19" s="310"/>
      <c r="M19" s="310"/>
      <c r="N19" s="310"/>
      <c r="O19" s="310"/>
      <c r="P19" s="310"/>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0"/>
      <c r="I20" s="310"/>
      <c r="J20" s="310"/>
      <c r="K20" s="310"/>
      <c r="L20" s="310"/>
      <c r="M20" s="310"/>
      <c r="N20" s="310"/>
      <c r="O20" s="310"/>
      <c r="P20" s="310"/>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0"/>
      <c r="I21" s="310"/>
      <c r="J21" s="310"/>
      <c r="K21" s="310"/>
      <c r="L21" s="310"/>
      <c r="M21" s="310"/>
      <c r="N21" s="310"/>
      <c r="O21" s="310"/>
      <c r="P21" s="310"/>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0"/>
      <c r="I22" s="310"/>
      <c r="J22" s="310"/>
      <c r="K22" s="310"/>
      <c r="L22" s="310"/>
      <c r="M22" s="310"/>
      <c r="N22" s="310"/>
      <c r="O22" s="310"/>
      <c r="P22" s="310"/>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0"/>
      <c r="I23" s="310"/>
      <c r="J23" s="310"/>
      <c r="K23" s="310"/>
      <c r="L23" s="310"/>
      <c r="M23" s="310"/>
      <c r="N23" s="310"/>
      <c r="O23" s="310"/>
      <c r="P23" s="310"/>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0"/>
      <c r="I24" s="310"/>
      <c r="J24" s="310"/>
      <c r="K24" s="310"/>
      <c r="L24" s="310"/>
      <c r="M24" s="310"/>
      <c r="N24" s="310"/>
      <c r="O24" s="310"/>
      <c r="P24" s="310"/>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3"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3"/>
      <c r="C47" s="233"/>
      <c r="D47" s="233"/>
      <c r="E47" s="233"/>
      <c r="F47" s="233"/>
    </row>
    <row r="48" spans="1:6" ht="7.5" customHeight="1"/>
    <row r="49" spans="1:6" ht="15" customHeight="1">
      <c r="A49" s="261" t="s">
        <v>273</v>
      </c>
      <c r="B49" s="261"/>
      <c r="C49" s="261"/>
      <c r="D49" s="261" t="s">
        <v>281</v>
      </c>
      <c r="E49" s="261"/>
      <c r="F49" s="261"/>
    </row>
    <row r="50" spans="1:6" ht="11.25" customHeight="1">
      <c r="A50" s="262"/>
      <c r="B50" s="262"/>
      <c r="C50" s="262"/>
      <c r="D50" s="262"/>
      <c r="E50" s="262"/>
      <c r="F50" s="262"/>
    </row>
    <row r="51" spans="1:6" ht="30" customHeight="1">
      <c r="A51" s="260" t="str">
        <f>договор!A117</f>
        <v>«CLEVER MIKROMOLIYA TASHKILOTI» MChJ</v>
      </c>
      <c r="B51" s="260"/>
      <c r="C51" s="260"/>
      <c r="D51" s="260" t="str">
        <f>договор!B117</f>
        <v>NUTFULLAYEV AKBARJON AXMEDOVICH</v>
      </c>
      <c r="E51" s="260"/>
      <c r="F51" s="260"/>
    </row>
    <row r="52" spans="1:6" ht="39" customHeight="1">
      <c r="A52" s="256" t="str">
        <f>договор!A119</f>
        <v>Manzil: Toshkent shahri, Olmazor tumani, Sagbon ko'chasi, 30 boshi berk, 6-uy</v>
      </c>
      <c r="B52" s="256"/>
      <c r="C52" s="256"/>
      <c r="D52" s="256" t="str">
        <f>договор!B119</f>
        <v>Manzil: BUXORO VILOYATI BUXORO SHAHAR TADBIRKOR KO'CHASI 12-UY</v>
      </c>
      <c r="E52" s="256"/>
      <c r="F52" s="256"/>
    </row>
    <row r="53" spans="1:6" ht="15" customHeight="1">
      <c r="A53" s="256" t="str">
        <f>договор!A120</f>
        <v>h/r: №20216000705068380001</v>
      </c>
      <c r="B53" s="256"/>
      <c r="C53" s="256"/>
      <c r="D53" s="256" t="str">
        <f>договор!B121</f>
        <v>pasport seriyasi: AA 9481167, BUXORO VILOYATI BUXORO SHAHAR IIB tomonidan 24.04.2015 yilda berilgan</v>
      </c>
      <c r="E53" s="256"/>
      <c r="F53" s="256"/>
    </row>
    <row r="54" spans="1:6" ht="32.25" customHeight="1">
      <c r="A54" s="256" t="str">
        <f>договор!A121</f>
        <v>MFO: №01042 в ATB “Kapitalbank” Sergeli filiali</v>
      </c>
      <c r="B54" s="256"/>
      <c r="C54" s="256"/>
      <c r="D54" s="256"/>
      <c r="E54" s="256"/>
      <c r="F54" s="256"/>
    </row>
    <row r="55" spans="1:6" ht="15" customHeight="1">
      <c r="A55" s="256" t="str">
        <f>договор!A122</f>
        <v>STIR: 306365847</v>
      </c>
      <c r="B55" s="256"/>
      <c r="C55" s="256"/>
      <c r="D55" s="256" t="str">
        <f>договор!B122</f>
        <v>Tel: 91 408 76 67  UZI</v>
      </c>
      <c r="E55" s="256"/>
      <c r="F55" s="256"/>
    </row>
    <row r="56" spans="1:6" ht="15" customHeight="1">
      <c r="A56" s="256" t="str">
        <f>договор!A123</f>
        <v>Tel: (78) 113 31 33</v>
      </c>
      <c r="B56" s="256"/>
      <c r="C56" s="256"/>
      <c r="D56" s="256" t="str">
        <f>договор!B123</f>
        <v>88 305 76 67 AYOLI</v>
      </c>
      <c r="E56" s="256"/>
      <c r="F56" s="256"/>
    </row>
    <row r="57" spans="1:6" ht="15" customHeight="1">
      <c r="A57" s="256" t="str">
        <f>договор!A124</f>
        <v>(78) 113 31 34</v>
      </c>
      <c r="B57" s="256"/>
      <c r="C57" s="256"/>
      <c r="D57" s="256" t="str">
        <f>договор!B124</f>
        <v>88 870 76 67 AKASI</v>
      </c>
      <c r="E57" s="256"/>
      <c r="F57" s="256"/>
    </row>
    <row r="58" spans="1:6" ht="23.25" customHeight="1">
      <c r="A58" s="256"/>
      <c r="B58" s="256"/>
      <c r="C58" s="256"/>
      <c r="D58" s="256" t="str">
        <f>IF(договор!B125=0,"",договор!B125)</f>
        <v/>
      </c>
      <c r="E58" s="256"/>
      <c r="F58" s="256"/>
    </row>
    <row r="59" spans="1:6" ht="29.25" customHeight="1">
      <c r="A59" s="311" t="str">
        <f>'Общие данные'!A161</f>
        <v>Namangan filiali menejeri</v>
      </c>
      <c r="B59" s="311"/>
      <c r="C59" s="311"/>
      <c r="D59" s="260" t="str">
        <f>договор!B127</f>
        <v>NUTFULLAYEV A.A.     __________________</v>
      </c>
      <c r="E59" s="260"/>
      <c r="F59" s="260"/>
    </row>
    <row r="60" spans="1:6" ht="15" customHeight="1">
      <c r="A60" s="256"/>
      <c r="B60" s="256"/>
      <c r="C60" s="256"/>
      <c r="D60" s="260"/>
      <c r="E60" s="260"/>
      <c r="F60" s="260"/>
    </row>
    <row r="61" spans="1:6">
      <c r="A61" s="311" t="str">
        <f>договор!A129</f>
        <v>Misirov A.N     __________________</v>
      </c>
      <c r="B61" s="311"/>
      <c r="C61" s="311"/>
      <c r="D61" s="260"/>
      <c r="E61" s="260"/>
      <c r="F61" s="260"/>
    </row>
    <row r="62" spans="1:6" ht="8.25" customHeight="1">
      <c r="A62" s="256"/>
      <c r="B62" s="256"/>
      <c r="C62" s="256"/>
      <c r="D62" s="256"/>
      <c r="E62" s="256"/>
      <c r="F62" s="256"/>
    </row>
    <row r="63" spans="1:6" ht="30" customHeight="1">
      <c r="A63" s="257"/>
      <c r="B63" s="257"/>
      <c r="C63" s="257"/>
      <c r="D63" s="258"/>
      <c r="E63" s="258"/>
      <c r="F63" s="258"/>
    </row>
    <row r="64" spans="1:6">
      <c r="A64" s="259"/>
      <c r="B64" s="259"/>
      <c r="C64" s="259"/>
      <c r="D64" s="259"/>
      <c r="E64" s="259"/>
      <c r="F64" s="259"/>
    </row>
    <row r="65" spans="1:6">
      <c r="A65" s="255"/>
      <c r="B65" s="255"/>
      <c r="C65" s="255"/>
      <c r="D65" s="255"/>
      <c r="E65" s="255"/>
      <c r="F65" s="255"/>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Namangan filiali menejeri A.Misirovga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3"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3"/>
    </row>
    <row r="14" spans="1:2" ht="124.5" hidden="1" customHeight="1">
      <c r="A14" s="29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3"/>
    </row>
    <row r="15" spans="1:2" ht="116.25" hidden="1" customHeight="1">
      <c r="A15" s="29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3"/>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3" t="str">
        <f>IF('Общие данные'!B94='Общие данные'!D94,CONCATENATE(A24," ",A28,A22),"")</f>
        <v/>
      </c>
      <c r="B20" s="313"/>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4" t="str">
        <f>"GAROV PREDMETI QIYMATINI KELISHISH 
№"&amp;'Общие данные'!B141&amp;" SONLI DALOLATNOMASI
 "</f>
        <v xml:space="preserve">GAROV PREDMETI QIYMATINI KELISHISH 
№1 SONLI DALOLATNOMASI
 </v>
      </c>
      <c r="B2" s="264"/>
      <c r="C2" s="264"/>
      <c r="D2" s="264"/>
      <c r="E2" s="264"/>
    </row>
    <row r="3" spans="1:5">
      <c r="A3" s="40"/>
      <c r="B3" s="40"/>
      <c r="C3" s="40"/>
      <c r="D3" s="40"/>
      <c r="E3" s="40"/>
    </row>
    <row r="4" spans="1:5">
      <c r="A4" s="37" t="s">
        <v>208</v>
      </c>
      <c r="B4" s="37"/>
      <c r="C4" s="37"/>
      <c r="D4" s="37"/>
      <c r="E4" s="37" t="str">
        <f>'Общие данные'!B142</f>
        <v>11 mart 2025 y.</v>
      </c>
    </row>
    <row r="5" spans="1:5" ht="9" customHeight="1">
      <c r="A5" s="233"/>
      <c r="B5" s="233"/>
      <c r="C5" s="233"/>
      <c r="D5" s="233"/>
      <c r="E5" s="233"/>
    </row>
    <row r="6" spans="1:5" ht="76.5" customHeight="1">
      <c r="A6" s="233" t="str">
        <f>IF('Общие данные'!B103="avtotransport",'Акт согласования'!A10:E10,'Акт согласования'!A7:E7)</f>
        <v>«CLEVER MIKROMOLIYA TASHKILOTI» MChJning (1-tomon) vakili bo‘lgan  Namangan filiali menejeri A.Misirov, O‘zbekiston Respublikasi fuqarosi va garovga beruvchi NUTFULLAYEV AKBARJON AXMEDOVICH (2-tomon) o’rtalarida, 11 mart 2025 y.dan № -NN-sonli Mikroqarz shartnomasiga muvofiq 1-tomon 2-tomonga berilgan mikroqarz bo‘yicha ta’minot sifatida taqdim etilgan, 2-tomonga mulk huquqi asosida tegishli bo‘lgan mulkning garov qiymatini kelishish muzokaralari o’tkazildi.</v>
      </c>
      <c r="B6" s="233"/>
      <c r="C6" s="233"/>
      <c r="D6" s="233"/>
      <c r="E6" s="233"/>
    </row>
    <row r="7" spans="1:5" ht="88.5" hidden="1" customHeight="1">
      <c r="A7" s="233" t="str">
        <f>IF('Общие данные'!B93="ha",'Акт согласования'!A9:E9,'Акт согласования'!A8:E8)</f>
        <v xml:space="preserve">«CLEVER MIKROMOLIYA TASHKILOTI» MChJning (1-tomon) vakili bo‘lgan  Namangan filiali menejeri A.Misirov, va O‘zbekiston Respublikasi fuqarosi  NUTFULLAYEV AKBARJON AXMEDOVICH (2-tomon) va garov egasi NUTFULLAYEV AKBARJON AXMEDOVICH (3-tomon) 11 mart 2025 y.dan № -NN Mikroqarz shartnomasiga muvofiq 1-tomon 2-tomonga berilgan mikroqarz bo‘yicha ta’minot sifatida taqdim etilgan, 2-tomonga mulk huquqi asosida tegishli bo‘lgan mulkning garov qiymatini kelishish muzokaralari o’tkazildi. </v>
      </c>
      <c r="B7" s="233"/>
      <c r="C7" s="233"/>
      <c r="D7" s="233"/>
      <c r="E7" s="233"/>
    </row>
    <row r="8" spans="1:5" ht="88.5" hidden="1" customHeight="1">
      <c r="A8"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Namangan filiali menejeri A.Misirov, va O‘zbekiston Respublikasi fuqarosi  NUTFULLAYEV AKBARJON AXMEDOVICH (2-tomon) va garov egasi NUTFULLAYEV AKBARJON AXMEDOVICH (3-tomon) 11 mart 2025 y.dan № -NN Mikroqarz shartnomasiga muvofiq 1-tomon 2-tomonga berilgan mikroqarz bo‘yicha ta’minot sifatida taqdim etilgan, 2-tomonga mulk huquqi asosida tegishli bo‘lgan mulkning garov qiymatini kelishish muzokaralari o’tkazildi. </v>
      </c>
      <c r="B8" s="233"/>
      <c r="C8" s="233"/>
      <c r="D8" s="233"/>
      <c r="E8" s="233"/>
    </row>
    <row r="9" spans="1:5" ht="88.5" hidden="1" customHeight="1">
      <c r="A9"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Namangan filiali menejeri A.Misirov, va O‘zbekiston Respublikasi fuqarosi  NUTFULLAYEV AKBARJON AXMEDOVICH (2-tomon) va garov egasi NUTFULLAYEV AKBARJON AXMEDOVICH (3-tomon) 11 mart 2025 y.dan № -NN Mikroqarz shartnomasiga muvofiq 1-tomon 2-tomonga berilgan mikroqarz bo‘yicha ta’minot sifatida taqdim etilgan, 2-tomonga mulk huquqi asosida tegishli bo‘lgan mulkning garov qiymatini kelishish muzokaralari o’tkazildi. </v>
      </c>
      <c r="B9" s="233"/>
      <c r="C9" s="233"/>
      <c r="D9" s="233"/>
      <c r="E9" s="233"/>
    </row>
    <row r="10" spans="1:5" ht="88.5" hidden="1" customHeight="1">
      <c r="A10" s="233" t="str">
        <f>IF('Общие данные'!B93="ha",'Акт согласования'!A12:E12,'Акт согласования'!A11:E11)</f>
        <v>«CLEVER MIKROMOLIYA TASHKILOTI» MChJning (1-tomon) vakili bo‘lgan  Namangan filiali menejeri A.Misirov, O‘zbekiston Respublikasi fuqarosi va garovga beruvchi NUTFULLAYEV AKBARJON AXMEDOVICH (2-tomon) o’rtalarida, 11 mart 2025 y.dan № -NN-sonli Mikroqarz shartnomasiga muvofiq 1-tomon 2-tomonga berilgan mikroqarz bo‘yicha ta’minot sifatida taqdim etilgan, 2-tomonga mulk huquqi asosida tegishli bo‘lgan mulkning garov qiymatini kelishish muzokaralari o’tkazildi.</v>
      </c>
      <c r="B10" s="233"/>
      <c r="C10" s="233"/>
      <c r="D10" s="233"/>
      <c r="E10" s="233"/>
    </row>
    <row r="11" spans="1:5" ht="88.5" hidden="1" customHeight="1">
      <c r="A11" s="233"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Namangan filiali menejeri A.Misirov, O‘zbekiston Respublikasi fuqarosi NUTFULLAYEV AKBARJON AXMEDOVICH (2-tomon) va garovga beruvchi O‘zbekiston Respublikasi fuqarosi NUTFULLAYEV AKBARJON AXMEDOVICH (3-tomon) o’rtalarida, 11 mart 2025 y.dan № -NN-sonli Mikroqarz shartnomasiga muvofiq 1-tomon 2-tomonga berilgan mikroqarz bo‘yicha ta’minot sifatida taqdim etilgan, 3-tomonga mulk huquqi asosida tegishli bo‘lgan mulkning garov qiymatini kelishish muzokaralari o’tkazildi.</v>
      </c>
      <c r="B11" s="233"/>
      <c r="C11" s="233"/>
      <c r="D11" s="233"/>
      <c r="E11" s="233"/>
    </row>
    <row r="12" spans="1:5" ht="88.5" hidden="1" customHeight="1">
      <c r="A12" s="233"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Namangan filiali menejeri A.Misirov, O‘zbekiston Respublikasi fuqarosi va garovga beruvchi NUTFULLAYEV AKBARJON AXMEDOVICH (2-tomon) o’rtalarida, 11 mart 2025 y.dan № -NN-sonli Mikroqarz shartnomasiga muvofiq 1-tomon 2-tomonga berilgan mikroqarz bo‘yicha ta’minot sifatida taqdim etilgan, 2-tomonga mulk huquqi asosida tegishli bo‘lgan mulkning garov qiymatini kelishish muzokaralari o’tkazildi.</v>
      </c>
      <c r="B12" s="233"/>
      <c r="C12" s="233"/>
      <c r="D12" s="233"/>
      <c r="E12" s="233"/>
    </row>
    <row r="13" spans="1:5" ht="88.5" hidden="1" customHeight="1">
      <c r="A13" s="233"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3"/>
      <c r="C13" s="233"/>
      <c r="D13" s="233"/>
      <c r="E13" s="233"/>
    </row>
    <row r="14" spans="1:5" ht="88.5" hidden="1" customHeight="1">
      <c r="A14" s="233"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3"/>
      <c r="C14" s="233"/>
      <c r="D14" s="233"/>
      <c r="E14" s="233"/>
    </row>
    <row r="15" spans="1:5" ht="88.5" hidden="1" customHeight="1">
      <c r="A15" s="233"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3"/>
      <c r="C15" s="233"/>
      <c r="D15" s="233"/>
      <c r="E15" s="233"/>
    </row>
    <row r="16" spans="1:5" ht="88.5" hidden="1" customHeight="1">
      <c r="A16" s="233"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3"/>
      <c r="C16" s="233"/>
      <c r="D16" s="233"/>
      <c r="E16" s="233"/>
    </row>
    <row r="17" spans="1:5" ht="13.5" hidden="1" customHeight="1">
      <c r="A17" s="233"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3"/>
      <c r="C17" s="233"/>
      <c r="D17" s="233"/>
      <c r="E17" s="233"/>
    </row>
    <row r="18" spans="1:5" ht="11.25" hidden="1" customHeight="1">
      <c r="A18" s="233" t="str">
        <f>IF('Общие данные'!B93="ha",'Акт согласования'!A16:E16,'Акт согласования'!A17:E17)</f>
        <v>Garov predmeti sifatida 3 - xonali yakka tartibdagi uy-joy, 2-tomonga egalik huquqi tegishli bo'lgan, quyidagi tafsilotlarga ega ko'chmas mulk taqdim etiladi:</v>
      </c>
      <c r="B18" s="233"/>
      <c r="C18" s="233"/>
      <c r="D18" s="233"/>
      <c r="E18" s="233"/>
    </row>
    <row r="19" spans="1:5" ht="32.25" customHeight="1">
      <c r="A19" s="233"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3"/>
      <c r="C19" s="233"/>
      <c r="D19" s="233"/>
      <c r="E19" s="233"/>
    </row>
    <row r="20" spans="1:5" ht="48" customHeight="1" outlineLevel="1">
      <c r="A20" s="39" t="s">
        <v>206</v>
      </c>
      <c r="B20" s="314" t="str">
        <f>IF('Общие данные'!B103='Общие данные'!C103,"Kuzov turi  va kuzov raqami*","Foydali maydoni")</f>
        <v>Kuzov turi  va kuzov raqami*</v>
      </c>
      <c r="C20" s="315"/>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6" t="str">
        <f>IF('Общие данные'!B103='Общие данные'!C103,'Общие данные'!B127,CONCATENATE('Общие данные'!F130," ","kv.m"))</f>
        <v>kuzov turi - YUK BORTLI TENT, kuzov raqami LSCAB23D8EG228387</v>
      </c>
      <c r="C21" s="266"/>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3" t="str">
        <f>"-* "&amp;IF('Общие данные'!B103='Общие данные'!C103,"avtotransport "&amp;"egasi: "&amp;'Общие данные'!B117&amp;"","ko'chmas mulk"&amp;" egasi: "&amp;'Общие данные'!B117&amp;"")</f>
        <v>-* avtotransport egasi: NUTFULLAYEV AKBARJON AXMEDOVICH</v>
      </c>
      <c r="B22" s="233"/>
      <c r="C22" s="233"/>
      <c r="D22" s="233"/>
      <c r="E22" s="233"/>
    </row>
    <row r="23" spans="1:5" outlineLevel="1">
      <c r="A23" s="233" t="str">
        <f>IF('Общие данные'!B103='Общие данные'!C103,"-* texnik pasport: "&amp;'Общие данные'!B124&amp;"","-* reest raqami: "&amp;'Общие данные'!C124&amp;"")</f>
        <v>-* texnik pasport: AAG   2346592  13.09.2023y</v>
      </c>
      <c r="B23" s="233"/>
      <c r="C23" s="233"/>
      <c r="D23" s="233"/>
      <c r="E23" s="233"/>
    </row>
    <row r="24" spans="1:5" s="182" customFormat="1" outlineLevel="1">
      <c r="A24" s="233"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3"/>
      <c r="C24" s="233"/>
      <c r="D24" s="233"/>
      <c r="E24" s="233"/>
    </row>
    <row r="25" spans="1:5" ht="27" customHeight="1" outlineLevel="1">
      <c r="A25" s="233" t="str">
        <f>IF('Общие данные'!B103='Общие данные'!C103,"-* davlat raqami: "&amp;'Общие данные'!B126&amp;"","-* manzili: "&amp;'Общие данные'!C123&amp;"")</f>
        <v>-* davlat raqami: 80T312WA</v>
      </c>
      <c r="B25" s="233"/>
      <c r="C25" s="233"/>
      <c r="D25" s="233"/>
      <c r="E25" s="233"/>
    </row>
    <row r="26" spans="1:5" ht="65.25" customHeight="1">
      <c r="A26" s="233"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-NN Mikroqarz shartnomasi bo‘yicha berilgan mikroqarz bo‘yicha  
40 500 000,00 (qirq million besh yuz ming so'm) so’m bo‘lgan kelishilgan garov qiymatida qabul qiladi::</v>
      </c>
      <c r="B26" s="233"/>
      <c r="C26" s="233"/>
      <c r="D26" s="233"/>
      <c r="E26" s="233"/>
    </row>
    <row r="27" spans="1:5" ht="66" hidden="1" customHeight="1">
      <c r="A27" s="233"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-NN mikroqarz shartnomasi bo‘yicha berilgan mikroqarz bo‘yicha  
40 500 000,00 (qirq million besh yuz ming so'm) so’m bo‘lgan kelishilgan garov qiymatida qabul qiladi::</v>
      </c>
      <c r="B27" s="233"/>
      <c r="C27" s="233"/>
      <c r="D27" s="233"/>
      <c r="E27" s="233"/>
    </row>
    <row r="28" spans="1:5" ht="58.5" hidden="1" customHeight="1">
      <c r="A28" s="233"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-NN Mikroqarz shartnomasi bo‘yicha berilgan mikroqarz bo‘yicha  
40 500 000,00 (qirq million besh yuz ming so'm) so’m bo‘lgan kelishilgan garov qiymatida qabul qiladi::</v>
      </c>
      <c r="B28" s="233"/>
      <c r="C28" s="233"/>
      <c r="D28" s="233"/>
      <c r="E28" s="233"/>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7" t="str">
        <f>""&amp;FIXED('Общие данные'!C136,2)&amp;" ("&amp;'Общие данные'!B137&amp;")"</f>
        <v>40 500 000,00 (qirq million besh yuz ming so'm)</v>
      </c>
    </row>
    <row r="34" spans="1:5" ht="15.75" hidden="1" customHeight="1" outlineLevel="1">
      <c r="A34" s="17"/>
      <c r="B34" s="111"/>
      <c r="C34" s="111"/>
      <c r="D34" s="111"/>
      <c r="E34" s="318"/>
    </row>
    <row r="35" spans="1:5" ht="15.75" hidden="1" customHeight="1" outlineLevel="1">
      <c r="A35" s="17" t="e">
        <f>#REF!</f>
        <v>#REF!</v>
      </c>
      <c r="B35" s="111" t="e">
        <f>#REF!</f>
        <v>#REF!</v>
      </c>
      <c r="C35" s="111" t="e">
        <f>#REF!</f>
        <v>#REF!</v>
      </c>
      <c r="D35" s="111" t="e">
        <f>#REF!</f>
        <v>#REF!</v>
      </c>
      <c r="E35" s="318"/>
    </row>
    <row r="36" spans="1:5" ht="15.75" hidden="1" customHeight="1" outlineLevel="1">
      <c r="A36" s="17" t="e">
        <f>#REF!</f>
        <v>#REF!</v>
      </c>
      <c r="B36" s="111" t="e">
        <f>#REF!</f>
        <v>#REF!</v>
      </c>
      <c r="C36" s="111" t="e">
        <f>#REF!</f>
        <v>#REF!</v>
      </c>
      <c r="D36" s="111" t="e">
        <f>#REF!</f>
        <v>#REF!</v>
      </c>
      <c r="E36" s="318"/>
    </row>
    <row r="37" spans="1:5" ht="15.75" hidden="1" customHeight="1" outlineLevel="1">
      <c r="A37" s="17" t="e">
        <f>#REF!</f>
        <v>#REF!</v>
      </c>
      <c r="B37" s="111" t="e">
        <f>#REF!</f>
        <v>#REF!</v>
      </c>
      <c r="C37" s="111" t="e">
        <f>#REF!</f>
        <v>#REF!</v>
      </c>
      <c r="D37" s="111" t="e">
        <f>#REF!</f>
        <v>#REF!</v>
      </c>
      <c r="E37" s="318"/>
    </row>
    <row r="38" spans="1:5" ht="15.75" hidden="1" customHeight="1" outlineLevel="1">
      <c r="A38" s="17" t="e">
        <f>#REF!</f>
        <v>#REF!</v>
      </c>
      <c r="B38" s="111" t="e">
        <f>#REF!</f>
        <v>#REF!</v>
      </c>
      <c r="C38" s="111" t="e">
        <f>#REF!</f>
        <v>#REF!</v>
      </c>
      <c r="D38" s="111" t="e">
        <f>#REF!</f>
        <v>#REF!</v>
      </c>
      <c r="E38" s="318"/>
    </row>
    <row r="39" spans="1:5" ht="15.75" hidden="1" customHeight="1" outlineLevel="1">
      <c r="A39" s="17" t="e">
        <f>#REF!</f>
        <v>#REF!</v>
      </c>
      <c r="B39" s="111" t="e">
        <f>#REF!</f>
        <v>#REF!</v>
      </c>
      <c r="C39" s="111" t="e">
        <f>#REF!</f>
        <v>#REF!</v>
      </c>
      <c r="D39" s="111" t="e">
        <f>#REF!</f>
        <v>#REF!</v>
      </c>
      <c r="E39" s="318"/>
    </row>
    <row r="40" spans="1:5" ht="15.75" hidden="1" customHeight="1" outlineLevel="1">
      <c r="A40" s="17" t="e">
        <f>#REF!</f>
        <v>#REF!</v>
      </c>
      <c r="B40" s="111" t="e">
        <f>#REF!</f>
        <v>#REF!</v>
      </c>
      <c r="C40" s="111" t="e">
        <f>#REF!</f>
        <v>#REF!</v>
      </c>
      <c r="D40" s="111" t="e">
        <f>#REF!</f>
        <v>#REF!</v>
      </c>
      <c r="E40" s="318"/>
    </row>
    <row r="41" spans="1:5" ht="15.75" hidden="1" customHeight="1" outlineLevel="1">
      <c r="A41" s="17" t="e">
        <f>#REF!</f>
        <v>#REF!</v>
      </c>
      <c r="B41" s="111" t="e">
        <f>#REF!</f>
        <v>#REF!</v>
      </c>
      <c r="C41" s="111" t="e">
        <f>#REF!</f>
        <v>#REF!</v>
      </c>
      <c r="D41" s="111" t="e">
        <f>#REF!</f>
        <v>#REF!</v>
      </c>
      <c r="E41" s="318"/>
    </row>
    <row r="42" spans="1:5" ht="15.75" hidden="1" customHeight="1" outlineLevel="1">
      <c r="A42" s="17" t="e">
        <f>#REF!</f>
        <v>#REF!</v>
      </c>
      <c r="B42" s="111" t="e">
        <f>#REF!</f>
        <v>#REF!</v>
      </c>
      <c r="C42" s="111" t="e">
        <f>#REF!</f>
        <v>#REF!</v>
      </c>
      <c r="D42" s="111" t="e">
        <f>#REF!</f>
        <v>#REF!</v>
      </c>
      <c r="E42" s="318"/>
    </row>
    <row r="43" spans="1:5" ht="15.75" hidden="1" customHeight="1" outlineLevel="1">
      <c r="A43" s="17" t="e">
        <f>#REF!</f>
        <v>#REF!</v>
      </c>
      <c r="B43" s="17" t="e">
        <f>#REF!</f>
        <v>#REF!</v>
      </c>
      <c r="C43" s="17" t="e">
        <f>#REF!</f>
        <v>#REF!</v>
      </c>
      <c r="D43" s="17" t="e">
        <f>#REF!</f>
        <v>#REF!</v>
      </c>
      <c r="E43" s="319"/>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3"/>
      <c r="C46" s="233"/>
      <c r="D46" s="233"/>
      <c r="E46" s="233"/>
    </row>
    <row r="47" spans="1:5" ht="42" customHeight="1">
      <c r="A47" s="233" t="s">
        <v>211</v>
      </c>
      <c r="B47" s="233"/>
      <c r="C47" s="233"/>
      <c r="D47" s="233"/>
      <c r="E47" s="233"/>
    </row>
    <row r="48" spans="1:5" ht="35.25" customHeight="1">
      <c r="A48" s="233"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3"/>
      <c r="C48" s="233"/>
      <c r="D48" s="233"/>
      <c r="E48" s="233"/>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1" t="s">
        <v>212</v>
      </c>
      <c r="B50" s="311"/>
      <c r="C50" s="311"/>
      <c r="D50" s="22"/>
      <c r="E50" s="22"/>
    </row>
    <row r="51" spans="1:6">
      <c r="A51" s="236" t="str">
        <f>'Общие данные'!B148</f>
        <v>«CLEVER MIKROMOLIYA TASHKILOTI» MChJ</v>
      </c>
      <c r="B51" s="236"/>
      <c r="C51" s="236"/>
      <c r="D51" s="167"/>
      <c r="E51" s="167"/>
    </row>
    <row r="52" spans="1:6" ht="15" customHeight="1">
      <c r="A52" s="236" t="str">
        <f>""&amp;'Общие данные'!A150&amp;""</f>
        <v>Namangan filiali menejeri</v>
      </c>
      <c r="B52" s="236"/>
      <c r="C52" s="236"/>
      <c r="D52" s="311" t="str">
        <f>"_______________   "&amp;'Общие данные'!B150&amp;""</f>
        <v>_______________   A.Misirov</v>
      </c>
      <c r="E52" s="311"/>
    </row>
    <row r="53" spans="1:6">
      <c r="A53" s="53"/>
      <c r="B53" s="53"/>
      <c r="C53" s="53"/>
      <c r="D53" s="53"/>
      <c r="E53" s="53"/>
    </row>
    <row r="54" spans="1:6">
      <c r="A54" s="311"/>
      <c r="B54" s="311"/>
      <c r="C54" s="311"/>
      <c r="D54" s="53"/>
      <c r="E54" s="53"/>
    </row>
    <row r="55" spans="1:6" hidden="1">
      <c r="A55" s="236" t="s">
        <v>47</v>
      </c>
      <c r="B55" s="236"/>
      <c r="C55" s="236"/>
      <c r="D55" s="53"/>
      <c r="E55" s="53"/>
    </row>
    <row r="56" spans="1:6" hidden="1">
      <c r="A56" s="236" t="str">
        <f>'Общие данные'!B148</f>
        <v>«CLEVER MIKROMOLIYA TASHKILOTI» MChJ</v>
      </c>
      <c r="B56" s="236"/>
      <c r="C56" s="236"/>
      <c r="D56" s="236" t="str">
        <f>"_______________   "&amp;'Общие данные'!B159&amp;""</f>
        <v>_______________   Mominov B.X.</v>
      </c>
      <c r="E56" s="236"/>
    </row>
    <row r="57" spans="1:6" ht="12.75" customHeight="1">
      <c r="A57" s="236"/>
      <c r="B57" s="236"/>
      <c r="C57" s="236"/>
      <c r="D57" s="236"/>
      <c r="E57" s="236"/>
    </row>
    <row r="58" spans="1:6">
      <c r="A58" s="311" t="s">
        <v>213</v>
      </c>
      <c r="B58" s="311"/>
      <c r="C58" s="311"/>
      <c r="D58" s="236"/>
      <c r="E58" s="236"/>
    </row>
    <row r="59" spans="1:6" ht="31.5" customHeight="1">
      <c r="A59" s="236" t="s">
        <v>214</v>
      </c>
      <c r="B59" s="236"/>
      <c r="C59" s="236"/>
      <c r="D59" s="311" t="str">
        <f>"_______________  "&amp;'Общие данные'!B7&amp;""</f>
        <v>_______________  NUTFULLAYEV A.A.</v>
      </c>
      <c r="E59" s="311"/>
    </row>
    <row r="60" spans="1:6" ht="12.75" customHeight="1">
      <c r="A60" s="236"/>
      <c r="B60" s="236"/>
      <c r="C60" s="236"/>
      <c r="D60" s="316" t="str">
        <f>IF('Общие данные'!B93="да","",'Общие данные'!B118)</f>
        <v>NUTFULLAYEV A.A.</v>
      </c>
      <c r="E60" s="316"/>
    </row>
    <row r="61" spans="1:6" ht="17.25" hidden="1" customHeight="1">
      <c r="A61" s="311" t="str">
        <f>+IF('Общие данные'!B93="ha"," ","3-tomondan:")</f>
        <v xml:space="preserve"> </v>
      </c>
      <c r="B61" s="311"/>
      <c r="C61" s="311"/>
      <c r="D61" s="311"/>
      <c r="E61" s="311"/>
      <c r="F61" s="15" t="str">
        <f>IF('Общие данные'!B94='Общие данные'!D94,B7,"")</f>
        <v/>
      </c>
    </row>
    <row r="62" spans="1:6" ht="17.25" hidden="1" customHeight="1">
      <c r="A62" s="236" t="str">
        <f>+IF('Общие данные'!B93="ha"," ","O'zbekiston Respublikasi fuqarosi")</f>
        <v xml:space="preserve"> </v>
      </c>
      <c r="B62" s="236"/>
      <c r="C62" s="236"/>
      <c r="D62" s="311" t="str">
        <f>"_______________  "&amp;'Общие данные'!B112&amp;""</f>
        <v>_______________  NUTFULLAYEV A.A.</v>
      </c>
      <c r="E62" s="311"/>
    </row>
    <row r="63" spans="1:6" ht="63.75" hidden="1" customHeight="1">
      <c r="A63" s="190" t="str">
        <f>IF('Общие данные'!B94='Общие данные'!C94,"_______________  "&amp;'Общие данные'!B112&amp;"","_______________  "&amp;'Общие данные'!B7&amp;"")</f>
        <v>_______________  NUTFULLAYEV A.A.</v>
      </c>
      <c r="B63" s="53"/>
      <c r="C63" s="236" t="str">
        <f>'заявление залогодателя'!A20</f>
        <v/>
      </c>
      <c r="D63" s="236"/>
      <c r="E63" s="236"/>
    </row>
    <row r="64" spans="1:6" ht="6.75" customHeight="1">
      <c r="D64" s="257"/>
      <c r="E64" s="257"/>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0" t="str">
        <f>""&amp;'Общие данные'!B147&amp;" ijrochi direktorining
"&amp;'Общие данные'!B165&amp;"dagi "&amp;'Общие данные'!B164&amp;"-sonli buyrug‘i"</f>
        <v>«CLEVER MIKROMOLIYA TASHKILOTI» MChJ ijrochi direktorining
11 mart 2025 y.dagi № -NN-sonli buyrug‘i</v>
      </c>
      <c r="B4" s="260"/>
      <c r="C4" s="260"/>
      <c r="D4" s="260"/>
      <c r="E4" s="260"/>
    </row>
    <row r="5" spans="1:5">
      <c r="A5" s="260"/>
      <c r="B5" s="260"/>
      <c r="C5" s="260"/>
      <c r="D5" s="260"/>
      <c r="E5" s="260"/>
    </row>
    <row r="6" spans="1:5">
      <c r="A6" s="260"/>
      <c r="B6" s="260"/>
      <c r="C6" s="260"/>
      <c r="D6" s="260"/>
      <c r="E6" s="260"/>
    </row>
    <row r="7" spans="1:5">
      <c r="A7" s="233"/>
      <c r="B7" s="233"/>
      <c r="C7" s="233"/>
      <c r="D7" s="233"/>
      <c r="E7" s="233"/>
    </row>
    <row r="8" spans="1:5" ht="53.25" customHeight="1">
      <c r="A8" s="233"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3"/>
      <c r="C8" s="233"/>
      <c r="D8" s="233"/>
      <c r="E8" s="233"/>
    </row>
    <row r="9" spans="1:5" ht="26.25" customHeight="1">
      <c r="A9" s="233" t="str">
        <f>'Кредитная заявка'!A13:D13</f>
        <v>Mikroqarz summasi: 27 000 000,00 (yigirma yetti million so'm) so'm.</v>
      </c>
      <c r="B9" s="233"/>
      <c r="C9" s="233"/>
      <c r="D9" s="233"/>
      <c r="E9" s="233"/>
    </row>
    <row r="10" spans="1:5" ht="21" customHeight="1">
      <c r="A10" s="233" t="str">
        <f>'Кредитная заявка'!A14:D14</f>
        <v>Mikroqarz muddati: 36 (o'ttiz olti) oy.</v>
      </c>
      <c r="B10" s="233"/>
      <c r="C10" s="233"/>
      <c r="D10" s="233"/>
      <c r="E10" s="233"/>
    </row>
    <row r="11" spans="1:5" ht="27" customHeight="1">
      <c r="A11" s="233" t="str">
        <f>'Кредитная заявка'!A15:D15</f>
        <v>Mikroqarzdan foydalanganlik uchun foiz stavkasi: yillik  60% (Oltmish) foiz</v>
      </c>
      <c r="B11" s="233"/>
      <c r="C11" s="233"/>
      <c r="D11" s="233"/>
      <c r="E11" s="233"/>
    </row>
    <row r="12" spans="1:5" ht="26.25" customHeight="1">
      <c r="A12" s="233" t="str">
        <f>'Кредитная заявка'!A16:D16</f>
        <v>Mikroqarz bo'yicha asosiy qarz va foizlarni to'lash:</v>
      </c>
      <c r="B12" s="233"/>
      <c r="C12" s="233"/>
      <c r="D12" s="233"/>
      <c r="E12" s="233"/>
    </row>
    <row r="13" spans="1:5" ht="21.75" hidden="1" customHeight="1">
      <c r="A13" s="233" t="str">
        <f>'Кредитная заявка'!A17:D17</f>
        <v xml:space="preserve"> - mikroqarz shartnomasi bo'yicha har oy differensial to'lovlari amalga oshiriladi</v>
      </c>
      <c r="B13" s="233"/>
      <c r="C13" s="233"/>
      <c r="D13" s="233"/>
      <c r="E13" s="233"/>
    </row>
    <row r="14" spans="1:5" hidden="1">
      <c r="A14" s="233" t="str">
        <f>'Кредитная заявка'!A19:D19</f>
        <v xml:space="preserve"> - mikroqarz shartnomasi bo'yicha har oy differensial to'lovlari amalga oshiriladi</v>
      </c>
      <c r="B14" s="233"/>
      <c r="C14" s="233"/>
      <c r="D14" s="233"/>
      <c r="E14" s="233"/>
    </row>
    <row r="15" spans="1:5" ht="23.25" customHeight="1">
      <c r="A15" s="233" t="str">
        <f>IF('Общие данные'!B103="Avtotransport",'Приказ на сделку'!A14:E14,'Приказ на сделку'!A13:E13)</f>
        <v xml:space="preserve"> - mikroqarz shartnomasi bo'yicha har oy differensial to'lovlari amalga oshiriladi</v>
      </c>
      <c r="B15" s="233"/>
      <c r="C15" s="233"/>
      <c r="D15" s="233"/>
      <c r="E15" s="233"/>
    </row>
    <row r="16" spans="1:5" ht="45.75" customHeight="1">
      <c r="A16" s="236"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6"/>
      <c r="C16" s="236"/>
      <c r="D16" s="236"/>
      <c r="E16" s="236"/>
    </row>
    <row r="17" spans="1:5" ht="50.25" hidden="1" customHeight="1">
      <c r="A17" s="233"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3"/>
      <c r="C17" s="233"/>
      <c r="D17" s="233"/>
      <c r="E17" s="233"/>
    </row>
    <row r="18" spans="1:5" ht="47.25" hidden="1" customHeight="1">
      <c r="A18" s="233"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3"/>
      <c r="C18" s="233"/>
      <c r="D18" s="233"/>
      <c r="E18" s="233"/>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3" t="str">
        <f>'Акт согласования'!A22:E22</f>
        <v>-* avtotransport egasi: NUTFULLAYEV AKBARJON AXMEDOVICH</v>
      </c>
      <c r="B21" s="233"/>
      <c r="C21" s="233"/>
      <c r="D21" s="233"/>
      <c r="E21" s="233"/>
    </row>
    <row r="22" spans="1:5" ht="20.25" customHeight="1" outlineLevel="1">
      <c r="A22" s="233" t="str">
        <f>'Акт согласования'!A23:E23</f>
        <v>-* texnik pasport: AAG   2346592  13.09.2023y</v>
      </c>
      <c r="B22" s="233"/>
      <c r="C22" s="233"/>
      <c r="D22" s="233"/>
      <c r="E22" s="233"/>
    </row>
    <row r="23" spans="1:5" ht="36" customHeight="1" outlineLevel="1">
      <c r="A23" s="233" t="str">
        <f>'Акт согласования'!A24:E24</f>
        <v>-* roʻyxatdan oʻtgan manzili/garaj manzili: BUXORO VILOYATI BUXORO SHAHAR TADBIRKOR KO'CHASI 12-UY</v>
      </c>
      <c r="B23" s="233"/>
      <c r="C23" s="233"/>
      <c r="D23" s="233"/>
      <c r="E23" s="233"/>
    </row>
    <row r="24" spans="1:5" ht="35.25" customHeight="1" outlineLevel="1">
      <c r="A24" s="233" t="str">
        <f>'Акт согласования'!A25:E25</f>
        <v>-* davlat raqami: 80T312WA</v>
      </c>
      <c r="B24" s="233"/>
      <c r="C24" s="233"/>
      <c r="D24" s="233"/>
      <c r="E24" s="233"/>
    </row>
    <row r="25" spans="1:5">
      <c r="A25" s="233"/>
      <c r="B25" s="233"/>
      <c r="C25" s="233"/>
      <c r="D25" s="233"/>
      <c r="E25" s="233"/>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6"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6"/>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6"/>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6"/>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6"/>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6"/>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6"/>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6"/>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6"/>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6"/>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6"/>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3" t="e">
        <f>_xlfn.SINGLE('Акт согласования'!#REF!)</f>
        <v>#REF!</v>
      </c>
      <c r="B39" s="233"/>
      <c r="C39" s="233"/>
      <c r="D39" s="233"/>
      <c r="E39" s="233"/>
    </row>
    <row r="40" spans="1:5" s="37" customFormat="1" hidden="1" outlineLevel="1">
      <c r="A40" s="233" t="e">
        <f>_xlfn.SINGLE('Акт согласования'!#REF!)</f>
        <v>#REF!</v>
      </c>
      <c r="B40" s="233"/>
      <c r="C40" s="233"/>
      <c r="D40" s="233"/>
      <c r="E40" s="233"/>
    </row>
    <row r="41" spans="1:5" s="37" customFormat="1" hidden="1" outlineLevel="1">
      <c r="A41" s="233" t="e">
        <f>_xlfn.SINGLE('Акт согласования'!#REF!)</f>
        <v>#REF!</v>
      </c>
      <c r="B41" s="233"/>
      <c r="C41" s="233"/>
      <c r="D41" s="233"/>
      <c r="E41" s="233"/>
    </row>
    <row r="42" spans="1:5" s="37" customFormat="1" hidden="1" outlineLevel="1">
      <c r="A42" s="233" t="e">
        <f>_xlfn.SINGLE('Акт согласования'!#REF!)</f>
        <v>#REF!</v>
      </c>
      <c r="B42" s="233"/>
      <c r="C42" s="233"/>
      <c r="D42" s="233"/>
      <c r="E42" s="233"/>
    </row>
    <row r="43" spans="1:5" s="37" customFormat="1" collapsed="1">
      <c r="A43" s="233"/>
      <c r="B43" s="233"/>
      <c r="C43" s="233"/>
      <c r="D43" s="233"/>
      <c r="E43" s="233"/>
    </row>
    <row r="44" spans="1:5" s="37" customFormat="1">
      <c r="A44" s="233"/>
      <c r="B44" s="233"/>
      <c r="C44" s="233"/>
      <c r="D44" s="233"/>
      <c r="E44" s="233"/>
    </row>
    <row r="45" spans="1:5" s="37" customFormat="1" hidden="1">
      <c r="A45" s="233"/>
      <c r="B45" s="233"/>
      <c r="C45" s="233"/>
      <c r="D45" s="233"/>
      <c r="E45" s="233"/>
    </row>
    <row r="46" spans="1:5" s="37" customFormat="1" ht="14.25" hidden="1">
      <c r="A46" s="50"/>
      <c r="B46" s="50"/>
      <c r="C46" s="50"/>
      <c r="D46" s="50"/>
      <c r="E46" s="50"/>
    </row>
    <row r="47" spans="1:5" hidden="1">
      <c r="A47" s="233"/>
      <c r="B47" s="233"/>
      <c r="C47" s="233"/>
      <c r="D47" s="233"/>
      <c r="E47" s="233"/>
    </row>
    <row r="48" spans="1:5" ht="15" customHeight="1">
      <c r="A48" s="311" t="s">
        <v>381</v>
      </c>
      <c r="B48" s="311"/>
      <c r="C48" s="311"/>
      <c r="D48" s="320"/>
      <c r="E48" s="320"/>
    </row>
    <row r="49" spans="1:5" ht="15" customHeight="1">
      <c r="A49" s="311" t="s">
        <v>335</v>
      </c>
      <c r="B49" s="311"/>
      <c r="C49" s="311"/>
      <c r="D49" s="320" t="s">
        <v>382</v>
      </c>
      <c r="E49" s="320"/>
    </row>
    <row r="50" spans="1:5">
      <c r="A50" s="233"/>
      <c r="B50" s="233"/>
      <c r="C50" s="233"/>
      <c r="D50" s="233"/>
      <c r="E50" s="233"/>
    </row>
    <row r="51" spans="1:5">
      <c r="A51" s="233"/>
      <c r="B51" s="233"/>
      <c r="C51" s="233"/>
      <c r="D51" s="233"/>
      <c r="E51" s="233"/>
    </row>
    <row r="52" spans="1:5">
      <c r="A52" s="233"/>
      <c r="B52" s="233"/>
      <c r="C52" s="233"/>
      <c r="D52" s="233"/>
      <c r="E52" s="233"/>
    </row>
    <row r="53" spans="1:5">
      <c r="A53" s="233"/>
      <c r="B53" s="233"/>
      <c r="C53" s="233"/>
      <c r="D53" s="233"/>
      <c r="E53" s="233"/>
    </row>
    <row r="54" spans="1:5">
      <c r="A54" s="233"/>
      <c r="B54" s="233"/>
      <c r="C54" s="233"/>
      <c r="D54" s="233"/>
      <c r="E54" s="233"/>
    </row>
    <row r="55" spans="1:5">
      <c r="A55" s="233"/>
      <c r="B55" s="233"/>
      <c r="C55" s="233"/>
      <c r="D55" s="233"/>
      <c r="E55" s="233"/>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1" t="str">
        <f>'Общие данные'!B148</f>
        <v>«CLEVER MIKROMOLIYA TASHKILOTI» MChJ</v>
      </c>
      <c r="C2" s="332"/>
      <c r="D2" s="332"/>
      <c r="E2" s="332"/>
      <c r="F2" s="333"/>
      <c r="G2" s="41"/>
    </row>
    <row r="3" spans="2:7">
      <c r="B3" s="324"/>
      <c r="C3" s="259"/>
      <c r="D3" s="259"/>
      <c r="E3" s="259"/>
      <c r="F3" s="325"/>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4" t="s">
        <v>27</v>
      </c>
      <c r="C10" s="259"/>
      <c r="D10" s="259"/>
      <c r="E10" s="259"/>
      <c r="F10" s="325"/>
      <c r="G10" s="42"/>
    </row>
    <row r="11" spans="2:7">
      <c r="B11" s="324" t="s">
        <v>27</v>
      </c>
      <c r="C11" s="259"/>
      <c r="D11" s="259"/>
      <c r="E11" s="259"/>
      <c r="F11" s="325"/>
      <c r="G11" s="42"/>
    </row>
    <row r="12" spans="2:7" ht="135" customHeight="1">
      <c r="B12" s="334" t="str">
        <f>'Общие данные'!B5</f>
        <v>NUTFULLAYEV AKBARJON AXMEDOVICH</v>
      </c>
      <c r="C12" s="335"/>
      <c r="D12" s="335"/>
      <c r="E12" s="335"/>
      <c r="F12" s="336"/>
      <c r="G12" s="43"/>
    </row>
    <row r="13" spans="2:7">
      <c r="B13" s="324"/>
      <c r="C13" s="259"/>
      <c r="D13" s="259"/>
      <c r="E13" s="259"/>
      <c r="F13" s="325"/>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4"/>
      <c r="C18" s="259"/>
      <c r="D18" s="259"/>
      <c r="E18" s="259"/>
      <c r="F18" s="325"/>
      <c r="G18" s="42"/>
    </row>
    <row r="19" spans="2:7" ht="20.25">
      <c r="B19" s="328" t="str">
        <f>""&amp;'Общие данные'!C64&amp;" shartnoma "&amp;'Общие данные'!B74&amp;""</f>
        <v>Mikroqarz shartnoma 11 mart 2025 y.dan № -NN</v>
      </c>
      <c r="C19" s="329"/>
      <c r="D19" s="329"/>
      <c r="E19" s="329"/>
      <c r="F19" s="330"/>
      <c r="G19" s="42"/>
    </row>
    <row r="20" spans="2:7">
      <c r="B20" s="324"/>
      <c r="C20" s="259"/>
      <c r="D20" s="259"/>
      <c r="E20" s="259"/>
      <c r="F20" s="325"/>
      <c r="G20" s="42"/>
    </row>
    <row r="21" spans="2:7">
      <c r="B21" s="324"/>
      <c r="C21" s="259"/>
      <c r="D21" s="259"/>
      <c r="E21" s="259"/>
      <c r="F21" s="325"/>
      <c r="G21" s="42"/>
    </row>
    <row r="22" spans="2:7">
      <c r="B22" s="324"/>
      <c r="C22" s="259"/>
      <c r="D22" s="259"/>
      <c r="E22" s="259"/>
      <c r="F22" s="325"/>
      <c r="G22" s="42"/>
    </row>
    <row r="23" spans="2:7">
      <c r="B23" s="324"/>
      <c r="C23" s="259"/>
      <c r="D23" s="259"/>
      <c r="E23" s="259"/>
      <c r="F23" s="325"/>
      <c r="G23" s="42"/>
    </row>
    <row r="24" spans="2:7">
      <c r="B24" s="326" t="str">
        <f>" Foiz stavkasi: "&amp;'Общие данные'!B85&amp;"%"</f>
        <v xml:space="preserve"> Foiz stavkasi: 60%</v>
      </c>
      <c r="C24" s="232"/>
      <c r="D24" s="232"/>
      <c r="E24" s="232"/>
      <c r="F24" s="327"/>
      <c r="G24" s="42"/>
    </row>
    <row r="25" spans="2:7" ht="15" customHeight="1">
      <c r="B25" s="326" t="str">
        <f>" "&amp;'Общие данные'!C64&amp;" muddati: "&amp;'Общие данные'!B81&amp;" oy"</f>
        <v xml:space="preserve"> Mikroqarz muddati: 36 oy</v>
      </c>
      <c r="C25" s="232"/>
      <c r="D25" s="232"/>
      <c r="E25" s="232"/>
      <c r="F25" s="327"/>
      <c r="G25" s="42"/>
    </row>
    <row r="26" spans="2:7">
      <c r="B26" s="326" t="str">
        <f>" "&amp;'Общие данные'!C64&amp;" miqdori: "&amp;FIXED('Общие данные'!B75,2)&amp;" so'm"</f>
        <v xml:space="preserve"> Mikroqarz miqdori: 27 000 000,00 so'm</v>
      </c>
      <c r="C26" s="232"/>
      <c r="D26" s="232"/>
      <c r="E26" s="232"/>
      <c r="F26" s="327"/>
      <c r="G26" s="42"/>
    </row>
    <row r="27" spans="2:7">
      <c r="B27" s="324"/>
      <c r="C27" s="259"/>
      <c r="D27" s="259"/>
      <c r="E27" s="259"/>
      <c r="F27" s="325"/>
      <c r="G27" s="42"/>
    </row>
    <row r="28" spans="2:7" hidden="1">
      <c r="G28" s="42"/>
    </row>
    <row r="29" spans="2:7">
      <c r="B29" s="324"/>
      <c r="C29" s="259"/>
      <c r="D29" s="259"/>
      <c r="E29" s="259"/>
      <c r="F29" s="325"/>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1" t="str">
        <f>"Toshkent sh., "&amp;'Общие данные'!B70&amp;""</f>
        <v>Toshkent sh., 11 mart 2025 y.</v>
      </c>
      <c r="C40" s="322"/>
      <c r="D40" s="322"/>
      <c r="E40" s="322"/>
      <c r="F40" s="323"/>
      <c r="G40" s="42"/>
    </row>
    <row r="41" spans="2:7">
      <c r="B41" s="259"/>
      <c r="C41" s="259"/>
      <c r="D41" s="259"/>
      <c r="E41" s="259"/>
      <c r="F41" s="259"/>
      <c r="G41" s="42"/>
    </row>
    <row r="42" spans="2:7">
      <c r="B42" s="259"/>
      <c r="C42" s="259"/>
      <c r="D42" s="259"/>
      <c r="E42" s="259"/>
      <c r="F42" s="259"/>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8"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-NN, на сумму 27 000 000,00 (yigirma yetti million so'm) сум, сроком на 36 (o'ttiz olti) месяцев. В качестве своевременного исполнения обязательств по договору Микрозайма 11 mart 2025 y.dan № -NN планирует предоставить нижеследующее автотранспортного средство марки CHANGAN CHANGAN SC 1027SB принадлежащее на правах собственности NUTFULLAYEV AKBARJON AXMEDOVICH</v>
      </c>
      <c r="B9" s="338"/>
      <c r="C9" s="338"/>
      <c r="D9" s="338"/>
      <c r="E9" s="338"/>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2" t="str">
        <f>'Приказ на сделку'!A21:E21</f>
        <v>-* avtotransport egasi: NUTFULLAYEV AKBARJON AXMEDOVICH</v>
      </c>
      <c r="B13" s="342"/>
      <c r="C13" s="342"/>
      <c r="D13" s="342"/>
      <c r="E13" s="342"/>
    </row>
    <row r="14" spans="1:5">
      <c r="A14" s="342" t="str">
        <f>'Приказ на сделку'!A22:E22</f>
        <v>-* texnik pasport: AAG   2346592  13.09.2023y</v>
      </c>
      <c r="B14" s="342"/>
      <c r="C14" s="342"/>
      <c r="D14" s="342"/>
      <c r="E14" s="342"/>
    </row>
    <row r="15" spans="1:5">
      <c r="A15" s="342" t="str">
        <f>'Приказ на сделку'!A23:E23</f>
        <v>-* roʻyxatdan oʻtgan manzili/garaj manzili: BUXORO VILOYATI BUXORO SHAHAR TADBIRKOR KO'CHASI 12-UY</v>
      </c>
      <c r="B15" s="342"/>
      <c r="C15" s="342"/>
      <c r="D15" s="342"/>
      <c r="E15" s="342"/>
    </row>
    <row r="16" spans="1:5">
      <c r="A16" s="342" t="str">
        <f>'Приказ на сделку'!A24:E24</f>
        <v>-* davlat raqami: 80T312WA</v>
      </c>
      <c r="B16" s="342"/>
      <c r="C16" s="342"/>
      <c r="D16" s="342"/>
      <c r="E16" s="342"/>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7"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8"/>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8"/>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8"/>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8"/>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8"/>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8"/>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8"/>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8"/>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8"/>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9"/>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8" t="e">
        <f>_xlfn.SINGLE('Акт согласования'!#REF!)</f>
        <v>#REF!</v>
      </c>
      <c r="B32" s="338"/>
      <c r="C32" s="338"/>
      <c r="D32" s="338"/>
      <c r="E32" s="338"/>
    </row>
    <row r="33" spans="1:5" ht="24.75" hidden="1" customHeight="1">
      <c r="A33" s="338" t="e">
        <f>_xlfn.SINGLE('Акт согласования'!#REF!)</f>
        <v>#REF!</v>
      </c>
      <c r="B33" s="338"/>
      <c r="C33" s="338"/>
      <c r="D33" s="338"/>
      <c r="E33" s="338"/>
    </row>
    <row r="34" spans="1:5" ht="30.75" hidden="1" customHeight="1">
      <c r="A34" s="338" t="e">
        <f>_xlfn.SINGLE('Акт согласования'!#REF!)</f>
        <v>#REF!</v>
      </c>
      <c r="B34" s="338"/>
      <c r="C34" s="338"/>
      <c r="D34" s="338"/>
      <c r="E34" s="338"/>
    </row>
    <row r="35" spans="1:5" ht="15" hidden="1" customHeight="1">
      <c r="A35" s="338" t="e">
        <f>_xlfn.SINGLE('Акт согласования'!#REF!)</f>
        <v>#REF!</v>
      </c>
      <c r="B35" s="338"/>
      <c r="C35" s="338"/>
      <c r="D35" s="338"/>
      <c r="E35" s="338"/>
    </row>
    <row r="36" spans="1:5">
      <c r="A36" s="22"/>
      <c r="B36" s="22"/>
      <c r="C36" s="22"/>
      <c r="D36" s="22"/>
      <c r="E36" s="22"/>
    </row>
    <row r="37" spans="1:5" s="130" customFormat="1" ht="51" customHeight="1">
      <c r="A37" s="341"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1"/>
      <c r="C37" s="341"/>
      <c r="D37" s="341"/>
      <c r="E37" s="341"/>
    </row>
    <row r="38" spans="1:5" ht="40.5" customHeight="1">
      <c r="A38" s="338" t="str">
        <f>'Акт согласования'!A47:E47</f>
        <v>Shu bilan birga, garov predmetining kelishilgan garov qiymati deganda ushbu mulk garov sifatida taqdim etilgan/qabul qilingan qiymati tushuniladi.</v>
      </c>
      <c r="B38" s="338"/>
      <c r="C38" s="338"/>
      <c r="D38" s="338"/>
      <c r="E38" s="338"/>
    </row>
    <row r="39" spans="1:5" ht="39" customHeight="1">
      <c r="A39" s="33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-NN, при сохранении запрета.</v>
      </c>
      <c r="B39" s="338"/>
      <c r="C39" s="338"/>
      <c r="D39" s="338"/>
      <c r="E39" s="338"/>
    </row>
    <row r="40" spans="1:5">
      <c r="A40" s="339"/>
      <c r="B40" s="339"/>
      <c r="C40" s="339"/>
      <c r="D40" s="339"/>
      <c r="E40" s="339"/>
    </row>
    <row r="41" spans="1:5">
      <c r="A41" s="340" t="s">
        <v>37</v>
      </c>
      <c r="B41" s="340"/>
      <c r="C41" s="340"/>
      <c r="D41" s="340"/>
      <c r="E41" s="340"/>
    </row>
    <row r="42" spans="1:5">
      <c r="A42" s="339"/>
      <c r="B42" s="339"/>
      <c r="C42" s="339"/>
      <c r="D42" s="339"/>
      <c r="E42" s="339"/>
    </row>
    <row r="43" spans="1:5">
      <c r="A43" s="340" t="s">
        <v>38</v>
      </c>
      <c r="B43" s="340"/>
      <c r="C43" s="340"/>
      <c r="D43" s="340"/>
      <c r="E43" s="340"/>
    </row>
    <row r="44" spans="1:5" ht="28.5" customHeight="1">
      <c r="A44" s="337" t="s">
        <v>39</v>
      </c>
      <c r="B44" s="337"/>
      <c r="C44" s="337"/>
      <c r="D44" s="337"/>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-NN-sonli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F5" s="156"/>
      <c r="H5" s="141" t="str">
        <f>TEXT('Общие данные'!D2,"ДД.ММ.ГГГГ")</f>
        <v>07.09.2025</v>
      </c>
    </row>
    <row r="7" spans="1:9" ht="45" customHeight="1">
      <c r="A7" s="344"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Namangan filiali menejerii A.Misirov, jismoniy shaxs  NUTFULLAYEV AKBARJON AXMEDOVICH  11 mart 2025 y.dan № -NN-sonli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'Акт согласования'!A20</f>
        <v>Nomi</v>
      </c>
      <c r="B9" s="350"/>
      <c r="C9" s="349" t="str">
        <f>'Акт согласования'!B20</f>
        <v>Kuzov turi  va kuzov raqami*</v>
      </c>
      <c r="D9" s="350"/>
      <c r="E9" s="349" t="str">
        <f>'Акт согласования'!D20</f>
        <v>Dvigatel va shassi raqami*</v>
      </c>
      <c r="F9" s="350"/>
      <c r="G9" s="349" t="str">
        <f>'Акт согласования'!E20</f>
        <v>Ishlab chiqarilgan yili va rangi**</v>
      </c>
      <c r="H9" s="350"/>
    </row>
    <row r="10" spans="1:9" s="140" customFormat="1" ht="58.5" customHeight="1">
      <c r="A10" s="351" t="str">
        <f>'Акт согласования'!A21</f>
        <v>CHANGAN CHANGAN SC 1027SB</v>
      </c>
      <c r="B10" s="351"/>
      <c r="C10" s="351" t="str">
        <f>'Акт согласования'!B21</f>
        <v>kuzov turi - YUK BORTLI TENT, kuzov raqami LSCAB23D8EG228387</v>
      </c>
      <c r="D10" s="351"/>
      <c r="E10" s="351" t="str">
        <f>'Акт согласования'!D21</f>
        <v>dvigatel raqami JL466Q1%E61H022801, shassi raqami - URINDIKLAR SONI 5TA</v>
      </c>
      <c r="F10" s="351"/>
      <c r="G10" s="351" t="str">
        <f>'Акт согласования'!E21</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7" customHeight="1">
      <c r="A17" s="347" t="s">
        <v>277</v>
      </c>
      <c r="B17" s="347"/>
      <c r="C17" s="347"/>
      <c r="D17" s="347"/>
      <c r="E17" s="347"/>
      <c r="F17" s="347"/>
      <c r="G17" s="347"/>
      <c r="H17" s="347"/>
    </row>
    <row r="21" spans="1:8" s="31" customFormat="1"/>
    <row r="22" spans="1:8" s="31" customFormat="1">
      <c r="A22" s="31" t="str">
        <f>'Общие данные'!A150</f>
        <v>Namangan filiali menejeri</v>
      </c>
      <c r="H22" s="143" t="str">
        <f>'Общие данные'!B150</f>
        <v>A.Misirov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-NN-sonli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данные'!B2+360,"ДД.ММ.ГГГГ")</f>
        <v>06.03.2026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Namangan filiali menejerii A.Misirov, jismoniy shaxs  NUTFULLAYEV AKBARJON AXMEDOVICH  11 mart 2025 y.dan № -NN-sonli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35.25" customHeight="1">
      <c r="A17" s="347" t="s">
        <v>277</v>
      </c>
      <c r="B17" s="347"/>
      <c r="C17" s="347"/>
      <c r="D17" s="347"/>
      <c r="E17" s="347"/>
      <c r="F17" s="347"/>
      <c r="G17" s="347"/>
      <c r="H17" s="347"/>
    </row>
    <row r="21" spans="1:8" s="31" customFormat="1"/>
    <row r="22" spans="1:8" s="31" customFormat="1">
      <c r="A22" s="31" t="str">
        <f>'Общие данные'!A150</f>
        <v>Namangan filiali menejeri</v>
      </c>
      <c r="H22" s="143" t="str">
        <f>'Общие данные'!B150</f>
        <v>A.Misirov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F25" sqref="F2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-NN-sonli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данные'!B2+540,"ДД.ММ.ГГГГ")</f>
        <v>02.09.2026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Namangan filiali menejerii A.Misirov, jismoniy shaxs  NUTFULLAYEV AKBARJON AXMEDOVICH  11 mart 2025 y.dan № -NN-sonli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2" t="str">
        <f>' Акт мониторинга 1'!A10</f>
        <v>CHANGAN CHANGAN SC 1027SB</v>
      </c>
      <c r="B10" s="353"/>
      <c r="C10" s="352" t="str">
        <f>' Акт мониторинга 1'!C10</f>
        <v>kuzov turi - YUK BORTLI TENT, kuzov raqami LSCAB23D8EG228387</v>
      </c>
      <c r="D10" s="353"/>
      <c r="E10" s="352" t="str">
        <f>' Акт мониторинга 1'!E10</f>
        <v>dvigatel raqami JL466Q1%E61H022801, shassi raqami - URINDIKLAR SONI 5TA</v>
      </c>
      <c r="F10" s="353"/>
      <c r="G10" s="352" t="str">
        <f>' Акт мониторинга 1'!G10</f>
        <v>rangi -  OQ BELIY, ishlab chiqarilgan yili - 2014</v>
      </c>
      <c r="H10" s="353"/>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s="140" customFormat="1" ht="32.25" customHeight="1">
      <c r="A17" s="347" t="s">
        <v>277</v>
      </c>
      <c r="B17" s="347"/>
      <c r="C17" s="347"/>
      <c r="D17" s="347"/>
      <c r="E17" s="347"/>
      <c r="F17" s="347"/>
      <c r="G17" s="347"/>
      <c r="H17" s="347"/>
    </row>
    <row r="21" spans="1:8" s="31" customFormat="1"/>
    <row r="22" spans="1:8" s="31" customFormat="1">
      <c r="A22" s="31" t="str">
        <f>'Общие данные'!A150</f>
        <v>Namangan filiali menejeri</v>
      </c>
      <c r="H22" s="143" t="str">
        <f>'Общие данные'!B150</f>
        <v>A.Misirov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-NN-sonli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данные'!B2+720,"ДД.ММ.ГГГГ")</f>
        <v>01.03.2027</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Namangan filiali menejerii A.Misirov, jismoniy shaxs  NUTFULLAYEV AKBARJON AXMEDOVICH  11 mart 2025 y.dan № -NN-sonli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8.5" customHeight="1">
      <c r="A17" s="347" t="s">
        <v>277</v>
      </c>
      <c r="B17" s="347"/>
      <c r="C17" s="347"/>
      <c r="D17" s="347"/>
      <c r="E17" s="347"/>
      <c r="F17" s="347"/>
      <c r="G17" s="347"/>
      <c r="H17" s="347"/>
    </row>
    <row r="21" spans="1:8" s="31" customFormat="1"/>
    <row r="22" spans="1:8" s="31" customFormat="1">
      <c r="A22" s="31" t="str">
        <f>'Общие данные'!A150</f>
        <v>Namangan filiali menejeri</v>
      </c>
      <c r="H22" s="143" t="str">
        <f>'Общие данные'!B150</f>
        <v>A.Misirov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2025-03-13T08:39:28Z</dcterms:modified>
</cp:coreProperties>
</file>