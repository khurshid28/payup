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C:\Users\Admin\PycharmProjects\payup\media\docx_org_templates\sugurta\"/>
    </mc:Choice>
  </mc:AlternateContent>
  <xr:revisionPtr revIDLastSave="0" documentId="8_{8832FC30-52B0-4DD3-8E4F-22F6C055DD8C}" xr6:coauthVersionLast="47" xr6:coauthVersionMax="47" xr10:uidLastSave="{00000000-0000-0000-0000-000000000000}"/>
  <bookViews>
    <workbookView xWindow="-120" yWindow="-120" windowWidth="29040" windowHeight="15840" tabRatio="915" activeTab="3" xr2:uid="{00000000-000D-0000-FFFF-FFFF00000000}"/>
  </bookViews>
  <sheets>
    <sheet name="Протокол  (2)" sheetId="23" r:id="rId1"/>
    <sheet name="График дифференц" sheetId="15" state="hidden" r:id="rId2"/>
    <sheet name="Данные для послед. Залога" sheetId="21" state="hidden"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договор" sheetId="19" r:id="rId11"/>
    <sheet name="График" sheetId="16"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2" sheetId="27" r:id="rId18"/>
    <sheet name=" Акт мониторинга 1" sheetId="26" r:id="rId19"/>
    <sheet name=" Акт мониторинга 3" sheetId="28" r:id="rId20"/>
    <sheet name=" Акт мониторинга 4" sheetId="29" r:id="rId21"/>
  </sheets>
  <externalReferences>
    <externalReference r:id="rId22"/>
  </externalReferences>
  <definedNames>
    <definedName name="mos">'[1]Общие данные'!$C$23:$D$23</definedName>
    <definedName name="mulk">'[1]Общие данные'!$C$24:$W$24</definedName>
    <definedName name="_xlnm.Print_Area" localSheetId="13">'Акт согласования'!$A$1:$E$63</definedName>
    <definedName name="_xlnm.Print_Area" localSheetId="5">'Анкета Клиента'!$A$1:$F$36</definedName>
    <definedName name="_xlnm.Print_Area" localSheetId="11">График!$A$1:$F$63</definedName>
    <definedName name="_xlnm.Print_Area" localSheetId="4">'График аннуитет.'!$A$1:$F$63</definedName>
    <definedName name="_xlnm.Print_Area" localSheetId="10">договор!$A$1:$B$132</definedName>
    <definedName name="_xlnm.Print_Area" localSheetId="12">'заявление залогодателя'!$A$3:$B$20</definedName>
    <definedName name="_xlnm.Print_Area" localSheetId="7">'Кредитная заявка'!$A$1:$D$41</definedName>
    <definedName name="_xlnm.Print_Area" localSheetId="15">обложка!$A$1:$G$42</definedName>
    <definedName name="_xlnm.Print_Area" localSheetId="0">'Протокол  (2)'!$A$1:$E$42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1" i="19" l="1"/>
  <c r="A23" i="19"/>
  <c r="B41" i="1" l="1"/>
  <c r="B40" i="1"/>
  <c r="B128" i="1" l="1"/>
  <c r="B76" i="1" l="1"/>
  <c r="B77" i="1" s="1"/>
  <c r="B149" i="1"/>
  <c r="A25" i="8" l="1"/>
  <c r="A17" i="23"/>
  <c r="A36" i="23"/>
  <c r="A29" i="2"/>
  <c r="B65" i="1" l="1"/>
  <c r="A59" i="16"/>
  <c r="A128" i="19"/>
  <c r="A131" i="19"/>
  <c r="A61" i="16" s="1"/>
  <c r="B129"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17" i="1"/>
  <c r="C123" i="1" s="1"/>
  <c r="C115" i="1"/>
  <c r="C121" i="1" s="1"/>
  <c r="C114" i="1"/>
  <c r="C120" i="1" s="1"/>
  <c r="C113" i="1"/>
  <c r="C119" i="1" s="1"/>
  <c r="C112" i="1"/>
  <c r="C118" i="1" s="1"/>
  <c r="D59" i="7"/>
  <c r="A62" i="7"/>
  <c r="A61" i="7"/>
  <c r="F61" i="7"/>
  <c r="A25" i="7"/>
  <c r="A23" i="7"/>
  <c r="A75" i="1" l="1"/>
  <c r="A37" i="23"/>
  <c r="H24" i="27"/>
  <c r="A9" i="26"/>
  <c r="A9" i="29" s="1"/>
  <c r="A9" i="27" l="1"/>
  <c r="A9" i="28"/>
  <c r="I127" i="1"/>
  <c r="A48" i="3"/>
  <c r="A35" i="3"/>
  <c r="E30" i="3"/>
  <c r="A30" i="3"/>
  <c r="A33" i="3"/>
  <c r="D29" i="7" l="1"/>
  <c r="D30" i="3" s="1"/>
  <c r="F131" i="1"/>
  <c r="E134" i="1"/>
  <c r="E131" i="1"/>
  <c r="D20" i="7"/>
  <c r="E20" i="7"/>
  <c r="G9" i="26" s="1"/>
  <c r="B20" i="7"/>
  <c r="G9" i="28" l="1"/>
  <c r="G9" i="27"/>
  <c r="G9" i="29"/>
  <c r="B29" i="7"/>
  <c r="B30" i="3" s="1"/>
  <c r="C9" i="26"/>
  <c r="C29" i="7"/>
  <c r="C30" i="3" s="1"/>
  <c r="E9" i="26"/>
  <c r="E9" i="29" l="1"/>
  <c r="E9" i="28"/>
  <c r="E9" i="27"/>
  <c r="C9" i="29"/>
  <c r="C9" i="28"/>
  <c r="C9" i="27"/>
  <c r="H24" i="29" l="1"/>
  <c r="H24" i="28"/>
  <c r="A22" i="26"/>
  <c r="H24" i="26"/>
  <c r="E51" i="3"/>
  <c r="A51" i="3"/>
  <c r="A59" i="3"/>
  <c r="A57" i="3"/>
  <c r="A53" i="3"/>
  <c r="A37" i="3"/>
  <c r="A1" i="3"/>
  <c r="D18" i="23"/>
  <c r="E18" i="23" s="1"/>
  <c r="A1" i="23"/>
  <c r="A42" i="23"/>
  <c r="A41" i="23"/>
  <c r="D58" i="16"/>
  <c r="A111" i="1" l="1"/>
  <c r="A110" i="1"/>
  <c r="A109" i="1"/>
  <c r="A108" i="1"/>
  <c r="B19" i="1"/>
  <c r="C22" i="1" s="1"/>
  <c r="H9" i="23"/>
  <c r="A19" i="23" s="1"/>
  <c r="A57" i="16"/>
  <c r="B49" i="1" l="1"/>
  <c r="B59" i="1" s="1"/>
  <c r="A16" i="4" l="1"/>
  <c r="A17" i="4"/>
  <c r="A7" i="24"/>
  <c r="B47" i="1"/>
  <c r="B27" i="1"/>
  <c r="B121" i="19" s="1"/>
  <c r="B34" i="1"/>
  <c r="B117" i="1"/>
  <c r="B123" i="1" s="1"/>
  <c r="A24" i="7" s="1"/>
  <c r="A34" i="3" s="1"/>
  <c r="B115" i="1"/>
  <c r="B114" i="1"/>
  <c r="B113" i="1"/>
  <c r="B112" i="1"/>
  <c r="B8" i="13" s="1"/>
  <c r="B45" i="1" l="1"/>
  <c r="B58" i="1"/>
  <c r="A63" i="7"/>
  <c r="D62" i="7" s="1"/>
  <c r="A19" i="13"/>
  <c r="A51" i="7"/>
  <c r="B6" i="13"/>
  <c r="D2" i="2"/>
  <c r="C77" i="1"/>
  <c r="A7" i="23"/>
  <c r="A31" i="2" l="1"/>
  <c r="A31" i="4"/>
  <c r="H79" i="19"/>
  <c r="A79" i="19" s="1"/>
  <c r="H21" i="19"/>
  <c r="A74" i="19"/>
  <c r="H70" i="19"/>
  <c r="A70" i="19" s="1"/>
  <c r="A57" i="19"/>
  <c r="A5" i="23"/>
  <c r="A15" i="19"/>
  <c r="A12" i="19"/>
  <c r="A34" i="19"/>
  <c r="B33" i="19" s="1"/>
  <c r="A32" i="19" s="1"/>
  <c r="A88" i="1"/>
  <c r="A10" i="3"/>
  <c r="A17" i="2"/>
  <c r="A18" i="2"/>
  <c r="A9" i="19"/>
  <c r="A19" i="19"/>
  <c r="A48" i="19"/>
  <c r="A72" i="19"/>
  <c r="A97" i="19"/>
  <c r="C64" i="1"/>
  <c r="C21" i="19"/>
  <c r="A53" i="19"/>
  <c r="A64" i="19"/>
  <c r="A75" i="19"/>
  <c r="C41" i="19"/>
  <c r="A41" i="19" s="1"/>
  <c r="A67" i="19"/>
  <c r="C76" i="19"/>
  <c r="A76" i="19" s="1"/>
  <c r="H17" i="19"/>
  <c r="A17" i="19" s="1"/>
  <c r="I21" i="19"/>
  <c r="A44" i="19"/>
  <c r="A61" i="19"/>
  <c r="A93" i="19"/>
  <c r="A20" i="19"/>
  <c r="C56" i="19"/>
  <c r="A56" i="19" s="1"/>
  <c r="A62" i="19"/>
  <c r="A69" i="19"/>
  <c r="A21" i="23"/>
  <c r="D64" i="1"/>
  <c r="A22" i="19" s="1"/>
  <c r="A1" i="1"/>
  <c r="A80" i="1"/>
  <c r="A86" i="1"/>
  <c r="A2" i="1"/>
  <c r="A82" i="1"/>
  <c r="A87" i="1"/>
  <c r="A76" i="1"/>
  <c r="A83" i="1"/>
  <c r="A90" i="1"/>
  <c r="A79" i="1"/>
  <c r="A85" i="1"/>
  <c r="E31" i="19" l="1"/>
  <c r="D31" i="19" s="1"/>
  <c r="A47" i="16"/>
  <c r="A13" i="2"/>
  <c r="A16" i="2"/>
  <c r="A21" i="2"/>
  <c r="A14" i="23"/>
  <c r="A4" i="2"/>
  <c r="B26" i="9"/>
  <c r="A23" i="23"/>
  <c r="A14" i="19"/>
  <c r="A15" i="2"/>
  <c r="A25" i="23"/>
  <c r="A22" i="23"/>
  <c r="A42" i="19"/>
  <c r="A24" i="23"/>
  <c r="B25" i="9"/>
  <c r="A21" i="19"/>
  <c r="A13" i="19"/>
  <c r="A14" i="2"/>
  <c r="A26" i="3"/>
  <c r="A63" i="19"/>
  <c r="A11" i="19"/>
  <c r="B118" i="1"/>
  <c r="A22" i="7" s="1"/>
  <c r="B119" i="1"/>
  <c r="A31" i="19" l="1"/>
  <c r="A18" i="8"/>
  <c r="A32" i="3"/>
  <c r="H7" i="23"/>
  <c r="A2" i="23" s="1"/>
  <c r="B121" i="1" l="1"/>
  <c r="B120" i="1"/>
  <c r="A122" i="19" l="1"/>
  <c r="A53" i="16" s="1"/>
  <c r="A30" i="4"/>
  <c r="B124" i="19"/>
  <c r="D55" i="16" s="1"/>
  <c r="A15" i="4"/>
  <c r="A14" i="4"/>
  <c r="A13" i="4"/>
  <c r="A7" i="3"/>
  <c r="C8" i="15"/>
  <c r="J12" i="15"/>
  <c r="A10" i="4" l="1"/>
  <c r="A9" i="4" s="1"/>
  <c r="D59" i="16"/>
  <c r="B126" i="19"/>
  <c r="D57" i="16" s="1"/>
  <c r="B125" i="19"/>
  <c r="D56" i="16" s="1"/>
  <c r="D52" i="16"/>
  <c r="B119" i="19"/>
  <c r="D51" i="16" s="1"/>
  <c r="A125" i="19" l="1"/>
  <c r="A56" i="16" s="1"/>
  <c r="A124" i="19"/>
  <c r="A55" i="16" s="1"/>
  <c r="A123" i="19"/>
  <c r="A54" i="16" s="1"/>
  <c r="A121" i="19"/>
  <c r="A52" i="16" s="1"/>
  <c r="E26" i="8" l="1"/>
  <c r="B24" i="9"/>
  <c r="B2" i="9"/>
  <c r="A22" i="29"/>
  <c r="A22" i="28"/>
  <c r="H5" i="29"/>
  <c r="H5" i="28"/>
  <c r="H5" i="27"/>
  <c r="A22" i="27"/>
  <c r="H22" i="26"/>
  <c r="D2" i="1"/>
  <c r="H5" i="26" s="1"/>
  <c r="A24" i="13"/>
  <c r="A22" i="13"/>
  <c r="A35" i="2"/>
  <c r="A29" i="4"/>
  <c r="A28" i="4"/>
  <c r="A20" i="4"/>
  <c r="A7" i="4"/>
  <c r="A11" i="24"/>
  <c r="A14" i="7"/>
  <c r="A13" i="7"/>
  <c r="A2" i="7"/>
  <c r="A8" i="3"/>
  <c r="A5" i="3"/>
  <c r="A4" i="3"/>
  <c r="A11" i="8"/>
  <c r="A10" i="8"/>
  <c r="A9" i="8"/>
  <c r="A12" i="2"/>
  <c r="A11" i="2"/>
  <c r="A7" i="2"/>
  <c r="B168" i="1"/>
  <c r="H127" i="1"/>
  <c r="I126" i="1"/>
  <c r="F126" i="1" s="1"/>
  <c r="H126" i="1"/>
  <c r="C126" i="1"/>
  <c r="B9" i="1"/>
  <c r="B11" i="1" s="1"/>
  <c r="B13" i="1" s="1"/>
  <c r="B8" i="1"/>
  <c r="B137" i="1"/>
  <c r="B138" i="1" s="1"/>
  <c r="B134" i="1"/>
  <c r="E21" i="7" s="1"/>
  <c r="B131" i="1"/>
  <c r="D21" i="7" s="1"/>
  <c r="E10" i="26" s="1"/>
  <c r="B21" i="7"/>
  <c r="C10" i="26" s="1"/>
  <c r="G10" i="26" l="1"/>
  <c r="D30" i="7"/>
  <c r="D31" i="3" s="1"/>
  <c r="E10" i="28"/>
  <c r="E10" i="27"/>
  <c r="E10" i="29"/>
  <c r="C10" i="28"/>
  <c r="C10" i="27"/>
  <c r="C10" i="29"/>
  <c r="C127" i="1"/>
  <c r="A17" i="7" s="1"/>
  <c r="A21" i="7"/>
  <c r="A10" i="26" s="1"/>
  <c r="C138" i="1"/>
  <c r="B139" i="1"/>
  <c r="A6" i="2"/>
  <c r="E30" i="7"/>
  <c r="E31" i="3" s="1"/>
  <c r="A48" i="7"/>
  <c r="A15" i="7"/>
  <c r="E126" i="1"/>
  <c r="A27" i="3"/>
  <c r="B9" i="13"/>
  <c r="A20" i="3"/>
  <c r="A27" i="2"/>
  <c r="A28" i="2"/>
  <c r="F127" i="1"/>
  <c r="E127" i="1"/>
  <c r="B10" i="1"/>
  <c r="A8" i="8" s="1"/>
  <c r="A24" i="2" l="1"/>
  <c r="A28" i="3"/>
  <c r="A17" i="8"/>
  <c r="G10" i="28"/>
  <c r="G10" i="29"/>
  <c r="G10" i="27"/>
  <c r="A16" i="8"/>
  <c r="A25" i="2"/>
  <c r="A16" i="7"/>
  <c r="A18" i="7" s="1"/>
  <c r="A19" i="7" s="1"/>
  <c r="A29" i="3"/>
  <c r="A28" i="23" s="1"/>
  <c r="A38" i="3"/>
  <c r="B12" i="1"/>
  <c r="A15" i="13" l="1"/>
  <c r="A14" i="13"/>
  <c r="A21" i="4"/>
  <c r="A10" i="2"/>
  <c r="A9" i="2"/>
  <c r="A19" i="4"/>
  <c r="A13" i="13" l="1"/>
  <c r="B66" i="1"/>
  <c r="A1" i="19" s="1"/>
  <c r="H26" i="29"/>
  <c r="H26" i="28"/>
  <c r="H26" i="27"/>
  <c r="H22" i="29"/>
  <c r="H22" i="28"/>
  <c r="H22" i="27"/>
  <c r="H26" i="26"/>
  <c r="D56" i="7" l="1"/>
  <c r="A56" i="7"/>
  <c r="A134" i="19"/>
  <c r="B103" i="1"/>
  <c r="R125" i="1" l="1"/>
  <c r="R126" i="1" s="1"/>
  <c r="N127" i="1" s="1"/>
  <c r="A25" i="13"/>
  <c r="A26" i="13" s="1"/>
  <c r="A28" i="13" s="1"/>
  <c r="A20" i="13" s="1"/>
  <c r="C63" i="7" s="1"/>
  <c r="Q125" i="1"/>
  <c r="Q126" i="1" s="1"/>
  <c r="N126" i="1" s="1"/>
  <c r="B24" i="4" l="1"/>
  <c r="B67" i="1" l="1"/>
  <c r="C79" i="1" s="1"/>
  <c r="C80" i="1" s="1"/>
  <c r="C81" i="1" s="1"/>
  <c r="B80" i="1" s="1"/>
  <c r="B81" i="1" s="1"/>
  <c r="B146" i="1" l="1"/>
  <c r="B144" i="1"/>
  <c r="C18" i="1" l="1"/>
  <c r="B20" i="1" l="1"/>
  <c r="C116" i="1" s="1"/>
  <c r="C20" i="1"/>
  <c r="A5" i="19" s="1"/>
  <c r="B116" i="1" l="1"/>
  <c r="B122" i="1" s="1"/>
  <c r="C122" i="1"/>
  <c r="B123" i="19"/>
  <c r="D53" i="16" s="1"/>
  <c r="A8" i="2"/>
  <c r="B29" i="23"/>
  <c r="C29" i="23"/>
  <c r="D29" i="23"/>
  <c r="E29" i="23"/>
  <c r="A29"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F27" i="4" l="1"/>
  <c r="A21" i="3" s="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37" i="1"/>
  <c r="D49" i="7" l="1"/>
  <c r="E33" i="7"/>
  <c r="A38" i="20"/>
  <c r="A37" i="20"/>
  <c r="B19" i="20"/>
  <c r="C19" i="20"/>
  <c r="D19" i="20"/>
  <c r="E19" i="20"/>
  <c r="A19" i="20"/>
  <c r="L5" i="15" l="1"/>
  <c r="I8" i="15" l="1"/>
  <c r="E20" i="20"/>
  <c r="B26" i="4"/>
  <c r="B27" i="4" s="1"/>
  <c r="C19" i="1" l="1"/>
  <c r="A33" i="20"/>
  <c r="B21" i="1" l="1"/>
  <c r="A6" i="3" s="1"/>
  <c r="C21" i="1"/>
  <c r="B8" i="15"/>
  <c r="R43" i="15" s="1"/>
  <c r="C5" i="22"/>
  <c r="A33" i="22" s="1"/>
  <c r="O43" i="15" l="1"/>
  <c r="P43" i="15" s="1"/>
  <c r="Q43" i="15" s="1"/>
  <c r="B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B32" i="16"/>
  <c r="H41" i="12"/>
  <c r="G41" i="12"/>
  <c r="G42" i="12"/>
  <c r="G10" i="15"/>
  <c r="H10" i="15"/>
  <c r="H9" i="15"/>
  <c r="G13" i="15"/>
  <c r="G12" i="15"/>
  <c r="H12" i="15"/>
  <c r="H11" i="15"/>
  <c r="G11" i="15"/>
  <c r="I67" i="1"/>
  <c r="G67" i="1"/>
  <c r="A119" i="19" l="1"/>
  <c r="A51" i="16" s="1"/>
  <c r="F67" i="1" l="1"/>
  <c r="E67" i="1"/>
  <c r="A20" i="2" s="1"/>
  <c r="C67" i="1"/>
  <c r="C65" i="1"/>
  <c r="C66" i="1" l="1"/>
  <c r="I66" i="1"/>
  <c r="G66" i="1"/>
  <c r="D67" i="1"/>
  <c r="B145"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69" i="1"/>
  <c r="A4" i="8" s="1"/>
  <c r="B143" i="1"/>
  <c r="E4" i="7" s="1"/>
  <c r="A39" i="20"/>
  <c r="B40" i="9"/>
  <c r="A19" i="2"/>
  <c r="D60" i="15"/>
  <c r="A58" i="15"/>
  <c r="A56" i="15"/>
  <c r="D52" i="15"/>
  <c r="D48" i="15"/>
  <c r="A48" i="15"/>
  <c r="A26" i="23" l="1"/>
  <c r="A14" i="8"/>
  <c r="A7" i="7"/>
  <c r="A10" i="7"/>
  <c r="A26" i="7"/>
  <c r="A15" i="3"/>
  <c r="H27" i="15"/>
  <c r="G27" i="15"/>
  <c r="G28" i="15"/>
  <c r="H28" i="15"/>
  <c r="G30" i="15"/>
  <c r="G31" i="15"/>
  <c r="H30" i="15"/>
  <c r="G29" i="15"/>
  <c r="H29" i="15"/>
  <c r="G26" i="15"/>
  <c r="H26" i="15"/>
  <c r="H24" i="15"/>
  <c r="G24" i="15"/>
  <c r="G25" i="15"/>
  <c r="A6" i="7" l="1"/>
  <c r="F2" i="15"/>
  <c r="B62" i="1" l="1"/>
  <c r="D55" i="15" l="1"/>
  <c r="D52" i="7"/>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D44" i="7"/>
  <c r="C44" i="7"/>
  <c r="B44" i="7"/>
  <c r="A40" i="8"/>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D34" i="8"/>
  <c r="C29" i="8"/>
  <c r="D27" i="8"/>
  <c r="D36" i="8"/>
  <c r="C32" i="8"/>
  <c r="D33" i="8"/>
  <c r="B32" i="8"/>
  <c r="D28" i="8"/>
  <c r="D37" i="8"/>
  <c r="C36" i="8"/>
  <c r="C33" i="8"/>
  <c r="D30" i="8"/>
  <c r="C28" i="8"/>
  <c r="C37" i="8"/>
  <c r="B36" i="8"/>
  <c r="D32" i="8"/>
  <c r="D29" i="8"/>
  <c r="B28" i="8"/>
  <c r="B37" i="8"/>
  <c r="C38" i="8"/>
  <c r="D31" i="8"/>
  <c r="D35" i="8"/>
  <c r="D38" i="8"/>
  <c r="C34" i="8"/>
  <c r="C31" i="8"/>
  <c r="C30" i="8"/>
  <c r="C27" i="8"/>
  <c r="C35" i="8"/>
  <c r="B34" i="8"/>
  <c r="B33" i="8"/>
  <c r="B31" i="8"/>
  <c r="B30" i="8"/>
  <c r="B29" i="8"/>
  <c r="B27" i="8"/>
  <c r="B35" i="8"/>
  <c r="B38" i="8"/>
  <c r="A34" i="8"/>
  <c r="A33" i="8"/>
  <c r="A32" i="8"/>
  <c r="A31" i="8"/>
  <c r="A30" i="8"/>
  <c r="A29" i="8"/>
  <c r="A28" i="8"/>
  <c r="A27" i="8"/>
  <c r="A37" i="8"/>
  <c r="A36" i="8"/>
  <c r="A35" i="8"/>
  <c r="A38" i="8"/>
  <c r="C143" i="1"/>
  <c r="A35" i="20"/>
  <c r="A34" i="20"/>
  <c r="A42" i="8"/>
  <c r="A41" i="8"/>
  <c r="A9" i="20" l="1"/>
  <c r="N124" i="1"/>
  <c r="E44" i="7"/>
  <c r="E31" i="20" s="1"/>
  <c r="E27" i="8" l="1"/>
  <c r="A23" i="2"/>
  <c r="E38" i="8"/>
  <c r="D60" i="12"/>
  <c r="A58" i="12"/>
  <c r="A56" i="12"/>
  <c r="D52" i="12"/>
  <c r="D48" i="12"/>
  <c r="A48" i="12"/>
  <c r="C8" i="12"/>
  <c r="C9" i="16" s="1"/>
  <c r="A32" i="20"/>
  <c r="A39" i="8"/>
  <c r="A25" i="19" l="1"/>
  <c r="A24" i="19" l="1"/>
  <c r="B12" i="9"/>
  <c r="A12" i="8"/>
  <c r="E19" i="8"/>
  <c r="E11" i="20" s="1"/>
  <c r="D19" i="8"/>
  <c r="D11" i="20" s="1"/>
  <c r="C19" i="8"/>
  <c r="C11" i="20" s="1"/>
  <c r="B19" i="8"/>
  <c r="B11" i="20" s="1"/>
  <c r="A19" i="8"/>
  <c r="A11" i="20" s="1"/>
  <c r="D60" i="7"/>
  <c r="D30" i="23"/>
  <c r="C30" i="7"/>
  <c r="B30" i="7"/>
  <c r="A30" i="7"/>
  <c r="C30" i="23" l="1"/>
  <c r="C31" i="3"/>
  <c r="A30" i="23"/>
  <c r="A31" i="3"/>
  <c r="B30" i="23"/>
  <c r="B31" i="3"/>
  <c r="A34" i="23"/>
  <c r="A14" i="26"/>
  <c r="A14" i="29"/>
  <c r="A14" i="28"/>
  <c r="A14" i="27"/>
  <c r="A32"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40"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3" i="23"/>
  <c r="A13" i="27"/>
  <c r="A13" i="28"/>
  <c r="A13" i="29"/>
  <c r="A13" i="26"/>
  <c r="A31" i="23"/>
  <c r="A11" i="29"/>
  <c r="A11" i="28"/>
  <c r="A11" i="27"/>
  <c r="A11" i="26"/>
  <c r="E30"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D9" i="15" s="1"/>
  <c r="C10" i="15" s="1"/>
  <c r="M8" i="15"/>
  <c r="F8" i="15" s="1"/>
  <c r="I10" i="15"/>
  <c r="I11" i="15" s="1"/>
  <c r="I12" i="15" s="1"/>
  <c r="I13" i="15" s="1"/>
  <c r="I14" i="15" s="1"/>
  <c r="I15" i="15" s="1"/>
  <c r="I16" i="15" s="1"/>
  <c r="I17" i="15" s="1"/>
  <c r="I18" i="15" s="1"/>
  <c r="L9" i="15" l="1"/>
  <c r="E9" i="15" s="1"/>
  <c r="M9" i="15" s="1"/>
  <c r="F9" i="15" s="1"/>
  <c r="D10" i="15"/>
  <c r="J14" i="15"/>
  <c r="K14" i="15" s="1"/>
  <c r="J13" i="15"/>
  <c r="K13" i="15" s="1"/>
  <c r="J17" i="15"/>
  <c r="K17" i="15" s="1"/>
  <c r="J16" i="15"/>
  <c r="K16" i="15" s="1"/>
  <c r="L10" i="15"/>
  <c r="E10" i="15" s="1"/>
  <c r="J15" i="15"/>
  <c r="K15" i="15" s="1"/>
  <c r="J18" i="15"/>
  <c r="K18" i="15" s="1"/>
  <c r="J19" i="15"/>
  <c r="K19" i="15" s="1"/>
  <c r="I19" i="15" s="1"/>
  <c r="C11" i="15" l="1"/>
  <c r="D11" i="15" s="1"/>
  <c r="I20" i="15"/>
  <c r="I21" i="15" s="1"/>
  <c r="J20" i="15"/>
  <c r="K20" i="15" s="1"/>
  <c r="M10" i="15"/>
  <c r="F10" i="15" s="1"/>
  <c r="C12" i="15" l="1"/>
  <c r="D12" i="15" s="1"/>
  <c r="C13" i="15" s="1"/>
  <c r="D13" i="15" s="1"/>
  <c r="C14" i="15" s="1"/>
  <c r="L11" i="15"/>
  <c r="E11" i="15" s="1"/>
  <c r="J21" i="15"/>
  <c r="K21" i="15" s="1"/>
  <c r="J22" i="15"/>
  <c r="K22" i="15" s="1"/>
  <c r="I22" i="15" s="1"/>
  <c r="I23" i="15" l="1"/>
  <c r="I24" i="15" s="1"/>
  <c r="J25" i="15" s="1"/>
  <c r="K25" i="15" s="1"/>
  <c r="I25" i="15" s="1"/>
  <c r="I26" i="15" s="1"/>
  <c r="J23" i="15"/>
  <c r="K23" i="15" s="1"/>
  <c r="L12" i="15"/>
  <c r="E12" i="15" s="1"/>
  <c r="M11" i="15"/>
  <c r="F11" i="15" s="1"/>
  <c r="J24" i="15" l="1"/>
  <c r="K24" i="15" s="1"/>
  <c r="J26" i="15"/>
  <c r="K26" i="15" s="1"/>
  <c r="J27" i="15"/>
  <c r="K27" i="15" s="1"/>
  <c r="I27" i="15" s="1"/>
  <c r="M12" i="15"/>
  <c r="F12" i="15" s="1"/>
  <c r="L13" i="15"/>
  <c r="E13" i="15" s="1"/>
  <c r="I28" i="15" l="1"/>
  <c r="J29" i="15" s="1"/>
  <c r="K29" i="15" s="1"/>
  <c r="I29" i="15" s="1"/>
  <c r="J30" i="15" s="1"/>
  <c r="K30" i="15" s="1"/>
  <c r="I30" i="15" s="1"/>
  <c r="J31" i="15" s="1"/>
  <c r="K31" i="15" s="1"/>
  <c r="I31" i="15" s="1"/>
  <c r="J32" i="15" s="1"/>
  <c r="K32" i="15" s="1"/>
  <c r="J28" i="15"/>
  <c r="K28" i="15" s="1"/>
  <c r="L14" i="15"/>
  <c r="I32" i="15" l="1"/>
  <c r="I33" i="15" s="1"/>
  <c r="I34" i="15" s="1"/>
  <c r="E14" i="15"/>
  <c r="D14" i="15"/>
  <c r="C15" i="15" s="1"/>
  <c r="L15" i="15" s="1"/>
  <c r="E15" i="15" s="1"/>
  <c r="M13" i="15"/>
  <c r="F13" i="15" s="1"/>
  <c r="J34" i="15" l="1"/>
  <c r="K34" i="15" s="1"/>
  <c r="J33" i="15"/>
  <c r="K33" i="15" s="1"/>
  <c r="M14" i="15"/>
  <c r="F14" i="15" s="1"/>
  <c r="D15" i="15"/>
  <c r="C16" i="15" s="1"/>
  <c r="L16" i="15" s="1"/>
  <c r="E16" i="15" s="1"/>
  <c r="I35" i="15"/>
  <c r="J35" i="15"/>
  <c r="K35" i="15" s="1"/>
  <c r="M15" i="15" l="1"/>
  <c r="F15" i="15" s="1"/>
  <c r="D16" i="15"/>
  <c r="C17" i="15" s="1"/>
  <c r="L17" i="15" s="1"/>
  <c r="E17" i="15" s="1"/>
  <c r="I36" i="15"/>
  <c r="J36" i="15"/>
  <c r="K36" i="15" s="1"/>
  <c r="M16" i="15" l="1"/>
  <c r="F16" i="15" s="1"/>
  <c r="D17" i="15"/>
  <c r="C18" i="15" s="1"/>
  <c r="L18" i="15" s="1"/>
  <c r="E18" i="15" s="1"/>
  <c r="J37" i="15"/>
  <c r="K37" i="15" s="1"/>
  <c r="I37" i="15" s="1"/>
  <c r="M17" i="15" l="1"/>
  <c r="F17" i="15" s="1"/>
  <c r="D18" i="15"/>
  <c r="C19" i="15" s="1"/>
  <c r="L19" i="15" s="1"/>
  <c r="E19" i="15" s="1"/>
  <c r="I38" i="15"/>
  <c r="J38" i="15"/>
  <c r="K38" i="15" s="1"/>
  <c r="M18" i="15" l="1"/>
  <c r="F18" i="15" s="1"/>
  <c r="D19" i="15"/>
  <c r="C20" i="15" s="1"/>
  <c r="L20" i="15" s="1"/>
  <c r="I39" i="15"/>
  <c r="J39" i="15"/>
  <c r="K39" i="15" s="1"/>
  <c r="M19" i="15" l="1"/>
  <c r="F19" i="15" s="1"/>
  <c r="I40" i="15"/>
  <c r="J40" i="15"/>
  <c r="K40" i="15" s="1"/>
  <c r="E20" i="15"/>
  <c r="D20" i="15"/>
  <c r="C21" i="15" l="1"/>
  <c r="L21" i="15" s="1"/>
  <c r="E21" i="15" s="1"/>
  <c r="I41" i="15"/>
  <c r="J41" i="15"/>
  <c r="K41" i="15" s="1"/>
  <c r="M20" i="15"/>
  <c r="F20" i="15" s="1"/>
  <c r="D21" i="15" l="1"/>
  <c r="C22" i="15" s="1"/>
  <c r="L22" i="15" s="1"/>
  <c r="E22" i="15" s="1"/>
  <c r="I42" i="15"/>
  <c r="J43" i="15" s="1"/>
  <c r="K43" i="15" s="1"/>
  <c r="I43" i="15" s="1"/>
  <c r="J42" i="15"/>
  <c r="K42" i="15" s="1"/>
  <c r="D22" i="15" l="1"/>
  <c r="C23" i="15" s="1"/>
  <c r="L23" i="15" s="1"/>
  <c r="E23" i="15" s="1"/>
  <c r="M21" i="15"/>
  <c r="F21" i="15" s="1"/>
  <c r="M22" i="15" l="1"/>
  <c r="F22" i="15" s="1"/>
  <c r="D23" i="15"/>
  <c r="C24" i="15" s="1"/>
  <c r="L24" i="15" s="1"/>
  <c r="E24" i="15" s="1"/>
  <c r="M23" i="15" l="1"/>
  <c r="F23" i="15" s="1"/>
  <c r="D24" i="15"/>
  <c r="C25" i="15" l="1"/>
  <c r="M24" i="15"/>
  <c r="F24" i="15" s="1"/>
  <c r="L25" i="15" l="1"/>
  <c r="E25" i="15" s="1"/>
  <c r="D25" i="15" l="1"/>
  <c r="C26" i="15" l="1"/>
  <c r="M25" i="15"/>
  <c r="F25" i="15" s="1"/>
  <c r="L26" i="15" l="1"/>
  <c r="D26" i="15" s="1"/>
  <c r="E26" i="15" l="1"/>
  <c r="M26" i="15" s="1"/>
  <c r="F26" i="15" s="1"/>
  <c r="C27" i="15"/>
  <c r="L27" i="15" l="1"/>
  <c r="D27" i="15" s="1"/>
  <c r="E27" i="15" l="1"/>
  <c r="M27" i="15" s="1"/>
  <c r="F27" i="15" s="1"/>
  <c r="C28" i="15"/>
  <c r="L28" i="15" l="1"/>
  <c r="D28" i="15" s="1"/>
  <c r="E28" i="15" l="1"/>
  <c r="M28" i="15" s="1"/>
  <c r="F28" i="15" s="1"/>
  <c r="C29" i="15"/>
  <c r="L29" i="15" l="1"/>
  <c r="D29" i="15" s="1"/>
  <c r="E29" i="15" l="1"/>
  <c r="M29" i="15" s="1"/>
  <c r="F29" i="15" s="1"/>
  <c r="C30" i="15"/>
  <c r="L30" i="15" l="1"/>
  <c r="D30" i="15" s="1"/>
  <c r="E30" i="15" l="1"/>
  <c r="M30" i="15" s="1"/>
  <c r="F30" i="15" s="1"/>
  <c r="C31" i="15"/>
  <c r="L31" i="15" l="1"/>
  <c r="D31" i="15" s="1"/>
  <c r="C32" i="15" s="1"/>
  <c r="E31" i="15" l="1"/>
  <c r="M31" i="15" s="1"/>
  <c r="F31" i="15" s="1"/>
  <c r="L32" i="15"/>
  <c r="E32" i="15" s="1"/>
  <c r="D32" i="15" l="1"/>
  <c r="C33" i="15" s="1"/>
  <c r="L33" i="15" s="1"/>
  <c r="E33" i="15" s="1"/>
  <c r="M32" i="15" l="1"/>
  <c r="F32" i="15" s="1"/>
  <c r="D33" i="15"/>
  <c r="C34" i="15" s="1"/>
  <c r="L34" i="15" s="1"/>
  <c r="E34" i="15" s="1"/>
  <c r="M33" i="15" l="1"/>
  <c r="F33" i="15" s="1"/>
  <c r="D34" i="15"/>
  <c r="C35" i="15" s="1"/>
  <c r="L35" i="15" s="1"/>
  <c r="E35" i="15" s="1"/>
  <c r="M34" i="15" l="1"/>
  <c r="F34" i="15" s="1"/>
  <c r="D35" i="15"/>
  <c r="C36" i="15" s="1"/>
  <c r="L36" i="15" s="1"/>
  <c r="E36" i="15" s="1"/>
  <c r="M35" i="15" l="1"/>
  <c r="F35" i="15" s="1"/>
  <c r="D36" i="15"/>
  <c r="C37" i="15" s="1"/>
  <c r="L37" i="15" s="1"/>
  <c r="E37" i="15" s="1"/>
  <c r="M36" i="15" l="1"/>
  <c r="F36" i="15" s="1"/>
  <c r="D37" i="15"/>
  <c r="M37" i="15" s="1"/>
  <c r="F37" i="15" s="1"/>
  <c r="C38" i="15" l="1"/>
  <c r="L38" i="15" l="1"/>
  <c r="E38" i="15" s="1"/>
  <c r="D38" i="15" l="1"/>
  <c r="C39" i="15" s="1"/>
  <c r="L39" i="15" l="1"/>
  <c r="E39" i="15" s="1"/>
  <c r="M38" i="15"/>
  <c r="F38" i="15" s="1"/>
  <c r="D39" i="15" l="1"/>
  <c r="C40" i="15" l="1"/>
  <c r="M39" i="15"/>
  <c r="F39" i="15" s="1"/>
  <c r="L40" i="15" l="1"/>
  <c r="E40" i="15" s="1"/>
  <c r="D40" i="15" l="1"/>
  <c r="M40" i="15" s="1"/>
  <c r="F40" i="15" s="1"/>
  <c r="C41" i="15" l="1"/>
  <c r="L41" i="15" s="1"/>
  <c r="E41" i="15" s="1"/>
  <c r="D41" i="15" l="1"/>
  <c r="M41" i="15" s="1"/>
  <c r="F41" i="15" s="1"/>
  <c r="C42" i="15" l="1"/>
  <c r="L42" i="15" s="1"/>
  <c r="E42" i="15" s="1"/>
  <c r="D42" i="15" l="1"/>
  <c r="C43" i="15" s="1"/>
  <c r="L43" i="15" s="1"/>
  <c r="E43" i="15" s="1"/>
  <c r="E44" i="15" s="1"/>
  <c r="M42" i="15" l="1"/>
  <c r="F42" i="15" s="1"/>
  <c r="D43" i="15"/>
  <c r="M43" i="15" s="1"/>
  <c r="F43" i="15" s="1"/>
  <c r="D44" i="15" l="1"/>
  <c r="F44" i="15"/>
  <c r="F9" i="16" l="1"/>
  <c r="D9" i="16" l="1"/>
  <c r="F10" i="16"/>
  <c r="C10" i="16" l="1"/>
  <c r="F11" i="16"/>
  <c r="E10" i="16" l="1"/>
  <c r="F12" i="16"/>
  <c r="D10" i="16" l="1"/>
  <c r="F13" i="16"/>
  <c r="C11" i="16" l="1"/>
  <c r="E11" i="16" l="1"/>
  <c r="D11" i="16" l="1"/>
  <c r="C12" i="16" l="1"/>
  <c r="E12" i="16" l="1"/>
  <c r="D12" i="16" l="1"/>
  <c r="C13" i="16" l="1"/>
  <c r="E13" i="16" l="1"/>
  <c r="D13" i="16" l="1"/>
  <c r="C14" i="16" l="1"/>
  <c r="E14" i="16" l="1"/>
  <c r="F14" i="16" l="1"/>
  <c r="F15" i="16"/>
  <c r="D14" i="16" l="1"/>
  <c r="F16" i="16"/>
  <c r="C15" i="16" l="1"/>
  <c r="F17" i="16"/>
  <c r="E15" i="16" l="1"/>
  <c r="F18" i="16"/>
  <c r="F19" i="16" l="1"/>
  <c r="D15" i="16"/>
  <c r="C16" i="16" l="1"/>
  <c r="E16" i="16" l="1"/>
  <c r="D16" i="16" l="1"/>
  <c r="C17" i="16" l="1"/>
  <c r="E17" i="16" l="1"/>
  <c r="D17" i="16" l="1"/>
  <c r="C18" i="16" l="1"/>
  <c r="E18" i="16" l="1"/>
  <c r="D18" i="16" l="1"/>
  <c r="C19" i="16" l="1"/>
  <c r="E19" i="16" l="1"/>
  <c r="D19" i="16" l="1"/>
  <c r="C20" i="16" l="1"/>
  <c r="D20" i="16" l="1"/>
  <c r="F20" i="16"/>
  <c r="F21" i="16" l="1"/>
  <c r="F22" i="16" l="1"/>
  <c r="D21" i="16"/>
  <c r="C22" i="16" l="1"/>
  <c r="F23" i="16"/>
  <c r="F24" i="16" l="1"/>
  <c r="E22" i="16"/>
  <c r="D22" i="16" l="1"/>
  <c r="F25" i="16"/>
  <c r="C23" i="16" l="1"/>
  <c r="F26" i="16" l="1"/>
  <c r="B91" i="1" s="1"/>
  <c r="E23" i="16"/>
  <c r="A24" i="3" l="1"/>
  <c r="A23" i="3"/>
  <c r="F8" i="12"/>
  <c r="D23" i="16"/>
  <c r="A22" i="3" l="1"/>
  <c r="F9" i="12"/>
  <c r="D8" i="12"/>
  <c r="C9" i="12" s="1"/>
  <c r="F27" i="16"/>
  <c r="C24" i="16"/>
  <c r="E9" i="12" l="1"/>
  <c r="D9" i="12" s="1"/>
  <c r="C10" i="12" s="1"/>
  <c r="F10" i="12"/>
  <c r="F28" i="16"/>
  <c r="E24" i="16"/>
  <c r="E10" i="12" l="1"/>
  <c r="D10" i="12" s="1"/>
  <c r="C11" i="12" s="1"/>
  <c r="F11" i="12"/>
  <c r="D24" i="16"/>
  <c r="F29" i="16"/>
  <c r="E11" i="12" l="1"/>
  <c r="D11" i="12" s="1"/>
  <c r="C12" i="12" s="1"/>
  <c r="F12" i="12"/>
  <c r="C25" i="16"/>
  <c r="E12" i="12" l="1"/>
  <c r="D12" i="12" s="1"/>
  <c r="C13" i="12" s="1"/>
  <c r="F13" i="12"/>
  <c r="F30" i="16"/>
  <c r="E25" i="16"/>
  <c r="E13" i="12" l="1"/>
  <c r="D13" i="12" s="1"/>
  <c r="C14" i="12" s="1"/>
  <c r="F14" i="12"/>
  <c r="D25" i="16"/>
  <c r="E14" i="12" l="1"/>
  <c r="F15" i="12"/>
  <c r="D14" i="12"/>
  <c r="C15" i="12" s="1"/>
  <c r="F31" i="16"/>
  <c r="C26" i="16"/>
  <c r="E15" i="12" l="1"/>
  <c r="D15" i="12" s="1"/>
  <c r="C16" i="12" s="1"/>
  <c r="F16" i="12"/>
  <c r="E26" i="16"/>
  <c r="E16" i="12" l="1"/>
  <c r="D16" i="12" s="1"/>
  <c r="C17" i="12" s="1"/>
  <c r="F17" i="12"/>
  <c r="D26" i="16"/>
  <c r="E17" i="12" l="1"/>
  <c r="F18" i="12"/>
  <c r="D17" i="12"/>
  <c r="C18" i="12" s="1"/>
  <c r="C27" i="16"/>
  <c r="E18" i="12" l="1"/>
  <c r="D18" i="12" s="1"/>
  <c r="C19" i="12" s="1"/>
  <c r="E19" i="12" s="1"/>
  <c r="E20" i="16" s="1"/>
  <c r="C63" i="1" s="1"/>
  <c r="C60" i="1" s="1"/>
  <c r="F19" i="12"/>
  <c r="E27" i="16"/>
  <c r="D19" i="12" l="1"/>
  <c r="C20" i="12" s="1"/>
  <c r="F20" i="12"/>
  <c r="D27" i="16"/>
  <c r="F21" i="12" l="1"/>
  <c r="C21" i="16"/>
  <c r="E20" i="12"/>
  <c r="E21" i="16" s="1"/>
  <c r="C28" i="16"/>
  <c r="F22" i="12" l="1"/>
  <c r="D20" i="12"/>
  <c r="C21" i="12" s="1"/>
  <c r="E28" i="16"/>
  <c r="E21" i="12" l="1"/>
  <c r="D21" i="12" s="1"/>
  <c r="C22" i="12" s="1"/>
  <c r="F23" i="12"/>
  <c r="D28" i="16"/>
  <c r="E22" i="12" l="1"/>
  <c r="D22" i="12" s="1"/>
  <c r="C23" i="12" s="1"/>
  <c r="F24" i="12"/>
  <c r="C29" i="16"/>
  <c r="E23" i="12" l="1"/>
  <c r="D23" i="12" s="1"/>
  <c r="C24" i="12" s="1"/>
  <c r="F25" i="12"/>
  <c r="E29" i="16"/>
  <c r="E24" i="12" l="1"/>
  <c r="D24" i="12" s="1"/>
  <c r="C25" i="12" s="1"/>
  <c r="F26" i="12"/>
  <c r="D29" i="16"/>
  <c r="E25" i="12" l="1"/>
  <c r="D25" i="12" s="1"/>
  <c r="C26" i="12" s="1"/>
  <c r="F27" i="12"/>
  <c r="C30" i="16"/>
  <c r="E26" i="12" l="1"/>
  <c r="D26" i="12" s="1"/>
  <c r="C27" i="12" s="1"/>
  <c r="F28" i="12"/>
  <c r="E30" i="16"/>
  <c r="E27" i="12" l="1"/>
  <c r="D27" i="12" s="1"/>
  <c r="C28" i="12" s="1"/>
  <c r="F29" i="12"/>
  <c r="D30" i="16"/>
  <c r="E28" i="12" l="1"/>
  <c r="D28" i="12" s="1"/>
  <c r="C29" i="12" s="1"/>
  <c r="F30" i="12"/>
  <c r="C31" i="16"/>
  <c r="E29" i="12" l="1"/>
  <c r="D29" i="12" s="1"/>
  <c r="C30" i="12" s="1"/>
  <c r="E30" i="12" s="1"/>
  <c r="D30" i="12" s="1"/>
  <c r="E31" i="16"/>
  <c r="D31" i="16" l="1"/>
  <c r="C31" i="12"/>
  <c r="E31" i="12" l="1"/>
  <c r="C32" i="16"/>
  <c r="D32" i="16" l="1"/>
  <c r="E32" i="16"/>
  <c r="F32" i="16" l="1"/>
  <c r="C33" i="16"/>
  <c r="C34" i="16" l="1"/>
  <c r="D33" i="16"/>
  <c r="E33" i="16"/>
  <c r="F33" i="16" l="1"/>
  <c r="C35" i="16"/>
  <c r="D34" i="16"/>
  <c r="F34" i="16" l="1"/>
  <c r="E35" i="16"/>
  <c r="D35" i="16"/>
  <c r="F35" i="16" l="1"/>
  <c r="C36" i="16"/>
  <c r="E36" i="16" l="1"/>
  <c r="D36" i="16"/>
  <c r="C37" i="16" l="1"/>
  <c r="F36" i="16"/>
  <c r="C38" i="16" l="1"/>
  <c r="E37" i="16"/>
  <c r="D37" i="16"/>
  <c r="F37" i="16" l="1"/>
  <c r="D38" i="16"/>
  <c r="F38" i="16" l="1"/>
  <c r="C39" i="16"/>
  <c r="D39" i="16" l="1"/>
  <c r="F39" i="16" l="1"/>
  <c r="C40" i="16"/>
  <c r="D40" i="16" l="1"/>
  <c r="F40" i="16" l="1"/>
  <c r="C41" i="16"/>
  <c r="C42" i="16" l="1"/>
  <c r="D41" i="16"/>
  <c r="F41" i="16" l="1"/>
  <c r="C43" i="16"/>
  <c r="D42" i="16"/>
  <c r="F42" i="16" l="1"/>
  <c r="D43" i="16"/>
  <c r="F43" i="16" l="1"/>
  <c r="C44" i="16"/>
  <c r="D44" i="16" l="1"/>
  <c r="D45" i="16" s="1"/>
  <c r="E44" i="16"/>
  <c r="F44" i="16" l="1"/>
  <c r="F45" i="16" s="1"/>
  <c r="A10" i="27"/>
  <c r="A10" i="28"/>
  <c r="A10" i="29"/>
  <c r="D31" i="12"/>
  <c r="F31" i="12"/>
  <c r="C32" i="12"/>
  <c r="D32" i="12"/>
  <c r="E32" i="12"/>
  <c r="F32" i="12"/>
  <c r="C33" i="12"/>
  <c r="D33" i="12"/>
  <c r="E33" i="12"/>
  <c r="F33" i="12"/>
  <c r="C34" i="12"/>
  <c r="D34" i="12"/>
  <c r="E34" i="12"/>
  <c r="F34" i="12"/>
  <c r="C35" i="12"/>
  <c r="D35" i="12"/>
  <c r="E35" i="12"/>
  <c r="F35" i="12"/>
  <c r="C36" i="12"/>
  <c r="D36" i="12"/>
  <c r="E36" i="12"/>
  <c r="F36" i="12"/>
  <c r="C37" i="12"/>
  <c r="D37" i="12"/>
  <c r="E37" i="12"/>
  <c r="F37" i="12"/>
  <c r="C38" i="12"/>
  <c r="D38" i="12"/>
  <c r="E38" i="12"/>
  <c r="F38" i="12"/>
  <c r="C39" i="12"/>
  <c r="D39" i="12"/>
  <c r="E39" i="12"/>
  <c r="F39" i="12"/>
  <c r="C40" i="12"/>
  <c r="D40" i="12"/>
  <c r="E40" i="12"/>
  <c r="F40" i="12"/>
  <c r="C41" i="12"/>
  <c r="D41" i="12"/>
  <c r="E41" i="12"/>
  <c r="F41" i="12"/>
  <c r="C42" i="12"/>
  <c r="D42" i="12"/>
  <c r="E42" i="12"/>
  <c r="F42" i="12"/>
  <c r="C43" i="12"/>
  <c r="D43" i="12"/>
  <c r="E43" i="12"/>
  <c r="F43" i="12"/>
  <c r="F44" i="12"/>
  <c r="E44" i="12"/>
  <c r="E34" i="16"/>
  <c r="E38" i="16"/>
  <c r="E39" i="16"/>
  <c r="E40" i="16"/>
  <c r="E41" i="16"/>
  <c r="E42" i="16"/>
  <c r="E43" i="16"/>
  <c r="E45" i="16"/>
  <c r="D44" i="12"/>
</calcChain>
</file>

<file path=xl/sharedStrings.xml><?xml version="1.0" encoding="utf-8"?>
<sst xmlns="http://schemas.openxmlformats.org/spreadsheetml/2006/main" count="601" uniqueCount="441">
  <si>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</si>
  <si>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</si>
  <si>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</si>
  <si>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</si>
  <si>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</si>
  <si>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</si>
  <si>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</si>
  <si>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</si>
  <si>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</si>
  <si>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</si>
  <si>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</si>
  <si>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</si>
  <si>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</si>
  <si>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</si>
  <si>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</si>
  <si>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</si>
  <si>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</si>
  <si>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</si>
  <si>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</si>
  <si>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</si>
  <si>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</si>
  <si>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</si>
  <si>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</si>
  <si>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</si>
  <si>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</si>
  <si>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</si>
  <si>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</si>
  <si>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</si>
  <si>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</si>
  <si>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</si>
  <si>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</si>
  <si>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</si>
  <si>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</si>
  <si>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</si>
  <si>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</si>
  <si>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</si>
  <si>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</si>
  <si>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</si>
  <si>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</si>
  <si>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</si>
  <si>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</si>
  <si>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</si>
  <si>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</si>
  <si>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</si>
  <si>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</si>
  <si>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</si>
  <si>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</si>
  <si>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</si>
  <si>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</si>
  <si>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</si>
  <si>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</si>
  <si>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</si>
  <si>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</si>
  <si>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</si>
  <si>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</si>
  <si>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</si>
  <si>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</si>
  <si>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</si>
  <si>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</si>
  <si>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</si>
  <si>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</si>
  <si>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</si>
  <si>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</si>
  <si>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</si>
  <si>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</si>
  <si>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</si>
  <si>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</si>
  <si>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</si>
  <si>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</si>
  <si>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</si>
  <si>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</si>
  <si>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</si>
  <si>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</si>
  <si>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</si>
  <si>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</si>
  <si>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</si>
  <si>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</si>
  <si>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</si>
  <si>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</si>
  <si>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</si>
  <si>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</si>
  <si>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</si>
  <si>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</si>
  <si>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</si>
  <si>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</si>
  <si>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</si>
  <si>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</si>
  <si>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</si>
  <si>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</si>
  <si>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</si>
  <si>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</si>
  <si>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</si>
  <si>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</si>
  <si>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</si>
  <si>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</si>
  <si>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</si>
  <si>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</si>
  <si>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</si>
  <si>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</si>
  <si>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</si>
  <si>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</si>
  <si>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</si>
  <si>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</si>
  <si>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</si>
  <si>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</si>
  <si>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</si>
  <si>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</si>
  <si>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</si>
  <si>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</si>
  <si>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</si>
  <si>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</si>
  <si>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</si>
  <si>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</si>
  <si>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</si>
  <si>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</si>
  <si>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</si>
  <si>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</si>
  <si>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</si>
  <si>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</si>
  <si>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</si>
  <si>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</si>
  <si>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</si>
  <si>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</si>
  <si>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</si>
  <si>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</si>
  <si>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</si>
  <si>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</si>
  <si>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</si>
  <si>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</si>
  <si>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</si>
  <si>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</si>
  <si>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</si>
  <si>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</si>
  <si>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</si>
  <si>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</si>
  <si>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</si>
  <si>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</si>
  <si>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</si>
  <si>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</si>
  <si>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</si>
  <si>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</si>
  <si>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ISHONCHNOMA BO’YICHA MA’LUMOTLAR</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</si>
  <si>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</si>
  <si>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</si>
  <si>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</si>
  <si>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</si>
  <si>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</si>
  <si>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</si>
  <si>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</si>
  <si>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</si>
  <si>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</si>
  <si>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</si>
  <si>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</si>
  <si>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</si>
  <si>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</si>
  <si>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</si>
  <si>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</si>
  <si>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</si>
  <si>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</si>
  <si>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</si>
  <si>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</si>
  <si>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</si>
  <si>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</si>
  <si>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</si>
  <si>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</si>
  <si>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</si>
  <si>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</si>
  <si>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</si>
  <si>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</si>
  <si>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</si>
  <si>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</si>
  <si>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</si>
  <si>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</si>
  <si>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</si>
  <si>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</si>
  <si>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</si>
  <si>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</si>
  <si>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</si>
  <si>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</si>
  <si>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</si>
  <si>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</si>
  <si>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</si>
  <si>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</si>
  <si>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</si>
  <si>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</si>
  <si>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</si>
  <si>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</si>
  <si>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</si>
  <si>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</si>
  <si>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</si>
  <si>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</si>
  <si>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</si>
  <si>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</si>
  <si>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</si>
  <si>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</si>
  <si>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</si>
  <si>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</si>
  <si>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</si>
  <si>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</si>
  <si>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</si>
  <si>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</si>
  <si>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</si>
  <si>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</si>
  <si>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</si>
  <si>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</si>
  <si>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</si>
  <si>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</si>
  <si>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</si>
  <si>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</si>
  <si>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</si>
  <si>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</si>
  <si>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</si>
  <si>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</si>
  <si>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</si>
  <si>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</si>
  <si>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</si>
  <si>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</si>
  <si>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</si>
  <si>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</si>
  <si>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</si>
  <si>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</si>
  <si>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</si>
  <si>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</si>
  <si>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</si>
  <si>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</si>
  <si>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</si>
  <si>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</si>
  <si>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</si>
  <si>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</si>
  <si>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</si>
  <si>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</si>
  <si>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</si>
  <si>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</si>
  <si>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</si>
  <si>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</si>
  <si>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</si>
  <si>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</si>
  <si>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</si>
  <si>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</si>
  <si>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</si>
  <si>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</si>
  <si>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</si>
  <si>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</si>
  <si>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</si>
  <si>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</si>
  <si>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</si>
  <si>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</si>
  <si>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</si>
  <si>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</si>
  <si>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</si>
  <si>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</si>
  <si>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</si>
  <si>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</si>
  <si>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</si>
  <si>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</si>
  <si>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</si>
  <si>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</si>
  <si>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</si>
  <si>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</si>
  <si>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</si>
  <si>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</si>
  <si>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</si>
  <si>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</si>
  <si>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</si>
  <si>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</si>
  <si>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</si>
  <si>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</si>
  <si>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</si>
  <si>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</si>
  <si>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</si>
  <si>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</si>
  <si>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</si>
  <si>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</si>
  <si>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</si>
  <si>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</si>
  <si>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</si>
  <si>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</si>
  <si>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</si>
  <si>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</si>
  <si>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</si>
  <si>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</si>
  <si>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</si>
  <si>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</si>
  <si>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</si>
  <si>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</si>
  <si>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</si>
  <si>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</si>
  <si>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</si>
  <si>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</si>
  <si>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</si>
  <si>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</si>
  <si>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</si>
  <si>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</si>
  <si>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</si>
  <si>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</si>
  <si>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</si>
  <si>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</si>
  <si>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</si>
  <si>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</si>
  <si>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</si>
  <si>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</si>
  <si>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</si>
  <si>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</si>
  <si>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</si>
  <si>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</si>
  <si>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</si>
  <si>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</si>
  <si>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</si>
  <si>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</si>
  <si>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</si>
  <si>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</si>
  <si>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</si>
  <si>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</si>
  <si>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</si>
  <si>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</si>
  <si>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</si>
  <si>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</si>
  <si>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</si>
  <si>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</si>
  <si>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</si>
  <si>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</si>
  <si>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</si>
  <si>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</si>
  <si>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</si>
  <si>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</si>
  <si>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</si>
  <si>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</si>
  <si>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</si>
  <si>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</si>
  <si>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</si>
  <si>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</si>
  <si>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</si>
  <si>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</si>
  <si>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</si>
  <si>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</si>
  <si>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</si>
  <si>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</si>
  <si>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</si>
  <si>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</si>
  <si>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</si>
  <si>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</si>
  <si>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</si>
  <si>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</si>
  <si>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</si>
  <si>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</si>
  <si>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</si>
  <si>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</si>
  <si>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</si>
  <si>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</si>
  <si>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</si>
  <si>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</si>
  <si>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</si>
  <si>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</si>
  <si>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</si>
  <si>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</si>
  <si>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</si>
  <si>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</si>
  <si>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</si>
  <si>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</si>
  <si>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</si>
  <si>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</si>
  <si>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</si>
  <si>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</si>
  <si>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</si>
  <si>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</si>
  <si>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</si>
  <si>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</si>
  <si>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</si>
  <si>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</si>
  <si>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</si>
  <si>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</si>
  <si>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</si>
  <si>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</si>
  <si>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</si>
  <si>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</si>
  <si>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</si>
  <si>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</si>
  <si>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</si>
  <si>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</si>
  <si>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</si>
  <si>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</si>
  <si>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37,39</t>
  </si>
  <si>
    <t>16.12.2020 yildan №14:13:02:01:03:1179:0006:058</t>
  </si>
  <si>
    <t>13.12.2020 yildan 1718238/R-A1419303</t>
  </si>
  <si>
    <t>№ kadastr raqami</t>
  </si>
  <si>
    <t>Foydalanishga topshirilgan yili</t>
  </si>
  <si>
    <t xml:space="preserve"> sanasidan</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</si>
  <si>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</si>
  <si>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Ijrochi direktori</t>
  </si>
  <si>
    <t>Процент годовой</t>
  </si>
  <si>
    <t>60</t>
  </si>
  <si>
    <t>Oltmish</t>
  </si>
  <si>
    <t>bir yuz</t>
  </si>
  <si>
    <t>100</t>
  </si>
  <si>
    <t>Jumanazarov B.T.</t>
  </si>
  <si>
    <t>1. Abduraximov Nаdirbek Kamilevich</t>
  </si>
  <si>
    <t>Abduraximov N.K.</t>
  </si>
  <si>
    <t>YENGIL SEDAN</t>
  </si>
  <si>
    <t>Sug'urta kompaniyasi nomi</t>
  </si>
  <si>
    <t>Summa</t>
  </si>
  <si>
    <t>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t>
  </si>
  <si>
    <t>3.5. Undiruvni Garov narsasiga (predmetlariga) va/yoki uning (ularning) bir qismiga (qismlariga) qaratishda va/yoki Qarz oluvchining Kafildan qarzini undirishda Mikromoliya tashkiloti undiruvning birinchi navbatdagi obyektini o‘z xohishiga ko‘ra bir tomonlama tanlash yoki bir vaqtning o‘zida undiruvni Garov narsasiga (predmetlariga) qaratish va Kafilga talab qo‘yish huquqini o‘zida saqlab qoladi. Undiruvni garov narsasining bir obyektiga va/yoki uning (ularning) bir qismiga qaratish va/yoki Mikroqarzni Kafildan undirish Mikromoliya tashkilotini undiruvni garov narsasining boshqa obyektiga (obyektlariga) va/yoki uning (ularning) bir qismiga qaratish va/yoki Mikroqarzni Kafildan undirishda cheklamaydi. Qarz oluvchining Mikroqarzni Sug‘urtalovchidan undirish tartibi tegishli sug‘urta shartnomasida belgilanadi.</t>
  </si>
  <si>
    <t>5. Mikroqarz bo‘yicha ta'minot:</t>
  </si>
  <si>
    <t>Mominov B.X.</t>
  </si>
  <si>
    <t>Qorako'l filiali boshlig'i</t>
  </si>
  <si>
    <t>Egamberdiyeva D.I.</t>
  </si>
  <si>
    <t>Egamberdiyeva Dilnora Inayatovna</t>
  </si>
  <si>
    <t>АО СК "IMPEX INSURANCE"</t>
  </si>
  <si>
    <t>Kreditlash bo’limi boshlig’i</t>
  </si>
  <si>
    <t>QORAKO'L TUMANI DARG'ALI QFY</t>
  </si>
  <si>
    <t>1-TRO' VA IOB (JONDOR T)</t>
  </si>
  <si>
    <t>DARG'ALI MFY 10 MAKTAB</t>
  </si>
  <si>
    <t>93 547-13-19  AYOLI</t>
  </si>
  <si>
    <t>93 753-02-44 O'RTOG'I</t>
  </si>
  <si>
    <t>QORAKO'L TUMANI</t>
  </si>
  <si>
    <t>94 545-76-56 O'ZI</t>
  </si>
  <si>
    <t>ATAXANOV AKMAL AXMETDJANOVICH</t>
  </si>
  <si>
    <t>11.06.1989 y</t>
  </si>
  <si>
    <t>AD7554127</t>
  </si>
  <si>
    <t>IIV 6230</t>
  </si>
  <si>
    <t>BOBONAZAROV ASLBEK AKRAM O'G'LI</t>
  </si>
  <si>
    <t>BUXORO VILOYATI QORAKO'L TUMANI ULUG'BEK KO'CHASI 31-UY</t>
  </si>
  <si>
    <t>RUSTAMOV ALISHER NARZULLAYEVICH</t>
  </si>
  <si>
    <t>202401864005639</t>
  </si>
  <si>
    <t>AC0328614</t>
  </si>
  <si>
    <t>BUXORO VILOYATI QORAKO'L TUMANI ZARAFSHON MFY GULISTON 21 UY</t>
  </si>
  <si>
    <t>AAG 5348590 25.12.2024y.</t>
  </si>
  <si>
    <t>DAMAS-2</t>
  </si>
  <si>
    <t>80X089BB</t>
  </si>
  <si>
    <t>XWB7T12YDRP863654</t>
  </si>
  <si>
    <t>F8CB240180255</t>
  </si>
  <si>
    <t>OQ SUMMIT WHITE</t>
  </si>
  <si>
    <t>2024</t>
  </si>
  <si>
    <t>ATAXANOV A.A.</t>
  </si>
  <si>
    <t>BOBONAZAROV A.A.</t>
  </si>
  <si>
    <t xml:space="preserve">BUXORO VILOYATI QORAKO'L TUMANI IIB tomonidan 28.11.2018 yilda berilgan </t>
  </si>
  <si>
    <t xml:space="preserve"> - </t>
  </si>
  <si>
    <t>№492-QRS</t>
  </si>
  <si>
    <t>28.02.2025</t>
  </si>
  <si>
    <t>Mijoz quyidagi majburiyatlarga ega:TOSHKЕNT Sh., "KAPITALBANK" AT BANKINING YAGONA FILIALI  152 470 656.00  so'm. Ayni paytda muddati o'tgan qarzdorligi mavjud emas. O‘rtacha oylik to‘lov 4 175 896.03 so‘mni tashkil qiladi</t>
  </si>
  <si>
    <t>yigirma to'rt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</si>
</sst>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s>
  <fonts count="56"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s>
  <fills count="13">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
      <patternFill patternType="solid">
        <fgColor rgb="FF00B050"/>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24">
    <xf numFmtId="0" fontId="0"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4" fillId="0" borderId="0">
      <alignment vertical="center"/>
    </xf>
    <xf numFmtId="0" fontId="54" fillId="0" borderId="0">
      <alignment vertical="center"/>
    </xf>
    <xf numFmtId="43"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9"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cellStyleXfs>
  <cellXfs count="360">
    <xf numFmtId="0" fontId="0" fillId="0" borderId="0" xfId="0"/>
    <xf numFmtId="0" fontId="6" fillId="0" borderId="1" xfId="0" applyFont="1" applyBorder="1" applyAlignment="1">
      <alignment vertical="center" wrapText="1"/>
    </xf>
    <xf numFmtId="49" fontId="6" fillId="0" borderId="1" xfId="0" applyNumberFormat="1" applyFont="1" applyBorder="1" applyAlignment="1">
      <alignment vertical="center" wrapText="1"/>
    </xf>
    <xf numFmtId="0" fontId="7" fillId="2" borderId="1" xfId="0" applyFont="1" applyFill="1" applyBorder="1" applyAlignment="1">
      <alignment vertical="center" wrapText="1"/>
    </xf>
    <xf numFmtId="0" fontId="6" fillId="0" borderId="0" xfId="0" applyFont="1"/>
    <xf numFmtId="165" fontId="6" fillId="0" borderId="1" xfId="0" applyNumberFormat="1" applyFont="1" applyBorder="1" applyAlignment="1">
      <alignment vertical="center" wrapText="1"/>
    </xf>
    <xf numFmtId="43" fontId="6" fillId="0" borderId="1" xfId="1" applyFont="1" applyBorder="1" applyAlignment="1">
      <alignment vertical="center" wrapText="1"/>
    </xf>
    <xf numFmtId="0" fontId="8" fillId="0" borderId="0" xfId="0" applyFont="1"/>
    <xf numFmtId="0" fontId="8" fillId="0" borderId="0" xfId="0" applyFont="1" applyAlignment="1">
      <alignment horizontal="right"/>
    </xf>
    <xf numFmtId="0" fontId="10" fillId="2" borderId="1" xfId="0" applyFont="1" applyFill="1" applyBorder="1" applyAlignment="1">
      <alignment horizontal="left" vertical="center" wrapText="1"/>
    </xf>
    <xf numFmtId="0" fontId="10" fillId="2" borderId="1" xfId="0" applyFont="1" applyFill="1" applyBorder="1" applyAlignment="1">
      <alignment horizontal="center" vertical="center" wrapText="1"/>
    </xf>
    <xf numFmtId="0" fontId="13" fillId="0" borderId="0" xfId="0" applyFont="1" applyAlignment="1" applyProtection="1">
      <alignment horizontal="center" vertical="top"/>
      <protection hidden="1"/>
    </xf>
    <xf numFmtId="0" fontId="11" fillId="0" borderId="0" xfId="0" applyFont="1" applyAlignment="1" applyProtection="1">
      <alignment horizontal="center" vertical="center"/>
      <protection hidden="1"/>
    </xf>
    <xf numFmtId="0" fontId="13" fillId="0" borderId="0" xfId="0" applyFont="1" applyAlignment="1" applyProtection="1">
      <alignment horizontal="center" vertical="center"/>
      <protection hidden="1"/>
    </xf>
    <xf numFmtId="0" fontId="9" fillId="0" borderId="0" xfId="0" applyFont="1"/>
    <xf numFmtId="0" fontId="9" fillId="0" borderId="0" xfId="0" applyFont="1" applyAlignment="1">
      <alignment horizontal="right"/>
    </xf>
    <xf numFmtId="0" fontId="14" fillId="0" borderId="0" xfId="0" applyFont="1"/>
    <xf numFmtId="0" fontId="14" fillId="0" borderId="0" xfId="0" applyFont="1" applyAlignment="1">
      <alignment horizontal="center" vertical="center" wrapText="1"/>
    </xf>
    <xf numFmtId="0" fontId="14" fillId="0" borderId="1" xfId="0" applyFont="1" applyBorder="1" applyAlignment="1">
      <alignment horizontal="center" vertical="center" wrapText="1"/>
    </xf>
    <xf numFmtId="0" fontId="14" fillId="0" borderId="1" xfId="0" applyFont="1" applyBorder="1"/>
    <xf numFmtId="0" fontId="14" fillId="0" borderId="0" xfId="0" applyFont="1" applyAlignment="1">
      <alignment horizontal="justify" vertical="top" wrapText="1"/>
    </xf>
    <xf numFmtId="0" fontId="14" fillId="0" borderId="0" xfId="0" applyFont="1" applyAlignment="1">
      <alignment wrapText="1"/>
    </xf>
    <xf numFmtId="164" fontId="6" fillId="0" borderId="1" xfId="0" applyNumberFormat="1" applyFont="1" applyBorder="1" applyAlignment="1">
      <alignment vertical="center" wrapText="1"/>
    </xf>
    <xf numFmtId="0" fontId="14" fillId="0" borderId="0" xfId="0" applyFont="1" applyAlignment="1">
      <alignment vertical="top" wrapText="1"/>
    </xf>
    <xf numFmtId="0" fontId="14" fillId="0" borderId="0" xfId="0" applyFont="1" applyAlignment="1">
      <alignment vertical="center" wrapText="1"/>
    </xf>
    <xf numFmtId="0" fontId="17" fillId="0" borderId="0" xfId="0" applyFont="1"/>
    <xf numFmtId="0" fontId="16" fillId="0" borderId="1" xfId="0" applyFont="1" applyBorder="1" applyAlignment="1">
      <alignment horizontal="center" vertical="center" wrapText="1"/>
    </xf>
    <xf numFmtId="0" fontId="16" fillId="0" borderId="0" xfId="0" applyFont="1" applyAlignment="1">
      <alignment horizontal="center" vertical="center" wrapText="1"/>
    </xf>
    <xf numFmtId="0" fontId="17" fillId="0" borderId="1" xfId="0" applyFont="1" applyBorder="1" applyAlignment="1">
      <alignment horizontal="center" vertical="top" wrapText="1"/>
    </xf>
    <xf numFmtId="43" fontId="17" fillId="0" borderId="1" xfId="1" applyFont="1" applyBorder="1" applyAlignment="1">
      <alignment horizontal="center" vertical="top" wrapText="1"/>
    </xf>
    <xf numFmtId="0" fontId="16" fillId="0" borderId="1" xfId="0" applyFont="1" applyBorder="1" applyAlignment="1">
      <alignment horizontal="center" vertical="top" wrapText="1"/>
    </xf>
    <xf numFmtId="43" fontId="16" fillId="0" borderId="1" xfId="0" applyNumberFormat="1" applyFont="1" applyBorder="1" applyAlignment="1">
      <alignment horizontal="center" vertical="top" wrapText="1"/>
    </xf>
    <xf numFmtId="0" fontId="16" fillId="0" borderId="0" xfId="0" applyFont="1"/>
    <xf numFmtId="0" fontId="8" fillId="0" borderId="0" xfId="0" applyFont="1" applyAlignment="1">
      <alignment horizontal="left"/>
    </xf>
    <xf numFmtId="14" fontId="14" fillId="0" borderId="1" xfId="0" applyNumberFormat="1" applyFont="1" applyBorder="1"/>
    <xf numFmtId="43" fontId="14" fillId="0" borderId="1" xfId="1" applyFont="1" applyBorder="1"/>
    <xf numFmtId="14" fontId="14" fillId="0" borderId="0" xfId="0" applyNumberFormat="1" applyFont="1"/>
    <xf numFmtId="43" fontId="14" fillId="0" borderId="0" xfId="1" applyFont="1" applyBorder="1"/>
    <xf numFmtId="0" fontId="15" fillId="0" borderId="0" xfId="0" applyFont="1"/>
    <xf numFmtId="0" fontId="15" fillId="0" borderId="0" xfId="0" applyFont="1" applyAlignment="1">
      <alignment horizontal="right"/>
    </xf>
    <xf numFmtId="0" fontId="15" fillId="0" borderId="1" xfId="0" applyFont="1" applyBorder="1" applyAlignment="1">
      <alignment horizontal="center" vertical="center" wrapText="1"/>
    </xf>
    <xf numFmtId="0" fontId="15" fillId="0" borderId="0" xfId="0" applyFont="1" applyAlignment="1">
      <alignment horizontal="center"/>
    </xf>
    <xf numFmtId="0" fontId="22" fillId="0" borderId="0" xfId="0" applyFont="1" applyAlignment="1">
      <alignment horizontal="center" wrapText="1"/>
    </xf>
    <xf numFmtId="0" fontId="14" fillId="0" borderId="0" xfId="0" applyFont="1" applyAlignment="1">
      <alignment horizontal="center" wrapText="1"/>
    </xf>
    <xf numFmtId="0" fontId="21" fillId="0" borderId="0" xfId="0" applyFont="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5" fillId="0" borderId="1" xfId="0" applyFont="1" applyBorder="1"/>
    <xf numFmtId="14" fontId="15" fillId="0" borderId="1" xfId="0" applyNumberFormat="1" applyFont="1" applyBorder="1"/>
    <xf numFmtId="43" fontId="15" fillId="0" borderId="1" xfId="1" applyFont="1" applyBorder="1"/>
    <xf numFmtId="0" fontId="6" fillId="4" borderId="1" xfId="0" applyFont="1" applyFill="1" applyBorder="1" applyAlignment="1">
      <alignment vertical="center" wrapText="1"/>
    </xf>
    <xf numFmtId="0" fontId="6" fillId="0" borderId="1" xfId="0" applyFont="1" applyBorder="1"/>
    <xf numFmtId="0" fontId="6" fillId="0" borderId="1" xfId="0" applyFont="1" applyBorder="1" applyAlignment="1">
      <alignment horizontal="left" vertical="center"/>
    </xf>
    <xf numFmtId="0" fontId="7" fillId="0" borderId="0" xfId="0" applyFont="1" applyAlignment="1">
      <alignment vertical="center"/>
    </xf>
    <xf numFmtId="0" fontId="15" fillId="0" borderId="0" xfId="0" applyFont="1" applyAlignment="1">
      <alignment horizontal="center" vertical="center" wrapText="1"/>
    </xf>
    <xf numFmtId="43" fontId="27" fillId="0" borderId="1" xfId="1" applyFont="1" applyBorder="1"/>
    <xf numFmtId="43" fontId="6" fillId="4" borderId="1" xfId="1" applyFont="1" applyFill="1" applyBorder="1" applyAlignment="1">
      <alignment vertical="center" wrapText="1"/>
    </xf>
    <xf numFmtId="0" fontId="14" fillId="0" borderId="0" xfId="0" applyFont="1" applyAlignment="1">
      <alignment horizontal="left" vertical="top" wrapText="1"/>
    </xf>
    <xf numFmtId="0" fontId="14" fillId="0" borderId="8" xfId="0" applyFont="1" applyBorder="1" applyAlignment="1">
      <alignment wrapText="1"/>
    </xf>
    <xf numFmtId="0" fontId="14" fillId="0" borderId="9" xfId="0" applyFont="1" applyBorder="1" applyAlignment="1">
      <alignment wrapText="1"/>
    </xf>
    <xf numFmtId="49" fontId="8" fillId="0" borderId="0" xfId="0" applyNumberFormat="1" applyFont="1" applyAlignment="1">
      <alignment horizontal="right"/>
    </xf>
    <xf numFmtId="49" fontId="6" fillId="4" borderId="1" xfId="0" applyNumberFormat="1" applyFont="1" applyFill="1" applyBorder="1" applyAlignment="1">
      <alignment vertical="center" wrapText="1"/>
    </xf>
    <xf numFmtId="165" fontId="26" fillId="2" borderId="1" xfId="0" applyNumberFormat="1" applyFont="1" applyFill="1" applyBorder="1" applyAlignment="1">
      <alignment vertical="center" wrapText="1"/>
    </xf>
    <xf numFmtId="165" fontId="6" fillId="2" borderId="1" xfId="0" applyNumberFormat="1" applyFont="1" applyFill="1" applyBorder="1" applyAlignment="1">
      <alignment vertical="center" wrapText="1"/>
    </xf>
    <xf numFmtId="0" fontId="6"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1" fillId="4" borderId="1" xfId="0" applyFont="1" applyFill="1" applyBorder="1"/>
    <xf numFmtId="0" fontId="9" fillId="0" borderId="0" xfId="0" applyFont="1" applyAlignment="1">
      <alignment horizontal="center" vertical="center" wrapText="1"/>
    </xf>
    <xf numFmtId="0" fontId="9" fillId="0" borderId="0" xfId="0" applyFont="1" applyAlignment="1">
      <alignment horizontal="center"/>
    </xf>
    <xf numFmtId="0" fontId="8" fillId="0" borderId="0" xfId="0" applyFont="1" applyAlignment="1">
      <alignment horizontal="center" vertical="center"/>
    </xf>
    <xf numFmtId="0" fontId="9" fillId="0" borderId="0" xfId="0" applyFont="1" applyAlignment="1">
      <alignment horizontal="center" vertical="center"/>
    </xf>
    <xf numFmtId="43" fontId="6" fillId="4" borderId="3" xfId="1" applyFont="1" applyFill="1" applyBorder="1" applyAlignment="1">
      <alignment vertical="center" wrapText="1"/>
    </xf>
    <xf numFmtId="0" fontId="7" fillId="2" borderId="1" xfId="0" applyFont="1" applyFill="1" applyBorder="1" applyAlignment="1">
      <alignment horizontal="right" vertical="center" wrapText="1"/>
    </xf>
    <xf numFmtId="164" fontId="6" fillId="0" borderId="0" xfId="0" applyNumberFormat="1" applyFont="1" applyAlignment="1">
      <alignment vertical="center" wrapText="1"/>
    </xf>
    <xf numFmtId="0" fontId="8" fillId="0" borderId="0" xfId="0" applyFont="1" applyAlignment="1">
      <alignment horizontal="center" vertical="center" wrapText="1"/>
    </xf>
    <xf numFmtId="0" fontId="8" fillId="0" borderId="0" xfId="0" applyFont="1" applyAlignment="1">
      <alignment vertical="top" wrapText="1"/>
    </xf>
    <xf numFmtId="0" fontId="8" fillId="0" borderId="0" xfId="0" applyFont="1" applyAlignment="1">
      <alignment horizontal="center" wrapText="1"/>
    </xf>
    <xf numFmtId="0" fontId="9" fillId="0" borderId="0" xfId="0" applyFont="1" applyAlignment="1">
      <alignment horizontal="center" wrapText="1"/>
    </xf>
    <xf numFmtId="0" fontId="18" fillId="0" borderId="0" xfId="0" applyFont="1" applyAlignment="1">
      <alignment horizontal="center"/>
    </xf>
    <xf numFmtId="0" fontId="8" fillId="0" borderId="0" xfId="0" applyFont="1" applyAlignment="1">
      <alignment vertical="top"/>
    </xf>
    <xf numFmtId="0" fontId="6" fillId="6" borderId="1" xfId="0" applyFont="1" applyFill="1" applyBorder="1" applyAlignment="1">
      <alignment vertical="center" wrapText="1"/>
    </xf>
    <xf numFmtId="0" fontId="6" fillId="4" borderId="15" xfId="0" applyFont="1" applyFill="1" applyBorder="1" applyAlignment="1">
      <alignment vertical="center"/>
    </xf>
    <xf numFmtId="0" fontId="6" fillId="6" borderId="13" xfId="0" applyFont="1" applyFill="1" applyBorder="1" applyAlignment="1">
      <alignment vertical="center"/>
    </xf>
    <xf numFmtId="0" fontId="6" fillId="2" borderId="1" xfId="0" applyFont="1" applyFill="1" applyBorder="1"/>
    <xf numFmtId="0" fontId="6" fillId="2" borderId="1" xfId="0" applyFont="1" applyFill="1" applyBorder="1" applyAlignment="1">
      <alignment wrapText="1"/>
    </xf>
    <xf numFmtId="165" fontId="6" fillId="2" borderId="1" xfId="0" applyNumberFormat="1" applyFont="1" applyFill="1" applyBorder="1" applyAlignment="1">
      <alignment horizontal="left" vertical="center" wrapText="1"/>
    </xf>
    <xf numFmtId="14" fontId="6" fillId="6" borderId="1" xfId="0" applyNumberFormat="1" applyFont="1" applyFill="1" applyBorder="1" applyAlignment="1">
      <alignment vertical="center" wrapText="1"/>
    </xf>
    <xf numFmtId="165" fontId="6" fillId="6" borderId="1" xfId="0" applyNumberFormat="1" applyFont="1" applyFill="1" applyBorder="1" applyAlignment="1">
      <alignment vertical="center" wrapText="1"/>
    </xf>
    <xf numFmtId="0" fontId="6" fillId="7" borderId="1" xfId="0" applyFont="1" applyFill="1" applyBorder="1" applyAlignment="1">
      <alignment vertical="center" wrapText="1"/>
    </xf>
    <xf numFmtId="9" fontId="6" fillId="7" borderId="1" xfId="0" applyNumberFormat="1" applyFont="1" applyFill="1" applyBorder="1" applyAlignment="1">
      <alignment vertical="center" wrapText="1"/>
    </xf>
    <xf numFmtId="49" fontId="6" fillId="7" borderId="1" xfId="1" applyNumberFormat="1" applyFont="1" applyFill="1" applyBorder="1" applyAlignment="1">
      <alignment vertical="center" wrapText="1"/>
    </xf>
    <xf numFmtId="40" fontId="6" fillId="7" borderId="1" xfId="1" applyNumberFormat="1" applyFont="1" applyFill="1" applyBorder="1" applyAlignment="1">
      <alignment vertical="center" wrapText="1"/>
    </xf>
    <xf numFmtId="0" fontId="6" fillId="6" borderId="1" xfId="0" applyFont="1" applyFill="1" applyBorder="1" applyAlignment="1">
      <alignment horizontal="left" vertical="center"/>
    </xf>
    <xf numFmtId="0" fontId="6" fillId="6" borderId="1" xfId="0" applyFont="1" applyFill="1" applyBorder="1" applyAlignment="1">
      <alignment horizontal="left" vertical="center" wrapText="1"/>
    </xf>
    <xf numFmtId="0" fontId="7" fillId="2" borderId="1" xfId="0" applyFont="1" applyFill="1" applyBorder="1" applyAlignment="1">
      <alignment horizontal="center" vertical="center" wrapText="1"/>
    </xf>
    <xf numFmtId="49" fontId="6" fillId="4" borderId="1" xfId="0" applyNumberFormat="1" applyFont="1" applyFill="1" applyBorder="1" applyAlignment="1">
      <alignment horizontal="left" vertical="center" wrapText="1"/>
    </xf>
    <xf numFmtId="0" fontId="34" fillId="0" borderId="0" xfId="0" applyFont="1"/>
    <xf numFmtId="0" fontId="27" fillId="0" borderId="0" xfId="0" applyFont="1"/>
    <xf numFmtId="0" fontId="34" fillId="0" borderId="0" xfId="0" applyFont="1" applyAlignment="1">
      <alignment horizontal="right"/>
    </xf>
    <xf numFmtId="164" fontId="27" fillId="0" borderId="0" xfId="0" applyNumberFormat="1" applyFont="1"/>
    <xf numFmtId="166" fontId="27" fillId="0" borderId="0" xfId="0" applyNumberFormat="1" applyFont="1"/>
    <xf numFmtId="0" fontId="27" fillId="0" borderId="1" xfId="0" applyFont="1" applyBorder="1" applyAlignment="1">
      <alignment horizontal="center" vertical="center" wrapText="1"/>
    </xf>
    <xf numFmtId="0" fontId="27" fillId="0" borderId="0" xfId="0" applyFont="1" applyAlignment="1">
      <alignment horizontal="center" vertical="center" wrapText="1"/>
    </xf>
    <xf numFmtId="0" fontId="27" fillId="0" borderId="1" xfId="0" applyFont="1" applyBorder="1"/>
    <xf numFmtId="14" fontId="27" fillId="0" borderId="1" xfId="0" applyNumberFormat="1" applyFont="1" applyBorder="1"/>
    <xf numFmtId="167" fontId="27" fillId="0" borderId="0" xfId="0" applyNumberFormat="1" applyFont="1"/>
    <xf numFmtId="0" fontId="34" fillId="0" borderId="1" xfId="0" applyFont="1" applyBorder="1"/>
    <xf numFmtId="14" fontId="34" fillId="0" borderId="1" xfId="0" applyNumberFormat="1" applyFont="1" applyBorder="1"/>
    <xf numFmtId="43" fontId="34" fillId="0" borderId="1" xfId="1" applyFont="1" applyBorder="1"/>
    <xf numFmtId="14" fontId="27" fillId="0" borderId="0" xfId="0" applyNumberFormat="1" applyFont="1"/>
    <xf numFmtId="43" fontId="27" fillId="0" borderId="0" xfId="1" applyFont="1" applyBorder="1"/>
    <xf numFmtId="14" fontId="26" fillId="5" borderId="0" xfId="0" applyNumberFormat="1" applyFont="1" applyFill="1"/>
    <xf numFmtId="0" fontId="26" fillId="5" borderId="0" xfId="0" applyFont="1" applyFill="1"/>
    <xf numFmtId="0" fontId="26" fillId="0" borderId="0" xfId="0" applyFont="1"/>
    <xf numFmtId="168" fontId="37" fillId="5" borderId="0" xfId="0" applyNumberFormat="1" applyFont="1" applyFill="1"/>
    <xf numFmtId="0" fontId="26" fillId="4" borderId="0" xfId="0" applyFont="1" applyFill="1"/>
    <xf numFmtId="1" fontId="26" fillId="5" borderId="0" xfId="0" applyNumberFormat="1" applyFont="1" applyFill="1"/>
    <xf numFmtId="49" fontId="27" fillId="0" borderId="0" xfId="0" applyNumberFormat="1" applyFont="1" applyAlignment="1">
      <alignment horizontal="right"/>
    </xf>
    <xf numFmtId="0" fontId="38" fillId="0" borderId="0" xfId="0" applyFont="1" applyAlignment="1">
      <alignment vertical="center"/>
    </xf>
    <xf numFmtId="0" fontId="39" fillId="0" borderId="0" xfId="0" applyFont="1" applyAlignment="1">
      <alignment horizontal="right" vertical="center"/>
    </xf>
    <xf numFmtId="0" fontId="39" fillId="0" borderId="0" xfId="0" applyFont="1" applyAlignment="1">
      <alignment horizontal="right" vertical="center" wrapText="1"/>
    </xf>
    <xf numFmtId="43" fontId="14" fillId="0" borderId="1" xfId="1" applyFont="1" applyBorder="1" applyAlignment="1">
      <alignment horizontal="center" vertical="top" wrapText="1"/>
    </xf>
    <xf numFmtId="0" fontId="40" fillId="7" borderId="1" xfId="0" applyFont="1" applyFill="1" applyBorder="1"/>
    <xf numFmtId="0" fontId="40"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6" fillId="4" borderId="1" xfId="0" applyFont="1" applyFill="1" applyBorder="1"/>
    <xf numFmtId="0" fontId="40"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8" fillId="0" borderId="0" xfId="0" applyFont="1" applyAlignment="1">
      <alignment horizontal="right"/>
    </xf>
    <xf numFmtId="0" fontId="28" fillId="0" borderId="0" xfId="0" applyFont="1" applyAlignment="1">
      <alignment horizontal="justify"/>
    </xf>
    <xf numFmtId="0" fontId="28" fillId="0" borderId="0" xfId="0" applyFont="1" applyAlignment="1">
      <alignment horizontal="justify" vertical="center"/>
    </xf>
    <xf numFmtId="0" fontId="28" fillId="0" borderId="1" xfId="0" applyFont="1" applyBorder="1" applyAlignment="1">
      <alignment horizontal="justify"/>
    </xf>
    <xf numFmtId="0" fontId="28" fillId="0" borderId="0" xfId="0" applyFont="1" applyAlignment="1">
      <alignment horizontal="justify" vertical="center" wrapText="1"/>
    </xf>
    <xf numFmtId="0" fontId="28" fillId="0" borderId="0" xfId="0" applyFont="1" applyAlignment="1">
      <alignment horizontal="left"/>
    </xf>
    <xf numFmtId="0" fontId="28" fillId="0" borderId="11" xfId="0" applyFont="1" applyBorder="1" applyAlignment="1">
      <alignment horizontal="center"/>
    </xf>
    <xf numFmtId="0" fontId="28" fillId="0" borderId="0" xfId="0" applyFont="1" applyAlignment="1">
      <alignment horizontal="center"/>
    </xf>
    <xf numFmtId="0" fontId="6" fillId="3" borderId="1" xfId="0" applyFont="1" applyFill="1" applyBorder="1" applyAlignment="1">
      <alignment horizontal="center" vertical="center" wrapText="1"/>
    </xf>
    <xf numFmtId="0" fontId="14" fillId="0" borderId="0" xfId="0" applyFont="1" applyAlignment="1">
      <alignment vertical="top"/>
    </xf>
    <xf numFmtId="14" fontId="6" fillId="0" borderId="1" xfId="0" applyNumberFormat="1" applyFont="1" applyBorder="1"/>
    <xf numFmtId="0" fontId="30" fillId="0" borderId="0" xfId="0" applyFont="1" applyAlignment="1">
      <alignment horizontal="justify" vertical="top" wrapText="1"/>
    </xf>
    <xf numFmtId="0" fontId="15" fillId="0" borderId="0" xfId="0" applyFont="1" applyAlignment="1">
      <alignment horizontal="left" vertical="center" wrapText="1"/>
    </xf>
    <xf numFmtId="0" fontId="15" fillId="0" borderId="0" xfId="0" applyFont="1" applyAlignment="1">
      <alignment horizontal="right" vertical="center" wrapText="1"/>
    </xf>
    <xf numFmtId="0" fontId="0" fillId="0" borderId="0" xfId="0" applyAlignment="1">
      <alignment horizontal="left" vertical="center"/>
    </xf>
    <xf numFmtId="0" fontId="14" fillId="0" borderId="0" xfId="0" applyFont="1" applyAlignment="1">
      <alignment horizontal="left" vertical="center" wrapText="1"/>
    </xf>
    <xf numFmtId="14" fontId="6" fillId="4" borderId="1" xfId="0" applyNumberFormat="1" applyFont="1" applyFill="1" applyBorder="1" applyAlignment="1">
      <alignment vertical="center" wrapText="1"/>
    </xf>
    <xf numFmtId="0" fontId="14" fillId="0" borderId="0" xfId="0" applyFont="1" applyAlignment="1">
      <alignment horizontal="right"/>
    </xf>
    <xf numFmtId="0" fontId="7" fillId="6" borderId="1" xfId="0" applyFont="1" applyFill="1" applyBorder="1" applyAlignment="1">
      <alignment horizontal="left" vertical="center" wrapText="1"/>
    </xf>
    <xf numFmtId="0" fontId="7" fillId="6" borderId="1" xfId="0" applyFont="1" applyFill="1" applyBorder="1" applyAlignment="1">
      <alignment vertical="center" wrapText="1"/>
    </xf>
    <xf numFmtId="0" fontId="10" fillId="4" borderId="1" xfId="0" applyFont="1" applyFill="1" applyBorder="1" applyAlignment="1">
      <alignment horizontal="center" vertical="center" wrapText="1"/>
    </xf>
    <xf numFmtId="0" fontId="17" fillId="0" borderId="0" xfId="0" applyFont="1" applyAlignment="1">
      <alignment wrapText="1"/>
    </xf>
    <xf numFmtId="165" fontId="17" fillId="0" borderId="0" xfId="0" applyNumberFormat="1" applyFont="1"/>
    <xf numFmtId="0" fontId="16" fillId="0" borderId="0" xfId="0" applyFont="1" applyAlignment="1">
      <alignment vertical="center" wrapText="1"/>
    </xf>
    <xf numFmtId="0" fontId="16" fillId="0" borderId="0" xfId="0" applyFont="1" applyAlignment="1">
      <alignment horizontal="left"/>
    </xf>
    <xf numFmtId="0" fontId="9" fillId="0" borderId="0" xfId="0" applyFont="1" applyAlignment="1">
      <alignment horizontal="left"/>
    </xf>
    <xf numFmtId="14" fontId="10" fillId="4" borderId="1" xfId="0" applyNumberFormat="1" applyFont="1" applyFill="1" applyBorder="1" applyAlignment="1">
      <alignment horizontal="center" vertical="center" wrapText="1"/>
    </xf>
    <xf numFmtId="0" fontId="6" fillId="4" borderId="3" xfId="0" applyFont="1" applyFill="1" applyBorder="1" applyAlignment="1">
      <alignment vertical="center" wrapText="1"/>
    </xf>
    <xf numFmtId="49" fontId="10" fillId="4" borderId="1" xfId="0" applyNumberFormat="1" applyFont="1" applyFill="1" applyBorder="1" applyAlignment="1">
      <alignment horizontal="center" vertical="center" wrapText="1"/>
    </xf>
    <xf numFmtId="164" fontId="6" fillId="4" borderId="1" xfId="0" applyNumberFormat="1" applyFont="1" applyFill="1" applyBorder="1" applyAlignment="1">
      <alignment vertical="center" wrapText="1"/>
    </xf>
    <xf numFmtId="0" fontId="17" fillId="0" borderId="0" xfId="0" applyFont="1" applyAlignment="1">
      <alignment horizontal="center" vertical="top" wrapText="1"/>
    </xf>
    <xf numFmtId="0" fontId="42" fillId="2" borderId="1" xfId="0" applyFont="1" applyFill="1" applyBorder="1" applyAlignment="1">
      <alignment vertical="center" wrapText="1"/>
    </xf>
    <xf numFmtId="0" fontId="6" fillId="9" borderId="1" xfId="0" applyFont="1" applyFill="1" applyBorder="1" applyAlignment="1">
      <alignment vertical="center" wrapText="1"/>
    </xf>
    <xf numFmtId="0" fontId="6" fillId="3" borderId="1" xfId="0" applyFont="1" applyFill="1" applyBorder="1" applyAlignment="1">
      <alignment horizontal="center" vertical="center"/>
    </xf>
    <xf numFmtId="0" fontId="4" fillId="0" borderId="0" xfId="0" applyFont="1"/>
    <xf numFmtId="0" fontId="43" fillId="0" borderId="0" xfId="0" applyFont="1" applyAlignment="1">
      <alignment vertical="center"/>
    </xf>
    <xf numFmtId="0" fontId="44" fillId="0" borderId="0" xfId="0" applyFont="1" applyAlignment="1">
      <alignment wrapText="1"/>
    </xf>
    <xf numFmtId="0" fontId="8" fillId="0" borderId="0" xfId="0" applyFont="1" applyAlignment="1">
      <alignment wrapText="1"/>
    </xf>
    <xf numFmtId="0" fontId="46" fillId="0" borderId="0" xfId="0" applyFont="1"/>
    <xf numFmtId="0" fontId="47" fillId="0" borderId="0" xfId="0" applyFont="1"/>
    <xf numFmtId="0" fontId="9" fillId="0" borderId="0" xfId="0" applyFont="1" applyAlignment="1">
      <alignment horizontal="left" vertical="center" wrapText="1"/>
    </xf>
    <xf numFmtId="0" fontId="8" fillId="0" borderId="0" xfId="0" applyFont="1" applyAlignment="1">
      <alignment horizontal="left" vertical="top" wrapText="1"/>
    </xf>
    <xf numFmtId="0" fontId="32" fillId="0" borderId="0" xfId="0" applyFont="1" applyAlignment="1">
      <alignment horizontal="left"/>
    </xf>
    <xf numFmtId="0" fontId="9" fillId="0" borderId="0" xfId="0" applyFont="1" applyAlignment="1">
      <alignment horizontal="left" vertical="top" wrapText="1"/>
    </xf>
    <xf numFmtId="49" fontId="8" fillId="0" borderId="0" xfId="0" applyNumberFormat="1" applyFont="1" applyAlignment="1">
      <alignment horizontal="left" vertical="top" wrapText="1"/>
    </xf>
    <xf numFmtId="0" fontId="45" fillId="0" borderId="0" xfId="0" applyFont="1" applyAlignment="1">
      <alignment vertical="top" wrapText="1"/>
    </xf>
    <xf numFmtId="0" fontId="45" fillId="0" borderId="4" xfId="0" applyFont="1" applyBorder="1" applyAlignment="1">
      <alignment vertical="top" wrapText="1"/>
    </xf>
    <xf numFmtId="0" fontId="45" fillId="0" borderId="18" xfId="0" applyFont="1" applyBorder="1" applyAlignment="1">
      <alignment vertical="top" wrapText="1"/>
    </xf>
    <xf numFmtId="0" fontId="30" fillId="0" borderId="18" xfId="0" applyFont="1" applyBorder="1" applyAlignment="1">
      <alignment horizontal="justify" vertical="top" wrapText="1"/>
    </xf>
    <xf numFmtId="0" fontId="6" fillId="5" borderId="1" xfId="0" applyFont="1" applyFill="1" applyBorder="1" applyAlignment="1">
      <alignment vertical="center" wrapText="1"/>
    </xf>
    <xf numFmtId="0" fontId="14" fillId="0" borderId="0" xfId="0" applyFont="1" applyAlignment="1">
      <alignment horizontal="left"/>
    </xf>
    <xf numFmtId="0" fontId="9" fillId="0" borderId="0" xfId="0" applyFont="1" applyAlignment="1">
      <alignment horizontal="right" wrapText="1"/>
    </xf>
    <xf numFmtId="14" fontId="6" fillId="3" borderId="1" xfId="0" applyNumberFormat="1" applyFont="1" applyFill="1" applyBorder="1" applyAlignment="1">
      <alignment horizontal="center" vertical="center" wrapText="1"/>
    </xf>
    <xf numFmtId="0" fontId="49" fillId="2" borderId="1" xfId="0" applyFont="1" applyFill="1" applyBorder="1" applyAlignment="1">
      <alignment horizontal="left" vertical="center" wrapText="1"/>
    </xf>
    <xf numFmtId="0" fontId="49" fillId="2" borderId="1" xfId="0" applyFont="1" applyFill="1" applyBorder="1" applyAlignment="1">
      <alignment vertical="center" wrapText="1"/>
    </xf>
    <xf numFmtId="0" fontId="8" fillId="0" borderId="0" xfId="0" applyFont="1" applyAlignment="1">
      <alignment horizontal="center"/>
    </xf>
    <xf numFmtId="0" fontId="29" fillId="4" borderId="1" xfId="0" applyFont="1" applyFill="1" applyBorder="1" applyAlignment="1">
      <alignment vertical="center" wrapText="1"/>
    </xf>
    <xf numFmtId="0" fontId="50" fillId="4" borderId="1" xfId="0" applyFont="1" applyFill="1" applyBorder="1" applyAlignment="1">
      <alignment vertical="center" wrapText="1"/>
    </xf>
    <xf numFmtId="0" fontId="52" fillId="4" borderId="1" xfId="0" applyFont="1" applyFill="1" applyBorder="1" applyAlignment="1">
      <alignment vertical="center" wrapText="1"/>
    </xf>
    <xf numFmtId="0" fontId="51" fillId="2" borderId="1" xfId="0" applyFont="1" applyFill="1" applyBorder="1" applyAlignment="1">
      <alignment vertical="center" wrapText="1"/>
    </xf>
    <xf numFmtId="0" fontId="9" fillId="0" borderId="0" xfId="0" applyFont="1" applyAlignment="1">
      <alignment wrapText="1"/>
    </xf>
    <xf numFmtId="0" fontId="49" fillId="10" borderId="2" xfId="0" applyFont="1" applyFill="1" applyBorder="1" applyAlignment="1">
      <alignment horizontal="left" vertical="center" wrapText="1"/>
    </xf>
    <xf numFmtId="0" fontId="49" fillId="10" borderId="24" xfId="0" applyFont="1" applyFill="1" applyBorder="1" applyAlignment="1">
      <alignment horizontal="left" vertical="center" wrapText="1"/>
    </xf>
    <xf numFmtId="43" fontId="52" fillId="4" borderId="1" xfId="1" applyFont="1" applyFill="1" applyBorder="1" applyAlignment="1">
      <alignment vertical="center" wrapText="1"/>
    </xf>
    <xf numFmtId="0" fontId="8" fillId="5" borderId="0" xfId="0" applyFont="1" applyFill="1" applyAlignment="1">
      <alignment horizontal="center" wrapText="1"/>
    </xf>
    <xf numFmtId="49" fontId="6" fillId="0" borderId="1" xfId="0" applyNumberFormat="1" applyFont="1" applyBorder="1"/>
    <xf numFmtId="0" fontId="14" fillId="11" borderId="0" xfId="0" applyFont="1" applyFill="1"/>
    <xf numFmtId="0" fontId="7" fillId="0" borderId="0" xfId="0" applyFont="1"/>
    <xf numFmtId="0" fontId="6" fillId="10" borderId="0" xfId="0" applyFont="1" applyFill="1"/>
    <xf numFmtId="164" fontId="6" fillId="10" borderId="3" xfId="0" applyNumberFormat="1" applyFont="1" applyFill="1" applyBorder="1" applyAlignment="1">
      <alignment horizontal="left" vertical="top" wrapText="1"/>
    </xf>
    <xf numFmtId="14" fontId="6" fillId="10" borderId="0" xfId="0" applyNumberFormat="1" applyFont="1" applyFill="1"/>
    <xf numFmtId="0" fontId="55" fillId="10" borderId="16" xfId="0" applyFont="1" applyFill="1" applyBorder="1"/>
    <xf numFmtId="168" fontId="7" fillId="10" borderId="0" xfId="0" applyNumberFormat="1" applyFont="1" applyFill="1"/>
    <xf numFmtId="0" fontId="6" fillId="10" borderId="19" xfId="0" applyFont="1" applyFill="1" applyBorder="1"/>
    <xf numFmtId="0" fontId="6" fillId="10" borderId="20" xfId="0" applyFont="1" applyFill="1" applyBorder="1"/>
    <xf numFmtId="0" fontId="25" fillId="0" borderId="0" xfId="0" applyFont="1" applyAlignment="1">
      <alignment horizontal="left" vertical="top" wrapText="1"/>
    </xf>
    <xf numFmtId="0" fontId="7" fillId="0" borderId="0" xfId="0" applyFont="1" applyAlignment="1">
      <alignment wrapText="1"/>
    </xf>
    <xf numFmtId="0" fontId="7" fillId="10" borderId="0" xfId="0" applyFont="1" applyFill="1" applyAlignment="1">
      <alignment vertical="center" wrapText="1"/>
    </xf>
    <xf numFmtId="49" fontId="6" fillId="10" borderId="0" xfId="0" applyNumberFormat="1" applyFont="1" applyFill="1"/>
    <xf numFmtId="0" fontId="6" fillId="10" borderId="0" xfId="0" applyFont="1" applyFill="1" applyAlignment="1">
      <alignment vertical="center" wrapText="1"/>
    </xf>
    <xf numFmtId="49" fontId="29" fillId="4" borderId="1" xfId="0" applyNumberFormat="1" applyFont="1" applyFill="1" applyBorder="1" applyAlignment="1">
      <alignment vertical="center" wrapText="1"/>
    </xf>
    <xf numFmtId="11" fontId="6" fillId="4" borderId="1" xfId="0" applyNumberFormat="1" applyFont="1" applyFill="1" applyBorder="1" applyAlignment="1">
      <alignment vertical="center" wrapText="1"/>
    </xf>
    <xf numFmtId="0" fontId="6" fillId="4" borderId="1" xfId="0" applyFont="1" applyFill="1" applyBorder="1" applyAlignment="1">
      <alignment horizontal="left" vertical="center" wrapText="1"/>
    </xf>
    <xf numFmtId="14" fontId="10" fillId="2" borderId="1" xfId="0" applyNumberFormat="1" applyFont="1" applyFill="1" applyBorder="1" applyAlignment="1">
      <alignment horizontal="center" vertical="center" wrapText="1"/>
    </xf>
    <xf numFmtId="14" fontId="6" fillId="4" borderId="1" xfId="0" applyNumberFormat="1" applyFont="1" applyFill="1" applyBorder="1" applyAlignment="1">
      <alignment horizontal="left" vertical="center" wrapText="1"/>
    </xf>
    <xf numFmtId="43" fontId="6" fillId="10" borderId="0" xfId="0" applyNumberFormat="1" applyFont="1" applyFill="1"/>
    <xf numFmtId="0" fontId="29" fillId="10" borderId="0" xfId="0" applyFont="1" applyFill="1"/>
    <xf numFmtId="10" fontId="29" fillId="10" borderId="0" xfId="287" applyNumberFormat="1" applyFont="1" applyFill="1" applyAlignment="1">
      <alignment horizontal="center"/>
    </xf>
    <xf numFmtId="0" fontId="29" fillId="10" borderId="0" xfId="0" applyFont="1" applyFill="1" applyAlignment="1">
      <alignment horizontal="center"/>
    </xf>
    <xf numFmtId="0" fontId="7" fillId="2" borderId="13" xfId="0" applyFont="1" applyFill="1" applyBorder="1" applyAlignment="1">
      <alignment vertical="center" wrapText="1"/>
    </xf>
    <xf numFmtId="0" fontId="6" fillId="0" borderId="13" xfId="0" applyFont="1" applyBorder="1" applyAlignment="1">
      <alignment vertical="center" wrapText="1"/>
    </xf>
    <xf numFmtId="0" fontId="48" fillId="12" borderId="25" xfId="0" applyFont="1" applyFill="1" applyBorder="1" applyAlignment="1">
      <alignment vertical="center" wrapText="1"/>
    </xf>
    <xf numFmtId="0" fontId="6" fillId="12" borderId="26" xfId="0" applyFont="1" applyFill="1" applyBorder="1" applyAlignment="1">
      <alignment vertical="center" wrapText="1"/>
    </xf>
    <xf numFmtId="0" fontId="48" fillId="12" borderId="27" xfId="0" applyFont="1" applyFill="1" applyBorder="1" applyAlignment="1">
      <alignment vertical="center" wrapText="1"/>
    </xf>
    <xf numFmtId="43" fontId="6" fillId="12" borderId="28" xfId="1" applyFont="1" applyFill="1" applyBorder="1" applyAlignment="1">
      <alignment vertical="center" wrapText="1"/>
    </xf>
    <xf numFmtId="0" fontId="7" fillId="12" borderId="29" xfId="0" applyFont="1" applyFill="1" applyBorder="1" applyAlignment="1">
      <alignment vertical="center" wrapText="1"/>
    </xf>
    <xf numFmtId="43" fontId="6" fillId="12" borderId="30" xfId="1" applyFont="1" applyFill="1" applyBorder="1" applyAlignment="1">
      <alignment vertical="center" wrapText="1"/>
    </xf>
    <xf numFmtId="0" fontId="6" fillId="0" borderId="1" xfId="0" applyFont="1" applyBorder="1" applyAlignment="1">
      <alignment vertical="center" wrapText="1"/>
    </xf>
    <xf numFmtId="0" fontId="7" fillId="2" borderId="1" xfId="0" applyFont="1" applyFill="1" applyBorder="1" applyAlignment="1">
      <alignment vertical="center" wrapText="1"/>
    </xf>
    <xf numFmtId="0" fontId="6" fillId="0" borderId="1" xfId="0" applyFont="1" applyBorder="1" applyAlignment="1">
      <alignment vertical="center" wrapText="1"/>
    </xf>
    <xf numFmtId="0" fontId="7" fillId="2" borderId="1" xfId="0" applyFont="1" applyFill="1" applyBorder="1" applyAlignment="1">
      <alignment vertical="center" wrapText="1"/>
    </xf>
    <xf numFmtId="0" fontId="15" fillId="0" borderId="0" xfId="0" applyFont="1" applyAlignment="1">
      <alignment horizontal="left"/>
    </xf>
    <xf numFmtId="0" fontId="14" fillId="0" borderId="0" xfId="0" applyFont="1" applyAlignment="1">
      <alignment horizontal="left" vertical="center" wrapText="1"/>
    </xf>
    <xf numFmtId="0" fontId="15" fillId="0" borderId="0" xfId="0" applyFont="1" applyAlignment="1">
      <alignment horizontal="center" vertical="center" wrapText="1"/>
    </xf>
    <xf numFmtId="0" fontId="14" fillId="0" borderId="0" xfId="0" applyFont="1" applyAlignment="1">
      <alignment horizontal="justify" vertical="top" wrapText="1"/>
    </xf>
    <xf numFmtId="0" fontId="14" fillId="0" borderId="0" xfId="0" applyFont="1" applyAlignment="1">
      <alignment horizontal="left" vertical="top" wrapText="1"/>
    </xf>
    <xf numFmtId="0" fontId="34" fillId="0" borderId="0" xfId="0" applyFont="1" applyAlignment="1">
      <alignment horizontal="center" vertical="center" wrapText="1"/>
    </xf>
    <xf numFmtId="0" fontId="45" fillId="0" borderId="0" xfId="0" applyFont="1" applyAlignment="1">
      <alignment horizontal="justify" vertical="top" wrapText="1"/>
    </xf>
    <xf numFmtId="0" fontId="15" fillId="0" borderId="0" xfId="0" applyFont="1" applyAlignment="1">
      <alignment horizontal="left" wrapText="1"/>
    </xf>
    <xf numFmtId="0" fontId="34" fillId="0" borderId="0" xfId="0" applyFont="1" applyAlignment="1">
      <alignment horizontal="right"/>
    </xf>
    <xf numFmtId="0" fontId="34" fillId="0" borderId="0" xfId="0" applyFont="1" applyAlignment="1">
      <alignment horizontal="center"/>
    </xf>
    <xf numFmtId="0" fontId="27" fillId="0" borderId="1" xfId="0" applyFont="1" applyBorder="1" applyAlignment="1">
      <alignment horizontal="center" vertical="center"/>
    </xf>
    <xf numFmtId="0" fontId="27" fillId="0" borderId="1" xfId="0" applyFont="1" applyBorder="1" applyAlignment="1">
      <alignment horizontal="center" vertical="center" wrapText="1"/>
    </xf>
    <xf numFmtId="0" fontId="27" fillId="0" borderId="1" xfId="0" applyFont="1" applyBorder="1" applyAlignment="1">
      <alignment horizontal="center"/>
    </xf>
    <xf numFmtId="0" fontId="27" fillId="0" borderId="0" xfId="0" applyFont="1" applyAlignment="1">
      <alignment horizontal="center" vertical="top" wrapText="1"/>
    </xf>
    <xf numFmtId="0" fontId="27" fillId="0" borderId="0" xfId="0" applyFont="1" applyAlignment="1">
      <alignment horizontal="justify" vertical="top" wrapText="1"/>
    </xf>
    <xf numFmtId="0" fontId="35" fillId="0" borderId="0" xfId="0" applyFont="1" applyAlignment="1">
      <alignment horizontal="center" vertical="center" wrapText="1"/>
    </xf>
    <xf numFmtId="0" fontId="34" fillId="0" borderId="0" xfId="0" applyFont="1" applyAlignment="1">
      <alignment horizontal="center" wrapText="1"/>
    </xf>
    <xf numFmtId="0" fontId="34" fillId="0" borderId="0" xfId="0" applyFont="1" applyAlignment="1">
      <alignment horizontal="center" vertical="top" wrapText="1"/>
    </xf>
    <xf numFmtId="0" fontId="27" fillId="0" borderId="0" xfId="0" applyFont="1" applyAlignment="1">
      <alignment horizontal="center"/>
    </xf>
    <xf numFmtId="0" fontId="27" fillId="0" borderId="0" xfId="0" applyFont="1" applyAlignment="1">
      <alignment horizontal="left" wrapText="1"/>
    </xf>
    <xf numFmtId="0" fontId="36" fillId="0" borderId="0" xfId="0" applyFont="1" applyAlignment="1">
      <alignment horizontal="center" vertical="top" wrapText="1"/>
    </xf>
    <xf numFmtId="0" fontId="27" fillId="0" borderId="0" xfId="0" applyFont="1" applyAlignment="1">
      <alignment horizontal="center" wrapText="1"/>
    </xf>
    <xf numFmtId="0" fontId="7" fillId="2" borderId="1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15" fillId="0" borderId="0" xfId="0" applyFont="1" applyAlignment="1">
      <alignment horizontal="right"/>
    </xf>
    <xf numFmtId="0" fontId="15" fillId="0" borderId="0" xfId="0" applyFont="1" applyAlignment="1">
      <alignment horizontal="center"/>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0" borderId="1" xfId="0" applyFont="1" applyBorder="1" applyAlignment="1">
      <alignment horizontal="center"/>
    </xf>
    <xf numFmtId="0" fontId="14" fillId="0" borderId="0" xfId="0" applyFont="1" applyAlignment="1">
      <alignment horizontal="center" vertical="top" wrapText="1"/>
    </xf>
    <xf numFmtId="0" fontId="20" fillId="0" borderId="0" xfId="0" applyFont="1" applyAlignment="1">
      <alignment horizontal="center" vertical="center" wrapText="1"/>
    </xf>
    <xf numFmtId="0" fontId="15" fillId="0" borderId="0" xfId="0" applyFont="1" applyAlignment="1">
      <alignment horizontal="center" wrapText="1"/>
    </xf>
    <xf numFmtId="0" fontId="15" fillId="0" borderId="0" xfId="0" applyFont="1" applyAlignment="1">
      <alignment horizontal="center" vertical="top" wrapText="1"/>
    </xf>
    <xf numFmtId="0" fontId="14" fillId="0" borderId="0" xfId="0" applyFont="1" applyAlignment="1">
      <alignment horizontal="center"/>
    </xf>
    <xf numFmtId="0" fontId="14" fillId="0" borderId="0" xfId="0" applyFont="1" applyAlignment="1">
      <alignment horizontal="left" wrapText="1"/>
    </xf>
    <xf numFmtId="0" fontId="19" fillId="0" borderId="0" xfId="0" applyFont="1" applyAlignment="1">
      <alignment horizontal="center" vertical="top" wrapText="1"/>
    </xf>
    <xf numFmtId="0" fontId="14" fillId="0" borderId="0" xfId="0" applyFont="1" applyAlignment="1">
      <alignment horizontal="center" wrapText="1"/>
    </xf>
    <xf numFmtId="0" fontId="17" fillId="0" borderId="0" xfId="0" applyFont="1" applyAlignment="1">
      <alignment horizontal="justify" vertical="top" wrapText="1"/>
    </xf>
    <xf numFmtId="0" fontId="17" fillId="0" borderId="0" xfId="0" applyFont="1" applyAlignment="1">
      <alignment horizontal="center" vertical="top" wrapText="1"/>
    </xf>
    <xf numFmtId="0" fontId="17" fillId="0" borderId="4" xfId="0" applyFont="1" applyBorder="1" applyAlignment="1">
      <alignment horizontal="center" vertical="top" wrapText="1"/>
    </xf>
    <xf numFmtId="49" fontId="17" fillId="0" borderId="0" xfId="0" applyNumberFormat="1" applyFont="1" applyAlignment="1">
      <alignment horizontal="center" vertical="center" wrapText="1"/>
    </xf>
    <xf numFmtId="0" fontId="16" fillId="0" borderId="0" xfId="0" applyFont="1" applyAlignment="1">
      <alignment horizontal="center" vertical="top" wrapText="1"/>
    </xf>
    <xf numFmtId="0" fontId="17" fillId="0" borderId="0" xfId="0" applyFont="1" applyAlignment="1">
      <alignment horizontal="left" vertical="top" wrapText="1"/>
    </xf>
    <xf numFmtId="0" fontId="28" fillId="0" borderId="0" xfId="0" applyFont="1" applyAlignment="1">
      <alignment horizontal="center"/>
    </xf>
    <xf numFmtId="0" fontId="28" fillId="0" borderId="3" xfId="0" applyFont="1" applyBorder="1" applyAlignment="1">
      <alignment horizontal="justify" vertical="center" wrapText="1"/>
    </xf>
    <xf numFmtId="0" fontId="28" fillId="0" borderId="18" xfId="0" applyFont="1" applyBorder="1" applyAlignment="1">
      <alignment horizontal="justify" vertical="center" wrapText="1"/>
    </xf>
    <xf numFmtId="0" fontId="28" fillId="0" borderId="2" xfId="0" applyFont="1" applyBorder="1" applyAlignment="1">
      <alignment horizontal="justify" vertical="center" wrapText="1"/>
    </xf>
    <xf numFmtId="0" fontId="28" fillId="0" borderId="3" xfId="0" applyFont="1" applyBorder="1" applyAlignment="1">
      <alignment horizontal="justify" vertical="center"/>
    </xf>
    <xf numFmtId="0" fontId="28" fillId="0" borderId="2" xfId="0" applyFont="1" applyBorder="1" applyAlignment="1">
      <alignment horizontal="justify" vertical="center"/>
    </xf>
    <xf numFmtId="0" fontId="28" fillId="0" borderId="21" xfId="0" applyFont="1" applyBorder="1" applyAlignment="1">
      <alignment horizontal="justify" vertical="center"/>
    </xf>
    <xf numFmtId="0" fontId="28" fillId="0" borderId="17" xfId="0" applyFont="1" applyBorder="1" applyAlignment="1">
      <alignment horizontal="justify" vertical="center"/>
    </xf>
    <xf numFmtId="0" fontId="28" fillId="0" borderId="22" xfId="0" applyFont="1" applyBorder="1" applyAlignment="1">
      <alignment horizontal="justify" vertical="center"/>
    </xf>
    <xf numFmtId="0" fontId="28" fillId="0" borderId="20" xfId="0" applyFont="1" applyBorder="1" applyAlignment="1">
      <alignment horizontal="justify" vertical="center"/>
    </xf>
    <xf numFmtId="0" fontId="28" fillId="0" borderId="4" xfId="0" applyFont="1" applyBorder="1" applyAlignment="1">
      <alignment horizontal="justify" vertical="center"/>
    </xf>
    <xf numFmtId="0" fontId="28" fillId="0" borderId="23" xfId="0" applyFont="1" applyBorder="1" applyAlignment="1">
      <alignment horizontal="justify" vertical="center"/>
    </xf>
    <xf numFmtId="0" fontId="28" fillId="0" borderId="1" xfId="0" applyFont="1" applyBorder="1" applyAlignment="1">
      <alignment horizontal="justify" vertical="center" wrapText="1"/>
    </xf>
    <xf numFmtId="0" fontId="28" fillId="0" borderId="17" xfId="0" applyFont="1" applyBorder="1" applyAlignment="1">
      <alignment horizontal="justify" vertical="center" wrapText="1"/>
    </xf>
    <xf numFmtId="0" fontId="28" fillId="0" borderId="11" xfId="0" applyFont="1" applyBorder="1" applyAlignment="1">
      <alignment horizontal="justify"/>
    </xf>
    <xf numFmtId="0" fontId="28" fillId="0" borderId="0" xfId="0" applyFont="1" applyAlignment="1">
      <alignment horizontal="justify" vertical="center" wrapText="1"/>
    </xf>
    <xf numFmtId="0" fontId="8" fillId="0" borderId="0" xfId="0" applyFont="1" applyAlignment="1">
      <alignment horizontal="justify" wrapText="1"/>
    </xf>
    <xf numFmtId="0" fontId="9" fillId="0" borderId="0" xfId="0" applyFont="1" applyAlignment="1">
      <alignment horizontal="left" vertical="center" wrapText="1"/>
    </xf>
    <xf numFmtId="0" fontId="8" fillId="0" borderId="0" xfId="0" applyFont="1" applyAlignment="1">
      <alignment horizontal="justify" vertical="top" wrapText="1"/>
    </xf>
    <xf numFmtId="0" fontId="8" fillId="0" borderId="0" xfId="0" applyFont="1" applyAlignment="1">
      <alignment horizontal="left" vertical="top" wrapText="1"/>
    </xf>
    <xf numFmtId="0" fontId="9" fillId="0" borderId="0" xfId="0" applyFont="1" applyAlignment="1">
      <alignment horizontal="center"/>
    </xf>
    <xf numFmtId="0" fontId="9" fillId="0" borderId="0" xfId="0" applyFont="1" applyAlignment="1">
      <alignment horizontal="right" vertical="top" wrapText="1"/>
    </xf>
    <xf numFmtId="0" fontId="14" fillId="0" borderId="0" xfId="0" applyFont="1" applyAlignment="1">
      <alignment horizontal="center" vertical="center"/>
    </xf>
    <xf numFmtId="49" fontId="14" fillId="0" borderId="0" xfId="0" applyNumberFormat="1" applyFont="1" applyAlignment="1">
      <alignment horizontal="justify" vertical="top" wrapText="1"/>
    </xf>
    <xf numFmtId="0" fontId="9" fillId="0" borderId="0" xfId="0" applyFont="1" applyAlignment="1">
      <alignment horizontal="left" wrapText="1"/>
    </xf>
    <xf numFmtId="0" fontId="9" fillId="0" borderId="0" xfId="0" applyFont="1" applyAlignment="1">
      <alignment horizontal="center" wrapText="1"/>
    </xf>
    <xf numFmtId="0" fontId="9" fillId="0" borderId="0" xfId="0" applyFont="1" applyAlignment="1">
      <alignment horizontal="center" vertical="center" wrapText="1"/>
    </xf>
    <xf numFmtId="49" fontId="8" fillId="0" borderId="0" xfId="0" applyNumberFormat="1" applyFont="1" applyAlignment="1">
      <alignment horizontal="left" vertical="top" wrapText="1"/>
    </xf>
    <xf numFmtId="0" fontId="32" fillId="0" borderId="0" xfId="0" applyFont="1" applyAlignment="1">
      <alignment horizontal="left"/>
    </xf>
    <xf numFmtId="0" fontId="9" fillId="0" borderId="0" xfId="0" applyFont="1" applyAlignment="1">
      <alignment horizontal="center" vertical="top" wrapText="1"/>
    </xf>
    <xf numFmtId="0" fontId="8" fillId="0" borderId="0" xfId="0" applyFont="1" applyAlignment="1">
      <alignment vertical="top" wrapText="1"/>
    </xf>
    <xf numFmtId="0" fontId="28" fillId="0" borderId="0" xfId="0" applyFont="1" applyAlignment="1">
      <alignment horizontal="left" vertical="top" wrapText="1"/>
    </xf>
    <xf numFmtId="0" fontId="28" fillId="5" borderId="0" xfId="0" applyFont="1" applyFill="1" applyAlignment="1">
      <alignment horizontal="left" vertical="top" wrapText="1"/>
    </xf>
    <xf numFmtId="0" fontId="32" fillId="0" borderId="0" xfId="0" applyFont="1" applyAlignment="1">
      <alignment horizontal="center" vertical="top" wrapText="1"/>
    </xf>
    <xf numFmtId="0" fontId="9" fillId="0" borderId="0" xfId="0" applyFont="1" applyAlignment="1">
      <alignment horizontal="center" vertical="center"/>
    </xf>
    <xf numFmtId="0" fontId="8" fillId="0" borderId="0" xfId="0" applyFont="1" applyAlignment="1">
      <alignment horizontal="left" wrapText="1"/>
    </xf>
    <xf numFmtId="0" fontId="15" fillId="0" borderId="0" xfId="0" applyFont="1" applyAlignment="1">
      <alignment horizontal="right" vertical="center" wrapText="1"/>
    </xf>
    <xf numFmtId="0" fontId="53" fillId="0" borderId="0" xfId="0" applyFont="1" applyAlignment="1">
      <alignment horizontal="center" wrapText="1"/>
    </xf>
    <xf numFmtId="0" fontId="15" fillId="0" borderId="0" xfId="0" applyFont="1" applyAlignment="1">
      <alignment horizontal="left" vertical="top" wrapText="1"/>
    </xf>
    <xf numFmtId="0" fontId="8" fillId="0" borderId="0" xfId="0" applyFont="1" applyAlignment="1">
      <alignment horizontal="left" vertical="center" wrapText="1"/>
    </xf>
    <xf numFmtId="0" fontId="14" fillId="0" borderId="13" xfId="0" applyFont="1" applyBorder="1" applyAlignment="1">
      <alignment horizontal="center" vertical="center" wrapText="1"/>
    </xf>
    <xf numFmtId="0" fontId="14" fillId="0" borderId="14" xfId="0" applyFont="1" applyBorder="1" applyAlignment="1">
      <alignment horizontal="center" vertical="center" wrapText="1"/>
    </xf>
    <xf numFmtId="0" fontId="14" fillId="0" borderId="15" xfId="0" applyFont="1" applyBorder="1" applyAlignment="1">
      <alignment horizontal="center" vertical="center" wrapText="1"/>
    </xf>
    <xf numFmtId="0" fontId="25" fillId="0" borderId="0" xfId="0" applyFont="1" applyAlignment="1">
      <alignment horizontal="right" vertical="top" wrapText="1"/>
    </xf>
    <xf numFmtId="0" fontId="27" fillId="0" borderId="0" xfId="0" applyFont="1" applyAlignment="1">
      <alignment horizontal="right" vertical="top" wrapText="1"/>
    </xf>
    <xf numFmtId="0" fontId="15" fillId="0" borderId="3" xfId="0" applyFont="1" applyBorder="1" applyAlignment="1">
      <alignment horizontal="center" vertical="center" wrapText="1"/>
    </xf>
    <xf numFmtId="0" fontId="15" fillId="0" borderId="2" xfId="0" applyFont="1" applyBorder="1" applyAlignment="1">
      <alignment horizontal="center" vertical="center" wrapText="1"/>
    </xf>
    <xf numFmtId="0" fontId="15" fillId="0" borderId="0" xfId="0" applyFont="1" applyAlignment="1">
      <alignment horizontal="right" vertical="top"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23" fillId="0" borderId="8" xfId="0" applyFont="1" applyBorder="1" applyAlignment="1">
      <alignment horizontal="center" wrapText="1"/>
    </xf>
    <xf numFmtId="0" fontId="23" fillId="0" borderId="0" xfId="0" applyFont="1" applyAlignment="1">
      <alignment horizontal="center" wrapText="1"/>
    </xf>
    <xf numFmtId="0" fontId="23" fillId="0" borderId="9" xfId="0" applyFont="1" applyBorder="1" applyAlignment="1">
      <alignment horizontal="center" wrapText="1"/>
    </xf>
    <xf numFmtId="0" fontId="24" fillId="0" borderId="5" xfId="0" applyFont="1" applyBorder="1" applyAlignment="1">
      <alignment horizontal="center" wrapText="1"/>
    </xf>
    <xf numFmtId="0" fontId="24" fillId="0" borderId="6" xfId="0" applyFont="1" applyBorder="1" applyAlignment="1">
      <alignment horizontal="center" wrapText="1"/>
    </xf>
    <xf numFmtId="0" fontId="24" fillId="0" borderId="7" xfId="0" applyFont="1" applyBorder="1" applyAlignment="1">
      <alignment horizontal="center" wrapText="1"/>
    </xf>
    <xf numFmtId="0" fontId="33" fillId="0" borderId="8" xfId="0" applyFont="1" applyBorder="1" applyAlignment="1">
      <alignment horizontal="center" wrapText="1"/>
    </xf>
    <xf numFmtId="0" fontId="33" fillId="0" borderId="0" xfId="0" applyFont="1" applyAlignment="1">
      <alignment horizontal="center" wrapText="1"/>
    </xf>
    <xf numFmtId="0" fontId="33" fillId="0" borderId="9" xfId="0" applyFont="1" applyBorder="1" applyAlignment="1">
      <alignment horizontal="center" wrapText="1"/>
    </xf>
    <xf numFmtId="0" fontId="15" fillId="0" borderId="10" xfId="0" applyFont="1" applyBorder="1" applyAlignment="1">
      <alignment horizontal="center" wrapText="1"/>
    </xf>
    <xf numFmtId="0" fontId="15" fillId="0" borderId="11" xfId="0" applyFont="1" applyBorder="1" applyAlignment="1">
      <alignment horizontal="center" wrapText="1"/>
    </xf>
    <xf numFmtId="0" fontId="15" fillId="0" borderId="12" xfId="0" applyFont="1" applyBorder="1" applyAlignment="1">
      <alignment horizontal="center" wrapText="1"/>
    </xf>
    <xf numFmtId="0" fontId="15" fillId="0" borderId="8" xfId="0" applyFont="1" applyBorder="1" applyAlignment="1">
      <alignment horizontal="left" wrapText="1"/>
    </xf>
    <xf numFmtId="0" fontId="15" fillId="0" borderId="9" xfId="0" applyFont="1" applyBorder="1" applyAlignment="1">
      <alignment horizontal="left" wrapText="1"/>
    </xf>
    <xf numFmtId="0" fontId="38" fillId="0" borderId="0" xfId="0" applyFont="1" applyAlignment="1">
      <alignment horizontal="justify" vertical="top" wrapText="1"/>
    </xf>
    <xf numFmtId="0" fontId="38" fillId="0" borderId="0" xfId="0" applyFont="1" applyAlignment="1">
      <alignment horizontal="justify" vertical="center" wrapText="1"/>
    </xf>
    <xf numFmtId="0" fontId="14" fillId="0" borderId="0" xfId="0" applyFont="1" applyAlignment="1">
      <alignment horizontal="left"/>
    </xf>
    <xf numFmtId="0" fontId="39" fillId="0" borderId="0" xfId="0" applyFont="1" applyAlignment="1">
      <alignment vertical="center" wrapText="1"/>
    </xf>
    <xf numFmtId="0" fontId="14" fillId="0" borderId="0" xfId="0" applyFont="1" applyAlignment="1">
      <alignment vertical="top" wrapText="1"/>
    </xf>
    <xf numFmtId="0" fontId="39" fillId="0" borderId="0" xfId="0" applyFont="1" applyAlignment="1">
      <alignment horizontal="justify" vertical="center" wrapText="1"/>
    </xf>
    <xf numFmtId="0" fontId="17" fillId="0" borderId="0" xfId="0" applyFont="1" applyAlignment="1">
      <alignment horizontal="left" wrapText="1"/>
    </xf>
    <xf numFmtId="0" fontId="17" fillId="0" borderId="1" xfId="0" applyFont="1" applyBorder="1" applyAlignment="1">
      <alignment horizontal="center" vertical="center" wrapText="1"/>
    </xf>
    <xf numFmtId="0" fontId="17" fillId="0" borderId="0" xfId="0" applyFont="1" applyAlignment="1">
      <alignment horizontal="left"/>
    </xf>
    <xf numFmtId="0" fontId="16" fillId="8" borderId="3" xfId="0" applyFont="1" applyFill="1" applyBorder="1" applyAlignment="1">
      <alignment horizontal="center" vertical="center" wrapText="1"/>
    </xf>
    <xf numFmtId="0" fontId="16" fillId="8" borderId="2" xfId="0" applyFont="1" applyFill="1" applyBorder="1" applyAlignment="1">
      <alignment horizontal="center" vertical="center" wrapText="1"/>
    </xf>
    <xf numFmtId="0" fontId="16" fillId="0" borderId="0" xfId="0" applyFont="1" applyAlignment="1">
      <alignment horizontal="center" wrapText="1"/>
    </xf>
    <xf numFmtId="0" fontId="41" fillId="0" borderId="0" xfId="0" applyFont="1" applyAlignment="1">
      <alignment horizontal="left" vertical="center" wrapText="1" readingOrder="1"/>
    </xf>
    <xf numFmtId="0" fontId="17" fillId="0" borderId="0" xfId="0" applyFont="1" applyAlignment="1">
      <alignment horizontal="justify" vertical="top" wrapText="1" readingOrder="1"/>
    </xf>
    <xf numFmtId="0" fontId="16" fillId="0" borderId="4" xfId="0" applyFont="1" applyBorder="1" applyAlignment="1">
      <alignment horizontal="left" vertical="top"/>
    </xf>
    <xf numFmtId="0" fontId="17" fillId="0" borderId="3" xfId="0" applyFont="1" applyBorder="1" applyAlignment="1">
      <alignment horizontal="center" vertical="center" wrapText="1"/>
    </xf>
    <xf numFmtId="0" fontId="17" fillId="0" borderId="2" xfId="0" applyFont="1" applyBorder="1" applyAlignment="1">
      <alignment horizontal="center" vertical="center" wrapText="1"/>
    </xf>
    <xf numFmtId="0" fontId="28" fillId="4" borderId="0" xfId="0" applyFont="1" applyFill="1" applyAlignment="1">
      <alignment horizontal="left" vertical="top" wrapText="1"/>
    </xf>
  </cellXfs>
  <cellStyles count="424">
    <cellStyle name="Обычный" xfId="0" builtinId="0"/>
    <cellStyle name="Обычный 10" xfId="72" xr:uid="{00000000-0005-0000-0000-000001000000}"/>
    <cellStyle name="Обычный 10 2" xfId="208" xr:uid="{00000000-0005-0000-0000-000002000000}"/>
    <cellStyle name="Обычный 10 3" xfId="357" xr:uid="{00000000-0005-0000-0000-000003000000}"/>
    <cellStyle name="Обычный 11" xfId="73" xr:uid="{00000000-0005-0000-0000-000004000000}"/>
    <cellStyle name="Обычный 11 2" xfId="209" xr:uid="{00000000-0005-0000-0000-000005000000}"/>
    <cellStyle name="Обычный 11 3" xfId="358" xr:uid="{00000000-0005-0000-0000-000006000000}"/>
    <cellStyle name="Обычный 2" xfId="63" xr:uid="{00000000-0005-0000-0000-000007000000}"/>
    <cellStyle name="Обычный 3" xfId="64" xr:uid="{00000000-0005-0000-0000-000008000000}"/>
    <cellStyle name="Обычный 4" xfId="66" xr:uid="{00000000-0005-0000-0000-000009000000}"/>
    <cellStyle name="Обычный 4 2" xfId="202" xr:uid="{00000000-0005-0000-0000-00000A000000}"/>
    <cellStyle name="Обычный 4 3" xfId="351" xr:uid="{00000000-0005-0000-0000-00000B000000}"/>
    <cellStyle name="Обычный 5" xfId="67" xr:uid="{00000000-0005-0000-0000-00000C000000}"/>
    <cellStyle name="Обычный 5 2" xfId="203" xr:uid="{00000000-0005-0000-0000-00000D000000}"/>
    <cellStyle name="Обычный 5 3" xfId="352" xr:uid="{00000000-0005-0000-0000-00000E000000}"/>
    <cellStyle name="Обычный 6" xfId="68" xr:uid="{00000000-0005-0000-0000-00000F000000}"/>
    <cellStyle name="Обычный 6 2" xfId="204" xr:uid="{00000000-0005-0000-0000-000010000000}"/>
    <cellStyle name="Обычный 6 3" xfId="353" xr:uid="{00000000-0005-0000-0000-000011000000}"/>
    <cellStyle name="Обычный 7" xfId="69" xr:uid="{00000000-0005-0000-0000-000012000000}"/>
    <cellStyle name="Обычный 7 2" xfId="205" xr:uid="{00000000-0005-0000-0000-000013000000}"/>
    <cellStyle name="Обычный 7 3" xfId="354" xr:uid="{00000000-0005-0000-0000-000014000000}"/>
    <cellStyle name="Обычный 8" xfId="70" xr:uid="{00000000-0005-0000-0000-000015000000}"/>
    <cellStyle name="Обычный 8 2" xfId="206" xr:uid="{00000000-0005-0000-0000-000016000000}"/>
    <cellStyle name="Обычный 8 3" xfId="355" xr:uid="{00000000-0005-0000-0000-000017000000}"/>
    <cellStyle name="Обычный 9" xfId="71" xr:uid="{00000000-0005-0000-0000-000018000000}"/>
    <cellStyle name="Обычный 9 2" xfId="207" xr:uid="{00000000-0005-0000-0000-000019000000}"/>
    <cellStyle name="Обычный 9 3" xfId="356" xr:uid="{00000000-0005-0000-0000-00001A000000}"/>
    <cellStyle name="Процентный" xfId="287" builtinId="5"/>
    <cellStyle name="Финансовый" xfId="1" builtinId="3"/>
    <cellStyle name="Финансовый 10" xfId="125" xr:uid="{00000000-0005-0000-0000-00001D000000}"/>
    <cellStyle name="Финансовый 10 2" xfId="261" xr:uid="{00000000-0005-0000-0000-00001E000000}"/>
    <cellStyle name="Финансовый 10 3" xfId="410" xr:uid="{00000000-0005-0000-0000-00001F000000}"/>
    <cellStyle name="Финансовый 11" xfId="61" xr:uid="{00000000-0005-0000-0000-000020000000}"/>
    <cellStyle name="Финансовый 11 2" xfId="199" xr:uid="{00000000-0005-0000-0000-000021000000}"/>
    <cellStyle name="Финансовый 11 3" xfId="348" xr:uid="{00000000-0005-0000-0000-000022000000}"/>
    <cellStyle name="Финансовый 12" xfId="49" xr:uid="{00000000-0005-0000-0000-000023000000}"/>
    <cellStyle name="Финансовый 12 2" xfId="187" xr:uid="{00000000-0005-0000-0000-000024000000}"/>
    <cellStyle name="Финансовый 12 3" xfId="336" xr:uid="{00000000-0005-0000-0000-000025000000}"/>
    <cellStyle name="Финансовый 13" xfId="127" xr:uid="{00000000-0005-0000-0000-000026000000}"/>
    <cellStyle name="Финансовый 13 2" xfId="263" xr:uid="{00000000-0005-0000-0000-000027000000}"/>
    <cellStyle name="Финансовый 13 3" xfId="412" xr:uid="{00000000-0005-0000-0000-000028000000}"/>
    <cellStyle name="Финансовый 14" xfId="25" xr:uid="{00000000-0005-0000-0000-000029000000}"/>
    <cellStyle name="Финансовый 14 2" xfId="163" xr:uid="{00000000-0005-0000-0000-00002A000000}"/>
    <cellStyle name="Финансовый 14 3" xfId="312" xr:uid="{00000000-0005-0000-0000-00002B000000}"/>
    <cellStyle name="Финансовый 15" xfId="13" xr:uid="{00000000-0005-0000-0000-00002C000000}"/>
    <cellStyle name="Финансовый 15 2" xfId="151" xr:uid="{00000000-0005-0000-0000-00002D000000}"/>
    <cellStyle name="Финансовый 15 3" xfId="300" xr:uid="{00000000-0005-0000-0000-00002E000000}"/>
    <cellStyle name="Финансовый 16" xfId="139" xr:uid="{00000000-0005-0000-0000-00002F000000}"/>
    <cellStyle name="Финансовый 17" xfId="275" xr:uid="{00000000-0005-0000-0000-000030000000}"/>
    <cellStyle name="Финансовый 18" xfId="288" xr:uid="{00000000-0005-0000-0000-000031000000}"/>
    <cellStyle name="Финансовый 2" xfId="2" xr:uid="{00000000-0005-0000-0000-000032000000}"/>
    <cellStyle name="Финансовый 2 10" xfId="62" xr:uid="{00000000-0005-0000-0000-000033000000}"/>
    <cellStyle name="Финансовый 2 10 2" xfId="200" xr:uid="{00000000-0005-0000-0000-000034000000}"/>
    <cellStyle name="Финансовый 2 10 3" xfId="349" xr:uid="{00000000-0005-0000-0000-000035000000}"/>
    <cellStyle name="Финансовый 2 11" xfId="50" xr:uid="{00000000-0005-0000-0000-000036000000}"/>
    <cellStyle name="Финансовый 2 11 2" xfId="188" xr:uid="{00000000-0005-0000-0000-000037000000}"/>
    <cellStyle name="Финансовый 2 11 3" xfId="337" xr:uid="{00000000-0005-0000-0000-000038000000}"/>
    <cellStyle name="Финансовый 2 12" xfId="128" xr:uid="{00000000-0005-0000-0000-000039000000}"/>
    <cellStyle name="Финансовый 2 12 2" xfId="264" xr:uid="{00000000-0005-0000-0000-00003A000000}"/>
    <cellStyle name="Финансовый 2 12 3" xfId="413" xr:uid="{00000000-0005-0000-0000-00003B000000}"/>
    <cellStyle name="Финансовый 2 13" xfId="26" xr:uid="{00000000-0005-0000-0000-00003C000000}"/>
    <cellStyle name="Финансовый 2 13 2" xfId="164" xr:uid="{00000000-0005-0000-0000-00003D000000}"/>
    <cellStyle name="Финансовый 2 13 3" xfId="313" xr:uid="{00000000-0005-0000-0000-00003E000000}"/>
    <cellStyle name="Финансовый 2 14" xfId="14" xr:uid="{00000000-0005-0000-0000-00003F000000}"/>
    <cellStyle name="Финансовый 2 14 2" xfId="152" xr:uid="{00000000-0005-0000-0000-000040000000}"/>
    <cellStyle name="Финансовый 2 14 3" xfId="301" xr:uid="{00000000-0005-0000-0000-000041000000}"/>
    <cellStyle name="Финансовый 2 15" xfId="140" xr:uid="{00000000-0005-0000-0000-000042000000}"/>
    <cellStyle name="Финансовый 2 16" xfId="276" xr:uid="{00000000-0005-0000-0000-000043000000}"/>
    <cellStyle name="Финансовый 2 17" xfId="289" xr:uid="{00000000-0005-0000-0000-000044000000}"/>
    <cellStyle name="Финансовый 2 2" xfId="4" xr:uid="{00000000-0005-0000-0000-000045000000}"/>
    <cellStyle name="Финансовый 2 2 10" xfId="28" xr:uid="{00000000-0005-0000-0000-000046000000}"/>
    <cellStyle name="Финансовый 2 2 10 2" xfId="166" xr:uid="{00000000-0005-0000-0000-000047000000}"/>
    <cellStyle name="Финансовый 2 2 10 3" xfId="315" xr:uid="{00000000-0005-0000-0000-000048000000}"/>
    <cellStyle name="Финансовый 2 2 11" xfId="16" xr:uid="{00000000-0005-0000-0000-000049000000}"/>
    <cellStyle name="Финансовый 2 2 11 2" xfId="154" xr:uid="{00000000-0005-0000-0000-00004A000000}"/>
    <cellStyle name="Финансовый 2 2 11 3" xfId="303" xr:uid="{00000000-0005-0000-0000-00004B000000}"/>
    <cellStyle name="Финансовый 2 2 12" xfId="142" xr:uid="{00000000-0005-0000-0000-00004C000000}"/>
    <cellStyle name="Финансовый 2 2 13" xfId="278" xr:uid="{00000000-0005-0000-0000-00004D000000}"/>
    <cellStyle name="Финансовый 2 2 14" xfId="291" xr:uid="{00000000-0005-0000-0000-00004E000000}"/>
    <cellStyle name="Финансовый 2 2 2" xfId="10" xr:uid="{00000000-0005-0000-0000-00004F000000}"/>
    <cellStyle name="Финансовый 2 2 2 10" xfId="284" xr:uid="{00000000-0005-0000-0000-000050000000}"/>
    <cellStyle name="Финансовый 2 2 2 11" xfId="297" xr:uid="{00000000-0005-0000-0000-000051000000}"/>
    <cellStyle name="Финансовый 2 2 2 2" xfId="46" xr:uid="{00000000-0005-0000-0000-000052000000}"/>
    <cellStyle name="Финансовый 2 2 2 2 2" xfId="104" xr:uid="{00000000-0005-0000-0000-000053000000}"/>
    <cellStyle name="Финансовый 2 2 2 2 2 2" xfId="240" xr:uid="{00000000-0005-0000-0000-000054000000}"/>
    <cellStyle name="Финансовый 2 2 2 2 2 3" xfId="389" xr:uid="{00000000-0005-0000-0000-000055000000}"/>
    <cellStyle name="Финансовый 2 2 2 2 3" xfId="184" xr:uid="{00000000-0005-0000-0000-000056000000}"/>
    <cellStyle name="Финансовый 2 2 2 2 4" xfId="333" xr:uid="{00000000-0005-0000-0000-000057000000}"/>
    <cellStyle name="Финансовый 2 2 2 3" xfId="116" xr:uid="{00000000-0005-0000-0000-000058000000}"/>
    <cellStyle name="Финансовый 2 2 2 3 2" xfId="252" xr:uid="{00000000-0005-0000-0000-000059000000}"/>
    <cellStyle name="Финансовый 2 2 2 3 3" xfId="401" xr:uid="{00000000-0005-0000-0000-00005A000000}"/>
    <cellStyle name="Финансовый 2 2 2 4" xfId="80" xr:uid="{00000000-0005-0000-0000-00005B000000}"/>
    <cellStyle name="Финансовый 2 2 2 4 2" xfId="216" xr:uid="{00000000-0005-0000-0000-00005C000000}"/>
    <cellStyle name="Финансовый 2 2 2 4 3" xfId="365" xr:uid="{00000000-0005-0000-0000-00005D000000}"/>
    <cellStyle name="Финансовый 2 2 2 5" xfId="58" xr:uid="{00000000-0005-0000-0000-00005E000000}"/>
    <cellStyle name="Финансовый 2 2 2 5 2" xfId="196" xr:uid="{00000000-0005-0000-0000-00005F000000}"/>
    <cellStyle name="Финансовый 2 2 2 5 3" xfId="345" xr:uid="{00000000-0005-0000-0000-000060000000}"/>
    <cellStyle name="Финансовый 2 2 2 6" xfId="136" xr:uid="{00000000-0005-0000-0000-000061000000}"/>
    <cellStyle name="Финансовый 2 2 2 6 2" xfId="272" xr:uid="{00000000-0005-0000-0000-000062000000}"/>
    <cellStyle name="Финансовый 2 2 2 6 3" xfId="421" xr:uid="{00000000-0005-0000-0000-000063000000}"/>
    <cellStyle name="Финансовый 2 2 2 7" xfId="34" xr:uid="{00000000-0005-0000-0000-000064000000}"/>
    <cellStyle name="Финансовый 2 2 2 7 2" xfId="172" xr:uid="{00000000-0005-0000-0000-000065000000}"/>
    <cellStyle name="Финансовый 2 2 2 7 3" xfId="321" xr:uid="{00000000-0005-0000-0000-000066000000}"/>
    <cellStyle name="Финансовый 2 2 2 8" xfId="22" xr:uid="{00000000-0005-0000-0000-000067000000}"/>
    <cellStyle name="Финансовый 2 2 2 8 2" xfId="160" xr:uid="{00000000-0005-0000-0000-000068000000}"/>
    <cellStyle name="Финансовый 2 2 2 8 3" xfId="309" xr:uid="{00000000-0005-0000-0000-000069000000}"/>
    <cellStyle name="Финансовый 2 2 2 9" xfId="148" xr:uid="{00000000-0005-0000-0000-00006A000000}"/>
    <cellStyle name="Финансовый 2 2 3" xfId="40" xr:uid="{00000000-0005-0000-0000-00006B000000}"/>
    <cellStyle name="Финансовый 2 2 3 2" xfId="122" xr:uid="{00000000-0005-0000-0000-00006C000000}"/>
    <cellStyle name="Финансовый 2 2 3 2 2" xfId="258" xr:uid="{00000000-0005-0000-0000-00006D000000}"/>
    <cellStyle name="Финансовый 2 2 3 2 3" xfId="407" xr:uid="{00000000-0005-0000-0000-00006E000000}"/>
    <cellStyle name="Финансовый 2 2 3 3" xfId="86" xr:uid="{00000000-0005-0000-0000-00006F000000}"/>
    <cellStyle name="Финансовый 2 2 3 3 2" xfId="222" xr:uid="{00000000-0005-0000-0000-000070000000}"/>
    <cellStyle name="Финансовый 2 2 3 3 3" xfId="371" xr:uid="{00000000-0005-0000-0000-000071000000}"/>
    <cellStyle name="Финансовый 2 2 3 4" xfId="178" xr:uid="{00000000-0005-0000-0000-000072000000}"/>
    <cellStyle name="Финансовый 2 2 3 5" xfId="327" xr:uid="{00000000-0005-0000-0000-000073000000}"/>
    <cellStyle name="Финансовый 2 2 4" xfId="92" xr:uid="{00000000-0005-0000-0000-000074000000}"/>
    <cellStyle name="Финансовый 2 2 4 2" xfId="228" xr:uid="{00000000-0005-0000-0000-000075000000}"/>
    <cellStyle name="Финансовый 2 2 4 3" xfId="377" xr:uid="{00000000-0005-0000-0000-000076000000}"/>
    <cellStyle name="Финансовый 2 2 5" xfId="98" xr:uid="{00000000-0005-0000-0000-000077000000}"/>
    <cellStyle name="Финансовый 2 2 5 2" xfId="234" xr:uid="{00000000-0005-0000-0000-000078000000}"/>
    <cellStyle name="Финансовый 2 2 5 3" xfId="383" xr:uid="{00000000-0005-0000-0000-000079000000}"/>
    <cellStyle name="Финансовый 2 2 6" xfId="110" xr:uid="{00000000-0005-0000-0000-00007A000000}"/>
    <cellStyle name="Финансовый 2 2 6 2" xfId="246" xr:uid="{00000000-0005-0000-0000-00007B000000}"/>
    <cellStyle name="Финансовый 2 2 6 3" xfId="395" xr:uid="{00000000-0005-0000-0000-00007C000000}"/>
    <cellStyle name="Финансовый 2 2 7" xfId="65" xr:uid="{00000000-0005-0000-0000-00007D000000}"/>
    <cellStyle name="Финансовый 2 2 7 2" xfId="201" xr:uid="{00000000-0005-0000-0000-00007E000000}"/>
    <cellStyle name="Финансовый 2 2 7 3" xfId="350" xr:uid="{00000000-0005-0000-0000-00007F000000}"/>
    <cellStyle name="Финансовый 2 2 8" xfId="52" xr:uid="{00000000-0005-0000-0000-000080000000}"/>
    <cellStyle name="Финансовый 2 2 8 2" xfId="190" xr:uid="{00000000-0005-0000-0000-000081000000}"/>
    <cellStyle name="Финансовый 2 2 8 3" xfId="339" xr:uid="{00000000-0005-0000-0000-000082000000}"/>
    <cellStyle name="Финансовый 2 2 9" xfId="130" xr:uid="{00000000-0005-0000-0000-000083000000}"/>
    <cellStyle name="Финансовый 2 2 9 2" xfId="266" xr:uid="{00000000-0005-0000-0000-000084000000}"/>
    <cellStyle name="Финансовый 2 2 9 3" xfId="415" xr:uid="{00000000-0005-0000-0000-000085000000}"/>
    <cellStyle name="Финансовый 2 3" xfId="6" xr:uid="{00000000-0005-0000-0000-000086000000}"/>
    <cellStyle name="Финансовый 2 3 10" xfId="30" xr:uid="{00000000-0005-0000-0000-000087000000}"/>
    <cellStyle name="Финансовый 2 3 10 2" xfId="168" xr:uid="{00000000-0005-0000-0000-000088000000}"/>
    <cellStyle name="Финансовый 2 3 10 3" xfId="317" xr:uid="{00000000-0005-0000-0000-000089000000}"/>
    <cellStyle name="Финансовый 2 3 11" xfId="18" xr:uid="{00000000-0005-0000-0000-00008A000000}"/>
    <cellStyle name="Финансовый 2 3 11 2" xfId="156" xr:uid="{00000000-0005-0000-0000-00008B000000}"/>
    <cellStyle name="Финансовый 2 3 11 3" xfId="305" xr:uid="{00000000-0005-0000-0000-00008C000000}"/>
    <cellStyle name="Финансовый 2 3 12" xfId="144" xr:uid="{00000000-0005-0000-0000-00008D000000}"/>
    <cellStyle name="Финансовый 2 3 13" xfId="280" xr:uid="{00000000-0005-0000-0000-00008E000000}"/>
    <cellStyle name="Финансовый 2 3 14" xfId="293" xr:uid="{00000000-0005-0000-0000-00008F000000}"/>
    <cellStyle name="Финансовый 2 3 2" xfId="12" xr:uid="{00000000-0005-0000-0000-000090000000}"/>
    <cellStyle name="Финансовый 2 3 2 10" xfId="286" xr:uid="{00000000-0005-0000-0000-000091000000}"/>
    <cellStyle name="Финансовый 2 3 2 11" xfId="299" xr:uid="{00000000-0005-0000-0000-000092000000}"/>
    <cellStyle name="Финансовый 2 3 2 2" xfId="48" xr:uid="{00000000-0005-0000-0000-000093000000}"/>
    <cellStyle name="Финансовый 2 3 2 2 2" xfId="106" xr:uid="{00000000-0005-0000-0000-000094000000}"/>
    <cellStyle name="Финансовый 2 3 2 2 2 2" xfId="242" xr:uid="{00000000-0005-0000-0000-000095000000}"/>
    <cellStyle name="Финансовый 2 3 2 2 2 3" xfId="391" xr:uid="{00000000-0005-0000-0000-000096000000}"/>
    <cellStyle name="Финансовый 2 3 2 2 3" xfId="186" xr:uid="{00000000-0005-0000-0000-000097000000}"/>
    <cellStyle name="Финансовый 2 3 2 2 4" xfId="335" xr:uid="{00000000-0005-0000-0000-000098000000}"/>
    <cellStyle name="Финансовый 2 3 2 3" xfId="118" xr:uid="{00000000-0005-0000-0000-000099000000}"/>
    <cellStyle name="Финансовый 2 3 2 3 2" xfId="254" xr:uid="{00000000-0005-0000-0000-00009A000000}"/>
    <cellStyle name="Финансовый 2 3 2 3 3" xfId="403" xr:uid="{00000000-0005-0000-0000-00009B000000}"/>
    <cellStyle name="Финансовый 2 3 2 4" xfId="82" xr:uid="{00000000-0005-0000-0000-00009C000000}"/>
    <cellStyle name="Финансовый 2 3 2 4 2" xfId="218" xr:uid="{00000000-0005-0000-0000-00009D000000}"/>
    <cellStyle name="Финансовый 2 3 2 4 3" xfId="367" xr:uid="{00000000-0005-0000-0000-00009E000000}"/>
    <cellStyle name="Финансовый 2 3 2 5" xfId="60" xr:uid="{00000000-0005-0000-0000-00009F000000}"/>
    <cellStyle name="Финансовый 2 3 2 5 2" xfId="198" xr:uid="{00000000-0005-0000-0000-0000A0000000}"/>
    <cellStyle name="Финансовый 2 3 2 5 3" xfId="347" xr:uid="{00000000-0005-0000-0000-0000A1000000}"/>
    <cellStyle name="Финансовый 2 3 2 6" xfId="138" xr:uid="{00000000-0005-0000-0000-0000A2000000}"/>
    <cellStyle name="Финансовый 2 3 2 6 2" xfId="274" xr:uid="{00000000-0005-0000-0000-0000A3000000}"/>
    <cellStyle name="Финансовый 2 3 2 6 3" xfId="423" xr:uid="{00000000-0005-0000-0000-0000A4000000}"/>
    <cellStyle name="Финансовый 2 3 2 7" xfId="36" xr:uid="{00000000-0005-0000-0000-0000A5000000}"/>
    <cellStyle name="Финансовый 2 3 2 7 2" xfId="174" xr:uid="{00000000-0005-0000-0000-0000A6000000}"/>
    <cellStyle name="Финансовый 2 3 2 7 3" xfId="323" xr:uid="{00000000-0005-0000-0000-0000A7000000}"/>
    <cellStyle name="Финансовый 2 3 2 8" xfId="24" xr:uid="{00000000-0005-0000-0000-0000A8000000}"/>
    <cellStyle name="Финансовый 2 3 2 8 2" xfId="162" xr:uid="{00000000-0005-0000-0000-0000A9000000}"/>
    <cellStyle name="Финансовый 2 3 2 8 3" xfId="311" xr:uid="{00000000-0005-0000-0000-0000AA000000}"/>
    <cellStyle name="Финансовый 2 3 2 9" xfId="150" xr:uid="{00000000-0005-0000-0000-0000AB000000}"/>
    <cellStyle name="Финансовый 2 3 3" xfId="42" xr:uid="{00000000-0005-0000-0000-0000AC000000}"/>
    <cellStyle name="Финансовый 2 3 3 2" xfId="124" xr:uid="{00000000-0005-0000-0000-0000AD000000}"/>
    <cellStyle name="Финансовый 2 3 3 2 2" xfId="260" xr:uid="{00000000-0005-0000-0000-0000AE000000}"/>
    <cellStyle name="Финансовый 2 3 3 2 3" xfId="409" xr:uid="{00000000-0005-0000-0000-0000AF000000}"/>
    <cellStyle name="Финансовый 2 3 3 3" xfId="88" xr:uid="{00000000-0005-0000-0000-0000B0000000}"/>
    <cellStyle name="Финансовый 2 3 3 3 2" xfId="224" xr:uid="{00000000-0005-0000-0000-0000B1000000}"/>
    <cellStyle name="Финансовый 2 3 3 3 3" xfId="373" xr:uid="{00000000-0005-0000-0000-0000B2000000}"/>
    <cellStyle name="Финансовый 2 3 3 4" xfId="180" xr:uid="{00000000-0005-0000-0000-0000B3000000}"/>
    <cellStyle name="Финансовый 2 3 3 5" xfId="329" xr:uid="{00000000-0005-0000-0000-0000B4000000}"/>
    <cellStyle name="Финансовый 2 3 4" xfId="94" xr:uid="{00000000-0005-0000-0000-0000B5000000}"/>
    <cellStyle name="Финансовый 2 3 4 2" xfId="230" xr:uid="{00000000-0005-0000-0000-0000B6000000}"/>
    <cellStyle name="Финансовый 2 3 4 3" xfId="379" xr:uid="{00000000-0005-0000-0000-0000B7000000}"/>
    <cellStyle name="Финансовый 2 3 5" xfId="100" xr:uid="{00000000-0005-0000-0000-0000B8000000}"/>
    <cellStyle name="Финансовый 2 3 5 2" xfId="236" xr:uid="{00000000-0005-0000-0000-0000B9000000}"/>
    <cellStyle name="Финансовый 2 3 5 3" xfId="385" xr:uid="{00000000-0005-0000-0000-0000BA000000}"/>
    <cellStyle name="Финансовый 2 3 6" xfId="112" xr:uid="{00000000-0005-0000-0000-0000BB000000}"/>
    <cellStyle name="Финансовый 2 3 6 2" xfId="248" xr:uid="{00000000-0005-0000-0000-0000BC000000}"/>
    <cellStyle name="Финансовый 2 3 6 3" xfId="397" xr:uid="{00000000-0005-0000-0000-0000BD000000}"/>
    <cellStyle name="Финансовый 2 3 7" xfId="76" xr:uid="{00000000-0005-0000-0000-0000BE000000}"/>
    <cellStyle name="Финансовый 2 3 7 2" xfId="212" xr:uid="{00000000-0005-0000-0000-0000BF000000}"/>
    <cellStyle name="Финансовый 2 3 7 3" xfId="361" xr:uid="{00000000-0005-0000-0000-0000C0000000}"/>
    <cellStyle name="Финансовый 2 3 8" xfId="54" xr:uid="{00000000-0005-0000-0000-0000C1000000}"/>
    <cellStyle name="Финансовый 2 3 8 2" xfId="192" xr:uid="{00000000-0005-0000-0000-0000C2000000}"/>
    <cellStyle name="Финансовый 2 3 8 3" xfId="341" xr:uid="{00000000-0005-0000-0000-0000C3000000}"/>
    <cellStyle name="Финансовый 2 3 9" xfId="132" xr:uid="{00000000-0005-0000-0000-0000C4000000}"/>
    <cellStyle name="Финансовый 2 3 9 2" xfId="268" xr:uid="{00000000-0005-0000-0000-0000C5000000}"/>
    <cellStyle name="Финансовый 2 3 9 3" xfId="417" xr:uid="{00000000-0005-0000-0000-0000C6000000}"/>
    <cellStyle name="Финансовый 2 4" xfId="8" xr:uid="{00000000-0005-0000-0000-0000C7000000}"/>
    <cellStyle name="Финансовый 2 4 10" xfId="282" xr:uid="{00000000-0005-0000-0000-0000C8000000}"/>
    <cellStyle name="Финансовый 2 4 11" xfId="295" xr:uid="{00000000-0005-0000-0000-0000C9000000}"/>
    <cellStyle name="Финансовый 2 4 2" xfId="44" xr:uid="{00000000-0005-0000-0000-0000CA000000}"/>
    <cellStyle name="Финансовый 2 4 2 2" xfId="102" xr:uid="{00000000-0005-0000-0000-0000CB000000}"/>
    <cellStyle name="Финансовый 2 4 2 2 2" xfId="238" xr:uid="{00000000-0005-0000-0000-0000CC000000}"/>
    <cellStyle name="Финансовый 2 4 2 2 3" xfId="387" xr:uid="{00000000-0005-0000-0000-0000CD000000}"/>
    <cellStyle name="Финансовый 2 4 2 3" xfId="182" xr:uid="{00000000-0005-0000-0000-0000CE000000}"/>
    <cellStyle name="Финансовый 2 4 2 4" xfId="331" xr:uid="{00000000-0005-0000-0000-0000CF000000}"/>
    <cellStyle name="Финансовый 2 4 3" xfId="114" xr:uid="{00000000-0005-0000-0000-0000D0000000}"/>
    <cellStyle name="Финансовый 2 4 3 2" xfId="250" xr:uid="{00000000-0005-0000-0000-0000D1000000}"/>
    <cellStyle name="Финансовый 2 4 3 3" xfId="399" xr:uid="{00000000-0005-0000-0000-0000D2000000}"/>
    <cellStyle name="Финансовый 2 4 4" xfId="78" xr:uid="{00000000-0005-0000-0000-0000D3000000}"/>
    <cellStyle name="Финансовый 2 4 4 2" xfId="214" xr:uid="{00000000-0005-0000-0000-0000D4000000}"/>
    <cellStyle name="Финансовый 2 4 4 3" xfId="363" xr:uid="{00000000-0005-0000-0000-0000D5000000}"/>
    <cellStyle name="Финансовый 2 4 5" xfId="56" xr:uid="{00000000-0005-0000-0000-0000D6000000}"/>
    <cellStyle name="Финансовый 2 4 5 2" xfId="194" xr:uid="{00000000-0005-0000-0000-0000D7000000}"/>
    <cellStyle name="Финансовый 2 4 5 3" xfId="343" xr:uid="{00000000-0005-0000-0000-0000D8000000}"/>
    <cellStyle name="Финансовый 2 4 6" xfId="134" xr:uid="{00000000-0005-0000-0000-0000D9000000}"/>
    <cellStyle name="Финансовый 2 4 6 2" xfId="270" xr:uid="{00000000-0005-0000-0000-0000DA000000}"/>
    <cellStyle name="Финансовый 2 4 6 3" xfId="419" xr:uid="{00000000-0005-0000-0000-0000DB000000}"/>
    <cellStyle name="Финансовый 2 4 7" xfId="32" xr:uid="{00000000-0005-0000-0000-0000DC000000}"/>
    <cellStyle name="Финансовый 2 4 7 2" xfId="170" xr:uid="{00000000-0005-0000-0000-0000DD000000}"/>
    <cellStyle name="Финансовый 2 4 7 3" xfId="319" xr:uid="{00000000-0005-0000-0000-0000DE000000}"/>
    <cellStyle name="Финансовый 2 4 8" xfId="20" xr:uid="{00000000-0005-0000-0000-0000DF000000}"/>
    <cellStyle name="Финансовый 2 4 8 2" xfId="158" xr:uid="{00000000-0005-0000-0000-0000E0000000}"/>
    <cellStyle name="Финансовый 2 4 8 3" xfId="307" xr:uid="{00000000-0005-0000-0000-0000E1000000}"/>
    <cellStyle name="Финансовый 2 4 9" xfId="146" xr:uid="{00000000-0005-0000-0000-0000E2000000}"/>
    <cellStyle name="Финансовый 2 5" xfId="38" xr:uid="{00000000-0005-0000-0000-0000E3000000}"/>
    <cellStyle name="Финансовый 2 5 2" xfId="120" xr:uid="{00000000-0005-0000-0000-0000E4000000}"/>
    <cellStyle name="Финансовый 2 5 2 2" xfId="256" xr:uid="{00000000-0005-0000-0000-0000E5000000}"/>
    <cellStyle name="Финансовый 2 5 2 3" xfId="405" xr:uid="{00000000-0005-0000-0000-0000E6000000}"/>
    <cellStyle name="Финансовый 2 5 3" xfId="84" xr:uid="{00000000-0005-0000-0000-0000E7000000}"/>
    <cellStyle name="Финансовый 2 5 3 2" xfId="220" xr:uid="{00000000-0005-0000-0000-0000E8000000}"/>
    <cellStyle name="Финансовый 2 5 3 3" xfId="369" xr:uid="{00000000-0005-0000-0000-0000E9000000}"/>
    <cellStyle name="Финансовый 2 5 4" xfId="176" xr:uid="{00000000-0005-0000-0000-0000EA000000}"/>
    <cellStyle name="Финансовый 2 5 5" xfId="325" xr:uid="{00000000-0005-0000-0000-0000EB000000}"/>
    <cellStyle name="Финансовый 2 6" xfId="90" xr:uid="{00000000-0005-0000-0000-0000EC000000}"/>
    <cellStyle name="Финансовый 2 6 2" xfId="226" xr:uid="{00000000-0005-0000-0000-0000ED000000}"/>
    <cellStyle name="Финансовый 2 6 3" xfId="375" xr:uid="{00000000-0005-0000-0000-0000EE000000}"/>
    <cellStyle name="Финансовый 2 7" xfId="96" xr:uid="{00000000-0005-0000-0000-0000EF000000}"/>
    <cellStyle name="Финансовый 2 7 2" xfId="232" xr:uid="{00000000-0005-0000-0000-0000F0000000}"/>
    <cellStyle name="Финансовый 2 7 3" xfId="381" xr:uid="{00000000-0005-0000-0000-0000F1000000}"/>
    <cellStyle name="Финансовый 2 8" xfId="108" xr:uid="{00000000-0005-0000-0000-0000F2000000}"/>
    <cellStyle name="Финансовый 2 8 2" xfId="244" xr:uid="{00000000-0005-0000-0000-0000F3000000}"/>
    <cellStyle name="Финансовый 2 8 3" xfId="393" xr:uid="{00000000-0005-0000-0000-0000F4000000}"/>
    <cellStyle name="Финансовый 2 9" xfId="126" xr:uid="{00000000-0005-0000-0000-0000F5000000}"/>
    <cellStyle name="Финансовый 2 9 2" xfId="262" xr:uid="{00000000-0005-0000-0000-0000F6000000}"/>
    <cellStyle name="Финансовый 2 9 3" xfId="411" xr:uid="{00000000-0005-0000-0000-0000F7000000}"/>
    <cellStyle name="Финансовый 3" xfId="3" xr:uid="{00000000-0005-0000-0000-0000F8000000}"/>
    <cellStyle name="Финансовый 3 10" xfId="27" xr:uid="{00000000-0005-0000-0000-0000F9000000}"/>
    <cellStyle name="Финансовый 3 10 2" xfId="165" xr:uid="{00000000-0005-0000-0000-0000FA000000}"/>
    <cellStyle name="Финансовый 3 10 3" xfId="314" xr:uid="{00000000-0005-0000-0000-0000FB000000}"/>
    <cellStyle name="Финансовый 3 11" xfId="15" xr:uid="{00000000-0005-0000-0000-0000FC000000}"/>
    <cellStyle name="Финансовый 3 11 2" xfId="153" xr:uid="{00000000-0005-0000-0000-0000FD000000}"/>
    <cellStyle name="Финансовый 3 11 3" xfId="302" xr:uid="{00000000-0005-0000-0000-0000FE000000}"/>
    <cellStyle name="Финансовый 3 12" xfId="141" xr:uid="{00000000-0005-0000-0000-0000FF000000}"/>
    <cellStyle name="Финансовый 3 13" xfId="277" xr:uid="{00000000-0005-0000-0000-000000010000}"/>
    <cellStyle name="Финансовый 3 14" xfId="290" xr:uid="{00000000-0005-0000-0000-000001010000}"/>
    <cellStyle name="Финансовый 3 2" xfId="9" xr:uid="{00000000-0005-0000-0000-000002010000}"/>
    <cellStyle name="Финансовый 3 2 10" xfId="283" xr:uid="{00000000-0005-0000-0000-000003010000}"/>
    <cellStyle name="Финансовый 3 2 11" xfId="296" xr:uid="{00000000-0005-0000-0000-000004010000}"/>
    <cellStyle name="Финансовый 3 2 2" xfId="45" xr:uid="{00000000-0005-0000-0000-000005010000}"/>
    <cellStyle name="Финансовый 3 2 2 2" xfId="103" xr:uid="{00000000-0005-0000-0000-000006010000}"/>
    <cellStyle name="Финансовый 3 2 2 2 2" xfId="239" xr:uid="{00000000-0005-0000-0000-000007010000}"/>
    <cellStyle name="Финансовый 3 2 2 2 3" xfId="388" xr:uid="{00000000-0005-0000-0000-000008010000}"/>
    <cellStyle name="Финансовый 3 2 2 3" xfId="183" xr:uid="{00000000-0005-0000-0000-000009010000}"/>
    <cellStyle name="Финансовый 3 2 2 4" xfId="332" xr:uid="{00000000-0005-0000-0000-00000A010000}"/>
    <cellStyle name="Финансовый 3 2 3" xfId="115" xr:uid="{00000000-0005-0000-0000-00000B010000}"/>
    <cellStyle name="Финансовый 3 2 3 2" xfId="251" xr:uid="{00000000-0005-0000-0000-00000C010000}"/>
    <cellStyle name="Финансовый 3 2 3 3" xfId="400" xr:uid="{00000000-0005-0000-0000-00000D010000}"/>
    <cellStyle name="Финансовый 3 2 4" xfId="79" xr:uid="{00000000-0005-0000-0000-00000E010000}"/>
    <cellStyle name="Финансовый 3 2 4 2" xfId="215" xr:uid="{00000000-0005-0000-0000-00000F010000}"/>
    <cellStyle name="Финансовый 3 2 4 3" xfId="364" xr:uid="{00000000-0005-0000-0000-000010010000}"/>
    <cellStyle name="Финансовый 3 2 5" xfId="57" xr:uid="{00000000-0005-0000-0000-000011010000}"/>
    <cellStyle name="Финансовый 3 2 5 2" xfId="195" xr:uid="{00000000-0005-0000-0000-000012010000}"/>
    <cellStyle name="Финансовый 3 2 5 3" xfId="344" xr:uid="{00000000-0005-0000-0000-000013010000}"/>
    <cellStyle name="Финансовый 3 2 6" xfId="135" xr:uid="{00000000-0005-0000-0000-000014010000}"/>
    <cellStyle name="Финансовый 3 2 6 2" xfId="271" xr:uid="{00000000-0005-0000-0000-000015010000}"/>
    <cellStyle name="Финансовый 3 2 6 3" xfId="420" xr:uid="{00000000-0005-0000-0000-000016010000}"/>
    <cellStyle name="Финансовый 3 2 7" xfId="33" xr:uid="{00000000-0005-0000-0000-000017010000}"/>
    <cellStyle name="Финансовый 3 2 7 2" xfId="171" xr:uid="{00000000-0005-0000-0000-000018010000}"/>
    <cellStyle name="Финансовый 3 2 7 3" xfId="320" xr:uid="{00000000-0005-0000-0000-000019010000}"/>
    <cellStyle name="Финансовый 3 2 8" xfId="21" xr:uid="{00000000-0005-0000-0000-00001A010000}"/>
    <cellStyle name="Финансовый 3 2 8 2" xfId="159" xr:uid="{00000000-0005-0000-0000-00001B010000}"/>
    <cellStyle name="Финансовый 3 2 8 3" xfId="308" xr:uid="{00000000-0005-0000-0000-00001C010000}"/>
    <cellStyle name="Финансовый 3 2 9" xfId="147" xr:uid="{00000000-0005-0000-0000-00001D010000}"/>
    <cellStyle name="Финансовый 3 3" xfId="39" xr:uid="{00000000-0005-0000-0000-00001E010000}"/>
    <cellStyle name="Финансовый 3 3 2" xfId="121" xr:uid="{00000000-0005-0000-0000-00001F010000}"/>
    <cellStyle name="Финансовый 3 3 2 2" xfId="257" xr:uid="{00000000-0005-0000-0000-000020010000}"/>
    <cellStyle name="Финансовый 3 3 2 3" xfId="406" xr:uid="{00000000-0005-0000-0000-000021010000}"/>
    <cellStyle name="Финансовый 3 3 3" xfId="85" xr:uid="{00000000-0005-0000-0000-000022010000}"/>
    <cellStyle name="Финансовый 3 3 3 2" xfId="221" xr:uid="{00000000-0005-0000-0000-000023010000}"/>
    <cellStyle name="Финансовый 3 3 3 3" xfId="370" xr:uid="{00000000-0005-0000-0000-000024010000}"/>
    <cellStyle name="Финансовый 3 3 4" xfId="177" xr:uid="{00000000-0005-0000-0000-000025010000}"/>
    <cellStyle name="Финансовый 3 3 5" xfId="326" xr:uid="{00000000-0005-0000-0000-000026010000}"/>
    <cellStyle name="Финансовый 3 4" xfId="91" xr:uid="{00000000-0005-0000-0000-000027010000}"/>
    <cellStyle name="Финансовый 3 4 2" xfId="227" xr:uid="{00000000-0005-0000-0000-000028010000}"/>
    <cellStyle name="Финансовый 3 4 3" xfId="376" xr:uid="{00000000-0005-0000-0000-000029010000}"/>
    <cellStyle name="Финансовый 3 5" xfId="97" xr:uid="{00000000-0005-0000-0000-00002A010000}"/>
    <cellStyle name="Финансовый 3 5 2" xfId="233" xr:uid="{00000000-0005-0000-0000-00002B010000}"/>
    <cellStyle name="Финансовый 3 5 3" xfId="382" xr:uid="{00000000-0005-0000-0000-00002C010000}"/>
    <cellStyle name="Финансовый 3 6" xfId="109" xr:uid="{00000000-0005-0000-0000-00002D010000}"/>
    <cellStyle name="Финансовый 3 6 2" xfId="245" xr:uid="{00000000-0005-0000-0000-00002E010000}"/>
    <cellStyle name="Финансовый 3 6 3" xfId="394" xr:uid="{00000000-0005-0000-0000-00002F010000}"/>
    <cellStyle name="Финансовый 3 7" xfId="74" xr:uid="{00000000-0005-0000-0000-000030010000}"/>
    <cellStyle name="Финансовый 3 7 2" xfId="210" xr:uid="{00000000-0005-0000-0000-000031010000}"/>
    <cellStyle name="Финансовый 3 7 3" xfId="359" xr:uid="{00000000-0005-0000-0000-000032010000}"/>
    <cellStyle name="Финансовый 3 8" xfId="51" xr:uid="{00000000-0005-0000-0000-000033010000}"/>
    <cellStyle name="Финансовый 3 8 2" xfId="189" xr:uid="{00000000-0005-0000-0000-000034010000}"/>
    <cellStyle name="Финансовый 3 8 3" xfId="338" xr:uid="{00000000-0005-0000-0000-000035010000}"/>
    <cellStyle name="Финансовый 3 9" xfId="129" xr:uid="{00000000-0005-0000-0000-000036010000}"/>
    <cellStyle name="Финансовый 3 9 2" xfId="265" xr:uid="{00000000-0005-0000-0000-000037010000}"/>
    <cellStyle name="Финансовый 3 9 3" xfId="414" xr:uid="{00000000-0005-0000-0000-000038010000}"/>
    <cellStyle name="Финансовый 4" xfId="5" xr:uid="{00000000-0005-0000-0000-000039010000}"/>
    <cellStyle name="Финансовый 4 10" xfId="29" xr:uid="{00000000-0005-0000-0000-00003A010000}"/>
    <cellStyle name="Финансовый 4 10 2" xfId="167" xr:uid="{00000000-0005-0000-0000-00003B010000}"/>
    <cellStyle name="Финансовый 4 10 3" xfId="316" xr:uid="{00000000-0005-0000-0000-00003C010000}"/>
    <cellStyle name="Финансовый 4 11" xfId="17" xr:uid="{00000000-0005-0000-0000-00003D010000}"/>
    <cellStyle name="Финансовый 4 11 2" xfId="155" xr:uid="{00000000-0005-0000-0000-00003E010000}"/>
    <cellStyle name="Финансовый 4 11 3" xfId="304" xr:uid="{00000000-0005-0000-0000-00003F010000}"/>
    <cellStyle name="Финансовый 4 12" xfId="143" xr:uid="{00000000-0005-0000-0000-000040010000}"/>
    <cellStyle name="Финансовый 4 13" xfId="279" xr:uid="{00000000-0005-0000-0000-000041010000}"/>
    <cellStyle name="Финансовый 4 14" xfId="292" xr:uid="{00000000-0005-0000-0000-000042010000}"/>
    <cellStyle name="Финансовый 4 2" xfId="11" xr:uid="{00000000-0005-0000-0000-000043010000}"/>
    <cellStyle name="Финансовый 4 2 10" xfId="285" xr:uid="{00000000-0005-0000-0000-000044010000}"/>
    <cellStyle name="Финансовый 4 2 11" xfId="298" xr:uid="{00000000-0005-0000-0000-000045010000}"/>
    <cellStyle name="Финансовый 4 2 2" xfId="47" xr:uid="{00000000-0005-0000-0000-000046010000}"/>
    <cellStyle name="Финансовый 4 2 2 2" xfId="105" xr:uid="{00000000-0005-0000-0000-000047010000}"/>
    <cellStyle name="Финансовый 4 2 2 2 2" xfId="241" xr:uid="{00000000-0005-0000-0000-000048010000}"/>
    <cellStyle name="Финансовый 4 2 2 2 3" xfId="390" xr:uid="{00000000-0005-0000-0000-000049010000}"/>
    <cellStyle name="Финансовый 4 2 2 3" xfId="185" xr:uid="{00000000-0005-0000-0000-00004A010000}"/>
    <cellStyle name="Финансовый 4 2 2 4" xfId="334" xr:uid="{00000000-0005-0000-0000-00004B010000}"/>
    <cellStyle name="Финансовый 4 2 3" xfId="117" xr:uid="{00000000-0005-0000-0000-00004C010000}"/>
    <cellStyle name="Финансовый 4 2 3 2" xfId="253" xr:uid="{00000000-0005-0000-0000-00004D010000}"/>
    <cellStyle name="Финансовый 4 2 3 3" xfId="402" xr:uid="{00000000-0005-0000-0000-00004E010000}"/>
    <cellStyle name="Финансовый 4 2 4" xfId="81" xr:uid="{00000000-0005-0000-0000-00004F010000}"/>
    <cellStyle name="Финансовый 4 2 4 2" xfId="217" xr:uid="{00000000-0005-0000-0000-000050010000}"/>
    <cellStyle name="Финансовый 4 2 4 3" xfId="366" xr:uid="{00000000-0005-0000-0000-000051010000}"/>
    <cellStyle name="Финансовый 4 2 5" xfId="59" xr:uid="{00000000-0005-0000-0000-000052010000}"/>
    <cellStyle name="Финансовый 4 2 5 2" xfId="197" xr:uid="{00000000-0005-0000-0000-000053010000}"/>
    <cellStyle name="Финансовый 4 2 5 3" xfId="346" xr:uid="{00000000-0005-0000-0000-000054010000}"/>
    <cellStyle name="Финансовый 4 2 6" xfId="137" xr:uid="{00000000-0005-0000-0000-000055010000}"/>
    <cellStyle name="Финансовый 4 2 6 2" xfId="273" xr:uid="{00000000-0005-0000-0000-000056010000}"/>
    <cellStyle name="Финансовый 4 2 6 3" xfId="422" xr:uid="{00000000-0005-0000-0000-000057010000}"/>
    <cellStyle name="Финансовый 4 2 7" xfId="35" xr:uid="{00000000-0005-0000-0000-000058010000}"/>
    <cellStyle name="Финансовый 4 2 7 2" xfId="173" xr:uid="{00000000-0005-0000-0000-000059010000}"/>
    <cellStyle name="Финансовый 4 2 7 3" xfId="322" xr:uid="{00000000-0005-0000-0000-00005A010000}"/>
    <cellStyle name="Финансовый 4 2 8" xfId="23" xr:uid="{00000000-0005-0000-0000-00005B010000}"/>
    <cellStyle name="Финансовый 4 2 8 2" xfId="161" xr:uid="{00000000-0005-0000-0000-00005C010000}"/>
    <cellStyle name="Финансовый 4 2 8 3" xfId="310" xr:uid="{00000000-0005-0000-0000-00005D010000}"/>
    <cellStyle name="Финансовый 4 2 9" xfId="149" xr:uid="{00000000-0005-0000-0000-00005E010000}"/>
    <cellStyle name="Финансовый 4 3" xfId="41" xr:uid="{00000000-0005-0000-0000-00005F010000}"/>
    <cellStyle name="Финансовый 4 3 2" xfId="123" xr:uid="{00000000-0005-0000-0000-000060010000}"/>
    <cellStyle name="Финансовый 4 3 2 2" xfId="259" xr:uid="{00000000-0005-0000-0000-000061010000}"/>
    <cellStyle name="Финансовый 4 3 2 3" xfId="408" xr:uid="{00000000-0005-0000-0000-000062010000}"/>
    <cellStyle name="Финансовый 4 3 3" xfId="87" xr:uid="{00000000-0005-0000-0000-000063010000}"/>
    <cellStyle name="Финансовый 4 3 3 2" xfId="223" xr:uid="{00000000-0005-0000-0000-000064010000}"/>
    <cellStyle name="Финансовый 4 3 3 3" xfId="372" xr:uid="{00000000-0005-0000-0000-000065010000}"/>
    <cellStyle name="Финансовый 4 3 4" xfId="179" xr:uid="{00000000-0005-0000-0000-000066010000}"/>
    <cellStyle name="Финансовый 4 3 5" xfId="328" xr:uid="{00000000-0005-0000-0000-000067010000}"/>
    <cellStyle name="Финансовый 4 4" xfId="93" xr:uid="{00000000-0005-0000-0000-000068010000}"/>
    <cellStyle name="Финансовый 4 4 2" xfId="229" xr:uid="{00000000-0005-0000-0000-000069010000}"/>
    <cellStyle name="Финансовый 4 4 3" xfId="378" xr:uid="{00000000-0005-0000-0000-00006A010000}"/>
    <cellStyle name="Финансовый 4 5" xfId="99" xr:uid="{00000000-0005-0000-0000-00006B010000}"/>
    <cellStyle name="Финансовый 4 5 2" xfId="235" xr:uid="{00000000-0005-0000-0000-00006C010000}"/>
    <cellStyle name="Финансовый 4 5 3" xfId="384" xr:uid="{00000000-0005-0000-0000-00006D010000}"/>
    <cellStyle name="Финансовый 4 6" xfId="111" xr:uid="{00000000-0005-0000-0000-00006E010000}"/>
    <cellStyle name="Финансовый 4 6 2" xfId="247" xr:uid="{00000000-0005-0000-0000-00006F010000}"/>
    <cellStyle name="Финансовый 4 6 3" xfId="396" xr:uid="{00000000-0005-0000-0000-000070010000}"/>
    <cellStyle name="Финансовый 4 7" xfId="75" xr:uid="{00000000-0005-0000-0000-000071010000}"/>
    <cellStyle name="Финансовый 4 7 2" xfId="211" xr:uid="{00000000-0005-0000-0000-000072010000}"/>
    <cellStyle name="Финансовый 4 7 3" xfId="360" xr:uid="{00000000-0005-0000-0000-000073010000}"/>
    <cellStyle name="Финансовый 4 8" xfId="53" xr:uid="{00000000-0005-0000-0000-000074010000}"/>
    <cellStyle name="Финансовый 4 8 2" xfId="191" xr:uid="{00000000-0005-0000-0000-000075010000}"/>
    <cellStyle name="Финансовый 4 8 3" xfId="340" xr:uid="{00000000-0005-0000-0000-000076010000}"/>
    <cellStyle name="Финансовый 4 9" xfId="131" xr:uid="{00000000-0005-0000-0000-000077010000}"/>
    <cellStyle name="Финансовый 4 9 2" xfId="267" xr:uid="{00000000-0005-0000-0000-000078010000}"/>
    <cellStyle name="Финансовый 4 9 3" xfId="416" xr:uid="{00000000-0005-0000-0000-000079010000}"/>
    <cellStyle name="Финансовый 5" xfId="7" xr:uid="{00000000-0005-0000-0000-00007A010000}"/>
    <cellStyle name="Финансовый 5 10" xfId="281" xr:uid="{00000000-0005-0000-0000-00007B010000}"/>
    <cellStyle name="Финансовый 5 11" xfId="294" xr:uid="{00000000-0005-0000-0000-00007C010000}"/>
    <cellStyle name="Финансовый 5 2" xfId="43" xr:uid="{00000000-0005-0000-0000-00007D010000}"/>
    <cellStyle name="Финансовый 5 2 2" xfId="101" xr:uid="{00000000-0005-0000-0000-00007E010000}"/>
    <cellStyle name="Финансовый 5 2 2 2" xfId="237" xr:uid="{00000000-0005-0000-0000-00007F010000}"/>
    <cellStyle name="Финансовый 5 2 2 3" xfId="386" xr:uid="{00000000-0005-0000-0000-000080010000}"/>
    <cellStyle name="Финансовый 5 2 3" xfId="181" xr:uid="{00000000-0005-0000-0000-000081010000}"/>
    <cellStyle name="Финансовый 5 2 4" xfId="330" xr:uid="{00000000-0005-0000-0000-000082010000}"/>
    <cellStyle name="Финансовый 5 3" xfId="113" xr:uid="{00000000-0005-0000-0000-000083010000}"/>
    <cellStyle name="Финансовый 5 3 2" xfId="249" xr:uid="{00000000-0005-0000-0000-000084010000}"/>
    <cellStyle name="Финансовый 5 3 3" xfId="398" xr:uid="{00000000-0005-0000-0000-000085010000}"/>
    <cellStyle name="Финансовый 5 4" xfId="77" xr:uid="{00000000-0005-0000-0000-000086010000}"/>
    <cellStyle name="Финансовый 5 4 2" xfId="213" xr:uid="{00000000-0005-0000-0000-000087010000}"/>
    <cellStyle name="Финансовый 5 4 3" xfId="362" xr:uid="{00000000-0005-0000-0000-000088010000}"/>
    <cellStyle name="Финансовый 5 5" xfId="55" xr:uid="{00000000-0005-0000-0000-000089010000}"/>
    <cellStyle name="Финансовый 5 5 2" xfId="193" xr:uid="{00000000-0005-0000-0000-00008A010000}"/>
    <cellStyle name="Финансовый 5 5 3" xfId="342" xr:uid="{00000000-0005-0000-0000-00008B010000}"/>
    <cellStyle name="Финансовый 5 6" xfId="133" xr:uid="{00000000-0005-0000-0000-00008C010000}"/>
    <cellStyle name="Финансовый 5 6 2" xfId="269" xr:uid="{00000000-0005-0000-0000-00008D010000}"/>
    <cellStyle name="Финансовый 5 6 3" xfId="418" xr:uid="{00000000-0005-0000-0000-00008E010000}"/>
    <cellStyle name="Финансовый 5 7" xfId="31" xr:uid="{00000000-0005-0000-0000-00008F010000}"/>
    <cellStyle name="Финансовый 5 7 2" xfId="169" xr:uid="{00000000-0005-0000-0000-000090010000}"/>
    <cellStyle name="Финансовый 5 7 3" xfId="318" xr:uid="{00000000-0005-0000-0000-000091010000}"/>
    <cellStyle name="Финансовый 5 8" xfId="19" xr:uid="{00000000-0005-0000-0000-000092010000}"/>
    <cellStyle name="Финансовый 5 8 2" xfId="157" xr:uid="{00000000-0005-0000-0000-000093010000}"/>
    <cellStyle name="Финансовый 5 8 3" xfId="306" xr:uid="{00000000-0005-0000-0000-000094010000}"/>
    <cellStyle name="Финансовый 5 9" xfId="145" xr:uid="{00000000-0005-0000-0000-000095010000}"/>
    <cellStyle name="Финансовый 6" xfId="37" xr:uid="{00000000-0005-0000-0000-000096010000}"/>
    <cellStyle name="Финансовый 6 2" xfId="119" xr:uid="{00000000-0005-0000-0000-000097010000}"/>
    <cellStyle name="Финансовый 6 2 2" xfId="255" xr:uid="{00000000-0005-0000-0000-000098010000}"/>
    <cellStyle name="Финансовый 6 2 3" xfId="404" xr:uid="{00000000-0005-0000-0000-000099010000}"/>
    <cellStyle name="Финансовый 6 3" xfId="83" xr:uid="{00000000-0005-0000-0000-00009A010000}"/>
    <cellStyle name="Финансовый 6 3 2" xfId="219" xr:uid="{00000000-0005-0000-0000-00009B010000}"/>
    <cellStyle name="Финансовый 6 3 3" xfId="368" xr:uid="{00000000-0005-0000-0000-00009C010000}"/>
    <cellStyle name="Финансовый 6 4" xfId="175" xr:uid="{00000000-0005-0000-0000-00009D010000}"/>
    <cellStyle name="Финансовый 6 5" xfId="324" xr:uid="{00000000-0005-0000-0000-00009E010000}"/>
    <cellStyle name="Финансовый 7" xfId="89" xr:uid="{00000000-0005-0000-0000-00009F010000}"/>
    <cellStyle name="Финансовый 7 2" xfId="225" xr:uid="{00000000-0005-0000-0000-0000A0010000}"/>
    <cellStyle name="Финансовый 7 3" xfId="374" xr:uid="{00000000-0005-0000-0000-0000A1010000}"/>
    <cellStyle name="Финансовый 8" xfId="95" xr:uid="{00000000-0005-0000-0000-0000A2010000}"/>
    <cellStyle name="Финансовый 8 2" xfId="231" xr:uid="{00000000-0005-0000-0000-0000A3010000}"/>
    <cellStyle name="Финансовый 8 3" xfId="380" xr:uid="{00000000-0005-0000-0000-0000A4010000}"/>
    <cellStyle name="Финансовый 9" xfId="107" xr:uid="{00000000-0005-0000-0000-0000A5010000}"/>
    <cellStyle name="Финансовый 9 2" xfId="243" xr:uid="{00000000-0005-0000-0000-0000A6010000}"/>
    <cellStyle name="Финансовый 9 3" xfId="392" xr:uid="{00000000-0005-0000-0000-0000A701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056;&#1072;&#1073;&#1086;&#1095;&#1080;&#1081;%20&#1089;&#1090;&#1086;&#1083;/123123/22_12_2022_KALBAYEV_AYBEK_MAKSETOVICH_1974_&#1089;&#1087;&#1072;&#1088;&#1082;_30_2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42"/>
  <sheetViews>
    <sheetView view="pageBreakPreview" topLeftCell="A28" zoomScaleNormal="100" zoomScaleSheetLayoutView="100" workbookViewId="0">
      <selection activeCell="A29" sqref="A29"/>
    </sheetView>
  </sheetViews>
  <sheetFormatPr defaultRowHeight="15" x14ac:dyDescent="0.25"/>
  <cols>
    <col min="1" max="1" width="22.85546875" style="65" customWidth="1"/>
    <col min="2" max="2" width="24.28515625" style="65" customWidth="1"/>
    <col min="3" max="3" width="21.28515625" style="65" customWidth="1"/>
    <col min="4" max="4" width="18" style="65" customWidth="1"/>
    <col min="5" max="5" width="25.140625" style="65"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x14ac:dyDescent="0.25">
      <c r="A1" s="235" t="str">
        <f>""&amp;'Общие данные'!B151&amp;"
mikromoliya tashkiloti
Kredit qo‘mitasining yig‘ilishi"</f>
        <v>«CLEVER MIKROMOLIYA TASHKILOTI» MChJ
mikromoliya tashkiloti
Kredit qo‘mitasining yig‘ilishi</v>
      </c>
      <c r="B1" s="235"/>
      <c r="C1" s="235"/>
      <c r="D1" s="235"/>
      <c r="E1" s="235"/>
    </row>
    <row r="2" spans="1:33" ht="29.25" customHeight="1" x14ac:dyDescent="0.25">
      <c r="A2" s="235" t="str">
        <f>""&amp;H7&amp;" protokolidan ko'chirma"</f>
        <v>№492-QRS protokolidan ko'chirma</v>
      </c>
      <c r="B2" s="235"/>
      <c r="C2" s="235"/>
      <c r="D2" s="235"/>
      <c r="E2" s="235"/>
    </row>
    <row r="3" spans="1:33" ht="29.25" customHeight="1" x14ac:dyDescent="0.25">
      <c r="A3" s="144" t="s">
        <v>203</v>
      </c>
      <c r="B3" s="54"/>
      <c r="C3" s="54"/>
      <c r="D3" s="54"/>
      <c r="E3" s="145" t="str">
        <f>'Общие данные'!B68</f>
        <v>28 fevral 2025 y.</v>
      </c>
    </row>
    <row r="4" spans="1:33" ht="21" customHeight="1" x14ac:dyDescent="0.25">
      <c r="A4" s="54"/>
      <c r="B4" s="235" t="s">
        <v>202</v>
      </c>
      <c r="C4" s="235"/>
      <c r="D4" s="235"/>
      <c r="E4" s="54"/>
    </row>
    <row r="5" spans="1:33" ht="28.5" customHeight="1" x14ac:dyDescent="0.25">
      <c r="A5" s="234" t="str">
        <f>"         "&amp;H8&amp;"."&amp;'Общие данные'!B5&amp;" ga "&amp;'Общие данные'!B65&amp;" berish masalasini ko‘rib chiqish to‘g‘risida."</f>
        <v xml:space="preserve">         1.ATAXANOV AKMAL AXMETDJANOVICH ga mikroqarz berish masalasini ko‘rib chiqish to‘g‘risida.</v>
      </c>
      <c r="B5" s="234"/>
      <c r="C5" s="234"/>
      <c r="D5" s="234"/>
      <c r="E5" s="234"/>
    </row>
    <row r="6" spans="1:33" ht="9" customHeight="1" x14ac:dyDescent="0.25"/>
    <row r="7" spans="1:33" ht="21" customHeight="1" x14ac:dyDescent="0.35">
      <c r="A7" s="236" t="str">
        <f>"      "&amp;H9&amp;" masala yuzasidan: «Clever Mikromoliya Tashkiloti» MChJ mikromoliya tashkiloti kredit bo‘yicha menejeri  "&amp;'Общие данные'!B5&amp;"ga "&amp;FIXED('Общие данные'!B76)&amp;" ("&amp;'Общие данные'!B77&amp;") so‘m miqdorida, muddati "&amp;'Общие данные'!B82&amp;" ("&amp;'Общие данные'!B83&amp;") oyga va yillik 60 (Oltmish) foiz miqdorida "&amp;'Общие данные'!B65&amp;" berich bo‘yicha "&amp;'Общие данные'!B5&amp;"ning kredit arizasi va "&amp;'Общие данные'!B151&amp;"ning xulosasi bilan ishtirokchilarni tanishtirdi."</f>
        <v xml:space="preserve">      Birinchi masala yuzasidan: «Clever Mikromoliya Tashkiloti» MChJ mikromoliya tashkiloti kredit bo‘yicha menejeri  ATAXANOV AKMAL AXMETDJANOVICHga 65 000 000,00 (oltmish besh million so'm) so‘m miqdorida, muddati 24 (yigirma to'rt) oyga va yillik 60 (Oltmish) foiz miqdorida mikroqarz berich bo‘yicha ATAXANOV AKMAL AXMETDJANOVICHning kredit arizasi va «CLEVER MIKROMOLIYA TASHKILOTI» MChJning xulosasi bilan ishtirokchilarni tanishtirdi.</v>
      </c>
      <c r="B7" s="236"/>
      <c r="C7" s="236"/>
      <c r="D7" s="236"/>
      <c r="E7" s="236"/>
      <c r="G7" s="66" t="s">
        <v>258</v>
      </c>
      <c r="H7" s="67" t="str">
        <f>'Общие данные'!B1</f>
        <v>№492-QRS</v>
      </c>
    </row>
    <row r="8" spans="1:33" ht="23.25" x14ac:dyDescent="0.35">
      <c r="A8" s="236"/>
      <c r="B8" s="236"/>
      <c r="C8" s="236"/>
      <c r="D8" s="236"/>
      <c r="E8" s="236"/>
      <c r="G8" s="66" t="s">
        <v>259</v>
      </c>
      <c r="H8" s="67">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9.25" customHeight="1" x14ac:dyDescent="0.35">
      <c r="A9" s="236"/>
      <c r="B9" s="236"/>
      <c r="C9" s="236"/>
      <c r="D9" s="236"/>
      <c r="E9" s="236"/>
      <c r="G9" s="66" t="s">
        <v>260</v>
      </c>
      <c r="H9" s="67" t="str">
        <f>IF(H8=I8,I9,IF(H8=J8,J9,IF(H8=K8,K9,IF(H8=L8,L9,IF(H8=M8,M9,IF(H8=N8,N9,IF(H8=O8,O9,IF(H8=P8,P9,IF(H8=Q8,Q9,IF(H8=R8,R9,IF(H8=S8,S9,IF(H8=T8,T9,IF(H8=U8,U9,IF(H8=V8,V9,IF(H8=W8,W9,IF(H8=X8,X9,IF(H8=Y8,Y9,IF(H8=Z8,Z9,IF(H8=AA8,AA9,IF(H8=AB8,AB9,IF(H8=AC8,AC9,IF(H8=AD8,AD9,IF(H8=AE8,AE9,IF(H8=AF8,AF9,IF(H8=AG8,AG9)))))))))))))))))))))))))</f>
        <v>Birinchi</v>
      </c>
      <c r="I9" s="166" t="s">
        <v>190</v>
      </c>
      <c r="J9" s="167" t="s">
        <v>191</v>
      </c>
      <c r="K9" s="167" t="s">
        <v>192</v>
      </c>
      <c r="L9" s="167" t="s">
        <v>370</v>
      </c>
      <c r="M9" s="167" t="s">
        <v>193</v>
      </c>
      <c r="N9" s="167" t="s">
        <v>371</v>
      </c>
      <c r="O9" s="167" t="s">
        <v>194</v>
      </c>
      <c r="P9" s="167" t="s">
        <v>195</v>
      </c>
      <c r="Q9" s="167" t="s">
        <v>196</v>
      </c>
      <c r="R9" s="167" t="s">
        <v>360</v>
      </c>
      <c r="S9" s="167" t="s">
        <v>361</v>
      </c>
      <c r="T9" s="167" t="s">
        <v>362</v>
      </c>
      <c r="U9" s="167" t="s">
        <v>363</v>
      </c>
      <c r="V9" s="167" t="s">
        <v>372</v>
      </c>
      <c r="W9" s="167" t="s">
        <v>364</v>
      </c>
      <c r="X9" s="167" t="s">
        <v>365</v>
      </c>
      <c r="Y9" s="167" t="s">
        <v>366</v>
      </c>
      <c r="Z9" s="167" t="s">
        <v>367</v>
      </c>
      <c r="AA9" s="167" t="s">
        <v>368</v>
      </c>
      <c r="AB9" s="167" t="s">
        <v>197</v>
      </c>
      <c r="AC9" s="167" t="s">
        <v>198</v>
      </c>
      <c r="AD9" s="167" t="s">
        <v>199</v>
      </c>
      <c r="AE9" s="167" t="s">
        <v>200</v>
      </c>
      <c r="AF9" s="167" t="s">
        <v>369</v>
      </c>
      <c r="AG9" s="167" t="s">
        <v>201</v>
      </c>
    </row>
    <row r="10" spans="1:33" ht="10.5" hidden="1" customHeight="1" x14ac:dyDescent="0.25">
      <c r="A10" s="236"/>
      <c r="B10" s="236"/>
      <c r="C10" s="236"/>
      <c r="D10" s="236"/>
      <c r="E10" s="236"/>
    </row>
    <row r="11" spans="1:33" ht="9" hidden="1" customHeight="1" x14ac:dyDescent="0.25">
      <c r="A11" s="236"/>
      <c r="B11" s="236"/>
      <c r="C11" s="236"/>
      <c r="D11" s="236"/>
      <c r="E11" s="236"/>
    </row>
    <row r="12" spans="1:33" ht="3" hidden="1" customHeight="1" x14ac:dyDescent="0.25">
      <c r="A12" s="236"/>
      <c r="B12" s="236"/>
      <c r="C12" s="236"/>
      <c r="D12" s="236"/>
      <c r="E12" s="236"/>
    </row>
    <row r="13" spans="1:33" ht="7.5" customHeight="1" x14ac:dyDescent="0.25"/>
    <row r="14" spans="1:33" ht="15.75" customHeight="1" x14ac:dyDescent="0.25">
      <c r="A14" s="237" t="str">
        <f>""&amp;'Общие данные'!C64&amp;" ta’minoti:"</f>
        <v>Mikroqarz ta’minoti:</v>
      </c>
      <c r="B14" s="237"/>
      <c r="C14" s="237"/>
      <c r="D14" s="237"/>
      <c r="E14" s="237"/>
    </row>
    <row r="15" spans="1:33" ht="7.5" customHeight="1" x14ac:dyDescent="0.25"/>
    <row r="16" spans="1:33" ht="64.5" customHeight="1" x14ac:dyDescent="0.25">
      <c r="A16" s="236" t="str">
        <f>'Заключение КК'!A18:E18</f>
        <v xml:space="preserve">1.   Egalik huquqi BOBONAZAROV ASLBEK AKRAM O'G'LIga tegishli bo'lgan garovga olingan avtomobil markasi   DAMAS-2, rangi -  OQ SUMMIT WHITE, ishlab chiqarilgan yili - 2024, davlat raqam belgisi 80X089BB, kuzov turi - YENGIL SEDAN, kuzov raqami XWB7T12YDRP863654, dvigatel raqami F8CB240180255, shassi raqami -  - </v>
      </c>
      <c r="B16" s="236"/>
      <c r="C16" s="236"/>
      <c r="D16" s="236"/>
      <c r="E16" s="236"/>
    </row>
    <row r="17" spans="1:5" ht="31.9" customHeight="1" x14ac:dyDescent="0.25">
      <c r="A17" s="237" t="str">
        <f>"2. «"&amp;'Общие данные'!B147&amp;"» АJ sug‘urta kompaniyasi tomonidan Mikroqarz to'lamaslik xavfini "&amp;FIXED('Общие данные'!B148,2)&amp;"("&amp;'Общие данные'!B149&amp;") so ' m miqdoriga sug’urta qilish"</f>
        <v>2. «АО СК "IMPEX INSURANCE"» АJ sug‘urta kompaniyasi tomonidan Mikroqarz to'lamaslik xavfini 15 000 000,00(o'n besh million so'm) so ' m miqdoriga sug’urta qilish</v>
      </c>
      <c r="B17" s="237"/>
      <c r="C17" s="237"/>
      <c r="D17" s="237"/>
      <c r="E17" s="237"/>
    </row>
    <row r="18" spans="1:5" ht="17.25" customHeight="1" x14ac:dyDescent="0.25">
      <c r="C18" s="168" t="s">
        <v>379</v>
      </c>
      <c r="D18" s="168" t="str">
        <f>""&amp;'Общие данные'!B151&amp;" kredit qo‘mitasi"</f>
        <v>«CLEVER MIKROMOLIYA TASHKILOTI» MChJ kredit qo‘mitasi</v>
      </c>
      <c r="E18" s="168" t="str">
        <f>CONCATENATE(C18,D18)</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9" spans="1:5" ht="54" customHeight="1" x14ac:dyDescent="0.25">
      <c r="A19" s="236" t="str">
        <f>CONCATENATE(H9,E18)</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9" s="236"/>
      <c r="C19" s="236"/>
      <c r="D19" s="236"/>
      <c r="E19" s="236"/>
    </row>
    <row r="20" spans="1:5" ht="24" customHeight="1" x14ac:dyDescent="0.25">
      <c r="A20" s="238" t="s">
        <v>261</v>
      </c>
      <c r="B20" s="238"/>
      <c r="C20" s="238"/>
      <c r="D20" s="238"/>
      <c r="E20" s="238"/>
    </row>
    <row r="21" spans="1:5" ht="32.25" customHeight="1" x14ac:dyDescent="0.25">
      <c r="A21" s="236" t="str">
        <f>"       "&amp;'Общие данные'!B5&amp;"ga quyidagi shartlarda "&amp;'Общие данные'!B65&amp;" berish masalasi ma’qullansin:"</f>
        <v xml:space="preserve">       ATAXANOV AKMAL AXMETDJANOVICHga quyidagi shartlarda mikroqarz berish masalasi ma’qullansin:</v>
      </c>
      <c r="B21" s="236"/>
      <c r="C21" s="236"/>
      <c r="D21" s="236"/>
      <c r="E21" s="236"/>
    </row>
    <row r="22" spans="1:5" s="146" customFormat="1" ht="18.75" customHeight="1" x14ac:dyDescent="0.25">
      <c r="A22" s="234" t="str">
        <f>"1. "&amp;'Общие данные'!C64&amp;" summasi: "&amp;FIXED('Общие данные'!B76)&amp;" ("&amp;'Общие данные'!B77&amp;") so'm."</f>
        <v>1. Mikroqarz summasi: 65 000 000,00 (oltmish besh million so'm) so'm.</v>
      </c>
      <c r="B22" s="234"/>
      <c r="C22" s="234"/>
      <c r="D22" s="234"/>
      <c r="E22" s="234"/>
    </row>
    <row r="23" spans="1:5" s="146" customFormat="1" ht="18.75" customHeight="1" x14ac:dyDescent="0.25">
      <c r="A23" s="234" t="str">
        <f>"2. "&amp;'Общие данные'!C64&amp;" muddati: "&amp;'Общие данные'!B82&amp;" ("&amp;'Общие данные'!B83&amp;") oy "</f>
        <v xml:space="preserve">2. Mikroqarz muddati: 24 (yigirma to'rt) oy </v>
      </c>
      <c r="B23" s="234"/>
      <c r="C23" s="234"/>
      <c r="D23" s="234"/>
      <c r="E23" s="234"/>
    </row>
    <row r="24" spans="1:5" s="146" customFormat="1" ht="18.75" customHeight="1" x14ac:dyDescent="0.25">
      <c r="A24" s="234" t="str">
        <f>"3. "&amp;'Общие данные'!C64&amp;"dan foydalanganlik uchun foiz stavkasi:yillik "&amp;'Общие данные'!B86&amp;"% ("&amp;'Общие данные'!B87&amp;") foiz."</f>
        <v>3. Mikroqarzdan foydalanganlik uchun foiz stavkasi:yillik 60% (Oltmish) foiz.</v>
      </c>
      <c r="B24" s="234"/>
      <c r="C24" s="234"/>
      <c r="D24" s="234"/>
      <c r="E24" s="234"/>
    </row>
    <row r="25" spans="1:5" s="146" customFormat="1" ht="18.75" customHeight="1" x14ac:dyDescent="0.25">
      <c r="A25" s="234" t="str">
        <f>"4. "&amp;'Общие данные'!C64&amp;" bo‘yicha asosiy qarz va foizlarni to‘lash:"</f>
        <v>4. Mikroqarz bo‘yicha asosiy qarz va foizlarni to‘lash:</v>
      </c>
      <c r="B25" s="234"/>
      <c r="C25" s="234"/>
      <c r="D25" s="234"/>
      <c r="E25" s="234"/>
    </row>
    <row r="26" spans="1:5" s="146" customFormat="1" ht="18.75" customHeight="1" x14ac:dyDescent="0.25">
      <c r="A26" s="234" t="str">
        <f>'Кредитная заявка'!A19:D19</f>
        <v xml:space="preserve"> - mikroqarz shartnomasi bo'yicha har oy differensial to'lovlari amalga oshiriladi</v>
      </c>
      <c r="B26" s="234"/>
      <c r="C26" s="234"/>
      <c r="D26" s="234"/>
      <c r="E26" s="234"/>
    </row>
    <row r="27" spans="1:5" s="146" customFormat="1" ht="18.75" customHeight="1" x14ac:dyDescent="0.25">
      <c r="A27" s="234" t="s">
        <v>402</v>
      </c>
      <c r="B27" s="234"/>
      <c r="C27" s="234"/>
      <c r="D27" s="234"/>
      <c r="E27" s="234"/>
    </row>
    <row r="28" spans="1:5" ht="48" customHeight="1" x14ac:dyDescent="0.25">
      <c r="A28" s="236" t="str">
        <f>"1. garov  "&amp;'Заключение КК'!A29:E29&amp;""</f>
        <v>1. garov   - BOBONAZAROV ASLBEK AKRAM O'G'LI ga mulk huquqi asosida tegishli avtotransport vositasi DAMAS-2 , quyidagi tafsilotlarga muvofiq:</v>
      </c>
      <c r="B28" s="236"/>
      <c r="C28" s="236"/>
      <c r="D28" s="236"/>
      <c r="E28" s="236"/>
    </row>
    <row r="29" spans="1:5" ht="40.5" customHeight="1" x14ac:dyDescent="0.25">
      <c r="A29" s="18" t="str">
        <f>'Акт согласования'!A29</f>
        <v>Nomi</v>
      </c>
      <c r="B29" s="18" t="str">
        <f>'Акт согласования'!B29</f>
        <v>Kuzov turi  va kuzov raqami*</v>
      </c>
      <c r="C29" s="18" t="str">
        <f>'Акт согласования'!C29</f>
        <v>Dvigatel va shassi raqami*</v>
      </c>
      <c r="D29" s="18" t="str">
        <f>'Акт согласования'!D29</f>
        <v>Ishlab chiqarilgan yili va rangi*</v>
      </c>
      <c r="E29" s="18" t="str">
        <f>'Акт согласования'!E29</f>
        <v>Kelishilgan garov qiymati, so'm</v>
      </c>
    </row>
    <row r="30" spans="1:5" ht="75.75" customHeight="1" x14ac:dyDescent="0.25">
      <c r="A30" s="18" t="str">
        <f>'Акт согласования'!A30</f>
        <v>DAMAS-2</v>
      </c>
      <c r="B30" s="18" t="str">
        <f>'Акт согласования'!B30</f>
        <v>kuzov turi - YENGIL SEDAN, kuzov raqami XWB7T12YDRP863654</v>
      </c>
      <c r="C30" s="18" t="str">
        <f>'Акт согласования'!C30</f>
        <v xml:space="preserve">dvigatel raqami F8CB240180255, shassi raqami -  - </v>
      </c>
      <c r="D30" s="18" t="str">
        <f>'Акт согласования'!D30</f>
        <v>rangi -  OQ SUMMIT WHITE, ishlab chiqarilgan yili - 2024</v>
      </c>
      <c r="E30" s="18" t="str">
        <f>'Акт согласования'!E30</f>
        <v>97 500 000,00 
(to'qson yetti million besh yuz ming so'm)</v>
      </c>
    </row>
    <row r="31" spans="1:5" ht="20.25" customHeight="1" x14ac:dyDescent="0.25">
      <c r="A31" s="236" t="str">
        <f>'Акт согласования'!A22:E22</f>
        <v>-* avtotransport egasi: BOBONAZAROV ASLBEK AKRAM O'G'LI</v>
      </c>
      <c r="B31" s="236"/>
      <c r="C31" s="236"/>
      <c r="D31" s="236"/>
      <c r="E31" s="236"/>
    </row>
    <row r="32" spans="1:5" ht="20.25" customHeight="1" x14ac:dyDescent="0.25">
      <c r="A32" s="236" t="str">
        <f>'Акт согласования'!A23:E23</f>
        <v>-* texnik pasport: AAG 5348590 25.12.2024y.</v>
      </c>
      <c r="B32" s="236"/>
      <c r="C32" s="236"/>
      <c r="D32" s="236"/>
      <c r="E32" s="236"/>
    </row>
    <row r="33" spans="1:5" ht="34.5" customHeight="1" x14ac:dyDescent="0.25">
      <c r="A33" s="236" t="str">
        <f>'Акт согласования'!A24:E24</f>
        <v>-* roʻyxatdan oʻtgan manzili/garaj manzili: BUXORO VILOYATI QORAKO'L TUMANI ZARAFSHON MFY GULISTON 21 UY</v>
      </c>
      <c r="B33" s="236"/>
      <c r="C33" s="236"/>
      <c r="D33" s="236"/>
      <c r="E33" s="236"/>
    </row>
    <row r="34" spans="1:5" ht="22.5" customHeight="1" x14ac:dyDescent="0.25">
      <c r="A34" s="236" t="str">
        <f>'Акт согласования'!A25:E25</f>
        <v>-* davlat raqami: 80X089BB</v>
      </c>
      <c r="B34" s="236"/>
      <c r="C34" s="236"/>
      <c r="D34" s="236"/>
      <c r="E34" s="236"/>
    </row>
    <row r="35" spans="1:5" ht="12" customHeight="1" x14ac:dyDescent="0.25">
      <c r="A35" s="147"/>
      <c r="B35" s="147"/>
      <c r="C35" s="147"/>
      <c r="D35" s="147"/>
      <c r="E35" s="147"/>
    </row>
    <row r="36" spans="1:5" ht="34.9" customHeight="1" x14ac:dyDescent="0.25">
      <c r="A36" s="236" t="str">
        <f>"6. «"&amp;'Общие данные'!B147&amp;"» АJ sug‘urta kompaniyasi tomonidan Mikroqarz to'lamaslik xavfini "&amp;FIXED('Общие данные'!B148,2)&amp;"("&amp;'Общие данные'!B149&amp;") so ' m miqdoriga sug’urta qilish"</f>
        <v>6. «АО СК "IMPEX INSURANCE"» АJ sug‘urta kompaniyasi tomonidan Mikroqarz to'lamaslik xavfini 15 000 000,00(o'n besh million so'm) so ' m miqdoriga sug’urta qilish</v>
      </c>
      <c r="B36" s="236"/>
      <c r="C36" s="236"/>
      <c r="D36" s="236"/>
      <c r="E36" s="236"/>
    </row>
    <row r="37" spans="1:5" ht="22.5" customHeight="1" x14ac:dyDescent="0.25">
      <c r="A37" s="236" t="str">
        <f>"7. Boshqa shartlar – "&amp;IF('Общие данные'!B104='Общие данные'!B105,"avtotransport vositasi",IF('Общие данные'!B104='Общие данные'!C105,"ko'chmas mulk",0))&amp;" shaklida garov ta'minlangandan keyin "&amp;'Общие данные'!B65&amp;" berish."</f>
        <v>7. Boshqa shartlar – 0 shaklida garov ta'minlangandan keyin mikroqarz berish.</v>
      </c>
      <c r="B37" s="236"/>
      <c r="C37" s="236"/>
      <c r="D37" s="236"/>
      <c r="E37" s="236"/>
    </row>
    <row r="39" spans="1:5" ht="29.25" customHeight="1" x14ac:dyDescent="0.25">
      <c r="A39" s="239" t="s">
        <v>262</v>
      </c>
      <c r="B39" s="239"/>
      <c r="C39" s="239"/>
      <c r="D39" s="239"/>
      <c r="E39" s="239"/>
    </row>
    <row r="40" spans="1:5" ht="29.25" customHeight="1" x14ac:dyDescent="0.25">
      <c r="A40" s="233" t="s">
        <v>395</v>
      </c>
      <c r="B40" s="233"/>
      <c r="C40" s="177"/>
      <c r="D40" s="178"/>
      <c r="E40" s="178"/>
    </row>
    <row r="41" spans="1:5" ht="29.25" customHeight="1" x14ac:dyDescent="0.25">
      <c r="A41" s="240" t="str">
        <f>"2. "&amp;'Общие данные'!B163&amp;""</f>
        <v>2. Mominov B.X.</v>
      </c>
      <c r="B41" s="240"/>
      <c r="C41" s="177"/>
      <c r="D41" s="179"/>
      <c r="E41" s="179"/>
    </row>
    <row r="42" spans="1:5" ht="29.25" customHeight="1" x14ac:dyDescent="0.25">
      <c r="A42" s="233" t="str">
        <f>"3. "&amp;'Общие данные'!B164&amp;""</f>
        <v>3. Jumanazarov B.T.</v>
      </c>
      <c r="B42" s="233"/>
      <c r="C42" s="143"/>
      <c r="D42" s="180"/>
      <c r="E42" s="180"/>
    </row>
  </sheetData>
  <mergeCells count="28">
    <mergeCell ref="A17:E17"/>
    <mergeCell ref="A27:E27"/>
    <mergeCell ref="A39:E39"/>
    <mergeCell ref="A40:B40"/>
    <mergeCell ref="A41:B41"/>
    <mergeCell ref="A34:E34"/>
    <mergeCell ref="A28:E28"/>
    <mergeCell ref="A31:E31"/>
    <mergeCell ref="A32:E32"/>
    <mergeCell ref="A33:E33"/>
    <mergeCell ref="A37:E37"/>
    <mergeCell ref="A36:E36"/>
    <mergeCell ref="A42:B42"/>
    <mergeCell ref="A23:E23"/>
    <mergeCell ref="A1:E1"/>
    <mergeCell ref="A2:E2"/>
    <mergeCell ref="B4:D4"/>
    <mergeCell ref="A5:E5"/>
    <mergeCell ref="A7:E12"/>
    <mergeCell ref="A14:E14"/>
    <mergeCell ref="A16:E16"/>
    <mergeCell ref="A19:E19"/>
    <mergeCell ref="A20:E20"/>
    <mergeCell ref="A21:E21"/>
    <mergeCell ref="A22:E22"/>
    <mergeCell ref="A24:E24"/>
    <mergeCell ref="A25:E25"/>
    <mergeCell ref="A26:E26"/>
  </mergeCells>
  <pageMargins left="0.70866141732283472" right="0.70866141732283472" top="0.74803149606299213" bottom="0.74803149606299213" header="0.31496062992125984" footer="0.31496062992125984"/>
  <pageSetup paperSize="9" scale="68" orientation="portrait" verticalDpi="300"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x14ac:dyDescent="0.25"/>
  <cols>
    <col min="1" max="1" width="9.140625" style="98"/>
    <col min="2" max="2" width="12.28515625" style="98" customWidth="1"/>
    <col min="3" max="3" width="16.5703125" style="98" customWidth="1"/>
    <col min="4" max="4" width="16.7109375" style="98" customWidth="1"/>
    <col min="5" max="5" width="16.5703125" style="98" customWidth="1"/>
    <col min="6" max="6" width="20.85546875" style="98" customWidth="1"/>
    <col min="7" max="7" width="10.140625" style="98" customWidth="1" outlineLevel="1"/>
    <col min="8" max="8" width="19.140625" style="98" customWidth="1"/>
    <col min="9" max="9" width="21.42578125" style="98" customWidth="1"/>
    <col min="10" max="10" width="20.85546875" style="98" customWidth="1"/>
    <col min="11" max="11" width="20.140625" style="98" customWidth="1"/>
    <col min="12" max="12" width="21.42578125" style="98" customWidth="1"/>
    <col min="13" max="13" width="25.42578125" style="98" customWidth="1"/>
    <col min="14" max="14" width="18.28515625" style="98" customWidth="1"/>
    <col min="15" max="17" width="9.140625" style="16"/>
    <col min="18" max="18" width="24.42578125" style="16" customWidth="1"/>
    <col min="19" max="16384" width="9.140625" style="16"/>
  </cols>
  <sheetData>
    <row r="1" spans="1:22" x14ac:dyDescent="0.25">
      <c r="A1" s="97"/>
      <c r="B1" s="97"/>
      <c r="C1" s="97"/>
      <c r="D1" s="97"/>
      <c r="E1" s="241" t="s">
        <v>16</v>
      </c>
      <c r="F1" s="241"/>
    </row>
    <row r="2" spans="1:22" x14ac:dyDescent="0.25">
      <c r="A2" s="97"/>
      <c r="B2" s="97"/>
      <c r="C2" s="97"/>
      <c r="D2" s="97"/>
      <c r="E2" s="97"/>
      <c r="F2" s="99" t="str">
        <f>"к договору микрозайма "&amp;'Общие данные'!B74&amp;""</f>
        <v>к договору микрозайма 28 fevral 2025 y.dan №492-QRS</v>
      </c>
    </row>
    <row r="3" spans="1:22" ht="19.5" customHeight="1" x14ac:dyDescent="0.25">
      <c r="A3" s="97"/>
      <c r="B3" s="97"/>
      <c r="C3" s="97"/>
      <c r="D3" s="97"/>
      <c r="E3" s="97"/>
      <c r="F3" s="97"/>
      <c r="H3" s="100"/>
      <c r="I3" s="100"/>
      <c r="J3" s="101"/>
      <c r="K3" s="101"/>
    </row>
    <row r="4" spans="1:22" ht="19.5" customHeight="1" x14ac:dyDescent="0.25">
      <c r="A4" s="242" t="s">
        <v>17</v>
      </c>
      <c r="B4" s="242"/>
      <c r="C4" s="242"/>
      <c r="D4" s="242"/>
      <c r="E4" s="242"/>
      <c r="F4" s="242"/>
      <c r="H4" s="100"/>
      <c r="I4" s="100"/>
      <c r="J4" s="100"/>
      <c r="K4" s="100"/>
    </row>
    <row r="5" spans="1:22" ht="19.5" customHeight="1" x14ac:dyDescent="0.25">
      <c r="L5" s="98">
        <f>'Общие данные'!B82</f>
        <v>24</v>
      </c>
    </row>
    <row r="6" spans="1:22" x14ac:dyDescent="0.25">
      <c r="A6" s="243" t="s">
        <v>15</v>
      </c>
      <c r="B6" s="244" t="s">
        <v>9</v>
      </c>
      <c r="C6" s="244" t="s">
        <v>10</v>
      </c>
      <c r="D6" s="245" t="s">
        <v>11</v>
      </c>
      <c r="E6" s="245"/>
      <c r="F6" s="245"/>
    </row>
    <row r="7" spans="1:22" s="17" customFormat="1" x14ac:dyDescent="0.25">
      <c r="A7" s="243"/>
      <c r="B7" s="244"/>
      <c r="C7" s="244"/>
      <c r="D7" s="102" t="s">
        <v>12</v>
      </c>
      <c r="E7" s="102" t="s">
        <v>13</v>
      </c>
      <c r="F7" s="102" t="s">
        <v>14</v>
      </c>
      <c r="G7" s="103"/>
      <c r="H7" s="103"/>
      <c r="I7" s="103"/>
      <c r="J7" s="103"/>
      <c r="K7" s="103"/>
      <c r="L7" s="103"/>
      <c r="M7" s="103"/>
      <c r="N7" s="103"/>
    </row>
    <row r="8" spans="1:22" x14ac:dyDescent="0.25">
      <c r="A8" s="104">
        <v>1</v>
      </c>
      <c r="B8" s="105">
        <f>'Общие данные'!B80</f>
        <v>45733</v>
      </c>
      <c r="C8" s="55">
        <f>'Общие данные'!B76</f>
        <v>65000000</v>
      </c>
      <c r="D8" s="55">
        <f>IF(IF(C8=0,L8,IF(C8&gt;1,I8))="",0,(IF(C8=0,L8,IF(C8&gt;1,I8))))</f>
        <v>2708333.33</v>
      </c>
      <c r="E8" s="55">
        <f>IF(C8=0,N6,IF(C8&gt;1,L8))</f>
        <v>1816438.4400000002</v>
      </c>
      <c r="F8" s="55">
        <f>IF(C8=0,O6,IF(C8&gt;1,M8))</f>
        <v>4524771.7700000005</v>
      </c>
      <c r="G8" s="118">
        <f>B8-'Общие данные'!B67</f>
        <v>17</v>
      </c>
      <c r="H8" s="98">
        <f>DATE(YEAR(B8),12,31)-DATE(YEAR(B8),1,1)+1</f>
        <v>365</v>
      </c>
      <c r="I8" s="106">
        <f>IF('Общие данные'!B84=0,ROUND(C8/L5,2),"")</f>
        <v>2708333.33</v>
      </c>
      <c r="J8" s="106"/>
      <c r="K8" s="106"/>
      <c r="L8" s="100">
        <f>ROUND(C8*'Общие данные'!$B$85/H8,2)*G8</f>
        <v>1816438.4400000002</v>
      </c>
      <c r="M8" s="100">
        <f t="shared" ref="M8:M31" si="0">D8+E8</f>
        <v>4524771.7700000005</v>
      </c>
      <c r="N8" s="100"/>
      <c r="O8" s="115" t="str">
        <f>TEXT(B8,"ддд")</f>
        <v>Пн</v>
      </c>
      <c r="P8" s="117">
        <f>IF(O8=$U$8,2,IF(O8=$V$8,1,0))</f>
        <v>0</v>
      </c>
      <c r="Q8" s="117">
        <f>DAY('Общие данные'!$B$79)+P8</f>
        <v>15</v>
      </c>
      <c r="R8" s="112"/>
      <c r="S8" s="113" t="s">
        <v>32</v>
      </c>
      <c r="T8" s="113" t="s">
        <v>33</v>
      </c>
      <c r="U8" s="113" t="s">
        <v>34</v>
      </c>
      <c r="V8" s="114" t="s">
        <v>35</v>
      </c>
    </row>
    <row r="9" spans="1:22" x14ac:dyDescent="0.25">
      <c r="A9" s="104">
        <v>2</v>
      </c>
      <c r="B9" s="105">
        <f>IF(A9&lt;='Общие данные'!$B$82,DATE(YEAR(R9),MONTH(R9),DAY(IF(A9='Общие данные'!$B$82,'Общие данные'!$B$67,IF(A9&lt;'Общие данные'!$B$82,(Q9),IF(A9&gt;'Общие данные'!$B$82,$H$44,0))))))</f>
        <v>45762</v>
      </c>
      <c r="C9" s="55">
        <f t="shared" ref="C9:C30" si="1">C8-D8</f>
        <v>62291666.670000002</v>
      </c>
      <c r="D9" s="55">
        <f t="shared" ref="D9:D30" si="2">IF(C9=0,L9,IF(C9&gt;1,I9))</f>
        <v>2708333.33</v>
      </c>
      <c r="E9" s="55">
        <f t="shared" ref="E9:E30" si="3">IF(C9=0,N8,IF(C9&gt;1,L9))</f>
        <v>2969520.54</v>
      </c>
      <c r="F9" s="55">
        <f t="shared" ref="F9:F30" si="4">IF(C9=0,N8,IF(C9&gt;1,M9))</f>
        <v>5677853.8700000001</v>
      </c>
      <c r="G9" s="98">
        <f>B9-B8</f>
        <v>29</v>
      </c>
      <c r="H9" s="98">
        <f t="shared" ref="H9:H31" si="5">DATE(YEAR(B9),12,31)-DATE(YEAR(B9),1,1)+1</f>
        <v>365</v>
      </c>
      <c r="I9" s="106">
        <f>IF(I8="",ROUND(C8/(L5-1),2),I8)</f>
        <v>2708333.33</v>
      </c>
      <c r="J9" s="106"/>
      <c r="K9" s="106"/>
      <c r="L9" s="100">
        <f>ROUND(C9*'Общие данные'!$B$85/H9,2)*G9</f>
        <v>2969520.54</v>
      </c>
      <c r="M9" s="100">
        <f t="shared" si="0"/>
        <v>5677853.8700000001</v>
      </c>
      <c r="N9" s="100"/>
      <c r="O9" s="115" t="str">
        <f>TEXT(R9,"ддд")</f>
        <v>Вт</v>
      </c>
      <c r="P9" s="117">
        <f t="shared" ref="P9:P31" si="6">IF(O9=$U$8,2,IF(O9=$V$8,1,0))</f>
        <v>0</v>
      </c>
      <c r="Q9" s="117">
        <f>DAY('Общие данные'!$B$79)+P9</f>
        <v>15</v>
      </c>
      <c r="R9" s="112">
        <f>IF(A9&lt;='Общие данные'!$B$82,DATE(YEAR($B$8),MONTH($B$8)+A8,DAY('Общие данные'!$B$79)),0)</f>
        <v>45762</v>
      </c>
      <c r="S9" s="98"/>
      <c r="T9" s="98"/>
      <c r="U9" s="98"/>
      <c r="V9" s="98"/>
    </row>
    <row r="10" spans="1:22" x14ac:dyDescent="0.25">
      <c r="A10" s="104">
        <v>3</v>
      </c>
      <c r="B10" s="105">
        <f>IF(A10&lt;='Общие данные'!$B$82,DATE(YEAR(R10),MONTH(R10),DAY(IF(A10='Общие данные'!$B$82,'Общие данные'!$B$67,IF(A10&lt;'Общие данные'!$B$82,(Q10),IF(A10&gt;'Общие данные'!$B$82,$H$44,0))))))</f>
        <v>45792</v>
      </c>
      <c r="C10" s="55">
        <f t="shared" si="1"/>
        <v>59583333.340000004</v>
      </c>
      <c r="D10" s="55">
        <f t="shared" si="2"/>
        <v>2708333.33</v>
      </c>
      <c r="E10" s="55">
        <f t="shared" si="3"/>
        <v>2938356.3000000003</v>
      </c>
      <c r="F10" s="55">
        <f t="shared" si="4"/>
        <v>5646689.6300000008</v>
      </c>
      <c r="G10" s="98">
        <f t="shared" ref="G10:G31" si="7">B10-B9</f>
        <v>30</v>
      </c>
      <c r="H10" s="98">
        <f t="shared" si="5"/>
        <v>365</v>
      </c>
      <c r="I10" s="106">
        <f>I9</f>
        <v>2708333.33</v>
      </c>
      <c r="J10" s="106"/>
      <c r="K10" s="106"/>
      <c r="L10" s="100">
        <f>ROUND(C10*'Общие данные'!$B$85/H10,2)*G10</f>
        <v>2938356.3000000003</v>
      </c>
      <c r="M10" s="100">
        <f t="shared" si="0"/>
        <v>5646689.6300000008</v>
      </c>
      <c r="N10" s="100"/>
      <c r="O10" s="115" t="str">
        <f t="shared" ref="O10:O31" si="8">TEXT(R10,"ддд")</f>
        <v>Чт</v>
      </c>
      <c r="P10" s="117">
        <f t="shared" si="6"/>
        <v>0</v>
      </c>
      <c r="Q10" s="117">
        <f>DAY('Общие данные'!$B$79)+P10</f>
        <v>15</v>
      </c>
      <c r="R10" s="112">
        <f>IF(A10&lt;='Общие данные'!$B$82,DATE(YEAR($B$8),MONTH($B$8)+A9,DAY('Общие данные'!$B$79)),0)</f>
        <v>45792</v>
      </c>
      <c r="S10" s="98"/>
      <c r="T10" s="98"/>
      <c r="U10" s="98"/>
      <c r="V10" s="98"/>
    </row>
    <row r="11" spans="1:22" x14ac:dyDescent="0.25">
      <c r="A11" s="104">
        <v>4</v>
      </c>
      <c r="B11" s="105">
        <f>IF(A11&lt;='Общие данные'!$B$82,DATE(YEAR(R11),MONTH(R11),DAY(IF(A11='Общие данные'!$B$82,'Общие данные'!$B$67,IF(A11&lt;'Общие данные'!$B$82,(Q11),IF(A11&gt;'Общие данные'!$B$82,$H$44,0))))))</f>
        <v>45824</v>
      </c>
      <c r="C11" s="55">
        <f t="shared" si="1"/>
        <v>56875000.010000005</v>
      </c>
      <c r="D11" s="55">
        <f t="shared" si="2"/>
        <v>2708333.33</v>
      </c>
      <c r="E11" s="55">
        <f t="shared" si="3"/>
        <v>2991780.8</v>
      </c>
      <c r="F11" s="55">
        <f t="shared" si="4"/>
        <v>5700114.1299999999</v>
      </c>
      <c r="G11" s="98">
        <f t="shared" si="7"/>
        <v>32</v>
      </c>
      <c r="H11" s="98">
        <f t="shared" si="5"/>
        <v>365</v>
      </c>
      <c r="I11" s="106">
        <f>I10</f>
        <v>2708333.33</v>
      </c>
      <c r="J11" s="106"/>
      <c r="K11" s="106"/>
      <c r="L11" s="100">
        <f>ROUND(C11*'Общие данные'!$B$85/H11,2)*G11</f>
        <v>2991780.8</v>
      </c>
      <c r="M11" s="100">
        <f t="shared" si="0"/>
        <v>5700114.1299999999</v>
      </c>
      <c r="N11" s="100"/>
      <c r="O11" s="115" t="str">
        <f t="shared" si="8"/>
        <v>Вс</v>
      </c>
      <c r="P11" s="117">
        <f t="shared" si="6"/>
        <v>1</v>
      </c>
      <c r="Q11" s="117">
        <f>DAY('Общие данные'!$B$79)+P11</f>
        <v>16</v>
      </c>
      <c r="R11" s="112">
        <f>IF(A11&lt;='Общие данные'!$B$82,DATE(YEAR($B$8),MONTH($B$8)+A10,DAY('Общие данные'!$B$79)),0)</f>
        <v>45823</v>
      </c>
      <c r="S11" s="98"/>
      <c r="T11" s="98"/>
      <c r="U11" s="98"/>
      <c r="V11" s="98"/>
    </row>
    <row r="12" spans="1:22" x14ac:dyDescent="0.25">
      <c r="A12" s="104">
        <v>5</v>
      </c>
      <c r="B12" s="105">
        <f>IF(A12&lt;='Общие данные'!$B$82,DATE(YEAR(R12),MONTH(R12),DAY(IF(A12='Общие данные'!$B$82,'Общие данные'!$B$67,IF(A12&lt;'Общие данные'!$B$82,(Q12),IF(A12&gt;'Общие данные'!$B$82,$H$44,0))))))</f>
        <v>45853</v>
      </c>
      <c r="C12" s="55">
        <f t="shared" si="1"/>
        <v>54166666.680000007</v>
      </c>
      <c r="D12" s="55">
        <f t="shared" si="2"/>
        <v>2708333.33</v>
      </c>
      <c r="E12" s="55">
        <f t="shared" si="3"/>
        <v>2582191.9000000004</v>
      </c>
      <c r="F12" s="55">
        <f t="shared" si="4"/>
        <v>5290525.2300000004</v>
      </c>
      <c r="G12" s="98">
        <f t="shared" si="7"/>
        <v>29</v>
      </c>
      <c r="H12" s="98">
        <f t="shared" si="5"/>
        <v>365</v>
      </c>
      <c r="I12" s="106">
        <f>I11</f>
        <v>2708333.33</v>
      </c>
      <c r="J12" s="106">
        <f>'Общие данные'!B76</f>
        <v>65000000</v>
      </c>
      <c r="K12" s="106"/>
      <c r="L12" s="100">
        <f>ROUND(C12*'Общие данные'!$B$85/H12,2)*G12</f>
        <v>2582191.9000000004</v>
      </c>
      <c r="M12" s="100">
        <f t="shared" si="0"/>
        <v>5290525.2300000004</v>
      </c>
      <c r="N12" s="100"/>
      <c r="O12" s="115" t="str">
        <f t="shared" si="8"/>
        <v>Вт</v>
      </c>
      <c r="P12" s="117">
        <f t="shared" si="6"/>
        <v>0</v>
      </c>
      <c r="Q12" s="117">
        <f>DAY('Общие данные'!$B$79)+P12</f>
        <v>15</v>
      </c>
      <c r="R12" s="112">
        <f>IF(A12&lt;='Общие данные'!$B$82,DATE(YEAR($B$8),MONTH($B$8)+A11,DAY('Общие данные'!$B$79)),0)</f>
        <v>45853</v>
      </c>
      <c r="S12" s="98"/>
      <c r="T12" s="98"/>
      <c r="U12" s="98"/>
      <c r="V12" s="98"/>
    </row>
    <row r="13" spans="1:22" x14ac:dyDescent="0.25">
      <c r="A13" s="104">
        <v>6</v>
      </c>
      <c r="B13" s="105">
        <f>IF(A13&lt;='Общие данные'!$B$82,DATE(YEAR(R13),MONTH(R13),DAY(IF(A13='Общие данные'!$B$82,'Общие данные'!$B$67,IF(A13&lt;'Общие данные'!$B$82,(Q13),IF(A13&gt;'Общие данные'!$B$82,$H$44,0))))))</f>
        <v>45884</v>
      </c>
      <c r="C13" s="55">
        <f t="shared" si="1"/>
        <v>51458333.350000009</v>
      </c>
      <c r="D13" s="55">
        <f t="shared" si="2"/>
        <v>2708333.33</v>
      </c>
      <c r="E13" s="55">
        <f t="shared" si="3"/>
        <v>2622260.2399999998</v>
      </c>
      <c r="F13" s="55">
        <f t="shared" si="4"/>
        <v>5330593.57</v>
      </c>
      <c r="G13" s="98">
        <f t="shared" si="7"/>
        <v>31</v>
      </c>
      <c r="H13" s="98">
        <f t="shared" si="5"/>
        <v>365</v>
      </c>
      <c r="I13" s="106">
        <f>IF(L5=H1,K13,IF(L5&gt;H1,I12))</f>
        <v>2708333.33</v>
      </c>
      <c r="J13" s="106">
        <f>SUM($I$8:I12)</f>
        <v>13541666.65</v>
      </c>
      <c r="K13" s="106">
        <f>$J$12-J13</f>
        <v>51458333.350000001</v>
      </c>
      <c r="L13" s="100">
        <f>ROUND(C13*'Общие данные'!$B$85/H13,2)*G13</f>
        <v>2622260.2399999998</v>
      </c>
      <c r="M13" s="100">
        <f t="shared" si="0"/>
        <v>5330593.57</v>
      </c>
      <c r="N13" s="100"/>
      <c r="O13" s="115" t="str">
        <f t="shared" si="8"/>
        <v>Пт</v>
      </c>
      <c r="P13" s="117">
        <f t="shared" si="6"/>
        <v>0</v>
      </c>
      <c r="Q13" s="117">
        <f>DAY('Общие данные'!$B$79)+P13</f>
        <v>15</v>
      </c>
      <c r="R13" s="112">
        <f>IF(A13&lt;='Общие данные'!$B$82,DATE(YEAR($B$8),MONTH($B$8)+A12,DAY('Общие данные'!$B$79)),0)</f>
        <v>45884</v>
      </c>
      <c r="S13" s="98"/>
      <c r="T13" s="98"/>
      <c r="U13" s="98"/>
      <c r="V13" s="98"/>
    </row>
    <row r="14" spans="1:22" x14ac:dyDescent="0.25">
      <c r="A14" s="104">
        <v>7</v>
      </c>
      <c r="B14" s="105">
        <f>IF(A14&lt;='Общие данные'!$B$82,DATE(YEAR(R14),MONTH(R14),DAY(IF(A14='Общие данные'!$B$82,'Общие данные'!$B$67,IF(A14&lt;'Общие данные'!$B$82,(Q14),IF(A14&gt;'Общие данные'!$B$82,$H$44,0))))))</f>
        <v>45915</v>
      </c>
      <c r="C14" s="55">
        <f t="shared" si="1"/>
        <v>48750000.020000011</v>
      </c>
      <c r="D14" s="55">
        <f t="shared" si="2"/>
        <v>2708333.33</v>
      </c>
      <c r="E14" s="55">
        <f t="shared" si="3"/>
        <v>2484246.69</v>
      </c>
      <c r="F14" s="55">
        <f t="shared" si="4"/>
        <v>5192580.0199999996</v>
      </c>
      <c r="G14" s="98">
        <f t="shared" si="7"/>
        <v>31</v>
      </c>
      <c r="H14" s="98">
        <f t="shared" si="5"/>
        <v>365</v>
      </c>
      <c r="I14" s="106">
        <f>IF($L$5=A14,K14,IF($L$5&gt;A14,I13))</f>
        <v>2708333.33</v>
      </c>
      <c r="J14" s="106">
        <f>SUM($I$8:I13)</f>
        <v>16249999.98</v>
      </c>
      <c r="K14" s="106">
        <f t="shared" ref="K14:K31" si="9">$J$12-J14</f>
        <v>48750000.019999996</v>
      </c>
      <c r="L14" s="100">
        <f>ROUND(C14*'Общие данные'!$B$85/H14,2)*G14</f>
        <v>2484246.69</v>
      </c>
      <c r="M14" s="100">
        <f t="shared" si="0"/>
        <v>5192580.0199999996</v>
      </c>
      <c r="N14" s="100"/>
      <c r="O14" s="115" t="str">
        <f t="shared" si="8"/>
        <v>Пн</v>
      </c>
      <c r="P14" s="117">
        <f t="shared" si="6"/>
        <v>0</v>
      </c>
      <c r="Q14" s="117">
        <f>DAY('Общие данные'!$B$79)+P14</f>
        <v>15</v>
      </c>
      <c r="R14" s="112">
        <f>IF(A14&lt;='Общие данные'!$B$82,DATE(YEAR($B$8),MONTH($B$8)+A13,DAY('Общие данные'!$B$79)),0)</f>
        <v>45915</v>
      </c>
      <c r="S14" s="98"/>
      <c r="T14" s="98"/>
      <c r="U14" s="98"/>
      <c r="V14" s="98"/>
    </row>
    <row r="15" spans="1:22" x14ac:dyDescent="0.25">
      <c r="A15" s="104">
        <v>8</v>
      </c>
      <c r="B15" s="105">
        <f>IF(A15&lt;='Общие данные'!$B$82,DATE(YEAR(R15),MONTH(R15),DAY(IF(A15='Общие данные'!$B$82,'Общие данные'!$B$67,IF(A15&lt;'Общие данные'!$B$82,(Q15),IF(A15&gt;'Общие данные'!$B$82,$H$44,0))))))</f>
        <v>45945</v>
      </c>
      <c r="C15" s="55">
        <f t="shared" si="1"/>
        <v>46041666.690000013</v>
      </c>
      <c r="D15" s="55">
        <f t="shared" si="2"/>
        <v>2708333.33</v>
      </c>
      <c r="E15" s="55">
        <f t="shared" si="3"/>
        <v>2270547.9</v>
      </c>
      <c r="F15" s="55">
        <f t="shared" si="4"/>
        <v>4978881.2300000004</v>
      </c>
      <c r="G15" s="98">
        <f t="shared" si="7"/>
        <v>30</v>
      </c>
      <c r="H15" s="98">
        <f t="shared" si="5"/>
        <v>365</v>
      </c>
      <c r="I15" s="106">
        <f t="shared" ref="I15:I31" si="10">IF($L$5=A15,K15,IF($L$5&gt;A15,I14))</f>
        <v>2708333.33</v>
      </c>
      <c r="J15" s="106">
        <f>SUM($I$8:I14)</f>
        <v>18958333.310000002</v>
      </c>
      <c r="K15" s="106">
        <f t="shared" si="9"/>
        <v>46041666.689999998</v>
      </c>
      <c r="L15" s="100">
        <f>ROUND(C15*'Общие данные'!$B$85/H15,2)*G15</f>
        <v>2270547.9</v>
      </c>
      <c r="M15" s="100">
        <f t="shared" si="0"/>
        <v>4978881.2300000004</v>
      </c>
      <c r="N15" s="100"/>
      <c r="O15" s="115" t="str">
        <f t="shared" si="8"/>
        <v>Ср</v>
      </c>
      <c r="P15" s="117">
        <f t="shared" si="6"/>
        <v>0</v>
      </c>
      <c r="Q15" s="117">
        <f>DAY('Общие данные'!$B$79)+P15</f>
        <v>15</v>
      </c>
      <c r="R15" s="112">
        <f>IF(A15&lt;='Общие данные'!$B$82,DATE(YEAR($B$8),MONTH($B$8)+A14,DAY('Общие данные'!$B$79)),0)</f>
        <v>45945</v>
      </c>
      <c r="S15" s="98"/>
      <c r="T15" s="98"/>
      <c r="U15" s="98"/>
      <c r="V15" s="98"/>
    </row>
    <row r="16" spans="1:22" x14ac:dyDescent="0.25">
      <c r="A16" s="104">
        <v>9</v>
      </c>
      <c r="B16" s="105">
        <f>IF(A16&lt;='Общие данные'!$B$82,DATE(YEAR(R16),MONTH(R16),DAY(IF(A16='Общие данные'!$B$82,'Общие данные'!$B$67,IF(A16&lt;'Общие данные'!$B$82,(Q16),IF(A16&gt;'Общие данные'!$B$82,$H$44,0))))))</f>
        <v>45978</v>
      </c>
      <c r="C16" s="55">
        <f t="shared" si="1"/>
        <v>43333333.360000014</v>
      </c>
      <c r="D16" s="55">
        <f t="shared" si="2"/>
        <v>2708333.33</v>
      </c>
      <c r="E16" s="55">
        <f t="shared" si="3"/>
        <v>2350685.04</v>
      </c>
      <c r="F16" s="55">
        <f t="shared" si="4"/>
        <v>5059018.37</v>
      </c>
      <c r="G16" s="98">
        <f t="shared" si="7"/>
        <v>33</v>
      </c>
      <c r="H16" s="98">
        <f t="shared" si="5"/>
        <v>365</v>
      </c>
      <c r="I16" s="106">
        <f t="shared" si="10"/>
        <v>2708333.33</v>
      </c>
      <c r="J16" s="106">
        <f>SUM($I$8:I15)</f>
        <v>21666666.640000001</v>
      </c>
      <c r="K16" s="106">
        <f t="shared" si="9"/>
        <v>43333333.359999999</v>
      </c>
      <c r="L16" s="100">
        <f>ROUND(C16*'Общие данные'!$B$85/H16,2)*G16</f>
        <v>2350685.04</v>
      </c>
      <c r="M16" s="100">
        <f t="shared" si="0"/>
        <v>5059018.37</v>
      </c>
      <c r="N16" s="100"/>
      <c r="O16" s="115" t="str">
        <f t="shared" si="8"/>
        <v>Сб</v>
      </c>
      <c r="P16" s="117">
        <f t="shared" si="6"/>
        <v>2</v>
      </c>
      <c r="Q16" s="117">
        <f>DAY('Общие данные'!$B$79)+P16</f>
        <v>17</v>
      </c>
      <c r="R16" s="112">
        <f>IF(A16&lt;='Общие данные'!$B$82,DATE(YEAR($B$8),MONTH($B$8)+A15,DAY('Общие данные'!$B$79)),0)</f>
        <v>45976</v>
      </c>
      <c r="S16" s="98"/>
      <c r="T16" s="98"/>
      <c r="U16" s="98"/>
      <c r="V16" s="98"/>
    </row>
    <row r="17" spans="1:22" x14ac:dyDescent="0.25">
      <c r="A17" s="104">
        <v>10</v>
      </c>
      <c r="B17" s="105">
        <f>IF(A17&lt;='Общие данные'!$B$82,DATE(YEAR(R17),MONTH(R17),DAY(IF(A17='Общие данные'!$B$82,'Общие данные'!$B$67,IF(A17&lt;'Общие данные'!$B$82,(Q17),IF(A17&gt;'Общие данные'!$B$82,$H$44,0))))))</f>
        <v>46006</v>
      </c>
      <c r="C17" s="55">
        <f t="shared" si="1"/>
        <v>40625000.030000016</v>
      </c>
      <c r="D17" s="55">
        <f t="shared" si="2"/>
        <v>2708333.33</v>
      </c>
      <c r="E17" s="55">
        <f t="shared" si="3"/>
        <v>1869862.9600000002</v>
      </c>
      <c r="F17" s="55">
        <f t="shared" si="4"/>
        <v>4578196.29</v>
      </c>
      <c r="G17" s="98">
        <f t="shared" si="7"/>
        <v>28</v>
      </c>
      <c r="H17" s="98">
        <f t="shared" si="5"/>
        <v>365</v>
      </c>
      <c r="I17" s="106">
        <f t="shared" si="10"/>
        <v>2708333.33</v>
      </c>
      <c r="J17" s="106">
        <f>SUM($I$8:I16)</f>
        <v>24374999.969999999</v>
      </c>
      <c r="K17" s="106">
        <f>$J$12-J17</f>
        <v>40625000.030000001</v>
      </c>
      <c r="L17" s="100">
        <f>ROUND(C17*'Общие данные'!$B$85/H17,2)*G17</f>
        <v>1869862.9600000002</v>
      </c>
      <c r="M17" s="100">
        <f t="shared" si="0"/>
        <v>4578196.29</v>
      </c>
      <c r="N17" s="100"/>
      <c r="O17" s="115" t="str">
        <f t="shared" si="8"/>
        <v>Пн</v>
      </c>
      <c r="P17" s="117">
        <f t="shared" si="6"/>
        <v>0</v>
      </c>
      <c r="Q17" s="117">
        <f>DAY('Общие данные'!$B$79)+P17</f>
        <v>15</v>
      </c>
      <c r="R17" s="112">
        <f>IF(A17&lt;='Общие данные'!$B$82,DATE(YEAR($B$8),MONTH($B$8)+A16,DAY('Общие данные'!$B$79)),0)</f>
        <v>46006</v>
      </c>
      <c r="S17" s="98"/>
      <c r="T17" s="98"/>
      <c r="U17" s="98"/>
      <c r="V17" s="98"/>
    </row>
    <row r="18" spans="1:22" x14ac:dyDescent="0.25">
      <c r="A18" s="104">
        <v>11</v>
      </c>
      <c r="B18" s="105">
        <f>IF(A18&lt;='Общие данные'!$B$82,DATE(YEAR(R18),MONTH(R18),DAY(IF(A18='Общие данные'!$B$82,'Общие данные'!$B$67,IF(A18&lt;'Общие данные'!$B$82,(Q18),IF(A18&gt;'Общие данные'!$B$82,$H$44,0))))))</f>
        <v>46037</v>
      </c>
      <c r="C18" s="55">
        <f t="shared" si="1"/>
        <v>37916666.700000018</v>
      </c>
      <c r="D18" s="55">
        <f t="shared" si="2"/>
        <v>2708333.33</v>
      </c>
      <c r="E18" s="55">
        <f t="shared" si="3"/>
        <v>1932191.8699999999</v>
      </c>
      <c r="F18" s="55">
        <f t="shared" si="4"/>
        <v>4640525.2</v>
      </c>
      <c r="G18" s="98">
        <f t="shared" si="7"/>
        <v>31</v>
      </c>
      <c r="H18" s="98">
        <f t="shared" si="5"/>
        <v>365</v>
      </c>
      <c r="I18" s="106">
        <f t="shared" si="10"/>
        <v>2708333.33</v>
      </c>
      <c r="J18" s="106">
        <f>SUM($I$8:I17)</f>
        <v>27083333.299999997</v>
      </c>
      <c r="K18" s="106">
        <f t="shared" si="9"/>
        <v>37916666.700000003</v>
      </c>
      <c r="L18" s="100">
        <f>ROUND(C18*'Общие данные'!$B$85/H18,2)*G18</f>
        <v>1932191.8699999999</v>
      </c>
      <c r="M18" s="100">
        <f t="shared" si="0"/>
        <v>4640525.2</v>
      </c>
      <c r="N18" s="100"/>
      <c r="O18" s="115" t="str">
        <f t="shared" si="8"/>
        <v>Чт</v>
      </c>
      <c r="P18" s="117">
        <f t="shared" si="6"/>
        <v>0</v>
      </c>
      <c r="Q18" s="117">
        <f>DAY('Общие данные'!$B$79)+P18</f>
        <v>15</v>
      </c>
      <c r="R18" s="112">
        <f>IF(A18&lt;='Общие данные'!$B$82,DATE(YEAR($B$8),MONTH($B$8)+A17,DAY('Общие данные'!$B$79)),0)</f>
        <v>46037</v>
      </c>
      <c r="S18" s="98"/>
      <c r="T18" s="98"/>
      <c r="U18" s="98"/>
      <c r="V18" s="98"/>
    </row>
    <row r="19" spans="1:22" x14ac:dyDescent="0.25">
      <c r="A19" s="104">
        <v>12</v>
      </c>
      <c r="B19" s="105">
        <f>IF(A19&lt;='Общие данные'!$B$82,DATE(YEAR(R19),MONTH(R19),DAY(IF(A19='Общие данные'!$B$82,'Общие данные'!$B$67,IF(A19&lt;'Общие данные'!$B$82,(Q19),IF(A19&gt;'Общие данные'!$B$82,$H$44,0))))))</f>
        <v>46069</v>
      </c>
      <c r="C19" s="55">
        <f t="shared" si="1"/>
        <v>35208333.37000002</v>
      </c>
      <c r="D19" s="55">
        <f t="shared" si="2"/>
        <v>2708333.33</v>
      </c>
      <c r="E19" s="55">
        <f t="shared" si="3"/>
        <v>1852054.72</v>
      </c>
      <c r="F19" s="55">
        <f t="shared" si="4"/>
        <v>4560388.05</v>
      </c>
      <c r="G19" s="98">
        <f t="shared" si="7"/>
        <v>32</v>
      </c>
      <c r="H19" s="98">
        <f t="shared" si="5"/>
        <v>365</v>
      </c>
      <c r="I19" s="106">
        <f t="shared" si="10"/>
        <v>2708333.33</v>
      </c>
      <c r="J19" s="106">
        <f>SUM($I$8:I18)</f>
        <v>29791666.629999995</v>
      </c>
      <c r="K19" s="106">
        <f t="shared" si="9"/>
        <v>35208333.370000005</v>
      </c>
      <c r="L19" s="100">
        <f>ROUND(C19*'Общие данные'!$B$85/H19,2)*G19</f>
        <v>1852054.72</v>
      </c>
      <c r="M19" s="100">
        <f t="shared" si="0"/>
        <v>4560388.05</v>
      </c>
      <c r="N19" s="100"/>
      <c r="O19" s="115" t="str">
        <f t="shared" si="8"/>
        <v>Вс</v>
      </c>
      <c r="P19" s="117">
        <f t="shared" si="6"/>
        <v>1</v>
      </c>
      <c r="Q19" s="117">
        <f>DAY('Общие данные'!$B$79)+P19</f>
        <v>16</v>
      </c>
      <c r="R19" s="112">
        <f>IF(A19&lt;='Общие данные'!$B$82,DATE(YEAR($B$8),MONTH($B$8)+A18,DAY('Общие данные'!$B$79)),0)</f>
        <v>46068</v>
      </c>
      <c r="S19" s="98"/>
      <c r="T19" s="98"/>
      <c r="U19" s="98"/>
      <c r="V19" s="98"/>
    </row>
    <row r="20" spans="1:22" x14ac:dyDescent="0.25">
      <c r="A20" s="104">
        <v>13</v>
      </c>
      <c r="B20" s="105">
        <f>IF(A20&lt;='Общие данные'!$B$82,DATE(YEAR(R20),MONTH(R20),DAY(IF(A20='Общие данные'!$B$82,'Общие данные'!$B$67,IF(A20&lt;'Общие данные'!$B$82,(Q20),IF(A20&gt;'Общие данные'!$B$82,$H$44,0))))))</f>
        <v>46097</v>
      </c>
      <c r="C20" s="55">
        <f t="shared" si="1"/>
        <v>32500000.040000021</v>
      </c>
      <c r="D20" s="55">
        <f t="shared" si="2"/>
        <v>2708333.33</v>
      </c>
      <c r="E20" s="55">
        <f t="shared" si="3"/>
        <v>1495890.48</v>
      </c>
      <c r="F20" s="55">
        <f t="shared" si="4"/>
        <v>4204223.8100000005</v>
      </c>
      <c r="G20" s="98">
        <f t="shared" si="7"/>
        <v>28</v>
      </c>
      <c r="H20" s="98">
        <f t="shared" si="5"/>
        <v>365</v>
      </c>
      <c r="I20" s="106">
        <f t="shared" si="10"/>
        <v>2708333.33</v>
      </c>
      <c r="J20" s="106">
        <f>SUM($I$8:I19)</f>
        <v>32499999.959999993</v>
      </c>
      <c r="K20" s="106">
        <f>$J$12-J20</f>
        <v>32500000.040000007</v>
      </c>
      <c r="L20" s="100">
        <f>ROUND(C20*'Общие данные'!$B$85/H20,2)*G20</f>
        <v>1495890.48</v>
      </c>
      <c r="M20" s="100">
        <f t="shared" si="0"/>
        <v>4204223.8100000005</v>
      </c>
      <c r="N20" s="100"/>
      <c r="O20" s="115" t="str">
        <f t="shared" si="8"/>
        <v>Вс</v>
      </c>
      <c r="P20" s="117">
        <f t="shared" si="6"/>
        <v>1</v>
      </c>
      <c r="Q20" s="117">
        <f>DAY('Общие данные'!$B$79)+P20</f>
        <v>16</v>
      </c>
      <c r="R20" s="112">
        <f>IF(A20&lt;='Общие данные'!$B$82,DATE(YEAR($B$8),MONTH($B$8)+A19,DAY('Общие данные'!$B$79)),0)</f>
        <v>46096</v>
      </c>
      <c r="S20" s="98"/>
      <c r="T20" s="98"/>
      <c r="U20" s="98"/>
      <c r="V20" s="98"/>
    </row>
    <row r="21" spans="1:22" x14ac:dyDescent="0.25">
      <c r="A21" s="104">
        <v>14</v>
      </c>
      <c r="B21" s="105">
        <f>IF(A21&lt;='Общие данные'!$B$82,DATE(YEAR(R21),MONTH(R21),DAY(IF(A21='Общие данные'!$B$82,'Общие данные'!$B$67,IF(A21&lt;'Общие данные'!$B$82,(Q21),IF(A21&gt;'Общие данные'!$B$82,$H$44,0))))))</f>
        <v>46127</v>
      </c>
      <c r="C21" s="55">
        <f t="shared" si="1"/>
        <v>29791666.710000023</v>
      </c>
      <c r="D21" s="55">
        <f t="shared" si="2"/>
        <v>2708333.33</v>
      </c>
      <c r="E21" s="55">
        <f t="shared" si="3"/>
        <v>1469178</v>
      </c>
      <c r="F21" s="55">
        <f t="shared" si="4"/>
        <v>4177511.33</v>
      </c>
      <c r="G21" s="98">
        <f t="shared" si="7"/>
        <v>30</v>
      </c>
      <c r="H21" s="98">
        <f t="shared" si="5"/>
        <v>365</v>
      </c>
      <c r="I21" s="106">
        <f t="shared" si="10"/>
        <v>2708333.33</v>
      </c>
      <c r="J21" s="106">
        <f>SUM($I$8:I20)</f>
        <v>35208333.289999992</v>
      </c>
      <c r="K21" s="106">
        <f t="shared" si="9"/>
        <v>29791666.710000008</v>
      </c>
      <c r="L21" s="100">
        <f>ROUND(C21*'Общие данные'!$B$85/H21,2)*G21</f>
        <v>1469178</v>
      </c>
      <c r="M21" s="100">
        <f t="shared" si="0"/>
        <v>4177511.33</v>
      </c>
      <c r="N21" s="100"/>
      <c r="O21" s="115" t="str">
        <f t="shared" si="8"/>
        <v>Ср</v>
      </c>
      <c r="P21" s="117">
        <f t="shared" si="6"/>
        <v>0</v>
      </c>
      <c r="Q21" s="117">
        <f>DAY('Общие данные'!$B$79)+P21</f>
        <v>15</v>
      </c>
      <c r="R21" s="112">
        <f>IF(A21&lt;='Общие данные'!$B$82,DATE(YEAR($B$8),MONTH($B$8)+A20,DAY('Общие данные'!$B$79)),0)</f>
        <v>46127</v>
      </c>
      <c r="S21" s="98"/>
      <c r="T21" s="98"/>
      <c r="U21" s="98"/>
      <c r="V21" s="98"/>
    </row>
    <row r="22" spans="1:22" x14ac:dyDescent="0.25">
      <c r="A22" s="104">
        <v>15</v>
      </c>
      <c r="B22" s="105">
        <f>IF(A22&lt;='Общие данные'!$B$82,DATE(YEAR(R22),MONTH(R22),DAY(IF(A22='Общие данные'!$B$82,'Общие данные'!$B$67,IF(A22&lt;'Общие данные'!$B$82,(Q22),IF(A22&gt;'Общие данные'!$B$82,$H$44,0))))))</f>
        <v>46157</v>
      </c>
      <c r="C22" s="55">
        <f t="shared" si="1"/>
        <v>27083333.380000025</v>
      </c>
      <c r="D22" s="55">
        <f t="shared" si="2"/>
        <v>2708333.33</v>
      </c>
      <c r="E22" s="55">
        <f t="shared" si="3"/>
        <v>1335616.5</v>
      </c>
      <c r="F22" s="55">
        <f t="shared" si="4"/>
        <v>4043949.83</v>
      </c>
      <c r="G22" s="98">
        <f t="shared" si="7"/>
        <v>30</v>
      </c>
      <c r="H22" s="98">
        <f t="shared" si="5"/>
        <v>365</v>
      </c>
      <c r="I22" s="106">
        <f t="shared" si="10"/>
        <v>2708333.33</v>
      </c>
      <c r="J22" s="106">
        <f>SUM($I$8:I21)</f>
        <v>37916666.61999999</v>
      </c>
      <c r="K22" s="106">
        <f t="shared" si="9"/>
        <v>27083333.38000001</v>
      </c>
      <c r="L22" s="100">
        <f>ROUND(C22*'Общие данные'!$B$85/H22,2)*G22</f>
        <v>1335616.5</v>
      </c>
      <c r="M22" s="100">
        <f t="shared" si="0"/>
        <v>4043949.83</v>
      </c>
      <c r="N22" s="100"/>
      <c r="O22" s="115" t="str">
        <f t="shared" si="8"/>
        <v>Пт</v>
      </c>
      <c r="P22" s="117">
        <f t="shared" si="6"/>
        <v>0</v>
      </c>
      <c r="Q22" s="117">
        <f>DAY('Общие данные'!$B$79)+P22</f>
        <v>15</v>
      </c>
      <c r="R22" s="112">
        <f>IF(A22&lt;='Общие данные'!$B$82,DATE(YEAR($B$8),MONTH($B$8)+A21,DAY('Общие данные'!$B$79)),0)</f>
        <v>46157</v>
      </c>
      <c r="S22" s="98"/>
      <c r="T22" s="98"/>
      <c r="U22" s="98"/>
      <c r="V22" s="98"/>
    </row>
    <row r="23" spans="1:22" x14ac:dyDescent="0.25">
      <c r="A23" s="104">
        <v>16</v>
      </c>
      <c r="B23" s="105">
        <f>IF(A23&lt;='Общие данные'!$B$82,DATE(YEAR(R23),MONTH(R23),DAY(IF(A23='Общие данные'!$B$82,'Общие данные'!$B$67,IF(A23&lt;'Общие данные'!$B$82,(Q23),IF(A23&gt;'Общие данные'!$B$82,$H$44,0))))))</f>
        <v>46188</v>
      </c>
      <c r="C23" s="55">
        <f t="shared" si="1"/>
        <v>24375000.050000027</v>
      </c>
      <c r="D23" s="55">
        <f t="shared" si="2"/>
        <v>2708333.33</v>
      </c>
      <c r="E23" s="55">
        <f t="shared" si="3"/>
        <v>1242123.19</v>
      </c>
      <c r="F23" s="55">
        <f t="shared" si="4"/>
        <v>3950456.52</v>
      </c>
      <c r="G23" s="98">
        <f t="shared" si="7"/>
        <v>31</v>
      </c>
      <c r="H23" s="98">
        <f t="shared" si="5"/>
        <v>365</v>
      </c>
      <c r="I23" s="106">
        <f t="shared" si="10"/>
        <v>2708333.33</v>
      </c>
      <c r="J23" s="106">
        <f>SUM($I$8:I22)</f>
        <v>40624999.949999988</v>
      </c>
      <c r="K23" s="106">
        <f t="shared" si="9"/>
        <v>24375000.050000012</v>
      </c>
      <c r="L23" s="100">
        <f>ROUND(C23*'Общие данные'!$B$85/H23,2)*G23</f>
        <v>1242123.19</v>
      </c>
      <c r="M23" s="100">
        <f t="shared" si="0"/>
        <v>3950456.52</v>
      </c>
      <c r="N23" s="100"/>
      <c r="O23" s="115" t="str">
        <f t="shared" si="8"/>
        <v>Пн</v>
      </c>
      <c r="P23" s="117">
        <f t="shared" si="6"/>
        <v>0</v>
      </c>
      <c r="Q23" s="117">
        <f>DAY('Общие данные'!$B$79)+P23</f>
        <v>15</v>
      </c>
      <c r="R23" s="112">
        <f>IF(A23&lt;='Общие данные'!$B$82,DATE(YEAR($B$8),MONTH($B$8)+A22,DAY('Общие данные'!$B$79)),0)</f>
        <v>46188</v>
      </c>
      <c r="S23" s="98"/>
      <c r="T23" s="98"/>
      <c r="U23" s="98"/>
      <c r="V23" s="98"/>
    </row>
    <row r="24" spans="1:22" x14ac:dyDescent="0.25">
      <c r="A24" s="104">
        <v>17</v>
      </c>
      <c r="B24" s="105">
        <f>IF(A24&lt;='Общие данные'!$B$82,DATE(YEAR(R24),MONTH(R24),DAY(IF(A24='Общие данные'!$B$82,'Общие данные'!$B$67,IF(A24&lt;'Общие данные'!$B$82,(Q24),IF(A24&gt;'Общие данные'!$B$82,$H$44,0))))))</f>
        <v>46218</v>
      </c>
      <c r="C24" s="55">
        <f t="shared" si="1"/>
        <v>21666666.720000029</v>
      </c>
      <c r="D24" s="55">
        <f t="shared" si="2"/>
        <v>2708333.33</v>
      </c>
      <c r="E24" s="55">
        <f t="shared" si="3"/>
        <v>1068493.2000000002</v>
      </c>
      <c r="F24" s="55">
        <f t="shared" si="4"/>
        <v>3776826.5300000003</v>
      </c>
      <c r="G24" s="98">
        <f t="shared" si="7"/>
        <v>30</v>
      </c>
      <c r="H24" s="98">
        <f t="shared" si="5"/>
        <v>365</v>
      </c>
      <c r="I24" s="106">
        <f t="shared" si="10"/>
        <v>2708333.33</v>
      </c>
      <c r="J24" s="106">
        <f>SUM($I$8:I23)</f>
        <v>43333333.279999986</v>
      </c>
      <c r="K24" s="106">
        <f t="shared" si="9"/>
        <v>21666666.720000014</v>
      </c>
      <c r="L24" s="100">
        <f>ROUND(C24*'Общие данные'!$B$85/H24,2)*G24</f>
        <v>1068493.2000000002</v>
      </c>
      <c r="M24" s="100">
        <f t="shared" si="0"/>
        <v>3776826.5300000003</v>
      </c>
      <c r="N24" s="100"/>
      <c r="O24" s="115" t="str">
        <f t="shared" si="8"/>
        <v>Ср</v>
      </c>
      <c r="P24" s="117">
        <f t="shared" si="6"/>
        <v>0</v>
      </c>
      <c r="Q24" s="117">
        <f>DAY('Общие данные'!$B$79)+P24</f>
        <v>15</v>
      </c>
      <c r="R24" s="112">
        <f>IF(A24&lt;='Общие данные'!$B$82,DATE(YEAR($B$8),MONTH($B$8)+A23,DAY('Общие данные'!$B$79)),0)</f>
        <v>46218</v>
      </c>
      <c r="S24" s="98"/>
      <c r="T24" s="98"/>
      <c r="U24" s="98"/>
      <c r="V24" s="98"/>
    </row>
    <row r="25" spans="1:22" x14ac:dyDescent="0.25">
      <c r="A25" s="104">
        <v>18</v>
      </c>
      <c r="B25" s="105">
        <f>IF(A25&lt;='Общие данные'!$B$82,DATE(YEAR(R25),MONTH(R25),DAY(IF(A25='Общие данные'!$B$82,'Общие данные'!$B$67,IF(A25&lt;'Общие данные'!$B$82,(Q25),IF(A25&gt;'Общие данные'!$B$82,$H$44,0))))))</f>
        <v>46251</v>
      </c>
      <c r="C25" s="55">
        <f t="shared" si="1"/>
        <v>18958333.39000003</v>
      </c>
      <c r="D25" s="55">
        <f t="shared" si="2"/>
        <v>2708333.33</v>
      </c>
      <c r="E25" s="55">
        <f t="shared" si="3"/>
        <v>1028424.54</v>
      </c>
      <c r="F25" s="55">
        <f t="shared" si="4"/>
        <v>3736757.87</v>
      </c>
      <c r="G25" s="98">
        <f t="shared" si="7"/>
        <v>33</v>
      </c>
      <c r="H25" s="98">
        <f t="shared" si="5"/>
        <v>365</v>
      </c>
      <c r="I25" s="106">
        <f t="shared" si="10"/>
        <v>2708333.33</v>
      </c>
      <c r="J25" s="106">
        <f>SUM($I$8:I24)</f>
        <v>46041666.609999985</v>
      </c>
      <c r="K25" s="106">
        <f t="shared" si="9"/>
        <v>18958333.390000015</v>
      </c>
      <c r="L25" s="100">
        <f>ROUND(C25*'Общие данные'!$B$85/H25,2)*G25</f>
        <v>1028424.54</v>
      </c>
      <c r="M25" s="100">
        <f t="shared" si="0"/>
        <v>3736757.87</v>
      </c>
      <c r="N25" s="100"/>
      <c r="O25" s="115" t="str">
        <f t="shared" si="8"/>
        <v>Сб</v>
      </c>
      <c r="P25" s="117">
        <f t="shared" si="6"/>
        <v>2</v>
      </c>
      <c r="Q25" s="117">
        <f>DAY('Общие данные'!$B$79)+P25</f>
        <v>17</v>
      </c>
      <c r="R25" s="112">
        <f>IF(A25&lt;='Общие данные'!$B$82,DATE(YEAR($B$8),MONTH($B$8)+A24,DAY('Общие данные'!$B$79)),0)</f>
        <v>46249</v>
      </c>
      <c r="S25" s="98"/>
      <c r="T25" s="98"/>
      <c r="U25" s="98"/>
      <c r="V25" s="98"/>
    </row>
    <row r="26" spans="1:22" x14ac:dyDescent="0.25">
      <c r="A26" s="104">
        <v>19</v>
      </c>
      <c r="B26" s="105">
        <f>IF(A26&lt;='Общие данные'!$B$82,DATE(YEAR(R26),MONTH(R26),DAY(IF(A26='Общие данные'!$B$82,'Общие данные'!$B$67,IF(A26&lt;'Общие данные'!$B$82,(Q26),IF(A26&gt;'Общие данные'!$B$82,$H$44,0))))))</f>
        <v>46280</v>
      </c>
      <c r="C26" s="55">
        <f t="shared" si="1"/>
        <v>16250000.06000003</v>
      </c>
      <c r="D26" s="55">
        <f t="shared" si="2"/>
        <v>2708333.33</v>
      </c>
      <c r="E26" s="55">
        <f t="shared" si="3"/>
        <v>774657.57000000007</v>
      </c>
      <c r="F26" s="55">
        <f t="shared" si="4"/>
        <v>3482990.9000000004</v>
      </c>
      <c r="G26" s="98">
        <f t="shared" si="7"/>
        <v>29</v>
      </c>
      <c r="H26" s="98">
        <f t="shared" si="5"/>
        <v>365</v>
      </c>
      <c r="I26" s="106">
        <f t="shared" si="10"/>
        <v>2708333.33</v>
      </c>
      <c r="J26" s="106">
        <f>SUM($I$8:I25)</f>
        <v>48749999.939999983</v>
      </c>
      <c r="K26" s="106">
        <f t="shared" si="9"/>
        <v>16250000.060000017</v>
      </c>
      <c r="L26" s="100">
        <f>ROUND(C26*'Общие данные'!$B$85/H26,2)*G26</f>
        <v>774657.57000000007</v>
      </c>
      <c r="M26" s="100">
        <f t="shared" si="0"/>
        <v>3482990.9000000004</v>
      </c>
      <c r="N26" s="100"/>
      <c r="O26" s="115" t="str">
        <f t="shared" si="8"/>
        <v>Вт</v>
      </c>
      <c r="P26" s="117">
        <f t="shared" si="6"/>
        <v>0</v>
      </c>
      <c r="Q26" s="117">
        <f>DAY('Общие данные'!$B$79)+P26</f>
        <v>15</v>
      </c>
      <c r="R26" s="112">
        <f>IF(A26&lt;='Общие данные'!$B$82,DATE(YEAR($B$8),MONTH($B$8)+A25,DAY('Общие данные'!$B$79)),0)</f>
        <v>46280</v>
      </c>
      <c r="S26" s="98"/>
      <c r="T26" s="98"/>
      <c r="U26" s="98"/>
      <c r="V26" s="98"/>
    </row>
    <row r="27" spans="1:22" x14ac:dyDescent="0.25">
      <c r="A27" s="104">
        <v>20</v>
      </c>
      <c r="B27" s="105">
        <f>IF(A27&lt;='Общие данные'!$B$82,DATE(YEAR(R27),MONTH(R27),DAY(IF(A27='Общие данные'!$B$82,'Общие данные'!$B$67,IF(A27&lt;'Общие данные'!$B$82,(Q27),IF(A27&gt;'Общие данные'!$B$82,$H$44,0))))))</f>
        <v>46310</v>
      </c>
      <c r="C27" s="55">
        <f t="shared" si="1"/>
        <v>13541666.73000003</v>
      </c>
      <c r="D27" s="55">
        <f t="shared" si="2"/>
        <v>2708333.33</v>
      </c>
      <c r="E27" s="55">
        <f t="shared" si="3"/>
        <v>667808.1</v>
      </c>
      <c r="F27" s="55">
        <f t="shared" si="4"/>
        <v>3376141.43</v>
      </c>
      <c r="G27" s="98">
        <f t="shared" si="7"/>
        <v>30</v>
      </c>
      <c r="H27" s="98">
        <f t="shared" si="5"/>
        <v>365</v>
      </c>
      <c r="I27" s="106">
        <f t="shared" si="10"/>
        <v>2708333.33</v>
      </c>
      <c r="J27" s="106">
        <f>SUM($I$8:I26)</f>
        <v>51458333.269999981</v>
      </c>
      <c r="K27" s="106">
        <f t="shared" si="9"/>
        <v>13541666.730000019</v>
      </c>
      <c r="L27" s="100">
        <f>ROUND(C27*'Общие данные'!$B$85/H27,2)*G27</f>
        <v>667808.1</v>
      </c>
      <c r="M27" s="100">
        <f t="shared" si="0"/>
        <v>3376141.43</v>
      </c>
      <c r="N27" s="100"/>
      <c r="O27" s="115" t="str">
        <f t="shared" si="8"/>
        <v>Чт</v>
      </c>
      <c r="P27" s="117">
        <f t="shared" si="6"/>
        <v>0</v>
      </c>
      <c r="Q27" s="117">
        <f>DAY('Общие данные'!$B$79)+P27</f>
        <v>15</v>
      </c>
      <c r="R27" s="112">
        <f>IF(A27&lt;='Общие данные'!$B$82,DATE(YEAR($B$8),MONTH($B$8)+A26,DAY('Общие данные'!$B$79)),0)</f>
        <v>46310</v>
      </c>
      <c r="S27" s="98"/>
      <c r="T27" s="98"/>
      <c r="U27" s="98"/>
      <c r="V27" s="98"/>
    </row>
    <row r="28" spans="1:22" x14ac:dyDescent="0.25">
      <c r="A28" s="104">
        <v>21</v>
      </c>
      <c r="B28" s="105">
        <f>IF(A28&lt;='Общие данные'!$B$82,DATE(YEAR(R28),MONTH(R28),DAY(IF(A28='Общие данные'!$B$82,'Общие данные'!$B$67,IF(A28&lt;'Общие данные'!$B$82,(Q28),IF(A28&gt;'Общие данные'!$B$82,$H$44,0))))))</f>
        <v>46342</v>
      </c>
      <c r="C28" s="55">
        <f t="shared" si="1"/>
        <v>10833333.40000003</v>
      </c>
      <c r="D28" s="55">
        <f t="shared" si="2"/>
        <v>2708333.33</v>
      </c>
      <c r="E28" s="55">
        <f t="shared" si="3"/>
        <v>569863.04</v>
      </c>
      <c r="F28" s="55">
        <f t="shared" si="4"/>
        <v>3278196.37</v>
      </c>
      <c r="G28" s="98">
        <f t="shared" si="7"/>
        <v>32</v>
      </c>
      <c r="H28" s="98">
        <f t="shared" si="5"/>
        <v>365</v>
      </c>
      <c r="I28" s="106">
        <f t="shared" si="10"/>
        <v>2708333.33</v>
      </c>
      <c r="J28" s="106">
        <f>SUM($I$8:I27)</f>
        <v>54166666.599999979</v>
      </c>
      <c r="K28" s="106">
        <f t="shared" si="9"/>
        <v>10833333.400000021</v>
      </c>
      <c r="L28" s="100">
        <f>ROUND(C28*'Общие данные'!$B$85/H28,2)*G28</f>
        <v>569863.04</v>
      </c>
      <c r="M28" s="100">
        <f t="shared" si="0"/>
        <v>3278196.37</v>
      </c>
      <c r="N28" s="100"/>
      <c r="O28" s="115" t="str">
        <f t="shared" si="8"/>
        <v>Вс</v>
      </c>
      <c r="P28" s="117">
        <f t="shared" si="6"/>
        <v>1</v>
      </c>
      <c r="Q28" s="117">
        <f>DAY('Общие данные'!$B$79)+P28</f>
        <v>16</v>
      </c>
      <c r="R28" s="112">
        <f>IF(A28&lt;='Общие данные'!$B$82,DATE(YEAR($B$8),MONTH($B$8)+A27,DAY('Общие данные'!$B$79)),0)</f>
        <v>46341</v>
      </c>
      <c r="S28" s="98"/>
      <c r="T28" s="98"/>
      <c r="U28" s="98"/>
      <c r="V28" s="98"/>
    </row>
    <row r="29" spans="1:22" x14ac:dyDescent="0.25">
      <c r="A29" s="104">
        <v>22</v>
      </c>
      <c r="B29" s="105">
        <f>IF(A29&lt;='Общие данные'!$B$82,DATE(YEAR(R29),MONTH(R29),DAY(IF(A29='Общие данные'!$B$82,'Общие данные'!$B$67,IF(A29&lt;'Общие данные'!$B$82,(Q29),IF(A29&gt;'Общие данные'!$B$82,$H$44,0))))))</f>
        <v>46371</v>
      </c>
      <c r="C29" s="55">
        <f t="shared" si="1"/>
        <v>8125000.0700000301</v>
      </c>
      <c r="D29" s="55">
        <f t="shared" si="2"/>
        <v>2708333.33</v>
      </c>
      <c r="E29" s="55">
        <f t="shared" si="3"/>
        <v>387328.64</v>
      </c>
      <c r="F29" s="55">
        <f t="shared" si="4"/>
        <v>3095661.97</v>
      </c>
      <c r="G29" s="98">
        <f t="shared" si="7"/>
        <v>29</v>
      </c>
      <c r="H29" s="98">
        <f t="shared" si="5"/>
        <v>365</v>
      </c>
      <c r="I29" s="106">
        <f t="shared" si="10"/>
        <v>2708333.33</v>
      </c>
      <c r="J29" s="106">
        <f>SUM($I$8:I28)</f>
        <v>56874999.929999977</v>
      </c>
      <c r="K29" s="106">
        <f t="shared" si="9"/>
        <v>8125000.0700000226</v>
      </c>
      <c r="L29" s="100">
        <f>ROUND(C29*'Общие данные'!$B$85/H29,2)*G29</f>
        <v>387328.64</v>
      </c>
      <c r="M29" s="100">
        <f t="shared" si="0"/>
        <v>3095661.97</v>
      </c>
      <c r="N29" s="100"/>
      <c r="O29" s="115" t="str">
        <f t="shared" si="8"/>
        <v>Вт</v>
      </c>
      <c r="P29" s="117">
        <f t="shared" si="6"/>
        <v>0</v>
      </c>
      <c r="Q29" s="117">
        <f>DAY('Общие данные'!$B$79)+P29</f>
        <v>15</v>
      </c>
      <c r="R29" s="112">
        <f>IF(A29&lt;='Общие данные'!$B$82,DATE(YEAR($B$8),MONTH($B$8)+A28,DAY('Общие данные'!$B$79)),0)</f>
        <v>46371</v>
      </c>
      <c r="S29" s="98"/>
      <c r="T29" s="98"/>
      <c r="U29" s="98"/>
      <c r="V29" s="98"/>
    </row>
    <row r="30" spans="1:22" x14ac:dyDescent="0.25">
      <c r="A30" s="104">
        <v>23</v>
      </c>
      <c r="B30" s="105">
        <f>IF(A30&lt;='Общие данные'!$B$82,DATE(YEAR(R30),MONTH(R30),DAY(IF(A30='Общие данные'!$B$82,'Общие данные'!$B$67,IF(A30&lt;'Общие данные'!$B$82,(Q30),IF(A30&gt;'Общие данные'!$B$82,$H$44,0))))))</f>
        <v>46402</v>
      </c>
      <c r="C30" s="55">
        <f t="shared" si="1"/>
        <v>5416666.74000003</v>
      </c>
      <c r="D30" s="55">
        <f t="shared" si="2"/>
        <v>2708333.33</v>
      </c>
      <c r="E30" s="55">
        <f t="shared" si="3"/>
        <v>276027.41000000003</v>
      </c>
      <c r="F30" s="55">
        <f t="shared" si="4"/>
        <v>2984360.74</v>
      </c>
      <c r="G30" s="98">
        <f t="shared" si="7"/>
        <v>31</v>
      </c>
      <c r="H30" s="98">
        <f t="shared" si="5"/>
        <v>365</v>
      </c>
      <c r="I30" s="106">
        <f t="shared" si="10"/>
        <v>2708333.33</v>
      </c>
      <c r="J30" s="106">
        <f>SUM($I$8:I29)</f>
        <v>59583333.259999976</v>
      </c>
      <c r="K30" s="106">
        <f t="shared" si="9"/>
        <v>5416666.7400000244</v>
      </c>
      <c r="L30" s="100">
        <f>ROUND(C30*'Общие данные'!$B$85/H30,2)*G30</f>
        <v>276027.41000000003</v>
      </c>
      <c r="M30" s="100">
        <f t="shared" si="0"/>
        <v>2984360.74</v>
      </c>
      <c r="N30" s="100"/>
      <c r="O30" s="115" t="str">
        <f t="shared" si="8"/>
        <v>Пт</v>
      </c>
      <c r="P30" s="117">
        <f t="shared" si="6"/>
        <v>0</v>
      </c>
      <c r="Q30" s="117">
        <f>DAY('Общие данные'!$B$79)+P30</f>
        <v>15</v>
      </c>
      <c r="R30" s="112">
        <f>IF(A30&lt;='Общие данные'!$B$82,DATE(YEAR($B$8),MONTH($B$8)+A29,DAY('Общие данные'!$B$79)),0)</f>
        <v>46402</v>
      </c>
      <c r="S30" s="98"/>
      <c r="T30" s="98"/>
      <c r="U30" s="98"/>
      <c r="V30" s="98"/>
    </row>
    <row r="31" spans="1:22" x14ac:dyDescent="0.25">
      <c r="A31" s="104">
        <v>24</v>
      </c>
      <c r="B31" s="105">
        <f>IF(A31&lt;='Общие данные'!$B$82,DATE(YEAR(R31),MONTH(R31),DAY(IF(A31='Общие данные'!$B$82,'Общие данные'!$B$67,IF(A31&lt;'Общие данные'!$B$82,(Q31),IF(A31&gt;'Общие данные'!$B$82,$H$44,0))))))</f>
        <v>46446</v>
      </c>
      <c r="C31" s="55">
        <f t="shared" ref="C31" si="11">C30-D30</f>
        <v>2708333.41000003</v>
      </c>
      <c r="D31" s="55">
        <f t="shared" ref="D31" si="12">IF(C31=0,L31,IF(C31&gt;1,I31))</f>
        <v>2708333.4100000262</v>
      </c>
      <c r="E31" s="55">
        <f t="shared" ref="E31" si="13">IF(C31=0,N30,IF(C31&gt;1,L31))</f>
        <v>195890.2</v>
      </c>
      <c r="F31" s="55">
        <f t="shared" ref="F31" si="14">IF(C31=0,N30,IF(C31&gt;1,M31))</f>
        <v>2904223.6100000264</v>
      </c>
      <c r="G31" s="98">
        <f t="shared" si="7"/>
        <v>44</v>
      </c>
      <c r="H31" s="98">
        <f t="shared" si="5"/>
        <v>365</v>
      </c>
      <c r="I31" s="106">
        <f t="shared" si="10"/>
        <v>2708333.4100000262</v>
      </c>
      <c r="J31" s="106">
        <f>SUM($I$8:I30)</f>
        <v>62291666.589999974</v>
      </c>
      <c r="K31" s="106">
        <f t="shared" si="9"/>
        <v>2708333.4100000262</v>
      </c>
      <c r="L31" s="100">
        <f>ROUND(C31*'Общие данные'!$B$85/H31,2)*G31</f>
        <v>195890.2</v>
      </c>
      <c r="M31" s="100">
        <f t="shared" si="0"/>
        <v>2904223.6100000264</v>
      </c>
      <c r="N31" s="100"/>
      <c r="O31" s="115" t="str">
        <f t="shared" si="8"/>
        <v>Пн</v>
      </c>
      <c r="P31" s="117">
        <f t="shared" si="6"/>
        <v>0</v>
      </c>
      <c r="Q31" s="117">
        <f>DAY('Общие данные'!$B$79)+P31</f>
        <v>15</v>
      </c>
      <c r="R31" s="112">
        <f>IF(A31&lt;='Общие данные'!$B$82,DATE(YEAR($B$8),MONTH($B$8)+A30,DAY('Общие данные'!$B$79)),0)</f>
        <v>46433</v>
      </c>
      <c r="S31" s="98"/>
      <c r="T31" s="98"/>
      <c r="U31" s="98"/>
      <c r="V31" s="98"/>
    </row>
    <row r="32" spans="1:22" x14ac:dyDescent="0.25">
      <c r="A32" s="104">
        <f>1+A31</f>
        <v>25</v>
      </c>
      <c r="B32" s="105" t="b">
        <f>IF(A32&lt;='Общие данные'!$B$82,DATE(YEAR(R32),MONTH(R32),DAY(IF(A32='Общие данные'!$B$82,'Общие данные'!$B$67,IF(A32&lt;'Общие данные'!$B$82,(Q32),IF(A32&gt;'Общие данные'!$B$82,$H$44,0))))))</f>
        <v>0</v>
      </c>
      <c r="C32" s="55">
        <f t="shared" ref="C32:C42" si="15">C31-D31</f>
        <v>3.7252902984619141E-9</v>
      </c>
      <c r="D32" s="55" t="b">
        <f t="shared" ref="D32:D42" si="16">IF(C32=0,L32,IF(C32&gt;1,I32))</f>
        <v>0</v>
      </c>
      <c r="E32" s="55" t="b">
        <f t="shared" ref="E32:E42" si="17">IF(C32=0,N31,IF(C32&gt;1,L32))</f>
        <v>0</v>
      </c>
      <c r="F32" s="55" t="b">
        <f t="shared" ref="F32:F42" si="18">IF(C32=0,N31,IF(C32&gt;1,M32))</f>
        <v>0</v>
      </c>
      <c r="G32" s="98">
        <f t="shared" ref="G32:G42" si="19">B32-B31</f>
        <v>-46446</v>
      </c>
      <c r="H32" s="98">
        <f t="shared" ref="H32:H42" si="20">DATE(YEAR(B32),12,31)-DATE(YEAR(B32),1,1)+1</f>
        <v>366</v>
      </c>
      <c r="I32" s="106" t="b">
        <f t="shared" ref="I32:I42" si="21">IF($L$5=A32,K32,IF($L$5&gt;A32,I31))</f>
        <v>0</v>
      </c>
      <c r="J32" s="106">
        <f>SUM($I$8:I31)</f>
        <v>65000000</v>
      </c>
      <c r="K32" s="106">
        <f t="shared" ref="K32:K42" si="22">$J$12-J32</f>
        <v>0</v>
      </c>
      <c r="L32" s="100">
        <f>ROUND(C32*'Общие данные'!$B$85/H32,2)*G32</f>
        <v>0</v>
      </c>
      <c r="M32" s="100">
        <f t="shared" ref="M32:M42" si="23">D32+E32</f>
        <v>0</v>
      </c>
      <c r="N32" s="100"/>
      <c r="O32" s="115" t="str">
        <f t="shared" ref="O32:O42" si="24">TEXT(R32,"ддд")</f>
        <v>Сб</v>
      </c>
      <c r="P32" s="117">
        <f t="shared" ref="P32:P42" si="25">IF(O32=$U$8,2,IF(O32=$V$8,1,0))</f>
        <v>2</v>
      </c>
      <c r="Q32" s="117">
        <f>DAY('Общие данные'!$B$79)+P32</f>
        <v>17</v>
      </c>
      <c r="R32" s="112">
        <f>IF(A32&lt;='Общие данные'!$B$82,DATE(YEAR($B$8),MONTH($B$8)+A31,DAY('Общие данные'!$B$79)),0)</f>
        <v>0</v>
      </c>
      <c r="S32" s="98"/>
      <c r="T32" s="98"/>
      <c r="U32" s="98"/>
      <c r="V32" s="98"/>
    </row>
    <row r="33" spans="1:22" x14ac:dyDescent="0.25">
      <c r="A33" s="104">
        <f t="shared" ref="A33:A42" si="26">1+A32</f>
        <v>26</v>
      </c>
      <c r="B33" s="105" t="b">
        <f>IF(A33&lt;='Общие данные'!$B$82,DATE(YEAR(R33),MONTH(R33),DAY(IF(A33='Общие данные'!$B$82,'Общие данные'!$B$67,IF(A33&lt;'Общие данные'!$B$82,(Q33),IF(A33&gt;'Общие данные'!$B$82,$H$44,0))))))</f>
        <v>0</v>
      </c>
      <c r="C33" s="55">
        <f t="shared" si="15"/>
        <v>3.7252902984619141E-9</v>
      </c>
      <c r="D33" s="55" t="b">
        <f t="shared" si="16"/>
        <v>0</v>
      </c>
      <c r="E33" s="55" t="b">
        <f t="shared" si="17"/>
        <v>0</v>
      </c>
      <c r="F33" s="55" t="b">
        <f t="shared" si="18"/>
        <v>0</v>
      </c>
      <c r="G33" s="98">
        <f t="shared" si="19"/>
        <v>0</v>
      </c>
      <c r="H33" s="98">
        <f t="shared" si="20"/>
        <v>366</v>
      </c>
      <c r="I33" s="106" t="b">
        <f t="shared" si="21"/>
        <v>0</v>
      </c>
      <c r="J33" s="106">
        <f>SUM($I$8:I32)</f>
        <v>65000000</v>
      </c>
      <c r="K33" s="106">
        <f t="shared" si="22"/>
        <v>0</v>
      </c>
      <c r="L33" s="100">
        <f>ROUND(C33*'Общие данные'!$B$85/H33,2)*G33</f>
        <v>0</v>
      </c>
      <c r="M33" s="100">
        <f t="shared" si="23"/>
        <v>0</v>
      </c>
      <c r="N33" s="100"/>
      <c r="O33" s="115" t="str">
        <f t="shared" si="24"/>
        <v>Сб</v>
      </c>
      <c r="P33" s="117">
        <f t="shared" si="25"/>
        <v>2</v>
      </c>
      <c r="Q33" s="117">
        <f>DAY('Общие данные'!$B$79)+P33</f>
        <v>17</v>
      </c>
      <c r="R33" s="112">
        <f>IF(A33&lt;='Общие данные'!$B$82,DATE(YEAR($B$8),MONTH($B$8)+A32,DAY('Общие данные'!$B$79)),0)</f>
        <v>0</v>
      </c>
      <c r="S33" s="98"/>
      <c r="T33" s="98"/>
      <c r="U33" s="98"/>
      <c r="V33" s="98"/>
    </row>
    <row r="34" spans="1:22" x14ac:dyDescent="0.25">
      <c r="A34" s="104">
        <f t="shared" si="26"/>
        <v>27</v>
      </c>
      <c r="B34" s="105" t="b">
        <f>IF(A34&lt;='Общие данные'!$B$82,DATE(YEAR(R34),MONTH(R34),DAY(IF(A34='Общие данные'!$B$82,'Общие данные'!$B$67,IF(A34&lt;'Общие данные'!$B$82,(Q34),IF(A34&gt;'Общие данные'!$B$82,$H$44,0))))))</f>
        <v>0</v>
      </c>
      <c r="C34" s="55">
        <f t="shared" si="15"/>
        <v>3.7252902984619141E-9</v>
      </c>
      <c r="D34" s="55" t="b">
        <f t="shared" si="16"/>
        <v>0</v>
      </c>
      <c r="E34" s="55" t="b">
        <f t="shared" si="17"/>
        <v>0</v>
      </c>
      <c r="F34" s="55" t="b">
        <f t="shared" si="18"/>
        <v>0</v>
      </c>
      <c r="G34" s="98">
        <f t="shared" si="19"/>
        <v>0</v>
      </c>
      <c r="H34" s="98">
        <f t="shared" si="20"/>
        <v>366</v>
      </c>
      <c r="I34" s="106" t="b">
        <f t="shared" si="21"/>
        <v>0</v>
      </c>
      <c r="J34" s="106">
        <f>SUM($I$8:I33)</f>
        <v>65000000</v>
      </c>
      <c r="K34" s="106">
        <f t="shared" si="22"/>
        <v>0</v>
      </c>
      <c r="L34" s="100">
        <f>ROUND(C34*'Общие данные'!$B$85/H34,2)*G34</f>
        <v>0</v>
      </c>
      <c r="M34" s="100">
        <f t="shared" si="23"/>
        <v>0</v>
      </c>
      <c r="N34" s="100"/>
      <c r="O34" s="115" t="str">
        <f t="shared" si="24"/>
        <v>Сб</v>
      </c>
      <c r="P34" s="117">
        <f t="shared" si="25"/>
        <v>2</v>
      </c>
      <c r="Q34" s="117">
        <f>DAY('Общие данные'!$B$79)+P34</f>
        <v>17</v>
      </c>
      <c r="R34" s="112">
        <f>IF(A34&lt;='Общие данные'!$B$82,DATE(YEAR($B$8),MONTH($B$8)+A33,DAY('Общие данные'!$B$79)),0)</f>
        <v>0</v>
      </c>
      <c r="S34" s="98"/>
      <c r="T34" s="98"/>
      <c r="U34" s="98"/>
      <c r="V34" s="98"/>
    </row>
    <row r="35" spans="1:22" x14ac:dyDescent="0.25">
      <c r="A35" s="104">
        <f t="shared" si="26"/>
        <v>28</v>
      </c>
      <c r="B35" s="105" t="b">
        <f>IF(A35&lt;='Общие данные'!$B$82,DATE(YEAR(R35),MONTH(R35),DAY(IF(A35='Общие данные'!$B$82,'Общие данные'!$B$67,IF(A35&lt;'Общие данные'!$B$82,(Q35),IF(A35&gt;'Общие данные'!$B$82,$H$44,0))))))</f>
        <v>0</v>
      </c>
      <c r="C35" s="55">
        <f t="shared" si="15"/>
        <v>3.7252902984619141E-9</v>
      </c>
      <c r="D35" s="55" t="b">
        <f t="shared" si="16"/>
        <v>0</v>
      </c>
      <c r="E35" s="55" t="b">
        <f t="shared" si="17"/>
        <v>0</v>
      </c>
      <c r="F35" s="55" t="b">
        <f t="shared" si="18"/>
        <v>0</v>
      </c>
      <c r="G35" s="98">
        <f t="shared" si="19"/>
        <v>0</v>
      </c>
      <c r="H35" s="98">
        <f t="shared" si="20"/>
        <v>366</v>
      </c>
      <c r="I35" s="106" t="b">
        <f t="shared" si="21"/>
        <v>0</v>
      </c>
      <c r="J35" s="106">
        <f>SUM($I$8:I34)</f>
        <v>65000000</v>
      </c>
      <c r="K35" s="106">
        <f t="shared" si="22"/>
        <v>0</v>
      </c>
      <c r="L35" s="100">
        <f>ROUND(C35*'Общие данные'!$B$85/H35,2)*G35</f>
        <v>0</v>
      </c>
      <c r="M35" s="100">
        <f t="shared" si="23"/>
        <v>0</v>
      </c>
      <c r="N35" s="100"/>
      <c r="O35" s="115" t="str">
        <f t="shared" si="24"/>
        <v>Сб</v>
      </c>
      <c r="P35" s="117">
        <f t="shared" si="25"/>
        <v>2</v>
      </c>
      <c r="Q35" s="117">
        <f>DAY('Общие данные'!$B$79)+P35</f>
        <v>17</v>
      </c>
      <c r="R35" s="112">
        <f>IF(A35&lt;='Общие данные'!$B$82,DATE(YEAR($B$8),MONTH($B$8)+A34,DAY('Общие данные'!$B$79)),0)</f>
        <v>0</v>
      </c>
      <c r="S35" s="98"/>
      <c r="T35" s="98"/>
      <c r="U35" s="98"/>
      <c r="V35" s="98"/>
    </row>
    <row r="36" spans="1:22" x14ac:dyDescent="0.25">
      <c r="A36" s="104">
        <f t="shared" si="26"/>
        <v>29</v>
      </c>
      <c r="B36" s="105" t="b">
        <f>IF(A36&lt;='Общие данные'!$B$82,DATE(YEAR(R36),MONTH(R36),DAY(IF(A36='Общие данные'!$B$82,'Общие данные'!$B$67,IF(A36&lt;'Общие данные'!$B$82,(Q36),IF(A36&gt;'Общие данные'!$B$82,$H$44,0))))))</f>
        <v>0</v>
      </c>
      <c r="C36" s="55">
        <f t="shared" si="15"/>
        <v>3.7252902984619141E-9</v>
      </c>
      <c r="D36" s="55" t="b">
        <f t="shared" si="16"/>
        <v>0</v>
      </c>
      <c r="E36" s="55" t="b">
        <f t="shared" si="17"/>
        <v>0</v>
      </c>
      <c r="F36" s="55" t="b">
        <f t="shared" si="18"/>
        <v>0</v>
      </c>
      <c r="G36" s="98">
        <f t="shared" si="19"/>
        <v>0</v>
      </c>
      <c r="H36" s="98">
        <f t="shared" si="20"/>
        <v>366</v>
      </c>
      <c r="I36" s="106" t="b">
        <f t="shared" si="21"/>
        <v>0</v>
      </c>
      <c r="J36" s="106">
        <f>SUM($I$8:I35)</f>
        <v>65000000</v>
      </c>
      <c r="K36" s="106">
        <f t="shared" si="22"/>
        <v>0</v>
      </c>
      <c r="L36" s="100">
        <f>ROUND(C36*'Общие данные'!$B$85/H36,2)*G36</f>
        <v>0</v>
      </c>
      <c r="M36" s="100">
        <f t="shared" si="23"/>
        <v>0</v>
      </c>
      <c r="N36" s="100"/>
      <c r="O36" s="115" t="str">
        <f t="shared" si="24"/>
        <v>Сб</v>
      </c>
      <c r="P36" s="117">
        <f t="shared" si="25"/>
        <v>2</v>
      </c>
      <c r="Q36" s="117">
        <f>DAY('Общие данные'!$B$79)+P36</f>
        <v>17</v>
      </c>
      <c r="R36" s="112">
        <f>IF(A36&lt;='Общие данные'!$B$82,DATE(YEAR($B$8),MONTH($B$8)+A35,DAY('Общие данные'!$B$79)),0)</f>
        <v>0</v>
      </c>
      <c r="S36" s="98"/>
      <c r="T36" s="98"/>
      <c r="U36" s="98"/>
      <c r="V36" s="98"/>
    </row>
    <row r="37" spans="1:22" x14ac:dyDescent="0.25">
      <c r="A37" s="104">
        <f t="shared" si="26"/>
        <v>30</v>
      </c>
      <c r="B37" s="105" t="b">
        <f>IF(A37&lt;='Общие данные'!$B$82,DATE(YEAR(R37),MONTH(R37),DAY(IF(A37='Общие данные'!$B$82,'Общие данные'!$B$67,IF(A37&lt;'Общие данные'!$B$82,(Q37),IF(A37&gt;'Общие данные'!$B$82,$H$44,0))))))</f>
        <v>0</v>
      </c>
      <c r="C37" s="55">
        <f t="shared" si="15"/>
        <v>3.7252902984619141E-9</v>
      </c>
      <c r="D37" s="55" t="b">
        <f t="shared" si="16"/>
        <v>0</v>
      </c>
      <c r="E37" s="55" t="b">
        <f t="shared" si="17"/>
        <v>0</v>
      </c>
      <c r="F37" s="55" t="b">
        <f t="shared" si="18"/>
        <v>0</v>
      </c>
      <c r="G37" s="98">
        <f t="shared" si="19"/>
        <v>0</v>
      </c>
      <c r="H37" s="98">
        <f t="shared" si="20"/>
        <v>366</v>
      </c>
      <c r="I37" s="106" t="b">
        <f t="shared" si="21"/>
        <v>0</v>
      </c>
      <c r="J37" s="106">
        <f>SUM($I$8:I36)</f>
        <v>65000000</v>
      </c>
      <c r="K37" s="106">
        <f t="shared" si="22"/>
        <v>0</v>
      </c>
      <c r="L37" s="100">
        <f>ROUND(C37*'Общие данные'!$B$85/H37,2)*G37</f>
        <v>0</v>
      </c>
      <c r="M37" s="100">
        <f t="shared" si="23"/>
        <v>0</v>
      </c>
      <c r="N37" s="100"/>
      <c r="O37" s="115" t="str">
        <f t="shared" si="24"/>
        <v>Сб</v>
      </c>
      <c r="P37" s="117">
        <f t="shared" si="25"/>
        <v>2</v>
      </c>
      <c r="Q37" s="117">
        <f>DAY('Общие данные'!$B$79)+P37</f>
        <v>17</v>
      </c>
      <c r="R37" s="112">
        <f>IF(A37&lt;='Общие данные'!$B$82,DATE(YEAR($B$8),MONTH($B$8)+A36,DAY('Общие данные'!$B$79)),0)</f>
        <v>0</v>
      </c>
      <c r="S37" s="98"/>
      <c r="T37" s="98"/>
      <c r="U37" s="98"/>
      <c r="V37" s="98"/>
    </row>
    <row r="38" spans="1:22" x14ac:dyDescent="0.25">
      <c r="A38" s="104">
        <f t="shared" si="26"/>
        <v>31</v>
      </c>
      <c r="B38" s="105" t="b">
        <f>IF(A38&lt;='Общие данные'!$B$82,DATE(YEAR(R38),MONTH(R38),DAY(IF(A38='Общие данные'!$B$82,'Общие данные'!$B$67,IF(A38&lt;'Общие данные'!$B$82,(Q38),IF(A38&gt;'Общие данные'!$B$82,$H$44,0))))))</f>
        <v>0</v>
      </c>
      <c r="C38" s="55">
        <f t="shared" si="15"/>
        <v>3.7252902984619141E-9</v>
      </c>
      <c r="D38" s="55" t="b">
        <f t="shared" si="16"/>
        <v>0</v>
      </c>
      <c r="E38" s="55" t="b">
        <f t="shared" si="17"/>
        <v>0</v>
      </c>
      <c r="F38" s="55" t="b">
        <f t="shared" si="18"/>
        <v>0</v>
      </c>
      <c r="G38" s="98">
        <f t="shared" si="19"/>
        <v>0</v>
      </c>
      <c r="H38" s="98">
        <f t="shared" si="20"/>
        <v>366</v>
      </c>
      <c r="I38" s="106" t="b">
        <f t="shared" si="21"/>
        <v>0</v>
      </c>
      <c r="J38" s="106">
        <f>SUM($I$8:I37)</f>
        <v>65000000</v>
      </c>
      <c r="K38" s="106">
        <f t="shared" si="22"/>
        <v>0</v>
      </c>
      <c r="L38" s="100">
        <f>ROUND(C38*'Общие данные'!$B$85/H38,2)*G38</f>
        <v>0</v>
      </c>
      <c r="M38" s="100">
        <f t="shared" si="23"/>
        <v>0</v>
      </c>
      <c r="N38" s="100"/>
      <c r="O38" s="115" t="str">
        <f t="shared" si="24"/>
        <v>Сб</v>
      </c>
      <c r="P38" s="117">
        <f t="shared" si="25"/>
        <v>2</v>
      </c>
      <c r="Q38" s="117">
        <f>DAY('Общие данные'!$B$79)+P38</f>
        <v>17</v>
      </c>
      <c r="R38" s="112">
        <f>IF(A38&lt;='Общие данные'!$B$82,DATE(YEAR($B$8),MONTH($B$8)+A37,DAY('Общие данные'!$B$79)),0)</f>
        <v>0</v>
      </c>
      <c r="S38" s="98"/>
      <c r="T38" s="98"/>
      <c r="U38" s="98"/>
      <c r="V38" s="98"/>
    </row>
    <row r="39" spans="1:22" x14ac:dyDescent="0.25">
      <c r="A39" s="104">
        <f t="shared" si="26"/>
        <v>32</v>
      </c>
      <c r="B39" s="105" t="b">
        <f>IF(A39&lt;='Общие данные'!$B$82,DATE(YEAR(R39),MONTH(R39),DAY(IF(A39='Общие данные'!$B$82,'Общие данные'!$B$67,IF(A39&lt;'Общие данные'!$B$82,(Q39),IF(A39&gt;'Общие данные'!$B$82,$H$44,0))))))</f>
        <v>0</v>
      </c>
      <c r="C39" s="55">
        <f t="shared" si="15"/>
        <v>3.7252902984619141E-9</v>
      </c>
      <c r="D39" s="55" t="b">
        <f t="shared" si="16"/>
        <v>0</v>
      </c>
      <c r="E39" s="55" t="b">
        <f t="shared" si="17"/>
        <v>0</v>
      </c>
      <c r="F39" s="55" t="b">
        <f t="shared" si="18"/>
        <v>0</v>
      </c>
      <c r="G39" s="98">
        <f t="shared" si="19"/>
        <v>0</v>
      </c>
      <c r="H39" s="98">
        <f t="shared" si="20"/>
        <v>366</v>
      </c>
      <c r="I39" s="106" t="b">
        <f t="shared" si="21"/>
        <v>0</v>
      </c>
      <c r="J39" s="106">
        <f>SUM($I$8:I38)</f>
        <v>65000000</v>
      </c>
      <c r="K39" s="106">
        <f t="shared" si="22"/>
        <v>0</v>
      </c>
      <c r="L39" s="100">
        <f>ROUND(C39*'Общие данные'!$B$85/H39,2)*G39</f>
        <v>0</v>
      </c>
      <c r="M39" s="100">
        <f t="shared" si="23"/>
        <v>0</v>
      </c>
      <c r="N39" s="100"/>
      <c r="O39" s="115" t="str">
        <f t="shared" si="24"/>
        <v>Сб</v>
      </c>
      <c r="P39" s="117">
        <f t="shared" si="25"/>
        <v>2</v>
      </c>
      <c r="Q39" s="117">
        <f>DAY('Общие данные'!$B$79)+P39</f>
        <v>17</v>
      </c>
      <c r="R39" s="112">
        <f>IF(A39&lt;='Общие данные'!$B$82,DATE(YEAR($B$8),MONTH($B$8)+A38,DAY('Общие данные'!$B$79)),0)</f>
        <v>0</v>
      </c>
      <c r="S39" s="98"/>
      <c r="T39" s="98"/>
      <c r="U39" s="98"/>
      <c r="V39" s="98"/>
    </row>
    <row r="40" spans="1:22" x14ac:dyDescent="0.25">
      <c r="A40" s="104">
        <f t="shared" si="26"/>
        <v>33</v>
      </c>
      <c r="B40" s="105" t="b">
        <f>IF(A40&lt;='Общие данные'!$B$82,DATE(YEAR(R40),MONTH(R40),DAY(IF(A40='Общие данные'!$B$82,'Общие данные'!$B$67,IF(A40&lt;'Общие данные'!$B$82,(Q40),IF(A40&gt;'Общие данные'!$B$82,$H$44,0))))))</f>
        <v>0</v>
      </c>
      <c r="C40" s="55">
        <f t="shared" si="15"/>
        <v>3.7252902984619141E-9</v>
      </c>
      <c r="D40" s="55" t="b">
        <f t="shared" si="16"/>
        <v>0</v>
      </c>
      <c r="E40" s="55" t="b">
        <f t="shared" si="17"/>
        <v>0</v>
      </c>
      <c r="F40" s="55" t="b">
        <f t="shared" si="18"/>
        <v>0</v>
      </c>
      <c r="G40" s="98">
        <f t="shared" si="19"/>
        <v>0</v>
      </c>
      <c r="H40" s="98">
        <f t="shared" si="20"/>
        <v>366</v>
      </c>
      <c r="I40" s="106" t="b">
        <f t="shared" si="21"/>
        <v>0</v>
      </c>
      <c r="J40" s="106">
        <f>SUM($I$8:I39)</f>
        <v>65000000</v>
      </c>
      <c r="K40" s="106">
        <f t="shared" si="22"/>
        <v>0</v>
      </c>
      <c r="L40" s="100">
        <f>ROUND(C40*'Общие данные'!$B$85/H40,2)*G40</f>
        <v>0</v>
      </c>
      <c r="M40" s="100">
        <f t="shared" si="23"/>
        <v>0</v>
      </c>
      <c r="N40" s="100"/>
      <c r="O40" s="115" t="str">
        <f t="shared" si="24"/>
        <v>Сб</v>
      </c>
      <c r="P40" s="117">
        <f t="shared" si="25"/>
        <v>2</v>
      </c>
      <c r="Q40" s="117">
        <f>DAY('Общие данные'!$B$79)+P40</f>
        <v>17</v>
      </c>
      <c r="R40" s="112">
        <f>IF(A40&lt;='Общие данные'!$B$82,DATE(YEAR($B$8),MONTH($B$8)+A39,DAY('Общие данные'!$B$79)),0)</f>
        <v>0</v>
      </c>
      <c r="S40" s="98"/>
      <c r="T40" s="98"/>
      <c r="U40" s="98"/>
      <c r="V40" s="98"/>
    </row>
    <row r="41" spans="1:22" x14ac:dyDescent="0.25">
      <c r="A41" s="104">
        <f t="shared" si="26"/>
        <v>34</v>
      </c>
      <c r="B41" s="105" t="b">
        <f>IF(A41&lt;='Общие данные'!$B$82,DATE(YEAR(R41),MONTH(R41),DAY(IF(A41='Общие данные'!$B$82,'Общие данные'!$B$67,IF(A41&lt;'Общие данные'!$B$82,(Q41),IF(A41&gt;'Общие данные'!$B$82,$H$44,0))))))</f>
        <v>0</v>
      </c>
      <c r="C41" s="55">
        <f t="shared" si="15"/>
        <v>3.7252902984619141E-9</v>
      </c>
      <c r="D41" s="55" t="b">
        <f t="shared" si="16"/>
        <v>0</v>
      </c>
      <c r="E41" s="55" t="b">
        <f t="shared" si="17"/>
        <v>0</v>
      </c>
      <c r="F41" s="55" t="b">
        <f t="shared" si="18"/>
        <v>0</v>
      </c>
      <c r="G41" s="98">
        <f t="shared" si="19"/>
        <v>0</v>
      </c>
      <c r="H41" s="98">
        <f t="shared" si="20"/>
        <v>366</v>
      </c>
      <c r="I41" s="106" t="b">
        <f t="shared" si="21"/>
        <v>0</v>
      </c>
      <c r="J41" s="106">
        <f>SUM($I$8:I40)</f>
        <v>65000000</v>
      </c>
      <c r="K41" s="106">
        <f t="shared" si="22"/>
        <v>0</v>
      </c>
      <c r="L41" s="100">
        <f>ROUND(C41*'Общие данные'!$B$85/H41,2)*G41</f>
        <v>0</v>
      </c>
      <c r="M41" s="100">
        <f t="shared" si="23"/>
        <v>0</v>
      </c>
      <c r="N41" s="100"/>
      <c r="O41" s="115" t="str">
        <f t="shared" si="24"/>
        <v>Сб</v>
      </c>
      <c r="P41" s="117">
        <f t="shared" si="25"/>
        <v>2</v>
      </c>
      <c r="Q41" s="117">
        <f>DAY('Общие данные'!$B$79)+P41</f>
        <v>17</v>
      </c>
      <c r="R41" s="112">
        <f>IF(A41&lt;='Общие данные'!$B$82,DATE(YEAR($B$8),MONTH($B$8)+A40,DAY('Общие данные'!$B$79)),0)</f>
        <v>0</v>
      </c>
      <c r="S41" s="98"/>
      <c r="T41" s="98"/>
      <c r="U41" s="98"/>
      <c r="V41" s="98"/>
    </row>
    <row r="42" spans="1:22" x14ac:dyDescent="0.25">
      <c r="A42" s="104">
        <f t="shared" si="26"/>
        <v>35</v>
      </c>
      <c r="B42" s="105" t="b">
        <f>IF(A42&lt;='Общие данные'!$B$82,DATE(YEAR(R42),MONTH(R42),DAY(IF(A42='Общие данные'!$B$82,'Общие данные'!$B$67,IF(A42&lt;'Общие данные'!$B$82,(Q42),IF(A42&gt;'Общие данные'!$B$82,$H$44,0))))))</f>
        <v>0</v>
      </c>
      <c r="C42" s="55">
        <f t="shared" si="15"/>
        <v>3.7252902984619141E-9</v>
      </c>
      <c r="D42" s="55" t="b">
        <f t="shared" si="16"/>
        <v>0</v>
      </c>
      <c r="E42" s="55" t="b">
        <f t="shared" si="17"/>
        <v>0</v>
      </c>
      <c r="F42" s="55" t="b">
        <f t="shared" si="18"/>
        <v>0</v>
      </c>
      <c r="G42" s="98">
        <f t="shared" si="19"/>
        <v>0</v>
      </c>
      <c r="H42" s="98">
        <f t="shared" si="20"/>
        <v>366</v>
      </c>
      <c r="I42" s="106" t="b">
        <f t="shared" si="21"/>
        <v>0</v>
      </c>
      <c r="J42" s="106">
        <f>SUM($I$8:I41)</f>
        <v>65000000</v>
      </c>
      <c r="K42" s="106">
        <f t="shared" si="22"/>
        <v>0</v>
      </c>
      <c r="L42" s="100">
        <f>ROUND(C42*'Общие данные'!$B$85/H42,2)*G42</f>
        <v>0</v>
      </c>
      <c r="M42" s="100">
        <f t="shared" si="23"/>
        <v>0</v>
      </c>
      <c r="N42" s="100"/>
      <c r="O42" s="115" t="str">
        <f t="shared" si="24"/>
        <v>Сб</v>
      </c>
      <c r="P42" s="117">
        <f t="shared" si="25"/>
        <v>2</v>
      </c>
      <c r="Q42" s="117">
        <f>DAY('Общие данные'!$B$79)+P42</f>
        <v>17</v>
      </c>
      <c r="R42" s="112">
        <f>IF(A42&lt;='Общие данные'!$B$82,DATE(YEAR($B$8),MONTH($B$8)+A41,DAY('Общие данные'!$B$79)),0)</f>
        <v>0</v>
      </c>
      <c r="S42" s="98"/>
      <c r="T42" s="98"/>
      <c r="U42" s="98"/>
      <c r="V42" s="98"/>
    </row>
    <row r="43" spans="1:22" x14ac:dyDescent="0.25">
      <c r="A43" s="104">
        <f t="shared" ref="A43" si="27">1+A42</f>
        <v>36</v>
      </c>
      <c r="B43" s="105" t="b">
        <f>IF(A43&lt;='Общие данные'!$B$82,DATE(YEAR(R43),MONTH(R43),DAY(IF(A43='Общие данные'!$B$82,'Общие данные'!$B$67,IF(A43&lt;'Общие данные'!$B$82,(Q43),IF(A43&gt;'Общие данные'!$B$82,$H$44,0))))))</f>
        <v>0</v>
      </c>
      <c r="C43" s="55">
        <f t="shared" ref="C43" si="28">C42-D42</f>
        <v>3.7252902984619141E-9</v>
      </c>
      <c r="D43" s="55" t="b">
        <f t="shared" ref="D43" si="29">IF(C43=0,L43,IF(C43&gt;1,I43))</f>
        <v>0</v>
      </c>
      <c r="E43" s="55" t="b">
        <f t="shared" ref="E43" si="30">IF(C43=0,N42,IF(C43&gt;1,L43))</f>
        <v>0</v>
      </c>
      <c r="F43" s="55" t="b">
        <f t="shared" ref="F43" si="31">IF(C43=0,N42,IF(C43&gt;1,M43))</f>
        <v>0</v>
      </c>
      <c r="G43" s="98">
        <f t="shared" ref="G43" si="32">B43-B42</f>
        <v>0</v>
      </c>
      <c r="H43" s="98">
        <f t="shared" ref="H43" si="33">DATE(YEAR(B43),12,31)-DATE(YEAR(B43),1,1)+1</f>
        <v>366</v>
      </c>
      <c r="I43" s="106" t="b">
        <f t="shared" ref="I43" si="34">IF($L$5=A43,K43,IF($L$5&gt;A43,I42))</f>
        <v>0</v>
      </c>
      <c r="J43" s="106">
        <f>SUM($I$8:I42)</f>
        <v>65000000</v>
      </c>
      <c r="K43" s="106">
        <f t="shared" ref="K43" si="35">$J$12-J43</f>
        <v>0</v>
      </c>
      <c r="L43" s="100">
        <f>ROUND(C43*'Общие данные'!$B$85/H43,2)*G43</f>
        <v>0</v>
      </c>
      <c r="M43" s="100">
        <f t="shared" ref="M43" si="36">D43+E43</f>
        <v>0</v>
      </c>
      <c r="N43" s="100"/>
      <c r="O43" s="115" t="str">
        <f t="shared" ref="O43" si="37">TEXT(R43,"ддд")</f>
        <v>Сб</v>
      </c>
      <c r="P43" s="117">
        <f t="shared" ref="P43" si="38">IF(O43=$U$8,2,IF(O43=$V$8,1,0))</f>
        <v>2</v>
      </c>
      <c r="Q43" s="117">
        <f>DAY('Общие данные'!$B$79)+P43</f>
        <v>17</v>
      </c>
      <c r="R43" s="112">
        <f>IF(A43&lt;='Общие данные'!$B$82,DATE(YEAR($B$8),MONTH($B$8)+A42,DAY('Общие данные'!$B$79)),0)</f>
        <v>0</v>
      </c>
      <c r="S43" s="98"/>
      <c r="T43" s="98"/>
      <c r="U43" s="98"/>
      <c r="V43" s="98"/>
    </row>
    <row r="44" spans="1:22" x14ac:dyDescent="0.25">
      <c r="A44" s="107"/>
      <c r="B44" s="108" t="s">
        <v>7</v>
      </c>
      <c r="C44" s="109"/>
      <c r="D44" s="109">
        <f>SUM(D8:D43)</f>
        <v>65000000</v>
      </c>
      <c r="E44" s="109">
        <f t="shared" ref="E44:F44" si="39">SUM(E8:E43)</f>
        <v>39191438.270000003</v>
      </c>
      <c r="F44" s="109">
        <f t="shared" si="39"/>
        <v>104191438.27000004</v>
      </c>
    </row>
    <row r="45" spans="1:22" ht="9" customHeight="1" x14ac:dyDescent="0.25">
      <c r="B45" s="110"/>
      <c r="C45" s="111"/>
      <c r="D45" s="111"/>
      <c r="E45" s="111"/>
      <c r="F45" s="111"/>
    </row>
    <row r="46" spans="1:22" ht="47.25" customHeight="1" x14ac:dyDescent="0.25">
      <c r="A46" s="247" t="s">
        <v>18</v>
      </c>
      <c r="B46" s="247"/>
      <c r="C46" s="247"/>
      <c r="D46" s="247"/>
      <c r="E46" s="247"/>
      <c r="F46" s="247"/>
    </row>
    <row r="47" spans="1:22" ht="7.5" customHeight="1" x14ac:dyDescent="0.25"/>
    <row r="48" spans="1:22" x14ac:dyDescent="0.25">
      <c r="A48" s="248" t="e">
        <f>#REF!</f>
        <v>#REF!</v>
      </c>
      <c r="B48" s="248"/>
      <c r="C48" s="248"/>
      <c r="D48" s="248" t="e">
        <f>#REF!</f>
        <v>#REF!</v>
      </c>
      <c r="E48" s="248"/>
      <c r="F48" s="248"/>
    </row>
    <row r="49" spans="1:6" ht="11.25" customHeight="1" x14ac:dyDescent="0.25">
      <c r="A49" s="249"/>
      <c r="B49" s="249"/>
      <c r="C49" s="249"/>
      <c r="D49" s="249"/>
      <c r="E49" s="249"/>
      <c r="F49" s="249"/>
    </row>
    <row r="50" spans="1:6" ht="30" customHeight="1" x14ac:dyDescent="0.25">
      <c r="A50" s="250" t="e">
        <f>#REF!</f>
        <v>#REF!</v>
      </c>
      <c r="B50" s="250"/>
      <c r="C50" s="250"/>
      <c r="D50" s="250" t="e">
        <f>#REF!</f>
        <v>#REF!</v>
      </c>
      <c r="E50" s="250"/>
      <c r="F50" s="250"/>
    </row>
    <row r="51" spans="1:6" ht="32.25" customHeight="1" x14ac:dyDescent="0.25">
      <c r="A51" s="246" t="e">
        <f>#REF!</f>
        <v>#REF!</v>
      </c>
      <c r="B51" s="246"/>
      <c r="C51" s="246"/>
      <c r="D51" s="246" t="e">
        <f>#REF!</f>
        <v>#REF!</v>
      </c>
      <c r="E51" s="246"/>
      <c r="F51" s="246"/>
    </row>
    <row r="52" spans="1:6" x14ac:dyDescent="0.25">
      <c r="A52" s="246" t="e">
        <f>#REF!</f>
        <v>#REF!</v>
      </c>
      <c r="B52" s="246"/>
      <c r="C52" s="246"/>
      <c r="D52" s="246" t="str">
        <f>"паспорт серии "&amp;'Общие данные'!B16&amp;", "&amp;'Общие данные'!B20&amp;""</f>
        <v>паспорт серии AD7554127, IIV 6230 tomonidan 20.06.2024 yilda berilgan</v>
      </c>
      <c r="E52" s="246"/>
      <c r="F52" s="246"/>
    </row>
    <row r="53" spans="1:6" ht="32.25" customHeight="1" x14ac:dyDescent="0.25">
      <c r="A53" s="246" t="e">
        <f>#REF!</f>
        <v>#REF!</v>
      </c>
      <c r="B53" s="246"/>
      <c r="C53" s="246"/>
      <c r="D53" s="246"/>
      <c r="E53" s="246"/>
      <c r="F53" s="246"/>
    </row>
    <row r="54" spans="1:6" x14ac:dyDescent="0.25">
      <c r="A54" s="246" t="e">
        <f>#REF!</f>
        <v>#REF!</v>
      </c>
      <c r="B54" s="246"/>
      <c r="C54" s="246"/>
      <c r="D54" s="246" t="e">
        <f>#REF!</f>
        <v>#REF!</v>
      </c>
      <c r="E54" s="246"/>
      <c r="F54" s="246"/>
    </row>
    <row r="55" spans="1:6" x14ac:dyDescent="0.25">
      <c r="A55" s="246" t="e">
        <f>#REF!</f>
        <v>#REF!</v>
      </c>
      <c r="B55" s="246"/>
      <c r="C55" s="246"/>
      <c r="D55" s="246" t="e">
        <f>#REF!</f>
        <v>#REF!</v>
      </c>
      <c r="E55" s="246"/>
      <c r="F55" s="246"/>
    </row>
    <row r="56" spans="1:6" x14ac:dyDescent="0.25">
      <c r="A56" s="246" t="e">
        <f>#REF!</f>
        <v>#REF!</v>
      </c>
      <c r="B56" s="246"/>
      <c r="C56" s="246"/>
      <c r="D56" s="246" t="e">
        <f>#REF!</f>
        <v>#REF!</v>
      </c>
      <c r="E56" s="246"/>
      <c r="F56" s="246"/>
    </row>
    <row r="57" spans="1:6" ht="8.25" customHeight="1" x14ac:dyDescent="0.25">
      <c r="A57" s="246"/>
      <c r="B57" s="246"/>
      <c r="C57" s="246"/>
      <c r="D57" s="246"/>
      <c r="E57" s="246"/>
      <c r="F57" s="246"/>
    </row>
    <row r="58" spans="1:6" x14ac:dyDescent="0.25">
      <c r="A58" s="250" t="e">
        <f>#REF!</f>
        <v>#REF!</v>
      </c>
      <c r="B58" s="250"/>
      <c r="C58" s="250"/>
      <c r="D58" s="250" t="e">
        <f>#REF!</f>
        <v>#REF!</v>
      </c>
      <c r="E58" s="250"/>
      <c r="F58" s="250"/>
    </row>
    <row r="59" spans="1:6" ht="7.5" customHeight="1" x14ac:dyDescent="0.25">
      <c r="A59" s="250"/>
      <c r="B59" s="250"/>
      <c r="C59" s="250"/>
      <c r="D59" s="250"/>
      <c r="E59" s="250"/>
      <c r="F59" s="250"/>
    </row>
    <row r="60" spans="1:6" x14ac:dyDescent="0.25">
      <c r="A60" s="250" t="e">
        <f>#REF!</f>
        <v>#REF!</v>
      </c>
      <c r="B60" s="250"/>
      <c r="C60" s="250"/>
      <c r="D60" s="250" t="e">
        <f>#REF!</f>
        <v>#REF!</v>
      </c>
      <c r="E60" s="250"/>
      <c r="F60" s="250"/>
    </row>
    <row r="61" spans="1:6" ht="8.25" customHeight="1" x14ac:dyDescent="0.25">
      <c r="A61" s="246"/>
      <c r="B61" s="246"/>
      <c r="C61" s="246"/>
      <c r="D61" s="246"/>
      <c r="E61" s="246"/>
      <c r="F61" s="246"/>
    </row>
    <row r="62" spans="1:6" ht="30" customHeight="1" x14ac:dyDescent="0.25">
      <c r="A62" s="252"/>
      <c r="B62" s="252"/>
      <c r="C62" s="252"/>
      <c r="D62" s="253" t="e">
        <f>#REF!</f>
        <v>#REF!</v>
      </c>
      <c r="E62" s="253"/>
      <c r="F62" s="253"/>
    </row>
    <row r="63" spans="1:6" x14ac:dyDescent="0.25">
      <c r="A63" s="254"/>
      <c r="B63" s="254"/>
      <c r="C63" s="254"/>
      <c r="D63" s="254"/>
      <c r="E63" s="254"/>
      <c r="F63" s="254"/>
    </row>
    <row r="64" spans="1:6" x14ac:dyDescent="0.25">
      <c r="A64" s="251"/>
      <c r="B64" s="251"/>
      <c r="C64" s="251"/>
      <c r="D64" s="251"/>
      <c r="E64" s="251"/>
      <c r="F64" s="251"/>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x14ac:dyDescent="0.25"/>
  <cols>
    <col min="1" max="1" width="16.7109375" style="124"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30" customFormat="1" ht="36.75" customHeight="1" x14ac:dyDescent="0.25">
      <c r="A1" s="129" t="s">
        <v>15</v>
      </c>
      <c r="B1" s="130" t="s">
        <v>3</v>
      </c>
      <c r="D1" s="129"/>
      <c r="E1" s="129" t="s">
        <v>40</v>
      </c>
      <c r="F1" s="129" t="s">
        <v>41</v>
      </c>
      <c r="G1" s="129"/>
      <c r="H1" s="129"/>
      <c r="I1" s="129"/>
      <c r="J1" s="129"/>
      <c r="K1" s="129"/>
      <c r="L1" s="129" t="s">
        <v>42</v>
      </c>
      <c r="M1" s="129" t="s">
        <v>44</v>
      </c>
      <c r="N1" s="129" t="s">
        <v>43</v>
      </c>
    </row>
    <row r="2" spans="1:23" ht="15" customHeight="1" x14ac:dyDescent="0.25">
      <c r="A2" s="123">
        <v>1</v>
      </c>
      <c r="B2" t="s">
        <v>257</v>
      </c>
      <c r="C2" t="s">
        <v>67</v>
      </c>
      <c r="D2" s="125" t="s">
        <v>257</v>
      </c>
      <c r="E2" s="125" t="s">
        <v>46</v>
      </c>
      <c r="F2" s="126">
        <v>44207</v>
      </c>
      <c r="G2" s="116">
        <f>MONTH(F2)</f>
        <v>1</v>
      </c>
      <c r="H2" s="126" t="str">
        <f>IF(G2=$A$26,$A$28,IF(G2=$B$26,$B$28,IF(G2=$C$26,$C$28,IF(G2=$D$26,$D$28,IF(G2=$E$26,$E$28,IF(G2=$F$26,$F$28,IF(G2=$K$26,$K$28,IF(G2=$L$26,$L$28,IF(G2=$M$26,$M$28,IF(G2=$N$26,$N$28,IF(G2=$O$26,$O$28,IF(G2=$P$26,$P$28,0))))))))))))</f>
        <v>yanvar</v>
      </c>
      <c r="I2" s="116">
        <f>DAY(F2)</f>
        <v>11</v>
      </c>
      <c r="J2" s="128">
        <f>YEAR(F2)</f>
        <v>2021</v>
      </c>
      <c r="K2" s="126" t="str">
        <f>""&amp;I2&amp;" "&amp;H2&amp;" "&amp;J2&amp;" г."</f>
        <v>11 yanvar 2021 г.</v>
      </c>
      <c r="L2" s="125">
        <v>5</v>
      </c>
      <c r="M2" s="127">
        <v>15000000</v>
      </c>
      <c r="N2" s="125" t="s">
        <v>130</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5"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x14ac:dyDescent="0.25">
      <c r="A3" s="123">
        <v>2</v>
      </c>
      <c r="D3" s="125" t="s">
        <v>257</v>
      </c>
      <c r="E3" s="125" t="s">
        <v>45</v>
      </c>
      <c r="F3" s="126">
        <v>43775</v>
      </c>
      <c r="G3" s="116">
        <f>MONTH(F3)</f>
        <v>11</v>
      </c>
      <c r="H3" s="126" t="str">
        <f>IF(G3=$A$26,$A$28,IF(G3=$B$26,$B$28,IF(G3=$C$26,$C$28,IF(G3=$D$26,$D$28,IF(G3=$E$26,$E$28,IF(G3=$F$26,$F$28,IF(G3=$K$26,$K$28,IF(G3=$L$26,$L$28,IF(G3=$M$26,$M$28,IF(G3=$N$26,$N$28,IF(G3=$O$26,$O$28,IF(G3=$P$26,$P$28,0))))))))))))</f>
        <v>noyabr</v>
      </c>
      <c r="I3" s="116">
        <f>DAY(F3)</f>
        <v>6</v>
      </c>
      <c r="J3" s="128">
        <f>YEAR(F3)</f>
        <v>2019</v>
      </c>
      <c r="K3" s="126" t="str">
        <f>""&amp;I3&amp;" "&amp;H3&amp;" "&amp;J3&amp;" г."</f>
        <v>6 noyabr 2019 г.</v>
      </c>
      <c r="L3" s="125">
        <v>386</v>
      </c>
      <c r="M3" s="127">
        <v>15000000</v>
      </c>
      <c r="N3" s="125" t="s">
        <v>130</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x14ac:dyDescent="0.25">
      <c r="A4" s="123">
        <v>3</v>
      </c>
      <c r="D4" s="125" t="s">
        <v>257</v>
      </c>
      <c r="E4" s="125" t="s">
        <v>45</v>
      </c>
      <c r="F4" s="126">
        <v>44217</v>
      </c>
      <c r="G4" s="116">
        <f>MONTH(F4)</f>
        <v>1</v>
      </c>
      <c r="H4" s="126" t="str">
        <f>IF(G4=$A$26,$A$28,IF(G4=$B$26,$B$28,IF(G4=$C$26,$C$28,IF(G4=$D$26,$D$28,IF(G4=$E$26,$E$28,IF(G4=$F$26,$F$28,IF(G4=$K$26,$K$28,IF(G4=$L$26,$L$28,IF(G4=$M$26,$M$28,IF(G4=$N$26,$N$28,IF(G4=$O$26,$O$28,IF(G4=$P$26,$P$28,0))))))))))))</f>
        <v>yanvar</v>
      </c>
      <c r="I4" s="116">
        <f>DAY(F4)</f>
        <v>21</v>
      </c>
      <c r="J4" s="128">
        <f>YEAR(F4)</f>
        <v>2021</v>
      </c>
      <c r="K4" s="126" t="str">
        <f>""&amp;I4&amp;" "&amp;H4&amp;" "&amp;J4&amp;" г."</f>
        <v>21 yanvar 2021 г.</v>
      </c>
      <c r="L4" s="125">
        <v>33</v>
      </c>
      <c r="M4" s="127">
        <v>15000000</v>
      </c>
      <c r="N4" s="125" t="s">
        <v>130</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x14ac:dyDescent="0.25">
      <c r="A5" s="123">
        <v>4</v>
      </c>
      <c r="D5" s="125" t="s">
        <v>257</v>
      </c>
      <c r="E5" s="125"/>
      <c r="F5" s="126"/>
      <c r="G5" s="116">
        <f t="shared" ref="G5:G21" si="2">MONTH(F5)</f>
        <v>1</v>
      </c>
      <c r="H5" s="126" t="str">
        <f t="shared" ref="H5:H21" si="3">IF(G5=$A$26,$A$28,IF(G5=$B$26,$B$28,IF(G5=$C$26,$C$28,IF(G5=$D$26,$D$28,IF(G5=$E$26,$E$28,IF(G5=$F$26,$F$28,IF(G5=$K$26,$K$28,IF(G5=$L$26,$L$28,IF(G5=$M$26,$M$28,IF(G5=$N$26,$N$28,IF(G5=$O$26,$O$28,IF(G5=$P$26,$P$28,0))))))))))))</f>
        <v>yanvar</v>
      </c>
      <c r="I5" s="116">
        <f t="shared" ref="I5:I21" si="4">DAY(F5)</f>
        <v>0</v>
      </c>
      <c r="J5" s="128">
        <f t="shared" ref="J5:J21" si="5">YEAR(F5)</f>
        <v>1900</v>
      </c>
      <c r="K5" s="126" t="str">
        <f t="shared" ref="K5:K21" si="6">""&amp;I5&amp;" "&amp;H5&amp;" "&amp;J5&amp;" г."</f>
        <v>0 yanvar 1900 г.</v>
      </c>
      <c r="L5" s="125"/>
      <c r="M5" s="127"/>
      <c r="N5" s="125"/>
      <c r="P5">
        <f t="shared" si="1"/>
        <v>0</v>
      </c>
    </row>
    <row r="6" spans="1:23" ht="15" customHeight="1" x14ac:dyDescent="0.25">
      <c r="A6" s="123">
        <v>5</v>
      </c>
      <c r="D6" s="125" t="s">
        <v>257</v>
      </c>
      <c r="E6" s="125"/>
      <c r="F6" s="126"/>
      <c r="G6" s="116">
        <f t="shared" si="2"/>
        <v>1</v>
      </c>
      <c r="H6" s="126" t="str">
        <f t="shared" si="3"/>
        <v>yanvar</v>
      </c>
      <c r="I6" s="116">
        <f t="shared" si="4"/>
        <v>0</v>
      </c>
      <c r="J6" s="128">
        <f t="shared" si="5"/>
        <v>1900</v>
      </c>
      <c r="K6" s="126" t="str">
        <f t="shared" si="6"/>
        <v>0 yanvar 1900 г.</v>
      </c>
      <c r="L6" s="125"/>
      <c r="M6" s="127"/>
      <c r="N6" s="125"/>
      <c r="P6">
        <f t="shared" si="1"/>
        <v>0</v>
      </c>
    </row>
    <row r="7" spans="1:23" ht="15" customHeight="1" x14ac:dyDescent="0.25">
      <c r="A7" s="123">
        <v>6</v>
      </c>
      <c r="D7" s="125" t="s">
        <v>257</v>
      </c>
      <c r="E7" s="125"/>
      <c r="F7" s="126"/>
      <c r="G7" s="116">
        <f t="shared" si="2"/>
        <v>1</v>
      </c>
      <c r="H7" s="126" t="str">
        <f t="shared" si="3"/>
        <v>yanvar</v>
      </c>
      <c r="I7" s="116">
        <f t="shared" si="4"/>
        <v>0</v>
      </c>
      <c r="J7" s="128">
        <f t="shared" si="5"/>
        <v>1900</v>
      </c>
      <c r="K7" s="126" t="str">
        <f t="shared" si="6"/>
        <v>0 yanvar 1900 г.</v>
      </c>
      <c r="L7" s="125"/>
      <c r="M7" s="127"/>
      <c r="N7" s="125"/>
      <c r="P7">
        <f t="shared" si="1"/>
        <v>0</v>
      </c>
    </row>
    <row r="8" spans="1:23" ht="15" customHeight="1" x14ac:dyDescent="0.25">
      <c r="A8" s="123">
        <v>7</v>
      </c>
      <c r="D8" s="125" t="s">
        <v>257</v>
      </c>
      <c r="E8" s="125"/>
      <c r="F8" s="126"/>
      <c r="G8" s="116">
        <f t="shared" si="2"/>
        <v>1</v>
      </c>
      <c r="H8" s="126" t="str">
        <f t="shared" si="3"/>
        <v>yanvar</v>
      </c>
      <c r="I8" s="116">
        <f t="shared" si="4"/>
        <v>0</v>
      </c>
      <c r="J8" s="128">
        <f t="shared" si="5"/>
        <v>1900</v>
      </c>
      <c r="K8" s="126" t="str">
        <f t="shared" si="6"/>
        <v>0 yanvar 1900 г.</v>
      </c>
      <c r="L8" s="125"/>
      <c r="M8" s="127"/>
      <c r="N8" s="125"/>
      <c r="P8">
        <f t="shared" si="1"/>
        <v>0</v>
      </c>
    </row>
    <row r="9" spans="1:23" ht="15" customHeight="1" x14ac:dyDescent="0.25">
      <c r="A9" s="123">
        <v>8</v>
      </c>
      <c r="D9" s="125" t="s">
        <v>257</v>
      </c>
      <c r="E9" s="125"/>
      <c r="F9" s="126"/>
      <c r="G9" s="116">
        <f t="shared" si="2"/>
        <v>1</v>
      </c>
      <c r="H9" s="126" t="str">
        <f t="shared" si="3"/>
        <v>yanvar</v>
      </c>
      <c r="I9" s="116">
        <f t="shared" si="4"/>
        <v>0</v>
      </c>
      <c r="J9" s="128">
        <f t="shared" si="5"/>
        <v>1900</v>
      </c>
      <c r="K9" s="126" t="str">
        <f t="shared" si="6"/>
        <v>0 yanvar 1900 г.</v>
      </c>
      <c r="L9" s="125"/>
      <c r="M9" s="127"/>
      <c r="N9" s="125"/>
      <c r="P9">
        <f t="shared" si="1"/>
        <v>0</v>
      </c>
    </row>
    <row r="10" spans="1:23" ht="15" customHeight="1" x14ac:dyDescent="0.25">
      <c r="A10" s="123">
        <v>9</v>
      </c>
      <c r="D10" s="125" t="s">
        <v>257</v>
      </c>
      <c r="E10" s="125"/>
      <c r="F10" s="126"/>
      <c r="G10" s="116">
        <f t="shared" si="2"/>
        <v>1</v>
      </c>
      <c r="H10" s="126" t="str">
        <f t="shared" si="3"/>
        <v>yanvar</v>
      </c>
      <c r="I10" s="116">
        <f t="shared" si="4"/>
        <v>0</v>
      </c>
      <c r="J10" s="128">
        <f t="shared" si="5"/>
        <v>1900</v>
      </c>
      <c r="K10" s="126" t="str">
        <f t="shared" si="6"/>
        <v>0 yanvar 1900 г.</v>
      </c>
      <c r="L10" s="125"/>
      <c r="M10" s="127"/>
      <c r="N10" s="125"/>
      <c r="P10">
        <f t="shared" si="1"/>
        <v>0</v>
      </c>
    </row>
    <row r="11" spans="1:23" ht="15" customHeight="1" x14ac:dyDescent="0.25">
      <c r="A11" s="123">
        <v>10</v>
      </c>
      <c r="D11" s="125" t="s">
        <v>257</v>
      </c>
      <c r="E11" s="125"/>
      <c r="F11" s="126"/>
      <c r="G11" s="116">
        <f t="shared" si="2"/>
        <v>1</v>
      </c>
      <c r="H11" s="126" t="str">
        <f t="shared" si="3"/>
        <v>yanvar</v>
      </c>
      <c r="I11" s="116">
        <f t="shared" si="4"/>
        <v>0</v>
      </c>
      <c r="J11" s="128">
        <f t="shared" si="5"/>
        <v>1900</v>
      </c>
      <c r="K11" s="126" t="str">
        <f t="shared" si="6"/>
        <v>0 yanvar 1900 г.</v>
      </c>
      <c r="L11" s="125"/>
      <c r="M11" s="127"/>
      <c r="N11" s="125"/>
      <c r="P11">
        <f t="shared" si="1"/>
        <v>0</v>
      </c>
    </row>
    <row r="12" spans="1:23" ht="15" customHeight="1" x14ac:dyDescent="0.25">
      <c r="A12" s="123">
        <v>11</v>
      </c>
      <c r="D12" s="125" t="s">
        <v>257</v>
      </c>
      <c r="E12" s="125"/>
      <c r="F12" s="126"/>
      <c r="G12" s="116">
        <f t="shared" si="2"/>
        <v>1</v>
      </c>
      <c r="H12" s="126" t="str">
        <f t="shared" si="3"/>
        <v>yanvar</v>
      </c>
      <c r="I12" s="116">
        <f t="shared" si="4"/>
        <v>0</v>
      </c>
      <c r="J12" s="128">
        <f t="shared" si="5"/>
        <v>1900</v>
      </c>
      <c r="K12" s="126" t="str">
        <f t="shared" si="6"/>
        <v>0 yanvar 1900 г.</v>
      </c>
      <c r="L12" s="125"/>
      <c r="M12" s="127"/>
      <c r="N12" s="125"/>
      <c r="P12">
        <f t="shared" si="1"/>
        <v>0</v>
      </c>
    </row>
    <row r="13" spans="1:23" ht="15" customHeight="1" x14ac:dyDescent="0.25">
      <c r="A13" s="123">
        <v>12</v>
      </c>
      <c r="D13" s="125" t="s">
        <v>257</v>
      </c>
      <c r="E13" s="125"/>
      <c r="F13" s="126"/>
      <c r="G13" s="116">
        <f t="shared" si="2"/>
        <v>1</v>
      </c>
      <c r="H13" s="126" t="str">
        <f t="shared" si="3"/>
        <v>yanvar</v>
      </c>
      <c r="I13" s="116">
        <f t="shared" si="4"/>
        <v>0</v>
      </c>
      <c r="J13" s="128">
        <f t="shared" si="5"/>
        <v>1900</v>
      </c>
      <c r="K13" s="126" t="str">
        <f t="shared" si="6"/>
        <v>0 yanvar 1900 г.</v>
      </c>
      <c r="L13" s="125"/>
      <c r="M13" s="127"/>
      <c r="N13" s="125"/>
      <c r="P13">
        <f t="shared" si="1"/>
        <v>0</v>
      </c>
    </row>
    <row r="14" spans="1:23" ht="15" customHeight="1" x14ac:dyDescent="0.25">
      <c r="A14" s="123">
        <v>13</v>
      </c>
      <c r="D14" s="125" t="s">
        <v>257</v>
      </c>
      <c r="E14" s="125"/>
      <c r="F14" s="126"/>
      <c r="G14" s="116">
        <f t="shared" si="2"/>
        <v>1</v>
      </c>
      <c r="H14" s="126" t="str">
        <f t="shared" si="3"/>
        <v>yanvar</v>
      </c>
      <c r="I14" s="116">
        <f t="shared" si="4"/>
        <v>0</v>
      </c>
      <c r="J14" s="128">
        <f t="shared" si="5"/>
        <v>1900</v>
      </c>
      <c r="K14" s="126" t="str">
        <f t="shared" si="6"/>
        <v>0 yanvar 1900 г.</v>
      </c>
      <c r="L14" s="125"/>
      <c r="M14" s="127"/>
      <c r="N14" s="125"/>
      <c r="P14">
        <f t="shared" si="1"/>
        <v>0</v>
      </c>
    </row>
    <row r="15" spans="1:23" ht="15" customHeight="1" x14ac:dyDescent="0.25">
      <c r="A15" s="123">
        <v>14</v>
      </c>
      <c r="D15" s="125" t="s">
        <v>257</v>
      </c>
      <c r="E15" s="125"/>
      <c r="F15" s="126"/>
      <c r="G15" s="116">
        <f t="shared" si="2"/>
        <v>1</v>
      </c>
      <c r="H15" s="126" t="str">
        <f t="shared" si="3"/>
        <v>yanvar</v>
      </c>
      <c r="I15" s="116">
        <f t="shared" si="4"/>
        <v>0</v>
      </c>
      <c r="J15" s="128">
        <f t="shared" si="5"/>
        <v>1900</v>
      </c>
      <c r="K15" s="126" t="str">
        <f t="shared" si="6"/>
        <v>0 yanvar 1900 г.</v>
      </c>
      <c r="L15" s="125"/>
      <c r="M15" s="127"/>
      <c r="N15" s="125"/>
      <c r="P15">
        <f t="shared" si="1"/>
        <v>0</v>
      </c>
    </row>
    <row r="16" spans="1:23" ht="15" customHeight="1" x14ac:dyDescent="0.25">
      <c r="A16" s="123">
        <v>15</v>
      </c>
      <c r="D16" s="125" t="s">
        <v>257</v>
      </c>
      <c r="E16" s="125"/>
      <c r="F16" s="126"/>
      <c r="G16" s="116">
        <f t="shared" si="2"/>
        <v>1</v>
      </c>
      <c r="H16" s="126" t="str">
        <f t="shared" si="3"/>
        <v>yanvar</v>
      </c>
      <c r="I16" s="116">
        <f t="shared" si="4"/>
        <v>0</v>
      </c>
      <c r="J16" s="128">
        <f t="shared" si="5"/>
        <v>1900</v>
      </c>
      <c r="K16" s="126" t="str">
        <f t="shared" si="6"/>
        <v>0 yanvar 1900 г.</v>
      </c>
      <c r="L16" s="125"/>
      <c r="M16" s="127"/>
      <c r="N16" s="125"/>
      <c r="P16">
        <f t="shared" si="1"/>
        <v>0</v>
      </c>
    </row>
    <row r="17" spans="1:17" ht="15" customHeight="1" x14ac:dyDescent="0.25">
      <c r="A17" s="123">
        <v>16</v>
      </c>
      <c r="D17" s="125" t="s">
        <v>257</v>
      </c>
      <c r="E17" s="125"/>
      <c r="F17" s="126"/>
      <c r="G17" s="116">
        <f t="shared" si="2"/>
        <v>1</v>
      </c>
      <c r="H17" s="126" t="str">
        <f t="shared" si="3"/>
        <v>yanvar</v>
      </c>
      <c r="I17" s="116">
        <f t="shared" si="4"/>
        <v>0</v>
      </c>
      <c r="J17" s="128">
        <f t="shared" si="5"/>
        <v>1900</v>
      </c>
      <c r="K17" s="126" t="str">
        <f t="shared" si="6"/>
        <v>0 yanvar 1900 г.</v>
      </c>
      <c r="L17" s="125"/>
      <c r="M17" s="127"/>
      <c r="N17" s="125"/>
      <c r="P17">
        <f t="shared" si="1"/>
        <v>0</v>
      </c>
    </row>
    <row r="18" spans="1:17" ht="15" customHeight="1" x14ac:dyDescent="0.25">
      <c r="A18" s="123">
        <v>17</v>
      </c>
      <c r="D18" s="125" t="s">
        <v>257</v>
      </c>
      <c r="E18" s="125"/>
      <c r="F18" s="126"/>
      <c r="G18" s="116">
        <f t="shared" si="2"/>
        <v>1</v>
      </c>
      <c r="H18" s="126" t="str">
        <f t="shared" si="3"/>
        <v>yanvar</v>
      </c>
      <c r="I18" s="116">
        <f t="shared" si="4"/>
        <v>0</v>
      </c>
      <c r="J18" s="128">
        <f t="shared" si="5"/>
        <v>1900</v>
      </c>
      <c r="K18" s="126" t="str">
        <f t="shared" si="6"/>
        <v>0 yanvar 1900 г.</v>
      </c>
      <c r="L18" s="125"/>
      <c r="M18" s="127"/>
      <c r="N18" s="125"/>
      <c r="P18">
        <f t="shared" si="1"/>
        <v>0</v>
      </c>
    </row>
    <row r="19" spans="1:17" ht="15" customHeight="1" x14ac:dyDescent="0.25">
      <c r="A19" s="123">
        <v>18</v>
      </c>
      <c r="D19" s="125" t="s">
        <v>257</v>
      </c>
      <c r="E19" s="125"/>
      <c r="F19" s="126"/>
      <c r="G19" s="116">
        <f t="shared" si="2"/>
        <v>1</v>
      </c>
      <c r="H19" s="126" t="str">
        <f t="shared" si="3"/>
        <v>yanvar</v>
      </c>
      <c r="I19" s="116">
        <f t="shared" si="4"/>
        <v>0</v>
      </c>
      <c r="J19" s="128">
        <f t="shared" si="5"/>
        <v>1900</v>
      </c>
      <c r="K19" s="126" t="str">
        <f t="shared" si="6"/>
        <v>0 yanvar 1900 г.</v>
      </c>
      <c r="L19" s="125"/>
      <c r="M19" s="127"/>
      <c r="N19" s="125"/>
      <c r="P19">
        <f t="shared" si="1"/>
        <v>0</v>
      </c>
    </row>
    <row r="20" spans="1:17" ht="15" customHeight="1" x14ac:dyDescent="0.25">
      <c r="A20" s="123">
        <v>19</v>
      </c>
      <c r="D20" s="125" t="s">
        <v>257</v>
      </c>
      <c r="E20" s="125"/>
      <c r="F20" s="126"/>
      <c r="G20" s="116">
        <f t="shared" si="2"/>
        <v>1</v>
      </c>
      <c r="H20" s="126" t="str">
        <f t="shared" si="3"/>
        <v>yanvar</v>
      </c>
      <c r="I20" s="116">
        <f t="shared" si="4"/>
        <v>0</v>
      </c>
      <c r="J20" s="128">
        <f t="shared" si="5"/>
        <v>1900</v>
      </c>
      <c r="K20" s="126" t="str">
        <f t="shared" si="6"/>
        <v>0 yanvar 1900 г.</v>
      </c>
      <c r="L20" s="125"/>
      <c r="M20" s="127"/>
      <c r="N20" s="125"/>
      <c r="P20">
        <f t="shared" si="1"/>
        <v>0</v>
      </c>
    </row>
    <row r="21" spans="1:17" ht="15" customHeight="1" x14ac:dyDescent="0.25">
      <c r="A21" s="123">
        <v>20</v>
      </c>
      <c r="D21" s="125" t="s">
        <v>257</v>
      </c>
      <c r="E21" s="125"/>
      <c r="F21" s="126"/>
      <c r="G21" s="116">
        <f t="shared" si="2"/>
        <v>1</v>
      </c>
      <c r="H21" s="126" t="str">
        <f t="shared" si="3"/>
        <v>yanvar</v>
      </c>
      <c r="I21" s="116">
        <f t="shared" si="4"/>
        <v>0</v>
      </c>
      <c r="J21" s="128">
        <f t="shared" si="5"/>
        <v>1900</v>
      </c>
      <c r="K21" s="126" t="str">
        <f t="shared" si="6"/>
        <v>0 yanvar 1900 г.</v>
      </c>
      <c r="L21" s="125"/>
      <c r="M21" s="127"/>
      <c r="N21" s="125"/>
      <c r="P21">
        <f t="shared" si="1"/>
        <v>0</v>
      </c>
    </row>
    <row r="22" spans="1:17" x14ac:dyDescent="0.25">
      <c r="M22" s="131">
        <f>SUM(M2:M21)+'Общие данные'!B137</f>
        <v>142500000</v>
      </c>
      <c r="Q22" t="s">
        <v>256</v>
      </c>
    </row>
    <row r="23" spans="1:17" x14ac:dyDescent="0.25">
      <c r="A23" s="112"/>
      <c r="B23" s="113"/>
      <c r="C23" s="113"/>
      <c r="D23" s="113"/>
      <c r="E23" s="113"/>
      <c r="F23" s="113"/>
      <c r="G23" s="113"/>
      <c r="H23" s="113"/>
      <c r="I23" s="113"/>
      <c r="J23" s="113"/>
      <c r="K23" s="113"/>
      <c r="L23" s="113"/>
      <c r="M23" s="113"/>
      <c r="N23" s="113"/>
      <c r="O23" s="113"/>
    </row>
    <row r="24" spans="1:17" x14ac:dyDescent="0.25">
      <c r="A24" s="113"/>
      <c r="B24" s="113"/>
      <c r="C24" s="113"/>
      <c r="D24" s="113"/>
      <c r="E24" s="113"/>
      <c r="F24" s="113"/>
      <c r="G24" s="113"/>
      <c r="H24" s="113"/>
      <c r="I24" s="113"/>
      <c r="J24" s="113"/>
      <c r="K24" s="113"/>
      <c r="L24" s="113"/>
      <c r="M24" s="113"/>
      <c r="N24" s="113"/>
      <c r="O24" s="113"/>
    </row>
    <row r="25" spans="1:17" x14ac:dyDescent="0.25">
      <c r="A25" s="113">
        <f>MONTH(F2)</f>
        <v>1</v>
      </c>
      <c r="B25" s="113" t="str">
        <f>IF(A25=A26,A28,IF(A25=B26,B28,IF(A25=C26,C28,IF(A25=D26,D28,IF(A25=E26,E28,IF(A25=F26,F28,IF(A25=K26,K28,IF(A25=L26,L28,IF(A25=M26,M28,IF(A25=N26,N28,IF(A25=O26,O28,IF(A25=#REF!,#REF!,))))))))))))</f>
        <v>yanvar</v>
      </c>
      <c r="C25" s="113">
        <f>DAY(F2)</f>
        <v>11</v>
      </c>
      <c r="D25" s="113">
        <f>YEAR(F2)</f>
        <v>2021</v>
      </c>
      <c r="E25" s="113"/>
      <c r="F25" s="113"/>
      <c r="G25" s="113"/>
      <c r="H25" s="113"/>
      <c r="I25" s="113"/>
      <c r="J25" s="113"/>
      <c r="K25" s="113"/>
      <c r="L25" s="113"/>
      <c r="M25" s="113"/>
      <c r="N25" s="113"/>
      <c r="O25" s="113"/>
    </row>
    <row r="26" spans="1:17" x14ac:dyDescent="0.25">
      <c r="A26" s="113">
        <v>1</v>
      </c>
      <c r="B26" s="113">
        <v>2</v>
      </c>
      <c r="C26" s="113">
        <v>3</v>
      </c>
      <c r="D26" s="113">
        <v>4</v>
      </c>
      <c r="E26" s="113">
        <v>5</v>
      </c>
      <c r="F26" s="113">
        <v>6</v>
      </c>
      <c r="G26" s="113"/>
      <c r="H26" s="113"/>
      <c r="I26" s="113"/>
      <c r="J26" s="113"/>
      <c r="K26" s="113">
        <v>7</v>
      </c>
      <c r="L26" s="113">
        <v>8</v>
      </c>
      <c r="M26" s="113">
        <v>9</v>
      </c>
      <c r="N26" s="113">
        <v>10</v>
      </c>
      <c r="O26" s="113">
        <v>11</v>
      </c>
      <c r="P26" s="113">
        <v>12</v>
      </c>
    </row>
    <row r="27" spans="1:17" x14ac:dyDescent="0.25">
      <c r="A27" s="113"/>
      <c r="B27" s="113"/>
      <c r="C27" s="113"/>
      <c r="D27" s="113"/>
      <c r="E27" s="113"/>
      <c r="F27" s="113"/>
      <c r="G27" s="113"/>
      <c r="H27" s="113"/>
      <c r="I27" s="113"/>
      <c r="J27" s="113"/>
      <c r="K27" s="113"/>
      <c r="L27" s="113"/>
      <c r="M27" s="113"/>
      <c r="N27" s="113"/>
      <c r="O27" s="113"/>
    </row>
    <row r="28" spans="1:17" x14ac:dyDescent="0.25">
      <c r="A28" s="113" t="s">
        <v>119</v>
      </c>
      <c r="B28" s="113" t="s">
        <v>120</v>
      </c>
      <c r="C28" s="113" t="s">
        <v>109</v>
      </c>
      <c r="D28" s="113" t="s">
        <v>110</v>
      </c>
      <c r="E28" s="113" t="s">
        <v>111</v>
      </c>
      <c r="F28" s="113" t="s">
        <v>112</v>
      </c>
      <c r="G28" s="113"/>
      <c r="H28" s="113"/>
      <c r="I28" s="113"/>
      <c r="J28" s="113"/>
      <c r="K28" s="113" t="s">
        <v>24</v>
      </c>
      <c r="L28" s="113" t="s">
        <v>114</v>
      </c>
      <c r="M28" s="113" t="s">
        <v>255</v>
      </c>
      <c r="N28" s="113" t="s">
        <v>254</v>
      </c>
      <c r="O28" s="113" t="s">
        <v>117</v>
      </c>
      <c r="P28" s="113" t="s">
        <v>118</v>
      </c>
    </row>
    <row r="29" spans="1:17" x14ac:dyDescent="0.25">
      <c r="A29" s="113" t="s">
        <v>119</v>
      </c>
      <c r="B29" s="113" t="s">
        <v>120</v>
      </c>
      <c r="C29" s="113" t="s">
        <v>109</v>
      </c>
      <c r="D29" s="113" t="s">
        <v>110</v>
      </c>
      <c r="E29" s="113" t="s">
        <v>111</v>
      </c>
      <c r="F29" s="113" t="s">
        <v>112</v>
      </c>
      <c r="G29" s="113"/>
      <c r="H29" s="113"/>
      <c r="I29" s="113"/>
      <c r="J29" s="113"/>
      <c r="K29" s="113" t="s">
        <v>28</v>
      </c>
      <c r="L29" s="113" t="s">
        <v>114</v>
      </c>
      <c r="M29" s="113" t="s">
        <v>255</v>
      </c>
      <c r="N29" s="113" t="s">
        <v>254</v>
      </c>
      <c r="O29" s="113" t="s">
        <v>117</v>
      </c>
      <c r="P29" s="113" t="s">
        <v>118</v>
      </c>
    </row>
    <row r="30" spans="1:17" x14ac:dyDescent="0.25">
      <c r="A30" s="113"/>
      <c r="B30" s="113"/>
      <c r="C30" s="113"/>
      <c r="D30" s="113"/>
      <c r="E30" s="113"/>
      <c r="F30" s="113"/>
      <c r="G30" s="113"/>
      <c r="H30" s="113"/>
      <c r="I30" s="113"/>
      <c r="J30" s="113"/>
      <c r="K30" s="113"/>
      <c r="L30" s="114"/>
      <c r="M30" s="114"/>
      <c r="N30" s="114"/>
      <c r="O30" s="114"/>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69"/>
  <sheetViews>
    <sheetView tabSelected="1" zoomScaleNormal="100" workbookViewId="0">
      <selection activeCell="B23" sqref="B23"/>
    </sheetView>
  </sheetViews>
  <sheetFormatPr defaultColWidth="0" defaultRowHeight="15" zeroHeight="1" x14ac:dyDescent="0.2"/>
  <cols>
    <col min="1" max="1" width="44.42578125" style="209" customWidth="1"/>
    <col min="2" max="2" width="61.85546875" style="211" customWidth="1"/>
    <col min="3" max="3" width="20" style="200" customWidth="1"/>
    <col min="4" max="4" width="29.7109375" style="200" customWidth="1"/>
    <col min="5" max="7" width="9.140625" style="200" hidden="1" customWidth="1"/>
    <col min="8" max="8" width="62.5703125" style="200" hidden="1" customWidth="1"/>
    <col min="9" max="13" width="9.140625" style="200" hidden="1" customWidth="1"/>
    <col min="14" max="14" width="70.7109375" style="200" hidden="1" customWidth="1"/>
    <col min="15" max="16" width="9.140625" style="200" hidden="1" customWidth="1"/>
    <col min="17" max="17" width="59.7109375" style="200" hidden="1" customWidth="1"/>
    <col min="18" max="18" width="49.85546875" style="200" hidden="1" customWidth="1"/>
    <col min="19" max="16384" width="9.140625" style="200" hidden="1"/>
  </cols>
  <sheetData>
    <row r="1" spans="1:4" x14ac:dyDescent="0.2">
      <c r="A1" s="3" t="str">
        <f>CONCATENATE(B65," olish uchun ariza")</f>
        <v>mikroqarz olish uchun ariza</v>
      </c>
      <c r="B1" s="50" t="s">
        <v>437</v>
      </c>
    </row>
    <row r="2" spans="1:4" ht="30" x14ac:dyDescent="0.2">
      <c r="A2" s="3" t="str">
        <f>CONCATENATE(B65," olish uchun ariza sanasi QO’L BILAN KIRITILADI")</f>
        <v>mikroqarz olish uchun ariza sanasi QO’L BILAN KIRITILADI</v>
      </c>
      <c r="B2" s="61" t="s">
        <v>438</v>
      </c>
      <c r="D2" s="200">
        <f>180+B2</f>
        <v>45896</v>
      </c>
    </row>
    <row r="3" spans="1:4" hidden="1" x14ac:dyDescent="0.2">
      <c r="A3" s="3"/>
      <c r="B3" s="1"/>
    </row>
    <row r="4" spans="1:4" x14ac:dyDescent="0.2">
      <c r="A4" s="256" t="s">
        <v>53</v>
      </c>
      <c r="B4" s="256"/>
    </row>
    <row r="5" spans="1:4" ht="30" x14ac:dyDescent="0.2">
      <c r="A5" s="3" t="s">
        <v>54</v>
      </c>
      <c r="B5" s="50" t="s">
        <v>416</v>
      </c>
    </row>
    <row r="6" spans="1:4" ht="28.5" customHeight="1" x14ac:dyDescent="0.2">
      <c r="A6" s="3" t="s">
        <v>55</v>
      </c>
      <c r="B6" s="50" t="s">
        <v>134</v>
      </c>
      <c r="C6" s="200" t="s">
        <v>257</v>
      </c>
      <c r="D6" s="200" t="s">
        <v>134</v>
      </c>
    </row>
    <row r="7" spans="1:4" ht="30" x14ac:dyDescent="0.2">
      <c r="A7" s="3" t="s">
        <v>56</v>
      </c>
      <c r="B7" s="50" t="s">
        <v>433</v>
      </c>
    </row>
    <row r="8" spans="1:4" ht="30" hidden="1" x14ac:dyDescent="0.2">
      <c r="A8" s="3" t="s">
        <v>57</v>
      </c>
      <c r="B8" s="81" t="str">
        <f>B5</f>
        <v>ATAXANOV AKMAL AXMETDJANOVICH</v>
      </c>
    </row>
    <row r="9" spans="1:4" hidden="1" x14ac:dyDescent="0.2">
      <c r="A9" s="3" t="s">
        <v>58</v>
      </c>
      <c r="B9" s="81" t="str">
        <f>B7</f>
        <v>ATAXANOV A.A.</v>
      </c>
    </row>
    <row r="10" spans="1:4" ht="30" hidden="1" x14ac:dyDescent="0.2">
      <c r="A10" s="3" t="s">
        <v>59</v>
      </c>
      <c r="B10" s="81" t="str">
        <f>B8</f>
        <v>ATAXANOV AKMAL AXMETDJANOVICH</v>
      </c>
    </row>
    <row r="11" spans="1:4" hidden="1" x14ac:dyDescent="0.2">
      <c r="A11" s="3" t="s">
        <v>60</v>
      </c>
      <c r="B11" s="81" t="str">
        <f>B9</f>
        <v>ATAXANOV A.A.</v>
      </c>
    </row>
    <row r="12" spans="1:4" ht="30" hidden="1" x14ac:dyDescent="0.2">
      <c r="A12" s="3" t="s">
        <v>61</v>
      </c>
      <c r="B12" s="81" t="str">
        <f>B10</f>
        <v>ATAXANOV AKMAL AXMETDJANOVICH</v>
      </c>
    </row>
    <row r="13" spans="1:4" hidden="1" x14ac:dyDescent="0.2">
      <c r="A13" s="3" t="s">
        <v>62</v>
      </c>
      <c r="B13" s="81" t="str">
        <f>B11</f>
        <v>ATAXANOV A.A.</v>
      </c>
    </row>
    <row r="14" spans="1:4" hidden="1" x14ac:dyDescent="0.2">
      <c r="A14" s="3" t="s">
        <v>63</v>
      </c>
      <c r="B14" s="81" t="s">
        <v>66</v>
      </c>
    </row>
    <row r="15" spans="1:4" x14ac:dyDescent="0.2">
      <c r="A15" s="3" t="s">
        <v>64</v>
      </c>
      <c r="B15" s="216" t="s">
        <v>417</v>
      </c>
    </row>
    <row r="16" spans="1:4" x14ac:dyDescent="0.2">
      <c r="A16" s="3" t="s">
        <v>65</v>
      </c>
      <c r="B16" s="50" t="s">
        <v>418</v>
      </c>
    </row>
    <row r="17" spans="1:7" x14ac:dyDescent="0.2">
      <c r="A17" s="3"/>
      <c r="B17" s="50" t="s">
        <v>419</v>
      </c>
      <c r="D17" s="200" t="str">
        <f>TEXT(C17,"ДД.ММ.ГГГГ")</f>
        <v>00.01.1900</v>
      </c>
    </row>
    <row r="18" spans="1:7" x14ac:dyDescent="0.2">
      <c r="A18" s="3"/>
      <c r="B18" s="148">
        <v>45463</v>
      </c>
      <c r="C18" s="84" t="str">
        <f>TEXT(B18,"ДД.ММ.ГГГГ")</f>
        <v>20.06.2024</v>
      </c>
    </row>
    <row r="19" spans="1:7" x14ac:dyDescent="0.2">
      <c r="A19" s="3"/>
      <c r="B19" s="148">
        <f>DATE(YEAR(B18)+10,MONTH(B18),DAY(B18)-1)</f>
        <v>49114</v>
      </c>
      <c r="C19" s="84" t="str">
        <f>TEXT(B19,"ДД.ММ.ГГГГ")</f>
        <v>19.06.2034</v>
      </c>
    </row>
    <row r="20" spans="1:7" ht="60" x14ac:dyDescent="0.2">
      <c r="A20" s="3" t="s">
        <v>68</v>
      </c>
      <c r="B20" s="64" t="str">
        <f>""&amp;B17&amp;" tomonidan "&amp;C18&amp;" yilda berilgan"</f>
        <v>IIV 6230 tomonidan 20.06.2024 yilda berilgan</v>
      </c>
      <c r="C20" s="85" t="str">
        <f>""&amp;B17&amp;" tomonidan "&amp;C18&amp;" yilda berilgan"</f>
        <v>IIV 6230 tomonidan 20.06.2024 yilda berilgan</v>
      </c>
    </row>
    <row r="21" spans="1:7" ht="45" x14ac:dyDescent="0.2">
      <c r="A21" s="3" t="s">
        <v>69</v>
      </c>
      <c r="B21" s="64" t="str">
        <f>""&amp;C19&amp;" y."</f>
        <v>19.06.2034 y.</v>
      </c>
      <c r="C21" s="84" t="str">
        <f>""&amp;C19&amp;" yilgacha"</f>
        <v>19.06.2034 yilgacha</v>
      </c>
    </row>
    <row r="22" spans="1:7" ht="36.75" customHeight="1" x14ac:dyDescent="0.2">
      <c r="A22" s="3" t="s">
        <v>70</v>
      </c>
      <c r="B22" s="50" t="s">
        <v>409</v>
      </c>
      <c r="C22" s="84" t="str">
        <f>TEXT(B19,"ДД.ММ.ГГГГ")</f>
        <v>19.06.2034</v>
      </c>
    </row>
    <row r="23" spans="1:7" ht="30" x14ac:dyDescent="0.2">
      <c r="A23" s="3" t="s">
        <v>71</v>
      </c>
      <c r="B23" s="50" t="s">
        <v>95</v>
      </c>
      <c r="C23" s="200" t="s">
        <v>95</v>
      </c>
      <c r="D23" s="200" t="s">
        <v>96</v>
      </c>
    </row>
    <row r="24" spans="1:7" ht="30" hidden="1" x14ac:dyDescent="0.2">
      <c r="A24" s="3" t="s">
        <v>72</v>
      </c>
      <c r="B24" s="81" t="s">
        <v>93</v>
      </c>
      <c r="C24" s="200" t="s">
        <v>93</v>
      </c>
      <c r="D24" s="200" t="s">
        <v>94</v>
      </c>
      <c r="E24" s="200" t="s">
        <v>0</v>
      </c>
      <c r="F24" s="200" t="s">
        <v>1</v>
      </c>
      <c r="G24" s="200" t="s">
        <v>3</v>
      </c>
    </row>
    <row r="25" spans="1:7" ht="30" x14ac:dyDescent="0.2">
      <c r="A25" s="3" t="s">
        <v>73</v>
      </c>
      <c r="B25" s="50" t="s">
        <v>415</v>
      </c>
    </row>
    <row r="26" spans="1:7" ht="44.25" customHeight="1" x14ac:dyDescent="0.2">
      <c r="A26" s="3" t="s">
        <v>74</v>
      </c>
      <c r="B26" s="50" t="s">
        <v>411</v>
      </c>
      <c r="C26" s="200" t="s">
        <v>27</v>
      </c>
    </row>
    <row r="27" spans="1:7" ht="44.25" hidden="1" customHeight="1" x14ac:dyDescent="0.2">
      <c r="A27" s="3"/>
      <c r="B27" s="50" t="str">
        <f>IF(B23="mos keladi",B22,B28)</f>
        <v>QORAKO'L TUMANI DARG'ALI QFY</v>
      </c>
    </row>
    <row r="28" spans="1:7" ht="45" x14ac:dyDescent="0.2">
      <c r="A28" s="3" t="s">
        <v>75</v>
      </c>
      <c r="B28" s="50" t="s">
        <v>409</v>
      </c>
    </row>
    <row r="29" spans="1:7" x14ac:dyDescent="0.2">
      <c r="A29" s="3" t="s">
        <v>76</v>
      </c>
      <c r="B29" s="50" t="s">
        <v>93</v>
      </c>
      <c r="C29" s="200" t="s">
        <v>93</v>
      </c>
      <c r="D29" s="200" t="s">
        <v>94</v>
      </c>
      <c r="E29" s="200" t="s">
        <v>330</v>
      </c>
      <c r="F29" s="200" t="s">
        <v>331</v>
      </c>
      <c r="G29" s="200" t="s">
        <v>3</v>
      </c>
    </row>
    <row r="30" spans="1:7" ht="27" x14ac:dyDescent="0.2">
      <c r="A30" s="3" t="s">
        <v>77</v>
      </c>
      <c r="B30" s="189" t="s">
        <v>149</v>
      </c>
      <c r="C30" s="200" t="s">
        <v>149</v>
      </c>
      <c r="D30" s="200" t="s">
        <v>334</v>
      </c>
    </row>
    <row r="31" spans="1:7" x14ac:dyDescent="0.2">
      <c r="A31" s="3" t="s">
        <v>78</v>
      </c>
      <c r="B31" s="50" t="s">
        <v>414</v>
      </c>
    </row>
    <row r="32" spans="1:7" x14ac:dyDescent="0.2">
      <c r="A32" s="3" t="s">
        <v>63</v>
      </c>
      <c r="B32" s="50" t="s">
        <v>66</v>
      </c>
    </row>
    <row r="33" spans="1:4" ht="30" x14ac:dyDescent="0.2">
      <c r="A33" s="3" t="s">
        <v>73</v>
      </c>
      <c r="B33" s="50" t="s">
        <v>412</v>
      </c>
    </row>
    <row r="34" spans="1:4" hidden="1" x14ac:dyDescent="0.2">
      <c r="A34" s="3"/>
      <c r="B34" s="50" t="str">
        <f>IF(B23="mos keladi",B26,B35)</f>
        <v>DARG'ALI MFY 10 MAKTAB</v>
      </c>
    </row>
    <row r="35" spans="1:4" x14ac:dyDescent="0.2">
      <c r="A35" s="3" t="s">
        <v>74</v>
      </c>
      <c r="B35" s="50"/>
    </row>
    <row r="36" spans="1:4" x14ac:dyDescent="0.2">
      <c r="A36" s="3" t="s">
        <v>79</v>
      </c>
      <c r="B36" s="50"/>
    </row>
    <row r="37" spans="1:4" x14ac:dyDescent="0.2">
      <c r="A37" s="3" t="s">
        <v>80</v>
      </c>
      <c r="B37" s="50"/>
    </row>
    <row r="38" spans="1:4" x14ac:dyDescent="0.2">
      <c r="A38" s="3" t="s">
        <v>81</v>
      </c>
      <c r="B38" s="50"/>
    </row>
    <row r="39" spans="1:4" x14ac:dyDescent="0.2">
      <c r="A39" s="3" t="s">
        <v>82</v>
      </c>
      <c r="B39" s="50"/>
    </row>
    <row r="40" spans="1:4" ht="24.75" customHeight="1" x14ac:dyDescent="0.2">
      <c r="A40" s="3" t="s">
        <v>83</v>
      </c>
      <c r="B40" s="50" t="str">
        <f>B25</f>
        <v>94 545-76-56 O'ZI</v>
      </c>
    </row>
    <row r="41" spans="1:4" ht="24.75" customHeight="1" x14ac:dyDescent="0.2">
      <c r="A41" s="3" t="s">
        <v>84</v>
      </c>
      <c r="B41" s="50" t="str">
        <f>B33</f>
        <v>93 547-13-19  AYOLI</v>
      </c>
    </row>
    <row r="42" spans="1:4" ht="24.75" customHeight="1" x14ac:dyDescent="0.2">
      <c r="A42" s="3" t="s">
        <v>83</v>
      </c>
      <c r="B42" s="50" t="s">
        <v>413</v>
      </c>
    </row>
    <row r="43" spans="1:4" ht="30" x14ac:dyDescent="0.2">
      <c r="A43" s="3" t="s">
        <v>84</v>
      </c>
      <c r="B43" s="50"/>
    </row>
    <row r="44" spans="1:4" ht="23.25" x14ac:dyDescent="0.2">
      <c r="A44" s="191" t="s">
        <v>85</v>
      </c>
      <c r="B44" s="190" t="s">
        <v>346</v>
      </c>
      <c r="C44" s="200" t="s">
        <v>346</v>
      </c>
      <c r="D44" s="200" t="s">
        <v>353</v>
      </c>
    </row>
    <row r="45" spans="1:4" hidden="1" x14ac:dyDescent="0.2">
      <c r="A45" s="3"/>
      <c r="B45" s="188" t="str">
        <f>IF(B44=D44,CONCATENATE("MA'LUMOTNOMA ",B47,B46),C44)</f>
        <v>Yakka tartibdagi tadbirkor</v>
      </c>
    </row>
    <row r="46" spans="1:4" ht="93" x14ac:dyDescent="0.2">
      <c r="A46" s="191" t="s">
        <v>354</v>
      </c>
      <c r="B46" s="212"/>
    </row>
    <row r="47" spans="1:4" ht="23.25" hidden="1" x14ac:dyDescent="0.2">
      <c r="A47" s="191"/>
      <c r="B47" s="188" t="str">
        <f>CONCATENATE(C47," ",B46)</f>
        <v xml:space="preserve">№ </v>
      </c>
      <c r="C47" s="200" t="s">
        <v>15</v>
      </c>
    </row>
    <row r="48" spans="1:4" ht="93" x14ac:dyDescent="0.2">
      <c r="A48" s="191" t="s">
        <v>355</v>
      </c>
      <c r="B48" s="188"/>
    </row>
    <row r="49" spans="1:4" hidden="1" x14ac:dyDescent="0.2">
      <c r="A49" s="3" t="s">
        <v>86</v>
      </c>
      <c r="B49" s="50" t="str">
        <f>IF(B44=C44,C44,B48)</f>
        <v>Yakka tartibdagi tadbirkor</v>
      </c>
    </row>
    <row r="50" spans="1:4" ht="45" x14ac:dyDescent="0.2">
      <c r="A50" s="3" t="s">
        <v>87</v>
      </c>
      <c r="B50" s="50"/>
    </row>
    <row r="51" spans="1:4" x14ac:dyDescent="0.2">
      <c r="A51" s="3" t="s">
        <v>74</v>
      </c>
      <c r="B51" s="50"/>
    </row>
    <row r="52" spans="1:4" x14ac:dyDescent="0.2">
      <c r="A52" s="3" t="s">
        <v>88</v>
      </c>
      <c r="B52" s="50"/>
    </row>
    <row r="53" spans="1:4" x14ac:dyDescent="0.2">
      <c r="A53" s="3" t="s">
        <v>89</v>
      </c>
      <c r="B53" s="50"/>
    </row>
    <row r="54" spans="1:4" x14ac:dyDescent="0.2">
      <c r="A54" s="3" t="s">
        <v>90</v>
      </c>
      <c r="B54" s="50"/>
    </row>
    <row r="55" spans="1:4" x14ac:dyDescent="0.2">
      <c r="A55" s="3" t="s">
        <v>91</v>
      </c>
      <c r="B55" s="2"/>
    </row>
    <row r="56" spans="1:4" x14ac:dyDescent="0.2">
      <c r="A56" s="3" t="s">
        <v>92</v>
      </c>
      <c r="B56" s="2" t="s">
        <v>22</v>
      </c>
    </row>
    <row r="57" spans="1:4" ht="30" customHeight="1" x14ac:dyDescent="0.2">
      <c r="A57" s="257" t="s">
        <v>97</v>
      </c>
      <c r="B57" s="258"/>
    </row>
    <row r="58" spans="1:4" ht="20.25" hidden="1" customHeight="1" x14ac:dyDescent="0.2">
      <c r="A58" s="3" t="s">
        <v>98</v>
      </c>
      <c r="B58" s="50" t="str">
        <f>IF(B44=C44,C44,CONCATENATE(B44," ",B47))</f>
        <v>Yakka tartibdagi tadbirkor</v>
      </c>
    </row>
    <row r="59" spans="1:4" ht="31.5" hidden="1" customHeight="1" x14ac:dyDescent="0.2">
      <c r="A59" s="3" t="s">
        <v>86</v>
      </c>
      <c r="B59" s="50" t="str">
        <f>B49</f>
        <v>Yakka tartibdagi tadbirkor</v>
      </c>
    </row>
    <row r="60" spans="1:4" ht="23.25" x14ac:dyDescent="0.2">
      <c r="A60" s="191" t="s">
        <v>99</v>
      </c>
      <c r="B60" s="195">
        <v>21800000</v>
      </c>
      <c r="C60" s="219">
        <f>C63/B76</f>
        <v>0.4412328830769231</v>
      </c>
    </row>
    <row r="61" spans="1:4" x14ac:dyDescent="0.2">
      <c r="A61" s="3" t="s">
        <v>100</v>
      </c>
      <c r="B61" s="6">
        <v>0</v>
      </c>
      <c r="C61" s="220" t="s">
        <v>389</v>
      </c>
    </row>
    <row r="62" spans="1:4" hidden="1" x14ac:dyDescent="0.2">
      <c r="A62" s="3" t="s">
        <v>101</v>
      </c>
      <c r="B62" s="50">
        <f>B53</f>
        <v>0</v>
      </c>
      <c r="C62" s="218"/>
    </row>
    <row r="63" spans="1:4" ht="30" x14ac:dyDescent="0.2">
      <c r="A63" s="3" t="s">
        <v>102</v>
      </c>
      <c r="B63" s="50"/>
      <c r="C63" s="217">
        <f>SUM(График!E9:E20)</f>
        <v>28680137.400000002</v>
      </c>
    </row>
    <row r="64" spans="1:4" x14ac:dyDescent="0.2">
      <c r="A64" s="256" t="s">
        <v>103</v>
      </c>
      <c r="B64" s="256"/>
      <c r="C64" s="200" t="str">
        <f>PROPER(B65)</f>
        <v>Mikroqarz</v>
      </c>
      <c r="D64" s="200" t="str">
        <f>UPPER(B65)</f>
        <v>MIKROQARZ</v>
      </c>
    </row>
    <row r="65" spans="1:14" x14ac:dyDescent="0.2">
      <c r="A65" s="3" t="s">
        <v>104</v>
      </c>
      <c r="B65" s="1" t="str">
        <f>IF(B76&gt;100000001,"mikrokredit",IF(B76&lt;100000001,"mikroqarz",0))</f>
        <v>mikroqarz</v>
      </c>
      <c r="C65" s="202">
        <f>DATE(YEAR(B67),MONTH(B67)+B82,DAY(B67))</f>
        <v>46446</v>
      </c>
    </row>
    <row r="66" spans="1:14" hidden="1" x14ac:dyDescent="0.2">
      <c r="A66" s="3" t="s">
        <v>105</v>
      </c>
      <c r="B66" s="50" t="str">
        <f>B1</f>
        <v>№492-QRS</v>
      </c>
      <c r="C66" s="200">
        <f>MONTH(C65)</f>
        <v>2</v>
      </c>
      <c r="D66" s="200" t="str">
        <f>IF(C66=C68,C70,IF(C66=D68,D70,IF(C66=E68,E70,IF(C66=F68,F70,IF(C66=G68,G70,IF(C66=H68,H70,IF(C66=I68,I70,IF(C66=J68,J70,IF(C66=K68,K70,IF(C66=L68,L70,IF(C66=M68,M70,IF(C66=N68,N70,))))))))))))</f>
        <v>fevral</v>
      </c>
      <c r="E66" s="200">
        <f>DAY(C65)</f>
        <v>28</v>
      </c>
      <c r="F66" s="200">
        <f>YEAR(C65)</f>
        <v>2027</v>
      </c>
      <c r="G66" s="200">
        <f>MONTH(C65)</f>
        <v>2</v>
      </c>
      <c r="H66" s="200" t="str">
        <f>IF(C66=C68,C71,IF(C66=D68,D71,IF(C66=E68,E71,IF(C66=F68,F71,IF(C66=G68,G71,IF(C66=H68,H71,IF(C66=I68,I71,IF(C66=J68,J71,IF(C66=K68,K71,IF(C66=L68,L71,IF(C66=M68,M71,IF(C66=N68,N71,))))))))))))</f>
        <v>fevral</v>
      </c>
      <c r="I66" s="200">
        <f>YEAR(C65)</f>
        <v>2027</v>
      </c>
    </row>
    <row r="67" spans="1:14" hidden="1" x14ac:dyDescent="0.2">
      <c r="A67" s="3" t="s">
        <v>106</v>
      </c>
      <c r="B67" s="96" t="str">
        <f>B2</f>
        <v>28.02.2025</v>
      </c>
      <c r="C67" s="200">
        <f>MONTH(B67)</f>
        <v>2</v>
      </c>
      <c r="D67" s="200" t="str">
        <f>IF(C67=C68,C70,IF(C67=D68,D70,IF(C67=E68,E70,IF(C67=F68,F70,IF(C67=G68,G70,IF(C67=H68,H70,IF(C67=I68,I70,IF(C67=J68,J70,IF(C67=K68,K70,IF(C67=L68,L70,IF(C67=M68,M70,IF(C67=N68,N70,))))))))))))</f>
        <v>fevral</v>
      </c>
      <c r="E67" s="200">
        <f>DAY(B67)</f>
        <v>28</v>
      </c>
      <c r="F67" s="200">
        <f>YEAR(B67)</f>
        <v>2025</v>
      </c>
      <c r="G67" s="200">
        <f>MONTH(B67)</f>
        <v>2</v>
      </c>
      <c r="H67" s="200" t="str">
        <f>IF(C67=C68,C71,IF(C67=D68,D71,IF(C67=E68,E71,IF(C67=F68,F71,IF(C67=G68,G71,IF(C67=H68,H71,IF(C67=I68,I71,IF(C67=J68,J71,IF(C67=K68,K71,IF(C67=L68,L71,IF(C67=M68,M71,IF(C67=N68,N71,))))))))))))</f>
        <v>fevral</v>
      </c>
      <c r="I67" s="200">
        <f>YEAR(B67)</f>
        <v>2025</v>
      </c>
    </row>
    <row r="68" spans="1:14" hidden="1" x14ac:dyDescent="0.2">
      <c r="A68" s="3" t="s">
        <v>107</v>
      </c>
      <c r="B68" s="86" t="str">
        <f>""&amp;E67&amp;" "&amp;D67&amp;" "&amp;F67&amp;" y."</f>
        <v>28 fevral 2025 y.</v>
      </c>
      <c r="C68" s="200">
        <v>1</v>
      </c>
      <c r="D68" s="200">
        <v>2</v>
      </c>
      <c r="E68" s="200">
        <v>3</v>
      </c>
      <c r="F68" s="200">
        <v>4</v>
      </c>
      <c r="G68" s="200">
        <v>5</v>
      </c>
      <c r="H68" s="200">
        <v>6</v>
      </c>
      <c r="I68" s="200">
        <v>7</v>
      </c>
      <c r="J68" s="200">
        <v>8</v>
      </c>
      <c r="K68" s="200">
        <v>9</v>
      </c>
      <c r="L68" s="200">
        <v>10</v>
      </c>
      <c r="M68" s="200">
        <v>11</v>
      </c>
      <c r="N68" s="200">
        <v>12</v>
      </c>
    </row>
    <row r="69" spans="1:14" hidden="1" x14ac:dyDescent="0.2">
      <c r="A69" s="3"/>
      <c r="B69" s="86" t="str">
        <f>""&amp;E67&amp;" "&amp;H67&amp;" "&amp;F67&amp;" y."</f>
        <v>28 fevral 2025 y.</v>
      </c>
    </row>
    <row r="70" spans="1:14" hidden="1" x14ac:dyDescent="0.2">
      <c r="A70" s="3"/>
      <c r="B70" s="63" t="str">
        <f>B68</f>
        <v>28 fevral 2025 y.</v>
      </c>
      <c r="C70" s="200" t="s">
        <v>119</v>
      </c>
      <c r="D70" s="200" t="s">
        <v>120</v>
      </c>
      <c r="E70" s="200" t="s">
        <v>109</v>
      </c>
      <c r="F70" s="200" t="s">
        <v>110</v>
      </c>
      <c r="G70" s="200" t="s">
        <v>111</v>
      </c>
      <c r="H70" s="200" t="s">
        <v>112</v>
      </c>
      <c r="I70" s="200" t="s">
        <v>113</v>
      </c>
      <c r="J70" s="200" t="s">
        <v>114</v>
      </c>
      <c r="K70" s="200" t="s">
        <v>115</v>
      </c>
      <c r="L70" s="200" t="s">
        <v>116</v>
      </c>
      <c r="M70" s="200" t="s">
        <v>117</v>
      </c>
      <c r="N70" s="200" t="s">
        <v>118</v>
      </c>
    </row>
    <row r="71" spans="1:14" hidden="1" x14ac:dyDescent="0.2">
      <c r="A71" s="3"/>
      <c r="B71" s="63" t="str">
        <f>B69</f>
        <v>28 fevral 2025 y.</v>
      </c>
      <c r="C71" s="200" t="s">
        <v>119</v>
      </c>
      <c r="D71" s="200" t="s">
        <v>120</v>
      </c>
      <c r="E71" s="200" t="s">
        <v>109</v>
      </c>
      <c r="F71" s="200" t="s">
        <v>110</v>
      </c>
      <c r="G71" s="200" t="s">
        <v>111</v>
      </c>
      <c r="H71" s="200" t="s">
        <v>112</v>
      </c>
      <c r="I71" s="200" t="s">
        <v>113</v>
      </c>
      <c r="J71" s="200" t="s">
        <v>114</v>
      </c>
      <c r="K71" s="200" t="s">
        <v>115</v>
      </c>
      <c r="L71" s="200" t="s">
        <v>116</v>
      </c>
      <c r="M71" s="200" t="s">
        <v>117</v>
      </c>
      <c r="N71" s="200" t="s">
        <v>118</v>
      </c>
    </row>
    <row r="72" spans="1:14" hidden="1" x14ac:dyDescent="0.2">
      <c r="A72" s="3" t="s">
        <v>108</v>
      </c>
      <c r="B72" s="62" t="str">
        <f>""&amp;E66&amp;" "&amp;D66&amp;" "&amp;F66&amp;" y."</f>
        <v>28 fevral 2027 y.</v>
      </c>
    </row>
    <row r="73" spans="1:14" hidden="1" x14ac:dyDescent="0.2">
      <c r="A73" s="3"/>
      <c r="B73" s="62" t="str">
        <f>""&amp;E66&amp;" "&amp;H66&amp;" "&amp;F66&amp;" y."</f>
        <v>28 fevral 2027 y.</v>
      </c>
    </row>
    <row r="74" spans="1:14" ht="15.75" hidden="1" thickBot="1" x14ac:dyDescent="0.25">
      <c r="A74" s="3" t="s">
        <v>121</v>
      </c>
      <c r="B74" s="1" t="str">
        <f>""&amp;B68&amp;"dan "&amp;B66&amp;""</f>
        <v>28 fevral 2025 y.dan №492-QRS</v>
      </c>
    </row>
    <row r="75" spans="1:14" x14ac:dyDescent="0.2">
      <c r="A75" s="3" t="str">
        <f>CONCATENATE(B65," miqdori (summasi)")</f>
        <v>mikroqarz miqdori (summasi)</v>
      </c>
      <c r="B75" s="72">
        <v>50000000</v>
      </c>
    </row>
    <row r="76" spans="1:14" hidden="1" x14ac:dyDescent="0.2">
      <c r="A76" s="3" t="str">
        <f>CONCATENATE(B65," miqdori (summasi)")</f>
        <v>mikroqarz miqdori (summasi)</v>
      </c>
      <c r="B76" s="72">
        <f>B75+B148</f>
        <v>65000000</v>
      </c>
      <c r="C76" s="203" t="s">
        <v>127</v>
      </c>
    </row>
    <row r="77" spans="1:14" ht="28.5" x14ac:dyDescent="0.2">
      <c r="A77" s="163" t="s">
        <v>122</v>
      </c>
      <c r="B77" s="56"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76))&gt;6,ROMAN(MID(INT(B76),1,LEN(INT(B76))-6)+0)&amp;" million "&amp;ROMAN(MID(INT(B76),LEN(INT(B76))-5,3)+0)&amp;" ming "&amp;ROMAN(MID(INT(B76),LEN(INT(B76))-2,3)+0),IF(LEN(INT(B76))&gt;3,ROMAN(MID(INT(B76),1,LEN(INT(B76))-3)+0)&amp;" ming "&amp;ROMAN(MID(INT(B76),LEN(INT(B76))-2,3)+0),ROMAN(INT(B76)))),"DCCC","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oltmish besh million so'm</v>
      </c>
      <c r="C77" s="201"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76,0))&gt;6,ROMAN(MID(ROUNDDOWN(B76,0),1,LEN(ROUNDDOWN(B76,0))-6)+0)&amp;" million "&amp;ROMAN(MID(ROUNDDOWN(B76,0),LEN(ROUNDDOWN(B76,0))-5,3)+0)&amp;" ming "&amp;ROMAN(MID(ROUNDDOWN(B76,0),LEN(ROUNDDOWN(B76,0))-2,3)+0)&amp;" so'm",IF(LEN(ROUNDDOWN(B76,0))&gt;3,ROMAN(MID(ROUNDDOWN(B76,0),1,LEN(ROUNDDOWN(B76,0))-3)+0)&amp;" ming "&amp;ROMAN(MID(ROUNDDOWN(B76,0),LEN(ROUNDDOWN(B76,0))-2,3)+0)&amp;" so'm",ROMAN(ROUNDDOWN(B76,0))&amp;"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76,0))&gt;6,ROMAN(MID(ROUNDDOWN(B76,0),1,LEN(ROUNDDOWN(B76,0))-6)+0)&amp;" million "&amp;ROMAN(MID(ROUNDDOWN(B76,0),LEN(ROUNDDOWN(B76,0))-5,3)+0)&amp;" "&amp;ROMAN(MID(ROUNDDOWN(B76,0),LEN(ROUNDDOWN(B76,0))-2,3)+0)&amp;" so'm",IF(LEN(ROUNDDOWN(B76,0))&gt;3,ROMAN(MID(ROUNDDOWN(B76,0),1,LEN(ROUNDDOWN(B76,0))-3)+0)&amp;" ming "&amp;ROMAN(MID(ROUNDDOWN(B76,0),LEN(ROUNDDOWN(B76,0))-2,3)+0)&amp;" so'm",ROMAN(ROUNDDOWN(B76,0))&amp;"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Oltmish besh million so'm</v>
      </c>
    </row>
    <row r="78" spans="1:14" x14ac:dyDescent="0.2">
      <c r="A78" s="3" t="s">
        <v>123</v>
      </c>
      <c r="B78" s="50" t="s">
        <v>129</v>
      </c>
      <c r="C78" s="200" t="s">
        <v>129</v>
      </c>
      <c r="D78" s="200" t="s">
        <v>128</v>
      </c>
    </row>
    <row r="79" spans="1:14" x14ac:dyDescent="0.2">
      <c r="A79" s="3" t="str">
        <f>CONCATENATE(B65,"ni to'lash sanasi (14.10.2011)")</f>
        <v>mikroqarzni to'lash sanasi (14.10.2011)</v>
      </c>
      <c r="B79" s="50">
        <v>15</v>
      </c>
      <c r="C79" s="202">
        <f>DATE(YEAR(B67),MONTH(B67)+1,DAY(B79))</f>
        <v>45731</v>
      </c>
      <c r="D79" s="200" t="s">
        <v>29</v>
      </c>
      <c r="E79" s="200" t="s">
        <v>30</v>
      </c>
      <c r="F79" s="200" t="s">
        <v>31</v>
      </c>
      <c r="G79" s="200" t="s">
        <v>32</v>
      </c>
      <c r="H79" s="200" t="s">
        <v>33</v>
      </c>
      <c r="I79" s="200" t="s">
        <v>34</v>
      </c>
      <c r="J79" s="200" t="s">
        <v>35</v>
      </c>
    </row>
    <row r="80" spans="1:14" ht="30" hidden="1" x14ac:dyDescent="0.25">
      <c r="A80" s="3" t="str">
        <f>CONCATENATE(B65,"ni to'lash sanasi (14.10.2011 y.) QO’L BILAN KIRITILADI")</f>
        <v>mikroqarzni to'lash sanasi (14.10.2011 y.) QO’L BILAN KIRITILADI</v>
      </c>
      <c r="B80" s="87">
        <f>DATE(YEAR(B67),MONTH(B67)+1,DAY(B79+C81))</f>
        <v>45733</v>
      </c>
      <c r="C80" s="204" t="str">
        <f>TEXT(C79,"ддд")</f>
        <v>Сб</v>
      </c>
      <c r="D80" s="200" t="s">
        <v>29</v>
      </c>
      <c r="E80" s="200" t="s">
        <v>30</v>
      </c>
      <c r="F80" s="200" t="s">
        <v>31</v>
      </c>
      <c r="G80" s="200" t="s">
        <v>32</v>
      </c>
      <c r="H80" s="200" t="s">
        <v>33</v>
      </c>
      <c r="I80" s="200" t="s">
        <v>34</v>
      </c>
      <c r="J80" s="200" t="s">
        <v>35</v>
      </c>
    </row>
    <row r="81" spans="1:63" ht="30" hidden="1" x14ac:dyDescent="0.2">
      <c r="A81" s="3" t="s">
        <v>124</v>
      </c>
      <c r="B81" s="88">
        <f>B80</f>
        <v>45733</v>
      </c>
      <c r="C81" s="200">
        <f>IF(C80=I80,2,IF(C80=J80,1,0))</f>
        <v>2</v>
      </c>
    </row>
    <row r="82" spans="1:63" x14ac:dyDescent="0.2">
      <c r="A82" s="3" t="str">
        <f>CONCATENATE(B65," muddati")</f>
        <v>mikroqarz muddati</v>
      </c>
      <c r="B82" s="50">
        <v>24</v>
      </c>
      <c r="C82" s="200">
        <v>6</v>
      </c>
      <c r="D82" s="200">
        <v>12</v>
      </c>
      <c r="E82" s="200">
        <v>18</v>
      </c>
      <c r="F82" s="200">
        <v>24</v>
      </c>
      <c r="G82" s="200">
        <v>36</v>
      </c>
    </row>
    <row r="83" spans="1:63" ht="30" x14ac:dyDescent="0.2">
      <c r="A83" s="3" t="str">
        <f>CONCATENATE(B65," muddati QO’L BILAN KIRITILADI")</f>
        <v>mikroqarz muddati QO’L BILAN KIRITILADI</v>
      </c>
      <c r="B83" s="159" t="s">
        <v>440</v>
      </c>
    </row>
    <row r="84" spans="1:63" ht="30" x14ac:dyDescent="0.2">
      <c r="A84" s="186" t="s">
        <v>350</v>
      </c>
      <c r="B84" s="159">
        <v>0</v>
      </c>
      <c r="BJ84" s="200">
        <v>1</v>
      </c>
      <c r="BK84" s="200">
        <v>0</v>
      </c>
    </row>
    <row r="85" spans="1:63" x14ac:dyDescent="0.2">
      <c r="A85" s="3" t="str">
        <f>CONCATENATE(B65," stavkasi")</f>
        <v>mikroqarz stavkasi</v>
      </c>
      <c r="B85" s="90">
        <v>0.6</v>
      </c>
    </row>
    <row r="86" spans="1:63" x14ac:dyDescent="0.2">
      <c r="A86" s="3" t="str">
        <f>CONCATENATE(B65," stavkasi")</f>
        <v>mikroqarz stavkasi</v>
      </c>
      <c r="B86" s="91" t="s">
        <v>390</v>
      </c>
    </row>
    <row r="87" spans="1:63" x14ac:dyDescent="0.2">
      <c r="A87" s="3" t="str">
        <f>CONCATENATE(B65," stavkasi (so’z bilan)")</f>
        <v>mikroqarz stavkasi (so’z bilan)</v>
      </c>
      <c r="B87" s="89" t="s">
        <v>391</v>
      </c>
      <c r="C87" s="200" t="s">
        <v>391</v>
      </c>
    </row>
    <row r="88" spans="1:63" x14ac:dyDescent="0.2">
      <c r="A88" s="3" t="str">
        <f>CONCATENATE("Muddati o'tgan ",B65," bo’yicha stavka")</f>
        <v>Muddati o'tgan mikroqarz bo’yicha stavka</v>
      </c>
      <c r="B88" s="90">
        <v>1</v>
      </c>
    </row>
    <row r="89" spans="1:63" x14ac:dyDescent="0.2">
      <c r="A89" s="163" t="s">
        <v>122</v>
      </c>
      <c r="B89" s="91" t="s">
        <v>393</v>
      </c>
    </row>
    <row r="90" spans="1:63" x14ac:dyDescent="0.2">
      <c r="A90" s="3" t="str">
        <f>CONCATENATE("Muddati o'tgan ",B65," bo’yicha stavka")</f>
        <v>Muddati o'tgan mikroqarz bo’yicha stavka</v>
      </c>
      <c r="B90" s="89" t="s">
        <v>392</v>
      </c>
      <c r="C90" s="200" t="s">
        <v>392</v>
      </c>
    </row>
    <row r="91" spans="1:63" x14ac:dyDescent="0.2">
      <c r="A91" s="3" t="s">
        <v>125</v>
      </c>
      <c r="B91" s="92">
        <f>IF(B78=C78,LARGE(График!F9:F26,1),ROUND(PMT(B85/12,B82,-B76,0),-3))</f>
        <v>5700114.1299999999</v>
      </c>
    </row>
    <row r="92" spans="1:63" x14ac:dyDescent="0.2">
      <c r="A92" s="256" t="s">
        <v>126</v>
      </c>
      <c r="B92" s="256"/>
    </row>
    <row r="93" spans="1:63" ht="18" x14ac:dyDescent="0.2">
      <c r="A93" s="95"/>
      <c r="B93" s="152" t="s">
        <v>131</v>
      </c>
      <c r="C93" s="205" t="s">
        <v>131</v>
      </c>
      <c r="D93" s="200" t="s">
        <v>132</v>
      </c>
    </row>
    <row r="94" spans="1:63" ht="18" x14ac:dyDescent="0.2">
      <c r="A94" s="9" t="s">
        <v>137</v>
      </c>
      <c r="B94" s="152" t="s">
        <v>134</v>
      </c>
      <c r="C94" s="206" t="s">
        <v>133</v>
      </c>
      <c r="D94" s="200" t="s">
        <v>134</v>
      </c>
    </row>
    <row r="95" spans="1:63" ht="54" x14ac:dyDescent="0.2">
      <c r="A95" s="9" t="s">
        <v>138</v>
      </c>
      <c r="B95" s="152" t="s">
        <v>136</v>
      </c>
      <c r="C95" s="200" t="s">
        <v>135</v>
      </c>
      <c r="D95" s="200" t="s">
        <v>136</v>
      </c>
    </row>
    <row r="96" spans="1:63" ht="36" x14ac:dyDescent="0.2">
      <c r="A96" s="9" t="s">
        <v>139</v>
      </c>
      <c r="B96" s="152" t="s">
        <v>420</v>
      </c>
    </row>
    <row r="97" spans="1:4" ht="54" x14ac:dyDescent="0.2">
      <c r="A97" s="9" t="s">
        <v>140</v>
      </c>
      <c r="B97" s="152" t="s">
        <v>434</v>
      </c>
    </row>
    <row r="98" spans="1:4" x14ac:dyDescent="0.2">
      <c r="A98" s="256" t="s">
        <v>141</v>
      </c>
      <c r="B98" s="256"/>
    </row>
    <row r="99" spans="1:4" ht="36" x14ac:dyDescent="0.2">
      <c r="A99" s="9" t="s">
        <v>142</v>
      </c>
      <c r="B99" s="152" t="s">
        <v>421</v>
      </c>
    </row>
    <row r="100" spans="1:4" ht="54" x14ac:dyDescent="0.2">
      <c r="A100" s="9" t="s">
        <v>143</v>
      </c>
      <c r="B100" s="152" t="s">
        <v>422</v>
      </c>
    </row>
    <row r="101" spans="1:4" ht="18" x14ac:dyDescent="0.2">
      <c r="A101" s="9" t="s">
        <v>144</v>
      </c>
      <c r="B101" s="160" t="s">
        <v>423</v>
      </c>
    </row>
    <row r="102" spans="1:4" ht="18" x14ac:dyDescent="0.2">
      <c r="A102" s="9" t="s">
        <v>145</v>
      </c>
      <c r="B102" s="158">
        <v>45652</v>
      </c>
    </row>
    <row r="103" spans="1:4" ht="18" hidden="1" x14ac:dyDescent="0.2">
      <c r="A103" s="9"/>
      <c r="B103" s="152" t="str">
        <f>TEXT(B102,"ДД.ММ.ГГГГ")</f>
        <v>26.12.2024</v>
      </c>
    </row>
    <row r="104" spans="1:4" ht="18" x14ac:dyDescent="0.2">
      <c r="A104" s="9"/>
      <c r="B104" s="10" t="s">
        <v>146</v>
      </c>
      <c r="C104" s="200" t="s">
        <v>146</v>
      </c>
      <c r="D104" s="200" t="s">
        <v>147</v>
      </c>
    </row>
    <row r="105" spans="1:4" ht="90" x14ac:dyDescent="0.2">
      <c r="A105" s="194" t="s">
        <v>352</v>
      </c>
      <c r="B105" s="193" t="s">
        <v>351</v>
      </c>
      <c r="C105" s="10" t="s">
        <v>147</v>
      </c>
    </row>
    <row r="106" spans="1:4" ht="30" x14ac:dyDescent="0.2">
      <c r="A106" s="185" t="s">
        <v>373</v>
      </c>
      <c r="B106" s="10" t="s">
        <v>420</v>
      </c>
      <c r="C106" s="10"/>
    </row>
    <row r="107" spans="1:4" ht="30" x14ac:dyDescent="0.2">
      <c r="A107" s="185" t="s">
        <v>374</v>
      </c>
      <c r="B107" s="10" t="s">
        <v>434</v>
      </c>
      <c r="C107" s="10"/>
    </row>
    <row r="108" spans="1:4" ht="60" x14ac:dyDescent="0.2">
      <c r="A108" s="185" t="str">
        <f>A114</f>
        <v>Tug’ilgan sanasi (01.10.2011 y.)</v>
      </c>
      <c r="B108" s="215">
        <v>37465</v>
      </c>
      <c r="C108" s="10"/>
    </row>
    <row r="109" spans="1:4" ht="60" x14ac:dyDescent="0.2">
      <c r="A109" s="185" t="str">
        <f>A115</f>
        <v>Pasport seriyasi (СА №1234567)</v>
      </c>
      <c r="B109" s="10" t="s">
        <v>424</v>
      </c>
      <c r="C109" s="10"/>
    </row>
    <row r="110" spans="1:4" ht="108.75" customHeight="1" x14ac:dyDescent="0.2">
      <c r="A110" s="185" t="str">
        <f>A116</f>
        <v xml:space="preserve">Kim va qachon berilgan
(Toshkent shahri Chilonzor IIB tomonidan 2011 yil __.____)
</v>
      </c>
      <c r="B110" s="10" t="s">
        <v>435</v>
      </c>
      <c r="C110" s="10"/>
    </row>
    <row r="111" spans="1:4" ht="150.75" customHeight="1" x14ac:dyDescent="0.2">
      <c r="A111" s="185" t="str">
        <f>A117</f>
        <v xml:space="preserve">doimiy ro’yhatdan o’tgan joyi
(Toshkent sh., Mirobod tumani, Nukus ko’chasi, 1 uy, 1 honadon)
</v>
      </c>
      <c r="B111" s="10" t="s">
        <v>425</v>
      </c>
      <c r="C111" s="10"/>
    </row>
    <row r="112" spans="1:4" hidden="1" x14ac:dyDescent="0.2">
      <c r="A112" s="150" t="s">
        <v>159</v>
      </c>
      <c r="B112" s="140" t="str">
        <f>IF(B94="HA",B5,B106)</f>
        <v>BOBONAZAROV ASLBEK AKRAM O'G'LI</v>
      </c>
      <c r="C112" s="165">
        <f>IF(B94="HA",B5,C106)</f>
        <v>0</v>
      </c>
    </row>
    <row r="113" spans="1:18" hidden="1" x14ac:dyDescent="0.2">
      <c r="A113" s="150"/>
      <c r="B113" s="140" t="str">
        <f>IF(B94="HA",B7,B107)</f>
        <v>BOBONAZAROV A.A.</v>
      </c>
      <c r="C113" s="165">
        <f>IF(B94="HA",B7,C107)</f>
        <v>0</v>
      </c>
    </row>
    <row r="114" spans="1:18" hidden="1" x14ac:dyDescent="0.2">
      <c r="A114" s="151" t="s">
        <v>160</v>
      </c>
      <c r="B114" s="184">
        <f>IF(B94="HA",B15,B108)</f>
        <v>37465</v>
      </c>
      <c r="C114" s="165">
        <f>IF(B94="HA",B15,C108)</f>
        <v>0</v>
      </c>
    </row>
    <row r="115" spans="1:18" hidden="1" x14ac:dyDescent="0.2">
      <c r="A115" s="151" t="s">
        <v>65</v>
      </c>
      <c r="B115" s="184" t="str">
        <f>IF(B94="HA",B16,B109)</f>
        <v>AC0328614</v>
      </c>
      <c r="C115" s="165">
        <f>IF(B94="HA",B16,C109)</f>
        <v>0</v>
      </c>
    </row>
    <row r="116" spans="1:18" ht="30" hidden="1" customHeight="1" x14ac:dyDescent="0.2">
      <c r="A116" s="151" t="s">
        <v>68</v>
      </c>
      <c r="B116" s="140" t="str">
        <f>IF(B94="HA",B20,B110)</f>
        <v xml:space="preserve">BUXORO VILOYATI QORAKO'L TUMANI IIB tomonidan 28.11.2018 yilda berilgan </v>
      </c>
      <c r="C116" s="165">
        <f>IF(B94="HA",B20,C110)</f>
        <v>0</v>
      </c>
      <c r="D116" s="200">
        <v>493193762</v>
      </c>
    </row>
    <row r="117" spans="1:18" ht="53.25" hidden="1" customHeight="1" x14ac:dyDescent="0.2">
      <c r="A117" s="151" t="s">
        <v>70</v>
      </c>
      <c r="B117" s="140" t="str">
        <f>IF(B94="HA",B22,B111)</f>
        <v>BUXORO VILOYATI QORAKO'L TUMANI ZARAFSHON MFY GULISTON 21 UY</v>
      </c>
      <c r="C117" s="140">
        <f>IF(B94="HA",B22,C111)</f>
        <v>0</v>
      </c>
    </row>
    <row r="118" spans="1:18" hidden="1" x14ac:dyDescent="0.2">
      <c r="A118" s="151" t="s">
        <v>161</v>
      </c>
      <c r="B118" s="1" t="str">
        <f>IF(B94="ha",B5,B112)</f>
        <v>BOBONAZAROV ASLBEK AKRAM O'G'LI</v>
      </c>
      <c r="C118" s="93">
        <f>IF(B94="ha",B5,C112)</f>
        <v>0</v>
      </c>
    </row>
    <row r="119" spans="1:18" hidden="1" x14ac:dyDescent="0.2">
      <c r="A119" s="151"/>
      <c r="B119" s="1" t="str">
        <f>IF(B94="ha",B7,B113)</f>
        <v>BOBONAZAROV A.A.</v>
      </c>
      <c r="C119" s="93">
        <f>IF(B94="ha",B7,C113)</f>
        <v>0</v>
      </c>
    </row>
    <row r="120" spans="1:18" hidden="1" x14ac:dyDescent="0.2">
      <c r="A120" s="3" t="s">
        <v>160</v>
      </c>
      <c r="B120" s="1">
        <f>IF(B94="ha",B15,B114)</f>
        <v>37465</v>
      </c>
      <c r="C120" s="93">
        <f>IF(B94="ha",B15,C114)</f>
        <v>0</v>
      </c>
    </row>
    <row r="121" spans="1:18" hidden="1" x14ac:dyDescent="0.2">
      <c r="A121" s="3" t="s">
        <v>65</v>
      </c>
      <c r="B121" s="1" t="str">
        <f>IF(B94="ha",B16,B115)</f>
        <v>AC0328614</v>
      </c>
      <c r="C121" s="93">
        <f>IF(B94="ha",B16,C115)</f>
        <v>0</v>
      </c>
    </row>
    <row r="122" spans="1:18" ht="60" hidden="1" x14ac:dyDescent="0.2">
      <c r="A122" s="3" t="s">
        <v>68</v>
      </c>
      <c r="B122" s="1" t="str">
        <f>IF(B94="ha",B20,B116)</f>
        <v xml:space="preserve">BUXORO VILOYATI QORAKO'L TUMANI IIB tomonidan 28.11.2018 yilda berilgan </v>
      </c>
      <c r="C122" s="93">
        <f>IF(B94="ha",B20,C116)</f>
        <v>0</v>
      </c>
    </row>
    <row r="123" spans="1:18" ht="60" hidden="1" x14ac:dyDescent="0.2">
      <c r="A123" s="3" t="s">
        <v>70</v>
      </c>
      <c r="B123" s="181" t="str">
        <f>IF(B94="ha",B22,B117)</f>
        <v>BUXORO VILOYATI QORAKO'L TUMANI ZARAFSHON MFY GULISTON 21 UY</v>
      </c>
      <c r="C123" s="94">
        <f>IF(B94="ha",B22,C117)</f>
        <v>0</v>
      </c>
    </row>
    <row r="124" spans="1:18" ht="98.25" customHeight="1" x14ac:dyDescent="0.2">
      <c r="A124" s="3" t="s">
        <v>162</v>
      </c>
      <c r="B124" s="50" t="s">
        <v>410</v>
      </c>
      <c r="C124" s="1" t="s">
        <v>48</v>
      </c>
      <c r="N124" s="200" t="str">
        <f>IF(B104=C104,B118,IF(B104=D104,C118,0))</f>
        <v>BOBONAZAROV ASLBEK AKRAM O'G'LI</v>
      </c>
    </row>
    <row r="125" spans="1:18" ht="60" x14ac:dyDescent="0.2">
      <c r="A125" s="3" t="s">
        <v>163</v>
      </c>
      <c r="B125" s="50" t="s">
        <v>426</v>
      </c>
      <c r="C125" s="52" t="s">
        <v>383</v>
      </c>
      <c r="D125" s="53" t="s">
        <v>152</v>
      </c>
      <c r="Q125" s="200" t="str">
        <f>""&amp;B96&amp;" (по генеральному доверенестью №"&amp;B101&amp;" от "&amp;B103&amp;")"</f>
        <v>BOBONAZAROV ASLBEK AKRAM O'G'LI (по генеральному доверенестью №202401864005639 от 26.12.2024)</v>
      </c>
      <c r="R125" s="200" t="str">
        <f>""&amp;B96&amp;" ("&amp;B103&amp;"y. sanasidagi reestr raqami №"&amp;B101&amp;" bo'lgan Ishonchnomaga asosan)"</f>
        <v>BOBONAZAROV ASLBEK AKRAM O'G'LI (26.12.2024y. sanasidagi reestr raqami №202401864005639 bo'lgan Ishonchnomaga asosan)</v>
      </c>
    </row>
    <row r="126" spans="1:18" ht="28.5" x14ac:dyDescent="0.2">
      <c r="A126" s="3" t="s">
        <v>27</v>
      </c>
      <c r="B126" s="50" t="s">
        <v>427</v>
      </c>
      <c r="C126" s="94" t="str">
        <f>""&amp;D127&amp;" "&amp;IF(C130=D130,"- xonali yakka tartibdagi uy-joy", IF(C130=E130,"-  xonali ko'p qavatli uydagi xonadon",0))&amp;""</f>
        <v>3 - xonali yakka tartibdagi uy-joy</v>
      </c>
      <c r="D126" s="83" t="s">
        <v>150</v>
      </c>
      <c r="E126" s="200" t="str">
        <f>IF($C$130=$D$130,I126,IF($C$130=$E$130,H126,0))</f>
        <v>3 - xonali yakka tartibdagi uy-joy</v>
      </c>
      <c r="F126" s="200" t="str">
        <f>IF($C$130=$D$130,I126,IF($C$130=$E$130,H126,0))</f>
        <v>3 - xonali yakka tartibdagi uy-joy</v>
      </c>
      <c r="H126" s="200" t="str">
        <f>"Ko'p qavatli uydagi "&amp;D127&amp;" - xonali xonadon"</f>
        <v>Ko'p qavatli uydagi 3 - xonali xonadon</v>
      </c>
      <c r="I126" s="200" t="str">
        <f>""&amp;D127&amp;" - xonali yakka tartibdagi uy-joy"</f>
        <v>3 - xonali yakka tartibdagi uy-joy</v>
      </c>
      <c r="N126" s="200" t="str">
        <f>IF(B94=C94,Q127,IF(B94=D94,Q126,0))</f>
        <v>Микрофинансовой организацией, Заемщиком и BOBONAZAROV ASLBEK AKRAM O'G'LI (по генеральному доверенестью №202401864005639 от 26.12.2024)</v>
      </c>
      <c r="Q126" s="200" t="str">
        <f>"Микрофинансовой организацией, Заемщиком и "&amp;IF(B95=D95,Q125,IF(B95=C95,B112,0))&amp;""</f>
        <v>Микрофинансовой организацией, Заемщиком и BOBONAZAROV ASLBEK AKRAM O'G'LI (по генеральному доверенестью №202401864005639 от 26.12.2024)</v>
      </c>
      <c r="R126" s="200" t="str">
        <f>"Mikromoliya tashkiloti, Qarz oluvchi va "&amp;IF(B95=D95,R125,IF(B95=C95,B112))&amp;""</f>
        <v>Mikromoliya tashkiloti, Qarz oluvchi va BOBONAZAROV ASLBEK AKRAM O'G'LI (26.12.2024y. sanasidagi reestr raqami №202401864005639 bo'lgan Ishonchnomaga asosan)</v>
      </c>
    </row>
    <row r="127" spans="1:18" ht="30" x14ac:dyDescent="0.2">
      <c r="A127" s="3" t="s">
        <v>164</v>
      </c>
      <c r="B127" s="213" t="s">
        <v>428</v>
      </c>
      <c r="C127" s="94" t="str">
        <f>C126</f>
        <v>3 - xonali yakka tartibdagi uy-joy</v>
      </c>
      <c r="D127" s="82">
        <v>3</v>
      </c>
      <c r="E127" s="200" t="str">
        <f>IF($C$130=$D$130,I127,IF($C$130=$E$130,H127,0))</f>
        <v>yer uchastkasi maydoni - , umumiy maydoni - 72,13, yashash maydoni - 37,39</v>
      </c>
      <c r="F127" s="200" t="str">
        <f>IF($C$130=$D$130,I127,IF($C$130=$E$130,H127,0))</f>
        <v>yer uchastkasi maydoni - , umumiy maydoni - 72,13, yashash maydoni - 37,39</v>
      </c>
      <c r="H127" s="200" t="str">
        <f>"umumiy maydoni - "&amp;C131&amp;", yashash maydoni - "&amp;C134&amp;""</f>
        <v>umumiy maydoni - 72,13, yashash maydoni - 37,39</v>
      </c>
      <c r="I127" s="200" t="str">
        <f>"yer uchastkasi maydoni - "&amp;C132&amp;", umumiy maydoni - "&amp;C131&amp;", yashash maydoni - "&amp;C134&amp;""</f>
        <v>yer uchastkasi maydoni - , umumiy maydoni - 72,13, yashash maydoni - 37,39</v>
      </c>
      <c r="N127" s="200" t="str">
        <f>IF(B94=C94,R127,IF(B94=D94,R126,0))</f>
        <v>Mikromoliya tashkiloti, Qarz oluvchi va BOBONAZAROV ASLBEK AKRAM O'G'LI (26.12.2024y. sanasidagi reestr raqami №202401864005639 bo'lgan Ishonchnomaga asosan)</v>
      </c>
      <c r="Q127" s="200" t="s">
        <v>52</v>
      </c>
      <c r="R127" s="200" t="s">
        <v>151</v>
      </c>
    </row>
    <row r="128" spans="1:18" ht="27" customHeight="1" x14ac:dyDescent="0.2">
      <c r="A128" s="3" t="s">
        <v>165</v>
      </c>
      <c r="B128" s="81" t="str">
        <f>"kuzov turi - "&amp;B129&amp;", kuzov raqami "&amp;B130&amp;""</f>
        <v>kuzov turi - YENGIL SEDAN, kuzov raqami XWB7T12YDRP863654</v>
      </c>
      <c r="C128" s="52" t="s">
        <v>382</v>
      </c>
      <c r="D128" s="53" t="s">
        <v>384</v>
      </c>
    </row>
    <row r="129" spans="1:6" x14ac:dyDescent="0.2">
      <c r="A129" s="73" t="s">
        <v>166</v>
      </c>
      <c r="B129" s="50" t="s">
        <v>397</v>
      </c>
      <c r="C129" s="142"/>
    </row>
    <row r="130" spans="1:6" x14ac:dyDescent="0.2">
      <c r="A130" s="73" t="s">
        <v>167</v>
      </c>
      <c r="B130" s="50" t="s">
        <v>429</v>
      </c>
      <c r="C130" s="51" t="s">
        <v>153</v>
      </c>
      <c r="D130" s="200" t="s">
        <v>153</v>
      </c>
      <c r="E130" s="200" t="s">
        <v>154</v>
      </c>
    </row>
    <row r="131" spans="1:6" ht="27" customHeight="1" x14ac:dyDescent="0.25">
      <c r="A131" s="3" t="s">
        <v>168</v>
      </c>
      <c r="B131" s="81" t="str">
        <f>"dvigatel raqami "&amp;B132&amp;", shassi raqami - "&amp;B133&amp;""</f>
        <v xml:space="preserve">dvigatel raqami F8CB240180255, shassi raqami -  - </v>
      </c>
      <c r="C131" s="51">
        <v>72.13</v>
      </c>
      <c r="D131" s="199" t="s">
        <v>155</v>
      </c>
      <c r="E131" s="200" t="str">
        <f>CONCATENATE(C131," ","kv.m")</f>
        <v>72,13 kv.m</v>
      </c>
      <c r="F131" s="210">
        <f>C131-C134</f>
        <v>34.739999999999995</v>
      </c>
    </row>
    <row r="132" spans="1:6" x14ac:dyDescent="0.25">
      <c r="A132" s="73" t="s">
        <v>169</v>
      </c>
      <c r="B132" s="214" t="s">
        <v>430</v>
      </c>
      <c r="C132" s="51"/>
      <c r="D132" s="199" t="s">
        <v>156</v>
      </c>
    </row>
    <row r="133" spans="1:6" x14ac:dyDescent="0.2">
      <c r="A133" s="73" t="s">
        <v>170</v>
      </c>
      <c r="B133" s="50" t="s">
        <v>436</v>
      </c>
      <c r="C133" s="51"/>
    </row>
    <row r="134" spans="1:6" ht="25.5" customHeight="1" x14ac:dyDescent="0.25">
      <c r="A134" s="3" t="s">
        <v>171</v>
      </c>
      <c r="B134" s="81" t="str">
        <f>"rangi -  "&amp;B135&amp;", ishlab chiqarilgan yili - "&amp;B136&amp;""</f>
        <v>rangi -  OQ SUMMIT WHITE, ishlab chiqarilgan yili - 2024</v>
      </c>
      <c r="C134" s="197" t="s">
        <v>381</v>
      </c>
      <c r="D134" s="199" t="s">
        <v>253</v>
      </c>
      <c r="E134" s="200" t="str">
        <f>CONCATENATE(C134," ","kv.m")</f>
        <v>37,39 kv.m</v>
      </c>
    </row>
    <row r="135" spans="1:6" x14ac:dyDescent="0.2">
      <c r="A135" s="73" t="s">
        <v>172</v>
      </c>
      <c r="B135" s="50" t="s">
        <v>431</v>
      </c>
      <c r="C135" s="51"/>
    </row>
    <row r="136" spans="1:6" ht="30" x14ac:dyDescent="0.25">
      <c r="A136" s="73" t="s">
        <v>173</v>
      </c>
      <c r="B136" s="61" t="s">
        <v>432</v>
      </c>
      <c r="C136" s="142">
        <v>44181</v>
      </c>
      <c r="D136" s="208" t="s">
        <v>385</v>
      </c>
    </row>
    <row r="137" spans="1:6" hidden="1" x14ac:dyDescent="0.25">
      <c r="A137" s="3" t="s">
        <v>174</v>
      </c>
      <c r="B137" s="22">
        <f>B76*1.5</f>
        <v>97500000</v>
      </c>
      <c r="C137" s="22">
        <f>B137</f>
        <v>97500000</v>
      </c>
      <c r="D137" s="199" t="s">
        <v>174</v>
      </c>
    </row>
    <row r="138" spans="1:6" ht="27.75" hidden="1" customHeight="1" x14ac:dyDescent="0.2">
      <c r="A138" s="191"/>
      <c r="B138" s="56"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137))&gt;6,ROMAN(MID(INT(B137),1,LEN(INT(B137))-6)+0)&amp;" million "&amp;ROMAN(MID(INT(B137),LEN(INT(B137))-5,3)+0)&amp;" ming "&amp;ROMAN(MID(INT(B137),LEN(INT(B137))-2,3)+0),IF(LEN(INT(B137))&gt;3,ROMAN(MID(INT(B137),1,LEN(INT(B137))-3)+0)&amp;" ming "&amp;ROMAN(MID(INT(B137),LEN(INT(B137))-2,3)+0),ROMAN(INT(B137)))),"DCCC","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to'qson yetti million besh yuz ming so'm</v>
      </c>
      <c r="C138" s="161" t="str">
        <f>B138</f>
        <v>to'qson yetti million besh yuz ming so'm</v>
      </c>
      <c r="D138" s="4"/>
    </row>
    <row r="139" spans="1:6" ht="27.75" hidden="1" customHeight="1" x14ac:dyDescent="0.2">
      <c r="A139" s="3"/>
      <c r="B139" s="161" t="str">
        <f>B138</f>
        <v>to'qson yetti million besh yuz ming so'm</v>
      </c>
      <c r="C139" s="74"/>
      <c r="D139" s="4"/>
    </row>
    <row r="140" spans="1:6" ht="20.25" x14ac:dyDescent="0.2">
      <c r="A140" s="3" t="s">
        <v>347</v>
      </c>
      <c r="B140" s="56">
        <v>1660</v>
      </c>
    </row>
    <row r="141" spans="1:6" x14ac:dyDescent="0.2">
      <c r="A141" s="3" t="s">
        <v>375</v>
      </c>
      <c r="B141" s="50">
        <v>2</v>
      </c>
    </row>
    <row r="142" spans="1:6" ht="15.75" thickBot="1" x14ac:dyDescent="0.25">
      <c r="A142" s="3" t="s">
        <v>157</v>
      </c>
      <c r="B142" s="2" t="s">
        <v>148</v>
      </c>
      <c r="C142" s="200">
        <v>1</v>
      </c>
    </row>
    <row r="143" spans="1:6" hidden="1" x14ac:dyDescent="0.2">
      <c r="A143" s="3" t="s">
        <v>158</v>
      </c>
      <c r="B143" s="5" t="str">
        <f>B70</f>
        <v>28 fevral 2025 y.</v>
      </c>
      <c r="C143" s="200" t="str">
        <f>B70</f>
        <v>28 fevral 2025 y.</v>
      </c>
    </row>
    <row r="144" spans="1:6" hidden="1" x14ac:dyDescent="0.2">
      <c r="A144" s="3"/>
      <c r="B144" s="1">
        <f>YEAR(B67)</f>
        <v>2025</v>
      </c>
    </row>
    <row r="145" spans="1:2" hidden="1" x14ac:dyDescent="0.2">
      <c r="A145" s="3"/>
      <c r="B145" s="164" t="str">
        <f>D67</f>
        <v>fevral</v>
      </c>
    </row>
    <row r="146" spans="1:2" hidden="1" x14ac:dyDescent="0.2">
      <c r="A146" s="221"/>
      <c r="B146" s="222">
        <f>DAY(B67)</f>
        <v>28</v>
      </c>
    </row>
    <row r="147" spans="1:2" ht="20.25" x14ac:dyDescent="0.2">
      <c r="A147" s="223" t="s">
        <v>398</v>
      </c>
      <c r="B147" s="224" t="s">
        <v>407</v>
      </c>
    </row>
    <row r="148" spans="1:2" ht="20.25" x14ac:dyDescent="0.2">
      <c r="A148" s="225" t="s">
        <v>399</v>
      </c>
      <c r="B148" s="226">
        <v>15000000</v>
      </c>
    </row>
    <row r="149" spans="1:2" ht="15.75" thickBot="1" x14ac:dyDescent="0.25">
      <c r="A149" s="227"/>
      <c r="B149" s="228"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148))&gt;6,ROMAN(MID(INT(B148),1,LEN(INT(B148))-6)+0)&amp;" million "&amp;ROMAN(MID(INT(B148),LEN(INT(B148))-5,3)+0)&amp;" ming "&amp;ROMAN(MID(INT(B148),LEN(INT(B148))-2,3)+0),IF(LEN(INT(B148))&gt;3,ROMAN(MID(INT(B148),1,LEN(INT(B148))-3)+0)&amp;" ming "&amp;ROMAN(MID(INT(B148),LEN(INT(B148))-2,3)+0),ROMAN(INT(B148)))),"DCCC","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o'n besh million so'm</v>
      </c>
    </row>
    <row r="150" spans="1:2" x14ac:dyDescent="0.2">
      <c r="A150" s="255" t="s">
        <v>356</v>
      </c>
      <c r="B150" s="255"/>
    </row>
    <row r="151" spans="1:2" x14ac:dyDescent="0.2">
      <c r="A151" s="3" t="s">
        <v>175</v>
      </c>
      <c r="B151" s="1" t="s">
        <v>380</v>
      </c>
    </row>
    <row r="152" spans="1:2" x14ac:dyDescent="0.2">
      <c r="A152" s="3"/>
      <c r="B152" s="1" t="s">
        <v>380</v>
      </c>
    </row>
    <row r="153" spans="1:2" x14ac:dyDescent="0.2">
      <c r="A153" s="3"/>
      <c r="B153" s="1" t="s">
        <v>380</v>
      </c>
    </row>
    <row r="154" spans="1:2" x14ac:dyDescent="0.2">
      <c r="A154" s="230" t="s">
        <v>404</v>
      </c>
      <c r="B154" s="229" t="s">
        <v>405</v>
      </c>
    </row>
    <row r="155" spans="1:2" x14ac:dyDescent="0.2">
      <c r="A155" s="230"/>
      <c r="B155" s="229" t="s">
        <v>406</v>
      </c>
    </row>
    <row r="156" spans="1:2" hidden="1" x14ac:dyDescent="0.2">
      <c r="A156" s="3" t="s">
        <v>179</v>
      </c>
      <c r="B156" s="1" t="s">
        <v>176</v>
      </c>
    </row>
    <row r="157" spans="1:2" ht="28.5" hidden="1" x14ac:dyDescent="0.2">
      <c r="A157" s="3" t="s">
        <v>180</v>
      </c>
      <c r="B157" s="1" t="s">
        <v>177</v>
      </c>
    </row>
    <row r="158" spans="1:2" hidden="1" x14ac:dyDescent="0.2">
      <c r="A158" s="3" t="s">
        <v>181</v>
      </c>
      <c r="B158" s="1" t="s">
        <v>25</v>
      </c>
    </row>
    <row r="159" spans="1:2" hidden="1" x14ac:dyDescent="0.2">
      <c r="A159" s="3" t="s">
        <v>182</v>
      </c>
      <c r="B159" s="1" t="s">
        <v>23</v>
      </c>
    </row>
    <row r="160" spans="1:2" hidden="1" x14ac:dyDescent="0.2">
      <c r="A160" s="3" t="s">
        <v>183</v>
      </c>
      <c r="B160" s="1" t="s">
        <v>178</v>
      </c>
    </row>
    <row r="161" spans="1:2" hidden="1" x14ac:dyDescent="0.2">
      <c r="A161" s="3" t="s">
        <v>184</v>
      </c>
      <c r="B161" s="2" t="s">
        <v>26</v>
      </c>
    </row>
    <row r="162" spans="1:2" hidden="1" x14ac:dyDescent="0.2">
      <c r="A162" s="3" t="s">
        <v>185</v>
      </c>
      <c r="B162" s="1" t="s">
        <v>335</v>
      </c>
    </row>
    <row r="163" spans="1:2" x14ac:dyDescent="0.2">
      <c r="A163" s="3" t="s">
        <v>408</v>
      </c>
      <c r="B163" s="1" t="s">
        <v>403</v>
      </c>
    </row>
    <row r="164" spans="1:2" x14ac:dyDescent="0.2">
      <c r="A164" s="3" t="s">
        <v>378</v>
      </c>
      <c r="B164" s="1" t="s">
        <v>394</v>
      </c>
    </row>
    <row r="165" spans="1:2" x14ac:dyDescent="0.2">
      <c r="A165" s="232" t="s">
        <v>404</v>
      </c>
      <c r="B165" s="231" t="s">
        <v>405</v>
      </c>
    </row>
    <row r="166" spans="1:2" x14ac:dyDescent="0.2">
      <c r="A166" s="3" t="s">
        <v>186</v>
      </c>
      <c r="B166" s="2" t="s">
        <v>348</v>
      </c>
    </row>
    <row r="167" spans="1:2" x14ac:dyDescent="0.2">
      <c r="A167" s="3" t="s">
        <v>187</v>
      </c>
      <c r="B167" s="2" t="s">
        <v>349</v>
      </c>
    </row>
    <row r="168" spans="1:2" x14ac:dyDescent="0.2">
      <c r="A168" s="3" t="s">
        <v>188</v>
      </c>
      <c r="B168" s="1" t="str">
        <f>B1</f>
        <v>№492-QRS</v>
      </c>
    </row>
    <row r="169" spans="1:2" x14ac:dyDescent="0.2">
      <c r="A169" s="3" t="s">
        <v>189</v>
      </c>
      <c r="B169" s="5" t="str">
        <f>B70</f>
        <v>28 fevral 2025 y.</v>
      </c>
    </row>
  </sheetData>
  <mergeCells count="6">
    <mergeCell ref="A150:B150"/>
    <mergeCell ref="A98:B98"/>
    <mergeCell ref="A4:B4"/>
    <mergeCell ref="A57:B57"/>
    <mergeCell ref="A64:B64"/>
    <mergeCell ref="A92:B92"/>
  </mergeCells>
  <dataValidations count="13">
    <dataValidation type="list" allowBlank="1" showInputMessage="1" showErrorMessage="1" sqref="B30" xr:uid="{00000000-0002-0000-0300-000000000000}">
      <formula1>$C$30:$D$30</formula1>
    </dataValidation>
    <dataValidation type="list" allowBlank="1" showInputMessage="1" showErrorMessage="1" sqref="B94" xr:uid="{00000000-0002-0000-0300-000001000000}">
      <formula1>$C$94:$D$94</formula1>
    </dataValidation>
    <dataValidation type="list" allowBlank="1" showInputMessage="1" showErrorMessage="1" sqref="B104" xr:uid="{00000000-0002-0000-0300-000002000000}">
      <formula1>$C$104:$D$104</formula1>
    </dataValidation>
    <dataValidation type="list" allowBlank="1" showInputMessage="1" showErrorMessage="1" sqref="B78" xr:uid="{00000000-0002-0000-0300-000003000000}">
      <formula1>$C$78:$D$78</formula1>
    </dataValidation>
    <dataValidation type="list" allowBlank="1" showInputMessage="1" showErrorMessage="1" sqref="C130" xr:uid="{00000000-0002-0000-0300-000004000000}">
      <formula1>$D$130:$E$130</formula1>
    </dataValidation>
    <dataValidation type="list" allowBlank="1" showInputMessage="1" showErrorMessage="1" sqref="B93" xr:uid="{00000000-0002-0000-0300-000005000000}">
      <formula1>$C$93:$D$93</formula1>
    </dataValidation>
    <dataValidation type="list" allowBlank="1" showInputMessage="1" showErrorMessage="1" sqref="B95" xr:uid="{00000000-0002-0000-0300-000006000000}">
      <formula1>$C$95:$D$95</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4" xr:uid="{00000000-0002-0000-0300-00000A000000}">
      <formula1>$BJ$84:$BK$84</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x14ac:dyDescent="0.25"/>
  <cols>
    <col min="1" max="1" width="9.140625" style="16"/>
    <col min="2" max="2" width="10.140625" style="16" bestFit="1" customWidth="1"/>
    <col min="3" max="3" width="16.5703125" style="16" customWidth="1"/>
    <col min="4" max="4" width="17.140625" style="16" customWidth="1"/>
    <col min="5" max="5" width="17.85546875" style="16" customWidth="1"/>
    <col min="6" max="6" width="20.85546875" style="16" customWidth="1"/>
    <col min="7" max="7" width="10.140625" style="16" customWidth="1" outlineLevel="1"/>
    <col min="8" max="16384" width="9.140625" style="16"/>
  </cols>
  <sheetData>
    <row r="1" spans="1:8" x14ac:dyDescent="0.25">
      <c r="A1" s="38"/>
      <c r="B1" s="38"/>
      <c r="C1" s="38"/>
      <c r="D1" s="38"/>
      <c r="E1" s="259" t="s">
        <v>16</v>
      </c>
      <c r="F1" s="259"/>
    </row>
    <row r="2" spans="1:8" x14ac:dyDescent="0.25">
      <c r="A2" s="38"/>
      <c r="B2" s="38"/>
      <c r="C2" s="38"/>
      <c r="D2" s="38"/>
      <c r="E2" s="38"/>
      <c r="F2" s="39" t="str">
        <f>"к договору микрозайма "&amp;'Общие данные'!B74&amp;""</f>
        <v>к договору микрозайма 28 fevral 2025 y.dan №492-QRS</v>
      </c>
    </row>
    <row r="3" spans="1:8" ht="6.75" customHeight="1" x14ac:dyDescent="0.25">
      <c r="A3" s="38"/>
      <c r="B3" s="38"/>
      <c r="C3" s="38"/>
      <c r="D3" s="38"/>
      <c r="E3" s="38"/>
      <c r="F3" s="38"/>
    </row>
    <row r="4" spans="1:8" x14ac:dyDescent="0.25">
      <c r="A4" s="260" t="s">
        <v>17</v>
      </c>
      <c r="B4" s="260"/>
      <c r="C4" s="260"/>
      <c r="D4" s="260"/>
      <c r="E4" s="260"/>
      <c r="F4" s="260"/>
    </row>
    <row r="5" spans="1:8" ht="7.5" customHeight="1" x14ac:dyDescent="0.25"/>
    <row r="6" spans="1:8" x14ac:dyDescent="0.25">
      <c r="A6" s="261" t="s">
        <v>15</v>
      </c>
      <c r="B6" s="262" t="s">
        <v>9</v>
      </c>
      <c r="C6" s="262" t="s">
        <v>10</v>
      </c>
      <c r="D6" s="263" t="s">
        <v>11</v>
      </c>
      <c r="E6" s="263"/>
      <c r="F6" s="263"/>
    </row>
    <row r="7" spans="1:8" s="17" customFormat="1" x14ac:dyDescent="0.25">
      <c r="A7" s="261"/>
      <c r="B7" s="262"/>
      <c r="C7" s="262"/>
      <c r="D7" s="18" t="s">
        <v>12</v>
      </c>
      <c r="E7" s="18" t="s">
        <v>13</v>
      </c>
      <c r="F7" s="18" t="s">
        <v>14</v>
      </c>
    </row>
    <row r="8" spans="1:8" x14ac:dyDescent="0.25">
      <c r="A8" s="19">
        <v>1</v>
      </c>
      <c r="B8" s="34">
        <f>'График дифференц'!B8</f>
        <v>45733</v>
      </c>
      <c r="C8" s="35">
        <f>'Общие данные'!B76</f>
        <v>65000000</v>
      </c>
      <c r="D8" s="35">
        <f>IF(A8&lt;'Общие данные'!$B$82,'График аннуитет.'!F8-'График аннуитет.'!E8,'График аннуитет.'!C8)</f>
        <v>3883675.6899999995</v>
      </c>
      <c r="E8" s="35">
        <f>ROUND(C8*'Общие данные'!$B$85/H8,2)*'График аннуитет.'!G8</f>
        <v>1816438.4400000002</v>
      </c>
      <c r="F8" s="35">
        <f>'Общие данные'!B91</f>
        <v>5700114.1299999999</v>
      </c>
      <c r="G8" s="16">
        <f>B8-'Общие данные'!B67</f>
        <v>17</v>
      </c>
      <c r="H8" s="16">
        <f>DATE(YEAR(B8),12,31)-DATE(YEAR(B8),1,1)+1</f>
        <v>365</v>
      </c>
    </row>
    <row r="9" spans="1:8" x14ac:dyDescent="0.25">
      <c r="A9" s="19">
        <v>2</v>
      </c>
      <c r="B9" s="34">
        <f>'График дифференц'!B9</f>
        <v>45762</v>
      </c>
      <c r="C9" s="35">
        <f t="shared" ref="C9:C30" si="0">C8-D8</f>
        <v>61116324.310000002</v>
      </c>
      <c r="D9" s="35">
        <f>IF(A9&lt;'Общие данные'!$B$82,'График аннуитет.'!F9-'График аннуитет.'!E9,'График аннуитет.'!C9)</f>
        <v>2786623.6199999996</v>
      </c>
      <c r="E9" s="35">
        <f>ROUND(C9*'Общие данные'!$B$85/H9,2)*'График аннуитет.'!G9</f>
        <v>2913490.5100000002</v>
      </c>
      <c r="F9" s="35">
        <f>IF(A9&lt;'Общие данные'!$B$82,'График аннуитет.'!F8,'График аннуитет.'!D9+'График аннуитет.'!E9)</f>
        <v>5700114.1299999999</v>
      </c>
      <c r="G9" s="16">
        <f>B9-B8</f>
        <v>29</v>
      </c>
      <c r="H9" s="16">
        <f t="shared" ref="H9:H31" si="1">DATE(YEAR(B9),12,31)-DATE(YEAR(B9),1,1)+1</f>
        <v>365</v>
      </c>
    </row>
    <row r="10" spans="1:8" x14ac:dyDescent="0.25">
      <c r="A10" s="19">
        <v>3</v>
      </c>
      <c r="B10" s="34">
        <f>'График дифференц'!B10</f>
        <v>45792</v>
      </c>
      <c r="C10" s="35">
        <f t="shared" si="0"/>
        <v>58329700.690000005</v>
      </c>
      <c r="D10" s="35">
        <f>IF(A10&lt;'Общие данные'!$B$82,'График аннуитет.'!F10-'График аннуитет.'!E10,'График аннуитет.'!C10)</f>
        <v>2823580.9299999997</v>
      </c>
      <c r="E10" s="35">
        <f>ROUND(C10*'Общие данные'!$B$85/H10,2)*'График аннуитет.'!G10</f>
        <v>2876533.2</v>
      </c>
      <c r="F10" s="35">
        <f>IF(A10&lt;'Общие данные'!$B$82,'График аннуитет.'!F9,'График аннуитет.'!D10+'График аннуитет.'!E10)</f>
        <v>5700114.1299999999</v>
      </c>
      <c r="G10" s="16">
        <f t="shared" ref="G10:G24" si="2">B10-B9</f>
        <v>30</v>
      </c>
      <c r="H10" s="16">
        <f t="shared" si="1"/>
        <v>365</v>
      </c>
    </row>
    <row r="11" spans="1:8" x14ac:dyDescent="0.25">
      <c r="A11" s="19">
        <v>4</v>
      </c>
      <c r="B11" s="34">
        <f>'График дифференц'!B11</f>
        <v>45824</v>
      </c>
      <c r="C11" s="35">
        <f t="shared" si="0"/>
        <v>55506119.760000005</v>
      </c>
      <c r="D11" s="35">
        <f>IF(A11&lt;'Общие данные'!$B$82,'График аннуитет.'!F11-'График аннуитет.'!E11,'График аннуитет.'!C11)</f>
        <v>2780340.05</v>
      </c>
      <c r="E11" s="35">
        <f>ROUND(C11*'Общие данные'!$B$85/H11,2)*'График аннуитет.'!G11</f>
        <v>2919774.08</v>
      </c>
      <c r="F11" s="35">
        <f>IF(A11&lt;'Общие данные'!$B$82,'График аннуитет.'!F10,'График аннуитет.'!D11+'График аннуитет.'!E11)</f>
        <v>5700114.1299999999</v>
      </c>
      <c r="G11" s="16">
        <f t="shared" si="2"/>
        <v>32</v>
      </c>
      <c r="H11" s="16">
        <f t="shared" si="1"/>
        <v>365</v>
      </c>
    </row>
    <row r="12" spans="1:8" x14ac:dyDescent="0.25">
      <c r="A12" s="19">
        <v>5</v>
      </c>
      <c r="B12" s="34">
        <f>'График дифференц'!B12</f>
        <v>45853</v>
      </c>
      <c r="C12" s="35">
        <f t="shared" si="0"/>
        <v>52725779.710000008</v>
      </c>
      <c r="D12" s="35">
        <f>IF(A12&lt;'Общие данные'!$B$82,'График аннуитет.'!F12-'График аннуитет.'!E12,'График аннуитет.'!C12)</f>
        <v>3186611.34</v>
      </c>
      <c r="E12" s="35">
        <f>ROUND(C12*'Общие данные'!$B$85/H12,2)*'График аннуитет.'!G12</f>
        <v>2513502.79</v>
      </c>
      <c r="F12" s="35">
        <f>IF(A12&lt;'Общие данные'!$B$82,'График аннуитет.'!F11,'График аннуитет.'!D12+'График аннуитет.'!E12)</f>
        <v>5700114.1299999999</v>
      </c>
      <c r="G12" s="16">
        <f t="shared" si="2"/>
        <v>29</v>
      </c>
      <c r="H12" s="16">
        <f t="shared" si="1"/>
        <v>365</v>
      </c>
    </row>
    <row r="13" spans="1:8" x14ac:dyDescent="0.25">
      <c r="A13" s="19">
        <v>6</v>
      </c>
      <c r="B13" s="34">
        <f>'График дифференц'!B13</f>
        <v>45884</v>
      </c>
      <c r="C13" s="35">
        <f t="shared" si="0"/>
        <v>49539168.370000005</v>
      </c>
      <c r="D13" s="35">
        <f>IF(A13&lt;'Общие данные'!$B$82,'График аннуитет.'!F13-'График аннуитет.'!E13,'График аннуитет.'!C13)</f>
        <v>3175652.38</v>
      </c>
      <c r="E13" s="35">
        <f>ROUND(C13*'Общие данные'!$B$85/H13,2)*'График аннуитет.'!G13</f>
        <v>2524461.75</v>
      </c>
      <c r="F13" s="35">
        <f>IF(A13&lt;'Общие данные'!$B$82,'График аннуитет.'!F12,'График аннуитет.'!D13+'График аннуитет.'!E13)</f>
        <v>5700114.1299999999</v>
      </c>
      <c r="G13" s="16">
        <f t="shared" si="2"/>
        <v>31</v>
      </c>
      <c r="H13" s="16">
        <f t="shared" si="1"/>
        <v>365</v>
      </c>
    </row>
    <row r="14" spans="1:8" x14ac:dyDescent="0.25">
      <c r="A14" s="19">
        <v>7</v>
      </c>
      <c r="B14" s="34">
        <f>'График дифференц'!B14</f>
        <v>45915</v>
      </c>
      <c r="C14" s="35">
        <f t="shared" si="0"/>
        <v>46363515.990000002</v>
      </c>
      <c r="D14" s="35">
        <f>IF(A14&lt;'Общие данные'!$B$82,'График аннуитет.'!F14-'График аннуитет.'!E14,'График аннуитет.'!C14)</f>
        <v>3337480.13</v>
      </c>
      <c r="E14" s="35">
        <f>ROUND(C14*'Общие данные'!$B$85/H14,2)*'График аннуитет.'!G14</f>
        <v>2362634</v>
      </c>
      <c r="F14" s="35">
        <f>IF(A14&lt;'Общие данные'!$B$82,'График аннуитет.'!F13,'График аннуитет.'!D14+'График аннуитет.'!E14)</f>
        <v>5700114.1299999999</v>
      </c>
      <c r="G14" s="16">
        <f t="shared" si="2"/>
        <v>31</v>
      </c>
      <c r="H14" s="16">
        <f t="shared" si="1"/>
        <v>365</v>
      </c>
    </row>
    <row r="15" spans="1:8" x14ac:dyDescent="0.25">
      <c r="A15" s="19">
        <v>8</v>
      </c>
      <c r="B15" s="34">
        <f>'График дифференц'!B15</f>
        <v>45945</v>
      </c>
      <c r="C15" s="35">
        <f t="shared" si="0"/>
        <v>43026035.859999999</v>
      </c>
      <c r="D15" s="35">
        <f>IF(A15&lt;'Общие данные'!$B$82,'График аннуитет.'!F15-'График аннуитет.'!E15,'График аннуитет.'!C15)</f>
        <v>3578282.23</v>
      </c>
      <c r="E15" s="35">
        <f>ROUND(C15*'Общие данные'!$B$85/H15,2)*'График аннуитет.'!G15</f>
        <v>2121831.9</v>
      </c>
      <c r="F15" s="35">
        <f>IF(A15&lt;'Общие данные'!$B$82,'График аннуитет.'!F14,'График аннуитет.'!D15+'График аннуитет.'!E15)</f>
        <v>5700114.1299999999</v>
      </c>
      <c r="G15" s="16">
        <f t="shared" si="2"/>
        <v>30</v>
      </c>
      <c r="H15" s="16">
        <f t="shared" si="1"/>
        <v>365</v>
      </c>
    </row>
    <row r="16" spans="1:8" x14ac:dyDescent="0.25">
      <c r="A16" s="19">
        <v>9</v>
      </c>
      <c r="B16" s="34">
        <f>'График дифференц'!B16</f>
        <v>45978</v>
      </c>
      <c r="C16" s="35">
        <f t="shared" si="0"/>
        <v>39447753.630000003</v>
      </c>
      <c r="D16" s="35">
        <f>IF(A16&lt;'Общие данные'!$B$82,'График аннуитет.'!F16-'График аннуитет.'!E16,'График аннуитет.'!C16)</f>
        <v>3560208.67</v>
      </c>
      <c r="E16" s="35">
        <f>ROUND(C16*'Общие данные'!$B$85/H16,2)*'График аннуитет.'!G16</f>
        <v>2139905.46</v>
      </c>
      <c r="F16" s="35">
        <f>IF(A16&lt;'Общие данные'!$B$82,'График аннуитет.'!F15,'График аннуитет.'!D16+'График аннуитет.'!E16)</f>
        <v>5700114.1299999999</v>
      </c>
      <c r="G16" s="16">
        <f t="shared" si="2"/>
        <v>33</v>
      </c>
      <c r="H16" s="16">
        <f t="shared" si="1"/>
        <v>365</v>
      </c>
    </row>
    <row r="17" spans="1:8" x14ac:dyDescent="0.25">
      <c r="A17" s="19">
        <v>10</v>
      </c>
      <c r="B17" s="34">
        <f>'График дифференц'!B17</f>
        <v>46006</v>
      </c>
      <c r="C17" s="35">
        <f t="shared" si="0"/>
        <v>35887544.960000001</v>
      </c>
      <c r="D17" s="35">
        <f>IF(A17&lt;'Общие данные'!$B$82,'График аннуитет.'!F17-'График аннуитет.'!E17,'График аннуитет.'!C17)</f>
        <v>4048303.9699999997</v>
      </c>
      <c r="E17" s="35">
        <f>ROUND(C17*'Общие данные'!$B$85/H17,2)*'График аннуитет.'!G17</f>
        <v>1651810.1600000001</v>
      </c>
      <c r="F17" s="35">
        <f>IF(A17&lt;'Общие данные'!$B$82,'График аннуитет.'!F16,'График аннуитет.'!D17+'График аннуитет.'!E17)</f>
        <v>5700114.1299999999</v>
      </c>
      <c r="G17" s="16">
        <f t="shared" si="2"/>
        <v>28</v>
      </c>
      <c r="H17" s="16">
        <f t="shared" si="1"/>
        <v>365</v>
      </c>
    </row>
    <row r="18" spans="1:8" x14ac:dyDescent="0.25">
      <c r="A18" s="19">
        <v>11</v>
      </c>
      <c r="B18" s="34">
        <f>'График дифференц'!B18</f>
        <v>46037</v>
      </c>
      <c r="C18" s="35">
        <f t="shared" si="0"/>
        <v>31839240.990000002</v>
      </c>
      <c r="D18" s="35">
        <f>IF(A18&lt;'Общие данные'!$B$82,'График аннуитет.'!F18-'График аннуитет.'!E18,'График аннуитет.'!C18)</f>
        <v>4077621.25</v>
      </c>
      <c r="E18" s="35">
        <f>ROUND(C18*'Общие данные'!$B$85/H18,2)*'График аннуитет.'!G18</f>
        <v>1622492.8800000001</v>
      </c>
      <c r="F18" s="35">
        <f>IF(A18&lt;'Общие данные'!$B$82,'График аннуитет.'!F17,'График аннуитет.'!D18+'График аннуитет.'!E18)</f>
        <v>5700114.1299999999</v>
      </c>
      <c r="G18" s="16">
        <f t="shared" si="2"/>
        <v>31</v>
      </c>
      <c r="H18" s="16">
        <f t="shared" si="1"/>
        <v>365</v>
      </c>
    </row>
    <row r="19" spans="1:8" x14ac:dyDescent="0.25">
      <c r="A19" s="19">
        <v>12</v>
      </c>
      <c r="B19" s="34">
        <f>'График дифференц'!B19</f>
        <v>46069</v>
      </c>
      <c r="C19" s="35">
        <f t="shared" si="0"/>
        <v>27761619.740000002</v>
      </c>
      <c r="D19" s="35">
        <f>IF(A19&lt;'Общие данные'!$B$82,'График аннуитет.'!F19-'График аннуитет.'!E19,'График аннуитет.'!C19)</f>
        <v>4239776.8499999996</v>
      </c>
      <c r="E19" s="35">
        <f>ROUND(C19*'Общие данные'!$B$85/H19,2)*'График аннуитет.'!G19</f>
        <v>1460337.28</v>
      </c>
      <c r="F19" s="35">
        <f>IF(A19&lt;'Общие данные'!$B$82,'График аннуитет.'!F18,'График аннуитет.'!D19+'График аннуитет.'!E19)</f>
        <v>5700114.1299999999</v>
      </c>
      <c r="G19" s="16">
        <f>B19-B18</f>
        <v>32</v>
      </c>
      <c r="H19" s="16">
        <f t="shared" si="1"/>
        <v>365</v>
      </c>
    </row>
    <row r="20" spans="1:8" x14ac:dyDescent="0.25">
      <c r="A20" s="19">
        <v>13</v>
      </c>
      <c r="B20" s="34">
        <f>'График дифференц'!B20</f>
        <v>46097</v>
      </c>
      <c r="C20" s="35">
        <f t="shared" si="0"/>
        <v>23521842.890000001</v>
      </c>
      <c r="D20" s="35">
        <f>IF(A20&lt;'Общие данные'!$B$82,'График аннуитет.'!F20-'График аннуитет.'!E20,'График аннуитет.'!C20)</f>
        <v>4617465.01</v>
      </c>
      <c r="E20" s="35">
        <f>ROUND(C20*'Общие данные'!$B$85/H20,2)*'График аннуитет.'!G20</f>
        <v>1082649.1200000001</v>
      </c>
      <c r="F20" s="35">
        <f>IF(A20&lt;'Общие данные'!$B$82,'График аннуитет.'!F19,'График аннуитет.'!D20+'График аннуитет.'!E20)</f>
        <v>5700114.1299999999</v>
      </c>
      <c r="G20" s="16">
        <f t="shared" si="2"/>
        <v>28</v>
      </c>
      <c r="H20" s="16">
        <f t="shared" si="1"/>
        <v>365</v>
      </c>
    </row>
    <row r="21" spans="1:8" x14ac:dyDescent="0.25">
      <c r="A21" s="19">
        <v>14</v>
      </c>
      <c r="B21" s="34">
        <f>'График дифференц'!B21</f>
        <v>46127</v>
      </c>
      <c r="C21" s="35">
        <f t="shared" si="0"/>
        <v>18904377.880000003</v>
      </c>
      <c r="D21" s="35">
        <f>IF(A21&lt;'Общие данные'!$B$82,'График аннуитет.'!F21-'График аннуитет.'!E21,'График аннуитет.'!C21)</f>
        <v>4767843.43</v>
      </c>
      <c r="E21" s="35">
        <f>ROUND(C21*'Общие данные'!$B$85/H21,2)*'График аннуитет.'!G21</f>
        <v>932270.7</v>
      </c>
      <c r="F21" s="35">
        <f>IF(A21&lt;'Общие данные'!$B$82,'График аннуитет.'!F20,'График аннуитет.'!D21+'График аннуитет.'!E21)</f>
        <v>5700114.1299999999</v>
      </c>
      <c r="G21" s="16">
        <f t="shared" si="2"/>
        <v>30</v>
      </c>
      <c r="H21" s="16">
        <f t="shared" si="1"/>
        <v>365</v>
      </c>
    </row>
    <row r="22" spans="1:8" x14ac:dyDescent="0.25">
      <c r="A22" s="19">
        <v>15</v>
      </c>
      <c r="B22" s="34">
        <f>'График дифференц'!B22</f>
        <v>46157</v>
      </c>
      <c r="C22" s="35">
        <f t="shared" si="0"/>
        <v>14136534.450000003</v>
      </c>
      <c r="D22" s="35">
        <f>IF(A22&lt;'Общие данные'!$B$82,'График аннуитет.'!F22-'График аннуитет.'!E22,'График аннуитет.'!C22)</f>
        <v>5002969.93</v>
      </c>
      <c r="E22" s="35">
        <f>ROUND(C22*'Общие данные'!$B$85/H22,2)*'График аннуитет.'!G22</f>
        <v>697144.2</v>
      </c>
      <c r="F22" s="35">
        <f>IF(A22&lt;'Общие данные'!$B$82,'График аннуитет.'!F21,'График аннуитет.'!D22+'График аннуитет.'!E22)</f>
        <v>5700114.1299999999</v>
      </c>
      <c r="G22" s="16">
        <f t="shared" si="2"/>
        <v>30</v>
      </c>
      <c r="H22" s="16">
        <f t="shared" si="1"/>
        <v>365</v>
      </c>
    </row>
    <row r="23" spans="1:8" x14ac:dyDescent="0.25">
      <c r="A23" s="19">
        <v>16</v>
      </c>
      <c r="B23" s="34">
        <f>'График дифференц'!B23</f>
        <v>46188</v>
      </c>
      <c r="C23" s="35">
        <f t="shared" si="0"/>
        <v>9133564.5200000033</v>
      </c>
      <c r="D23" s="35">
        <f>IF(A23&lt;'Общие данные'!$B$82,'График аннуитет.'!F23-'График аннуитет.'!E23,'График аннуитет.'!C23)</f>
        <v>5234677.6500000004</v>
      </c>
      <c r="E23" s="35">
        <f>ROUND(C23*'Общие данные'!$B$85/H23,2)*'График аннуитет.'!G23</f>
        <v>465436.48</v>
      </c>
      <c r="F23" s="35">
        <f>IF(A23&lt;'Общие данные'!$B$82,'График аннуитет.'!F22,'График аннуитет.'!D23+'График аннуитет.'!E23)</f>
        <v>5700114.1299999999</v>
      </c>
      <c r="G23" s="16">
        <f t="shared" si="2"/>
        <v>31</v>
      </c>
      <c r="H23" s="16">
        <f t="shared" si="1"/>
        <v>365</v>
      </c>
    </row>
    <row r="24" spans="1:8" x14ac:dyDescent="0.25">
      <c r="A24" s="19">
        <v>17</v>
      </c>
      <c r="B24" s="34">
        <f>'График дифференц'!B24</f>
        <v>46218</v>
      </c>
      <c r="C24" s="35">
        <f t="shared" si="0"/>
        <v>3898886.8700000029</v>
      </c>
      <c r="D24" s="35">
        <f>IF(A24&lt;'Общие данные'!$B$82,'График аннуитет.'!F24-'График аннуитет.'!E24,'График аннуитет.'!C24)</f>
        <v>5507840.2299999995</v>
      </c>
      <c r="E24" s="35">
        <f>ROUND(C24*'Общие данные'!$B$85/H24,2)*'График аннуитет.'!G24</f>
        <v>192273.9</v>
      </c>
      <c r="F24" s="35">
        <f>IF(A24&lt;'Общие данные'!$B$82,'График аннуитет.'!F23,'График аннуитет.'!D24+'График аннуитет.'!E24)</f>
        <v>5700114.1299999999</v>
      </c>
      <c r="G24" s="16">
        <f t="shared" si="2"/>
        <v>30</v>
      </c>
      <c r="H24" s="16">
        <f t="shared" si="1"/>
        <v>365</v>
      </c>
    </row>
    <row r="25" spans="1:8" x14ac:dyDescent="0.25">
      <c r="A25" s="19">
        <v>18</v>
      </c>
      <c r="B25" s="34">
        <f>'График дифференц'!B25</f>
        <v>46251</v>
      </c>
      <c r="C25" s="35">
        <f t="shared" si="0"/>
        <v>-1608953.3599999966</v>
      </c>
      <c r="D25" s="35">
        <f>IF(A25&lt;'Общие данные'!$B$82,'График аннуитет.'!F25-'График аннуитет.'!E25,'График аннуитет.'!C25)</f>
        <v>5787394.1799999997</v>
      </c>
      <c r="E25" s="35">
        <f>ROUND(C25*'Общие данные'!$B$85/H25,2)*'График аннуитет.'!G25</f>
        <v>-87280.05</v>
      </c>
      <c r="F25" s="35">
        <f>IF(A25&lt;'Общие данные'!$B$82,'График аннуитет.'!F24,'График аннуитет.'!D25+'График аннуитет.'!E25)</f>
        <v>5700114.1299999999</v>
      </c>
      <c r="G25" s="16">
        <f>B25-B24</f>
        <v>33</v>
      </c>
      <c r="H25" s="16">
        <f t="shared" si="1"/>
        <v>365</v>
      </c>
    </row>
    <row r="26" spans="1:8" x14ac:dyDescent="0.25">
      <c r="A26" s="19">
        <v>19</v>
      </c>
      <c r="B26" s="34">
        <f>'График дифференц'!B26</f>
        <v>46280</v>
      </c>
      <c r="C26" s="35">
        <f t="shared" si="0"/>
        <v>-7396347.5399999963</v>
      </c>
      <c r="D26" s="35">
        <f>IF(A26&lt;'Общие данные'!$B$82,'График аннуитет.'!F26-'График аннуитет.'!E26,'График аннуитет.'!C26)</f>
        <v>6052707.1499999994</v>
      </c>
      <c r="E26" s="35">
        <f>ROUND(C26*'Общие данные'!$B$85/H26,2)*'График аннуитет.'!G26</f>
        <v>-352593.01999999996</v>
      </c>
      <c r="F26" s="35">
        <f>IF(A26&lt;'Общие данные'!$B$82,'График аннуитет.'!F25,'График аннуитет.'!D26+'График аннуитет.'!E26)</f>
        <v>5700114.1299999999</v>
      </c>
      <c r="G26" s="16">
        <f t="shared" ref="G26:G30" si="3">B26-B25</f>
        <v>29</v>
      </c>
      <c r="H26" s="16">
        <f t="shared" si="1"/>
        <v>365</v>
      </c>
    </row>
    <row r="27" spans="1:8" x14ac:dyDescent="0.25">
      <c r="A27" s="19">
        <v>20</v>
      </c>
      <c r="B27" s="34">
        <f>'График дифференц'!B27</f>
        <v>46310</v>
      </c>
      <c r="C27" s="35">
        <f t="shared" si="0"/>
        <v>-13449054.689999996</v>
      </c>
      <c r="D27" s="35">
        <f>IF(A27&lt;'Общие данные'!$B$82,'График аннуитет.'!F27-'График аннуитет.'!E27,'График аннуитет.'!C27)</f>
        <v>6363355.3300000001</v>
      </c>
      <c r="E27" s="35">
        <f>ROUND(C27*'Общие данные'!$B$85/H27,2)*'График аннуитет.'!G27</f>
        <v>-663241.20000000007</v>
      </c>
      <c r="F27" s="35">
        <f>IF(A27&lt;'Общие данные'!$B$82,'График аннуитет.'!F26,'График аннуитет.'!D27+'График аннуитет.'!E27)</f>
        <v>5700114.1299999999</v>
      </c>
      <c r="G27" s="16">
        <f t="shared" si="3"/>
        <v>30</v>
      </c>
      <c r="H27" s="16">
        <f t="shared" si="1"/>
        <v>365</v>
      </c>
    </row>
    <row r="28" spans="1:8" x14ac:dyDescent="0.25">
      <c r="A28" s="19">
        <v>21</v>
      </c>
      <c r="B28" s="34">
        <f>'График дифференц'!B28</f>
        <v>46342</v>
      </c>
      <c r="C28" s="35">
        <f t="shared" si="0"/>
        <v>-19812410.019999996</v>
      </c>
      <c r="D28" s="35">
        <f>IF(A28&lt;'Общие данные'!$B$82,'График аннуитет.'!F28-'График аннуитет.'!E28,'График аннуитет.'!C28)</f>
        <v>6742301.3300000001</v>
      </c>
      <c r="E28" s="35">
        <f>ROUND(C28*'Общие данные'!$B$85/H28,2)*'График аннуитет.'!G28</f>
        <v>-1042187.2</v>
      </c>
      <c r="F28" s="35">
        <f>IF(A28&lt;'Общие данные'!$B$82,'График аннуитет.'!F27,'График аннуитет.'!D28+'График аннуитет.'!E28)</f>
        <v>5700114.1299999999</v>
      </c>
      <c r="G28" s="16">
        <f t="shared" si="3"/>
        <v>32</v>
      </c>
      <c r="H28" s="16">
        <f t="shared" si="1"/>
        <v>365</v>
      </c>
    </row>
    <row r="29" spans="1:8" x14ac:dyDescent="0.25">
      <c r="A29" s="19">
        <v>22</v>
      </c>
      <c r="B29" s="34">
        <f>'График дифференц'!B29</f>
        <v>46371</v>
      </c>
      <c r="C29" s="35">
        <f t="shared" si="0"/>
        <v>-26554711.349999994</v>
      </c>
      <c r="D29" s="35">
        <f>IF(A29&lt;'Общие данные'!$B$82,'График аннуитет.'!F29-'График аннуитет.'!E29,'График аннуитет.'!C29)</f>
        <v>6966009.9500000002</v>
      </c>
      <c r="E29" s="35">
        <f>ROUND(C29*'Общие данные'!$B$85/H29,2)*'График аннуитет.'!G29</f>
        <v>-1265895.82</v>
      </c>
      <c r="F29" s="35">
        <f>IF(A29&lt;'Общие данные'!$B$82,'График аннуитет.'!F28,'График аннуитет.'!D29+'График аннуитет.'!E29)</f>
        <v>5700114.1299999999</v>
      </c>
      <c r="G29" s="16">
        <f t="shared" si="3"/>
        <v>29</v>
      </c>
      <c r="H29" s="16">
        <f t="shared" si="1"/>
        <v>365</v>
      </c>
    </row>
    <row r="30" spans="1:8" x14ac:dyDescent="0.25">
      <c r="A30" s="19">
        <v>23</v>
      </c>
      <c r="B30" s="34">
        <f>'График дифференц'!B30</f>
        <v>46402</v>
      </c>
      <c r="C30" s="35">
        <f t="shared" si="0"/>
        <v>-33520721.299999993</v>
      </c>
      <c r="D30" s="35">
        <f>IF(A30&lt;'Общие данные'!$B$82,'График аннуитет.'!F30-'График аннуитет.'!E30,'График аннуитет.'!C30)</f>
        <v>7408293.4900000002</v>
      </c>
      <c r="E30" s="35">
        <f>ROUND(C30*'Общие данные'!$B$85/H30,2)*'График аннуитет.'!G30</f>
        <v>-1708179.3599999999</v>
      </c>
      <c r="F30" s="35">
        <f>IF(A30&lt;'Общие данные'!$B$82,'График аннуитет.'!F29,'График аннуитет.'!D30+'График аннуитет.'!E30)</f>
        <v>5700114.1299999999</v>
      </c>
      <c r="G30" s="16">
        <f t="shared" si="3"/>
        <v>31</v>
      </c>
      <c r="H30" s="16">
        <f t="shared" si="1"/>
        <v>365</v>
      </c>
    </row>
    <row r="31" spans="1:8" x14ac:dyDescent="0.25">
      <c r="A31" s="19">
        <v>24</v>
      </c>
      <c r="B31" s="34">
        <f>'График дифференц'!B31</f>
        <v>46446</v>
      </c>
      <c r="C31" s="35">
        <f t="shared" ref="C31" si="4">C30-D30</f>
        <v>-40929014.789999992</v>
      </c>
      <c r="D31" s="35">
        <f>IF(A31&lt;'Общие данные'!$B$82,'График аннуитет.'!F31-'График аннуитет.'!E31,'График аннуитет.'!C31)</f>
        <v>-40929014.789999992</v>
      </c>
      <c r="E31" s="35">
        <f>ROUND(C31*'Общие данные'!$B$85/H31,2)*'График аннуитет.'!G31</f>
        <v>-2960345.08</v>
      </c>
      <c r="F31" s="35">
        <f>IF(A31&lt;'Общие данные'!$B$82,'График аннуитет.'!F30,'График аннуитет.'!D31+'График аннуитет.'!E31)</f>
        <v>-43889359.86999999</v>
      </c>
      <c r="G31" s="16">
        <f>B31-B30</f>
        <v>44</v>
      </c>
      <c r="H31" s="16">
        <f t="shared" si="1"/>
        <v>365</v>
      </c>
    </row>
    <row r="32" spans="1:8" x14ac:dyDescent="0.25">
      <c r="A32" s="19">
        <f>1+A31</f>
        <v>25</v>
      </c>
      <c r="B32" s="34" t="b">
        <f>'График дифференц'!B32</f>
        <v>0</v>
      </c>
      <c r="C32" s="35">
        <f t="shared" ref="C32:C43" si="5">C31-D31</f>
        <v>0</v>
      </c>
      <c r="D32" s="35">
        <f>IF(A32&lt;'Общие данные'!$B$82,'График аннуитет.'!F32-'График аннуитет.'!E32,'График аннуитет.'!C32)</f>
        <v>0</v>
      </c>
      <c r="E32" s="35">
        <f>ROUND(C32*'Общие данные'!$B$85/H32,2)*'График аннуитет.'!G32</f>
        <v>0</v>
      </c>
      <c r="F32" s="35">
        <f>IF(A32&lt;'Общие данные'!$B$82,'График аннуитет.'!F31,'График аннуитет.'!D32+'График аннуитет.'!E32)</f>
        <v>0</v>
      </c>
      <c r="G32" s="16">
        <f t="shared" ref="G32:G43" si="6">B32-B31</f>
        <v>-46446</v>
      </c>
      <c r="H32" s="16">
        <f t="shared" ref="H32:H43" si="7">DATE(YEAR(B32),12,31)-DATE(YEAR(B32),1,1)+1</f>
        <v>366</v>
      </c>
    </row>
    <row r="33" spans="1:8" x14ac:dyDescent="0.25">
      <c r="A33" s="19">
        <f t="shared" ref="A33:A43" si="8">1+A32</f>
        <v>26</v>
      </c>
      <c r="B33" s="34" t="b">
        <f>'График дифференц'!B33</f>
        <v>0</v>
      </c>
      <c r="C33" s="35">
        <f t="shared" si="5"/>
        <v>0</v>
      </c>
      <c r="D33" s="35">
        <f>IF(A33&lt;'Общие данные'!$B$82,'График аннуитет.'!F33-'График аннуитет.'!E33,'График аннуитет.'!C33)</f>
        <v>0</v>
      </c>
      <c r="E33" s="35">
        <f>ROUND(C33*'Общие данные'!$B$85/H33,2)*'График аннуитет.'!G33</f>
        <v>0</v>
      </c>
      <c r="F33" s="35">
        <f>IF(A33&lt;'Общие данные'!$B$82,'График аннуитет.'!F32,'График аннуитет.'!D33+'График аннуитет.'!E33)</f>
        <v>0</v>
      </c>
      <c r="G33" s="16">
        <f t="shared" si="6"/>
        <v>0</v>
      </c>
      <c r="H33" s="16">
        <f t="shared" si="7"/>
        <v>366</v>
      </c>
    </row>
    <row r="34" spans="1:8" x14ac:dyDescent="0.25">
      <c r="A34" s="19">
        <f t="shared" si="8"/>
        <v>27</v>
      </c>
      <c r="B34" s="34" t="b">
        <f>'График дифференц'!B34</f>
        <v>0</v>
      </c>
      <c r="C34" s="35">
        <f t="shared" si="5"/>
        <v>0</v>
      </c>
      <c r="D34" s="35">
        <f>IF(A34&lt;'Общие данные'!$B$82,'График аннуитет.'!F34-'График аннуитет.'!E34,'График аннуитет.'!C34)</f>
        <v>0</v>
      </c>
      <c r="E34" s="35">
        <f>ROUND(C34*'Общие данные'!$B$85/H34,2)*'График аннуитет.'!G34</f>
        <v>0</v>
      </c>
      <c r="F34" s="35">
        <f>IF(A34&lt;'Общие данные'!$B$82,'График аннуитет.'!F33,'График аннуитет.'!D34+'График аннуитет.'!E34)</f>
        <v>0</v>
      </c>
      <c r="G34" s="16">
        <f t="shared" si="6"/>
        <v>0</v>
      </c>
      <c r="H34" s="16">
        <f t="shared" si="7"/>
        <v>366</v>
      </c>
    </row>
    <row r="35" spans="1:8" x14ac:dyDescent="0.25">
      <c r="A35" s="19">
        <f t="shared" si="8"/>
        <v>28</v>
      </c>
      <c r="B35" s="34" t="b">
        <f>'График дифференц'!B35</f>
        <v>0</v>
      </c>
      <c r="C35" s="35">
        <f t="shared" si="5"/>
        <v>0</v>
      </c>
      <c r="D35" s="35">
        <f>IF(A35&lt;'Общие данные'!$B$82,'График аннуитет.'!F35-'График аннуитет.'!E35,'График аннуитет.'!C35)</f>
        <v>0</v>
      </c>
      <c r="E35" s="35">
        <f>ROUND(C35*'Общие данные'!$B$85/H35,2)*'График аннуитет.'!G35</f>
        <v>0</v>
      </c>
      <c r="F35" s="35">
        <f>IF(A35&lt;'Общие данные'!$B$82,'График аннуитет.'!F34,'График аннуитет.'!D35+'График аннуитет.'!E35)</f>
        <v>0</v>
      </c>
      <c r="G35" s="16">
        <f t="shared" si="6"/>
        <v>0</v>
      </c>
      <c r="H35" s="16">
        <f t="shared" si="7"/>
        <v>366</v>
      </c>
    </row>
    <row r="36" spans="1:8" x14ac:dyDescent="0.25">
      <c r="A36" s="19">
        <f t="shared" si="8"/>
        <v>29</v>
      </c>
      <c r="B36" s="34" t="b">
        <f>'График дифференц'!B36</f>
        <v>0</v>
      </c>
      <c r="C36" s="35">
        <f t="shared" si="5"/>
        <v>0</v>
      </c>
      <c r="D36" s="35">
        <f>IF(A36&lt;'Общие данные'!$B$82,'График аннуитет.'!F36-'График аннуитет.'!E36,'График аннуитет.'!C36)</f>
        <v>0</v>
      </c>
      <c r="E36" s="35">
        <f>ROUND(C36*'Общие данные'!$B$85/H36,2)*'График аннуитет.'!G36</f>
        <v>0</v>
      </c>
      <c r="F36" s="35">
        <f>IF(A36&lt;'Общие данные'!$B$82,'График аннуитет.'!F35,'График аннуитет.'!D36+'График аннуитет.'!E36)</f>
        <v>0</v>
      </c>
      <c r="G36" s="16">
        <f t="shared" si="6"/>
        <v>0</v>
      </c>
      <c r="H36" s="16">
        <f t="shared" si="7"/>
        <v>366</v>
      </c>
    </row>
    <row r="37" spans="1:8" x14ac:dyDescent="0.25">
      <c r="A37" s="19">
        <f t="shared" si="8"/>
        <v>30</v>
      </c>
      <c r="B37" s="34" t="b">
        <f>'График дифференц'!B37</f>
        <v>0</v>
      </c>
      <c r="C37" s="35">
        <f t="shared" si="5"/>
        <v>0</v>
      </c>
      <c r="D37" s="35">
        <f>IF(A37&lt;'Общие данные'!$B$82,'График аннуитет.'!F37-'График аннуитет.'!E37,'График аннуитет.'!C37)</f>
        <v>0</v>
      </c>
      <c r="E37" s="35">
        <f>ROUND(C37*'Общие данные'!$B$85/H37,2)*'График аннуитет.'!G37</f>
        <v>0</v>
      </c>
      <c r="F37" s="35">
        <f>IF(A37&lt;'Общие данные'!$B$82,'График аннуитет.'!F36,'График аннуитет.'!D37+'График аннуитет.'!E37)</f>
        <v>0</v>
      </c>
      <c r="G37" s="16">
        <f t="shared" si="6"/>
        <v>0</v>
      </c>
      <c r="H37" s="16">
        <f t="shared" si="7"/>
        <v>366</v>
      </c>
    </row>
    <row r="38" spans="1:8" x14ac:dyDescent="0.25">
      <c r="A38" s="19">
        <f t="shared" si="8"/>
        <v>31</v>
      </c>
      <c r="B38" s="34" t="b">
        <f>'График дифференц'!B38</f>
        <v>0</v>
      </c>
      <c r="C38" s="35">
        <f t="shared" si="5"/>
        <v>0</v>
      </c>
      <c r="D38" s="35">
        <f>IF(A38&lt;'Общие данные'!$B$82,'График аннуитет.'!F38-'График аннуитет.'!E38,'График аннуитет.'!C38)</f>
        <v>0</v>
      </c>
      <c r="E38" s="35">
        <f>ROUND(C38*'Общие данные'!$B$85/H38,2)*'График аннуитет.'!G38</f>
        <v>0</v>
      </c>
      <c r="F38" s="35">
        <f>IF(A38&lt;'Общие данные'!$B$82,'График аннуитет.'!F37,'График аннуитет.'!D38+'График аннуитет.'!E38)</f>
        <v>0</v>
      </c>
      <c r="G38" s="16">
        <f t="shared" si="6"/>
        <v>0</v>
      </c>
      <c r="H38" s="16">
        <f t="shared" si="7"/>
        <v>366</v>
      </c>
    </row>
    <row r="39" spans="1:8" x14ac:dyDescent="0.25">
      <c r="A39" s="19">
        <f t="shared" si="8"/>
        <v>32</v>
      </c>
      <c r="B39" s="34" t="b">
        <f>'График дифференц'!B39</f>
        <v>0</v>
      </c>
      <c r="C39" s="35">
        <f t="shared" si="5"/>
        <v>0</v>
      </c>
      <c r="D39" s="35">
        <f>IF(A39&lt;'Общие данные'!$B$82,'График аннуитет.'!F39-'График аннуитет.'!E39,'График аннуитет.'!C39)</f>
        <v>0</v>
      </c>
      <c r="E39" s="35">
        <f>ROUND(C39*'Общие данные'!$B$85/H39,2)*'График аннуитет.'!G39</f>
        <v>0</v>
      </c>
      <c r="F39" s="35">
        <f>IF(A39&lt;'Общие данные'!$B$82,'График аннуитет.'!F38,'График аннуитет.'!D39+'График аннуитет.'!E39)</f>
        <v>0</v>
      </c>
      <c r="G39" s="16">
        <f t="shared" si="6"/>
        <v>0</v>
      </c>
      <c r="H39" s="16">
        <f t="shared" si="7"/>
        <v>366</v>
      </c>
    </row>
    <row r="40" spans="1:8" x14ac:dyDescent="0.25">
      <c r="A40" s="19">
        <f t="shared" si="8"/>
        <v>33</v>
      </c>
      <c r="B40" s="34" t="b">
        <f>'График дифференц'!B40</f>
        <v>0</v>
      </c>
      <c r="C40" s="35">
        <f t="shared" si="5"/>
        <v>0</v>
      </c>
      <c r="D40" s="35">
        <f>IF(A40&lt;'Общие данные'!$B$82,'График аннуитет.'!F40-'График аннуитет.'!E40,'График аннуитет.'!C40)</f>
        <v>0</v>
      </c>
      <c r="E40" s="35">
        <f>ROUND(C40*'Общие данные'!$B$85/H40,2)*'График аннуитет.'!G40</f>
        <v>0</v>
      </c>
      <c r="F40" s="35">
        <f>IF(A40&lt;'Общие данные'!$B$82,'График аннуитет.'!F39,'График аннуитет.'!D40+'График аннуитет.'!E40)</f>
        <v>0</v>
      </c>
      <c r="G40" s="16">
        <f t="shared" si="6"/>
        <v>0</v>
      </c>
      <c r="H40" s="16">
        <f t="shared" si="7"/>
        <v>366</v>
      </c>
    </row>
    <row r="41" spans="1:8" x14ac:dyDescent="0.25">
      <c r="A41" s="19">
        <f t="shared" si="8"/>
        <v>34</v>
      </c>
      <c r="B41" s="34" t="b">
        <f>'График дифференц'!B41</f>
        <v>0</v>
      </c>
      <c r="C41" s="35">
        <f t="shared" si="5"/>
        <v>0</v>
      </c>
      <c r="D41" s="35">
        <f>IF(A41&lt;'Общие данные'!$B$82,'График аннуитет.'!F41-'График аннуитет.'!E41,'График аннуитет.'!C41)</f>
        <v>0</v>
      </c>
      <c r="E41" s="35">
        <f>ROUND(C41*'Общие данные'!$B$85/H41,2)*'График аннуитет.'!G41</f>
        <v>0</v>
      </c>
      <c r="F41" s="35">
        <f>IF(A41&lt;'Общие данные'!$B$82,'График аннуитет.'!F40,'График аннуитет.'!D41+'График аннуитет.'!E41)</f>
        <v>0</v>
      </c>
      <c r="G41" s="16">
        <f t="shared" si="6"/>
        <v>0</v>
      </c>
      <c r="H41" s="16">
        <f t="shared" si="7"/>
        <v>366</v>
      </c>
    </row>
    <row r="42" spans="1:8" x14ac:dyDescent="0.25">
      <c r="A42" s="19">
        <f t="shared" si="8"/>
        <v>35</v>
      </c>
      <c r="B42" s="34" t="b">
        <f>'График дифференц'!B42</f>
        <v>0</v>
      </c>
      <c r="C42" s="35">
        <f t="shared" si="5"/>
        <v>0</v>
      </c>
      <c r="D42" s="35">
        <f>IF(A42&lt;'Общие данные'!$B$82,'График аннуитет.'!F42-'График аннуитет.'!E42,'График аннуитет.'!C42)</f>
        <v>0</v>
      </c>
      <c r="E42" s="35">
        <f>ROUND(C42*'Общие данные'!$B$85/H42,2)*'График аннуитет.'!G42</f>
        <v>0</v>
      </c>
      <c r="F42" s="35">
        <f>IF(A42&lt;'Общие данные'!$B$82,'График аннуитет.'!F41,'График аннуитет.'!D42+'График аннуитет.'!E42)</f>
        <v>0</v>
      </c>
      <c r="G42" s="16">
        <f t="shared" si="6"/>
        <v>0</v>
      </c>
      <c r="H42" s="16">
        <f t="shared" si="7"/>
        <v>366</v>
      </c>
    </row>
    <row r="43" spans="1:8" x14ac:dyDescent="0.25">
      <c r="A43" s="19">
        <f t="shared" si="8"/>
        <v>36</v>
      </c>
      <c r="B43" s="34" t="b">
        <f>'График дифференц'!B43</f>
        <v>0</v>
      </c>
      <c r="C43" s="35">
        <f t="shared" si="5"/>
        <v>0</v>
      </c>
      <c r="D43" s="35">
        <f>IF(A43&lt;'Общие данные'!$B$82,'График аннуитет.'!F43-'График аннуитет.'!E43,'График аннуитет.'!C43)</f>
        <v>0</v>
      </c>
      <c r="E43" s="35">
        <f>ROUND(C43*'Общие данные'!$B$85/H43,2)*'График аннуитет.'!G43</f>
        <v>0</v>
      </c>
      <c r="F43" s="35">
        <f>IF(A43&lt;'Общие данные'!$B$82,'График аннуитет.'!F42,'График аннуитет.'!D43+'График аннуитет.'!E43)</f>
        <v>0</v>
      </c>
      <c r="G43" s="16">
        <f t="shared" si="6"/>
        <v>0</v>
      </c>
      <c r="H43" s="16">
        <f t="shared" si="7"/>
        <v>366</v>
      </c>
    </row>
    <row r="44" spans="1:8" x14ac:dyDescent="0.25">
      <c r="A44" s="47"/>
      <c r="B44" s="48" t="s">
        <v>7</v>
      </c>
      <c r="C44" s="49"/>
      <c r="D44" s="49">
        <f>SUM(D8:D43)</f>
        <v>65000000</v>
      </c>
      <c r="E44" s="49">
        <f t="shared" ref="E44:F44" si="9">SUM(E8:E43)</f>
        <v>22213265.119999997</v>
      </c>
      <c r="F44" s="49">
        <f t="shared" si="9"/>
        <v>87213265.119999975</v>
      </c>
    </row>
    <row r="45" spans="1:8" ht="9" customHeight="1" x14ac:dyDescent="0.25">
      <c r="B45" s="36"/>
      <c r="C45" s="37"/>
      <c r="D45" s="37"/>
      <c r="E45" s="37"/>
      <c r="F45" s="37"/>
    </row>
    <row r="46" spans="1:8" ht="47.25" customHeight="1" x14ac:dyDescent="0.25">
      <c r="A46" s="236" t="s">
        <v>18</v>
      </c>
      <c r="B46" s="236"/>
      <c r="C46" s="236"/>
      <c r="D46" s="236"/>
      <c r="E46" s="236"/>
      <c r="F46" s="236"/>
    </row>
    <row r="47" spans="1:8" ht="7.5" customHeight="1" x14ac:dyDescent="0.25"/>
    <row r="48" spans="1:8" x14ac:dyDescent="0.25">
      <c r="A48" s="265" t="e">
        <f>#REF!</f>
        <v>#REF!</v>
      </c>
      <c r="B48" s="265"/>
      <c r="C48" s="265"/>
      <c r="D48" s="265" t="e">
        <f>#REF!</f>
        <v>#REF!</v>
      </c>
      <c r="E48" s="265"/>
      <c r="F48" s="265"/>
    </row>
    <row r="49" spans="1:6" ht="11.25" customHeight="1" x14ac:dyDescent="0.25">
      <c r="A49" s="266"/>
      <c r="B49" s="266"/>
      <c r="C49" s="266"/>
      <c r="D49" s="266"/>
      <c r="E49" s="266"/>
      <c r="F49" s="266"/>
    </row>
    <row r="50" spans="1:6" ht="30" customHeight="1" x14ac:dyDescent="0.25">
      <c r="A50" s="267" t="e">
        <f>#REF!</f>
        <v>#REF!</v>
      </c>
      <c r="B50" s="267"/>
      <c r="C50" s="267"/>
      <c r="D50" s="267" t="e">
        <f>#REF!</f>
        <v>#REF!</v>
      </c>
      <c r="E50" s="267"/>
      <c r="F50" s="267"/>
    </row>
    <row r="51" spans="1:6" ht="32.25" customHeight="1" x14ac:dyDescent="0.25">
      <c r="A51" s="264" t="e">
        <f>#REF!</f>
        <v>#REF!</v>
      </c>
      <c r="B51" s="264"/>
      <c r="C51" s="264"/>
      <c r="D51" s="264" t="e">
        <f>#REF!</f>
        <v>#REF!</v>
      </c>
      <c r="E51" s="264"/>
      <c r="F51" s="264"/>
    </row>
    <row r="52" spans="1:6" x14ac:dyDescent="0.25">
      <c r="A52" s="264" t="e">
        <f>#REF!</f>
        <v>#REF!</v>
      </c>
      <c r="B52" s="264"/>
      <c r="C52" s="264"/>
      <c r="D52" s="264" t="str">
        <f>"паспорт серии "&amp;'Общие данные'!B16&amp;", "&amp;'Общие данные'!B20&amp;""</f>
        <v>паспорт серии AD7554127, IIV 6230 tomonidan 20.06.2024 yilda berilgan</v>
      </c>
      <c r="E52" s="264"/>
      <c r="F52" s="264"/>
    </row>
    <row r="53" spans="1:6" ht="32.25" customHeight="1" x14ac:dyDescent="0.25">
      <c r="A53" s="264" t="e">
        <f>#REF!</f>
        <v>#REF!</v>
      </c>
      <c r="B53" s="264"/>
      <c r="C53" s="264"/>
      <c r="D53" s="264"/>
      <c r="E53" s="264"/>
      <c r="F53" s="264"/>
    </row>
    <row r="54" spans="1:6" x14ac:dyDescent="0.25">
      <c r="A54" s="264" t="e">
        <f>#REF!</f>
        <v>#REF!</v>
      </c>
      <c r="B54" s="264"/>
      <c r="C54" s="264"/>
      <c r="D54" s="264" t="e">
        <f>#REF!</f>
        <v>#REF!</v>
      </c>
      <c r="E54" s="264"/>
      <c r="F54" s="264"/>
    </row>
    <row r="55" spans="1:6" x14ac:dyDescent="0.25">
      <c r="A55" s="264" t="e">
        <f>#REF!</f>
        <v>#REF!</v>
      </c>
      <c r="B55" s="264"/>
      <c r="C55" s="264"/>
      <c r="D55" s="264" t="e">
        <f>#REF!</f>
        <v>#REF!</v>
      </c>
      <c r="E55" s="264"/>
      <c r="F55" s="264"/>
    </row>
    <row r="56" spans="1:6" x14ac:dyDescent="0.25">
      <c r="A56" s="264" t="e">
        <f>#REF!</f>
        <v>#REF!</v>
      </c>
      <c r="B56" s="264"/>
      <c r="C56" s="264"/>
      <c r="D56" s="264" t="e">
        <f>#REF!</f>
        <v>#REF!</v>
      </c>
      <c r="E56" s="264"/>
      <c r="F56" s="264"/>
    </row>
    <row r="57" spans="1:6" ht="8.25" customHeight="1" x14ac:dyDescent="0.25">
      <c r="A57" s="264"/>
      <c r="B57" s="264"/>
      <c r="C57" s="264"/>
      <c r="D57" s="264"/>
      <c r="E57" s="264"/>
      <c r="F57" s="264"/>
    </row>
    <row r="58" spans="1:6" x14ac:dyDescent="0.25">
      <c r="A58" s="267" t="e">
        <f>#REF!</f>
        <v>#REF!</v>
      </c>
      <c r="B58" s="267"/>
      <c r="C58" s="267"/>
      <c r="D58" s="267" t="e">
        <f>#REF!</f>
        <v>#REF!</v>
      </c>
      <c r="E58" s="267"/>
      <c r="F58" s="267"/>
    </row>
    <row r="59" spans="1:6" ht="7.5" customHeight="1" x14ac:dyDescent="0.25">
      <c r="A59" s="267"/>
      <c r="B59" s="267"/>
      <c r="C59" s="267"/>
      <c r="D59" s="267"/>
      <c r="E59" s="267"/>
      <c r="F59" s="267"/>
    </row>
    <row r="60" spans="1:6" x14ac:dyDescent="0.25">
      <c r="A60" s="267" t="e">
        <f>#REF!</f>
        <v>#REF!</v>
      </c>
      <c r="B60" s="267"/>
      <c r="C60" s="267"/>
      <c r="D60" s="267" t="e">
        <f>#REF!</f>
        <v>#REF!</v>
      </c>
      <c r="E60" s="267"/>
      <c r="F60" s="267"/>
    </row>
    <row r="61" spans="1:6" ht="8.25" customHeight="1" x14ac:dyDescent="0.25">
      <c r="A61" s="264"/>
      <c r="B61" s="264"/>
      <c r="C61" s="264"/>
      <c r="D61" s="264"/>
      <c r="E61" s="264"/>
      <c r="F61" s="264"/>
    </row>
    <row r="62" spans="1:6" ht="30" customHeight="1" x14ac:dyDescent="0.25">
      <c r="A62" s="269"/>
      <c r="B62" s="269"/>
      <c r="C62" s="269"/>
      <c r="D62" s="270"/>
      <c r="E62" s="270"/>
      <c r="F62" s="270"/>
    </row>
    <row r="63" spans="1:6" x14ac:dyDescent="0.25">
      <c r="A63" s="271"/>
      <c r="B63" s="271"/>
      <c r="C63" s="271"/>
      <c r="D63" s="271"/>
      <c r="E63" s="271"/>
      <c r="F63" s="271"/>
    </row>
    <row r="64" spans="1:6" x14ac:dyDescent="0.25">
      <c r="A64" s="268"/>
      <c r="B64" s="268"/>
      <c r="C64" s="268"/>
      <c r="D64" s="268"/>
      <c r="E64" s="268"/>
      <c r="F64" s="268"/>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15" zoomScaleSheetLayoutView="100" workbookViewId="0">
      <selection activeCell="F27" sqref="F27"/>
    </sheetView>
  </sheetViews>
  <sheetFormatPr defaultColWidth="9.140625" defaultRowHeight="12.75" x14ac:dyDescent="0.2"/>
  <cols>
    <col min="1" max="6" width="14.28515625" style="25" customWidth="1"/>
    <col min="7" max="16384" width="9.140625" style="25"/>
  </cols>
  <sheetData>
    <row r="1" spans="1:6" x14ac:dyDescent="0.2">
      <c r="A1" s="276" t="s">
        <v>218</v>
      </c>
      <c r="B1" s="276"/>
      <c r="C1" s="276"/>
      <c r="D1" s="276"/>
      <c r="E1" s="276"/>
      <c r="F1" s="276"/>
    </row>
    <row r="2" spans="1:6" ht="35.25" customHeight="1" x14ac:dyDescent="0.2">
      <c r="A2" s="277" t="s">
        <v>328</v>
      </c>
      <c r="B2" s="277"/>
      <c r="C2" s="277"/>
      <c r="D2" s="277"/>
      <c r="E2" s="277"/>
      <c r="F2" s="277"/>
    </row>
    <row r="3" spans="1:6" x14ac:dyDescent="0.2">
      <c r="A3" s="276" t="s">
        <v>219</v>
      </c>
      <c r="B3" s="276"/>
      <c r="C3" s="276"/>
      <c r="D3" s="276"/>
      <c r="E3" s="276"/>
      <c r="F3" s="276"/>
    </row>
    <row r="4" spans="1:6" x14ac:dyDescent="0.2">
      <c r="A4" s="272" t="str">
        <f>'Заключение КК'!A4:E4</f>
        <v>Mijozning to'liq ismi sharifi: ATAXANOV AKMAL AXMETDJANOVICH</v>
      </c>
      <c r="B4" s="272"/>
      <c r="C4" s="272"/>
      <c r="D4" s="272"/>
      <c r="E4" s="272"/>
      <c r="F4" s="272"/>
    </row>
    <row r="5" spans="1:6" x14ac:dyDescent="0.2">
      <c r="A5" s="272" t="str">
        <f>'Заключение КК'!A5:E5</f>
        <v>Tug'ilgan sanasi: 11.06.1989 y</v>
      </c>
      <c r="B5" s="272"/>
      <c r="C5" s="272"/>
      <c r="D5" s="272"/>
      <c r="E5" s="272"/>
      <c r="F5" s="272"/>
    </row>
    <row r="6" spans="1:6" ht="32.25" customHeight="1" x14ac:dyDescent="0.2">
      <c r="A6" s="272" t="str">
        <f>'Заключение КК'!A6:E6</f>
        <v>Pasport seriyasi AD7554127 IIV 6230 tomonidan 20.06.2024 yilda berilgan, amal qilish muddati - 19.06.2034 y.</v>
      </c>
      <c r="B6" s="272"/>
      <c r="C6" s="272"/>
      <c r="D6" s="272"/>
      <c r="E6" s="272"/>
      <c r="F6" s="272"/>
    </row>
    <row r="7" spans="1:6" x14ac:dyDescent="0.2">
      <c r="A7" s="272" t="str">
        <f>"Fuqaroligi: "&amp;'Общие данные'!B32&amp;""</f>
        <v>Fuqaroligi: O’zbekiston Respublikasi</v>
      </c>
      <c r="B7" s="272"/>
      <c r="C7" s="272"/>
      <c r="D7" s="272"/>
      <c r="E7" s="272"/>
      <c r="F7" s="272"/>
    </row>
    <row r="8" spans="1:6" ht="26.25" customHeight="1" x14ac:dyDescent="0.2">
      <c r="A8" s="272" t="str">
        <f>'Заключение КК'!A7:E7</f>
        <v>Ro‘yxatdan o‘tgan manzili: QORAKO'L TUMANI DARG'ALI QFY, mo'ljal: DARG'ALI MFY 10 MAKTAB</v>
      </c>
      <c r="B8" s="272"/>
      <c r="C8" s="272"/>
      <c r="D8" s="272"/>
      <c r="E8" s="272"/>
      <c r="F8" s="272"/>
    </row>
    <row r="9" spans="1:6" x14ac:dyDescent="0.2">
      <c r="A9" s="272" t="str">
        <f>IF('Общие данные'!B23="mos keladi"," ",'Анкета Клиента'!A10:F10)</f>
        <v xml:space="preserve"> </v>
      </c>
      <c r="B9" s="272"/>
      <c r="C9" s="272"/>
      <c r="D9" s="272"/>
      <c r="E9" s="272"/>
      <c r="F9" s="272"/>
    </row>
    <row r="10" spans="1:6" ht="31.5" hidden="1" customHeight="1" x14ac:dyDescent="0.2">
      <c r="A10" s="272" t="str">
        <f>"Haqiqatdan yashash joy manzili: "&amp;'Общие данные'!B28&amp;""</f>
        <v>Haqiqatdan yashash joy manzili: QORAKO'L TUMANI DARG'ALI QFY</v>
      </c>
      <c r="B10" s="272"/>
      <c r="C10" s="272"/>
      <c r="D10" s="272"/>
      <c r="E10" s="272"/>
      <c r="F10" s="272"/>
    </row>
    <row r="11" spans="1:6" ht="16.5" hidden="1" customHeight="1" x14ac:dyDescent="0.2">
      <c r="A11" s="272" t="str">
        <f>'Заключение КК'!A8:E8</f>
        <v>Ish joyi:  lavozimi Yakka tartibdagi tadbirkorda Yakka tartibdagi tadbirkor</v>
      </c>
      <c r="B11" s="272"/>
      <c r="C11" s="272"/>
      <c r="D11" s="272"/>
      <c r="E11" s="272"/>
      <c r="F11" s="272"/>
    </row>
    <row r="12" spans="1:6" x14ac:dyDescent="0.2">
      <c r="A12" s="276" t="s">
        <v>220</v>
      </c>
      <c r="B12" s="276"/>
      <c r="C12" s="276"/>
      <c r="D12" s="276"/>
      <c r="E12" s="276"/>
      <c r="F12" s="276"/>
    </row>
    <row r="13" spans="1:6" x14ac:dyDescent="0.2">
      <c r="A13" s="272" t="str">
        <f>"Uy telefoni raqami: "&amp;'Общие данные'!B40&amp;""</f>
        <v>Uy telefoni raqami: 94 545-76-56 O'ZI</v>
      </c>
      <c r="B13" s="272"/>
      <c r="C13" s="272"/>
      <c r="D13" s="272"/>
      <c r="E13" s="272"/>
      <c r="F13" s="272"/>
    </row>
    <row r="14" spans="1:6" x14ac:dyDescent="0.2">
      <c r="A14" s="272" t="str">
        <f>"Uyali telefon raqami: "&amp;'Общие данные'!B41&amp;""</f>
        <v>Uyali telefon raqami: 93 547-13-19  AYOLI</v>
      </c>
      <c r="B14" s="272"/>
      <c r="C14" s="272"/>
      <c r="D14" s="272"/>
      <c r="E14" s="272"/>
      <c r="F14" s="272"/>
    </row>
    <row r="15" spans="1:6" x14ac:dyDescent="0.2">
      <c r="A15" s="272" t="str">
        <f>"Uyali telefon raqami: "&amp;'Общие данные'!B42&amp;""</f>
        <v>Uyali telefon raqami: 93 753-02-44 O'RTOG'I</v>
      </c>
      <c r="B15" s="272"/>
      <c r="C15" s="272"/>
      <c r="D15" s="272"/>
      <c r="E15" s="272"/>
      <c r="F15" s="272"/>
    </row>
    <row r="16" spans="1:6" hidden="1" x14ac:dyDescent="0.2">
      <c r="A16" s="272" t="str">
        <f>"Uyali telefon raqami: "&amp;'Общие данные'!B42&amp;""</f>
        <v>Uyali telefon raqami: 93 753-02-44 O'RTOG'I</v>
      </c>
      <c r="B16" s="272"/>
      <c r="C16" s="272"/>
      <c r="D16" s="272"/>
      <c r="E16" s="272"/>
      <c r="F16" s="272"/>
    </row>
    <row r="17" spans="1:6" x14ac:dyDescent="0.2">
      <c r="A17" s="272" t="str">
        <f>"Ish telefoni raqami: "&amp;'Общие данные'!B43&amp;""</f>
        <v xml:space="preserve">Ish telefoni raqami: </v>
      </c>
      <c r="B17" s="272"/>
      <c r="C17" s="272"/>
      <c r="D17" s="272"/>
      <c r="E17" s="272"/>
      <c r="F17" s="272"/>
    </row>
    <row r="18" spans="1:6" x14ac:dyDescent="0.2">
      <c r="A18" s="276" t="s">
        <v>221</v>
      </c>
      <c r="B18" s="276"/>
      <c r="C18" s="276"/>
      <c r="D18" s="276"/>
      <c r="E18" s="276"/>
      <c r="F18" s="276"/>
    </row>
    <row r="19" spans="1:6" x14ac:dyDescent="0.2">
      <c r="A19" s="272" t="str">
        <f>"Muassasa nomlanishi:"&amp;'Общие данные'!B58&amp;""</f>
        <v>Muassasa nomlanishi:Yakka tartibdagi tadbirkor</v>
      </c>
      <c r="B19" s="272"/>
      <c r="C19" s="272"/>
      <c r="D19" s="272"/>
      <c r="E19" s="272"/>
      <c r="F19" s="272"/>
    </row>
    <row r="20" spans="1:6" x14ac:dyDescent="0.2">
      <c r="A20" s="272" t="str">
        <f>"Ro‘yxatdan o‘tish manzili:"&amp;'Общие данные'!B50&amp;""</f>
        <v>Ro‘yxatdan o‘tish manzili:</v>
      </c>
      <c r="B20" s="272"/>
      <c r="C20" s="272"/>
      <c r="D20" s="272"/>
      <c r="E20" s="272"/>
      <c r="F20" s="272"/>
    </row>
    <row r="21" spans="1:6" x14ac:dyDescent="0.2">
      <c r="A21" s="272" t="str">
        <f>"Lavozimi: "&amp;'Общие данные'!B59&amp;""</f>
        <v>Lavozimi: Yakka tartibdagi tadbirkor</v>
      </c>
      <c r="B21" s="272"/>
      <c r="C21" s="272"/>
      <c r="D21" s="272"/>
      <c r="E21" s="272"/>
      <c r="F21" s="272"/>
    </row>
    <row r="22" spans="1:6" x14ac:dyDescent="0.2">
      <c r="A22" s="276" t="s">
        <v>222</v>
      </c>
      <c r="B22" s="273"/>
      <c r="C22" s="273"/>
      <c r="D22" s="273"/>
      <c r="E22" s="273"/>
      <c r="F22" s="273"/>
    </row>
    <row r="23" spans="1:6" s="27" customFormat="1" ht="25.5" x14ac:dyDescent="0.25">
      <c r="A23" s="26" t="s">
        <v>223</v>
      </c>
      <c r="B23" s="26" t="s">
        <v>224</v>
      </c>
      <c r="C23" s="26" t="s">
        <v>225</v>
      </c>
      <c r="D23" s="26" t="s">
        <v>226</v>
      </c>
      <c r="E23" s="26" t="s">
        <v>227</v>
      </c>
      <c r="F23" s="26" t="s">
        <v>228</v>
      </c>
    </row>
    <row r="24" spans="1:6" ht="51" x14ac:dyDescent="0.2">
      <c r="A24" s="28" t="s">
        <v>229</v>
      </c>
      <c r="B24" s="29">
        <f>'Общие данные'!B60</f>
        <v>21800000</v>
      </c>
      <c r="C24" s="29">
        <v>0</v>
      </c>
      <c r="D24" s="29">
        <v>0</v>
      </c>
      <c r="E24" s="28" t="s">
        <v>232</v>
      </c>
      <c r="F24" s="29">
        <v>700000</v>
      </c>
    </row>
    <row r="25" spans="1:6" ht="25.5" x14ac:dyDescent="0.2">
      <c r="A25" s="28" t="s">
        <v>230</v>
      </c>
      <c r="B25" s="29">
        <v>0</v>
      </c>
      <c r="C25" s="29">
        <v>0</v>
      </c>
      <c r="D25" s="29">
        <v>0</v>
      </c>
      <c r="E25" s="28" t="s">
        <v>233</v>
      </c>
      <c r="F25" s="29">
        <v>500000</v>
      </c>
    </row>
    <row r="26" spans="1:6" ht="28.5" customHeight="1" x14ac:dyDescent="0.2">
      <c r="A26" s="28" t="s">
        <v>231</v>
      </c>
      <c r="B26" s="29">
        <f>'Общие данные'!B61</f>
        <v>0</v>
      </c>
      <c r="C26" s="29">
        <v>0</v>
      </c>
      <c r="D26" s="29">
        <v>0</v>
      </c>
      <c r="E26" s="28" t="s">
        <v>234</v>
      </c>
      <c r="F26" s="29">
        <v>500000</v>
      </c>
    </row>
    <row r="27" spans="1:6" s="32" customFormat="1" x14ac:dyDescent="0.2">
      <c r="A27" s="30" t="s">
        <v>210</v>
      </c>
      <c r="B27" s="31">
        <f>B24+B25+B26</f>
        <v>21800000</v>
      </c>
      <c r="C27" s="31">
        <f t="shared" ref="C27:F27" si="0">SUM(C24:C26)</f>
        <v>0</v>
      </c>
      <c r="D27" s="31">
        <f t="shared" si="0"/>
        <v>0</v>
      </c>
      <c r="E27" s="30"/>
      <c r="F27" s="31">
        <f t="shared" si="0"/>
        <v>1700000</v>
      </c>
    </row>
    <row r="28" spans="1:6" ht="31.5" customHeight="1" x14ac:dyDescent="0.2">
      <c r="A28" s="272" t="str">
        <f>"Men, "&amp;'Общие данные'!B5&amp;", ushbu anketada ko‘rsatilgan barcha ma'lumotlar anketa to'ldirilgan sanada  to'g'ri va aniq ekanligini tasdiqlayman."</f>
        <v>Men, ATAXANOV AKMAL AXMETDJANOVICH, ushbu anketada ko‘rsatilgan barcha ma'lumotlar anketa to'ldirilgan sanada  to'g'ri va aniq ekanligini tasdiqlayman.</v>
      </c>
      <c r="B28" s="272"/>
      <c r="C28" s="272"/>
      <c r="D28" s="272"/>
      <c r="E28" s="272"/>
      <c r="F28" s="272"/>
    </row>
    <row r="29" spans="1:6" x14ac:dyDescent="0.2">
      <c r="A29" s="272" t="str">
        <f>"Men,  "&amp;'Общие данные'!B5&amp;", quyidagilarni tan olaman va roziman::"</f>
        <v>Men,  ATAXANOV AKMAL AXMETDJANOVICH, quyidagilarni tan olaman va roziman::</v>
      </c>
      <c r="B29" s="272"/>
      <c r="C29" s="272"/>
      <c r="D29" s="272"/>
      <c r="E29" s="272"/>
      <c r="F29" s="272"/>
    </row>
    <row r="30" spans="1:6" ht="45.75" customHeight="1" x14ac:dyDescent="0.2">
      <c r="A30" s="272" t="str">
        <f>"1.  Ushbu anketada ko‘rsatilgan har qanday ma’lumot  "&amp;'Общие данные'!B151&amp;",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272"/>
      <c r="C30" s="272"/>
      <c r="D30" s="272"/>
      <c r="E30" s="272"/>
      <c r="F30" s="272"/>
    </row>
    <row r="31" spans="1:6" ht="42.75" customHeight="1" x14ac:dyDescent="0.2">
      <c r="A31" s="272" t="str">
        <f>"2. Mazkur anketaning "&amp;'Общие данные'!B151&amp;" tomonidan qabul qilinishi “Clever Mikromoliya Tashkiloti” MChJ tomonidan menga "&amp;'Общие данные'!B65&amp;" berish majburiyatini yuklamaydi."</f>
        <v>2. Mazkur anketaning «CLEVER MIKROMOLIYA TASHKILOTI» MChJ tomonidan qabul qilinishi “Clever Mikromoliya Tashkiloti” MChJ tomonidan menga mikroqarz berish majburiyatini yuklamaydi.</v>
      </c>
      <c r="B31" s="272"/>
      <c r="C31" s="272"/>
      <c r="D31" s="272"/>
      <c r="E31" s="272"/>
      <c r="F31" s="272"/>
    </row>
    <row r="32" spans="1:6" ht="71.25" customHeight="1" x14ac:dyDescent="0.2">
      <c r="A32" s="272" t="s">
        <v>235</v>
      </c>
      <c r="B32" s="272"/>
      <c r="C32" s="272"/>
      <c r="D32" s="272"/>
      <c r="E32" s="272"/>
      <c r="F32" s="272"/>
    </row>
    <row r="33" spans="1:6" x14ac:dyDescent="0.2">
      <c r="A33" s="272"/>
      <c r="B33" s="272"/>
      <c r="C33" s="272"/>
      <c r="D33" s="272"/>
      <c r="E33" s="272"/>
      <c r="F33" s="272"/>
    </row>
    <row r="34" spans="1:6" ht="12.75" customHeight="1" x14ac:dyDescent="0.2">
      <c r="A34" s="273" t="s">
        <v>236</v>
      </c>
      <c r="B34" s="273"/>
      <c r="C34" s="273"/>
      <c r="D34" s="162" t="s">
        <v>158</v>
      </c>
      <c r="E34" s="273" t="s">
        <v>237</v>
      </c>
      <c r="F34" s="273"/>
    </row>
    <row r="35" spans="1:6" ht="25.5" customHeight="1" x14ac:dyDescent="0.2">
      <c r="A35" s="274"/>
      <c r="B35" s="274"/>
      <c r="C35" s="274"/>
      <c r="D35" s="275" t="str">
        <f>'Общие данные'!B2</f>
        <v>28.02.2025</v>
      </c>
      <c r="E35" s="274"/>
      <c r="F35" s="274"/>
    </row>
    <row r="36" spans="1:6" ht="25.5" customHeight="1" x14ac:dyDescent="0.2">
      <c r="A36" s="274"/>
      <c r="B36" s="274"/>
      <c r="C36" s="274"/>
      <c r="D36" s="275"/>
      <c r="E36" s="274"/>
      <c r="F36" s="274"/>
    </row>
    <row r="37" spans="1:6" x14ac:dyDescent="0.2">
      <c r="A37" s="272"/>
      <c r="B37" s="272"/>
      <c r="C37" s="272"/>
      <c r="D37" s="272"/>
      <c r="E37" s="272"/>
      <c r="F37" s="272"/>
    </row>
    <row r="38" spans="1:6" x14ac:dyDescent="0.2">
      <c r="A38" s="272"/>
      <c r="B38" s="272"/>
      <c r="C38" s="272"/>
      <c r="D38" s="272"/>
      <c r="E38" s="272"/>
      <c r="F38" s="272"/>
    </row>
    <row r="39" spans="1:6" x14ac:dyDescent="0.2">
      <c r="A39" s="272"/>
      <c r="B39" s="272"/>
      <c r="C39" s="272"/>
      <c r="D39" s="272"/>
      <c r="E39" s="272"/>
      <c r="F39" s="272"/>
    </row>
    <row r="40" spans="1:6" x14ac:dyDescent="0.2">
      <c r="A40" s="272"/>
      <c r="B40" s="272"/>
      <c r="C40" s="272"/>
      <c r="D40" s="272"/>
      <c r="E40" s="272"/>
      <c r="F40" s="272"/>
    </row>
    <row r="41" spans="1:6" x14ac:dyDescent="0.2">
      <c r="A41" s="272"/>
      <c r="B41" s="272"/>
      <c r="C41" s="272"/>
      <c r="D41" s="272"/>
      <c r="E41" s="272"/>
      <c r="F41" s="272"/>
    </row>
    <row r="42" spans="1:6" x14ac:dyDescent="0.2">
      <c r="A42" s="272"/>
      <c r="B42" s="272"/>
      <c r="C42" s="272"/>
      <c r="D42" s="272"/>
      <c r="E42" s="272"/>
      <c r="F42" s="272"/>
    </row>
    <row r="43" spans="1:6" x14ac:dyDescent="0.2">
      <c r="A43" s="272"/>
      <c r="B43" s="272"/>
      <c r="C43" s="272"/>
      <c r="D43" s="272"/>
      <c r="E43" s="272"/>
      <c r="F43" s="272"/>
    </row>
  </sheetData>
  <mergeCells count="41">
    <mergeCell ref="A15:F15"/>
    <mergeCell ref="A1:F1"/>
    <mergeCell ref="A2:F2"/>
    <mergeCell ref="A3:F3"/>
    <mergeCell ref="A4:F4"/>
    <mergeCell ref="A5:F5"/>
    <mergeCell ref="A6:F6"/>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29:F29"/>
    <mergeCell ref="A30:F30"/>
    <mergeCell ref="A31:F31"/>
    <mergeCell ref="A32:F32"/>
    <mergeCell ref="A33:F33"/>
    <mergeCell ref="A41:F41"/>
    <mergeCell ref="A42:F42"/>
    <mergeCell ref="A43:F43"/>
    <mergeCell ref="A34:C34"/>
    <mergeCell ref="E34:F34"/>
    <mergeCell ref="A35:C35"/>
    <mergeCell ref="D35:D36"/>
    <mergeCell ref="E35:F36"/>
    <mergeCell ref="A36:C36"/>
    <mergeCell ref="A37:F37"/>
    <mergeCell ref="A38:F38"/>
    <mergeCell ref="A39:F39"/>
    <mergeCell ref="A40:F40"/>
  </mergeCells>
  <pageMargins left="0.7" right="0.7" top="0.75" bottom="0.75" header="0.3" footer="0.3"/>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zoomScaleNormal="100" zoomScaleSheetLayoutView="100" workbookViewId="0">
      <selection activeCell="A2" sqref="A2:E2"/>
    </sheetView>
  </sheetViews>
  <sheetFormatPr defaultColWidth="9.140625" defaultRowHeight="15.75" x14ac:dyDescent="0.25"/>
  <cols>
    <col min="1" max="2" width="17.42578125" style="133" customWidth="1"/>
    <col min="3" max="3" width="29.85546875" style="133" customWidth="1"/>
    <col min="4" max="4" width="18.140625" style="133" customWidth="1"/>
    <col min="5" max="5" width="6.5703125" style="133" customWidth="1"/>
    <col min="6" max="16384" width="9.140625" style="133"/>
  </cols>
  <sheetData>
    <row r="2" spans="1:5" x14ac:dyDescent="0.25">
      <c r="A2" s="278" t="s">
        <v>238</v>
      </c>
      <c r="B2" s="278"/>
      <c r="C2" s="278"/>
      <c r="D2" s="278"/>
      <c r="E2" s="278"/>
    </row>
    <row r="3" spans="1:5" x14ac:dyDescent="0.25">
      <c r="E3" s="132" t="str">
        <f>'Общие данные'!B68</f>
        <v>28 fevral 2025 y.</v>
      </c>
    </row>
    <row r="5" spans="1:5" s="134" customFormat="1" ht="27" customHeight="1" x14ac:dyDescent="0.25">
      <c r="A5" s="282" t="s">
        <v>239</v>
      </c>
      <c r="B5" s="283"/>
      <c r="C5" s="279" t="str">
        <f>'Общие данные'!B8</f>
        <v>ATAXANOV AKMAL AXMETDJANOVICH</v>
      </c>
      <c r="D5" s="280"/>
      <c r="E5" s="281"/>
    </row>
    <row r="7" spans="1:5" ht="15.75" customHeight="1" x14ac:dyDescent="0.25">
      <c r="A7" s="284" t="s">
        <v>357</v>
      </c>
      <c r="B7" s="285"/>
      <c r="C7" s="286"/>
      <c r="D7" s="135" t="s">
        <v>133</v>
      </c>
      <c r="E7" s="135"/>
    </row>
    <row r="8" spans="1:5" x14ac:dyDescent="0.25">
      <c r="A8" s="287"/>
      <c r="B8" s="288"/>
      <c r="C8" s="289"/>
      <c r="D8" s="135" t="s">
        <v>243</v>
      </c>
      <c r="E8" s="135"/>
    </row>
    <row r="9" spans="1:5" ht="15.75" customHeight="1" x14ac:dyDescent="0.25">
      <c r="A9" s="290" t="s">
        <v>240</v>
      </c>
      <c r="B9" s="290"/>
      <c r="C9" s="290"/>
      <c r="D9" s="135" t="s">
        <v>133</v>
      </c>
      <c r="E9" s="135"/>
    </row>
    <row r="10" spans="1:5" x14ac:dyDescent="0.25">
      <c r="A10" s="290"/>
      <c r="B10" s="290"/>
      <c r="C10" s="290"/>
      <c r="D10" s="135" t="s">
        <v>243</v>
      </c>
      <c r="E10" s="135"/>
    </row>
    <row r="11" spans="1:5" ht="15.75" customHeight="1" x14ac:dyDescent="0.25">
      <c r="A11" s="290" t="s">
        <v>241</v>
      </c>
      <c r="B11" s="290"/>
      <c r="C11" s="290"/>
      <c r="D11" s="135" t="s">
        <v>133</v>
      </c>
      <c r="E11" s="135"/>
    </row>
    <row r="12" spans="1:5" x14ac:dyDescent="0.25">
      <c r="A12" s="290"/>
      <c r="B12" s="290"/>
      <c r="C12" s="290"/>
      <c r="D12" s="135" t="s">
        <v>243</v>
      </c>
      <c r="E12" s="135"/>
    </row>
    <row r="13" spans="1:5" ht="34.5" customHeight="1" x14ac:dyDescent="0.25">
      <c r="A13" s="291" t="s">
        <v>242</v>
      </c>
      <c r="B13" s="291"/>
      <c r="C13" s="291"/>
      <c r="D13" s="291"/>
      <c r="E13" s="291"/>
    </row>
    <row r="14" spans="1:5" ht="16.5" thickBot="1" x14ac:dyDescent="0.3">
      <c r="A14" s="292"/>
      <c r="B14" s="292"/>
      <c r="C14" s="292"/>
      <c r="D14" s="292"/>
      <c r="E14" s="292"/>
    </row>
    <row r="15" spans="1:5" ht="16.5" thickBot="1" x14ac:dyDescent="0.3">
      <c r="A15" s="292"/>
      <c r="B15" s="292"/>
      <c r="C15" s="292"/>
      <c r="D15" s="292"/>
      <c r="E15" s="292"/>
    </row>
    <row r="16" spans="1:5" ht="16.5" thickBot="1" x14ac:dyDescent="0.3">
      <c r="A16" s="292"/>
      <c r="B16" s="292"/>
      <c r="C16" s="292"/>
      <c r="D16" s="292"/>
      <c r="E16" s="292"/>
    </row>
    <row r="18" spans="1:8" ht="18.75" customHeight="1" x14ac:dyDescent="0.25">
      <c r="A18" s="290" t="s">
        <v>244</v>
      </c>
      <c r="B18" s="290"/>
      <c r="C18" s="290"/>
      <c r="D18" s="135" t="s">
        <v>133</v>
      </c>
      <c r="E18" s="135"/>
    </row>
    <row r="19" spans="1:8" ht="18.75" customHeight="1" x14ac:dyDescent="0.25">
      <c r="A19" s="290"/>
      <c r="B19" s="290"/>
      <c r="C19" s="290"/>
      <c r="D19" s="135" t="s">
        <v>243</v>
      </c>
      <c r="E19" s="135"/>
    </row>
    <row r="20" spans="1:8" ht="29.25" customHeight="1" x14ac:dyDescent="0.25">
      <c r="A20" s="290" t="s">
        <v>245</v>
      </c>
      <c r="B20" s="290"/>
      <c r="C20" s="290"/>
      <c r="D20" s="135" t="s">
        <v>133</v>
      </c>
      <c r="E20" s="135"/>
    </row>
    <row r="21" spans="1:8" ht="29.25" customHeight="1" x14ac:dyDescent="0.25">
      <c r="A21" s="290"/>
      <c r="B21" s="290"/>
      <c r="C21" s="290"/>
      <c r="D21" s="135" t="s">
        <v>243</v>
      </c>
      <c r="E21" s="135"/>
    </row>
    <row r="23" spans="1:8" ht="15.75" customHeight="1" x14ac:dyDescent="0.25">
      <c r="A23" s="291" t="s">
        <v>246</v>
      </c>
      <c r="B23" s="291"/>
      <c r="C23" s="291"/>
      <c r="D23" s="291"/>
      <c r="E23" s="291"/>
    </row>
    <row r="24" spans="1:8" ht="16.5" thickBot="1" x14ac:dyDescent="0.3">
      <c r="A24" s="292"/>
      <c r="B24" s="292"/>
      <c r="C24" s="292"/>
      <c r="D24" s="292"/>
      <c r="E24" s="292"/>
    </row>
    <row r="25" spans="1:8" ht="16.5" thickBot="1" x14ac:dyDescent="0.3">
      <c r="A25" s="292"/>
      <c r="B25" s="292"/>
      <c r="C25" s="292"/>
      <c r="D25" s="292"/>
      <c r="E25" s="292"/>
    </row>
    <row r="26" spans="1:8" ht="16.5" thickBot="1" x14ac:dyDescent="0.3">
      <c r="A26" s="292"/>
      <c r="B26" s="292"/>
      <c r="C26" s="292"/>
      <c r="D26" s="292"/>
      <c r="E26" s="292"/>
    </row>
    <row r="28" spans="1:8" ht="78.75" customHeight="1" x14ac:dyDescent="0.25">
      <c r="A28" s="293" t="s">
        <v>247</v>
      </c>
      <c r="B28" s="293"/>
      <c r="C28" s="293"/>
      <c r="D28" s="293"/>
      <c r="E28" s="293"/>
    </row>
    <row r="30" spans="1:8" ht="33" customHeight="1" x14ac:dyDescent="0.25">
      <c r="A30" s="293" t="s">
        <v>248</v>
      </c>
      <c r="B30" s="293"/>
      <c r="C30" s="293"/>
      <c r="D30" s="293"/>
      <c r="E30" s="293"/>
      <c r="F30" s="136"/>
      <c r="G30" s="136"/>
      <c r="H30" s="136"/>
    </row>
    <row r="33" spans="1:5" ht="16.5" thickBot="1" x14ac:dyDescent="0.3">
      <c r="A33" s="137" t="str">
        <f>C5</f>
        <v>ATAXANOV AKMAL AXMETDJANOVICH</v>
      </c>
      <c r="D33" s="138"/>
      <c r="E33" s="139"/>
    </row>
  </sheetData>
  <mergeCells count="18">
    <mergeCell ref="A28:E28"/>
    <mergeCell ref="A30:E30"/>
    <mergeCell ref="A18:C19"/>
    <mergeCell ref="A20:C21"/>
    <mergeCell ref="A23:E23"/>
    <mergeCell ref="A24:E24"/>
    <mergeCell ref="A25:E25"/>
    <mergeCell ref="A26:E26"/>
    <mergeCell ref="A11:C12"/>
    <mergeCell ref="A13:E13"/>
    <mergeCell ref="A16:E16"/>
    <mergeCell ref="A15:E15"/>
    <mergeCell ref="A14:E14"/>
    <mergeCell ref="A2:E2"/>
    <mergeCell ref="C5:E5"/>
    <mergeCell ref="A5:B5"/>
    <mergeCell ref="A7:C8"/>
    <mergeCell ref="A9:C10"/>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8"/>
  <sheetViews>
    <sheetView view="pageBreakPreview" topLeftCell="A8" zoomScaleSheetLayoutView="100" workbookViewId="0">
      <selection activeCell="A29" sqref="A29:D29"/>
    </sheetView>
  </sheetViews>
  <sheetFormatPr defaultColWidth="9.140625" defaultRowHeight="15.75" x14ac:dyDescent="0.25"/>
  <cols>
    <col min="1" max="1" width="20.140625" style="7" customWidth="1"/>
    <col min="2" max="2" width="18.7109375" style="7" customWidth="1"/>
    <col min="3" max="3" width="19.7109375" style="7" customWidth="1"/>
    <col min="4" max="4" width="28.7109375" style="7" customWidth="1"/>
    <col min="5" max="16384" width="9.140625" style="7"/>
  </cols>
  <sheetData>
    <row r="1" spans="1:4" ht="66.75" customHeight="1" x14ac:dyDescent="0.25">
      <c r="C1" s="299" t="str">
        <f>""&amp;'Общие данные'!B151&amp;"ning
"&amp;'Общие данные'!A154&amp;""</f>
        <v>«CLEVER MIKROMOLIYA TASHKILOTI» MChJning
Qorako'l filiali boshlig'i</v>
      </c>
      <c r="D1" s="299"/>
    </row>
    <row r="2" spans="1:4" x14ac:dyDescent="0.25">
      <c r="C2" s="14"/>
      <c r="D2" s="15" t="str">
        <f>""&amp;'Общие данные'!B154&amp;"ga"</f>
        <v>Egamberdiyeva D.I.ga</v>
      </c>
    </row>
    <row r="4" spans="1:4" x14ac:dyDescent="0.25">
      <c r="A4" s="298" t="str">
        <f>""&amp;'Общие данные'!C64&amp;" olish uchun Ariza"</f>
        <v>Mikroqarz olish uchun Ariza</v>
      </c>
      <c r="B4" s="298"/>
      <c r="C4" s="298"/>
      <c r="D4" s="298"/>
    </row>
    <row r="5" spans="1:4" x14ac:dyDescent="0.25">
      <c r="A5" s="298"/>
      <c r="B5" s="298"/>
      <c r="C5" s="298"/>
      <c r="D5" s="298"/>
    </row>
    <row r="6" spans="1:4" ht="63" customHeight="1" x14ac:dyDescent="0.25">
      <c r="A6" s="294" t="str">
        <f>""&amp;'Общие данные'!B28&amp;".-da yashovchi O‘zbekiston Respublikasi fuqarosi "&amp;'Общие данные'!B8&amp;"dan. "</f>
        <v xml:space="preserve">QORAKO'L TUMANI DARG'ALI QFY.-da yashovchi O‘zbekiston Respublikasi fuqarosi ATAXANOV AKMAL AXMETDJANOVICHdan. </v>
      </c>
      <c r="B6" s="294"/>
      <c r="C6" s="294"/>
      <c r="D6" s="294"/>
    </row>
    <row r="7" spans="1:4" ht="15.75" customHeight="1" x14ac:dyDescent="0.25">
      <c r="A7" s="294" t="str">
        <f>"Tug'ilgan kuni: "&amp;'Общие данные'!B15&amp;""</f>
        <v>Tug'ilgan kuni: 11.06.1989 y</v>
      </c>
      <c r="B7" s="294"/>
      <c r="C7" s="294"/>
      <c r="D7" s="294"/>
    </row>
    <row r="8" spans="1:4" ht="33" customHeight="1" x14ac:dyDescent="0.25">
      <c r="A8" s="294" t="str">
        <f>"Pasport seriyasi: "&amp;'Общие данные'!B16&amp;" "&amp;'Общие данные'!B20&amp;""</f>
        <v>Pasport seriyasi: AD7554127 IIV 6230 tomonidan 20.06.2024 yilda berilgan</v>
      </c>
      <c r="B8" s="294"/>
      <c r="C8" s="294"/>
      <c r="D8" s="294"/>
    </row>
    <row r="9" spans="1:4" ht="16.5" customHeight="1" x14ac:dyDescent="0.25">
      <c r="A9" s="294" t="str">
        <f>"Asosiy ish joyi : "&amp;'Общие данные'!B58&amp;""</f>
        <v>Asosiy ish joyi : Yakka tartibdagi tadbirkor</v>
      </c>
      <c r="B9" s="294"/>
      <c r="C9" s="294"/>
      <c r="D9" s="294"/>
    </row>
    <row r="10" spans="1:4" ht="15.75" customHeight="1" x14ac:dyDescent="0.25">
      <c r="A10" s="294" t="str">
        <f>"Lavozimi: "&amp;'Общие данные'!B59&amp;""</f>
        <v>Lavozimi: Yakka tartibdagi tadbirkor</v>
      </c>
      <c r="B10" s="294"/>
      <c r="C10" s="294"/>
      <c r="D10" s="294"/>
    </row>
    <row r="11" spans="1:4" x14ac:dyDescent="0.25">
      <c r="A11" s="294" t="str">
        <f>"O’rtacha oylik daromadi: "&amp;FIXED('Общие данные'!B60,2)&amp;" so'm."</f>
        <v>O’rtacha oylik daromadi: 21 800 000,00 so'm.</v>
      </c>
      <c r="B11" s="294"/>
      <c r="C11" s="294"/>
      <c r="D11" s="294"/>
    </row>
    <row r="12" spans="1:4" x14ac:dyDescent="0.25">
      <c r="A12" s="294" t="str">
        <f>"Menga quyidagi shartlarda "&amp;'Общие данные'!B65&amp;" berishingizni so’rayman:"</f>
        <v>Menga quyidagi shartlarda mikroqarz berishingizni so’rayman:</v>
      </c>
      <c r="B12" s="294"/>
      <c r="C12" s="294"/>
      <c r="D12" s="294"/>
    </row>
    <row r="13" spans="1:4" x14ac:dyDescent="0.25">
      <c r="A13" s="294" t="str">
        <f>""&amp;'Общие данные'!C64&amp;" summasi: "&amp;FIXED('Общие данные'!B76,2)&amp;" ("&amp;'Общие данные'!B77&amp;") so'm."</f>
        <v>Mikroqarz summasi: 65 000 000,00 (oltmish besh million so'm) so'm.</v>
      </c>
      <c r="B13" s="294"/>
      <c r="C13" s="294"/>
      <c r="D13" s="294"/>
    </row>
    <row r="14" spans="1:4" x14ac:dyDescent="0.25">
      <c r="A14" s="294" t="str">
        <f>""&amp;'Общие данные'!C64&amp;" muddati: "&amp;'Общие данные'!B82&amp;" ("&amp;'Общие данные'!B83&amp;") oy."</f>
        <v>Mikroqarz muddati: 24 (yigirma to'rt) oy.</v>
      </c>
      <c r="B14" s="294"/>
      <c r="C14" s="294"/>
      <c r="D14" s="294"/>
    </row>
    <row r="15" spans="1:4" ht="17.25" customHeight="1" x14ac:dyDescent="0.25">
      <c r="A15" s="294" t="str">
        <f>""&amp;'Общие данные'!C64&amp;"dan foydalanganlik uchun foiz stavkasi: yillik  "&amp;'Общие данные'!B86&amp;"% ("&amp;'Общие данные'!B87&amp;") foiz"</f>
        <v>Mikroqarzdan foydalanganlik uchun foiz stavkasi: yillik  60% (Oltmish) foiz</v>
      </c>
      <c r="B15" s="294"/>
      <c r="C15" s="294"/>
      <c r="D15" s="294"/>
    </row>
    <row r="16" spans="1:4" x14ac:dyDescent="0.25">
      <c r="A16" s="294" t="str">
        <f>""&amp;'Общие данные'!C64&amp;" bo'yicha asosiy qarz va foizlarni to'lash:"</f>
        <v>Mikroqarz bo'yicha asosiy qarz va foizlarni to'lash:</v>
      </c>
      <c r="B16" s="294"/>
      <c r="C16" s="294"/>
      <c r="D16" s="294"/>
    </row>
    <row r="17" spans="1:5" ht="20.25" hidden="1" customHeight="1" x14ac:dyDescent="0.25">
      <c r="A17" s="296" t="str">
        <f>" - "&amp;'Общие данные'!B65&amp;" shartnomasi bo'yicha har oy differensial to'lovlari amalga oshiriladi"</f>
        <v xml:space="preserve"> - mikroqarz shartnomasi bo'yicha har oy differensial to'lovlari amalga oshiriladi</v>
      </c>
      <c r="B17" s="296"/>
      <c r="C17" s="296"/>
      <c r="D17" s="296"/>
    </row>
    <row r="18" spans="1:5" ht="33.75" hidden="1" customHeight="1" x14ac:dyDescent="0.25">
      <c r="A18" s="296" t="str">
        <f>" - "&amp;'Общие данные'!B65&amp;" shartnomasi bo'yicha har oy annuitet to'lovlari amalga oshiriladi"</f>
        <v xml:space="preserve"> - mikroqarz shartnomasi bo'yicha har oy annuitet to'lovlari amalga oshiriladi</v>
      </c>
      <c r="B18" s="296"/>
      <c r="C18" s="296"/>
      <c r="D18" s="296"/>
    </row>
    <row r="19" spans="1:5" ht="33.75" customHeight="1" x14ac:dyDescent="0.25">
      <c r="A19" s="296" t="str">
        <f>IF('Общие данные'!B78='Общие данные'!C78,'Кредитная заявка'!A17:D17,IF('Общие данные'!B78='Общие данные'!D78,'Кредитная заявка'!A18:D18))</f>
        <v xml:space="preserve"> - mikroqarz shartnomasi bo'yicha har oy differensial to'lovlari amalga oshiriladi</v>
      </c>
      <c r="B19" s="296"/>
      <c r="C19" s="296"/>
      <c r="D19" s="296"/>
    </row>
    <row r="20" spans="1:5" ht="33.75" hidden="1" customHeight="1" x14ac:dyDescent="0.25">
      <c r="A20" s="294" t="str">
        <f>IF(DAY('Общие данные'!E67)&lt;15,"   ","  Oxirgi yakuniy to'lov "&amp;'Общие данные'!B65&amp;" shartnomasi tuzilgan kundan boshlab oxirgi oyning oxirgi kunida amalga oshiriladi")</f>
        <v xml:space="preserve">  Oxirgi yakuniy to'lov mikroqarz shartnomasi tuzilgan kundan boshlab oxirgi oyning oxirgi kunida amalga oshiriladi</v>
      </c>
      <c r="B20" s="294"/>
      <c r="C20" s="294"/>
      <c r="D20" s="294"/>
    </row>
    <row r="21" spans="1:5" x14ac:dyDescent="0.25">
      <c r="A21" s="294" t="str">
        <f>""&amp;'Общие данные'!C64&amp;" ta’minoti::"</f>
        <v>Mikroqarz ta’minoti::</v>
      </c>
      <c r="B21" s="294"/>
      <c r="C21" s="294"/>
      <c r="D21" s="294"/>
    </row>
    <row r="22" spans="1:5" ht="81" customHeight="1" x14ac:dyDescent="0.25">
      <c r="A22" s="296" t="str">
        <f>"1. "&amp;IF('Общие данные'!B104="Avtotransport",A26,A23)&amp;""</f>
        <v xml:space="preserve">1.   Egalik huquqi BOBONAZAROV ASLBEK AKRAM O'G'LIga tegishli bo'lgan garovga olingan avtomobil markasi   DAMAS-2, rangi -  OQ SUMMIT WHITE, ishlab chiqarilgan yili - 2024, davlat raqam belgisi 80X089BB, kuzov turi - YENGIL SEDAN, kuzov raqami XWB7T12YDRP863654, dvigatel raqami F8CB240180255, shassi raqami -  - </v>
      </c>
      <c r="B22" s="296"/>
      <c r="C22" s="296"/>
      <c r="D22" s="296"/>
    </row>
    <row r="23" spans="1:5" ht="79.5" hidden="1" customHeight="1" x14ac:dyDescent="0.25">
      <c r="A23" s="296" t="str">
        <f>IF('Общие данные'!B93='Общие данные'!C93,A25,IF('Общие данные'!B93='Общие данные'!D93,A24,0))</f>
        <v xml:space="preserve"> Egalik huquqi 0ga tegishli bo'lgan umumiy maydoni - 72,13  va yashash maydoni - 37,39 3 - xonali yakka tartibdagi uy-joy, SAMARQAND VILOYATI TAYLOQ TUMANI CHAROG'BON MFY YANGI TAYLOQ QISHLOG'I 6 TURAR JOY 12 QAVAT 58 XONADON </v>
      </c>
      <c r="B23" s="296"/>
      <c r="C23" s="296"/>
      <c r="D23" s="296"/>
    </row>
    <row r="24" spans="1:5" ht="96.75" hidden="1" customHeight="1" x14ac:dyDescent="0.25">
      <c r="A24" s="296" t="str">
        <f>" - Navbatdagi garov (ipoteka) Egalik huquqi asosida  "&amp;'Общие данные'!C118&amp;"ga "&amp;'Общие данные'!C127&amp;", umumiy maydoni - "&amp;'Общие данные'!C131&amp;" va yashash maydoni - "&amp;'Общие данные'!C134&amp;", manzili: "&amp;'Общие данные'!C124&amp;"."</f>
        <v xml:space="preserve"> - Navbatdagi garov (ipoteka) Egalik huquqi asosida  0ga 3 - xonali yakka tartibdagi uy-joy, umumiy maydoni - 72,13 va yashash maydoni - 37,39, manzili: SAMARQAND VILOYATI TAYLOQ TUMANI CHAROG'BON MFY YANGI TAYLOQ QISHLOG'I 6 TURAR JOY 12 QAVAT 58 XONADON.</v>
      </c>
      <c r="B24" s="296"/>
      <c r="C24" s="296"/>
      <c r="D24" s="296"/>
      <c r="E24" s="169"/>
    </row>
    <row r="25" spans="1:5" ht="92.25" hidden="1" customHeight="1" x14ac:dyDescent="0.25">
      <c r="A25" s="296" t="str">
        <f>" Egalik huquqi "&amp;'Общие данные'!C118&amp;"ga tegishli bo'lgan umumiy maydoni - "&amp;'Общие данные'!C131&amp;"  va yashash maydoni - "&amp;'Общие данные'!C134&amp;" "&amp;'Общие данные'!C127&amp;", "&amp;'Общие данные'!C124&amp;" "</f>
        <v xml:space="preserve"> Egalik huquqi 0ga tegishli bo'lgan umumiy maydoni - 72,13  va yashash maydoni - 37,39 3 - xonali yakka tartibdagi uy-joy, SAMARQAND VILOYATI TAYLOQ TUMANI CHAROG'BON MFY YANGI TAYLOQ QISHLOG'I 6 TURAR JOY 12 QAVAT 58 XONADON </v>
      </c>
      <c r="B25" s="296"/>
      <c r="C25" s="296"/>
      <c r="D25" s="296"/>
    </row>
    <row r="26" spans="1:5" ht="78" hidden="1" customHeight="1" x14ac:dyDescent="0.25">
      <c r="A26" s="296" t="str">
        <f>IF('Общие данные'!B93='Общие данные'!C93,'Кредитная заявка'!A28:D28,IF('Общие данные'!B93='Общие данные'!D93,'Кредитная заявка'!A27:D27,0))</f>
        <v xml:space="preserve">  Egalik huquqi BOBONAZAROV ASLBEK AKRAM O'G'LIga tegishli bo'lgan garovga olingan avtomobil markasi   DAMAS-2, rangi -  OQ SUMMIT WHITE, ishlab chiqarilgan yili - 2024, davlat raqam belgisi 80X089BB, kuzov turi - YENGIL SEDAN, kuzov raqami XWB7T12YDRP863654, dvigatel raqami F8CB240180255, shassi raqami -  - </v>
      </c>
      <c r="B26" s="296"/>
      <c r="C26" s="296"/>
      <c r="D26" s="296"/>
    </row>
    <row r="27" spans="1:5" ht="93" hidden="1" customHeight="1" x14ac:dyDescent="0.25">
      <c r="A27" s="296" t="str">
        <f>" Egalik huquqi "&amp;'Общие данные'!B118&amp;"ga tegishli bo'lgan "&amp;'Общие данные'!B126&amp;", "&amp;'Общие данные'!B134&amp;", davlat raqam belgisi "&amp;'Общие данные'!B127&amp;", "&amp;'Общие данные'!B128&amp;", "&amp;'Общие данные'!B131&amp;" avtotransport vositasi "</f>
        <v xml:space="preserve"> Egalik huquqi BOBONAZAROV ASLBEK AKRAM O'G'LIga tegishli bo'lgan DAMAS-2, rangi -  OQ SUMMIT WHITE, ishlab chiqarilgan yili - 2024, davlat raqam belgisi 80X089BB, kuzov turi - YENGIL SEDAN, kuzov raqami XWB7T12YDRP863654, dvigatel raqami F8CB240180255, shassi raqami -  -  avtotransport vositasi </v>
      </c>
      <c r="B27" s="296"/>
      <c r="C27" s="296"/>
      <c r="D27" s="296"/>
    </row>
    <row r="28" spans="1:5" ht="93.75" hidden="1" customHeight="1" x14ac:dyDescent="0.25">
      <c r="A28" s="296" t="str">
        <f>"  Egalik huquqi "&amp;'Общие данные'!B118&amp;"ga tegishli bo'lgan garovga olingan avtomobil markasi   "&amp;'Общие данные'!B126&amp;", "&amp;'Общие данные'!B134&amp;", davlat raqam belgisi "&amp;'Общие данные'!B127&amp;", "&amp;'Общие данные'!B128&amp;", "&amp;'Общие данные'!B131&amp;""</f>
        <v xml:space="preserve">  Egalik huquqi BOBONAZAROV ASLBEK AKRAM O'G'LIga tegishli bo'lgan garovga olingan avtomobil markasi   DAMAS-2, rangi -  OQ SUMMIT WHITE, ishlab chiqarilgan yili - 2024, davlat raqam belgisi 80X089BB, kuzov turi - YENGIL SEDAN, kuzov raqami XWB7T12YDRP863654, dvigatel raqami F8CB240180255, shassi raqami -  - </v>
      </c>
      <c r="B28" s="296"/>
      <c r="C28" s="296"/>
      <c r="D28" s="296"/>
    </row>
    <row r="29" spans="1:5" ht="33" customHeight="1" x14ac:dyDescent="0.25">
      <c r="A29" s="297" t="str">
        <f>"2. 	«"&amp;'Общие данные'!B147&amp;"» АJ sug‘urta kompaniyasi tomonidan Mikroqarz to'lamaslik xavfini "&amp;FIXED('Общие данные'!B148,2)&amp;"("&amp;'Общие данные'!B149&amp;") so ' m miqdoriga sug’urta qilish"</f>
        <v>2. 	«АО СК "IMPEX INSURANCE"» АJ sug‘urta kompaniyasi tomonidan Mikroqarz to'lamaslik xavfini 15 000 000,00(o'n besh million so'm) so ' m miqdoriga sug’urta qilish</v>
      </c>
      <c r="B29" s="297"/>
      <c r="C29" s="297"/>
      <c r="D29" s="297"/>
    </row>
    <row r="30" spans="1:5" ht="10.5" customHeight="1" x14ac:dyDescent="0.25">
      <c r="A30" s="294"/>
      <c r="B30" s="294"/>
      <c r="C30" s="294"/>
      <c r="D30" s="294"/>
    </row>
    <row r="31" spans="1:5" ht="53.25" customHeight="1" x14ac:dyDescent="0.25">
      <c r="A31" s="296" t="str">
        <f>"Mazkur ariza bilan "&amp;'Общие данные'!B151&amp;"ga men va soʻralayotgan "&amp;'Общие данные'!B65&amp;"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1" s="296"/>
      <c r="C31" s="296"/>
      <c r="D31" s="296"/>
    </row>
    <row r="32" spans="1:5" ht="15.75" customHeight="1" x14ac:dyDescent="0.25">
      <c r="A32" s="296" t="s">
        <v>249</v>
      </c>
      <c r="B32" s="296"/>
      <c r="C32" s="296"/>
      <c r="D32" s="296"/>
    </row>
    <row r="33" spans="1:4" x14ac:dyDescent="0.25">
      <c r="A33" s="296" t="s">
        <v>250</v>
      </c>
      <c r="B33" s="296"/>
      <c r="C33" s="296"/>
      <c r="D33" s="296"/>
    </row>
    <row r="34" spans="1:4" x14ac:dyDescent="0.25">
      <c r="A34" s="296" t="s">
        <v>251</v>
      </c>
      <c r="B34" s="296"/>
      <c r="C34" s="296"/>
      <c r="D34" s="296"/>
    </row>
    <row r="35" spans="1:4" x14ac:dyDescent="0.25">
      <c r="A35" s="294" t="str">
        <f>"Ariza berilgan sana: "&amp;TEXT('Общие данные'!B2,"ДД.ММ.ГГГГ")&amp;"y."</f>
        <v>Ariza berilgan sana: 28.02.2025y.</v>
      </c>
      <c r="B35" s="294"/>
      <c r="C35" s="294"/>
      <c r="D35" s="294"/>
    </row>
    <row r="36" spans="1:4" x14ac:dyDescent="0.25">
      <c r="A36" s="294"/>
      <c r="B36" s="294"/>
      <c r="C36" s="294"/>
      <c r="D36" s="294"/>
    </row>
    <row r="37" spans="1:4" x14ac:dyDescent="0.25">
      <c r="A37" s="294" t="s">
        <v>252</v>
      </c>
      <c r="B37" s="294"/>
      <c r="C37" s="294"/>
      <c r="D37" s="294"/>
    </row>
    <row r="38" spans="1:4" x14ac:dyDescent="0.25">
      <c r="A38" s="294"/>
      <c r="B38" s="294"/>
      <c r="C38" s="294"/>
      <c r="D38" s="294"/>
    </row>
    <row r="39" spans="1:4" x14ac:dyDescent="0.25">
      <c r="A39" s="294"/>
      <c r="B39" s="294"/>
      <c r="C39" s="294"/>
      <c r="D39" s="294"/>
    </row>
    <row r="40" spans="1:4" ht="15.75" customHeight="1" x14ac:dyDescent="0.25">
      <c r="A40" s="295" t="str">
        <f>'Общие данные'!B5</f>
        <v>ATAXANOV AKMAL AXMETDJANOVICH</v>
      </c>
      <c r="B40" s="295"/>
      <c r="C40" s="295"/>
      <c r="D40" s="12" t="s">
        <v>4</v>
      </c>
    </row>
    <row r="41" spans="1:4" x14ac:dyDescent="0.25">
      <c r="A41" s="11"/>
      <c r="B41" s="11"/>
      <c r="D41" s="13" t="s">
        <v>333</v>
      </c>
    </row>
    <row r="42" spans="1:4" x14ac:dyDescent="0.25">
      <c r="A42" s="294"/>
      <c r="B42" s="294"/>
      <c r="C42" s="294"/>
      <c r="D42" s="294"/>
    </row>
    <row r="43" spans="1:4" x14ac:dyDescent="0.25">
      <c r="A43" s="294"/>
      <c r="B43" s="294"/>
      <c r="C43" s="294"/>
      <c r="D43" s="294"/>
    </row>
    <row r="44" spans="1:4" x14ac:dyDescent="0.25">
      <c r="A44" s="294"/>
      <c r="B44" s="294"/>
      <c r="C44" s="294"/>
      <c r="D44" s="294"/>
    </row>
    <row r="45" spans="1:4" x14ac:dyDescent="0.25">
      <c r="A45" s="294"/>
      <c r="B45" s="294"/>
      <c r="C45" s="294"/>
      <c r="D45" s="294"/>
    </row>
    <row r="46" spans="1:4" x14ac:dyDescent="0.25">
      <c r="A46" s="294"/>
      <c r="B46" s="294"/>
      <c r="C46" s="294"/>
      <c r="D46" s="294"/>
    </row>
    <row r="47" spans="1:4" x14ac:dyDescent="0.25">
      <c r="A47" s="294"/>
      <c r="B47" s="294"/>
      <c r="C47" s="294"/>
      <c r="D47" s="294"/>
    </row>
    <row r="48" spans="1:4" x14ac:dyDescent="0.25">
      <c r="A48" s="294"/>
      <c r="B48" s="294"/>
      <c r="C48" s="294"/>
      <c r="D48" s="294"/>
    </row>
    <row r="49" spans="1:4" x14ac:dyDescent="0.25">
      <c r="A49" s="294"/>
      <c r="B49" s="294"/>
      <c r="C49" s="294"/>
      <c r="D49" s="294"/>
    </row>
    <row r="50" spans="1:4" x14ac:dyDescent="0.25">
      <c r="A50" s="294"/>
      <c r="B50" s="294"/>
      <c r="C50" s="294"/>
      <c r="D50" s="294"/>
    </row>
    <row r="51" spans="1:4" x14ac:dyDescent="0.25">
      <c r="A51" s="294"/>
      <c r="B51" s="294"/>
      <c r="C51" s="294"/>
      <c r="D51" s="294"/>
    </row>
    <row r="52" spans="1:4" x14ac:dyDescent="0.25">
      <c r="A52" s="294"/>
      <c r="B52" s="294"/>
      <c r="C52" s="294"/>
      <c r="D52" s="294"/>
    </row>
    <row r="53" spans="1:4" x14ac:dyDescent="0.25">
      <c r="A53" s="294"/>
      <c r="B53" s="294"/>
      <c r="C53" s="294"/>
      <c r="D53" s="294"/>
    </row>
    <row r="54" spans="1:4" x14ac:dyDescent="0.25">
      <c r="A54" s="294"/>
      <c r="B54" s="294"/>
      <c r="C54" s="294"/>
      <c r="D54" s="294"/>
    </row>
    <row r="55" spans="1:4" x14ac:dyDescent="0.25">
      <c r="A55" s="294"/>
      <c r="B55" s="294"/>
      <c r="C55" s="294"/>
      <c r="D55" s="294"/>
    </row>
    <row r="56" spans="1:4" x14ac:dyDescent="0.25">
      <c r="A56" s="294"/>
      <c r="B56" s="294"/>
      <c r="C56" s="294"/>
      <c r="D56" s="294"/>
    </row>
    <row r="57" spans="1:4" x14ac:dyDescent="0.25">
      <c r="A57" s="294"/>
      <c r="B57" s="294"/>
      <c r="C57" s="294"/>
      <c r="D57" s="294"/>
    </row>
    <row r="58" spans="1:4" x14ac:dyDescent="0.25">
      <c r="A58" s="294"/>
      <c r="B58" s="294"/>
      <c r="C58" s="294"/>
      <c r="D58" s="294"/>
    </row>
    <row r="59" spans="1:4" x14ac:dyDescent="0.25">
      <c r="A59" s="294"/>
      <c r="B59" s="294"/>
      <c r="C59" s="294"/>
      <c r="D59" s="294"/>
    </row>
    <row r="60" spans="1:4" x14ac:dyDescent="0.25">
      <c r="A60" s="294"/>
      <c r="B60" s="294"/>
      <c r="C60" s="294"/>
      <c r="D60" s="294"/>
    </row>
    <row r="61" spans="1:4" x14ac:dyDescent="0.25">
      <c r="A61" s="294"/>
      <c r="B61" s="294"/>
      <c r="C61" s="294"/>
      <c r="D61" s="294"/>
    </row>
    <row r="62" spans="1:4" x14ac:dyDescent="0.25">
      <c r="A62" s="294"/>
      <c r="B62" s="294"/>
      <c r="C62" s="294"/>
      <c r="D62" s="294"/>
    </row>
    <row r="63" spans="1:4" x14ac:dyDescent="0.25">
      <c r="A63" s="294"/>
      <c r="B63" s="294"/>
      <c r="C63" s="294"/>
      <c r="D63" s="294"/>
    </row>
    <row r="64" spans="1:4" x14ac:dyDescent="0.25">
      <c r="A64" s="294"/>
      <c r="B64" s="294"/>
      <c r="C64" s="294"/>
      <c r="D64" s="294"/>
    </row>
    <row r="65" spans="1:4" x14ac:dyDescent="0.25">
      <c r="A65" s="294"/>
      <c r="B65" s="294"/>
      <c r="C65" s="294"/>
      <c r="D65" s="294"/>
    </row>
    <row r="66" spans="1:4" x14ac:dyDescent="0.25">
      <c r="A66" s="294"/>
      <c r="B66" s="294"/>
      <c r="C66" s="294"/>
      <c r="D66" s="294"/>
    </row>
    <row r="67" spans="1:4" x14ac:dyDescent="0.25">
      <c r="A67" s="294"/>
      <c r="B67" s="294"/>
      <c r="C67" s="294"/>
      <c r="D67" s="294"/>
    </row>
    <row r="68" spans="1:4" x14ac:dyDescent="0.25">
      <c r="A68" s="294"/>
      <c r="B68" s="294"/>
      <c r="C68" s="294"/>
      <c r="D68" s="294"/>
    </row>
    <row r="69" spans="1:4" x14ac:dyDescent="0.25">
      <c r="A69" s="294"/>
      <c r="B69" s="294"/>
      <c r="C69" s="294"/>
      <c r="D69" s="294"/>
    </row>
    <row r="70" spans="1:4" x14ac:dyDescent="0.25">
      <c r="A70" s="294"/>
      <c r="B70" s="294"/>
      <c r="C70" s="294"/>
      <c r="D70" s="294"/>
    </row>
    <row r="71" spans="1:4" x14ac:dyDescent="0.25">
      <c r="A71" s="294"/>
      <c r="B71" s="294"/>
      <c r="C71" s="294"/>
      <c r="D71" s="294"/>
    </row>
    <row r="72" spans="1:4" x14ac:dyDescent="0.25">
      <c r="A72" s="294"/>
      <c r="B72" s="294"/>
      <c r="C72" s="294"/>
      <c r="D72" s="294"/>
    </row>
    <row r="73" spans="1:4" x14ac:dyDescent="0.25">
      <c r="A73" s="294"/>
      <c r="B73" s="294"/>
      <c r="C73" s="294"/>
      <c r="D73" s="294"/>
    </row>
    <row r="74" spans="1:4" x14ac:dyDescent="0.25">
      <c r="A74" s="294"/>
      <c r="B74" s="294"/>
      <c r="C74" s="294"/>
      <c r="D74" s="294"/>
    </row>
    <row r="75" spans="1:4" x14ac:dyDescent="0.25">
      <c r="A75" s="294"/>
      <c r="B75" s="294"/>
      <c r="C75" s="294"/>
      <c r="D75" s="294"/>
    </row>
    <row r="76" spans="1:4" x14ac:dyDescent="0.25">
      <c r="A76" s="294"/>
      <c r="B76" s="294"/>
      <c r="C76" s="294"/>
      <c r="D76" s="294"/>
    </row>
    <row r="77" spans="1:4" x14ac:dyDescent="0.25">
      <c r="A77" s="294"/>
      <c r="B77" s="294"/>
      <c r="C77" s="294"/>
      <c r="D77" s="294"/>
    </row>
    <row r="78" spans="1:4" x14ac:dyDescent="0.25">
      <c r="A78" s="294"/>
      <c r="B78" s="294"/>
      <c r="C78" s="294"/>
      <c r="D78" s="294"/>
    </row>
  </sheetData>
  <mergeCells count="75">
    <mergeCell ref="A4:D4"/>
    <mergeCell ref="A5:D5"/>
    <mergeCell ref="C1:D1"/>
    <mergeCell ref="A6:D6"/>
    <mergeCell ref="A7:D7"/>
    <mergeCell ref="A8:D8"/>
    <mergeCell ref="A9:D9"/>
    <mergeCell ref="A10:D10"/>
    <mergeCell ref="A11:D11"/>
    <mergeCell ref="A12:D12"/>
    <mergeCell ref="A18:D18"/>
    <mergeCell ref="A19:D19"/>
    <mergeCell ref="A26:D26"/>
    <mergeCell ref="A27:D27"/>
    <mergeCell ref="A24:D24"/>
    <mergeCell ref="A23:D23"/>
    <mergeCell ref="A20:D20"/>
    <mergeCell ref="A21:D21"/>
    <mergeCell ref="A22:D22"/>
    <mergeCell ref="A25:D25"/>
    <mergeCell ref="A13:D13"/>
    <mergeCell ref="A14:D14"/>
    <mergeCell ref="A15:D15"/>
    <mergeCell ref="A16:D16"/>
    <mergeCell ref="A17:D17"/>
    <mergeCell ref="A31:D31"/>
    <mergeCell ref="A32:D32"/>
    <mergeCell ref="A33:D33"/>
    <mergeCell ref="A34:D34"/>
    <mergeCell ref="A28:D28"/>
    <mergeCell ref="A30:D30"/>
    <mergeCell ref="A29:D29"/>
    <mergeCell ref="A35:D35"/>
    <mergeCell ref="A42:D42"/>
    <mergeCell ref="A43:D43"/>
    <mergeCell ref="A44:D44"/>
    <mergeCell ref="A45:D45"/>
    <mergeCell ref="A36:D36"/>
    <mergeCell ref="A37:D37"/>
    <mergeCell ref="A38:D38"/>
    <mergeCell ref="A39:D39"/>
    <mergeCell ref="A46:D46"/>
    <mergeCell ref="A47:D47"/>
    <mergeCell ref="A48:D48"/>
    <mergeCell ref="A49:D49"/>
    <mergeCell ref="A50:D50"/>
    <mergeCell ref="A51:D51"/>
    <mergeCell ref="A52:D52"/>
    <mergeCell ref="A53:D53"/>
    <mergeCell ref="A54:D54"/>
    <mergeCell ref="A55:D55"/>
    <mergeCell ref="A63:D63"/>
    <mergeCell ref="A64:D64"/>
    <mergeCell ref="A65:D65"/>
    <mergeCell ref="A56:D56"/>
    <mergeCell ref="A57:D57"/>
    <mergeCell ref="A58:D58"/>
    <mergeCell ref="A59:D59"/>
    <mergeCell ref="A60:D60"/>
    <mergeCell ref="A76:D76"/>
    <mergeCell ref="A77:D77"/>
    <mergeCell ref="A78:D78"/>
    <mergeCell ref="A40:C40"/>
    <mergeCell ref="A71:D71"/>
    <mergeCell ref="A72:D72"/>
    <mergeCell ref="A73:D73"/>
    <mergeCell ref="A74:D74"/>
    <mergeCell ref="A75:D75"/>
    <mergeCell ref="A66:D66"/>
    <mergeCell ref="A67:D67"/>
    <mergeCell ref="A68:D68"/>
    <mergeCell ref="A69:D69"/>
    <mergeCell ref="A70:D70"/>
    <mergeCell ref="A61:D61"/>
    <mergeCell ref="A62:D62"/>
  </mergeCells>
  <pageMargins left="0.7" right="0.7" top="0.75" bottom="0.75" header="0.3" footer="0.3"/>
  <pageSetup paperSize="9" scale="8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I35" sqref="I35"/>
    </sheetView>
  </sheetViews>
  <sheetFormatPr defaultRowHeight="15" x14ac:dyDescent="0.25"/>
  <cols>
    <col min="1" max="1" width="54.42578125" style="16" customWidth="1"/>
    <col min="2" max="2" width="32.28515625" style="16" customWidth="1"/>
  </cols>
  <sheetData>
    <row r="3" spans="1:2" ht="35.25" customHeight="1" x14ac:dyDescent="0.25">
      <c r="A3" s="300" t="s">
        <v>215</v>
      </c>
      <c r="B3" s="300"/>
    </row>
    <row r="4" spans="1:2" ht="92.25" customHeight="1" x14ac:dyDescent="0.25">
      <c r="A4" s="236" t="str">
        <f>"     Men, fuqaro "&amp;'Общие данные'!B5&amp;" "&amp;'Общие данные'!B153&amp;" bilan "&amp;'Общие данные'!B69&amp;" sanasidagi "&amp;'Общие данные'!B66&amp;"-sonli shartnomaning garov ta'minoti sifatida taqdim etilayotgan mulk "&amp;'Общие данные'!B126&amp;" rusumli avtotransport vositasini qonunga xilof ravishda o‘zlashtirmaslikka, yashirmaslikka, nobud qilmaslikka yoki unga shikast yetkazmaslik majburiyatini olaman."</f>
        <v xml:space="preserve">     Men, fuqaro ATAXANOV AKMAL AXMETDJANOVICH «CLEVER MIKROMOLIYA TASHKILOTI» MChJ bilan 28 fevral 2025 y. sanasidagi №492-QRS-sonli shartnomaning garov ta'minoti sifatida taqdim etilayotgan mulk DAMAS-2 rusumli avtotransport vositasini qonunga xilof ravishda o‘zlashtirmaslikka, yashirmaslikka, nobud qilmaslikka yoki unga shikast yetkazmaslik majburiyatini olaman.</v>
      </c>
      <c r="B4" s="236"/>
    </row>
    <row r="5" spans="1:2" ht="56.25" customHeight="1" x14ac:dyDescent="0.25">
      <c r="A5" s="301" t="s">
        <v>216</v>
      </c>
      <c r="B5" s="301"/>
    </row>
    <row r="6" spans="1:2" ht="42.75" customHeight="1" x14ac:dyDescent="0.25"/>
    <row r="7" spans="1:2" x14ac:dyDescent="0.25">
      <c r="A7" s="16" t="str">
        <f>'Общие данные'!B5</f>
        <v>ATAXANOV AKMAL AXMETDJANOVICH</v>
      </c>
      <c r="B7" s="149" t="s">
        <v>217</v>
      </c>
    </row>
    <row r="8" spans="1:2" ht="26.25" customHeight="1" x14ac:dyDescent="0.25"/>
    <row r="9" spans="1:2" ht="26.25" customHeight="1" x14ac:dyDescent="0.25"/>
    <row r="10" spans="1:2" ht="26.25" customHeight="1" x14ac:dyDescent="0.25"/>
    <row r="11" spans="1:2" x14ac:dyDescent="0.25">
      <c r="A11" s="16" t="str">
        <f>"sana:   "&amp;TEXT('Общие данные'!B2,"ДД.ММ.ГГГГ")&amp;" y."</f>
        <v>sana:   28.02.2025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59"/>
  <sheetViews>
    <sheetView view="pageBreakPreview" topLeftCell="A12" zoomScaleSheetLayoutView="100" workbookViewId="0">
      <selection activeCell="A26" sqref="A26:E26"/>
    </sheetView>
  </sheetViews>
  <sheetFormatPr defaultColWidth="9.140625" defaultRowHeight="15" outlineLevelRow="1" x14ac:dyDescent="0.25"/>
  <cols>
    <col min="1" max="1" width="23.7109375" style="16" customWidth="1"/>
    <col min="2" max="5" width="17" style="16" customWidth="1"/>
    <col min="6" max="16384" width="9.140625" style="16"/>
  </cols>
  <sheetData>
    <row r="1" spans="1:5" ht="36" customHeight="1" x14ac:dyDescent="0.25">
      <c r="A1" s="267" t="str">
        <f>""&amp;'Общие данные'!B151&amp;"
mikromoliya tashkilotining Xulosasi"</f>
        <v>«CLEVER MIKROMOLIYA TASHKILOTI» MChJ
mikromoliya tashkilotining Xulosasi</v>
      </c>
      <c r="B1" s="267"/>
      <c r="C1" s="267"/>
      <c r="D1" s="267"/>
      <c r="E1" s="267"/>
    </row>
    <row r="2" spans="1:5" x14ac:dyDescent="0.25">
      <c r="A2" s="236"/>
      <c r="B2" s="236"/>
      <c r="C2" s="236"/>
      <c r="D2" s="236"/>
      <c r="E2" s="236"/>
    </row>
    <row r="3" spans="1:5" x14ac:dyDescent="0.25">
      <c r="A3" s="267" t="s">
        <v>204</v>
      </c>
      <c r="B3" s="267"/>
      <c r="C3" s="267"/>
      <c r="D3" s="267"/>
      <c r="E3" s="267"/>
    </row>
    <row r="4" spans="1:5" x14ac:dyDescent="0.25">
      <c r="A4" s="236" t="str">
        <f>"Mijozning to'liq ismi sharifi: "&amp;'Общие данные'!B5&amp;""</f>
        <v>Mijozning to'liq ismi sharifi: ATAXANOV AKMAL AXMETDJANOVICH</v>
      </c>
      <c r="B4" s="236"/>
      <c r="C4" s="236"/>
      <c r="D4" s="236"/>
      <c r="E4" s="236"/>
    </row>
    <row r="5" spans="1:5" x14ac:dyDescent="0.25">
      <c r="A5" s="236" t="str">
        <f>"Tug'ilgan sanasi: "&amp;'Общие данные'!B15&amp;""</f>
        <v>Tug'ilgan sanasi: 11.06.1989 y</v>
      </c>
      <c r="B5" s="236"/>
      <c r="C5" s="236"/>
      <c r="D5" s="236"/>
      <c r="E5" s="236"/>
    </row>
    <row r="6" spans="1:5" ht="31.5" customHeight="1" x14ac:dyDescent="0.25">
      <c r="A6" s="236" t="str">
        <f>"Pasport seriyasi "&amp;'Общие данные'!B16&amp;" "&amp;'Общие данные'!B20&amp;", amal qilish muddati - "&amp;'Общие данные'!B21&amp;""</f>
        <v>Pasport seriyasi AD7554127 IIV 6230 tomonidan 20.06.2024 yilda berilgan, amal qilish muddati - 19.06.2034 y.</v>
      </c>
      <c r="B6" s="236"/>
      <c r="C6" s="236"/>
      <c r="D6" s="236"/>
      <c r="E6" s="236"/>
    </row>
    <row r="7" spans="1:5" ht="48" customHeight="1" x14ac:dyDescent="0.25">
      <c r="A7" s="236" t="str">
        <f>"Ro‘yxatdan o‘tgan manzili: "&amp;'Общие данные'!B28&amp;", mo'ljal: "&amp;'Общие данные'!B26&amp;""</f>
        <v>Ro‘yxatdan o‘tgan manzili: QORAKO'L TUMANI DARG'ALI QFY, mo'ljal: DARG'ALI MFY 10 MAKTAB</v>
      </c>
      <c r="B7" s="236"/>
      <c r="C7" s="236"/>
      <c r="D7" s="236"/>
      <c r="E7" s="236"/>
    </row>
    <row r="8" spans="1:5" ht="23.25" customHeight="1" x14ac:dyDescent="0.25">
      <c r="A8" s="236" t="str">
        <f>"Ish joyi: "&amp;'Общие данные'!B52&amp;" lavozimi "&amp;'Общие данные'!B49&amp;"da "&amp;'Общие данные'!B44&amp;""</f>
        <v>Ish joyi:  lavozimi Yakka tartibdagi tadbirkorda Yakka tartibdagi tadbirkor</v>
      </c>
      <c r="B8" s="236"/>
      <c r="C8" s="236"/>
      <c r="D8" s="236"/>
      <c r="E8" s="236"/>
    </row>
    <row r="9" spans="1:5" x14ac:dyDescent="0.25">
      <c r="A9" s="236"/>
      <c r="B9" s="236"/>
      <c r="C9" s="236"/>
      <c r="D9" s="236"/>
      <c r="E9" s="236"/>
    </row>
    <row r="10" spans="1:5" x14ac:dyDescent="0.25">
      <c r="A10" s="267" t="str">
        <f>"Mijoz tomonidan so’ralgan "&amp;'Общие данные'!B65&amp;" shartlari:"</f>
        <v>Mijoz tomonidan so’ralgan mikroqarz shartlari:</v>
      </c>
      <c r="B10" s="267"/>
      <c r="C10" s="267"/>
      <c r="D10" s="267"/>
      <c r="E10" s="267"/>
    </row>
    <row r="11" spans="1:5" x14ac:dyDescent="0.25">
      <c r="A11" s="236" t="str">
        <f>'Кредитная заявка'!A13:D13</f>
        <v>Mikroqarz summasi: 65 000 000,00 (oltmish besh million so'm) so'm.</v>
      </c>
      <c r="B11" s="236"/>
      <c r="C11" s="236"/>
      <c r="D11" s="236"/>
      <c r="E11" s="236"/>
    </row>
    <row r="12" spans="1:5" x14ac:dyDescent="0.25">
      <c r="A12" s="236" t="str">
        <f>'Кредитная заявка'!A14:D14</f>
        <v>Mikroqarz muddati: 24 (yigirma to'rt) oy.</v>
      </c>
      <c r="B12" s="236"/>
      <c r="C12" s="236"/>
      <c r="D12" s="236"/>
      <c r="E12" s="236"/>
    </row>
    <row r="13" spans="1:5" x14ac:dyDescent="0.25">
      <c r="A13" s="236" t="str">
        <f>'Кредитная заявка'!A15:D15</f>
        <v>Mikroqarzdan foydalanganlik uchun foiz stavkasi: yillik  60% (Oltmish) foiz</v>
      </c>
      <c r="B13" s="236"/>
      <c r="C13" s="236"/>
      <c r="D13" s="236"/>
      <c r="E13" s="236"/>
    </row>
    <row r="14" spans="1:5" x14ac:dyDescent="0.25">
      <c r="A14" s="236" t="str">
        <f>'Кредитная заявка'!A16:D16</f>
        <v>Mikroqarz bo'yicha asosiy qarz va foizlarni to'lash:</v>
      </c>
      <c r="B14" s="236"/>
      <c r="C14" s="236"/>
      <c r="D14" s="236"/>
      <c r="E14" s="236"/>
    </row>
    <row r="15" spans="1:5" ht="18.75" customHeight="1" x14ac:dyDescent="0.25">
      <c r="A15" s="236" t="str">
        <f>'Кредитная заявка'!A19:D19</f>
        <v xml:space="preserve"> - mikroqarz shartnomasi bo'yicha har oy differensial to'lovlari amalga oshiriladi</v>
      </c>
      <c r="B15" s="236"/>
      <c r="C15" s="236"/>
      <c r="D15" s="236"/>
      <c r="E15" s="236"/>
    </row>
    <row r="16" spans="1:5" ht="14.25" customHeight="1" x14ac:dyDescent="0.25">
      <c r="A16" s="237" t="str">
        <f>'Кредитная заявка'!A20:D20</f>
        <v xml:space="preserve">  Oxirgi yakuniy to'lov mikroqarz shartnomasi tuzilgan kundan boshlab oxirgi oyning oxirgi kunida amalga oshiriladi</v>
      </c>
      <c r="B16" s="237"/>
      <c r="C16" s="237"/>
      <c r="D16" s="237"/>
      <c r="E16" s="237"/>
    </row>
    <row r="17" spans="1:5" x14ac:dyDescent="0.25">
      <c r="A17" s="236" t="str">
        <f>'Кредитная заявка'!A21:D21</f>
        <v>Mikroqarz ta’minoti::</v>
      </c>
      <c r="B17" s="236"/>
      <c r="C17" s="236"/>
      <c r="D17" s="236"/>
      <c r="E17" s="236"/>
    </row>
    <row r="18" spans="1:5" ht="67.5" customHeight="1" x14ac:dyDescent="0.25">
      <c r="A18" s="236" t="str">
        <f>'Кредитная заявка'!A22:D22</f>
        <v xml:space="preserve">1.   Egalik huquqi BOBONAZAROV ASLBEK AKRAM O'G'LIga tegishli bo'lgan garovga olingan avtomobil markasi   DAMAS-2, rangi -  OQ SUMMIT WHITE, ishlab chiqarilgan yili - 2024, davlat raqam belgisi 80X089BB, kuzov turi - YENGIL SEDAN, kuzov raqami XWB7T12YDRP863654, dvigatel raqami F8CB240180255, shassi raqami -  - </v>
      </c>
      <c r="B18" s="236"/>
      <c r="C18" s="236"/>
      <c r="D18" s="236"/>
      <c r="E18" s="236"/>
    </row>
    <row r="19" spans="1:5" x14ac:dyDescent="0.25">
      <c r="A19" s="267" t="s">
        <v>205</v>
      </c>
      <c r="B19" s="267"/>
      <c r="C19" s="267"/>
      <c r="D19" s="267"/>
      <c r="E19" s="267"/>
    </row>
    <row r="20" spans="1:5" ht="21" customHeight="1" x14ac:dyDescent="0.25">
      <c r="A20" s="236" t="str">
        <f>"Anketaga muvofiq "&amp;'Общие данные'!B9&amp;"ning o‘rtacha oylik daromadi  "&amp;FIXED('Общие данные'!B60)&amp;" so‘mni tashkil etdi."</f>
        <v>Anketaga muvofiq ATAXANOV A.A.ning o‘rtacha oylik daromadi  21 800 000,00 so‘mni tashkil etdi.</v>
      </c>
      <c r="B20" s="236"/>
      <c r="C20" s="236"/>
      <c r="D20" s="236"/>
      <c r="E20" s="236"/>
    </row>
    <row r="21" spans="1:5" ht="21" customHeight="1" x14ac:dyDescent="0.25">
      <c r="A21" s="236" t="str">
        <f>"Mijozning o'rtacha oylik xarajatlari "&amp;FIXED('Анкета Клиента'!F27)&amp;" so'mni tashkil etdi"</f>
        <v>Mijozning o'rtacha oylik xarajatlari 1 700 000,00 so'mni tashkil etdi</v>
      </c>
      <c r="B21" s="236"/>
      <c r="C21" s="236"/>
      <c r="D21" s="236"/>
      <c r="E21" s="236"/>
    </row>
    <row r="22" spans="1:5" ht="18" hidden="1" customHeight="1" x14ac:dyDescent="0.25">
      <c r="A22" s="236" t="str">
        <f>IF('Общие данные'!B78='Общие данные'!C78,'Заключение КК'!A23:E23,'Заключение КК'!A24:E24)</f>
        <v>Mikroqarz shartnomasi bo'yicha birinchi oy uchun to'lov 5 700 114,13 so'mni tashkil etadi.</v>
      </c>
      <c r="B22" s="236"/>
      <c r="C22" s="236"/>
      <c r="D22" s="236"/>
      <c r="E22" s="236"/>
    </row>
    <row r="23" spans="1:5" ht="21" hidden="1" customHeight="1" x14ac:dyDescent="0.25">
      <c r="A23" s="236" t="str">
        <f>""&amp;'Общие данные'!C64&amp;" shartnomasi bo'yicha birinchi oy uchun to'lov "&amp;FIXED('Общие данные'!B91)&amp;" so'mni tashkil etadi."</f>
        <v>Mikroqarz shartnomasi bo'yicha birinchi oy uchun to'lov 5 700 114,13 so'mni tashkil etadi.</v>
      </c>
      <c r="B23" s="236"/>
      <c r="C23" s="236"/>
      <c r="D23" s="236"/>
      <c r="E23" s="236"/>
    </row>
    <row r="24" spans="1:5" ht="19.5" customHeight="1" x14ac:dyDescent="0.25">
      <c r="A24" s="236" t="str">
        <f>""&amp;'Общие данные'!C64&amp;" bo‘yicha oylik "&amp;'Общие данные'!B78&amp;" to‘lovi miqdori "&amp;FIXED('Общие данные'!B91)&amp;" so‘mni tashkil etadi."</f>
        <v>Mikroqarz bo‘yicha oylik differensial to‘lovi miqdori 5 700 114,13 so‘mni tashkil etadi.</v>
      </c>
      <c r="B24" s="236"/>
      <c r="C24" s="236"/>
      <c r="D24" s="236"/>
      <c r="E24" s="236"/>
    </row>
    <row r="25" spans="1:5" ht="48.75" customHeight="1" x14ac:dyDescent="0.25">
      <c r="A25" s="237" t="s">
        <v>439</v>
      </c>
      <c r="B25" s="237"/>
      <c r="C25" s="237"/>
      <c r="D25" s="237"/>
      <c r="E25" s="237"/>
    </row>
    <row r="26" spans="1:5" x14ac:dyDescent="0.25">
      <c r="A26" s="267" t="str">
        <f>""&amp;'Общие данные'!C64&amp;" bo’yicha ta’minot:"</f>
        <v>Mikroqarz bo’yicha ta’minot:</v>
      </c>
      <c r="B26" s="267"/>
      <c r="C26" s="267"/>
      <c r="D26" s="267"/>
      <c r="E26" s="267"/>
    </row>
    <row r="27" spans="1:5" ht="31.5" hidden="1" customHeight="1" x14ac:dyDescent="0.25">
      <c r="A27" s="236" t="str">
        <f>" - "&amp;'Общие данные'!B118&amp;" ga mulk huquqi asosida tegishli avtotransport vositasi "&amp;'Общие данные'!B126&amp;" , quyidagi tafsilotlarga muvofiq:"</f>
        <v xml:space="preserve"> - BOBONAZAROV ASLBEK AKRAM O'G'LI ga mulk huquqi asosida tegishli avtotransport vositasi DAMAS-2 , quyidagi tafsilotlarga muvofiq:</v>
      </c>
      <c r="B27" s="236"/>
      <c r="C27" s="236"/>
      <c r="D27" s="236"/>
      <c r="E27" s="236"/>
    </row>
    <row r="28" spans="1:5" ht="67.5" hidden="1" customHeight="1" x14ac:dyDescent="0.25">
      <c r="A28" s="236" t="str">
        <f>" -   "&amp;'Общие данные'!C118&amp;" ga mulk huquqi asosida tegishli ko'chmas mulk shaklida "&amp;'Общие данные'!C127&amp;", manzili: "&amp;'Общие данные'!C124&amp;", quyidagi tafsilotlarga muvofiq:"</f>
        <v xml:space="preserve"> -   0 ga mulk huquqi asosida tegishli ko'chmas mulk shaklida 3 - xonali yakka tartibdagi uy-joy, manzili: SAMARQAND VILOYATI TAYLOQ TUMANI CHAROG'BON MFY YANGI TAYLOQ QISHLOG'I 6 TURAR JOY 12 QAVAT 58 XONADON, quyidagi tafsilotlarga muvofiq:</v>
      </c>
      <c r="B28" s="236"/>
      <c r="C28" s="236"/>
      <c r="D28" s="236"/>
      <c r="E28" s="236"/>
    </row>
    <row r="29" spans="1:5" ht="44.25" customHeight="1" x14ac:dyDescent="0.25">
      <c r="A29" s="236" t="str">
        <f>IF('Общие данные'!B104="Avtotransport",'Заключение КК'!A27:E27,'Заключение КК'!A28:E28)</f>
        <v xml:space="preserve"> - BOBONAZAROV ASLBEK AKRAM O'G'LI ga mulk huquqi asosida tegishli avtotransport vositasi DAMAS-2 , quyidagi tafsilotlarga muvofiq:</v>
      </c>
      <c r="B29" s="236"/>
      <c r="C29" s="236"/>
      <c r="D29" s="236"/>
      <c r="E29" s="236"/>
    </row>
    <row r="30" spans="1:5" s="17" customFormat="1" ht="47.25" customHeight="1" outlineLevel="1" x14ac:dyDescent="0.25">
      <c r="A30" s="40" t="str">
        <f>'Акт согласования'!A29</f>
        <v>Nomi</v>
      </c>
      <c r="B30" s="40" t="str">
        <f>'Акт согласования'!B29</f>
        <v>Kuzov turi  va kuzov raqami*</v>
      </c>
      <c r="C30" s="40" t="str">
        <f>'Акт согласования'!C29</f>
        <v>Dvigatel va shassi raqami*</v>
      </c>
      <c r="D30" s="40" t="str">
        <f>'Акт согласования'!D29</f>
        <v>Ishlab chiqarilgan yili va rangi*</v>
      </c>
      <c r="E30" s="40" t="str">
        <f>'Акт согласования'!E29</f>
        <v>Kelishilgan garov qiymati, so'm</v>
      </c>
    </row>
    <row r="31" spans="1:5" s="21" customFormat="1" ht="102.75" customHeight="1" outlineLevel="1" x14ac:dyDescent="0.25">
      <c r="A31" s="18" t="str">
        <f>'Акт согласования'!A30</f>
        <v>DAMAS-2</v>
      </c>
      <c r="B31" s="18" t="str">
        <f>'Акт согласования'!B30</f>
        <v>kuzov turi - YENGIL SEDAN, kuzov raqami XWB7T12YDRP863654</v>
      </c>
      <c r="C31" s="18" t="str">
        <f>'Акт согласования'!C30</f>
        <v xml:space="preserve">dvigatel raqami F8CB240180255, shassi raqami -  - </v>
      </c>
      <c r="D31" s="18" t="str">
        <f>'Акт согласования'!D30</f>
        <v>rangi -  OQ SUMMIT WHITE, ishlab chiqarilgan yili - 2024</v>
      </c>
      <c r="E31" s="18" t="str">
        <f>'Акт согласования'!E30</f>
        <v>97 500 000,00 
(to'qson yetti million besh yuz ming so'm)</v>
      </c>
    </row>
    <row r="32" spans="1:5" ht="15.75" customHeight="1" outlineLevel="1" x14ac:dyDescent="0.25">
      <c r="A32" s="236" t="str">
        <f>'Акт согласования'!A22</f>
        <v>-* avtotransport egasi: BOBONAZAROV ASLBEK AKRAM O'G'LI</v>
      </c>
      <c r="B32" s="236"/>
      <c r="C32" s="236"/>
      <c r="D32" s="236"/>
      <c r="E32" s="236"/>
    </row>
    <row r="33" spans="1:5" ht="15" customHeight="1" outlineLevel="1" x14ac:dyDescent="0.25">
      <c r="A33" s="236" t="str">
        <f>'Акт согласования'!A23</f>
        <v>-* texnik pasport: AAG 5348590 25.12.2024y.</v>
      </c>
      <c r="B33" s="236"/>
      <c r="C33" s="236"/>
      <c r="D33" s="236"/>
      <c r="E33" s="236"/>
    </row>
    <row r="34" spans="1:5" ht="33" customHeight="1" outlineLevel="1" x14ac:dyDescent="0.25">
      <c r="A34" s="236" t="str">
        <f>'Акт согласования'!A24</f>
        <v>-* roʻyxatdan oʻtgan manzili/garaj manzili: BUXORO VILOYATI QORAKO'L TUMANI ZARAFSHON MFY GULISTON 21 UY</v>
      </c>
      <c r="B34" s="236"/>
      <c r="C34" s="236"/>
      <c r="D34" s="236"/>
      <c r="E34" s="236"/>
    </row>
    <row r="35" spans="1:5" ht="15" customHeight="1" outlineLevel="1" x14ac:dyDescent="0.25">
      <c r="A35" s="236" t="str">
        <f>'Акт согласования'!A25</f>
        <v>-* davlat raqami: 80X089BB</v>
      </c>
      <c r="B35" s="236"/>
      <c r="C35" s="236"/>
      <c r="D35" s="236"/>
      <c r="E35" s="236"/>
    </row>
    <row r="36" spans="1:5" ht="9" customHeight="1" x14ac:dyDescent="0.25">
      <c r="A36" s="236"/>
      <c r="B36" s="236"/>
      <c r="C36" s="236"/>
      <c r="D36" s="236"/>
      <c r="E36" s="236"/>
    </row>
    <row r="37" spans="1:5" ht="39" customHeight="1" x14ac:dyDescent="0.25">
      <c r="A37" s="267" t="str">
        <f>""&amp;'Общие данные'!B151&amp;"
mikromoliya tashkilotining Xulosasi"</f>
        <v>«CLEVER MIKROMOLIYA TASHKILOTI» MChJ
mikromoliya tashkilotining Xulosasi</v>
      </c>
      <c r="B37" s="267"/>
      <c r="C37" s="267"/>
      <c r="D37" s="267"/>
      <c r="E37" s="267"/>
    </row>
    <row r="38" spans="1:5" ht="48" customHeight="1" x14ac:dyDescent="0.25">
      <c r="A38" s="236" t="str">
        <f>""&amp;'Общие данные'!B151&amp;" kredit qo‘mitasining xulosasiga quyidagi shartlarda "&amp;'Общие данные'!B10&amp;"ga "&amp;'Общие данные'!B65&amp;" berish masalasi kiritiladi:"</f>
        <v>«CLEVER MIKROMOLIYA TASHKILOTI» MChJ kredit qo‘mitasining xulosasiga quyidagi shartlarda ATAXANOV AKMAL AXMETDJANOVICHga mikroqarz berish masalasi kiritiladi:</v>
      </c>
      <c r="B38" s="236"/>
      <c r="C38" s="236"/>
      <c r="D38" s="236"/>
      <c r="E38" s="236"/>
    </row>
    <row r="39" spans="1:5" x14ac:dyDescent="0.25">
      <c r="A39" s="236" t="str">
        <f>A11</f>
        <v>Mikroqarz summasi: 65 000 000,00 (oltmish besh million so'm) so'm.</v>
      </c>
      <c r="B39" s="236"/>
      <c r="C39" s="236"/>
      <c r="D39" s="236"/>
      <c r="E39" s="236"/>
    </row>
    <row r="40" spans="1:5" x14ac:dyDescent="0.25">
      <c r="A40" s="236" t="str">
        <f t="shared" ref="A40:A46" si="0">A12</f>
        <v>Mikroqarz muddati: 24 (yigirma to'rt) oy.</v>
      </c>
      <c r="B40" s="236"/>
      <c r="C40" s="236"/>
      <c r="D40" s="236"/>
      <c r="E40" s="236"/>
    </row>
    <row r="41" spans="1:5" x14ac:dyDescent="0.25">
      <c r="A41" s="236" t="str">
        <f t="shared" si="0"/>
        <v>Mikroqarzdan foydalanganlik uchun foiz stavkasi: yillik  60% (Oltmish) foiz</v>
      </c>
      <c r="B41" s="236"/>
      <c r="C41" s="236"/>
      <c r="D41" s="236"/>
      <c r="E41" s="236"/>
    </row>
    <row r="42" spans="1:5" x14ac:dyDescent="0.25">
      <c r="A42" s="236" t="str">
        <f t="shared" si="0"/>
        <v>Mikroqarz bo'yicha asosiy qarz va foizlarni to'lash:</v>
      </c>
      <c r="B42" s="236"/>
      <c r="C42" s="236"/>
      <c r="D42" s="236"/>
      <c r="E42" s="236"/>
    </row>
    <row r="43" spans="1:5" ht="20.25" customHeight="1" x14ac:dyDescent="0.25">
      <c r="A43" s="236" t="str">
        <f t="shared" si="0"/>
        <v xml:space="preserve"> - mikroqarz shartnomasi bo'yicha har oy differensial to'lovlari amalga oshiriladi</v>
      </c>
      <c r="B43" s="236"/>
      <c r="C43" s="236"/>
      <c r="D43" s="236"/>
      <c r="E43" s="236"/>
    </row>
    <row r="44" spans="1:5" ht="26.25" customHeight="1" x14ac:dyDescent="0.25">
      <c r="A44" s="236" t="str">
        <f t="shared" si="0"/>
        <v xml:space="preserve">  Oxirgi yakuniy to'lov mikroqarz shartnomasi tuzilgan kundan boshlab oxirgi oyning oxirgi kunida amalga oshiriladi</v>
      </c>
      <c r="B44" s="236"/>
      <c r="C44" s="236"/>
      <c r="D44" s="236"/>
      <c r="E44" s="236"/>
    </row>
    <row r="45" spans="1:5" x14ac:dyDescent="0.25">
      <c r="A45" s="236" t="str">
        <f t="shared" si="0"/>
        <v>Mikroqarz ta’minoti::</v>
      </c>
      <c r="B45" s="236"/>
      <c r="C45" s="236"/>
      <c r="D45" s="236"/>
      <c r="E45" s="236"/>
    </row>
    <row r="46" spans="1:5" ht="72" customHeight="1" x14ac:dyDescent="0.25">
      <c r="A46" s="236" t="str">
        <f t="shared" si="0"/>
        <v xml:space="preserve">1.   Egalik huquqi BOBONAZAROV ASLBEK AKRAM O'G'LIga tegishli bo'lgan garovga olingan avtomobil markasi   DAMAS-2, rangi -  OQ SUMMIT WHITE, ishlab chiqarilgan yili - 2024, davlat raqam belgisi 80X089BB, kuzov turi - YENGIL SEDAN, kuzov raqami XWB7T12YDRP863654, dvigatel raqami F8CB240180255, shassi raqami -  - </v>
      </c>
      <c r="B46" s="236"/>
      <c r="C46" s="236"/>
      <c r="D46" s="236"/>
      <c r="E46" s="236"/>
    </row>
    <row r="47" spans="1:5" x14ac:dyDescent="0.25">
      <c r="A47" s="236"/>
      <c r="B47" s="236"/>
      <c r="C47" s="236"/>
      <c r="D47" s="236"/>
      <c r="E47" s="236"/>
    </row>
    <row r="48" spans="1:5" ht="36.75" customHeight="1" x14ac:dyDescent="0.25">
      <c r="A48" s="236" t="str">
        <f>""&amp;'Общие данные'!B151&amp;" mikromoliya tashkilotining xulosasi  "&amp;TEXT('Общие данные'!B2,"ДД.ММ.ГГГГ")&amp;" y. tayyorlangan"</f>
        <v>«CLEVER MIKROMOLIYA TASHKILOTI» MChJ mikromoliya tashkilotining xulosasi  28.02.2025 y. tayyorlangan</v>
      </c>
      <c r="B48" s="236"/>
      <c r="C48" s="236"/>
      <c r="D48" s="236"/>
      <c r="E48" s="236"/>
    </row>
    <row r="49" spans="1:5" x14ac:dyDescent="0.25">
      <c r="A49" s="236"/>
      <c r="B49" s="236"/>
      <c r="C49" s="236"/>
      <c r="D49" s="236"/>
      <c r="E49" s="236"/>
    </row>
    <row r="50" spans="1:5" ht="15.75" customHeight="1" x14ac:dyDescent="0.25">
      <c r="A50" s="237"/>
      <c r="B50" s="237"/>
      <c r="C50" s="237"/>
      <c r="D50" s="23"/>
      <c r="E50" s="24"/>
    </row>
    <row r="51" spans="1:5" ht="35.25" customHeight="1" x14ac:dyDescent="0.25">
      <c r="A51" s="237" t="str">
        <f>'Общие данные'!A165</f>
        <v>Qorako'l filiali boshlig'i</v>
      </c>
      <c r="B51" s="237"/>
      <c r="C51" s="237"/>
      <c r="D51" s="24"/>
      <c r="E51" s="24" t="str">
        <f>'Общие данные'!B165</f>
        <v>Egamberdiyeva D.I.</v>
      </c>
    </row>
    <row r="52" spans="1:5" x14ac:dyDescent="0.25">
      <c r="A52" s="236"/>
      <c r="B52" s="236"/>
      <c r="C52" s="236"/>
      <c r="D52" s="236"/>
      <c r="E52" s="236"/>
    </row>
    <row r="53" spans="1:5" ht="47.25" customHeight="1" x14ac:dyDescent="0.25">
      <c r="A53" s="236" t="str">
        <f>""&amp;'Общие данные'!B151&amp;" mikromoliya tashkilotining Kredit qo‘mitasi a’zolari "&amp;'Общие данные'!B151&amp;"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3" s="236"/>
      <c r="C53" s="236"/>
      <c r="D53" s="236"/>
      <c r="E53" s="236"/>
    </row>
    <row r="54" spans="1:5" x14ac:dyDescent="0.25">
      <c r="A54" s="20"/>
      <c r="B54" s="20"/>
      <c r="C54" s="20"/>
      <c r="D54" s="20"/>
      <c r="E54" s="20"/>
    </row>
    <row r="55" spans="1:5" x14ac:dyDescent="0.25">
      <c r="A55" s="237" t="s">
        <v>396</v>
      </c>
      <c r="B55" s="237"/>
      <c r="C55" s="20"/>
      <c r="D55" s="20"/>
      <c r="E55" s="20"/>
    </row>
    <row r="56" spans="1:5" x14ac:dyDescent="0.25">
      <c r="A56" s="20"/>
      <c r="B56" s="20"/>
      <c r="C56" s="20"/>
      <c r="D56" s="20"/>
      <c r="E56" s="20"/>
    </row>
    <row r="57" spans="1:5" x14ac:dyDescent="0.25">
      <c r="A57" s="237" t="str">
        <f>'Общие данные'!B164</f>
        <v>Jumanazarov B.T.</v>
      </c>
      <c r="B57" s="237"/>
      <c r="C57" s="23"/>
      <c r="D57" s="23"/>
      <c r="E57" s="23"/>
    </row>
    <row r="58" spans="1:5" x14ac:dyDescent="0.25">
      <c r="A58" s="57"/>
      <c r="B58" s="57"/>
      <c r="C58" s="23"/>
      <c r="D58" s="23"/>
      <c r="E58" s="23"/>
    </row>
    <row r="59" spans="1:5" ht="21" customHeight="1" x14ac:dyDescent="0.25">
      <c r="A59" s="236" t="str">
        <f>'Общие данные'!B163</f>
        <v>Mominov B.X.</v>
      </c>
      <c r="B59" s="236"/>
      <c r="C59" s="236"/>
      <c r="D59" s="236"/>
      <c r="E59" s="236"/>
    </row>
  </sheetData>
  <mergeCells count="54">
    <mergeCell ref="A6:E6"/>
    <mergeCell ref="A1:E1"/>
    <mergeCell ref="A2:E2"/>
    <mergeCell ref="A3:E3"/>
    <mergeCell ref="A4:E4"/>
    <mergeCell ref="A5:E5"/>
    <mergeCell ref="A7:E7"/>
    <mergeCell ref="A8:E8"/>
    <mergeCell ref="A9:E9"/>
    <mergeCell ref="A26:E26"/>
    <mergeCell ref="A10:E10"/>
    <mergeCell ref="A11:E11"/>
    <mergeCell ref="A12:E12"/>
    <mergeCell ref="A13:E13"/>
    <mergeCell ref="A23:E23"/>
    <mergeCell ref="A22:E22"/>
    <mergeCell ref="A21:E21"/>
    <mergeCell ref="A32:E32"/>
    <mergeCell ref="A14:E14"/>
    <mergeCell ref="A15:E15"/>
    <mergeCell ref="A16:E16"/>
    <mergeCell ref="A17:E17"/>
    <mergeCell ref="A18:E18"/>
    <mergeCell ref="A27:E27"/>
    <mergeCell ref="A19:E19"/>
    <mergeCell ref="A20:E20"/>
    <mergeCell ref="A24:E24"/>
    <mergeCell ref="A25:E25"/>
    <mergeCell ref="A28:E28"/>
    <mergeCell ref="A29:E29"/>
    <mergeCell ref="A52:E52"/>
    <mergeCell ref="A33:E33"/>
    <mergeCell ref="A34:E34"/>
    <mergeCell ref="A35:E35"/>
    <mergeCell ref="A36:E36"/>
    <mergeCell ref="A37:E37"/>
    <mergeCell ref="A50:C50"/>
    <mergeCell ref="A51:C51"/>
    <mergeCell ref="A53:E53"/>
    <mergeCell ref="A59:E59"/>
    <mergeCell ref="A38:E38"/>
    <mergeCell ref="A39:E39"/>
    <mergeCell ref="A40:E40"/>
    <mergeCell ref="A41:E41"/>
    <mergeCell ref="A42:E42"/>
    <mergeCell ref="A43:E43"/>
    <mergeCell ref="A44:E44"/>
    <mergeCell ref="A45:E45"/>
    <mergeCell ref="A46:E46"/>
    <mergeCell ref="A47:E47"/>
    <mergeCell ref="A55:B55"/>
    <mergeCell ref="A57:B57"/>
    <mergeCell ref="A48:E48"/>
    <mergeCell ref="A49:E49"/>
  </mergeCells>
  <pageMargins left="0.7" right="0.7" top="0.75" bottom="0.75" header="0.3" footer="0.3"/>
  <pageSetup paperSize="9" scale="84" orientation="portrait" r:id="rId1"/>
  <rowBreaks count="1" manualBreakCount="1">
    <brk id="3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4"/>
  <sheetViews>
    <sheetView view="pageBreakPreview" topLeftCell="A24" zoomScaleNormal="55" zoomScaleSheetLayoutView="100" workbookViewId="0">
      <selection activeCell="A24" sqref="A24:B24"/>
    </sheetView>
  </sheetViews>
  <sheetFormatPr defaultColWidth="9.140625" defaultRowHeight="15.75" x14ac:dyDescent="0.25"/>
  <cols>
    <col min="1" max="1" width="50.42578125" style="7" customWidth="1"/>
    <col min="2" max="2" width="57.42578125" style="7" customWidth="1"/>
    <col min="3" max="3" width="93.28515625" style="7" customWidth="1"/>
    <col min="4" max="7" width="9.140625" style="7" customWidth="1"/>
    <col min="8" max="8" width="111.5703125" style="7" customWidth="1"/>
    <col min="9" max="16" width="9.140625" style="7" customWidth="1"/>
    <col min="17" max="16384" width="9.140625" style="7"/>
  </cols>
  <sheetData>
    <row r="1" spans="1:3" x14ac:dyDescent="0.25">
      <c r="A1" s="312" t="str">
        <f>""&amp;'Общие данные'!C64&amp;" shartnoma "&amp;'Общие данные'!B66&amp;""</f>
        <v>Mikroqarz shartnoma №492-QRS</v>
      </c>
      <c r="B1" s="312"/>
    </row>
    <row r="3" spans="1:3" x14ac:dyDescent="0.25">
      <c r="A3" s="312" t="str">
        <f>"Toshkent shahri                                                                               "&amp;'Общие данные'!B70&amp;""</f>
        <v>Toshkent shahri                                                                               28 fevral 2025 y.</v>
      </c>
      <c r="B3" s="312"/>
    </row>
    <row r="4" spans="1:3" x14ac:dyDescent="0.25">
      <c r="A4" s="70"/>
    </row>
    <row r="5" spans="1:3" ht="132.75" customHeight="1" x14ac:dyDescent="0.25">
      <c r="A5" s="297" t="str">
        <f>""&amp;'Общие данные'!B151&amp;", bundan buyon «Mikromoliya tashkiloti» deb nomlanuvchi, ishonchnoma asosida xarakat qiluvchi "&amp;'Общие данные'!A154&amp;" "&amp;'Общие данные'!B154&amp;"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«CLEVER MIKROMOLIYA TASHKILOTI» MChJ, bundan buyon «Mikromoliya tashkiloti» deb nomlanuvchi, ishonchnoma asosida xarakat qiluvchi Qorako'l filiali boshlig'i Egamberdiyeva D.I.  bir tomondan va o‘z manfaati yo‘lida hamda o‘z nomidan harakat qiluvchi O‘zbekiston Respublikasi fuqarosi ATAXANOV AKMAL AXMETDJANOVICH  (pasport raqami AD7554127, IIV 6230 tomonidan 20.06.2024 yilda berilgan ), bundan buyon «Qarz oluvchi» deb nomlanuvchi, boshqa tomondan, birgalikda “Tomonlar” yoki alohida “Tomon” deb nomlanuvchilar, Qarz oluvchi tomonidan 28.02.2025 yil,mikroqarz olish uchun ariza berilganligini hisobga olib, ushbu Mikroqarz shartnomasini (bundan keyin – «Shartnoma») quyidagilar haqida tuzdilar:</v>
      </c>
      <c r="B5" s="297"/>
    </row>
    <row r="7" spans="1:3" x14ac:dyDescent="0.25">
      <c r="A7" s="312" t="s">
        <v>264</v>
      </c>
      <c r="B7" s="312"/>
    </row>
    <row r="8" spans="1:3" ht="51.75" customHeight="1" x14ac:dyDescent="0.25">
      <c r="A8" s="297" t="str">
        <f>"1.1. Mikromoliya tashkiloti Qarz oluvchiga umumiy miqdori "&amp;FIXED('Общие данные'!B76,2)&amp;" ("&amp;'Общие данные'!C77&amp;") bo‘lgan "&amp;'Общие данные'!B65&amp;"ni "&amp;'Общие данные'!B71&amp;" dan "&amp;'Общие данные'!B73&amp;" gacha bo'lgan muddatga naqd pul va/yoki o'tkazmasi shaklida ajratadi."</f>
        <v>1.1. Mikromoliya tashkiloti Qarz oluvchiga umumiy miqdori 65 000 000,00 (Oltmish besh million so'm) bo‘lgan mikroqarzni 28 fevral 2025 y. dan 28 fevral 2027 y. gacha bo'lgan muddatga naqd pul va/yoki o'tkazmasi shaklida ajratadi.</v>
      </c>
      <c r="B8" s="297"/>
    </row>
    <row r="9" spans="1:3" ht="36" customHeight="1" x14ac:dyDescent="0.25">
      <c r="A9" s="297" t="str">
        <f>"1.2. Qarz oluvchi to‘lovlilik, muddatlilik va ta’minlanganlik tamoyillariga amal qilgan holda "&amp;'Общие данные'!B65&amp;"dan foydalanish majburiyatini o‘z zimmasiga oladi."</f>
        <v>1.2. Qarz oluvchi to‘lovlilik, muddatlilik va ta’minlanganlik tamoyillariga amal qilgan holda mikroqarzdan foydalanish majburiyatini o‘z zimmasiga oladi.</v>
      </c>
      <c r="B9" s="297"/>
    </row>
    <row r="10" spans="1:3" x14ac:dyDescent="0.25">
      <c r="A10" s="33"/>
    </row>
    <row r="11" spans="1:3" x14ac:dyDescent="0.25">
      <c r="A11" s="304" t="str">
        <f>"2. "&amp;'Общие данные'!D64&amp;" BERISH VA QAYTARISH TARTIBI"</f>
        <v>2. MIKROQARZ BERISH VA QAYTARISH TARTIBI</v>
      </c>
      <c r="B11" s="304"/>
      <c r="C11" s="68"/>
    </row>
    <row r="12" spans="1:3" ht="36" customHeight="1" x14ac:dyDescent="0.25">
      <c r="A12" s="297" t="str">
        <f>"2.1. Ushbu Shartnomaning 1.1.-bandida ko‘rsatilgan summa miqdoridagi "&amp;'Общие данные'!B65&amp;"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297"/>
    </row>
    <row r="13" spans="1:3" ht="35.25" customHeight="1" x14ac:dyDescent="0.25">
      <c r="A13" s="297" t="str">
        <f>"2.2. "&amp;'Общие данные'!C64&amp;"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297"/>
    </row>
    <row r="14" spans="1:3" ht="35.25" customHeight="1" x14ac:dyDescent="0.25">
      <c r="A14" s="297" t="str">
        <f>"2.3. "&amp;'Общие данные'!C64&amp;"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297"/>
    </row>
    <row r="15" spans="1:3" ht="66" customHeight="1" x14ac:dyDescent="0.25">
      <c r="A15" s="297" t="str">
        <f>"2.4. Mikromoliya tashkiloti, "&amp;'Общие данные'!B65&amp;" berilgan vaqtdan boshlab, "&amp;'Общие данные'!B65&amp;" miqdorining qoldiq summasiga "&amp;'Общие данные'!B86&amp;"% ("&amp;'Общие данные'!C87&amp;")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данные'!B89&amp;" ("&amp;'Общие данные'!B90&amp;")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297"/>
    </row>
    <row r="16" spans="1:3" ht="177.75" customHeight="1" x14ac:dyDescent="0.25">
      <c r="A16" s="297" t="s">
        <v>332</v>
      </c>
      <c r="B16" s="297"/>
    </row>
    <row r="17" spans="1:11" ht="161.25" customHeight="1" x14ac:dyDescent="0.25">
      <c r="A17" s="297"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297"/>
      <c r="C17" s="169" t="s">
        <v>336</v>
      </c>
      <c r="H17" s="7" t="str">
        <f>'Общие данные'!B65</f>
        <v>mikroqarz</v>
      </c>
      <c r="I17" s="7" t="s">
        <v>337</v>
      </c>
    </row>
    <row r="18" spans="1:11" ht="100.5" customHeight="1" x14ac:dyDescent="0.25">
      <c r="A18" s="305" t="s">
        <v>376</v>
      </c>
      <c r="B18" s="305"/>
    </row>
    <row r="19" spans="1:11" ht="36" customHeight="1" x14ac:dyDescent="0.25">
      <c r="A19" s="297" t="str">
        <f>"2.7. Qarz oluvchi Mikromoliya tashkilotining "&amp;'Общие данные'!B65&amp;"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297"/>
    </row>
    <row r="20" spans="1:11" ht="48.75" customHeight="1" x14ac:dyDescent="0.25">
      <c r="A20" s="297" t="str">
        <f>"2.8. Qarz oluvchi "&amp;'Общие данные'!B65&amp;"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297"/>
    </row>
    <row r="21" spans="1:11" ht="113.25" customHeight="1" x14ac:dyDescent="0.25">
      <c r="A21" s="313"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313"/>
      <c r="C21" s="7"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7"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mikroqarz ajratishda uning summasi va </v>
      </c>
      <c r="I21" s="7" t="str">
        <f>"qarz oluvchining amaldagi kredit ("&amp;'Общие данные'!B65&amp;")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x14ac:dyDescent="0.25">
      <c r="A22" s="304" t="str">
        <f>"3. "&amp;'Общие данные'!D64&amp;" TA'MINOTI BO‘YICHA "</f>
        <v xml:space="preserve">3. MIKROQARZ TA'MINOTI BO‘YICHA </v>
      </c>
      <c r="B22" s="304"/>
    </row>
    <row r="23" spans="1:11" ht="39.75" customHeight="1" x14ac:dyDescent="0.25">
      <c r="A23" s="297" t="str">
        <f>"3.1. Ushbu Shartnoma bo‘yicha taqdim etilgan "&amp;'Общие данные'!C64&amp;" quyidagi Mikroqarz summasiga nisbatan 150% dan kam bo'lmagan garov va Mikroqarz to'lamaslik xavfini sug'urta polisi  bilan ta'minlanadi:"</f>
        <v>3.1. Ushbu Shartnoma bo‘yicha taqdim etilgan Mikroqarz quyidagi Mikroqarz summasiga nisbatan 150% dan kam bo'lmagan garov va Mikroqarz to'lamaslik xavfini sug'urta polisi  bilan ta'minlanadi:</v>
      </c>
      <c r="B23" s="297"/>
    </row>
    <row r="24" spans="1:11" ht="151.5" customHeight="1" x14ac:dyDescent="0.25">
      <c r="A24" s="359" t="str">
        <f>IF('Общие данные'!B104='Общие данные'!C104,договор!A28,IF('Общие данные'!B104='Общие данные'!D104,договор!A25,0))</f>
        <v>3.1.1. Mikromoliya tashkiloti, Qarz oluvchi va BOBONAZAROV ASLBEK AKRAM O'G'LI (26.12.2024y. sanasidagi reestr raqami №202401864005639 bo'lgan Ishonchnomaga asosan) tomonidan 2025 yil 28 fevralda imzolangan 1-sonli garov predmeti qiymatini tasdiqlash dalolatnomasiga muvofiq OQ SUMMIT WHITE rangli, ishlab chiqarilgan yili – 2024 yil,  dvigatel raqami F8CB240180255, shassi -  - ,  kuzov turi - YENGIL SEDAN, kuzov raqami №XWB7T12YDRP863654, davlat raqam belgisi 80X089BB bo'lgan DAMAS-2 rusumli avtomashinasi (bundan keyin “Garov predmeti”), egalik huquqiga ega  BOBONAZAROV ASLBEK AKRAM O'G'LIga tegishli va kelishilgan garov qiymati 2025 yil 28 fevralda imzolangan 1-sonli Garov predmeti qiymatini tasdiqlash dalolatnomasiga muvifiq 97 500 000,00 (to'qson yetti million besh yuz ming so'm) so'mni tashkil qiladi. Garov garovining aniq shartlari tegishli notarial rasmiylashtirilgan garov shartnomasi bilan belgilanadi.</v>
      </c>
      <c r="B24" s="359"/>
    </row>
    <row r="25" spans="1:11" ht="129" hidden="1" customHeight="1" x14ac:dyDescent="0.25">
      <c r="A25" s="297" t="str">
        <f>IF('Общие данные'!B93='Общие данные'!C93,договор!A27,IF('Общие данные'!B93='Общие данные'!D93,договор!A26,0))</f>
        <v>3.1.1. Mikromoliya tashkiloti, Qarz oluvchi va BOBONAZAROV ASLBEK AKRAM O'G'LI (26.12.2024y. sanasidagi reestr raqami №202401864005639 bo'lgan Ishonchnomaga asosan) tomonidan 2025 yil 28 fevralda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0ga tegishli va kelishilgan garov qiymati 2025 yil 28 fevralda imzolangan 1-sonli Garov predmeti qiymatini tasdiqlash dalolatnomasiga muvofiq 97 500 000,00 (to'qson yetti million besh yuz ming so'm) so'mni tashkil qiladi. Garovning aniq shartlari tegishli tarzda notarial tasdiqlangan garov shartnomasi bilan belgilangan.</v>
      </c>
      <c r="B25" s="297"/>
    </row>
    <row r="26" spans="1:11" ht="129.75" hidden="1" customHeight="1" x14ac:dyDescent="0.25">
      <c r="A26" s="309" t="str">
        <f>"3.1.1. "&amp;'Общие данные'!N127&amp;" tomonidan "&amp;'Общие данные'!B144&amp;" yil "&amp;'Общие данные'!B146&amp;" "&amp;'Общие данные'!B145&amp;"da imzolangan 1-sonli navbatdagi garov predmeti qiymatini tasdiqlash dalolatnomasiga muvofiq "&amp;'Общие данные'!C124&amp;" manzilida joylashgan, "&amp;'Общие данные'!E127&amp;" bo'lgan, "&amp;'Общие данные'!E126&amp;" ko'rinishidagi ko'chmas mulk (bundan keyin “navbatdagi garov predmeti”), egalik huquqiga ko'ra  "&amp;'Общие данные'!C118&amp;"ga tegishli va kelishilgan garov qiymati "&amp;'Общие данные'!B144&amp;" yil "&amp;'Общие данные'!B146&amp;" "&amp;'Общие данные'!B145&amp;"da imzolangan 1-sonli Garov predmeti qiymatini tasdiqlash dalolatnomasiga muvofiq "&amp;FIXED('Общие данные'!B137,2)&amp;" ("&amp;'Общие данные'!B139&amp;") so'mni tashkil qiladi. Garovning aniq shartlari tegishli tarzda notarial tasdiqlangan garov shartnomasi bilan belgilangan."</f>
        <v>3.1.1. Mikromoliya tashkiloti, Qarz oluvchi va BOBONAZAROV ASLBEK AKRAM O'G'LI (26.12.2024y. sanasidagi reestr raqami №202401864005639 bo'lgan Ishonchnomaga asosan) tomonidan 2025 yil 28 fevralda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0ga tegishli va kelishilgan garov qiymati 2025 yil 28 fevralda imzolangan 1-sonli Garov predmeti qiymatini tasdiqlash dalolatnomasiga muvofiq 97 500 000,00 (to'qson yetti million besh yuz ming so'm) so'mni tashkil qiladi. Garovning aniq shartlari tegishli tarzda notarial tasdiqlangan garov shartnomasi bilan belgilangan.</v>
      </c>
      <c r="B26" s="309"/>
    </row>
    <row r="27" spans="1:11" ht="131.25" hidden="1" customHeight="1" x14ac:dyDescent="0.25">
      <c r="A27" s="297" t="str">
        <f>"3.1.1. "&amp;'Общие данные'!N127&amp;" tomonidan "&amp;'Общие данные'!B144&amp;" yil "&amp;'Общие данные'!B146&amp;" "&amp;'Общие данные'!B145&amp;"da imzolangan 1-sonli Garov predmeti qiymatini tasdiqlash dalolatnomasiga muvofiq "&amp;'Общие данные'!C124&amp;" manzilida joylashgan, "&amp;'Общие данные'!E127&amp;" bo'lgan, "&amp;'Общие данные'!E126&amp;" ko'rinishidagi ko'chmas mulk (bundan keyin “Garov predmeti”), egalik huquqiga ko'ra  "&amp;'Общие данные'!C118&amp;"ga tegishli va kelishilgan garov qiymati "&amp;'Общие данные'!B144&amp;" yil "&amp;'Общие данные'!B146&amp;" "&amp;'Общие данные'!B145&amp;"da imzolangan 1-sonli Garov predmeti qiymatini tasdiqlash dalolatnomasiga muvofiq "&amp;FIXED('Общие данные'!B137,2)&amp;" ("&amp;'Общие данные'!B139&amp;") so'mni tashkil qiladi. Garovning aniq shartlari tegishli tarzda notarial tasdiqlangan garov shartnomasi bilan belgilangan."</f>
        <v>3.1.1. Mikromoliya tashkiloti, Qarz oluvchi va BOBONAZAROV ASLBEK AKRAM O'G'LI (26.12.2024y. sanasidagi reestr raqami №202401864005639 bo'lgan Ishonchnomaga asosan) tomonidan 2025 yil 28 fevralda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0ga tegishli va kelishilgan garov qiymati 2025 yil 28 fevralda imzolangan 1-sonli Garov predmeti qiymatini tasdiqlash dalolatnomasiga muvofiq 97 500 000,00 (to'qson yetti million besh yuz ming so'm) so'mni tashkil qiladi. Garovning aniq shartlari tegishli tarzda notarial tasdiqlangan garov shartnomasi bilan belgilangan.</v>
      </c>
      <c r="B27" s="297"/>
    </row>
    <row r="28" spans="1:11" ht="114" hidden="1" customHeight="1" x14ac:dyDescent="0.25">
      <c r="A28" s="309" t="str">
        <f>IF('Общие данные'!B93='Общие данные'!C93,A29,IF('Общие данные'!B93='Общие данные'!D93,A30,0))</f>
        <v>3.1.1. Mikromoliya tashkiloti, Qarz oluvchi va BOBONAZAROV ASLBEK AKRAM O'G'LI (26.12.2024y. sanasidagi reestr raqami №202401864005639 bo'lgan Ishonchnomaga asosan) tomonidan 2025 yil 28 fevralda imzolangan 1-sonli garov predmeti qiymatini tasdiqlash dalolatnomasiga muvofiq OQ SUMMIT WHITE rangli, ishlab chiqarilgan yili – 2024 yil,  dvigatel raqami F8CB240180255, shassi -  - ,  kuzov turi - YENGIL SEDAN, kuzov raqami №XWB7T12YDRP863654, davlat raqam belgisi 80X089BB bo'lgan DAMAS-2 rusumli avtomashinasi (bundan keyin “Garov predmeti”), egalik huquqiga ega  BOBONAZAROV ASLBEK AKRAM O'G'LIga tegishli va kelishilgan garov qiymati 2025 yil 28 fevralda imzolangan 1-sonli Garov predmeti qiymatini tasdiqlash dalolatnomasiga muvifiq 97 500 000,00 (to'qson yetti million besh yuz ming so'm) so'mni tashkil qiladi. Garov garovining aniq shartlari tegishli notarial rasmiylashtirilgan garov shartnomasi bilan belgilanadi.</v>
      </c>
      <c r="B28" s="309"/>
      <c r="K28" s="7" t="s">
        <v>329</v>
      </c>
    </row>
    <row r="29" spans="1:11" ht="114.75" hidden="1" customHeight="1" x14ac:dyDescent="0.25">
      <c r="A29" s="309" t="str">
        <f>"3.1.1. "&amp;'Общие данные'!N127&amp;" tomonidan "&amp;'Общие данные'!B144&amp;" yil "&amp;'Общие данные'!B146&amp;" "&amp;'Общие данные'!B145&amp;"da imzolangan 1-sonli garov predmeti qiymatini tasdiqlash dalolatnomasiga muvofiq "&amp;'Общие данные'!B135&amp;" rangli, ishlab chiqarilgan yili – "&amp;'Общие данные'!B136&amp;" yil,  dvigatel raqami "&amp;'Общие данные'!B132&amp;", shassi - "&amp;'Общие данные'!B133&amp;",  kuzov turi - "&amp;'Общие данные'!B129&amp;", kuzov raqami №"&amp;'Общие данные'!B130&amp;", davlat raqam belgisi "&amp;'Общие данные'!B127&amp;" bo'lgan "&amp;'Общие данные'!B126&amp;" rusumli avtomashinasi (bundan keyin “Garov predmeti”), egalik huquqiga ega  "&amp;'Общие данные'!B118&amp;"ga tegishli va kelishilgan garov qiymati "&amp;'Общие данные'!B144&amp;" yil "&amp;'Общие данные'!B146&amp;" "&amp;'Общие данные'!B145&amp;"da imzolangan 1-sonli Garov predmeti qiymatini tasdiqlash dalolatnomasiga muvifiq "&amp;FIXED('Общие данные'!B137,2)&amp;" ("&amp;'Общие данные'!B139&amp;") so'mni tashkil qiladi. Garov garovining aniq shartlari tegishli notarial rasmiylashtirilgan garov shartnomasi bilan belgilanadi."</f>
        <v>3.1.1. Mikromoliya tashkiloti, Qarz oluvchi va BOBONAZAROV ASLBEK AKRAM O'G'LI (26.12.2024y. sanasidagi reestr raqami №202401864005639 bo'lgan Ishonchnomaga asosan) tomonidan 2025 yil 28 fevralda imzolangan 1-sonli garov predmeti qiymatini tasdiqlash dalolatnomasiga muvofiq OQ SUMMIT WHITE rangli, ishlab chiqarilgan yili – 2024 yil,  dvigatel raqami F8CB240180255, shassi -  - ,  kuzov turi - YENGIL SEDAN, kuzov raqami №XWB7T12YDRP863654, davlat raqam belgisi 80X089BB bo'lgan DAMAS-2 rusumli avtomashinasi (bundan keyin “Garov predmeti”), egalik huquqiga ega  BOBONAZAROV ASLBEK AKRAM O'G'LIga tegishli va kelishilgan garov qiymati 2025 yil 28 fevralda imzolangan 1-sonli Garov predmeti qiymatini tasdiqlash dalolatnomasiga muvifiq 97 500 000,00 (to'qson yetti million besh yuz ming so'm) so'mni tashkil qiladi. Garov garovining aniq shartlari tegishli notarial rasmiylashtirilgan garov shartnomasi bilan belgilanadi.</v>
      </c>
      <c r="B29" s="309"/>
    </row>
    <row r="30" spans="1:11" ht="115.5" hidden="1" customHeight="1" x14ac:dyDescent="0.25">
      <c r="A30" s="310" t="str">
        <f>"3.1.1. "&amp;'Общие данные'!N127&amp;" tomonidan "&amp;'Общие данные'!B144&amp;" yil "&amp;'Общие данные'!B146&amp;" "&amp;'Общие данные'!B145&amp;"da imzolangan 1-sonli navbatdagi garov predmeti qiymatini tasdiqlash dalolatnomasiga muvofiq "&amp;'Общие данные'!B135&amp;" rangli, ishlab chiqarilgan yili – "&amp;'Общие данные'!B136&amp;" yil,  dvigatel raqami "&amp;'Общие данные'!B132&amp;", shassi - "&amp;'Общие данные'!B133&amp;",  kuzov turi - "&amp;'Общие данные'!B129&amp;", kuzov raqami №"&amp;'Общие данные'!B130&amp;", davlat raqam belgisi "&amp;'Общие данные'!B127&amp;" bo'lgan "&amp;'Общие данные'!B126&amp;" rusumli avtomashinasi (bundan keyin “navbatdagi garov predmeti”), egalik huquqiga ega  "&amp;'Общие данные'!B118&amp;"ga tegishli va kelishilgan garov qiymati "&amp;'Общие данные'!B144&amp;" yil "&amp;'Общие данные'!B146&amp;" "&amp;'Общие данные'!B145&amp;"da imzolangan 1-sonli Garov predmeti qiymatini tasdiqlash dalolatnomasiga muvifiq "&amp;FIXED('Общие данные'!B137,2)&amp;" ("&amp;'Общие данные'!B139&amp;") so'mni tashkil qiladi. Garov garovining aniq shartlari tegishli notarial rasmiylashtirilgan garov shartnomasi bilan belgilanadi."</f>
        <v>3.1.1. Mikromoliya tashkiloti, Qarz oluvchi va BOBONAZAROV ASLBEK AKRAM O'G'LI (26.12.2024y. sanasidagi reestr raqami №202401864005639 bo'lgan Ishonchnomaga asosan) tomonidan 2025 yil 28 fevralda imzolangan 1-sonli navbatdagi garov predmeti qiymatini tasdiqlash dalolatnomasiga muvofiq OQ SUMMIT WHITE rangli, ishlab chiqarilgan yili – 2024 yil,  dvigatel raqami F8CB240180255, shassi -  - ,  kuzov turi - YENGIL SEDAN, kuzov raqami №XWB7T12YDRP863654, davlat raqam belgisi 80X089BB bo'lgan DAMAS-2 rusumli avtomashinasi (bundan keyin “navbatdagi garov predmeti”), egalik huquqiga ega  BOBONAZAROV ASLBEK AKRAM O'G'LIga tegishli va kelishilgan garov qiymati 2025 yil 28 fevralda imzolangan 1-sonli Garov predmeti qiymatini tasdiqlash dalolatnomasiga muvifiq 97 500 000,00 (to'qson yetti million besh yuz ming so'm) so'mni tashkil qiladi. Garov garovining aniq shartlari tegishli notarial rasmiylashtirilgan garov shartnomasi bilan belgilanadi.</v>
      </c>
      <c r="B30" s="310"/>
    </row>
    <row r="31" spans="1:11" ht="100.15" customHeight="1" x14ac:dyDescent="0.25">
      <c r="A31" s="359" t="str">
        <f>CONCATENATE(C31,D31)</f>
        <v>3.1.2. «АО СК "IMPEX INSURANCE"» АJ sug‘urta kompaniyasi (keyingi o'rinlarda-Sug‘urtalovchi) tomonidan Mikroqarz to'lamaslik xavfini Mikroqarz summasiga nisbatan 150% dan hisoblab 15 000 000,00(o'n besh million so'm) so ' m miqdoriga sug’urta qilish. Ushbu shartnoma bo‘yicha Mikroqarz berilgunga qadar Mikromoliya tashkiloti Sug‘urtalovchi 15 000 000,00(o'n besh million so'm) so ' m miqdoridagi Mikroqarzni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v>
      </c>
      <c r="B31" s="359"/>
      <c r="C31" s="7" t="str">
        <f>"3.1.2. «"&amp;'Общие данные'!B147&amp;"» АJ sug‘urta kompaniyasi (keyingi o'rinlarda-Sug‘urtalovchi) tomonidan "&amp;'Общие данные'!C64&amp;" to'lamaslik xavfini Mikroqarz summasiga nisbatan 150% dan hisoblab "&amp;FIXED('Общие данные'!B148,2)&amp;"("&amp;'Общие данные'!B149&amp;") so ' m miqdoriga sug’urta qilish."</f>
        <v>3.1.2. «АО СК "IMPEX INSURANCE"» АJ sug‘urta kompaniyasi (keyingi o'rinlarda-Sug‘urtalovchi) tomonidan Mikroqarz to'lamaslik xavfini Mikroqarz summasiga nisbatan 150% dan hisoblab 15 000 000,00(o'n besh million so'm) so ' m miqdoriga sug’urta qilish.</v>
      </c>
      <c r="D31" s="7" t="str">
        <f>CONCATENATE(E31,F31)</f>
        <v xml:space="preserve"> Ushbu shartnoma bo‘yicha Mikroqarz berilgunga qadar Mikromoliya tashkiloti Sug‘urtalovchi 15 000 000,00(o'n besh million so'm) so ' m miqdoridagi Mikroqarzni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v>
      </c>
      <c r="E31" s="7" t="str">
        <f>" Ushbu shartnoma bo‘yicha "&amp;'Общие данные'!C64&amp;" berilgunga qadar Mikromoliya tashkiloti Sug‘urtalovchi "&amp;FIXED('Общие данные'!B148,2)&amp;"("&amp;'Общие данные'!B149&amp;") so ' m miqdoridagi "&amp;'Общие данные'!C64&amp;""</f>
        <v xml:space="preserve"> Ushbu shartnoma bo‘yicha Mikroqarz berilgunga qadar Mikromoliya tashkiloti Sug‘urtalovchi 15 000 000,00(o'n besh million so'm) so ' m miqdoridagi Mikroqarz</v>
      </c>
      <c r="F31" s="7" t="s">
        <v>400</v>
      </c>
    </row>
    <row r="32" spans="1:11" ht="117" customHeight="1" x14ac:dyDescent="0.25">
      <c r="A32" s="308" t="str">
        <f>CONCATENATE(A33,B33)</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2" s="308"/>
    </row>
    <row r="33" spans="1:8" ht="94.5" hidden="1" x14ac:dyDescent="0.25">
      <c r="A33" s="173" t="s">
        <v>358</v>
      </c>
      <c r="B33" s="33" t="str">
        <f>CONCATENATE(A34,B34)</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4" spans="1:8" ht="78.75" hidden="1" x14ac:dyDescent="0.25">
      <c r="A34" s="173"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mikroqarz</v>
      </c>
      <c r="B34" s="33" t="s">
        <v>339</v>
      </c>
    </row>
    <row r="35" spans="1:8" ht="85.5" customHeight="1" x14ac:dyDescent="0.25">
      <c r="A35" s="308" t="s">
        <v>265</v>
      </c>
      <c r="B35" s="308"/>
    </row>
    <row r="36" spans="1:8" ht="84" customHeight="1" x14ac:dyDescent="0.25">
      <c r="A36" s="308" t="s">
        <v>317</v>
      </c>
      <c r="B36" s="308"/>
    </row>
    <row r="37" spans="1:8" ht="114.6" customHeight="1" x14ac:dyDescent="0.25">
      <c r="A37" s="297" t="s">
        <v>401</v>
      </c>
      <c r="B37" s="297"/>
    </row>
    <row r="39" spans="1:8" x14ac:dyDescent="0.25">
      <c r="A39" s="307" t="s">
        <v>316</v>
      </c>
      <c r="B39" s="307"/>
      <c r="C39" s="80"/>
    </row>
    <row r="40" spans="1:8" x14ac:dyDescent="0.25">
      <c r="A40" s="311" t="s">
        <v>315</v>
      </c>
      <c r="B40" s="311"/>
    </row>
    <row r="41" spans="1:8" ht="116.25" customHeight="1" x14ac:dyDescent="0.25">
      <c r="A41" s="308" t="str">
        <f>CONCATENATE(C41,H41)</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41" s="308"/>
      <c r="C41" s="7" t="str">
        <f>"4.1.1. Ushbu Shartnomada ko‘rsatilgan asoslar bo‘yicha Qarz oluvchiga Shartnomada ko‘zda tutilgan "&amp;'Общие данные'!B65&amp;""</f>
        <v>4.1.1. Ushbu Shartnomada ko‘rsatilgan asoslar bo‘yicha Qarz oluvchiga Shartnomada ko‘zda tutilgan mikroqarz</v>
      </c>
      <c r="H41" s="169" t="s">
        <v>387</v>
      </c>
    </row>
    <row r="42" spans="1:8" ht="39" customHeight="1" x14ac:dyDescent="0.25">
      <c r="A42" s="308" t="str">
        <f>"4.1.2.1. "&amp;'Общие данные'!C64&amp;"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2" s="308"/>
    </row>
    <row r="43" spans="1:8" x14ac:dyDescent="0.25">
      <c r="A43" s="308" t="s">
        <v>318</v>
      </c>
      <c r="B43" s="308"/>
    </row>
    <row r="44" spans="1:8" ht="30" customHeight="1" x14ac:dyDescent="0.25">
      <c r="A44" s="308" t="str">
        <f>"b) "&amp;'Общие данные'!B65&amp;" summasiga hisoblanadigan asosiy qarz bo‘yicha muddati o‘tgan qarzdorlik va/yoki foizlarning yuzaga kelishi;"</f>
        <v>b) mikroqarz summasiga hisoblanadigan asosiy qarz bo‘yicha muddati o‘tgan qarzdorlik va/yoki foizlarning yuzaga kelishi;</v>
      </c>
      <c r="B44" s="308"/>
    </row>
    <row r="45" spans="1:8" ht="37.5" customHeight="1" x14ac:dyDescent="0.25">
      <c r="A45" s="308" t="s">
        <v>319</v>
      </c>
      <c r="B45" s="308"/>
    </row>
    <row r="46" spans="1:8" ht="52.5" customHeight="1" x14ac:dyDescent="0.25">
      <c r="A46" s="308" t="s">
        <v>320</v>
      </c>
      <c r="B46" s="308"/>
    </row>
    <row r="47" spans="1:8" ht="19.5" customHeight="1" x14ac:dyDescent="0.25">
      <c r="A47" s="308" t="s">
        <v>321</v>
      </c>
      <c r="B47" s="308"/>
    </row>
    <row r="48" spans="1:8" ht="51.75" customHeight="1" x14ac:dyDescent="0.25">
      <c r="A48" s="308"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8" s="308"/>
    </row>
    <row r="49" spans="1:8" ht="33.75" customHeight="1" x14ac:dyDescent="0.25">
      <c r="A49" s="308" t="s">
        <v>314</v>
      </c>
      <c r="B49" s="308"/>
    </row>
    <row r="50" spans="1:8" ht="36.75" customHeight="1" x14ac:dyDescent="0.25">
      <c r="A50" s="308" t="s">
        <v>313</v>
      </c>
      <c r="B50" s="308"/>
      <c r="C50" s="173"/>
    </row>
    <row r="51" spans="1:8" ht="90" customHeight="1" x14ac:dyDescent="0.25">
      <c r="A51" s="297" t="s">
        <v>312</v>
      </c>
      <c r="B51" s="297"/>
      <c r="C51" s="173"/>
    </row>
    <row r="52" spans="1:8" ht="70.5" customHeight="1" x14ac:dyDescent="0.25">
      <c r="A52" s="297" t="s">
        <v>311</v>
      </c>
      <c r="B52" s="297"/>
      <c r="C52" s="173"/>
    </row>
    <row r="53" spans="1:8" ht="39.75" customHeight="1" x14ac:dyDescent="0.25">
      <c r="A53" s="297" t="str">
        <f>"4.1.7. Qarz oluvchini oldindan ogohlantirmasdan "&amp;'Общие данные'!B65&amp;"ni qaytarish uchun haqiqatdan ham garov ta'minoti mavjudligini tekshirishni amalga oshirish."</f>
        <v>4.1.7. Qarz oluvchini oldindan ogohlantirmasdan mikroqarzni qaytarish uchun haqiqatdan ham garov ta'minoti mavjudligini tekshirishni amalga oshirish.</v>
      </c>
      <c r="B53" s="297"/>
      <c r="C53" s="173"/>
    </row>
    <row r="54" spans="1:8" ht="33" customHeight="1" x14ac:dyDescent="0.25">
      <c r="A54" s="297" t="s">
        <v>322</v>
      </c>
      <c r="B54" s="297"/>
      <c r="C54" s="173"/>
    </row>
    <row r="55" spans="1:8" ht="39.75" customHeight="1" x14ac:dyDescent="0.25">
      <c r="A55" s="297" t="s">
        <v>310</v>
      </c>
      <c r="B55" s="297"/>
      <c r="C55" s="173"/>
    </row>
    <row r="56" spans="1:8" ht="50.25" customHeight="1" x14ac:dyDescent="0.25">
      <c r="A56" s="297" t="str">
        <f>CONCATENATE(C56,H56)</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6" s="297"/>
      <c r="C56" s="173" t="str">
        <f>"4.1.10. Qarz oluvchi taqdim etilgan "&amp;'Общие данные'!B65&amp;"dan Shartnoma tuzilgan kundan boshlab 1 (bir) oy davomida foydalanmagan"</f>
        <v>4.1.10. Qarz oluvchi taqdim etilgan mikroqarzdan Shartnoma tuzilgan kundan boshlab 1 (bir) oy davomida foydalanmagan</v>
      </c>
      <c r="H56" s="7" t="s">
        <v>340</v>
      </c>
    </row>
    <row r="57" spans="1:8" ht="19.5" customHeight="1" x14ac:dyDescent="0.25">
      <c r="A57" s="297" t="str">
        <f>"4.1.11. Oldingi "&amp;'Общие данные'!B65&amp;" to‘liq to‘lanmagunga qadar yangi "&amp;'Общие данные'!B65&amp;" berishni rad etish."</f>
        <v>4.1.11. Oldingi mikroqarz to‘liq to‘lanmagunga qadar yangi mikroqarz berishni rad etish.</v>
      </c>
      <c r="B57" s="297"/>
      <c r="C57" s="173"/>
    </row>
    <row r="59" spans="1:8" x14ac:dyDescent="0.25">
      <c r="A59" s="304" t="s">
        <v>309</v>
      </c>
      <c r="B59" s="304"/>
      <c r="C59" s="172"/>
    </row>
    <row r="60" spans="1:8" x14ac:dyDescent="0.25">
      <c r="A60" s="306" t="s">
        <v>308</v>
      </c>
      <c r="B60" s="306"/>
      <c r="C60" s="174"/>
    </row>
    <row r="61" spans="1:8" ht="36" customHeight="1" x14ac:dyDescent="0.25">
      <c r="A61" s="297" t="str">
        <f>"5.1.1. Ushbu shartnomada nazarda tutilgan shartlar bo‘yicha "&amp;'Общие данные'!B65&amp;" olish, shuningdek, Mikromoliya tashkiloti tomonidan ko‘rsatiladigan pullik xizmatlardan foydalanish."</f>
        <v>5.1.1. Ushbu shartnomada nazarda tutilgan shartlar bo‘yicha mikroqarz olish, shuningdek, Mikromoliya tashkiloti tomonidan ko‘rsatiladigan pullik xizmatlardan foydalanish.</v>
      </c>
      <c r="B61" s="297"/>
      <c r="C61" s="173"/>
    </row>
    <row r="62" spans="1:8" ht="36.75" customHeight="1" x14ac:dyDescent="0.25">
      <c r="A62" s="297"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mikroqarzning foydalanilmagan summasidan voz kechish.</v>
      </c>
      <c r="B62" s="297"/>
      <c r="C62" s="173"/>
    </row>
    <row r="63" spans="1:8" ht="17.25" customHeight="1" x14ac:dyDescent="0.25">
      <c r="A63" s="297" t="str">
        <f>"5.1.3. "&amp;'Общие данные'!C64&amp;" xizmatlari ko‘rsatish qoidalari bilan tanishish."</f>
        <v>5.1.3. Mikroqarz xizmatlari ko‘rsatish qoidalari bilan tanishish.</v>
      </c>
      <c r="B63" s="297"/>
      <c r="C63" s="173"/>
    </row>
    <row r="64" spans="1:8" ht="36" customHeight="1" x14ac:dyDescent="0.25">
      <c r="A64" s="297" t="str">
        <f>"5.1.4. O‘z huquq va majburiyatlari, shu jumladan "&amp;'Общие данные'!B65&amp;" xizmatlari ko‘rsatish bilan bog‘liq barcha xarajatlar haqida aniq va to‘liq ma'lumot olish."</f>
        <v>5.1.4. O‘z huquq va majburiyatlari, shu jumladan mikroqarz xizmatlari ko‘rsatish bilan bog‘liq barcha xarajatlar haqida aniq va to‘liq ma'lumot olish.</v>
      </c>
      <c r="B64" s="297"/>
      <c r="C64" s="173"/>
    </row>
    <row r="65" spans="1:8" ht="33.75" customHeight="1" x14ac:dyDescent="0.25">
      <c r="A65" s="297" t="s">
        <v>323</v>
      </c>
      <c r="B65" s="297"/>
      <c r="C65" s="173"/>
    </row>
    <row r="66" spans="1:8" x14ac:dyDescent="0.25">
      <c r="A66" s="306" t="s">
        <v>307</v>
      </c>
      <c r="B66" s="306"/>
      <c r="C66" s="174"/>
    </row>
    <row r="67" spans="1:8" ht="37.5" customHeight="1" x14ac:dyDescent="0.25">
      <c r="A67" s="297"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7" s="297"/>
      <c r="C67" s="173"/>
    </row>
    <row r="68" spans="1:8" ht="39.75" customHeight="1" x14ac:dyDescent="0.25">
      <c r="A68" s="297" t="s">
        <v>324</v>
      </c>
      <c r="B68" s="297"/>
      <c r="C68" s="173"/>
    </row>
    <row r="69" spans="1:8" ht="27" customHeight="1" x14ac:dyDescent="0.25">
      <c r="A69" s="297" t="str">
        <f>"5.2.3. To‘lov jadvaliga muvofiq "&amp;'Общие данные'!B65&amp;", shuningdek hisoblangan foizlar to‘lovlarini amalga oshirish."</f>
        <v>5.2.3. To‘lov jadvaliga muvofiq mikroqarz, shuningdek hisoblangan foizlar to‘lovlarini amalga oshirish.</v>
      </c>
      <c r="B69" s="297"/>
      <c r="C69" s="173"/>
    </row>
    <row r="70" spans="1:8" ht="84" customHeight="1" x14ac:dyDescent="0.25">
      <c r="A70" s="297" t="str">
        <f>CONCATENATE(C70,H70)</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70" s="297"/>
      <c r="C70" s="173" t="s">
        <v>341</v>
      </c>
      <c r="H70" s="7" t="str">
        <f>" "&amp;'Общие данные'!B65&amp;"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71" spans="1:8" ht="49.5" customHeight="1" x14ac:dyDescent="0.25">
      <c r="A71" s="297" t="s">
        <v>325</v>
      </c>
      <c r="B71" s="297"/>
      <c r="C71" s="173"/>
    </row>
    <row r="72" spans="1:8" ht="36" customHeight="1" x14ac:dyDescent="0.25">
      <c r="A72" s="297" t="str">
        <f>"5.2.6. Quyidagi holatlarda Mikromoliya tashkilotning birinchi talabi bilan "&amp;'Общие данные'!B65&amp;" qaytarilishi bo‘yicha qo‘shimcha garov ta'minotini taqdim etish: "</f>
        <v xml:space="preserve">5.2.6. Quyidagi holatlarda Mikromoliya tashkilotning birinchi talabi bilan mikroqarz qaytarilishi bo‘yicha qo‘shimcha garov ta'minotini taqdim etish: </v>
      </c>
      <c r="B72" s="297"/>
      <c r="C72" s="173"/>
    </row>
    <row r="73" spans="1:8" ht="51.75" customHeight="1" x14ac:dyDescent="0.25">
      <c r="A73" s="305" t="s">
        <v>342</v>
      </c>
      <c r="B73" s="305"/>
      <c r="C73" s="176"/>
    </row>
    <row r="74" spans="1:8" ht="71.25" customHeight="1" x14ac:dyDescent="0.25">
      <c r="A74" s="297"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4" s="297"/>
      <c r="C74" s="173"/>
    </row>
    <row r="75" spans="1:8" ht="33.75" customHeight="1" x14ac:dyDescent="0.25">
      <c r="A75" s="297" t="str">
        <f>"5.2.8. Mikromoliya tashkilotining "&amp;'Общие данные'!B65&amp;"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5" s="297"/>
      <c r="C75" s="173"/>
      <c r="H75" s="7" t="s">
        <v>338</v>
      </c>
    </row>
    <row r="76" spans="1:8" ht="68.25" customHeight="1" x14ac:dyDescent="0.25">
      <c r="A76" s="297" t="str">
        <f>CONCATENATE(C76,H76)</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6" s="297"/>
      <c r="C76" s="173" t="str">
        <f>"5.2.9. Mikromoliya tashkilotining talabi bo‘yicha Mikromoliya tashkiloti ko‘rgan, shu jumladan "&amp;'Общие данные'!B65&amp;" bo‘yicha (asosiy qarz, foizlar va boshqalar)"</f>
        <v>5.2.9. Mikromoliya tashkilotining talabi bo‘yicha Mikromoliya tashkiloti ko‘rgan, shu jumladan mikroqarz bo‘yicha (asosiy qarz, foizlar va boshqalar)</v>
      </c>
      <c r="H76" s="7" t="s">
        <v>343</v>
      </c>
    </row>
    <row r="77" spans="1:8" x14ac:dyDescent="0.25">
      <c r="A77" s="76"/>
    </row>
    <row r="78" spans="1:8" x14ac:dyDescent="0.25">
      <c r="A78" s="307" t="s">
        <v>306</v>
      </c>
      <c r="B78" s="307"/>
      <c r="C78" s="175"/>
    </row>
    <row r="79" spans="1:8" ht="98.25" customHeight="1" x14ac:dyDescent="0.25">
      <c r="A79" s="297" t="str">
        <f>CONCATENATE(C79,H79)</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9" s="297"/>
      <c r="C79" s="173" t="s">
        <v>344</v>
      </c>
      <c r="H79" s="7" t="str">
        <f>""&amp;'Общие данные'!B65&amp;"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80" spans="1:8" ht="37.5" customHeight="1" x14ac:dyDescent="0.25">
      <c r="A80" s="297" t="s">
        <v>305</v>
      </c>
      <c r="B80" s="297"/>
      <c r="C80" s="173"/>
    </row>
    <row r="81" spans="1:3" ht="35.25" customHeight="1" x14ac:dyDescent="0.25">
      <c r="A81" s="297" t="s">
        <v>304</v>
      </c>
      <c r="B81" s="297"/>
      <c r="C81" s="173"/>
    </row>
    <row r="82" spans="1:3" ht="33" customHeight="1" x14ac:dyDescent="0.25">
      <c r="A82" s="297" t="s">
        <v>303</v>
      </c>
      <c r="B82" s="297"/>
      <c r="C82" s="173"/>
    </row>
    <row r="84" spans="1:3" x14ac:dyDescent="0.25">
      <c r="A84" s="298" t="s">
        <v>302</v>
      </c>
      <c r="B84" s="298"/>
      <c r="C84" s="69"/>
    </row>
    <row r="85" spans="1:3" ht="162.75" customHeight="1" x14ac:dyDescent="0.25">
      <c r="A85" s="297" t="s">
        <v>301</v>
      </c>
      <c r="B85" s="297"/>
      <c r="C85" s="173"/>
    </row>
    <row r="86" spans="1:3" ht="33.75" customHeight="1" x14ac:dyDescent="0.25">
      <c r="A86" s="297" t="s">
        <v>345</v>
      </c>
      <c r="B86" s="297"/>
      <c r="C86" s="173"/>
    </row>
    <row r="87" spans="1:3" ht="51.75" customHeight="1" x14ac:dyDescent="0.25">
      <c r="A87" s="297" t="s">
        <v>300</v>
      </c>
      <c r="B87" s="297"/>
      <c r="C87" s="173"/>
    </row>
    <row r="88" spans="1:3" ht="36" customHeight="1" x14ac:dyDescent="0.25">
      <c r="A88" s="297" t="s">
        <v>299</v>
      </c>
      <c r="B88" s="297"/>
      <c r="C88" s="173"/>
    </row>
    <row r="90" spans="1:3" x14ac:dyDescent="0.25">
      <c r="A90" s="298" t="s">
        <v>298</v>
      </c>
      <c r="B90" s="298"/>
      <c r="C90" s="69"/>
    </row>
    <row r="91" spans="1:3" ht="114.75" customHeight="1" x14ac:dyDescent="0.25">
      <c r="A91" s="297" t="s">
        <v>359</v>
      </c>
      <c r="B91" s="297"/>
      <c r="C91" s="173"/>
    </row>
    <row r="92" spans="1:3" ht="36" customHeight="1" x14ac:dyDescent="0.25">
      <c r="A92" s="297" t="s">
        <v>326</v>
      </c>
      <c r="B92" s="297"/>
      <c r="C92" s="173"/>
    </row>
    <row r="93" spans="1:3" ht="64.5" customHeight="1" x14ac:dyDescent="0.25">
      <c r="A93" s="297"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3" s="297"/>
      <c r="C93" s="173"/>
    </row>
    <row r="95" spans="1:3" x14ac:dyDescent="0.25">
      <c r="A95" s="303" t="s">
        <v>297</v>
      </c>
      <c r="B95" s="303"/>
      <c r="C95" s="78"/>
    </row>
    <row r="96" spans="1:3" ht="20.25" customHeight="1" x14ac:dyDescent="0.25">
      <c r="A96" s="297" t="s">
        <v>296</v>
      </c>
      <c r="B96" s="297"/>
      <c r="C96" s="173"/>
    </row>
    <row r="97" spans="1:3" ht="33.75" customHeight="1" x14ac:dyDescent="0.25">
      <c r="A97" s="297" t="str">
        <f>"9.2. Shartnomaning amal qilish muddati Qarz oluvchi "&amp;'Общие данные'!B65&amp;"ni to‘liq qaytargan, hisoblangan foizlar, penya va boshqa pul majburiyatlarini to‘lagan kunda yakunlanadi."</f>
        <v>9.2. Shartnomaning amal qilish muddati Qarz oluvchi mikroqarzni to‘liq qaytargan, hisoblangan foizlar, penya va boshqa pul majburiyatlarini to‘lagan kunda yakunlanadi.</v>
      </c>
      <c r="B97" s="297"/>
      <c r="C97" s="173"/>
    </row>
    <row r="98" spans="1:3" ht="51" customHeight="1" x14ac:dyDescent="0.25">
      <c r="A98" s="297" t="s">
        <v>295</v>
      </c>
      <c r="B98" s="297"/>
      <c r="C98" s="173"/>
    </row>
    <row r="100" spans="1:3" x14ac:dyDescent="0.25">
      <c r="A100" s="304" t="s">
        <v>294</v>
      </c>
      <c r="B100" s="304"/>
      <c r="C100" s="68"/>
    </row>
    <row r="101" spans="1:3" ht="82.5" customHeight="1" x14ac:dyDescent="0.25">
      <c r="A101" s="297" t="s">
        <v>293</v>
      </c>
      <c r="B101" s="297"/>
      <c r="C101" s="173"/>
    </row>
    <row r="102" spans="1:3" ht="66" customHeight="1" x14ac:dyDescent="0.25">
      <c r="A102" s="297" t="s">
        <v>292</v>
      </c>
      <c r="B102" s="297"/>
      <c r="C102" s="173"/>
    </row>
    <row r="103" spans="1:3" ht="48" customHeight="1" x14ac:dyDescent="0.25">
      <c r="A103" s="297" t="s">
        <v>291</v>
      </c>
      <c r="B103" s="297"/>
      <c r="C103" s="173"/>
    </row>
    <row r="105" spans="1:3" x14ac:dyDescent="0.25">
      <c r="A105" s="298" t="s">
        <v>290</v>
      </c>
      <c r="B105" s="298"/>
      <c r="C105" s="157"/>
    </row>
    <row r="106" spans="1:3" ht="37.5" customHeight="1" x14ac:dyDescent="0.25">
      <c r="A106" s="297" t="s">
        <v>289</v>
      </c>
      <c r="B106" s="297"/>
      <c r="C106" s="173"/>
    </row>
    <row r="107" spans="1:3" ht="34.5" customHeight="1" x14ac:dyDescent="0.25">
      <c r="A107" s="297" t="s">
        <v>288</v>
      </c>
      <c r="B107" s="297"/>
      <c r="C107" s="173"/>
    </row>
    <row r="108" spans="1:3" ht="66.75" customHeight="1" x14ac:dyDescent="0.25">
      <c r="A108" s="297" t="s">
        <v>287</v>
      </c>
      <c r="B108" s="297"/>
      <c r="C108" s="173"/>
    </row>
    <row r="109" spans="1:3" ht="51" customHeight="1" x14ac:dyDescent="0.25">
      <c r="A109" s="297" t="s">
        <v>286</v>
      </c>
      <c r="B109" s="297"/>
      <c r="C109" s="173"/>
    </row>
    <row r="110" spans="1:3" ht="37.5" customHeight="1" x14ac:dyDescent="0.25">
      <c r="A110" s="297" t="s">
        <v>285</v>
      </c>
      <c r="B110" s="297"/>
      <c r="C110" s="173"/>
    </row>
    <row r="111" spans="1:3" ht="38.25" customHeight="1" x14ac:dyDescent="0.25">
      <c r="A111" s="297" t="s">
        <v>284</v>
      </c>
      <c r="B111" s="297"/>
      <c r="C111" s="173"/>
    </row>
    <row r="112" spans="1:3" ht="21" customHeight="1" x14ac:dyDescent="0.25">
      <c r="A112" s="297" t="s">
        <v>283</v>
      </c>
      <c r="B112" s="297"/>
      <c r="C112" s="173"/>
    </row>
    <row r="113" spans="1:3" ht="32.25" customHeight="1" x14ac:dyDescent="0.25">
      <c r="A113" s="297"/>
      <c r="B113" s="297"/>
      <c r="C113" s="173"/>
    </row>
    <row r="115" spans="1:3" x14ac:dyDescent="0.25">
      <c r="A115" s="303" t="s">
        <v>327</v>
      </c>
      <c r="B115" s="303"/>
      <c r="C115" s="78"/>
    </row>
    <row r="117" spans="1:3" x14ac:dyDescent="0.25">
      <c r="A117" s="79" t="s">
        <v>282</v>
      </c>
      <c r="B117" s="79" t="s">
        <v>281</v>
      </c>
    </row>
    <row r="119" spans="1:3" ht="31.5" x14ac:dyDescent="0.25">
      <c r="A119" s="78" t="str">
        <f>'Общие данные'!B152</f>
        <v>«CLEVER MIKROMOLIYA TASHKILOTI» MChJ</v>
      </c>
      <c r="B119" s="71" t="str">
        <f>'Общие данные'!B5</f>
        <v>ATAXANOV AKMAL AXMETDJANOVICH</v>
      </c>
    </row>
    <row r="121" spans="1:3" ht="58.5" customHeight="1" x14ac:dyDescent="0.25">
      <c r="A121" s="75" t="str">
        <f>"Manzil: "&amp;'Общие данные'!B157&amp;""</f>
        <v>Manzil: Toshkent shahri, Olmazor tumani, Sagbon ko'chasi, 30 boshi berk, 6-uy</v>
      </c>
      <c r="B121" s="75" t="str">
        <f>"Manzil: "&amp;'Общие данные'!B27&amp;""</f>
        <v>Manzil: QORAKO'L TUMANI DARG'ALI QFY</v>
      </c>
    </row>
    <row r="122" spans="1:3" ht="17.25" customHeight="1" x14ac:dyDescent="0.25">
      <c r="A122" s="77" t="str">
        <f>"h/r: "&amp;'Общие данные'!B158&amp;""</f>
        <v>h/r: №20216000705068380001</v>
      </c>
    </row>
    <row r="123" spans="1:3" ht="31.5" x14ac:dyDescent="0.25">
      <c r="A123" s="75" t="str">
        <f>"MFO: "&amp;'Общие данные'!B159&amp;" в "&amp;'Общие данные'!B160&amp;""</f>
        <v>MFO: №01042 в ATB “Kapitalbank” Sergeli filiali</v>
      </c>
      <c r="B123" s="75" t="str">
        <f>"pasport seriyasi: "&amp;'Общие данные'!B16&amp;", "&amp;'Общие данные'!B20&amp;""</f>
        <v>pasport seriyasi: AD7554127, IIV 6230 tomonidan 20.06.2024 yilda berilgan</v>
      </c>
    </row>
    <row r="124" spans="1:3" x14ac:dyDescent="0.25">
      <c r="A124" s="75" t="str">
        <f>"STIR: "&amp;'Общие данные'!B161&amp;""</f>
        <v>STIR: 306365847</v>
      </c>
      <c r="B124" s="70" t="str">
        <f>"Tel: "&amp;'Общие данные'!B40&amp;""</f>
        <v>Tel: 94 545-76-56 O'ZI</v>
      </c>
    </row>
    <row r="125" spans="1:3" x14ac:dyDescent="0.25">
      <c r="A125" s="196" t="str">
        <f>"Tel: (78) 113 31 33"</f>
        <v>Tel: (78) 113 31 33</v>
      </c>
      <c r="B125" s="70" t="str">
        <f>'Общие данные'!B41</f>
        <v>93 547-13-19  AYOLI</v>
      </c>
    </row>
    <row r="126" spans="1:3" x14ac:dyDescent="0.25">
      <c r="A126" s="196" t="s">
        <v>8</v>
      </c>
      <c r="B126" s="70" t="str">
        <f>'Общие данные'!B42</f>
        <v>93 753-02-44 O'RTOG'I</v>
      </c>
    </row>
    <row r="128" spans="1:3" x14ac:dyDescent="0.25">
      <c r="A128" s="302" t="str">
        <f>'Общие данные'!A165</f>
        <v>Qorako'l filiali boshlig'i</v>
      </c>
    </row>
    <row r="129" spans="1:2" x14ac:dyDescent="0.25">
      <c r="A129" s="302"/>
      <c r="B129" s="69" t="str">
        <f>""&amp;'Общие данные'!B7&amp;"     __________________"</f>
        <v>ATAXANOV A.A.     __________________</v>
      </c>
    </row>
    <row r="131" spans="1:2" x14ac:dyDescent="0.25">
      <c r="A131" s="157" t="str">
        <f>""&amp;'Общие данные'!B165&amp;"     __________________"</f>
        <v>Egamberdiyeva D.I.     __________________</v>
      </c>
      <c r="B131" s="187"/>
    </row>
    <row r="134" spans="1:2" hidden="1" x14ac:dyDescent="0.25">
      <c r="A134" s="7" t="str">
        <f>"менеджер :   "&amp;'Общие данные'!B165&amp;"______________"</f>
        <v>менеджер :   Egamberdiyeva D.I.______________</v>
      </c>
    </row>
  </sheetData>
  <mergeCells count="101">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 ref="A23:B23"/>
    <mergeCell ref="A22:B22"/>
    <mergeCell ref="A21:B21"/>
    <mergeCell ref="A20:B20"/>
    <mergeCell ref="A19:B19"/>
    <mergeCell ref="A32:B32"/>
    <mergeCell ref="A24:B24"/>
    <mergeCell ref="A28:B28"/>
    <mergeCell ref="A29:B29"/>
    <mergeCell ref="A30:B30"/>
    <mergeCell ref="A31:B31"/>
    <mergeCell ref="A11:B11"/>
    <mergeCell ref="A50:B50"/>
    <mergeCell ref="A51:B51"/>
    <mergeCell ref="A42:B42"/>
    <mergeCell ref="A41:B41"/>
    <mergeCell ref="A40:B40"/>
    <mergeCell ref="A39:B39"/>
    <mergeCell ref="A37:B37"/>
    <mergeCell ref="A36:B36"/>
    <mergeCell ref="A35:B35"/>
    <mergeCell ref="A52:B52"/>
    <mergeCell ref="A53:B53"/>
    <mergeCell ref="A49:B49"/>
    <mergeCell ref="A48:B48"/>
    <mergeCell ref="A47:B47"/>
    <mergeCell ref="A46:B46"/>
    <mergeCell ref="A45:B45"/>
    <mergeCell ref="A44:B44"/>
    <mergeCell ref="A43:B43"/>
    <mergeCell ref="A54:B54"/>
    <mergeCell ref="A55:B55"/>
    <mergeCell ref="A56:B56"/>
    <mergeCell ref="A57:B57"/>
    <mergeCell ref="A59:B59"/>
    <mergeCell ref="A60:B60"/>
    <mergeCell ref="A61:B61"/>
    <mergeCell ref="A62:B62"/>
    <mergeCell ref="A63:B63"/>
    <mergeCell ref="A64:B64"/>
    <mergeCell ref="A65:B65"/>
    <mergeCell ref="A66:B66"/>
    <mergeCell ref="A67:B67"/>
    <mergeCell ref="A68:B68"/>
    <mergeCell ref="A69:B69"/>
    <mergeCell ref="A75:B75"/>
    <mergeCell ref="A76:B76"/>
    <mergeCell ref="A78:B78"/>
    <mergeCell ref="A79:B79"/>
    <mergeCell ref="A70:B70"/>
    <mergeCell ref="A71:B71"/>
    <mergeCell ref="A72:B72"/>
    <mergeCell ref="A73:B73"/>
    <mergeCell ref="A74:B74"/>
    <mergeCell ref="A80:B80"/>
    <mergeCell ref="A81:B81"/>
    <mergeCell ref="A82:B82"/>
    <mergeCell ref="A84:B84"/>
    <mergeCell ref="A85:B85"/>
    <mergeCell ref="A92:B92"/>
    <mergeCell ref="A93:B93"/>
    <mergeCell ref="A95:B95"/>
    <mergeCell ref="A96:B96"/>
    <mergeCell ref="A86:B86"/>
    <mergeCell ref="A87:B87"/>
    <mergeCell ref="A88:B88"/>
    <mergeCell ref="A90:B90"/>
    <mergeCell ref="A91:B91"/>
    <mergeCell ref="A108:B108"/>
    <mergeCell ref="A128:A129"/>
    <mergeCell ref="A115:B115"/>
    <mergeCell ref="A109:B109"/>
    <mergeCell ref="A110:B110"/>
    <mergeCell ref="A111:B111"/>
    <mergeCell ref="A112:B112"/>
    <mergeCell ref="A113:B113"/>
    <mergeCell ref="A97:B97"/>
    <mergeCell ref="A98:B98"/>
    <mergeCell ref="A100:B100"/>
    <mergeCell ref="A101:B101"/>
    <mergeCell ref="A102:B102"/>
    <mergeCell ref="A103:B103"/>
    <mergeCell ref="A105:B105"/>
    <mergeCell ref="A106:B106"/>
    <mergeCell ref="A107:B107"/>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8" max="1" man="1"/>
    <brk id="74" max="1" man="1"/>
    <brk id="98" max="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pageSetUpPr fitToPage="1"/>
  </sheetPr>
  <dimension ref="A1:P65"/>
  <sheetViews>
    <sheetView view="pageBreakPreview" topLeftCell="A7" zoomScaleNormal="100" zoomScaleSheetLayoutView="100" workbookViewId="0">
      <selection activeCell="D45" sqref="D45"/>
    </sheetView>
  </sheetViews>
  <sheetFormatPr defaultColWidth="9.140625" defaultRowHeight="15" outlineLevelCol="1" x14ac:dyDescent="0.25"/>
  <cols>
    <col min="1" max="1" width="9.140625" style="16"/>
    <col min="2" max="2" width="13.7109375" style="16" customWidth="1"/>
    <col min="3" max="3" width="20.140625" style="16" customWidth="1"/>
    <col min="4" max="4" width="20.28515625" style="16" customWidth="1"/>
    <col min="5" max="5" width="19.5703125" style="16" customWidth="1"/>
    <col min="6" max="6" width="18.28515625" style="16" customWidth="1"/>
    <col min="7" max="7" width="10.140625" style="16" customWidth="1" outlineLevel="1"/>
    <col min="8" max="8" width="19.7109375" style="16" customWidth="1"/>
    <col min="9" max="10" width="9.140625" style="16" customWidth="1"/>
    <col min="11" max="16384" width="9.140625" style="16"/>
  </cols>
  <sheetData>
    <row r="1" spans="1:16" ht="9" customHeight="1" x14ac:dyDescent="0.25"/>
    <row r="2" spans="1:16" ht="6" customHeight="1" x14ac:dyDescent="0.25">
      <c r="A2" s="38"/>
      <c r="B2" s="38"/>
      <c r="C2" s="38"/>
      <c r="D2" s="38"/>
      <c r="E2" s="259"/>
      <c r="F2" s="259"/>
      <c r="G2" s="21"/>
    </row>
    <row r="3" spans="1:16" ht="75" customHeight="1" x14ac:dyDescent="0.25">
      <c r="A3" s="38"/>
      <c r="B3" s="38"/>
      <c r="C3" s="38"/>
      <c r="D3" s="38"/>
      <c r="E3" s="314" t="str">
        <f>""&amp;'Общие данные'!B74&amp;" 
"&amp;'Общие данные'!B65&amp;" shartnomasiga 
1 sonli ilova"</f>
        <v>28 fevral 2025 y.dan №492-QRS 
mikroqarz shartnomasiga 
1 sonli ilova</v>
      </c>
      <c r="F3" s="314"/>
      <c r="G3" s="21"/>
    </row>
    <row r="4" spans="1:16" ht="6.75" customHeight="1" x14ac:dyDescent="0.25">
      <c r="A4" s="38"/>
      <c r="B4" s="38"/>
      <c r="C4" s="38"/>
      <c r="D4" s="38"/>
      <c r="E4" s="38"/>
      <c r="F4" s="38"/>
    </row>
    <row r="5" spans="1:16" x14ac:dyDescent="0.25">
      <c r="A5" s="260" t="s">
        <v>266</v>
      </c>
      <c r="B5" s="260"/>
      <c r="C5" s="260"/>
      <c r="D5" s="260"/>
      <c r="E5" s="260"/>
      <c r="F5" s="260"/>
    </row>
    <row r="6" spans="1:16" ht="7.5" customHeight="1" x14ac:dyDescent="0.25"/>
    <row r="7" spans="1:16" ht="15" customHeight="1" x14ac:dyDescent="0.25">
      <c r="A7" s="261" t="s">
        <v>15</v>
      </c>
      <c r="B7" s="262" t="s">
        <v>267</v>
      </c>
      <c r="C7" s="262" t="s">
        <v>268</v>
      </c>
      <c r="D7" s="263" t="s">
        <v>269</v>
      </c>
      <c r="E7" s="263"/>
      <c r="F7" s="263"/>
    </row>
    <row r="8" spans="1:16" s="17" customFormat="1" x14ac:dyDescent="0.25">
      <c r="A8" s="261"/>
      <c r="B8" s="262"/>
      <c r="C8" s="262"/>
      <c r="D8" s="18" t="s">
        <v>270</v>
      </c>
      <c r="E8" s="18" t="s">
        <v>271</v>
      </c>
      <c r="F8" s="18" t="s">
        <v>272</v>
      </c>
    </row>
    <row r="9" spans="1:16" x14ac:dyDescent="0.25">
      <c r="A9" s="19">
        <v>1</v>
      </c>
      <c r="B9" s="34">
        <f>'График аннуитет.'!B8</f>
        <v>45733</v>
      </c>
      <c r="C9" s="35">
        <f>IF('Общие данные'!$B$78='Общие данные'!$C$78,'График дифференц'!C8,IF('Общие данные'!$B$78='Общие данные'!$D$78,'График аннуитет.'!C8))</f>
        <v>65000000</v>
      </c>
      <c r="D9" s="35">
        <f>IF('Общие данные'!$B$78='Общие данные'!$C$78,'График дифференц'!D8,IF('Общие данные'!$B$78='Общие данные'!$D$78,'График аннуитет.'!D8))</f>
        <v>2708333.33</v>
      </c>
      <c r="E9" s="35">
        <f>IF('Общие данные'!$B$78='Общие данные'!$C$78,'График дифференц'!E8,IF('Общие данные'!$B$78='Общие данные'!$D$78,'График аннуитет.'!E8))</f>
        <v>1816438.4400000002</v>
      </c>
      <c r="F9" s="35">
        <f>IF('Общие данные'!$B$78='Общие данные'!$C$78,'График дифференц'!F8,IF('Общие данные'!$B$78='Общие данные'!$D$78,'График аннуитет.'!F8))</f>
        <v>4524771.7700000005</v>
      </c>
    </row>
    <row r="10" spans="1:16" x14ac:dyDescent="0.25">
      <c r="A10" s="19">
        <v>2</v>
      </c>
      <c r="B10" s="34">
        <f>'График аннуитет.'!B9</f>
        <v>45762</v>
      </c>
      <c r="C10" s="35">
        <f>IF('Общие данные'!$B$78='Общие данные'!$C$78,'График дифференц'!C9,IF('Общие данные'!$B$78='Общие данные'!$D$78,'График аннуитет.'!C9))</f>
        <v>62291666.670000002</v>
      </c>
      <c r="D10" s="35">
        <f>IF('Общие данные'!$B$78='Общие данные'!$C$78,'График дифференц'!D9,IF('Общие данные'!$B$78='Общие данные'!$D$78,'График аннуитет.'!D9))</f>
        <v>2708333.33</v>
      </c>
      <c r="E10" s="35">
        <f>IF('Общие данные'!$B$78='Общие данные'!$C$78,'График дифференц'!E9,IF('Общие данные'!$B$78='Общие данные'!$D$78,'График аннуитет.'!E9))</f>
        <v>2969520.54</v>
      </c>
      <c r="F10" s="35">
        <f>IF('Общие данные'!$B$78='Общие данные'!$C$78,'График дифференц'!F9,IF('Общие данные'!$B$78='Общие данные'!$D$78,'График аннуитет.'!F9))</f>
        <v>5677853.8700000001</v>
      </c>
    </row>
    <row r="11" spans="1:16" x14ac:dyDescent="0.25">
      <c r="A11" s="19">
        <v>3</v>
      </c>
      <c r="B11" s="34">
        <f>'График аннуитет.'!B10</f>
        <v>45792</v>
      </c>
      <c r="C11" s="35">
        <f>IF('Общие данные'!$B$78='Общие данные'!$C$78,'График дифференц'!C10,IF('Общие данные'!$B$78='Общие данные'!$D$78,'График аннуитет.'!C10))</f>
        <v>59583333.340000004</v>
      </c>
      <c r="D11" s="35">
        <f>IF('Общие данные'!$B$78='Общие данные'!$C$78,'График дифференц'!D10,IF('Общие данные'!$B$78='Общие данные'!$D$78,'График аннуитет.'!D10))</f>
        <v>2708333.33</v>
      </c>
      <c r="E11" s="35">
        <f>IF('Общие данные'!$B$78='Общие данные'!$C$78,'График дифференц'!E10,IF('Общие данные'!$B$78='Общие данные'!$D$78,'График аннуитет.'!E10))</f>
        <v>2938356.3000000003</v>
      </c>
      <c r="F11" s="35">
        <f>IF('Общие данные'!$B$78='Общие данные'!$C$78,'График дифференц'!F10,IF('Общие данные'!$B$78='Общие данные'!$D$78,'График аннуитет.'!F10))</f>
        <v>5646689.6300000008</v>
      </c>
    </row>
    <row r="12" spans="1:16" x14ac:dyDescent="0.25">
      <c r="A12" s="19">
        <v>4</v>
      </c>
      <c r="B12" s="34">
        <f>'График аннуитет.'!B11</f>
        <v>45824</v>
      </c>
      <c r="C12" s="35">
        <f>IF('Общие данные'!$B$78='Общие данные'!$C$78,'График дифференц'!C11,IF('Общие данные'!$B$78='Общие данные'!$D$78,'График аннуитет.'!C11))</f>
        <v>56875000.010000005</v>
      </c>
      <c r="D12" s="35">
        <f>IF('Общие данные'!$B$78='Общие данные'!$C$78,'График дифференц'!D11,IF('Общие данные'!$B$78='Общие данные'!$D$78,'График аннуитет.'!D11))</f>
        <v>2708333.33</v>
      </c>
      <c r="E12" s="35">
        <f>IF('Общие данные'!$B$78='Общие данные'!$C$78,'График дифференц'!E11,IF('Общие данные'!$B$78='Общие данные'!$D$78,'График аннуитет.'!E11))</f>
        <v>2991780.8</v>
      </c>
      <c r="F12" s="35">
        <f>IF('Общие данные'!$B$78='Общие данные'!$C$78,'График дифференц'!F11,IF('Общие данные'!$B$78='Общие данные'!$D$78,'График аннуитет.'!F11))</f>
        <v>5700114.1299999999</v>
      </c>
      <c r="H12" s="315" t="s">
        <v>377</v>
      </c>
      <c r="I12" s="315"/>
      <c r="J12" s="315"/>
      <c r="K12" s="315"/>
      <c r="L12" s="315"/>
      <c r="M12" s="315"/>
      <c r="N12" s="315"/>
      <c r="O12" s="315"/>
      <c r="P12" s="315"/>
    </row>
    <row r="13" spans="1:16" x14ac:dyDescent="0.25">
      <c r="A13" s="19">
        <v>5</v>
      </c>
      <c r="B13" s="34">
        <f>'График аннуитет.'!B12</f>
        <v>45853</v>
      </c>
      <c r="C13" s="35">
        <f>IF('Общие данные'!$B$78='Общие данные'!$C$78,'График дифференц'!C12,IF('Общие данные'!$B$78='Общие данные'!$D$78,'График аннуитет.'!C12))</f>
        <v>54166666.680000007</v>
      </c>
      <c r="D13" s="35">
        <f>IF('Общие данные'!$B$78='Общие данные'!$C$78,'График дифференц'!D12,IF('Общие данные'!$B$78='Общие данные'!$D$78,'График аннуитет.'!D12))</f>
        <v>2708333.33</v>
      </c>
      <c r="E13" s="35">
        <f>IF('Общие данные'!$B$78='Общие данные'!$C$78,'График дифференц'!E12,IF('Общие данные'!$B$78='Общие данные'!$D$78,'График аннуитет.'!E12))</f>
        <v>2582191.9000000004</v>
      </c>
      <c r="F13" s="35">
        <f>IF('Общие данные'!$B$78='Общие данные'!$C$78,'График дифференц'!F12,IF('Общие данные'!$B$78='Общие данные'!$D$78,'График аннуитет.'!F12))</f>
        <v>5290525.2300000004</v>
      </c>
      <c r="H13" s="315"/>
      <c r="I13" s="315"/>
      <c r="J13" s="315"/>
      <c r="K13" s="315"/>
      <c r="L13" s="315"/>
      <c r="M13" s="315"/>
      <c r="N13" s="315"/>
      <c r="O13" s="315"/>
      <c r="P13" s="315"/>
    </row>
    <row r="14" spans="1:16" x14ac:dyDescent="0.25">
      <c r="A14" s="19">
        <v>6</v>
      </c>
      <c r="B14" s="34">
        <f>'График аннуитет.'!B13</f>
        <v>45884</v>
      </c>
      <c r="C14" s="35">
        <f>IF('Общие данные'!$B$78='Общие данные'!$C$78,'График дифференц'!C13,IF('Общие данные'!$B$78='Общие данные'!$D$78,'График аннуитет.'!C13))</f>
        <v>51458333.350000009</v>
      </c>
      <c r="D14" s="35">
        <f>IF('Общие данные'!$B$78='Общие данные'!$C$78,'График дифференц'!D13,IF('Общие данные'!$B$78='Общие данные'!$D$78,'График аннуитет.'!D13))</f>
        <v>2708333.33</v>
      </c>
      <c r="E14" s="35">
        <f>IF('Общие данные'!$B$78='Общие данные'!$C$78,'График дифференц'!E13,IF('Общие данные'!$B$78='Общие данные'!$D$78,'График аннуитет.'!E13))</f>
        <v>2622260.2399999998</v>
      </c>
      <c r="F14" s="35">
        <f>IF('Общие данные'!$B$78='Общие данные'!$C$78,'График дифференц'!F13,IF('Общие данные'!$B$78='Общие данные'!$D$78,'График аннуитет.'!F13))</f>
        <v>5330593.57</v>
      </c>
      <c r="H14" s="315"/>
      <c r="I14" s="315"/>
      <c r="J14" s="315"/>
      <c r="K14" s="315"/>
      <c r="L14" s="315"/>
      <c r="M14" s="315"/>
      <c r="N14" s="315"/>
      <c r="O14" s="315"/>
      <c r="P14" s="315"/>
    </row>
    <row r="15" spans="1:16" x14ac:dyDescent="0.25">
      <c r="A15" s="19">
        <v>7</v>
      </c>
      <c r="B15" s="34">
        <f>'График аннуитет.'!B14</f>
        <v>45915</v>
      </c>
      <c r="C15" s="35">
        <f>IF('Общие данные'!$B$78='Общие данные'!$C$78,'График дифференц'!C14,IF('Общие данные'!$B$78='Общие данные'!$D$78,'График аннуитет.'!C14))</f>
        <v>48750000.020000011</v>
      </c>
      <c r="D15" s="35">
        <f>IF('Общие данные'!$B$78='Общие данные'!$C$78,'График дифференц'!D14,IF('Общие данные'!$B$78='Общие данные'!$D$78,'График аннуитет.'!D14))</f>
        <v>2708333.33</v>
      </c>
      <c r="E15" s="35">
        <f>IF('Общие данные'!$B$78='Общие данные'!$C$78,'График дифференц'!E14,IF('Общие данные'!$B$78='Общие данные'!$D$78,'График аннуитет.'!E14))</f>
        <v>2484246.69</v>
      </c>
      <c r="F15" s="35">
        <f>IF('Общие данные'!$B$78='Общие данные'!$C$78,'График дифференц'!F14,IF('Общие данные'!$B$78='Общие данные'!$D$78,'График аннуитет.'!F14))</f>
        <v>5192580.0199999996</v>
      </c>
      <c r="H15" s="315"/>
      <c r="I15" s="315"/>
      <c r="J15" s="315"/>
      <c r="K15" s="315"/>
      <c r="L15" s="315"/>
      <c r="M15" s="315"/>
      <c r="N15" s="315"/>
      <c r="O15" s="315"/>
      <c r="P15" s="315"/>
    </row>
    <row r="16" spans="1:16" x14ac:dyDescent="0.25">
      <c r="A16" s="19">
        <v>8</v>
      </c>
      <c r="B16" s="34">
        <f>'График аннуитет.'!B15</f>
        <v>45945</v>
      </c>
      <c r="C16" s="35">
        <f>IF('Общие данные'!$B$78='Общие данные'!$C$78,'График дифференц'!C15,IF('Общие данные'!$B$78='Общие данные'!$D$78,'График аннуитет.'!C15))</f>
        <v>46041666.690000013</v>
      </c>
      <c r="D16" s="35">
        <f>IF('Общие данные'!$B$78='Общие данные'!$C$78,'График дифференц'!D15,IF('Общие данные'!$B$78='Общие данные'!$D$78,'График аннуитет.'!D15))</f>
        <v>2708333.33</v>
      </c>
      <c r="E16" s="35">
        <f>IF('Общие данные'!$B$78='Общие данные'!$C$78,'График дифференц'!E15,IF('Общие данные'!$B$78='Общие данные'!$D$78,'График аннуитет.'!E15))</f>
        <v>2270547.9</v>
      </c>
      <c r="F16" s="35">
        <f>IF('Общие данные'!$B$78='Общие данные'!$C$78,'График дифференц'!F15,IF('Общие данные'!$B$78='Общие данные'!$D$78,'График аннуитет.'!F15))</f>
        <v>4978881.2300000004</v>
      </c>
      <c r="H16" s="315"/>
      <c r="I16" s="315"/>
      <c r="J16" s="315"/>
      <c r="K16" s="315"/>
      <c r="L16" s="315"/>
      <c r="M16" s="315"/>
      <c r="N16" s="315"/>
      <c r="O16" s="315"/>
      <c r="P16" s="315"/>
    </row>
    <row r="17" spans="1:16" x14ac:dyDescent="0.25">
      <c r="A17" s="19">
        <v>9</v>
      </c>
      <c r="B17" s="34">
        <f>'График аннуитет.'!B16</f>
        <v>45978</v>
      </c>
      <c r="C17" s="35">
        <f>IF('Общие данные'!$B$78='Общие данные'!$C$78,'График дифференц'!C16,IF('Общие данные'!$B$78='Общие данные'!$D$78,'График аннуитет.'!C16))</f>
        <v>43333333.360000014</v>
      </c>
      <c r="D17" s="35">
        <f>IF('Общие данные'!$B$78='Общие данные'!$C$78,'График дифференц'!D16,IF('Общие данные'!$B$78='Общие данные'!$D$78,'График аннуитет.'!D16))</f>
        <v>2708333.33</v>
      </c>
      <c r="E17" s="35">
        <f>IF('Общие данные'!$B$78='Общие данные'!$C$78,'График дифференц'!E16,IF('Общие данные'!$B$78='Общие данные'!$D$78,'График аннуитет.'!E16))</f>
        <v>2350685.04</v>
      </c>
      <c r="F17" s="35">
        <f>IF('Общие данные'!$B$78='Общие данные'!$C$78,'График дифференц'!F16,IF('Общие данные'!$B$78='Общие данные'!$D$78,'График аннуитет.'!F16))</f>
        <v>5059018.37</v>
      </c>
      <c r="H17" s="315"/>
      <c r="I17" s="315"/>
      <c r="J17" s="315"/>
      <c r="K17" s="315"/>
      <c r="L17" s="315"/>
      <c r="M17" s="315"/>
      <c r="N17" s="315"/>
      <c r="O17" s="315"/>
      <c r="P17" s="315"/>
    </row>
    <row r="18" spans="1:16" x14ac:dyDescent="0.25">
      <c r="A18" s="19">
        <v>10</v>
      </c>
      <c r="B18" s="34">
        <f>'График аннуитет.'!B17</f>
        <v>46006</v>
      </c>
      <c r="C18" s="35">
        <f>IF('Общие данные'!$B$78='Общие данные'!$C$78,'График дифференц'!C17,IF('Общие данные'!$B$78='Общие данные'!$D$78,'График аннуитет.'!C17))</f>
        <v>40625000.030000016</v>
      </c>
      <c r="D18" s="35">
        <f>IF('Общие данные'!$B$78='Общие данные'!$C$78,'График дифференц'!D17,IF('Общие данные'!$B$78='Общие данные'!$D$78,'График аннуитет.'!D17))</f>
        <v>2708333.33</v>
      </c>
      <c r="E18" s="35">
        <f>IF('Общие данные'!$B$78='Общие данные'!$C$78,'График дифференц'!E17,IF('Общие данные'!$B$78='Общие данные'!$D$78,'График аннуитет.'!E17))</f>
        <v>1869862.9600000002</v>
      </c>
      <c r="F18" s="35">
        <f>IF('Общие данные'!$B$78='Общие данные'!$C$78,'График дифференц'!F17,IF('Общие данные'!$B$78='Общие данные'!$D$78,'График аннуитет.'!F17))</f>
        <v>4578196.29</v>
      </c>
      <c r="H18" s="315"/>
      <c r="I18" s="315"/>
      <c r="J18" s="315"/>
      <c r="K18" s="315"/>
      <c r="L18" s="315"/>
      <c r="M18" s="315"/>
      <c r="N18" s="315"/>
      <c r="O18" s="315"/>
      <c r="P18" s="315"/>
    </row>
    <row r="19" spans="1:16" x14ac:dyDescent="0.25">
      <c r="A19" s="19">
        <v>11</v>
      </c>
      <c r="B19" s="34">
        <f>'График аннуитет.'!B18</f>
        <v>46037</v>
      </c>
      <c r="C19" s="35">
        <f>IF('Общие данные'!$B$78='Общие данные'!$C$78,'График дифференц'!C18,IF('Общие данные'!$B$78='Общие данные'!$D$78,'График аннуитет.'!C18))</f>
        <v>37916666.700000018</v>
      </c>
      <c r="D19" s="35">
        <f>IF('Общие данные'!$B$78='Общие данные'!$C$78,'График дифференц'!D18,IF('Общие данные'!$B$78='Общие данные'!$D$78,'График аннуитет.'!D18))</f>
        <v>2708333.33</v>
      </c>
      <c r="E19" s="35">
        <f>IF('Общие данные'!$B$78='Общие данные'!$C$78,'График дифференц'!E18,IF('Общие данные'!$B$78='Общие данные'!$D$78,'График аннуитет.'!E18))</f>
        <v>1932191.8699999999</v>
      </c>
      <c r="F19" s="35">
        <f>IF('Общие данные'!$B$78='Общие данные'!$C$78,'График дифференц'!F18,IF('Общие данные'!$B$78='Общие данные'!$D$78,'График аннуитет.'!F18))</f>
        <v>4640525.2</v>
      </c>
      <c r="H19" s="315"/>
      <c r="I19" s="315"/>
      <c r="J19" s="315"/>
      <c r="K19" s="315"/>
      <c r="L19" s="315"/>
      <c r="M19" s="315"/>
      <c r="N19" s="315"/>
      <c r="O19" s="315"/>
      <c r="P19" s="315"/>
    </row>
    <row r="20" spans="1:16" x14ac:dyDescent="0.25">
      <c r="A20" s="19">
        <v>12</v>
      </c>
      <c r="B20" s="34">
        <f>'График аннуитет.'!B19</f>
        <v>46069</v>
      </c>
      <c r="C20" s="35">
        <f>IF('Общие данные'!$B$78='Общие данные'!$C$78,'График дифференц'!C19,IF('Общие данные'!$B$78='Общие данные'!$D$78,'График аннуитет.'!C19))</f>
        <v>35208333.37000002</v>
      </c>
      <c r="D20" s="35">
        <f>IF('Общие данные'!$B$78='Общие данные'!$C$78,'График дифференц'!D19,IF('Общие данные'!$B$78='Общие данные'!$D$78,'График аннуитет.'!D19))</f>
        <v>2708333.33</v>
      </c>
      <c r="E20" s="35">
        <f>IF('Общие данные'!$B$78='Общие данные'!$C$78,'График дифференц'!E19,IF('Общие данные'!$B$78='Общие данные'!$D$78,'График аннуитет.'!E19))</f>
        <v>1852054.72</v>
      </c>
      <c r="F20" s="35">
        <f>IF('Общие данные'!$B$78='Общие данные'!$C$78,'График дифференц'!F19,IF('Общие данные'!$B$78='Общие данные'!$D$78,'График аннуитет.'!F19))</f>
        <v>4560388.05</v>
      </c>
      <c r="H20" s="315"/>
      <c r="I20" s="315"/>
      <c r="J20" s="315"/>
      <c r="K20" s="315"/>
      <c r="L20" s="315"/>
      <c r="M20" s="315"/>
      <c r="N20" s="315"/>
      <c r="O20" s="315"/>
      <c r="P20" s="315"/>
    </row>
    <row r="21" spans="1:16" x14ac:dyDescent="0.25">
      <c r="A21" s="19">
        <v>13</v>
      </c>
      <c r="B21" s="34">
        <f>'График аннуитет.'!B20</f>
        <v>46097</v>
      </c>
      <c r="C21" s="35">
        <f>IF('Общие данные'!$B$78='Общие данные'!$C$78,'График дифференц'!C20,IF('Общие данные'!$B$78='Общие данные'!$D$78,'График аннуитет.'!C20))</f>
        <v>32500000.040000021</v>
      </c>
      <c r="D21" s="35">
        <f>IF('Общие данные'!$B$78='Общие данные'!$C$78,'График дифференц'!D20,IF('Общие данные'!$B$78='Общие данные'!$D$78,'График аннуитет.'!D20))</f>
        <v>2708333.33</v>
      </c>
      <c r="E21" s="35">
        <f>IF('Общие данные'!$B$78='Общие данные'!$C$78,'График дифференц'!E20,IF('Общие данные'!$B$78='Общие данные'!$D$78,'График аннуитет.'!E20))</f>
        <v>1495890.48</v>
      </c>
      <c r="F21" s="35">
        <f>IF('Общие данные'!$B$78='Общие данные'!$C$78,'График дифференц'!F20,IF('Общие данные'!$B$78='Общие данные'!$D$78,'График аннуитет.'!F20))</f>
        <v>4204223.8100000005</v>
      </c>
      <c r="H21" s="315"/>
      <c r="I21" s="315"/>
      <c r="J21" s="315"/>
      <c r="K21" s="315"/>
      <c r="L21" s="315"/>
      <c r="M21" s="315"/>
      <c r="N21" s="315"/>
      <c r="O21" s="315"/>
      <c r="P21" s="315"/>
    </row>
    <row r="22" spans="1:16" x14ac:dyDescent="0.25">
      <c r="A22" s="19">
        <v>14</v>
      </c>
      <c r="B22" s="34">
        <f>'График аннуитет.'!B21</f>
        <v>46127</v>
      </c>
      <c r="C22" s="35">
        <f>IF('Общие данные'!$B$78='Общие данные'!$C$78,'График дифференц'!C21,IF('Общие данные'!$B$78='Общие данные'!$D$78,'График аннуитет.'!C21))</f>
        <v>29791666.710000023</v>
      </c>
      <c r="D22" s="35">
        <f>IF('Общие данные'!$B$78='Общие данные'!$C$78,'График дифференц'!D21,IF('Общие данные'!$B$78='Общие данные'!$D$78,'График аннуитет.'!D21))</f>
        <v>2708333.33</v>
      </c>
      <c r="E22" s="35">
        <f>IF('Общие данные'!$B$78='Общие данные'!$C$78,'График дифференц'!E21,IF('Общие данные'!$B$78='Общие данные'!$D$78,'График аннуитет.'!E21))</f>
        <v>1469178</v>
      </c>
      <c r="F22" s="35">
        <f>IF('Общие данные'!$B$78='Общие данные'!$C$78,'График дифференц'!F21,IF('Общие данные'!$B$78='Общие данные'!$D$78,'График аннуитет.'!F21))</f>
        <v>4177511.33</v>
      </c>
      <c r="H22" s="315"/>
      <c r="I22" s="315"/>
      <c r="J22" s="315"/>
      <c r="K22" s="315"/>
      <c r="L22" s="315"/>
      <c r="M22" s="315"/>
      <c r="N22" s="315"/>
      <c r="O22" s="315"/>
      <c r="P22" s="315"/>
    </row>
    <row r="23" spans="1:16" x14ac:dyDescent="0.25">
      <c r="A23" s="19">
        <v>15</v>
      </c>
      <c r="B23" s="34">
        <f>'График аннуитет.'!B22</f>
        <v>46157</v>
      </c>
      <c r="C23" s="35">
        <f>IF('Общие данные'!$B$78='Общие данные'!$C$78,'График дифференц'!C22,IF('Общие данные'!$B$78='Общие данные'!$D$78,'График аннуитет.'!C22))</f>
        <v>27083333.380000025</v>
      </c>
      <c r="D23" s="35">
        <f>IF('Общие данные'!$B$78='Общие данные'!$C$78,'График дифференц'!D22,IF('Общие данные'!$B$78='Общие данные'!$D$78,'График аннуитет.'!D22))</f>
        <v>2708333.33</v>
      </c>
      <c r="E23" s="35">
        <f>IF('Общие данные'!$B$78='Общие данные'!$C$78,'График дифференц'!E22,IF('Общие данные'!$B$78='Общие данные'!$D$78,'График аннуитет.'!E22))</f>
        <v>1335616.5</v>
      </c>
      <c r="F23" s="35">
        <f>IF('Общие данные'!$B$78='Общие данные'!$C$78,'График дифференц'!F22,IF('Общие данные'!$B$78='Общие данные'!$D$78,'График аннуитет.'!F22))</f>
        <v>4043949.83</v>
      </c>
      <c r="H23" s="315"/>
      <c r="I23" s="315"/>
      <c r="J23" s="315"/>
      <c r="K23" s="315"/>
      <c r="L23" s="315"/>
      <c r="M23" s="315"/>
      <c r="N23" s="315"/>
      <c r="O23" s="315"/>
      <c r="P23" s="315"/>
    </row>
    <row r="24" spans="1:16" x14ac:dyDescent="0.25">
      <c r="A24" s="19">
        <v>16</v>
      </c>
      <c r="B24" s="34">
        <f>'График аннуитет.'!B23</f>
        <v>46188</v>
      </c>
      <c r="C24" s="35">
        <f>IF('Общие данные'!$B$78='Общие данные'!$C$78,'График дифференц'!C23,IF('Общие данные'!$B$78='Общие данные'!$D$78,'График аннуитет.'!C23))</f>
        <v>24375000.050000027</v>
      </c>
      <c r="D24" s="35">
        <f>IF('Общие данные'!$B$78='Общие данные'!$C$78,'График дифференц'!D23,IF('Общие данные'!$B$78='Общие данные'!$D$78,'График аннуитет.'!D23))</f>
        <v>2708333.33</v>
      </c>
      <c r="E24" s="35">
        <f>IF('Общие данные'!$B$78='Общие данные'!$C$78,'График дифференц'!E23,IF('Общие данные'!$B$78='Общие данные'!$D$78,'График аннуитет.'!E23))</f>
        <v>1242123.19</v>
      </c>
      <c r="F24" s="35">
        <f>IF('Общие данные'!$B$78='Общие данные'!$C$78,'График дифференц'!F23,IF('Общие данные'!$B$78='Общие данные'!$D$78,'График аннуитет.'!F23))</f>
        <v>3950456.52</v>
      </c>
      <c r="H24" s="315"/>
      <c r="I24" s="315"/>
      <c r="J24" s="315"/>
      <c r="K24" s="315"/>
      <c r="L24" s="315"/>
      <c r="M24" s="315"/>
      <c r="N24" s="315"/>
      <c r="O24" s="315"/>
      <c r="P24" s="315"/>
    </row>
    <row r="25" spans="1:16" x14ac:dyDescent="0.25">
      <c r="A25" s="19">
        <v>17</v>
      </c>
      <c r="B25" s="34">
        <f>'График аннуитет.'!B24</f>
        <v>46218</v>
      </c>
      <c r="C25" s="35">
        <f>IF('Общие данные'!$B$78='Общие данные'!$C$78,'График дифференц'!C24,IF('Общие данные'!$B$78='Общие данные'!$D$78,'График аннуитет.'!C24))</f>
        <v>21666666.720000029</v>
      </c>
      <c r="D25" s="35">
        <f>IF('Общие данные'!$B$78='Общие данные'!$C$78,'График дифференц'!D24,IF('Общие данные'!$B$78='Общие данные'!$D$78,'График аннуитет.'!D24))</f>
        <v>2708333.33</v>
      </c>
      <c r="E25" s="35">
        <f>IF('Общие данные'!$B$78='Общие данные'!$C$78,'График дифференц'!E24,IF('Общие данные'!$B$78='Общие данные'!$D$78,'График аннуитет.'!E24))</f>
        <v>1068493.2000000002</v>
      </c>
      <c r="F25" s="35">
        <f>IF('Общие данные'!$B$78='Общие данные'!$C$78,'График дифференц'!F24,IF('Общие данные'!$B$78='Общие данные'!$D$78,'График аннуитет.'!F24))</f>
        <v>3776826.5300000003</v>
      </c>
    </row>
    <row r="26" spans="1:16" x14ac:dyDescent="0.25">
      <c r="A26" s="19">
        <v>18</v>
      </c>
      <c r="B26" s="34">
        <f>'График аннуитет.'!B25</f>
        <v>46251</v>
      </c>
      <c r="C26" s="35">
        <f>IF('Общие данные'!$B$78='Общие данные'!$C$78,'График дифференц'!C25,IF('Общие данные'!$B$78='Общие данные'!$D$78,'График аннуитет.'!C25))</f>
        <v>18958333.39000003</v>
      </c>
      <c r="D26" s="35">
        <f>IF('Общие данные'!$B$78='Общие данные'!$C$78,'График дифференц'!D25,IF('Общие данные'!$B$78='Общие данные'!$D$78,'График аннуитет.'!D25))</f>
        <v>2708333.33</v>
      </c>
      <c r="E26" s="35">
        <f>IF('Общие данные'!$B$78='Общие данные'!$C$78,'График дифференц'!E25,IF('Общие данные'!$B$78='Общие данные'!$D$78,'График аннуитет.'!E25))</f>
        <v>1028424.54</v>
      </c>
      <c r="F26" s="35">
        <f>IF('Общие данные'!$B$78='Общие данные'!$C$78,'График дифференц'!F25,IF('Общие данные'!$B$78='Общие данные'!$D$78,'График аннуитет.'!F25))</f>
        <v>3736757.87</v>
      </c>
    </row>
    <row r="27" spans="1:16" x14ac:dyDescent="0.25">
      <c r="A27" s="19">
        <f>1+A26</f>
        <v>19</v>
      </c>
      <c r="B27" s="34">
        <f>'График аннуитет.'!B26</f>
        <v>46280</v>
      </c>
      <c r="C27" s="35">
        <f>IF('Общие данные'!$B$78='Общие данные'!$C$78,'График дифференц'!C26,IF('Общие данные'!$B$78='Общие данные'!$D$78,'График аннуитет.'!C26))</f>
        <v>16250000.06000003</v>
      </c>
      <c r="D27" s="35">
        <f>IF('Общие данные'!$B$78='Общие данные'!$C$78,'График дифференц'!D26,IF('Общие данные'!$B$78='Общие данные'!$D$78,'График аннуитет.'!D26))</f>
        <v>2708333.33</v>
      </c>
      <c r="E27" s="35">
        <f>IF('Общие данные'!$B$78='Общие данные'!$C$78,'График дифференц'!E26,IF('Общие данные'!$B$78='Общие данные'!$D$78,'График аннуитет.'!E26))</f>
        <v>774657.57000000007</v>
      </c>
      <c r="F27" s="35">
        <f>IF('Общие данные'!$B$78='Общие данные'!$C$78,'График дифференц'!F26,IF('Общие данные'!$B$78='Общие данные'!$D$78,'График аннуитет.'!F26))</f>
        <v>3482990.9000000004</v>
      </c>
    </row>
    <row r="28" spans="1:16" x14ac:dyDescent="0.25">
      <c r="A28" s="19">
        <f t="shared" ref="A28:A43" si="0">1+A27</f>
        <v>20</v>
      </c>
      <c r="B28" s="34">
        <f>'График аннуитет.'!B27</f>
        <v>46310</v>
      </c>
      <c r="C28" s="35">
        <f>IF('Общие данные'!$B$78='Общие данные'!$C$78,'График дифференц'!C27,IF('Общие данные'!$B$78='Общие данные'!$D$78,'График аннуитет.'!C27))</f>
        <v>13541666.73000003</v>
      </c>
      <c r="D28" s="35">
        <f>IF('Общие данные'!$B$78='Общие данные'!$C$78,'График дифференц'!D27,IF('Общие данные'!$B$78='Общие данные'!$D$78,'График аннуитет.'!D27))</f>
        <v>2708333.33</v>
      </c>
      <c r="E28" s="35">
        <f>IF('Общие данные'!$B$78='Общие данные'!$C$78,'График дифференц'!E27,IF('Общие данные'!$B$78='Общие данные'!$D$78,'График аннуитет.'!E27))</f>
        <v>667808.1</v>
      </c>
      <c r="F28" s="35">
        <f>IF('Общие данные'!$B$78='Общие данные'!$C$78,'График дифференц'!F27,IF('Общие данные'!$B$78='Общие данные'!$D$78,'График аннуитет.'!F27))</f>
        <v>3376141.43</v>
      </c>
    </row>
    <row r="29" spans="1:16" x14ac:dyDescent="0.25">
      <c r="A29" s="19">
        <f t="shared" si="0"/>
        <v>21</v>
      </c>
      <c r="B29" s="34">
        <f>'График аннуитет.'!B28</f>
        <v>46342</v>
      </c>
      <c r="C29" s="35">
        <f>IF('Общие данные'!$B$78='Общие данные'!$C$78,'График дифференц'!C28,IF('Общие данные'!$B$78='Общие данные'!$D$78,'График аннуитет.'!C28))</f>
        <v>10833333.40000003</v>
      </c>
      <c r="D29" s="35">
        <f>IF('Общие данные'!$B$78='Общие данные'!$C$78,'График дифференц'!D28,IF('Общие данные'!$B$78='Общие данные'!$D$78,'График аннуитет.'!D28))</f>
        <v>2708333.33</v>
      </c>
      <c r="E29" s="35">
        <f>IF('Общие данные'!$B$78='Общие данные'!$C$78,'График дифференц'!E28,IF('Общие данные'!$B$78='Общие данные'!$D$78,'График аннуитет.'!E28))</f>
        <v>569863.04</v>
      </c>
      <c r="F29" s="35">
        <f>IF('Общие данные'!$B$78='Общие данные'!$C$78,'График дифференц'!F28,IF('Общие данные'!$B$78='Общие данные'!$D$78,'График аннуитет.'!F28))</f>
        <v>3278196.37</v>
      </c>
    </row>
    <row r="30" spans="1:16" x14ac:dyDescent="0.25">
      <c r="A30" s="19">
        <f t="shared" si="0"/>
        <v>22</v>
      </c>
      <c r="B30" s="34">
        <f>'График аннуитет.'!B29</f>
        <v>46371</v>
      </c>
      <c r="C30" s="35">
        <f>IF('Общие данные'!$B$78='Общие данные'!$C$78,'График дифференц'!C29,IF('Общие данные'!$B$78='Общие данные'!$D$78,'График аннуитет.'!C29))</f>
        <v>8125000.0700000301</v>
      </c>
      <c r="D30" s="35">
        <f>IF('Общие данные'!$B$78='Общие данные'!$C$78,'График дифференц'!D29,IF('Общие данные'!$B$78='Общие данные'!$D$78,'График аннуитет.'!D29))</f>
        <v>2708333.33</v>
      </c>
      <c r="E30" s="35">
        <f>IF('Общие данные'!$B$78='Общие данные'!$C$78,'График дифференц'!E29,IF('Общие данные'!$B$78='Общие данные'!$D$78,'График аннуитет.'!E29))</f>
        <v>387328.64</v>
      </c>
      <c r="F30" s="35">
        <f>IF('Общие данные'!$B$78='Общие данные'!$C$78,'График дифференц'!F29,IF('Общие данные'!$B$78='Общие данные'!$D$78,'График аннуитет.'!F29))</f>
        <v>3095661.97</v>
      </c>
    </row>
    <row r="31" spans="1:16" x14ac:dyDescent="0.25">
      <c r="A31" s="19">
        <f t="shared" si="0"/>
        <v>23</v>
      </c>
      <c r="B31" s="34">
        <f>'График аннуитет.'!B30</f>
        <v>46402</v>
      </c>
      <c r="C31" s="35">
        <f>IF('Общие данные'!$B$78='Общие данные'!$C$78,'График дифференц'!C30,IF('Общие данные'!$B$78='Общие данные'!$D$78,'График аннуитет.'!C30))</f>
        <v>5416666.74000003</v>
      </c>
      <c r="D31" s="35">
        <f>IF('Общие данные'!$B$78='Общие данные'!$C$78,'График дифференц'!D30,IF('Общие данные'!$B$78='Общие данные'!$D$78,'График аннуитет.'!D30))</f>
        <v>2708333.33</v>
      </c>
      <c r="E31" s="35">
        <f>IF('Общие данные'!$B$78='Общие данные'!$C$78,'График дифференц'!E30,IF('Общие данные'!$B$78='Общие данные'!$D$78,'График аннуитет.'!E30))</f>
        <v>276027.41000000003</v>
      </c>
      <c r="F31" s="35">
        <f>IF('Общие данные'!$B$78='Общие данные'!$C$78,'График дифференц'!F30,IF('Общие данные'!$B$78='Общие данные'!$D$78,'График аннуитет.'!F30))</f>
        <v>2984360.74</v>
      </c>
    </row>
    <row r="32" spans="1:16" x14ac:dyDescent="0.25">
      <c r="A32" s="19">
        <f t="shared" si="0"/>
        <v>24</v>
      </c>
      <c r="B32" s="34">
        <f>'График аннуитет.'!B31</f>
        <v>46446</v>
      </c>
      <c r="C32" s="35">
        <f>IF('Общие данные'!$B$78='Общие данные'!$C$78,'График дифференц'!C31,IF('Общие данные'!$B$78='Общие данные'!$D$78,'График аннуитет.'!C31))</f>
        <v>2708333.41000003</v>
      </c>
      <c r="D32" s="35">
        <f>IF('Общие данные'!$B$78='Общие данные'!$C$78,'График дифференц'!D31,IF('Общие данные'!$B$78='Общие данные'!$D$78,'График аннуитет.'!D31))</f>
        <v>2708333.4100000262</v>
      </c>
      <c r="E32" s="35">
        <f>IF('Общие данные'!$B$78='Общие данные'!$C$78,'График дифференц'!E31,IF('Общие данные'!$B$78='Общие данные'!$D$78,'График аннуитет.'!E31))</f>
        <v>195890.2</v>
      </c>
      <c r="F32" s="35">
        <f>IF('Общие данные'!$B$78='Общие данные'!$C$78,'График дифференц'!F31,IF('Общие данные'!$B$78='Общие данные'!$D$78,'График аннуитет.'!F31))</f>
        <v>2904223.6100000264</v>
      </c>
    </row>
    <row r="33" spans="1:6" hidden="1" x14ac:dyDescent="0.25">
      <c r="A33" s="19">
        <f t="shared" si="0"/>
        <v>25</v>
      </c>
      <c r="B33" s="34" t="str">
        <f>IF('График аннуитет.'!B32=FALSE,"",'График аннуитет.'!B32)</f>
        <v/>
      </c>
      <c r="C33" s="35">
        <f>IF('Общие данные'!$B$78='Общие данные'!$C$78,'График дифференц'!C32,IF('Общие данные'!$B$78='Общие данные'!$D$78,'График аннуитет.'!C32))</f>
        <v>3.7252902984619141E-9</v>
      </c>
      <c r="D33" s="35" t="b">
        <f>IF('Общие данные'!$B$78='Общие данные'!$C$78,'График дифференц'!D32,IF('Общие данные'!$B$78='Общие данные'!$D$78,'График аннуитет.'!D32))</f>
        <v>0</v>
      </c>
      <c r="E33" s="35" t="b">
        <f>IF('Общие данные'!$B$78='Общие данные'!$C$78,'График дифференц'!E32,IF('Общие данные'!$B$78='Общие данные'!$D$78,'График аннуитет.'!E32))</f>
        <v>0</v>
      </c>
      <c r="F33" s="35" t="b">
        <f>IF('Общие данные'!$B$78='Общие данные'!$C$78,'График дифференц'!F32,IF('Общие данные'!$B$78='Общие данные'!$D$78,'График аннуитет.'!F32))</f>
        <v>0</v>
      </c>
    </row>
    <row r="34" spans="1:6" hidden="1" x14ac:dyDescent="0.25">
      <c r="A34" s="19">
        <f t="shared" si="0"/>
        <v>26</v>
      </c>
      <c r="B34" s="34" t="str">
        <f>IF('График аннуитет.'!B33=FALSE,"",'График аннуитет.'!B33)</f>
        <v/>
      </c>
      <c r="C34" s="35">
        <f>IF('Общие данные'!$B$78='Общие данные'!$C$78,'График дифференц'!C33,IF('Общие данные'!$B$78='Общие данные'!$D$78,'График аннуитет.'!C33))</f>
        <v>3.7252902984619141E-9</v>
      </c>
      <c r="D34" s="35" t="b">
        <f>IF('Общие данные'!$B$78='Общие данные'!$C$78,'График дифференц'!D33,IF('Общие данные'!$B$78='Общие данные'!$D$78,'График аннуитет.'!D33))</f>
        <v>0</v>
      </c>
      <c r="E34" s="35" t="b">
        <f>IF('Общие данные'!$B$78='Общие данные'!$C$78,'График дифференц'!E33,IF('Общие данные'!$B$78='Общие данные'!$D$78,'График аннуитет.'!E33))</f>
        <v>0</v>
      </c>
      <c r="F34" s="35" t="b">
        <f>IF('Общие данные'!$B$78='Общие данные'!$C$78,'График дифференц'!F33,IF('Общие данные'!$B$78='Общие данные'!$D$78,'График аннуитет.'!F33))</f>
        <v>0</v>
      </c>
    </row>
    <row r="35" spans="1:6" hidden="1" x14ac:dyDescent="0.25">
      <c r="A35" s="19">
        <f t="shared" si="0"/>
        <v>27</v>
      </c>
      <c r="B35" s="34" t="str">
        <f>IF('График аннуитет.'!B34=FALSE,"",'График аннуитет.'!B34)</f>
        <v/>
      </c>
      <c r="C35" s="35">
        <f>IF('Общие данные'!$B$78='Общие данные'!$C$78,'График дифференц'!C34,IF('Общие данные'!$B$78='Общие данные'!$D$78,'График аннуитет.'!C34))</f>
        <v>3.7252902984619141E-9</v>
      </c>
      <c r="D35" s="35" t="b">
        <f>IF('Общие данные'!$B$78='Общие данные'!$C$78,'График дифференц'!D34,IF('Общие данные'!$B$78='Общие данные'!$D$78,'График аннуитет.'!D34))</f>
        <v>0</v>
      </c>
      <c r="E35" s="35" t="b">
        <f>IF('Общие данные'!$B$78='Общие данные'!$C$78,'График дифференц'!E34,IF('Общие данные'!$B$78='Общие данные'!$D$78,'График аннуитет.'!E34))</f>
        <v>0</v>
      </c>
      <c r="F35" s="35" t="b">
        <f>IF('Общие данные'!$B$78='Общие данные'!$C$78,'График дифференц'!F34,IF('Общие данные'!$B$78='Общие данные'!$D$78,'График аннуитет.'!F34))</f>
        <v>0</v>
      </c>
    </row>
    <row r="36" spans="1:6" hidden="1" x14ac:dyDescent="0.25">
      <c r="A36" s="19">
        <f t="shared" si="0"/>
        <v>28</v>
      </c>
      <c r="B36" s="34" t="str">
        <f>IF('График аннуитет.'!B35=FALSE,"",'График аннуитет.'!B35)</f>
        <v/>
      </c>
      <c r="C36" s="35">
        <f>IF('Общие данные'!$B$78='Общие данные'!$C$78,'График дифференц'!C35,IF('Общие данные'!$B$78='Общие данные'!$D$78,'График аннуитет.'!C35))</f>
        <v>3.7252902984619141E-9</v>
      </c>
      <c r="D36" s="35" t="b">
        <f>IF('Общие данные'!$B$78='Общие данные'!$C$78,'График дифференц'!D35,IF('Общие данные'!$B$78='Общие данные'!$D$78,'График аннуитет.'!D35))</f>
        <v>0</v>
      </c>
      <c r="E36" s="35" t="b">
        <f>IF('Общие данные'!$B$78='Общие данные'!$C$78,'График дифференц'!E35,IF('Общие данные'!$B$78='Общие данные'!$D$78,'График аннуитет.'!E35))</f>
        <v>0</v>
      </c>
      <c r="F36" s="35" t="b">
        <f>IF('Общие данные'!$B$78='Общие данные'!$C$78,'График дифференц'!F35,IF('Общие данные'!$B$78='Общие данные'!$D$78,'График аннуитет.'!F35))</f>
        <v>0</v>
      </c>
    </row>
    <row r="37" spans="1:6" hidden="1" x14ac:dyDescent="0.25">
      <c r="A37" s="19">
        <f t="shared" si="0"/>
        <v>29</v>
      </c>
      <c r="B37" s="34" t="str">
        <f>IF('График аннуитет.'!B36=FALSE,"",'График аннуитет.'!B36)</f>
        <v/>
      </c>
      <c r="C37" s="35">
        <f>IF('Общие данные'!$B$78='Общие данные'!$C$78,'График дифференц'!C36,IF('Общие данные'!$B$78='Общие данные'!$D$78,'График аннуитет.'!C36))</f>
        <v>3.7252902984619141E-9</v>
      </c>
      <c r="D37" s="35" t="b">
        <f>IF('Общие данные'!$B$78='Общие данные'!$C$78,'График дифференц'!D36,IF('Общие данные'!$B$78='Общие данные'!$D$78,'График аннуитет.'!D36))</f>
        <v>0</v>
      </c>
      <c r="E37" s="35" t="b">
        <f>IF('Общие данные'!$B$78='Общие данные'!$C$78,'График дифференц'!E36,IF('Общие данные'!$B$78='Общие данные'!$D$78,'График аннуитет.'!E36))</f>
        <v>0</v>
      </c>
      <c r="F37" s="35" t="b">
        <f>IF('Общие данные'!$B$78='Общие данные'!$C$78,'График дифференц'!F36,IF('Общие данные'!$B$78='Общие данные'!$D$78,'График аннуитет.'!F36))</f>
        <v>0</v>
      </c>
    </row>
    <row r="38" spans="1:6" hidden="1" x14ac:dyDescent="0.25">
      <c r="A38" s="19">
        <f t="shared" si="0"/>
        <v>30</v>
      </c>
      <c r="B38" s="34" t="str">
        <f>IF('График аннуитет.'!B37=FALSE,"",'График аннуитет.'!B37)</f>
        <v/>
      </c>
      <c r="C38" s="35">
        <f>IF('Общие данные'!$B$78='Общие данные'!$C$78,'График дифференц'!C37,IF('Общие данные'!$B$78='Общие данные'!$D$78,'График аннуитет.'!C37))</f>
        <v>3.7252902984619141E-9</v>
      </c>
      <c r="D38" s="35" t="b">
        <f>IF('Общие данные'!$B$78='Общие данные'!$C$78,'График дифференц'!D37,IF('Общие данные'!$B$78='Общие данные'!$D$78,'График аннуитет.'!D37))</f>
        <v>0</v>
      </c>
      <c r="E38" s="35" t="b">
        <f>IF('Общие данные'!$B$78='Общие данные'!$C$78,'График дифференц'!E37,IF('Общие данные'!$B$78='Общие данные'!$D$78,'График аннуитет.'!E37))</f>
        <v>0</v>
      </c>
      <c r="F38" s="35" t="b">
        <f>IF('Общие данные'!$B$78='Общие данные'!$C$78,'График дифференц'!F37,IF('Общие данные'!$B$78='Общие данные'!$D$78,'График аннуитет.'!F37))</f>
        <v>0</v>
      </c>
    </row>
    <row r="39" spans="1:6" hidden="1" x14ac:dyDescent="0.25">
      <c r="A39" s="19">
        <f t="shared" si="0"/>
        <v>31</v>
      </c>
      <c r="B39" s="34" t="str">
        <f>IF('График аннуитет.'!B38=FALSE,"",'График аннуитет.'!B38)</f>
        <v/>
      </c>
      <c r="C39" s="35">
        <f>IF('Общие данные'!$B$78='Общие данные'!$C$78,'График дифференц'!C38,IF('Общие данные'!$B$78='Общие данные'!$D$78,'График аннуитет.'!C38))</f>
        <v>3.7252902984619141E-9</v>
      </c>
      <c r="D39" s="35" t="b">
        <f>IF('Общие данные'!$B$78='Общие данные'!$C$78,'График дифференц'!D38,IF('Общие данные'!$B$78='Общие данные'!$D$78,'График аннуитет.'!D38))</f>
        <v>0</v>
      </c>
      <c r="E39" s="35" t="b">
        <f>IF('Общие данные'!$B$78='Общие данные'!$C$78,'График дифференц'!E38,IF('Общие данные'!$B$78='Общие данные'!$D$78,'График аннуитет.'!E38))</f>
        <v>0</v>
      </c>
      <c r="F39" s="35" t="b">
        <f>IF('Общие данные'!$B$78='Общие данные'!$C$78,'График дифференц'!F38,IF('Общие данные'!$B$78='Общие данные'!$D$78,'График аннуитет.'!F38))</f>
        <v>0</v>
      </c>
    </row>
    <row r="40" spans="1:6" hidden="1" x14ac:dyDescent="0.25">
      <c r="A40" s="19">
        <f t="shared" si="0"/>
        <v>32</v>
      </c>
      <c r="B40" s="34" t="str">
        <f>IF('График аннуитет.'!B39=FALSE,"",'График аннуитет.'!B39)</f>
        <v/>
      </c>
      <c r="C40" s="35">
        <f>IF('Общие данные'!$B$78='Общие данные'!$C$78,'График дифференц'!C39,IF('Общие данные'!$B$78='Общие данные'!$D$78,'График аннуитет.'!C39))</f>
        <v>3.7252902984619141E-9</v>
      </c>
      <c r="D40" s="35" t="b">
        <f>IF('Общие данные'!$B$78='Общие данные'!$C$78,'График дифференц'!D39,IF('Общие данные'!$B$78='Общие данные'!$D$78,'График аннуитет.'!D39))</f>
        <v>0</v>
      </c>
      <c r="E40" s="35" t="b">
        <f>IF('Общие данные'!$B$78='Общие данные'!$C$78,'График дифференц'!E39,IF('Общие данные'!$B$78='Общие данные'!$D$78,'График аннуитет.'!E39))</f>
        <v>0</v>
      </c>
      <c r="F40" s="35" t="b">
        <f>IF('Общие данные'!$B$78='Общие данные'!$C$78,'График дифференц'!F39,IF('Общие данные'!$B$78='Общие данные'!$D$78,'График аннуитет.'!F39))</f>
        <v>0</v>
      </c>
    </row>
    <row r="41" spans="1:6" hidden="1" x14ac:dyDescent="0.25">
      <c r="A41" s="19">
        <f t="shared" si="0"/>
        <v>33</v>
      </c>
      <c r="B41" s="34" t="str">
        <f>IF('График аннуитет.'!B40=FALSE,"",'График аннуитет.'!B40)</f>
        <v/>
      </c>
      <c r="C41" s="35">
        <f>IF('Общие данные'!$B$78='Общие данные'!$C$78,'График дифференц'!C40,IF('Общие данные'!$B$78='Общие данные'!$D$78,'График аннуитет.'!C40))</f>
        <v>3.7252902984619141E-9</v>
      </c>
      <c r="D41" s="35" t="b">
        <f>IF('Общие данные'!$B$78='Общие данные'!$C$78,'График дифференц'!D40,IF('Общие данные'!$B$78='Общие данные'!$D$78,'График аннуитет.'!D40))</f>
        <v>0</v>
      </c>
      <c r="E41" s="35" t="b">
        <f>IF('Общие данные'!$B$78='Общие данные'!$C$78,'График дифференц'!E40,IF('Общие данные'!$B$78='Общие данные'!$D$78,'График аннуитет.'!E40))</f>
        <v>0</v>
      </c>
      <c r="F41" s="35" t="b">
        <f>IF('Общие данные'!$B$78='Общие данные'!$C$78,'График дифференц'!F40,IF('Общие данные'!$B$78='Общие данные'!$D$78,'График аннуитет.'!F40))</f>
        <v>0</v>
      </c>
    </row>
    <row r="42" spans="1:6" hidden="1" x14ac:dyDescent="0.25">
      <c r="A42" s="19">
        <f t="shared" si="0"/>
        <v>34</v>
      </c>
      <c r="B42" s="34" t="str">
        <f>IF('График аннуитет.'!B41=FALSE,"",'График аннуитет.'!B41)</f>
        <v/>
      </c>
      <c r="C42" s="35">
        <f>IF('Общие данные'!$B$78='Общие данные'!$C$78,'График дифференц'!C41,IF('Общие данные'!$B$78='Общие данные'!$D$78,'График аннуитет.'!C41))</f>
        <v>3.7252902984619141E-9</v>
      </c>
      <c r="D42" s="35" t="b">
        <f>IF('Общие данные'!$B$78='Общие данные'!$C$78,'График дифференц'!D41,IF('Общие данные'!$B$78='Общие данные'!$D$78,'График аннуитет.'!D41))</f>
        <v>0</v>
      </c>
      <c r="E42" s="35" t="b">
        <f>IF('Общие данные'!$B$78='Общие данные'!$C$78,'График дифференц'!E41,IF('Общие данные'!$B$78='Общие данные'!$D$78,'График аннуитет.'!E41))</f>
        <v>0</v>
      </c>
      <c r="F42" s="35" t="b">
        <f>IF('Общие данные'!$B$78='Общие данные'!$C$78,'График дифференц'!F41,IF('Общие данные'!$B$78='Общие данные'!$D$78,'График аннуитет.'!F41))</f>
        <v>0</v>
      </c>
    </row>
    <row r="43" spans="1:6" hidden="1" x14ac:dyDescent="0.25">
      <c r="A43" s="19">
        <f t="shared" si="0"/>
        <v>35</v>
      </c>
      <c r="B43" s="34" t="str">
        <f>IF('График аннуитет.'!B42=FALSE,"",'График аннуитет.'!B42)</f>
        <v/>
      </c>
      <c r="C43" s="35">
        <f>IF('Общие данные'!$B$78='Общие данные'!$C$78,'График дифференц'!C42,IF('Общие данные'!$B$78='Общие данные'!$D$78,'График аннуитет.'!C42))</f>
        <v>3.7252902984619141E-9</v>
      </c>
      <c r="D43" s="35" t="b">
        <f>IF('Общие данные'!$B$78='Общие данные'!$C$78,'График дифференц'!D42,IF('Общие данные'!$B$78='Общие данные'!$D$78,'График аннуитет.'!D42))</f>
        <v>0</v>
      </c>
      <c r="E43" s="35" t="b">
        <f>IF('Общие данные'!$B$78='Общие данные'!$C$78,'График дифференц'!E42,IF('Общие данные'!$B$78='Общие данные'!$D$78,'График аннуитет.'!E42))</f>
        <v>0</v>
      </c>
      <c r="F43" s="35" t="b">
        <f>IF('Общие данные'!$B$78='Общие данные'!$C$78,'График дифференц'!F42,IF('Общие данные'!$B$78='Общие данные'!$D$78,'График аннуитет.'!F42))</f>
        <v>0</v>
      </c>
    </row>
    <row r="44" spans="1:6" hidden="1" x14ac:dyDescent="0.25">
      <c r="A44" s="19">
        <f>1+A43</f>
        <v>36</v>
      </c>
      <c r="B44" s="34" t="str">
        <f>IF('График аннуитет.'!B43=FALSE,"",'График аннуитет.'!B43)</f>
        <v/>
      </c>
      <c r="C44" s="35">
        <f>IF('Общие данные'!$B$78='Общие данные'!$C$78,'График дифференц'!C43,IF('Общие данные'!$B$78='Общие данные'!$D$78,'График аннуитет.'!C43))</f>
        <v>3.7252902984619141E-9</v>
      </c>
      <c r="D44" s="35" t="b">
        <f>IF('Общие данные'!$B$78='Общие данные'!$C$78,'График дифференц'!D43,IF('Общие данные'!$B$78='Общие данные'!$D$78,'График аннуитет.'!D43))</f>
        <v>0</v>
      </c>
      <c r="E44" s="35" t="b">
        <f>IF('Общие данные'!$B$78='Общие данные'!$C$78,'График дифференц'!E43,IF('Общие данные'!$B$78='Общие данные'!$D$78,'График аннуитет.'!E43))</f>
        <v>0</v>
      </c>
      <c r="F44" s="35" t="b">
        <f>IF('Общие данные'!$B$78='Общие данные'!$C$78,'График дифференц'!F43,IF('Общие данные'!$B$78='Общие данные'!$D$78,'График аннуитет.'!F43))</f>
        <v>0</v>
      </c>
    </row>
    <row r="45" spans="1:6" ht="15" customHeight="1" x14ac:dyDescent="0.25">
      <c r="A45" s="47"/>
      <c r="B45" s="48" t="s">
        <v>210</v>
      </c>
      <c r="C45" s="49"/>
      <c r="D45" s="49">
        <f>SUM(D9:D44)</f>
        <v>65000000</v>
      </c>
      <c r="E45" s="49">
        <f t="shared" ref="E45:F45" si="1">SUM(E9:E44)</f>
        <v>39191438.270000003</v>
      </c>
      <c r="F45" s="49">
        <f t="shared" si="1"/>
        <v>104191438.27000004</v>
      </c>
    </row>
    <row r="46" spans="1:6" ht="14.25" customHeight="1" x14ac:dyDescent="0.25">
      <c r="B46" s="36"/>
      <c r="C46" s="37"/>
      <c r="D46" s="37"/>
      <c r="E46" s="37"/>
      <c r="F46" s="37"/>
    </row>
    <row r="47" spans="1:6" ht="47.25" customHeight="1" x14ac:dyDescent="0.25">
      <c r="A47" s="236" t="str">
        <f>"*"&amp;'Общие данные'!C64&amp;" bo‘yicha to‘lovlar to‘lov jadvalida ko‘rsatilmagan sanalarda to‘langan taqdirda, to‘lov summasi mikroqarz shartnomasining 2.2.-bandiga muvofiq "&amp;'Общие данные'!B65&amp;"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36"/>
      <c r="C47" s="236"/>
      <c r="D47" s="236"/>
      <c r="E47" s="236"/>
      <c r="F47" s="236"/>
    </row>
    <row r="48" spans="1:6" ht="7.5" customHeight="1" x14ac:dyDescent="0.25"/>
    <row r="49" spans="1:6" ht="15" customHeight="1" x14ac:dyDescent="0.25">
      <c r="A49" s="265" t="s">
        <v>273</v>
      </c>
      <c r="B49" s="265"/>
      <c r="C49" s="265"/>
      <c r="D49" s="265"/>
      <c r="E49" s="265"/>
      <c r="F49" s="265"/>
    </row>
    <row r="50" spans="1:6" ht="11.25" customHeight="1" x14ac:dyDescent="0.25">
      <c r="A50" s="266"/>
      <c r="B50" s="266"/>
      <c r="C50" s="266"/>
      <c r="D50" s="266"/>
      <c r="E50" s="266"/>
      <c r="F50" s="266"/>
    </row>
    <row r="51" spans="1:6" ht="30" customHeight="1" x14ac:dyDescent="0.25">
      <c r="A51" s="267" t="str">
        <f>договор!A119</f>
        <v>«CLEVER MIKROMOLIYA TASHKILOTI» MChJ</v>
      </c>
      <c r="B51" s="267"/>
      <c r="C51" s="267"/>
      <c r="D51" s="267" t="str">
        <f>договор!B119</f>
        <v>ATAXANOV AKMAL AXMETDJANOVICH</v>
      </c>
      <c r="E51" s="267"/>
      <c r="F51" s="267"/>
    </row>
    <row r="52" spans="1:6" ht="47.25" customHeight="1" x14ac:dyDescent="0.25">
      <c r="A52" s="264" t="str">
        <f>договор!A121</f>
        <v>Manzil: Toshkent shahri, Olmazor tumani, Sagbon ko'chasi, 30 boshi berk, 6-uy</v>
      </c>
      <c r="B52" s="264"/>
      <c r="C52" s="264"/>
      <c r="D52" s="264" t="str">
        <f>договор!B121</f>
        <v>Manzil: QORAKO'L TUMANI DARG'ALI QFY</v>
      </c>
      <c r="E52" s="264"/>
      <c r="F52" s="264"/>
    </row>
    <row r="53" spans="1:6" ht="15" customHeight="1" x14ac:dyDescent="0.25">
      <c r="A53" s="264" t="str">
        <f>договор!A122</f>
        <v>h/r: №20216000705068380001</v>
      </c>
      <c r="B53" s="264"/>
      <c r="C53" s="264"/>
      <c r="D53" s="264" t="str">
        <f>договор!B123</f>
        <v>pasport seriyasi: AD7554127, IIV 6230 tomonidan 20.06.2024 yilda berilgan</v>
      </c>
      <c r="E53" s="264"/>
      <c r="F53" s="264"/>
    </row>
    <row r="54" spans="1:6" ht="32.25" customHeight="1" x14ac:dyDescent="0.25">
      <c r="A54" s="264" t="str">
        <f>договор!A123</f>
        <v>MFO: №01042 в ATB “Kapitalbank” Sergeli filiali</v>
      </c>
      <c r="B54" s="264"/>
      <c r="C54" s="264"/>
      <c r="D54" s="264"/>
      <c r="E54" s="264"/>
      <c r="F54" s="264"/>
    </row>
    <row r="55" spans="1:6" ht="15" customHeight="1" x14ac:dyDescent="0.25">
      <c r="A55" s="264" t="str">
        <f>договор!A124</f>
        <v>STIR: 306365847</v>
      </c>
      <c r="B55" s="264"/>
      <c r="C55" s="264"/>
      <c r="D55" s="264" t="str">
        <f>договор!B124</f>
        <v>Tel: 94 545-76-56 O'ZI</v>
      </c>
      <c r="E55" s="264"/>
      <c r="F55" s="264"/>
    </row>
    <row r="56" spans="1:6" ht="15" customHeight="1" x14ac:dyDescent="0.25">
      <c r="A56" s="264" t="str">
        <f>договор!A125</f>
        <v>Tel: (78) 113 31 33</v>
      </c>
      <c r="B56" s="264"/>
      <c r="C56" s="264"/>
      <c r="D56" s="264" t="str">
        <f>договор!B125</f>
        <v>93 547-13-19  AYOLI</v>
      </c>
      <c r="E56" s="264"/>
      <c r="F56" s="264"/>
    </row>
    <row r="57" spans="1:6" ht="15" customHeight="1" x14ac:dyDescent="0.25">
      <c r="A57" s="264" t="str">
        <f>договор!A126</f>
        <v>(78) 113 31 34</v>
      </c>
      <c r="B57" s="264"/>
      <c r="C57" s="264"/>
      <c r="D57" s="264" t="str">
        <f>договор!B126</f>
        <v>93 753-02-44 O'RTOG'I</v>
      </c>
      <c r="E57" s="264"/>
      <c r="F57" s="264"/>
    </row>
    <row r="58" spans="1:6" ht="23.25" customHeight="1" x14ac:dyDescent="0.25">
      <c r="A58" s="264"/>
      <c r="B58" s="264"/>
      <c r="C58" s="264"/>
      <c r="D58" s="264" t="str">
        <f>IF(договор!B127=0,"",договор!B127)</f>
        <v/>
      </c>
      <c r="E58" s="264"/>
      <c r="F58" s="264"/>
    </row>
    <row r="59" spans="1:6" ht="29.25" customHeight="1" x14ac:dyDescent="0.25">
      <c r="A59" s="316" t="str">
        <f>'Общие данные'!A165</f>
        <v>Qorako'l filiali boshlig'i</v>
      </c>
      <c r="B59" s="316"/>
      <c r="C59" s="316"/>
      <c r="D59" s="267" t="str">
        <f>договор!B129</f>
        <v>ATAXANOV A.A.     __________________</v>
      </c>
      <c r="E59" s="267"/>
      <c r="F59" s="267"/>
    </row>
    <row r="60" spans="1:6" ht="15" customHeight="1" x14ac:dyDescent="0.25">
      <c r="A60" s="264"/>
      <c r="B60" s="264"/>
      <c r="C60" s="264"/>
      <c r="D60" s="267"/>
      <c r="E60" s="267"/>
      <c r="F60" s="267"/>
    </row>
    <row r="61" spans="1:6" x14ac:dyDescent="0.25">
      <c r="A61" s="316" t="str">
        <f>договор!A131</f>
        <v>Egamberdiyeva D.I.     __________________</v>
      </c>
      <c r="B61" s="316"/>
      <c r="C61" s="316"/>
      <c r="D61" s="267"/>
      <c r="E61" s="267"/>
      <c r="F61" s="267"/>
    </row>
    <row r="62" spans="1:6" ht="8.25" customHeight="1" x14ac:dyDescent="0.25">
      <c r="A62" s="264"/>
      <c r="B62" s="264"/>
      <c r="C62" s="264"/>
      <c r="D62" s="264"/>
      <c r="E62" s="264"/>
      <c r="F62" s="264"/>
    </row>
    <row r="63" spans="1:6" ht="30" customHeight="1" x14ac:dyDescent="0.25">
      <c r="A63" s="269"/>
      <c r="B63" s="269"/>
      <c r="C63" s="269"/>
      <c r="D63" s="270"/>
      <c r="E63" s="270"/>
      <c r="F63" s="270"/>
    </row>
    <row r="64" spans="1:6" x14ac:dyDescent="0.25">
      <c r="A64" s="271"/>
      <c r="B64" s="271"/>
      <c r="C64" s="271"/>
      <c r="D64" s="271"/>
      <c r="E64" s="271"/>
      <c r="F64" s="271"/>
    </row>
    <row r="65" spans="1:6" x14ac:dyDescent="0.25">
      <c r="A65" s="268"/>
      <c r="B65" s="268"/>
      <c r="C65" s="268"/>
      <c r="D65" s="268"/>
      <c r="E65" s="268"/>
      <c r="F65" s="268"/>
    </row>
  </sheetData>
  <mergeCells count="42">
    <mergeCell ref="H12:P24"/>
    <mergeCell ref="A65:C65"/>
    <mergeCell ref="D65:F65"/>
    <mergeCell ref="A62:C62"/>
    <mergeCell ref="D62:F62"/>
    <mergeCell ref="A63:C63"/>
    <mergeCell ref="D63:F63"/>
    <mergeCell ref="A64:C64"/>
    <mergeCell ref="D64:F64"/>
    <mergeCell ref="A59:C59"/>
    <mergeCell ref="D59:F59"/>
    <mergeCell ref="A60:C60"/>
    <mergeCell ref="D60:F60"/>
    <mergeCell ref="A61:C61"/>
    <mergeCell ref="D61:F61"/>
    <mergeCell ref="A56:C56"/>
    <mergeCell ref="D56:F56"/>
    <mergeCell ref="A57:C57"/>
    <mergeCell ref="D57:F57"/>
    <mergeCell ref="A58:C58"/>
    <mergeCell ref="D58:F58"/>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E2:F2"/>
    <mergeCell ref="A5:F5"/>
    <mergeCell ref="A7:A8"/>
    <mergeCell ref="B7:B8"/>
    <mergeCell ref="C7:C8"/>
    <mergeCell ref="D7:F7"/>
    <mergeCell ref="E3:F3"/>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86"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8"/>
  <sheetViews>
    <sheetView view="pageBreakPreview" topLeftCell="A5" zoomScaleNormal="100" zoomScaleSheetLayoutView="100" workbookViewId="0">
      <selection activeCell="A19" sqref="A19"/>
    </sheetView>
  </sheetViews>
  <sheetFormatPr defaultColWidth="0" defaultRowHeight="15.75" zeroHeight="1" x14ac:dyDescent="0.25"/>
  <cols>
    <col min="1" max="1" width="33" style="7" customWidth="1"/>
    <col min="2" max="2" width="53.42578125" style="7" customWidth="1"/>
    <col min="3" max="16384" width="9.140625" style="7" hidden="1"/>
  </cols>
  <sheetData>
    <row r="5" spans="1:2" x14ac:dyDescent="0.25"/>
    <row r="6" spans="1:2" ht="17.25" customHeight="1" x14ac:dyDescent="0.25">
      <c r="B6" s="15" t="str">
        <f>'Общие данные'!B152</f>
        <v>«CLEVER MIKROMOLIYA TASHKILOTI» MChJ</v>
      </c>
    </row>
    <row r="7" spans="1:2" ht="33" customHeight="1" x14ac:dyDescent="0.25">
      <c r="A7" s="192"/>
      <c r="B7" s="183" t="str">
        <f>""&amp;'Общие данные'!A154&amp;" "&amp;'Общие данные'!B154&amp;"ga"</f>
        <v>Qorako'l filiali boshlig'i Egamberdiyeva D.I.ga</v>
      </c>
    </row>
    <row r="8" spans="1:2" x14ac:dyDescent="0.25">
      <c r="A8" s="170"/>
      <c r="B8" s="183" t="str">
        <f>""&amp;'Общие данные'!B112&amp;"dan"</f>
        <v>BOBONAZAROV ASLBEK AKRAM O'G'LIdan</v>
      </c>
    </row>
    <row r="9" spans="1:2" ht="15.75" hidden="1" customHeight="1" x14ac:dyDescent="0.25">
      <c r="B9" s="8" t="str">
        <f>'Общие данные'!B112</f>
        <v>BOBONAZAROV ASLBEK AKRAM O'G'LI</v>
      </c>
    </row>
    <row r="10" spans="1:2" ht="15.75" hidden="1" customHeight="1" x14ac:dyDescent="0.25">
      <c r="B10" s="8">
        <f>'Общие данные'!C112</f>
        <v>0</v>
      </c>
    </row>
    <row r="11" spans="1:2" ht="15.75" hidden="1" customHeight="1" x14ac:dyDescent="0.25">
      <c r="B11" s="170" t="s">
        <v>275</v>
      </c>
    </row>
    <row r="12" spans="1:2" x14ac:dyDescent="0.25"/>
    <row r="13" spans="1:2" ht="115.5" customHeight="1" x14ac:dyDescent="0.25">
      <c r="A13" s="296" t="str">
        <f>IF('Общие данные'!B104="Avtotransport",A14,A15)</f>
        <v>ATAXANOV AKMAL AXMETDJANOVICH tomonidan so’ralayotgan 24 (yigirma to'rt) oy muddatga, 65 000 000 (oltmish besh million so'm) miqdoridagi mikroqarzning ta’minoti sifatida menga mulk huquqi asosida tegishli bo’lgan  DAMAS-2, kuzov turi - YENGIL SEDAN, kuzov raqami XWB7T12YDRP863654, dvigatel raqami F8CB240180255, shassi raqami -  - , rangi -  OQ SUMMIT WHITE, ishlab chiqarilgan yili - 2024, avtotransport vositasini qabul qilishingizni so’rayman:</v>
      </c>
      <c r="B13" s="296"/>
    </row>
    <row r="14" spans="1:2" ht="124.5" hidden="1" customHeight="1" x14ac:dyDescent="0.25">
      <c r="A14" s="296" t="str">
        <f>""&amp;'Общие данные'!B12&amp;" tomonidan so’ralayotgan "&amp;'Общие данные'!B82&amp;" ("&amp;'Общие данные'!B83&amp;") oy muddatga, "&amp;FIXED('Общие данные'!B76,0)&amp;" ("&amp;'Общие данные'!B77&amp;") miqdoridagi "&amp;'Общие данные'!B65&amp;"ning ta’minoti sifatida menga mulk huquqi asosida tegishli bo’lgan  "&amp;'Общие данные'!B126&amp;", "&amp;'Общие данные'!B128&amp;", "&amp;'Общие данные'!B131&amp;", "&amp;'Общие данные'!B134&amp;", avtotransport vositasini qabul qilishingizni so’rayman:"</f>
        <v>ATAXANOV AKMAL AXMETDJANOVICH tomonidan so’ralayotgan 24 (yigirma to'rt) oy muddatga, 65 000 000 (oltmish besh million so'm) miqdoridagi mikroqarzning ta’minoti sifatida menga mulk huquqi asosida tegishli bo’lgan  DAMAS-2, kuzov turi - YENGIL SEDAN, kuzov raqami XWB7T12YDRP863654, dvigatel raqami F8CB240180255, shassi raqami -  - , rangi -  OQ SUMMIT WHITE, ishlab chiqarilgan yili - 2024, avtotransport vositasini qabul qilishingizni so’rayman:</v>
      </c>
      <c r="B14" s="296"/>
    </row>
    <row r="15" spans="1:2" ht="116.25" hidden="1" customHeight="1" x14ac:dyDescent="0.25">
      <c r="A15" s="296" t="str">
        <f>""&amp;'Общие данные'!B12&amp;" tomonidan so’ralayotgan "&amp;'Общие данные'!B82&amp;" ("&amp;'Общие данные'!B83&amp;") oy muddatga, "&amp;FIXED('Общие данные'!B76,0)&amp;" ("&amp;'Общие данные'!B77&amp;") miqdoridagi "&amp;'Общие данные'!B65&amp;"ning ta’minoti sifatida menga mulk huquqi asosida tegishli bo’lgan  "&amp;'Общие данные'!C127&amp;", umumiy maydoni "&amp;'Общие данные'!C131&amp;" va yashash maydoni "&amp;'Общие данные'!C134&amp;"  "&amp;'Общие данные'!C124&amp;" manzilda joylashgan ko'chmas mulkni qabul qilishingizni so’rayman:"</f>
        <v>ATAXANOV AKMAL AXMETDJANOVICH tomonidan so’ralayotgan 24 (yigirma to'rt) oy muddatga, 65 000 000 (oltmish besh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296"/>
    </row>
    <row r="16" spans="1:2" x14ac:dyDescent="0.25"/>
    <row r="17" spans="1:2" x14ac:dyDescent="0.25"/>
    <row r="18" spans="1:2" x14ac:dyDescent="0.25">
      <c r="B18" s="8" t="s">
        <v>274</v>
      </c>
    </row>
    <row r="19" spans="1:2" ht="18.75" customHeight="1" x14ac:dyDescent="0.25">
      <c r="A19" s="7" t="str">
        <f>IF('Общие данные'!B95='Общие данные'!C95,'Общие данные'!B113,'Общие данные'!B7)</f>
        <v>ATAXANOV A.A.</v>
      </c>
      <c r="B19" s="60" t="str">
        <f>'Общие данные'!B2</f>
        <v>28.02.2025</v>
      </c>
    </row>
    <row r="20" spans="1:2" ht="69.75" customHeight="1" x14ac:dyDescent="0.25">
      <c r="A20" s="317" t="str">
        <f>IF('Общие данные'!B95='Общие данные'!D95,CONCATENATE(A24," ",A28,A22),"")</f>
        <v xml:space="preserve">№202401864005639 26.12.2024 sanasidan xususiy faoliyat ko'rsatuvchi notarius tomonidan BUXORO VILOYATI QORAKO'L TUMANI ULUG'BEK KO'CHASI 31-UY RUSTAMOV ALISHER NARZULLAYEVICH berilgan ishonchnomaga asosan </v>
      </c>
      <c r="B20" s="317"/>
    </row>
    <row r="21" spans="1:2" x14ac:dyDescent="0.25">
      <c r="A21" s="7" t="s">
        <v>27</v>
      </c>
    </row>
    <row r="22" spans="1:2" hidden="1" x14ac:dyDescent="0.25">
      <c r="A22" s="7" t="str">
        <f>" xususiy faoliyat ko'rsatuvchi notarius tomonidan "&amp;'Общие данные'!B99&amp;" "&amp;'Общие данные'!B100&amp;" berilgan ishonchnomaga asosan "</f>
        <v xml:space="preserve"> xususiy faoliyat ko'rsatuvchi notarius tomonidan BUXORO VILOYATI QORAKO'L TUMANI ULUG'BEK KO'CHASI 31-UY RUSTAMOV ALISHER NARZULLAYEVICH berilgan ishonchnomaga asosan </v>
      </c>
    </row>
    <row r="24" spans="1:2" hidden="1" x14ac:dyDescent="0.25">
      <c r="A24" s="7" t="str">
        <f>"№"&amp;'Общие данные'!B101&amp; ""</f>
        <v>№202401864005639</v>
      </c>
    </row>
    <row r="25" spans="1:2" hidden="1" x14ac:dyDescent="0.25">
      <c r="A25" s="7" t="str">
        <f>'Общие данные'!B103</f>
        <v>26.12.2024</v>
      </c>
    </row>
    <row r="26" spans="1:2" hidden="1" x14ac:dyDescent="0.25">
      <c r="A26" s="7" t="str">
        <f>TEXT(A25,"ДД.ММ.ГГГГ")</f>
        <v>26.12.2024</v>
      </c>
    </row>
    <row r="27" spans="1:2" hidden="1" x14ac:dyDescent="0.25">
      <c r="A27" s="7" t="s">
        <v>386</v>
      </c>
    </row>
    <row r="28" spans="1:2" hidden="1" x14ac:dyDescent="0.25">
      <c r="A28" s="7" t="str">
        <f>CONCATENATE(A26,A27)</f>
        <v>26.12.2024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F64"/>
  <sheetViews>
    <sheetView view="pageBreakPreview" topLeftCell="A45" zoomScaleNormal="100" zoomScaleSheetLayoutView="100" workbookViewId="0">
      <selection activeCell="A21" sqref="A21"/>
    </sheetView>
  </sheetViews>
  <sheetFormatPr defaultColWidth="9.140625" defaultRowHeight="15" outlineLevelRow="1" x14ac:dyDescent="0.25"/>
  <cols>
    <col min="1" max="1" width="28.42578125" style="16" customWidth="1"/>
    <col min="2" max="2" width="22.85546875" style="16" customWidth="1"/>
    <col min="3" max="3" width="22.42578125" style="16" customWidth="1"/>
    <col min="4" max="4" width="21.42578125" style="16" customWidth="1"/>
    <col min="5" max="5" width="21.5703125" style="16" customWidth="1"/>
    <col min="6" max="16384" width="9.140625" style="16"/>
  </cols>
  <sheetData>
    <row r="1" spans="1:5" ht="106.5" customHeight="1" x14ac:dyDescent="0.25"/>
    <row r="2" spans="1:5" x14ac:dyDescent="0.25">
      <c r="A2" s="260" t="str">
        <f>"GAROV PREDMETI QIYMATINI KELISHISH 
№"&amp;'Общие данные'!B142&amp;" SONLI DALOLATNOMASI
 "</f>
        <v xml:space="preserve">GAROV PREDMETI QIYMATINI KELISHISH 
№1 SONLI DALOLATNOMASI
 </v>
      </c>
      <c r="B2" s="260"/>
      <c r="C2" s="260"/>
      <c r="D2" s="260"/>
      <c r="E2" s="260"/>
    </row>
    <row r="3" spans="1:5" x14ac:dyDescent="0.25">
      <c r="A3" s="41"/>
      <c r="B3" s="41"/>
      <c r="C3" s="41"/>
      <c r="D3" s="41"/>
      <c r="E3" s="41"/>
    </row>
    <row r="4" spans="1:5" x14ac:dyDescent="0.25">
      <c r="A4" s="38" t="s">
        <v>208</v>
      </c>
      <c r="B4" s="38"/>
      <c r="C4" s="38"/>
      <c r="D4" s="38"/>
      <c r="E4" s="38" t="str">
        <f>'Общие данные'!B143</f>
        <v>28 fevral 2025 y.</v>
      </c>
    </row>
    <row r="5" spans="1:5" ht="9" customHeight="1" x14ac:dyDescent="0.25">
      <c r="A5" s="236"/>
      <c r="B5" s="236"/>
      <c r="C5" s="236"/>
      <c r="D5" s="236"/>
      <c r="E5" s="236"/>
    </row>
    <row r="6" spans="1:5" ht="77.25" customHeight="1" x14ac:dyDescent="0.25">
      <c r="A6" s="236" t="str">
        <f>IF('Общие данные'!B104="avtotransport",'Акт согласования'!A10:E10,'Акт согласования'!A7:E7)</f>
        <v>«CLEVER MIKROMOLIYA TASHKILOTI» MChJning (1-tomon) vakili bo‘lgan  Qorako'l filiali boshlig'i Egamberdiyeva D.I., O‘zbekiston Respublikasi fuqarosi ATAXANOV AKMAL AXMETDJANOVICH (2-tomon) va garovga beruvchi O‘zbekiston Respublikasi fuqarosi BOBONAZAROV ASLBEK AKRAM O'G'LI (3-tomon) o’rtalarida, 28 fevral 2025 y.dan №492-QRS-sonli Mikroqarz shartnomasiga muvofiq 1-tomon 2-tomonga berilgan mikroqarz bo‘yicha ta’minot sifatida taqdim etilgan, 3-tomonga mulk huquqi asosida tegishli bo‘lgan mulkning garov qiymatini kelishish muzokaralari o’tkazildi.</v>
      </c>
      <c r="B6" s="236"/>
      <c r="C6" s="236"/>
      <c r="D6" s="236"/>
      <c r="E6" s="236"/>
    </row>
    <row r="7" spans="1:5" ht="88.5" hidden="1" customHeight="1" x14ac:dyDescent="0.25">
      <c r="A7" s="236" t="str">
        <f>IF('Общие данные'!B94="ha",'Акт согласования'!A9:E9,'Акт согласования'!A8:E8)</f>
        <v xml:space="preserve">«CLEVER MIKROMOLIYA TASHKILOTI» MChJning (1-tomon) vakili bo‘lgan  Qorako'l filiali boshlig'i Egamberdiyeva D.I., va O‘zbekiston Respublikasi fuqarosi  ATAXANOV AKMAL AXMETDJANOVICH (2-tomon) va garov egasi 0 (3-tomon) 28 fevral 2025 y.dan №492-QRS Mikroqarz shartnomasiga muvofiq 1-tomon 2-tomonga berilgan mikroqarz bo‘yicha ta’minot sifatida taqdim etilgan, 2-tomonga mulk huquqi asosida tegishli bo‘lgan mulkning garov qiymatini kelishish muzokaralari o’tkazildi. </v>
      </c>
      <c r="B7" s="236"/>
      <c r="C7" s="236"/>
      <c r="D7" s="236"/>
      <c r="E7" s="236"/>
    </row>
    <row r="8" spans="1:5" ht="88.5" hidden="1" customHeight="1" x14ac:dyDescent="0.25">
      <c r="A8" s="236" t="str">
        <f>""&amp;'Общие данные'!B151&amp;"ning (1-tomon) vakili bo‘lgan  "&amp;'Общие данные'!A154&amp;" "&amp;'Общие данные'!B154&amp;", va O‘zbekiston Respublikasi fuqarosi  "&amp;'Общие данные'!B5&amp;" (2-tomon) va garov egasi "&amp;'Общие данные'!C118&amp;"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Qorako'l filiali boshlig'i Egamberdiyeva D.I., va O‘zbekiston Respublikasi fuqarosi  ATAXANOV AKMAL AXMETDJANOVICH (2-tomon) va garov egasi 0 (3-tomon) 28 fevral 2025 y.dan №492-QRS Mikroqarz shartnomasiga muvofiq 1-tomon 2-tomonga berilgan mikroqarz bo‘yicha ta’minot sifatida taqdim etilgan, 2-tomonga mulk huquqi asosida tegishli bo‘lgan mulkning garov qiymatini kelishish muzokaralari o’tkazildi. </v>
      </c>
      <c r="B8" s="236"/>
      <c r="C8" s="236"/>
      <c r="D8" s="236"/>
      <c r="E8" s="236"/>
    </row>
    <row r="9" spans="1:5" ht="88.5" hidden="1" customHeight="1" x14ac:dyDescent="0.25">
      <c r="A9" s="236" t="str">
        <f>""&amp;'Общие данные'!B151&amp;"ning (1-tomon) vakili bo‘lgan  "&amp;'Общие данные'!A154&amp;" "&amp;'Общие данные'!B154&amp;", va O‘zbekiston Respublikasi fuqarosi  "&amp;'Общие данные'!B5&amp;" (2-tomon) va garov egasi "&amp;'Общие данные'!C118&amp;"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Qorako'l filiali boshlig'i Egamberdiyeva D.I., va O‘zbekiston Respublikasi fuqarosi  ATAXANOV AKMAL AXMETDJANOVICH (2-tomon) va garov egasi 0 (3-tomon) 28 fevral 2025 y.dan №492-QRS Mikroqarz shartnomasiga muvofiq 1-tomon 2-tomonga berilgan mikroqarz bo‘yicha ta’minot sifatida taqdim etilgan, 2-tomonga mulk huquqi asosida tegishli bo‘lgan mulkning garov qiymatini kelishish muzokaralari o’tkazildi. </v>
      </c>
      <c r="B9" s="236"/>
      <c r="C9" s="236"/>
      <c r="D9" s="236"/>
      <c r="E9" s="236"/>
    </row>
    <row r="10" spans="1:5" ht="88.5" hidden="1" customHeight="1" x14ac:dyDescent="0.25">
      <c r="A10" s="236" t="str">
        <f>IF('Общие данные'!B94="ha",'Акт согласования'!A12:E12,'Акт согласования'!A11:E11)</f>
        <v>«CLEVER MIKROMOLIYA TASHKILOTI» MChJning (1-tomon) vakili bo‘lgan  Qorako'l filiali boshlig'i Egamberdiyeva D.I., O‘zbekiston Respublikasi fuqarosi ATAXANOV AKMAL AXMETDJANOVICH (2-tomon) va garovga beruvchi O‘zbekiston Respublikasi fuqarosi BOBONAZAROV ASLBEK AKRAM O'G'LI (3-tomon) o’rtalarida, 28 fevral 2025 y.dan №492-QRS-sonli Mikroqarz shartnomasiga muvofiq 1-tomon 2-tomonga berilgan mikroqarz bo‘yicha ta’minot sifatida taqdim etilgan, 3-tomonga mulk huquqi asosida tegishli bo‘lgan mulkning garov qiymatini kelishish muzokaralari o’tkazildi.</v>
      </c>
      <c r="B10" s="236"/>
      <c r="C10" s="236"/>
      <c r="D10" s="236"/>
      <c r="E10" s="236"/>
    </row>
    <row r="11" spans="1:5" ht="88.5" hidden="1" customHeight="1" x14ac:dyDescent="0.25">
      <c r="A11" s="236" t="str">
        <f>""&amp;'Общие данные'!B151&amp;"ning (1-tomon) vakili bo‘lgan  "&amp;'Общие данные'!A154&amp;" "&amp;'Общие данные'!B154&amp;", O‘zbekiston Respublikasi fuqarosi "&amp;'Общие данные'!B5&amp;" (2-tomon) va garovga beruvchi O‘zbekiston Respublikasi fuqarosi "&amp;'Общие данные'!B118&amp;"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«CLEVER MIKROMOLIYA TASHKILOTI» MChJning (1-tomon) vakili bo‘lgan  Qorako'l filiali boshlig'i Egamberdiyeva D.I., O‘zbekiston Respublikasi fuqarosi ATAXANOV AKMAL AXMETDJANOVICH (2-tomon) va garovga beruvchi O‘zbekiston Respublikasi fuqarosi BOBONAZAROV ASLBEK AKRAM O'G'LI (3-tomon) o’rtalarida, 28 fevral 2025 y.dan №492-QRS-sonli Mikroqarz shartnomasiga muvofiq 1-tomon 2-tomonga berilgan mikroqarz bo‘yicha ta’minot sifatida taqdim etilgan, 3-tomonga mulk huquqi asosida tegishli bo‘lgan mulkning garov qiymatini kelishish muzokaralari o’tkazildi.</v>
      </c>
      <c r="B11" s="236"/>
      <c r="C11" s="236"/>
      <c r="D11" s="236"/>
      <c r="E11" s="236"/>
    </row>
    <row r="12" spans="1:5" ht="88.5" hidden="1" customHeight="1" x14ac:dyDescent="0.25">
      <c r="A12" s="236" t="str">
        <f>""&amp;'Общие данные'!B151&amp;"ning (1-tomon) vakili bo‘lgan  "&amp;'Общие данные'!A154&amp;" "&amp;'Общие данные'!B154&amp;",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«CLEVER MIKROMOLIYA TASHKILOTI» MChJning (1-tomon) vakili bo‘lgan  Qorako'l filiali boshlig'i Egamberdiyeva D.I., O‘zbekiston Respublikasi fuqarosi va garovga beruvchi ATAXANOV AKMAL AXMETDJANOVICH (2-tomon) o’rtalarida, 28 fevral 2025 y.dan №492-QRS-sonli Mikroqarz shartnomasiga muvofiq 1-tomon 2-tomonga berilgan mikroqarz bo‘yicha ta’minot sifatida taqdim etilgan, 2-tomonga mulk huquqi asosida tegishli bo‘lgan mulkning garov qiymatini kelishish muzokaralari o’tkazildi.</v>
      </c>
      <c r="B12" s="236"/>
      <c r="C12" s="236"/>
      <c r="D12" s="236"/>
      <c r="E12" s="236"/>
    </row>
    <row r="13" spans="1:5" ht="88.5" hidden="1" customHeight="1" x14ac:dyDescent="0.25">
      <c r="A13" s="236" t="str">
        <f>"Garov predmeti sifatida "&amp;'Общие данные'!B126&amp;", 3-tomonga egalik huquqi tegishli bo'lgan, quyidagi tafsilotlarga ega avtotransport vositasi taqdim etiladi:"</f>
        <v>Garov predmeti sifatida DAMAS-2, 3-tomonga egalik huquqi tegishli bo'lgan, quyidagi tafsilotlarga ega avtotransport vositasi taqdim etiladi:</v>
      </c>
      <c r="B13" s="236"/>
      <c r="C13" s="236"/>
      <c r="D13" s="236"/>
      <c r="E13" s="236"/>
    </row>
    <row r="14" spans="1:5" ht="88.5" hidden="1" customHeight="1" x14ac:dyDescent="0.25">
      <c r="A14" s="236" t="str">
        <f>"Garov predmeti sifatida "&amp;'Общие данные'!B126&amp;", 2-tomonga egalik huquqi tegishli bo'lgan, quyidagi tafsilotlarga ega avtotransport vositasi taqdim etiladi:"</f>
        <v>Garov predmeti sifatida DAMAS-2, 2-tomonga egalik huquqi tegishli bo'lgan, quyidagi tafsilotlarga ega avtotransport vositasi taqdim etiladi:</v>
      </c>
      <c r="B14" s="236"/>
      <c r="C14" s="236"/>
      <c r="D14" s="236"/>
      <c r="E14" s="236"/>
    </row>
    <row r="15" spans="1:5" ht="88.5" hidden="1" customHeight="1" x14ac:dyDescent="0.25">
      <c r="A15" s="236" t="str">
        <f>IF('Общие данные'!B94="ha",'Акт согласования'!A14:E14,'Акт согласования'!A13:E13)</f>
        <v>Garov predmeti sifatida DAMAS-2, 3-tomonga egalik huquqi tegishli bo'lgan, quyidagi tafsilotlarga ega avtotransport vositasi taqdim etiladi:</v>
      </c>
      <c r="B15" s="236"/>
      <c r="C15" s="236"/>
      <c r="D15" s="236"/>
      <c r="E15" s="236"/>
    </row>
    <row r="16" spans="1:5" ht="88.5" hidden="1" customHeight="1" x14ac:dyDescent="0.25">
      <c r="A16" s="236" t="str">
        <f>"Garov predmeti sifatida "&amp;'Общие данные'!C127&amp;", 2-tomonga egalik huquqi tegishli bo'lgan, quyidagi tafsilotlarga ega ko'chmas mulk taqdim etiladi:"</f>
        <v>Garov predmeti sifatida 3 - xonali yakka tartibdagi uy-joy, 2-tomonga egalik huquqi tegishli bo'lgan, quyidagi tafsilotlarga ega ko'chmas mulk taqdim etiladi:</v>
      </c>
      <c r="B16" s="236"/>
      <c r="C16" s="236"/>
      <c r="D16" s="236"/>
      <c r="E16" s="236"/>
    </row>
    <row r="17" spans="1:5" ht="13.5" hidden="1" customHeight="1" x14ac:dyDescent="0.25">
      <c r="A17" s="236" t="str">
        <f>"Garov predmeti sifatida "&amp;'Общие данные'!C127&amp;", 3-tomonga egalik huquqi tegishli bo'lgan, quyidagi tafsilotlarga ega ko'chmas mulk taqdim etiladi:"</f>
        <v>Garov predmeti sifatida 3 - xonali yakka tartibdagi uy-joy, 3-tomonga egalik huquqi tegishli bo'lgan, quyidagi tafsilotlarga ega ko'chmas mulk taqdim etiladi:</v>
      </c>
      <c r="B17" s="236"/>
      <c r="C17" s="236"/>
      <c r="D17" s="236"/>
      <c r="E17" s="236"/>
    </row>
    <row r="18" spans="1:5" ht="11.25" hidden="1" customHeight="1" x14ac:dyDescent="0.25">
      <c r="A18" s="236" t="str">
        <f>IF('Общие данные'!B94="ha",'Акт согласования'!A16:E16,'Акт согласования'!A17:E17)</f>
        <v>Garov predmeti sifatida 3 - xonali yakka tartibdagi uy-joy, 3-tomonga egalik huquqi tegishli bo'lgan, quyidagi tafsilotlarga ega ko'chmas mulk taqdim etiladi:</v>
      </c>
      <c r="B18" s="236"/>
      <c r="C18" s="236"/>
      <c r="D18" s="236"/>
      <c r="E18" s="236"/>
    </row>
    <row r="19" spans="1:5" ht="36.75" customHeight="1" x14ac:dyDescent="0.25">
      <c r="A19" s="236" t="str">
        <f>IF('Общие данные'!B104="Avtotransport",'Акт согласования'!A15:E15,'Акт согласования'!A18:E18)</f>
        <v>Garov predmeti sifatida DAMAS-2, 3-tomonga egalik huquqi tegishli bo'lgan, quyidagi tafsilotlarga ega avtotransport vositasi taqdim etiladi:</v>
      </c>
      <c r="B19" s="236"/>
      <c r="C19" s="236"/>
      <c r="D19" s="236"/>
      <c r="E19" s="236"/>
    </row>
    <row r="20" spans="1:5" ht="48" customHeight="1" outlineLevel="1" x14ac:dyDescent="0.25">
      <c r="A20" s="40" t="s">
        <v>206</v>
      </c>
      <c r="B20" s="323" t="str">
        <f>IF('Общие данные'!B104='Общие данные'!C104,"Kuzov turi  va kuzov raqami*","Foydali maydoni")</f>
        <v>Kuzov turi  va kuzov raqami*</v>
      </c>
      <c r="C20" s="324"/>
      <c r="D20" s="40" t="str">
        <f>IF('Общие данные'!B104='Общие данные'!C104,"Dvigatel va shassi raqami*","Yashash maydoni")</f>
        <v>Dvigatel va shassi raqami*</v>
      </c>
      <c r="E20" s="40" t="str">
        <f>IF('Общие данные'!B104='Общие данные'!C104,"Ishlab chiqarilgan yili va rangi**","Umumiy maydoni")</f>
        <v>Ishlab chiqarilgan yili va rangi**</v>
      </c>
    </row>
    <row r="21" spans="1:5" ht="83.25" customHeight="1" outlineLevel="1" x14ac:dyDescent="0.25">
      <c r="A21" s="18" t="str">
        <f>IF('Общие данные'!B104='Общие данные'!C104,'Общие данные'!B126,'Общие данные'!C126)</f>
        <v>DAMAS-2</v>
      </c>
      <c r="B21" s="262" t="str">
        <f>IF('Общие данные'!B104='Общие данные'!C104,'Общие данные'!B128,CONCATENATE('Общие данные'!F131," ","kv.m"))</f>
        <v>kuzov turi - YENGIL SEDAN, kuzov raqami XWB7T12YDRP863654</v>
      </c>
      <c r="C21" s="262"/>
      <c r="D21" s="18" t="str">
        <f>IF('Общие данные'!B104='Общие данные'!C104,'Общие данные'!B131,'Общие данные'!E134)</f>
        <v xml:space="preserve">dvigatel raqami F8CB240180255, shassi raqami -  - </v>
      </c>
      <c r="E21" s="18" t="str">
        <f>IF('Общие данные'!B104='Общие данные'!C104,'Общие данные'!B134,'Общие данные'!E131)</f>
        <v>rangi -  OQ SUMMIT WHITE, ishlab chiqarilgan yili - 2024</v>
      </c>
    </row>
    <row r="22" spans="1:5" ht="17.25" customHeight="1" outlineLevel="1" x14ac:dyDescent="0.25">
      <c r="A22" s="236" t="str">
        <f>"-* "&amp;IF('Общие данные'!B104='Общие данные'!C104,"avtotransport "&amp;"egasi: "&amp;'Общие данные'!B118&amp;"","ko'chmas mulk"&amp;" egasi: "&amp;'Общие данные'!B118&amp;"")</f>
        <v>-* avtotransport egasi: BOBONAZAROV ASLBEK AKRAM O'G'LI</v>
      </c>
      <c r="B22" s="236"/>
      <c r="C22" s="236"/>
      <c r="D22" s="236"/>
      <c r="E22" s="236"/>
    </row>
    <row r="23" spans="1:5" outlineLevel="1" x14ac:dyDescent="0.25">
      <c r="A23" s="236" t="str">
        <f>IF('Общие данные'!B104='Общие данные'!C104,"-* texnik pasport: "&amp;'Общие данные'!B125&amp;"","-* reest raqami: "&amp;'Общие данные'!C125&amp;"")</f>
        <v>-* texnik pasport: AAG 5348590 25.12.2024y.</v>
      </c>
      <c r="B23" s="236"/>
      <c r="C23" s="236"/>
      <c r="D23" s="236"/>
      <c r="E23" s="236"/>
    </row>
    <row r="24" spans="1:5" s="198" customFormat="1" outlineLevel="1" x14ac:dyDescent="0.25">
      <c r="A24" s="236" t="str">
        <f>IF('Общие данные'!B104='Общие данные'!C104,"-* roʻyxatdan oʻtgan manzili/garaj manzili: "&amp;'Общие данные'!B123&amp;"","-*  kadastr raqami: "&amp;'Общие данные'!C128&amp;"")</f>
        <v>-* roʻyxatdan oʻtgan manzili/garaj manzili: BUXORO VILOYATI QORAKO'L TUMANI ZARAFSHON MFY GULISTON 21 UY</v>
      </c>
      <c r="B24" s="236"/>
      <c r="C24" s="236"/>
      <c r="D24" s="236"/>
      <c r="E24" s="236"/>
    </row>
    <row r="25" spans="1:5" ht="33" customHeight="1" outlineLevel="1" x14ac:dyDescent="0.25">
      <c r="A25" s="236" t="str">
        <f>IF('Общие данные'!B104='Общие данные'!C104,"-* davlat raqami: "&amp;'Общие данные'!B127&amp;"","-* manzili: "&amp;'Общие данные'!C124&amp;"")</f>
        <v>-* davlat raqami: 80X089BB</v>
      </c>
      <c r="B25" s="236"/>
      <c r="C25" s="236"/>
      <c r="D25" s="236"/>
      <c r="E25" s="236"/>
    </row>
    <row r="26" spans="1:5" ht="65.25" customHeight="1" x14ac:dyDescent="0.25">
      <c r="A26" s="236" t="str">
        <f>IF('Общие данные'!B94="ha",'Акт согласования'!A28:E28,'Акт согласования'!A27:E27)</f>
        <v>Tomonlar o’rtasida o’tkazilgan muzokaralar natijalariga ko‘ra, 2-tomon ta’minot sifatida quyidagi tafsilotlarga ega bo’lgan garov predmetini taqdim etadi, 1-tomon esa ushbu garov predmetini  28 fevral 2025 y.dan №492-QRS mikroqarz shartnomasi bo‘yicha berilgan mikroqarz bo‘yicha  
97 500 000,00 (to'qson yetti million besh yuz ming so'm) so’m bo‘lgan kelishilgan garov qiymatida qabul qiladi::</v>
      </c>
      <c r="B26" s="236"/>
      <c r="C26" s="236"/>
      <c r="D26" s="236"/>
      <c r="E26" s="236"/>
    </row>
    <row r="27" spans="1:5" ht="66" hidden="1" customHeight="1" x14ac:dyDescent="0.25">
      <c r="A27" s="236"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данные'!B137,2)&amp;" ("&amp;'Общие данные'!B138&amp;") so’m bo‘lgan kelishilgan garov qiymatida qabul qiladi::"</f>
        <v>Tomonlar o’rtasida o’tkazilgan muzokaralar natijalariga ko‘ra, 2-tomon ta’minot sifatida quyidagi tafsilotlarga ega bo’lgan garov predmetini taqdim etadi, 1-tomon esa ushbu garov predmetini  28 fevral 2025 y.dan №492-QRS mikroqarz shartnomasi bo‘yicha berilgan mikroqarz bo‘yicha  
97 500 000,00 (to'qson yetti million besh yuz ming so'm) so’m bo‘lgan kelishilgan garov qiymatida qabul qiladi::</v>
      </c>
      <c r="B27" s="236"/>
      <c r="C27" s="236"/>
      <c r="D27" s="236"/>
      <c r="E27" s="236"/>
    </row>
    <row r="28" spans="1:5" ht="58.5" hidden="1" customHeight="1" x14ac:dyDescent="0.25">
      <c r="A28" s="236"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данные'!B137,2)&amp;" ("&amp;'Общие данные'!B138&amp;") so’m bo‘lgan kelishilgan garov qiymatida qabul qiladi::"</f>
        <v>Tomonlar o’rtasida o’tkazilgan muzokaralar natijalariga ko‘ra, 2-tomon ta’minot sifatida quyidagi tafsilotlarga ega bo’lgan garov predmetini taqdim etadi, 1-tomon esa ushbu garov predmetini  28 fevral 2025 y.dan №492-QRS Mikroqarz shartnomasi bo‘yicha berilgan mikroqarz bo‘yicha  
97 500 000,00 (to'qson yetti million besh yuz ming so'm) so’m bo‘lgan kelishilgan garov qiymatida qabul qiladi::</v>
      </c>
      <c r="B28" s="236"/>
      <c r="C28" s="236"/>
      <c r="D28" s="236"/>
      <c r="E28" s="236"/>
    </row>
    <row r="29" spans="1:5" ht="51.75" customHeight="1" outlineLevel="1" x14ac:dyDescent="0.25">
      <c r="A29" s="40" t="s">
        <v>206</v>
      </c>
      <c r="B29" s="40" t="str">
        <f>B20</f>
        <v>Kuzov turi  va kuzov raqami*</v>
      </c>
      <c r="C29" s="40" t="str">
        <f>D20</f>
        <v>Dvigatel va shassi raqami*</v>
      </c>
      <c r="D29" s="40" t="str">
        <f>IF('Общие данные'!B104='Общие данные'!C104,"Ishlab chiqarilgan yili va rangi*","Foydalanishga topshirilgan sanasi")</f>
        <v>Ishlab chiqarilgan yili va rangi*</v>
      </c>
      <c r="E29" s="40" t="s">
        <v>207</v>
      </c>
    </row>
    <row r="30" spans="1:5" ht="76.5" customHeight="1" outlineLevel="1" x14ac:dyDescent="0.25">
      <c r="A30" s="18" t="str">
        <f>A21</f>
        <v>DAMAS-2</v>
      </c>
      <c r="B30" s="18" t="str">
        <f>B21</f>
        <v>kuzov turi - YENGIL SEDAN, kuzov raqami XWB7T12YDRP863654</v>
      </c>
      <c r="C30" s="18" t="str">
        <f>D21</f>
        <v xml:space="preserve">dvigatel raqami F8CB240180255, shassi raqami -  - </v>
      </c>
      <c r="D30" s="18" t="str">
        <f>IF('Общие данные'!B104='Общие данные'!C104,E21,TEXT('Общие данные'!C136,"ДД.ММ.ГГГГ"))</f>
        <v>rangi -  OQ SUMMIT WHITE, ishlab chiqarilgan yili - 2024</v>
      </c>
      <c r="E30" s="18" t="str">
        <f>""&amp;FIXED('Общие данные'!B137,2)&amp;" 
("&amp;'Общие данные'!B138&amp;")"</f>
        <v>97 500 000,00 
(to'qson yetti million besh yuz ming so'm)</v>
      </c>
    </row>
    <row r="31" spans="1:5" ht="16.5" customHeight="1" x14ac:dyDescent="0.25">
      <c r="A31" s="17"/>
      <c r="B31" s="17"/>
      <c r="C31" s="17"/>
      <c r="D31" s="17"/>
      <c r="E31" s="17"/>
    </row>
    <row r="32" spans="1:5" ht="56.25" hidden="1" customHeight="1" outlineLevel="1" x14ac:dyDescent="0.25">
      <c r="A32" s="40" t="s">
        <v>5</v>
      </c>
      <c r="B32" s="40" t="s">
        <v>19</v>
      </c>
      <c r="C32" s="40" t="s">
        <v>20</v>
      </c>
      <c r="D32" s="40" t="s">
        <v>21</v>
      </c>
      <c r="E32" s="40" t="s">
        <v>6</v>
      </c>
    </row>
    <row r="33" spans="1:5" ht="15.75" hidden="1" customHeight="1" outlineLevel="1" x14ac:dyDescent="0.25">
      <c r="A33" s="18" t="e">
        <f>#REF!</f>
        <v>#REF!</v>
      </c>
      <c r="B33" s="122" t="e">
        <f>#REF!</f>
        <v>#REF!</v>
      </c>
      <c r="C33" s="122" t="e">
        <f>#REF!</f>
        <v>#REF!</v>
      </c>
      <c r="D33" s="122" t="e">
        <f>#REF!</f>
        <v>#REF!</v>
      </c>
      <c r="E33" s="318" t="str">
        <f>""&amp;FIXED('Общие данные'!C137,2)&amp;" ("&amp;'Общие данные'!B138&amp;")"</f>
        <v>97 500 000,00 (to'qson yetti million besh yuz ming so'm)</v>
      </c>
    </row>
    <row r="34" spans="1:5" ht="15.75" hidden="1" customHeight="1" outlineLevel="1" x14ac:dyDescent="0.25">
      <c r="A34" s="18"/>
      <c r="B34" s="122"/>
      <c r="C34" s="122"/>
      <c r="D34" s="122"/>
      <c r="E34" s="319"/>
    </row>
    <row r="35" spans="1:5" ht="15.75" hidden="1" customHeight="1" outlineLevel="1" x14ac:dyDescent="0.25">
      <c r="A35" s="18" t="e">
        <f>#REF!</f>
        <v>#REF!</v>
      </c>
      <c r="B35" s="122" t="e">
        <f>#REF!</f>
        <v>#REF!</v>
      </c>
      <c r="C35" s="122" t="e">
        <f>#REF!</f>
        <v>#REF!</v>
      </c>
      <c r="D35" s="122" t="e">
        <f>#REF!</f>
        <v>#REF!</v>
      </c>
      <c r="E35" s="319"/>
    </row>
    <row r="36" spans="1:5" ht="15.75" hidden="1" customHeight="1" outlineLevel="1" x14ac:dyDescent="0.25">
      <c r="A36" s="18" t="e">
        <f>#REF!</f>
        <v>#REF!</v>
      </c>
      <c r="B36" s="122" t="e">
        <f>#REF!</f>
        <v>#REF!</v>
      </c>
      <c r="C36" s="122" t="e">
        <f>#REF!</f>
        <v>#REF!</v>
      </c>
      <c r="D36" s="122" t="e">
        <f>#REF!</f>
        <v>#REF!</v>
      </c>
      <c r="E36" s="319"/>
    </row>
    <row r="37" spans="1:5" ht="15.75" hidden="1" customHeight="1" outlineLevel="1" x14ac:dyDescent="0.25">
      <c r="A37" s="18" t="e">
        <f>#REF!</f>
        <v>#REF!</v>
      </c>
      <c r="B37" s="122" t="e">
        <f>#REF!</f>
        <v>#REF!</v>
      </c>
      <c r="C37" s="122" t="e">
        <f>#REF!</f>
        <v>#REF!</v>
      </c>
      <c r="D37" s="122" t="e">
        <f>#REF!</f>
        <v>#REF!</v>
      </c>
      <c r="E37" s="319"/>
    </row>
    <row r="38" spans="1:5" ht="15.75" hidden="1" customHeight="1" outlineLevel="1" x14ac:dyDescent="0.25">
      <c r="A38" s="18" t="e">
        <f>#REF!</f>
        <v>#REF!</v>
      </c>
      <c r="B38" s="122" t="e">
        <f>#REF!</f>
        <v>#REF!</v>
      </c>
      <c r="C38" s="122" t="e">
        <f>#REF!</f>
        <v>#REF!</v>
      </c>
      <c r="D38" s="122" t="e">
        <f>#REF!</f>
        <v>#REF!</v>
      </c>
      <c r="E38" s="319"/>
    </row>
    <row r="39" spans="1:5" ht="15.75" hidden="1" customHeight="1" outlineLevel="1" x14ac:dyDescent="0.25">
      <c r="A39" s="18" t="e">
        <f>#REF!</f>
        <v>#REF!</v>
      </c>
      <c r="B39" s="122" t="e">
        <f>#REF!</f>
        <v>#REF!</v>
      </c>
      <c r="C39" s="122" t="e">
        <f>#REF!</f>
        <v>#REF!</v>
      </c>
      <c r="D39" s="122" t="e">
        <f>#REF!</f>
        <v>#REF!</v>
      </c>
      <c r="E39" s="319"/>
    </row>
    <row r="40" spans="1:5" ht="15.75" hidden="1" customHeight="1" outlineLevel="1" x14ac:dyDescent="0.25">
      <c r="A40" s="18" t="e">
        <f>#REF!</f>
        <v>#REF!</v>
      </c>
      <c r="B40" s="122" t="e">
        <f>#REF!</f>
        <v>#REF!</v>
      </c>
      <c r="C40" s="122" t="e">
        <f>#REF!</f>
        <v>#REF!</v>
      </c>
      <c r="D40" s="122" t="e">
        <f>#REF!</f>
        <v>#REF!</v>
      </c>
      <c r="E40" s="319"/>
    </row>
    <row r="41" spans="1:5" ht="15.75" hidden="1" customHeight="1" outlineLevel="1" x14ac:dyDescent="0.25">
      <c r="A41" s="18" t="e">
        <f>#REF!</f>
        <v>#REF!</v>
      </c>
      <c r="B41" s="122" t="e">
        <f>#REF!</f>
        <v>#REF!</v>
      </c>
      <c r="C41" s="122" t="e">
        <f>#REF!</f>
        <v>#REF!</v>
      </c>
      <c r="D41" s="122" t="e">
        <f>#REF!</f>
        <v>#REF!</v>
      </c>
      <c r="E41" s="319"/>
    </row>
    <row r="42" spans="1:5" ht="15.75" hidden="1" customHeight="1" outlineLevel="1" x14ac:dyDescent="0.25">
      <c r="A42" s="18" t="e">
        <f>#REF!</f>
        <v>#REF!</v>
      </c>
      <c r="B42" s="122" t="e">
        <f>#REF!</f>
        <v>#REF!</v>
      </c>
      <c r="C42" s="122" t="e">
        <f>#REF!</f>
        <v>#REF!</v>
      </c>
      <c r="D42" s="122" t="e">
        <f>#REF!</f>
        <v>#REF!</v>
      </c>
      <c r="E42" s="319"/>
    </row>
    <row r="43" spans="1:5" ht="15.75" hidden="1" customHeight="1" outlineLevel="1" x14ac:dyDescent="0.25">
      <c r="A43" s="18" t="e">
        <f>#REF!</f>
        <v>#REF!</v>
      </c>
      <c r="B43" s="18" t="e">
        <f>#REF!</f>
        <v>#REF!</v>
      </c>
      <c r="C43" s="18" t="e">
        <f>#REF!</f>
        <v>#REF!</v>
      </c>
      <c r="D43" s="18" t="e">
        <f>#REF!</f>
        <v>#REF!</v>
      </c>
      <c r="E43" s="320"/>
    </row>
    <row r="44" spans="1:5" s="38" customFormat="1" ht="15.75" hidden="1" customHeight="1" outlineLevel="1" x14ac:dyDescent="0.2">
      <c r="A44" s="40" t="e">
        <f>#REF!</f>
        <v>#REF!</v>
      </c>
      <c r="B44" s="40" t="e">
        <f>#REF!</f>
        <v>#REF!</v>
      </c>
      <c r="C44" s="40" t="e">
        <f>#REF!</f>
        <v>#REF!</v>
      </c>
      <c r="D44" s="40" t="e">
        <f>#REF!</f>
        <v>#REF!</v>
      </c>
      <c r="E44" s="40" t="str">
        <f>FIXED('Общие данные'!C137,2)</f>
        <v>97 500 000,00</v>
      </c>
    </row>
    <row r="45" spans="1:5" ht="12.75" customHeight="1" collapsed="1" x14ac:dyDescent="0.25">
      <c r="A45" s="17"/>
      <c r="B45" s="17"/>
      <c r="C45" s="17"/>
      <c r="D45" s="17"/>
      <c r="E45" s="17"/>
    </row>
    <row r="46" spans="1:5" ht="93.75" hidden="1" customHeight="1" x14ac:dyDescent="0.25">
      <c r="A46" s="236"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36"/>
      <c r="C46" s="236"/>
      <c r="D46" s="236"/>
      <c r="E46" s="236"/>
    </row>
    <row r="47" spans="1:5" ht="42" customHeight="1" x14ac:dyDescent="0.25">
      <c r="A47" s="236" t="s">
        <v>211</v>
      </c>
      <c r="B47" s="236"/>
      <c r="C47" s="236"/>
      <c r="D47" s="236"/>
      <c r="E47" s="236"/>
    </row>
    <row r="48" spans="1:5" ht="35.25" customHeight="1" x14ac:dyDescent="0.25">
      <c r="A48" s="236" t="str">
        <f>"Shunday qilib, garov predmetining kelishilgan garov qiymati  "&amp;FIXED('Общие данные'!B137)&amp;" ("&amp;'Общие данные'!B138&amp;") so‘mni tashkil etadi."</f>
        <v>Shunday qilib, garov predmetining kelishilgan garov qiymati  97 500 000,00 (to'qson yetti million besh yuz ming so'm) so‘mni tashkil etadi.</v>
      </c>
      <c r="B48" s="236"/>
      <c r="C48" s="236"/>
      <c r="D48" s="236"/>
      <c r="E48" s="236"/>
    </row>
    <row r="49" spans="1:6" ht="35.25" hidden="1" customHeight="1" x14ac:dyDescent="0.25">
      <c r="A49" s="20"/>
      <c r="B49" s="20"/>
      <c r="C49" s="20"/>
      <c r="D49" s="20">
        <f>IF('Общие данные'!B93='Общие данные'!C93,'Общие данные'!C137,IF('Общие данные'!B93='Общие данные'!D93,'Данные для послед. Залога'!M22,0))</f>
        <v>97500000</v>
      </c>
      <c r="E49" s="20" t="str">
        <f>IF('Общие данные'!B93='Общие данные'!C93,'Общие данные'!B138,IF('Общие данные'!B93='Общие данные'!D93,'Данные для послед. Залога'!Q22,0))</f>
        <v>to'qson yetti million besh yuz ming so'm</v>
      </c>
    </row>
    <row r="50" spans="1:6" x14ac:dyDescent="0.25">
      <c r="A50" s="316" t="s">
        <v>212</v>
      </c>
      <c r="B50" s="316"/>
      <c r="C50" s="316"/>
      <c r="D50" s="23"/>
      <c r="E50" s="23"/>
    </row>
    <row r="51" spans="1:6" x14ac:dyDescent="0.25">
      <c r="A51" s="237" t="str">
        <f>'Общие данные'!B152</f>
        <v>«CLEVER MIKROMOLIYA TASHKILOTI» MChJ</v>
      </c>
      <c r="B51" s="237"/>
      <c r="C51" s="237"/>
      <c r="D51" s="182"/>
      <c r="E51" s="182"/>
    </row>
    <row r="52" spans="1:6" ht="15" customHeight="1" x14ac:dyDescent="0.25">
      <c r="A52" s="237" t="str">
        <f>""&amp;'Общие данные'!A154&amp;""</f>
        <v>Qorako'l filiali boshlig'i</v>
      </c>
      <c r="B52" s="237"/>
      <c r="C52" s="237"/>
      <c r="D52" s="316" t="str">
        <f>"_______________   "&amp;'Общие данные'!B154&amp;""</f>
        <v>_______________   Egamberdiyeva D.I.</v>
      </c>
      <c r="E52" s="316"/>
    </row>
    <row r="53" spans="1:6" x14ac:dyDescent="0.25">
      <c r="A53" s="57"/>
      <c r="B53" s="57"/>
      <c r="C53" s="57"/>
      <c r="D53" s="57"/>
      <c r="E53" s="57"/>
    </row>
    <row r="54" spans="1:6" x14ac:dyDescent="0.25">
      <c r="A54" s="316"/>
      <c r="B54" s="316"/>
      <c r="C54" s="316"/>
      <c r="D54" s="57"/>
      <c r="E54" s="57"/>
    </row>
    <row r="55" spans="1:6" hidden="1" x14ac:dyDescent="0.25">
      <c r="A55" s="237" t="s">
        <v>47</v>
      </c>
      <c r="B55" s="237"/>
      <c r="C55" s="237"/>
      <c r="D55" s="57"/>
      <c r="E55" s="57"/>
    </row>
    <row r="56" spans="1:6" hidden="1" x14ac:dyDescent="0.25">
      <c r="A56" s="237" t="str">
        <f>'Общие данные'!B152</f>
        <v>«CLEVER MIKROMOLIYA TASHKILOTI» MChJ</v>
      </c>
      <c r="B56" s="237"/>
      <c r="C56" s="237"/>
      <c r="D56" s="237" t="str">
        <f>"_______________   "&amp;'Общие данные'!B163&amp;""</f>
        <v>_______________   Mominov B.X.</v>
      </c>
      <c r="E56" s="237"/>
    </row>
    <row r="57" spans="1:6" ht="12.75" customHeight="1" x14ac:dyDescent="0.25">
      <c r="A57" s="237"/>
      <c r="B57" s="237"/>
      <c r="C57" s="237"/>
      <c r="D57" s="237"/>
      <c r="E57" s="237"/>
    </row>
    <row r="58" spans="1:6" x14ac:dyDescent="0.25">
      <c r="A58" s="316" t="s">
        <v>213</v>
      </c>
      <c r="B58" s="316"/>
      <c r="C58" s="316"/>
      <c r="D58" s="237"/>
      <c r="E58" s="237"/>
    </row>
    <row r="59" spans="1:6" ht="31.5" customHeight="1" x14ac:dyDescent="0.25">
      <c r="A59" s="237" t="s">
        <v>214</v>
      </c>
      <c r="B59" s="237"/>
      <c r="C59" s="237"/>
      <c r="D59" s="316" t="str">
        <f>"_______________  "&amp;'Общие данные'!B7&amp;""</f>
        <v>_______________  ATAXANOV A.A.</v>
      </c>
      <c r="E59" s="316"/>
    </row>
    <row r="60" spans="1:6" ht="12.75" customHeight="1" x14ac:dyDescent="0.25">
      <c r="A60" s="237"/>
      <c r="B60" s="237"/>
      <c r="C60" s="237"/>
      <c r="D60" s="321" t="str">
        <f>IF('Общие данные'!B94="да","",'Общие данные'!B119)</f>
        <v>BOBONAZAROV A.A.</v>
      </c>
      <c r="E60" s="321"/>
    </row>
    <row r="61" spans="1:6" ht="17.25" customHeight="1" x14ac:dyDescent="0.25">
      <c r="A61" s="316" t="str">
        <f>+IF('Общие данные'!B94="ha"," ","3-tomondan:")</f>
        <v>3-tomondan:</v>
      </c>
      <c r="B61" s="316"/>
      <c r="C61" s="316"/>
      <c r="D61" s="322"/>
      <c r="E61" s="322"/>
      <c r="F61" s="16">
        <f>IF('Общие данные'!B95='Общие данные'!D95,B7,"")</f>
        <v>0</v>
      </c>
    </row>
    <row r="62" spans="1:6" ht="29.25" customHeight="1" x14ac:dyDescent="0.25">
      <c r="A62" s="237" t="str">
        <f>+IF('Общие данные'!B94="ha"," ","O'zbekiston Respublikasi fuqarosi")</f>
        <v>O'zbekiston Respublikasi fuqarosi</v>
      </c>
      <c r="B62" s="237"/>
      <c r="C62" s="237"/>
      <c r="D62" s="316" t="str">
        <f>IF('Общие данные'!B94='Общие данные'!C94,"",A63)</f>
        <v>_______________  ATAXANOV A.A.</v>
      </c>
      <c r="E62" s="316"/>
    </row>
    <row r="63" spans="1:6" ht="70.5" customHeight="1" x14ac:dyDescent="0.25">
      <c r="A63" s="207" t="str">
        <f>IF('Общие данные'!B95='Общие данные'!C95,"_______________  "&amp;'Общие данные'!B113&amp;"","_______________  "&amp;'Общие данные'!B7&amp;"")</f>
        <v>_______________  ATAXANOV A.A.</v>
      </c>
      <c r="B63" s="57"/>
      <c r="C63" s="237" t="str">
        <f>'заявление залогодателя'!A20</f>
        <v xml:space="preserve">№202401864005639 26.12.2024 sanasidan xususiy faoliyat ko'rsatuvchi notarius tomonidan BUXORO VILOYATI QORAKO'L TUMANI ULUG'BEK KO'CHASI 31-UY RUSTAMOV ALISHER NARZULLAYEVICH berilgan ishonchnomaga asosan </v>
      </c>
      <c r="D63" s="237"/>
      <c r="E63" s="237"/>
    </row>
    <row r="64" spans="1:6" ht="6.75" customHeight="1" x14ac:dyDescent="0.25">
      <c r="D64" s="269"/>
      <c r="E64" s="269"/>
    </row>
  </sheetData>
  <mergeCells count="51">
    <mergeCell ref="A19:E19"/>
    <mergeCell ref="A24:E24"/>
    <mergeCell ref="B20:C20"/>
    <mergeCell ref="B21:C21"/>
    <mergeCell ref="A22:E22"/>
    <mergeCell ref="A23:E23"/>
    <mergeCell ref="A14:E14"/>
    <mergeCell ref="A15:E15"/>
    <mergeCell ref="A16:E16"/>
    <mergeCell ref="A17:E17"/>
    <mergeCell ref="A18:E18"/>
    <mergeCell ref="A60:C60"/>
    <mergeCell ref="D60:E60"/>
    <mergeCell ref="A61:C61"/>
    <mergeCell ref="D61:E61"/>
    <mergeCell ref="A62:C62"/>
    <mergeCell ref="D62:E62"/>
    <mergeCell ref="A57:C57"/>
    <mergeCell ref="D57:E57"/>
    <mergeCell ref="A58:C58"/>
    <mergeCell ref="D58:E58"/>
    <mergeCell ref="A59:C59"/>
    <mergeCell ref="D59:E59"/>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6:C56"/>
    <mergeCell ref="D56:E56"/>
    <mergeCell ref="A27:E27"/>
    <mergeCell ref="A50:C50"/>
    <mergeCell ref="A51:C51"/>
    <mergeCell ref="A52:C52"/>
    <mergeCell ref="D52:E52"/>
    <mergeCell ref="A46:E46"/>
    <mergeCell ref="A47:E47"/>
    <mergeCell ref="E33:E43"/>
    <mergeCell ref="A28:E28"/>
    <mergeCell ref="A48:E48"/>
  </mergeCells>
  <printOptions horizontalCentered="1"/>
  <pageMargins left="0.70866141732283472" right="0.70866141732283472" top="0.74803149606299213" bottom="0.74803149606299213" header="0.31496062992125984" footer="0.31496062992125984"/>
  <pageSetup paperSize="9" scale="64" orientation="portrait" r:id="rId1"/>
  <rowBreaks count="1" manualBreakCount="1">
    <brk id="63" max="4"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5"/>
  <sheetViews>
    <sheetView view="pageBreakPreview" topLeftCell="A22" zoomScaleSheetLayoutView="100" workbookViewId="0">
      <selection activeCell="A25" sqref="A25:E25"/>
    </sheetView>
  </sheetViews>
  <sheetFormatPr defaultColWidth="9.140625" defaultRowHeight="15" outlineLevelRow="1" x14ac:dyDescent="0.25"/>
  <cols>
    <col min="1" max="1" width="23.85546875" style="16" customWidth="1"/>
    <col min="2" max="2" width="23.28515625" style="16" customWidth="1"/>
    <col min="3" max="3" width="17" style="16" customWidth="1"/>
    <col min="4" max="4" width="17.5703125" style="16" customWidth="1"/>
    <col min="5" max="5" width="19.7109375" style="16" customWidth="1"/>
    <col min="6" max="16384" width="9.140625" style="16"/>
  </cols>
  <sheetData>
    <row r="3" spans="1:5" ht="16.5" customHeight="1" x14ac:dyDescent="0.25"/>
    <row r="4" spans="1:5" ht="17.25" customHeight="1" x14ac:dyDescent="0.25">
      <c r="A4" s="267" t="str">
        <f>""&amp;'Общие данные'!B151&amp;" ijrochi direktorining
"&amp;'Общие данные'!B169&amp;"dagi "&amp;'Общие данные'!B168&amp;"-sonli buyrug‘i"</f>
        <v>«CLEVER MIKROMOLIYA TASHKILOTI» MChJ ijrochi direktorining
28 fevral 2025 y.dagi №492-QRS-sonli buyrug‘i</v>
      </c>
      <c r="B4" s="267"/>
      <c r="C4" s="267"/>
      <c r="D4" s="267"/>
      <c r="E4" s="267"/>
    </row>
    <row r="5" spans="1:5" x14ac:dyDescent="0.25">
      <c r="A5" s="267"/>
      <c r="B5" s="267"/>
      <c r="C5" s="267"/>
      <c r="D5" s="267"/>
      <c r="E5" s="267"/>
    </row>
    <row r="6" spans="1:5" x14ac:dyDescent="0.25">
      <c r="A6" s="267"/>
      <c r="B6" s="267"/>
      <c r="C6" s="267"/>
      <c r="D6" s="267"/>
      <c r="E6" s="267"/>
    </row>
    <row r="7" spans="1:5" x14ac:dyDescent="0.25">
      <c r="A7" s="236"/>
      <c r="B7" s="236"/>
      <c r="C7" s="236"/>
      <c r="D7" s="236"/>
      <c r="E7" s="236"/>
    </row>
    <row r="8" spans="1:5" ht="53.25" customHeight="1" x14ac:dyDescent="0.25">
      <c r="A8" s="236" t="str">
        <f>"Men, Abduraximov Nadirbek Kamilevich "&amp;'Общие данные'!B151&amp;" ijrochi direktori, jismoniy shaxs "&amp;'Общие данные'!B10&amp;"ga quyidagi shartlarda "&amp;'Общие данные'!B65&amp;" berishni buyuraman:"</f>
        <v>Men, Abduraximov Nadirbek Kamilevich «CLEVER MIKROMOLIYA TASHKILOTI» MChJ ijrochi direktori, jismoniy shaxs ATAXANOV AKMAL AXMETDJANOVICHga quyidagi shartlarda mikroqarz berishni buyuraman:</v>
      </c>
      <c r="B8" s="236"/>
      <c r="C8" s="236"/>
      <c r="D8" s="236"/>
      <c r="E8" s="236"/>
    </row>
    <row r="9" spans="1:5" ht="26.25" customHeight="1" x14ac:dyDescent="0.25">
      <c r="A9" s="236" t="str">
        <f>'Кредитная заявка'!A13:D13</f>
        <v>Mikroqarz summasi: 65 000 000,00 (oltmish besh million so'm) so'm.</v>
      </c>
      <c r="B9" s="236"/>
      <c r="C9" s="236"/>
      <c r="D9" s="236"/>
      <c r="E9" s="236"/>
    </row>
    <row r="10" spans="1:5" ht="21" customHeight="1" x14ac:dyDescent="0.25">
      <c r="A10" s="236" t="str">
        <f>'Кредитная заявка'!A14:D14</f>
        <v>Mikroqarz muddati: 24 (yigirma to'rt) oy.</v>
      </c>
      <c r="B10" s="236"/>
      <c r="C10" s="236"/>
      <c r="D10" s="236"/>
      <c r="E10" s="236"/>
    </row>
    <row r="11" spans="1:5" ht="27" customHeight="1" x14ac:dyDescent="0.25">
      <c r="A11" s="236" t="str">
        <f>'Кредитная заявка'!A15:D15</f>
        <v>Mikroqarzdan foydalanganlik uchun foiz stavkasi: yillik  60% (Oltmish) foiz</v>
      </c>
      <c r="B11" s="236"/>
      <c r="C11" s="236"/>
      <c r="D11" s="236"/>
      <c r="E11" s="236"/>
    </row>
    <row r="12" spans="1:5" ht="26.25" customHeight="1" x14ac:dyDescent="0.25">
      <c r="A12" s="236" t="str">
        <f>'Кредитная заявка'!A16:D16</f>
        <v>Mikroqarz bo'yicha asosiy qarz va foizlarni to'lash:</v>
      </c>
      <c r="B12" s="236"/>
      <c r="C12" s="236"/>
      <c r="D12" s="236"/>
      <c r="E12" s="236"/>
    </row>
    <row r="13" spans="1:5" ht="21.75" hidden="1" customHeight="1" x14ac:dyDescent="0.25">
      <c r="A13" s="236" t="str">
        <f>'Кредитная заявка'!A17:D17</f>
        <v xml:space="preserve"> - mikroqarz shartnomasi bo'yicha har oy differensial to'lovlari amalga oshiriladi</v>
      </c>
      <c r="B13" s="236"/>
      <c r="C13" s="236"/>
      <c r="D13" s="236"/>
      <c r="E13" s="236"/>
    </row>
    <row r="14" spans="1:5" hidden="1" x14ac:dyDescent="0.25">
      <c r="A14" s="236" t="str">
        <f>'Кредитная заявка'!A19:D19</f>
        <v xml:space="preserve"> - mikroqarz shartnomasi bo'yicha har oy differensial to'lovlari amalga oshiriladi</v>
      </c>
      <c r="B14" s="236"/>
      <c r="C14" s="236"/>
      <c r="D14" s="236"/>
      <c r="E14" s="236"/>
    </row>
    <row r="15" spans="1:5" ht="23.25" customHeight="1" x14ac:dyDescent="0.25">
      <c r="A15" s="236" t="str">
        <f>IF('Общие данные'!B104="Avtotransport",'Приказ на сделку'!A14:E14,'Приказ на сделку'!A13:E13)</f>
        <v xml:space="preserve"> - mikroqarz shartnomasi bo'yicha har oy differensial to'lovlari amalga oshiriladi</v>
      </c>
      <c r="B15" s="236"/>
      <c r="C15" s="236"/>
      <c r="D15" s="236"/>
      <c r="E15" s="236"/>
    </row>
    <row r="16" spans="1:5" ht="45.75" customHeight="1" x14ac:dyDescent="0.25">
      <c r="A16" s="237" t="str">
        <f>IF('Общие данные'!B104='Общие данные'!D104,""&amp;'Общие данные'!C118&amp;"ga tegishli "&amp;'Общие данные'!C127&amp;" ko'rinishidagi ko'chmas mulkni quyidagi ma'lumotlarga muvofiq  garovga qabul qilinsin:",""&amp;'Общие данные'!B118&amp;"ga tegishli "&amp;'Общие данные'!B126&amp;" ko'rinishidagi transport vositasini quyidagi ma'lumotlarga muvofiq garovga qabul qilinsin:")</f>
        <v>BOBONAZAROV ASLBEK AKRAM O'G'LIga tegishli DAMAS-2 ko'rinishidagi transport vositasini quyidagi ma'lumotlarga muvofiq garovga qabul qilinsin:</v>
      </c>
      <c r="B16" s="237"/>
      <c r="C16" s="237"/>
      <c r="D16" s="237"/>
      <c r="E16" s="237"/>
    </row>
    <row r="17" spans="1:5" ht="50.25" hidden="1" customHeight="1" x14ac:dyDescent="0.25">
      <c r="A17" s="236" t="str">
        <f>""&amp;'Общие данные'!C118&amp;"ga tegishli "&amp;'Общие данные'!C127&amp;" ko'rinishidagi ko'chmas mulkni quyidagi ma'lumotlarga muvofiq  garovga qabul qilinsin:"</f>
        <v>0ga tegishli 3 - xonali yakka tartibdagi uy-joy ko'rinishidagi ko'chmas mulkni quyidagi ma'lumotlarga muvofiq  garovga qabul qilinsin:</v>
      </c>
      <c r="B17" s="236"/>
      <c r="C17" s="236"/>
      <c r="D17" s="236"/>
      <c r="E17" s="236"/>
    </row>
    <row r="18" spans="1:5" ht="47.25" hidden="1" customHeight="1" x14ac:dyDescent="0.25">
      <c r="A18" s="236" t="str">
        <f>""&amp;'Общие данные'!B118&amp;"ga tegishli "&amp;'Общие данные'!B126&amp;" ko'rinishidagi transport vositasini quyidagi ma'lumotlarga muvofiq garovga qabul qilinsin:"</f>
        <v>BOBONAZAROV ASLBEK AKRAM O'G'LIga tegishli DAMAS-2 ko'rinishidagi transport vositasini quyidagi ma'lumotlarga muvofiq garovga qabul qilinsin:</v>
      </c>
      <c r="B18" s="236"/>
      <c r="C18" s="236"/>
      <c r="D18" s="236"/>
      <c r="E18" s="236"/>
    </row>
    <row r="19" spans="1:5" s="38" customFormat="1" ht="60" customHeight="1" outlineLevel="1" x14ac:dyDescent="0.2">
      <c r="A19" s="40" t="str">
        <f>'Акт согласования'!A29</f>
        <v>Nomi</v>
      </c>
      <c r="B19" s="40" t="str">
        <f>'Акт согласования'!B29</f>
        <v>Kuzov turi  va kuzov raqami*</v>
      </c>
      <c r="C19" s="40" t="str">
        <f>'Акт согласования'!C29</f>
        <v>Dvigatel va shassi raqami*</v>
      </c>
      <c r="D19" s="40" t="str">
        <f>'Акт согласования'!D29</f>
        <v>Ishlab chiqarilgan yili va rangi*</v>
      </c>
      <c r="E19" s="40" t="str">
        <f>'Акт согласования'!E29</f>
        <v>Kelishilgan garov qiymati, so'm</v>
      </c>
    </row>
    <row r="20" spans="1:5" ht="105.75" customHeight="1" outlineLevel="1" x14ac:dyDescent="0.25">
      <c r="A20" s="18" t="str">
        <f>'Акт согласования'!A30</f>
        <v>DAMAS-2</v>
      </c>
      <c r="B20" s="18" t="str">
        <f>'Акт согласования'!B30</f>
        <v>kuzov turi - YENGIL SEDAN, kuzov raqami XWB7T12YDRP863654</v>
      </c>
      <c r="C20" s="18" t="str">
        <f>'Акт согласования'!C30</f>
        <v xml:space="preserve">dvigatel raqami F8CB240180255, shassi raqami -  - </v>
      </c>
      <c r="D20" s="18" t="str">
        <f>'Акт согласования'!D30</f>
        <v>rangi -  OQ SUMMIT WHITE, ishlab chiqarilgan yili - 2024</v>
      </c>
      <c r="E20" s="18" t="str">
        <f>'Акт согласования'!E30</f>
        <v>97 500 000,00 
(to'qson yetti million besh yuz ming so'm)</v>
      </c>
    </row>
    <row r="21" spans="1:5" ht="20.25" customHeight="1" outlineLevel="1" x14ac:dyDescent="0.25">
      <c r="A21" s="236" t="str">
        <f>'Акт согласования'!A22:E22</f>
        <v>-* avtotransport egasi: BOBONAZAROV ASLBEK AKRAM O'G'LI</v>
      </c>
      <c r="B21" s="236"/>
      <c r="C21" s="236"/>
      <c r="D21" s="236"/>
      <c r="E21" s="236"/>
    </row>
    <row r="22" spans="1:5" ht="20.25" customHeight="1" outlineLevel="1" x14ac:dyDescent="0.25">
      <c r="A22" s="236" t="str">
        <f>'Акт согласования'!A23:E23</f>
        <v>-* texnik pasport: AAG 5348590 25.12.2024y.</v>
      </c>
      <c r="B22" s="236"/>
      <c r="C22" s="236"/>
      <c r="D22" s="236"/>
      <c r="E22" s="236"/>
    </row>
    <row r="23" spans="1:5" ht="36" customHeight="1" outlineLevel="1" x14ac:dyDescent="0.25">
      <c r="A23" s="236" t="str">
        <f>'Акт согласования'!A24:E24</f>
        <v>-* roʻyxatdan oʻtgan manzili/garaj manzili: BUXORO VILOYATI QORAKO'L TUMANI ZARAFSHON MFY GULISTON 21 UY</v>
      </c>
      <c r="B23" s="236"/>
      <c r="C23" s="236"/>
      <c r="D23" s="236"/>
      <c r="E23" s="236"/>
    </row>
    <row r="24" spans="1:5" ht="35.25" customHeight="1" outlineLevel="1" x14ac:dyDescent="0.25">
      <c r="A24" s="236" t="str">
        <f>'Акт согласования'!A25:E25</f>
        <v>-* davlat raqami: 80X089BB</v>
      </c>
      <c r="B24" s="236"/>
      <c r="C24" s="236"/>
      <c r="D24" s="236"/>
      <c r="E24" s="236"/>
    </row>
    <row r="25" spans="1:5" ht="31.15" customHeight="1" x14ac:dyDescent="0.25">
      <c r="A25" s="237" t="str">
        <f>"	«"&amp;'Общие данные'!B147&amp;"» АJ sug‘urta kompaniyasi bilan Mikroqarz to'lamaslik xavfini "&amp;FIXED('Общие данные'!B148,2)&amp;"("&amp;'Общие данные'!B149&amp;") so'm miqdoriga sug’urta qilish shartnomasi tuzilsin"</f>
        <v xml:space="preserve">	«АО СК "IMPEX INSURANCE"» АJ sug‘urta kompaniyasi bilan Mikroqarz to'lamaslik xavfini 15 000 000,00(o'n besh million so'm) so'm miqdoriga sug’urta qilish shartnomasi tuzilsin</v>
      </c>
      <c r="B25" s="237"/>
      <c r="C25" s="237"/>
      <c r="D25" s="237"/>
      <c r="E25" s="237"/>
    </row>
    <row r="26" spans="1:5" s="38" customFormat="1" ht="41.25" hidden="1" customHeight="1" outlineLevel="1" x14ac:dyDescent="0.2">
      <c r="A26" s="40" t="s">
        <v>206</v>
      </c>
      <c r="B26" s="40" t="s">
        <v>263</v>
      </c>
      <c r="C26" s="40" t="s">
        <v>280</v>
      </c>
      <c r="D26" s="40" t="s">
        <v>209</v>
      </c>
      <c r="E26" s="40" t="str">
        <f>'Акт согласования'!E29</f>
        <v>Kelishilgan garov qiymati, so'm</v>
      </c>
    </row>
    <row r="27" spans="1:5" hidden="1" outlineLevel="1" x14ac:dyDescent="0.25">
      <c r="A27" s="18" t="e">
        <f>'Акт согласования'!A33</f>
        <v>#REF!</v>
      </c>
      <c r="B27" s="122" t="e">
        <f>'Акт согласования'!B33</f>
        <v>#REF!</v>
      </c>
      <c r="C27" s="122" t="e">
        <f>'Акт согласования'!C33</f>
        <v>#REF!</v>
      </c>
      <c r="D27" s="122" t="e">
        <f>'Акт согласования'!D33</f>
        <v>#REF!</v>
      </c>
      <c r="E27" s="262" t="str">
        <f>'Акт согласования'!E33</f>
        <v>97 500 000,00 (to'qson yetti million besh yuz ming so'm)</v>
      </c>
    </row>
    <row r="28" spans="1:5" hidden="1" outlineLevel="1" x14ac:dyDescent="0.25">
      <c r="A28" s="18">
        <f>'Акт согласования'!A34</f>
        <v>0</v>
      </c>
      <c r="B28" s="122">
        <f>'Акт согласования'!B34</f>
        <v>0</v>
      </c>
      <c r="C28" s="122">
        <f>'Акт согласования'!C34</f>
        <v>0</v>
      </c>
      <c r="D28" s="122">
        <f>'Акт согласования'!D34</f>
        <v>0</v>
      </c>
      <c r="E28" s="262"/>
    </row>
    <row r="29" spans="1:5" hidden="1" outlineLevel="1" x14ac:dyDescent="0.25">
      <c r="A29" s="18" t="e">
        <f>'Акт согласования'!A35</f>
        <v>#REF!</v>
      </c>
      <c r="B29" s="122" t="e">
        <f>'Акт согласования'!B35</f>
        <v>#REF!</v>
      </c>
      <c r="C29" s="122" t="e">
        <f>'Акт согласования'!C35</f>
        <v>#REF!</v>
      </c>
      <c r="D29" s="122" t="e">
        <f>'Акт согласования'!D35</f>
        <v>#REF!</v>
      </c>
      <c r="E29" s="262"/>
    </row>
    <row r="30" spans="1:5" hidden="1" outlineLevel="1" x14ac:dyDescent="0.25">
      <c r="A30" s="18" t="e">
        <f>'Акт согласования'!A36</f>
        <v>#REF!</v>
      </c>
      <c r="B30" s="122" t="e">
        <f>'Акт согласования'!B36</f>
        <v>#REF!</v>
      </c>
      <c r="C30" s="122" t="e">
        <f>'Акт согласования'!C36</f>
        <v>#REF!</v>
      </c>
      <c r="D30" s="122" t="e">
        <f>'Акт согласования'!D36</f>
        <v>#REF!</v>
      </c>
      <c r="E30" s="262"/>
    </row>
    <row r="31" spans="1:5" hidden="1" outlineLevel="1" x14ac:dyDescent="0.25">
      <c r="A31" s="18" t="e">
        <f>'Акт согласования'!A37</f>
        <v>#REF!</v>
      </c>
      <c r="B31" s="122" t="e">
        <f>'Акт согласования'!B37</f>
        <v>#REF!</v>
      </c>
      <c r="C31" s="122" t="e">
        <f>'Акт согласования'!C37</f>
        <v>#REF!</v>
      </c>
      <c r="D31" s="122" t="e">
        <f>'Акт согласования'!D37</f>
        <v>#REF!</v>
      </c>
      <c r="E31" s="262"/>
    </row>
    <row r="32" spans="1:5" hidden="1" outlineLevel="1" x14ac:dyDescent="0.25">
      <c r="A32" s="18" t="e">
        <f>'Акт согласования'!A38</f>
        <v>#REF!</v>
      </c>
      <c r="B32" s="122" t="e">
        <f>'Акт согласования'!B38</f>
        <v>#REF!</v>
      </c>
      <c r="C32" s="122" t="e">
        <f>'Акт согласования'!C38</f>
        <v>#REF!</v>
      </c>
      <c r="D32" s="122" t="e">
        <f>'Акт согласования'!D38</f>
        <v>#REF!</v>
      </c>
      <c r="E32" s="262"/>
    </row>
    <row r="33" spans="1:5" hidden="1" outlineLevel="1" x14ac:dyDescent="0.25">
      <c r="A33" s="18" t="e">
        <f>'Акт согласования'!A39</f>
        <v>#REF!</v>
      </c>
      <c r="B33" s="122" t="e">
        <f>'Акт согласования'!B39</f>
        <v>#REF!</v>
      </c>
      <c r="C33" s="122" t="e">
        <f>'Акт согласования'!C39</f>
        <v>#REF!</v>
      </c>
      <c r="D33" s="122" t="e">
        <f>'Акт согласования'!D39</f>
        <v>#REF!</v>
      </c>
      <c r="E33" s="262"/>
    </row>
    <row r="34" spans="1:5" hidden="1" outlineLevel="1" x14ac:dyDescent="0.25">
      <c r="A34" s="18" t="e">
        <f>'Акт согласования'!A40</f>
        <v>#REF!</v>
      </c>
      <c r="B34" s="122" t="e">
        <f>'Акт согласования'!B40</f>
        <v>#REF!</v>
      </c>
      <c r="C34" s="122" t="e">
        <f>'Акт согласования'!C40</f>
        <v>#REF!</v>
      </c>
      <c r="D34" s="122" t="e">
        <f>'Акт согласования'!D40</f>
        <v>#REF!</v>
      </c>
      <c r="E34" s="262"/>
    </row>
    <row r="35" spans="1:5" hidden="1" outlineLevel="1" x14ac:dyDescent="0.25">
      <c r="A35" s="18" t="e">
        <f>'Акт согласования'!A41</f>
        <v>#REF!</v>
      </c>
      <c r="B35" s="122" t="e">
        <f>'Акт согласования'!B41</f>
        <v>#REF!</v>
      </c>
      <c r="C35" s="122" t="e">
        <f>'Акт согласования'!C41</f>
        <v>#REF!</v>
      </c>
      <c r="D35" s="122" t="e">
        <f>'Акт согласования'!D41</f>
        <v>#REF!</v>
      </c>
      <c r="E35" s="262"/>
    </row>
    <row r="36" spans="1:5" hidden="1" outlineLevel="1" x14ac:dyDescent="0.25">
      <c r="A36" s="18" t="e">
        <f>'Акт согласования'!A42</f>
        <v>#REF!</v>
      </c>
      <c r="B36" s="122" t="e">
        <f>'Акт согласования'!B42</f>
        <v>#REF!</v>
      </c>
      <c r="C36" s="122" t="e">
        <f>'Акт согласования'!C42</f>
        <v>#REF!</v>
      </c>
      <c r="D36" s="122" t="e">
        <f>'Акт согласования'!D42</f>
        <v>#REF!</v>
      </c>
      <c r="E36" s="262"/>
    </row>
    <row r="37" spans="1:5" hidden="1" outlineLevel="1" x14ac:dyDescent="0.25">
      <c r="A37" s="18" t="e">
        <f>'Акт согласования'!A43</f>
        <v>#REF!</v>
      </c>
      <c r="B37" s="18" t="e">
        <f>'Акт согласования'!B43</f>
        <v>#REF!</v>
      </c>
      <c r="C37" s="18" t="e">
        <f>'Акт согласования'!C43</f>
        <v>#REF!</v>
      </c>
      <c r="D37" s="18" t="e">
        <f>'Акт согласования'!D43</f>
        <v>#REF!</v>
      </c>
      <c r="E37" s="262"/>
    </row>
    <row r="38" spans="1:5" s="38" customFormat="1" ht="14.25" hidden="1" outlineLevel="1" x14ac:dyDescent="0.2">
      <c r="A38" s="40" t="e">
        <f>'Акт согласования'!A44</f>
        <v>#REF!</v>
      </c>
      <c r="B38" s="40" t="e">
        <f>'Акт согласования'!B44</f>
        <v>#REF!</v>
      </c>
      <c r="C38" s="40" t="e">
        <f>'Акт согласования'!C44</f>
        <v>#REF!</v>
      </c>
      <c r="D38" s="40" t="e">
        <f>'Акт согласования'!D44</f>
        <v>#REF!</v>
      </c>
      <c r="E38" s="40" t="str">
        <f>'Акт согласования'!E44</f>
        <v>97 500 000,00</v>
      </c>
    </row>
    <row r="39" spans="1:5" s="38" customFormat="1" ht="15" hidden="1" customHeight="1" outlineLevel="1" x14ac:dyDescent="0.2">
      <c r="A39" s="236" t="e">
        <f>_xlfn.SINGLE('Акт согласования'!#REF!)</f>
        <v>#REF!</v>
      </c>
      <c r="B39" s="236"/>
      <c r="C39" s="236"/>
      <c r="D39" s="236"/>
      <c r="E39" s="236"/>
    </row>
    <row r="40" spans="1:5" s="38" customFormat="1" hidden="1" outlineLevel="1" x14ac:dyDescent="0.2">
      <c r="A40" s="236" t="e">
        <f>_xlfn.SINGLE('Акт согласования'!#REF!)</f>
        <v>#REF!</v>
      </c>
      <c r="B40" s="236"/>
      <c r="C40" s="236"/>
      <c r="D40" s="236"/>
      <c r="E40" s="236"/>
    </row>
    <row r="41" spans="1:5" s="38" customFormat="1" hidden="1" outlineLevel="1" x14ac:dyDescent="0.2">
      <c r="A41" s="236" t="e">
        <f>_xlfn.SINGLE('Акт согласования'!#REF!)</f>
        <v>#REF!</v>
      </c>
      <c r="B41" s="236"/>
      <c r="C41" s="236"/>
      <c r="D41" s="236"/>
      <c r="E41" s="236"/>
    </row>
    <row r="42" spans="1:5" s="38" customFormat="1" hidden="1" outlineLevel="1" x14ac:dyDescent="0.2">
      <c r="A42" s="236" t="e">
        <f>_xlfn.SINGLE('Акт согласования'!#REF!)</f>
        <v>#REF!</v>
      </c>
      <c r="B42" s="236"/>
      <c r="C42" s="236"/>
      <c r="D42" s="236"/>
      <c r="E42" s="236"/>
    </row>
    <row r="43" spans="1:5" s="38" customFormat="1" collapsed="1" x14ac:dyDescent="0.2">
      <c r="A43" s="236"/>
      <c r="B43" s="236"/>
      <c r="C43" s="236"/>
      <c r="D43" s="236"/>
      <c r="E43" s="236"/>
    </row>
    <row r="44" spans="1:5" s="38" customFormat="1" x14ac:dyDescent="0.2">
      <c r="A44" s="236"/>
      <c r="B44" s="236"/>
      <c r="C44" s="236"/>
      <c r="D44" s="236"/>
      <c r="E44" s="236"/>
    </row>
    <row r="45" spans="1:5" s="38" customFormat="1" hidden="1" x14ac:dyDescent="0.2">
      <c r="A45" s="236"/>
      <c r="B45" s="236"/>
      <c r="C45" s="236"/>
      <c r="D45" s="236"/>
      <c r="E45" s="236"/>
    </row>
    <row r="46" spans="1:5" s="38" customFormat="1" ht="14.25" hidden="1" x14ac:dyDescent="0.2">
      <c r="A46" s="54"/>
      <c r="B46" s="54"/>
      <c r="C46" s="54"/>
      <c r="D46" s="54"/>
      <c r="E46" s="54"/>
    </row>
    <row r="47" spans="1:5" hidden="1" x14ac:dyDescent="0.25">
      <c r="A47" s="236"/>
      <c r="B47" s="236"/>
      <c r="C47" s="236"/>
      <c r="D47" s="236"/>
      <c r="E47" s="236"/>
    </row>
    <row r="48" spans="1:5" ht="15" customHeight="1" x14ac:dyDescent="0.25">
      <c r="A48" s="316" t="s">
        <v>380</v>
      </c>
      <c r="B48" s="316"/>
      <c r="C48" s="316"/>
      <c r="D48" s="325"/>
      <c r="E48" s="325"/>
    </row>
    <row r="49" spans="1:5" ht="15" customHeight="1" x14ac:dyDescent="0.25">
      <c r="A49" s="316" t="s">
        <v>388</v>
      </c>
      <c r="B49" s="316"/>
      <c r="C49" s="316"/>
      <c r="D49" s="325" t="s">
        <v>396</v>
      </c>
      <c r="E49" s="325"/>
    </row>
    <row r="50" spans="1:5" x14ac:dyDescent="0.25">
      <c r="A50" s="236"/>
      <c r="B50" s="236"/>
      <c r="C50" s="236"/>
      <c r="D50" s="236"/>
      <c r="E50" s="236"/>
    </row>
    <row r="51" spans="1:5" x14ac:dyDescent="0.25">
      <c r="A51" s="236"/>
      <c r="B51" s="236"/>
      <c r="C51" s="236"/>
      <c r="D51" s="236"/>
      <c r="E51" s="236"/>
    </row>
    <row r="52" spans="1:5" x14ac:dyDescent="0.25">
      <c r="A52" s="236"/>
      <c r="B52" s="236"/>
      <c r="C52" s="236"/>
      <c r="D52" s="236"/>
      <c r="E52" s="236"/>
    </row>
    <row r="53" spans="1:5" x14ac:dyDescent="0.25">
      <c r="A53" s="236"/>
      <c r="B53" s="236"/>
      <c r="C53" s="236"/>
      <c r="D53" s="236"/>
      <c r="E53" s="236"/>
    </row>
    <row r="54" spans="1:5" x14ac:dyDescent="0.25">
      <c r="A54" s="236"/>
      <c r="B54" s="236"/>
      <c r="C54" s="236"/>
      <c r="D54" s="236"/>
      <c r="E54" s="236"/>
    </row>
    <row r="55" spans="1:5" x14ac:dyDescent="0.25">
      <c r="A55" s="236"/>
      <c r="B55" s="236"/>
      <c r="C55" s="236"/>
      <c r="D55" s="236"/>
      <c r="E55" s="236"/>
    </row>
  </sheetData>
  <mergeCells count="37">
    <mergeCell ref="A12:E12"/>
    <mergeCell ref="A53:E53"/>
    <mergeCell ref="A21:E21"/>
    <mergeCell ref="A15:E15"/>
    <mergeCell ref="A17:E17"/>
    <mergeCell ref="A16:E16"/>
    <mergeCell ref="A4:E6"/>
    <mergeCell ref="A45:E45"/>
    <mergeCell ref="A39:E39"/>
    <mergeCell ref="A40:E40"/>
    <mergeCell ref="A41:E41"/>
    <mergeCell ref="A42:E42"/>
    <mergeCell ref="A43:E43"/>
    <mergeCell ref="A22:E22"/>
    <mergeCell ref="A14:E14"/>
    <mergeCell ref="A18:E18"/>
    <mergeCell ref="A7:E7"/>
    <mergeCell ref="A8:E8"/>
    <mergeCell ref="A13:E13"/>
    <mergeCell ref="A9:E9"/>
    <mergeCell ref="A10:E10"/>
    <mergeCell ref="A11:E11"/>
    <mergeCell ref="A55:E55"/>
    <mergeCell ref="A23:E23"/>
    <mergeCell ref="A24:E24"/>
    <mergeCell ref="A25:E25"/>
    <mergeCell ref="A47:E47"/>
    <mergeCell ref="A48:C48"/>
    <mergeCell ref="D48:E48"/>
    <mergeCell ref="A49:C49"/>
    <mergeCell ref="D49:E49"/>
    <mergeCell ref="A50:E50"/>
    <mergeCell ref="A51:E51"/>
    <mergeCell ref="A52:E52"/>
    <mergeCell ref="A54:E54"/>
    <mergeCell ref="E27:E37"/>
    <mergeCell ref="A44:E44"/>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6" zoomScaleSheetLayoutView="100" workbookViewId="0">
      <selection activeCell="P15" sqref="P15"/>
    </sheetView>
  </sheetViews>
  <sheetFormatPr defaultColWidth="9.140625" defaultRowHeight="15" x14ac:dyDescent="0.25"/>
  <cols>
    <col min="1" max="1" width="3.42578125" style="16" customWidth="1"/>
    <col min="2" max="3" width="17.85546875" style="21" customWidth="1"/>
    <col min="4" max="4" width="15" style="21" customWidth="1"/>
    <col min="5" max="5" width="17.85546875" style="21" customWidth="1"/>
    <col min="6" max="6" width="9" style="21" customWidth="1"/>
    <col min="7" max="7" width="4.7109375" style="21" customWidth="1"/>
    <col min="8" max="16384" width="9.140625" style="16"/>
  </cols>
  <sheetData>
    <row r="1" spans="2:7" ht="15.75" thickBot="1" x14ac:dyDescent="0.3"/>
    <row r="2" spans="2:7" ht="62.25" customHeight="1" x14ac:dyDescent="0.35">
      <c r="B2" s="331" t="str">
        <f>'Общие данные'!B152</f>
        <v>«CLEVER MIKROMOLIYA TASHKILOTI» MChJ</v>
      </c>
      <c r="C2" s="332"/>
      <c r="D2" s="332"/>
      <c r="E2" s="332"/>
      <c r="F2" s="333"/>
      <c r="G2" s="42"/>
    </row>
    <row r="3" spans="2:7" x14ac:dyDescent="0.25">
      <c r="B3" s="326"/>
      <c r="C3" s="271"/>
      <c r="D3" s="271"/>
      <c r="E3" s="271"/>
      <c r="F3" s="327"/>
      <c r="G3" s="43"/>
    </row>
    <row r="4" spans="2:7" ht="8.25" customHeight="1" x14ac:dyDescent="0.25">
      <c r="B4" s="58"/>
      <c r="F4" s="59"/>
      <c r="G4" s="43"/>
    </row>
    <row r="5" spans="2:7" ht="12" customHeight="1" x14ac:dyDescent="0.25">
      <c r="B5" s="45"/>
      <c r="C5" s="43"/>
      <c r="D5" s="43"/>
      <c r="E5" s="43"/>
      <c r="F5" s="46"/>
      <c r="G5" s="43"/>
    </row>
    <row r="6" spans="2:7" ht="6.75" customHeight="1" x14ac:dyDescent="0.25">
      <c r="B6" s="45"/>
      <c r="C6" s="43"/>
      <c r="D6" s="43"/>
      <c r="E6" s="43"/>
      <c r="F6" s="46"/>
      <c r="G6" s="43"/>
    </row>
    <row r="7" spans="2:7" ht="6.75" customHeight="1" x14ac:dyDescent="0.25">
      <c r="B7" s="45"/>
      <c r="C7" s="43"/>
      <c r="D7" s="43"/>
      <c r="E7" s="43"/>
      <c r="F7" s="46"/>
      <c r="G7" s="43"/>
    </row>
    <row r="8" spans="2:7" x14ac:dyDescent="0.25">
      <c r="B8" s="45"/>
      <c r="C8" s="43"/>
      <c r="D8" s="43"/>
      <c r="E8" s="43"/>
      <c r="F8" s="46"/>
      <c r="G8" s="43"/>
    </row>
    <row r="9" spans="2:7" x14ac:dyDescent="0.25">
      <c r="B9" s="45"/>
      <c r="C9" s="43"/>
      <c r="D9" s="43"/>
      <c r="E9" s="43"/>
      <c r="F9" s="46"/>
      <c r="G9" s="43"/>
    </row>
    <row r="10" spans="2:7" x14ac:dyDescent="0.25">
      <c r="B10" s="326" t="s">
        <v>27</v>
      </c>
      <c r="C10" s="271"/>
      <c r="D10" s="271"/>
      <c r="E10" s="271"/>
      <c r="F10" s="327"/>
      <c r="G10" s="43"/>
    </row>
    <row r="11" spans="2:7" x14ac:dyDescent="0.25">
      <c r="B11" s="326" t="s">
        <v>27</v>
      </c>
      <c r="C11" s="271"/>
      <c r="D11" s="271"/>
      <c r="E11" s="271"/>
      <c r="F11" s="327"/>
      <c r="G11" s="43"/>
    </row>
    <row r="12" spans="2:7" ht="135" customHeight="1" x14ac:dyDescent="0.8">
      <c r="B12" s="334" t="str">
        <f>'Общие данные'!B5</f>
        <v>ATAXANOV AKMAL AXMETDJANOVICH</v>
      </c>
      <c r="C12" s="335"/>
      <c r="D12" s="335"/>
      <c r="E12" s="335"/>
      <c r="F12" s="336"/>
      <c r="G12" s="44"/>
    </row>
    <row r="13" spans="2:7" x14ac:dyDescent="0.25">
      <c r="B13" s="326"/>
      <c r="C13" s="271"/>
      <c r="D13" s="271"/>
      <c r="E13" s="271"/>
      <c r="F13" s="327"/>
      <c r="G13" s="43"/>
    </row>
    <row r="14" spans="2:7" x14ac:dyDescent="0.25">
      <c r="B14" s="45"/>
      <c r="C14" s="43"/>
      <c r="D14" s="43"/>
      <c r="E14" s="43"/>
      <c r="F14" s="46"/>
      <c r="G14" s="43"/>
    </row>
    <row r="15" spans="2:7" x14ac:dyDescent="0.25">
      <c r="B15" s="45"/>
      <c r="C15" s="43"/>
      <c r="D15" s="43"/>
      <c r="E15" s="43"/>
      <c r="F15" s="46"/>
      <c r="G15" s="43"/>
    </row>
    <row r="16" spans="2:7" x14ac:dyDescent="0.25">
      <c r="B16" s="45"/>
      <c r="C16" s="43"/>
      <c r="D16" s="43"/>
      <c r="E16" s="43"/>
      <c r="F16" s="46"/>
      <c r="G16" s="43"/>
    </row>
    <row r="17" spans="2:7" x14ac:dyDescent="0.25">
      <c r="B17" s="45"/>
      <c r="C17" s="43"/>
      <c r="D17" s="43"/>
      <c r="E17" s="43"/>
      <c r="F17" s="46"/>
      <c r="G17" s="43"/>
    </row>
    <row r="18" spans="2:7" x14ac:dyDescent="0.25">
      <c r="B18" s="326"/>
      <c r="C18" s="271"/>
      <c r="D18" s="271"/>
      <c r="E18" s="271"/>
      <c r="F18" s="327"/>
      <c r="G18" s="43"/>
    </row>
    <row r="19" spans="2:7" ht="20.25" x14ac:dyDescent="0.3">
      <c r="B19" s="328" t="str">
        <f>""&amp;'Общие данные'!C64&amp;" shartnoma "&amp;'Общие данные'!B74&amp;""</f>
        <v>Mikroqarz shartnoma 28 fevral 2025 y.dan №492-QRS</v>
      </c>
      <c r="C19" s="329"/>
      <c r="D19" s="329"/>
      <c r="E19" s="329"/>
      <c r="F19" s="330"/>
      <c r="G19" s="43"/>
    </row>
    <row r="20" spans="2:7" x14ac:dyDescent="0.25">
      <c r="B20" s="326"/>
      <c r="C20" s="271"/>
      <c r="D20" s="271"/>
      <c r="E20" s="271"/>
      <c r="F20" s="327"/>
      <c r="G20" s="43"/>
    </row>
    <row r="21" spans="2:7" x14ac:dyDescent="0.25">
      <c r="B21" s="326"/>
      <c r="C21" s="271"/>
      <c r="D21" s="271"/>
      <c r="E21" s="271"/>
      <c r="F21" s="327"/>
      <c r="G21" s="43"/>
    </row>
    <row r="22" spans="2:7" x14ac:dyDescent="0.25">
      <c r="B22" s="326"/>
      <c r="C22" s="271"/>
      <c r="D22" s="271"/>
      <c r="E22" s="271"/>
      <c r="F22" s="327"/>
      <c r="G22" s="43"/>
    </row>
    <row r="23" spans="2:7" x14ac:dyDescent="0.25">
      <c r="B23" s="326"/>
      <c r="C23" s="271"/>
      <c r="D23" s="271"/>
      <c r="E23" s="271"/>
      <c r="F23" s="327"/>
      <c r="G23" s="43"/>
    </row>
    <row r="24" spans="2:7" x14ac:dyDescent="0.25">
      <c r="B24" s="340" t="str">
        <f>" Foiz stavkasi: "&amp;'Общие данные'!B86&amp;"%"</f>
        <v xml:space="preserve"> Foiz stavkasi: 60%</v>
      </c>
      <c r="C24" s="240"/>
      <c r="D24" s="240"/>
      <c r="E24" s="240"/>
      <c r="F24" s="341"/>
      <c r="G24" s="43"/>
    </row>
    <row r="25" spans="2:7" ht="15" customHeight="1" x14ac:dyDescent="0.25">
      <c r="B25" s="340" t="str">
        <f>" "&amp;'Общие данные'!C64&amp;" muddati: "&amp;'Общие данные'!B82&amp;" oy"</f>
        <v xml:space="preserve"> Mikroqarz muddati: 24 oy</v>
      </c>
      <c r="C25" s="240"/>
      <c r="D25" s="240"/>
      <c r="E25" s="240"/>
      <c r="F25" s="341"/>
      <c r="G25" s="43"/>
    </row>
    <row r="26" spans="2:7" x14ac:dyDescent="0.25">
      <c r="B26" s="340" t="str">
        <f>" "&amp;'Общие данные'!C64&amp;" miqdori: "&amp;FIXED('Общие данные'!B76,2)&amp;" so'm"</f>
        <v xml:space="preserve"> Mikroqarz miqdori: 65 000 000,00 so'm</v>
      </c>
      <c r="C26" s="240"/>
      <c r="D26" s="240"/>
      <c r="E26" s="240"/>
      <c r="F26" s="341"/>
      <c r="G26" s="43"/>
    </row>
    <row r="27" spans="2:7" x14ac:dyDescent="0.25">
      <c r="B27" s="326"/>
      <c r="C27" s="271"/>
      <c r="D27" s="271"/>
      <c r="E27" s="271"/>
      <c r="F27" s="327"/>
      <c r="G27" s="43"/>
    </row>
    <row r="28" spans="2:7" hidden="1" x14ac:dyDescent="0.25">
      <c r="G28" s="43"/>
    </row>
    <row r="29" spans="2:7" x14ac:dyDescent="0.25">
      <c r="B29" s="326"/>
      <c r="C29" s="271"/>
      <c r="D29" s="271"/>
      <c r="E29" s="271"/>
      <c r="F29" s="327"/>
      <c r="G29" s="43"/>
    </row>
    <row r="30" spans="2:7" ht="12.75" customHeight="1" x14ac:dyDescent="0.25">
      <c r="B30" s="45"/>
      <c r="C30" s="43"/>
      <c r="D30" s="43"/>
      <c r="E30" s="43"/>
      <c r="F30" s="46"/>
      <c r="G30" s="43"/>
    </row>
    <row r="31" spans="2:7" x14ac:dyDescent="0.25">
      <c r="B31" s="45"/>
      <c r="C31" s="43"/>
      <c r="D31" s="43"/>
      <c r="E31" s="43"/>
      <c r="F31" s="46"/>
      <c r="G31" s="43"/>
    </row>
    <row r="32" spans="2:7" ht="2.25" customHeight="1" x14ac:dyDescent="0.25">
      <c r="B32" s="45"/>
      <c r="C32" s="43"/>
      <c r="D32" s="43"/>
      <c r="E32" s="43"/>
      <c r="F32" s="46"/>
      <c r="G32" s="43"/>
    </row>
    <row r="33" spans="2:7" x14ac:dyDescent="0.25">
      <c r="B33" s="45"/>
      <c r="C33" s="43"/>
      <c r="D33" s="43"/>
      <c r="E33" s="43"/>
      <c r="F33" s="46"/>
      <c r="G33" s="43"/>
    </row>
    <row r="34" spans="2:7" x14ac:dyDescent="0.25">
      <c r="B34" s="45"/>
      <c r="C34" s="43"/>
      <c r="D34" s="43"/>
      <c r="E34" s="43"/>
      <c r="F34" s="46"/>
      <c r="G34" s="43"/>
    </row>
    <row r="35" spans="2:7" x14ac:dyDescent="0.25">
      <c r="B35" s="45"/>
      <c r="C35" s="43"/>
      <c r="D35" s="43"/>
      <c r="E35" s="43"/>
      <c r="F35" s="46"/>
      <c r="G35" s="43"/>
    </row>
    <row r="36" spans="2:7" x14ac:dyDescent="0.25">
      <c r="B36" s="45"/>
      <c r="C36" s="43"/>
      <c r="D36" s="43"/>
      <c r="E36" s="43"/>
      <c r="F36" s="46"/>
      <c r="G36" s="43"/>
    </row>
    <row r="37" spans="2:7" x14ac:dyDescent="0.25">
      <c r="B37" s="45"/>
      <c r="C37" s="43"/>
      <c r="D37" s="43"/>
      <c r="E37" s="43"/>
      <c r="F37" s="46"/>
      <c r="G37" s="43"/>
    </row>
    <row r="38" spans="2:7" x14ac:dyDescent="0.25">
      <c r="B38" s="45"/>
      <c r="C38" s="43"/>
      <c r="D38" s="43"/>
      <c r="E38" s="43"/>
      <c r="F38" s="46"/>
      <c r="G38" s="43"/>
    </row>
    <row r="39" spans="2:7" x14ac:dyDescent="0.25">
      <c r="B39" s="45"/>
      <c r="C39" s="43"/>
      <c r="D39" s="43"/>
      <c r="E39" s="43"/>
      <c r="F39" s="46"/>
      <c r="G39" s="43"/>
    </row>
    <row r="40" spans="2:7" ht="15.75" thickBot="1" x14ac:dyDescent="0.3">
      <c r="B40" s="337" t="str">
        <f>"Toshkent sh., "&amp;'Общие данные'!B70&amp;""</f>
        <v>Toshkent sh., 28 fevral 2025 y.</v>
      </c>
      <c r="C40" s="338"/>
      <c r="D40" s="338"/>
      <c r="E40" s="338"/>
      <c r="F40" s="339"/>
      <c r="G40" s="43"/>
    </row>
    <row r="41" spans="2:7" x14ac:dyDescent="0.25">
      <c r="B41" s="271"/>
      <c r="C41" s="271"/>
      <c r="D41" s="271"/>
      <c r="E41" s="271"/>
      <c r="F41" s="271"/>
      <c r="G41" s="43"/>
    </row>
    <row r="42" spans="2:7" x14ac:dyDescent="0.25">
      <c r="B42" s="271"/>
      <c r="C42" s="271"/>
      <c r="D42" s="271"/>
      <c r="E42" s="271"/>
      <c r="F42" s="271"/>
      <c r="G42" s="43"/>
    </row>
  </sheetData>
  <mergeCells count="20">
    <mergeCell ref="B40:F40"/>
    <mergeCell ref="B41:F41"/>
    <mergeCell ref="B42:F42"/>
    <mergeCell ref="B21:F21"/>
    <mergeCell ref="B22:F22"/>
    <mergeCell ref="B23:F23"/>
    <mergeCell ref="B27:F27"/>
    <mergeCell ref="B29:F29"/>
    <mergeCell ref="B24:F24"/>
    <mergeCell ref="B25:F25"/>
    <mergeCell ref="B26:F26"/>
    <mergeCell ref="B18:F18"/>
    <mergeCell ref="B19:F19"/>
    <mergeCell ref="B20:F20"/>
    <mergeCell ref="B2:F2"/>
    <mergeCell ref="B3:F3"/>
    <mergeCell ref="B10:F10"/>
    <mergeCell ref="B11:F11"/>
    <mergeCell ref="B12:F12"/>
    <mergeCell ref="B13:F1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x14ac:dyDescent="0.25"/>
  <cols>
    <col min="1" max="1" width="33.85546875" style="16" customWidth="1"/>
    <col min="2" max="2" width="21.28515625" style="16" customWidth="1"/>
    <col min="3" max="3" width="19.140625" style="16" customWidth="1"/>
    <col min="4" max="5" width="21.28515625" style="16" customWidth="1"/>
    <col min="6" max="16384" width="9.140625" style="16"/>
  </cols>
  <sheetData>
    <row r="2" spans="1:5" x14ac:dyDescent="0.25">
      <c r="A2" s="119" t="s">
        <v>49</v>
      </c>
    </row>
    <row r="3" spans="1:5" x14ac:dyDescent="0.25">
      <c r="A3" s="119" t="s">
        <v>50</v>
      </c>
    </row>
    <row r="6" spans="1:5" ht="20.25" customHeight="1" x14ac:dyDescent="0.25">
      <c r="E6" s="120" t="s">
        <v>36</v>
      </c>
    </row>
    <row r="7" spans="1:5" x14ac:dyDescent="0.25">
      <c r="E7" s="120" t="s">
        <v>51</v>
      </c>
    </row>
    <row r="9" spans="1:5" ht="107.25" customHeight="1" x14ac:dyDescent="0.25">
      <c r="A9" s="343"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данные'!B76)&amp;" ("&amp;'Общие данные'!B77&amp;") сум, сроком на "&amp;'Общие данные'!B82&amp;" ("&amp;'Общие данные'!B83&amp;")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данные'!B104='Общие данные'!C104,"автотранспортного средство марки "&amp;'Общие данные'!B126&amp;" принадлежащее на правах собственности "&amp;'Общие данные'!B118&amp;"","недвижимого имущества в виде "&amp;'Общие данные'!C127&amp;", общей площадью - "&amp;'Общие данные'!C131&amp;" и жилой площадью - "&amp;'Общие данные'!C134&amp;", расположенного по адресу: "&amp;'Общие данные'!C124&amp;", принадлежащее на правах собственности "&amp;'Общие данные'!C118&amp;".")</f>
        <v xml:space="preserve">          Между ООО «Clever Mikrokredit Tashkiloti» и ATAXANOV AKMAL AXMETDJANOVICH  (паспорт: AD7554127 IIV 6230 tomonidan 20.06.2024 yilda berilgan) заключен договор микрозайма 28 fevral 2025 y.dan №492-QRS, на сумму 65 000 000,00 (oltmish besh million so'm) сум, сроком на 24 (yigirma to'rt) месяцев. В качестве своевременного исполнения обязательств по договору Микрозайма 28 fevral 2025 y.dan №492-QRS планирует предоставить нижеследующее автотранспортного средство марки DAMAS-2 принадлежащее на правах собственности BOBONAZAROV ASLBEK AKRAM O'G'LI</v>
      </c>
      <c r="B9" s="343"/>
      <c r="C9" s="343"/>
      <c r="D9" s="343"/>
      <c r="E9" s="343"/>
    </row>
    <row r="11" spans="1:5" ht="28.5" x14ac:dyDescent="0.25">
      <c r="A11" s="40" t="str">
        <f>'Приказ на сделку'!A19</f>
        <v>Nomi</v>
      </c>
      <c r="B11" s="40" t="str">
        <f>'Приказ на сделку'!B19</f>
        <v>Kuzov turi  va kuzov raqami*</v>
      </c>
      <c r="C11" s="40" t="str">
        <f>'Приказ на сделку'!C19</f>
        <v>Dvigatel va shassi raqami*</v>
      </c>
      <c r="D11" s="40" t="str">
        <f>'Приказ на сделку'!D19</f>
        <v>Ishlab chiqarilgan yili va rangi*</v>
      </c>
      <c r="E11" s="40" t="str">
        <f>'Приказ на сделку'!E19</f>
        <v>Kelishilgan garov qiymati, so'm</v>
      </c>
    </row>
    <row r="12" spans="1:5" ht="73.5" customHeight="1" x14ac:dyDescent="0.25">
      <c r="A12" s="40" t="str">
        <f>'Приказ на сделку'!A20</f>
        <v>DAMAS-2</v>
      </c>
      <c r="B12" s="40" t="str">
        <f>'Приказ на сделку'!B20</f>
        <v>kuzov turi - YENGIL SEDAN, kuzov raqami XWB7T12YDRP863654</v>
      </c>
      <c r="C12" s="40" t="str">
        <f>'Приказ на сделку'!C20</f>
        <v xml:space="preserve">dvigatel raqami F8CB240180255, shassi raqami -  - </v>
      </c>
      <c r="D12" s="40" t="str">
        <f>'Приказ на сделку'!D20</f>
        <v>rangi -  OQ SUMMIT WHITE, ishlab chiqarilgan yili - 2024</v>
      </c>
      <c r="E12" s="40" t="str">
        <f>'Приказ на сделку'!E20</f>
        <v>97 500 000,00 
(to'qson yetti million besh yuz ming so'm)</v>
      </c>
    </row>
    <row r="13" spans="1:5" x14ac:dyDescent="0.25">
      <c r="A13" s="344" t="str">
        <f>'Приказ на сделку'!A21:E21</f>
        <v>-* avtotransport egasi: BOBONAZAROV ASLBEK AKRAM O'G'LI</v>
      </c>
      <c r="B13" s="344"/>
      <c r="C13" s="344"/>
      <c r="D13" s="344"/>
      <c r="E13" s="344"/>
    </row>
    <row r="14" spans="1:5" x14ac:dyDescent="0.25">
      <c r="A14" s="344" t="str">
        <f>'Приказ на сделку'!A22:E22</f>
        <v>-* texnik pasport: AAG 5348590 25.12.2024y.</v>
      </c>
      <c r="B14" s="344"/>
      <c r="C14" s="344"/>
      <c r="D14" s="344"/>
      <c r="E14" s="344"/>
    </row>
    <row r="15" spans="1:5" x14ac:dyDescent="0.25">
      <c r="A15" s="344" t="str">
        <f>'Приказ на сделку'!A23:E23</f>
        <v>-* roʻyxatdan oʻtgan manzili/garaj manzili: BUXORO VILOYATI QORAKO'L TUMANI ZARAFSHON MFY GULISTON 21 UY</v>
      </c>
      <c r="B15" s="344"/>
      <c r="C15" s="344"/>
      <c r="D15" s="344"/>
      <c r="E15" s="344"/>
    </row>
    <row r="16" spans="1:5" x14ac:dyDescent="0.25">
      <c r="A16" s="344" t="str">
        <f>'Приказ на сделку'!A24:E24</f>
        <v>-* davlat raqami: 80X089BB</v>
      </c>
      <c r="B16" s="344"/>
      <c r="C16" s="344"/>
      <c r="D16" s="344"/>
      <c r="E16" s="344"/>
    </row>
    <row r="17" spans="1:5" ht="3" customHeight="1" x14ac:dyDescent="0.25"/>
    <row r="19" spans="1:5" ht="59.25" hidden="1" customHeight="1" x14ac:dyDescent="0.25">
      <c r="A19" s="40" t="str">
        <f>'Акт согласования'!A32</f>
        <v>Наименование</v>
      </c>
      <c r="B19" s="40" t="str">
        <f>'Акт согласования'!B32</f>
        <v>Полезная площадь</v>
      </c>
      <c r="C19" s="40" t="str">
        <f>'Акт согласования'!C32</f>
        <v>Жилая площадь</v>
      </c>
      <c r="D19" s="40" t="str">
        <f>'Акт согласования'!D32</f>
        <v>Общая площадь</v>
      </c>
      <c r="E19" s="40" t="str">
        <f>'Акт согласования'!E32</f>
        <v>Согласованная залоговая стоимость, сум</v>
      </c>
    </row>
    <row r="20" spans="1:5" ht="17.25" hidden="1" customHeight="1" x14ac:dyDescent="0.25">
      <c r="A20" s="18" t="e">
        <f>'Акт согласования'!A33</f>
        <v>#REF!</v>
      </c>
      <c r="B20" s="18" t="e">
        <f>'Акт согласования'!B33</f>
        <v>#REF!</v>
      </c>
      <c r="C20" s="18" t="e">
        <f>'Акт согласования'!C33</f>
        <v>#REF!</v>
      </c>
      <c r="D20" s="18" t="e">
        <f>'Акт согласования'!D33</f>
        <v>#REF!</v>
      </c>
      <c r="E20" s="318" t="str">
        <f>""&amp;FIXED('Общие данные'!C137,2)&amp;" ("&amp;'Общие данные'!C138&amp;")"</f>
        <v>97 500 000,00 (to'qson yetti million besh yuz ming so'm)</v>
      </c>
    </row>
    <row r="21" spans="1:5" ht="17.25" hidden="1" customHeight="1" x14ac:dyDescent="0.25">
      <c r="A21" s="18">
        <f>'Акт согласования'!A34</f>
        <v>0</v>
      </c>
      <c r="B21" s="18">
        <f>'Акт согласования'!B34</f>
        <v>0</v>
      </c>
      <c r="C21" s="18">
        <f>'Акт согласования'!C34</f>
        <v>0</v>
      </c>
      <c r="D21" s="18">
        <f>'Акт согласования'!D34</f>
        <v>0</v>
      </c>
      <c r="E21" s="319"/>
    </row>
    <row r="22" spans="1:5" ht="17.25" hidden="1" customHeight="1" x14ac:dyDescent="0.25">
      <c r="A22" s="18" t="e">
        <f>'Акт согласования'!A35</f>
        <v>#REF!</v>
      </c>
      <c r="B22" s="18" t="e">
        <f>'Акт согласования'!B35</f>
        <v>#REF!</v>
      </c>
      <c r="C22" s="18" t="e">
        <f>'Акт согласования'!C35</f>
        <v>#REF!</v>
      </c>
      <c r="D22" s="18" t="e">
        <f>'Акт согласования'!D35</f>
        <v>#REF!</v>
      </c>
      <c r="E22" s="319"/>
    </row>
    <row r="23" spans="1:5" ht="17.25" hidden="1" customHeight="1" x14ac:dyDescent="0.25">
      <c r="A23" s="18" t="e">
        <f>'Акт согласования'!A36</f>
        <v>#REF!</v>
      </c>
      <c r="B23" s="18" t="e">
        <f>'Акт согласования'!B36</f>
        <v>#REF!</v>
      </c>
      <c r="C23" s="18" t="e">
        <f>'Акт согласования'!C36</f>
        <v>#REF!</v>
      </c>
      <c r="D23" s="18" t="e">
        <f>'Акт согласования'!D36</f>
        <v>#REF!</v>
      </c>
      <c r="E23" s="319"/>
    </row>
    <row r="24" spans="1:5" ht="17.25" hidden="1" customHeight="1" x14ac:dyDescent="0.25">
      <c r="A24" s="18" t="e">
        <f>'Акт согласования'!A37</f>
        <v>#REF!</v>
      </c>
      <c r="B24" s="18" t="e">
        <f>'Акт согласования'!B37</f>
        <v>#REF!</v>
      </c>
      <c r="C24" s="18" t="e">
        <f>'Акт согласования'!C37</f>
        <v>#REF!</v>
      </c>
      <c r="D24" s="18" t="e">
        <f>'Акт согласования'!D37</f>
        <v>#REF!</v>
      </c>
      <c r="E24" s="319"/>
    </row>
    <row r="25" spans="1:5" ht="15.75" hidden="1" customHeight="1" x14ac:dyDescent="0.25">
      <c r="A25" s="18" t="e">
        <f>'Акт согласования'!A38</f>
        <v>#REF!</v>
      </c>
      <c r="B25" s="18" t="e">
        <f>'Акт согласования'!B38</f>
        <v>#REF!</v>
      </c>
      <c r="C25" s="18" t="e">
        <f>'Акт согласования'!C38</f>
        <v>#REF!</v>
      </c>
      <c r="D25" s="18" t="e">
        <f>'Акт согласования'!D38</f>
        <v>#REF!</v>
      </c>
      <c r="E25" s="319"/>
    </row>
    <row r="26" spans="1:5" ht="17.25" hidden="1" customHeight="1" x14ac:dyDescent="0.25">
      <c r="A26" s="18" t="e">
        <f>'Акт согласования'!A39</f>
        <v>#REF!</v>
      </c>
      <c r="B26" s="18" t="e">
        <f>'Акт согласования'!B39</f>
        <v>#REF!</v>
      </c>
      <c r="C26" s="18" t="e">
        <f>'Акт согласования'!C39</f>
        <v>#REF!</v>
      </c>
      <c r="D26" s="18" t="e">
        <f>'Акт согласования'!D39</f>
        <v>#REF!</v>
      </c>
      <c r="E26" s="319"/>
    </row>
    <row r="27" spans="1:5" ht="17.25" hidden="1" customHeight="1" x14ac:dyDescent="0.25">
      <c r="A27" s="18" t="e">
        <f>'Акт согласования'!A40</f>
        <v>#REF!</v>
      </c>
      <c r="B27" s="18" t="e">
        <f>'Акт согласования'!B40</f>
        <v>#REF!</v>
      </c>
      <c r="C27" s="18" t="e">
        <f>'Акт согласования'!C40</f>
        <v>#REF!</v>
      </c>
      <c r="D27" s="18" t="e">
        <f>'Акт согласования'!D40</f>
        <v>#REF!</v>
      </c>
      <c r="E27" s="319"/>
    </row>
    <row r="28" spans="1:5" ht="17.25" hidden="1" customHeight="1" x14ac:dyDescent="0.25">
      <c r="A28" s="18" t="e">
        <f>'Акт согласования'!A41</f>
        <v>#REF!</v>
      </c>
      <c r="B28" s="18" t="e">
        <f>'Акт согласования'!B41</f>
        <v>#REF!</v>
      </c>
      <c r="C28" s="18" t="e">
        <f>'Акт согласования'!C41</f>
        <v>#REF!</v>
      </c>
      <c r="D28" s="18" t="e">
        <f>'Акт согласования'!D41</f>
        <v>#REF!</v>
      </c>
      <c r="E28" s="319"/>
    </row>
    <row r="29" spans="1:5" ht="17.25" hidden="1" customHeight="1" x14ac:dyDescent="0.25">
      <c r="A29" s="18" t="e">
        <f>'Акт согласования'!A42</f>
        <v>#REF!</v>
      </c>
      <c r="B29" s="18" t="e">
        <f>'Акт согласования'!B42</f>
        <v>#REF!</v>
      </c>
      <c r="C29" s="18" t="e">
        <f>'Акт согласования'!C42</f>
        <v>#REF!</v>
      </c>
      <c r="D29" s="18" t="e">
        <f>'Акт согласования'!D42</f>
        <v>#REF!</v>
      </c>
      <c r="E29" s="319"/>
    </row>
    <row r="30" spans="1:5" ht="17.25" hidden="1" customHeight="1" x14ac:dyDescent="0.25">
      <c r="A30" s="18" t="e">
        <f>'Акт согласования'!A43</f>
        <v>#REF!</v>
      </c>
      <c r="B30" s="18" t="e">
        <f>'Акт согласования'!B43</f>
        <v>#REF!</v>
      </c>
      <c r="C30" s="18" t="e">
        <f>'Акт согласования'!C43</f>
        <v>#REF!</v>
      </c>
      <c r="D30" s="18" t="e">
        <f>'Акт согласования'!D43</f>
        <v>#REF!</v>
      </c>
      <c r="E30" s="320"/>
    </row>
    <row r="31" spans="1:5" ht="17.25" hidden="1" customHeight="1" x14ac:dyDescent="0.25">
      <c r="A31" s="18" t="e">
        <f>'Акт согласования'!A44</f>
        <v>#REF!</v>
      </c>
      <c r="B31" s="18" t="e">
        <f>'Акт согласования'!B44</f>
        <v>#REF!</v>
      </c>
      <c r="C31" s="18" t="e">
        <f>'Акт согласования'!C44</f>
        <v>#REF!</v>
      </c>
      <c r="D31" s="18" t="e">
        <f>'Акт согласования'!D44</f>
        <v>#REF!</v>
      </c>
      <c r="E31" s="18" t="str">
        <f>'Акт согласования'!E44</f>
        <v>97 500 000,00</v>
      </c>
    </row>
    <row r="32" spans="1:5" ht="18.75" hidden="1" customHeight="1" x14ac:dyDescent="0.25">
      <c r="A32" s="343" t="e">
        <f>_xlfn.SINGLE('Акт согласования'!#REF!)</f>
        <v>#REF!</v>
      </c>
      <c r="B32" s="343"/>
      <c r="C32" s="343"/>
      <c r="D32" s="343"/>
      <c r="E32" s="343"/>
    </row>
    <row r="33" spans="1:5" ht="24.75" hidden="1" customHeight="1" x14ac:dyDescent="0.25">
      <c r="A33" s="343" t="e">
        <f>_xlfn.SINGLE('Акт согласования'!#REF!)</f>
        <v>#REF!</v>
      </c>
      <c r="B33" s="343"/>
      <c r="C33" s="343"/>
      <c r="D33" s="343"/>
      <c r="E33" s="343"/>
    </row>
    <row r="34" spans="1:5" ht="30.75" hidden="1" customHeight="1" x14ac:dyDescent="0.25">
      <c r="A34" s="343" t="e">
        <f>_xlfn.SINGLE('Акт согласования'!#REF!)</f>
        <v>#REF!</v>
      </c>
      <c r="B34" s="343"/>
      <c r="C34" s="343"/>
      <c r="D34" s="343"/>
      <c r="E34" s="343"/>
    </row>
    <row r="35" spans="1:5" ht="15" hidden="1" customHeight="1" x14ac:dyDescent="0.25">
      <c r="A35" s="343" t="e">
        <f>_xlfn.SINGLE('Акт согласования'!#REF!)</f>
        <v>#REF!</v>
      </c>
      <c r="B35" s="343"/>
      <c r="C35" s="343"/>
      <c r="D35" s="343"/>
      <c r="E35" s="343"/>
    </row>
    <row r="36" spans="1:5" x14ac:dyDescent="0.25">
      <c r="A36" s="23"/>
      <c r="B36" s="23"/>
      <c r="C36" s="23"/>
      <c r="D36" s="23"/>
      <c r="E36" s="23"/>
    </row>
    <row r="37" spans="1:5" s="141" customFormat="1" ht="51" customHeight="1" x14ac:dyDescent="0.25">
      <c r="A37" s="342" t="str">
        <f>'Акт согласования'!A46:E46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42"/>
      <c r="C37" s="342"/>
      <c r="D37" s="342"/>
      <c r="E37" s="342"/>
    </row>
    <row r="38" spans="1:5" ht="40.5" customHeight="1" x14ac:dyDescent="0.25">
      <c r="A38" s="343" t="str">
        <f>'Акт согласования'!A47:E47</f>
        <v>Shu bilan birga, garov predmetining kelishilgan garov qiymati deganda ushbu mulk garov sifatida taqdim etilgan/qabul qilingan qiymati tushuniladi.</v>
      </c>
      <c r="B38" s="343"/>
      <c r="C38" s="343"/>
      <c r="D38" s="343"/>
      <c r="E38" s="343"/>
    </row>
    <row r="39" spans="1:5" ht="39" customHeight="1" x14ac:dyDescent="0.25">
      <c r="A39" s="343"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28 fevral 2025 y.dan №492-QRS, при сохранении запрета.</v>
      </c>
      <c r="B39" s="343"/>
      <c r="C39" s="343"/>
      <c r="D39" s="343"/>
      <c r="E39" s="343"/>
    </row>
    <row r="40" spans="1:5" x14ac:dyDescent="0.25">
      <c r="A40" s="346"/>
      <c r="B40" s="346"/>
      <c r="C40" s="346"/>
      <c r="D40" s="346"/>
      <c r="E40" s="346"/>
    </row>
    <row r="41" spans="1:5" x14ac:dyDescent="0.25">
      <c r="A41" s="347" t="s">
        <v>37</v>
      </c>
      <c r="B41" s="347"/>
      <c r="C41" s="347"/>
      <c r="D41" s="347"/>
      <c r="E41" s="347"/>
    </row>
    <row r="42" spans="1:5" x14ac:dyDescent="0.25">
      <c r="A42" s="346"/>
      <c r="B42" s="346"/>
      <c r="C42" s="346"/>
      <c r="D42" s="346"/>
      <c r="E42" s="346"/>
    </row>
    <row r="43" spans="1:5" x14ac:dyDescent="0.25">
      <c r="A43" s="347" t="s">
        <v>38</v>
      </c>
      <c r="B43" s="347"/>
      <c r="C43" s="347"/>
      <c r="D43" s="347"/>
      <c r="E43" s="347"/>
    </row>
    <row r="44" spans="1:5" ht="28.5" customHeight="1" x14ac:dyDescent="0.25">
      <c r="A44" s="345" t="s">
        <v>39</v>
      </c>
      <c r="B44" s="345"/>
      <c r="C44" s="345"/>
      <c r="D44" s="345"/>
      <c r="E44" s="121" t="s">
        <v>2</v>
      </c>
    </row>
  </sheetData>
  <mergeCells count="18">
    <mergeCell ref="A44:D44"/>
    <mergeCell ref="A38:E38"/>
    <mergeCell ref="A39:E39"/>
    <mergeCell ref="A40:E40"/>
    <mergeCell ref="A41:E41"/>
    <mergeCell ref="A42:E42"/>
    <mergeCell ref="A43:E43"/>
    <mergeCell ref="A37:E37"/>
    <mergeCell ref="E20:E30"/>
    <mergeCell ref="A9:E9"/>
    <mergeCell ref="A32:E32"/>
    <mergeCell ref="A33:E33"/>
    <mergeCell ref="A34:E34"/>
    <mergeCell ref="A35:E35"/>
    <mergeCell ref="A16:E16"/>
    <mergeCell ref="A15:E15"/>
    <mergeCell ref="A14:E14"/>
    <mergeCell ref="A13:E1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6">
    <tabColor rgb="FF00B050"/>
  </sheetPr>
  <dimension ref="A1:I29"/>
  <sheetViews>
    <sheetView view="pageBreakPreview" topLeftCell="A13" zoomScale="115" zoomScaleNormal="100" zoomScaleSheetLayoutView="115" workbookViewId="0">
      <selection activeCell="A10" sqref="A10:B10"/>
    </sheetView>
  </sheetViews>
  <sheetFormatPr defaultColWidth="9.140625" defaultRowHeight="12.75" x14ac:dyDescent="0.2"/>
  <cols>
    <col min="1" max="2" width="11" style="25" customWidth="1"/>
    <col min="3" max="4" width="14.42578125" style="25" customWidth="1"/>
    <col min="5" max="6" width="13.5703125" style="25" customWidth="1"/>
    <col min="7" max="7" width="9.140625" style="25"/>
    <col min="8" max="8" width="19" style="25" bestFit="1" customWidth="1"/>
    <col min="9" max="16384" width="9.140625" style="25"/>
  </cols>
  <sheetData>
    <row r="1" spans="1:9" x14ac:dyDescent="0.2">
      <c r="A1" s="32"/>
      <c r="B1" s="32"/>
      <c r="C1" s="32"/>
      <c r="D1" s="32"/>
      <c r="E1" s="32"/>
      <c r="F1" s="32"/>
      <c r="G1" s="32"/>
      <c r="H1" s="32"/>
      <c r="I1" s="32"/>
    </row>
    <row r="2" spans="1:9" x14ac:dyDescent="0.2">
      <c r="A2" s="353" t="str">
        <f>""&amp;" "&amp;'Общие данные'!B74&amp;"-sonli "&amp;" "&amp;'Общие данные'!C64&amp;" shartnomasi bo‘yicha
 garovga qo‘yilgan mol-mulkni tekshirish bo’yicha "&amp;'Общие данные'!B5&amp;" bilan tuzilgan dalolatnomasi"</f>
        <v xml:space="preserve"> 28 fevral 2025 y.dan №492-QRS-sonli  Mikroqarz shartnomasi bo‘yicha
 garovga qo‘yilgan mol-mulkni tekshirish bo’yicha ATAXANOV AKMAL AXMETDJANOVICH bilan tuzilgan dalolatnomasi</v>
      </c>
      <c r="B2" s="353"/>
      <c r="C2" s="353"/>
      <c r="D2" s="353"/>
      <c r="E2" s="353"/>
      <c r="F2" s="353"/>
      <c r="G2" s="353"/>
      <c r="H2" s="353"/>
      <c r="I2" s="32"/>
    </row>
    <row r="3" spans="1:9" x14ac:dyDescent="0.2">
      <c r="A3" s="353"/>
      <c r="B3" s="353"/>
      <c r="C3" s="353"/>
      <c r="D3" s="353"/>
      <c r="E3" s="353"/>
      <c r="F3" s="353"/>
      <c r="G3" s="353"/>
      <c r="H3" s="353"/>
      <c r="I3" s="32"/>
    </row>
    <row r="5" spans="1:9" x14ac:dyDescent="0.2">
      <c r="A5" s="25" t="s">
        <v>203</v>
      </c>
      <c r="H5" s="154" t="str">
        <f>TEXT(+'Общие данные'!B2+360,"ДД.ММ.ГГГГ")</f>
        <v>23.02.2026</v>
      </c>
    </row>
    <row r="7" spans="1:9" ht="45" customHeight="1" x14ac:dyDescent="0.2">
      <c r="A7" s="355" t="str">
        <f>"      Men, "&amp;'Общие данные'!B151&amp;" "&amp;'Общие данные'!A154&amp;"i "&amp;'Общие данные'!B154&amp;", jismoniy shaxs "&amp;" "&amp;'Общие данные'!B5&amp;" "&amp;" "&amp;'Общие данные'!B74&amp;"-sonli "&amp;'Общие данные'!C64&amp;" shartnomasi bo‘yicha garovga qo‘yilgan mol-mulkni ko‘zdan kechirdim"</f>
        <v xml:space="preserve">      Men, «CLEVER MIKROMOLIYA TASHKILOTI» MChJ Qorako'l filiali boshlig'ii Egamberdiyeva D.I., jismoniy shaxs  ATAXANOV AKMAL AXMETDJANOVICH  28 fevral 2025 y.dan №492-QRS-sonli Mikroqarz shartnomasi bo‘yicha garovga qo‘yilgan mol-mulkni ko‘zdan kechirdim</v>
      </c>
      <c r="B7" s="355"/>
      <c r="C7" s="355"/>
      <c r="D7" s="355"/>
      <c r="E7" s="355"/>
      <c r="F7" s="355"/>
      <c r="G7" s="355"/>
      <c r="H7" s="355"/>
    </row>
    <row r="8" spans="1:9" ht="19.5" customHeight="1" x14ac:dyDescent="0.2">
      <c r="A8" s="356" t="s">
        <v>276</v>
      </c>
      <c r="B8" s="356"/>
      <c r="C8" s="356"/>
      <c r="D8" s="356"/>
      <c r="E8" s="356"/>
      <c r="F8" s="356"/>
      <c r="G8" s="356"/>
      <c r="H8" s="356"/>
    </row>
    <row r="9" spans="1:9" s="155" customFormat="1" ht="32.25" customHeight="1" x14ac:dyDescent="0.25">
      <c r="A9" s="351" t="str">
        <f>' Акт мониторинга 1'!A9</f>
        <v>Nomi</v>
      </c>
      <c r="B9" s="352"/>
      <c r="C9" s="351" t="str">
        <f>' Акт мониторинга 1'!C9</f>
        <v>Kuzov turi  va kuzov raqami*</v>
      </c>
      <c r="D9" s="352"/>
      <c r="E9" s="351" t="str">
        <f>' Акт мониторинга 1'!E9</f>
        <v>Dvigatel va shassi raqami*</v>
      </c>
      <c r="F9" s="352"/>
      <c r="G9" s="351" t="str">
        <f>' Акт мониторинга 1'!G9</f>
        <v>Ishlab chiqarilgan yili va rangi**</v>
      </c>
      <c r="H9" s="352"/>
    </row>
    <row r="10" spans="1:9" s="153" customFormat="1" ht="58.5" customHeight="1" x14ac:dyDescent="0.2">
      <c r="A10" s="349" t="str">
        <f>' Акт мониторинга 1'!A10</f>
        <v>DAMAS-2</v>
      </c>
      <c r="B10" s="349"/>
      <c r="C10" s="349" t="str">
        <f>' Акт мониторинга 1'!C10</f>
        <v>kuzov turi - YENGIL SEDAN, kuzov raqami XWB7T12YDRP863654</v>
      </c>
      <c r="D10" s="349"/>
      <c r="E10" s="349" t="str">
        <f>' Акт мониторинга 1'!E10</f>
        <v xml:space="preserve">dvigatel raqami F8CB240180255, shassi raqami -  - </v>
      </c>
      <c r="F10" s="349"/>
      <c r="G10" s="349" t="str">
        <f>' Акт мониторинга 1'!G10</f>
        <v>rangi -  OQ SUMMIT WHITE, ishlab chiqarilgan yili - 2024</v>
      </c>
      <c r="H10" s="349"/>
    </row>
    <row r="11" spans="1:9" ht="19.5" customHeight="1" x14ac:dyDescent="0.2">
      <c r="A11" s="350" t="str">
        <f>'Акт согласования'!A22:E22</f>
        <v>-* avtotransport egasi: BOBONAZAROV ASLBEK AKRAM O'G'LI</v>
      </c>
      <c r="B11" s="350"/>
      <c r="C11" s="350"/>
      <c r="D11" s="350"/>
      <c r="E11" s="350"/>
      <c r="F11" s="350"/>
      <c r="G11" s="350"/>
      <c r="H11" s="350"/>
    </row>
    <row r="12" spans="1:9" ht="19.5" customHeight="1" x14ac:dyDescent="0.2">
      <c r="A12" s="350" t="str">
        <f>'Акт согласования'!A23:E23</f>
        <v>-* texnik pasport: AAG 5348590 25.12.2024y.</v>
      </c>
      <c r="B12" s="350"/>
      <c r="C12" s="350"/>
      <c r="D12" s="350"/>
      <c r="E12" s="350"/>
      <c r="F12" s="350"/>
      <c r="G12" s="350"/>
      <c r="H12" s="350"/>
    </row>
    <row r="13" spans="1:9" ht="19.5" customHeight="1" x14ac:dyDescent="0.2">
      <c r="A13" s="350" t="str">
        <f>'Акт согласования'!A24:E24</f>
        <v>-* roʻyxatdan oʻtgan manzili/garaj manzili: BUXORO VILOYATI QORAKO'L TUMANI ZARAFSHON MFY GULISTON 21 UY</v>
      </c>
      <c r="B13" s="350"/>
      <c r="C13" s="350"/>
      <c r="D13" s="350"/>
      <c r="E13" s="350"/>
      <c r="F13" s="350"/>
      <c r="G13" s="350"/>
      <c r="H13" s="350"/>
    </row>
    <row r="14" spans="1:9" ht="19.5" customHeight="1" x14ac:dyDescent="0.2">
      <c r="A14" s="350" t="str">
        <f>'Акт согласования'!A25:E25</f>
        <v>-* davlat raqami: 80X089BB</v>
      </c>
      <c r="B14" s="350"/>
      <c r="C14" s="350"/>
      <c r="D14" s="350"/>
      <c r="E14" s="350"/>
      <c r="F14" s="350"/>
      <c r="G14" s="350"/>
      <c r="H14" s="350"/>
    </row>
    <row r="15" spans="1:9" ht="33.75" customHeight="1" x14ac:dyDescent="0.2">
      <c r="A15" s="354" t="str">
        <f>+"Shu bilan birga, yuqoridagi mulkning kelishilgan garov qiymati "&amp;'Акт согласования'!E30</f>
        <v>Shu bilan birga, yuqoridagi mulkning kelishilgan garov qiymati 97 500 000,00 
(to'qson yetti million besh yuz ming so'm)</v>
      </c>
      <c r="B15" s="354"/>
      <c r="C15" s="354"/>
      <c r="D15" s="354"/>
      <c r="E15" s="354"/>
      <c r="F15" s="354"/>
      <c r="G15" s="354"/>
      <c r="H15" s="354"/>
    </row>
    <row r="17" spans="1:8" ht="35.25" customHeight="1" x14ac:dyDescent="0.2">
      <c r="A17" s="348" t="s">
        <v>277</v>
      </c>
      <c r="B17" s="348"/>
      <c r="C17" s="348"/>
      <c r="D17" s="348"/>
      <c r="E17" s="348"/>
      <c r="F17" s="348"/>
      <c r="G17" s="348"/>
      <c r="H17" s="348"/>
    </row>
    <row r="21" spans="1:8" s="32" customFormat="1" x14ac:dyDescent="0.2"/>
    <row r="22" spans="1:8" s="32" customFormat="1" x14ac:dyDescent="0.2">
      <c r="A22" s="32" t="str">
        <f>'Общие данные'!A154</f>
        <v>Qorako'l filiali boshlig'i</v>
      </c>
      <c r="H22" s="156" t="str">
        <f>'Общие данные'!B154</f>
        <v>Egamberdiyeva D.I.</v>
      </c>
    </row>
    <row r="23" spans="1:8" s="32" customFormat="1" ht="32.25" customHeight="1" x14ac:dyDescent="0.2">
      <c r="H23" s="156"/>
    </row>
    <row r="24" spans="1:8" s="32" customFormat="1" ht="16.5" customHeight="1" x14ac:dyDescent="0.2">
      <c r="A24" s="32" t="s">
        <v>278</v>
      </c>
      <c r="H24" s="32" t="str">
        <f>'Общие данные'!B164</f>
        <v>Jumanazarov B.T.</v>
      </c>
    </row>
    <row r="25" spans="1:8" s="32" customFormat="1" ht="60" customHeight="1" x14ac:dyDescent="0.2"/>
    <row r="26" spans="1:8" s="32" customFormat="1" x14ac:dyDescent="0.2">
      <c r="A26" s="32" t="s">
        <v>279</v>
      </c>
      <c r="H26" s="156" t="str">
        <f>'Общие данные'!B7</f>
        <v>ATAXANOV A.A.</v>
      </c>
    </row>
    <row r="27" spans="1:8" s="32" customFormat="1" x14ac:dyDescent="0.2"/>
    <row r="28" spans="1:8" s="32" customFormat="1" x14ac:dyDescent="0.2"/>
    <row r="29" spans="1:8" s="32" customFormat="1" x14ac:dyDescent="0.2"/>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5">
    <tabColor rgb="FF00B050"/>
  </sheetPr>
  <dimension ref="A1:I30"/>
  <sheetViews>
    <sheetView view="pageBreakPreview" zoomScaleNormal="100" zoomScaleSheetLayoutView="100" workbookViewId="0">
      <selection activeCell="A11" sqref="A11:H11"/>
    </sheetView>
  </sheetViews>
  <sheetFormatPr defaultColWidth="9.140625" defaultRowHeight="12.75" x14ac:dyDescent="0.2"/>
  <cols>
    <col min="1" max="2" width="11" style="25" customWidth="1"/>
    <col min="3" max="4" width="14.42578125" style="25" customWidth="1"/>
    <col min="5" max="6" width="13.5703125" style="25" customWidth="1"/>
    <col min="7" max="7" width="9.140625" style="25"/>
    <col min="8" max="8" width="19" style="25" bestFit="1" customWidth="1"/>
    <col min="9" max="9" width="9.140625" style="25" hidden="1" customWidth="1"/>
    <col min="10" max="10" width="9.140625" style="25" customWidth="1"/>
    <col min="11" max="11" width="0.5703125" style="25" customWidth="1"/>
    <col min="12" max="16384" width="9.140625" style="25"/>
  </cols>
  <sheetData>
    <row r="1" spans="1:9" x14ac:dyDescent="0.2">
      <c r="A1" s="32"/>
      <c r="B1" s="32"/>
      <c r="C1" s="32"/>
      <c r="D1" s="32"/>
      <c r="E1" s="32"/>
      <c r="F1" s="32"/>
      <c r="G1" s="32"/>
      <c r="H1" s="32"/>
      <c r="I1" s="32"/>
    </row>
    <row r="2" spans="1:9" x14ac:dyDescent="0.2">
      <c r="A2" s="353" t="str">
        <f>""&amp;" "&amp;'Общие данные'!B74&amp;"-sonli "&amp;" "&amp;'Общие данные'!C64&amp;" shartnomasi bo‘yicha
 garovga qo‘yilgan mol-mulkni tekshirish bo’yicha "&amp;'Общие данные'!B5&amp;" bilan tuzilgan dalolatnomasi"</f>
        <v xml:space="preserve"> 28 fevral 2025 y.dan №492-QRS-sonli  Mikroqarz shartnomasi bo‘yicha
 garovga qo‘yilgan mol-mulkni tekshirish bo’yicha ATAXANOV AKMAL AXMETDJANOVICH bilan tuzilgan dalolatnomasi</v>
      </c>
      <c r="B2" s="353"/>
      <c r="C2" s="353"/>
      <c r="D2" s="353"/>
      <c r="E2" s="353"/>
      <c r="F2" s="353"/>
      <c r="G2" s="353"/>
      <c r="H2" s="353"/>
      <c r="I2" s="32"/>
    </row>
    <row r="3" spans="1:9" x14ac:dyDescent="0.2">
      <c r="A3" s="353"/>
      <c r="B3" s="353"/>
      <c r="C3" s="353"/>
      <c r="D3" s="353"/>
      <c r="E3" s="353"/>
      <c r="F3" s="353"/>
      <c r="G3" s="353"/>
      <c r="H3" s="353"/>
      <c r="I3" s="32"/>
    </row>
    <row r="5" spans="1:9" x14ac:dyDescent="0.2">
      <c r="A5" s="25" t="s">
        <v>203</v>
      </c>
      <c r="F5" s="171"/>
      <c r="H5" s="154" t="str">
        <f>TEXT('Общие данные'!D2,"ДД.ММ.ГГГГ")</f>
        <v>27.08.2025</v>
      </c>
    </row>
    <row r="7" spans="1:9" ht="45" customHeight="1" x14ac:dyDescent="0.2">
      <c r="A7" s="355" t="str">
        <f>"      Men, “СLEVER MIKROMOLYA TASHKILOTI” "&amp;'Общие данные'!A154&amp;"i "&amp;'Общие данные'!B154&amp;", jismoniy shaxs "&amp;" "&amp;'Общие данные'!B5&amp;" "&amp;" "&amp;'Общие данные'!B74&amp;"-sonli "&amp;'Общие данные'!B65&amp;" shartnomasi bo‘yicha garovga qo‘yilgan mol-mulkni ko‘zdan kechirdim"</f>
        <v xml:space="preserve">      Men, “СLEVER MIKROMOLYA TASHKILOTI” Qorako'l filiali boshlig'ii Egamberdiyeva D.I., jismoniy shaxs  ATAXANOV AKMAL AXMETDJANOVICH  28 fevral 2025 y.dan №492-QRS-sonli mikroqarz shartnomasi bo‘yicha garovga qo‘yilgan mol-mulkni ko‘zdan kechirdim</v>
      </c>
      <c r="B7" s="355"/>
      <c r="C7" s="355"/>
      <c r="D7" s="355"/>
      <c r="E7" s="355"/>
      <c r="F7" s="355"/>
      <c r="G7" s="355"/>
      <c r="H7" s="355"/>
    </row>
    <row r="8" spans="1:9" ht="19.5" customHeight="1" x14ac:dyDescent="0.2">
      <c r="A8" s="356" t="s">
        <v>276</v>
      </c>
      <c r="B8" s="356"/>
      <c r="C8" s="356"/>
      <c r="D8" s="356"/>
      <c r="E8" s="356"/>
      <c r="F8" s="356"/>
      <c r="G8" s="356"/>
      <c r="H8" s="356"/>
    </row>
    <row r="9" spans="1:9" s="155" customFormat="1" ht="32.25" customHeight="1" x14ac:dyDescent="0.25">
      <c r="A9" s="351" t="str">
        <f>'Акт согласования'!A20</f>
        <v>Nomi</v>
      </c>
      <c r="B9" s="352"/>
      <c r="C9" s="351" t="str">
        <f>'Акт согласования'!B20</f>
        <v>Kuzov turi  va kuzov raqami*</v>
      </c>
      <c r="D9" s="352"/>
      <c r="E9" s="351" t="str">
        <f>'Акт согласования'!D20</f>
        <v>Dvigatel va shassi raqami*</v>
      </c>
      <c r="F9" s="352"/>
      <c r="G9" s="351" t="str">
        <f>'Акт согласования'!E20</f>
        <v>Ishlab chiqarilgan yili va rangi**</v>
      </c>
      <c r="H9" s="352"/>
    </row>
    <row r="10" spans="1:9" s="153" customFormat="1" ht="58.5" customHeight="1" x14ac:dyDescent="0.2">
      <c r="A10" s="349" t="str">
        <f>'Акт согласования'!A21</f>
        <v>DAMAS-2</v>
      </c>
      <c r="B10" s="349"/>
      <c r="C10" s="349" t="str">
        <f>'Акт согласования'!B21</f>
        <v>kuzov turi - YENGIL SEDAN, kuzov raqami XWB7T12YDRP863654</v>
      </c>
      <c r="D10" s="349"/>
      <c r="E10" s="349" t="str">
        <f>'Акт согласования'!D21</f>
        <v xml:space="preserve">dvigatel raqami F8CB240180255, shassi raqami -  - </v>
      </c>
      <c r="F10" s="349"/>
      <c r="G10" s="349" t="str">
        <f>'Акт согласования'!E21</f>
        <v>rangi -  OQ SUMMIT WHITE, ishlab chiqarilgan yili - 2024</v>
      </c>
      <c r="H10" s="349"/>
    </row>
    <row r="11" spans="1:9" ht="19.5" customHeight="1" x14ac:dyDescent="0.2">
      <c r="A11" s="350" t="str">
        <f>'Акт согласования'!A22:E22</f>
        <v>-* avtotransport egasi: BOBONAZAROV ASLBEK AKRAM O'G'LI</v>
      </c>
      <c r="B11" s="350"/>
      <c r="C11" s="350"/>
      <c r="D11" s="350"/>
      <c r="E11" s="350"/>
      <c r="F11" s="350"/>
      <c r="G11" s="350"/>
      <c r="H11" s="350"/>
    </row>
    <row r="12" spans="1:9" ht="19.5" customHeight="1" x14ac:dyDescent="0.2">
      <c r="A12" s="350" t="str">
        <f>'Акт согласования'!A23:E23</f>
        <v>-* texnik pasport: AAG 5348590 25.12.2024y.</v>
      </c>
      <c r="B12" s="350"/>
      <c r="C12" s="350"/>
      <c r="D12" s="350"/>
      <c r="E12" s="350"/>
      <c r="F12" s="350"/>
      <c r="G12" s="350"/>
      <c r="H12" s="350"/>
    </row>
    <row r="13" spans="1:9" ht="19.5" customHeight="1" x14ac:dyDescent="0.2">
      <c r="A13" s="350" t="str">
        <f>'Акт согласования'!A24:E24</f>
        <v>-* roʻyxatdan oʻtgan manzili/garaj manzili: BUXORO VILOYATI QORAKO'L TUMANI ZARAFSHON MFY GULISTON 21 UY</v>
      </c>
      <c r="B13" s="350"/>
      <c r="C13" s="350"/>
      <c r="D13" s="350"/>
      <c r="E13" s="350"/>
      <c r="F13" s="350"/>
      <c r="G13" s="350"/>
      <c r="H13" s="350"/>
    </row>
    <row r="14" spans="1:9" ht="19.5" customHeight="1" x14ac:dyDescent="0.2">
      <c r="A14" s="350" t="str">
        <f>'Акт согласования'!A25:E25</f>
        <v>-* davlat raqami: 80X089BB</v>
      </c>
      <c r="B14" s="350"/>
      <c r="C14" s="350"/>
      <c r="D14" s="350"/>
      <c r="E14" s="350"/>
      <c r="F14" s="350"/>
      <c r="G14" s="350"/>
      <c r="H14" s="350"/>
    </row>
    <row r="15" spans="1:9" ht="33.75" customHeight="1" x14ac:dyDescent="0.2">
      <c r="A15" s="354" t="str">
        <f>+"Shu bilan birga, yuqoridagi mulkning kelishilgan garov qiymati "&amp;'Акт согласования'!E30</f>
        <v>Shu bilan birga, yuqoridagi mulkning kelishilgan garov qiymati 97 500 000,00 
(to'qson yetti million besh yuz ming so'm)</v>
      </c>
      <c r="B15" s="354"/>
      <c r="C15" s="354"/>
      <c r="D15" s="354"/>
      <c r="E15" s="354"/>
      <c r="F15" s="354"/>
      <c r="G15" s="354"/>
      <c r="H15" s="354"/>
    </row>
    <row r="17" spans="1:8" ht="27" customHeight="1" x14ac:dyDescent="0.2">
      <c r="A17" s="348" t="s">
        <v>277</v>
      </c>
      <c r="B17" s="348"/>
      <c r="C17" s="348"/>
      <c r="D17" s="348"/>
      <c r="E17" s="348"/>
      <c r="F17" s="348"/>
      <c r="G17" s="348"/>
      <c r="H17" s="348"/>
    </row>
    <row r="21" spans="1:8" s="32" customFormat="1" x14ac:dyDescent="0.2"/>
    <row r="22" spans="1:8" s="32" customFormat="1" x14ac:dyDescent="0.2">
      <c r="A22" s="32" t="str">
        <f>'Общие данные'!A154</f>
        <v>Qorako'l filiali boshlig'i</v>
      </c>
      <c r="H22" s="156" t="str">
        <f>'Общие данные'!B154</f>
        <v>Egamberdiyeva D.I.</v>
      </c>
    </row>
    <row r="23" spans="1:8" s="32" customFormat="1" ht="32.25" customHeight="1" x14ac:dyDescent="0.2">
      <c r="H23" s="156"/>
    </row>
    <row r="24" spans="1:8" s="32" customFormat="1" ht="16.5" customHeight="1" x14ac:dyDescent="0.2">
      <c r="A24" s="32" t="s">
        <v>278</v>
      </c>
      <c r="H24" s="32" t="str">
        <f>'Общие данные'!B164</f>
        <v>Jumanazarov B.T.</v>
      </c>
    </row>
    <row r="25" spans="1:8" s="32" customFormat="1" ht="60" customHeight="1" x14ac:dyDescent="0.2"/>
    <row r="26" spans="1:8" s="32" customFormat="1" x14ac:dyDescent="0.2">
      <c r="A26" s="32" t="s">
        <v>279</v>
      </c>
      <c r="H26" s="156" t="str">
        <f>'Общие данные'!B7</f>
        <v>ATAXANOV A.A.</v>
      </c>
    </row>
    <row r="27" spans="1:8" s="32" customFormat="1" x14ac:dyDescent="0.2"/>
    <row r="28" spans="1:8" s="32" customFormat="1" x14ac:dyDescent="0.2"/>
    <row r="29" spans="1:8" s="32" customFormat="1" x14ac:dyDescent="0.2"/>
    <row r="30" spans="1:8" s="32" customFormat="1" x14ac:dyDescent="0.2"/>
  </sheetData>
  <mergeCells count="17">
    <mergeCell ref="A14:H14"/>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 ref="A13:H13"/>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zoomScaleNormal="100" zoomScaleSheetLayoutView="100" workbookViewId="0">
      <selection activeCell="A10" sqref="A10:B10"/>
    </sheetView>
  </sheetViews>
  <sheetFormatPr defaultColWidth="9.140625" defaultRowHeight="12.75" x14ac:dyDescent="0.2"/>
  <cols>
    <col min="1" max="2" width="11" style="25" customWidth="1"/>
    <col min="3" max="4" width="14.42578125" style="25" customWidth="1"/>
    <col min="5" max="6" width="13.5703125" style="25" customWidth="1"/>
    <col min="7" max="7" width="9.140625" style="25"/>
    <col min="8" max="8" width="19" style="25" bestFit="1" customWidth="1"/>
    <col min="9" max="16384" width="9.140625" style="25"/>
  </cols>
  <sheetData>
    <row r="1" spans="1:9" x14ac:dyDescent="0.2">
      <c r="A1" s="32"/>
      <c r="B1" s="32"/>
      <c r="C1" s="32"/>
      <c r="D1" s="32"/>
      <c r="E1" s="32"/>
      <c r="F1" s="32"/>
      <c r="G1" s="32"/>
      <c r="H1" s="32"/>
      <c r="I1" s="32"/>
    </row>
    <row r="2" spans="1:9" x14ac:dyDescent="0.2">
      <c r="A2" s="353" t="str">
        <f>""&amp;" "&amp;'Общие данные'!B74&amp;"-sonli "&amp;" "&amp;'Общие данные'!C64&amp;" shartnomasi bo‘yicha
 garovga qo‘yilgan mol-mulkni tekshirish bo’yicha "&amp;'Общие данные'!B5&amp;" bilan tuzilgan dalolatnomasi"</f>
        <v xml:space="preserve"> 28 fevral 2025 y.dan №492-QRS-sonli  Mikroqarz shartnomasi bo‘yicha
 garovga qo‘yilgan mol-mulkni tekshirish bo’yicha ATAXANOV AKMAL AXMETDJANOVICH bilan tuzilgan dalolatnomasi</v>
      </c>
      <c r="B2" s="353"/>
      <c r="C2" s="353"/>
      <c r="D2" s="353"/>
      <c r="E2" s="353"/>
      <c r="F2" s="353"/>
      <c r="G2" s="353"/>
      <c r="H2" s="353"/>
      <c r="I2" s="32"/>
    </row>
    <row r="3" spans="1:9" x14ac:dyDescent="0.2">
      <c r="A3" s="353"/>
      <c r="B3" s="353"/>
      <c r="C3" s="353"/>
      <c r="D3" s="353"/>
      <c r="E3" s="353"/>
      <c r="F3" s="353"/>
      <c r="G3" s="353"/>
      <c r="H3" s="353"/>
      <c r="I3" s="32"/>
    </row>
    <row r="5" spans="1:9" x14ac:dyDescent="0.2">
      <c r="A5" s="25" t="s">
        <v>203</v>
      </c>
      <c r="H5" s="154" t="str">
        <f>TEXT(+'Общие данные'!B2+540,"ДД.ММ.ГГГГ")</f>
        <v>22.08.2026</v>
      </c>
    </row>
    <row r="7" spans="1:9" ht="45" customHeight="1" x14ac:dyDescent="0.2">
      <c r="A7" s="355" t="str">
        <f>"      Men, "&amp;'Общие данные'!B151&amp;" "&amp;'Общие данные'!A154&amp;"i "&amp;'Общие данные'!B154&amp;", jismoniy shaxs "&amp;" "&amp;'Общие данные'!B5&amp;" "&amp;" "&amp;'Общие данные'!B74&amp;"-sonli "&amp;'Общие данные'!C64&amp;" shartnomasi bo‘yicha garovga qo‘yilgan mol-mulkni ko‘zdan kechirdim"</f>
        <v xml:space="preserve">      Men, «CLEVER MIKROMOLIYA TASHKILOTI» MChJ Qorako'l filiali boshlig'ii Egamberdiyeva D.I., jismoniy shaxs  ATAXANOV AKMAL AXMETDJANOVICH  28 fevral 2025 y.dan №492-QRS-sonli Mikroqarz shartnomasi bo‘yicha garovga qo‘yilgan mol-mulkni ko‘zdan kechirdim</v>
      </c>
      <c r="B7" s="355"/>
      <c r="C7" s="355"/>
      <c r="D7" s="355"/>
      <c r="E7" s="355"/>
      <c r="F7" s="355"/>
      <c r="G7" s="355"/>
      <c r="H7" s="355"/>
    </row>
    <row r="8" spans="1:9" ht="19.5" customHeight="1" x14ac:dyDescent="0.2">
      <c r="A8" s="356" t="s">
        <v>276</v>
      </c>
      <c r="B8" s="356"/>
      <c r="C8" s="356"/>
      <c r="D8" s="356"/>
      <c r="E8" s="356"/>
      <c r="F8" s="356"/>
      <c r="G8" s="356"/>
      <c r="H8" s="356"/>
    </row>
    <row r="9" spans="1:9" s="155" customFormat="1" ht="32.25" customHeight="1" x14ac:dyDescent="0.25">
      <c r="A9" s="351" t="str">
        <f>' Акт мониторинга 1'!A9</f>
        <v>Nomi</v>
      </c>
      <c r="B9" s="352"/>
      <c r="C9" s="351" t="str">
        <f>' Акт мониторинга 1'!C9</f>
        <v>Kuzov turi  va kuzov raqami*</v>
      </c>
      <c r="D9" s="352"/>
      <c r="E9" s="351" t="str">
        <f>' Акт мониторинга 1'!E9</f>
        <v>Dvigatel va shassi raqami*</v>
      </c>
      <c r="F9" s="352"/>
      <c r="G9" s="351" t="str">
        <f>' Акт мониторинга 1'!G9</f>
        <v>Ishlab chiqarilgan yili va rangi**</v>
      </c>
      <c r="H9" s="352"/>
    </row>
    <row r="10" spans="1:9" s="153" customFormat="1" ht="58.5" customHeight="1" x14ac:dyDescent="0.2">
      <c r="A10" s="357" t="str">
        <f>' Акт мониторинга 1'!A10</f>
        <v>DAMAS-2</v>
      </c>
      <c r="B10" s="358"/>
      <c r="C10" s="357" t="str">
        <f>' Акт мониторинга 1'!C10</f>
        <v>kuzov turi - YENGIL SEDAN, kuzov raqami XWB7T12YDRP863654</v>
      </c>
      <c r="D10" s="358"/>
      <c r="E10" s="357" t="str">
        <f>' Акт мониторинга 1'!E10</f>
        <v xml:space="preserve">dvigatel raqami F8CB240180255, shassi raqami -  - </v>
      </c>
      <c r="F10" s="358"/>
      <c r="G10" s="357" t="str">
        <f>' Акт мониторинга 1'!G10</f>
        <v>rangi -  OQ SUMMIT WHITE, ishlab chiqarilgan yili - 2024</v>
      </c>
      <c r="H10" s="358"/>
    </row>
    <row r="11" spans="1:9" ht="19.5" customHeight="1" x14ac:dyDescent="0.2">
      <c r="A11" s="350" t="str">
        <f>'Акт согласования'!A22:E22</f>
        <v>-* avtotransport egasi: BOBONAZAROV ASLBEK AKRAM O'G'LI</v>
      </c>
      <c r="B11" s="350"/>
      <c r="C11" s="350"/>
      <c r="D11" s="350"/>
      <c r="E11" s="350"/>
      <c r="F11" s="350"/>
      <c r="G11" s="350"/>
      <c r="H11" s="350"/>
    </row>
    <row r="12" spans="1:9" ht="19.5" customHeight="1" x14ac:dyDescent="0.2">
      <c r="A12" s="350" t="str">
        <f>'Акт согласования'!A23:E23</f>
        <v>-* texnik pasport: AAG 5348590 25.12.2024y.</v>
      </c>
      <c r="B12" s="350"/>
      <c r="C12" s="350"/>
      <c r="D12" s="350"/>
      <c r="E12" s="350"/>
      <c r="F12" s="350"/>
      <c r="G12" s="350"/>
      <c r="H12" s="350"/>
    </row>
    <row r="13" spans="1:9" ht="19.5" customHeight="1" x14ac:dyDescent="0.2">
      <c r="A13" s="350" t="str">
        <f>'Акт согласования'!A24:E24</f>
        <v>-* roʻyxatdan oʻtgan manzili/garaj manzili: BUXORO VILOYATI QORAKO'L TUMANI ZARAFSHON MFY GULISTON 21 UY</v>
      </c>
      <c r="B13" s="350"/>
      <c r="C13" s="350"/>
      <c r="D13" s="350"/>
      <c r="E13" s="350"/>
      <c r="F13" s="350"/>
      <c r="G13" s="350"/>
      <c r="H13" s="350"/>
    </row>
    <row r="14" spans="1:9" ht="19.5" customHeight="1" x14ac:dyDescent="0.2">
      <c r="A14" s="350" t="str">
        <f>'Акт согласования'!A25:E25</f>
        <v>-* davlat raqami: 80X089BB</v>
      </c>
      <c r="B14" s="350"/>
      <c r="C14" s="350"/>
      <c r="D14" s="350"/>
      <c r="E14" s="350"/>
      <c r="F14" s="350"/>
      <c r="G14" s="350"/>
      <c r="H14" s="350"/>
    </row>
    <row r="15" spans="1:9" ht="33.75" customHeight="1" x14ac:dyDescent="0.2">
      <c r="A15" s="354" t="str">
        <f>+"Shu bilan birga, yuqoridagi mulkning kelishilgan garov qiymati "&amp;'Акт согласования'!E30</f>
        <v>Shu bilan birga, yuqoridagi mulkning kelishilgan garov qiymati 97 500 000,00 
(to'qson yetti million besh yuz ming so'm)</v>
      </c>
      <c r="B15" s="354"/>
      <c r="C15" s="354"/>
      <c r="D15" s="354"/>
      <c r="E15" s="354"/>
      <c r="F15" s="354"/>
      <c r="G15" s="354"/>
      <c r="H15" s="354"/>
    </row>
    <row r="17" spans="1:8" s="153" customFormat="1" ht="32.25" customHeight="1" x14ac:dyDescent="0.2">
      <c r="A17" s="348" t="s">
        <v>277</v>
      </c>
      <c r="B17" s="348"/>
      <c r="C17" s="348"/>
      <c r="D17" s="348"/>
      <c r="E17" s="348"/>
      <c r="F17" s="348"/>
      <c r="G17" s="348"/>
      <c r="H17" s="348"/>
    </row>
    <row r="21" spans="1:8" s="32" customFormat="1" x14ac:dyDescent="0.2"/>
    <row r="22" spans="1:8" s="32" customFormat="1" x14ac:dyDescent="0.2">
      <c r="A22" s="32" t="str">
        <f>'Общие данные'!A154</f>
        <v>Qorako'l filiali boshlig'i</v>
      </c>
      <c r="H22" s="156" t="str">
        <f>'Общие данные'!B154</f>
        <v>Egamberdiyeva D.I.</v>
      </c>
    </row>
    <row r="23" spans="1:8" s="32" customFormat="1" ht="32.25" customHeight="1" x14ac:dyDescent="0.2">
      <c r="H23" s="156"/>
    </row>
    <row r="24" spans="1:8" s="32" customFormat="1" ht="16.5" customHeight="1" x14ac:dyDescent="0.2">
      <c r="A24" s="32" t="s">
        <v>278</v>
      </c>
      <c r="H24" s="32" t="str">
        <f>'Общие данные'!B164</f>
        <v>Jumanazarov B.T.</v>
      </c>
    </row>
    <row r="25" spans="1:8" s="32" customFormat="1" ht="60" customHeight="1" x14ac:dyDescent="0.2"/>
    <row r="26" spans="1:8" s="32" customFormat="1" x14ac:dyDescent="0.2">
      <c r="A26" s="32" t="s">
        <v>279</v>
      </c>
      <c r="H26" s="156" t="str">
        <f>'Общие данные'!B7</f>
        <v>ATAXANOV A.A.</v>
      </c>
    </row>
    <row r="27" spans="1:8" s="32" customFormat="1" x14ac:dyDescent="0.2"/>
    <row r="28" spans="1:8" s="32" customFormat="1" x14ac:dyDescent="0.2"/>
    <row r="29" spans="1:8" s="32" customFormat="1" x14ac:dyDescent="0.2"/>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6" zoomScaleNormal="100" zoomScaleSheetLayoutView="100" workbookViewId="0">
      <selection activeCell="G22" sqref="G22"/>
    </sheetView>
  </sheetViews>
  <sheetFormatPr defaultColWidth="9.140625" defaultRowHeight="12.75" x14ac:dyDescent="0.2"/>
  <cols>
    <col min="1" max="2" width="11" style="25" customWidth="1"/>
    <col min="3" max="4" width="14.42578125" style="25" customWidth="1"/>
    <col min="5" max="6" width="13.5703125" style="25" customWidth="1"/>
    <col min="7" max="7" width="9.140625" style="25"/>
    <col min="8" max="8" width="19" style="25" bestFit="1" customWidth="1"/>
    <col min="9" max="16384" width="9.140625" style="25"/>
  </cols>
  <sheetData>
    <row r="1" spans="1:9" x14ac:dyDescent="0.2">
      <c r="A1" s="32"/>
      <c r="B1" s="32"/>
      <c r="C1" s="32"/>
      <c r="D1" s="32"/>
      <c r="E1" s="32"/>
      <c r="F1" s="32"/>
      <c r="G1" s="32"/>
      <c r="H1" s="32"/>
      <c r="I1" s="32"/>
    </row>
    <row r="2" spans="1:9" x14ac:dyDescent="0.2">
      <c r="A2" s="353" t="str">
        <f>""&amp;" "&amp;'Общие данные'!B74&amp;"-sonli "&amp;" "&amp;'Общие данные'!C64&amp;" shartnomasi bo‘yicha
 garovga qo‘yilgan mol-mulkni tekshirish bo’yicha "&amp;'Общие данные'!B5&amp;" bilan tuzilgan dalolatnomasi"</f>
        <v xml:space="preserve"> 28 fevral 2025 y.dan №492-QRS-sonli  Mikroqarz shartnomasi bo‘yicha
 garovga qo‘yilgan mol-mulkni tekshirish bo’yicha ATAXANOV AKMAL AXMETDJANOVICH bilan tuzilgan dalolatnomasi</v>
      </c>
      <c r="B2" s="353"/>
      <c r="C2" s="353"/>
      <c r="D2" s="353"/>
      <c r="E2" s="353"/>
      <c r="F2" s="353"/>
      <c r="G2" s="353"/>
      <c r="H2" s="353"/>
      <c r="I2" s="32"/>
    </row>
    <row r="3" spans="1:9" x14ac:dyDescent="0.2">
      <c r="A3" s="353"/>
      <c r="B3" s="353"/>
      <c r="C3" s="353"/>
      <c r="D3" s="353"/>
      <c r="E3" s="353"/>
      <c r="F3" s="353"/>
      <c r="G3" s="353"/>
      <c r="H3" s="353"/>
      <c r="I3" s="32"/>
    </row>
    <row r="5" spans="1:9" x14ac:dyDescent="0.2">
      <c r="A5" s="25" t="s">
        <v>203</v>
      </c>
      <c r="H5" s="154" t="str">
        <f>TEXT(+'Общие данные'!B2+720,"ДД.ММ.ГГГГ")</f>
        <v>18.02.2027</v>
      </c>
    </row>
    <row r="7" spans="1:9" ht="45" customHeight="1" x14ac:dyDescent="0.2">
      <c r="A7" s="355" t="str">
        <f>"      Men, "&amp;'Общие данные'!B151&amp;" "&amp;'Общие данные'!A154&amp;"i "&amp;'Общие данные'!B154&amp;", jismoniy shaxs "&amp;" "&amp;'Общие данные'!B5&amp;" "&amp;" "&amp;'Общие данные'!B74&amp;"-sonli "&amp;'Общие данные'!C64&amp;" shartnomasi bo‘yicha garovga qo‘yilgan mol-mulkni ko‘zdan kechirdim"</f>
        <v xml:space="preserve">      Men, «CLEVER MIKROMOLIYA TASHKILOTI» MChJ Qorako'l filiali boshlig'ii Egamberdiyeva D.I., jismoniy shaxs  ATAXANOV AKMAL AXMETDJANOVICH  28 fevral 2025 y.dan №492-QRS-sonli Mikroqarz shartnomasi bo‘yicha garovga qo‘yilgan mol-mulkni ko‘zdan kechirdim</v>
      </c>
      <c r="B7" s="355"/>
      <c r="C7" s="355"/>
      <c r="D7" s="355"/>
      <c r="E7" s="355"/>
      <c r="F7" s="355"/>
      <c r="G7" s="355"/>
      <c r="H7" s="355"/>
    </row>
    <row r="8" spans="1:9" ht="19.5" customHeight="1" x14ac:dyDescent="0.2">
      <c r="A8" s="356" t="s">
        <v>276</v>
      </c>
      <c r="B8" s="356"/>
      <c r="C8" s="356"/>
      <c r="D8" s="356"/>
      <c r="E8" s="356"/>
      <c r="F8" s="356"/>
      <c r="G8" s="356"/>
      <c r="H8" s="356"/>
    </row>
    <row r="9" spans="1:9" s="155" customFormat="1" ht="32.25" customHeight="1" x14ac:dyDescent="0.25">
      <c r="A9" s="351" t="str">
        <f>' Акт мониторинга 1'!A9</f>
        <v>Nomi</v>
      </c>
      <c r="B9" s="352"/>
      <c r="C9" s="351" t="str">
        <f>' Акт мониторинга 1'!C9</f>
        <v>Kuzov turi  va kuzov raqami*</v>
      </c>
      <c r="D9" s="352"/>
      <c r="E9" s="351" t="str">
        <f>' Акт мониторинга 1'!E9</f>
        <v>Dvigatel va shassi raqami*</v>
      </c>
      <c r="F9" s="352"/>
      <c r="G9" s="351" t="str">
        <f>' Акт мониторинга 1'!G9</f>
        <v>Ishlab chiqarilgan yili va rangi**</v>
      </c>
      <c r="H9" s="352"/>
    </row>
    <row r="10" spans="1:9" s="153" customFormat="1" ht="58.5" customHeight="1" x14ac:dyDescent="0.2">
      <c r="A10" s="349" t="str">
        <f>' Акт мониторинга 1'!A10</f>
        <v>DAMAS-2</v>
      </c>
      <c r="B10" s="349"/>
      <c r="C10" s="349" t="str">
        <f>' Акт мониторинга 1'!C10</f>
        <v>kuzov turi - YENGIL SEDAN, kuzov raqami XWB7T12YDRP863654</v>
      </c>
      <c r="D10" s="349"/>
      <c r="E10" s="349" t="str">
        <f>' Акт мониторинга 1'!E10</f>
        <v xml:space="preserve">dvigatel raqami F8CB240180255, shassi raqami -  - </v>
      </c>
      <c r="F10" s="349"/>
      <c r="G10" s="349" t="str">
        <f>' Акт мониторинга 1'!G10</f>
        <v>rangi -  OQ SUMMIT WHITE, ishlab chiqarilgan yili - 2024</v>
      </c>
      <c r="H10" s="349"/>
    </row>
    <row r="11" spans="1:9" ht="19.5" customHeight="1" x14ac:dyDescent="0.2">
      <c r="A11" s="350" t="str">
        <f>'Акт согласования'!A22:E22</f>
        <v>-* avtotransport egasi: BOBONAZAROV ASLBEK AKRAM O'G'LI</v>
      </c>
      <c r="B11" s="350"/>
      <c r="C11" s="350"/>
      <c r="D11" s="350"/>
      <c r="E11" s="350"/>
      <c r="F11" s="350"/>
      <c r="G11" s="350"/>
      <c r="H11" s="350"/>
    </row>
    <row r="12" spans="1:9" ht="19.5" customHeight="1" x14ac:dyDescent="0.2">
      <c r="A12" s="350" t="str">
        <f>'Акт согласования'!A23:E23</f>
        <v>-* texnik pasport: AAG 5348590 25.12.2024y.</v>
      </c>
      <c r="B12" s="350"/>
      <c r="C12" s="350"/>
      <c r="D12" s="350"/>
      <c r="E12" s="350"/>
      <c r="F12" s="350"/>
      <c r="G12" s="350"/>
      <c r="H12" s="350"/>
    </row>
    <row r="13" spans="1:9" ht="19.5" customHeight="1" x14ac:dyDescent="0.2">
      <c r="A13" s="350" t="str">
        <f>'Акт согласования'!A24:E24</f>
        <v>-* roʻyxatdan oʻtgan manzili/garaj manzili: BUXORO VILOYATI QORAKO'L TUMANI ZARAFSHON MFY GULISTON 21 UY</v>
      </c>
      <c r="B13" s="350"/>
      <c r="C13" s="350"/>
      <c r="D13" s="350"/>
      <c r="E13" s="350"/>
      <c r="F13" s="350"/>
      <c r="G13" s="350"/>
      <c r="H13" s="350"/>
    </row>
    <row r="14" spans="1:9" ht="19.5" customHeight="1" x14ac:dyDescent="0.2">
      <c r="A14" s="350" t="str">
        <f>'Акт согласования'!A25:E25</f>
        <v>-* davlat raqami: 80X089BB</v>
      </c>
      <c r="B14" s="350"/>
      <c r="C14" s="350"/>
      <c r="D14" s="350"/>
      <c r="E14" s="350"/>
      <c r="F14" s="350"/>
      <c r="G14" s="350"/>
      <c r="H14" s="350"/>
    </row>
    <row r="15" spans="1:9" ht="33.75" customHeight="1" x14ac:dyDescent="0.2">
      <c r="A15" s="354" t="str">
        <f>+"Shu bilan birga, yuqoridagi mulkning kelishilgan garov qiymati "&amp;'Акт согласования'!E30</f>
        <v>Shu bilan birga, yuqoridagi mulkning kelishilgan garov qiymati 97 500 000,00 
(to'qson yetti million besh yuz ming so'm)</v>
      </c>
      <c r="B15" s="354"/>
      <c r="C15" s="354"/>
      <c r="D15" s="354"/>
      <c r="E15" s="354"/>
      <c r="F15" s="354"/>
      <c r="G15" s="354"/>
      <c r="H15" s="354"/>
    </row>
    <row r="17" spans="1:8" ht="28.5" customHeight="1" x14ac:dyDescent="0.2">
      <c r="A17" s="348" t="s">
        <v>277</v>
      </c>
      <c r="B17" s="348"/>
      <c r="C17" s="348"/>
      <c r="D17" s="348"/>
      <c r="E17" s="348"/>
      <c r="F17" s="348"/>
      <c r="G17" s="348"/>
      <c r="H17" s="348"/>
    </row>
    <row r="21" spans="1:8" s="32" customFormat="1" x14ac:dyDescent="0.2"/>
    <row r="22" spans="1:8" s="32" customFormat="1" x14ac:dyDescent="0.2">
      <c r="A22" s="32" t="str">
        <f>'Общие данные'!A154</f>
        <v>Qorako'l filiali boshlig'i</v>
      </c>
      <c r="H22" s="156" t="str">
        <f>'Общие данные'!B154</f>
        <v>Egamberdiyeva D.I.</v>
      </c>
    </row>
    <row r="23" spans="1:8" s="32" customFormat="1" ht="32.25" customHeight="1" x14ac:dyDescent="0.2">
      <c r="H23" s="156"/>
    </row>
    <row r="24" spans="1:8" s="32" customFormat="1" ht="16.5" customHeight="1" x14ac:dyDescent="0.2">
      <c r="A24" s="32" t="s">
        <v>278</v>
      </c>
      <c r="H24" s="32" t="str">
        <f>'Общие данные'!B164</f>
        <v>Jumanazarov B.T.</v>
      </c>
    </row>
    <row r="25" spans="1:8" s="32" customFormat="1" ht="60" customHeight="1" x14ac:dyDescent="0.2"/>
    <row r="26" spans="1:8" s="32" customFormat="1" x14ac:dyDescent="0.2">
      <c r="A26" s="32" t="s">
        <v>279</v>
      </c>
      <c r="H26" s="156" t="str">
        <f>'Общие данные'!B7</f>
        <v>ATAXANOV A.A.</v>
      </c>
    </row>
    <row r="27" spans="1:8" s="32" customFormat="1" x14ac:dyDescent="0.2"/>
    <row r="28" spans="1:8" s="32" customFormat="1" x14ac:dyDescent="0.2"/>
    <row r="29" spans="1:8" s="32" customFormat="1" x14ac:dyDescent="0.2"/>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9</vt:i4>
      </vt:variant>
    </vt:vector>
  </HeadingPairs>
  <TitlesOfParts>
    <vt:vector size="30" baseType="lpstr">
      <vt:lpstr>Протокол  (2)</vt:lpstr>
      <vt:lpstr>График дифференц</vt:lpstr>
      <vt:lpstr>Данные для послед. Залога</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договор</vt:lpstr>
      <vt:lpstr>График</vt:lpstr>
      <vt:lpstr>заявление залогодателя</vt:lpstr>
      <vt:lpstr>Акт согласования</vt:lpstr>
      <vt:lpstr>Приказ на сделку</vt:lpstr>
      <vt:lpstr>обложка</vt:lpstr>
      <vt:lpstr>Письмо</vt:lpstr>
      <vt:lpstr> Акт мониторинга 2</vt:lpstr>
      <vt:lpstr> Акт мониторинга 1</vt:lpstr>
      <vt:lpstr> Акт мониторинга 3</vt:lpstr>
      <vt:lpstr> Акт мониторинга 4</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'заявление залогодателя'!Область_печати</vt:lpstr>
      <vt:lpstr>'Кредитная заявка'!Область_печати</vt:lpstr>
      <vt:lpstr>обложка!Область_печати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r.saipova</dc:creator>
  <cp:lastModifiedBy>Admin</cp:lastModifiedBy>
  <cp:lastPrinted>2025-02-05T10:01:57Z</cp:lastPrinted>
  <dcterms:created xsi:type="dcterms:W3CDTF">2015-06-05T18:19:34Z</dcterms:created>
  <dcterms:modified xsi:type="dcterms:W3CDTF">2025-03-05T10:18:17Z</dcterms:modified>
</cp:coreProperties>
</file>