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doc_templates\mikrokredit\"/>
    </mc:Choice>
  </mc:AlternateContent>
  <xr:revisionPtr revIDLastSave="0" documentId="13_ncr:1_{3AC6C10E-685B-4058-9222-88E34DDB5E5A}" xr6:coauthVersionLast="47" xr6:coauthVersionMax="47" xr10:uidLastSave="{00000000-0000-0000-0000-000000000000}"/>
  <bookViews>
    <workbookView xWindow="-120" yWindow="-120" windowWidth="29040" windowHeight="15840" tabRatio="915" activeTab="14"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согласования'!$A$1:$E$81</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договор!$A$1:$B$128</definedName>
    <definedName name="_xlnm.Print_Area" localSheetId="12">'заявление залогодателя'!$A$3:$B$21</definedName>
    <definedName name="_xlnm.Print_Area" localSheetId="7">'Кредитная заявка'!$A$1:$D$40</definedName>
    <definedName name="_xlnm.Print_Area" localSheetId="15">обложка!$A$1:$G$42</definedName>
    <definedName name="_xlnm.Print_Area" localSheetId="0">'Протокол  (2)'!$A$1:$E$56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8" l="1"/>
  <c r="A19" i="13"/>
  <c r="B82" i="1"/>
  <c r="B76" i="1" l="1"/>
  <c r="B122" i="1"/>
  <c r="B119" i="1" l="1"/>
  <c r="B120" i="1"/>
  <c r="A31" i="12" l="1"/>
  <c r="A32" i="12" s="1"/>
  <c r="A33" i="12" s="1"/>
  <c r="A31" i="15"/>
  <c r="A32" i="15" s="1"/>
  <c r="B65" i="1"/>
  <c r="A10" i="16"/>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34" i="12" l="1"/>
  <c r="A33" i="15"/>
  <c r="H24" i="29"/>
  <c r="H24" i="28"/>
  <c r="H24" i="27"/>
  <c r="A22" i="26"/>
  <c r="H24" i="26"/>
  <c r="B7" i="13"/>
  <c r="B126" i="19"/>
  <c r="E69" i="3"/>
  <c r="A69" i="3"/>
  <c r="A77" i="3"/>
  <c r="A75" i="3"/>
  <c r="A71" i="3"/>
  <c r="A66" i="3"/>
  <c r="A55" i="3"/>
  <c r="A1" i="3"/>
  <c r="C1" i="2"/>
  <c r="D17" i="23"/>
  <c r="E17" i="23" s="1"/>
  <c r="A1" i="23"/>
  <c r="A56" i="23"/>
  <c r="A55" i="23"/>
  <c r="D58" i="16"/>
  <c r="A35" i="12" l="1"/>
  <c r="A34" i="15"/>
  <c r="A110" i="1"/>
  <c r="A109" i="1"/>
  <c r="A108" i="1"/>
  <c r="A107" i="1"/>
  <c r="B19" i="1"/>
  <c r="H9" i="23"/>
  <c r="A57" i="16"/>
  <c r="A18" i="23" l="1"/>
  <c r="A7" i="23"/>
  <c r="A36" i="12"/>
  <c r="A35" i="15"/>
  <c r="B49" i="1"/>
  <c r="B59" i="1" s="1"/>
  <c r="A37" i="12" l="1"/>
  <c r="A36" i="15"/>
  <c r="A16" i="4"/>
  <c r="A17" i="4"/>
  <c r="A7" i="24"/>
  <c r="B47" i="1"/>
  <c r="B27" i="1"/>
  <c r="B34" i="1"/>
  <c r="B116" i="1"/>
  <c r="B114" i="1"/>
  <c r="B113" i="1"/>
  <c r="B112" i="1"/>
  <c r="B111" i="1"/>
  <c r="B45" i="1" l="1"/>
  <c r="B58" i="1"/>
  <c r="D80" i="7"/>
  <c r="B118" i="1"/>
  <c r="B8" i="13"/>
  <c r="B117" i="1"/>
  <c r="A38" i="12"/>
  <c r="A37" i="15"/>
  <c r="D77" i="7"/>
  <c r="A39" i="12" l="1"/>
  <c r="A38" i="15"/>
  <c r="A70" i="7"/>
  <c r="A69" i="7"/>
  <c r="B6" i="13"/>
  <c r="D2" i="2"/>
  <c r="C76" i="1"/>
  <c r="A40" i="12" l="1"/>
  <c r="A39" i="15"/>
  <c r="A31" i="4"/>
  <c r="A30" i="2"/>
  <c r="H77" i="19"/>
  <c r="A77" i="19" s="1"/>
  <c r="H21" i="19"/>
  <c r="A72" i="19"/>
  <c r="H68" i="19"/>
  <c r="A68" i="19" s="1"/>
  <c r="A55" i="19"/>
  <c r="A5" i="23"/>
  <c r="A15" i="19"/>
  <c r="A12" i="19"/>
  <c r="A33" i="19"/>
  <c r="B32" i="19" s="1"/>
  <c r="A31" i="19" s="1"/>
  <c r="A87" i="1"/>
  <c r="A10" i="3"/>
  <c r="A17" i="2"/>
  <c r="A18" i="2"/>
  <c r="A9" i="19"/>
  <c r="A19" i="19"/>
  <c r="A46" i="19"/>
  <c r="A70" i="19"/>
  <c r="A95" i="19"/>
  <c r="C64" i="1"/>
  <c r="A47" i="16" s="1"/>
  <c r="C21" i="19"/>
  <c r="A51" i="19"/>
  <c r="A62" i="19"/>
  <c r="A73" i="19"/>
  <c r="C39" i="19"/>
  <c r="A39" i="19" s="1"/>
  <c r="A65" i="19"/>
  <c r="C74" i="19"/>
  <c r="A74" i="19" s="1"/>
  <c r="H17" i="19"/>
  <c r="A17" i="19" s="1"/>
  <c r="I21" i="19"/>
  <c r="A42" i="19"/>
  <c r="A59" i="19"/>
  <c r="A91" i="19"/>
  <c r="A20" i="19"/>
  <c r="C54" i="19"/>
  <c r="A54" i="19" s="1"/>
  <c r="A60" i="19"/>
  <c r="A67" i="19"/>
  <c r="A20" i="23"/>
  <c r="A51" i="23"/>
  <c r="D64" i="1"/>
  <c r="A22" i="19" s="1"/>
  <c r="A1" i="1"/>
  <c r="A79" i="1"/>
  <c r="A85" i="1"/>
  <c r="A2" i="1"/>
  <c r="A81" i="1"/>
  <c r="A86" i="1"/>
  <c r="A75" i="1"/>
  <c r="A82" i="1"/>
  <c r="A89" i="1"/>
  <c r="A78" i="1"/>
  <c r="A84" i="1"/>
  <c r="A41" i="12" l="1"/>
  <c r="A40" i="15"/>
  <c r="A13" i="2"/>
  <c r="A16" i="2"/>
  <c r="A21" i="2"/>
  <c r="A14" i="23"/>
  <c r="A4" i="2"/>
  <c r="B26" i="9"/>
  <c r="A22" i="23"/>
  <c r="A14" i="19"/>
  <c r="A15" i="2"/>
  <c r="A24" i="23"/>
  <c r="A21" i="23"/>
  <c r="A40" i="19"/>
  <c r="A23" i="23"/>
  <c r="B25" i="9"/>
  <c r="A21" i="19"/>
  <c r="A13" i="19"/>
  <c r="A14" i="2"/>
  <c r="A26" i="3"/>
  <c r="A61" i="19"/>
  <c r="A23" i="19"/>
  <c r="A11" i="19"/>
  <c r="A42" i="12" l="1"/>
  <c r="A41" i="15"/>
  <c r="H7" i="23"/>
  <c r="A2" i="23" s="1"/>
  <c r="A43" i="12" l="1"/>
  <c r="A42" i="15"/>
  <c r="A47" i="8"/>
  <c r="A80" i="7"/>
  <c r="A79" i="7"/>
  <c r="A43" i="15" l="1"/>
  <c r="A120" i="19"/>
  <c r="A53" i="16" s="1"/>
  <c r="A30" i="4"/>
  <c r="B122" i="19"/>
  <c r="D55" i="16" s="1"/>
  <c r="A15" i="4"/>
  <c r="A14" i="4"/>
  <c r="A13" i="4"/>
  <c r="A7" i="3"/>
  <c r="C8" i="15"/>
  <c r="J12" i="15"/>
  <c r="A10" i="4" l="1"/>
  <c r="A9" i="4" s="1"/>
  <c r="D59" i="16"/>
  <c r="B124" i="19"/>
  <c r="D57" i="16" s="1"/>
  <c r="B123" i="19"/>
  <c r="D56" i="16" s="1"/>
  <c r="B119" i="19"/>
  <c r="D52" i="16" s="1"/>
  <c r="B117" i="19"/>
  <c r="D51" i="16" s="1"/>
  <c r="A123" i="19" l="1"/>
  <c r="A56" i="16" s="1"/>
  <c r="A122" i="19"/>
  <c r="A55" i="16" s="1"/>
  <c r="A121" i="19"/>
  <c r="A54" i="16" s="1"/>
  <c r="A119" i="19"/>
  <c r="A52" i="16" s="1"/>
  <c r="E25" i="8" l="1"/>
  <c r="B24" i="9"/>
  <c r="B2" i="9"/>
  <c r="A22" i="29"/>
  <c r="A22" i="28"/>
  <c r="H5" i="29"/>
  <c r="H5" i="28"/>
  <c r="H5" i="27"/>
  <c r="A22" i="27"/>
  <c r="H22" i="26"/>
  <c r="D2" i="1"/>
  <c r="H5" i="26" s="1"/>
  <c r="A24" i="13"/>
  <c r="A22" i="13"/>
  <c r="A34" i="2"/>
  <c r="A29" i="4"/>
  <c r="A28" i="4"/>
  <c r="A20" i="4"/>
  <c r="A7" i="4"/>
  <c r="A11" i="24"/>
  <c r="A42" i="7"/>
  <c r="A41" i="7"/>
  <c r="A40" i="7"/>
  <c r="A25" i="7"/>
  <c r="A23" i="7"/>
  <c r="A14" i="7"/>
  <c r="A13" i="7"/>
  <c r="A2" i="7"/>
  <c r="A53" i="3"/>
  <c r="A52" i="3"/>
  <c r="A51" i="3"/>
  <c r="A35" i="3"/>
  <c r="A33" i="3"/>
  <c r="A31" i="3"/>
  <c r="A8" i="3"/>
  <c r="A5" i="3"/>
  <c r="A4" i="3"/>
  <c r="A11" i="8"/>
  <c r="A10" i="8"/>
  <c r="A9" i="8"/>
  <c r="A12" i="2"/>
  <c r="A11" i="2"/>
  <c r="A7" i="2"/>
  <c r="B164" i="1"/>
  <c r="I126" i="1"/>
  <c r="H126" i="1"/>
  <c r="I125" i="1"/>
  <c r="F125" i="1" s="1"/>
  <c r="H125" i="1"/>
  <c r="C125" i="1"/>
  <c r="C126" i="1" s="1"/>
  <c r="A16" i="7" s="1"/>
  <c r="C122" i="1"/>
  <c r="C121" i="1"/>
  <c r="C120" i="1"/>
  <c r="C119" i="1"/>
  <c r="C118" i="1"/>
  <c r="D79" i="7" s="1"/>
  <c r="C117" i="1"/>
  <c r="B9" i="1"/>
  <c r="B11" i="1" s="1"/>
  <c r="B13" i="1" s="1"/>
  <c r="B8" i="1"/>
  <c r="B136" i="1"/>
  <c r="B137" i="1" s="1"/>
  <c r="B133" i="1"/>
  <c r="B130" i="1"/>
  <c r="A24" i="7"/>
  <c r="C137" i="1" l="1"/>
  <c r="B138" i="1"/>
  <c r="A17" i="8"/>
  <c r="A6" i="2"/>
  <c r="E48" i="7"/>
  <c r="A66" i="7"/>
  <c r="A15" i="7"/>
  <c r="A19" i="7" s="1"/>
  <c r="A24" i="2"/>
  <c r="E125" i="1"/>
  <c r="A34" i="3"/>
  <c r="A27" i="3"/>
  <c r="A29" i="3" s="1"/>
  <c r="A26" i="23" s="1"/>
  <c r="A32" i="3"/>
  <c r="A17" i="7"/>
  <c r="A18" i="7" s="1"/>
  <c r="A50" i="3"/>
  <c r="A22" i="7"/>
  <c r="B9" i="13"/>
  <c r="A20" i="3"/>
  <c r="A25" i="2"/>
  <c r="A16" i="8"/>
  <c r="A27" i="2"/>
  <c r="A39" i="7"/>
  <c r="A28" i="2"/>
  <c r="A28" i="3"/>
  <c r="F126" i="1"/>
  <c r="E126" i="1"/>
  <c r="B10" i="1"/>
  <c r="A56" i="3" l="1"/>
  <c r="B12" i="1"/>
  <c r="A14" i="13" l="1"/>
  <c r="A13" i="13" s="1"/>
  <c r="A15" i="13"/>
  <c r="A21" i="4"/>
  <c r="A10" i="2"/>
  <c r="A9" i="2"/>
  <c r="A19" i="4"/>
  <c r="A126" i="19" l="1"/>
  <c r="A59" i="16" s="1"/>
  <c r="B66" i="1" l="1"/>
  <c r="A1" i="19" s="1"/>
  <c r="H26" i="29"/>
  <c r="H26" i="28"/>
  <c r="H26" i="27"/>
  <c r="H22" i="29"/>
  <c r="A10" i="29"/>
  <c r="H22" i="28"/>
  <c r="A10" i="28"/>
  <c r="H22" i="27"/>
  <c r="A10" i="27"/>
  <c r="H26" i="26"/>
  <c r="A10" i="26"/>
  <c r="D74" i="7" l="1"/>
  <c r="A74" i="7"/>
  <c r="A131" i="19"/>
  <c r="B102" i="1"/>
  <c r="R124" i="1" l="1"/>
  <c r="R125" i="1" s="1"/>
  <c r="N126" i="1" s="1"/>
  <c r="A25" i="13"/>
  <c r="A26" i="13" s="1"/>
  <c r="A28" i="13" s="1"/>
  <c r="Q124" i="1"/>
  <c r="Q125" i="1" s="1"/>
  <c r="N125" i="1" s="1"/>
  <c r="A20" i="13" l="1"/>
  <c r="C81" i="7" s="1"/>
  <c r="B24" i="4"/>
  <c r="B67" i="1" l="1"/>
  <c r="C78" i="1" s="1"/>
  <c r="C79" i="1" s="1"/>
  <c r="C80" i="1" s="1"/>
  <c r="B79" i="1" s="1"/>
  <c r="B80" i="1" s="1"/>
  <c r="B145" i="1" l="1"/>
  <c r="B143" i="1"/>
  <c r="C18" i="1" l="1"/>
  <c r="B20" i="1" l="1"/>
  <c r="C20" i="1"/>
  <c r="A5" i="19" s="1"/>
  <c r="G10" i="29"/>
  <c r="G10" i="28"/>
  <c r="G10" i="26"/>
  <c r="G10" i="27"/>
  <c r="B115" i="1" l="1"/>
  <c r="B121" i="1"/>
  <c r="B121" i="19"/>
  <c r="D53" i="16" s="1"/>
  <c r="A8" i="2"/>
  <c r="B33" i="23"/>
  <c r="C33" i="23"/>
  <c r="D33" i="23"/>
  <c r="E33" i="23"/>
  <c r="A33" i="23"/>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A48" i="23"/>
  <c r="F27" i="4" l="1"/>
  <c r="A21" i="3" s="1"/>
  <c r="D25" i="21" l="1"/>
  <c r="C25" i="21"/>
  <c r="A25" i="21"/>
  <c r="B25" i="21" s="1"/>
  <c r="M22" i="21"/>
  <c r="E67" i="7" l="1"/>
  <c r="O2" i="21"/>
  <c r="P2" i="21" s="1"/>
  <c r="P5" i="21"/>
  <c r="P13" i="21"/>
  <c r="P17" i="21"/>
  <c r="P21" i="21"/>
  <c r="O4" i="21"/>
  <c r="P4" i="21" s="1"/>
  <c r="P15" i="21"/>
  <c r="P16" i="21"/>
  <c r="P20" i="21"/>
  <c r="P7" i="21"/>
  <c r="P8" i="21"/>
  <c r="P9" i="21"/>
  <c r="P10" i="21"/>
  <c r="P18" i="21"/>
  <c r="P6" i="21"/>
  <c r="P14" i="21"/>
  <c r="O3" i="21"/>
  <c r="P3" i="21" s="1"/>
  <c r="P11" i="21"/>
  <c r="P12" i="21"/>
  <c r="P19" i="21"/>
  <c r="B51" i="7"/>
  <c r="B34" i="23" s="1"/>
  <c r="A51" i="7"/>
  <c r="A34" i="23" s="1"/>
  <c r="W2" i="21" l="1"/>
  <c r="A64" i="7" s="1"/>
  <c r="C136" i="1"/>
  <c r="D67" i="7" l="1"/>
  <c r="E45" i="23"/>
  <c r="E34" i="23"/>
  <c r="E51" i="7"/>
  <c r="A38" i="20"/>
  <c r="A37" i="20"/>
  <c r="B19" i="20"/>
  <c r="C19" i="20"/>
  <c r="D19" i="20"/>
  <c r="E19" i="20"/>
  <c r="A19" i="20"/>
  <c r="E37" i="7" l="1"/>
  <c r="E36" i="7"/>
  <c r="E35" i="7"/>
  <c r="E34" i="7"/>
  <c r="E33" i="7"/>
  <c r="E32" i="7"/>
  <c r="E31" i="7"/>
  <c r="E30" i="7"/>
  <c r="E29" i="7"/>
  <c r="E28" i="7"/>
  <c r="L5" i="15"/>
  <c r="I8" i="15" l="1"/>
  <c r="E20" i="20"/>
  <c r="B26" i="4"/>
  <c r="B27" i="4" s="1"/>
  <c r="A33" i="20" l="1"/>
  <c r="A47" i="23"/>
  <c r="C19" i="1"/>
  <c r="B21" i="1" s="1"/>
  <c r="A6" i="3" l="1"/>
  <c r="C21" i="1"/>
  <c r="B8" i="15"/>
  <c r="C5" i="22"/>
  <c r="A33" i="22" s="1"/>
  <c r="B9" i="16" l="1"/>
  <c r="R32" i="15"/>
  <c r="R33" i="15"/>
  <c r="R34" i="15"/>
  <c r="R35" i="15"/>
  <c r="R36" i="15"/>
  <c r="R37" i="15"/>
  <c r="R38" i="15"/>
  <c r="R39" i="15"/>
  <c r="R40" i="15"/>
  <c r="R41" i="15"/>
  <c r="R42" i="15"/>
  <c r="R43" i="15"/>
  <c r="R28" i="15"/>
  <c r="O28" i="15" s="1"/>
  <c r="P28" i="15" s="1"/>
  <c r="Q28" i="15" s="1"/>
  <c r="B28" i="15" s="1"/>
  <c r="B29" i="16" s="1"/>
  <c r="R29" i="15"/>
  <c r="O29" i="15" s="1"/>
  <c r="P29" i="15" s="1"/>
  <c r="Q29" i="15" s="1"/>
  <c r="B29" i="15" s="1"/>
  <c r="B30" i="16" s="1"/>
  <c r="R27" i="15"/>
  <c r="O27" i="15" s="1"/>
  <c r="P27" i="15" s="1"/>
  <c r="Q27" i="15" s="1"/>
  <c r="B27" i="15" s="1"/>
  <c r="B28" i="16" s="1"/>
  <c r="R30" i="15"/>
  <c r="O30" i="15" s="1"/>
  <c r="P30" i="15" s="1"/>
  <c r="Q30" i="15" s="1"/>
  <c r="B30" i="15" s="1"/>
  <c r="B31" i="16" s="1"/>
  <c r="R31" i="15"/>
  <c r="R26" i="15"/>
  <c r="O26" i="15" s="1"/>
  <c r="P26" i="15" s="1"/>
  <c r="Q26" i="15" s="1"/>
  <c r="B26" i="15" s="1"/>
  <c r="B27" i="16" s="1"/>
  <c r="R20" i="15"/>
  <c r="R21" i="15"/>
  <c r="R23" i="15"/>
  <c r="R22" i="15"/>
  <c r="R10" i="15"/>
  <c r="R9" i="15"/>
  <c r="G8" i="15"/>
  <c r="R12" i="15"/>
  <c r="R19" i="15"/>
  <c r="H8" i="15"/>
  <c r="R15" i="15"/>
  <c r="O8" i="15"/>
  <c r="P8" i="15" s="1"/>
  <c r="Q8" i="15" s="1"/>
  <c r="R16" i="15"/>
  <c r="R17" i="15"/>
  <c r="R18" i="15"/>
  <c r="R11" i="15"/>
  <c r="R13" i="15"/>
  <c r="R14" i="15"/>
  <c r="B8" i="12"/>
  <c r="R24" i="15"/>
  <c r="R25" i="15"/>
  <c r="O39" i="15" l="1"/>
  <c r="P39" i="15" s="1"/>
  <c r="Q39" i="15" s="1"/>
  <c r="B39" i="15" s="1"/>
  <c r="B40" i="16" s="1"/>
  <c r="O40" i="15"/>
  <c r="P40" i="15" s="1"/>
  <c r="Q40" i="15" s="1"/>
  <c r="B40" i="15" s="1"/>
  <c r="B41" i="16" s="1"/>
  <c r="O32" i="15"/>
  <c r="P32" i="15" s="1"/>
  <c r="Q32" i="15" s="1"/>
  <c r="B32" i="15" s="1"/>
  <c r="B33" i="16" s="1"/>
  <c r="O41" i="15"/>
  <c r="P41" i="15" s="1"/>
  <c r="Q41" i="15" s="1"/>
  <c r="B41" i="15" s="1"/>
  <c r="B42" i="16" s="1"/>
  <c r="O33" i="15"/>
  <c r="P33" i="15" s="1"/>
  <c r="Q33" i="15" s="1"/>
  <c r="B33" i="15" s="1"/>
  <c r="B34" i="16" s="1"/>
  <c r="O42" i="15"/>
  <c r="P42" i="15" s="1"/>
  <c r="Q42" i="15" s="1"/>
  <c r="B42" i="15" s="1"/>
  <c r="B43" i="16" s="1"/>
  <c r="O34" i="15"/>
  <c r="P34" i="15" s="1"/>
  <c r="Q34" i="15" s="1"/>
  <c r="B34" i="15" s="1"/>
  <c r="B35" i="16" s="1"/>
  <c r="O43" i="15"/>
  <c r="P43" i="15" s="1"/>
  <c r="Q43" i="15" s="1"/>
  <c r="B43" i="15"/>
  <c r="B44" i="16" s="1"/>
  <c r="O35" i="15"/>
  <c r="P35" i="15" s="1"/>
  <c r="Q35" i="15" s="1"/>
  <c r="B35" i="15" s="1"/>
  <c r="B36" i="16" s="1"/>
  <c r="O36" i="15"/>
  <c r="P36" i="15" s="1"/>
  <c r="Q36" i="15" s="1"/>
  <c r="B36" i="15" s="1"/>
  <c r="B37" i="16" s="1"/>
  <c r="O37" i="15"/>
  <c r="P37" i="15" s="1"/>
  <c r="Q37" i="15" s="1"/>
  <c r="B37" i="15" s="1"/>
  <c r="B38" i="16" s="1"/>
  <c r="O38" i="15"/>
  <c r="P38" i="15" s="1"/>
  <c r="Q38" i="15" s="1"/>
  <c r="B38" i="15" s="1"/>
  <c r="B39" i="16" s="1"/>
  <c r="B26" i="12"/>
  <c r="O31" i="15"/>
  <c r="P31" i="15" s="1"/>
  <c r="Q31" i="15" s="1"/>
  <c r="B31" i="15" s="1"/>
  <c r="B32" i="16" s="1"/>
  <c r="B30" i="12"/>
  <c r="B27" i="12"/>
  <c r="B29" i="12"/>
  <c r="B28" i="12"/>
  <c r="O18" i="15"/>
  <c r="P18" i="15" s="1"/>
  <c r="Q18" i="15" s="1"/>
  <c r="B18" i="15" s="1"/>
  <c r="B19" i="16" s="1"/>
  <c r="O24" i="15"/>
  <c r="P24" i="15" s="1"/>
  <c r="Q24" i="15" s="1"/>
  <c r="B24" i="15" s="1"/>
  <c r="B25" i="16" s="1"/>
  <c r="O15" i="15"/>
  <c r="P15" i="15" s="1"/>
  <c r="Q15" i="15" s="1"/>
  <c r="B15" i="15" s="1"/>
  <c r="B16" i="16" s="1"/>
  <c r="O13" i="15"/>
  <c r="P13" i="15" s="1"/>
  <c r="Q13" i="15" s="1"/>
  <c r="B13" i="15" s="1"/>
  <c r="O17" i="15"/>
  <c r="P17" i="15" s="1"/>
  <c r="Q17" i="15" s="1"/>
  <c r="B17" i="15" s="1"/>
  <c r="B18" i="16" s="1"/>
  <c r="O16" i="15"/>
  <c r="P16" i="15" s="1"/>
  <c r="Q16" i="15" s="1"/>
  <c r="B16" i="15" s="1"/>
  <c r="B17" i="16" s="1"/>
  <c r="O22" i="15"/>
  <c r="P22" i="15" s="1"/>
  <c r="Q22" i="15" s="1"/>
  <c r="B22" i="15" s="1"/>
  <c r="B23" i="16" s="1"/>
  <c r="O23" i="15"/>
  <c r="P23" i="15" s="1"/>
  <c r="Q23" i="15" s="1"/>
  <c r="B23" i="15" s="1"/>
  <c r="B24" i="16" s="1"/>
  <c r="O21" i="15"/>
  <c r="P21" i="15" s="1"/>
  <c r="Q21" i="15" s="1"/>
  <c r="B21" i="15" s="1"/>
  <c r="B22" i="16" s="1"/>
  <c r="O20" i="15"/>
  <c r="P20" i="15" s="1"/>
  <c r="Q20" i="15" s="1"/>
  <c r="B20" i="15" s="1"/>
  <c r="B21" i="16" s="1"/>
  <c r="L8" i="15"/>
  <c r="O11" i="15"/>
  <c r="P11" i="15" s="1"/>
  <c r="Q11" i="15" s="1"/>
  <c r="O10" i="15"/>
  <c r="P10" i="15" s="1"/>
  <c r="Q10" i="15" s="1"/>
  <c r="O9" i="15"/>
  <c r="P9" i="15" s="1"/>
  <c r="Q9" i="15" s="1"/>
  <c r="O19" i="15"/>
  <c r="P19" i="15" s="1"/>
  <c r="Q19" i="15" s="1"/>
  <c r="B19" i="15" s="1"/>
  <c r="O14" i="15"/>
  <c r="P14" i="15" s="1"/>
  <c r="Q14" i="15" s="1"/>
  <c r="B14" i="15" s="1"/>
  <c r="B15" i="16" s="1"/>
  <c r="O12" i="15"/>
  <c r="P12" i="15" s="1"/>
  <c r="Q12" i="15" s="1"/>
  <c r="O25" i="15"/>
  <c r="P25" i="15" s="1"/>
  <c r="Q25" i="15" s="1"/>
  <c r="B25" i="15" s="1"/>
  <c r="B26" i="16" s="1"/>
  <c r="H40" i="15" l="1"/>
  <c r="B40" i="12"/>
  <c r="G40" i="15"/>
  <c r="H32" i="15"/>
  <c r="B32" i="12"/>
  <c r="H32" i="12" s="1"/>
  <c r="H39" i="15"/>
  <c r="G39" i="15"/>
  <c r="B39" i="12"/>
  <c r="B41" i="12"/>
  <c r="G41" i="15"/>
  <c r="H41" i="15"/>
  <c r="H38" i="15"/>
  <c r="G38" i="15"/>
  <c r="B38" i="12"/>
  <c r="B35" i="12"/>
  <c r="H35" i="15"/>
  <c r="G35" i="15"/>
  <c r="G42" i="15"/>
  <c r="H42" i="15"/>
  <c r="B42" i="12"/>
  <c r="H37" i="15"/>
  <c r="G37" i="15"/>
  <c r="B37" i="12"/>
  <c r="H34" i="15"/>
  <c r="B34" i="12"/>
  <c r="G34" i="15"/>
  <c r="B36" i="12"/>
  <c r="H36" i="15"/>
  <c r="G36" i="15"/>
  <c r="H33" i="15"/>
  <c r="G33" i="15"/>
  <c r="B33" i="12"/>
  <c r="G43" i="15"/>
  <c r="H43" i="15"/>
  <c r="B43" i="12"/>
  <c r="G32" i="15"/>
  <c r="B13" i="12"/>
  <c r="B14" i="16"/>
  <c r="B19" i="12"/>
  <c r="B20" i="16"/>
  <c r="B23" i="12"/>
  <c r="B21" i="12"/>
  <c r="B22" i="12"/>
  <c r="B20" i="12"/>
  <c r="B24" i="12"/>
  <c r="E8" i="15"/>
  <c r="B31" i="12"/>
  <c r="H31" i="15"/>
  <c r="B25" i="12"/>
  <c r="H25" i="15"/>
  <c r="B16" i="12"/>
  <c r="H16" i="15"/>
  <c r="G16" i="15"/>
  <c r="B17" i="12"/>
  <c r="G17" i="15"/>
  <c r="H17" i="15"/>
  <c r="B15" i="12"/>
  <c r="H15" i="15"/>
  <c r="B18" i="12"/>
  <c r="H18" i="15"/>
  <c r="G18" i="15"/>
  <c r="H13" i="15"/>
  <c r="H20" i="15"/>
  <c r="H21" i="15"/>
  <c r="G21" i="15"/>
  <c r="G23" i="15"/>
  <c r="H23" i="15"/>
  <c r="H22" i="15"/>
  <c r="G22" i="15"/>
  <c r="G14" i="15"/>
  <c r="H14" i="15"/>
  <c r="B14" i="12"/>
  <c r="G15" i="15"/>
  <c r="B9" i="15"/>
  <c r="H19" i="15"/>
  <c r="G20" i="15"/>
  <c r="G19" i="15"/>
  <c r="B10" i="15"/>
  <c r="B11" i="16" s="1"/>
  <c r="B12" i="15"/>
  <c r="B13" i="16" s="1"/>
  <c r="B11" i="15"/>
  <c r="B12" i="16" s="1"/>
  <c r="D17" i="1"/>
  <c r="G32" i="12" l="1"/>
  <c r="G33" i="12"/>
  <c r="H33" i="12"/>
  <c r="G42" i="12"/>
  <c r="H42" i="12"/>
  <c r="H38" i="12"/>
  <c r="G38" i="12"/>
  <c r="H39" i="12"/>
  <c r="G39" i="12"/>
  <c r="G40" i="12"/>
  <c r="H40" i="12"/>
  <c r="G34" i="12"/>
  <c r="H34" i="12"/>
  <c r="H36" i="12"/>
  <c r="G36" i="12"/>
  <c r="H35" i="12"/>
  <c r="G35" i="12"/>
  <c r="G41" i="12"/>
  <c r="H41" i="12"/>
  <c r="H43" i="12"/>
  <c r="G43" i="12"/>
  <c r="G37" i="12"/>
  <c r="H37" i="12"/>
  <c r="G9" i="15"/>
  <c r="B10" i="16"/>
  <c r="G10" i="15"/>
  <c r="H10" i="15"/>
  <c r="B10" i="12"/>
  <c r="H9" i="15"/>
  <c r="G13" i="15"/>
  <c r="G12" i="15"/>
  <c r="H12" i="15"/>
  <c r="B12" i="12"/>
  <c r="H11" i="15"/>
  <c r="G11" i="15"/>
  <c r="B11" i="12"/>
  <c r="B9" i="12"/>
  <c r="I67" i="1"/>
  <c r="G67" i="1"/>
  <c r="C10" i="28" l="1"/>
  <c r="C10" i="26"/>
  <c r="C10" i="29"/>
  <c r="C10" i="27"/>
  <c r="A128" i="19" l="1"/>
  <c r="A61" i="16" s="1"/>
  <c r="A117" i="19"/>
  <c r="A51" i="16" s="1"/>
  <c r="E10" i="29" l="1"/>
  <c r="E10" i="26"/>
  <c r="E10" i="27"/>
  <c r="E10" i="28"/>
  <c r="F67" i="1" l="1"/>
  <c r="E67" i="1"/>
  <c r="A20" i="2" s="1"/>
  <c r="C67" i="1"/>
  <c r="C65" i="1"/>
  <c r="C66" i="1" l="1"/>
  <c r="I66" i="1"/>
  <c r="G66" i="1"/>
  <c r="D67" i="1"/>
  <c r="B144" i="1" s="1"/>
  <c r="H67" i="1"/>
  <c r="B69" i="1" s="1"/>
  <c r="A4" i="24" s="1"/>
  <c r="E66" i="1"/>
  <c r="F66" i="1"/>
  <c r="A30" i="19" l="1"/>
  <c r="A26" i="19"/>
  <c r="A29" i="19"/>
  <c r="A28" i="19" s="1"/>
  <c r="A27" i="19"/>
  <c r="B68" i="1"/>
  <c r="D66" i="1"/>
  <c r="B72" i="1" s="1"/>
  <c r="H66" i="1"/>
  <c r="B73" i="1" s="1"/>
  <c r="E3" i="23" l="1"/>
  <c r="B74" i="1"/>
  <c r="B70" i="1"/>
  <c r="A3" i="19" s="1"/>
  <c r="E3" i="22"/>
  <c r="B71" i="1"/>
  <c r="A8" i="19" s="1"/>
  <c r="A12" i="7" l="1"/>
  <c r="A7" i="28"/>
  <c r="A7" i="27"/>
  <c r="A7" i="29"/>
  <c r="A7" i="26"/>
  <c r="A11" i="7"/>
  <c r="A9" i="7"/>
  <c r="A8" i="7"/>
  <c r="A45" i="7"/>
  <c r="B19" i="9"/>
  <c r="F3" i="16"/>
  <c r="A2" i="27"/>
  <c r="A2" i="28"/>
  <c r="A2" i="29"/>
  <c r="A2" i="26"/>
  <c r="A46" i="7"/>
  <c r="B165" i="1"/>
  <c r="A4" i="8" s="1"/>
  <c r="B142" i="1"/>
  <c r="E4" i="7" s="1"/>
  <c r="A39" i="20"/>
  <c r="B40" i="9"/>
  <c r="A19" i="2"/>
  <c r="A25" i="23" s="1"/>
  <c r="D60" i="15"/>
  <c r="A58" i="15"/>
  <c r="A56" i="15"/>
  <c r="D52" i="15"/>
  <c r="D48" i="15"/>
  <c r="A48" i="15"/>
  <c r="A7" i="7" l="1"/>
  <c r="A10" i="7"/>
  <c r="A6" i="7" s="1"/>
  <c r="A44" i="7"/>
  <c r="A15" i="3"/>
  <c r="H27" i="15"/>
  <c r="G27" i="15"/>
  <c r="G28" i="15"/>
  <c r="H28" i="15"/>
  <c r="G30" i="15"/>
  <c r="G31" i="15"/>
  <c r="H30" i="15"/>
  <c r="G29" i="15"/>
  <c r="H29" i="15"/>
  <c r="G26" i="15"/>
  <c r="H26" i="15"/>
  <c r="H24" i="15"/>
  <c r="G24" i="15"/>
  <c r="G25" i="15"/>
  <c r="F2" i="15" l="1"/>
  <c r="B62" i="1" l="1"/>
  <c r="D55" i="15" l="1"/>
  <c r="D70" i="7"/>
  <c r="B19" i="13" l="1"/>
  <c r="B10" i="13"/>
  <c r="D56" i="15" l="1"/>
  <c r="D54" i="15" l="1"/>
  <c r="A61" i="7" l="1"/>
  <c r="A44" i="23" s="1"/>
  <c r="B61" i="7"/>
  <c r="B44" i="23" s="1"/>
  <c r="C61" i="7"/>
  <c r="C44" i="23" s="1"/>
  <c r="D61" i="7"/>
  <c r="D44" i="23" s="1"/>
  <c r="A62" i="7"/>
  <c r="A45" i="23" s="1"/>
  <c r="B35" i="23"/>
  <c r="C35" i="23"/>
  <c r="D35" i="23"/>
  <c r="B53" i="7"/>
  <c r="B36" i="23" s="1"/>
  <c r="C53" i="7"/>
  <c r="C36" i="23" s="1"/>
  <c r="D53" i="7"/>
  <c r="D36" i="23" s="1"/>
  <c r="B54" i="7"/>
  <c r="B37" i="23" s="1"/>
  <c r="C54" i="7"/>
  <c r="C37" i="23" s="1"/>
  <c r="D54" i="7"/>
  <c r="D37" i="23" s="1"/>
  <c r="B55" i="7"/>
  <c r="B38" i="23" s="1"/>
  <c r="C55" i="7"/>
  <c r="C38" i="23" s="1"/>
  <c r="D55" i="7"/>
  <c r="D38" i="23" s="1"/>
  <c r="B56" i="7"/>
  <c r="B39" i="23" s="1"/>
  <c r="C56" i="7"/>
  <c r="C39" i="23" s="1"/>
  <c r="D56" i="7"/>
  <c r="D39" i="23" s="1"/>
  <c r="B57" i="7"/>
  <c r="B40" i="23" s="1"/>
  <c r="C57" i="7"/>
  <c r="C40" i="23" s="1"/>
  <c r="D57" i="7"/>
  <c r="D40" i="23" s="1"/>
  <c r="B58" i="7"/>
  <c r="B41" i="23" s="1"/>
  <c r="C58" i="7"/>
  <c r="C41" i="23" s="1"/>
  <c r="D58" i="7"/>
  <c r="D41" i="23" s="1"/>
  <c r="B59" i="7"/>
  <c r="B42" i="23" s="1"/>
  <c r="C59" i="7"/>
  <c r="C42" i="23" s="1"/>
  <c r="D59" i="7"/>
  <c r="D42" i="23" s="1"/>
  <c r="B60" i="7"/>
  <c r="B43" i="23" s="1"/>
  <c r="C60" i="7"/>
  <c r="C43" i="23" s="1"/>
  <c r="D60" i="7"/>
  <c r="D43" i="23" s="1"/>
  <c r="C51" i="7"/>
  <c r="C34" i="23" s="1"/>
  <c r="D51" i="7"/>
  <c r="D34" i="23" s="1"/>
  <c r="A35" i="23"/>
  <c r="A53" i="7"/>
  <c r="A36" i="23" s="1"/>
  <c r="A54" i="7"/>
  <c r="A37" i="23" s="1"/>
  <c r="A55" i="7"/>
  <c r="A38" i="23" s="1"/>
  <c r="A56" i="7"/>
  <c r="A39" i="23" s="1"/>
  <c r="A57" i="7"/>
  <c r="A40" i="23" s="1"/>
  <c r="A58" i="7"/>
  <c r="A41" i="23" s="1"/>
  <c r="A59" i="7"/>
  <c r="A42" i="23" s="1"/>
  <c r="A60" i="7"/>
  <c r="A43" i="23" s="1"/>
  <c r="A49" i="23"/>
  <c r="A39" i="8"/>
  <c r="E38" i="7"/>
  <c r="D62" i="7" s="1"/>
  <c r="D45" i="23" s="1"/>
  <c r="D38" i="7"/>
  <c r="C62" i="7" s="1"/>
  <c r="C45" i="23" s="1"/>
  <c r="C38" i="7"/>
  <c r="B62" i="7" s="1"/>
  <c r="B45" i="23" s="1"/>
  <c r="A48" i="3" l="1"/>
  <c r="A30" i="20"/>
  <c r="B47" i="3"/>
  <c r="B29" i="20"/>
  <c r="B48" i="3"/>
  <c r="B30" i="20"/>
  <c r="D47" i="3"/>
  <c r="D29" i="20"/>
  <c r="D48" i="3"/>
  <c r="D30" i="20"/>
  <c r="A47" i="3"/>
  <c r="A29" i="20"/>
  <c r="C47" i="3"/>
  <c r="C29" i="20"/>
  <c r="C48" i="3"/>
  <c r="C30" i="20"/>
  <c r="A49" i="3"/>
  <c r="A31" i="20"/>
  <c r="A45" i="3"/>
  <c r="A27" i="20"/>
  <c r="D46" i="3"/>
  <c r="D28" i="20"/>
  <c r="C45" i="3"/>
  <c r="C27" i="20"/>
  <c r="C46" i="3"/>
  <c r="C28" i="20"/>
  <c r="B45" i="3"/>
  <c r="B27" i="20"/>
  <c r="D45" i="3"/>
  <c r="D27" i="20"/>
  <c r="A46" i="3"/>
  <c r="A28" i="20"/>
  <c r="B46" i="3"/>
  <c r="B28" i="20"/>
  <c r="A41" i="3"/>
  <c r="A23" i="20"/>
  <c r="D41" i="3"/>
  <c r="D23" i="20"/>
  <c r="D49" i="3"/>
  <c r="D31" i="20"/>
  <c r="A44" i="3"/>
  <c r="A26" i="20"/>
  <c r="A40" i="3"/>
  <c r="A22" i="20"/>
  <c r="C38" i="3"/>
  <c r="C20" i="20"/>
  <c r="B44" i="3"/>
  <c r="B26" i="20"/>
  <c r="D42" i="3"/>
  <c r="D24" i="20"/>
  <c r="C41" i="3"/>
  <c r="C23" i="20"/>
  <c r="B40" i="3"/>
  <c r="B22" i="20"/>
  <c r="A43" i="3"/>
  <c r="A25" i="20"/>
  <c r="A39" i="3"/>
  <c r="A21" i="20"/>
  <c r="D43" i="3"/>
  <c r="D25" i="20"/>
  <c r="C42" i="3"/>
  <c r="C24" i="20"/>
  <c r="B41" i="3"/>
  <c r="B23" i="20"/>
  <c r="D39" i="3"/>
  <c r="D21" i="20"/>
  <c r="C49" i="3"/>
  <c r="C31" i="20"/>
  <c r="D38" i="3"/>
  <c r="D20" i="20"/>
  <c r="C44" i="3"/>
  <c r="C26" i="20"/>
  <c r="B43" i="3"/>
  <c r="B25" i="20"/>
  <c r="C40" i="3"/>
  <c r="C22" i="20"/>
  <c r="B39" i="3"/>
  <c r="B21" i="20"/>
  <c r="A38" i="3"/>
  <c r="A20" i="20"/>
  <c r="B49" i="3"/>
  <c r="B31" i="20"/>
  <c r="A42" i="3"/>
  <c r="A24" i="20"/>
  <c r="B38" i="3"/>
  <c r="B20" i="20"/>
  <c r="D44" i="3"/>
  <c r="D26" i="20"/>
  <c r="C43" i="3"/>
  <c r="C25" i="20"/>
  <c r="B42" i="3"/>
  <c r="B24" i="20"/>
  <c r="D40" i="3"/>
  <c r="D22" i="20"/>
  <c r="C39" i="3"/>
  <c r="C21" i="20"/>
  <c r="A40" i="8"/>
  <c r="A34" i="20"/>
  <c r="A41" i="8"/>
  <c r="A35" i="20"/>
  <c r="D33" i="8"/>
  <c r="C28" i="8"/>
  <c r="D26" i="8"/>
  <c r="D35" i="8"/>
  <c r="C31" i="8"/>
  <c r="D32" i="8"/>
  <c r="B31" i="8"/>
  <c r="D27" i="8"/>
  <c r="D36" i="8"/>
  <c r="C35" i="8"/>
  <c r="C32" i="8"/>
  <c r="D29" i="8"/>
  <c r="C27" i="8"/>
  <c r="C36" i="8"/>
  <c r="B35" i="8"/>
  <c r="D31" i="8"/>
  <c r="D28" i="8"/>
  <c r="B27" i="8"/>
  <c r="B36" i="8"/>
  <c r="C37" i="8"/>
  <c r="D30" i="8"/>
  <c r="D34" i="8"/>
  <c r="D37" i="8"/>
  <c r="C33" i="8"/>
  <c r="C30" i="8"/>
  <c r="C29" i="8"/>
  <c r="C26" i="8"/>
  <c r="C34" i="8"/>
  <c r="B33" i="8"/>
  <c r="B32" i="8"/>
  <c r="B30" i="8"/>
  <c r="B29" i="8"/>
  <c r="B28" i="8"/>
  <c r="B26" i="8"/>
  <c r="B34" i="8"/>
  <c r="B37" i="8"/>
  <c r="A33" i="8"/>
  <c r="A32" i="8"/>
  <c r="A31" i="8"/>
  <c r="A30" i="8"/>
  <c r="A29" i="8"/>
  <c r="A28" i="8"/>
  <c r="A27" i="8"/>
  <c r="A26" i="8"/>
  <c r="A36" i="8"/>
  <c r="A35" i="8"/>
  <c r="A34" i="8"/>
  <c r="A37" i="8"/>
  <c r="C142" i="1"/>
  <c r="A9" i="20" l="1"/>
  <c r="N123" i="1"/>
  <c r="E38" i="3"/>
  <c r="E62" i="7"/>
  <c r="E31" i="20" s="1"/>
  <c r="A46" i="23"/>
  <c r="E26" i="8" l="1"/>
  <c r="A23" i="2"/>
  <c r="A38" i="8"/>
  <c r="A32" i="20"/>
  <c r="E37" i="8"/>
  <c r="E49" i="3"/>
  <c r="D60" i="12"/>
  <c r="A58" i="12"/>
  <c r="A56" i="12"/>
  <c r="D52" i="12"/>
  <c r="D48" i="12"/>
  <c r="A48" i="12"/>
  <c r="C8" i="12"/>
  <c r="C9" i="16" s="1"/>
  <c r="A25" i="19" l="1"/>
  <c r="A24" i="19" l="1"/>
  <c r="B12" i="9"/>
  <c r="A12" i="8"/>
  <c r="E18" i="8"/>
  <c r="E11" i="20" s="1"/>
  <c r="D18" i="8"/>
  <c r="D11" i="20" s="1"/>
  <c r="C18" i="8"/>
  <c r="C11" i="20" s="1"/>
  <c r="B18" i="8"/>
  <c r="B11" i="20" s="1"/>
  <c r="A18" i="8"/>
  <c r="A11" i="20" s="1"/>
  <c r="D78" i="7"/>
  <c r="E21" i="7"/>
  <c r="D48" i="7" s="1"/>
  <c r="D28" i="23" s="1"/>
  <c r="D21" i="7"/>
  <c r="C48" i="7" s="1"/>
  <c r="C28" i="23" s="1"/>
  <c r="B21" i="7"/>
  <c r="B48" i="7" s="1"/>
  <c r="B28" i="23" s="1"/>
  <c r="A21" i="7"/>
  <c r="A48" i="7" s="1"/>
  <c r="A28" i="23" s="1"/>
  <c r="A32" i="23" l="1"/>
  <c r="A14" i="26"/>
  <c r="A14" i="29"/>
  <c r="A14" i="28"/>
  <c r="A14" i="27"/>
  <c r="A30" i="23"/>
  <c r="A12" i="27"/>
  <c r="A12" i="29"/>
  <c r="A12" i="28"/>
  <c r="A12" i="26"/>
  <c r="D19" i="8"/>
  <c r="D12" i="20" s="1"/>
  <c r="C19" i="8"/>
  <c r="C12" i="20" s="1"/>
  <c r="B19" i="8"/>
  <c r="B12" i="20" s="1"/>
  <c r="A23" i="8"/>
  <c r="A16" i="20" s="1"/>
  <c r="A19" i="8"/>
  <c r="A12" i="20" s="1"/>
  <c r="A21" i="8"/>
  <c r="A14" i="20" s="1"/>
  <c r="D35" i="4"/>
  <c r="D27" i="4"/>
  <c r="C27" i="4"/>
  <c r="D31" i="3"/>
  <c r="C31" i="3"/>
  <c r="B31" i="3"/>
  <c r="A14" i="3"/>
  <c r="A60" i="3" s="1"/>
  <c r="A11" i="4"/>
  <c r="A8" i="4"/>
  <c r="A6" i="4"/>
  <c r="A5" i="4"/>
  <c r="A4" i="4"/>
  <c r="A39" i="2"/>
  <c r="A17" i="3"/>
  <c r="A63" i="3" s="1"/>
  <c r="A12" i="3"/>
  <c r="A51" i="15" l="1"/>
  <c r="A55" i="15"/>
  <c r="A60" i="15"/>
  <c r="D62" i="15"/>
  <c r="A50" i="15"/>
  <c r="A54" i="15"/>
  <c r="A53" i="15"/>
  <c r="A52" i="15"/>
  <c r="D51" i="15"/>
  <c r="D58" i="15"/>
  <c r="D50" i="15"/>
  <c r="A60" i="12"/>
  <c r="A54" i="12"/>
  <c r="A51" i="12"/>
  <c r="A55" i="12"/>
  <c r="A52" i="12"/>
  <c r="A13" i="3"/>
  <c r="A59" i="3" s="1"/>
  <c r="A53" i="12"/>
  <c r="D56" i="12"/>
  <c r="D54" i="12"/>
  <c r="D55" i="12"/>
  <c r="D51" i="12"/>
  <c r="D58" i="12"/>
  <c r="D50" i="12"/>
  <c r="A50" i="12"/>
  <c r="A58" i="3"/>
  <c r="A61" i="3"/>
  <c r="A13" i="8"/>
  <c r="A16" i="3"/>
  <c r="A62" i="3" s="1"/>
  <c r="A14" i="8"/>
  <c r="A15" i="8" s="1"/>
  <c r="A11" i="3"/>
  <c r="A57" i="3" s="1"/>
  <c r="E31" i="3"/>
  <c r="A26" i="2"/>
  <c r="A22" i="2" s="1"/>
  <c r="A15" i="27" l="1"/>
  <c r="A15" i="26"/>
  <c r="A15" i="29"/>
  <c r="A15" i="28"/>
  <c r="A31" i="23"/>
  <c r="A13" i="27"/>
  <c r="A13" i="28"/>
  <c r="A13" i="29"/>
  <c r="A13" i="26"/>
  <c r="A29" i="23"/>
  <c r="A11" i="29"/>
  <c r="A11" i="28"/>
  <c r="A11" i="27"/>
  <c r="A11" i="26"/>
  <c r="E28" i="23"/>
  <c r="A22" i="8"/>
  <c r="A15" i="20" s="1"/>
  <c r="A20" i="8"/>
  <c r="A13" i="20" s="1"/>
  <c r="E19" i="8"/>
  <c r="E12" i="20" s="1"/>
  <c r="A18" i="3"/>
  <c r="A16" i="23" s="1"/>
  <c r="F2" i="12"/>
  <c r="A64"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s="1"/>
  <c r="M8" i="15" l="1"/>
  <c r="F8" i="15" s="1"/>
  <c r="L9" i="15"/>
  <c r="E9" i="15" s="1"/>
  <c r="I10" i="15"/>
  <c r="I11" i="15" s="1"/>
  <c r="I12" i="15" s="1"/>
  <c r="I13" i="15" s="1"/>
  <c r="D9" i="15" l="1"/>
  <c r="C10" i="15" s="1"/>
  <c r="L10" i="15" s="1"/>
  <c r="E10" i="15" s="1"/>
  <c r="J14" i="15"/>
  <c r="K14" i="15" s="1"/>
  <c r="I14" i="15" s="1"/>
  <c r="J13" i="15"/>
  <c r="K13" i="15" s="1"/>
  <c r="I15" i="15" l="1"/>
  <c r="J15" i="15"/>
  <c r="K15" i="15" s="1"/>
  <c r="M9" i="15"/>
  <c r="F9" i="15" s="1"/>
  <c r="D10" i="15"/>
  <c r="C11" i="15" s="1"/>
  <c r="L11" i="15" s="1"/>
  <c r="E11" i="15" s="1"/>
  <c r="I16" i="15" l="1"/>
  <c r="I17" i="15" s="1"/>
  <c r="I18" i="15" s="1"/>
  <c r="J16" i="15"/>
  <c r="K16" i="15" s="1"/>
  <c r="M10" i="15"/>
  <c r="F10" i="15" s="1"/>
  <c r="D11" i="15"/>
  <c r="C12" i="15" s="1"/>
  <c r="L12" i="15" s="1"/>
  <c r="E12" i="15" s="1"/>
  <c r="J19" i="15" l="1"/>
  <c r="K19" i="15" s="1"/>
  <c r="I19" i="15" s="1"/>
  <c r="J20" i="15" s="1"/>
  <c r="K20" i="15" s="1"/>
  <c r="J18" i="15"/>
  <c r="K18" i="15" s="1"/>
  <c r="J17" i="15"/>
  <c r="K17" i="15" s="1"/>
  <c r="M11" i="15"/>
  <c r="F11" i="15" s="1"/>
  <c r="D12" i="15"/>
  <c r="M12" i="15" s="1"/>
  <c r="F12" i="15" s="1"/>
  <c r="I20" i="15" l="1"/>
  <c r="I21" i="15" s="1"/>
  <c r="I22" i="15" s="1"/>
  <c r="C13" i="15"/>
  <c r="L13" i="15" s="1"/>
  <c r="E13" i="15" s="1"/>
  <c r="J23" i="15" l="1"/>
  <c r="K23" i="15" s="1"/>
  <c r="I23" i="15" s="1"/>
  <c r="J24" i="15" s="1"/>
  <c r="K24" i="15" s="1"/>
  <c r="J22" i="15"/>
  <c r="K22" i="15" s="1"/>
  <c r="J21" i="15"/>
  <c r="K21" i="15" s="1"/>
  <c r="D13" i="15"/>
  <c r="C14" i="15" s="1"/>
  <c r="L14" i="15" s="1"/>
  <c r="E14" i="15" s="1"/>
  <c r="I24" i="15" l="1"/>
  <c r="J25" i="15" s="1"/>
  <c r="K25" i="15" s="1"/>
  <c r="I25" i="15" s="1"/>
  <c r="I26" i="15" s="1"/>
  <c r="M13" i="15"/>
  <c r="F13" i="15" s="1"/>
  <c r="D14" i="15"/>
  <c r="C15" i="15" s="1"/>
  <c r="L15" i="15" s="1"/>
  <c r="J26" i="15" l="1"/>
  <c r="K26" i="15" s="1"/>
  <c r="J27" i="15"/>
  <c r="K27" i="15" s="1"/>
  <c r="I27" i="15" s="1"/>
  <c r="M14" i="15"/>
  <c r="F14" i="15" s="1"/>
  <c r="E15" i="15"/>
  <c r="D15" i="15"/>
  <c r="C16" i="15" s="1"/>
  <c r="L16" i="15" s="1"/>
  <c r="E16" i="15" s="1"/>
  <c r="I28" i="15" l="1"/>
  <c r="J28" i="15"/>
  <c r="K28" i="15" s="1"/>
  <c r="M15" i="15"/>
  <c r="F15" i="15" s="1"/>
  <c r="D16" i="15"/>
  <c r="C17" i="15" s="1"/>
  <c r="J29" i="15" l="1"/>
  <c r="K29" i="15" s="1"/>
  <c r="I29" i="15" s="1"/>
  <c r="L17" i="15"/>
  <c r="E17" i="15" s="1"/>
  <c r="M16" i="15"/>
  <c r="F16" i="15" s="1"/>
  <c r="J30" i="15" l="1"/>
  <c r="K30" i="15" s="1"/>
  <c r="I30" i="15" s="1"/>
  <c r="D17" i="15"/>
  <c r="J31" i="15" l="1"/>
  <c r="K31" i="15" s="1"/>
  <c r="I31" i="15" s="1"/>
  <c r="C18" i="15"/>
  <c r="M17" i="15"/>
  <c r="F17" i="15" s="1"/>
  <c r="J32" i="15" l="1"/>
  <c r="K32" i="15" s="1"/>
  <c r="I32" i="15"/>
  <c r="I33" i="15" s="1"/>
  <c r="I34" i="15" s="1"/>
  <c r="I35" i="15" s="1"/>
  <c r="I36" i="15" s="1"/>
  <c r="L18" i="15"/>
  <c r="E18" i="15" s="1"/>
  <c r="J33" i="15" l="1"/>
  <c r="K33" i="15" s="1"/>
  <c r="J37" i="15"/>
  <c r="K37" i="15" s="1"/>
  <c r="I37" i="15" s="1"/>
  <c r="J38" i="15" s="1"/>
  <c r="K38" i="15" s="1"/>
  <c r="J36" i="15"/>
  <c r="K36" i="15" s="1"/>
  <c r="J35" i="15"/>
  <c r="K35" i="15" s="1"/>
  <c r="J34" i="15"/>
  <c r="K34" i="15" s="1"/>
  <c r="D18" i="15"/>
  <c r="I38" i="15" l="1"/>
  <c r="I39" i="15" s="1"/>
  <c r="M18" i="15"/>
  <c r="F18" i="15" s="1"/>
  <c r="C19" i="15"/>
  <c r="J39" i="15" l="1"/>
  <c r="K39" i="15" s="1"/>
  <c r="J40" i="15"/>
  <c r="K40" i="15" s="1"/>
  <c r="I40" i="15"/>
  <c r="L19" i="15"/>
  <c r="E19" i="15" s="1"/>
  <c r="J41" i="15" l="1"/>
  <c r="K41" i="15" s="1"/>
  <c r="I41" i="15"/>
  <c r="D19" i="15"/>
  <c r="J42" i="15" l="1"/>
  <c r="K42" i="15" s="1"/>
  <c r="I42" i="15"/>
  <c r="J43" i="15" s="1"/>
  <c r="K43" i="15" s="1"/>
  <c r="I43" i="15" s="1"/>
  <c r="C20" i="15"/>
  <c r="M19" i="15"/>
  <c r="F19" i="15" s="1"/>
  <c r="L20" i="15" l="1"/>
  <c r="E20" i="15" s="1"/>
  <c r="D20" i="15" l="1"/>
  <c r="M20" i="15" l="1"/>
  <c r="F20" i="15" s="1"/>
  <c r="C21" i="15"/>
  <c r="L21" i="15" l="1"/>
  <c r="E21" i="15" s="1"/>
  <c r="D21" i="15" l="1"/>
  <c r="C22" i="15" s="1"/>
  <c r="M21" i="15" l="1"/>
  <c r="F21" i="15" s="1"/>
  <c r="L22" i="15"/>
  <c r="E22" i="15" s="1"/>
  <c r="D22" i="15" l="1"/>
  <c r="C23" i="15" l="1"/>
  <c r="M22" i="15"/>
  <c r="F22" i="15" s="1"/>
  <c r="L23" i="15" l="1"/>
  <c r="E23" i="15" s="1"/>
  <c r="D23" i="15" l="1"/>
  <c r="C24" i="15" l="1"/>
  <c r="M23" i="15"/>
  <c r="F23" i="15" s="1"/>
  <c r="L24" i="15" l="1"/>
  <c r="E24" i="15" s="1"/>
  <c r="D24" i="15" l="1"/>
  <c r="M24" i="15" l="1"/>
  <c r="F24" i="15" s="1"/>
  <c r="C25" i="15"/>
  <c r="L25" i="15" l="1"/>
  <c r="E25" i="15" s="1"/>
  <c r="D25" i="15" l="1"/>
  <c r="M25" i="15" s="1"/>
  <c r="F25" i="15" s="1"/>
  <c r="C26" i="15" l="1"/>
  <c r="L26" i="15" l="1"/>
  <c r="D26" i="15" s="1"/>
  <c r="C27" i="15" l="1"/>
  <c r="E26" i="15"/>
  <c r="L27" i="15" l="1"/>
  <c r="D27" i="15" s="1"/>
  <c r="C28" i="15" s="1"/>
  <c r="M26" i="15"/>
  <c r="F26" i="15" s="1"/>
  <c r="E27" i="15" l="1"/>
  <c r="M27" i="15" s="1"/>
  <c r="F27" i="15" s="1"/>
  <c r="L28" i="15"/>
  <c r="D28" i="15" s="1"/>
  <c r="E28" i="15" l="1"/>
  <c r="M28" i="15" s="1"/>
  <c r="F28" i="15" s="1"/>
  <c r="C29" i="15"/>
  <c r="L29" i="15" l="1"/>
  <c r="D29" i="15" s="1"/>
  <c r="E29" i="15" l="1"/>
  <c r="M29" i="15" s="1"/>
  <c r="F29" i="15" s="1"/>
  <c r="C30" i="15"/>
  <c r="L30" i="15" l="1"/>
  <c r="D30" i="15" s="1"/>
  <c r="E30" i="15" l="1"/>
  <c r="M30" i="15" s="1"/>
  <c r="F30" i="15" s="1"/>
  <c r="C31" i="15"/>
  <c r="L31" i="15" l="1"/>
  <c r="D31" i="15" s="1"/>
  <c r="C32" i="15" s="1"/>
  <c r="L32" i="15" l="1"/>
  <c r="E32" i="15" s="1"/>
  <c r="E31" i="15"/>
  <c r="E44" i="15" s="1"/>
  <c r="D44" i="15"/>
  <c r="D32" i="15" l="1"/>
  <c r="C33" i="15" s="1"/>
  <c r="L33" i="15" s="1"/>
  <c r="E33" i="15" s="1"/>
  <c r="M31" i="15"/>
  <c r="F31" i="15" s="1"/>
  <c r="F44" i="15" s="1"/>
  <c r="M32" i="15" l="1"/>
  <c r="F32" i="15" s="1"/>
  <c r="D33" i="15"/>
  <c r="C34" i="15" s="1"/>
  <c r="L34" i="15" l="1"/>
  <c r="E34" i="15" s="1"/>
  <c r="M33" i="15"/>
  <c r="F33" i="15" s="1"/>
  <c r="D34" i="15" l="1"/>
  <c r="C35" i="15" s="1"/>
  <c r="L35" i="15" s="1"/>
  <c r="E35" i="15" s="1"/>
  <c r="M34" i="15" l="1"/>
  <c r="F34" i="15" s="1"/>
  <c r="D35" i="15"/>
  <c r="C36" i="15" l="1"/>
  <c r="M35" i="15"/>
  <c r="F35" i="15" s="1"/>
  <c r="L36" i="15" l="1"/>
  <c r="E36" i="15" s="1"/>
  <c r="D36" i="15" l="1"/>
  <c r="M36" i="15" l="1"/>
  <c r="F36" i="15" s="1"/>
  <c r="C37" i="15"/>
  <c r="L37" i="15" l="1"/>
  <c r="E37" i="15" s="1"/>
  <c r="D37" i="15" l="1"/>
  <c r="M37" i="15" l="1"/>
  <c r="F37" i="15" s="1"/>
  <c r="C38" i="15"/>
  <c r="L38" i="15" l="1"/>
  <c r="E38" i="15" s="1"/>
  <c r="D38" i="15" l="1"/>
  <c r="M38" i="15" l="1"/>
  <c r="F38" i="15" s="1"/>
  <c r="C39" i="15"/>
  <c r="L39" i="15" l="1"/>
  <c r="E39" i="15" s="1"/>
  <c r="D39" i="15" l="1"/>
  <c r="C40" i="15" l="1"/>
  <c r="M39" i="15"/>
  <c r="F39" i="15" s="1"/>
  <c r="L40" i="15" l="1"/>
  <c r="E40" i="15" s="1"/>
  <c r="D40" i="15" l="1"/>
  <c r="M40" i="15" l="1"/>
  <c r="F40" i="15" s="1"/>
  <c r="C41" i="15"/>
  <c r="L41" i="15" l="1"/>
  <c r="E41" i="15" s="1"/>
  <c r="D41" i="15" l="1"/>
  <c r="M41" i="15" l="1"/>
  <c r="F41" i="15" s="1"/>
  <c r="C42" i="15"/>
  <c r="L42" i="15" l="1"/>
  <c r="E42" i="15" s="1"/>
  <c r="D42" i="15" l="1"/>
  <c r="M42" i="15" l="1"/>
  <c r="F42" i="15" s="1"/>
  <c r="C43" i="15"/>
  <c r="L43" i="15" l="1"/>
  <c r="E43" i="15" s="1"/>
  <c r="D43" i="15" l="1"/>
  <c r="M43" i="15" l="1"/>
  <c r="F43" i="15" s="1"/>
  <c r="B90" i="1" l="1"/>
  <c r="F8" i="12" s="1"/>
  <c r="F9" i="16" s="1"/>
  <c r="A24" i="3" l="1"/>
  <c r="A23" i="3"/>
  <c r="A22" i="3" s="1"/>
  <c r="F9" i="12"/>
  <c r="F10" i="16" s="1"/>
  <c r="D8" i="12"/>
  <c r="D9" i="16" s="1"/>
  <c r="C9" i="12" l="1"/>
  <c r="C10" i="16" s="1"/>
  <c r="F10" i="12"/>
  <c r="F11" i="16" s="1"/>
  <c r="F11" i="12" l="1"/>
  <c r="F12" i="16" s="1"/>
  <c r="E9" i="12"/>
  <c r="E10" i="16" s="1"/>
  <c r="D9" i="12" l="1"/>
  <c r="D10" i="16" s="1"/>
  <c r="F12" i="12"/>
  <c r="F13" i="16" s="1"/>
  <c r="C10" i="12" l="1"/>
  <c r="C11" i="16" s="1"/>
  <c r="F13" i="12"/>
  <c r="F14" i="16" s="1"/>
  <c r="E10" i="12" l="1"/>
  <c r="E11" i="16" s="1"/>
  <c r="F14" i="12"/>
  <c r="F15" i="16" s="1"/>
  <c r="F15" i="12" l="1"/>
  <c r="F16" i="16" s="1"/>
  <c r="D10" i="12"/>
  <c r="D11" i="16" s="1"/>
  <c r="C11" i="12" l="1"/>
  <c r="C12" i="16" s="1"/>
  <c r="F16" i="12"/>
  <c r="F17" i="16" s="1"/>
  <c r="E11" i="12" l="1"/>
  <c r="E12" i="16" s="1"/>
  <c r="F17" i="12"/>
  <c r="F18" i="16" s="1"/>
  <c r="F18" i="12" l="1"/>
  <c r="F19" i="16" s="1"/>
  <c r="D11" i="12"/>
  <c r="D12" i="16" s="1"/>
  <c r="C12" i="12" l="1"/>
  <c r="C13" i="16" s="1"/>
  <c r="E12" i="12" l="1"/>
  <c r="E13" i="16" s="1"/>
  <c r="D12" i="12" l="1"/>
  <c r="D13" i="16" s="1"/>
  <c r="C13" i="12" l="1"/>
  <c r="C14" i="16" s="1"/>
  <c r="E13" i="12" l="1"/>
  <c r="E14" i="16" s="1"/>
  <c r="D13" i="12" l="1"/>
  <c r="C14" i="12" l="1"/>
  <c r="C15" i="16" s="1"/>
  <c r="D14" i="16"/>
  <c r="E14" i="12"/>
  <c r="D14" i="12" l="1"/>
  <c r="E15" i="16"/>
  <c r="C15" i="12" l="1"/>
  <c r="D15" i="16"/>
  <c r="C16" i="16" l="1"/>
  <c r="E15" i="12"/>
  <c r="D15" i="12" l="1"/>
  <c r="E16" i="16"/>
  <c r="C16" i="12" l="1"/>
  <c r="D16" i="16"/>
  <c r="C17" i="16" l="1"/>
  <c r="E16" i="12"/>
  <c r="D16" i="12" l="1"/>
  <c r="E17" i="16"/>
  <c r="C17" i="12" l="1"/>
  <c r="D17" i="16"/>
  <c r="C18" i="16" l="1"/>
  <c r="E17" i="12"/>
  <c r="D17" i="12" l="1"/>
  <c r="E18" i="16"/>
  <c r="C18" i="12" l="1"/>
  <c r="D18" i="16"/>
  <c r="C19" i="16" l="1"/>
  <c r="E18" i="12"/>
  <c r="D18" i="12" l="1"/>
  <c r="E19" i="16"/>
  <c r="C19" i="12" l="1"/>
  <c r="D19" i="16"/>
  <c r="C20" i="16" l="1"/>
  <c r="E19" i="12"/>
  <c r="E20" i="16" l="1"/>
  <c r="BL77" i="1" l="1"/>
  <c r="BL60" i="1" s="1"/>
  <c r="BL75" i="1"/>
  <c r="D19" i="12"/>
  <c r="C20" i="12" s="1"/>
  <c r="D20" i="16"/>
  <c r="D20" i="12" l="1"/>
  <c r="E20" i="12"/>
  <c r="E21" i="16" s="1"/>
  <c r="C21" i="16"/>
  <c r="F19" i="12"/>
  <c r="F20" i="16" s="1"/>
  <c r="C21" i="12"/>
  <c r="D21" i="16"/>
  <c r="F20" i="12" l="1"/>
  <c r="F21" i="16"/>
  <c r="E21" i="12"/>
  <c r="D21" i="12"/>
  <c r="C22" i="16"/>
  <c r="D22" i="16" l="1"/>
  <c r="F21" i="12"/>
  <c r="C22" i="12"/>
  <c r="E22" i="16"/>
  <c r="E22" i="12" l="1"/>
  <c r="C23" i="16"/>
  <c r="D22" i="12"/>
  <c r="F22" i="16"/>
  <c r="F22" i="12" l="1"/>
  <c r="D23" i="16"/>
  <c r="E23" i="16"/>
  <c r="C23" i="12"/>
  <c r="C24" i="16" l="1"/>
  <c r="E23" i="12"/>
  <c r="D23" i="12"/>
  <c r="C24" i="12" s="1"/>
  <c r="F23" i="16"/>
  <c r="C25" i="16" l="1"/>
  <c r="E24" i="12"/>
  <c r="E25" i="16" s="1"/>
  <c r="D24" i="12"/>
  <c r="F23" i="12"/>
  <c r="D24" i="16"/>
  <c r="E24" i="16"/>
  <c r="F24" i="12" l="1"/>
  <c r="F25" i="16" s="1"/>
  <c r="D25" i="16"/>
  <c r="F24" i="16"/>
  <c r="C25" i="12"/>
  <c r="D25" i="12" l="1"/>
  <c r="C26" i="12" s="1"/>
  <c r="E25" i="12"/>
  <c r="C26" i="16"/>
  <c r="E26" i="16" l="1"/>
  <c r="E26" i="12"/>
  <c r="E27" i="16" s="1"/>
  <c r="C27" i="16"/>
  <c r="D26" i="12"/>
  <c r="C27" i="12" s="1"/>
  <c r="F25" i="12"/>
  <c r="F26" i="16" s="1"/>
  <c r="D26" i="16"/>
  <c r="D27" i="12" l="1"/>
  <c r="C28" i="12" s="1"/>
  <c r="E27" i="12"/>
  <c r="E28" i="16" s="1"/>
  <c r="C28" i="16"/>
  <c r="D27" i="16"/>
  <c r="F26" i="12"/>
  <c r="F27" i="16" s="1"/>
  <c r="E28" i="12" l="1"/>
  <c r="E29" i="16" s="1"/>
  <c r="C29" i="16"/>
  <c r="D28" i="12"/>
  <c r="F27" i="12"/>
  <c r="F28" i="16" s="1"/>
  <c r="D28" i="16"/>
  <c r="F28" i="12" l="1"/>
  <c r="F29" i="16" s="1"/>
  <c r="D29" i="16"/>
  <c r="C29" i="12"/>
  <c r="D29" i="12" l="1"/>
  <c r="C30" i="12" s="1"/>
  <c r="E29" i="12"/>
  <c r="E30" i="16" s="1"/>
  <c r="C30" i="16"/>
  <c r="E30" i="12" l="1"/>
  <c r="E31" i="16" s="1"/>
  <c r="C31" i="16"/>
  <c r="D30" i="12"/>
  <c r="F29" i="12"/>
  <c r="F30" i="16" s="1"/>
  <c r="D30" i="16"/>
  <c r="D31" i="16" l="1"/>
  <c r="F30" i="12"/>
  <c r="F31" i="16" s="1"/>
  <c r="C31" i="12"/>
  <c r="D31" i="12" l="1"/>
  <c r="E31" i="12"/>
  <c r="C32" i="16"/>
  <c r="C32" i="12"/>
  <c r="E32" i="12" l="1"/>
  <c r="E33" i="16" s="1"/>
  <c r="C33" i="16"/>
  <c r="D32" i="12"/>
  <c r="E32" i="16"/>
  <c r="E44" i="12"/>
  <c r="F31" i="12"/>
  <c r="D32" i="16"/>
  <c r="D44" i="12"/>
  <c r="F32" i="12" l="1"/>
  <c r="F33" i="16" s="1"/>
  <c r="D33" i="16"/>
  <c r="F32" i="16"/>
  <c r="F44" i="12"/>
  <c r="C33" i="12"/>
  <c r="D33" i="12" l="1"/>
  <c r="C34" i="12" s="1"/>
  <c r="E33" i="12"/>
  <c r="E34" i="16" s="1"/>
  <c r="C34" i="16"/>
  <c r="E34" i="12" l="1"/>
  <c r="E35" i="16" s="1"/>
  <c r="C35" i="16"/>
  <c r="D34" i="12"/>
  <c r="F33" i="12"/>
  <c r="F34" i="16" s="1"/>
  <c r="D34" i="16"/>
  <c r="D35" i="16" l="1"/>
  <c r="F34" i="12"/>
  <c r="F35" i="16" s="1"/>
  <c r="C35" i="12"/>
  <c r="D35" i="12" l="1"/>
  <c r="E35" i="12"/>
  <c r="E36" i="16" s="1"/>
  <c r="C36" i="16"/>
  <c r="C36" i="12"/>
  <c r="E36" i="12" l="1"/>
  <c r="E37" i="16" s="1"/>
  <c r="C37" i="16"/>
  <c r="D36" i="12"/>
  <c r="F35" i="12"/>
  <c r="F36" i="16" s="1"/>
  <c r="D36" i="16"/>
  <c r="F36" i="12" l="1"/>
  <c r="F37" i="16" s="1"/>
  <c r="D37" i="16"/>
  <c r="C37" i="12"/>
  <c r="D37" i="12" l="1"/>
  <c r="C38" i="12"/>
  <c r="E37" i="12"/>
  <c r="E38" i="16" s="1"/>
  <c r="C38" i="16"/>
  <c r="E38" i="12" l="1"/>
  <c r="E39" i="16" s="1"/>
  <c r="C39" i="16"/>
  <c r="D38" i="12"/>
  <c r="F37" i="12"/>
  <c r="F38" i="16" s="1"/>
  <c r="D38" i="16"/>
  <c r="D39" i="16" l="1"/>
  <c r="F38" i="12"/>
  <c r="F39" i="16" s="1"/>
  <c r="C39" i="12"/>
  <c r="D39" i="12" l="1"/>
  <c r="E39" i="12"/>
  <c r="E40" i="16" s="1"/>
  <c r="C40" i="16"/>
  <c r="C40" i="12"/>
  <c r="E40" i="12" l="1"/>
  <c r="E41" i="16" s="1"/>
  <c r="C41" i="16"/>
  <c r="D40" i="12"/>
  <c r="F39" i="12"/>
  <c r="F40" i="16" s="1"/>
  <c r="D40" i="16"/>
  <c r="F40" i="12" l="1"/>
  <c r="F41" i="16" s="1"/>
  <c r="D41" i="16"/>
  <c r="C41" i="12"/>
  <c r="D41" i="12" l="1"/>
  <c r="C42" i="12"/>
  <c r="E41" i="12"/>
  <c r="E42" i="16" s="1"/>
  <c r="C42" i="16"/>
  <c r="E42" i="12" l="1"/>
  <c r="E43" i="16" s="1"/>
  <c r="C43" i="16"/>
  <c r="D42" i="12"/>
  <c r="F41" i="12"/>
  <c r="F42" i="16" s="1"/>
  <c r="D42" i="16"/>
  <c r="D43" i="16" l="1"/>
  <c r="F42" i="12"/>
  <c r="F43" i="16" s="1"/>
  <c r="C43" i="12"/>
  <c r="D43" i="12" l="1"/>
  <c r="C44" i="16"/>
  <c r="E43" i="12"/>
  <c r="E44" i="16" s="1"/>
  <c r="E45" i="16" s="1"/>
  <c r="D44" i="16" l="1"/>
  <c r="D45" i="16" s="1"/>
  <c r="F43" i="12"/>
  <c r="F44" i="16" s="1"/>
  <c r="F45" i="16" s="1"/>
</calcChain>
</file>

<file path=xl/sharedStrings.xml><?xml version="1.0" encoding="utf-8"?>
<sst xmlns="http://schemas.openxmlformats.org/spreadsheetml/2006/main" count="632" uniqueCount="448">
  <si>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</si>
  <si>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</si>
  <si>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</si>
  <si>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</si>
  <si>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</si>
  <si>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</si>
  <si>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</si>
  <si>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</si>
  <si>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</si>
  <si>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</si>
  <si>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</si>
  <si>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</si>
  <si>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</si>
  <si>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</si>
  <si>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</si>
  <si>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</si>
  <si>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</si>
  <si>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</si>
  <si>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</si>
  <si>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</si>
  <si>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</si>
  <si>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</si>
  <si>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 кадастра</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</si>
  <si>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</si>
  <si>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</si>
  <si>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</si>
  <si>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</si>
  <si>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</si>
  <si>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</si>
  <si>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</si>
  <si>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</si>
  <si>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</si>
  <si>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</si>
  <si>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</si>
  <si>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</si>
  <si>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</si>
  <si>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</si>
  <si>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</si>
  <si>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</si>
  <si>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</si>
  <si>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</si>
  <si>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</si>
  <si>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</si>
  <si>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</si>
  <si>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</si>
  <si>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</si>
  <si>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SHOUSMANOVA DAVLATXON XXX</t>
  </si>
  <si>
    <t>SHOUSMANOVA D</t>
  </si>
  <si>
    <t>AC 0623976</t>
  </si>
  <si>
    <t>FARGONA VILOYATI QOQON SHAHAR GUZAR 266 12</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</si>
  <si>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</si>
  <si>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</si>
  <si>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</si>
  <si>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</si>
  <si>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№14:13:02:01:03:1179:0006:058 от 16.12.2020 г.</t>
  </si>
  <si>
    <t>1718238/R-A1419303</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</si>
  <si>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</si>
  <si>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</si>
  <si>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</si>
  <si>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</si>
  <si>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</si>
  <si>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</si>
  <si>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</si>
  <si>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</si>
  <si>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</si>
  <si>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</si>
  <si>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</si>
  <si>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</si>
  <si>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</si>
  <si>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</si>
  <si>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</si>
  <si>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</si>
  <si>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</si>
  <si>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</si>
  <si>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</si>
  <si>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</si>
  <si>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</si>
  <si>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</si>
  <si>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</si>
  <si>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</si>
  <si>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</si>
  <si>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</si>
  <si>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</si>
  <si>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</si>
  <si>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</si>
  <si>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</si>
  <si>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</si>
  <si>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</si>
  <si>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</si>
  <si>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</si>
  <si>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</si>
  <si>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</si>
  <si>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</si>
  <si>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</si>
  <si>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</si>
  <si>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</si>
  <si>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</si>
  <si>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</si>
  <si>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</si>
  <si>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</si>
  <si>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</si>
  <si>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</si>
  <si>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</si>
  <si>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</si>
  <si>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</si>
  <si>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</si>
  <si>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</si>
  <si>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</si>
  <si>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</si>
  <si>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</si>
  <si>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</si>
  <si>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</si>
  <si>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</si>
  <si>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</si>
  <si>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</si>
  <si>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</si>
  <si>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</si>
  <si>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</si>
  <si>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</si>
  <si>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</si>
  <si>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</si>
  <si>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</si>
  <si>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</si>
  <si>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</si>
  <si>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</si>
  <si>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</si>
  <si>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</si>
  <si>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</si>
  <si>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</si>
  <si>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</si>
  <si>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</si>
  <si>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</si>
  <si>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</si>
  <si>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</si>
  <si>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</si>
  <si>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</si>
  <si>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</si>
  <si>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</si>
  <si>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</si>
  <si>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</si>
  <si>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</si>
  <si>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</si>
  <si>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</si>
  <si>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</si>
  <si>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</si>
  <si>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</si>
  <si>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</si>
  <si>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</si>
  <si>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</si>
  <si>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</si>
  <si>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</si>
  <si>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</si>
  <si>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</si>
  <si>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</si>
  <si>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</si>
  <si>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</si>
  <si>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</si>
  <si>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03.05.1952 y.</t>
  </si>
  <si>
    <t>FARGONA VILOYATI QOQON SHAHAR IIB tomonidan 05.08.2018 y.</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</si>
  <si>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</si>
  <si>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</si>
  <si>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</si>
  <si>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</si>
  <si>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</si>
  <si>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</si>
  <si>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</si>
  <si>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</si>
  <si>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</si>
  <si>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</si>
  <si>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</si>
  <si>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</si>
  <si>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</si>
  <si>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</si>
  <si>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</si>
  <si>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</si>
  <si>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</si>
  <si>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</si>
  <si>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</si>
  <si>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</si>
  <si>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</si>
  <si>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</si>
  <si>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</si>
  <si>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</si>
  <si>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</si>
  <si>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</si>
  <si>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</si>
  <si>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</si>
  <si>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</si>
  <si>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</si>
  <si>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</si>
  <si>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</si>
  <si>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</si>
  <si>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</si>
  <si>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</si>
  <si>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</si>
  <si>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</si>
  <si>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</si>
  <si>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</si>
  <si>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</si>
  <si>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</si>
  <si>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</si>
  <si>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</si>
  <si>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</si>
  <si>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</si>
  <si>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</si>
  <si>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</si>
  <si>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</si>
  <si>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</si>
  <si>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</si>
  <si>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</si>
  <si>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</si>
  <si>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</si>
  <si>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</si>
  <si>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</si>
  <si>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</si>
  <si>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</si>
  <si>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</si>
  <si>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</si>
  <si>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Kuzov turi  va kuzov raqami*</t>
  </si>
  <si>
    <t>Dvigatel va shassi raqami*</t>
  </si>
  <si>
    <t>Ishlab chiqarilgan yili va rangi*</t>
  </si>
  <si>
    <t>Kelishilgan garov qiymati, so'm</t>
  </si>
  <si>
    <t xml:space="preserve">Toshkent shahri </t>
  </si>
  <si>
    <t>Foydali maydoni</t>
  </si>
  <si>
    <t>Yashasha maydoni</t>
  </si>
  <si>
    <t>Umumiy maydoni</t>
  </si>
  <si>
    <t>Yashash xona</t>
  </si>
  <si>
    <t>Noturar joy</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</si>
  <si>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</si>
  <si>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</si>
  <si>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</si>
  <si>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</si>
  <si>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</si>
  <si>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</si>
  <si>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</si>
  <si>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</si>
  <si>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</si>
  <si>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</si>
  <si>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</si>
  <si>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</si>
  <si>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</si>
  <si>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</si>
  <si>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</si>
  <si>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</si>
  <si>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</si>
  <si>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</si>
  <si>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</si>
  <si>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</si>
  <si>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</si>
  <si>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</si>
  <si>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</si>
  <si>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</si>
  <si>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</si>
  <si>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</si>
  <si>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</si>
  <si>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</si>
  <si>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</si>
  <si>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</si>
  <si>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</si>
  <si>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</si>
  <si>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</si>
  <si>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</si>
  <si>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</si>
  <si>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</si>
  <si>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</si>
  <si>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</si>
  <si>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</si>
  <si>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</si>
  <si>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</si>
  <si>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</si>
  <si>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</si>
  <si>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</si>
  <si>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72.13 kv.m.</t>
  </si>
  <si>
    <t>37.39 kv.m</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</si>
  <si>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</si>
  <si>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</si>
  <si>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</si>
  <si>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</si>
  <si>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</si>
  <si>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</si>
  <si>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</si>
  <si>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</si>
  <si>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</si>
  <si>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</si>
  <si>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</si>
  <si>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Yer uchastkasining foydalanish maydoni, m²</t>
  </si>
  <si>
    <t>Yashash maydoni, m²</t>
  </si>
  <si>
    <t>Umumiy maydoni, m²</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</si>
  <si>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</si>
  <si>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</si>
  <si>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</si>
  <si>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</si>
  <si>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</si>
  <si>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</si>
  <si>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</si>
  <si>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</si>
  <si>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</si>
  <si>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</si>
  <si>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</si>
  <si>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Kuzov turi  va kuzov raqami</t>
  </si>
  <si>
    <t>Dvigatel va shassi raqami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</si>
  <si>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</si>
  <si>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</si>
  <si>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</si>
  <si>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</si>
  <si>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</si>
  <si>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</si>
  <si>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</si>
  <si>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</si>
  <si>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</si>
  <si>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</si>
  <si>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</si>
  <si>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</si>
  <si>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</si>
  <si>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</si>
  <si>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</si>
  <si>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</si>
  <si>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</si>
  <si>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</si>
  <si>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</si>
  <si>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</si>
  <si>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</si>
  <si>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</si>
  <si>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</si>
  <si>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</si>
  <si>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</si>
  <si>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</si>
  <si>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</si>
  <si>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</si>
  <si>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</si>
  <si>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</si>
  <si>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</si>
  <si>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</si>
  <si>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</si>
  <si>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</si>
  <si>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</si>
  <si>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</si>
  <si>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</si>
  <si>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</si>
  <si>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</si>
  <si>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</si>
  <si>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</si>
  <si>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</si>
  <si>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</si>
  <si>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</si>
  <si>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</si>
  <si>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</si>
  <si>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</si>
  <si>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</si>
  <si>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</si>
  <si>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</si>
  <si>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</si>
  <si>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</si>
  <si>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</si>
  <si>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</si>
  <si>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</si>
  <si>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</si>
  <si>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</si>
  <si>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</si>
  <si>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</si>
  <si>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</si>
  <si>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</si>
  <si>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</si>
  <si>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</si>
  <si>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</si>
  <si>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</si>
  <si>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</si>
  <si>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</si>
  <si>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</si>
  <si>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</si>
  <si>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</si>
  <si>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</si>
  <si>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</si>
  <si>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</si>
  <si>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</si>
  <si>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</si>
  <si>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</si>
  <si>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</si>
  <si>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</si>
  <si>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</si>
  <si>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</si>
  <si>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</si>
  <si>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</si>
  <si>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</si>
  <si>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</si>
  <si>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</si>
  <si>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</si>
  <si>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</si>
  <si>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</si>
  <si>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</si>
  <si>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</si>
  <si>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</si>
  <si>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</si>
  <si>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</si>
  <si>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</si>
  <si>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</si>
  <si>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</si>
  <si>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</si>
  <si>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</si>
  <si>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</si>
  <si>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</si>
  <si>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</si>
  <si>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</si>
  <si>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</si>
  <si>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</si>
  <si>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</si>
  <si>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xml:space="preserve"> Jumanazarov B.T</t>
  </si>
  <si>
    <t>XOJANIYAZOV B. Z.</t>
  </si>
  <si>
    <t>XOJANIYAZOV BAHADIR ZINATDINOVICH</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</si>
  <si>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</si>
  <si>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</si>
  <si>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</si>
  <si>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</si>
  <si>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Nukus filiali boshligi</t>
  </si>
  <si>
    <t>100</t>
  </si>
  <si>
    <t>bir yuz</t>
  </si>
  <si>
    <t>RAKAMSIZ</t>
  </si>
  <si>
    <t>Kuzov turi YENGIL SEDAN, Kuzov raqami XWBJF69VELA059410</t>
  </si>
  <si>
    <t>Mominov B.X.</t>
  </si>
  <si>
    <t>Abduraximov Nаdirbek Kamilevich</t>
  </si>
  <si>
    <t>1. Abduraximov Nаdirbek Kamilevich</t>
  </si>
  <si>
    <t>Mijoz quyidagi majburiyatlarga ega: NUKUS Sh., "AGROBANK" ATB KORAKALPOGISTON RЕSPUBLIKASI XUDUDIY FILIALI  20 900 000.00  so'm. TOSHKЕNT Sh., AT XALK BANKI BOSH AMALIYOTLAR BOSHKARMASI 714 283.00 so'm . Ayni paytda muddati o'tgan qarzdorligi mavjud emas. O‘rtacha oylik to‘lov 1 651 168.64 so‘mni tashkil qiladi.</t>
  </si>
  <si>
    <t>YENGIL SEDAN</t>
  </si>
  <si>
    <t>04.02.2025</t>
  </si>
  <si>
    <t>QOSIMOV BEKZODBEK ORIFJONOVICH</t>
  </si>
  <si>
    <t>QOSIMOV  B.O.</t>
  </si>
  <si>
    <t>04.12.1981y</t>
  </si>
  <si>
    <t>AB7685294</t>
  </si>
  <si>
    <t>ANDIJON VILOYATI SHAXRIXON TUMANI IIB</t>
  </si>
  <si>
    <t>ANDIJON VILOYATI SHAXRIXON TUMANI BARKAMOL AVLOD MFY</t>
  </si>
  <si>
    <t>ташкен гос ца нын касында домда иш жойи 108 оптом бетте</t>
  </si>
  <si>
    <t>QORAQALPOGISTON RESPUBLIKASI  NUKUS SHAHARI OZBEKISTON GUZARI 71 4 UY</t>
  </si>
  <si>
    <t>SHAXRIXON TUMANI</t>
  </si>
  <si>
    <t>91-496-91-11Klient</t>
  </si>
  <si>
    <t>90-708-11-28 кизи</t>
  </si>
  <si>
    <t>33-421-81-05 угли</t>
  </si>
  <si>
    <t xml:space="preserve"> №0005101243</t>
  </si>
  <si>
    <t xml:space="preserve">Avtomobillarni mayda ta'mirlash </t>
  </si>
  <si>
    <t>Andijon viloyati RO' va IOB</t>
  </si>
  <si>
    <t>AAG 2398913  20.09.2023 y.</t>
  </si>
  <si>
    <t>MALIBU 2</t>
  </si>
  <si>
    <t>60Q081BB</t>
  </si>
  <si>
    <t>KL1ZA69X9NB504276</t>
  </si>
  <si>
    <t>QORA CHYORNIY</t>
  </si>
  <si>
    <t>2022</t>
  </si>
  <si>
    <t>№269-NS</t>
  </si>
  <si>
    <t>Abduraximov N.K.</t>
  </si>
  <si>
    <t xml:space="preserve">Ijrochi direktori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</si>
</sst>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7">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sz val="12"/>
      <color rgb="FF585858"/>
      <name val="SegoeUI"/>
    </font>
    <font>
      <b/>
      <i/>
      <sz val="12"/>
      <color theme="1"/>
      <name val="Times New Roman"/>
      <family val="1"/>
      <charset val="204"/>
    </font>
    <font>
      <b/>
      <sz val="36"/>
      <color theme="1"/>
      <name val="Times New Roman"/>
      <family val="1"/>
      <charset val="204"/>
    </font>
    <font>
      <sz val="12"/>
      <name val="Arial"/>
      <family val="2"/>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11"/>
      <color theme="0"/>
      <name val="Arial"/>
      <family val="2"/>
      <charset val="204"/>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
      <patternFill patternType="solid">
        <fgColor theme="1" tint="4.9989318521683403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41">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6" fillId="0" borderId="0">
      <alignment vertical="center"/>
    </xf>
    <xf numFmtId="0" fontId="56"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9" fontId="3" fillId="0" borderId="0" applyFont="0" applyFill="0" applyBorder="0" applyAlignment="0" applyProtection="0"/>
  </cellStyleXfs>
  <cellXfs count="369">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16" fontId="4" fillId="0" borderId="0" xfId="0" applyNumberFormat="1" applyFont="1"/>
    <xf numFmtId="0" fontId="4" fillId="0" borderId="1" xfId="0" applyFont="1" applyBorder="1"/>
    <xf numFmtId="0" fontId="4" fillId="0" borderId="1" xfId="0" applyFont="1" applyBorder="1" applyAlignment="1">
      <alignment horizontal="left" vertical="center"/>
    </xf>
    <xf numFmtId="0" fontId="13" fillId="0" borderId="1" xfId="0" applyFont="1" applyBorder="1" applyAlignment="1">
      <alignment horizontal="justify" vertical="top" wrapText="1"/>
    </xf>
    <xf numFmtId="0" fontId="14" fillId="0" borderId="1" xfId="0" applyFont="1" applyBorder="1" applyAlignment="1">
      <alignment horizontal="justify" vertical="top" wrapText="1"/>
    </xf>
    <xf numFmtId="0" fontId="5" fillId="0" borderId="0" xfId="0" applyFont="1" applyAlignment="1">
      <alignment vertical="center"/>
    </xf>
    <xf numFmtId="0" fontId="14" fillId="0" borderId="0" xfId="0" applyFont="1" applyAlignment="1">
      <alignment horizontal="center" vertical="center" wrapText="1"/>
    </xf>
    <xf numFmtId="43" fontId="13" fillId="0" borderId="1" xfId="1" applyFont="1" applyBorder="1" applyAlignment="1">
      <alignment horizontal="justify" vertical="top" wrapText="1"/>
    </xf>
    <xf numFmtId="43" fontId="14" fillId="0" borderId="1" xfId="1" applyFont="1" applyBorder="1" applyAlignment="1">
      <alignment horizontal="justify" vertical="top" wrapText="1"/>
    </xf>
    <xf numFmtId="43" fontId="14" fillId="0" borderId="1" xfId="1" applyFont="1" applyBorder="1" applyAlignment="1">
      <alignment horizontal="center" vertical="top"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31" fillId="0" borderId="0" xfId="0" applyFont="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34" fillId="5" borderId="16" xfId="0" applyFont="1" applyFill="1" applyBorder="1"/>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14" fontId="4" fillId="4" borderId="0" xfId="0" applyNumberFormat="1" applyFont="1" applyFill="1"/>
    <xf numFmtId="0" fontId="4" fillId="4" borderId="15" xfId="0" applyFont="1" applyFill="1" applyBorder="1" applyAlignment="1">
      <alignment vertical="center"/>
    </xf>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5" fillId="0" borderId="0" xfId="0" applyFont="1"/>
    <xf numFmtId="0" fontId="26" fillId="0" borderId="0" xfId="0" applyFont="1"/>
    <xf numFmtId="0" fontId="35"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8"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2" fontId="14" fillId="0" borderId="1" xfId="0" applyNumberFormat="1" applyFont="1" applyBorder="1" applyAlignment="1">
      <alignment horizontal="justify" vertical="top" wrapText="1"/>
    </xf>
    <xf numFmtId="43" fontId="13" fillId="0" borderId="1" xfId="1" applyFont="1" applyBorder="1" applyAlignment="1">
      <alignment horizontal="center" vertical="top" wrapText="1"/>
    </xf>
    <xf numFmtId="43" fontId="13" fillId="0" borderId="1" xfId="1" applyFont="1" applyBorder="1" applyAlignment="1">
      <alignment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164" fontId="4" fillId="4" borderId="3" xfId="0" applyNumberFormat="1" applyFont="1" applyFill="1" applyBorder="1" applyAlignment="1">
      <alignment horizontal="left" vertical="top"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4"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42" fillId="0" borderId="0" xfId="0" applyFont="1" applyAlignment="1">
      <alignment vertical="center"/>
    </xf>
    <xf numFmtId="0" fontId="2" fillId="0" borderId="0" xfId="0" applyFont="1"/>
    <xf numFmtId="0" fontId="45" fillId="0" borderId="0" xfId="0" applyFont="1" applyAlignment="1">
      <alignment vertical="center"/>
    </xf>
    <xf numFmtId="0" fontId="46"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8" fillId="0" borderId="0" xfId="0" applyFont="1"/>
    <xf numFmtId="49" fontId="4" fillId="0" borderId="0" xfId="0" applyNumberFormat="1" applyFont="1"/>
    <xf numFmtId="0" fontId="49"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2"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25" fillId="0" borderId="19" xfId="0" applyFont="1" applyBorder="1"/>
    <xf numFmtId="0" fontId="25" fillId="0" borderId="20" xfId="0" applyFont="1" applyBorder="1"/>
    <xf numFmtId="0" fontId="25" fillId="0" borderId="4" xfId="0" applyFont="1" applyBorder="1"/>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29" fillId="0" borderId="18" xfId="0" applyFont="1" applyBorder="1" applyAlignment="1">
      <alignment horizontal="justify" vertical="top" wrapText="1"/>
    </xf>
    <xf numFmtId="0" fontId="4" fillId="5" borderId="1" xfId="0" applyFont="1" applyFill="1" applyBorder="1" applyAlignment="1">
      <alignment vertical="center"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8" fillId="0" borderId="0" xfId="0" applyFont="1" applyAlignment="1">
      <alignment wrapText="1"/>
    </xf>
    <xf numFmtId="0" fontId="51" fillId="11" borderId="2" xfId="0" applyFont="1" applyFill="1" applyBorder="1" applyAlignment="1">
      <alignment horizontal="left" vertical="center" wrapText="1"/>
    </xf>
    <xf numFmtId="0" fontId="51" fillId="11" borderId="24" xfId="0" applyFont="1" applyFill="1" applyBorder="1" applyAlignment="1">
      <alignment horizontal="left" vertical="center" wrapText="1"/>
    </xf>
    <xf numFmtId="43" fontId="54" fillId="4" borderId="1" xfId="1" applyFont="1" applyFill="1" applyBorder="1" applyAlignment="1">
      <alignment vertical="center" wrapText="1"/>
    </xf>
    <xf numFmtId="0" fontId="14" fillId="0" borderId="0" xfId="0" applyFont="1" applyAlignment="1">
      <alignment horizontal="left"/>
    </xf>
    <xf numFmtId="14" fontId="9" fillId="2" borderId="1" xfId="0" applyNumberFormat="1" applyFont="1" applyFill="1" applyBorder="1" applyAlignment="1">
      <alignment horizontal="center" vertical="center" wrapText="1"/>
    </xf>
    <xf numFmtId="41" fontId="4" fillId="0" borderId="1" xfId="139" applyFont="1" applyBorder="1" applyAlignment="1">
      <alignment vertical="center" wrapText="1"/>
    </xf>
    <xf numFmtId="0" fontId="18" fillId="0" borderId="0" xfId="0" applyFont="1"/>
    <xf numFmtId="0" fontId="28" fillId="11" borderId="0" xfId="0" applyFont="1" applyFill="1"/>
    <xf numFmtId="43" fontId="25" fillId="11" borderId="0" xfId="0" applyNumberFormat="1" applyFont="1" applyFill="1"/>
    <xf numFmtId="10" fontId="28" fillId="11" borderId="0" xfId="140" applyNumberFormat="1" applyFont="1" applyFill="1" applyAlignment="1">
      <alignment horizontal="center" vertical="center"/>
    </xf>
    <xf numFmtId="0" fontId="28" fillId="11" borderId="0" xfId="0" applyFont="1" applyFill="1" applyAlignment="1">
      <alignment horizontal="center" vertical="center"/>
    </xf>
    <xf numFmtId="43" fontId="4" fillId="12" borderId="0" xfId="0" applyNumberFormat="1" applyFont="1" applyFill="1"/>
    <xf numFmtId="0" fontId="4" fillId="12" borderId="0" xfId="0" applyFont="1" applyFill="1"/>
    <xf numFmtId="14" fontId="4" fillId="0" borderId="1" xfId="0" applyNumberFormat="1" applyFont="1" applyBorder="1" applyAlignment="1">
      <alignment vertical="center" wrapText="1"/>
    </xf>
    <xf numFmtId="0" fontId="4" fillId="4" borderId="1" xfId="0" quotePrefix="1" applyFont="1" applyFill="1" applyBorder="1" applyAlignment="1">
      <alignment vertical="center" wrapText="1"/>
    </xf>
    <xf numFmtId="0" fontId="14" fillId="0" borderId="0" xfId="0" applyFont="1" applyAlignment="1">
      <alignment horizontal="left"/>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35" fillId="0" borderId="0" xfId="0" applyFont="1" applyAlignment="1">
      <alignment horizontal="center" vertical="center" wrapText="1"/>
    </xf>
    <xf numFmtId="0" fontId="13" fillId="0" borderId="17" xfId="0" applyFont="1" applyBorder="1" applyAlignment="1">
      <alignment horizontal="left" vertical="center" wrapText="1"/>
    </xf>
    <xf numFmtId="0" fontId="47" fillId="0" borderId="0" xfId="0" applyFont="1" applyAlignment="1">
      <alignment horizontal="justify" vertical="top" wrapText="1"/>
    </xf>
    <xf numFmtId="0" fontId="14" fillId="0" borderId="0" xfId="0" applyFont="1" applyAlignment="1">
      <alignment horizontal="left"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35" fillId="0" borderId="0" xfId="0" applyFont="1" applyAlignment="1">
      <alignment horizontal="right"/>
    </xf>
    <xf numFmtId="0" fontId="35"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Alignment="1">
      <alignment horizontal="center" vertical="top" wrapText="1"/>
    </xf>
    <xf numFmtId="0" fontId="26"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6" fillId="0" borderId="0" xfId="0" applyFont="1" applyAlignment="1">
      <alignment horizontal="center"/>
    </xf>
    <xf numFmtId="0" fontId="26" fillId="0" borderId="0" xfId="0" applyFont="1" applyAlignment="1">
      <alignment horizontal="left" wrapText="1"/>
    </xf>
    <xf numFmtId="0" fontId="37" fillId="0" borderId="0" xfId="0" applyFont="1" applyAlignment="1">
      <alignment horizontal="center" vertical="top" wrapText="1"/>
    </xf>
    <xf numFmtId="0" fontId="26" fillId="0" borderId="0" xfId="0" applyFont="1" applyAlignment="1">
      <alignment horizont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center" vertical="top" wrapText="1"/>
    </xf>
    <xf numFmtId="0" fontId="13" fillId="0" borderId="0" xfId="0" applyFont="1" applyAlignment="1">
      <alignment horizontal="center"/>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justify" vertical="center" wrapText="1"/>
    </xf>
    <xf numFmtId="0" fontId="7" fillId="0" borderId="0" xfId="0" applyFont="1" applyAlignment="1">
      <alignment horizontal="justify" wrapText="1"/>
    </xf>
    <xf numFmtId="0" fontId="8" fillId="0" borderId="0" xfId="0" applyFont="1" applyAlignment="1">
      <alignment horizontal="left" vertical="center" wrapText="1"/>
    </xf>
    <xf numFmtId="0" fontId="7" fillId="0" borderId="0" xfId="0" applyFont="1" applyAlignment="1">
      <alignment horizontal="justify" vertical="top" wrapText="1"/>
    </xf>
    <xf numFmtId="0" fontId="8" fillId="0" borderId="0" xfId="0" applyFont="1" applyAlignment="1">
      <alignment horizontal="center"/>
    </xf>
    <xf numFmtId="0" fontId="8" fillId="0" borderId="0" xfId="0" applyFont="1" applyAlignment="1">
      <alignment horizontal="right" vertical="top"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13" fillId="0" borderId="0" xfId="0" applyFont="1" applyAlignment="1">
      <alignment horizontal="left" vertical="top"/>
    </xf>
    <xf numFmtId="0" fontId="8" fillId="0" borderId="0" xfId="0" applyFont="1" applyAlignment="1">
      <alignment horizontal="center" wrapText="1"/>
    </xf>
    <xf numFmtId="0" fontId="7"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top" wrapText="1"/>
    </xf>
    <xf numFmtId="49" fontId="7" fillId="0" borderId="0" xfId="0" applyNumberFormat="1" applyFont="1" applyAlignment="1">
      <alignment horizontal="left" vertical="top" wrapText="1"/>
    </xf>
    <xf numFmtId="0" fontId="32" fillId="0" borderId="0" xfId="0" applyFont="1" applyAlignment="1">
      <alignment horizontal="left"/>
    </xf>
    <xf numFmtId="0" fontId="7" fillId="0" borderId="0" xfId="0" applyFont="1" applyAlignment="1">
      <alignment vertical="top" wrapText="1"/>
    </xf>
    <xf numFmtId="0" fontId="32" fillId="0" borderId="0" xfId="0" applyFont="1" applyAlignment="1">
      <alignment horizontal="center" vertical="top" wrapText="1"/>
    </xf>
    <xf numFmtId="0" fontId="27" fillId="0" borderId="0" xfId="0" applyFont="1" applyAlignment="1">
      <alignment horizontal="left" vertical="top" wrapText="1"/>
    </xf>
    <xf numFmtId="0" fontId="27" fillId="5" borderId="0" xfId="0" applyFont="1" applyFill="1" applyAlignment="1">
      <alignment horizontal="left" vertical="top" wrapText="1"/>
    </xf>
    <xf numFmtId="0" fontId="7" fillId="0" borderId="0" xfId="0" applyFont="1" applyAlignment="1">
      <alignment horizontal="left" wrapText="1"/>
    </xf>
    <xf numFmtId="0" fontId="8" fillId="0" borderId="0" xfId="0" applyFont="1" applyAlignment="1">
      <alignment horizontal="center" vertical="center"/>
    </xf>
    <xf numFmtId="0" fontId="55"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13" fillId="0" borderId="3" xfId="0" applyFont="1" applyBorder="1" applyAlignment="1">
      <alignment horizontal="center" vertical="top" wrapText="1"/>
    </xf>
    <xf numFmtId="0" fontId="13" fillId="0" borderId="2" xfId="0" applyFont="1" applyBorder="1" applyAlignment="1">
      <alignment horizontal="center"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6" fillId="0" borderId="3" xfId="0" applyFont="1" applyBorder="1" applyAlignment="1">
      <alignment horizontal="center" vertical="top" wrapText="1"/>
    </xf>
    <xf numFmtId="0" fontId="26" fillId="0" borderId="2" xfId="0" applyFont="1" applyBorder="1" applyAlignment="1">
      <alignment horizontal="center"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top" wrapText="1"/>
    </xf>
    <xf numFmtId="0" fontId="14" fillId="0" borderId="2" xfId="0" applyFont="1" applyBorder="1" applyAlignment="1">
      <alignment horizontal="center" vertical="top" wrapText="1"/>
    </xf>
    <xf numFmtId="0" fontId="13" fillId="0" borderId="17" xfId="0" applyFont="1" applyBorder="1" applyAlignment="1">
      <alignment horizontal="justify" vertical="top" wrapText="1"/>
    </xf>
    <xf numFmtId="0" fontId="24" fillId="0" borderId="0" xfId="0" applyFont="1" applyAlignment="1">
      <alignment horizontal="right" vertical="top" wrapText="1"/>
    </xf>
    <xf numFmtId="0" fontId="14" fillId="0" borderId="0" xfId="0" applyFont="1" applyAlignment="1">
      <alignment horizontal="right" vertical="top"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3" fillId="0" borderId="0" xfId="0" applyFont="1" applyAlignment="1">
      <alignment horizontal="left"/>
    </xf>
    <xf numFmtId="0" fontId="40" fillId="0" borderId="0" xfId="0" applyFont="1" applyAlignment="1">
      <alignment vertical="center" wrapText="1"/>
    </xf>
    <xf numFmtId="0" fontId="13" fillId="0" borderId="0" xfId="0" applyFont="1" applyAlignment="1">
      <alignment vertical="top" wrapText="1"/>
    </xf>
    <xf numFmtId="0" fontId="40" fillId="0" borderId="0" xfId="0" applyFont="1" applyAlignment="1">
      <alignment horizontal="justify" vertical="center" wrapText="1"/>
    </xf>
    <xf numFmtId="0" fontId="16" fillId="0" borderId="0" xfId="0" applyFont="1" applyAlignment="1">
      <alignment horizontal="justify" vertical="top" wrapText="1" readingOrder="1"/>
    </xf>
    <xf numFmtId="0" fontId="15" fillId="0" borderId="0" xfId="0" applyFont="1" applyAlignment="1">
      <alignment horizontal="center" wrapText="1"/>
    </xf>
    <xf numFmtId="0" fontId="43" fillId="0" borderId="0" xfId="0" applyFont="1" applyAlignment="1">
      <alignment horizontal="left" vertical="center" wrapText="1" readingOrder="1"/>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0" xfId="0" applyFont="1" applyAlignment="1">
      <alignment horizontal="left"/>
    </xf>
  </cellXfs>
  <cellStyles count="141">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Процентный" xfId="140" builtinId="5"/>
    <cellStyle name="Финансовый" xfId="1" builtinId="3"/>
    <cellStyle name="Финансовый [0]" xfId="139" builtinId="6"/>
    <cellStyle name="Финансовый 10" xfId="125" xr:uid="{00000000-0005-0000-0000-00000E000000}"/>
    <cellStyle name="Финансовый 11" xfId="61" xr:uid="{00000000-0005-0000-0000-00000F000000}"/>
    <cellStyle name="Финансовый 12" xfId="49" xr:uid="{00000000-0005-0000-0000-000010000000}"/>
    <cellStyle name="Финансовый 13" xfId="127" xr:uid="{00000000-0005-0000-0000-000011000000}"/>
    <cellStyle name="Финансовый 14" xfId="25" xr:uid="{00000000-0005-0000-0000-000012000000}"/>
    <cellStyle name="Финансовый 15" xfId="13" xr:uid="{00000000-0005-0000-0000-000013000000}"/>
    <cellStyle name="Финансовый 2" xfId="2" xr:uid="{00000000-0005-0000-0000-000014000000}"/>
    <cellStyle name="Финансовый 2 10" xfId="62" xr:uid="{00000000-0005-0000-0000-000015000000}"/>
    <cellStyle name="Финансовый 2 11" xfId="50" xr:uid="{00000000-0005-0000-0000-000016000000}"/>
    <cellStyle name="Финансовый 2 12" xfId="128" xr:uid="{00000000-0005-0000-0000-000017000000}"/>
    <cellStyle name="Финансовый 2 13" xfId="26" xr:uid="{00000000-0005-0000-0000-000018000000}"/>
    <cellStyle name="Финансовый 2 14" xfId="14" xr:uid="{00000000-0005-0000-0000-000019000000}"/>
    <cellStyle name="Финансовый 2 2" xfId="4" xr:uid="{00000000-0005-0000-0000-00001A000000}"/>
    <cellStyle name="Финансовый 2 2 10" xfId="28" xr:uid="{00000000-0005-0000-0000-00001B000000}"/>
    <cellStyle name="Финансовый 2 2 11" xfId="16" xr:uid="{00000000-0005-0000-0000-00001C000000}"/>
    <cellStyle name="Финансовый 2 2 2" xfId="10" xr:uid="{00000000-0005-0000-0000-00001D000000}"/>
    <cellStyle name="Финансовый 2 2 2 2" xfId="46" xr:uid="{00000000-0005-0000-0000-00001E000000}"/>
    <cellStyle name="Финансовый 2 2 2 2 2" xfId="104" xr:uid="{00000000-0005-0000-0000-00001F000000}"/>
    <cellStyle name="Финансовый 2 2 2 3" xfId="116" xr:uid="{00000000-0005-0000-0000-000020000000}"/>
    <cellStyle name="Финансовый 2 2 2 4" xfId="80" xr:uid="{00000000-0005-0000-0000-000021000000}"/>
    <cellStyle name="Финансовый 2 2 2 5" xfId="58" xr:uid="{00000000-0005-0000-0000-000022000000}"/>
    <cellStyle name="Финансовый 2 2 2 6" xfId="136" xr:uid="{00000000-0005-0000-0000-000023000000}"/>
    <cellStyle name="Финансовый 2 2 2 7" xfId="34" xr:uid="{00000000-0005-0000-0000-000024000000}"/>
    <cellStyle name="Финансовый 2 2 2 8" xfId="22" xr:uid="{00000000-0005-0000-0000-000025000000}"/>
    <cellStyle name="Финансовый 2 2 3" xfId="40" xr:uid="{00000000-0005-0000-0000-000026000000}"/>
    <cellStyle name="Финансовый 2 2 3 2" xfId="122" xr:uid="{00000000-0005-0000-0000-000027000000}"/>
    <cellStyle name="Финансовый 2 2 3 3" xfId="86" xr:uid="{00000000-0005-0000-0000-000028000000}"/>
    <cellStyle name="Финансовый 2 2 4" xfId="92" xr:uid="{00000000-0005-0000-0000-000029000000}"/>
    <cellStyle name="Финансовый 2 2 5" xfId="98" xr:uid="{00000000-0005-0000-0000-00002A000000}"/>
    <cellStyle name="Финансовый 2 2 6" xfId="110" xr:uid="{00000000-0005-0000-0000-00002B000000}"/>
    <cellStyle name="Финансовый 2 2 7" xfId="65" xr:uid="{00000000-0005-0000-0000-00002C000000}"/>
    <cellStyle name="Финансовый 2 2 8" xfId="52" xr:uid="{00000000-0005-0000-0000-00002D000000}"/>
    <cellStyle name="Финансовый 2 2 9" xfId="130" xr:uid="{00000000-0005-0000-0000-00002E000000}"/>
    <cellStyle name="Финансовый 2 3" xfId="6" xr:uid="{00000000-0005-0000-0000-00002F000000}"/>
    <cellStyle name="Финансовый 2 3 10" xfId="30" xr:uid="{00000000-0005-0000-0000-000030000000}"/>
    <cellStyle name="Финансовый 2 3 11" xfId="18" xr:uid="{00000000-0005-0000-0000-000031000000}"/>
    <cellStyle name="Финансовый 2 3 2" xfId="12" xr:uid="{00000000-0005-0000-0000-000032000000}"/>
    <cellStyle name="Финансовый 2 3 2 2" xfId="48" xr:uid="{00000000-0005-0000-0000-000033000000}"/>
    <cellStyle name="Финансовый 2 3 2 2 2" xfId="106" xr:uid="{00000000-0005-0000-0000-000034000000}"/>
    <cellStyle name="Финансовый 2 3 2 3" xfId="118" xr:uid="{00000000-0005-0000-0000-000035000000}"/>
    <cellStyle name="Финансовый 2 3 2 4" xfId="82" xr:uid="{00000000-0005-0000-0000-000036000000}"/>
    <cellStyle name="Финансовый 2 3 2 5" xfId="60" xr:uid="{00000000-0005-0000-0000-000037000000}"/>
    <cellStyle name="Финансовый 2 3 2 6" xfId="138" xr:uid="{00000000-0005-0000-0000-000038000000}"/>
    <cellStyle name="Финансовый 2 3 2 7" xfId="36" xr:uid="{00000000-0005-0000-0000-000039000000}"/>
    <cellStyle name="Финансовый 2 3 2 8" xfId="24" xr:uid="{00000000-0005-0000-0000-00003A000000}"/>
    <cellStyle name="Финансовый 2 3 3" xfId="42" xr:uid="{00000000-0005-0000-0000-00003B000000}"/>
    <cellStyle name="Финансовый 2 3 3 2" xfId="124" xr:uid="{00000000-0005-0000-0000-00003C000000}"/>
    <cellStyle name="Финансовый 2 3 3 3" xfId="88" xr:uid="{00000000-0005-0000-0000-00003D000000}"/>
    <cellStyle name="Финансовый 2 3 4" xfId="94" xr:uid="{00000000-0005-0000-0000-00003E000000}"/>
    <cellStyle name="Финансовый 2 3 5" xfId="100" xr:uid="{00000000-0005-0000-0000-00003F000000}"/>
    <cellStyle name="Финансовый 2 3 6" xfId="112" xr:uid="{00000000-0005-0000-0000-000040000000}"/>
    <cellStyle name="Финансовый 2 3 7" xfId="76" xr:uid="{00000000-0005-0000-0000-000041000000}"/>
    <cellStyle name="Финансовый 2 3 8" xfId="54" xr:uid="{00000000-0005-0000-0000-000042000000}"/>
    <cellStyle name="Финансовый 2 3 9" xfId="132" xr:uid="{00000000-0005-0000-0000-000043000000}"/>
    <cellStyle name="Финансовый 2 4" xfId="8" xr:uid="{00000000-0005-0000-0000-000044000000}"/>
    <cellStyle name="Финансовый 2 4 2" xfId="44" xr:uid="{00000000-0005-0000-0000-000045000000}"/>
    <cellStyle name="Финансовый 2 4 2 2" xfId="102" xr:uid="{00000000-0005-0000-0000-000046000000}"/>
    <cellStyle name="Финансовый 2 4 3" xfId="114" xr:uid="{00000000-0005-0000-0000-000047000000}"/>
    <cellStyle name="Финансовый 2 4 4" xfId="78" xr:uid="{00000000-0005-0000-0000-000048000000}"/>
    <cellStyle name="Финансовый 2 4 5" xfId="56" xr:uid="{00000000-0005-0000-0000-000049000000}"/>
    <cellStyle name="Финансовый 2 4 6" xfId="134" xr:uid="{00000000-0005-0000-0000-00004A000000}"/>
    <cellStyle name="Финансовый 2 4 7" xfId="32" xr:uid="{00000000-0005-0000-0000-00004B000000}"/>
    <cellStyle name="Финансовый 2 4 8" xfId="20" xr:uid="{00000000-0005-0000-0000-00004C000000}"/>
    <cellStyle name="Финансовый 2 5" xfId="38" xr:uid="{00000000-0005-0000-0000-00004D000000}"/>
    <cellStyle name="Финансовый 2 5 2" xfId="120" xr:uid="{00000000-0005-0000-0000-00004E000000}"/>
    <cellStyle name="Финансовый 2 5 3" xfId="84" xr:uid="{00000000-0005-0000-0000-00004F000000}"/>
    <cellStyle name="Финансовый 2 6" xfId="90" xr:uid="{00000000-0005-0000-0000-000050000000}"/>
    <cellStyle name="Финансовый 2 7" xfId="96" xr:uid="{00000000-0005-0000-0000-000051000000}"/>
    <cellStyle name="Финансовый 2 8" xfId="108" xr:uid="{00000000-0005-0000-0000-000052000000}"/>
    <cellStyle name="Финансовый 2 9" xfId="126" xr:uid="{00000000-0005-0000-0000-000053000000}"/>
    <cellStyle name="Финансовый 3" xfId="3" xr:uid="{00000000-0005-0000-0000-000054000000}"/>
    <cellStyle name="Финансовый 3 10" xfId="27" xr:uid="{00000000-0005-0000-0000-000055000000}"/>
    <cellStyle name="Финансовый 3 11" xfId="15" xr:uid="{00000000-0005-0000-0000-000056000000}"/>
    <cellStyle name="Финансовый 3 2" xfId="9" xr:uid="{00000000-0005-0000-0000-000057000000}"/>
    <cellStyle name="Финансовый 3 2 2" xfId="45" xr:uid="{00000000-0005-0000-0000-000058000000}"/>
    <cellStyle name="Финансовый 3 2 2 2" xfId="103" xr:uid="{00000000-0005-0000-0000-000059000000}"/>
    <cellStyle name="Финансовый 3 2 3" xfId="115" xr:uid="{00000000-0005-0000-0000-00005A000000}"/>
    <cellStyle name="Финансовый 3 2 4" xfId="79" xr:uid="{00000000-0005-0000-0000-00005B000000}"/>
    <cellStyle name="Финансовый 3 2 5" xfId="57" xr:uid="{00000000-0005-0000-0000-00005C000000}"/>
    <cellStyle name="Финансовый 3 2 6" xfId="135" xr:uid="{00000000-0005-0000-0000-00005D000000}"/>
    <cellStyle name="Финансовый 3 2 7" xfId="33" xr:uid="{00000000-0005-0000-0000-00005E000000}"/>
    <cellStyle name="Финансовый 3 2 8" xfId="21" xr:uid="{00000000-0005-0000-0000-00005F000000}"/>
    <cellStyle name="Финансовый 3 3" xfId="39" xr:uid="{00000000-0005-0000-0000-000060000000}"/>
    <cellStyle name="Финансовый 3 3 2" xfId="121" xr:uid="{00000000-0005-0000-0000-000061000000}"/>
    <cellStyle name="Финансовый 3 3 3" xfId="85" xr:uid="{00000000-0005-0000-0000-000062000000}"/>
    <cellStyle name="Финансовый 3 4" xfId="91" xr:uid="{00000000-0005-0000-0000-000063000000}"/>
    <cellStyle name="Финансовый 3 5" xfId="97" xr:uid="{00000000-0005-0000-0000-000064000000}"/>
    <cellStyle name="Финансовый 3 6" xfId="109" xr:uid="{00000000-0005-0000-0000-000065000000}"/>
    <cellStyle name="Финансовый 3 7" xfId="74" xr:uid="{00000000-0005-0000-0000-000066000000}"/>
    <cellStyle name="Финансовый 3 8" xfId="51" xr:uid="{00000000-0005-0000-0000-000067000000}"/>
    <cellStyle name="Финансовый 3 9" xfId="129" xr:uid="{00000000-0005-0000-0000-000068000000}"/>
    <cellStyle name="Финансовый 4" xfId="5" xr:uid="{00000000-0005-0000-0000-000069000000}"/>
    <cellStyle name="Финансовый 4 10" xfId="29" xr:uid="{00000000-0005-0000-0000-00006A000000}"/>
    <cellStyle name="Финансовый 4 11" xfId="17" xr:uid="{00000000-0005-0000-0000-00006B000000}"/>
    <cellStyle name="Финансовый 4 2" xfId="11" xr:uid="{00000000-0005-0000-0000-00006C000000}"/>
    <cellStyle name="Финансовый 4 2 2" xfId="47" xr:uid="{00000000-0005-0000-0000-00006D000000}"/>
    <cellStyle name="Финансовый 4 2 2 2" xfId="105" xr:uid="{00000000-0005-0000-0000-00006E000000}"/>
    <cellStyle name="Финансовый 4 2 3" xfId="117" xr:uid="{00000000-0005-0000-0000-00006F000000}"/>
    <cellStyle name="Финансовый 4 2 4" xfId="81" xr:uid="{00000000-0005-0000-0000-000070000000}"/>
    <cellStyle name="Финансовый 4 2 5" xfId="59" xr:uid="{00000000-0005-0000-0000-000071000000}"/>
    <cellStyle name="Финансовый 4 2 6" xfId="137" xr:uid="{00000000-0005-0000-0000-000072000000}"/>
    <cellStyle name="Финансовый 4 2 7" xfId="35" xr:uid="{00000000-0005-0000-0000-000073000000}"/>
    <cellStyle name="Финансовый 4 2 8" xfId="23" xr:uid="{00000000-0005-0000-0000-000074000000}"/>
    <cellStyle name="Финансовый 4 3" xfId="41" xr:uid="{00000000-0005-0000-0000-000075000000}"/>
    <cellStyle name="Финансовый 4 3 2" xfId="123" xr:uid="{00000000-0005-0000-0000-000076000000}"/>
    <cellStyle name="Финансовый 4 3 3" xfId="87" xr:uid="{00000000-0005-0000-0000-000077000000}"/>
    <cellStyle name="Финансовый 4 4" xfId="93" xr:uid="{00000000-0005-0000-0000-000078000000}"/>
    <cellStyle name="Финансовый 4 5" xfId="99" xr:uid="{00000000-0005-0000-0000-000079000000}"/>
    <cellStyle name="Финансовый 4 6" xfId="111" xr:uid="{00000000-0005-0000-0000-00007A000000}"/>
    <cellStyle name="Финансовый 4 7" xfId="75" xr:uid="{00000000-0005-0000-0000-00007B000000}"/>
    <cellStyle name="Финансовый 4 8" xfId="53" xr:uid="{00000000-0005-0000-0000-00007C000000}"/>
    <cellStyle name="Финансовый 4 9" xfId="131" xr:uid="{00000000-0005-0000-0000-00007D000000}"/>
    <cellStyle name="Финансовый 5" xfId="7" xr:uid="{00000000-0005-0000-0000-00007E000000}"/>
    <cellStyle name="Финансовый 5 2" xfId="43" xr:uid="{00000000-0005-0000-0000-00007F000000}"/>
    <cellStyle name="Финансовый 5 2 2" xfId="101" xr:uid="{00000000-0005-0000-0000-000080000000}"/>
    <cellStyle name="Финансовый 5 3" xfId="113" xr:uid="{00000000-0005-0000-0000-000081000000}"/>
    <cellStyle name="Финансовый 5 4" xfId="77" xr:uid="{00000000-0005-0000-0000-000082000000}"/>
    <cellStyle name="Финансовый 5 5" xfId="55" xr:uid="{00000000-0005-0000-0000-000083000000}"/>
    <cellStyle name="Финансовый 5 6" xfId="133" xr:uid="{00000000-0005-0000-0000-000084000000}"/>
    <cellStyle name="Финансовый 5 7" xfId="31" xr:uid="{00000000-0005-0000-0000-000085000000}"/>
    <cellStyle name="Финансовый 5 8" xfId="19" xr:uid="{00000000-0005-0000-0000-000086000000}"/>
    <cellStyle name="Финансовый 6" xfId="37" xr:uid="{00000000-0005-0000-0000-000087000000}"/>
    <cellStyle name="Финансовый 6 2" xfId="119" xr:uid="{00000000-0005-0000-0000-000088000000}"/>
    <cellStyle name="Финансовый 6 3" xfId="83" xr:uid="{00000000-0005-0000-0000-000089000000}"/>
    <cellStyle name="Финансовый 7" xfId="89" xr:uid="{00000000-0005-0000-0000-00008A000000}"/>
    <cellStyle name="Финансовый 8" xfId="95" xr:uid="{00000000-0005-0000-0000-00008B000000}"/>
    <cellStyle name="Финансовый 9" xfId="107" xr:uid="{00000000-0005-0000-0000-00008C000000}"/>
  </cellStyles>
  <dxfs count="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56"/>
  <sheetViews>
    <sheetView view="pageBreakPreview" topLeftCell="A24" zoomScaleSheetLayoutView="100" workbookViewId="0">
      <selection activeCell="A55" sqref="A55:B55"/>
    </sheetView>
  </sheetViews>
  <sheetFormatPr defaultRowHeight="15"/>
  <cols>
    <col min="1" max="1" width="22.85546875" style="75" customWidth="1"/>
    <col min="2" max="2" width="24.28515625" style="75" customWidth="1"/>
    <col min="3" max="3" width="21.28515625" style="75" customWidth="1"/>
    <col min="4" max="4" width="18" style="75" customWidth="1"/>
    <col min="5" max="5" width="25.140625" style="75"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8" t="str">
        <f>""&amp;'Общие данные'!B147&amp;"mikromoliya tashkilotiKredit qo‘mitasining yig‘ilishi"</f>
        <v>«CLEVER MIKROMOLIYA TASHKILOTI» MChJmikromoliya tashkilotiKredit qo‘mitasining yig‘ilishi</v>
      </c>
      <c r="B1" s="238"/>
      <c r="C1" s="238"/>
      <c r="D1" s="238"/>
      <c r="E1" s="238"/>
    </row>
    <row r="2" spans="1:33" ht="29.25" customHeight="1">
      <c r="A2" s="238" t="str">
        <f>""&amp;H7&amp;" protokolidan ko'chirma"</f>
        <v>№269-NS protokolidan ko'chirma</v>
      </c>
      <c r="B2" s="238"/>
      <c r="C2" s="238"/>
      <c r="D2" s="238"/>
      <c r="E2" s="238"/>
    </row>
    <row r="3" spans="1:33" ht="29.25" customHeight="1">
      <c r="A3" s="160" t="s">
        <v>214</v>
      </c>
      <c r="B3" s="59"/>
      <c r="C3" s="59"/>
      <c r="D3" s="59"/>
      <c r="E3" s="161" t="str">
        <f>'Общие данные'!B68</f>
        <v>4 fevral 2025 y.</v>
      </c>
    </row>
    <row r="4" spans="1:33" ht="29.25" customHeight="1">
      <c r="A4" s="59"/>
      <c r="B4" s="238" t="s">
        <v>213</v>
      </c>
      <c r="C4" s="238"/>
      <c r="D4" s="238"/>
      <c r="E4" s="59"/>
    </row>
    <row r="5" spans="1:33" ht="36" customHeight="1">
      <c r="A5" s="237" t="str">
        <f>"         "&amp;H8&amp;"."&amp;'Общие данные'!B5&amp;" ga "&amp;'Общие данные'!B65&amp;" berish masalasini ko‘rib chiqish to‘g‘risida."</f>
        <v xml:space="preserve">         1.QOSIMOV BEKZODBEK ORIFJONOVICH ga mikrokredit berish masalasini ko‘rib chiqish to‘g‘risida.</v>
      </c>
      <c r="B5" s="237"/>
      <c r="C5" s="237"/>
      <c r="D5" s="237"/>
      <c r="E5" s="237"/>
    </row>
    <row r="7" spans="1:33" ht="21" customHeight="1">
      <c r="A7" s="239"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QOSIMOV BEKZODBEK ORIFJONOVICHga 180 000 000,00 (yuz sakson million so'm) so‘m miqdorida, muddati 12 (o'n ikki) oyga va yillik 60 (Oltmish) foiz miqdorida mikrokredit berich bo‘yicha QOSIMOV BEKZODBEK ORIFJONOVICHning kredit arizasi va «CLEVER MIKROMOLIYA TASHKILOTI» MChJning xulosasi bilan ishtirokchilarni tanishtirdi.</v>
      </c>
      <c r="B7" s="239"/>
      <c r="C7" s="239"/>
      <c r="D7" s="239"/>
      <c r="E7" s="239"/>
      <c r="G7" s="76" t="s">
        <v>278</v>
      </c>
      <c r="H7" s="77" t="str">
        <f>'Общие данные'!B1</f>
        <v>№269-NS</v>
      </c>
    </row>
    <row r="8" spans="1:33" ht="23.25">
      <c r="A8" s="239"/>
      <c r="B8" s="239"/>
      <c r="C8" s="239"/>
      <c r="D8" s="239"/>
      <c r="E8" s="239"/>
      <c r="G8" s="76" t="s">
        <v>279</v>
      </c>
      <c r="H8" s="77">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16.5" customHeight="1">
      <c r="A9" s="239"/>
      <c r="B9" s="239"/>
      <c r="C9" s="239"/>
      <c r="D9" s="239"/>
      <c r="E9" s="239"/>
      <c r="G9" s="76" t="s">
        <v>280</v>
      </c>
      <c r="H9" s="77" t="str">
        <f>IF(H8=I8,I9,IF(H8=J8,J9,IF(H8=K8,K9,IF(H8=L8,L9,IF(H8=M8,M9,IF(H8=N8,N9,IF(H8=O8,O9,IF(H8=P8,P9,IF(H8=Q8,Q9,IF(H8=R8,R9,IF(H8=S8,S9,IF(H8=T8,T9,IF(H8=U8,U9,IF(H8=V8,V9,IF(H8=W8,W9,IF(H8=X8,X9,IF(H8=Y8,Y9,IF(H8=Z8,Z9,IF(H8=AA8,AA9,IF(H8=AB8,AB9,IF(H8=AC8,AC9,IF(H8=AD8,AD9,IF(H8=AE8,AE9,IF(H8=AF8,AF9,IF(H8=AG8,AG9)))))))))))))))))))))))))</f>
        <v>Birinchi</v>
      </c>
      <c r="I9" s="187" t="s">
        <v>201</v>
      </c>
      <c r="J9" s="188" t="s">
        <v>202</v>
      </c>
      <c r="K9" s="188" t="s">
        <v>203</v>
      </c>
      <c r="L9" s="188" t="s">
        <v>395</v>
      </c>
      <c r="M9" s="188" t="s">
        <v>204</v>
      </c>
      <c r="N9" s="188" t="s">
        <v>396</v>
      </c>
      <c r="O9" s="188" t="s">
        <v>205</v>
      </c>
      <c r="P9" s="188" t="s">
        <v>206</v>
      </c>
      <c r="Q9" s="188" t="s">
        <v>207</v>
      </c>
      <c r="R9" s="188" t="s">
        <v>385</v>
      </c>
      <c r="S9" s="188" t="s">
        <v>386</v>
      </c>
      <c r="T9" s="188" t="s">
        <v>387</v>
      </c>
      <c r="U9" s="188" t="s">
        <v>388</v>
      </c>
      <c r="V9" s="188" t="s">
        <v>397</v>
      </c>
      <c r="W9" s="188" t="s">
        <v>389</v>
      </c>
      <c r="X9" s="188" t="s">
        <v>390</v>
      </c>
      <c r="Y9" s="188" t="s">
        <v>391</v>
      </c>
      <c r="Z9" s="188" t="s">
        <v>392</v>
      </c>
      <c r="AA9" s="188" t="s">
        <v>393</v>
      </c>
      <c r="AB9" s="188" t="s">
        <v>208</v>
      </c>
      <c r="AC9" s="188" t="s">
        <v>209</v>
      </c>
      <c r="AD9" s="188" t="s">
        <v>210</v>
      </c>
      <c r="AE9" s="188" t="s">
        <v>211</v>
      </c>
      <c r="AF9" s="188" t="s">
        <v>394</v>
      </c>
      <c r="AG9" s="188" t="s">
        <v>212</v>
      </c>
    </row>
    <row r="10" spans="1:33" ht="10.5" hidden="1" customHeight="1">
      <c r="A10" s="239"/>
      <c r="B10" s="239"/>
      <c r="C10" s="239"/>
      <c r="D10" s="239"/>
      <c r="E10" s="239"/>
    </row>
    <row r="11" spans="1:33" ht="9" hidden="1" customHeight="1">
      <c r="A11" s="239"/>
      <c r="B11" s="239"/>
      <c r="C11" s="239"/>
      <c r="D11" s="239"/>
      <c r="E11" s="239"/>
    </row>
    <row r="12" spans="1:33" ht="3" customHeight="1">
      <c r="A12" s="239"/>
      <c r="B12" s="239"/>
      <c r="C12" s="239"/>
      <c r="D12" s="239"/>
      <c r="E12" s="239"/>
    </row>
    <row r="13" spans="1:33" ht="7.5" customHeight="1"/>
    <row r="14" spans="1:33" ht="15.75" customHeight="1">
      <c r="A14" s="240" t="str">
        <f>""&amp;'Общие данные'!C64&amp;" ta’minoti:"</f>
        <v>Mikrokredit ta’minoti:</v>
      </c>
      <c r="B14" s="240"/>
      <c r="C14" s="240"/>
      <c r="D14" s="240"/>
      <c r="E14" s="240"/>
    </row>
    <row r="15" spans="1:33" ht="7.5" customHeight="1"/>
    <row r="16" spans="1:33" ht="64.5" customHeight="1">
      <c r="A16" s="239" t="str">
        <f>'Заключение КК'!A18:E18</f>
        <v xml:space="preserve">  Egalik huquqi QOSIMOV BEKZODBEK ORIFJONOVICHga tegishli bo'lgan garovga olingan avtomobil markasi   MALIBU 2, rangi -  QORA CHYORNIY, ishlab chiqarilgan yili - 2022, davlat raqam belgisi 60Q081BB, Kuzov turi YENGIL SEDAN, Kuzov raqami XWBJF69VELA059410, dvigatel raqami 211470021, shassi raqami - RAKAMSIZ</v>
      </c>
      <c r="B16" s="239"/>
      <c r="C16" s="239"/>
      <c r="D16" s="239"/>
      <c r="E16" s="239"/>
    </row>
    <row r="17" spans="1:5" ht="17.25" customHeight="1">
      <c r="C17" s="189" t="s">
        <v>404</v>
      </c>
      <c r="D17" s="189" t="str">
        <f>""&amp;'Общие данные'!B147&amp;" kredit qo‘mitasi"</f>
        <v>«CLEVER MIKROMOLIYA TASHKILOTI» MChJ kredit qo‘mitasi</v>
      </c>
      <c r="E17" s="189"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9"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9"/>
      <c r="C18" s="239"/>
      <c r="D18" s="239"/>
      <c r="E18" s="239"/>
    </row>
    <row r="19" spans="1:5" ht="24" customHeight="1">
      <c r="A19" s="241" t="s">
        <v>281</v>
      </c>
      <c r="B19" s="241"/>
      <c r="C19" s="241"/>
      <c r="D19" s="241"/>
      <c r="E19" s="241"/>
    </row>
    <row r="20" spans="1:5" ht="32.25" customHeight="1">
      <c r="A20" s="239" t="str">
        <f>"       "&amp;'Общие данные'!B5&amp;"ga quyidagi shartlarda "&amp;'Общие данные'!B65&amp;" berish masalasi ma’qullansin:"</f>
        <v xml:space="preserve">       QOSIMOV BEKZODBEK ORIFJONOVICHga quyidagi shartlarda mikrokredit berish masalasi ma’qullansin:</v>
      </c>
      <c r="B20" s="239"/>
      <c r="C20" s="239"/>
      <c r="D20" s="239"/>
      <c r="E20" s="239"/>
    </row>
    <row r="21" spans="1:5" s="162" customFormat="1" ht="18.75" customHeight="1">
      <c r="A21" s="237" t="str">
        <f>"1. "&amp;'Общие данные'!C64&amp;" summasi: "&amp;FIXED('Общие данные'!B75)&amp;" ("&amp;'Общие данные'!B76&amp;") so'm."</f>
        <v>1. Mikrokredit summasi: 180 000 000,00 (yuz sakson million so'm) so'm.</v>
      </c>
      <c r="B21" s="237"/>
      <c r="C21" s="237"/>
      <c r="D21" s="237"/>
      <c r="E21" s="237"/>
    </row>
    <row r="22" spans="1:5" s="162" customFormat="1" ht="18.75" customHeight="1">
      <c r="A22" s="237" t="str">
        <f>"2. "&amp;'Общие данные'!C64&amp;" muddati: "&amp;'Общие данные'!B81&amp;" ("&amp;'Общие данные'!B82&amp;") oy "</f>
        <v xml:space="preserve">2. Mikrokredit muddati: 12 (o'n ikki) oy </v>
      </c>
      <c r="B22" s="237"/>
      <c r="C22" s="237"/>
      <c r="D22" s="237"/>
      <c r="E22" s="237"/>
    </row>
    <row r="23" spans="1:5" s="162" customFormat="1" ht="18.75" customHeight="1">
      <c r="A23" s="237" t="str">
        <f>"3. "&amp;'Общие данные'!C64&amp;"dan foydalanganlik uchun foiz stavkasi:yillik "&amp;'Общие данные'!B85&amp;"% ("&amp;'Общие данные'!B86&amp;") foiz."</f>
        <v>3. Mikrokreditdan foydalanganlik uchun foiz stavkasi:yillik 60% (Oltmish) foiz.</v>
      </c>
      <c r="B23" s="237"/>
      <c r="C23" s="237"/>
      <c r="D23" s="237"/>
      <c r="E23" s="237"/>
    </row>
    <row r="24" spans="1:5" s="162" customFormat="1" ht="18.75" customHeight="1">
      <c r="A24" s="237" t="str">
        <f>"4. "&amp;'Общие данные'!C64&amp;" bo‘yicha asosiy qarz va foizlarni to‘lash:"</f>
        <v>4. Mikrokredit bo‘yicha asosiy qarz va foizlarni to‘lash:</v>
      </c>
      <c r="B24" s="237"/>
      <c r="C24" s="237"/>
      <c r="D24" s="237"/>
      <c r="E24" s="237"/>
    </row>
    <row r="25" spans="1:5" s="162" customFormat="1" ht="18.75" customHeight="1">
      <c r="A25" s="237" t="str">
        <f>'Кредитная заявка'!A19:D19</f>
        <v xml:space="preserve"> - mikrokredit shartnomasi bo'yicha har oy annuitet to'lovlari amalga oshiriladi</v>
      </c>
      <c r="B25" s="237"/>
      <c r="C25" s="237"/>
      <c r="D25" s="237"/>
      <c r="E25" s="237"/>
    </row>
    <row r="26" spans="1:5" ht="48" customHeight="1">
      <c r="A26" s="239" t="str">
        <f>"5. "&amp;'Общие данные'!C64&amp;" bo‘yicha garov  "&amp;'Заключение КК'!A29:E29&amp;""</f>
        <v>5. Mikrokredit bo‘yicha garov   - QOSIMOV BEKZODBEK ORIFJONOVICH ga mulk huquqi asosida tegishli avtotransport vositasi MALIBU 2 , quyidagi tafsilotlarga muvofiq:</v>
      </c>
      <c r="B26" s="239"/>
      <c r="C26" s="239"/>
      <c r="D26" s="239"/>
      <c r="E26" s="239"/>
    </row>
    <row r="27" spans="1:5" ht="40.5" customHeight="1">
      <c r="A27" s="20" t="str">
        <f>'Акт согласования'!A47</f>
        <v>Nomi</v>
      </c>
      <c r="B27" s="20" t="str">
        <f>'Акт согласования'!B47</f>
        <v>Kuzov turi  va kuzov raqami*</v>
      </c>
      <c r="C27" s="20" t="str">
        <f>'Акт согласования'!C47</f>
        <v>Dvigatel va shassi raqami*</v>
      </c>
      <c r="D27" s="20" t="str">
        <f>'Акт согласования'!D47</f>
        <v>Ishlab chiqarilgan yili va rangi*</v>
      </c>
      <c r="E27" s="20" t="str">
        <f>'Акт согласования'!E47</f>
        <v>Kelishilgan garov qiymati, so'm</v>
      </c>
    </row>
    <row r="28" spans="1:5" ht="75.75" customHeight="1">
      <c r="A28" s="20" t="str">
        <f>'Акт согласования'!A48</f>
        <v>MALIBU 2</v>
      </c>
      <c r="B28" s="20" t="str">
        <f>'Акт согласования'!B48</f>
        <v>Kuzov turi YENGIL SEDAN, Kuzov raqami XWBJF69VELA059410</v>
      </c>
      <c r="C28" s="20" t="str">
        <f>'Акт согласования'!C48</f>
        <v>dvigatel raqami 211470021, shassi raqami - RAKAMSIZ</v>
      </c>
      <c r="D28" s="20" t="str">
        <f>'Акт согласования'!D48</f>
        <v>rangi -  QORA CHYORNIY, ishlab chiqarilgan yili - 2022</v>
      </c>
      <c r="E28" s="20" t="str">
        <f>'Акт согласования'!E48</f>
        <v>270 000 000,00 (ikki yuz yetmish million so'm)</v>
      </c>
    </row>
    <row r="29" spans="1:5" ht="20.25" customHeight="1">
      <c r="A29" s="239" t="str">
        <f>'Акт согласования'!A22:E22</f>
        <v>-* avtotransport egasi: QOSIMOV BEKZODBEK ORIFJONOVICH</v>
      </c>
      <c r="B29" s="239"/>
      <c r="C29" s="239"/>
      <c r="D29" s="239"/>
      <c r="E29" s="239"/>
    </row>
    <row r="30" spans="1:5" ht="20.25" customHeight="1">
      <c r="A30" s="239" t="str">
        <f>'Акт согласования'!A23:E23</f>
        <v>-* texnik pasport: AAG 2398913  20.09.2023 y.</v>
      </c>
      <c r="B30" s="239"/>
      <c r="C30" s="239"/>
      <c r="D30" s="239"/>
      <c r="E30" s="239"/>
    </row>
    <row r="31" spans="1:5" ht="34.5" customHeight="1">
      <c r="A31" s="239" t="str">
        <f>'Акт согласования'!A24:E24</f>
        <v>-* roʻyxatdan oʻtgan manzili/garaj manzili: ANDIJON VILOYATI SHAXRIXON TUMANI BARKAMOL AVLOD MFY</v>
      </c>
      <c r="B31" s="239"/>
      <c r="C31" s="239"/>
      <c r="D31" s="239"/>
      <c r="E31" s="239"/>
    </row>
    <row r="32" spans="1:5" ht="20.25" customHeight="1">
      <c r="A32" s="239" t="str">
        <f>'Акт согласования'!A25:E25</f>
        <v>-* davlat raqami: 60Q081BB</v>
      </c>
      <c r="B32" s="239"/>
      <c r="C32" s="239"/>
      <c r="D32" s="239"/>
      <c r="E32" s="239"/>
    </row>
    <row r="33" spans="1:5" ht="51" hidden="1" customHeight="1">
      <c r="A33" s="42" t="str">
        <f>'Акт согласования'!A50</f>
        <v>Наименование</v>
      </c>
      <c r="B33" s="42" t="str">
        <f>'Акт согласования'!B50</f>
        <v>Полезная площадь</v>
      </c>
      <c r="C33" s="42" t="str">
        <f>'Акт согласования'!C50</f>
        <v>Жилая площадь</v>
      </c>
      <c r="D33" s="42" t="str">
        <f>'Акт согласования'!D50</f>
        <v>Общая площадь</v>
      </c>
      <c r="E33" s="42" t="str">
        <f>'Акт согласования'!E50</f>
        <v>Согласованная залоговая стоимость, сум</v>
      </c>
    </row>
    <row r="34" spans="1:5" hidden="1">
      <c r="A34" s="42" t="str">
        <f>'Акт согласования'!A51</f>
        <v>Yashash xona</v>
      </c>
      <c r="B34" s="42">
        <f>'Акт согласования'!B51</f>
        <v>0</v>
      </c>
      <c r="C34" s="42">
        <f>'Акт согласования'!C51</f>
        <v>37.39</v>
      </c>
      <c r="D34" s="42">
        <f>'Акт согласования'!D51</f>
        <v>37.39</v>
      </c>
      <c r="E34" s="245" t="str">
        <f>""&amp;FIXED('Общие данные'!C136,2)&amp;" ("&amp;'Общие данные'!B137&amp;")"</f>
        <v>270 000 000,00 (ikki yuz yetmish million so'm)</v>
      </c>
    </row>
    <row r="35" spans="1:5" hidden="1">
      <c r="A35" s="42">
        <f>'Акт согласования'!A52</f>
        <v>0</v>
      </c>
      <c r="B35" s="42">
        <f>'Акт согласования'!B52</f>
        <v>0</v>
      </c>
      <c r="C35" s="42">
        <f>'Акт согласования'!C52</f>
        <v>0</v>
      </c>
      <c r="D35" s="42">
        <f>'Акт согласования'!D52</f>
        <v>0</v>
      </c>
      <c r="E35" s="246"/>
    </row>
    <row r="36" spans="1:5" hidden="1">
      <c r="A36" s="42" t="str">
        <f>'Акт согласования'!A53</f>
        <v>Noturar joy</v>
      </c>
      <c r="B36" s="42">
        <f>'Акт согласования'!B53</f>
        <v>34.74</v>
      </c>
      <c r="C36" s="42">
        <f>'Акт согласования'!C53</f>
        <v>0</v>
      </c>
      <c r="D36" s="42">
        <f>'Акт согласования'!D53</f>
        <v>34.74</v>
      </c>
      <c r="E36" s="246"/>
    </row>
    <row r="37" spans="1:5" hidden="1">
      <c r="A37" s="42">
        <f>'Акт согласования'!A54</f>
        <v>0</v>
      </c>
      <c r="B37" s="42">
        <f>'Акт согласования'!B54</f>
        <v>0</v>
      </c>
      <c r="C37" s="42">
        <f>'Акт согласования'!C54</f>
        <v>0</v>
      </c>
      <c r="D37" s="42">
        <f>'Акт согласования'!D54</f>
        <v>0</v>
      </c>
      <c r="E37" s="246"/>
    </row>
    <row r="38" spans="1:5" hidden="1">
      <c r="A38" s="42">
        <f>'Акт согласования'!A55</f>
        <v>0</v>
      </c>
      <c r="B38" s="42">
        <f>'Акт согласования'!B55</f>
        <v>0</v>
      </c>
      <c r="C38" s="42">
        <f>'Акт согласования'!C55</f>
        <v>0</v>
      </c>
      <c r="D38" s="42">
        <f>'Акт согласования'!D55</f>
        <v>0</v>
      </c>
      <c r="E38" s="246"/>
    </row>
    <row r="39" spans="1:5" hidden="1">
      <c r="A39" s="42">
        <f>'Акт согласования'!A56</f>
        <v>0</v>
      </c>
      <c r="B39" s="42">
        <f>'Акт согласования'!B56</f>
        <v>0</v>
      </c>
      <c r="C39" s="42">
        <f>'Акт согласования'!C56</f>
        <v>0</v>
      </c>
      <c r="D39" s="42">
        <f>'Акт согласования'!D56</f>
        <v>0</v>
      </c>
      <c r="E39" s="246"/>
    </row>
    <row r="40" spans="1:5" hidden="1">
      <c r="A40" s="42">
        <f>'Акт согласования'!A57</f>
        <v>0</v>
      </c>
      <c r="B40" s="42">
        <f>'Акт согласования'!B57</f>
        <v>0</v>
      </c>
      <c r="C40" s="42">
        <f>'Акт согласования'!C57</f>
        <v>0</v>
      </c>
      <c r="D40" s="42">
        <f>'Акт согласования'!D57</f>
        <v>0</v>
      </c>
      <c r="E40" s="246"/>
    </row>
    <row r="41" spans="1:5" hidden="1">
      <c r="A41" s="42">
        <f>'Акт согласования'!A58</f>
        <v>0</v>
      </c>
      <c r="B41" s="42">
        <f>'Акт согласования'!B58</f>
        <v>0</v>
      </c>
      <c r="C41" s="42">
        <f>'Акт согласования'!C58</f>
        <v>0</v>
      </c>
      <c r="D41" s="42">
        <f>'Акт согласования'!D58</f>
        <v>0</v>
      </c>
      <c r="E41" s="246"/>
    </row>
    <row r="42" spans="1:5" hidden="1">
      <c r="A42" s="42">
        <f>'Акт согласования'!A59</f>
        <v>0</v>
      </c>
      <c r="B42" s="42">
        <f>'Акт согласования'!B59</f>
        <v>0</v>
      </c>
      <c r="C42" s="42">
        <f>'Акт согласования'!C59</f>
        <v>0</v>
      </c>
      <c r="D42" s="42">
        <f>'Акт согласования'!D59</f>
        <v>0</v>
      </c>
      <c r="E42" s="246"/>
    </row>
    <row r="43" spans="1:5" hidden="1">
      <c r="A43" s="42">
        <f>'Акт согласования'!A60</f>
        <v>0</v>
      </c>
      <c r="B43" s="42">
        <f>'Акт согласования'!B60</f>
        <v>0</v>
      </c>
      <c r="C43" s="42">
        <f>'Акт согласования'!C60</f>
        <v>0</v>
      </c>
      <c r="D43" s="42">
        <f>'Акт согласования'!D60</f>
        <v>0</v>
      </c>
      <c r="E43" s="246"/>
    </row>
    <row r="44" spans="1:5" hidden="1">
      <c r="A44" s="42">
        <f>'Акт согласования'!A61</f>
        <v>0</v>
      </c>
      <c r="B44" s="42">
        <f>'Акт согласования'!B61</f>
        <v>0</v>
      </c>
      <c r="C44" s="42">
        <f>'Акт согласования'!C61</f>
        <v>0</v>
      </c>
      <c r="D44" s="42">
        <f>'Акт согласования'!D61</f>
        <v>0</v>
      </c>
      <c r="E44" s="247"/>
    </row>
    <row r="45" spans="1:5" hidden="1">
      <c r="A45" s="42" t="str">
        <f>'Акт согласования'!A62</f>
        <v>JAMI</v>
      </c>
      <c r="B45" s="42">
        <f>'Акт согласования'!B62</f>
        <v>34.74</v>
      </c>
      <c r="C45" s="42">
        <f>'Акт согласования'!C62</f>
        <v>37.39</v>
      </c>
      <c r="D45" s="42">
        <f>'Акт согласования'!D62</f>
        <v>72.13</v>
      </c>
      <c r="E45" s="42" t="str">
        <f>FIXED('Общие данные'!C136,2)</f>
        <v>270 000 000,00</v>
      </c>
    </row>
    <row r="46" spans="1:5" ht="21.75" hidden="1" customHeight="1">
      <c r="A46" s="242" t="str">
        <f>'Акт согласования'!A39:E39</f>
        <v>-* ko'chmas mulk egasi: SHOUSMANOVA DAVLATXON XXX</v>
      </c>
      <c r="B46" s="242"/>
      <c r="C46" s="242"/>
      <c r="D46" s="242"/>
      <c r="E46" s="242"/>
    </row>
    <row r="47" spans="1:5" ht="21.75" hidden="1" customHeight="1">
      <c r="A47" s="242" t="str">
        <f>'Акт согласования'!A40:E40</f>
        <v>-* reestr raqami: 1718238/R-A1419303</v>
      </c>
      <c r="B47" s="242"/>
      <c r="C47" s="242"/>
      <c r="D47" s="242"/>
      <c r="E47" s="242"/>
    </row>
    <row r="48" spans="1:5" ht="21.75" hidden="1" customHeight="1">
      <c r="A48" s="242" t="str">
        <f>'Акт согласования'!A41:E41</f>
        <v>-* kadastr raqami: №14:13:02:01:03:1179:0006:058 от 16.12.2020 г.</v>
      </c>
      <c r="B48" s="242"/>
      <c r="C48" s="242"/>
      <c r="D48" s="242"/>
      <c r="E48" s="242"/>
    </row>
    <row r="49" spans="1:5" ht="21.75" hidden="1" customHeight="1">
      <c r="A49" s="242" t="str">
        <f>'Акт согласования'!A42:E42</f>
        <v>-* manzil: SAMARQAND VILOYATI TAYLOQ TUMANI CHAROG'BON MFY YANGI TAYLOQ QISHLOG'I 6 TURAR JOY 12 QAVAT 58 XONADON</v>
      </c>
      <c r="B49" s="242"/>
      <c r="C49" s="242"/>
      <c r="D49" s="242"/>
      <c r="E49" s="242"/>
    </row>
    <row r="50" spans="1:5" ht="12" customHeight="1">
      <c r="A50" s="163"/>
      <c r="B50" s="163"/>
      <c r="C50" s="163"/>
      <c r="D50" s="163"/>
      <c r="E50" s="163"/>
    </row>
    <row r="51" spans="1:5" ht="33" customHeight="1">
      <c r="A51" s="239"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mikrokredit berish.</v>
      </c>
      <c r="B51" s="239"/>
      <c r="C51" s="239"/>
      <c r="D51" s="239"/>
      <c r="E51" s="239"/>
    </row>
    <row r="53" spans="1:5" ht="29.25" customHeight="1">
      <c r="A53" s="243" t="s">
        <v>282</v>
      </c>
      <c r="B53" s="243"/>
      <c r="C53" s="243"/>
      <c r="D53" s="243"/>
      <c r="E53" s="243"/>
    </row>
    <row r="54" spans="1:5" ht="29.25" customHeight="1">
      <c r="A54" s="224" t="s">
        <v>420</v>
      </c>
      <c r="B54" s="224"/>
      <c r="C54" s="204"/>
      <c r="D54" s="205"/>
      <c r="E54" s="205"/>
    </row>
    <row r="55" spans="1:5" ht="29.25" customHeight="1">
      <c r="A55" s="244" t="str">
        <f>"2. "&amp;'Общие данные'!B159&amp;""</f>
        <v>2. Mominov B.X.</v>
      </c>
      <c r="B55" s="244"/>
      <c r="C55" s="204"/>
      <c r="D55" s="206"/>
      <c r="E55" s="206"/>
    </row>
    <row r="56" spans="1:5" ht="29.25" customHeight="1">
      <c r="A56" s="236" t="str">
        <f>"3. "&amp;'Общие данные'!B160&amp;""</f>
        <v>3.  Jumanazarov B.T</v>
      </c>
      <c r="B56" s="236"/>
      <c r="C56" s="159"/>
      <c r="D56" s="207"/>
      <c r="E56" s="207"/>
    </row>
  </sheetData>
  <mergeCells count="29">
    <mergeCell ref="A51:E51"/>
    <mergeCell ref="A53:E53"/>
    <mergeCell ref="A55:B55"/>
    <mergeCell ref="A32:E32"/>
    <mergeCell ref="E34:E44"/>
    <mergeCell ref="A46:E46"/>
    <mergeCell ref="A47:E47"/>
    <mergeCell ref="A49:E49"/>
    <mergeCell ref="A25:E25"/>
    <mergeCell ref="A26:E26"/>
    <mergeCell ref="A29:E29"/>
    <mergeCell ref="A30:E30"/>
    <mergeCell ref="A31:E31"/>
    <mergeCell ref="A56:B56"/>
    <mergeCell ref="A22:E22"/>
    <mergeCell ref="A1:E1"/>
    <mergeCell ref="A2:E2"/>
    <mergeCell ref="B4:D4"/>
    <mergeCell ref="A5:E5"/>
    <mergeCell ref="A7:E12"/>
    <mergeCell ref="A14:E14"/>
    <mergeCell ref="A16:E16"/>
    <mergeCell ref="A18:E18"/>
    <mergeCell ref="A19:E19"/>
    <mergeCell ref="A20:E20"/>
    <mergeCell ref="A21:E21"/>
    <mergeCell ref="A48:E48"/>
    <mergeCell ref="A23:E23"/>
    <mergeCell ref="A24:E24"/>
  </mergeCells>
  <pageMargins left="0.70866141732283472" right="0.70866141732283472" top="0.74803149606299213" bottom="0.74803149606299213" header="0.31496062992125984" footer="0.31496062992125984"/>
  <pageSetup paperSize="9" scale="73"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topLeftCell="A6" zoomScale="70" zoomScaleNormal="70" zoomScaleSheetLayoutView="70" workbookViewId="0">
      <selection activeCell="A43" sqref="A32:R43"/>
    </sheetView>
  </sheetViews>
  <sheetFormatPr defaultColWidth="9.140625" defaultRowHeight="15" outlineLevelCol="1"/>
  <cols>
    <col min="1" max="1" width="9.140625" style="112"/>
    <col min="2" max="2" width="12.28515625" style="112" customWidth="1"/>
    <col min="3" max="3" width="16.5703125" style="112" customWidth="1"/>
    <col min="4" max="4" width="16.7109375" style="112" customWidth="1"/>
    <col min="5" max="5" width="16.5703125" style="112" customWidth="1"/>
    <col min="6" max="6" width="20.85546875" style="112" customWidth="1"/>
    <col min="7" max="7" width="10.140625" style="112" customWidth="1" outlineLevel="1"/>
    <col min="8" max="8" width="19.140625" style="112" customWidth="1"/>
    <col min="9" max="9" width="21.42578125" style="112" customWidth="1"/>
    <col min="10" max="10" width="20.85546875" style="112" customWidth="1"/>
    <col min="11" max="11" width="20.140625" style="112" customWidth="1"/>
    <col min="12" max="12" width="21.42578125" style="112" customWidth="1"/>
    <col min="13" max="13" width="25.42578125" style="112" customWidth="1"/>
    <col min="14" max="14" width="18.28515625" style="112" customWidth="1"/>
    <col min="15" max="17" width="9.140625" style="18"/>
    <col min="18" max="18" width="24.42578125" style="18" customWidth="1"/>
    <col min="19" max="16384" width="9.140625" style="18"/>
  </cols>
  <sheetData>
    <row r="1" spans="1:22">
      <c r="A1" s="111"/>
      <c r="B1" s="111"/>
      <c r="C1" s="111"/>
      <c r="D1" s="111"/>
      <c r="E1" s="248" t="s">
        <v>16</v>
      </c>
      <c r="F1" s="248"/>
    </row>
    <row r="2" spans="1:22">
      <c r="A2" s="111"/>
      <c r="B2" s="111"/>
      <c r="C2" s="111"/>
      <c r="D2" s="111"/>
      <c r="E2" s="111"/>
      <c r="F2" s="113" t="str">
        <f>"к договору микрозайма "&amp;'Общие данные'!B74&amp;""</f>
        <v>к договору микрозайма 4 fevral 2025 y.dan №269-NS</v>
      </c>
    </row>
    <row r="3" spans="1:22" ht="19.5" customHeight="1">
      <c r="A3" s="111"/>
      <c r="B3" s="111"/>
      <c r="C3" s="111"/>
      <c r="D3" s="111"/>
      <c r="E3" s="111"/>
      <c r="F3" s="111"/>
      <c r="H3" s="114"/>
      <c r="I3" s="114"/>
      <c r="J3" s="115"/>
      <c r="K3" s="115"/>
    </row>
    <row r="4" spans="1:22" ht="19.5" customHeight="1">
      <c r="A4" s="249" t="s">
        <v>17</v>
      </c>
      <c r="B4" s="249"/>
      <c r="C4" s="249"/>
      <c r="D4" s="249"/>
      <c r="E4" s="249"/>
      <c r="F4" s="249"/>
      <c r="H4" s="114"/>
      <c r="I4" s="114"/>
      <c r="J4" s="114"/>
      <c r="K4" s="114"/>
    </row>
    <row r="5" spans="1:22" ht="19.5" customHeight="1">
      <c r="L5" s="112">
        <f>'Общие данные'!B81</f>
        <v>12</v>
      </c>
    </row>
    <row r="6" spans="1:22">
      <c r="A6" s="250" t="s">
        <v>15</v>
      </c>
      <c r="B6" s="251" t="s">
        <v>9</v>
      </c>
      <c r="C6" s="251" t="s">
        <v>10</v>
      </c>
      <c r="D6" s="252" t="s">
        <v>11</v>
      </c>
      <c r="E6" s="252"/>
      <c r="F6" s="252"/>
    </row>
    <row r="7" spans="1:22" s="19" customFormat="1">
      <c r="A7" s="250"/>
      <c r="B7" s="251"/>
      <c r="C7" s="251"/>
      <c r="D7" s="116" t="s">
        <v>12</v>
      </c>
      <c r="E7" s="116" t="s">
        <v>13</v>
      </c>
      <c r="F7" s="116" t="s">
        <v>14</v>
      </c>
      <c r="G7" s="117"/>
      <c r="H7" s="117"/>
      <c r="I7" s="117"/>
      <c r="J7" s="117"/>
      <c r="K7" s="117"/>
      <c r="L7" s="117"/>
      <c r="M7" s="117"/>
      <c r="N7" s="117"/>
    </row>
    <row r="8" spans="1:22">
      <c r="A8" s="118">
        <v>1</v>
      </c>
      <c r="B8" s="119">
        <f>'Общие данные'!B79</f>
        <v>45721</v>
      </c>
      <c r="C8" s="63">
        <f>'Общие данные'!B75</f>
        <v>180000000</v>
      </c>
      <c r="D8" s="63">
        <f>IF(IF(C8=0,L8,IF(C8&gt;1,I8))="",0,(IF(C8=0,L8,IF(C8&gt;1,I8))))</f>
        <v>15000000</v>
      </c>
      <c r="E8" s="63">
        <f>IF(C8=0,N6,IF(C8&gt;1,L8))</f>
        <v>8580821.8899999987</v>
      </c>
      <c r="F8" s="63">
        <f>IF(C8=0,O6,IF(C8&gt;1,M8))</f>
        <v>23580821.890000001</v>
      </c>
      <c r="G8" s="132">
        <f>B8-'Общие данные'!B67</f>
        <v>29</v>
      </c>
      <c r="H8" s="112">
        <f>DATE(YEAR(B8),12,31)-DATE(YEAR(B8),1,1)+1</f>
        <v>365</v>
      </c>
      <c r="I8" s="120">
        <f>IF('Общие данные'!B83=0,ROUND(C8/L5,2),"")</f>
        <v>15000000</v>
      </c>
      <c r="J8" s="120"/>
      <c r="K8" s="120"/>
      <c r="L8" s="114">
        <f>ROUND(C8*'Общие данные'!$B$84/H8,2)*G8</f>
        <v>8580821.8899999987</v>
      </c>
      <c r="M8" s="114">
        <f t="shared" ref="M8:M31" si="0">D8+E8</f>
        <v>23580821.890000001</v>
      </c>
      <c r="N8" s="114"/>
      <c r="O8" s="129" t="str">
        <f>TEXT(B8,"ддд")</f>
        <v>Ср</v>
      </c>
      <c r="P8" s="131">
        <f>IF(O8=$U$8,2,IF(O8=$V$8,1,0))</f>
        <v>0</v>
      </c>
      <c r="Q8" s="131">
        <f>DAY('Общие данные'!$B$78)+P8</f>
        <v>5</v>
      </c>
      <c r="R8" s="126"/>
      <c r="S8" s="127" t="s">
        <v>33</v>
      </c>
      <c r="T8" s="127" t="s">
        <v>34</v>
      </c>
      <c r="U8" s="127" t="s">
        <v>35</v>
      </c>
      <c r="V8" s="128" t="s">
        <v>36</v>
      </c>
    </row>
    <row r="9" spans="1:22">
      <c r="A9" s="118">
        <v>2</v>
      </c>
      <c r="B9" s="119">
        <f>IF(A9&lt;='Общие данные'!$B$81,DATE(YEAR(R9),MONTH(R9),DAY(R9)+P9),0)</f>
        <v>45754</v>
      </c>
      <c r="C9" s="63">
        <f>C8-D8</f>
        <v>165000000</v>
      </c>
      <c r="D9" s="63">
        <f t="shared" ref="D9:D31" si="1">IF(C9=0,L9,IF(C9&gt;1,I9))</f>
        <v>15000000</v>
      </c>
      <c r="E9" s="63">
        <f>IF(C9=0,N8,IF(C9&gt;1,L9))</f>
        <v>8950685.040000001</v>
      </c>
      <c r="F9" s="63">
        <f>IF(C9=0,N8,IF(C9&gt;1,M9))</f>
        <v>23950685.039999999</v>
      </c>
      <c r="G9" s="112">
        <f>B9-B8</f>
        <v>33</v>
      </c>
      <c r="H9" s="112">
        <f t="shared" ref="H9:H31" si="2">DATE(YEAR(B9),12,31)-DATE(YEAR(B9),1,1)+1</f>
        <v>365</v>
      </c>
      <c r="I9" s="120">
        <f>IF(I8="",ROUND(C8/(L5-1),2),I8)</f>
        <v>15000000</v>
      </c>
      <c r="J9" s="120"/>
      <c r="K9" s="120"/>
      <c r="L9" s="114">
        <f>ROUND(C9*'Общие данные'!$B$84/H9,2)*G9</f>
        <v>8950685.040000001</v>
      </c>
      <c r="M9" s="114">
        <f t="shared" si="0"/>
        <v>23950685.039999999</v>
      </c>
      <c r="N9" s="114"/>
      <c r="O9" s="129" t="str">
        <f>TEXT(R9,"ддд")</f>
        <v>Сб</v>
      </c>
      <c r="P9" s="131">
        <f t="shared" ref="P9:P31" si="3">IF(O9=$U$8,2,IF(O9=$V$8,1,0))</f>
        <v>2</v>
      </c>
      <c r="Q9" s="131">
        <f>DAY('Общие данные'!$B$78)+P9</f>
        <v>7</v>
      </c>
      <c r="R9" s="126">
        <f>IF(A9&lt;='Общие данные'!$B$81,DATE(YEAR($B$8),MONTH($B$8)+A8,DAY('Общие данные'!$B$78)),0)</f>
        <v>45752</v>
      </c>
      <c r="S9" s="112"/>
      <c r="T9" s="112"/>
      <c r="U9" s="112"/>
      <c r="V9" s="112"/>
    </row>
    <row r="10" spans="1:22">
      <c r="A10" s="118">
        <v>3</v>
      </c>
      <c r="B10" s="119">
        <f>IF(A10&lt;='Общие данные'!$B$81,DATE(YEAR(R10),MONTH(R10),DAY(R10)+P10),0)</f>
        <v>45782</v>
      </c>
      <c r="C10" s="63">
        <f t="shared" ref="C10:C31" si="4">C9-D9</f>
        <v>150000000</v>
      </c>
      <c r="D10" s="63">
        <f t="shared" si="1"/>
        <v>15000000</v>
      </c>
      <c r="E10" s="63">
        <f t="shared" ref="E10:E31" si="5">IF(C10=0,N9,IF(C10&gt;1,L10))</f>
        <v>6904109.5199999996</v>
      </c>
      <c r="F10" s="63">
        <f t="shared" ref="F10:F31" si="6">IF(C10=0,N9,IF(C10&gt;1,M10))</f>
        <v>21904109.52</v>
      </c>
      <c r="G10" s="112">
        <f t="shared" ref="G10:G31" si="7">B10-B9</f>
        <v>28</v>
      </c>
      <c r="H10" s="112">
        <f t="shared" si="2"/>
        <v>365</v>
      </c>
      <c r="I10" s="120">
        <f>I9</f>
        <v>15000000</v>
      </c>
      <c r="J10" s="120"/>
      <c r="K10" s="120"/>
      <c r="L10" s="114">
        <f>ROUND(C10*'Общие данные'!$B$84/H10,2)*G10</f>
        <v>6904109.5199999996</v>
      </c>
      <c r="M10" s="114">
        <f t="shared" si="0"/>
        <v>21904109.52</v>
      </c>
      <c r="N10" s="114"/>
      <c r="O10" s="129" t="str">
        <f t="shared" ref="O10:O31" si="8">TEXT(R10,"ддд")</f>
        <v>Пн</v>
      </c>
      <c r="P10" s="131">
        <f t="shared" si="3"/>
        <v>0</v>
      </c>
      <c r="Q10" s="131">
        <f>DAY('Общие данные'!$B$78)+P10</f>
        <v>5</v>
      </c>
      <c r="R10" s="126">
        <f>IF(A10&lt;='Общие данные'!$B$81,DATE(YEAR($B$8),MONTH($B$8)+A9,DAY('Общие данные'!$B$78)),0)</f>
        <v>45782</v>
      </c>
      <c r="S10" s="112"/>
      <c r="T10" s="112"/>
      <c r="U10" s="112"/>
      <c r="V10" s="112"/>
    </row>
    <row r="11" spans="1:22">
      <c r="A11" s="118">
        <v>4</v>
      </c>
      <c r="B11" s="119">
        <f>IF(A11&lt;='Общие данные'!$B$81,DATE(YEAR(R11),MONTH(R11),DAY(R11)+P11),0)</f>
        <v>45813</v>
      </c>
      <c r="C11" s="63">
        <f t="shared" si="4"/>
        <v>135000000</v>
      </c>
      <c r="D11" s="63">
        <f t="shared" si="1"/>
        <v>15000000</v>
      </c>
      <c r="E11" s="63">
        <f t="shared" si="5"/>
        <v>6879452.1100000003</v>
      </c>
      <c r="F11" s="63">
        <f t="shared" si="6"/>
        <v>21879452.109999999</v>
      </c>
      <c r="G11" s="112">
        <f t="shared" si="7"/>
        <v>31</v>
      </c>
      <c r="H11" s="112">
        <f t="shared" si="2"/>
        <v>365</v>
      </c>
      <c r="I11" s="120">
        <f>I10</f>
        <v>15000000</v>
      </c>
      <c r="J11" s="120"/>
      <c r="K11" s="120"/>
      <c r="L11" s="114">
        <f>ROUND(C11*'Общие данные'!$B$84/H11,2)*G11</f>
        <v>6879452.1100000003</v>
      </c>
      <c r="M11" s="114">
        <f t="shared" si="0"/>
        <v>21879452.109999999</v>
      </c>
      <c r="N11" s="114"/>
      <c r="O11" s="129" t="str">
        <f t="shared" si="8"/>
        <v>Чт</v>
      </c>
      <c r="P11" s="131">
        <f t="shared" si="3"/>
        <v>0</v>
      </c>
      <c r="Q11" s="131">
        <f>DAY('Общие данные'!$B$78)+P11</f>
        <v>5</v>
      </c>
      <c r="R11" s="126">
        <f>IF(A11&lt;='Общие данные'!$B$81,DATE(YEAR($B$8),MONTH($B$8)+A10,DAY('Общие данные'!$B$78)),0)</f>
        <v>45813</v>
      </c>
      <c r="S11" s="112"/>
      <c r="T11" s="112"/>
      <c r="U11" s="112"/>
      <c r="V11" s="112"/>
    </row>
    <row r="12" spans="1:22">
      <c r="A12" s="118">
        <v>5</v>
      </c>
      <c r="B12" s="119">
        <f>IF(A12&lt;='Общие данные'!$B$81,DATE(YEAR(R12),MONTH(R12),DAY(R12)+P12),0)</f>
        <v>45845</v>
      </c>
      <c r="C12" s="63">
        <f t="shared" si="4"/>
        <v>120000000</v>
      </c>
      <c r="D12" s="63">
        <f t="shared" si="1"/>
        <v>15000000</v>
      </c>
      <c r="E12" s="63">
        <f t="shared" si="5"/>
        <v>6312328.6399999997</v>
      </c>
      <c r="F12" s="63">
        <f t="shared" si="6"/>
        <v>21312328.640000001</v>
      </c>
      <c r="G12" s="112">
        <f t="shared" si="7"/>
        <v>32</v>
      </c>
      <c r="H12" s="112">
        <f t="shared" si="2"/>
        <v>365</v>
      </c>
      <c r="I12" s="120">
        <f>I11</f>
        <v>15000000</v>
      </c>
      <c r="J12" s="120">
        <f>'Общие данные'!B75</f>
        <v>180000000</v>
      </c>
      <c r="K12" s="120"/>
      <c r="L12" s="114">
        <f>ROUND(C12*'Общие данные'!$B$84/H12,2)*G12</f>
        <v>6312328.6399999997</v>
      </c>
      <c r="M12" s="114">
        <f t="shared" si="0"/>
        <v>21312328.640000001</v>
      </c>
      <c r="N12" s="114"/>
      <c r="O12" s="129" t="str">
        <f t="shared" si="8"/>
        <v>Сб</v>
      </c>
      <c r="P12" s="131">
        <f t="shared" si="3"/>
        <v>2</v>
      </c>
      <c r="Q12" s="131">
        <f>DAY('Общие данные'!$B$78)+P12</f>
        <v>7</v>
      </c>
      <c r="R12" s="126">
        <f>IF(A12&lt;='Общие данные'!$B$81,DATE(YEAR($B$8),MONTH($B$8)+A11,DAY('Общие данные'!$B$78)),0)</f>
        <v>45843</v>
      </c>
      <c r="S12" s="112"/>
      <c r="T12" s="112"/>
      <c r="U12" s="112"/>
      <c r="V12" s="112"/>
    </row>
    <row r="13" spans="1:22">
      <c r="A13" s="118">
        <v>6</v>
      </c>
      <c r="B13" s="119">
        <f>IF(A13&lt;='Общие данные'!$B$81,DATE(YEAR(R13),MONTH(R13),DAY(IF(A13='Общие данные'!$B$81,'Общие данные'!$B$67,IF(A13&lt;'Общие данные'!$B$81,(Q13),IF(A13&gt;'Общие данные'!$B$81,$H$44,0))))))</f>
        <v>45874</v>
      </c>
      <c r="C13" s="63">
        <f t="shared" ref="C13:C30" si="9">C12-D12</f>
        <v>105000000</v>
      </c>
      <c r="D13" s="63">
        <f t="shared" ref="D13:D30" si="10">IF(C13=0,L13,IF(C13&gt;1,I13))</f>
        <v>15000000</v>
      </c>
      <c r="E13" s="63">
        <f t="shared" ref="E13:E30" si="11">IF(C13=0,N12,IF(C13&gt;1,L13))</f>
        <v>5005479.46</v>
      </c>
      <c r="F13" s="63">
        <f t="shared" ref="F13:F30" si="12">IF(C13=0,N12,IF(C13&gt;1,M13))</f>
        <v>20005479.460000001</v>
      </c>
      <c r="G13" s="112">
        <f t="shared" si="7"/>
        <v>29</v>
      </c>
      <c r="H13" s="112">
        <f t="shared" si="2"/>
        <v>365</v>
      </c>
      <c r="I13" s="120">
        <f>IF(L5=H1,K13,IF(L5&gt;H1,I12))</f>
        <v>15000000</v>
      </c>
      <c r="J13" s="120">
        <f>SUM($I$8:I12)</f>
        <v>75000000</v>
      </c>
      <c r="K13" s="120">
        <f>$J$12-J13</f>
        <v>105000000</v>
      </c>
      <c r="L13" s="114">
        <f>ROUND(C13*'Общие данные'!$B$84/H13,2)*G13</f>
        <v>5005479.46</v>
      </c>
      <c r="M13" s="114">
        <f t="shared" si="0"/>
        <v>20005479.460000001</v>
      </c>
      <c r="N13" s="114"/>
      <c r="O13" s="129" t="str">
        <f t="shared" si="8"/>
        <v>Вт</v>
      </c>
      <c r="P13" s="131">
        <f t="shared" si="3"/>
        <v>0</v>
      </c>
      <c r="Q13" s="131">
        <f>DAY('Общие данные'!$B$78)+P13</f>
        <v>5</v>
      </c>
      <c r="R13" s="126">
        <f>IF(A13&lt;='Общие данные'!$B$81,DATE(YEAR($B$8),MONTH($B$8)+A12,DAY('Общие данные'!$B$78)),0)</f>
        <v>45874</v>
      </c>
      <c r="S13" s="112"/>
      <c r="T13" s="112"/>
      <c r="U13" s="112"/>
      <c r="V13" s="112"/>
    </row>
    <row r="14" spans="1:22">
      <c r="A14" s="118">
        <v>7</v>
      </c>
      <c r="B14" s="119">
        <f>IF(A14&lt;='Общие данные'!$B$81,DATE(YEAR(R14),MONTH(R14),DAY(IF(A14='Общие данные'!$B$81,'Общие данные'!$B$67,IF(A14&lt;'Общие данные'!$B$81,(Q14),IF(A14&gt;'Общие данные'!$B$81,$H$44,0))))))</f>
        <v>45905</v>
      </c>
      <c r="C14" s="63">
        <f t="shared" si="9"/>
        <v>90000000</v>
      </c>
      <c r="D14" s="63">
        <f t="shared" si="10"/>
        <v>15000000</v>
      </c>
      <c r="E14" s="63">
        <f t="shared" si="11"/>
        <v>4586301.51</v>
      </c>
      <c r="F14" s="63">
        <f t="shared" si="12"/>
        <v>19586301.509999998</v>
      </c>
      <c r="G14" s="112">
        <f t="shared" si="7"/>
        <v>31</v>
      </c>
      <c r="H14" s="112">
        <f t="shared" si="2"/>
        <v>365</v>
      </c>
      <c r="I14" s="120">
        <f>IF($L$5=A14,K14,IF($L$5&gt;A14,I13))</f>
        <v>15000000</v>
      </c>
      <c r="J14" s="120">
        <f>SUM($I$8:I13)</f>
        <v>90000000</v>
      </c>
      <c r="K14" s="120">
        <f t="shared" ref="K14:K31" si="13">$J$12-J14</f>
        <v>90000000</v>
      </c>
      <c r="L14" s="114">
        <f>ROUND(C14*'Общие данные'!$B$84/H14,2)*G14</f>
        <v>4586301.51</v>
      </c>
      <c r="M14" s="114">
        <f t="shared" si="0"/>
        <v>19586301.509999998</v>
      </c>
      <c r="N14" s="114"/>
      <c r="O14" s="129" t="str">
        <f t="shared" si="8"/>
        <v>Пт</v>
      </c>
      <c r="P14" s="131">
        <f t="shared" si="3"/>
        <v>0</v>
      </c>
      <c r="Q14" s="131">
        <f>DAY('Общие данные'!$B$78)+P14</f>
        <v>5</v>
      </c>
      <c r="R14" s="126">
        <f>IF(A14&lt;='Общие данные'!$B$81,DATE(YEAR($B$8),MONTH($B$8)+A13,DAY('Общие данные'!$B$78)),0)</f>
        <v>45905</v>
      </c>
      <c r="S14" s="112"/>
      <c r="T14" s="112"/>
      <c r="U14" s="112"/>
      <c r="V14" s="112"/>
    </row>
    <row r="15" spans="1:22">
      <c r="A15" s="118">
        <v>8</v>
      </c>
      <c r="B15" s="119">
        <f>IF(A15&lt;='Общие данные'!$B$81,DATE(YEAR(R15),MONTH(R15),DAY(IF(A15='Общие данные'!$B$81,'Общие данные'!$B$67,IF(A15&lt;'Общие данные'!$B$81,(Q15),IF(A15&gt;'Общие данные'!$B$81,$H$44,0))))))</f>
        <v>45936</v>
      </c>
      <c r="C15" s="63">
        <f t="shared" si="9"/>
        <v>75000000</v>
      </c>
      <c r="D15" s="63">
        <f t="shared" si="10"/>
        <v>15000000</v>
      </c>
      <c r="E15" s="63">
        <f t="shared" si="11"/>
        <v>3821917.77</v>
      </c>
      <c r="F15" s="63">
        <f t="shared" si="12"/>
        <v>18821917.77</v>
      </c>
      <c r="G15" s="112">
        <f t="shared" si="7"/>
        <v>31</v>
      </c>
      <c r="H15" s="112">
        <f t="shared" si="2"/>
        <v>365</v>
      </c>
      <c r="I15" s="120">
        <f t="shared" ref="I15:I31" si="14">IF($L$5=A15,K15,IF($L$5&gt;A15,I14))</f>
        <v>15000000</v>
      </c>
      <c r="J15" s="120">
        <f>SUM($I$8:I14)</f>
        <v>105000000</v>
      </c>
      <c r="K15" s="120">
        <f t="shared" si="13"/>
        <v>75000000</v>
      </c>
      <c r="L15" s="114">
        <f>ROUND(C15*'Общие данные'!$B$84/H15,2)*G15</f>
        <v>3821917.77</v>
      </c>
      <c r="M15" s="114">
        <f t="shared" si="0"/>
        <v>18821917.77</v>
      </c>
      <c r="N15" s="114"/>
      <c r="O15" s="129" t="str">
        <f t="shared" si="8"/>
        <v>Вс</v>
      </c>
      <c r="P15" s="131">
        <f t="shared" si="3"/>
        <v>1</v>
      </c>
      <c r="Q15" s="131">
        <f>DAY('Общие данные'!$B$78)+P15</f>
        <v>6</v>
      </c>
      <c r="R15" s="126">
        <f>IF(A15&lt;='Общие данные'!$B$81,DATE(YEAR($B$8),MONTH($B$8)+A14,DAY('Общие данные'!$B$78)),0)</f>
        <v>45935</v>
      </c>
      <c r="S15" s="112"/>
      <c r="T15" s="112"/>
      <c r="U15" s="112"/>
      <c r="V15" s="112"/>
    </row>
    <row r="16" spans="1:22">
      <c r="A16" s="118">
        <v>9</v>
      </c>
      <c r="B16" s="119">
        <f>IF(A16&lt;='Общие данные'!$B$81,DATE(YEAR(R16),MONTH(R16),DAY(IF(A16='Общие данные'!$B$81,'Общие данные'!$B$67,IF(A16&lt;'Общие данные'!$B$81,(Q16),IF(A16&gt;'Общие данные'!$B$81,$H$44,0))))))</f>
        <v>45966</v>
      </c>
      <c r="C16" s="63">
        <f t="shared" si="9"/>
        <v>60000000</v>
      </c>
      <c r="D16" s="63">
        <f t="shared" si="10"/>
        <v>15000000</v>
      </c>
      <c r="E16" s="63">
        <f t="shared" si="11"/>
        <v>2958904.2</v>
      </c>
      <c r="F16" s="63">
        <f t="shared" si="12"/>
        <v>17958904.199999999</v>
      </c>
      <c r="G16" s="112">
        <f t="shared" si="7"/>
        <v>30</v>
      </c>
      <c r="H16" s="112">
        <f t="shared" si="2"/>
        <v>365</v>
      </c>
      <c r="I16" s="120">
        <f t="shared" si="14"/>
        <v>15000000</v>
      </c>
      <c r="J16" s="120">
        <f>SUM($I$8:I15)</f>
        <v>120000000</v>
      </c>
      <c r="K16" s="120">
        <f t="shared" si="13"/>
        <v>60000000</v>
      </c>
      <c r="L16" s="114">
        <f>ROUND(C16*'Общие данные'!$B$84/H16,2)*G16</f>
        <v>2958904.2</v>
      </c>
      <c r="M16" s="114">
        <f t="shared" si="0"/>
        <v>17958904.199999999</v>
      </c>
      <c r="N16" s="114"/>
      <c r="O16" s="129" t="str">
        <f t="shared" si="8"/>
        <v>Ср</v>
      </c>
      <c r="P16" s="131">
        <f t="shared" si="3"/>
        <v>0</v>
      </c>
      <c r="Q16" s="131">
        <f>DAY('Общие данные'!$B$78)+P16</f>
        <v>5</v>
      </c>
      <c r="R16" s="126">
        <f>IF(A16&lt;='Общие данные'!$B$81,DATE(YEAR($B$8),MONTH($B$8)+A15,DAY('Общие данные'!$B$78)),0)</f>
        <v>45966</v>
      </c>
      <c r="S16" s="112"/>
      <c r="T16" s="112"/>
      <c r="U16" s="112"/>
      <c r="V16" s="112"/>
    </row>
    <row r="17" spans="1:22">
      <c r="A17" s="118">
        <v>10</v>
      </c>
      <c r="B17" s="119">
        <f>IF(A17&lt;='Общие данные'!$B$81,DATE(YEAR(R17),MONTH(R17),DAY(IF(A17='Общие данные'!$B$81,'Общие данные'!$B$67,IF(A17&lt;'Общие данные'!$B$81,(Q17),IF(A17&gt;'Общие данные'!$B$81,$H$44,0))))))</f>
        <v>45996</v>
      </c>
      <c r="C17" s="63">
        <f t="shared" si="9"/>
        <v>45000000</v>
      </c>
      <c r="D17" s="63">
        <f t="shared" si="10"/>
        <v>15000000</v>
      </c>
      <c r="E17" s="63">
        <f t="shared" si="11"/>
        <v>2219178</v>
      </c>
      <c r="F17" s="63">
        <f t="shared" si="12"/>
        <v>17219178</v>
      </c>
      <c r="G17" s="112">
        <f t="shared" si="7"/>
        <v>30</v>
      </c>
      <c r="H17" s="112">
        <f t="shared" si="2"/>
        <v>365</v>
      </c>
      <c r="I17" s="120">
        <f t="shared" si="14"/>
        <v>15000000</v>
      </c>
      <c r="J17" s="120">
        <f>SUM($I$8:I16)</f>
        <v>135000000</v>
      </c>
      <c r="K17" s="120">
        <f>$J$12-J17</f>
        <v>45000000</v>
      </c>
      <c r="L17" s="114">
        <f>ROUND(C17*'Общие данные'!$B$84/H17,2)*G17</f>
        <v>2219178</v>
      </c>
      <c r="M17" s="114">
        <f t="shared" si="0"/>
        <v>17219178</v>
      </c>
      <c r="N17" s="114"/>
      <c r="O17" s="129" t="str">
        <f t="shared" si="8"/>
        <v>Пт</v>
      </c>
      <c r="P17" s="131">
        <f t="shared" si="3"/>
        <v>0</v>
      </c>
      <c r="Q17" s="131">
        <f>DAY('Общие данные'!$B$78)+P17</f>
        <v>5</v>
      </c>
      <c r="R17" s="126">
        <f>IF(A17&lt;='Общие данные'!$B$81,DATE(YEAR($B$8),MONTH($B$8)+A16,DAY('Общие данные'!$B$78)),0)</f>
        <v>45996</v>
      </c>
      <c r="S17" s="112"/>
      <c r="T17" s="112"/>
      <c r="U17" s="112"/>
      <c r="V17" s="112"/>
    </row>
    <row r="18" spans="1:22">
      <c r="A18" s="118">
        <v>11</v>
      </c>
      <c r="B18" s="119">
        <f>IF(A18&lt;='Общие данные'!$B$81,DATE(YEAR(R18),MONTH(R18),DAY(IF(A18='Общие данные'!$B$81,'Общие данные'!$B$67,IF(A18&lt;'Общие данные'!$B$81,(Q18),IF(A18&gt;'Общие данные'!$B$81,$H$44,0))))))</f>
        <v>46027</v>
      </c>
      <c r="C18" s="63">
        <f t="shared" si="9"/>
        <v>30000000</v>
      </c>
      <c r="D18" s="63">
        <f t="shared" si="10"/>
        <v>15000000</v>
      </c>
      <c r="E18" s="63">
        <f t="shared" si="11"/>
        <v>1528767.17</v>
      </c>
      <c r="F18" s="63">
        <f t="shared" si="12"/>
        <v>16528767.17</v>
      </c>
      <c r="G18" s="112">
        <f t="shared" si="7"/>
        <v>31</v>
      </c>
      <c r="H18" s="112">
        <f t="shared" si="2"/>
        <v>365</v>
      </c>
      <c r="I18" s="120">
        <f t="shared" si="14"/>
        <v>15000000</v>
      </c>
      <c r="J18" s="120">
        <f>SUM($I$8:I17)</f>
        <v>150000000</v>
      </c>
      <c r="K18" s="120">
        <f t="shared" si="13"/>
        <v>30000000</v>
      </c>
      <c r="L18" s="114">
        <f>ROUND(C18*'Общие данные'!$B$84/H18,2)*G18</f>
        <v>1528767.17</v>
      </c>
      <c r="M18" s="114">
        <f t="shared" si="0"/>
        <v>16528767.17</v>
      </c>
      <c r="N18" s="114"/>
      <c r="O18" s="129" t="str">
        <f t="shared" si="8"/>
        <v>Пн</v>
      </c>
      <c r="P18" s="131">
        <f t="shared" si="3"/>
        <v>0</v>
      </c>
      <c r="Q18" s="131">
        <f>DAY('Общие данные'!$B$78)+P18</f>
        <v>5</v>
      </c>
      <c r="R18" s="126">
        <f>IF(A18&lt;='Общие данные'!$B$81,DATE(YEAR($B$8),MONTH($B$8)+A17,DAY('Общие данные'!$B$78)),0)</f>
        <v>46027</v>
      </c>
      <c r="S18" s="112"/>
      <c r="T18" s="112"/>
      <c r="U18" s="112"/>
      <c r="V18" s="112"/>
    </row>
    <row r="19" spans="1:22">
      <c r="A19" s="118">
        <v>12</v>
      </c>
      <c r="B19" s="119">
        <f>IF(A19&lt;='Общие данные'!$B$81,DATE(YEAR(R19),MONTH(R19),DAY(IF(A19='Общие данные'!$B$81,'Общие данные'!$B$67,IF(A19&lt;'Общие данные'!$B$81,(Q19),IF(A19&gt;'Общие данные'!$B$81,$H$44,0))))))</f>
        <v>46057</v>
      </c>
      <c r="C19" s="63">
        <f t="shared" si="9"/>
        <v>15000000</v>
      </c>
      <c r="D19" s="63">
        <f t="shared" si="10"/>
        <v>15000000</v>
      </c>
      <c r="E19" s="63">
        <f t="shared" si="11"/>
        <v>739725.89999999991</v>
      </c>
      <c r="F19" s="63">
        <f t="shared" si="12"/>
        <v>15739725.9</v>
      </c>
      <c r="G19" s="112">
        <f t="shared" si="7"/>
        <v>30</v>
      </c>
      <c r="H19" s="112">
        <f t="shared" si="2"/>
        <v>365</v>
      </c>
      <c r="I19" s="120">
        <f t="shared" si="14"/>
        <v>15000000</v>
      </c>
      <c r="J19" s="120">
        <f>SUM($I$8:I18)</f>
        <v>165000000</v>
      </c>
      <c r="K19" s="120">
        <f t="shared" si="13"/>
        <v>15000000</v>
      </c>
      <c r="L19" s="114">
        <f>ROUND(C19*'Общие данные'!$B$84/H19,2)*G19</f>
        <v>739725.89999999991</v>
      </c>
      <c r="M19" s="114">
        <f t="shared" si="0"/>
        <v>15739725.9</v>
      </c>
      <c r="N19" s="114"/>
      <c r="O19" s="129" t="str">
        <f t="shared" si="8"/>
        <v>Чт</v>
      </c>
      <c r="P19" s="131">
        <f t="shared" si="3"/>
        <v>0</v>
      </c>
      <c r="Q19" s="131">
        <f>DAY('Общие данные'!$B$78)+P19</f>
        <v>5</v>
      </c>
      <c r="R19" s="126">
        <f>IF(A19&lt;='Общие данные'!$B$81,DATE(YEAR($B$8),MONTH($B$8)+A18,DAY('Общие данные'!$B$78)),0)</f>
        <v>46058</v>
      </c>
      <c r="S19" s="112"/>
      <c r="T19" s="112"/>
      <c r="U19" s="112"/>
      <c r="V19" s="112"/>
    </row>
    <row r="20" spans="1:22">
      <c r="A20" s="118">
        <v>13</v>
      </c>
      <c r="B20" s="119" t="b">
        <f>IF(A20&lt;='Общие данные'!$B$81,DATE(YEAR(R20),MONTH(R20),DAY(IF(A20='Общие данные'!$B$81,'Общие данные'!$B$67,IF(A20&lt;'Общие данные'!$B$81,(Q20),IF(A20&gt;'Общие данные'!$B$81,$H$44,0))))))</f>
        <v>0</v>
      </c>
      <c r="C20" s="63">
        <f t="shared" si="9"/>
        <v>0</v>
      </c>
      <c r="D20" s="63">
        <f t="shared" si="10"/>
        <v>0</v>
      </c>
      <c r="E20" s="63">
        <f t="shared" si="11"/>
        <v>0</v>
      </c>
      <c r="F20" s="63">
        <f t="shared" si="12"/>
        <v>0</v>
      </c>
      <c r="G20" s="112">
        <f t="shared" si="7"/>
        <v>-46057</v>
      </c>
      <c r="H20" s="112">
        <f t="shared" si="2"/>
        <v>366</v>
      </c>
      <c r="I20" s="120" t="b">
        <f t="shared" si="14"/>
        <v>0</v>
      </c>
      <c r="J20" s="120">
        <f>SUM($I$8:I19)</f>
        <v>180000000</v>
      </c>
      <c r="K20" s="120">
        <f>$J$12-J20</f>
        <v>0</v>
      </c>
      <c r="L20" s="114">
        <f>ROUND(C20*'Общие данные'!$B$84/H20,2)*G20</f>
        <v>0</v>
      </c>
      <c r="M20" s="114">
        <f t="shared" si="0"/>
        <v>0</v>
      </c>
      <c r="N20" s="114"/>
      <c r="O20" s="129" t="str">
        <f t="shared" si="8"/>
        <v>Сб</v>
      </c>
      <c r="P20" s="131">
        <f t="shared" si="3"/>
        <v>2</v>
      </c>
      <c r="Q20" s="131">
        <f>DAY('Общие данные'!$B$78)+P20</f>
        <v>7</v>
      </c>
      <c r="R20" s="126">
        <f>IF(A20&lt;='Общие данные'!$B$81,DATE(YEAR($B$8),MONTH($B$8)+A19,DAY('Общие данные'!$B$78)),0)</f>
        <v>0</v>
      </c>
      <c r="S20" s="112"/>
      <c r="T20" s="112"/>
      <c r="U20" s="112"/>
      <c r="V20" s="112"/>
    </row>
    <row r="21" spans="1:22">
      <c r="A21" s="118">
        <v>14</v>
      </c>
      <c r="B21" s="119" t="b">
        <f>IF(A21&lt;='Общие данные'!$B$81,DATE(YEAR(R21),MONTH(R21),DAY(IF(A21='Общие данные'!$B$81,'Общие данные'!$B$67,IF(A21&lt;'Общие данные'!$B$81,(Q21),IF(A21&gt;'Общие данные'!$B$81,$H$44,0))))))</f>
        <v>0</v>
      </c>
      <c r="C21" s="63">
        <f t="shared" si="9"/>
        <v>0</v>
      </c>
      <c r="D21" s="63">
        <f t="shared" si="10"/>
        <v>0</v>
      </c>
      <c r="E21" s="63">
        <f t="shared" si="11"/>
        <v>0</v>
      </c>
      <c r="F21" s="63">
        <f t="shared" si="12"/>
        <v>0</v>
      </c>
      <c r="G21" s="112">
        <f t="shared" si="7"/>
        <v>0</v>
      </c>
      <c r="H21" s="112">
        <f t="shared" si="2"/>
        <v>366</v>
      </c>
      <c r="I21" s="120" t="b">
        <f t="shared" si="14"/>
        <v>0</v>
      </c>
      <c r="J21" s="120">
        <f>SUM($I$8:I20)</f>
        <v>180000000</v>
      </c>
      <c r="K21" s="120">
        <f t="shared" si="13"/>
        <v>0</v>
      </c>
      <c r="L21" s="114">
        <f>ROUND(C21*'Общие данные'!$B$84/H21,2)*G21</f>
        <v>0</v>
      </c>
      <c r="M21" s="114">
        <f t="shared" si="0"/>
        <v>0</v>
      </c>
      <c r="N21" s="114"/>
      <c r="O21" s="129" t="str">
        <f t="shared" si="8"/>
        <v>Сб</v>
      </c>
      <c r="P21" s="131">
        <f t="shared" si="3"/>
        <v>2</v>
      </c>
      <c r="Q21" s="131">
        <f>DAY('Общие данные'!$B$78)+P21</f>
        <v>7</v>
      </c>
      <c r="R21" s="126">
        <f>IF(A21&lt;='Общие данные'!$B$81,DATE(YEAR($B$8),MONTH($B$8)+A20,DAY('Общие данные'!$B$78)),0)</f>
        <v>0</v>
      </c>
      <c r="S21" s="112"/>
      <c r="T21" s="112"/>
      <c r="U21" s="112"/>
      <c r="V21" s="112"/>
    </row>
    <row r="22" spans="1:22">
      <c r="A22" s="118">
        <v>15</v>
      </c>
      <c r="B22" s="119" t="b">
        <f>IF(A22&lt;='Общие данные'!$B$81,DATE(YEAR(R22),MONTH(R22),DAY(IF(A22='Общие данные'!$B$81,'Общие данные'!$B$67,IF(A22&lt;'Общие данные'!$B$81,(Q22),IF(A22&gt;'Общие данные'!$B$81,$H$44,0))))))</f>
        <v>0</v>
      </c>
      <c r="C22" s="63">
        <f t="shared" si="9"/>
        <v>0</v>
      </c>
      <c r="D22" s="63">
        <f t="shared" si="10"/>
        <v>0</v>
      </c>
      <c r="E22" s="63">
        <f t="shared" si="11"/>
        <v>0</v>
      </c>
      <c r="F22" s="63">
        <f t="shared" si="12"/>
        <v>0</v>
      </c>
      <c r="G22" s="112">
        <f t="shared" si="7"/>
        <v>0</v>
      </c>
      <c r="H22" s="112">
        <f t="shared" si="2"/>
        <v>366</v>
      </c>
      <c r="I22" s="120" t="b">
        <f t="shared" si="14"/>
        <v>0</v>
      </c>
      <c r="J22" s="120">
        <f>SUM($I$8:I21)</f>
        <v>180000000</v>
      </c>
      <c r="K22" s="120">
        <f t="shared" si="13"/>
        <v>0</v>
      </c>
      <c r="L22" s="114">
        <f>ROUND(C22*'Общие данные'!$B$84/H22,2)*G22</f>
        <v>0</v>
      </c>
      <c r="M22" s="114">
        <f t="shared" si="0"/>
        <v>0</v>
      </c>
      <c r="N22" s="114"/>
      <c r="O22" s="129" t="str">
        <f t="shared" si="8"/>
        <v>Сб</v>
      </c>
      <c r="P22" s="131">
        <f t="shared" si="3"/>
        <v>2</v>
      </c>
      <c r="Q22" s="131">
        <f>DAY('Общие данные'!$B$78)+P22</f>
        <v>7</v>
      </c>
      <c r="R22" s="126">
        <f>IF(A22&lt;='Общие данные'!$B$81,DATE(YEAR($B$8),MONTH($B$8)+A21,DAY('Общие данные'!$B$78)),0)</f>
        <v>0</v>
      </c>
      <c r="S22" s="112"/>
      <c r="T22" s="112"/>
      <c r="U22" s="112"/>
      <c r="V22" s="112"/>
    </row>
    <row r="23" spans="1:22">
      <c r="A23" s="118">
        <v>16</v>
      </c>
      <c r="B23" s="119" t="b">
        <f>IF(A23&lt;='Общие данные'!$B$81,DATE(YEAR(R23),MONTH(R23),DAY(IF(A23='Общие данные'!$B$81,'Общие данные'!$B$67,IF(A23&lt;'Общие данные'!$B$81,(Q23),IF(A23&gt;'Общие данные'!$B$81,$H$44,0))))))</f>
        <v>0</v>
      </c>
      <c r="C23" s="63">
        <f t="shared" si="9"/>
        <v>0</v>
      </c>
      <c r="D23" s="63">
        <f t="shared" si="10"/>
        <v>0</v>
      </c>
      <c r="E23" s="63">
        <f t="shared" si="11"/>
        <v>0</v>
      </c>
      <c r="F23" s="63">
        <f t="shared" si="12"/>
        <v>0</v>
      </c>
      <c r="G23" s="112">
        <f t="shared" si="7"/>
        <v>0</v>
      </c>
      <c r="H23" s="112">
        <f t="shared" si="2"/>
        <v>366</v>
      </c>
      <c r="I23" s="120" t="b">
        <f t="shared" si="14"/>
        <v>0</v>
      </c>
      <c r="J23" s="120">
        <f>SUM($I$8:I22)</f>
        <v>180000000</v>
      </c>
      <c r="K23" s="120">
        <f t="shared" si="13"/>
        <v>0</v>
      </c>
      <c r="L23" s="114">
        <f>ROUND(C23*'Общие данные'!$B$84/H23,2)*G23</f>
        <v>0</v>
      </c>
      <c r="M23" s="114">
        <f t="shared" si="0"/>
        <v>0</v>
      </c>
      <c r="N23" s="114"/>
      <c r="O23" s="129" t="str">
        <f t="shared" si="8"/>
        <v>Сб</v>
      </c>
      <c r="P23" s="131">
        <f t="shared" si="3"/>
        <v>2</v>
      </c>
      <c r="Q23" s="131">
        <f>DAY('Общие данные'!$B$78)+P23</f>
        <v>7</v>
      </c>
      <c r="R23" s="126">
        <f>IF(A23&lt;='Общие данные'!$B$81,DATE(YEAR($B$8),MONTH($B$8)+A22,DAY('Общие данные'!$B$78)),0)</f>
        <v>0</v>
      </c>
      <c r="S23" s="112"/>
      <c r="T23" s="112"/>
      <c r="U23" s="112"/>
      <c r="V23" s="112"/>
    </row>
    <row r="24" spans="1:22">
      <c r="A24" s="118">
        <v>17</v>
      </c>
      <c r="B24" s="119" t="b">
        <f>IF(A24&lt;='Общие данные'!$B$81,DATE(YEAR(R24),MONTH(R24),DAY(IF(A24='Общие данные'!$B$81,'Общие данные'!$B$67,IF(A24&lt;'Общие данные'!$B$81,(Q24),IF(A24&gt;'Общие данные'!$B$81,$H$44,0))))))</f>
        <v>0</v>
      </c>
      <c r="C24" s="63">
        <f t="shared" si="9"/>
        <v>0</v>
      </c>
      <c r="D24" s="63">
        <f t="shared" si="10"/>
        <v>0</v>
      </c>
      <c r="E24" s="63">
        <f t="shared" si="11"/>
        <v>0</v>
      </c>
      <c r="F24" s="63">
        <f t="shared" si="12"/>
        <v>0</v>
      </c>
      <c r="G24" s="112">
        <f t="shared" si="7"/>
        <v>0</v>
      </c>
      <c r="H24" s="112">
        <f t="shared" si="2"/>
        <v>366</v>
      </c>
      <c r="I24" s="120" t="b">
        <f t="shared" si="14"/>
        <v>0</v>
      </c>
      <c r="J24" s="120">
        <f>SUM($I$8:I23)</f>
        <v>180000000</v>
      </c>
      <c r="K24" s="120">
        <f t="shared" si="13"/>
        <v>0</v>
      </c>
      <c r="L24" s="114">
        <f>ROUND(C24*'Общие данные'!$B$84/H24,2)*G24</f>
        <v>0</v>
      </c>
      <c r="M24" s="114">
        <f t="shared" si="0"/>
        <v>0</v>
      </c>
      <c r="N24" s="114"/>
      <c r="O24" s="129" t="str">
        <f t="shared" si="8"/>
        <v>Сб</v>
      </c>
      <c r="P24" s="131">
        <f t="shared" si="3"/>
        <v>2</v>
      </c>
      <c r="Q24" s="131">
        <f>DAY('Общие данные'!$B$78)+P24</f>
        <v>7</v>
      </c>
      <c r="R24" s="126">
        <f>IF(A24&lt;='Общие данные'!$B$81,DATE(YEAR($B$8),MONTH($B$8)+A23,DAY('Общие данные'!$B$78)),0)</f>
        <v>0</v>
      </c>
      <c r="S24" s="112"/>
      <c r="T24" s="112"/>
      <c r="U24" s="112"/>
      <c r="V24" s="112"/>
    </row>
    <row r="25" spans="1:22">
      <c r="A25" s="118">
        <v>18</v>
      </c>
      <c r="B25" s="119" t="b">
        <f>IF(A25&lt;='Общие данные'!$B$81,DATE(YEAR(R25),MONTH(R25),DAY(IF(A25='Общие данные'!$B$81,'Общие данные'!$B$67,IF(A25&lt;'Общие данные'!$B$81,(Q25),IF(A25&gt;'Общие данные'!$B$81,$H$44,0))))))</f>
        <v>0</v>
      </c>
      <c r="C25" s="63">
        <f t="shared" si="9"/>
        <v>0</v>
      </c>
      <c r="D25" s="63">
        <f t="shared" si="10"/>
        <v>0</v>
      </c>
      <c r="E25" s="63">
        <f t="shared" si="11"/>
        <v>0</v>
      </c>
      <c r="F25" s="63">
        <f t="shared" si="12"/>
        <v>0</v>
      </c>
      <c r="G25" s="112">
        <f t="shared" si="7"/>
        <v>0</v>
      </c>
      <c r="H25" s="112">
        <f t="shared" si="2"/>
        <v>366</v>
      </c>
      <c r="I25" s="120" t="b">
        <f t="shared" si="14"/>
        <v>0</v>
      </c>
      <c r="J25" s="120">
        <f>SUM($I$8:I24)</f>
        <v>180000000</v>
      </c>
      <c r="K25" s="120">
        <f t="shared" si="13"/>
        <v>0</v>
      </c>
      <c r="L25" s="114">
        <f>ROUND(C25*'Общие данные'!$B$84/H25,2)*G25</f>
        <v>0</v>
      </c>
      <c r="M25" s="114">
        <f t="shared" si="0"/>
        <v>0</v>
      </c>
      <c r="N25" s="114"/>
      <c r="O25" s="129" t="str">
        <f t="shared" si="8"/>
        <v>Сб</v>
      </c>
      <c r="P25" s="131">
        <f t="shared" si="3"/>
        <v>2</v>
      </c>
      <c r="Q25" s="131">
        <f>DAY('Общие данные'!$B$78)+P25</f>
        <v>7</v>
      </c>
      <c r="R25" s="126">
        <f>IF(A25&lt;='Общие данные'!$B$81,DATE(YEAR($B$8),MONTH($B$8)+A24,DAY('Общие данные'!$B$78)),0)</f>
        <v>0</v>
      </c>
      <c r="S25" s="112"/>
      <c r="T25" s="112"/>
      <c r="U25" s="112"/>
      <c r="V25" s="112"/>
    </row>
    <row r="26" spans="1:22">
      <c r="A26" s="118">
        <v>19</v>
      </c>
      <c r="B26" s="119" t="b">
        <f>IF(A26&lt;='Общие данные'!$B$81,DATE(YEAR(R26),MONTH(R26),DAY(IF(A26='Общие данные'!$B$81,'Общие данные'!$B$67,IF(A26&lt;'Общие данные'!$B$81,(Q26),IF(A26&gt;'Общие данные'!$B$81,$H$44,0))))))</f>
        <v>0</v>
      </c>
      <c r="C26" s="63">
        <f t="shared" si="9"/>
        <v>0</v>
      </c>
      <c r="D26" s="63">
        <f t="shared" si="10"/>
        <v>0</v>
      </c>
      <c r="E26" s="63">
        <f t="shared" si="11"/>
        <v>0</v>
      </c>
      <c r="F26" s="63">
        <f t="shared" si="12"/>
        <v>0</v>
      </c>
      <c r="G26" s="112">
        <f t="shared" si="7"/>
        <v>0</v>
      </c>
      <c r="H26" s="112">
        <f t="shared" si="2"/>
        <v>366</v>
      </c>
      <c r="I26" s="120" t="b">
        <f t="shared" si="14"/>
        <v>0</v>
      </c>
      <c r="J26" s="120">
        <f>SUM($I$8:I25)</f>
        <v>180000000</v>
      </c>
      <c r="K26" s="120">
        <f t="shared" si="13"/>
        <v>0</v>
      </c>
      <c r="L26" s="114">
        <f>ROUND(C26*'Общие данные'!$B$84/H26,2)*G26</f>
        <v>0</v>
      </c>
      <c r="M26" s="114">
        <f t="shared" si="0"/>
        <v>0</v>
      </c>
      <c r="N26" s="114"/>
      <c r="O26" s="129" t="str">
        <f t="shared" si="8"/>
        <v>Сб</v>
      </c>
      <c r="P26" s="131">
        <f t="shared" si="3"/>
        <v>2</v>
      </c>
      <c r="Q26" s="131">
        <f>DAY('Общие данные'!$B$78)+P26</f>
        <v>7</v>
      </c>
      <c r="R26" s="126">
        <f>IF(A26&lt;='Общие данные'!$B$81,DATE(YEAR($B$8),MONTH($B$8)+A25,DAY('Общие данные'!$B$78)),0)</f>
        <v>0</v>
      </c>
      <c r="S26" s="112"/>
      <c r="T26" s="112"/>
      <c r="U26" s="112"/>
      <c r="V26" s="112"/>
    </row>
    <row r="27" spans="1:22">
      <c r="A27" s="118">
        <v>20</v>
      </c>
      <c r="B27" s="119" t="b">
        <f>IF(A27&lt;='Общие данные'!$B$81,DATE(YEAR(R27),MONTH(R27),DAY(IF(A27='Общие данные'!$B$81,'Общие данные'!$B$67,IF(A27&lt;'Общие данные'!$B$81,(Q27),IF(A27&gt;'Общие данные'!$B$81,$H$44,0))))))</f>
        <v>0</v>
      </c>
      <c r="C27" s="63">
        <f t="shared" si="9"/>
        <v>0</v>
      </c>
      <c r="D27" s="63">
        <f t="shared" si="10"/>
        <v>0</v>
      </c>
      <c r="E27" s="63">
        <f t="shared" si="11"/>
        <v>0</v>
      </c>
      <c r="F27" s="63">
        <f t="shared" si="12"/>
        <v>0</v>
      </c>
      <c r="G27" s="112">
        <f t="shared" si="7"/>
        <v>0</v>
      </c>
      <c r="H27" s="112">
        <f t="shared" si="2"/>
        <v>366</v>
      </c>
      <c r="I27" s="120" t="b">
        <f t="shared" si="14"/>
        <v>0</v>
      </c>
      <c r="J27" s="120">
        <f>SUM($I$8:I26)</f>
        <v>180000000</v>
      </c>
      <c r="K27" s="120">
        <f t="shared" si="13"/>
        <v>0</v>
      </c>
      <c r="L27" s="114">
        <f>ROUND(C27*'Общие данные'!$B$84/H27,2)*G27</f>
        <v>0</v>
      </c>
      <c r="M27" s="114">
        <f t="shared" si="0"/>
        <v>0</v>
      </c>
      <c r="N27" s="114"/>
      <c r="O27" s="129" t="str">
        <f t="shared" si="8"/>
        <v>Сб</v>
      </c>
      <c r="P27" s="131">
        <f t="shared" si="3"/>
        <v>2</v>
      </c>
      <c r="Q27" s="131">
        <f>DAY('Общие данные'!$B$78)+P27</f>
        <v>7</v>
      </c>
      <c r="R27" s="126">
        <f>IF(A27&lt;='Общие данные'!$B$81,DATE(YEAR($B$8),MONTH($B$8)+A26,DAY('Общие данные'!$B$78)),0)</f>
        <v>0</v>
      </c>
      <c r="S27" s="112"/>
      <c r="T27" s="112"/>
      <c r="U27" s="112"/>
      <c r="V27" s="112"/>
    </row>
    <row r="28" spans="1:22">
      <c r="A28" s="118">
        <v>21</v>
      </c>
      <c r="B28" s="119" t="b">
        <f>IF(A28&lt;='Общие данные'!$B$81,DATE(YEAR(R28),MONTH(R28),DAY(IF(A28='Общие данные'!$B$81,'Общие данные'!$B$67,IF(A28&lt;'Общие данные'!$B$81,(Q28),IF(A28&gt;'Общие данные'!$B$81,$H$44,0))))))</f>
        <v>0</v>
      </c>
      <c r="C28" s="63">
        <f t="shared" si="9"/>
        <v>0</v>
      </c>
      <c r="D28" s="63">
        <f t="shared" si="10"/>
        <v>0</v>
      </c>
      <c r="E28" s="63">
        <f t="shared" si="11"/>
        <v>0</v>
      </c>
      <c r="F28" s="63">
        <f t="shared" si="12"/>
        <v>0</v>
      </c>
      <c r="G28" s="112">
        <f t="shared" si="7"/>
        <v>0</v>
      </c>
      <c r="H28" s="112">
        <f t="shared" si="2"/>
        <v>366</v>
      </c>
      <c r="I28" s="120" t="b">
        <f t="shared" si="14"/>
        <v>0</v>
      </c>
      <c r="J28" s="120">
        <f>SUM($I$8:I27)</f>
        <v>180000000</v>
      </c>
      <c r="K28" s="120">
        <f t="shared" si="13"/>
        <v>0</v>
      </c>
      <c r="L28" s="114">
        <f>ROUND(C28*'Общие данные'!$B$84/H28,2)*G28</f>
        <v>0</v>
      </c>
      <c r="M28" s="114">
        <f t="shared" si="0"/>
        <v>0</v>
      </c>
      <c r="N28" s="114"/>
      <c r="O28" s="129" t="str">
        <f t="shared" si="8"/>
        <v>Сб</v>
      </c>
      <c r="P28" s="131">
        <f t="shared" si="3"/>
        <v>2</v>
      </c>
      <c r="Q28" s="131">
        <f>DAY('Общие данные'!$B$78)+P28</f>
        <v>7</v>
      </c>
      <c r="R28" s="126">
        <f>IF(A28&lt;='Общие данные'!$B$81,DATE(YEAR($B$8),MONTH($B$8)+A27,DAY('Общие данные'!$B$78)),0)</f>
        <v>0</v>
      </c>
      <c r="S28" s="112"/>
      <c r="T28" s="112"/>
      <c r="U28" s="112"/>
      <c r="V28" s="112"/>
    </row>
    <row r="29" spans="1:22">
      <c r="A29" s="118">
        <v>22</v>
      </c>
      <c r="B29" s="119" t="b">
        <f>IF(A29&lt;='Общие данные'!$B$81,DATE(YEAR(R29),MONTH(R29),DAY(IF(A29='Общие данные'!$B$81,'Общие данные'!$B$67,IF(A29&lt;'Общие данные'!$B$81,(Q29),IF(A29&gt;'Общие данные'!$B$81,$H$44,0))))))</f>
        <v>0</v>
      </c>
      <c r="C29" s="63">
        <f t="shared" si="9"/>
        <v>0</v>
      </c>
      <c r="D29" s="63">
        <f t="shared" si="10"/>
        <v>0</v>
      </c>
      <c r="E29" s="63">
        <f t="shared" si="11"/>
        <v>0</v>
      </c>
      <c r="F29" s="63">
        <f t="shared" si="12"/>
        <v>0</v>
      </c>
      <c r="G29" s="112">
        <f t="shared" si="7"/>
        <v>0</v>
      </c>
      <c r="H29" s="112">
        <f t="shared" si="2"/>
        <v>366</v>
      </c>
      <c r="I29" s="120" t="b">
        <f t="shared" si="14"/>
        <v>0</v>
      </c>
      <c r="J29" s="120">
        <f>SUM($I$8:I28)</f>
        <v>180000000</v>
      </c>
      <c r="K29" s="120">
        <f t="shared" si="13"/>
        <v>0</v>
      </c>
      <c r="L29" s="114">
        <f>ROUND(C29*'Общие данные'!$B$84/H29,2)*G29</f>
        <v>0</v>
      </c>
      <c r="M29" s="114">
        <f t="shared" si="0"/>
        <v>0</v>
      </c>
      <c r="N29" s="114"/>
      <c r="O29" s="129" t="str">
        <f t="shared" si="8"/>
        <v>Сб</v>
      </c>
      <c r="P29" s="131">
        <f t="shared" si="3"/>
        <v>2</v>
      </c>
      <c r="Q29" s="131">
        <f>DAY('Общие данные'!$B$78)+P29</f>
        <v>7</v>
      </c>
      <c r="R29" s="126">
        <f>IF(A29&lt;='Общие данные'!$B$81,DATE(YEAR($B$8),MONTH($B$8)+A28,DAY('Общие данные'!$B$78)),0)</f>
        <v>0</v>
      </c>
      <c r="S29" s="112"/>
      <c r="T29" s="112"/>
      <c r="U29" s="112"/>
      <c r="V29" s="112"/>
    </row>
    <row r="30" spans="1:22">
      <c r="A30" s="118">
        <v>23</v>
      </c>
      <c r="B30" s="119" t="b">
        <f>IF(A30&lt;='Общие данные'!$B$81,DATE(YEAR(R30),MONTH(R30),DAY(IF(A30='Общие данные'!$B$81,'Общие данные'!$B$67,IF(A30&lt;'Общие данные'!$B$81,(Q30),IF(A30&gt;'Общие данные'!$B$81,$H$44,0))))))</f>
        <v>0</v>
      </c>
      <c r="C30" s="63">
        <f t="shared" si="9"/>
        <v>0</v>
      </c>
      <c r="D30" s="63">
        <f t="shared" si="10"/>
        <v>0</v>
      </c>
      <c r="E30" s="63">
        <f t="shared" si="11"/>
        <v>0</v>
      </c>
      <c r="F30" s="63">
        <f t="shared" si="12"/>
        <v>0</v>
      </c>
      <c r="G30" s="112">
        <f t="shared" si="7"/>
        <v>0</v>
      </c>
      <c r="H30" s="112">
        <f t="shared" si="2"/>
        <v>366</v>
      </c>
      <c r="I30" s="120" t="b">
        <f t="shared" si="14"/>
        <v>0</v>
      </c>
      <c r="J30" s="120">
        <f>SUM($I$8:I29)</f>
        <v>180000000</v>
      </c>
      <c r="K30" s="120">
        <f t="shared" si="13"/>
        <v>0</v>
      </c>
      <c r="L30" s="114">
        <f>ROUND(C30*'Общие данные'!$B$84/H30,2)*G30</f>
        <v>0</v>
      </c>
      <c r="M30" s="114">
        <f t="shared" si="0"/>
        <v>0</v>
      </c>
      <c r="N30" s="114"/>
      <c r="O30" s="129" t="str">
        <f t="shared" si="8"/>
        <v>Сб</v>
      </c>
      <c r="P30" s="131">
        <f t="shared" si="3"/>
        <v>2</v>
      </c>
      <c r="Q30" s="131">
        <f>DAY('Общие данные'!$B$78)+P30</f>
        <v>7</v>
      </c>
      <c r="R30" s="126">
        <f>IF(A30&lt;='Общие данные'!$B$81,DATE(YEAR($B$8),MONTH($B$8)+A29,DAY('Общие данные'!$B$78)),0)</f>
        <v>0</v>
      </c>
      <c r="S30" s="112"/>
      <c r="T30" s="112"/>
      <c r="U30" s="112"/>
      <c r="V30" s="112"/>
    </row>
    <row r="31" spans="1:22">
      <c r="A31" s="118">
        <f>1+A30</f>
        <v>24</v>
      </c>
      <c r="B31" s="119" t="b">
        <f>IF(A31&lt;='Общие данные'!$B$81,DATE(YEAR(R31),MONTH(R31),DAY(IF(A31='Общие данные'!$B$81,'Общие данные'!$B$67,IF(A31&lt;'Общие данные'!$B$81,(Q31),IF(A31&gt;'Общие данные'!$B$81,$H$44,0))))))</f>
        <v>0</v>
      </c>
      <c r="C31" s="63">
        <f t="shared" si="4"/>
        <v>0</v>
      </c>
      <c r="D31" s="63">
        <f t="shared" si="1"/>
        <v>0</v>
      </c>
      <c r="E31" s="63">
        <f t="shared" si="5"/>
        <v>0</v>
      </c>
      <c r="F31" s="63">
        <f t="shared" si="6"/>
        <v>0</v>
      </c>
      <c r="G31" s="112">
        <f t="shared" si="7"/>
        <v>0</v>
      </c>
      <c r="H31" s="112">
        <f t="shared" si="2"/>
        <v>366</v>
      </c>
      <c r="I31" s="120" t="b">
        <f t="shared" si="14"/>
        <v>0</v>
      </c>
      <c r="J31" s="120">
        <f>SUM($I$8:I30)</f>
        <v>180000000</v>
      </c>
      <c r="K31" s="120">
        <f t="shared" si="13"/>
        <v>0</v>
      </c>
      <c r="L31" s="114">
        <f>ROUND(C31*'Общие данные'!$B$84/H31,2)*G31</f>
        <v>0</v>
      </c>
      <c r="M31" s="114">
        <f t="shared" si="0"/>
        <v>0</v>
      </c>
      <c r="N31" s="114"/>
      <c r="O31" s="129" t="str">
        <f t="shared" si="8"/>
        <v>Сб</v>
      </c>
      <c r="P31" s="131">
        <f t="shared" si="3"/>
        <v>2</v>
      </c>
      <c r="Q31" s="131">
        <f>DAY('Общие данные'!$B$78)+P31</f>
        <v>7</v>
      </c>
      <c r="R31" s="126">
        <f>IF(A31&lt;='Общие данные'!$B$81,DATE(YEAR($B$8),MONTH($B$8)+A30,DAY('Общие данные'!$B$78)),0)</f>
        <v>0</v>
      </c>
      <c r="S31" s="112"/>
      <c r="T31" s="112"/>
      <c r="U31" s="112"/>
      <c r="V31" s="112"/>
    </row>
    <row r="32" spans="1:22">
      <c r="A32" s="118">
        <f t="shared" ref="A32:A43" si="15">1+A31</f>
        <v>25</v>
      </c>
      <c r="B32" s="119" t="b">
        <f>IF(A32&lt;='Общие данные'!$B$81,DATE(YEAR(R32),MONTH(R32),DAY(IF(A32='Общие данные'!$B$81,'Общие данные'!$B$67,IF(A32&lt;'Общие данные'!$B$81,(Q32),IF(A32&gt;'Общие данные'!$B$81,$H$44,0))))))</f>
        <v>0</v>
      </c>
      <c r="C32" s="63">
        <f t="shared" ref="C32:C43" si="16">C31-D31</f>
        <v>0</v>
      </c>
      <c r="D32" s="63">
        <f t="shared" ref="D32:D43" si="17">IF(C32=0,L32,IF(C32&gt;1,I32))</f>
        <v>0</v>
      </c>
      <c r="E32" s="63">
        <f t="shared" ref="E32:E43" si="18">IF(C32=0,N31,IF(C32&gt;1,L32))</f>
        <v>0</v>
      </c>
      <c r="F32" s="63">
        <f t="shared" ref="F32:F43" si="19">IF(C32=0,N31,IF(C32&gt;1,M32))</f>
        <v>0</v>
      </c>
      <c r="G32" s="112">
        <f t="shared" ref="G32:G43" si="20">B32-B31</f>
        <v>0</v>
      </c>
      <c r="H32" s="112">
        <f t="shared" ref="H32:H43" si="21">DATE(YEAR(B32),12,31)-DATE(YEAR(B32),1,1)+1</f>
        <v>366</v>
      </c>
      <c r="I32" s="120" t="b">
        <f t="shared" ref="I32:I43" si="22">IF($L$5=A32,K32,IF($L$5&gt;A32,I31))</f>
        <v>0</v>
      </c>
      <c r="J32" s="120">
        <f>SUM($I$8:I31)</f>
        <v>180000000</v>
      </c>
      <c r="K32" s="120">
        <f t="shared" ref="K32:K43" si="23">$J$12-J32</f>
        <v>0</v>
      </c>
      <c r="L32" s="114">
        <f>ROUND(C32*'Общие данные'!$B$84/H32,2)*G32</f>
        <v>0</v>
      </c>
      <c r="M32" s="114">
        <f t="shared" ref="M32:M43" si="24">D32+E32</f>
        <v>0</v>
      </c>
      <c r="N32" s="114"/>
      <c r="O32" s="129" t="str">
        <f t="shared" ref="O32:O43" si="25">TEXT(R32,"ддд")</f>
        <v>Сб</v>
      </c>
      <c r="P32" s="131">
        <f t="shared" ref="P32:P43" si="26">IF(O32=$U$8,2,IF(O32=$V$8,1,0))</f>
        <v>2</v>
      </c>
      <c r="Q32" s="131">
        <f>DAY('Общие данные'!$B$78)+P32</f>
        <v>7</v>
      </c>
      <c r="R32" s="126">
        <f>IF(A32&lt;='Общие данные'!$B$81,DATE(YEAR($B$8),MONTH($B$8)+A31,DAY('Общие данные'!$B$78)),0)</f>
        <v>0</v>
      </c>
      <c r="S32" s="112"/>
      <c r="T32" s="112"/>
      <c r="U32" s="112"/>
      <c r="V32" s="112"/>
    </row>
    <row r="33" spans="1:22">
      <c r="A33" s="118">
        <f t="shared" si="15"/>
        <v>26</v>
      </c>
      <c r="B33" s="119" t="b">
        <f>IF(A33&lt;='Общие данные'!$B$81,DATE(YEAR(R33),MONTH(R33),DAY(IF(A33='Общие данные'!$B$81,'Общие данные'!$B$67,IF(A33&lt;'Общие данные'!$B$81,(Q33),IF(A33&gt;'Общие данные'!$B$81,$H$44,0))))))</f>
        <v>0</v>
      </c>
      <c r="C33" s="63">
        <f t="shared" si="16"/>
        <v>0</v>
      </c>
      <c r="D33" s="63">
        <f t="shared" si="17"/>
        <v>0</v>
      </c>
      <c r="E33" s="63">
        <f t="shared" si="18"/>
        <v>0</v>
      </c>
      <c r="F33" s="63">
        <f t="shared" si="19"/>
        <v>0</v>
      </c>
      <c r="G33" s="112">
        <f t="shared" si="20"/>
        <v>0</v>
      </c>
      <c r="H33" s="112">
        <f t="shared" si="21"/>
        <v>366</v>
      </c>
      <c r="I33" s="120" t="b">
        <f t="shared" si="22"/>
        <v>0</v>
      </c>
      <c r="J33" s="120">
        <f>SUM($I$8:I32)</f>
        <v>180000000</v>
      </c>
      <c r="K33" s="120">
        <f t="shared" si="23"/>
        <v>0</v>
      </c>
      <c r="L33" s="114">
        <f>ROUND(C33*'Общие данные'!$B$84/H33,2)*G33</f>
        <v>0</v>
      </c>
      <c r="M33" s="114">
        <f t="shared" si="24"/>
        <v>0</v>
      </c>
      <c r="N33" s="114"/>
      <c r="O33" s="129" t="str">
        <f t="shared" si="25"/>
        <v>Сб</v>
      </c>
      <c r="P33" s="131">
        <f t="shared" si="26"/>
        <v>2</v>
      </c>
      <c r="Q33" s="131">
        <f>DAY('Общие данные'!$B$78)+P33</f>
        <v>7</v>
      </c>
      <c r="R33" s="126">
        <f>IF(A33&lt;='Общие данные'!$B$81,DATE(YEAR($B$8),MONTH($B$8)+A32,DAY('Общие данные'!$B$78)),0)</f>
        <v>0</v>
      </c>
      <c r="S33" s="112"/>
      <c r="T33" s="112"/>
      <c r="U33" s="112"/>
      <c r="V33" s="112"/>
    </row>
    <row r="34" spans="1:22">
      <c r="A34" s="118">
        <f t="shared" si="15"/>
        <v>27</v>
      </c>
      <c r="B34" s="119" t="b">
        <f>IF(A34&lt;='Общие данные'!$B$81,DATE(YEAR(R34),MONTH(R34),DAY(IF(A34='Общие данные'!$B$81,'Общие данные'!$B$67,IF(A34&lt;'Общие данные'!$B$81,(Q34),IF(A34&gt;'Общие данные'!$B$81,$H$44,0))))))</f>
        <v>0</v>
      </c>
      <c r="C34" s="63">
        <f t="shared" si="16"/>
        <v>0</v>
      </c>
      <c r="D34" s="63">
        <f t="shared" si="17"/>
        <v>0</v>
      </c>
      <c r="E34" s="63">
        <f t="shared" si="18"/>
        <v>0</v>
      </c>
      <c r="F34" s="63">
        <f t="shared" si="19"/>
        <v>0</v>
      </c>
      <c r="G34" s="112">
        <f t="shared" si="20"/>
        <v>0</v>
      </c>
      <c r="H34" s="112">
        <f t="shared" si="21"/>
        <v>366</v>
      </c>
      <c r="I34" s="120" t="b">
        <f t="shared" si="22"/>
        <v>0</v>
      </c>
      <c r="J34" s="120">
        <f>SUM($I$8:I33)</f>
        <v>180000000</v>
      </c>
      <c r="K34" s="120">
        <f t="shared" si="23"/>
        <v>0</v>
      </c>
      <c r="L34" s="114">
        <f>ROUND(C34*'Общие данные'!$B$84/H34,2)*G34</f>
        <v>0</v>
      </c>
      <c r="M34" s="114">
        <f t="shared" si="24"/>
        <v>0</v>
      </c>
      <c r="N34" s="114"/>
      <c r="O34" s="129" t="str">
        <f t="shared" si="25"/>
        <v>Сб</v>
      </c>
      <c r="P34" s="131">
        <f t="shared" si="26"/>
        <v>2</v>
      </c>
      <c r="Q34" s="131">
        <f>DAY('Общие данные'!$B$78)+P34</f>
        <v>7</v>
      </c>
      <c r="R34" s="126">
        <f>IF(A34&lt;='Общие данные'!$B$81,DATE(YEAR($B$8),MONTH($B$8)+A33,DAY('Общие данные'!$B$78)),0)</f>
        <v>0</v>
      </c>
      <c r="S34" s="112"/>
      <c r="T34" s="112"/>
      <c r="U34" s="112"/>
      <c r="V34" s="112"/>
    </row>
    <row r="35" spans="1:22">
      <c r="A35" s="118">
        <f t="shared" si="15"/>
        <v>28</v>
      </c>
      <c r="B35" s="119" t="b">
        <f>IF(A35&lt;='Общие данные'!$B$81,DATE(YEAR(R35),MONTH(R35),DAY(IF(A35='Общие данные'!$B$81,'Общие данные'!$B$67,IF(A35&lt;'Общие данные'!$B$81,(Q35),IF(A35&gt;'Общие данные'!$B$81,$H$44,0))))))</f>
        <v>0</v>
      </c>
      <c r="C35" s="63">
        <f t="shared" si="16"/>
        <v>0</v>
      </c>
      <c r="D35" s="63">
        <f t="shared" si="17"/>
        <v>0</v>
      </c>
      <c r="E35" s="63">
        <f t="shared" si="18"/>
        <v>0</v>
      </c>
      <c r="F35" s="63">
        <f t="shared" si="19"/>
        <v>0</v>
      </c>
      <c r="G35" s="112">
        <f t="shared" si="20"/>
        <v>0</v>
      </c>
      <c r="H35" s="112">
        <f t="shared" si="21"/>
        <v>366</v>
      </c>
      <c r="I35" s="120" t="b">
        <f t="shared" si="22"/>
        <v>0</v>
      </c>
      <c r="J35" s="120">
        <f>SUM($I$8:I34)</f>
        <v>180000000</v>
      </c>
      <c r="K35" s="120">
        <f t="shared" si="23"/>
        <v>0</v>
      </c>
      <c r="L35" s="114">
        <f>ROUND(C35*'Общие данные'!$B$84/H35,2)*G35</f>
        <v>0</v>
      </c>
      <c r="M35" s="114">
        <f t="shared" si="24"/>
        <v>0</v>
      </c>
      <c r="N35" s="114"/>
      <c r="O35" s="129" t="str">
        <f t="shared" si="25"/>
        <v>Сб</v>
      </c>
      <c r="P35" s="131">
        <f t="shared" si="26"/>
        <v>2</v>
      </c>
      <c r="Q35" s="131">
        <f>DAY('Общие данные'!$B$78)+P35</f>
        <v>7</v>
      </c>
      <c r="R35" s="126">
        <f>IF(A35&lt;='Общие данные'!$B$81,DATE(YEAR($B$8),MONTH($B$8)+A34,DAY('Общие данные'!$B$78)),0)</f>
        <v>0</v>
      </c>
      <c r="S35" s="112"/>
      <c r="T35" s="112"/>
      <c r="U35" s="112"/>
      <c r="V35" s="112"/>
    </row>
    <row r="36" spans="1:22">
      <c r="A36" s="118">
        <f t="shared" si="15"/>
        <v>29</v>
      </c>
      <c r="B36" s="119" t="b">
        <f>IF(A36&lt;='Общие данные'!$B$81,DATE(YEAR(R36),MONTH(R36),DAY(IF(A36='Общие данные'!$B$81,'Общие данные'!$B$67,IF(A36&lt;'Общие данные'!$B$81,(Q36),IF(A36&gt;'Общие данные'!$B$81,$H$44,0))))))</f>
        <v>0</v>
      </c>
      <c r="C36" s="63">
        <f t="shared" si="16"/>
        <v>0</v>
      </c>
      <c r="D36" s="63">
        <f t="shared" si="17"/>
        <v>0</v>
      </c>
      <c r="E36" s="63">
        <f t="shared" si="18"/>
        <v>0</v>
      </c>
      <c r="F36" s="63">
        <f t="shared" si="19"/>
        <v>0</v>
      </c>
      <c r="G36" s="112">
        <f t="shared" si="20"/>
        <v>0</v>
      </c>
      <c r="H36" s="112">
        <f t="shared" si="21"/>
        <v>366</v>
      </c>
      <c r="I36" s="120" t="b">
        <f t="shared" si="22"/>
        <v>0</v>
      </c>
      <c r="J36" s="120">
        <f>SUM($I$8:I35)</f>
        <v>180000000</v>
      </c>
      <c r="K36" s="120">
        <f t="shared" si="23"/>
        <v>0</v>
      </c>
      <c r="L36" s="114">
        <f>ROUND(C36*'Общие данные'!$B$84/H36,2)*G36</f>
        <v>0</v>
      </c>
      <c r="M36" s="114">
        <f t="shared" si="24"/>
        <v>0</v>
      </c>
      <c r="N36" s="114"/>
      <c r="O36" s="129" t="str">
        <f t="shared" si="25"/>
        <v>Сб</v>
      </c>
      <c r="P36" s="131">
        <f t="shared" si="26"/>
        <v>2</v>
      </c>
      <c r="Q36" s="131">
        <f>DAY('Общие данные'!$B$78)+P36</f>
        <v>7</v>
      </c>
      <c r="R36" s="126">
        <f>IF(A36&lt;='Общие данные'!$B$81,DATE(YEAR($B$8),MONTH($B$8)+A35,DAY('Общие данные'!$B$78)),0)</f>
        <v>0</v>
      </c>
      <c r="S36" s="112"/>
      <c r="T36" s="112"/>
      <c r="U36" s="112"/>
      <c r="V36" s="112"/>
    </row>
    <row r="37" spans="1:22">
      <c r="A37" s="118">
        <f t="shared" si="15"/>
        <v>30</v>
      </c>
      <c r="B37" s="119" t="b">
        <f>IF(A37&lt;='Общие данные'!$B$81,DATE(YEAR(R37),MONTH(R37),DAY(IF(A37='Общие данные'!$B$81,'Общие данные'!$B$67,IF(A37&lt;'Общие данные'!$B$81,(Q37),IF(A37&gt;'Общие данные'!$B$81,$H$44,0))))))</f>
        <v>0</v>
      </c>
      <c r="C37" s="63">
        <f t="shared" si="16"/>
        <v>0</v>
      </c>
      <c r="D37" s="63">
        <f t="shared" si="17"/>
        <v>0</v>
      </c>
      <c r="E37" s="63">
        <f t="shared" si="18"/>
        <v>0</v>
      </c>
      <c r="F37" s="63">
        <f t="shared" si="19"/>
        <v>0</v>
      </c>
      <c r="G37" s="112">
        <f t="shared" si="20"/>
        <v>0</v>
      </c>
      <c r="H37" s="112">
        <f t="shared" si="21"/>
        <v>366</v>
      </c>
      <c r="I37" s="120" t="b">
        <f t="shared" si="22"/>
        <v>0</v>
      </c>
      <c r="J37" s="120">
        <f>SUM($I$8:I36)</f>
        <v>180000000</v>
      </c>
      <c r="K37" s="120">
        <f t="shared" si="23"/>
        <v>0</v>
      </c>
      <c r="L37" s="114">
        <f>ROUND(C37*'Общие данные'!$B$84/H37,2)*G37</f>
        <v>0</v>
      </c>
      <c r="M37" s="114">
        <f t="shared" si="24"/>
        <v>0</v>
      </c>
      <c r="N37" s="114"/>
      <c r="O37" s="129" t="str">
        <f t="shared" si="25"/>
        <v>Сб</v>
      </c>
      <c r="P37" s="131">
        <f t="shared" si="26"/>
        <v>2</v>
      </c>
      <c r="Q37" s="131">
        <f>DAY('Общие данные'!$B$78)+P37</f>
        <v>7</v>
      </c>
      <c r="R37" s="126">
        <f>IF(A37&lt;='Общие данные'!$B$81,DATE(YEAR($B$8),MONTH($B$8)+A36,DAY('Общие данные'!$B$78)),0)</f>
        <v>0</v>
      </c>
      <c r="S37" s="112"/>
      <c r="T37" s="112"/>
      <c r="U37" s="112"/>
      <c r="V37" s="112"/>
    </row>
    <row r="38" spans="1:22">
      <c r="A38" s="118">
        <f t="shared" si="15"/>
        <v>31</v>
      </c>
      <c r="B38" s="119" t="b">
        <f>IF(A38&lt;='Общие данные'!$B$81,DATE(YEAR(R38),MONTH(R38),DAY(IF(A38='Общие данные'!$B$81,'Общие данные'!$B$67,IF(A38&lt;'Общие данные'!$B$81,(Q38),IF(A38&gt;'Общие данные'!$B$81,$H$44,0))))))</f>
        <v>0</v>
      </c>
      <c r="C38" s="63">
        <f t="shared" si="16"/>
        <v>0</v>
      </c>
      <c r="D38" s="63">
        <f t="shared" si="17"/>
        <v>0</v>
      </c>
      <c r="E38" s="63">
        <f t="shared" si="18"/>
        <v>0</v>
      </c>
      <c r="F38" s="63">
        <f t="shared" si="19"/>
        <v>0</v>
      </c>
      <c r="G38" s="112">
        <f t="shared" si="20"/>
        <v>0</v>
      </c>
      <c r="H38" s="112">
        <f t="shared" si="21"/>
        <v>366</v>
      </c>
      <c r="I38" s="120" t="b">
        <f t="shared" si="22"/>
        <v>0</v>
      </c>
      <c r="J38" s="120">
        <f>SUM($I$8:I37)</f>
        <v>180000000</v>
      </c>
      <c r="K38" s="120">
        <f t="shared" si="23"/>
        <v>0</v>
      </c>
      <c r="L38" s="114">
        <f>ROUND(C38*'Общие данные'!$B$84/H38,2)*G38</f>
        <v>0</v>
      </c>
      <c r="M38" s="114">
        <f t="shared" si="24"/>
        <v>0</v>
      </c>
      <c r="N38" s="114"/>
      <c r="O38" s="129" t="str">
        <f t="shared" si="25"/>
        <v>Сб</v>
      </c>
      <c r="P38" s="131">
        <f t="shared" si="26"/>
        <v>2</v>
      </c>
      <c r="Q38" s="131">
        <f>DAY('Общие данные'!$B$78)+P38</f>
        <v>7</v>
      </c>
      <c r="R38" s="126">
        <f>IF(A38&lt;='Общие данные'!$B$81,DATE(YEAR($B$8),MONTH($B$8)+A37,DAY('Общие данные'!$B$78)),0)</f>
        <v>0</v>
      </c>
      <c r="S38" s="112"/>
      <c r="T38" s="112"/>
      <c r="U38" s="112"/>
      <c r="V38" s="112"/>
    </row>
    <row r="39" spans="1:22">
      <c r="A39" s="118">
        <f t="shared" si="15"/>
        <v>32</v>
      </c>
      <c r="B39" s="119" t="b">
        <f>IF(A39&lt;='Общие данные'!$B$81,DATE(YEAR(R39),MONTH(R39),DAY(IF(A39='Общие данные'!$B$81,'Общие данные'!$B$67,IF(A39&lt;'Общие данные'!$B$81,(Q39),IF(A39&gt;'Общие данные'!$B$81,$H$44,0))))))</f>
        <v>0</v>
      </c>
      <c r="C39" s="63">
        <f t="shared" si="16"/>
        <v>0</v>
      </c>
      <c r="D39" s="63">
        <f t="shared" si="17"/>
        <v>0</v>
      </c>
      <c r="E39" s="63">
        <f t="shared" si="18"/>
        <v>0</v>
      </c>
      <c r="F39" s="63">
        <f t="shared" si="19"/>
        <v>0</v>
      </c>
      <c r="G39" s="112">
        <f t="shared" si="20"/>
        <v>0</v>
      </c>
      <c r="H39" s="112">
        <f t="shared" si="21"/>
        <v>366</v>
      </c>
      <c r="I39" s="120" t="b">
        <f t="shared" si="22"/>
        <v>0</v>
      </c>
      <c r="J39" s="120">
        <f>SUM($I$8:I38)</f>
        <v>180000000</v>
      </c>
      <c r="K39" s="120">
        <f t="shared" si="23"/>
        <v>0</v>
      </c>
      <c r="L39" s="114">
        <f>ROUND(C39*'Общие данные'!$B$84/H39,2)*G39</f>
        <v>0</v>
      </c>
      <c r="M39" s="114">
        <f t="shared" si="24"/>
        <v>0</v>
      </c>
      <c r="N39" s="114"/>
      <c r="O39" s="129" t="str">
        <f t="shared" si="25"/>
        <v>Сб</v>
      </c>
      <c r="P39" s="131">
        <f t="shared" si="26"/>
        <v>2</v>
      </c>
      <c r="Q39" s="131">
        <f>DAY('Общие данные'!$B$78)+P39</f>
        <v>7</v>
      </c>
      <c r="R39" s="126">
        <f>IF(A39&lt;='Общие данные'!$B$81,DATE(YEAR($B$8),MONTH($B$8)+A38,DAY('Общие данные'!$B$78)),0)</f>
        <v>0</v>
      </c>
      <c r="S39" s="112"/>
      <c r="T39" s="112"/>
      <c r="U39" s="112"/>
      <c r="V39" s="112"/>
    </row>
    <row r="40" spans="1:22">
      <c r="A40" s="118">
        <f t="shared" si="15"/>
        <v>33</v>
      </c>
      <c r="B40" s="119" t="b">
        <f>IF(A40&lt;='Общие данные'!$B$81,DATE(YEAR(R40),MONTH(R40),DAY(IF(A40='Общие данные'!$B$81,'Общие данные'!$B$67,IF(A40&lt;'Общие данные'!$B$81,(Q40),IF(A40&gt;'Общие данные'!$B$81,$H$44,0))))))</f>
        <v>0</v>
      </c>
      <c r="C40" s="63">
        <f t="shared" si="16"/>
        <v>0</v>
      </c>
      <c r="D40" s="63">
        <f t="shared" si="17"/>
        <v>0</v>
      </c>
      <c r="E40" s="63">
        <f t="shared" si="18"/>
        <v>0</v>
      </c>
      <c r="F40" s="63">
        <f t="shared" si="19"/>
        <v>0</v>
      </c>
      <c r="G40" s="112">
        <f t="shared" si="20"/>
        <v>0</v>
      </c>
      <c r="H40" s="112">
        <f t="shared" si="21"/>
        <v>366</v>
      </c>
      <c r="I40" s="120" t="b">
        <f t="shared" si="22"/>
        <v>0</v>
      </c>
      <c r="J40" s="120">
        <f>SUM($I$8:I39)</f>
        <v>180000000</v>
      </c>
      <c r="K40" s="120">
        <f t="shared" si="23"/>
        <v>0</v>
      </c>
      <c r="L40" s="114">
        <f>ROUND(C40*'Общие данные'!$B$84/H40,2)*G40</f>
        <v>0</v>
      </c>
      <c r="M40" s="114">
        <f t="shared" si="24"/>
        <v>0</v>
      </c>
      <c r="N40" s="114"/>
      <c r="O40" s="129" t="str">
        <f t="shared" si="25"/>
        <v>Сб</v>
      </c>
      <c r="P40" s="131">
        <f t="shared" si="26"/>
        <v>2</v>
      </c>
      <c r="Q40" s="131">
        <f>DAY('Общие данные'!$B$78)+P40</f>
        <v>7</v>
      </c>
      <c r="R40" s="126">
        <f>IF(A40&lt;='Общие данные'!$B$81,DATE(YEAR($B$8),MONTH($B$8)+A39,DAY('Общие данные'!$B$78)),0)</f>
        <v>0</v>
      </c>
      <c r="S40" s="112"/>
      <c r="T40" s="112"/>
      <c r="U40" s="112"/>
      <c r="V40" s="112"/>
    </row>
    <row r="41" spans="1:22">
      <c r="A41" s="118">
        <f t="shared" si="15"/>
        <v>34</v>
      </c>
      <c r="B41" s="119" t="b">
        <f>IF(A41&lt;='Общие данные'!$B$81,DATE(YEAR(R41),MONTH(R41),DAY(IF(A41='Общие данные'!$B$81,'Общие данные'!$B$67,IF(A41&lt;'Общие данные'!$B$81,(Q41),IF(A41&gt;'Общие данные'!$B$81,$H$44,0))))))</f>
        <v>0</v>
      </c>
      <c r="C41" s="63">
        <f t="shared" si="16"/>
        <v>0</v>
      </c>
      <c r="D41" s="63">
        <f t="shared" si="17"/>
        <v>0</v>
      </c>
      <c r="E41" s="63">
        <f t="shared" si="18"/>
        <v>0</v>
      </c>
      <c r="F41" s="63">
        <f t="shared" si="19"/>
        <v>0</v>
      </c>
      <c r="G41" s="112">
        <f t="shared" si="20"/>
        <v>0</v>
      </c>
      <c r="H41" s="112">
        <f t="shared" si="21"/>
        <v>366</v>
      </c>
      <c r="I41" s="120" t="b">
        <f t="shared" si="22"/>
        <v>0</v>
      </c>
      <c r="J41" s="120">
        <f>SUM($I$8:I40)</f>
        <v>180000000</v>
      </c>
      <c r="K41" s="120">
        <f t="shared" si="23"/>
        <v>0</v>
      </c>
      <c r="L41" s="114">
        <f>ROUND(C41*'Общие данные'!$B$84/H41,2)*G41</f>
        <v>0</v>
      </c>
      <c r="M41" s="114">
        <f t="shared" si="24"/>
        <v>0</v>
      </c>
      <c r="N41" s="114"/>
      <c r="O41" s="129" t="str">
        <f t="shared" si="25"/>
        <v>Сб</v>
      </c>
      <c r="P41" s="131">
        <f t="shared" si="26"/>
        <v>2</v>
      </c>
      <c r="Q41" s="131">
        <f>DAY('Общие данные'!$B$78)+P41</f>
        <v>7</v>
      </c>
      <c r="R41" s="126">
        <f>IF(A41&lt;='Общие данные'!$B$81,DATE(YEAR($B$8),MONTH($B$8)+A40,DAY('Общие данные'!$B$78)),0)</f>
        <v>0</v>
      </c>
      <c r="S41" s="112"/>
      <c r="T41" s="112"/>
      <c r="U41" s="112"/>
      <c r="V41" s="112"/>
    </row>
    <row r="42" spans="1:22">
      <c r="A42" s="118">
        <f t="shared" si="15"/>
        <v>35</v>
      </c>
      <c r="B42" s="119" t="b">
        <f>IF(A42&lt;='Общие данные'!$B$81,DATE(YEAR(R42),MONTH(R42),DAY(IF(A42='Общие данные'!$B$81,'Общие данные'!$B$67,IF(A42&lt;'Общие данные'!$B$81,(Q42),IF(A42&gt;'Общие данные'!$B$81,$H$44,0))))))</f>
        <v>0</v>
      </c>
      <c r="C42" s="63">
        <f t="shared" si="16"/>
        <v>0</v>
      </c>
      <c r="D42" s="63">
        <f t="shared" si="17"/>
        <v>0</v>
      </c>
      <c r="E42" s="63">
        <f t="shared" si="18"/>
        <v>0</v>
      </c>
      <c r="F42" s="63">
        <f t="shared" si="19"/>
        <v>0</v>
      </c>
      <c r="G42" s="112">
        <f t="shared" si="20"/>
        <v>0</v>
      </c>
      <c r="H42" s="112">
        <f t="shared" si="21"/>
        <v>366</v>
      </c>
      <c r="I42" s="120" t="b">
        <f t="shared" si="22"/>
        <v>0</v>
      </c>
      <c r="J42" s="120">
        <f>SUM($I$8:I41)</f>
        <v>180000000</v>
      </c>
      <c r="K42" s="120">
        <f t="shared" si="23"/>
        <v>0</v>
      </c>
      <c r="L42" s="114">
        <f>ROUND(C42*'Общие данные'!$B$84/H42,2)*G42</f>
        <v>0</v>
      </c>
      <c r="M42" s="114">
        <f t="shared" si="24"/>
        <v>0</v>
      </c>
      <c r="N42" s="114"/>
      <c r="O42" s="129" t="str">
        <f t="shared" si="25"/>
        <v>Сб</v>
      </c>
      <c r="P42" s="131">
        <f t="shared" si="26"/>
        <v>2</v>
      </c>
      <c r="Q42" s="131">
        <f>DAY('Общие данные'!$B$78)+P42</f>
        <v>7</v>
      </c>
      <c r="R42" s="126">
        <f>IF(A42&lt;='Общие данные'!$B$81,DATE(YEAR($B$8),MONTH($B$8)+A41,DAY('Общие данные'!$B$78)),0)</f>
        <v>0</v>
      </c>
      <c r="S42" s="112"/>
      <c r="T42" s="112"/>
      <c r="U42" s="112"/>
      <c r="V42" s="112"/>
    </row>
    <row r="43" spans="1:22">
      <c r="A43" s="118">
        <f t="shared" si="15"/>
        <v>36</v>
      </c>
      <c r="B43" s="119" t="b">
        <f>IF(A43&lt;='Общие данные'!$B$81,DATE(YEAR(R43),MONTH(R43),DAY(IF(A43='Общие данные'!$B$81,'Общие данные'!$B$67,IF(A43&lt;'Общие данные'!$B$81,(Q43),IF(A43&gt;'Общие данные'!$B$81,$H$44,0))))))</f>
        <v>0</v>
      </c>
      <c r="C43" s="63">
        <f t="shared" si="16"/>
        <v>0</v>
      </c>
      <c r="D43" s="63">
        <f t="shared" si="17"/>
        <v>0</v>
      </c>
      <c r="E43" s="63">
        <f t="shared" si="18"/>
        <v>0</v>
      </c>
      <c r="F43" s="63">
        <f t="shared" si="19"/>
        <v>0</v>
      </c>
      <c r="G43" s="112">
        <f t="shared" si="20"/>
        <v>0</v>
      </c>
      <c r="H43" s="112">
        <f t="shared" si="21"/>
        <v>366</v>
      </c>
      <c r="I43" s="120" t="b">
        <f t="shared" si="22"/>
        <v>0</v>
      </c>
      <c r="J43" s="120">
        <f>SUM($I$8:I42)</f>
        <v>180000000</v>
      </c>
      <c r="K43" s="120">
        <f t="shared" si="23"/>
        <v>0</v>
      </c>
      <c r="L43" s="114">
        <f>ROUND(C43*'Общие данные'!$B$84/H43,2)*G43</f>
        <v>0</v>
      </c>
      <c r="M43" s="114">
        <f t="shared" si="24"/>
        <v>0</v>
      </c>
      <c r="N43" s="114"/>
      <c r="O43" s="129" t="str">
        <f t="shared" si="25"/>
        <v>Сб</v>
      </c>
      <c r="P43" s="131">
        <f t="shared" si="26"/>
        <v>2</v>
      </c>
      <c r="Q43" s="131">
        <f>DAY('Общие данные'!$B$78)+P43</f>
        <v>7</v>
      </c>
      <c r="R43" s="126">
        <f>IF(A43&lt;='Общие данные'!$B$81,DATE(YEAR($B$8),MONTH($B$8)+A42,DAY('Общие данные'!$B$78)),0)</f>
        <v>0</v>
      </c>
      <c r="S43" s="112"/>
      <c r="T43" s="112"/>
      <c r="U43" s="112"/>
      <c r="V43" s="112"/>
    </row>
    <row r="44" spans="1:22">
      <c r="A44" s="121"/>
      <c r="B44" s="122" t="s">
        <v>7</v>
      </c>
      <c r="C44" s="123"/>
      <c r="D44" s="123">
        <f>SUM(D8:D31)</f>
        <v>180000000</v>
      </c>
      <c r="E44" s="123">
        <f>SUM(E8:E31)</f>
        <v>58487671.210000001</v>
      </c>
      <c r="F44" s="123">
        <f>SUM(F8:F31)</f>
        <v>238487671.20999998</v>
      </c>
    </row>
    <row r="45" spans="1:22" ht="9" customHeight="1">
      <c r="B45" s="124"/>
      <c r="C45" s="125"/>
      <c r="D45" s="125"/>
      <c r="E45" s="125"/>
      <c r="F45" s="125"/>
    </row>
    <row r="46" spans="1:22" ht="47.25" customHeight="1">
      <c r="A46" s="254" t="s">
        <v>18</v>
      </c>
      <c r="B46" s="254"/>
      <c r="C46" s="254"/>
      <c r="D46" s="254"/>
      <c r="E46" s="254"/>
      <c r="F46" s="254"/>
    </row>
    <row r="47" spans="1:22" ht="7.5" customHeight="1"/>
    <row r="48" spans="1:22">
      <c r="A48" s="255" t="e">
        <f>#REF!</f>
        <v>#REF!</v>
      </c>
      <c r="B48" s="255"/>
      <c r="C48" s="255"/>
      <c r="D48" s="255" t="e">
        <f>#REF!</f>
        <v>#REF!</v>
      </c>
      <c r="E48" s="255"/>
      <c r="F48" s="255"/>
    </row>
    <row r="49" spans="1:6" ht="11.25" customHeight="1">
      <c r="A49" s="256"/>
      <c r="B49" s="256"/>
      <c r="C49" s="256"/>
      <c r="D49" s="256"/>
      <c r="E49" s="256"/>
      <c r="F49" s="256"/>
    </row>
    <row r="50" spans="1:6" ht="30" customHeight="1">
      <c r="A50" s="257" t="e">
        <f>#REF!</f>
        <v>#REF!</v>
      </c>
      <c r="B50" s="257"/>
      <c r="C50" s="257"/>
      <c r="D50" s="257" t="e">
        <f>#REF!</f>
        <v>#REF!</v>
      </c>
      <c r="E50" s="257"/>
      <c r="F50" s="257"/>
    </row>
    <row r="51" spans="1:6" ht="32.25" customHeight="1">
      <c r="A51" s="253" t="e">
        <f>#REF!</f>
        <v>#REF!</v>
      </c>
      <c r="B51" s="253"/>
      <c r="C51" s="253"/>
      <c r="D51" s="253" t="e">
        <f>#REF!</f>
        <v>#REF!</v>
      </c>
      <c r="E51" s="253"/>
      <c r="F51" s="253"/>
    </row>
    <row r="52" spans="1:6">
      <c r="A52" s="253" t="e">
        <f>#REF!</f>
        <v>#REF!</v>
      </c>
      <c r="B52" s="253"/>
      <c r="C52" s="253"/>
      <c r="D52" s="253" t="str">
        <f>"паспорт серии "&amp;'Общие данные'!B16&amp;", "&amp;'Общие данные'!B20&amp;""</f>
        <v>паспорт серии AB7685294, ANDIJON VILOYATI SHAXRIXON TUMANI IIB tomonidan 09.09.2017 yilda berilgan</v>
      </c>
      <c r="E52" s="253"/>
      <c r="F52" s="253"/>
    </row>
    <row r="53" spans="1:6" ht="32.25" customHeight="1">
      <c r="A53" s="253" t="e">
        <f>#REF!</f>
        <v>#REF!</v>
      </c>
      <c r="B53" s="253"/>
      <c r="C53" s="253"/>
      <c r="D53" s="253"/>
      <c r="E53" s="253"/>
      <c r="F53" s="253"/>
    </row>
    <row r="54" spans="1:6">
      <c r="A54" s="253" t="e">
        <f>#REF!</f>
        <v>#REF!</v>
      </c>
      <c r="B54" s="253"/>
      <c r="C54" s="253"/>
      <c r="D54" s="253" t="e">
        <f>#REF!</f>
        <v>#REF!</v>
      </c>
      <c r="E54" s="253"/>
      <c r="F54" s="253"/>
    </row>
    <row r="55" spans="1:6">
      <c r="A55" s="253" t="e">
        <f>#REF!</f>
        <v>#REF!</v>
      </c>
      <c r="B55" s="253"/>
      <c r="C55" s="253"/>
      <c r="D55" s="253" t="e">
        <f>#REF!</f>
        <v>#REF!</v>
      </c>
      <c r="E55" s="253"/>
      <c r="F55" s="253"/>
    </row>
    <row r="56" spans="1:6">
      <c r="A56" s="253" t="e">
        <f>#REF!</f>
        <v>#REF!</v>
      </c>
      <c r="B56" s="253"/>
      <c r="C56" s="253"/>
      <c r="D56" s="253" t="e">
        <f>#REF!</f>
        <v>#REF!</v>
      </c>
      <c r="E56" s="253"/>
      <c r="F56" s="253"/>
    </row>
    <row r="57" spans="1:6" ht="8.25" customHeight="1">
      <c r="A57" s="253"/>
      <c r="B57" s="253"/>
      <c r="C57" s="253"/>
      <c r="D57" s="253"/>
      <c r="E57" s="253"/>
      <c r="F57" s="253"/>
    </row>
    <row r="58" spans="1:6">
      <c r="A58" s="257" t="e">
        <f>#REF!</f>
        <v>#REF!</v>
      </c>
      <c r="B58" s="257"/>
      <c r="C58" s="257"/>
      <c r="D58" s="257" t="e">
        <f>#REF!</f>
        <v>#REF!</v>
      </c>
      <c r="E58" s="257"/>
      <c r="F58" s="257"/>
    </row>
    <row r="59" spans="1:6" ht="7.5" customHeight="1">
      <c r="A59" s="257"/>
      <c r="B59" s="257"/>
      <c r="C59" s="257"/>
      <c r="D59" s="257"/>
      <c r="E59" s="257"/>
      <c r="F59" s="257"/>
    </row>
    <row r="60" spans="1:6">
      <c r="A60" s="257" t="e">
        <f>#REF!</f>
        <v>#REF!</v>
      </c>
      <c r="B60" s="257"/>
      <c r="C60" s="257"/>
      <c r="D60" s="257" t="e">
        <f>#REF!</f>
        <v>#REF!</v>
      </c>
      <c r="E60" s="257"/>
      <c r="F60" s="257"/>
    </row>
    <row r="61" spans="1:6" ht="8.25" customHeight="1">
      <c r="A61" s="253"/>
      <c r="B61" s="253"/>
      <c r="C61" s="253"/>
      <c r="D61" s="253"/>
      <c r="E61" s="253"/>
      <c r="F61" s="253"/>
    </row>
    <row r="62" spans="1:6" ht="30" customHeight="1">
      <c r="A62" s="259"/>
      <c r="B62" s="259"/>
      <c r="C62" s="259"/>
      <c r="D62" s="260" t="e">
        <f>#REF!</f>
        <v>#REF!</v>
      </c>
      <c r="E62" s="260"/>
      <c r="F62" s="260"/>
    </row>
    <row r="63" spans="1:6">
      <c r="A63" s="261"/>
      <c r="B63" s="261"/>
      <c r="C63" s="261"/>
      <c r="D63" s="261"/>
      <c r="E63" s="261"/>
      <c r="F63" s="261"/>
    </row>
    <row r="64" spans="1:6">
      <c r="A64" s="258"/>
      <c r="B64" s="258"/>
      <c r="C64" s="258"/>
      <c r="D64" s="258"/>
      <c r="E64" s="258"/>
      <c r="F64" s="25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8" priority="4" operator="lessThan">
      <formula>22105</formula>
    </cfRule>
  </conditionalFormatting>
  <conditionalFormatting sqref="C8:C43">
    <cfRule type="cellIs" dxfId="7" priority="3" operator="lessThan">
      <formula>1</formula>
    </cfRule>
  </conditionalFormatting>
  <conditionalFormatting sqref="C8:F43">
    <cfRule type="cellIs" dxfId="6"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40"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46" customFormat="1" ht="36.75" customHeight="1">
      <c r="A1" s="145" t="s">
        <v>15</v>
      </c>
      <c r="B1" s="146" t="s">
        <v>3</v>
      </c>
      <c r="D1" s="145"/>
      <c r="E1" s="145" t="s">
        <v>41</v>
      </c>
      <c r="F1" s="145" t="s">
        <v>42</v>
      </c>
      <c r="G1" s="145"/>
      <c r="H1" s="145"/>
      <c r="I1" s="145"/>
      <c r="J1" s="145"/>
      <c r="K1" s="145"/>
      <c r="L1" s="145" t="s">
        <v>43</v>
      </c>
      <c r="M1" s="145" t="s">
        <v>45</v>
      </c>
      <c r="N1" s="145" t="s">
        <v>44</v>
      </c>
    </row>
    <row r="2" spans="1:23" ht="15" customHeight="1">
      <c r="A2" s="139">
        <v>1</v>
      </c>
      <c r="B2" t="s">
        <v>277</v>
      </c>
      <c r="C2" t="s">
        <v>74</v>
      </c>
      <c r="D2" s="141" t="s">
        <v>277</v>
      </c>
      <c r="E2" s="141" t="s">
        <v>51</v>
      </c>
      <c r="F2" s="142">
        <v>44207</v>
      </c>
      <c r="G2" s="130">
        <f>MONTH(F2)</f>
        <v>1</v>
      </c>
      <c r="H2" s="142" t="str">
        <f>IF(G2=$A$26,$A$28,IF(G2=$B$26,$B$28,IF(G2=$C$26,$C$28,IF(G2=$D$26,$D$28,IF(G2=$E$26,$E$28,IF(G2=$F$26,$F$28,IF(G2=$K$26,$K$28,IF(G2=$L$26,$L$28,IF(G2=$M$26,$M$28,IF(G2=$N$26,$N$28,IF(G2=$O$26,$O$28,IF(G2=$P$26,$P$28,0))))))))))))</f>
        <v>yanvar</v>
      </c>
      <c r="I2" s="130">
        <f>DAY(F2)</f>
        <v>11</v>
      </c>
      <c r="J2" s="144">
        <f>YEAR(F2)</f>
        <v>2021</v>
      </c>
      <c r="K2" s="142" t="str">
        <f>""&amp;I2&amp;" "&amp;H2&amp;" "&amp;J2&amp;" г."</f>
        <v>11 yanvar 2021 г.</v>
      </c>
      <c r="L2" s="141">
        <v>5</v>
      </c>
      <c r="M2" s="143">
        <v>15000000</v>
      </c>
      <c r="N2" s="141" t="s">
        <v>137</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5" t="str">
        <f>""&amp;P2&amp;""&amp;P3&amp;""&amp;P4&amp;""&amp;P5&amp;""&amp;P6&amp;""&amp;P7&amp;""&amp;P8&amp;""&amp;P9&amp;""&amp;P10&amp;""&amp;P11&amp;""&amp;P12&amp;""&amp;P13&amp;""&amp;P14&amp;""&amp;P15&amp;""&amp;P16&amp;""&amp;P17&amp;""&amp;P18&amp;""&amp;P19&amp;""&amp;P20&amp;""&amp;P21&amp;""</f>
        <v>- №5 от 11 yanvar 2021 г., заключенного с ООО «Clever Mikrokredit Tashkiloti» и TULYAGANOV XODJIAKBAR IRGASHEVICH, по согласованной залоговой стоимость - 15 000 000,00 (on besh million) сум.- №386 от 6 noyabr 2019 г., заключенного с ООО «Clever Mikrokredit Tashkiloti» и YUNUSOVA ZALOXAT MIRSULTANOVNA, по согласованной залоговой стоимость - 15 000 000,00 (on besh million) сум.- №33 от 21 yanvar 2021 г., заключенного с ООО «Clever Mikrokredit Tashkiloti» и YUNUSOVA ZALOXAT MIRSULTANOVNA, по согласованной залоговой стоимость - 15 000 000,00 (on besh million) сум.00000000000000000</v>
      </c>
    </row>
    <row r="3" spans="1:23" ht="15" customHeight="1">
      <c r="A3" s="139">
        <v>2</v>
      </c>
      <c r="D3" s="141" t="s">
        <v>277</v>
      </c>
      <c r="E3" s="141" t="s">
        <v>50</v>
      </c>
      <c r="F3" s="142">
        <v>43775</v>
      </c>
      <c r="G3" s="130">
        <f>MONTH(F3)</f>
        <v>11</v>
      </c>
      <c r="H3" s="142" t="str">
        <f>IF(G3=$A$26,$A$28,IF(G3=$B$26,$B$28,IF(G3=$C$26,$C$28,IF(G3=$D$26,$D$28,IF(G3=$E$26,$E$28,IF(G3=$F$26,$F$28,IF(G3=$K$26,$K$28,IF(G3=$L$26,$L$28,IF(G3=$M$26,$M$28,IF(G3=$N$26,$N$28,IF(G3=$O$26,$O$28,IF(G3=$P$26,$P$28,0))))))))))))</f>
        <v>noyabr</v>
      </c>
      <c r="I3" s="130">
        <f>DAY(F3)</f>
        <v>6</v>
      </c>
      <c r="J3" s="144">
        <f>YEAR(F3)</f>
        <v>2019</v>
      </c>
      <c r="K3" s="142" t="str">
        <f>""&amp;I3&amp;" "&amp;H3&amp;" "&amp;J3&amp;" г."</f>
        <v>6 noyabr 2019 г.</v>
      </c>
      <c r="L3" s="141">
        <v>386</v>
      </c>
      <c r="M3" s="143">
        <v>15000000</v>
      </c>
      <c r="N3" s="141" t="s">
        <v>137</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39">
        <v>3</v>
      </c>
      <c r="D4" s="141" t="s">
        <v>277</v>
      </c>
      <c r="E4" s="141" t="s">
        <v>50</v>
      </c>
      <c r="F4" s="142">
        <v>44217</v>
      </c>
      <c r="G4" s="130">
        <f>MONTH(F4)</f>
        <v>1</v>
      </c>
      <c r="H4" s="142" t="str">
        <f>IF(G4=$A$26,$A$28,IF(G4=$B$26,$B$28,IF(G4=$C$26,$C$28,IF(G4=$D$26,$D$28,IF(G4=$E$26,$E$28,IF(G4=$F$26,$F$28,IF(G4=$K$26,$K$28,IF(G4=$L$26,$L$28,IF(G4=$M$26,$M$28,IF(G4=$N$26,$N$28,IF(G4=$O$26,$O$28,IF(G4=$P$26,$P$28,0))))))))))))</f>
        <v>yanvar</v>
      </c>
      <c r="I4" s="130">
        <f>DAY(F4)</f>
        <v>21</v>
      </c>
      <c r="J4" s="144">
        <f>YEAR(F4)</f>
        <v>2021</v>
      </c>
      <c r="K4" s="142" t="str">
        <f>""&amp;I4&amp;" "&amp;H4&amp;" "&amp;J4&amp;" г."</f>
        <v>21 yanvar 2021 г.</v>
      </c>
      <c r="L4" s="141">
        <v>33</v>
      </c>
      <c r="M4" s="143">
        <v>15000000</v>
      </c>
      <c r="N4" s="141" t="s">
        <v>137</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39">
        <v>4</v>
      </c>
      <c r="D5" s="141" t="s">
        <v>277</v>
      </c>
      <c r="E5" s="141"/>
      <c r="F5" s="142"/>
      <c r="G5" s="130">
        <f t="shared" ref="G5:G21" si="2">MONTH(F5)</f>
        <v>1</v>
      </c>
      <c r="H5" s="142" t="str">
        <f t="shared" ref="H5:H21" si="3">IF(G5=$A$26,$A$28,IF(G5=$B$26,$B$28,IF(G5=$C$26,$C$28,IF(G5=$D$26,$D$28,IF(G5=$E$26,$E$28,IF(G5=$F$26,$F$28,IF(G5=$K$26,$K$28,IF(G5=$L$26,$L$28,IF(G5=$M$26,$M$28,IF(G5=$N$26,$N$28,IF(G5=$O$26,$O$28,IF(G5=$P$26,$P$28,0))))))))))))</f>
        <v>yanvar</v>
      </c>
      <c r="I5" s="130">
        <f t="shared" ref="I5:I21" si="4">DAY(F5)</f>
        <v>0</v>
      </c>
      <c r="J5" s="144">
        <f t="shared" ref="J5:J21" si="5">YEAR(F5)</f>
        <v>1900</v>
      </c>
      <c r="K5" s="142" t="str">
        <f t="shared" ref="K5:K21" si="6">""&amp;I5&amp;" "&amp;H5&amp;" "&amp;J5&amp;" г."</f>
        <v>0 yanvar 1900 г.</v>
      </c>
      <c r="L5" s="141"/>
      <c r="M5" s="143"/>
      <c r="N5" s="141"/>
      <c r="P5">
        <f t="shared" si="1"/>
        <v>0</v>
      </c>
    </row>
    <row r="6" spans="1:23" ht="15" customHeight="1">
      <c r="A6" s="139">
        <v>5</v>
      </c>
      <c r="D6" s="141" t="s">
        <v>277</v>
      </c>
      <c r="E6" s="141"/>
      <c r="F6" s="142"/>
      <c r="G6" s="130">
        <f t="shared" si="2"/>
        <v>1</v>
      </c>
      <c r="H6" s="142" t="str">
        <f t="shared" si="3"/>
        <v>yanvar</v>
      </c>
      <c r="I6" s="130">
        <f t="shared" si="4"/>
        <v>0</v>
      </c>
      <c r="J6" s="144">
        <f t="shared" si="5"/>
        <v>1900</v>
      </c>
      <c r="K6" s="142" t="str">
        <f t="shared" si="6"/>
        <v>0 yanvar 1900 г.</v>
      </c>
      <c r="L6" s="141"/>
      <c r="M6" s="143"/>
      <c r="N6" s="141"/>
      <c r="P6">
        <f t="shared" si="1"/>
        <v>0</v>
      </c>
    </row>
    <row r="7" spans="1:23" ht="15" customHeight="1">
      <c r="A7" s="139">
        <v>6</v>
      </c>
      <c r="D7" s="141" t="s">
        <v>277</v>
      </c>
      <c r="E7" s="141"/>
      <c r="F7" s="142"/>
      <c r="G7" s="130">
        <f t="shared" si="2"/>
        <v>1</v>
      </c>
      <c r="H7" s="142" t="str">
        <f t="shared" si="3"/>
        <v>yanvar</v>
      </c>
      <c r="I7" s="130">
        <f t="shared" si="4"/>
        <v>0</v>
      </c>
      <c r="J7" s="144">
        <f t="shared" si="5"/>
        <v>1900</v>
      </c>
      <c r="K7" s="142" t="str">
        <f t="shared" si="6"/>
        <v>0 yanvar 1900 г.</v>
      </c>
      <c r="L7" s="141"/>
      <c r="M7" s="143"/>
      <c r="N7" s="141"/>
      <c r="P7">
        <f t="shared" si="1"/>
        <v>0</v>
      </c>
    </row>
    <row r="8" spans="1:23" ht="15" customHeight="1">
      <c r="A8" s="139">
        <v>7</v>
      </c>
      <c r="D8" s="141" t="s">
        <v>277</v>
      </c>
      <c r="E8" s="141"/>
      <c r="F8" s="142"/>
      <c r="G8" s="130">
        <f t="shared" si="2"/>
        <v>1</v>
      </c>
      <c r="H8" s="142" t="str">
        <f t="shared" si="3"/>
        <v>yanvar</v>
      </c>
      <c r="I8" s="130">
        <f t="shared" si="4"/>
        <v>0</v>
      </c>
      <c r="J8" s="144">
        <f t="shared" si="5"/>
        <v>1900</v>
      </c>
      <c r="K8" s="142" t="str">
        <f t="shared" si="6"/>
        <v>0 yanvar 1900 г.</v>
      </c>
      <c r="L8" s="141"/>
      <c r="M8" s="143"/>
      <c r="N8" s="141"/>
      <c r="P8">
        <f t="shared" si="1"/>
        <v>0</v>
      </c>
    </row>
    <row r="9" spans="1:23" ht="15" customHeight="1">
      <c r="A9" s="139">
        <v>8</v>
      </c>
      <c r="D9" s="141" t="s">
        <v>277</v>
      </c>
      <c r="E9" s="141"/>
      <c r="F9" s="142"/>
      <c r="G9" s="130">
        <f t="shared" si="2"/>
        <v>1</v>
      </c>
      <c r="H9" s="142" t="str">
        <f t="shared" si="3"/>
        <v>yanvar</v>
      </c>
      <c r="I9" s="130">
        <f t="shared" si="4"/>
        <v>0</v>
      </c>
      <c r="J9" s="144">
        <f t="shared" si="5"/>
        <v>1900</v>
      </c>
      <c r="K9" s="142" t="str">
        <f t="shared" si="6"/>
        <v>0 yanvar 1900 г.</v>
      </c>
      <c r="L9" s="141"/>
      <c r="M9" s="143"/>
      <c r="N9" s="141"/>
      <c r="P9">
        <f t="shared" si="1"/>
        <v>0</v>
      </c>
    </row>
    <row r="10" spans="1:23" ht="15" customHeight="1">
      <c r="A10" s="139">
        <v>9</v>
      </c>
      <c r="D10" s="141" t="s">
        <v>277</v>
      </c>
      <c r="E10" s="141"/>
      <c r="F10" s="142"/>
      <c r="G10" s="130">
        <f t="shared" si="2"/>
        <v>1</v>
      </c>
      <c r="H10" s="142" t="str">
        <f t="shared" si="3"/>
        <v>yanvar</v>
      </c>
      <c r="I10" s="130">
        <f t="shared" si="4"/>
        <v>0</v>
      </c>
      <c r="J10" s="144">
        <f t="shared" si="5"/>
        <v>1900</v>
      </c>
      <c r="K10" s="142" t="str">
        <f t="shared" si="6"/>
        <v>0 yanvar 1900 г.</v>
      </c>
      <c r="L10" s="141"/>
      <c r="M10" s="143"/>
      <c r="N10" s="141"/>
      <c r="P10">
        <f t="shared" si="1"/>
        <v>0</v>
      </c>
    </row>
    <row r="11" spans="1:23" ht="15" customHeight="1">
      <c r="A11" s="139">
        <v>10</v>
      </c>
      <c r="D11" s="141" t="s">
        <v>277</v>
      </c>
      <c r="E11" s="141"/>
      <c r="F11" s="142"/>
      <c r="G11" s="130">
        <f t="shared" si="2"/>
        <v>1</v>
      </c>
      <c r="H11" s="142" t="str">
        <f t="shared" si="3"/>
        <v>yanvar</v>
      </c>
      <c r="I11" s="130">
        <f t="shared" si="4"/>
        <v>0</v>
      </c>
      <c r="J11" s="144">
        <f t="shared" si="5"/>
        <v>1900</v>
      </c>
      <c r="K11" s="142" t="str">
        <f t="shared" si="6"/>
        <v>0 yanvar 1900 г.</v>
      </c>
      <c r="L11" s="141"/>
      <c r="M11" s="143"/>
      <c r="N11" s="141"/>
      <c r="P11">
        <f t="shared" si="1"/>
        <v>0</v>
      </c>
    </row>
    <row r="12" spans="1:23" ht="15" customHeight="1">
      <c r="A12" s="139">
        <v>11</v>
      </c>
      <c r="D12" s="141" t="s">
        <v>277</v>
      </c>
      <c r="E12" s="141"/>
      <c r="F12" s="142"/>
      <c r="G12" s="130">
        <f t="shared" si="2"/>
        <v>1</v>
      </c>
      <c r="H12" s="142" t="str">
        <f t="shared" si="3"/>
        <v>yanvar</v>
      </c>
      <c r="I12" s="130">
        <f t="shared" si="4"/>
        <v>0</v>
      </c>
      <c r="J12" s="144">
        <f t="shared" si="5"/>
        <v>1900</v>
      </c>
      <c r="K12" s="142" t="str">
        <f t="shared" si="6"/>
        <v>0 yanvar 1900 г.</v>
      </c>
      <c r="L12" s="141"/>
      <c r="M12" s="143"/>
      <c r="N12" s="141"/>
      <c r="P12">
        <f t="shared" si="1"/>
        <v>0</v>
      </c>
    </row>
    <row r="13" spans="1:23" ht="15" customHeight="1">
      <c r="A13" s="139">
        <v>12</v>
      </c>
      <c r="D13" s="141" t="s">
        <v>277</v>
      </c>
      <c r="E13" s="141"/>
      <c r="F13" s="142"/>
      <c r="G13" s="130">
        <f t="shared" si="2"/>
        <v>1</v>
      </c>
      <c r="H13" s="142" t="str">
        <f t="shared" si="3"/>
        <v>yanvar</v>
      </c>
      <c r="I13" s="130">
        <f t="shared" si="4"/>
        <v>0</v>
      </c>
      <c r="J13" s="144">
        <f t="shared" si="5"/>
        <v>1900</v>
      </c>
      <c r="K13" s="142" t="str">
        <f t="shared" si="6"/>
        <v>0 yanvar 1900 г.</v>
      </c>
      <c r="L13" s="141"/>
      <c r="M13" s="143"/>
      <c r="N13" s="141"/>
      <c r="P13">
        <f t="shared" si="1"/>
        <v>0</v>
      </c>
    </row>
    <row r="14" spans="1:23" ht="15" customHeight="1">
      <c r="A14" s="139">
        <v>13</v>
      </c>
      <c r="D14" s="141" t="s">
        <v>277</v>
      </c>
      <c r="E14" s="141"/>
      <c r="F14" s="142"/>
      <c r="G14" s="130">
        <f t="shared" si="2"/>
        <v>1</v>
      </c>
      <c r="H14" s="142" t="str">
        <f t="shared" si="3"/>
        <v>yanvar</v>
      </c>
      <c r="I14" s="130">
        <f t="shared" si="4"/>
        <v>0</v>
      </c>
      <c r="J14" s="144">
        <f t="shared" si="5"/>
        <v>1900</v>
      </c>
      <c r="K14" s="142" t="str">
        <f t="shared" si="6"/>
        <v>0 yanvar 1900 г.</v>
      </c>
      <c r="L14" s="141"/>
      <c r="M14" s="143"/>
      <c r="N14" s="141"/>
      <c r="P14">
        <f t="shared" si="1"/>
        <v>0</v>
      </c>
    </row>
    <row r="15" spans="1:23" ht="15" customHeight="1">
      <c r="A15" s="139">
        <v>14</v>
      </c>
      <c r="D15" s="141" t="s">
        <v>277</v>
      </c>
      <c r="E15" s="141"/>
      <c r="F15" s="142"/>
      <c r="G15" s="130">
        <f t="shared" si="2"/>
        <v>1</v>
      </c>
      <c r="H15" s="142" t="str">
        <f t="shared" si="3"/>
        <v>yanvar</v>
      </c>
      <c r="I15" s="130">
        <f t="shared" si="4"/>
        <v>0</v>
      </c>
      <c r="J15" s="144">
        <f t="shared" si="5"/>
        <v>1900</v>
      </c>
      <c r="K15" s="142" t="str">
        <f t="shared" si="6"/>
        <v>0 yanvar 1900 г.</v>
      </c>
      <c r="L15" s="141"/>
      <c r="M15" s="143"/>
      <c r="N15" s="141"/>
      <c r="P15">
        <f t="shared" si="1"/>
        <v>0</v>
      </c>
    </row>
    <row r="16" spans="1:23" ht="15" customHeight="1">
      <c r="A16" s="139">
        <v>15</v>
      </c>
      <c r="D16" s="141" t="s">
        <v>277</v>
      </c>
      <c r="E16" s="141"/>
      <c r="F16" s="142"/>
      <c r="G16" s="130">
        <f t="shared" si="2"/>
        <v>1</v>
      </c>
      <c r="H16" s="142" t="str">
        <f t="shared" si="3"/>
        <v>yanvar</v>
      </c>
      <c r="I16" s="130">
        <f t="shared" si="4"/>
        <v>0</v>
      </c>
      <c r="J16" s="144">
        <f t="shared" si="5"/>
        <v>1900</v>
      </c>
      <c r="K16" s="142" t="str">
        <f t="shared" si="6"/>
        <v>0 yanvar 1900 г.</v>
      </c>
      <c r="L16" s="141"/>
      <c r="M16" s="143"/>
      <c r="N16" s="141"/>
      <c r="P16">
        <f t="shared" si="1"/>
        <v>0</v>
      </c>
    </row>
    <row r="17" spans="1:17" ht="15" customHeight="1">
      <c r="A17" s="139">
        <v>16</v>
      </c>
      <c r="D17" s="141" t="s">
        <v>277</v>
      </c>
      <c r="E17" s="141"/>
      <c r="F17" s="142"/>
      <c r="G17" s="130">
        <f t="shared" si="2"/>
        <v>1</v>
      </c>
      <c r="H17" s="142" t="str">
        <f t="shared" si="3"/>
        <v>yanvar</v>
      </c>
      <c r="I17" s="130">
        <f t="shared" si="4"/>
        <v>0</v>
      </c>
      <c r="J17" s="144">
        <f t="shared" si="5"/>
        <v>1900</v>
      </c>
      <c r="K17" s="142" t="str">
        <f t="shared" si="6"/>
        <v>0 yanvar 1900 г.</v>
      </c>
      <c r="L17" s="141"/>
      <c r="M17" s="143"/>
      <c r="N17" s="141"/>
      <c r="P17">
        <f t="shared" si="1"/>
        <v>0</v>
      </c>
    </row>
    <row r="18" spans="1:17" ht="15" customHeight="1">
      <c r="A18" s="139">
        <v>17</v>
      </c>
      <c r="D18" s="141" t="s">
        <v>277</v>
      </c>
      <c r="E18" s="141"/>
      <c r="F18" s="142"/>
      <c r="G18" s="130">
        <f t="shared" si="2"/>
        <v>1</v>
      </c>
      <c r="H18" s="142" t="str">
        <f t="shared" si="3"/>
        <v>yanvar</v>
      </c>
      <c r="I18" s="130">
        <f t="shared" si="4"/>
        <v>0</v>
      </c>
      <c r="J18" s="144">
        <f t="shared" si="5"/>
        <v>1900</v>
      </c>
      <c r="K18" s="142" t="str">
        <f t="shared" si="6"/>
        <v>0 yanvar 1900 г.</v>
      </c>
      <c r="L18" s="141"/>
      <c r="M18" s="143"/>
      <c r="N18" s="141"/>
      <c r="P18">
        <f t="shared" si="1"/>
        <v>0</v>
      </c>
    </row>
    <row r="19" spans="1:17" ht="15" customHeight="1">
      <c r="A19" s="139">
        <v>18</v>
      </c>
      <c r="D19" s="141" t="s">
        <v>277</v>
      </c>
      <c r="E19" s="141"/>
      <c r="F19" s="142"/>
      <c r="G19" s="130">
        <f t="shared" si="2"/>
        <v>1</v>
      </c>
      <c r="H19" s="142" t="str">
        <f t="shared" si="3"/>
        <v>yanvar</v>
      </c>
      <c r="I19" s="130">
        <f t="shared" si="4"/>
        <v>0</v>
      </c>
      <c r="J19" s="144">
        <f t="shared" si="5"/>
        <v>1900</v>
      </c>
      <c r="K19" s="142" t="str">
        <f t="shared" si="6"/>
        <v>0 yanvar 1900 г.</v>
      </c>
      <c r="L19" s="141"/>
      <c r="M19" s="143"/>
      <c r="N19" s="141"/>
      <c r="P19">
        <f t="shared" si="1"/>
        <v>0</v>
      </c>
    </row>
    <row r="20" spans="1:17" ht="15" customHeight="1">
      <c r="A20" s="139">
        <v>19</v>
      </c>
      <c r="D20" s="141" t="s">
        <v>277</v>
      </c>
      <c r="E20" s="141"/>
      <c r="F20" s="142"/>
      <c r="G20" s="130">
        <f t="shared" si="2"/>
        <v>1</v>
      </c>
      <c r="H20" s="142" t="str">
        <f t="shared" si="3"/>
        <v>yanvar</v>
      </c>
      <c r="I20" s="130">
        <f t="shared" si="4"/>
        <v>0</v>
      </c>
      <c r="J20" s="144">
        <f t="shared" si="5"/>
        <v>1900</v>
      </c>
      <c r="K20" s="142" t="str">
        <f t="shared" si="6"/>
        <v>0 yanvar 1900 г.</v>
      </c>
      <c r="L20" s="141"/>
      <c r="M20" s="143"/>
      <c r="N20" s="141"/>
      <c r="P20">
        <f t="shared" si="1"/>
        <v>0</v>
      </c>
    </row>
    <row r="21" spans="1:17" ht="15" customHeight="1">
      <c r="A21" s="139">
        <v>20</v>
      </c>
      <c r="D21" s="141" t="s">
        <v>277</v>
      </c>
      <c r="E21" s="141"/>
      <c r="F21" s="142"/>
      <c r="G21" s="130">
        <f t="shared" si="2"/>
        <v>1</v>
      </c>
      <c r="H21" s="142" t="str">
        <f t="shared" si="3"/>
        <v>yanvar</v>
      </c>
      <c r="I21" s="130">
        <f t="shared" si="4"/>
        <v>0</v>
      </c>
      <c r="J21" s="144">
        <f t="shared" si="5"/>
        <v>1900</v>
      </c>
      <c r="K21" s="142" t="str">
        <f t="shared" si="6"/>
        <v>0 yanvar 1900 г.</v>
      </c>
      <c r="L21" s="141"/>
      <c r="M21" s="143"/>
      <c r="N21" s="141"/>
      <c r="P21">
        <f t="shared" si="1"/>
        <v>0</v>
      </c>
    </row>
    <row r="22" spans="1:17">
      <c r="M22" s="147">
        <f>SUM(M2:M21)+'Общие данные'!B136</f>
        <v>315000000</v>
      </c>
      <c r="Q22" t="s">
        <v>276</v>
      </c>
    </row>
    <row r="23" spans="1:17">
      <c r="A23" s="126"/>
      <c r="B23" s="127"/>
      <c r="C23" s="127"/>
      <c r="D23" s="127"/>
      <c r="E23" s="127"/>
      <c r="F23" s="127"/>
      <c r="G23" s="127"/>
      <c r="H23" s="127"/>
      <c r="I23" s="127"/>
      <c r="J23" s="127"/>
      <c r="K23" s="127"/>
      <c r="L23" s="127"/>
      <c r="M23" s="127"/>
      <c r="N23" s="127"/>
      <c r="O23" s="127"/>
    </row>
    <row r="24" spans="1:17">
      <c r="A24" s="127"/>
      <c r="B24" s="127"/>
      <c r="C24" s="127"/>
      <c r="D24" s="127"/>
      <c r="E24" s="127"/>
      <c r="F24" s="127"/>
      <c r="G24" s="127"/>
      <c r="H24" s="127"/>
      <c r="I24" s="127"/>
      <c r="J24" s="127"/>
      <c r="K24" s="127"/>
      <c r="L24" s="127"/>
      <c r="M24" s="127"/>
      <c r="N24" s="127"/>
      <c r="O24" s="127"/>
    </row>
    <row r="25" spans="1:17">
      <c r="A25" s="127">
        <f>MONTH(F2)</f>
        <v>1</v>
      </c>
      <c r="B25" s="127" t="str">
        <f>IF(A25=A26,A28,IF(A25=B26,B28,IF(A25=C26,C28,IF(A25=D26,D28,IF(A25=E26,E28,IF(A25=F26,F28,IF(A25=K26,K28,IF(A25=L26,L28,IF(A25=M26,M28,IF(A25=N26,N28,IF(A25=O26,O28,IF(A25=#REF!,#REF!,))))))))))))</f>
        <v>yanvar</v>
      </c>
      <c r="C25" s="127">
        <f>DAY(F2)</f>
        <v>11</v>
      </c>
      <c r="D25" s="127">
        <f>YEAR(F2)</f>
        <v>2021</v>
      </c>
      <c r="E25" s="127"/>
      <c r="F25" s="127"/>
      <c r="G25" s="127"/>
      <c r="H25" s="127"/>
      <c r="I25" s="127"/>
      <c r="J25" s="127"/>
      <c r="K25" s="127"/>
      <c r="L25" s="127"/>
      <c r="M25" s="127"/>
      <c r="N25" s="127"/>
      <c r="O25" s="127"/>
    </row>
    <row r="26" spans="1:17">
      <c r="A26" s="127">
        <v>1</v>
      </c>
      <c r="B26" s="127">
        <v>2</v>
      </c>
      <c r="C26" s="127">
        <v>3</v>
      </c>
      <c r="D26" s="127">
        <v>4</v>
      </c>
      <c r="E26" s="127">
        <v>5</v>
      </c>
      <c r="F26" s="127">
        <v>6</v>
      </c>
      <c r="G26" s="127"/>
      <c r="H26" s="127"/>
      <c r="I26" s="127"/>
      <c r="J26" s="127"/>
      <c r="K26" s="127">
        <v>7</v>
      </c>
      <c r="L26" s="127">
        <v>8</v>
      </c>
      <c r="M26" s="127">
        <v>9</v>
      </c>
      <c r="N26" s="127">
        <v>10</v>
      </c>
      <c r="O26" s="127">
        <v>11</v>
      </c>
      <c r="P26" s="127">
        <v>12</v>
      </c>
    </row>
    <row r="27" spans="1:17">
      <c r="A27" s="127"/>
      <c r="B27" s="127"/>
      <c r="C27" s="127"/>
      <c r="D27" s="127"/>
      <c r="E27" s="127"/>
      <c r="F27" s="127"/>
      <c r="G27" s="127"/>
      <c r="H27" s="127"/>
      <c r="I27" s="127"/>
      <c r="J27" s="127"/>
      <c r="K27" s="127"/>
      <c r="L27" s="127"/>
      <c r="M27" s="127"/>
      <c r="N27" s="127"/>
      <c r="O27" s="127"/>
    </row>
    <row r="28" spans="1:17">
      <c r="A28" s="127" t="s">
        <v>126</v>
      </c>
      <c r="B28" s="127" t="s">
        <v>127</v>
      </c>
      <c r="C28" s="127" t="s">
        <v>116</v>
      </c>
      <c r="D28" s="127" t="s">
        <v>117</v>
      </c>
      <c r="E28" s="127" t="s">
        <v>118</v>
      </c>
      <c r="F28" s="127" t="s">
        <v>119</v>
      </c>
      <c r="G28" s="127"/>
      <c r="H28" s="127"/>
      <c r="I28" s="127"/>
      <c r="J28" s="127"/>
      <c r="K28" s="127" t="s">
        <v>25</v>
      </c>
      <c r="L28" s="127" t="s">
        <v>121</v>
      </c>
      <c r="M28" s="127" t="s">
        <v>275</v>
      </c>
      <c r="N28" s="127" t="s">
        <v>274</v>
      </c>
      <c r="O28" s="127" t="s">
        <v>124</v>
      </c>
      <c r="P28" s="127" t="s">
        <v>125</v>
      </c>
    </row>
    <row r="29" spans="1:17">
      <c r="A29" s="127" t="s">
        <v>126</v>
      </c>
      <c r="B29" s="127" t="s">
        <v>127</v>
      </c>
      <c r="C29" s="127" t="s">
        <v>116</v>
      </c>
      <c r="D29" s="127" t="s">
        <v>117</v>
      </c>
      <c r="E29" s="127" t="s">
        <v>118</v>
      </c>
      <c r="F29" s="127" t="s">
        <v>119</v>
      </c>
      <c r="G29" s="127"/>
      <c r="H29" s="127"/>
      <c r="I29" s="127"/>
      <c r="J29" s="127"/>
      <c r="K29" s="127" t="s">
        <v>29</v>
      </c>
      <c r="L29" s="127" t="s">
        <v>121</v>
      </c>
      <c r="M29" s="127" t="s">
        <v>275</v>
      </c>
      <c r="N29" s="127" t="s">
        <v>274</v>
      </c>
      <c r="O29" s="127" t="s">
        <v>124</v>
      </c>
      <c r="P29" s="127" t="s">
        <v>125</v>
      </c>
    </row>
    <row r="30" spans="1:17">
      <c r="A30" s="127"/>
      <c r="B30" s="127"/>
      <c r="C30" s="127"/>
      <c r="D30" s="127"/>
      <c r="E30" s="127"/>
      <c r="F30" s="127"/>
      <c r="G30" s="127"/>
      <c r="H30" s="127"/>
      <c r="I30" s="127"/>
      <c r="J30" s="127"/>
      <c r="K30" s="127"/>
      <c r="L30" s="128"/>
      <c r="M30" s="128"/>
      <c r="N30" s="128"/>
      <c r="O30" s="128"/>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L165"/>
  <sheetViews>
    <sheetView zoomScaleNormal="100" workbookViewId="0">
      <selection activeCell="BL23" sqref="BL23"/>
    </sheetView>
  </sheetViews>
  <sheetFormatPr defaultColWidth="9.140625" defaultRowHeight="15"/>
  <cols>
    <col min="1" max="1" width="68" style="6" customWidth="1"/>
    <col min="2" max="2" width="66.140625" style="7" customWidth="1"/>
    <col min="3" max="3" width="64" style="4" hidden="1" customWidth="1"/>
    <col min="4" max="4" width="29.7109375" style="4" hidden="1" customWidth="1"/>
    <col min="5" max="7" width="9.140625" style="4" hidden="1" customWidth="1"/>
    <col min="8" max="8" width="62.5703125" style="4" hidden="1" customWidth="1"/>
    <col min="9" max="13" width="9.140625" style="4" hidden="1" customWidth="1"/>
    <col min="14" max="14" width="70.7109375" style="4" hidden="1" customWidth="1"/>
    <col min="15" max="16" width="9.140625" style="4" hidden="1" customWidth="1"/>
    <col min="17" max="17" width="59.7109375" style="4" hidden="1" customWidth="1"/>
    <col min="18" max="18" width="49.85546875" style="4" hidden="1" customWidth="1"/>
    <col min="19" max="60" width="9.140625" style="4" hidden="1" customWidth="1"/>
    <col min="61" max="61" width="0" style="4" hidden="1" customWidth="1"/>
    <col min="62" max="62" width="9.140625" style="4" hidden="1" customWidth="1"/>
    <col min="63" max="63" width="8.5703125" style="4" hidden="1" customWidth="1"/>
    <col min="64" max="64" width="47.140625" style="4" bestFit="1" customWidth="1"/>
    <col min="65" max="68" width="9.140625" style="4" customWidth="1"/>
    <col min="69" max="16384" width="9.140625" style="4"/>
  </cols>
  <sheetData>
    <row r="1" spans="1:4">
      <c r="A1" s="3" t="str">
        <f>CONCATENATE(B65," olish uchun ariza")</f>
        <v>mikrokredit olish uchun ariza</v>
      </c>
      <c r="B1" s="52" t="s">
        <v>445</v>
      </c>
    </row>
    <row r="2" spans="1:4">
      <c r="A2" s="3" t="str">
        <f>CONCATENATE(B65," olish uchun ariza sanasi QO’L BILAN KIRITILADI")</f>
        <v>mikrokredit olish uchun ariza sanasi QO’L BILAN KIRITILADI</v>
      </c>
      <c r="B2" s="69" t="s">
        <v>423</v>
      </c>
      <c r="D2" s="193">
        <f>180+B2</f>
        <v>45872</v>
      </c>
    </row>
    <row r="3" spans="1:4">
      <c r="A3" s="3"/>
      <c r="B3" s="1"/>
    </row>
    <row r="4" spans="1:4">
      <c r="A4" s="262" t="s">
        <v>60</v>
      </c>
      <c r="B4" s="262"/>
    </row>
    <row r="5" spans="1:4">
      <c r="A5" s="3" t="s">
        <v>61</v>
      </c>
      <c r="B5" s="52" t="s">
        <v>424</v>
      </c>
    </row>
    <row r="6" spans="1:4" ht="30">
      <c r="A6" s="3" t="s">
        <v>62</v>
      </c>
      <c r="B6" s="52" t="s">
        <v>141</v>
      </c>
      <c r="C6" s="4" t="s">
        <v>277</v>
      </c>
      <c r="D6" s="4" t="s">
        <v>141</v>
      </c>
    </row>
    <row r="7" spans="1:4">
      <c r="A7" s="3" t="s">
        <v>63</v>
      </c>
      <c r="B7" s="52" t="s">
        <v>425</v>
      </c>
    </row>
    <row r="8" spans="1:4" hidden="1">
      <c r="A8" s="3" t="s">
        <v>64</v>
      </c>
      <c r="B8" s="93" t="str">
        <f>B5</f>
        <v>QOSIMOV BEKZODBEK ORIFJONOVICH</v>
      </c>
    </row>
    <row r="9" spans="1:4" hidden="1">
      <c r="A9" s="3" t="s">
        <v>65</v>
      </c>
      <c r="B9" s="93" t="str">
        <f>B7</f>
        <v>QOSIMOV  B.O.</v>
      </c>
    </row>
    <row r="10" spans="1:4" hidden="1">
      <c r="A10" s="3" t="s">
        <v>66</v>
      </c>
      <c r="B10" s="93" t="str">
        <f>B8</f>
        <v>QOSIMOV BEKZODBEK ORIFJONOVICH</v>
      </c>
    </row>
    <row r="11" spans="1:4" hidden="1">
      <c r="A11" s="3" t="s">
        <v>67</v>
      </c>
      <c r="B11" s="93" t="str">
        <f>B9</f>
        <v>QOSIMOV  B.O.</v>
      </c>
    </row>
    <row r="12" spans="1:4" hidden="1">
      <c r="A12" s="3" t="s">
        <v>68</v>
      </c>
      <c r="B12" s="93" t="str">
        <f>B10</f>
        <v>QOSIMOV BEKZODBEK ORIFJONOVICH</v>
      </c>
    </row>
    <row r="13" spans="1:4" hidden="1">
      <c r="A13" s="3" t="s">
        <v>69</v>
      </c>
      <c r="B13" s="93" t="str">
        <f>B11</f>
        <v>QOSIMOV  B.O.</v>
      </c>
    </row>
    <row r="14" spans="1:4" hidden="1">
      <c r="A14" s="3" t="s">
        <v>70</v>
      </c>
      <c r="B14" s="93" t="s">
        <v>73</v>
      </c>
    </row>
    <row r="15" spans="1:4">
      <c r="A15" s="3" t="s">
        <v>71</v>
      </c>
      <c r="B15" s="164" t="s">
        <v>426</v>
      </c>
    </row>
    <row r="16" spans="1:4">
      <c r="A16" s="3" t="s">
        <v>72</v>
      </c>
      <c r="B16" s="52" t="s">
        <v>427</v>
      </c>
    </row>
    <row r="17" spans="1:61">
      <c r="A17" s="3"/>
      <c r="B17" s="52" t="s">
        <v>428</v>
      </c>
      <c r="C17" s="94"/>
      <c r="D17" s="5" t="str">
        <f>TEXT(C17,"ДД.ММ.ГГГГ")</f>
        <v>00.01.1900</v>
      </c>
    </row>
    <row r="18" spans="1:61">
      <c r="A18" s="3"/>
      <c r="B18" s="164">
        <v>42987</v>
      </c>
      <c r="C18" s="98" t="str">
        <f>TEXT(B18,"ДД.ММ.ГГГГ")</f>
        <v>09.09.2017</v>
      </c>
      <c r="D18" s="5"/>
    </row>
    <row r="19" spans="1:61">
      <c r="A19" s="3"/>
      <c r="B19" s="164">
        <f>DATE(YEAR(B18)+10,MONTH(B18),DAY(B18)-1)</f>
        <v>46638</v>
      </c>
      <c r="C19" s="98" t="str">
        <f>TEXT(B19,"ДД.ММ.ГГГГ")</f>
        <v>08.09.2027</v>
      </c>
      <c r="D19" s="5"/>
    </row>
    <row r="20" spans="1:61" ht="45">
      <c r="A20" s="3" t="s">
        <v>75</v>
      </c>
      <c r="B20" s="74" t="str">
        <f>""&amp;B17&amp;" tomonidan "&amp;C18&amp;" yilda berilgan"</f>
        <v>ANDIJON VILOYATI SHAXRIXON TUMANI IIB tomonidan 09.09.2017 yilda berilgan</v>
      </c>
      <c r="C20" s="99" t="str">
        <f>""&amp;B17&amp;" tomonidan "&amp;C18&amp;" yilda berilgan"</f>
        <v>ANDIJON VILOYATI SHAXRIXON TUMANI IIB tomonidan 09.09.2017 yilda berilgan</v>
      </c>
    </row>
    <row r="21" spans="1:61" ht="45">
      <c r="A21" s="3" t="s">
        <v>76</v>
      </c>
      <c r="B21" s="74" t="str">
        <f>""&amp;C19&amp;" y."</f>
        <v>08.09.2027 y.</v>
      </c>
      <c r="C21" s="98" t="str">
        <f>""&amp;C19&amp;" yilgacha"</f>
        <v>08.09.2027 yilgacha</v>
      </c>
      <c r="BI21" s="4" t="s">
        <v>28</v>
      </c>
    </row>
    <row r="22" spans="1:61" ht="60" customHeight="1">
      <c r="A22" s="3" t="s">
        <v>77</v>
      </c>
      <c r="B22" s="52" t="s">
        <v>429</v>
      </c>
    </row>
    <row r="23" spans="1:61" ht="30">
      <c r="A23" s="3" t="s">
        <v>78</v>
      </c>
      <c r="B23" s="52" t="s">
        <v>103</v>
      </c>
      <c r="C23" s="5" t="s">
        <v>102</v>
      </c>
      <c r="D23" s="5" t="s">
        <v>103</v>
      </c>
    </row>
    <row r="24" spans="1:61" ht="30" hidden="1">
      <c r="A24" s="3" t="s">
        <v>79</v>
      </c>
      <c r="B24" s="93" t="s">
        <v>100</v>
      </c>
      <c r="C24" s="5" t="s">
        <v>100</v>
      </c>
      <c r="D24" s="5" t="s">
        <v>101</v>
      </c>
      <c r="E24" s="5" t="s">
        <v>0</v>
      </c>
      <c r="F24" s="5" t="s">
        <v>1</v>
      </c>
      <c r="G24" s="4" t="s">
        <v>3</v>
      </c>
    </row>
    <row r="25" spans="1:61">
      <c r="A25" s="3" t="s">
        <v>80</v>
      </c>
      <c r="B25" s="52" t="s">
        <v>433</v>
      </c>
    </row>
    <row r="26" spans="1:61" ht="44.25" customHeight="1">
      <c r="A26" s="3" t="s">
        <v>81</v>
      </c>
      <c r="B26" s="235" t="s">
        <v>430</v>
      </c>
      <c r="C26" s="4" t="s">
        <v>28</v>
      </c>
    </row>
    <row r="27" spans="1:61" ht="44.25" hidden="1" customHeight="1">
      <c r="A27" s="3"/>
      <c r="B27" s="52" t="str">
        <f>IF(B23="mos keladi",B22,B28)</f>
        <v>QORAQALPOGISTON RESPUBLIKASI  NUKUS SHAHARI OZBEKISTON GUZARI 71 4 UY</v>
      </c>
    </row>
    <row r="28" spans="1:61" ht="30">
      <c r="A28" s="3" t="s">
        <v>82</v>
      </c>
      <c r="B28" s="52" t="s">
        <v>431</v>
      </c>
    </row>
    <row r="29" spans="1:61">
      <c r="A29" s="3" t="s">
        <v>83</v>
      </c>
      <c r="B29" s="52" t="s">
        <v>100</v>
      </c>
      <c r="C29" s="128" t="s">
        <v>100</v>
      </c>
      <c r="D29" s="128" t="s">
        <v>101</v>
      </c>
      <c r="E29" s="128" t="s">
        <v>354</v>
      </c>
      <c r="F29" s="128" t="s">
        <v>355</v>
      </c>
      <c r="G29" s="128" t="s">
        <v>3</v>
      </c>
      <c r="H29" s="128"/>
      <c r="I29" s="128"/>
      <c r="J29" s="128"/>
    </row>
    <row r="30" spans="1:61" ht="27">
      <c r="A30" s="3" t="s">
        <v>84</v>
      </c>
      <c r="B30" s="217" t="s">
        <v>156</v>
      </c>
      <c r="C30" s="5" t="s">
        <v>156</v>
      </c>
      <c r="D30" s="5" t="s">
        <v>358</v>
      </c>
    </row>
    <row r="31" spans="1:61">
      <c r="A31" s="3" t="s">
        <v>85</v>
      </c>
      <c r="B31" s="52" t="s">
        <v>432</v>
      </c>
    </row>
    <row r="32" spans="1:61">
      <c r="A32" s="3" t="s">
        <v>70</v>
      </c>
      <c r="B32" s="52" t="s">
        <v>73</v>
      </c>
    </row>
    <row r="33" spans="1:4">
      <c r="A33" s="3" t="s">
        <v>80</v>
      </c>
      <c r="B33" s="52" t="s">
        <v>433</v>
      </c>
    </row>
    <row r="34" spans="1:4" hidden="1">
      <c r="A34" s="3"/>
      <c r="B34" s="52">
        <f>IF(B23="mos keladi",B26,B35)</f>
        <v>0</v>
      </c>
    </row>
    <row r="35" spans="1:4">
      <c r="A35" s="3" t="s">
        <v>81</v>
      </c>
      <c r="B35" s="52"/>
    </row>
    <row r="36" spans="1:4">
      <c r="A36" s="3" t="s">
        <v>86</v>
      </c>
      <c r="B36" s="52"/>
    </row>
    <row r="37" spans="1:4">
      <c r="A37" s="3" t="s">
        <v>87</v>
      </c>
      <c r="B37" s="52">
        <v>5</v>
      </c>
    </row>
    <row r="38" spans="1:4">
      <c r="A38" s="3" t="s">
        <v>88</v>
      </c>
      <c r="B38" s="52"/>
    </row>
    <row r="39" spans="1:4">
      <c r="A39" s="3" t="s">
        <v>89</v>
      </c>
      <c r="B39" s="52"/>
    </row>
    <row r="40" spans="1:4" ht="24.75" customHeight="1">
      <c r="A40" s="3" t="s">
        <v>90</v>
      </c>
      <c r="B40" s="52" t="s">
        <v>433</v>
      </c>
    </row>
    <row r="41" spans="1:4" ht="24.75" customHeight="1">
      <c r="A41" s="3" t="s">
        <v>91</v>
      </c>
      <c r="B41" s="52" t="s">
        <v>434</v>
      </c>
    </row>
    <row r="42" spans="1:4" ht="24.75" customHeight="1">
      <c r="A42" s="3" t="s">
        <v>90</v>
      </c>
      <c r="B42" s="52" t="s">
        <v>435</v>
      </c>
    </row>
    <row r="43" spans="1:4">
      <c r="A43" s="3" t="s">
        <v>91</v>
      </c>
      <c r="B43" s="52"/>
    </row>
    <row r="44" spans="1:4" ht="23.25">
      <c r="A44" s="219" t="s">
        <v>92</v>
      </c>
      <c r="B44" s="218" t="s">
        <v>378</v>
      </c>
      <c r="C44" s="4" t="s">
        <v>370</v>
      </c>
      <c r="D44" s="4" t="s">
        <v>378</v>
      </c>
    </row>
    <row r="45" spans="1:4" hidden="1">
      <c r="A45" s="3"/>
      <c r="B45" s="216" t="str">
        <f>IF(B44=D44,CONCATENATE("MA'LUMOTNOMA ",B47,B46),C44)</f>
        <v>MA'LUMOTNOMA №  №0005101243 №0005101243</v>
      </c>
    </row>
    <row r="46" spans="1:4" ht="46.5">
      <c r="A46" s="219" t="s">
        <v>379</v>
      </c>
      <c r="B46" s="216" t="s">
        <v>436</v>
      </c>
    </row>
    <row r="47" spans="1:4" ht="23.25" hidden="1">
      <c r="A47" s="219"/>
      <c r="B47" s="216" t="str">
        <f>CONCATENATE(C47," ",B46)</f>
        <v>№  №0005101243</v>
      </c>
      <c r="C47" s="4" t="s">
        <v>15</v>
      </c>
    </row>
    <row r="48" spans="1:4" ht="69.75">
      <c r="A48" s="219" t="s">
        <v>380</v>
      </c>
      <c r="B48" s="216" t="s">
        <v>437</v>
      </c>
    </row>
    <row r="49" spans="1:64" hidden="1">
      <c r="A49" s="3" t="s">
        <v>93</v>
      </c>
      <c r="B49" s="52" t="str">
        <f>IF(B44=C44,C44,B48)</f>
        <v xml:space="preserve">Avtomobillarni mayda ta'mirlash </v>
      </c>
    </row>
    <row r="50" spans="1:64" ht="30">
      <c r="A50" s="3" t="s">
        <v>94</v>
      </c>
      <c r="B50" s="52"/>
    </row>
    <row r="51" spans="1:64">
      <c r="A51" s="3" t="s">
        <v>81</v>
      </c>
      <c r="B51" s="52"/>
    </row>
    <row r="52" spans="1:64">
      <c r="A52" s="3" t="s">
        <v>95</v>
      </c>
      <c r="B52" s="52"/>
    </row>
    <row r="53" spans="1:64">
      <c r="A53" s="3" t="s">
        <v>96</v>
      </c>
      <c r="B53" s="52"/>
    </row>
    <row r="54" spans="1:64">
      <c r="A54" s="3" t="s">
        <v>97</v>
      </c>
      <c r="B54" s="52"/>
    </row>
    <row r="55" spans="1:64">
      <c r="A55" s="3" t="s">
        <v>98</v>
      </c>
      <c r="B55" s="2"/>
    </row>
    <row r="56" spans="1:64">
      <c r="A56" s="3" t="s">
        <v>99</v>
      </c>
      <c r="B56" s="2" t="s">
        <v>23</v>
      </c>
    </row>
    <row r="57" spans="1:64" ht="30" customHeight="1">
      <c r="A57" s="263" t="s">
        <v>104</v>
      </c>
      <c r="B57" s="264"/>
    </row>
    <row r="58" spans="1:64" ht="20.25" hidden="1" customHeight="1">
      <c r="A58" s="3" t="s">
        <v>105</v>
      </c>
      <c r="B58" s="52" t="str">
        <f>IF(B44=C44,C44,CONCATENATE(B44," ",B47))</f>
        <v>O'Z O'ZINI BAND QILGAN FUQARO №  №0005101243</v>
      </c>
    </row>
    <row r="59" spans="1:64" ht="31.5" hidden="1" customHeight="1">
      <c r="A59" s="3" t="s">
        <v>93</v>
      </c>
      <c r="B59" s="52" t="str">
        <f>B49</f>
        <v xml:space="preserve">Avtomobillarni mayda ta'mirlash </v>
      </c>
    </row>
    <row r="60" spans="1:64" ht="23.25">
      <c r="A60" s="219" t="s">
        <v>106</v>
      </c>
      <c r="B60" s="223">
        <v>47000000</v>
      </c>
      <c r="BL60" s="230">
        <f>BL77/B75</f>
        <v>0.35361799849999997</v>
      </c>
    </row>
    <row r="61" spans="1:64" ht="15.75" thickBot="1">
      <c r="A61" s="3" t="s">
        <v>107</v>
      </c>
      <c r="B61" s="226">
        <v>0</v>
      </c>
      <c r="C61" s="128"/>
      <c r="D61" s="128"/>
      <c r="E61" s="128"/>
      <c r="F61" s="128"/>
      <c r="G61" s="128"/>
      <c r="H61" s="128"/>
      <c r="I61" s="128"/>
      <c r="J61" s="128"/>
      <c r="K61" s="128"/>
      <c r="L61" s="128"/>
      <c r="M61" s="128"/>
      <c r="N61" s="128"/>
      <c r="O61" s="128"/>
      <c r="BL61" s="231" t="s">
        <v>412</v>
      </c>
    </row>
    <row r="62" spans="1:64" ht="15.75" hidden="1" thickBot="1">
      <c r="A62" s="3" t="s">
        <v>108</v>
      </c>
      <c r="B62" s="52">
        <f>B53</f>
        <v>0</v>
      </c>
      <c r="C62" s="128"/>
      <c r="D62" s="128"/>
      <c r="E62" s="128"/>
      <c r="F62" s="128"/>
      <c r="G62" s="128"/>
      <c r="H62" s="128"/>
      <c r="I62" s="128"/>
      <c r="J62" s="128"/>
      <c r="K62" s="128"/>
      <c r="L62" s="128"/>
      <c r="M62" s="128"/>
      <c r="N62" s="128"/>
      <c r="O62" s="128"/>
      <c r="BL62" s="228"/>
    </row>
    <row r="63" spans="1:64" ht="15.75" hidden="1" thickBot="1">
      <c r="A63" s="3" t="s">
        <v>109</v>
      </c>
      <c r="B63" s="52"/>
      <c r="C63" s="5"/>
      <c r="D63" s="5"/>
      <c r="E63" s="5"/>
      <c r="F63" s="5"/>
      <c r="G63" s="5"/>
      <c r="H63" s="5"/>
      <c r="I63" s="5"/>
      <c r="J63" s="5"/>
      <c r="K63" s="5"/>
      <c r="L63" s="5"/>
      <c r="M63" s="5"/>
      <c r="N63" s="5"/>
      <c r="O63" s="5"/>
      <c r="BL63" s="228"/>
    </row>
    <row r="64" spans="1:64" ht="15.75" hidden="1" thickBot="1">
      <c r="A64" s="262" t="s">
        <v>110</v>
      </c>
      <c r="B64" s="262"/>
      <c r="C64" s="128" t="str">
        <f>PROPER(B65)</f>
        <v>Mikrokredit</v>
      </c>
      <c r="D64" s="128" t="str">
        <f>UPPER(B65)</f>
        <v>MIKROKREDIT</v>
      </c>
      <c r="E64" s="128"/>
      <c r="F64" s="128"/>
      <c r="G64" s="128"/>
      <c r="H64" s="128"/>
      <c r="I64" s="128"/>
      <c r="J64" s="128"/>
      <c r="K64" s="128"/>
      <c r="L64" s="128"/>
      <c r="M64" s="128"/>
      <c r="N64" s="128"/>
      <c r="O64" s="128"/>
      <c r="P64" s="128"/>
      <c r="Q64" s="128"/>
      <c r="R64" s="128"/>
      <c r="S64" s="128"/>
      <c r="T64" s="128"/>
      <c r="U64" s="128"/>
      <c r="V64" s="128"/>
      <c r="BL64" s="228"/>
    </row>
    <row r="65" spans="1:64" ht="15.75" hidden="1" thickBot="1">
      <c r="A65" s="3" t="s">
        <v>111</v>
      </c>
      <c r="B65" s="1" t="str">
        <f>IF(B75&gt;100000001,"mikrokredit",IF(B75&lt;100000001,"mikroqarz",0))</f>
        <v>mikrokredit</v>
      </c>
      <c r="C65" s="126">
        <f>DATE(YEAR(B67),MONTH(B67)+B81,DAY(B67))</f>
        <v>46057</v>
      </c>
      <c r="D65" s="127"/>
      <c r="E65" s="127"/>
      <c r="F65" s="127"/>
      <c r="G65" s="127"/>
      <c r="H65" s="127"/>
      <c r="I65" s="127"/>
      <c r="J65" s="127"/>
      <c r="K65" s="127"/>
      <c r="L65" s="127"/>
      <c r="M65" s="127"/>
      <c r="N65" s="127"/>
      <c r="O65" s="128"/>
      <c r="P65" s="128"/>
      <c r="Q65" s="128"/>
      <c r="R65" s="128"/>
      <c r="S65" s="128"/>
      <c r="T65" s="128"/>
      <c r="U65" s="128"/>
      <c r="V65" s="128"/>
      <c r="BL65" s="228"/>
    </row>
    <row r="66" spans="1:64" ht="15.75" hidden="1" thickBot="1">
      <c r="A66" s="3" t="s">
        <v>112</v>
      </c>
      <c r="B66" s="52" t="str">
        <f>B1</f>
        <v>№269-NS</v>
      </c>
      <c r="C66" s="127">
        <f>MONTH(C65)</f>
        <v>2</v>
      </c>
      <c r="D66" s="127" t="str">
        <f>IF(C66=C68,C70,IF(C66=D68,D70,IF(C66=E68,E70,IF(C66=F68,F70,IF(C66=G68,G70,IF(C66=H68,H70,IF(C66=I68,I70,IF(C66=J68,J70,IF(C66=K68,K70,IF(C66=L68,L70,IF(C66=M68,M70,IF(C66=N68,N70,))))))))))))</f>
        <v>fevral</v>
      </c>
      <c r="E66" s="127">
        <f>DAY(C65)</f>
        <v>4</v>
      </c>
      <c r="F66" s="127">
        <f>YEAR(C65)</f>
        <v>2026</v>
      </c>
      <c r="G66" s="127">
        <f>MONTH(C65)</f>
        <v>2</v>
      </c>
      <c r="H66" s="127" t="str">
        <f>IF(C66=C68,C71,IF(C66=D68,D71,IF(C66=E68,E71,IF(C66=F68,F71,IF(C66=G68,G71,IF(C66=H68,H71,IF(C66=I68,I71,IF(C66=J68,J71,IF(C66=K68,K71,IF(C66=L68,L71,IF(C66=M68,M71,IF(C66=N68,N71,))))))))))))</f>
        <v>fevral</v>
      </c>
      <c r="I66" s="127">
        <f>YEAR(C65)</f>
        <v>2026</v>
      </c>
      <c r="J66" s="127"/>
      <c r="K66" s="127"/>
      <c r="L66" s="127"/>
      <c r="M66" s="127"/>
      <c r="N66" s="127"/>
      <c r="O66" s="128"/>
      <c r="P66" s="128"/>
      <c r="Q66" s="128"/>
      <c r="R66" s="128"/>
      <c r="S66" s="128"/>
      <c r="T66" s="128"/>
      <c r="U66" s="128"/>
      <c r="V66" s="128"/>
      <c r="BL66" s="228"/>
    </row>
    <row r="67" spans="1:64" ht="15.75" hidden="1" thickBot="1">
      <c r="A67" s="3" t="s">
        <v>113</v>
      </c>
      <c r="B67" s="110" t="str">
        <f>B2</f>
        <v>04.02.2025</v>
      </c>
      <c r="C67" s="127">
        <f>MONTH(B67)</f>
        <v>2</v>
      </c>
      <c r="D67" s="127" t="str">
        <f>IF(C67=C68,C70,IF(C67=D68,D70,IF(C67=E68,E70,IF(C67=F68,F70,IF(C67=G68,G70,IF(C67=H68,H70,IF(C67=I68,I70,IF(C67=J68,J70,IF(C67=K68,K70,IF(C67=L68,L70,IF(C67=M68,M70,IF(C67=N68,N70,))))))))))))</f>
        <v>fevral</v>
      </c>
      <c r="E67" s="127">
        <f>DAY(B67)</f>
        <v>4</v>
      </c>
      <c r="F67" s="127">
        <f>YEAR(B67)</f>
        <v>2025</v>
      </c>
      <c r="G67" s="127">
        <f>MONTH(B67)</f>
        <v>2</v>
      </c>
      <c r="H67" s="127" t="str">
        <f>IF(C67=C68,C71,IF(C67=D68,D71,IF(C67=E68,E71,IF(C67=F68,F71,IF(C67=G68,G71,IF(C67=H68,H71,IF(C67=I68,I71,IF(C67=J68,J71,IF(C67=K68,K71,IF(C67=L68,L71,IF(C67=M68,M71,IF(C67=N68,N71,))))))))))))</f>
        <v>fevral</v>
      </c>
      <c r="I67" s="127">
        <f>YEAR(B67)</f>
        <v>2025</v>
      </c>
      <c r="J67" s="127"/>
      <c r="K67" s="127"/>
      <c r="L67" s="127"/>
      <c r="M67" s="127"/>
      <c r="N67" s="127"/>
      <c r="O67" s="128"/>
      <c r="P67" s="128"/>
      <c r="Q67" s="128"/>
      <c r="R67" s="128"/>
      <c r="S67" s="128"/>
      <c r="T67" s="128"/>
      <c r="U67" s="128"/>
      <c r="V67" s="128"/>
      <c r="BL67" s="228"/>
    </row>
    <row r="68" spans="1:64" ht="15.75" hidden="1" thickBot="1">
      <c r="A68" s="3" t="s">
        <v>114</v>
      </c>
      <c r="B68" s="100" t="str">
        <f>""&amp;E67&amp;" "&amp;D67&amp;" "&amp;F67&amp;" y."</f>
        <v>4 fevral 2025 y.</v>
      </c>
      <c r="C68" s="127">
        <v>1</v>
      </c>
      <c r="D68" s="127">
        <v>2</v>
      </c>
      <c r="E68" s="127">
        <v>3</v>
      </c>
      <c r="F68" s="127">
        <v>4</v>
      </c>
      <c r="G68" s="127">
        <v>5</v>
      </c>
      <c r="H68" s="127">
        <v>6</v>
      </c>
      <c r="I68" s="127">
        <v>7</v>
      </c>
      <c r="J68" s="127">
        <v>8</v>
      </c>
      <c r="K68" s="127">
        <v>9</v>
      </c>
      <c r="L68" s="127">
        <v>10</v>
      </c>
      <c r="M68" s="127">
        <v>11</v>
      </c>
      <c r="N68" s="127">
        <v>12</v>
      </c>
      <c r="O68" s="128"/>
      <c r="P68" s="128"/>
      <c r="Q68" s="128"/>
      <c r="R68" s="128"/>
      <c r="S68" s="128"/>
      <c r="T68" s="128"/>
      <c r="U68" s="128"/>
      <c r="V68" s="128"/>
      <c r="BL68" s="228"/>
    </row>
    <row r="69" spans="1:64" ht="15.75" hidden="1" thickBot="1">
      <c r="A69" s="3"/>
      <c r="B69" s="100" t="str">
        <f>""&amp;E67&amp;" "&amp;H67&amp;" "&amp;F67&amp;" y."</f>
        <v>4 fevral 2025 y.</v>
      </c>
      <c r="C69" s="127"/>
      <c r="D69" s="127"/>
      <c r="E69" s="127"/>
      <c r="F69" s="127"/>
      <c r="G69" s="127"/>
      <c r="H69" s="127"/>
      <c r="I69" s="127"/>
      <c r="J69" s="127"/>
      <c r="K69" s="127"/>
      <c r="L69" s="127"/>
      <c r="M69" s="127"/>
      <c r="N69" s="127"/>
      <c r="O69" s="128"/>
      <c r="P69" s="128"/>
      <c r="Q69" s="128"/>
      <c r="R69" s="128"/>
      <c r="S69" s="128"/>
      <c r="T69" s="128"/>
      <c r="U69" s="128"/>
      <c r="V69" s="128"/>
      <c r="BL69" s="228"/>
    </row>
    <row r="70" spans="1:64" ht="15.75" hidden="1" thickBot="1">
      <c r="A70" s="3"/>
      <c r="B70" s="73" t="str">
        <f>B68</f>
        <v>4 fevral 2025 y.</v>
      </c>
      <c r="C70" s="181" t="s">
        <v>126</v>
      </c>
      <c r="D70" s="181" t="s">
        <v>127</v>
      </c>
      <c r="E70" s="181" t="s">
        <v>116</v>
      </c>
      <c r="F70" s="181" t="s">
        <v>117</v>
      </c>
      <c r="G70" s="181" t="s">
        <v>118</v>
      </c>
      <c r="H70" s="181" t="s">
        <v>119</v>
      </c>
      <c r="I70" s="181" t="s">
        <v>120</v>
      </c>
      <c r="J70" s="181" t="s">
        <v>121</v>
      </c>
      <c r="K70" s="181" t="s">
        <v>122</v>
      </c>
      <c r="L70" s="181" t="s">
        <v>123</v>
      </c>
      <c r="M70" s="181" t="s">
        <v>124</v>
      </c>
      <c r="N70" s="181" t="s">
        <v>125</v>
      </c>
      <c r="O70" s="128"/>
      <c r="P70" s="128"/>
      <c r="Q70" s="128"/>
      <c r="R70" s="128"/>
      <c r="S70" s="128"/>
      <c r="T70" s="128"/>
      <c r="U70" s="128"/>
      <c r="V70" s="128"/>
      <c r="BL70" s="228"/>
    </row>
    <row r="71" spans="1:64" ht="15.75" hidden="1" thickBot="1">
      <c r="A71" s="3"/>
      <c r="B71" s="73" t="str">
        <f>B69</f>
        <v>4 fevral 2025 y.</v>
      </c>
      <c r="C71" s="181" t="s">
        <v>126</v>
      </c>
      <c r="D71" s="181" t="s">
        <v>127</v>
      </c>
      <c r="E71" s="181" t="s">
        <v>116</v>
      </c>
      <c r="F71" s="181" t="s">
        <v>117</v>
      </c>
      <c r="G71" s="181" t="s">
        <v>118</v>
      </c>
      <c r="H71" s="181" t="s">
        <v>119</v>
      </c>
      <c r="I71" s="181" t="s">
        <v>120</v>
      </c>
      <c r="J71" s="181" t="s">
        <v>121</v>
      </c>
      <c r="K71" s="181" t="s">
        <v>122</v>
      </c>
      <c r="L71" s="181" t="s">
        <v>123</v>
      </c>
      <c r="M71" s="181" t="s">
        <v>124</v>
      </c>
      <c r="N71" s="181" t="s">
        <v>125</v>
      </c>
      <c r="O71" s="128"/>
      <c r="P71" s="128"/>
      <c r="Q71" s="128"/>
      <c r="R71" s="128"/>
      <c r="S71" s="128"/>
      <c r="T71" s="128"/>
      <c r="U71" s="128"/>
      <c r="V71" s="128"/>
      <c r="BL71" s="228"/>
    </row>
    <row r="72" spans="1:64" ht="15.75" hidden="1" thickBot="1">
      <c r="A72" s="3" t="s">
        <v>115</v>
      </c>
      <c r="B72" s="70" t="str">
        <f>""&amp;E66&amp;" "&amp;D66&amp;" "&amp;F66&amp;" y."</f>
        <v>4 fevral 2026 y.</v>
      </c>
      <c r="C72" s="127"/>
      <c r="D72" s="127"/>
      <c r="E72" s="127"/>
      <c r="F72" s="127"/>
      <c r="G72" s="127"/>
      <c r="H72" s="127"/>
      <c r="I72" s="127"/>
      <c r="J72" s="128"/>
      <c r="K72" s="128"/>
      <c r="L72" s="128"/>
      <c r="M72" s="128"/>
      <c r="N72" s="128"/>
      <c r="O72" s="128"/>
      <c r="P72" s="128"/>
      <c r="Q72" s="128"/>
      <c r="R72" s="128"/>
      <c r="S72" s="128"/>
      <c r="T72" s="128"/>
      <c r="U72" s="128"/>
      <c r="V72" s="128"/>
      <c r="BL72" s="228"/>
    </row>
    <row r="73" spans="1:64" ht="15.75" hidden="1" thickBot="1">
      <c r="A73" s="3"/>
      <c r="B73" s="70" t="str">
        <f>""&amp;E66&amp;" "&amp;H66&amp;" "&amp;F66&amp;" y."</f>
        <v>4 fevral 2026 y.</v>
      </c>
      <c r="C73" s="127"/>
      <c r="D73" s="127"/>
      <c r="E73" s="127"/>
      <c r="F73" s="127"/>
      <c r="G73" s="127"/>
      <c r="H73" s="127"/>
      <c r="I73" s="127"/>
      <c r="J73" s="128"/>
      <c r="K73" s="128"/>
      <c r="L73" s="128"/>
      <c r="M73" s="128"/>
      <c r="N73" s="128"/>
      <c r="O73" s="128"/>
      <c r="P73" s="128"/>
      <c r="Q73" s="128"/>
      <c r="R73" s="128"/>
      <c r="S73" s="128"/>
      <c r="T73" s="128"/>
      <c r="U73" s="128"/>
      <c r="V73" s="128"/>
      <c r="BL73" s="228"/>
    </row>
    <row r="74" spans="1:64" ht="15.75" hidden="1" thickBot="1">
      <c r="A74" s="3" t="s">
        <v>128</v>
      </c>
      <c r="B74" s="1" t="str">
        <f>""&amp;B68&amp;"dan "&amp;B66&amp;""</f>
        <v>4 fevral 2025 y.dan №269-NS</v>
      </c>
      <c r="D74" s="71"/>
      <c r="E74" s="71"/>
      <c r="F74" s="71"/>
      <c r="G74" s="71"/>
      <c r="H74" s="71"/>
      <c r="I74" s="71"/>
      <c r="J74" s="5"/>
      <c r="K74" s="5"/>
      <c r="L74" s="5"/>
      <c r="M74" s="5"/>
      <c r="N74" s="5"/>
      <c r="O74" s="5"/>
      <c r="P74" s="72"/>
      <c r="Q74" s="72"/>
      <c r="R74" s="72"/>
      <c r="S74" s="72"/>
      <c r="T74" s="72"/>
      <c r="U74" s="72"/>
      <c r="V74" s="72"/>
      <c r="BL74" s="228"/>
    </row>
    <row r="75" spans="1:64">
      <c r="A75" s="3" t="str">
        <f>CONCATENATE(B65," miqdori (summasi)")</f>
        <v>mikrokredit miqdori (summasi)</v>
      </c>
      <c r="B75" s="83">
        <v>180000000</v>
      </c>
      <c r="C75" s="84" t="s">
        <v>134</v>
      </c>
      <c r="D75" s="71"/>
      <c r="E75" s="71"/>
      <c r="F75" s="71"/>
      <c r="G75" s="71"/>
      <c r="H75" s="71"/>
      <c r="I75" s="71"/>
      <c r="J75" s="5"/>
      <c r="K75" s="5"/>
      <c r="L75" s="5"/>
      <c r="M75" s="5"/>
      <c r="N75" s="5"/>
      <c r="O75" s="5"/>
      <c r="P75" s="72"/>
      <c r="Q75" s="72"/>
      <c r="R75" s="72"/>
      <c r="S75" s="72"/>
      <c r="T75" s="72"/>
      <c r="U75" s="72"/>
      <c r="V75" s="72"/>
      <c r="BL75" s="229">
        <f>SUM(График!E9:E20)</f>
        <v>63651239.729999997</v>
      </c>
    </row>
    <row r="76" spans="1:64">
      <c r="A76" s="182" t="s">
        <v>129</v>
      </c>
      <c r="B76" s="64"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sakson million so'm</v>
      </c>
      <c r="C76" s="17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sakson million so'm</v>
      </c>
      <c r="D76" s="71"/>
      <c r="E76" s="71"/>
      <c r="F76" s="71"/>
      <c r="G76" s="71"/>
      <c r="H76" s="71"/>
      <c r="I76" s="71"/>
      <c r="J76" s="5"/>
      <c r="K76" s="5"/>
      <c r="L76" s="5"/>
      <c r="M76" s="5"/>
      <c r="N76" s="5"/>
      <c r="O76" s="5"/>
      <c r="P76" s="72"/>
      <c r="Q76" s="72"/>
      <c r="R76" s="72"/>
      <c r="S76" s="72"/>
      <c r="T76" s="72"/>
      <c r="U76" s="72"/>
      <c r="V76" s="72"/>
      <c r="BL76" s="233"/>
    </row>
    <row r="77" spans="1:64">
      <c r="A77" s="3" t="s">
        <v>130</v>
      </c>
      <c r="B77" s="52" t="s">
        <v>135</v>
      </c>
      <c r="C77" s="127" t="s">
        <v>136</v>
      </c>
      <c r="D77" s="127" t="s">
        <v>135</v>
      </c>
      <c r="E77" s="127"/>
      <c r="F77" s="127"/>
      <c r="G77" s="127"/>
      <c r="H77" s="127"/>
      <c r="I77" s="127"/>
      <c r="J77" s="128"/>
      <c r="K77" s="128"/>
      <c r="L77" s="128"/>
      <c r="M77" s="128"/>
      <c r="N77" s="128"/>
      <c r="O77" s="128"/>
      <c r="P77" s="128"/>
      <c r="Q77" s="128"/>
      <c r="R77" s="128"/>
      <c r="S77" s="72"/>
      <c r="T77" s="72"/>
      <c r="U77" s="72"/>
      <c r="V77" s="72"/>
      <c r="BL77" s="232">
        <f>SUM(График!E9:E20)</f>
        <v>63651239.729999997</v>
      </c>
    </row>
    <row r="78" spans="1:64">
      <c r="A78" s="3" t="str">
        <f>CONCATENATE(B65,"ni to'lash sanasi (14.10.2011)")</f>
        <v>mikrokreditni to'lash sanasi (14.10.2011)</v>
      </c>
      <c r="B78" s="52">
        <v>5</v>
      </c>
      <c r="C78" s="126">
        <f>DATE(YEAR(B67),MONTH(B67)+1,DAY(B78))</f>
        <v>45721</v>
      </c>
      <c r="D78" s="127" t="s">
        <v>30</v>
      </c>
      <c r="E78" s="127" t="s">
        <v>31</v>
      </c>
      <c r="F78" s="127" t="s">
        <v>32</v>
      </c>
      <c r="G78" s="127" t="s">
        <v>33</v>
      </c>
      <c r="H78" s="127" t="s">
        <v>34</v>
      </c>
      <c r="I78" s="127" t="s">
        <v>35</v>
      </c>
      <c r="J78" s="128" t="s">
        <v>36</v>
      </c>
      <c r="K78" s="128"/>
      <c r="L78" s="128"/>
      <c r="M78" s="128"/>
      <c r="N78" s="128"/>
      <c r="O78" s="128"/>
      <c r="P78" s="128"/>
      <c r="Q78" s="128"/>
      <c r="R78" s="128"/>
      <c r="S78" s="72"/>
      <c r="T78" s="72"/>
      <c r="U78" s="72"/>
      <c r="V78" s="72"/>
    </row>
    <row r="79" spans="1:64" ht="30" hidden="1">
      <c r="A79" s="3" t="str">
        <f>CONCATENATE(B65,"ni to'lash sanasi (14.10.2011 y.) QO’L BILAN KIRITILADI")</f>
        <v>mikrokreditni to'lash sanasi (14.10.2011 y.) QO’L BILAN KIRITILADI</v>
      </c>
      <c r="B79" s="101">
        <f>DATE(YEAR(B67),MONTH(B67)+1,DAY(B78+C80))</f>
        <v>45721</v>
      </c>
      <c r="C79" s="129" t="str">
        <f>TEXT(C78,"ддд")</f>
        <v>Ср</v>
      </c>
      <c r="D79" s="127" t="s">
        <v>30</v>
      </c>
      <c r="E79" s="127" t="s">
        <v>31</v>
      </c>
      <c r="F79" s="127" t="s">
        <v>32</v>
      </c>
      <c r="G79" s="127" t="s">
        <v>33</v>
      </c>
      <c r="H79" s="127" t="s">
        <v>34</v>
      </c>
      <c r="I79" s="127" t="s">
        <v>35</v>
      </c>
      <c r="J79" s="128" t="s">
        <v>36</v>
      </c>
      <c r="K79" s="128"/>
      <c r="L79" s="128"/>
      <c r="M79" s="128"/>
      <c r="N79" s="128"/>
      <c r="O79" s="128"/>
      <c r="P79" s="128"/>
      <c r="Q79" s="128"/>
      <c r="R79" s="128"/>
      <c r="S79" s="72"/>
      <c r="T79" s="72"/>
      <c r="U79" s="72"/>
      <c r="V79" s="72"/>
    </row>
    <row r="80" spans="1:64" hidden="1">
      <c r="A80" s="3" t="s">
        <v>131</v>
      </c>
      <c r="B80" s="102">
        <f>B79</f>
        <v>45721</v>
      </c>
      <c r="C80" s="130">
        <f>IF(C79=I79,2,IF(C79=J79,1,0))</f>
        <v>0</v>
      </c>
      <c r="D80" s="130"/>
      <c r="E80" s="128"/>
      <c r="F80" s="128"/>
      <c r="G80" s="128"/>
      <c r="H80" s="128"/>
      <c r="I80" s="128"/>
      <c r="J80" s="128"/>
      <c r="K80" s="128"/>
      <c r="L80" s="128"/>
      <c r="M80" s="128"/>
      <c r="N80" s="128"/>
      <c r="O80" s="128"/>
      <c r="P80" s="128"/>
      <c r="Q80" s="128"/>
      <c r="R80" s="128"/>
      <c r="S80" s="72"/>
      <c r="T80" s="72"/>
      <c r="U80" s="72"/>
      <c r="V80" s="72"/>
    </row>
    <row r="81" spans="1:63">
      <c r="A81" s="3" t="str">
        <f>CONCATENATE(B65," muddati")</f>
        <v>mikrokredit muddati</v>
      </c>
      <c r="B81" s="52">
        <v>12</v>
      </c>
      <c r="C81" s="130">
        <v>6</v>
      </c>
      <c r="D81" s="130">
        <v>12</v>
      </c>
      <c r="E81" s="128">
        <v>18</v>
      </c>
      <c r="F81" s="128">
        <v>24</v>
      </c>
      <c r="G81" s="128">
        <v>36</v>
      </c>
      <c r="H81" s="128"/>
      <c r="I81" s="128"/>
      <c r="J81" s="128"/>
      <c r="K81" s="128"/>
      <c r="L81" s="128"/>
      <c r="M81" s="128"/>
      <c r="N81" s="128"/>
      <c r="O81" s="128"/>
      <c r="P81" s="128"/>
      <c r="Q81" s="128"/>
      <c r="R81" s="128"/>
      <c r="S81" s="72"/>
      <c r="T81" s="72"/>
      <c r="U81" s="72"/>
      <c r="V81" s="72"/>
    </row>
    <row r="82" spans="1:63">
      <c r="A82" s="3" t="str">
        <f>CONCATENATE(B65," muddati QO’L BILAN KIRITILADI")</f>
        <v>mikrokredit muddati QO’L BILAN KIRITILADI</v>
      </c>
      <c r="B82" s="177" t="str">
        <f>IF(B81=C81,"olti",IF(B81=D81,"o'n ikki",IF(B81=E81,"o'n sakkiz",IF(B81=F81,"yigirma to'rt",IF(B81=G81,"o'ttiz olti",0)))))</f>
        <v>o'n ikki</v>
      </c>
      <c r="C82" s="128"/>
      <c r="D82" s="128"/>
      <c r="E82" s="128"/>
      <c r="F82" s="128"/>
      <c r="G82" s="128"/>
      <c r="H82" s="128"/>
      <c r="I82" s="128"/>
      <c r="J82" s="128"/>
      <c r="K82" s="128"/>
      <c r="L82" s="128"/>
      <c r="M82" s="128"/>
      <c r="N82" s="128"/>
      <c r="O82" s="128"/>
      <c r="P82" s="128"/>
      <c r="Q82" s="128"/>
      <c r="R82" s="128"/>
    </row>
    <row r="83" spans="1:63" ht="30">
      <c r="A83" s="214" t="s">
        <v>375</v>
      </c>
      <c r="B83" s="177">
        <v>0</v>
      </c>
      <c r="C83" s="128"/>
      <c r="D83" s="128"/>
      <c r="E83" s="128"/>
      <c r="F83" s="128"/>
      <c r="G83" s="128"/>
      <c r="H83" s="128"/>
      <c r="I83" s="128"/>
      <c r="J83" s="128"/>
      <c r="K83" s="128"/>
      <c r="L83" s="128"/>
      <c r="M83" s="128"/>
      <c r="N83" s="128"/>
      <c r="O83" s="128"/>
      <c r="P83" s="128"/>
      <c r="Q83" s="128"/>
      <c r="R83" s="128"/>
      <c r="BJ83" s="5">
        <v>1</v>
      </c>
      <c r="BK83" s="5">
        <v>0</v>
      </c>
    </row>
    <row r="84" spans="1:63">
      <c r="A84" s="3" t="str">
        <f>CONCATENATE(B65," stavkasi")</f>
        <v>mikrokredit stavkasi</v>
      </c>
      <c r="B84" s="104">
        <v>0.6</v>
      </c>
      <c r="C84" s="128"/>
      <c r="D84" s="128"/>
      <c r="E84" s="128"/>
      <c r="F84" s="128"/>
      <c r="G84" s="128"/>
      <c r="H84" s="128"/>
      <c r="I84" s="128"/>
      <c r="J84" s="128"/>
      <c r="K84" s="128"/>
      <c r="L84" s="128"/>
      <c r="M84" s="128"/>
      <c r="N84" s="128"/>
      <c r="O84" s="128"/>
      <c r="P84" s="128"/>
      <c r="Q84" s="128"/>
      <c r="R84" s="128"/>
    </row>
    <row r="85" spans="1:63">
      <c r="A85" s="3" t="str">
        <f>CONCATENATE(B65," stavkasi")</f>
        <v>mikrokredit stavkasi</v>
      </c>
      <c r="B85" s="105" t="s">
        <v>410</v>
      </c>
      <c r="C85" s="128"/>
      <c r="D85" s="128"/>
      <c r="E85" s="128"/>
      <c r="F85" s="128"/>
      <c r="G85" s="128"/>
      <c r="H85" s="128"/>
      <c r="I85" s="128"/>
      <c r="J85" s="128"/>
      <c r="K85" s="128"/>
      <c r="L85" s="128"/>
      <c r="M85" s="128"/>
      <c r="N85" s="128"/>
      <c r="O85" s="128"/>
      <c r="P85" s="128"/>
      <c r="Q85" s="128"/>
      <c r="R85" s="128"/>
    </row>
    <row r="86" spans="1:63">
      <c r="A86" s="3" t="str">
        <f>CONCATENATE(B65," stavkasi (so’z bilan)")</f>
        <v>mikrokredit stavkasi (so’z bilan)</v>
      </c>
      <c r="B86" s="103" t="s">
        <v>411</v>
      </c>
      <c r="C86" s="128" t="s">
        <v>411</v>
      </c>
      <c r="D86" s="128"/>
      <c r="E86" s="128"/>
      <c r="F86" s="128"/>
      <c r="G86" s="128"/>
      <c r="H86" s="128"/>
      <c r="I86" s="128"/>
      <c r="J86" s="128"/>
      <c r="K86" s="128"/>
      <c r="L86" s="128"/>
      <c r="M86" s="128"/>
      <c r="N86" s="128"/>
      <c r="O86" s="128"/>
      <c r="P86" s="128"/>
      <c r="Q86" s="128"/>
      <c r="R86" s="128"/>
    </row>
    <row r="87" spans="1:63">
      <c r="A87" s="3" t="str">
        <f>CONCATENATE("Muddati o'tgan ",B65," bo’yicha stavka")</f>
        <v>Muddati o'tgan mikrokredit bo’yicha stavka</v>
      </c>
      <c r="B87" s="104">
        <v>1</v>
      </c>
      <c r="C87" s="128"/>
      <c r="D87" s="128"/>
      <c r="E87" s="128"/>
      <c r="F87" s="128"/>
      <c r="G87" s="128"/>
      <c r="H87" s="128"/>
      <c r="I87" s="128"/>
      <c r="J87" s="128"/>
      <c r="K87" s="128"/>
      <c r="L87" s="128"/>
      <c r="M87" s="128"/>
      <c r="N87" s="128"/>
      <c r="O87" s="128"/>
      <c r="P87" s="128"/>
      <c r="Q87" s="128"/>
      <c r="R87" s="128"/>
    </row>
    <row r="88" spans="1:63">
      <c r="A88" s="182" t="s">
        <v>129</v>
      </c>
      <c r="B88" s="105" t="s">
        <v>414</v>
      </c>
      <c r="C88" s="128"/>
      <c r="D88" s="128"/>
      <c r="E88" s="128"/>
      <c r="F88" s="128"/>
      <c r="G88" s="128"/>
      <c r="H88" s="128"/>
      <c r="I88" s="128"/>
      <c r="J88" s="128"/>
      <c r="K88" s="128"/>
      <c r="L88" s="128"/>
      <c r="M88" s="128"/>
      <c r="N88" s="128"/>
      <c r="O88" s="128"/>
      <c r="P88" s="128"/>
      <c r="Q88" s="128"/>
      <c r="R88" s="128"/>
    </row>
    <row r="89" spans="1:63">
      <c r="A89" s="3" t="str">
        <f>CONCATENATE("Muddati o'tgan ",B65," bo’yicha stavka")</f>
        <v>Muddati o'tgan mikrokredit bo’yicha stavka</v>
      </c>
      <c r="B89" s="103" t="s">
        <v>415</v>
      </c>
      <c r="C89" s="128" t="s">
        <v>415</v>
      </c>
      <c r="D89" s="128"/>
      <c r="E89" s="128"/>
      <c r="F89" s="128"/>
      <c r="G89" s="128"/>
      <c r="H89" s="128"/>
      <c r="I89" s="128"/>
      <c r="J89" s="128"/>
      <c r="K89" s="128"/>
      <c r="L89" s="128"/>
      <c r="M89" s="128"/>
      <c r="N89" s="128"/>
      <c r="O89" s="128"/>
      <c r="P89" s="128"/>
      <c r="Q89" s="128"/>
      <c r="R89" s="128"/>
    </row>
    <row r="90" spans="1:63">
      <c r="A90" s="3" t="s">
        <v>132</v>
      </c>
      <c r="B90" s="106">
        <f>IF(B77=C77,LARGE(График!F9:F26,1),ROUND(PMT(B84/12,B81,-B75,0),-3))</f>
        <v>20309000</v>
      </c>
      <c r="C90" s="128"/>
      <c r="D90" s="128"/>
      <c r="E90" s="128"/>
      <c r="F90" s="128"/>
      <c r="G90" s="128"/>
      <c r="H90" s="128"/>
      <c r="I90" s="128"/>
      <c r="J90" s="128"/>
      <c r="K90" s="128"/>
      <c r="L90" s="128"/>
      <c r="M90" s="128"/>
      <c r="N90" s="128"/>
      <c r="O90" s="128"/>
      <c r="P90" s="128"/>
      <c r="Q90" s="128"/>
      <c r="R90" s="128"/>
    </row>
    <row r="91" spans="1:63">
      <c r="A91" s="262" t="s">
        <v>133</v>
      </c>
      <c r="B91" s="262"/>
      <c r="C91" s="128"/>
      <c r="D91" s="128"/>
      <c r="E91" s="128"/>
      <c r="F91" s="128"/>
      <c r="G91" s="128"/>
      <c r="H91" s="128"/>
      <c r="I91" s="128"/>
      <c r="J91" s="128"/>
      <c r="K91" s="128"/>
      <c r="L91" s="128"/>
      <c r="M91" s="128"/>
      <c r="N91" s="128"/>
      <c r="O91" s="128"/>
      <c r="P91" s="128"/>
      <c r="Q91" s="128"/>
      <c r="R91" s="128"/>
    </row>
    <row r="92" spans="1:63" ht="18">
      <c r="A92" s="109"/>
      <c r="B92" s="169" t="s">
        <v>138</v>
      </c>
      <c r="C92" s="201" t="s">
        <v>138</v>
      </c>
      <c r="D92" s="128" t="s">
        <v>139</v>
      </c>
      <c r="E92" s="128"/>
      <c r="F92" s="128"/>
      <c r="G92" s="128"/>
      <c r="H92" s="128"/>
      <c r="I92" s="128"/>
      <c r="J92" s="128"/>
      <c r="K92" s="128"/>
      <c r="L92" s="128"/>
      <c r="M92" s="128"/>
      <c r="N92" s="128"/>
      <c r="O92" s="128"/>
      <c r="P92" s="128"/>
      <c r="Q92" s="128"/>
      <c r="R92" s="128"/>
    </row>
    <row r="93" spans="1:63" ht="18">
      <c r="A93" s="11" t="s">
        <v>144</v>
      </c>
      <c r="B93" s="169" t="s">
        <v>140</v>
      </c>
      <c r="C93" s="202" t="s">
        <v>140</v>
      </c>
      <c r="D93" s="203" t="s">
        <v>141</v>
      </c>
      <c r="E93" s="128"/>
      <c r="F93" s="128"/>
      <c r="G93" s="128"/>
      <c r="H93" s="128"/>
      <c r="I93" s="128"/>
      <c r="J93" s="128"/>
      <c r="K93" s="128"/>
      <c r="L93" s="128"/>
      <c r="M93" s="128"/>
      <c r="N93" s="128"/>
      <c r="O93" s="128"/>
      <c r="P93" s="128"/>
      <c r="Q93" s="128"/>
      <c r="R93" s="128"/>
    </row>
    <row r="94" spans="1:63" ht="36">
      <c r="A94" s="11" t="s">
        <v>145</v>
      </c>
      <c r="B94" s="169" t="s">
        <v>142</v>
      </c>
      <c r="C94" s="5" t="s">
        <v>142</v>
      </c>
      <c r="D94" s="5" t="s">
        <v>143</v>
      </c>
      <c r="E94" s="128"/>
      <c r="F94" s="128"/>
      <c r="G94" s="128"/>
      <c r="H94" s="128"/>
      <c r="I94" s="128"/>
    </row>
    <row r="95" spans="1:63" ht="36">
      <c r="A95" s="11" t="s">
        <v>146</v>
      </c>
      <c r="B95" s="169"/>
      <c r="C95" s="5"/>
      <c r="D95" s="5"/>
    </row>
    <row r="96" spans="1:63" ht="36">
      <c r="A96" s="11" t="s">
        <v>147</v>
      </c>
      <c r="B96" s="169"/>
      <c r="C96" s="5"/>
      <c r="D96" s="5"/>
    </row>
    <row r="97" spans="1:4">
      <c r="A97" s="262" t="s">
        <v>148</v>
      </c>
      <c r="B97" s="262"/>
      <c r="C97" s="5"/>
      <c r="D97" s="5"/>
    </row>
    <row r="98" spans="1:4" ht="36">
      <c r="A98" s="11" t="s">
        <v>149</v>
      </c>
      <c r="B98" s="169"/>
      <c r="C98" s="5"/>
      <c r="D98" s="5"/>
    </row>
    <row r="99" spans="1:4" ht="36">
      <c r="A99" s="11" t="s">
        <v>150</v>
      </c>
      <c r="B99" s="169"/>
      <c r="C99" s="5"/>
      <c r="D99" s="5"/>
    </row>
    <row r="100" spans="1:4" ht="18">
      <c r="A100" s="11" t="s">
        <v>151</v>
      </c>
      <c r="B100" s="178"/>
      <c r="C100" s="5"/>
      <c r="D100" s="5"/>
    </row>
    <row r="101" spans="1:4" ht="18">
      <c r="A101" s="11" t="s">
        <v>152</v>
      </c>
      <c r="B101" s="175"/>
      <c r="C101" s="5"/>
      <c r="D101" s="5"/>
    </row>
    <row r="102" spans="1:4" ht="18" hidden="1">
      <c r="A102" s="11"/>
      <c r="B102" s="169" t="str">
        <f>TEXT(B101,"ДД.ММ.ГГГГ")</f>
        <v>00.01.1900</v>
      </c>
      <c r="C102" s="5"/>
      <c r="D102" s="5"/>
    </row>
    <row r="103" spans="1:4" ht="18">
      <c r="A103" s="11"/>
      <c r="B103" s="12" t="s">
        <v>153</v>
      </c>
      <c r="C103" s="5" t="s">
        <v>153</v>
      </c>
      <c r="D103" s="5" t="s">
        <v>154</v>
      </c>
    </row>
    <row r="104" spans="1:4" ht="60">
      <c r="A104" s="222" t="s">
        <v>377</v>
      </c>
      <c r="B104" s="221" t="s">
        <v>376</v>
      </c>
      <c r="C104" s="12" t="s">
        <v>154</v>
      </c>
      <c r="D104" s="5"/>
    </row>
    <row r="105" spans="1:4" ht="30">
      <c r="A105" s="213" t="s">
        <v>398</v>
      </c>
      <c r="B105" s="12"/>
      <c r="C105" s="12"/>
      <c r="D105" s="5"/>
    </row>
    <row r="106" spans="1:4" ht="30">
      <c r="A106" s="213" t="s">
        <v>399</v>
      </c>
      <c r="B106" s="12"/>
      <c r="C106" s="12"/>
      <c r="D106" s="5"/>
    </row>
    <row r="107" spans="1:4" ht="60">
      <c r="A107" s="213" t="str">
        <f>A113</f>
        <v>Tug’ilgan sanasi (01.10.2011 y.)</v>
      </c>
      <c r="B107" s="225"/>
      <c r="C107" s="12"/>
      <c r="D107" s="5"/>
    </row>
    <row r="108" spans="1:4" ht="60">
      <c r="A108" s="213" t="str">
        <f>A114</f>
        <v>Pasport seriyasi (СА №1234567)</v>
      </c>
      <c r="B108" s="12"/>
      <c r="C108" s="12"/>
      <c r="D108" s="5"/>
    </row>
    <row r="109" spans="1:4" ht="150">
      <c r="A109" s="213" t="str">
        <f>A115</f>
        <v xml:space="preserve">Kim va qachon berilgan
(Toshkent shahri Chilonzor IIB tomonidan 2011 yil __.____)
</v>
      </c>
      <c r="B109" s="12"/>
      <c r="C109" s="12"/>
      <c r="D109" s="5"/>
    </row>
    <row r="110" spans="1:4" ht="150">
      <c r="A110" s="213" t="str">
        <f>A116</f>
        <v xml:space="preserve">doimiy ro’yhatdan o’tgan joyi
(Toshkent sh., Mirobod tumani, Nukus ko’chasi, 1 uy, 1 honadon)
</v>
      </c>
      <c r="B110" s="12"/>
      <c r="C110" s="12"/>
      <c r="D110" s="5"/>
    </row>
    <row r="111" spans="1:4" hidden="1">
      <c r="A111" s="166" t="s">
        <v>168</v>
      </c>
      <c r="B111" s="156" t="str">
        <f>IF(B93="HA",B5,B105)</f>
        <v>QOSIMOV BEKZODBEK ORIFJONOVICH</v>
      </c>
      <c r="C111" s="184" t="s">
        <v>46</v>
      </c>
      <c r="D111" s="5"/>
    </row>
    <row r="112" spans="1:4" hidden="1">
      <c r="A112" s="166"/>
      <c r="B112" s="156" t="str">
        <f>IF(B93="HA",B7,B106)</f>
        <v>QOSIMOV  B.O.</v>
      </c>
      <c r="C112" s="184" t="s">
        <v>47</v>
      </c>
      <c r="D112" s="5"/>
    </row>
    <row r="113" spans="1:18" hidden="1">
      <c r="A113" s="167" t="s">
        <v>169</v>
      </c>
      <c r="B113" s="211" t="str">
        <f>IF(B93="HA",B15,B107)</f>
        <v>04.12.1981y</v>
      </c>
      <c r="C113" s="184" t="s">
        <v>157</v>
      </c>
      <c r="D113" s="5"/>
    </row>
    <row r="114" spans="1:18" hidden="1">
      <c r="A114" s="167" t="s">
        <v>72</v>
      </c>
      <c r="B114" s="211" t="str">
        <f>IF(B93="HA",B16,B108)</f>
        <v>AB7685294</v>
      </c>
      <c r="C114" s="184" t="s">
        <v>48</v>
      </c>
      <c r="D114" s="5"/>
    </row>
    <row r="115" spans="1:18" ht="30" hidden="1" customHeight="1">
      <c r="A115" s="167" t="s">
        <v>75</v>
      </c>
      <c r="B115" s="156" t="str">
        <f>IF(B93="HA",B20,B109)</f>
        <v>ANDIJON VILOYATI SHAXRIXON TUMANI IIB tomonidan 09.09.2017 yilda berilgan</v>
      </c>
      <c r="C115" s="184" t="s">
        <v>158</v>
      </c>
      <c r="D115" s="78">
        <v>493193762</v>
      </c>
    </row>
    <row r="116" spans="1:18" ht="53.25" hidden="1" customHeight="1">
      <c r="A116" s="167" t="s">
        <v>77</v>
      </c>
      <c r="B116" s="156" t="str">
        <f>IF(B93="HA",B22,B110)</f>
        <v>ANDIJON VILOYATI SHAXRIXON TUMANI BARKAMOL AVLOD MFY</v>
      </c>
      <c r="C116" s="156" t="s">
        <v>49</v>
      </c>
      <c r="D116" s="5"/>
    </row>
    <row r="117" spans="1:18">
      <c r="A117" s="167" t="s">
        <v>170</v>
      </c>
      <c r="B117" s="1" t="str">
        <f>IF(B93="ha",B5,B111)</f>
        <v>QOSIMOV BEKZODBEK ORIFJONOVICH</v>
      </c>
      <c r="C117" s="107" t="str">
        <f>IF(B93="да",B5,C111)</f>
        <v>SHOUSMANOVA DAVLATXON XXX</v>
      </c>
    </row>
    <row r="118" spans="1:18">
      <c r="A118" s="167"/>
      <c r="B118" s="1" t="str">
        <f>IF(B93="ha",B7,B112)</f>
        <v>QOSIMOV  B.O.</v>
      </c>
      <c r="C118" s="107" t="str">
        <f>IF(B93="да",B7,C112)</f>
        <v>SHOUSMANOVA D</v>
      </c>
    </row>
    <row r="119" spans="1:18">
      <c r="A119" s="3" t="s">
        <v>169</v>
      </c>
      <c r="B119" s="234" t="str">
        <f>IF(B93="HA",B15,B107)</f>
        <v>04.12.1981y</v>
      </c>
      <c r="C119" s="107" t="str">
        <f>IF(B93="да",B15,C113)</f>
        <v>03.05.1952 y.</v>
      </c>
    </row>
    <row r="120" spans="1:18">
      <c r="A120" s="3" t="s">
        <v>72</v>
      </c>
      <c r="B120" s="1" t="str">
        <f>IF(B93="HA",B16,B108)</f>
        <v>AB7685294</v>
      </c>
      <c r="C120" s="107" t="str">
        <f>IF(B93="да",B16,C114)</f>
        <v>AC 0623976</v>
      </c>
    </row>
    <row r="121" spans="1:18" ht="45">
      <c r="A121" s="3" t="s">
        <v>75</v>
      </c>
      <c r="B121" s="1" t="str">
        <f>IF(B93="HA",B20,B109)</f>
        <v>ANDIJON VILOYATI SHAXRIXON TUMANI IIB tomonidan 09.09.2017 yilda berilgan</v>
      </c>
      <c r="C121" s="107" t="str">
        <f>IF(B93="да",B20,C115)</f>
        <v>FARGONA VILOYATI QOQON SHAHAR IIB tomonidan 05.08.2018 y.</v>
      </c>
    </row>
    <row r="122" spans="1:18" ht="45">
      <c r="A122" s="3" t="s">
        <v>77</v>
      </c>
      <c r="B122" s="208" t="str">
        <f>B22</f>
        <v>ANDIJON VILOYATI SHAXRIXON TUMANI BARKAMOL AVLOD MFY</v>
      </c>
      <c r="C122" s="108" t="str">
        <f>IF(B93="да",B28,C116)</f>
        <v>FARGONA VILOYATI QOQON SHAHAR GUZAR 266 12</v>
      </c>
    </row>
    <row r="123" spans="1:18" ht="42.75">
      <c r="A123" s="3" t="s">
        <v>171</v>
      </c>
      <c r="B123" s="52" t="s">
        <v>438</v>
      </c>
      <c r="C123" s="1" t="s">
        <v>53</v>
      </c>
      <c r="N123" s="4" t="str">
        <f>IF(B103=C103,B117,IF(B103=D103,C117,0))</f>
        <v>QOSIMOV BEKZODBEK ORIFJONOVICH</v>
      </c>
    </row>
    <row r="124" spans="1:18" ht="45">
      <c r="A124" s="3" t="s">
        <v>172</v>
      </c>
      <c r="B124" s="52" t="s">
        <v>439</v>
      </c>
      <c r="C124" s="55" t="s">
        <v>55</v>
      </c>
      <c r="D124" s="58" t="s">
        <v>161</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30">
      <c r="A125" s="3" t="s">
        <v>173</v>
      </c>
      <c r="B125" s="52" t="s">
        <v>440</v>
      </c>
      <c r="C125" s="108" t="str">
        <f>""&amp;D126&amp;" "&amp;IF(C129=D129,"- xonali yakka tartibdagi uy-joy", IF(C129=E129,"-  xonali ko'p qavatli uydagi xonadon",0))&amp;""</f>
        <v>3 - xonali yakka tartibdagi uy-joy</v>
      </c>
      <c r="D125" s="96" t="s">
        <v>159</v>
      </c>
      <c r="E125" s="97" t="str">
        <f>IF($C$129=$D$129,I125,IF($C$129=$E$129,H125,0))</f>
        <v>3 - xonali yakka tartibdagi uy-joy</v>
      </c>
      <c r="F125" s="185" t="str">
        <f>IF($C$129=$D$129,I125,IF($C$129=$E$129,H125,0))</f>
        <v>3 - xonali yakka tartibdagi uy-joy</v>
      </c>
      <c r="G125" s="97"/>
      <c r="H125" s="97" t="str">
        <f>"Ko'p qavatli uydagi "&amp;D126&amp;" - xonali xonadon"</f>
        <v>Ko'p qavatli uydagi 3 - xonali xonadon</v>
      </c>
      <c r="I125" s="97" t="str">
        <f>""&amp;D126&amp;" - xonali yakka tartibdagi uy-joy"</f>
        <v>3 - xonali yakka tartibdagi uy-joy</v>
      </c>
      <c r="J125" s="97"/>
      <c r="K125" s="97"/>
      <c r="L125" s="97"/>
      <c r="M125" s="97"/>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QOSIMOV BEKZODBEK ORIFJONOVICH</v>
      </c>
      <c r="R125" s="4" t="str">
        <f>"Mikromoliya tashkiloti, Qarz oluvchi va "&amp;IF(B94=D94,R124,IF(B94=C94,B111))&amp;""</f>
        <v>Mikromoliya tashkiloti, Qarz oluvchi va QOSIMOV BEKZODBEK ORIFJONOVICH</v>
      </c>
    </row>
    <row r="126" spans="1:18">
      <c r="A126" s="3" t="s">
        <v>174</v>
      </c>
      <c r="B126" s="168" t="s">
        <v>441</v>
      </c>
      <c r="C126" s="108" t="str">
        <f>C125</f>
        <v>3 - xonali yakka tartibdagi uy-joy</v>
      </c>
      <c r="D126" s="95">
        <v>3</v>
      </c>
      <c r="E126" s="97" t="str">
        <f>IF($C$129=$D$129,I126,IF($C$129=$E$129,H126,0))</f>
        <v>yer uchastkasi maydoni - , umumiy maydoni - 72.13 kv.m., yashah maydoni - 37.39 kv.m</v>
      </c>
      <c r="F126" s="185" t="str">
        <f>IF($C$129=$D$129,I126,IF($C$129=$E$129,H126,0))</f>
        <v>yer uchastkasi maydoni - , umumiy maydoni - 72.13 kv.m., yashah maydoni - 37.39 kv.m</v>
      </c>
      <c r="G126" s="97"/>
      <c r="H126" s="97" t="str">
        <f>"umumiy maydoni - "&amp;C130&amp;", yashash maydoni - "&amp;C133&amp;""</f>
        <v>umumiy maydoni - 72.13 kv.m., yashash maydoni - 37.39 kv.m</v>
      </c>
      <c r="I126" s="97" t="str">
        <f>"yer uchastkasi maydoni - "&amp;C131&amp;", umumiy maydoni - "&amp;C130&amp;", yashah maydoni - "&amp;C133&amp;""</f>
        <v>yer uchastkasi maydoni - , umumiy maydoni - 72.13 kv.m., yashah maydoni - 37.39 kv.m</v>
      </c>
      <c r="J126" s="97"/>
      <c r="K126" s="97"/>
      <c r="L126" s="97"/>
      <c r="M126" s="97"/>
      <c r="N126" s="4" t="str">
        <f>IF(B93=C93,R126,IF(B93=D93,R125,0))</f>
        <v>Mikromoliya tashkiloti va Qarz oluvchi</v>
      </c>
      <c r="Q126" s="4" t="s">
        <v>59</v>
      </c>
      <c r="R126" s="4" t="s">
        <v>160</v>
      </c>
    </row>
    <row r="127" spans="1:18" ht="27" customHeight="1">
      <c r="A127" s="3" t="s">
        <v>175</v>
      </c>
      <c r="B127" s="93" t="s">
        <v>417</v>
      </c>
      <c r="C127" s="55" t="s">
        <v>54</v>
      </c>
      <c r="D127" s="58" t="s">
        <v>22</v>
      </c>
    </row>
    <row r="128" spans="1:18">
      <c r="A128" s="85" t="s">
        <v>176</v>
      </c>
      <c r="B128" s="52" t="s">
        <v>422</v>
      </c>
      <c r="C128" s="158"/>
      <c r="D128" s="58"/>
    </row>
    <row r="129" spans="1:5">
      <c r="A129" s="85" t="s">
        <v>177</v>
      </c>
      <c r="B129" s="52" t="s">
        <v>442</v>
      </c>
      <c r="C129" s="54" t="s">
        <v>162</v>
      </c>
      <c r="D129" s="186" t="s">
        <v>162</v>
      </c>
      <c r="E129" s="5" t="s">
        <v>163</v>
      </c>
    </row>
    <row r="130" spans="1:5" ht="27" customHeight="1">
      <c r="A130" s="3" t="s">
        <v>178</v>
      </c>
      <c r="B130" s="93" t="str">
        <f>"dvigatel raqami "&amp;B131&amp;", shassi raqami - "&amp;B132&amp;""</f>
        <v>dvigatel raqami 211470021, shassi raqami - RAKAMSIZ</v>
      </c>
      <c r="C130" s="54" t="s">
        <v>272</v>
      </c>
      <c r="D130" s="4" t="s">
        <v>164</v>
      </c>
    </row>
    <row r="131" spans="1:5">
      <c r="A131" s="85" t="s">
        <v>179</v>
      </c>
      <c r="B131" s="212">
        <v>211470021</v>
      </c>
      <c r="C131" s="54"/>
      <c r="D131" s="4" t="s">
        <v>165</v>
      </c>
    </row>
    <row r="132" spans="1:5">
      <c r="A132" s="85" t="s">
        <v>180</v>
      </c>
      <c r="B132" s="52" t="s">
        <v>416</v>
      </c>
      <c r="C132" s="54"/>
    </row>
    <row r="133" spans="1:5" ht="25.5" hidden="1" customHeight="1">
      <c r="A133" s="3" t="s">
        <v>181</v>
      </c>
      <c r="B133" s="93" t="str">
        <f>"rangi -  "&amp;B134&amp;", ishlab chiqarilgan yili - "&amp;B135&amp;""</f>
        <v>rangi -  QORA CHYORNIY, ishlab chiqarilgan yili - 2022</v>
      </c>
      <c r="C133" s="54" t="s">
        <v>273</v>
      </c>
      <c r="D133" s="4" t="s">
        <v>271</v>
      </c>
    </row>
    <row r="134" spans="1:5">
      <c r="A134" s="85" t="s">
        <v>182</v>
      </c>
      <c r="B134" s="52" t="s">
        <v>443</v>
      </c>
      <c r="C134" s="54"/>
    </row>
    <row r="135" spans="1:5">
      <c r="A135" s="85" t="s">
        <v>183</v>
      </c>
      <c r="B135" s="69" t="s">
        <v>444</v>
      </c>
      <c r="C135" s="54"/>
    </row>
    <row r="136" spans="1:5" hidden="1">
      <c r="A136" s="3" t="s">
        <v>184</v>
      </c>
      <c r="B136" s="24">
        <f>B75*1.5</f>
        <v>270000000</v>
      </c>
      <c r="C136" s="24">
        <f>B136</f>
        <v>270000000</v>
      </c>
    </row>
    <row r="137" spans="1:5" ht="27.75" hidden="1" customHeight="1">
      <c r="A137" s="219"/>
      <c r="B137" s="64"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ikki yuz yetmish million so'm</v>
      </c>
      <c r="C137" s="179" t="str">
        <f>B137</f>
        <v>ikki yuz yetmish million so'm</v>
      </c>
    </row>
    <row r="138" spans="1:5" ht="27.75" hidden="1" customHeight="1">
      <c r="A138" s="3"/>
      <c r="B138" s="179" t="str">
        <f>B137</f>
        <v>ikki yuz yetmish million so'm</v>
      </c>
      <c r="C138" s="86"/>
    </row>
    <row r="139" spans="1:5" ht="20.25">
      <c r="A139" s="3" t="s">
        <v>371</v>
      </c>
      <c r="B139" s="64">
        <v>124874</v>
      </c>
    </row>
    <row r="140" spans="1:5">
      <c r="A140" s="3" t="s">
        <v>400</v>
      </c>
      <c r="B140" s="52">
        <v>1</v>
      </c>
    </row>
    <row r="141" spans="1:5">
      <c r="A141" s="3" t="s">
        <v>166</v>
      </c>
      <c r="B141" s="2" t="s">
        <v>155</v>
      </c>
      <c r="C141" s="4">
        <v>1</v>
      </c>
    </row>
    <row r="142" spans="1:5" hidden="1">
      <c r="A142" s="3" t="s">
        <v>167</v>
      </c>
      <c r="B142" s="8" t="str">
        <f>B70</f>
        <v>4 fevral 2025 y.</v>
      </c>
      <c r="C142" s="53" t="str">
        <f>B70</f>
        <v>4 fevral 2025 y.</v>
      </c>
    </row>
    <row r="143" spans="1:5" hidden="1">
      <c r="A143" s="3"/>
      <c r="B143" s="1">
        <f>YEAR(B67)</f>
        <v>2025</v>
      </c>
      <c r="C143" s="53"/>
    </row>
    <row r="144" spans="1:5" hidden="1">
      <c r="A144" s="3"/>
      <c r="B144" s="183" t="str">
        <f>D67</f>
        <v>fevral</v>
      </c>
      <c r="C144" s="53"/>
    </row>
    <row r="145" spans="1:3" hidden="1">
      <c r="A145" s="3"/>
      <c r="B145" s="1">
        <f>DAY(B67)</f>
        <v>4</v>
      </c>
      <c r="C145" s="53"/>
    </row>
    <row r="146" spans="1:3">
      <c r="A146" s="262" t="s">
        <v>381</v>
      </c>
      <c r="B146" s="262"/>
    </row>
    <row r="147" spans="1:3">
      <c r="A147" s="3" t="s">
        <v>185</v>
      </c>
      <c r="B147" s="1" t="s">
        <v>405</v>
      </c>
    </row>
    <row r="148" spans="1:3">
      <c r="A148" s="3"/>
      <c r="B148" s="1" t="s">
        <v>405</v>
      </c>
    </row>
    <row r="149" spans="1:3">
      <c r="A149" s="3"/>
      <c r="B149" s="1" t="s">
        <v>405</v>
      </c>
    </row>
    <row r="150" spans="1:3">
      <c r="A150" s="3" t="s">
        <v>413</v>
      </c>
      <c r="B150" s="1" t="s">
        <v>407</v>
      </c>
    </row>
    <row r="151" spans="1:3">
      <c r="A151" s="3"/>
      <c r="B151" s="1" t="s">
        <v>408</v>
      </c>
    </row>
    <row r="152" spans="1:3">
      <c r="A152" s="3" t="s">
        <v>189</v>
      </c>
      <c r="B152" s="1" t="s">
        <v>186</v>
      </c>
    </row>
    <row r="153" spans="1:3" ht="28.5">
      <c r="A153" s="3" t="s">
        <v>190</v>
      </c>
      <c r="B153" s="1" t="s">
        <v>187</v>
      </c>
    </row>
    <row r="154" spans="1:3">
      <c r="A154" s="3" t="s">
        <v>191</v>
      </c>
      <c r="B154" s="1" t="s">
        <v>26</v>
      </c>
    </row>
    <row r="155" spans="1:3">
      <c r="A155" s="3" t="s">
        <v>192</v>
      </c>
      <c r="B155" s="1" t="s">
        <v>24</v>
      </c>
    </row>
    <row r="156" spans="1:3">
      <c r="A156" s="3" t="s">
        <v>193</v>
      </c>
      <c r="B156" s="1" t="s">
        <v>188</v>
      </c>
    </row>
    <row r="157" spans="1:3">
      <c r="A157" s="3" t="s">
        <v>194</v>
      </c>
      <c r="B157" s="2" t="s">
        <v>27</v>
      </c>
    </row>
    <row r="158" spans="1:3">
      <c r="A158" s="3" t="s">
        <v>195</v>
      </c>
      <c r="B158" s="1" t="s">
        <v>359</v>
      </c>
    </row>
    <row r="159" spans="1:3">
      <c r="A159" s="3" t="s">
        <v>196</v>
      </c>
      <c r="B159" s="1" t="s">
        <v>418</v>
      </c>
    </row>
    <row r="160" spans="1:3">
      <c r="A160" s="3" t="s">
        <v>403</v>
      </c>
      <c r="B160" s="1" t="s">
        <v>406</v>
      </c>
    </row>
    <row r="161" spans="1:2">
      <c r="A161" s="3" t="s">
        <v>413</v>
      </c>
      <c r="B161" s="1" t="s">
        <v>407</v>
      </c>
    </row>
    <row r="162" spans="1:2">
      <c r="A162" s="3" t="s">
        <v>197</v>
      </c>
      <c r="B162" s="2" t="s">
        <v>372</v>
      </c>
    </row>
    <row r="163" spans="1:2">
      <c r="A163" s="3" t="s">
        <v>198</v>
      </c>
      <c r="B163" s="2" t="s">
        <v>373</v>
      </c>
    </row>
    <row r="164" spans="1:2">
      <c r="A164" s="3" t="s">
        <v>199</v>
      </c>
      <c r="B164" s="1" t="str">
        <f>B1</f>
        <v>№269-NS</v>
      </c>
    </row>
    <row r="165" spans="1:2">
      <c r="A165" s="3" t="s">
        <v>200</v>
      </c>
      <c r="B165" s="8" t="str">
        <f>B70</f>
        <v>4 fevral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24" zoomScaleSheetLayoutView="100" workbookViewId="0">
      <selection activeCell="A42" sqref="A42"/>
    </sheetView>
  </sheetViews>
  <sheetFormatPr defaultColWidth="9.140625" defaultRowHeight="15" outlineLevelCol="1"/>
  <cols>
    <col min="1" max="1" width="9.140625" style="18"/>
    <col min="2" max="2" width="10.140625" style="18" bestFit="1" customWidth="1"/>
    <col min="3" max="3" width="16.5703125" style="18" customWidth="1"/>
    <col min="4" max="5" width="15.7109375" style="18" bestFit="1" customWidth="1"/>
    <col min="6" max="6" width="20.85546875" style="18" customWidth="1"/>
    <col min="7" max="7" width="10.140625" style="18" customWidth="1" outlineLevel="1"/>
    <col min="8" max="16384" width="9.140625" style="18"/>
  </cols>
  <sheetData>
    <row r="1" spans="1:8">
      <c r="A1" s="40"/>
      <c r="B1" s="40"/>
      <c r="C1" s="40"/>
      <c r="D1" s="40"/>
      <c r="E1" s="265" t="s">
        <v>16</v>
      </c>
      <c r="F1" s="265"/>
    </row>
    <row r="2" spans="1:8">
      <c r="A2" s="40"/>
      <c r="B2" s="40"/>
      <c r="C2" s="40"/>
      <c r="D2" s="40"/>
      <c r="E2" s="40"/>
      <c r="F2" s="41" t="str">
        <f>"к договору микрозайма "&amp;'Общие данные'!B74&amp;""</f>
        <v>к договору микрозайма 4 fevral 2025 y.dan №269-NS</v>
      </c>
    </row>
    <row r="3" spans="1:8" ht="6.75" customHeight="1">
      <c r="A3" s="40"/>
      <c r="B3" s="40"/>
      <c r="C3" s="40"/>
      <c r="D3" s="40"/>
      <c r="E3" s="40"/>
      <c r="F3" s="40"/>
    </row>
    <row r="4" spans="1:8">
      <c r="A4" s="266" t="s">
        <v>17</v>
      </c>
      <c r="B4" s="266"/>
      <c r="C4" s="266"/>
      <c r="D4" s="266"/>
      <c r="E4" s="266"/>
      <c r="F4" s="266"/>
    </row>
    <row r="5" spans="1:8" ht="7.5" customHeight="1"/>
    <row r="6" spans="1:8">
      <c r="A6" s="267" t="s">
        <v>15</v>
      </c>
      <c r="B6" s="268" t="s">
        <v>9</v>
      </c>
      <c r="C6" s="268" t="s">
        <v>10</v>
      </c>
      <c r="D6" s="269" t="s">
        <v>11</v>
      </c>
      <c r="E6" s="269"/>
      <c r="F6" s="269"/>
    </row>
    <row r="7" spans="1:8" s="19" customFormat="1" ht="30">
      <c r="A7" s="267"/>
      <c r="B7" s="268"/>
      <c r="C7" s="268"/>
      <c r="D7" s="20" t="s">
        <v>12</v>
      </c>
      <c r="E7" s="20" t="s">
        <v>13</v>
      </c>
      <c r="F7" s="20" t="s">
        <v>14</v>
      </c>
    </row>
    <row r="8" spans="1:8">
      <c r="A8" s="21">
        <v>1</v>
      </c>
      <c r="B8" s="36">
        <f>'График дифференц'!B8</f>
        <v>45721</v>
      </c>
      <c r="C8" s="37">
        <f>'Общие данные'!B75</f>
        <v>180000000</v>
      </c>
      <c r="D8" s="37">
        <f>IF(A8&lt;'Общие данные'!$B$81,'График аннуитет.'!F8-'График аннуитет.'!E8,'График аннуитет.'!C8)</f>
        <v>11728178.110000001</v>
      </c>
      <c r="E8" s="37">
        <f>ROUND(C8*'Общие данные'!$B$84/H8,2)*'График аннуитет.'!G8</f>
        <v>8580821.8899999987</v>
      </c>
      <c r="F8" s="37">
        <f>'Общие данные'!B90</f>
        <v>20309000</v>
      </c>
      <c r="G8" s="18">
        <f>B8-'Общие данные'!B67</f>
        <v>29</v>
      </c>
      <c r="H8" s="18">
        <f>DATE(YEAR(B8),12,31)-DATE(YEAR(B8),1,1)+1</f>
        <v>365</v>
      </c>
    </row>
    <row r="9" spans="1:8">
      <c r="A9" s="21">
        <v>2</v>
      </c>
      <c r="B9" s="36">
        <f>'График дифференц'!B9</f>
        <v>45754</v>
      </c>
      <c r="C9" s="37">
        <f>C8-D8</f>
        <v>168271821.88999999</v>
      </c>
      <c r="D9" s="37">
        <f>IF(A9&lt;'Общие данные'!$B$81,'График аннуитет.'!F9-'График аннуитет.'!E9,'График аннуитет.'!C9)</f>
        <v>11180830.069999998</v>
      </c>
      <c r="E9" s="37">
        <f>ROUND(C9*'Общие данные'!$B$84/H9,2)*'График аннуитет.'!G9</f>
        <v>9128169.9300000016</v>
      </c>
      <c r="F9" s="37">
        <f>IF(A9&lt;'Общие данные'!$B$81,'График аннуитет.'!F8,'График аннуитет.'!D9+'График аннуитет.'!E9)</f>
        <v>20309000</v>
      </c>
      <c r="G9" s="18">
        <f>B9-B8</f>
        <v>33</v>
      </c>
      <c r="H9" s="18">
        <f t="shared" ref="H9:H31" si="0">DATE(YEAR(B9),12,31)-DATE(YEAR(B9),1,1)+1</f>
        <v>365</v>
      </c>
    </row>
    <row r="10" spans="1:8">
      <c r="A10" s="21">
        <v>3</v>
      </c>
      <c r="B10" s="36">
        <f>'График дифференц'!B10</f>
        <v>45782</v>
      </c>
      <c r="C10" s="37">
        <f t="shared" ref="C10:C31" si="1">C9-D9</f>
        <v>157090991.81999999</v>
      </c>
      <c r="D10" s="37">
        <f>IF(A10&lt;'Общие данные'!$B$81,'График аннуитет.'!F10-'График аннуитет.'!E10,'График аннуитет.'!C10)</f>
        <v>13078510.440000001</v>
      </c>
      <c r="E10" s="37">
        <f>ROUND(C10*'Общие данные'!$B$84/H10,2)*'График аннуитет.'!G10</f>
        <v>7230489.5599999996</v>
      </c>
      <c r="F10" s="37">
        <f>IF(A10&lt;'Общие данные'!$B$81,'График аннуитет.'!F9,'График аннуитет.'!D10+'График аннуитет.'!E10)</f>
        <v>20309000</v>
      </c>
      <c r="G10" s="18">
        <f t="shared" ref="G10:G24" si="2">B10-B9</f>
        <v>28</v>
      </c>
      <c r="H10" s="18">
        <f t="shared" si="0"/>
        <v>365</v>
      </c>
    </row>
    <row r="11" spans="1:8">
      <c r="A11" s="21">
        <v>4</v>
      </c>
      <c r="B11" s="36">
        <f>'График дифференц'!B11</f>
        <v>45813</v>
      </c>
      <c r="C11" s="37">
        <f t="shared" si="1"/>
        <v>144012481.38</v>
      </c>
      <c r="D11" s="37">
        <f>IF(A11&lt;'Общие данные'!$B$81,'График аннуитет.'!F11-'График аннуитет.'!E11,'График аннуитет.'!C11)</f>
        <v>12970281.649999999</v>
      </c>
      <c r="E11" s="37">
        <f>ROUND(C11*'Общие данные'!$B$84/H11,2)*'График аннуитет.'!G11</f>
        <v>7338718.3500000006</v>
      </c>
      <c r="F11" s="37">
        <f>IF(A11&lt;'Общие данные'!$B$81,'График аннуитет.'!F10,'График аннуитет.'!D11+'График аннуитет.'!E11)</f>
        <v>20309000</v>
      </c>
      <c r="G11" s="18">
        <f t="shared" si="2"/>
        <v>31</v>
      </c>
      <c r="H11" s="18">
        <f t="shared" si="0"/>
        <v>365</v>
      </c>
    </row>
    <row r="12" spans="1:8">
      <c r="A12" s="21">
        <v>5</v>
      </c>
      <c r="B12" s="36">
        <f>'График дифференц'!B12</f>
        <v>45845</v>
      </c>
      <c r="C12" s="37">
        <f t="shared" si="1"/>
        <v>131042199.72999999</v>
      </c>
      <c r="D12" s="37">
        <f>IF(A12&lt;'Общие данные'!$B$81,'График аннуитет.'!F12-'График аннуитет.'!E12,'График аннуитет.'!C12)</f>
        <v>13415821.120000001</v>
      </c>
      <c r="E12" s="37">
        <f>ROUND(C12*'Общие данные'!$B$84/H12,2)*'График аннуитет.'!G12</f>
        <v>6893178.8799999999</v>
      </c>
      <c r="F12" s="37">
        <f>IF(A12&lt;'Общие данные'!$B$81,'График аннуитет.'!F11,'График аннуитет.'!D12+'График аннуитет.'!E12)</f>
        <v>20309000</v>
      </c>
      <c r="G12" s="18">
        <f t="shared" si="2"/>
        <v>32</v>
      </c>
      <c r="H12" s="18">
        <f t="shared" si="0"/>
        <v>365</v>
      </c>
    </row>
    <row r="13" spans="1:8">
      <c r="A13" s="21">
        <v>6</v>
      </c>
      <c r="B13" s="36">
        <f>'График дифференц'!B13</f>
        <v>45874</v>
      </c>
      <c r="C13" s="37">
        <f t="shared" si="1"/>
        <v>117626378.60999998</v>
      </c>
      <c r="D13" s="37">
        <f>IF(A13&lt;'Общие данные'!$B$81,'График аннуитет.'!F13-'График аннуитет.'!E13,'График аннуитет.'!C13)</f>
        <v>14701605.530000001</v>
      </c>
      <c r="E13" s="37">
        <f>ROUND(C13*'Общие данные'!$B$84/H13,2)*'График аннуитет.'!G13</f>
        <v>5607394.4699999997</v>
      </c>
      <c r="F13" s="37">
        <f>IF(A13&lt;'Общие данные'!$B$81,'График аннуитет.'!F12,'График аннуитет.'!D13+'График аннуитет.'!E13)</f>
        <v>20309000</v>
      </c>
      <c r="G13" s="18">
        <f t="shared" si="2"/>
        <v>29</v>
      </c>
      <c r="H13" s="18">
        <f t="shared" si="0"/>
        <v>365</v>
      </c>
    </row>
    <row r="14" spans="1:8">
      <c r="A14" s="21">
        <v>7</v>
      </c>
      <c r="B14" s="36">
        <f>'График дифференц'!B14</f>
        <v>45905</v>
      </c>
      <c r="C14" s="37">
        <f t="shared" si="1"/>
        <v>102924773.07999998</v>
      </c>
      <c r="D14" s="37">
        <f>IF(A14&lt;'Общие данные'!$B$81,'График аннуитет.'!F14-'График аннуитет.'!E14,'График аннуитет.'!C14)</f>
        <v>15064066.289999999</v>
      </c>
      <c r="E14" s="37">
        <f>ROUND(C14*'Общие данные'!$B$84/H14,2)*'График аннуитет.'!G14</f>
        <v>5244933.71</v>
      </c>
      <c r="F14" s="37">
        <f>IF(A14&lt;'Общие данные'!$B$81,'График аннуитет.'!F13,'График аннуитет.'!D14+'График аннуитет.'!E14)</f>
        <v>20309000</v>
      </c>
      <c r="G14" s="18">
        <f t="shared" si="2"/>
        <v>31</v>
      </c>
      <c r="H14" s="18">
        <f t="shared" si="0"/>
        <v>365</v>
      </c>
    </row>
    <row r="15" spans="1:8">
      <c r="A15" s="21">
        <v>8</v>
      </c>
      <c r="B15" s="36">
        <f>'График дифференц'!B15</f>
        <v>45936</v>
      </c>
      <c r="C15" s="37">
        <f t="shared" si="1"/>
        <v>87860706.789999992</v>
      </c>
      <c r="D15" s="37">
        <f>IF(A15&lt;'Общие данные'!$B$81,'График аннуитет.'!F15-'График аннуитет.'!E15,'График аннуитет.'!C15)</f>
        <v>15831714.640000001</v>
      </c>
      <c r="E15" s="37">
        <f>ROUND(C15*'Общие данные'!$B$84/H15,2)*'График аннуитет.'!G15</f>
        <v>4477285.3600000003</v>
      </c>
      <c r="F15" s="37">
        <f>IF(A15&lt;'Общие данные'!$B$81,'График аннуитет.'!F14,'График аннуитет.'!D15+'График аннуитет.'!E15)</f>
        <v>20309000</v>
      </c>
      <c r="G15" s="18">
        <f t="shared" si="2"/>
        <v>31</v>
      </c>
      <c r="H15" s="18">
        <f t="shared" si="0"/>
        <v>365</v>
      </c>
    </row>
    <row r="16" spans="1:8">
      <c r="A16" s="21">
        <v>9</v>
      </c>
      <c r="B16" s="36">
        <f>'График дифференц'!B16</f>
        <v>45966</v>
      </c>
      <c r="C16" s="37">
        <f t="shared" si="1"/>
        <v>72028992.149999991</v>
      </c>
      <c r="D16" s="37">
        <f>IF(A16&lt;'Общие данные'!$B$81,'График аннуитет.'!F16-'График аннуитет.'!E16,'График аннуитет.'!C16)</f>
        <v>16756885.4</v>
      </c>
      <c r="E16" s="37">
        <f>ROUND(C16*'Общие данные'!$B$84/H16,2)*'График аннуитет.'!G16</f>
        <v>3552114.6</v>
      </c>
      <c r="F16" s="37">
        <f>IF(A16&lt;'Общие данные'!$B$81,'График аннуитет.'!F15,'График аннуитет.'!D16+'График аннуитет.'!E16)</f>
        <v>20309000</v>
      </c>
      <c r="G16" s="18">
        <f t="shared" si="2"/>
        <v>30</v>
      </c>
      <c r="H16" s="18">
        <f t="shared" si="0"/>
        <v>365</v>
      </c>
    </row>
    <row r="17" spans="1:8">
      <c r="A17" s="21">
        <v>10</v>
      </c>
      <c r="B17" s="36">
        <f>'График дифференц'!B17</f>
        <v>45996</v>
      </c>
      <c r="C17" s="37">
        <f t="shared" si="1"/>
        <v>55272106.749999993</v>
      </c>
      <c r="D17" s="37">
        <f>IF(A17&lt;'Общие данные'!$B$81,'График аннуитет.'!F17-'График аннуитет.'!E17,'График аннуитет.'!C17)</f>
        <v>17583252.199999999</v>
      </c>
      <c r="E17" s="37">
        <f>ROUND(C17*'Общие данные'!$B$84/H17,2)*'График аннуитет.'!G17</f>
        <v>2725747.8</v>
      </c>
      <c r="F17" s="37">
        <f>IF(A17&lt;'Общие данные'!$B$81,'График аннуитет.'!F16,'График аннуитет.'!D17+'График аннуитет.'!E17)</f>
        <v>20309000</v>
      </c>
      <c r="G17" s="18">
        <f t="shared" si="2"/>
        <v>30</v>
      </c>
      <c r="H17" s="18">
        <f t="shared" si="0"/>
        <v>365</v>
      </c>
    </row>
    <row r="18" spans="1:8">
      <c r="A18" s="21">
        <v>11</v>
      </c>
      <c r="B18" s="36">
        <f>'График дифференц'!B18</f>
        <v>46027</v>
      </c>
      <c r="C18" s="37">
        <f t="shared" si="1"/>
        <v>37688854.549999997</v>
      </c>
      <c r="D18" s="37">
        <f>IF(A18&lt;'Общие данные'!$B$81,'График аннуитет.'!F18-'График аннуитет.'!E18,'График аннуитет.'!C18)</f>
        <v>18388417.32</v>
      </c>
      <c r="E18" s="37">
        <f>ROUND(C18*'Общие данные'!$B$84/H18,2)*'График аннуитет.'!G18</f>
        <v>1920582.68</v>
      </c>
      <c r="F18" s="37">
        <f>IF(A18&lt;'Общие данные'!$B$81,'График аннуитет.'!F17,'График аннуитет.'!D18+'График аннуитет.'!E18)</f>
        <v>20309000</v>
      </c>
      <c r="G18" s="18">
        <f t="shared" si="2"/>
        <v>31</v>
      </c>
      <c r="H18" s="18">
        <f t="shared" si="0"/>
        <v>365</v>
      </c>
    </row>
    <row r="19" spans="1:8">
      <c r="A19" s="21">
        <v>12</v>
      </c>
      <c r="B19" s="36">
        <f>'График дифференц'!B19</f>
        <v>46057</v>
      </c>
      <c r="C19" s="37">
        <f t="shared" si="1"/>
        <v>19300437.229999997</v>
      </c>
      <c r="D19" s="37">
        <f>IF(A19&lt;'Общие данные'!$B$81,'График аннуитет.'!F19-'График аннуитет.'!E19,'График аннуитет.'!C19)</f>
        <v>19300437.229999997</v>
      </c>
      <c r="E19" s="37">
        <f>ROUND(C19*'Общие данные'!$B$84/H19,2)*'График аннуитет.'!G19</f>
        <v>951802.5</v>
      </c>
      <c r="F19" s="37">
        <f>IF(A19&lt;'Общие данные'!$B$81,'График аннуитет.'!F18,'График аннуитет.'!D19+'График аннуитет.'!E19)</f>
        <v>20252239.729999997</v>
      </c>
      <c r="G19" s="18">
        <f>B19-B18</f>
        <v>30</v>
      </c>
      <c r="H19" s="18">
        <f t="shared" si="0"/>
        <v>365</v>
      </c>
    </row>
    <row r="20" spans="1:8">
      <c r="A20" s="21">
        <v>13</v>
      </c>
      <c r="B20" s="36" t="b">
        <f>'График дифференц'!B20</f>
        <v>0</v>
      </c>
      <c r="C20" s="37">
        <f t="shared" si="1"/>
        <v>0</v>
      </c>
      <c r="D20" s="37">
        <f>IF(A20&lt;'Общие данные'!$B$81,'График аннуитет.'!F20-'График аннуитет.'!E20,'График аннуитет.'!C20)</f>
        <v>0</v>
      </c>
      <c r="E20" s="37">
        <f>ROUND(C20*'Общие данные'!$B$84/H20,2)*'График аннуитет.'!G20</f>
        <v>0</v>
      </c>
      <c r="F20" s="37">
        <f>IF(A20&lt;'Общие данные'!$B$81,'График аннуитет.'!F19,'График аннуитет.'!D20+'График аннуитет.'!E20)</f>
        <v>0</v>
      </c>
      <c r="G20" s="18">
        <f t="shared" si="2"/>
        <v>-46057</v>
      </c>
      <c r="H20" s="18">
        <f t="shared" si="0"/>
        <v>366</v>
      </c>
    </row>
    <row r="21" spans="1:8">
      <c r="A21" s="21">
        <v>14</v>
      </c>
      <c r="B21" s="36" t="b">
        <f>'График дифференц'!B21</f>
        <v>0</v>
      </c>
      <c r="C21" s="37">
        <f t="shared" si="1"/>
        <v>0</v>
      </c>
      <c r="D21" s="37">
        <f>IF(A21&lt;'Общие данные'!$B$81,'График аннуитет.'!F21-'График аннуитет.'!E21,'График аннуитет.'!C21)</f>
        <v>0</v>
      </c>
      <c r="E21" s="37">
        <f>ROUND(C21*'Общие данные'!$B$84/H21,2)*'График аннуитет.'!G21</f>
        <v>0</v>
      </c>
      <c r="F21" s="37">
        <f>IF(A21&lt;'Общие данные'!$B$81,'График аннуитет.'!F20,'График аннуитет.'!D21+'График аннуитет.'!E21)</f>
        <v>0</v>
      </c>
      <c r="G21" s="18">
        <f t="shared" si="2"/>
        <v>0</v>
      </c>
      <c r="H21" s="18">
        <f t="shared" si="0"/>
        <v>366</v>
      </c>
    </row>
    <row r="22" spans="1:8">
      <c r="A22" s="21">
        <v>15</v>
      </c>
      <c r="B22" s="36" t="b">
        <f>'График дифференц'!B22</f>
        <v>0</v>
      </c>
      <c r="C22" s="37">
        <f t="shared" si="1"/>
        <v>0</v>
      </c>
      <c r="D22" s="37">
        <f>IF(A22&lt;'Общие данные'!$B$81,'График аннуитет.'!F22-'График аннуитет.'!E22,'График аннуитет.'!C22)</f>
        <v>0</v>
      </c>
      <c r="E22" s="37">
        <f>ROUND(C22*'Общие данные'!$B$84/H22,2)*'График аннуитет.'!G22</f>
        <v>0</v>
      </c>
      <c r="F22" s="37">
        <f>IF(A22&lt;'Общие данные'!$B$81,'График аннуитет.'!F21,'График аннуитет.'!D22+'График аннуитет.'!E22)</f>
        <v>0</v>
      </c>
      <c r="G22" s="18">
        <f t="shared" si="2"/>
        <v>0</v>
      </c>
      <c r="H22" s="18">
        <f t="shared" si="0"/>
        <v>366</v>
      </c>
    </row>
    <row r="23" spans="1:8">
      <c r="A23" s="21">
        <v>16</v>
      </c>
      <c r="B23" s="36" t="b">
        <f>'График дифференц'!B23</f>
        <v>0</v>
      </c>
      <c r="C23" s="37">
        <f t="shared" si="1"/>
        <v>0</v>
      </c>
      <c r="D23" s="37">
        <f>IF(A23&lt;'Общие данные'!$B$81,'График аннуитет.'!F23-'График аннуитет.'!E23,'График аннуитет.'!C23)</f>
        <v>0</v>
      </c>
      <c r="E23" s="37">
        <f>ROUND(C23*'Общие данные'!$B$84/H23,2)*'График аннуитет.'!G23</f>
        <v>0</v>
      </c>
      <c r="F23" s="37">
        <f>IF(A23&lt;'Общие данные'!$B$81,'График аннуитет.'!F22,'График аннуитет.'!D23+'График аннуитет.'!E23)</f>
        <v>0</v>
      </c>
      <c r="G23" s="18">
        <f t="shared" si="2"/>
        <v>0</v>
      </c>
      <c r="H23" s="18">
        <f t="shared" si="0"/>
        <v>366</v>
      </c>
    </row>
    <row r="24" spans="1:8">
      <c r="A24" s="21">
        <v>17</v>
      </c>
      <c r="B24" s="36" t="b">
        <f>'График дифференц'!B24</f>
        <v>0</v>
      </c>
      <c r="C24" s="37">
        <f t="shared" si="1"/>
        <v>0</v>
      </c>
      <c r="D24" s="37">
        <f>IF(A24&lt;'Общие данные'!$B$81,'График аннуитет.'!F24-'График аннуитет.'!E24,'График аннуитет.'!C24)</f>
        <v>0</v>
      </c>
      <c r="E24" s="37">
        <f>ROUND(C24*'Общие данные'!$B$84/H24,2)*'График аннуитет.'!G24</f>
        <v>0</v>
      </c>
      <c r="F24" s="37">
        <f>IF(A24&lt;'Общие данные'!$B$81,'График аннуитет.'!F23,'График аннуитет.'!D24+'График аннуитет.'!E24)</f>
        <v>0</v>
      </c>
      <c r="G24" s="18">
        <f t="shared" si="2"/>
        <v>0</v>
      </c>
      <c r="H24" s="18">
        <f t="shared" si="0"/>
        <v>366</v>
      </c>
    </row>
    <row r="25" spans="1:8">
      <c r="A25" s="21">
        <v>18</v>
      </c>
      <c r="B25" s="36" t="b">
        <f>'График дифференц'!B25</f>
        <v>0</v>
      </c>
      <c r="C25" s="37">
        <f t="shared" si="1"/>
        <v>0</v>
      </c>
      <c r="D25" s="37">
        <f>IF(A25&lt;'Общие данные'!$B$81,'График аннуитет.'!F25-'График аннуитет.'!E25,'График аннуитет.'!C25)</f>
        <v>0</v>
      </c>
      <c r="E25" s="37">
        <f>ROUND(C25*'Общие данные'!$B$84/H25,2)*'График аннуитет.'!G25</f>
        <v>0</v>
      </c>
      <c r="F25" s="37">
        <f>IF(A25&lt;'Общие данные'!$B$81,'График аннуитет.'!F24,'График аннуитет.'!D25+'График аннуитет.'!E25)</f>
        <v>0</v>
      </c>
      <c r="G25" s="18">
        <f>B25-B24</f>
        <v>0</v>
      </c>
      <c r="H25" s="18">
        <f t="shared" si="0"/>
        <v>366</v>
      </c>
    </row>
    <row r="26" spans="1:8">
      <c r="A26" s="21">
        <v>19</v>
      </c>
      <c r="B26" s="36" t="b">
        <f>'График дифференц'!B26</f>
        <v>0</v>
      </c>
      <c r="C26" s="37">
        <f t="shared" si="1"/>
        <v>0</v>
      </c>
      <c r="D26" s="37">
        <f>IF(A26&lt;'Общие данные'!$B$81,'График аннуитет.'!F26-'График аннуитет.'!E26,'График аннуитет.'!C26)</f>
        <v>0</v>
      </c>
      <c r="E26" s="37">
        <f>ROUND(C26*'Общие данные'!$B$84/H26,2)*'График аннуитет.'!G26</f>
        <v>0</v>
      </c>
      <c r="F26" s="37">
        <f>IF(A26&lt;'Общие данные'!$B$81,'График аннуитет.'!F25,'График аннуитет.'!D26+'График аннуитет.'!E26)</f>
        <v>0</v>
      </c>
      <c r="G26" s="18">
        <f t="shared" ref="G26:G31" si="3">B26-B25</f>
        <v>0</v>
      </c>
      <c r="H26" s="18">
        <f t="shared" si="0"/>
        <v>366</v>
      </c>
    </row>
    <row r="27" spans="1:8">
      <c r="A27" s="21">
        <v>20</v>
      </c>
      <c r="B27" s="36" t="b">
        <f>'График дифференц'!B27</f>
        <v>0</v>
      </c>
      <c r="C27" s="37">
        <f t="shared" si="1"/>
        <v>0</v>
      </c>
      <c r="D27" s="37">
        <f>IF(A27&lt;'Общие данные'!$B$81,'График аннуитет.'!F27-'График аннуитет.'!E27,'График аннуитет.'!C27)</f>
        <v>0</v>
      </c>
      <c r="E27" s="37">
        <f>ROUND(C27*'Общие данные'!$B$84/H27,2)*'График аннуитет.'!G27</f>
        <v>0</v>
      </c>
      <c r="F27" s="37">
        <f>IF(A27&lt;'Общие данные'!$B$81,'График аннуитет.'!F26,'График аннуитет.'!D27+'График аннуитет.'!E27)</f>
        <v>0</v>
      </c>
      <c r="G27" s="18">
        <f t="shared" si="3"/>
        <v>0</v>
      </c>
      <c r="H27" s="18">
        <f t="shared" si="0"/>
        <v>366</v>
      </c>
    </row>
    <row r="28" spans="1:8">
      <c r="A28" s="21">
        <v>21</v>
      </c>
      <c r="B28" s="36" t="b">
        <f>'График дифференц'!B28</f>
        <v>0</v>
      </c>
      <c r="C28" s="37">
        <f t="shared" si="1"/>
        <v>0</v>
      </c>
      <c r="D28" s="37">
        <f>IF(A28&lt;'Общие данные'!$B$81,'График аннуитет.'!F28-'График аннуитет.'!E28,'График аннуитет.'!C28)</f>
        <v>0</v>
      </c>
      <c r="E28" s="37">
        <f>ROUND(C28*'Общие данные'!$B$84/H28,2)*'График аннуитет.'!G28</f>
        <v>0</v>
      </c>
      <c r="F28" s="37">
        <f>IF(A28&lt;'Общие данные'!$B$81,'График аннуитет.'!F27,'График аннуитет.'!D28+'График аннуитет.'!E28)</f>
        <v>0</v>
      </c>
      <c r="G28" s="18">
        <f t="shared" si="3"/>
        <v>0</v>
      </c>
      <c r="H28" s="18">
        <f t="shared" si="0"/>
        <v>366</v>
      </c>
    </row>
    <row r="29" spans="1:8">
      <c r="A29" s="21">
        <v>22</v>
      </c>
      <c r="B29" s="36" t="b">
        <f>'График дифференц'!B29</f>
        <v>0</v>
      </c>
      <c r="C29" s="37">
        <f t="shared" si="1"/>
        <v>0</v>
      </c>
      <c r="D29" s="37">
        <f>IF(A29&lt;'Общие данные'!$B$81,'График аннуитет.'!F29-'График аннуитет.'!E29,'График аннуитет.'!C29)</f>
        <v>0</v>
      </c>
      <c r="E29" s="37">
        <f>ROUND(C29*'Общие данные'!$B$84/H29,2)*'График аннуитет.'!G29</f>
        <v>0</v>
      </c>
      <c r="F29" s="37">
        <f>IF(A29&lt;'Общие данные'!$B$81,'График аннуитет.'!F28,'График аннуитет.'!D29+'График аннуитет.'!E29)</f>
        <v>0</v>
      </c>
      <c r="G29" s="18">
        <f t="shared" si="3"/>
        <v>0</v>
      </c>
      <c r="H29" s="18">
        <f t="shared" si="0"/>
        <v>366</v>
      </c>
    </row>
    <row r="30" spans="1:8">
      <c r="A30" s="21">
        <v>23</v>
      </c>
      <c r="B30" s="36" t="b">
        <f>'График дифференц'!B30</f>
        <v>0</v>
      </c>
      <c r="C30" s="37">
        <f t="shared" si="1"/>
        <v>0</v>
      </c>
      <c r="D30" s="37">
        <f>IF(A30&lt;'Общие данные'!$B$81,'График аннуитет.'!F30-'График аннуитет.'!E30,'График аннуитет.'!C30)</f>
        <v>0</v>
      </c>
      <c r="E30" s="37">
        <f>ROUND(C30*'Общие данные'!$B$84/H30,2)*'График аннуитет.'!G30</f>
        <v>0</v>
      </c>
      <c r="F30" s="37">
        <f>IF(A30&lt;'Общие данные'!$B$81,'График аннуитет.'!F29,'График аннуитет.'!D30+'График аннуитет.'!E30)</f>
        <v>0</v>
      </c>
      <c r="G30" s="18">
        <f t="shared" si="3"/>
        <v>0</v>
      </c>
      <c r="H30" s="18">
        <f t="shared" si="0"/>
        <v>366</v>
      </c>
    </row>
    <row r="31" spans="1:8">
      <c r="A31" s="21">
        <f>1+A30</f>
        <v>24</v>
      </c>
      <c r="B31" s="36" t="b">
        <f>'График дифференц'!B31</f>
        <v>0</v>
      </c>
      <c r="C31" s="37">
        <f t="shared" si="1"/>
        <v>0</v>
      </c>
      <c r="D31" s="37">
        <f>IF(A31&lt;'Общие данные'!$B$81,'График аннуитет.'!F31-'График аннуитет.'!E31,'График аннуитет.'!C31)</f>
        <v>0</v>
      </c>
      <c r="E31" s="37">
        <f>ROUND(C31*'Общие данные'!$B$84/H31,2)*'График аннуитет.'!G31</f>
        <v>0</v>
      </c>
      <c r="F31" s="37">
        <f>IF(A31&lt;'Общие данные'!$B$81,'График аннуитет.'!F30,'График аннуитет.'!D31+'График аннуитет.'!E31)</f>
        <v>0</v>
      </c>
      <c r="G31" s="18">
        <f t="shared" si="3"/>
        <v>0</v>
      </c>
      <c r="H31" s="18">
        <f t="shared" si="0"/>
        <v>366</v>
      </c>
    </row>
    <row r="32" spans="1:8">
      <c r="A32" s="21">
        <f t="shared" ref="A32:A43" si="4">1+A31</f>
        <v>25</v>
      </c>
      <c r="B32" s="36" t="b">
        <f>'График дифференц'!B32</f>
        <v>0</v>
      </c>
      <c r="C32" s="37">
        <f t="shared" ref="C32:C43" si="5">C31-D31</f>
        <v>0</v>
      </c>
      <c r="D32" s="37">
        <f>IF(A32&lt;'Общие данные'!$B$81,'График аннуитет.'!F32-'График аннуитет.'!E32,'График аннуитет.'!C32)</f>
        <v>0</v>
      </c>
      <c r="E32" s="37">
        <f>ROUND(C32*'Общие данные'!$B$84/H32,2)*'График аннуитет.'!G32</f>
        <v>0</v>
      </c>
      <c r="F32" s="37">
        <f>IF(A32&lt;'Общие данные'!$B$81,'График аннуитет.'!F31,'График аннуитет.'!D32+'График аннуитет.'!E32)</f>
        <v>0</v>
      </c>
      <c r="G32" s="18">
        <f t="shared" ref="G32:G43" si="6">B32-B31</f>
        <v>0</v>
      </c>
      <c r="H32" s="18">
        <f t="shared" ref="H32:H43" si="7">DATE(YEAR(B32),12,31)-DATE(YEAR(B32),1,1)+1</f>
        <v>366</v>
      </c>
    </row>
    <row r="33" spans="1:8">
      <c r="A33" s="21">
        <f t="shared" si="4"/>
        <v>26</v>
      </c>
      <c r="B33" s="36" t="b">
        <f>'График дифференц'!B33</f>
        <v>0</v>
      </c>
      <c r="C33" s="37">
        <f t="shared" si="5"/>
        <v>0</v>
      </c>
      <c r="D33" s="37">
        <f>IF(A33&lt;'Общие данные'!$B$81,'График аннуитет.'!F33-'График аннуитет.'!E33,'График аннуитет.'!C33)</f>
        <v>0</v>
      </c>
      <c r="E33" s="37">
        <f>ROUND(C33*'Общие данные'!$B$84/H33,2)*'График аннуитет.'!G33</f>
        <v>0</v>
      </c>
      <c r="F33" s="37">
        <f>IF(A33&lt;'Общие данные'!$B$81,'График аннуитет.'!F32,'График аннуитет.'!D33+'График аннуитет.'!E33)</f>
        <v>0</v>
      </c>
      <c r="G33" s="18">
        <f t="shared" si="6"/>
        <v>0</v>
      </c>
      <c r="H33" s="18">
        <f t="shared" si="7"/>
        <v>366</v>
      </c>
    </row>
    <row r="34" spans="1:8">
      <c r="A34" s="21">
        <f t="shared" si="4"/>
        <v>27</v>
      </c>
      <c r="B34" s="36" t="b">
        <f>'График дифференц'!B34</f>
        <v>0</v>
      </c>
      <c r="C34" s="37">
        <f t="shared" si="5"/>
        <v>0</v>
      </c>
      <c r="D34" s="37">
        <f>IF(A34&lt;'Общие данные'!$B$81,'График аннуитет.'!F34-'График аннуитет.'!E34,'График аннуитет.'!C34)</f>
        <v>0</v>
      </c>
      <c r="E34" s="37">
        <f>ROUND(C34*'Общие данные'!$B$84/H34,2)*'График аннуитет.'!G34</f>
        <v>0</v>
      </c>
      <c r="F34" s="37">
        <f>IF(A34&lt;'Общие данные'!$B$81,'График аннуитет.'!F33,'График аннуитет.'!D34+'График аннуитет.'!E34)</f>
        <v>0</v>
      </c>
      <c r="G34" s="18">
        <f t="shared" si="6"/>
        <v>0</v>
      </c>
      <c r="H34" s="18">
        <f t="shared" si="7"/>
        <v>366</v>
      </c>
    </row>
    <row r="35" spans="1:8">
      <c r="A35" s="21">
        <f t="shared" si="4"/>
        <v>28</v>
      </c>
      <c r="B35" s="36" t="b">
        <f>'График дифференц'!B35</f>
        <v>0</v>
      </c>
      <c r="C35" s="37">
        <f t="shared" si="5"/>
        <v>0</v>
      </c>
      <c r="D35" s="37">
        <f>IF(A35&lt;'Общие данные'!$B$81,'График аннуитет.'!F35-'График аннуитет.'!E35,'График аннуитет.'!C35)</f>
        <v>0</v>
      </c>
      <c r="E35" s="37">
        <f>ROUND(C35*'Общие данные'!$B$84/H35,2)*'График аннуитет.'!G35</f>
        <v>0</v>
      </c>
      <c r="F35" s="37">
        <f>IF(A35&lt;'Общие данные'!$B$81,'График аннуитет.'!F34,'График аннуитет.'!D35+'График аннуитет.'!E35)</f>
        <v>0</v>
      </c>
      <c r="G35" s="18">
        <f t="shared" si="6"/>
        <v>0</v>
      </c>
      <c r="H35" s="18">
        <f t="shared" si="7"/>
        <v>366</v>
      </c>
    </row>
    <row r="36" spans="1:8">
      <c r="A36" s="21">
        <f t="shared" si="4"/>
        <v>29</v>
      </c>
      <c r="B36" s="36" t="b">
        <f>'График дифференц'!B36</f>
        <v>0</v>
      </c>
      <c r="C36" s="37">
        <f t="shared" si="5"/>
        <v>0</v>
      </c>
      <c r="D36" s="37">
        <f>IF(A36&lt;'Общие данные'!$B$81,'График аннуитет.'!F36-'График аннуитет.'!E36,'График аннуитет.'!C36)</f>
        <v>0</v>
      </c>
      <c r="E36" s="37">
        <f>ROUND(C36*'Общие данные'!$B$84/H36,2)*'График аннуитет.'!G36</f>
        <v>0</v>
      </c>
      <c r="F36" s="37">
        <f>IF(A36&lt;'Общие данные'!$B$81,'График аннуитет.'!F35,'График аннуитет.'!D36+'График аннуитет.'!E36)</f>
        <v>0</v>
      </c>
      <c r="G36" s="18">
        <f t="shared" si="6"/>
        <v>0</v>
      </c>
      <c r="H36" s="18">
        <f t="shared" si="7"/>
        <v>366</v>
      </c>
    </row>
    <row r="37" spans="1:8">
      <c r="A37" s="21">
        <f t="shared" si="4"/>
        <v>30</v>
      </c>
      <c r="B37" s="36" t="b">
        <f>'График дифференц'!B37</f>
        <v>0</v>
      </c>
      <c r="C37" s="37">
        <f t="shared" si="5"/>
        <v>0</v>
      </c>
      <c r="D37" s="37">
        <f>IF(A37&lt;'Общие данные'!$B$81,'График аннуитет.'!F37-'График аннуитет.'!E37,'График аннуитет.'!C37)</f>
        <v>0</v>
      </c>
      <c r="E37" s="37">
        <f>ROUND(C37*'Общие данные'!$B$84/H37,2)*'График аннуитет.'!G37</f>
        <v>0</v>
      </c>
      <c r="F37" s="37">
        <f>IF(A37&lt;'Общие данные'!$B$81,'График аннуитет.'!F36,'График аннуитет.'!D37+'График аннуитет.'!E37)</f>
        <v>0</v>
      </c>
      <c r="G37" s="18">
        <f t="shared" si="6"/>
        <v>0</v>
      </c>
      <c r="H37" s="18">
        <f t="shared" si="7"/>
        <v>366</v>
      </c>
    </row>
    <row r="38" spans="1:8">
      <c r="A38" s="21">
        <f t="shared" si="4"/>
        <v>31</v>
      </c>
      <c r="B38" s="36" t="b">
        <f>'График дифференц'!B38</f>
        <v>0</v>
      </c>
      <c r="C38" s="37">
        <f t="shared" si="5"/>
        <v>0</v>
      </c>
      <c r="D38" s="37">
        <f>IF(A38&lt;'Общие данные'!$B$81,'График аннуитет.'!F38-'График аннуитет.'!E38,'График аннуитет.'!C38)</f>
        <v>0</v>
      </c>
      <c r="E38" s="37">
        <f>ROUND(C38*'Общие данные'!$B$84/H38,2)*'График аннуитет.'!G38</f>
        <v>0</v>
      </c>
      <c r="F38" s="37">
        <f>IF(A38&lt;'Общие данные'!$B$81,'График аннуитет.'!F37,'График аннуитет.'!D38+'График аннуитет.'!E38)</f>
        <v>0</v>
      </c>
      <c r="G38" s="18">
        <f t="shared" si="6"/>
        <v>0</v>
      </c>
      <c r="H38" s="18">
        <f t="shared" si="7"/>
        <v>366</v>
      </c>
    </row>
    <row r="39" spans="1:8">
      <c r="A39" s="21">
        <f t="shared" si="4"/>
        <v>32</v>
      </c>
      <c r="B39" s="36" t="b">
        <f>'График дифференц'!B39</f>
        <v>0</v>
      </c>
      <c r="C39" s="37">
        <f t="shared" si="5"/>
        <v>0</v>
      </c>
      <c r="D39" s="37">
        <f>IF(A39&lt;'Общие данные'!$B$81,'График аннуитет.'!F39-'График аннуитет.'!E39,'График аннуитет.'!C39)</f>
        <v>0</v>
      </c>
      <c r="E39" s="37">
        <f>ROUND(C39*'Общие данные'!$B$84/H39,2)*'График аннуитет.'!G39</f>
        <v>0</v>
      </c>
      <c r="F39" s="37">
        <f>IF(A39&lt;'Общие данные'!$B$81,'График аннуитет.'!F38,'График аннуитет.'!D39+'График аннуитет.'!E39)</f>
        <v>0</v>
      </c>
      <c r="G39" s="18">
        <f t="shared" si="6"/>
        <v>0</v>
      </c>
      <c r="H39" s="18">
        <f t="shared" si="7"/>
        <v>366</v>
      </c>
    </row>
    <row r="40" spans="1:8">
      <c r="A40" s="21">
        <f t="shared" si="4"/>
        <v>33</v>
      </c>
      <c r="B40" s="36" t="b">
        <f>'График дифференц'!B40</f>
        <v>0</v>
      </c>
      <c r="C40" s="37">
        <f t="shared" si="5"/>
        <v>0</v>
      </c>
      <c r="D40" s="37">
        <f>IF(A40&lt;'Общие данные'!$B$81,'График аннуитет.'!F40-'График аннуитет.'!E40,'График аннуитет.'!C40)</f>
        <v>0</v>
      </c>
      <c r="E40" s="37">
        <f>ROUND(C40*'Общие данные'!$B$84/H40,2)*'График аннуитет.'!G40</f>
        <v>0</v>
      </c>
      <c r="F40" s="37">
        <f>IF(A40&lt;'Общие данные'!$B$81,'График аннуитет.'!F39,'График аннуитет.'!D40+'График аннуитет.'!E40)</f>
        <v>0</v>
      </c>
      <c r="G40" s="18">
        <f t="shared" si="6"/>
        <v>0</v>
      </c>
      <c r="H40" s="18">
        <f t="shared" si="7"/>
        <v>366</v>
      </c>
    </row>
    <row r="41" spans="1:8">
      <c r="A41" s="21">
        <f t="shared" si="4"/>
        <v>34</v>
      </c>
      <c r="B41" s="36" t="b">
        <f>'График дифференц'!B41</f>
        <v>0</v>
      </c>
      <c r="C41" s="37">
        <f t="shared" si="5"/>
        <v>0</v>
      </c>
      <c r="D41" s="37">
        <f>IF(A41&lt;'Общие данные'!$B$81,'График аннуитет.'!F41-'График аннуитет.'!E41,'График аннуитет.'!C41)</f>
        <v>0</v>
      </c>
      <c r="E41" s="37">
        <f>ROUND(C41*'Общие данные'!$B$84/H41,2)*'График аннуитет.'!G41</f>
        <v>0</v>
      </c>
      <c r="F41" s="37">
        <f>IF(A41&lt;'Общие данные'!$B$81,'График аннуитет.'!F40,'График аннуитет.'!D41+'График аннуитет.'!E41)</f>
        <v>0</v>
      </c>
      <c r="G41" s="18">
        <f t="shared" si="6"/>
        <v>0</v>
      </c>
      <c r="H41" s="18">
        <f t="shared" si="7"/>
        <v>366</v>
      </c>
    </row>
    <row r="42" spans="1:8">
      <c r="A42" s="21">
        <f t="shared" si="4"/>
        <v>35</v>
      </c>
      <c r="B42" s="36" t="b">
        <f>'График дифференц'!B42</f>
        <v>0</v>
      </c>
      <c r="C42" s="37">
        <f t="shared" si="5"/>
        <v>0</v>
      </c>
      <c r="D42" s="37">
        <f>IF(A42&lt;'Общие данные'!$B$81,'График аннуитет.'!F42-'График аннуитет.'!E42,'График аннуитет.'!C42)</f>
        <v>0</v>
      </c>
      <c r="E42" s="37">
        <f>ROUND(C42*'Общие данные'!$B$84/H42,2)*'График аннуитет.'!G42</f>
        <v>0</v>
      </c>
      <c r="F42" s="37">
        <f>IF(A42&lt;'Общие данные'!$B$81,'График аннуитет.'!F41,'График аннуитет.'!D42+'График аннуитет.'!E42)</f>
        <v>0</v>
      </c>
      <c r="G42" s="18">
        <f t="shared" si="6"/>
        <v>0</v>
      </c>
      <c r="H42" s="18">
        <f t="shared" si="7"/>
        <v>366</v>
      </c>
    </row>
    <row r="43" spans="1:8">
      <c r="A43" s="21">
        <f t="shared" si="4"/>
        <v>36</v>
      </c>
      <c r="B43" s="36" t="b">
        <f>'График дифференц'!B43</f>
        <v>0</v>
      </c>
      <c r="C43" s="37">
        <f t="shared" si="5"/>
        <v>0</v>
      </c>
      <c r="D43" s="37">
        <f>IF(A43&lt;'Общие данные'!$B$81,'График аннуитет.'!F43-'График аннуитет.'!E43,'График аннуитет.'!C43)</f>
        <v>0</v>
      </c>
      <c r="E43" s="37">
        <f>ROUND(C43*'Общие данные'!$B$84/H43,2)*'График аннуитет.'!G43</f>
        <v>0</v>
      </c>
      <c r="F43" s="37">
        <f>IF(A43&lt;'Общие данные'!$B$81,'График аннуитет.'!F42,'График аннуитет.'!D43+'График аннуитет.'!E43)</f>
        <v>0</v>
      </c>
      <c r="G43" s="18">
        <f t="shared" si="6"/>
        <v>0</v>
      </c>
      <c r="H43" s="18">
        <f t="shared" si="7"/>
        <v>366</v>
      </c>
    </row>
    <row r="44" spans="1:8">
      <c r="A44" s="49"/>
      <c r="B44" s="50" t="s">
        <v>7</v>
      </c>
      <c r="C44" s="51"/>
      <c r="D44" s="51">
        <f>SUM(D8:D31)</f>
        <v>180000000</v>
      </c>
      <c r="E44" s="51">
        <f>SUM(E8:E31)</f>
        <v>63651239.729999997</v>
      </c>
      <c r="F44" s="51">
        <f>SUM(F8:F31)</f>
        <v>243651239.72999999</v>
      </c>
    </row>
    <row r="45" spans="1:8" ht="9" customHeight="1">
      <c r="B45" s="38"/>
      <c r="C45" s="39"/>
      <c r="D45" s="39"/>
      <c r="E45" s="39"/>
      <c r="F45" s="39"/>
    </row>
    <row r="46" spans="1:8" ht="47.25" customHeight="1">
      <c r="A46" s="239" t="s">
        <v>18</v>
      </c>
      <c r="B46" s="239"/>
      <c r="C46" s="239"/>
      <c r="D46" s="239"/>
      <c r="E46" s="239"/>
      <c r="F46" s="239"/>
    </row>
    <row r="47" spans="1:8" ht="7.5" customHeight="1"/>
    <row r="48" spans="1:8">
      <c r="A48" s="271" t="e">
        <f>#REF!</f>
        <v>#REF!</v>
      </c>
      <c r="B48" s="271"/>
      <c r="C48" s="271"/>
      <c r="D48" s="271" t="e">
        <f>#REF!</f>
        <v>#REF!</v>
      </c>
      <c r="E48" s="271"/>
      <c r="F48" s="271"/>
    </row>
    <row r="49" spans="1:6" ht="11.25" customHeight="1">
      <c r="A49" s="272"/>
      <c r="B49" s="272"/>
      <c r="C49" s="272"/>
      <c r="D49" s="272"/>
      <c r="E49" s="272"/>
      <c r="F49" s="272"/>
    </row>
    <row r="50" spans="1:6" ht="30" customHeight="1">
      <c r="A50" s="273" t="e">
        <f>#REF!</f>
        <v>#REF!</v>
      </c>
      <c r="B50" s="273"/>
      <c r="C50" s="273"/>
      <c r="D50" s="273" t="e">
        <f>#REF!</f>
        <v>#REF!</v>
      </c>
      <c r="E50" s="273"/>
      <c r="F50" s="273"/>
    </row>
    <row r="51" spans="1:6" ht="32.25" customHeight="1">
      <c r="A51" s="270" t="e">
        <f>#REF!</f>
        <v>#REF!</v>
      </c>
      <c r="B51" s="270"/>
      <c r="C51" s="270"/>
      <c r="D51" s="270" t="e">
        <f>#REF!</f>
        <v>#REF!</v>
      </c>
      <c r="E51" s="270"/>
      <c r="F51" s="270"/>
    </row>
    <row r="52" spans="1:6">
      <c r="A52" s="270" t="e">
        <f>#REF!</f>
        <v>#REF!</v>
      </c>
      <c r="B52" s="270"/>
      <c r="C52" s="270"/>
      <c r="D52" s="270" t="str">
        <f>"паспорт серии "&amp;'Общие данные'!B16&amp;", "&amp;'Общие данные'!B20&amp;""</f>
        <v>паспорт серии AB7685294, ANDIJON VILOYATI SHAXRIXON TUMANI IIB tomonidan 09.09.2017 yilda berilgan</v>
      </c>
      <c r="E52" s="270"/>
      <c r="F52" s="270"/>
    </row>
    <row r="53" spans="1:6" ht="32.25" customHeight="1">
      <c r="A53" s="270" t="e">
        <f>#REF!</f>
        <v>#REF!</v>
      </c>
      <c r="B53" s="270"/>
      <c r="C53" s="270"/>
      <c r="D53" s="270"/>
      <c r="E53" s="270"/>
      <c r="F53" s="270"/>
    </row>
    <row r="54" spans="1:6">
      <c r="A54" s="270" t="e">
        <f>#REF!</f>
        <v>#REF!</v>
      </c>
      <c r="B54" s="270"/>
      <c r="C54" s="270"/>
      <c r="D54" s="270" t="e">
        <f>#REF!</f>
        <v>#REF!</v>
      </c>
      <c r="E54" s="270"/>
      <c r="F54" s="270"/>
    </row>
    <row r="55" spans="1:6">
      <c r="A55" s="270" t="e">
        <f>#REF!</f>
        <v>#REF!</v>
      </c>
      <c r="B55" s="270"/>
      <c r="C55" s="270"/>
      <c r="D55" s="270" t="e">
        <f>#REF!</f>
        <v>#REF!</v>
      </c>
      <c r="E55" s="270"/>
      <c r="F55" s="270"/>
    </row>
    <row r="56" spans="1:6">
      <c r="A56" s="270" t="e">
        <f>#REF!</f>
        <v>#REF!</v>
      </c>
      <c r="B56" s="270"/>
      <c r="C56" s="270"/>
      <c r="D56" s="270" t="e">
        <f>#REF!</f>
        <v>#REF!</v>
      </c>
      <c r="E56" s="270"/>
      <c r="F56" s="270"/>
    </row>
    <row r="57" spans="1:6" ht="8.25" customHeight="1">
      <c r="A57" s="270"/>
      <c r="B57" s="270"/>
      <c r="C57" s="270"/>
      <c r="D57" s="270"/>
      <c r="E57" s="270"/>
      <c r="F57" s="270"/>
    </row>
    <row r="58" spans="1:6">
      <c r="A58" s="273" t="e">
        <f>#REF!</f>
        <v>#REF!</v>
      </c>
      <c r="B58" s="273"/>
      <c r="C58" s="273"/>
      <c r="D58" s="273" t="e">
        <f>#REF!</f>
        <v>#REF!</v>
      </c>
      <c r="E58" s="273"/>
      <c r="F58" s="273"/>
    </row>
    <row r="59" spans="1:6" ht="7.5" customHeight="1">
      <c r="A59" s="273"/>
      <c r="B59" s="273"/>
      <c r="C59" s="273"/>
      <c r="D59" s="273"/>
      <c r="E59" s="273"/>
      <c r="F59" s="273"/>
    </row>
    <row r="60" spans="1:6">
      <c r="A60" s="273" t="e">
        <f>#REF!</f>
        <v>#REF!</v>
      </c>
      <c r="B60" s="273"/>
      <c r="C60" s="273"/>
      <c r="D60" s="273" t="e">
        <f>#REF!</f>
        <v>#REF!</v>
      </c>
      <c r="E60" s="273"/>
      <c r="F60" s="273"/>
    </row>
    <row r="61" spans="1:6" ht="8.25" customHeight="1">
      <c r="A61" s="270"/>
      <c r="B61" s="270"/>
      <c r="C61" s="270"/>
      <c r="D61" s="270"/>
      <c r="E61" s="270"/>
      <c r="F61" s="270"/>
    </row>
    <row r="62" spans="1:6" ht="30" customHeight="1">
      <c r="A62" s="275"/>
      <c r="B62" s="275"/>
      <c r="C62" s="275"/>
      <c r="D62" s="276"/>
      <c r="E62" s="276"/>
      <c r="F62" s="276"/>
    </row>
    <row r="63" spans="1:6">
      <c r="A63" s="277"/>
      <c r="B63" s="277"/>
      <c r="C63" s="277"/>
      <c r="D63" s="277"/>
      <c r="E63" s="277"/>
      <c r="F63" s="277"/>
    </row>
    <row r="64" spans="1:6">
      <c r="A64" s="274"/>
      <c r="B64" s="274"/>
      <c r="C64" s="274"/>
      <c r="D64" s="274"/>
      <c r="E64" s="274"/>
      <c r="F64" s="274"/>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5" priority="5" operator="lessThan">
      <formula>22105</formula>
    </cfRule>
  </conditionalFormatting>
  <conditionalFormatting sqref="C8:C43">
    <cfRule type="cellIs" dxfId="4" priority="3" operator="lessThan">
      <formula>1</formula>
    </cfRule>
  </conditionalFormatting>
  <conditionalFormatting sqref="C8:F43">
    <cfRule type="cellIs" dxfId="3"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9" zoomScaleSheetLayoutView="100" workbookViewId="0">
      <selection activeCell="F26" sqref="F26"/>
    </sheetView>
  </sheetViews>
  <sheetFormatPr defaultColWidth="9.140625" defaultRowHeight="12.75"/>
  <cols>
    <col min="1" max="6" width="14.28515625" style="27" customWidth="1"/>
    <col min="7" max="16384" width="9.140625" style="27"/>
  </cols>
  <sheetData>
    <row r="1" spans="1:6">
      <c r="A1" s="282" t="s">
        <v>236</v>
      </c>
      <c r="B1" s="282"/>
      <c r="C1" s="282"/>
      <c r="D1" s="282"/>
      <c r="E1" s="282"/>
      <c r="F1" s="282"/>
    </row>
    <row r="2" spans="1:6" ht="35.25" customHeight="1">
      <c r="A2" s="283" t="s">
        <v>352</v>
      </c>
      <c r="B2" s="283"/>
      <c r="C2" s="283"/>
      <c r="D2" s="283"/>
      <c r="E2" s="283"/>
      <c r="F2" s="283"/>
    </row>
    <row r="3" spans="1:6">
      <c r="A3" s="282" t="s">
        <v>237</v>
      </c>
      <c r="B3" s="282"/>
      <c r="C3" s="282"/>
      <c r="D3" s="282"/>
      <c r="E3" s="282"/>
      <c r="F3" s="282"/>
    </row>
    <row r="4" spans="1:6">
      <c r="A4" s="278" t="str">
        <f>'Заключение КК'!A4:E4</f>
        <v>Mijozning to'liq ismi sharifi: QOSIMOV BEKZODBEK ORIFJONOVICH</v>
      </c>
      <c r="B4" s="278"/>
      <c r="C4" s="278"/>
      <c r="D4" s="278"/>
      <c r="E4" s="278"/>
      <c r="F4" s="278"/>
    </row>
    <row r="5" spans="1:6">
      <c r="A5" s="278" t="str">
        <f>'Заключение КК'!A5:E5</f>
        <v>Tug'ilgan sanasi: 04.12.1981y</v>
      </c>
      <c r="B5" s="278"/>
      <c r="C5" s="278"/>
      <c r="D5" s="278"/>
      <c r="E5" s="278"/>
      <c r="F5" s="278"/>
    </row>
    <row r="6" spans="1:6" ht="32.25" customHeight="1">
      <c r="A6" s="278" t="str">
        <f>'Заключение КК'!A6:E6</f>
        <v>Pasport seriyasi AB7685294 ANDIJON VILOYATI SHAXRIXON TUMANI IIB tomonidan 09.09.2017 yilda berilgan, amal qilish muddati - 08.09.2027 y.</v>
      </c>
      <c r="B6" s="278"/>
      <c r="C6" s="278"/>
      <c r="D6" s="278"/>
      <c r="E6" s="278"/>
      <c r="F6" s="278"/>
    </row>
    <row r="7" spans="1:6">
      <c r="A7" s="278" t="str">
        <f>"Fuqaroligi: "&amp;'Общие данные'!B32&amp;""</f>
        <v>Fuqaroligi: O’zbekiston Respublikasi</v>
      </c>
      <c r="B7" s="278"/>
      <c r="C7" s="278"/>
      <c r="D7" s="278"/>
      <c r="E7" s="278"/>
      <c r="F7" s="278"/>
    </row>
    <row r="8" spans="1:6" ht="26.25" customHeight="1">
      <c r="A8" s="278" t="str">
        <f>'Заключение КК'!A7:E7</f>
        <v>Ro‘yxatdan o‘tgan manzili: QORAQALPOGISTON RESPUBLIKASI  NUKUS SHAHARI OZBEKISTON GUZARI 71 4 UY, mo'ljal: ташкен гос ца нын касында домда иш жойи 108 оптом бетте</v>
      </c>
      <c r="B8" s="278"/>
      <c r="C8" s="278"/>
      <c r="D8" s="278"/>
      <c r="E8" s="278"/>
      <c r="F8" s="278"/>
    </row>
    <row r="9" spans="1:6">
      <c r="A9" s="278" t="str">
        <f>IF('Общие данные'!B23="mos keladi"," ",'Анкета Клиента'!A10:F10)</f>
        <v>Haqiqatdan yashash joy manzili: QORAQALPOGISTON RESPUBLIKASI  NUKUS SHAHARI OZBEKISTON GUZARI 71 4 UY</v>
      </c>
      <c r="B9" s="278"/>
      <c r="C9" s="278"/>
      <c r="D9" s="278"/>
      <c r="E9" s="278"/>
      <c r="F9" s="278"/>
    </row>
    <row r="10" spans="1:6" ht="31.5" hidden="1" customHeight="1">
      <c r="A10" s="278" t="str">
        <f>"Haqiqatdan yashash joy manzili: "&amp;'Общие данные'!B28&amp;""</f>
        <v>Haqiqatdan yashash joy manzili: QORAQALPOGISTON RESPUBLIKASI  NUKUS SHAHARI OZBEKISTON GUZARI 71 4 UY</v>
      </c>
      <c r="B10" s="278"/>
      <c r="C10" s="278"/>
      <c r="D10" s="278"/>
      <c r="E10" s="278"/>
      <c r="F10" s="278"/>
    </row>
    <row r="11" spans="1:6" ht="16.5" hidden="1" customHeight="1">
      <c r="A11" s="278" t="str">
        <f>'Заключение КК'!A8:E8</f>
        <v>Ish joyi:  lavozimi Avtomobillarni mayda ta'mirlash da O'Z O'ZINI BAND QILGAN FUQARO</v>
      </c>
      <c r="B11" s="278"/>
      <c r="C11" s="278"/>
      <c r="D11" s="278"/>
      <c r="E11" s="278"/>
      <c r="F11" s="278"/>
    </row>
    <row r="12" spans="1:6">
      <c r="A12" s="282" t="s">
        <v>238</v>
      </c>
      <c r="B12" s="282"/>
      <c r="C12" s="282"/>
      <c r="D12" s="282"/>
      <c r="E12" s="282"/>
      <c r="F12" s="282"/>
    </row>
    <row r="13" spans="1:6">
      <c r="A13" s="278" t="str">
        <f>"Uy telefoni raqami: "&amp;'Общие данные'!B40&amp;""</f>
        <v>Uy telefoni raqami: 91-496-91-11Klient</v>
      </c>
      <c r="B13" s="278"/>
      <c r="C13" s="278"/>
      <c r="D13" s="278"/>
      <c r="E13" s="278"/>
      <c r="F13" s="278"/>
    </row>
    <row r="14" spans="1:6">
      <c r="A14" s="278" t="str">
        <f>"Uyali telefon raqami: "&amp;'Общие данные'!B41&amp;""</f>
        <v>Uyali telefon raqami: 90-708-11-28 кизи</v>
      </c>
      <c r="B14" s="278"/>
      <c r="C14" s="278"/>
      <c r="D14" s="278"/>
      <c r="E14" s="278"/>
      <c r="F14" s="278"/>
    </row>
    <row r="15" spans="1:6">
      <c r="A15" s="278" t="str">
        <f>"Uyali telefon raqami: "&amp;'Общие данные'!B42&amp;""</f>
        <v>Uyali telefon raqami: 33-421-81-05 угли</v>
      </c>
      <c r="B15" s="278"/>
      <c r="C15" s="278"/>
      <c r="D15" s="278"/>
      <c r="E15" s="278"/>
      <c r="F15" s="278"/>
    </row>
    <row r="16" spans="1:6" hidden="1">
      <c r="A16" s="278" t="str">
        <f>"Uyali telefon raqami: "&amp;'Общие данные'!B42&amp;""</f>
        <v>Uyali telefon raqami: 33-421-81-05 угли</v>
      </c>
      <c r="B16" s="278"/>
      <c r="C16" s="278"/>
      <c r="D16" s="278"/>
      <c r="E16" s="278"/>
      <c r="F16" s="278"/>
    </row>
    <row r="17" spans="1:6">
      <c r="A17" s="278" t="str">
        <f>"Ish telefoni raqami: "&amp;'Общие данные'!B43&amp;""</f>
        <v xml:space="preserve">Ish telefoni raqami: </v>
      </c>
      <c r="B17" s="278"/>
      <c r="C17" s="278"/>
      <c r="D17" s="278"/>
      <c r="E17" s="278"/>
      <c r="F17" s="278"/>
    </row>
    <row r="18" spans="1:6">
      <c r="A18" s="282" t="s">
        <v>239</v>
      </c>
      <c r="B18" s="282"/>
      <c r="C18" s="282"/>
      <c r="D18" s="282"/>
      <c r="E18" s="282"/>
      <c r="F18" s="282"/>
    </row>
    <row r="19" spans="1:6">
      <c r="A19" s="278" t="str">
        <f>"Muassasa nomlanishi:"&amp;'Общие данные'!B58&amp;""</f>
        <v>Muassasa nomlanishi:O'Z O'ZINI BAND QILGAN FUQARO №  №0005101243</v>
      </c>
      <c r="B19" s="278"/>
      <c r="C19" s="278"/>
      <c r="D19" s="278"/>
      <c r="E19" s="278"/>
      <c r="F19" s="278"/>
    </row>
    <row r="20" spans="1:6">
      <c r="A20" s="278" t="str">
        <f>"Ro‘yxatdan o‘tish manzili:"&amp;'Общие данные'!B50&amp;""</f>
        <v>Ro‘yxatdan o‘tish manzili:</v>
      </c>
      <c r="B20" s="278"/>
      <c r="C20" s="278"/>
      <c r="D20" s="278"/>
      <c r="E20" s="278"/>
      <c r="F20" s="278"/>
    </row>
    <row r="21" spans="1:6">
      <c r="A21" s="278" t="str">
        <f>"Lavozimi: "&amp;'Общие данные'!B59&amp;""</f>
        <v xml:space="preserve">Lavozimi: Avtomobillarni mayda ta'mirlash </v>
      </c>
      <c r="B21" s="278"/>
      <c r="C21" s="278"/>
      <c r="D21" s="278"/>
      <c r="E21" s="278"/>
      <c r="F21" s="278"/>
    </row>
    <row r="22" spans="1:6">
      <c r="A22" s="282" t="s">
        <v>240</v>
      </c>
      <c r="B22" s="279"/>
      <c r="C22" s="279"/>
      <c r="D22" s="279"/>
      <c r="E22" s="279"/>
      <c r="F22" s="279"/>
    </row>
    <row r="23" spans="1:6" s="29" customFormat="1" ht="25.5">
      <c r="A23" s="28" t="s">
        <v>241</v>
      </c>
      <c r="B23" s="28" t="s">
        <v>242</v>
      </c>
      <c r="C23" s="28" t="s">
        <v>243</v>
      </c>
      <c r="D23" s="28" t="s">
        <v>244</v>
      </c>
      <c r="E23" s="28" t="s">
        <v>245</v>
      </c>
      <c r="F23" s="28" t="s">
        <v>246</v>
      </c>
    </row>
    <row r="24" spans="1:6" ht="51">
      <c r="A24" s="30" t="s">
        <v>247</v>
      </c>
      <c r="B24" s="31">
        <f>'Общие данные'!B60</f>
        <v>47000000</v>
      </c>
      <c r="C24" s="31">
        <v>0</v>
      </c>
      <c r="D24" s="31">
        <v>0</v>
      </c>
      <c r="E24" s="30" t="s">
        <v>250</v>
      </c>
      <c r="F24" s="31">
        <v>700000</v>
      </c>
    </row>
    <row r="25" spans="1:6" ht="25.5">
      <c r="A25" s="30" t="s">
        <v>248</v>
      </c>
      <c r="B25" s="31">
        <v>0</v>
      </c>
      <c r="C25" s="31">
        <v>0</v>
      </c>
      <c r="D25" s="31">
        <v>0</v>
      </c>
      <c r="E25" s="30" t="s">
        <v>251</v>
      </c>
      <c r="F25" s="31">
        <v>600000</v>
      </c>
    </row>
    <row r="26" spans="1:6" ht="28.5" customHeight="1">
      <c r="A26" s="30" t="s">
        <v>249</v>
      </c>
      <c r="B26" s="31">
        <f>'Общие данные'!B61</f>
        <v>0</v>
      </c>
      <c r="C26" s="31">
        <v>0</v>
      </c>
      <c r="D26" s="31">
        <v>0</v>
      </c>
      <c r="E26" s="30" t="s">
        <v>252</v>
      </c>
      <c r="F26" s="31">
        <v>400000</v>
      </c>
    </row>
    <row r="27" spans="1:6" s="34" customFormat="1">
      <c r="A27" s="32" t="s">
        <v>228</v>
      </c>
      <c r="B27" s="33">
        <f>B24+B25+B26</f>
        <v>47000000</v>
      </c>
      <c r="C27" s="33">
        <f t="shared" ref="C27:F27" si="0">SUM(C24:C26)</f>
        <v>0</v>
      </c>
      <c r="D27" s="33">
        <f t="shared" si="0"/>
        <v>0</v>
      </c>
      <c r="E27" s="32"/>
      <c r="F27" s="33">
        <f t="shared" si="0"/>
        <v>1700000</v>
      </c>
    </row>
    <row r="28" spans="1:6" ht="31.5" customHeight="1">
      <c r="A28" s="278" t="str">
        <f>"Men, "&amp;'Общие данные'!B5&amp;", ushbu anketada ko‘rsatilgan barcha ma'lumotlar anketa to'ldirilgan sanada  to'g'ri va aniq ekanligini tasdiqlayman."</f>
        <v>Men, QOSIMOV BEKZODBEK ORIFJONOVICH, ushbu anketada ko‘rsatilgan barcha ma'lumotlar anketa to'ldirilgan sanada  to'g'ri va aniq ekanligini tasdiqlayman.</v>
      </c>
      <c r="B28" s="278"/>
      <c r="C28" s="278"/>
      <c r="D28" s="278"/>
      <c r="E28" s="278"/>
      <c r="F28" s="278"/>
    </row>
    <row r="29" spans="1:6">
      <c r="A29" s="278" t="str">
        <f>"Men,  "&amp;'Общие данные'!B5&amp;", quyidagilarni tan olaman va roziman::"</f>
        <v>Men,  QOSIMOV BEKZODBEK ORIFJONOVICH, quyidagilarni tan olaman va roziman::</v>
      </c>
      <c r="B29" s="278"/>
      <c r="C29" s="278"/>
      <c r="D29" s="278"/>
      <c r="E29" s="278"/>
      <c r="F29" s="278"/>
    </row>
    <row r="30" spans="1:6" ht="45.75" customHeight="1">
      <c r="A30" s="27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8"/>
      <c r="C30" s="278"/>
      <c r="D30" s="278"/>
      <c r="E30" s="278"/>
      <c r="F30" s="278"/>
    </row>
    <row r="31" spans="1:6" ht="42.75" customHeight="1">
      <c r="A31" s="27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mikrokredit berish majburiyatini yuklamaydi.</v>
      </c>
      <c r="B31" s="278"/>
      <c r="C31" s="278"/>
      <c r="D31" s="278"/>
      <c r="E31" s="278"/>
      <c r="F31" s="278"/>
    </row>
    <row r="32" spans="1:6" ht="71.25" customHeight="1">
      <c r="A32" s="278" t="s">
        <v>253</v>
      </c>
      <c r="B32" s="278"/>
      <c r="C32" s="278"/>
      <c r="D32" s="278"/>
      <c r="E32" s="278"/>
      <c r="F32" s="278"/>
    </row>
    <row r="33" spans="1:6">
      <c r="A33" s="278"/>
      <c r="B33" s="278"/>
      <c r="C33" s="278"/>
      <c r="D33" s="278"/>
      <c r="E33" s="278"/>
      <c r="F33" s="278"/>
    </row>
    <row r="34" spans="1:6" ht="12.75" customHeight="1">
      <c r="A34" s="279" t="s">
        <v>254</v>
      </c>
      <c r="B34" s="279"/>
      <c r="C34" s="279"/>
      <c r="D34" s="180" t="s">
        <v>167</v>
      </c>
      <c r="E34" s="279" t="s">
        <v>255</v>
      </c>
      <c r="F34" s="279"/>
    </row>
    <row r="35" spans="1:6" ht="25.5" customHeight="1">
      <c r="A35" s="280"/>
      <c r="B35" s="280"/>
      <c r="C35" s="280"/>
      <c r="D35" s="281" t="str">
        <f>'Общие данные'!B2</f>
        <v>04.02.2025</v>
      </c>
      <c r="E35" s="280"/>
      <c r="F35" s="280"/>
    </row>
    <row r="36" spans="1:6" ht="25.5" customHeight="1">
      <c r="A36" s="280"/>
      <c r="B36" s="280"/>
      <c r="C36" s="280"/>
      <c r="D36" s="281"/>
      <c r="E36" s="280"/>
      <c r="F36" s="280"/>
    </row>
    <row r="37" spans="1:6">
      <c r="A37" s="278"/>
      <c r="B37" s="278"/>
      <c r="C37" s="278"/>
      <c r="D37" s="278"/>
      <c r="E37" s="278"/>
      <c r="F37" s="278"/>
    </row>
    <row r="38" spans="1:6">
      <c r="A38" s="278"/>
      <c r="B38" s="278"/>
      <c r="C38" s="278"/>
      <c r="D38" s="278"/>
      <c r="E38" s="278"/>
      <c r="F38" s="278"/>
    </row>
    <row r="39" spans="1:6">
      <c r="A39" s="278"/>
      <c r="B39" s="278"/>
      <c r="C39" s="278"/>
      <c r="D39" s="278"/>
      <c r="E39" s="278"/>
      <c r="F39" s="278"/>
    </row>
    <row r="40" spans="1:6">
      <c r="A40" s="278"/>
      <c r="B40" s="278"/>
      <c r="C40" s="278"/>
      <c r="D40" s="278"/>
      <c r="E40" s="278"/>
      <c r="F40" s="278"/>
    </row>
    <row r="41" spans="1:6">
      <c r="A41" s="278"/>
      <c r="B41" s="278"/>
      <c r="C41" s="278"/>
      <c r="D41" s="278"/>
      <c r="E41" s="278"/>
      <c r="F41" s="278"/>
    </row>
    <row r="42" spans="1:6">
      <c r="A42" s="278"/>
      <c r="B42" s="278"/>
      <c r="C42" s="278"/>
      <c r="D42" s="278"/>
      <c r="E42" s="278"/>
      <c r="F42" s="278"/>
    </row>
    <row r="43" spans="1:6">
      <c r="A43" s="278"/>
      <c r="B43" s="278"/>
      <c r="C43" s="278"/>
      <c r="D43" s="278"/>
      <c r="E43" s="278"/>
      <c r="F43" s="278"/>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SheetLayoutView="100" workbookViewId="0">
      <selection activeCell="A29" sqref="A29"/>
    </sheetView>
  </sheetViews>
  <sheetFormatPr defaultColWidth="9.140625" defaultRowHeight="15.75"/>
  <cols>
    <col min="1" max="2" width="17.42578125" style="149" customWidth="1"/>
    <col min="3" max="3" width="29.85546875" style="149" customWidth="1"/>
    <col min="4" max="4" width="18.140625" style="149" customWidth="1"/>
    <col min="5" max="5" width="6.5703125" style="149" customWidth="1"/>
    <col min="6" max="16384" width="9.140625" style="149"/>
  </cols>
  <sheetData>
    <row r="2" spans="1:5">
      <c r="A2" s="284" t="s">
        <v>256</v>
      </c>
      <c r="B2" s="284"/>
      <c r="C2" s="284"/>
      <c r="D2" s="284"/>
      <c r="E2" s="284"/>
    </row>
    <row r="3" spans="1:5">
      <c r="E3" s="148" t="str">
        <f>'Общие данные'!B68</f>
        <v>4 fevral 2025 y.</v>
      </c>
    </row>
    <row r="5" spans="1:5" s="150" customFormat="1" ht="27" customHeight="1">
      <c r="A5" s="288" t="s">
        <v>257</v>
      </c>
      <c r="B5" s="289"/>
      <c r="C5" s="285" t="str">
        <f>'Общие данные'!B8</f>
        <v>QOSIMOV BEKZODBEK ORIFJONOVICH</v>
      </c>
      <c r="D5" s="286"/>
      <c r="E5" s="287"/>
    </row>
    <row r="7" spans="1:5" ht="15.75" customHeight="1">
      <c r="A7" s="290" t="s">
        <v>382</v>
      </c>
      <c r="B7" s="291"/>
      <c r="C7" s="292"/>
      <c r="D7" s="151" t="s">
        <v>140</v>
      </c>
      <c r="E7" s="151"/>
    </row>
    <row r="8" spans="1:5">
      <c r="A8" s="293"/>
      <c r="B8" s="294"/>
      <c r="C8" s="295"/>
      <c r="D8" s="151" t="s">
        <v>261</v>
      </c>
      <c r="E8" s="151"/>
    </row>
    <row r="9" spans="1:5" ht="15.75" customHeight="1">
      <c r="A9" s="296" t="s">
        <v>258</v>
      </c>
      <c r="B9" s="296"/>
      <c r="C9" s="296"/>
      <c r="D9" s="151" t="s">
        <v>140</v>
      </c>
      <c r="E9" s="151"/>
    </row>
    <row r="10" spans="1:5">
      <c r="A10" s="296"/>
      <c r="B10" s="296"/>
      <c r="C10" s="296"/>
      <c r="D10" s="151" t="s">
        <v>261</v>
      </c>
      <c r="E10" s="151"/>
    </row>
    <row r="11" spans="1:5" ht="15.75" customHeight="1">
      <c r="A11" s="296" t="s">
        <v>259</v>
      </c>
      <c r="B11" s="296"/>
      <c r="C11" s="296"/>
      <c r="D11" s="151" t="s">
        <v>140</v>
      </c>
      <c r="E11" s="151"/>
    </row>
    <row r="12" spans="1:5">
      <c r="A12" s="296"/>
      <c r="B12" s="296"/>
      <c r="C12" s="296"/>
      <c r="D12" s="151" t="s">
        <v>261</v>
      </c>
      <c r="E12" s="151"/>
    </row>
    <row r="13" spans="1:5" ht="34.5" customHeight="1">
      <c r="A13" s="297" t="s">
        <v>260</v>
      </c>
      <c r="B13" s="297"/>
      <c r="C13" s="297"/>
      <c r="D13" s="297"/>
      <c r="E13" s="297"/>
    </row>
    <row r="14" spans="1:5" ht="16.5" thickBot="1">
      <c r="A14" s="298"/>
      <c r="B14" s="298"/>
      <c r="C14" s="298"/>
      <c r="D14" s="298"/>
      <c r="E14" s="298"/>
    </row>
    <row r="15" spans="1:5" ht="16.5" thickBot="1">
      <c r="A15" s="298"/>
      <c r="B15" s="298"/>
      <c r="C15" s="298"/>
      <c r="D15" s="298"/>
      <c r="E15" s="298"/>
    </row>
    <row r="16" spans="1:5" ht="16.5" thickBot="1">
      <c r="A16" s="298"/>
      <c r="B16" s="298"/>
      <c r="C16" s="298"/>
      <c r="D16" s="298"/>
      <c r="E16" s="298"/>
    </row>
    <row r="18" spans="1:8" ht="18.75" customHeight="1">
      <c r="A18" s="296" t="s">
        <v>262</v>
      </c>
      <c r="B18" s="296"/>
      <c r="C18" s="296"/>
      <c r="D18" s="151" t="s">
        <v>140</v>
      </c>
      <c r="E18" s="151"/>
    </row>
    <row r="19" spans="1:8" ht="18.75" customHeight="1">
      <c r="A19" s="296"/>
      <c r="B19" s="296"/>
      <c r="C19" s="296"/>
      <c r="D19" s="151" t="s">
        <v>261</v>
      </c>
      <c r="E19" s="151"/>
    </row>
    <row r="20" spans="1:8" ht="29.25" customHeight="1">
      <c r="A20" s="296" t="s">
        <v>263</v>
      </c>
      <c r="B20" s="296"/>
      <c r="C20" s="296"/>
      <c r="D20" s="151" t="s">
        <v>140</v>
      </c>
      <c r="E20" s="151"/>
    </row>
    <row r="21" spans="1:8" ht="29.25" customHeight="1">
      <c r="A21" s="296"/>
      <c r="B21" s="296"/>
      <c r="C21" s="296"/>
      <c r="D21" s="151" t="s">
        <v>261</v>
      </c>
      <c r="E21" s="151"/>
    </row>
    <row r="23" spans="1:8" ht="15.75" customHeight="1">
      <c r="A23" s="297" t="s">
        <v>264</v>
      </c>
      <c r="B23" s="297"/>
      <c r="C23" s="297"/>
      <c r="D23" s="297"/>
      <c r="E23" s="297"/>
    </row>
    <row r="24" spans="1:8" ht="16.5" thickBot="1">
      <c r="A24" s="298"/>
      <c r="B24" s="298"/>
      <c r="C24" s="298"/>
      <c r="D24" s="298"/>
      <c r="E24" s="298"/>
    </row>
    <row r="25" spans="1:8" ht="16.5" thickBot="1">
      <c r="A25" s="298"/>
      <c r="B25" s="298"/>
      <c r="C25" s="298"/>
      <c r="D25" s="298"/>
      <c r="E25" s="298"/>
    </row>
    <row r="26" spans="1:8" ht="16.5" thickBot="1">
      <c r="A26" s="298"/>
      <c r="B26" s="298"/>
      <c r="C26" s="298"/>
      <c r="D26" s="298"/>
      <c r="E26" s="298"/>
    </row>
    <row r="28" spans="1:8" ht="78.75" customHeight="1">
      <c r="A28" s="299" t="s">
        <v>265</v>
      </c>
      <c r="B28" s="299"/>
      <c r="C28" s="299"/>
      <c r="D28" s="299"/>
      <c r="E28" s="299"/>
    </row>
    <row r="30" spans="1:8" ht="33" customHeight="1">
      <c r="A30" s="299" t="s">
        <v>266</v>
      </c>
      <c r="B30" s="299"/>
      <c r="C30" s="299"/>
      <c r="D30" s="299"/>
      <c r="E30" s="299"/>
      <c r="F30" s="152"/>
      <c r="G30" s="152"/>
      <c r="H30" s="152"/>
    </row>
    <row r="33" spans="1:5" ht="16.5" thickBot="1">
      <c r="A33" s="153" t="str">
        <f>C5</f>
        <v>QOSIMOV BEKZODBEK ORIFJONOVICH</v>
      </c>
      <c r="D33" s="154"/>
      <c r="E33" s="155"/>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85" zoomScaleSheetLayoutView="85" workbookViewId="0">
      <selection activeCell="A13" sqref="A13:D13"/>
    </sheetView>
  </sheetViews>
  <sheetFormatPr defaultColWidth="9.140625" defaultRowHeight="15.75"/>
  <cols>
    <col min="1" max="1" width="20.140625" style="9" customWidth="1"/>
    <col min="2" max="2" width="18.7109375" style="9" customWidth="1"/>
    <col min="3" max="3" width="19.7109375" style="9" customWidth="1"/>
    <col min="4" max="4" width="28.7109375" style="9" customWidth="1"/>
    <col min="5" max="16384" width="9.140625" style="9"/>
  </cols>
  <sheetData>
    <row r="1" spans="1:4" ht="66" customHeight="1">
      <c r="C1" s="304" t="str">
        <f>""&amp;'Общие данные'!B147&amp;"ning"&amp;'Общие данные'!A150&amp;"i"</f>
        <v>«CLEVER MIKROMOLIYA TASHKILOTI» MChJningNukus filiali boshligii</v>
      </c>
      <c r="D1" s="304"/>
    </row>
    <row r="2" spans="1:4">
      <c r="C2" s="16"/>
      <c r="D2" s="17" t="str">
        <f>""&amp;'Общие данные'!B150&amp;"ga"</f>
        <v>XOJANIYAZOV B. Z.ga</v>
      </c>
    </row>
    <row r="4" spans="1:4">
      <c r="A4" s="303" t="str">
        <f>""&amp;'Общие данные'!C64&amp;" olish uchun Ariza"</f>
        <v>Mikrokredit olish uchun Ariza</v>
      </c>
      <c r="B4" s="303"/>
      <c r="C4" s="303"/>
      <c r="D4" s="303"/>
    </row>
    <row r="5" spans="1:4">
      <c r="A5" s="303"/>
      <c r="B5" s="303"/>
      <c r="C5" s="303"/>
      <c r="D5" s="303"/>
    </row>
    <row r="6" spans="1:4" ht="53.25" customHeight="1">
      <c r="A6" s="300" t="str">
        <f>""&amp;'Общие данные'!B28&amp;".-da yashovchi O‘zbekiston Respublikasi fuqarosi "&amp;'Общие данные'!B8&amp;"dan. "</f>
        <v xml:space="preserve">QORAQALPOGISTON RESPUBLIKASI  NUKUS SHAHARI OZBEKISTON GUZARI 71 4 UY.-da yashovchi O‘zbekiston Respublikasi fuqarosi QOSIMOV BEKZODBEK ORIFJONOVICHdan. </v>
      </c>
      <c r="B6" s="300"/>
      <c r="C6" s="300"/>
      <c r="D6" s="300"/>
    </row>
    <row r="7" spans="1:4" ht="15.75" customHeight="1">
      <c r="A7" s="300" t="str">
        <f>"Tug'ilgan kuni: "&amp;'Общие данные'!B15&amp;""</f>
        <v>Tug'ilgan kuni: 04.12.1981y</v>
      </c>
      <c r="B7" s="300"/>
      <c r="C7" s="300"/>
      <c r="D7" s="300"/>
    </row>
    <row r="8" spans="1:4" ht="33" customHeight="1">
      <c r="A8" s="300" t="str">
        <f>"Pasport seriyasi: "&amp;'Общие данные'!B16&amp;" "&amp;'Общие данные'!B20&amp;""</f>
        <v>Pasport seriyasi: AB7685294 ANDIJON VILOYATI SHAXRIXON TUMANI IIB tomonidan 09.09.2017 yilda berilgan</v>
      </c>
      <c r="B8" s="300"/>
      <c r="C8" s="300"/>
      <c r="D8" s="300"/>
    </row>
    <row r="9" spans="1:4" ht="16.5" customHeight="1">
      <c r="A9" s="300" t="str">
        <f>"Asosiy ish joyi : "&amp;'Общие данные'!B58&amp;""</f>
        <v>Asosiy ish joyi : O'Z O'ZINI BAND QILGAN FUQARO №  №0005101243</v>
      </c>
      <c r="B9" s="300"/>
      <c r="C9" s="300"/>
      <c r="D9" s="300"/>
    </row>
    <row r="10" spans="1:4" ht="15.75" customHeight="1">
      <c r="A10" s="300" t="str">
        <f>"Lavozimi: "&amp;'Общие данные'!B59&amp;""</f>
        <v xml:space="preserve">Lavozimi: Avtomobillarni mayda ta'mirlash </v>
      </c>
      <c r="B10" s="300"/>
      <c r="C10" s="300"/>
      <c r="D10" s="300"/>
    </row>
    <row r="11" spans="1:4">
      <c r="A11" s="300" t="str">
        <f>"O’rtacha oylik daromadi: "&amp;FIXED('Общие данные'!B60,2)&amp;" so'm."</f>
        <v>O’rtacha oylik daromadi: 47 000 000,00 so'm.</v>
      </c>
      <c r="B11" s="300"/>
      <c r="C11" s="300"/>
      <c r="D11" s="300"/>
    </row>
    <row r="12" spans="1:4">
      <c r="A12" s="300" t="str">
        <f>"Menga quyidagi shartlarda "&amp;'Общие данные'!B65&amp;" berishingizni so’rayman:"</f>
        <v>Menga quyidagi shartlarda mikrokredit berishingizni so’rayman:</v>
      </c>
      <c r="B12" s="300"/>
      <c r="C12" s="300"/>
      <c r="D12" s="300"/>
    </row>
    <row r="13" spans="1:4">
      <c r="A13" s="300" t="str">
        <f>""&amp;'Общие данные'!C64&amp;" summasi: "&amp;FIXED('Общие данные'!B75,2)&amp;" ("&amp;'Общие данные'!B76&amp;") so'm."</f>
        <v>Mikrokredit summasi: 180 000 000,00 (yuz sakson million so'm) so'm.</v>
      </c>
      <c r="B13" s="300"/>
      <c r="C13" s="300"/>
      <c r="D13" s="300"/>
    </row>
    <row r="14" spans="1:4">
      <c r="A14" s="300" t="str">
        <f>""&amp;'Общие данные'!C64&amp;" muddati: "&amp;'Общие данные'!B81&amp;" ("&amp;'Общие данные'!B82&amp;") oy."</f>
        <v>Mikrokredit muddati: 12 (o'n ikki) oy.</v>
      </c>
      <c r="B14" s="300"/>
      <c r="C14" s="300"/>
      <c r="D14" s="300"/>
    </row>
    <row r="15" spans="1:4" ht="17.25" customHeight="1">
      <c r="A15" s="300" t="str">
        <f>""&amp;'Общие данные'!C64&amp;"dan foydalanganlik uchun foiz stavkasi: yillik  "&amp;'Общие данные'!B85&amp;"% ("&amp;'Общие данные'!B86&amp;") foiz"</f>
        <v>Mikrokreditdan foydalanganlik uchun foiz stavkasi: yillik  60% (Oltmish) foiz</v>
      </c>
      <c r="B15" s="300"/>
      <c r="C15" s="300"/>
      <c r="D15" s="300"/>
    </row>
    <row r="16" spans="1:4">
      <c r="A16" s="300" t="str">
        <f>""&amp;'Общие данные'!C64&amp;" bo'yicha asosiy qarz va foizlarni to'lash:"</f>
        <v>Mikrokredit bo'yicha asosiy qarz va foizlarni to'lash:</v>
      </c>
      <c r="B16" s="300"/>
      <c r="C16" s="300"/>
      <c r="D16" s="300"/>
    </row>
    <row r="17" spans="1:5" ht="20.25" hidden="1" customHeight="1">
      <c r="A17" s="302" t="str">
        <f>" - "&amp;'Общие данные'!B65&amp;" shartnomasi bo'yicha har oy differensial to'lovlari amalga oshiriladi"</f>
        <v xml:space="preserve"> - mikrokredit shartnomasi bo'yicha har oy differensial to'lovlari amalga oshiriladi</v>
      </c>
      <c r="B17" s="302"/>
      <c r="C17" s="302"/>
      <c r="D17" s="302"/>
    </row>
    <row r="18" spans="1:5" ht="33.75" hidden="1" customHeight="1">
      <c r="A18" s="302" t="str">
        <f>" - "&amp;'Общие данные'!B65&amp;" shartnomasi bo'yicha har oy annuitet to'lovlari amalga oshiriladi"</f>
        <v xml:space="preserve"> - mikrokredit shartnomasi bo'yicha har oy annuitet to'lovlari amalga oshiriladi</v>
      </c>
      <c r="B18" s="302"/>
      <c r="C18" s="302"/>
      <c r="D18" s="302"/>
    </row>
    <row r="19" spans="1:5" ht="33.75" customHeight="1">
      <c r="A19" s="302" t="str">
        <f>IF('Общие данные'!B77='Общие данные'!C77,'Кредитная заявка'!A17:D17,IF('Общие данные'!B77='Общие данные'!D77,'Кредитная заявка'!A18:D18))</f>
        <v xml:space="preserve"> - mikrokredit shartnomasi bo'yicha har oy annuitet to'lovlari amalga oshiriladi</v>
      </c>
      <c r="B19" s="302"/>
      <c r="C19" s="302"/>
      <c r="D19" s="302"/>
    </row>
    <row r="20" spans="1:5" ht="33.75" hidden="1" customHeight="1">
      <c r="A20" s="300" t="str">
        <f>IF(DAY('Общие данные'!E67)&lt;15,"   ","  Oxirgi yakuniy to'lov "&amp;'Общие данные'!B65&amp;" shartnomasi tuzilgan kundan boshlab oxirgi oyning oxirgi kunida amalga oshiriladi")</f>
        <v xml:space="preserve">   </v>
      </c>
      <c r="B20" s="300"/>
      <c r="C20" s="300"/>
      <c r="D20" s="300"/>
    </row>
    <row r="21" spans="1:5">
      <c r="A21" s="300" t="str">
        <f>""&amp;'Общие данные'!C64&amp;" ta’minoti::"</f>
        <v>Mikrokredit ta’minoti::</v>
      </c>
      <c r="B21" s="300"/>
      <c r="C21" s="300"/>
      <c r="D21" s="300"/>
    </row>
    <row r="22" spans="1:5" ht="90" customHeight="1">
      <c r="A22" s="302" t="str">
        <f>IF('Общие данные'!B103="Avtotransport",A26,A23)</f>
        <v xml:space="preserve">  Egalik huquqi QOSIMOV BEKZODBEK ORIFJONOVICHga tegishli bo'lgan garovga olingan avtomobil markasi   MALIBU 2, rangi -  QORA CHYORNIY, ishlab chiqarilgan yili - 2022, davlat raqam belgisi 60Q081BB, Kuzov turi YENGIL SEDAN, Kuzov raqami XWBJF69VELA059410, dvigatel raqami 211470021, shassi raqami - RAKAMSIZ</v>
      </c>
      <c r="B22" s="302"/>
      <c r="C22" s="302"/>
      <c r="D22" s="302"/>
    </row>
    <row r="23" spans="1:5" ht="79.5" hidden="1" customHeight="1">
      <c r="A23" s="302" t="str">
        <f>IF('Общие данные'!B92='Общие данные'!C92,A25,IF('Общие данные'!B92='Общие данные'!D92,A24,0))</f>
        <v xml:space="preserve"> Egalik huquqi SHOUSMANOVA DAVLATXON XXXga tegishli bo'lgan umumiy maydoni - 72.13 kv.m.  va yashash maydoni - 37.39 kv.m 3 - xonali yakka tartibdagi uy-joy, SAMARQAND VILOYATI TAYLOQ TUMANI CHAROG'BON MFY YANGI TAYLOQ QISHLOG'I 6 TURAR JOY 12 QAVAT 58 XONADON </v>
      </c>
      <c r="B23" s="302"/>
      <c r="C23" s="302"/>
      <c r="D23" s="302"/>
    </row>
    <row r="24" spans="1:5" ht="96.75" hidden="1" customHeight="1">
      <c r="A24" s="30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SHOUSMANOVA DAVLATXON XXXga 3 - xonali yakka tartibdagi uy-joy, umumiy maydoni - 72.13 kv.m. va yashash maydoni - 37.39 kv.m, manzili: SAMARQAND VILOYATI TAYLOQ TUMANI CHAROG'BON MFY YANGI TAYLOQ QISHLOG'I 6 TURAR JOY 12 QAVAT 58 XONADON.</v>
      </c>
      <c r="B24" s="302"/>
      <c r="C24" s="302"/>
      <c r="D24" s="302"/>
      <c r="E24" s="190"/>
    </row>
    <row r="25" spans="1:5" ht="92.25" hidden="1" customHeight="1">
      <c r="A25" s="30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SHOUSMANOVA DAVLATXON XXXga tegishli bo'lgan umumiy maydoni - 72.13 kv.m.  va yashash maydoni - 37.39 kv.m 3 - xonali yakka tartibdagi uy-joy, SAMARQAND VILOYATI TAYLOQ TUMANI CHAROG'BON MFY YANGI TAYLOQ QISHLOG'I 6 TURAR JOY 12 QAVAT 58 XONADON </v>
      </c>
      <c r="B25" s="302"/>
      <c r="C25" s="302"/>
      <c r="D25" s="302"/>
    </row>
    <row r="26" spans="1:5" ht="78" hidden="1" customHeight="1">
      <c r="A26" s="302" t="str">
        <f>IF('Общие данные'!B92='Общие данные'!C92,'Кредитная заявка'!A28:D28,IF('Общие данные'!B92='Общие данные'!D92,'Кредитная заявка'!A27:D27,0))</f>
        <v xml:space="preserve">  Egalik huquqi QOSIMOV BEKZODBEK ORIFJONOVICHga tegishli bo'lgan garovga olingan avtomobil markasi   MALIBU 2, rangi -  QORA CHYORNIY, ishlab chiqarilgan yili - 2022, davlat raqam belgisi 60Q081BB, Kuzov turi YENGIL SEDAN, Kuzov raqami XWBJF69VELA059410, dvigatel raqami 211470021, shassi raqami - RAKAMSIZ</v>
      </c>
      <c r="B26" s="302"/>
      <c r="C26" s="302"/>
      <c r="D26" s="302"/>
    </row>
    <row r="27" spans="1:5" ht="93" hidden="1" customHeight="1">
      <c r="A27" s="30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QOSIMOV BEKZODBEK ORIFJONOVICHga tegishli bo'lgan MALIBU 2, rangi -  QORA CHYORNIY, ishlab chiqarilgan yili - 2022, davlat raqam belgisi 60Q081BB, Kuzov turi YENGIL SEDAN, Kuzov raqami XWBJF69VELA059410, dvigatel raqami 211470021, shassi raqami - RAKAMSIZ avtotransport vositasi </v>
      </c>
      <c r="B27" s="302"/>
      <c r="C27" s="302"/>
      <c r="D27" s="302"/>
    </row>
    <row r="28" spans="1:5" ht="93.75" hidden="1" customHeight="1">
      <c r="A28" s="30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QOSIMOV BEKZODBEK ORIFJONOVICHga tegishli bo'lgan garovga olingan avtomobil markasi   MALIBU 2, rangi -  QORA CHYORNIY, ishlab chiqarilgan yili - 2022, davlat raqam belgisi 60Q081BB, Kuzov turi YENGIL SEDAN, Kuzov raqami XWBJF69VELA059410, dvigatel raqami 211470021, shassi raqami - RAKAMSIZ</v>
      </c>
      <c r="B28" s="302"/>
      <c r="C28" s="302"/>
      <c r="D28" s="302"/>
    </row>
    <row r="29" spans="1:5" ht="10.5" customHeight="1">
      <c r="A29" s="300"/>
      <c r="B29" s="300"/>
      <c r="C29" s="300"/>
      <c r="D29" s="300"/>
    </row>
    <row r="30" spans="1:5" ht="53.25" customHeight="1">
      <c r="A30" s="30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mikrokredit boʻyicha barcha zarur maʼlumotlarni quyida ko’rsatilgan tashkilotlarga taqdim etish va olishga roziligimni bildirib, ushbu amaliyotlarni o’tkazish uchun huquq beraman:</v>
      </c>
      <c r="B30" s="302"/>
      <c r="C30" s="302"/>
      <c r="D30" s="302"/>
    </row>
    <row r="31" spans="1:5" ht="15.75" customHeight="1">
      <c r="A31" s="302" t="s">
        <v>267</v>
      </c>
      <c r="B31" s="302"/>
      <c r="C31" s="302"/>
      <c r="D31" s="302"/>
    </row>
    <row r="32" spans="1:5">
      <c r="A32" s="302" t="s">
        <v>268</v>
      </c>
      <c r="B32" s="302"/>
      <c r="C32" s="302"/>
      <c r="D32" s="302"/>
    </row>
    <row r="33" spans="1:4">
      <c r="A33" s="302" t="s">
        <v>269</v>
      </c>
      <c r="B33" s="302"/>
      <c r="C33" s="302"/>
      <c r="D33" s="302"/>
    </row>
    <row r="34" spans="1:4">
      <c r="A34" s="300" t="str">
        <f>"Ariza berilgan sana: "&amp;TEXT('Общие данные'!B2,"ДД.ММ.ГГГГ")&amp;"y."</f>
        <v>Ariza berilgan sana: 04.02.2025y.</v>
      </c>
      <c r="B34" s="300"/>
      <c r="C34" s="300"/>
      <c r="D34" s="300"/>
    </row>
    <row r="35" spans="1:4">
      <c r="A35" s="300"/>
      <c r="B35" s="300"/>
      <c r="C35" s="300"/>
      <c r="D35" s="300"/>
    </row>
    <row r="36" spans="1:4">
      <c r="A36" s="300" t="s">
        <v>270</v>
      </c>
      <c r="B36" s="300"/>
      <c r="C36" s="300"/>
      <c r="D36" s="300"/>
    </row>
    <row r="37" spans="1:4">
      <c r="A37" s="300"/>
      <c r="B37" s="300"/>
      <c r="C37" s="300"/>
      <c r="D37" s="300"/>
    </row>
    <row r="38" spans="1:4">
      <c r="A38" s="300"/>
      <c r="B38" s="300"/>
      <c r="C38" s="300"/>
      <c r="D38" s="300"/>
    </row>
    <row r="39" spans="1:4" ht="15.75" customHeight="1">
      <c r="A39" s="301" t="str">
        <f>'Общие данные'!B5</f>
        <v>QOSIMOV BEKZODBEK ORIFJONOVICH</v>
      </c>
      <c r="B39" s="301"/>
      <c r="C39" s="301"/>
      <c r="D39" s="14" t="s">
        <v>4</v>
      </c>
    </row>
    <row r="40" spans="1:4">
      <c r="A40" s="13"/>
      <c r="B40" s="13"/>
      <c r="D40" s="15" t="s">
        <v>357</v>
      </c>
    </row>
    <row r="41" spans="1:4">
      <c r="A41" s="300"/>
      <c r="B41" s="300"/>
      <c r="C41" s="300"/>
      <c r="D41" s="300"/>
    </row>
    <row r="42" spans="1:4">
      <c r="A42" s="300"/>
      <c r="B42" s="300"/>
      <c r="C42" s="300"/>
      <c r="D42" s="300"/>
    </row>
    <row r="43" spans="1:4">
      <c r="A43" s="300"/>
      <c r="B43" s="300"/>
      <c r="C43" s="300"/>
      <c r="D43" s="300"/>
    </row>
    <row r="44" spans="1:4">
      <c r="A44" s="300"/>
      <c r="B44" s="300"/>
      <c r="C44" s="300"/>
      <c r="D44" s="300"/>
    </row>
    <row r="45" spans="1:4">
      <c r="A45" s="300"/>
      <c r="B45" s="300"/>
      <c r="C45" s="300"/>
      <c r="D45" s="300"/>
    </row>
    <row r="46" spans="1:4">
      <c r="A46" s="300"/>
      <c r="B46" s="300"/>
      <c r="C46" s="300"/>
      <c r="D46" s="300"/>
    </row>
    <row r="47" spans="1:4">
      <c r="A47" s="300"/>
      <c r="B47" s="300"/>
      <c r="C47" s="300"/>
      <c r="D47" s="300"/>
    </row>
    <row r="48" spans="1:4">
      <c r="A48" s="300"/>
      <c r="B48" s="300"/>
      <c r="C48" s="300"/>
      <c r="D48" s="300"/>
    </row>
    <row r="49" spans="1:4">
      <c r="A49" s="300"/>
      <c r="B49" s="300"/>
      <c r="C49" s="300"/>
      <c r="D49" s="300"/>
    </row>
    <row r="50" spans="1:4">
      <c r="A50" s="300"/>
      <c r="B50" s="300"/>
      <c r="C50" s="300"/>
      <c r="D50" s="300"/>
    </row>
    <row r="51" spans="1:4">
      <c r="A51" s="300"/>
      <c r="B51" s="300"/>
      <c r="C51" s="300"/>
      <c r="D51" s="300"/>
    </row>
    <row r="52" spans="1:4">
      <c r="A52" s="300"/>
      <c r="B52" s="300"/>
      <c r="C52" s="300"/>
      <c r="D52" s="300"/>
    </row>
    <row r="53" spans="1:4">
      <c r="A53" s="300"/>
      <c r="B53" s="300"/>
      <c r="C53" s="300"/>
      <c r="D53" s="300"/>
    </row>
    <row r="54" spans="1:4">
      <c r="A54" s="300"/>
      <c r="B54" s="300"/>
      <c r="C54" s="300"/>
      <c r="D54" s="300"/>
    </row>
    <row r="55" spans="1:4">
      <c r="A55" s="300"/>
      <c r="B55" s="300"/>
      <c r="C55" s="300"/>
      <c r="D55" s="300"/>
    </row>
    <row r="56" spans="1:4">
      <c r="A56" s="300"/>
      <c r="B56" s="300"/>
      <c r="C56" s="300"/>
      <c r="D56" s="300"/>
    </row>
    <row r="57" spans="1:4">
      <c r="A57" s="300"/>
      <c r="B57" s="300"/>
      <c r="C57" s="300"/>
      <c r="D57" s="300"/>
    </row>
    <row r="58" spans="1:4">
      <c r="A58" s="300"/>
      <c r="B58" s="300"/>
      <c r="C58" s="300"/>
      <c r="D58" s="300"/>
    </row>
    <row r="59" spans="1:4">
      <c r="A59" s="300"/>
      <c r="B59" s="300"/>
      <c r="C59" s="300"/>
      <c r="D59" s="300"/>
    </row>
    <row r="60" spans="1:4">
      <c r="A60" s="300"/>
      <c r="B60" s="300"/>
      <c r="C60" s="300"/>
      <c r="D60" s="300"/>
    </row>
    <row r="61" spans="1:4">
      <c r="A61" s="300"/>
      <c r="B61" s="300"/>
      <c r="C61" s="300"/>
      <c r="D61" s="300"/>
    </row>
    <row r="62" spans="1:4">
      <c r="A62" s="300"/>
      <c r="B62" s="300"/>
      <c r="C62" s="300"/>
      <c r="D62" s="300"/>
    </row>
    <row r="63" spans="1:4">
      <c r="A63" s="300"/>
      <c r="B63" s="300"/>
      <c r="C63" s="300"/>
      <c r="D63" s="300"/>
    </row>
    <row r="64" spans="1:4">
      <c r="A64" s="300"/>
      <c r="B64" s="300"/>
      <c r="C64" s="300"/>
      <c r="D64" s="300"/>
    </row>
    <row r="65" spans="1:4">
      <c r="A65" s="300"/>
      <c r="B65" s="300"/>
      <c r="C65" s="300"/>
      <c r="D65" s="300"/>
    </row>
    <row r="66" spans="1:4">
      <c r="A66" s="300"/>
      <c r="B66" s="300"/>
      <c r="C66" s="300"/>
      <c r="D66" s="300"/>
    </row>
    <row r="67" spans="1:4">
      <c r="A67" s="300"/>
      <c r="B67" s="300"/>
      <c r="C67" s="300"/>
      <c r="D67" s="300"/>
    </row>
    <row r="68" spans="1:4">
      <c r="A68" s="300"/>
      <c r="B68" s="300"/>
      <c r="C68" s="300"/>
      <c r="D68" s="300"/>
    </row>
    <row r="69" spans="1:4">
      <c r="A69" s="300"/>
      <c r="B69" s="300"/>
      <c r="C69" s="300"/>
      <c r="D69" s="300"/>
    </row>
    <row r="70" spans="1:4">
      <c r="A70" s="300"/>
      <c r="B70" s="300"/>
      <c r="C70" s="300"/>
      <c r="D70" s="300"/>
    </row>
    <row r="71" spans="1:4">
      <c r="A71" s="300"/>
      <c r="B71" s="300"/>
      <c r="C71" s="300"/>
      <c r="D71" s="300"/>
    </row>
    <row r="72" spans="1:4">
      <c r="A72" s="300"/>
      <c r="B72" s="300"/>
      <c r="C72" s="300"/>
      <c r="D72" s="300"/>
    </row>
    <row r="73" spans="1:4">
      <c r="A73" s="300"/>
      <c r="B73" s="300"/>
      <c r="C73" s="300"/>
      <c r="D73" s="300"/>
    </row>
    <row r="74" spans="1:4">
      <c r="A74" s="300"/>
      <c r="B74" s="300"/>
      <c r="C74" s="300"/>
      <c r="D74" s="300"/>
    </row>
    <row r="75" spans="1:4">
      <c r="A75" s="300"/>
      <c r="B75" s="300"/>
      <c r="C75" s="300"/>
      <c r="D75" s="300"/>
    </row>
    <row r="76" spans="1:4">
      <c r="A76" s="300"/>
      <c r="B76" s="300"/>
      <c r="C76" s="300"/>
      <c r="D76" s="300"/>
    </row>
    <row r="77" spans="1:4">
      <c r="A77" s="300"/>
      <c r="B77" s="300"/>
      <c r="C77" s="300"/>
      <c r="D77" s="300"/>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SheetLayoutView="85" workbookViewId="0">
      <selection activeCell="A4" sqref="A4:B4"/>
    </sheetView>
  </sheetViews>
  <sheetFormatPr defaultRowHeight="15"/>
  <cols>
    <col min="1" max="1" width="54.42578125" style="18" customWidth="1"/>
    <col min="2" max="2" width="32.28515625" style="18" customWidth="1"/>
  </cols>
  <sheetData>
    <row r="3" spans="1:2" ht="35.25" customHeight="1">
      <c r="A3" s="305" t="s">
        <v>233</v>
      </c>
      <c r="B3" s="305"/>
    </row>
    <row r="4" spans="1:2" ht="92.25" customHeight="1">
      <c r="A4" s="239"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QOSIMOV BEKZODBEK ORIFJONOVICH «CLEVER MIKROMOLIYA TASHKILOTI» MChJ bilan 4 fevral 2025 y. sanasidagi №269-NS-sonli shartnomaning garov ta'minoti sifatida taqdim etilayotgan mulk MALIBU 2 rusumli avtotransport vositasini qonunga xilof ravishda o‘zlashtirmaslikka, yashirmaslikka, nobud qilmaslikka yoki unga shikast yetkazmaslik majburiyatini olaman.</v>
      </c>
      <c r="B4" s="239"/>
    </row>
    <row r="5" spans="1:2" ht="56.25" customHeight="1">
      <c r="A5" s="306" t="s">
        <v>234</v>
      </c>
      <c r="B5" s="306"/>
    </row>
    <row r="6" spans="1:2" ht="42.75" customHeight="1"/>
    <row r="7" spans="1:2">
      <c r="A7" s="18" t="str">
        <f>'Общие данные'!B5</f>
        <v>QOSIMOV BEKZODBEK ORIFJONOVICH</v>
      </c>
      <c r="B7" s="165" t="s">
        <v>235</v>
      </c>
    </row>
    <row r="8" spans="1:2" ht="26.25" customHeight="1"/>
    <row r="9" spans="1:2" ht="26.25" customHeight="1"/>
    <row r="10" spans="1:2" ht="26.25" customHeight="1"/>
    <row r="11" spans="1:2">
      <c r="A11" s="18" t="str">
        <f>"sana:   "&amp;TEXT('Общие данные'!B2,"ДД.ММ.ГГГГ")&amp;" y."</f>
        <v>sana:   04.02.2025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77"/>
  <sheetViews>
    <sheetView view="pageBreakPreview" topLeftCell="A7" zoomScaleSheetLayoutView="100" workbookViewId="0">
      <selection activeCell="A25" sqref="A25:XFD25"/>
    </sheetView>
  </sheetViews>
  <sheetFormatPr defaultColWidth="9.140625" defaultRowHeight="15" outlineLevelRow="1"/>
  <cols>
    <col min="1" max="1" width="23.7109375" style="18" customWidth="1"/>
    <col min="2" max="5" width="17" style="18" customWidth="1"/>
    <col min="6" max="16384" width="9.140625" style="18"/>
  </cols>
  <sheetData>
    <row r="1" spans="1:5" ht="36" customHeight="1">
      <c r="A1" s="273" t="str">
        <f>""&amp;'Общие данные'!B147&amp;"mikromoliya tashkilotining Xulosasi"</f>
        <v>«CLEVER MIKROMOLIYA TASHKILOTI» MChJmikromoliya tashkilotining Xulosasi</v>
      </c>
      <c r="B1" s="273"/>
      <c r="C1" s="273"/>
      <c r="D1" s="273"/>
      <c r="E1" s="273"/>
    </row>
    <row r="2" spans="1:5">
      <c r="A2" s="239"/>
      <c r="B2" s="239"/>
      <c r="C2" s="239"/>
      <c r="D2" s="239"/>
      <c r="E2" s="239"/>
    </row>
    <row r="3" spans="1:5">
      <c r="A3" s="273" t="s">
        <v>215</v>
      </c>
      <c r="B3" s="273"/>
      <c r="C3" s="273"/>
      <c r="D3" s="273"/>
      <c r="E3" s="273"/>
    </row>
    <row r="4" spans="1:5" ht="18.75" customHeight="1">
      <c r="A4" s="239" t="str">
        <f>"Mijozning to'liq ismi sharifi: "&amp;'Общие данные'!B5&amp;""</f>
        <v>Mijozning to'liq ismi sharifi: QOSIMOV BEKZODBEK ORIFJONOVICH</v>
      </c>
      <c r="B4" s="239"/>
      <c r="C4" s="239"/>
      <c r="D4" s="239"/>
      <c r="E4" s="239"/>
    </row>
    <row r="5" spans="1:5">
      <c r="A5" s="239" t="str">
        <f>"Tug'ilgan sanasi: "&amp;'Общие данные'!B15&amp;""</f>
        <v>Tug'ilgan sanasi: 04.12.1981y</v>
      </c>
      <c r="B5" s="239"/>
      <c r="C5" s="239"/>
      <c r="D5" s="239"/>
      <c r="E5" s="239"/>
    </row>
    <row r="6" spans="1:5" ht="36" customHeight="1">
      <c r="A6" s="239" t="str">
        <f>"Pasport seriyasi "&amp;'Общие данные'!B16&amp;" "&amp;'Общие данные'!B20&amp;", amal qilish muddati - "&amp;'Общие данные'!B21&amp;""</f>
        <v>Pasport seriyasi AB7685294 ANDIJON VILOYATI SHAXRIXON TUMANI IIB tomonidan 09.09.2017 yilda berilgan, amal qilish muddati - 08.09.2027 y.</v>
      </c>
      <c r="B6" s="239"/>
      <c r="C6" s="239"/>
      <c r="D6" s="239"/>
      <c r="E6" s="239"/>
    </row>
    <row r="7" spans="1:5" ht="48" customHeight="1">
      <c r="A7" s="239" t="str">
        <f>"Ro‘yxatdan o‘tgan manzili: "&amp;'Общие данные'!B28&amp;", mo'ljal: "&amp;'Общие данные'!B26&amp;""</f>
        <v>Ro‘yxatdan o‘tgan manzili: QORAQALPOGISTON RESPUBLIKASI  NUKUS SHAHARI OZBEKISTON GUZARI 71 4 UY, mo'ljal: ташкен гос ца нын касында домда иш жойи 108 оптом бетте</v>
      </c>
      <c r="B7" s="239"/>
      <c r="C7" s="239"/>
      <c r="D7" s="239"/>
      <c r="E7" s="239"/>
    </row>
    <row r="8" spans="1:5" ht="23.25" customHeight="1">
      <c r="A8" s="239" t="str">
        <f>"Ish joyi: "&amp;'Общие данные'!B52&amp;" lavozimi "&amp;'Общие данные'!B49&amp;"da "&amp;'Общие данные'!B44&amp;""</f>
        <v>Ish joyi:  lavozimi Avtomobillarni mayda ta'mirlash da O'Z O'ZINI BAND QILGAN FUQARO</v>
      </c>
      <c r="B8" s="239"/>
      <c r="C8" s="239"/>
      <c r="D8" s="239"/>
      <c r="E8" s="239"/>
    </row>
    <row r="9" spans="1:5">
      <c r="A9" s="239"/>
      <c r="B9" s="239"/>
      <c r="C9" s="239"/>
      <c r="D9" s="239"/>
      <c r="E9" s="239"/>
    </row>
    <row r="10" spans="1:5">
      <c r="A10" s="273" t="str">
        <f>"Mijoz tomonidan so’ralgan "&amp;'Общие данные'!B65&amp;" shartlari:"</f>
        <v>Mijoz tomonidan so’ralgan mikrokredit shartlari:</v>
      </c>
      <c r="B10" s="273"/>
      <c r="C10" s="273"/>
      <c r="D10" s="273"/>
      <c r="E10" s="273"/>
    </row>
    <row r="11" spans="1:5">
      <c r="A11" s="239" t="str">
        <f>'Кредитная заявка'!A13:D13</f>
        <v>Mikrokredit summasi: 180 000 000,00 (yuz sakson million so'm) so'm.</v>
      </c>
      <c r="B11" s="239"/>
      <c r="C11" s="239"/>
      <c r="D11" s="239"/>
      <c r="E11" s="239"/>
    </row>
    <row r="12" spans="1:5">
      <c r="A12" s="239" t="str">
        <f>'Кредитная заявка'!A14:D14</f>
        <v>Mikrokredit muddati: 12 (o'n ikki) oy.</v>
      </c>
      <c r="B12" s="239"/>
      <c r="C12" s="239"/>
      <c r="D12" s="239"/>
      <c r="E12" s="239"/>
    </row>
    <row r="13" spans="1:5">
      <c r="A13" s="239" t="str">
        <f>'Кредитная заявка'!A15:D15</f>
        <v>Mikrokreditdan foydalanganlik uchun foiz stavkasi: yillik  60% (Oltmish) foiz</v>
      </c>
      <c r="B13" s="239"/>
      <c r="C13" s="239"/>
      <c r="D13" s="239"/>
      <c r="E13" s="239"/>
    </row>
    <row r="14" spans="1:5">
      <c r="A14" s="239" t="str">
        <f>'Кредитная заявка'!A16:D16</f>
        <v>Mikrokredit bo'yicha asosiy qarz va foizlarni to'lash:</v>
      </c>
      <c r="B14" s="239"/>
      <c r="C14" s="239"/>
      <c r="D14" s="239"/>
      <c r="E14" s="239"/>
    </row>
    <row r="15" spans="1:5" ht="18.75" customHeight="1">
      <c r="A15" s="239" t="str">
        <f>'Кредитная заявка'!A19:D19</f>
        <v xml:space="preserve"> - mikrokredit shartnomasi bo'yicha har oy annuitet to'lovlari amalga oshiriladi</v>
      </c>
      <c r="B15" s="239"/>
      <c r="C15" s="239"/>
      <c r="D15" s="239"/>
      <c r="E15" s="239"/>
    </row>
    <row r="16" spans="1:5" ht="14.25" customHeight="1">
      <c r="A16" s="240" t="str">
        <f>'Кредитная заявка'!A20:D20</f>
        <v xml:space="preserve">   </v>
      </c>
      <c r="B16" s="240"/>
      <c r="C16" s="240"/>
      <c r="D16" s="240"/>
      <c r="E16" s="240"/>
    </row>
    <row r="17" spans="1:5">
      <c r="A17" s="239" t="str">
        <f>'Кредитная заявка'!A21:D21</f>
        <v>Mikrokredit ta’minoti::</v>
      </c>
      <c r="B17" s="239"/>
      <c r="C17" s="239"/>
      <c r="D17" s="239"/>
      <c r="E17" s="239"/>
    </row>
    <row r="18" spans="1:5" ht="67.5" customHeight="1">
      <c r="A18" s="239" t="str">
        <f>'Кредитная заявка'!A22:D22</f>
        <v xml:space="preserve">  Egalik huquqi QOSIMOV BEKZODBEK ORIFJONOVICHga tegishli bo'lgan garovga olingan avtomobil markasi   MALIBU 2, rangi -  QORA CHYORNIY, ishlab chiqarilgan yili - 2022, davlat raqam belgisi 60Q081BB, Kuzov turi YENGIL SEDAN, Kuzov raqami XWBJF69VELA059410, dvigatel raqami 211470021, shassi raqami - RAKAMSIZ</v>
      </c>
      <c r="B18" s="239"/>
      <c r="C18" s="239"/>
      <c r="D18" s="239"/>
      <c r="E18" s="239"/>
    </row>
    <row r="19" spans="1:5">
      <c r="A19" s="273" t="s">
        <v>216</v>
      </c>
      <c r="B19" s="273"/>
      <c r="C19" s="273"/>
      <c r="D19" s="273"/>
      <c r="E19" s="273"/>
    </row>
    <row r="20" spans="1:5" ht="33" customHeight="1">
      <c r="A20" s="239" t="str">
        <f>"Anketaga muvofiq "&amp;'Общие данные'!B9&amp;"ning o‘rtacha oylik daromadi  "&amp;FIXED('Общие данные'!B60)&amp;" so‘mni tashkil etdi."</f>
        <v>Anketaga muvofiq QOSIMOV  B.O.ning o‘rtacha oylik daromadi  47 000 000,00 so‘mni tashkil etdi.</v>
      </c>
      <c r="B20" s="239"/>
      <c r="C20" s="239"/>
      <c r="D20" s="239"/>
      <c r="E20" s="239"/>
    </row>
    <row r="21" spans="1:5" ht="21" customHeight="1">
      <c r="A21" s="239" t="str">
        <f>"Mijozning o'rtacha oylik xarajatlari "&amp;FIXED('Анкета Клиента'!F27)&amp;" so'mni tashkil etdi"</f>
        <v>Mijozning o'rtacha oylik xarajatlari 1 700 000,00 so'mni tashkil etdi</v>
      </c>
      <c r="B21" s="239"/>
      <c r="C21" s="239"/>
      <c r="D21" s="239"/>
      <c r="E21" s="239"/>
    </row>
    <row r="22" spans="1:5" ht="18.75" customHeight="1">
      <c r="A22" s="239" t="str">
        <f>IF('Общие данные'!B77='Общие данные'!C77,'Заключение КК'!A23:E23,'Заключение КК'!A24:E24)</f>
        <v>Mikrokredit bo‘yicha oylik annuitet to‘lovi miqdori 20 309 000,00 so‘mni tashkil etadi.</v>
      </c>
      <c r="B22" s="239"/>
      <c r="C22" s="239"/>
      <c r="D22" s="239"/>
      <c r="E22" s="239"/>
    </row>
    <row r="23" spans="1:5" ht="26.25" hidden="1" customHeight="1">
      <c r="A23" s="239" t="str">
        <f>""&amp;'Общие данные'!C64&amp;" shartnomasi bo'yicha birinchi oy uchun to'lov "&amp;FIXED('Общие данные'!B90)&amp;" so'mni tashkil etadi."</f>
        <v>Mikrokredit shartnomasi bo'yicha birinchi oy uchun to'lov 20 309 000,00 so'mni tashkil etadi.</v>
      </c>
      <c r="B23" s="239"/>
      <c r="C23" s="239"/>
      <c r="D23" s="239"/>
      <c r="E23" s="239"/>
    </row>
    <row r="24" spans="1:5" ht="26.25" hidden="1" customHeight="1">
      <c r="A24" s="239" t="str">
        <f>""&amp;'Общие данные'!C64&amp;" bo‘yicha oylik "&amp;'Общие данные'!B77&amp;" to‘lovi miqdori "&amp;FIXED('Общие данные'!B90)&amp;" so‘mni tashkil etadi."</f>
        <v>Mikrokredit bo‘yicha oylik annuitet to‘lovi miqdori 20 309 000,00 so‘mni tashkil etadi.</v>
      </c>
      <c r="B24" s="239"/>
      <c r="C24" s="239"/>
      <c r="D24" s="239"/>
      <c r="E24" s="239"/>
    </row>
    <row r="25" spans="1:5" ht="67.5" hidden="1" customHeight="1">
      <c r="A25" s="240" t="s">
        <v>421</v>
      </c>
      <c r="B25" s="240"/>
      <c r="C25" s="240"/>
      <c r="D25" s="240"/>
      <c r="E25" s="240"/>
    </row>
    <row r="26" spans="1:5" ht="19.5" customHeight="1">
      <c r="A26" s="273" t="str">
        <f>""&amp;'Общие данные'!C64&amp;" bo’yicha ta’minot:"</f>
        <v>Mikrokredit bo’yicha ta’minot:</v>
      </c>
      <c r="B26" s="273"/>
      <c r="C26" s="273"/>
      <c r="D26" s="273"/>
      <c r="E26" s="273"/>
    </row>
    <row r="27" spans="1:5" ht="31.5" hidden="1" customHeight="1">
      <c r="A27" s="239" t="str">
        <f>" - "&amp;'Общие данные'!B117&amp;" ga mulk huquqi asosida tegishli avtotransport vositasi "&amp;'Общие данные'!B125&amp;" , quyidagi tafsilotlarga muvofiq:"</f>
        <v xml:space="preserve"> - QOSIMOV BEKZODBEK ORIFJONOVICH ga mulk huquqi asosida tegishli avtotransport vositasi MALIBU 2 , quyidagi tafsilotlarga muvofiq:</v>
      </c>
      <c r="B27" s="239"/>
      <c r="C27" s="239"/>
      <c r="D27" s="239"/>
      <c r="E27" s="239"/>
    </row>
    <row r="28" spans="1:5" ht="67.5" hidden="1" customHeight="1">
      <c r="A28" s="239" t="str">
        <f>" -   "&amp;'Общие данные'!C117&amp;" ga mulk huquqi asosida tegishli ko'chmas mulk shaklida "&amp;'Общие данные'!C126&amp;", manzili: "&amp;'Общие данные'!C123&amp;", quyidagi tafsilotlarga muvofiq:"</f>
        <v xml:space="preserve"> -   SHOUSMANOVA DAVLATXON XXX ga mulk huquqi asosida tegishli ko'chmas mulk shaklida 3 - xonali yakka tartibdagi uy-joy, manzili: SAMARQAND VILOYATI TAYLOQ TUMANI CHAROG'BON MFY YANGI TAYLOQ QISHLOG'I 6 TURAR JOY 12 QAVAT 58 XONADON, quyidagi tafsilotlarga muvofiq:</v>
      </c>
      <c r="B28" s="239"/>
      <c r="C28" s="239"/>
      <c r="D28" s="239"/>
      <c r="E28" s="239"/>
    </row>
    <row r="29" spans="1:5" ht="35.25" customHeight="1">
      <c r="A29" s="239" t="str">
        <f>IF('Общие данные'!B103="Avtotransport",'Заключение КК'!A27:E27,'Заключение КК'!A28:E28)</f>
        <v xml:space="preserve"> - QOSIMOV BEKZODBEK ORIFJONOVICH ga mulk huquqi asosida tegishli avtotransport vositasi MALIBU 2 , quyidagi tafsilotlarga muvofiq:</v>
      </c>
      <c r="B29" s="239"/>
      <c r="C29" s="239"/>
      <c r="D29" s="239"/>
      <c r="E29" s="239"/>
    </row>
    <row r="30" spans="1:5" s="19" customFormat="1" ht="47.25" customHeight="1" outlineLevel="1">
      <c r="A30" s="42" t="s">
        <v>217</v>
      </c>
      <c r="B30" s="42" t="s">
        <v>218</v>
      </c>
      <c r="C30" s="42" t="s">
        <v>219</v>
      </c>
      <c r="D30" s="42" t="s">
        <v>220</v>
      </c>
      <c r="E30" s="42" t="s">
        <v>221</v>
      </c>
    </row>
    <row r="31" spans="1:5" s="23" customFormat="1" ht="92.25" customHeight="1" outlineLevel="1">
      <c r="A31" s="20" t="str">
        <f>'Общие данные'!B125</f>
        <v>MALIBU 2</v>
      </c>
      <c r="B31" s="20" t="str">
        <f>'Общие данные'!B127</f>
        <v>Kuzov turi YENGIL SEDAN, Kuzov raqami XWBJF69VELA059410</v>
      </c>
      <c r="C31" s="20" t="str">
        <f>'Общие данные'!B130</f>
        <v>dvigatel raqami 211470021, shassi raqami - RAKAMSIZ</v>
      </c>
      <c r="D31" s="20" t="str">
        <f>'Общие данные'!B133</f>
        <v>rangi -  QORA CHYORNIY, ishlab chiqarilgan yili - 2022</v>
      </c>
      <c r="E31" s="20" t="str">
        <f>""&amp;FIXED('Общие данные'!B136)&amp;" ("&amp;'Общие данные'!B137&amp;")"</f>
        <v>270 000 000,00 (ikki yuz yetmish million so'm)</v>
      </c>
    </row>
    <row r="32" spans="1:5" outlineLevel="1">
      <c r="A32" s="239" t="str">
        <f>"-* avtotransport vositasining mulkdori: "&amp;'Общие данные'!B117&amp;""</f>
        <v>-* avtotransport vositasining mulkdori: QOSIMOV BEKZODBEK ORIFJONOVICH</v>
      </c>
      <c r="B32" s="239"/>
      <c r="C32" s="239"/>
      <c r="D32" s="239"/>
      <c r="E32" s="239"/>
    </row>
    <row r="33" spans="1:5" outlineLevel="1">
      <c r="A33" s="239" t="str">
        <f>"-* texpasport raqami:: "&amp;'Общие данные'!B124&amp;""</f>
        <v>-* texpasport raqami:: AAG 2398913  20.09.2023 y.</v>
      </c>
      <c r="B33" s="239"/>
      <c r="C33" s="239"/>
      <c r="D33" s="239"/>
      <c r="E33" s="239"/>
    </row>
    <row r="34" spans="1:5" ht="33" customHeight="1" outlineLevel="1">
      <c r="A34" s="239" t="str">
        <f>"-* roʻyxatdan oʻtgan manzili/garaj manzili: "&amp;'Общие данные'!B122&amp;""</f>
        <v>-* roʻyxatdan oʻtgan manzili/garaj manzili: ANDIJON VILOYATI SHAXRIXON TUMANI BARKAMOL AVLOD MFY</v>
      </c>
      <c r="B34" s="239"/>
      <c r="C34" s="239"/>
      <c r="D34" s="239"/>
      <c r="E34" s="239"/>
    </row>
    <row r="35" spans="1:5" outlineLevel="1">
      <c r="A35" s="239" t="str">
        <f>"-* davlat raqami: "&amp;'Общие данные'!B126&amp;""</f>
        <v>-* davlat raqami: 60Q081BB</v>
      </c>
      <c r="B35" s="239"/>
      <c r="C35" s="239"/>
      <c r="D35" s="239"/>
      <c r="E35" s="239"/>
    </row>
    <row r="36" spans="1:5" ht="9.75" customHeight="1">
      <c r="A36" s="22"/>
      <c r="B36" s="22"/>
      <c r="C36" s="22"/>
      <c r="D36" s="22"/>
      <c r="E36" s="22"/>
    </row>
    <row r="37" spans="1:5" ht="57" hidden="1" outlineLevel="1">
      <c r="A37" s="42" t="s">
        <v>217</v>
      </c>
      <c r="B37" s="42" t="s">
        <v>285</v>
      </c>
      <c r="C37" s="42" t="s">
        <v>286</v>
      </c>
      <c r="D37" s="42" t="s">
        <v>287</v>
      </c>
      <c r="E37" s="42" t="s">
        <v>221</v>
      </c>
    </row>
    <row r="38" spans="1:5" ht="21.75" hidden="1" customHeight="1" outlineLevel="1">
      <c r="A38" s="56" t="str">
        <f>'Акт согласования'!A51</f>
        <v>Yashash xona</v>
      </c>
      <c r="B38" s="60">
        <f>'Акт согласования'!B51</f>
        <v>0</v>
      </c>
      <c r="C38" s="60">
        <f>'Акт согласования'!C51</f>
        <v>37.39</v>
      </c>
      <c r="D38" s="60">
        <f>'Акт согласования'!D51</f>
        <v>37.39</v>
      </c>
      <c r="E38" s="268" t="str">
        <f>""&amp;FIXED('Общие данные'!C136,2)&amp;" ("&amp;'Общие данные'!C137&amp;")"</f>
        <v>270 000 000,00 (ikki yuz yetmish million so'm)</v>
      </c>
    </row>
    <row r="39" spans="1:5" ht="21.75" hidden="1" customHeight="1" outlineLevel="1">
      <c r="A39" s="56">
        <f>'Акт согласования'!A52</f>
        <v>0</v>
      </c>
      <c r="B39" s="60">
        <f>'Акт согласования'!B52</f>
        <v>0</v>
      </c>
      <c r="C39" s="60">
        <f>'Акт согласования'!C52</f>
        <v>0</v>
      </c>
      <c r="D39" s="60">
        <f>'Акт согласования'!D52</f>
        <v>0</v>
      </c>
      <c r="E39" s="268"/>
    </row>
    <row r="40" spans="1:5" ht="21.75" hidden="1" customHeight="1" outlineLevel="1">
      <c r="A40" s="56" t="str">
        <f>'Акт согласования'!A53</f>
        <v>Noturar joy</v>
      </c>
      <c r="B40" s="60">
        <f>'Акт согласования'!B53</f>
        <v>34.74</v>
      </c>
      <c r="C40" s="60">
        <f>'Акт согласования'!C53</f>
        <v>0</v>
      </c>
      <c r="D40" s="60">
        <f>'Акт согласования'!D53</f>
        <v>34.74</v>
      </c>
      <c r="E40" s="268"/>
    </row>
    <row r="41" spans="1:5" ht="21.75" hidden="1" customHeight="1" outlineLevel="1">
      <c r="A41" s="56">
        <f>'Акт согласования'!A54</f>
        <v>0</v>
      </c>
      <c r="B41" s="60">
        <f>'Акт согласования'!B54</f>
        <v>0</v>
      </c>
      <c r="C41" s="60">
        <f>'Акт согласования'!C54</f>
        <v>0</v>
      </c>
      <c r="D41" s="60">
        <f>'Акт согласования'!D54</f>
        <v>0</v>
      </c>
      <c r="E41" s="268"/>
    </row>
    <row r="42" spans="1:5" ht="21.75" hidden="1" customHeight="1" outlineLevel="1">
      <c r="A42" s="56">
        <f>'Акт согласования'!A55</f>
        <v>0</v>
      </c>
      <c r="B42" s="60">
        <f>'Акт согласования'!B55</f>
        <v>0</v>
      </c>
      <c r="C42" s="60">
        <f>'Акт согласования'!C55</f>
        <v>0</v>
      </c>
      <c r="D42" s="60">
        <f>'Акт согласования'!D55</f>
        <v>0</v>
      </c>
      <c r="E42" s="268"/>
    </row>
    <row r="43" spans="1:5" ht="21.75" hidden="1" customHeight="1" outlineLevel="1">
      <c r="A43" s="56">
        <f>'Акт согласования'!A56</f>
        <v>0</v>
      </c>
      <c r="B43" s="60">
        <f>'Акт согласования'!B56</f>
        <v>0</v>
      </c>
      <c r="C43" s="60">
        <f>'Акт согласования'!C56</f>
        <v>0</v>
      </c>
      <c r="D43" s="60">
        <f>'Акт согласования'!D56</f>
        <v>0</v>
      </c>
      <c r="E43" s="268"/>
    </row>
    <row r="44" spans="1:5" ht="21.75" hidden="1" customHeight="1" outlineLevel="1">
      <c r="A44" s="56">
        <f>'Акт согласования'!A57</f>
        <v>0</v>
      </c>
      <c r="B44" s="60">
        <f>'Акт согласования'!B57</f>
        <v>0</v>
      </c>
      <c r="C44" s="60">
        <f>'Акт согласования'!C57</f>
        <v>0</v>
      </c>
      <c r="D44" s="60">
        <f>'Акт согласования'!D57</f>
        <v>0</v>
      </c>
      <c r="E44" s="268"/>
    </row>
    <row r="45" spans="1:5" ht="21.75" hidden="1" customHeight="1" outlineLevel="1">
      <c r="A45" s="56">
        <f>'Акт согласования'!A58</f>
        <v>0</v>
      </c>
      <c r="B45" s="60">
        <f>'Акт согласования'!B58</f>
        <v>0</v>
      </c>
      <c r="C45" s="60">
        <f>'Акт согласования'!C58</f>
        <v>0</v>
      </c>
      <c r="D45" s="60">
        <f>'Акт согласования'!D58</f>
        <v>0</v>
      </c>
      <c r="E45" s="268"/>
    </row>
    <row r="46" spans="1:5" ht="21.75" hidden="1" customHeight="1" outlineLevel="1">
      <c r="A46" s="56">
        <f>'Акт согласования'!A59</f>
        <v>0</v>
      </c>
      <c r="B46" s="60">
        <f>'Акт согласования'!B59</f>
        <v>0</v>
      </c>
      <c r="C46" s="60">
        <f>'Акт согласования'!C59</f>
        <v>0</v>
      </c>
      <c r="D46" s="60">
        <f>'Акт согласования'!D59</f>
        <v>0</v>
      </c>
      <c r="E46" s="268"/>
    </row>
    <row r="47" spans="1:5" ht="21.75" hidden="1" customHeight="1" outlineLevel="1">
      <c r="A47" s="56">
        <f>'Акт согласования'!A60</f>
        <v>0</v>
      </c>
      <c r="B47" s="60">
        <f>'Акт согласования'!B60</f>
        <v>0</v>
      </c>
      <c r="C47" s="60">
        <f>'Акт согласования'!C60</f>
        <v>0</v>
      </c>
      <c r="D47" s="60">
        <f>'Акт согласования'!D60</f>
        <v>0</v>
      </c>
      <c r="E47" s="268"/>
    </row>
    <row r="48" spans="1:5" hidden="1" outlineLevel="1">
      <c r="A48" s="56">
        <f>'Акт согласования'!A61</f>
        <v>0</v>
      </c>
      <c r="B48" s="60">
        <f>'Акт согласования'!B61</f>
        <v>0</v>
      </c>
      <c r="C48" s="60">
        <f>'Акт согласования'!C61</f>
        <v>0</v>
      </c>
      <c r="D48" s="60">
        <f>'Акт согласования'!D61</f>
        <v>0</v>
      </c>
      <c r="E48" s="268"/>
    </row>
    <row r="49" spans="1:5" s="40" customFormat="1" ht="14.25" hidden="1" outlineLevel="1">
      <c r="A49" s="57" t="str">
        <f>'Акт согласования'!A62</f>
        <v>JAMI</v>
      </c>
      <c r="B49" s="61">
        <f>'Акт согласования'!B62</f>
        <v>34.74</v>
      </c>
      <c r="C49" s="61">
        <f>'Акт согласования'!C62</f>
        <v>37.39</v>
      </c>
      <c r="D49" s="61">
        <f>'Акт согласования'!D62</f>
        <v>72.13</v>
      </c>
      <c r="E49" s="62" t="str">
        <f>'Акт согласования'!E62</f>
        <v>270 000 000,00</v>
      </c>
    </row>
    <row r="50" spans="1:5" s="40" customFormat="1" hidden="1" outlineLevel="1">
      <c r="A50" s="239" t="str">
        <f>"-* ko'chmas mulk egasi: "&amp;'Общие данные'!C117&amp;""</f>
        <v>-* ko'chmas mulk egasi: SHOUSMANOVA DAVLATXON XXX</v>
      </c>
      <c r="B50" s="239"/>
      <c r="C50" s="239"/>
      <c r="D50" s="239"/>
      <c r="E50" s="239"/>
    </row>
    <row r="51" spans="1:5" s="40" customFormat="1" hidden="1" outlineLevel="1">
      <c r="A51" s="239" t="str">
        <f>"-* reestr raqami: "&amp;'Общие данные'!C124&amp;""</f>
        <v>-* reestr raqami: 1718238/R-A1419303</v>
      </c>
      <c r="B51" s="239"/>
      <c r="C51" s="239"/>
      <c r="D51" s="239"/>
      <c r="E51" s="239"/>
    </row>
    <row r="52" spans="1:5" s="40" customFormat="1" hidden="1" outlineLevel="1">
      <c r="A52" s="239" t="str">
        <f>"-* kadastr raqami: "&amp;'Общие данные'!C127&amp;""</f>
        <v>-* kadastr raqami: №14:13:02:01:03:1179:0006:058 от 16.12.2020 г.</v>
      </c>
      <c r="B52" s="239"/>
      <c r="C52" s="239"/>
      <c r="D52" s="239"/>
      <c r="E52" s="239"/>
    </row>
    <row r="53" spans="1:5" s="40" customFormat="1" hidden="1" outlineLevel="1">
      <c r="A53" s="239" t="str">
        <f>"-* manzili: "&amp;'Общие данные'!C123&amp;""</f>
        <v>-* manzili: SAMARQAND VILOYATI TAYLOQ TUMANI CHAROG'BON MFY YANGI TAYLOQ QISHLOG'I 6 TURAR JOY 12 QAVAT 58 XONADON</v>
      </c>
      <c r="B53" s="239"/>
      <c r="C53" s="239"/>
      <c r="D53" s="239"/>
      <c r="E53" s="239"/>
    </row>
    <row r="54" spans="1:5" ht="9" customHeight="1" collapsed="1">
      <c r="A54" s="239"/>
      <c r="B54" s="239"/>
      <c r="C54" s="239"/>
      <c r="D54" s="239"/>
      <c r="E54" s="239"/>
    </row>
    <row r="55" spans="1:5" ht="39" customHeight="1">
      <c r="A55" s="273" t="str">
        <f>""&amp;'Общие данные'!B147&amp;"mikromoliya tashkilotining Xulosasi"</f>
        <v>«CLEVER MIKROMOLIYA TASHKILOTI» MChJmikromoliya tashkilotining Xulosasi</v>
      </c>
      <c r="B55" s="273"/>
      <c r="C55" s="273"/>
      <c r="D55" s="273"/>
      <c r="E55" s="273"/>
    </row>
    <row r="56" spans="1:5" ht="48" customHeight="1">
      <c r="A56" s="239" t="str">
        <f>""&amp;'Общие данные'!B147&amp;" kredit qo‘mitasining xulosasiga quyidagi shartlarda "&amp;'Общие данные'!B10&amp;"ga "&amp;'Общие данные'!B65&amp;" berish masalasi kiritiladi:"</f>
        <v>«CLEVER MIKROMOLIYA TASHKILOTI» MChJ kredit qo‘mitasining xulosasiga quyidagi shartlarda QOSIMOV BEKZODBEK ORIFJONOVICHga mikrokredit berish masalasi kiritiladi:</v>
      </c>
      <c r="B56" s="239"/>
      <c r="C56" s="239"/>
      <c r="D56" s="239"/>
      <c r="E56" s="239"/>
    </row>
    <row r="57" spans="1:5">
      <c r="A57" s="239" t="str">
        <f>A11</f>
        <v>Mikrokredit summasi: 180 000 000,00 (yuz sakson million so'm) so'm.</v>
      </c>
      <c r="B57" s="239"/>
      <c r="C57" s="239"/>
      <c r="D57" s="239"/>
      <c r="E57" s="239"/>
    </row>
    <row r="58" spans="1:5">
      <c r="A58" s="239" t="str">
        <f t="shared" ref="A58:A64" si="0">A12</f>
        <v>Mikrokredit muddati: 12 (o'n ikki) oy.</v>
      </c>
      <c r="B58" s="239"/>
      <c r="C58" s="239"/>
      <c r="D58" s="239"/>
      <c r="E58" s="239"/>
    </row>
    <row r="59" spans="1:5">
      <c r="A59" s="239" t="str">
        <f t="shared" si="0"/>
        <v>Mikrokreditdan foydalanganlik uchun foiz stavkasi: yillik  60% (Oltmish) foiz</v>
      </c>
      <c r="B59" s="239"/>
      <c r="C59" s="239"/>
      <c r="D59" s="239"/>
      <c r="E59" s="239"/>
    </row>
    <row r="60" spans="1:5">
      <c r="A60" s="239" t="str">
        <f t="shared" si="0"/>
        <v>Mikrokredit bo'yicha asosiy qarz va foizlarni to'lash:</v>
      </c>
      <c r="B60" s="239"/>
      <c r="C60" s="239"/>
      <c r="D60" s="239"/>
      <c r="E60" s="239"/>
    </row>
    <row r="61" spans="1:5" ht="20.25" customHeight="1">
      <c r="A61" s="239" t="str">
        <f t="shared" si="0"/>
        <v xml:space="preserve"> - mikrokredit shartnomasi bo'yicha har oy annuitet to'lovlari amalga oshiriladi</v>
      </c>
      <c r="B61" s="239"/>
      <c r="C61" s="239"/>
      <c r="D61" s="239"/>
      <c r="E61" s="239"/>
    </row>
    <row r="62" spans="1:5" ht="26.25" customHeight="1">
      <c r="A62" s="239" t="str">
        <f t="shared" si="0"/>
        <v xml:space="preserve">   </v>
      </c>
      <c r="B62" s="239"/>
      <c r="C62" s="239"/>
      <c r="D62" s="239"/>
      <c r="E62" s="239"/>
    </row>
    <row r="63" spans="1:5">
      <c r="A63" s="239" t="str">
        <f t="shared" si="0"/>
        <v>Mikrokredit ta’minoti::</v>
      </c>
      <c r="B63" s="239"/>
      <c r="C63" s="239"/>
      <c r="D63" s="239"/>
      <c r="E63" s="239"/>
    </row>
    <row r="64" spans="1:5" ht="72" customHeight="1">
      <c r="A64" s="239" t="str">
        <f t="shared" si="0"/>
        <v xml:space="preserve">  Egalik huquqi QOSIMOV BEKZODBEK ORIFJONOVICHga tegishli bo'lgan garovga olingan avtomobil markasi   MALIBU 2, rangi -  QORA CHYORNIY, ishlab chiqarilgan yili - 2022, davlat raqam belgisi 60Q081BB, Kuzov turi YENGIL SEDAN, Kuzov raqami XWBJF69VELA059410, dvigatel raqami 211470021, shassi raqami - RAKAMSIZ</v>
      </c>
      <c r="B64" s="239"/>
      <c r="C64" s="239"/>
      <c r="D64" s="239"/>
      <c r="E64" s="239"/>
    </row>
    <row r="65" spans="1:5">
      <c r="A65" s="239"/>
      <c r="B65" s="239"/>
      <c r="C65" s="239"/>
      <c r="D65" s="239"/>
      <c r="E65" s="239"/>
    </row>
    <row r="66" spans="1:5" ht="36.75" customHeight="1">
      <c r="A66" s="239" t="str">
        <f>""&amp;'Общие данные'!B147&amp;" mikromoliya tashkilotining xulosasi  "&amp;TEXT('Общие данные'!B2,"ДД.ММ.ГГГГ")&amp;" y. tayyorlangan"</f>
        <v>«CLEVER MIKROMOLIYA TASHKILOTI» MChJ mikromoliya tashkilotining xulosasi  04.02.2025 y. tayyorlangan</v>
      </c>
      <c r="B66" s="239"/>
      <c r="C66" s="239"/>
      <c r="D66" s="239"/>
      <c r="E66" s="239"/>
    </row>
    <row r="67" spans="1:5">
      <c r="A67" s="239"/>
      <c r="B67" s="239"/>
      <c r="C67" s="239"/>
      <c r="D67" s="239"/>
      <c r="E67" s="239"/>
    </row>
    <row r="68" spans="1:5" ht="15.75" customHeight="1">
      <c r="A68" s="240"/>
      <c r="B68" s="240"/>
      <c r="C68" s="240"/>
      <c r="D68" s="25"/>
      <c r="E68" s="26"/>
    </row>
    <row r="69" spans="1:5" ht="35.25" customHeight="1">
      <c r="A69" s="240" t="str">
        <f>'Общие данные'!A161</f>
        <v>Nukus filiali boshligi</v>
      </c>
      <c r="B69" s="240"/>
      <c r="C69" s="240"/>
      <c r="D69" s="26"/>
      <c r="E69" s="26" t="str">
        <f>'Общие данные'!B161</f>
        <v>XOJANIYAZOV B. Z.</v>
      </c>
    </row>
    <row r="70" spans="1:5">
      <c r="A70" s="239"/>
      <c r="B70" s="239"/>
      <c r="C70" s="239"/>
      <c r="D70" s="239"/>
      <c r="E70" s="239"/>
    </row>
    <row r="71" spans="1:5" ht="47.25" customHeight="1">
      <c r="A71" s="239"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71" s="239"/>
      <c r="C71" s="239"/>
      <c r="D71" s="239"/>
      <c r="E71" s="239"/>
    </row>
    <row r="72" spans="1:5">
      <c r="A72" s="22"/>
      <c r="B72" s="22"/>
      <c r="C72" s="22"/>
      <c r="D72" s="22"/>
      <c r="E72" s="22"/>
    </row>
    <row r="73" spans="1:5" ht="21" customHeight="1">
      <c r="A73" s="307" t="s">
        <v>419</v>
      </c>
      <c r="B73" s="307"/>
      <c r="C73" s="22"/>
      <c r="D73" s="22"/>
      <c r="E73" s="22"/>
    </row>
    <row r="74" spans="1:5">
      <c r="A74" s="22"/>
      <c r="B74" s="22"/>
      <c r="C74" s="22"/>
      <c r="D74" s="22"/>
      <c r="E74" s="22"/>
    </row>
    <row r="75" spans="1:5">
      <c r="A75" s="240" t="str">
        <f>'Общие данные'!B160</f>
        <v xml:space="preserve"> Jumanazarov B.T</v>
      </c>
      <c r="B75" s="240"/>
      <c r="C75" s="25"/>
      <c r="D75" s="25"/>
      <c r="E75" s="25"/>
    </row>
    <row r="76" spans="1:5">
      <c r="A76" s="65"/>
      <c r="B76" s="65"/>
      <c r="C76" s="25"/>
      <c r="D76" s="25"/>
      <c r="E76" s="25"/>
    </row>
    <row r="77" spans="1:5" ht="21" customHeight="1">
      <c r="A77" s="239" t="str">
        <f>'Общие данные'!B159</f>
        <v>Mominov B.X.</v>
      </c>
      <c r="B77" s="239"/>
      <c r="C77" s="239"/>
      <c r="D77" s="239"/>
      <c r="E77" s="239"/>
    </row>
  </sheetData>
  <mergeCells count="5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70:E70"/>
    <mergeCell ref="A33:E33"/>
    <mergeCell ref="A34:E34"/>
    <mergeCell ref="A35:E35"/>
    <mergeCell ref="A54:E54"/>
    <mergeCell ref="A55:E55"/>
    <mergeCell ref="E38:E48"/>
    <mergeCell ref="A50:E50"/>
    <mergeCell ref="A51:E51"/>
    <mergeCell ref="A52:E52"/>
    <mergeCell ref="A53:E53"/>
    <mergeCell ref="A68:C68"/>
    <mergeCell ref="A69:C69"/>
    <mergeCell ref="A71:E71"/>
    <mergeCell ref="A77:E77"/>
    <mergeCell ref="A56:E56"/>
    <mergeCell ref="A57:E57"/>
    <mergeCell ref="A58:E58"/>
    <mergeCell ref="A59:E59"/>
    <mergeCell ref="A60:E60"/>
    <mergeCell ref="A61:E61"/>
    <mergeCell ref="A62:E62"/>
    <mergeCell ref="A63:E63"/>
    <mergeCell ref="A64:E64"/>
    <mergeCell ref="A65:E65"/>
    <mergeCell ref="A73:B73"/>
    <mergeCell ref="A75:B75"/>
    <mergeCell ref="A66:E66"/>
    <mergeCell ref="A67:E67"/>
  </mergeCells>
  <conditionalFormatting sqref="A38:D49">
    <cfRule type="cellIs" dxfId="2" priority="1" operator="lessThan">
      <formula>0.1</formula>
    </cfRule>
    <cfRule type="cellIs" priority="2" operator="lessThan">
      <formula>0.1</formula>
    </cfRule>
  </conditionalFormatting>
  <pageMargins left="0.7" right="0.7" top="0.75" bottom="0.75" header="0.3" footer="0.3"/>
  <pageSetup paperSize="9" scale="8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106" zoomScale="55" zoomScaleNormal="55" zoomScaleSheetLayoutView="55" workbookViewId="0">
      <selection sqref="A1:B128"/>
    </sheetView>
  </sheetViews>
  <sheetFormatPr defaultColWidth="9.140625" defaultRowHeight="15.75"/>
  <cols>
    <col min="1" max="1" width="50.42578125" style="9" customWidth="1"/>
    <col min="2" max="2" width="57.42578125" style="9" customWidth="1"/>
    <col min="3" max="3" width="93.28515625" style="9" hidden="1" customWidth="1"/>
    <col min="4" max="7" width="9.140625" style="9" hidden="1" customWidth="1"/>
    <col min="8" max="8" width="111.5703125" style="9" hidden="1" customWidth="1"/>
    <col min="9" max="16" width="9.140625" style="9" customWidth="1"/>
    <col min="17" max="16384" width="9.140625" style="9"/>
  </cols>
  <sheetData>
    <row r="1" spans="1:3">
      <c r="A1" s="319" t="str">
        <f>""&amp;'Общие данные'!C64&amp;" shartnoma "&amp;'Общие данные'!B66&amp;""</f>
        <v>Mikrokredit shartnoma №269-NS</v>
      </c>
      <c r="B1" s="319"/>
    </row>
    <row r="3" spans="1:3">
      <c r="A3" s="319" t="str">
        <f>"Toshkent shahri                                                                               "&amp;'Общие данные'!B70&amp;""</f>
        <v>Toshkent shahri                                                                               4 fevral 2025 y.</v>
      </c>
      <c r="B3" s="319"/>
    </row>
    <row r="4" spans="1:3">
      <c r="A4" s="81"/>
    </row>
    <row r="5" spans="1:3" ht="144.75" customHeight="1">
      <c r="A5" s="309"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Nukus filiali boshligi XOJANIYAZOV B. Z.  bir tomondan va o‘z manfaati yo‘lida hamda o‘z nomidan harakat qiluvchi O‘zbekiston Respublikasi fuqarosi QOSIMOV BEKZODBEK ORIFJONOVICH  (pasport raqami AB7685294, ANDIJON VILOYATI SHAXRIXON TUMANI IIB tomonidan 09.09.2017 yilda berilgan ), bundan buyon «Qarz oluvchi» deb nomlanuvchi, boshqa tomondan, birgalikda “Tomonlar” yoki alohida “Tomon” deb nomlanuvchilar, Qarz oluvchi tomonidan 04.02.2025 yil,mikrokredit olish uchun ariza berilganligini hisobga olib, ushbu Mikrokredit shartnomasini (bundan keyin – «Shartnoma») quyidagilar haqida tuzdilar:</v>
      </c>
      <c r="B5" s="309"/>
    </row>
    <row r="7" spans="1:3">
      <c r="A7" s="319" t="s">
        <v>284</v>
      </c>
      <c r="B7" s="319"/>
    </row>
    <row r="8" spans="1:3" ht="51.75" customHeight="1">
      <c r="A8" s="309"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180 000 000,00 (Yuz sakson million so'm) bo‘lgan mikrokreditni 4 fevral 2025 y. dan 4 fevral 2026 y. gacha bo'lgan muddatga naqd pul va/yoki o'tkazmasi shaklida ajratadi.</v>
      </c>
      <c r="B8" s="309"/>
    </row>
    <row r="9" spans="1:3" ht="36" customHeight="1">
      <c r="A9" s="309" t="str">
        <f>"1.2. Qarz oluvchi to‘lovlilik, muddatlilik va ta’minlanganlik tamoyillariga amal qilgan holda "&amp;'Общие данные'!B65&amp;"dan foydalanish majburiyatini o‘z zimmasiga oladi."</f>
        <v>1.2. Qarz oluvchi to‘lovlilik, muddatlilik va ta’minlanganlik tamoyillariga amal qilgan holda mikrokreditdan foydalanish majburiyatini o‘z zimmasiga oladi.</v>
      </c>
      <c r="B9" s="309"/>
    </row>
    <row r="10" spans="1:3">
      <c r="A10" s="35"/>
    </row>
    <row r="11" spans="1:3">
      <c r="A11" s="310" t="str">
        <f>"2. "&amp;'Общие данные'!D64&amp;" BERISH VA QAYTARISH TARTIBI"</f>
        <v>2. MIKROKREDIT BERISH VA QAYTARISH TARTIBI</v>
      </c>
      <c r="B11" s="310"/>
      <c r="C11" s="79"/>
    </row>
    <row r="12" spans="1:3" ht="36" customHeight="1">
      <c r="A12" s="309" t="str">
        <f>"2.1. Ushbu Shartnomaning 1.1.-bandida ko‘rsatilgan summa miqdoridagi "&amp;'Общие данные'!B65&amp;" Mikromoliya tashkiloti kassasidan naqd pul shaklida va/yoki plastik kartaga o‘tkazish yuli bilan beriladi."</f>
        <v>2.1. Ushbu Shartnomaning 1.1.-bandida ko‘rsatilgan summa miqdoridagi mikrokredit Mikromoliya tashkiloti kassasidan naqd pul shaklida va/yoki plastik kartaga o‘tkazish yuli bilan beriladi.</v>
      </c>
      <c r="B12" s="309"/>
    </row>
    <row r="13" spans="1:3" ht="57" customHeight="1">
      <c r="A13" s="309" t="str">
        <f>"2.2. "&amp;'Общие данные'!C64&amp;" berish ushbu Shartnoma tuzilgan va Qarz oluvchi tomonidan ushbu shartnomaning 3-bo‘limiga muvofiq garov ta'minoti ta'minlangandan so‘ng 10 kalendar kundan kechiktirmay amalga oshiriladi."</f>
        <v>2.2. Mikrokredit berish ushbu Shartnoma tuzilgan va Qarz oluvchi tomonidan ushbu shartnomaning 3-bo‘limiga muvofiq garov ta'minoti ta'minlangandan so‘ng 10 kalendar kundan kechiktirmay amalga oshiriladi.</v>
      </c>
      <c r="B13" s="309"/>
    </row>
    <row r="14" spans="1:3" ht="57" customHeight="1">
      <c r="A14" s="309" t="str">
        <f>"2.3. "&amp;'Общие данные'!C64&amp;" Qarz oluvchi tomonidan ushbu Shartnomaning ajralmas qismi hisoblanadigan 1-ilovasida ko‘rsatilgan to‘lov jadvalida (bundan keyin - To‘lov jadvali) belgilangan miqdor, tartib va muddatlarda qaytariladi."</f>
        <v>2.3. Mikrokredit Qarz oluvchi tomonidan ushbu Shartnomaning ajralmas qismi hisoblanadigan 1-ilovasida ko‘rsatilgan to‘lov jadvalida (bundan keyin - To‘lov jadvali) belgilangan miqdor, tartib va muddatlarda qaytariladi.</v>
      </c>
      <c r="B14" s="309"/>
    </row>
    <row r="15" spans="1:3" ht="84.75" customHeight="1">
      <c r="A15" s="309"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mikrokredit berilgan vaqtdan boshlab, mikrokredit miqdorining qoldiq summasiga 60% (Oltmish) foiz yillik va yiliga 365/366 kunlik hisobidan foizlar hisoblaydi. To'lov jadvaliga muvofiq asosiy qarz bo'yicha navbatdagi to'lov buzilgan hollarda, foiz stavkasi oshiriladi va  Mikromoliya tashkiloti mikrokreditning muddati o'tgan asosiy qarz summasiga yillik 100 (bir yuz) foiz miqdorida foizlar hisoblaydi.</v>
      </c>
      <c r="B15" s="309"/>
    </row>
    <row r="16" spans="1:3" ht="183" customHeight="1">
      <c r="A16" s="309" t="s">
        <v>356</v>
      </c>
      <c r="B16" s="309"/>
    </row>
    <row r="17" spans="1:11" ht="177.75" customHeight="1">
      <c r="A17" s="309"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mikrokreditni va undan foydalanganlik uchun foizlarni qaytarish bo‘yicha muddati o‘tgan qarzdorlik hosil bo‘lganda Qarz oluvchi tomonidan ko‘rsatilgan qarzdorlikni to‘lash hisobiga to‘lanadigan summalar quyidagi tartibda hisobga olinadi:</v>
      </c>
      <c r="B17" s="309"/>
      <c r="C17" s="190" t="s">
        <v>360</v>
      </c>
      <c r="H17" s="9" t="str">
        <f>'Общие данные'!B65</f>
        <v>mikrokredit</v>
      </c>
      <c r="I17" s="9" t="s">
        <v>361</v>
      </c>
    </row>
    <row r="18" spans="1:11" ht="105.75" customHeight="1">
      <c r="A18" s="312" t="s">
        <v>401</v>
      </c>
      <c r="B18" s="312"/>
    </row>
    <row r="19" spans="1:11" ht="36" customHeight="1">
      <c r="A19" s="309" t="str">
        <f>"2.7. Qarz oluvchi Mikromoliya tashkilotining "&amp;'Общие данные'!B65&amp;" bo‘yicha asosiy summasi, hisoblangan foizlarni, penya va boshqa moliyaviy talablarini ham naqd pul shaklida, ham naqdsiz shaklda qaytarib beradi."</f>
        <v>2.7. Qarz oluvchi Mikromoliya tashkilotining mikrokredit bo‘yicha asosiy summasi, hisoblangan foizlarni, penya va boshqa moliyaviy talablarini ham naqd pul shaklida, ham naqdsiz shaklda qaytarib beradi.</v>
      </c>
      <c r="B19" s="309"/>
    </row>
    <row r="20" spans="1:11" ht="48.75" customHeight="1">
      <c r="A20" s="309" t="str">
        <f>"2.8. Qarz oluvchi "&amp;'Общие данные'!B65&amp;" miqdorini muddatidan oldin qaytarish, shuningdek, bu haqida Mikromoliya tashkilotini albatta ogohlantirgan holda ulardan aniq foydalangan muddat uchun hisoblangan foizlarni to‘lash huquqiga ega."</f>
        <v>2.8. Qarz oluvchi mikrokredit miqdorini muddatidan oldin qaytarish, shuningdek, bu haqida Mikromoliya tashkilotini albatta ogohlantirgan holda ulardan aniq foydalangan muddat uchun hisoblangan foizlarni to‘lash huquqiga ega.</v>
      </c>
      <c r="B20" s="309"/>
    </row>
    <row r="21" spans="1:11" ht="113.25" customHeight="1">
      <c r="A21" s="318" t="str">
        <f>CONCATENATE(C21,H21,I21)</f>
        <v>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mikrokredit ajratishda uning summasi va qarz oluvchining amaldagi kredit (mikrokredit) shartnomalari bo‘yicha asosiy qarz qoldig‘i yig‘indisi bazaviy hisoblash miqdorining 50 baravaridan oshganda hisoblanadi.</v>
      </c>
      <c r="B21" s="318"/>
      <c r="C21" s="9"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v>
      </c>
      <c r="H21" s="9"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mikrokredit ajratishda uning summasi va </v>
      </c>
      <c r="I21" s="9" t="str">
        <f>"qarz oluvchining amaldagi kredit ("&amp;'Общие данные'!B65&amp;") shartnomalari bo‘yicha asosiy qarz qoldig‘i yig‘indisi bazaviy hisoblash miqdorining 50 baravaridan oshganda hisoblanadi."</f>
        <v>qarz oluvchining amaldagi kredit (mikrokredit) shartnomalari bo‘yicha asosiy qarz qoldig‘i yig‘indisi bazaviy hisoblash miqdorining 50 baravaridan oshganda hisoblanadi.</v>
      </c>
    </row>
    <row r="22" spans="1:11">
      <c r="A22" s="310" t="str">
        <f>"3. "&amp;'Общие данные'!D64&amp;" TA'MINOTI BO‘YICHA "</f>
        <v xml:space="preserve">3. MIKROKREDIT TA'MINOTI BO‘YICHA </v>
      </c>
      <c r="B22" s="310"/>
    </row>
    <row r="23" spans="1:11" ht="19.5" customHeight="1">
      <c r="A23" s="309" t="str">
        <f>"3.1. Ushbu Shartnoma bo‘yicha taqdim etilgan "&amp;'Общие данные'!C64&amp;" quyidagi garov bilan ta'minlanadi:"</f>
        <v>3.1. Ushbu Shartnoma bo‘yicha taqdim etilgan Mikrokredit quyidagi garov bilan ta'minlanadi:</v>
      </c>
      <c r="B23" s="309"/>
    </row>
    <row r="24" spans="1:11" ht="147" customHeight="1">
      <c r="A24" s="316" t="str">
        <f>IF('Общие данные'!B103='Общие данные'!C103,договор!A28,IF('Общие данные'!B103='Общие данные'!D103,договор!A25,0))</f>
        <v>3.1.1. Mikromoliya tashkiloti va Qarz oluvchi tomonidan 2025 yil 4 fevralda imzolangan 1-sonli garov predmeti qiymatini tasdiqlash dalolatnomasiga muvofiq QORA CHYORNIY rangli, ishlab chiqarilgan yili – 2022 yil,  dvigatel raqami 211470021, shassi - RAKAMSIZ,  kuzov turi - YENGIL SEDAN, kuzov raqami №KL1ZA69X9NB504276, davlat raqam belgisi 60Q081BB bo'lgan MALIBU 2 rusumli avtomashinasi (bundan keyin “Garov predmeti”), egalik huquqiga ega  QOSIMOV BEKZODBEK ORIFJONOVICHga tegishli va kelishilgan garov qiymati 2025 yil 4 fevralda imzolangan 1-sonli Garov predmeti qiymatini tasdiqlash dalolatnomasiga muvifiq 270 000 000,00 (ikki yuz yetmish million so'm) so'mni tashkil qiladi. Garov garovining aniq shartlari tegishli notarial rasmiylashtirilgan garov shartnomasi bilan belgilanadi.</v>
      </c>
      <c r="B24" s="316"/>
    </row>
    <row r="25" spans="1:11" ht="129" hidden="1" customHeight="1">
      <c r="A25" s="309" t="str">
        <f>IF('Общие данные'!B92='Общие данные'!C92,договор!A27,IF('Общие данные'!B92='Общие данные'!D92,договор!A26,0))</f>
        <v>3.1.1. Mikromoliya tashkiloti va Qarz oluvchi tomonidan 2025 yil 4 fevralda imzolangan 1-sonli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“Garov predmeti”), egalik huquqiga ko'ra  SHOUSMANOVA DAVLATXON XXXga tegishli va kelishilgan garov qiymati 2025 yil 4 fevralda imzolangan 1-sonli Garov predmeti qiymatini tasdiqlash dalolatnomasiga muvofiq 270 000 000,00 (ikki yuz yetmish million so'm) so'mni tashkil qiladi. Garovning aniq shartlari tegishli tarzda notarial tasdiqlangan garov shartnomasi bilan belgilangan.</v>
      </c>
      <c r="B25" s="309"/>
    </row>
    <row r="26" spans="1:11" ht="129.75" hidden="1" customHeight="1">
      <c r="A26" s="316"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4 fevralda imzolangan 1-sonli navbatdagi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“navbatdagi garov predmeti”), egalik huquqiga ko'ra  SHOUSMANOVA DAVLATXON XXXga tegishli va kelishilgan garov qiymati 2025 yil 4 fevralda imzolangan 1-sonli Garov predmeti qiymatini tasdiqlash dalolatnomasiga muvofiq 270 000 000,00 (ikki yuz yetmish million so'm) so'mni tashkil qiladi. Garovning aniq shartlari tegishli tarzda notarial tasdiqlangan garov shartnomasi bilan belgilangan.</v>
      </c>
      <c r="B26" s="316"/>
    </row>
    <row r="27" spans="1:11" ht="131.25" hidden="1" customHeight="1">
      <c r="A27" s="30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4 fevralda imzolangan 1-sonli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“Garov predmeti”), egalik huquqiga ko'ra  SHOUSMANOVA DAVLATXON XXXga tegishli va kelishilgan garov qiymati 2025 yil 4 fevralda imzolangan 1-sonli Garov predmeti qiymatini tasdiqlash dalolatnomasiga muvofiq 270 000 000,00 (ikki yuz yetmish million so'm) so'mni tashkil qiladi. Garovning aniq shartlari tegishli tarzda notarial tasdiqlangan garov shartnomasi bilan belgilangan.</v>
      </c>
      <c r="B27" s="309"/>
    </row>
    <row r="28" spans="1:11" ht="114" hidden="1" customHeight="1">
      <c r="A28" s="316" t="str">
        <f>IF('Общие данные'!B92='Общие данные'!C92,A29,IF('Общие данные'!B92='Общие данные'!D92,A30,0))</f>
        <v>3.1.1. Mikromoliya tashkiloti va Qarz oluvchi tomonidan 2025 yil 4 fevralda imzolangan 1-sonli garov predmeti qiymatini tasdiqlash dalolatnomasiga muvofiq QORA CHYORNIY rangli, ishlab chiqarilgan yili – 2022 yil,  dvigatel raqami 211470021, shassi - RAKAMSIZ,  kuzov turi - YENGIL SEDAN, kuzov raqami №KL1ZA69X9NB504276, davlat raqam belgisi 60Q081BB bo'lgan MALIBU 2 rusumli avtomashinasi (bundan keyin “Garov predmeti”), egalik huquqiga ega  QOSIMOV BEKZODBEK ORIFJONOVICHga tegishli va kelishilgan garov qiymati 2025 yil 4 fevralda imzolangan 1-sonli Garov predmeti qiymatini tasdiqlash dalolatnomasiga muvifiq 270 000 000,00 (ikki yuz yetmish million so'm) so'mni tashkil qiladi. Garov garovining aniq shartlari tegishli notarial rasmiylashtirilgan garov shartnomasi bilan belgilanadi.</v>
      </c>
      <c r="B28" s="316"/>
      <c r="K28" s="9" t="s">
        <v>353</v>
      </c>
    </row>
    <row r="29" spans="1:11" ht="114.75" hidden="1" customHeight="1">
      <c r="A29" s="316"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4 fevralda imzolangan 1-sonli garov predmeti qiymatini tasdiqlash dalolatnomasiga muvofiq QORA CHYORNIY rangli, ishlab chiqarilgan yili – 2022 yil,  dvigatel raqami 211470021, shassi - RAKAMSIZ,  kuzov turi - YENGIL SEDAN, kuzov raqami №KL1ZA69X9NB504276, davlat raqam belgisi 60Q081BB bo'lgan MALIBU 2 rusumli avtomashinasi (bundan keyin “Garov predmeti”), egalik huquqiga ega  QOSIMOV BEKZODBEK ORIFJONOVICHga tegishli va kelishilgan garov qiymati 2025 yil 4 fevralda imzolangan 1-sonli Garov predmeti qiymatini tasdiqlash dalolatnomasiga muvifiq 270 000 000,00 (ikki yuz yetmish million so'm) so'mni tashkil qiladi. Garov garovining aniq shartlari tegishli notarial rasmiylashtirilgan garov shartnomasi bilan belgilanadi.</v>
      </c>
      <c r="B29" s="316"/>
    </row>
    <row r="30" spans="1:11" ht="1.5" customHeight="1">
      <c r="A30" s="31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4 fevralda imzolangan 1-sonli navbatdagi garov predmeti qiymatini tasdiqlash dalolatnomasiga muvofiq QORA CHYORNIY rangli, ishlab chiqarilgan yili – 2022 yil,  dvigatel raqami 211470021, shassi - RAKAMSIZ,  kuzov turi - YENGIL SEDAN, kuzov raqami №KL1ZA69X9NB504276, davlat raqam belgisi 60Q081BB bo'lgan MALIBU 2 rusumli avtomashinasi (bundan keyin “navbatdagi garov predmeti”), egalik huquqiga ega  QOSIMOV BEKZODBEK ORIFJONOVICHga tegishli va kelishilgan garov qiymati 2025 yil 4 fevralda imzolangan 1-sonli Garov predmeti qiymatini tasdiqlash dalolatnomasiga muvifiq 270 000 000,00 (ikki yuz yetmish million so'm) so'mni tashkil qiladi. Garov garovining aniq shartlari tegishli notarial rasmiylashtirilgan garov shartnomasi bilan belgilanadi.</v>
      </c>
      <c r="B30" s="317"/>
    </row>
    <row r="31" spans="1:11" ht="135" customHeight="1">
      <c r="A31" s="31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c r="B31" s="314"/>
    </row>
    <row r="32" spans="1:11" ht="94.5" hidden="1">
      <c r="A32" s="197" t="s">
        <v>383</v>
      </c>
      <c r="B32" s="35" t="str">
        <f>CONCATENATE(A33,B33)</f>
        <v xml:space="preserve">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7"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mikrokredit</v>
      </c>
      <c r="B33" s="35" t="s">
        <v>363</v>
      </c>
    </row>
    <row r="34" spans="1:8" ht="85.5" customHeight="1">
      <c r="A34" s="314" t="s">
        <v>288</v>
      </c>
      <c r="B34" s="314"/>
    </row>
    <row r="35" spans="1:8" ht="100.5" customHeight="1">
      <c r="A35" s="314" t="s">
        <v>341</v>
      </c>
      <c r="B35" s="314"/>
    </row>
    <row r="37" spans="1:8">
      <c r="A37" s="311" t="s">
        <v>340</v>
      </c>
      <c r="B37" s="311"/>
      <c r="C37" s="92"/>
    </row>
    <row r="38" spans="1:8">
      <c r="A38" s="315" t="s">
        <v>339</v>
      </c>
      <c r="B38" s="315"/>
    </row>
    <row r="39" spans="1:8" ht="138" customHeight="1">
      <c r="A39" s="314" t="str">
        <f>CONCATENATE(C39,H39)</f>
        <v>4.1.1. Ushbu Shartnomada ko‘rsatilgan asoslar bo‘yicha Qarz oluvchiga Shartnomada ko‘zda tutilgan mikrokredit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14"/>
      <c r="C39" s="9" t="str">
        <f>"4.1.1. Ushbu Shartnomada ko‘rsatilgan asoslar bo‘yicha Qarz oluvchiga Shartnomada ko‘zda tutilgan "&amp;'Общие данные'!B65&amp;""</f>
        <v>4.1.1. Ushbu Shartnomada ko‘rsatilgan asoslar bo‘yicha Qarz oluvchiga Shartnomada ko‘zda tutilgan mikrokredit</v>
      </c>
      <c r="H39" s="190" t="s">
        <v>409</v>
      </c>
    </row>
    <row r="40" spans="1:8" ht="39" customHeight="1">
      <c r="A40" s="314" t="str">
        <f>"4.1.2.1. "&amp;'Общие данные'!C64&amp;"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0" s="314"/>
    </row>
    <row r="41" spans="1:8">
      <c r="A41" s="314" t="s">
        <v>342</v>
      </c>
      <c r="B41" s="314"/>
    </row>
    <row r="42" spans="1:8" ht="36" customHeight="1">
      <c r="A42" s="314" t="str">
        <f>"b) "&amp;'Общие данные'!B65&amp;" summasiga hisoblanadigan asosiy qarz bo‘yicha muddati o‘tgan qarzdorlik va/yoki foizlarning yuzaga kelishi;"</f>
        <v>b) mikrokredit summasiga hisoblanadigan asosiy qarz bo‘yicha muddati o‘tgan qarzdorlik va/yoki foizlarning yuzaga kelishi;</v>
      </c>
      <c r="B42" s="314"/>
    </row>
    <row r="43" spans="1:8" ht="37.5" customHeight="1">
      <c r="A43" s="314" t="s">
        <v>343</v>
      </c>
      <c r="B43" s="314"/>
    </row>
    <row r="44" spans="1:8" ht="52.5" customHeight="1">
      <c r="A44" s="314" t="s">
        <v>344</v>
      </c>
      <c r="B44" s="314"/>
    </row>
    <row r="45" spans="1:8" ht="19.5" customHeight="1">
      <c r="A45" s="314" t="s">
        <v>345</v>
      </c>
      <c r="B45" s="314"/>
    </row>
    <row r="46" spans="1:8" ht="51.75" customHeight="1">
      <c r="A46" s="314"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mikrokredit summasini olish uchun Mikromoliya tashkilotiga mikrokredit taqdim etilishi to‘g‘risida ijobiy qaror qabul qilinishi uchun muhim hisoblangan masalalar bo‘yicha yolg‘on yoki to‘liq bo‘lmagan ma'lumotlarni taqdim etganligi aniqlanganda.</v>
      </c>
      <c r="B46" s="314"/>
    </row>
    <row r="47" spans="1:8" ht="33.75" customHeight="1">
      <c r="A47" s="314" t="s">
        <v>338</v>
      </c>
      <c r="B47" s="314"/>
    </row>
    <row r="48" spans="1:8" ht="48.75" customHeight="1">
      <c r="A48" s="314" t="s">
        <v>337</v>
      </c>
      <c r="B48" s="314"/>
      <c r="C48" s="197"/>
    </row>
    <row r="49" spans="1:8" ht="100.5" customHeight="1">
      <c r="A49" s="309" t="s">
        <v>336</v>
      </c>
      <c r="B49" s="309"/>
      <c r="C49" s="197"/>
    </row>
    <row r="50" spans="1:8" ht="70.5" customHeight="1">
      <c r="A50" s="309" t="s">
        <v>335</v>
      </c>
      <c r="B50" s="309"/>
      <c r="C50" s="197"/>
    </row>
    <row r="51" spans="1:8" ht="39.75" customHeight="1">
      <c r="A51" s="309" t="str">
        <f>"4.1.7. Qarz oluvchini oldindan ogohlantirmasdan "&amp;'Общие данные'!B65&amp;"ni qaytarish uchun haqiqatdan ham garov ta'minoti mavjudligini tekshirishni amalga oshirish."</f>
        <v>4.1.7. Qarz oluvchini oldindan ogohlantirmasdan mikrokreditni qaytarish uchun haqiqatdan ham garov ta'minoti mavjudligini tekshirishni amalga oshirish.</v>
      </c>
      <c r="B51" s="309"/>
      <c r="C51" s="197"/>
    </row>
    <row r="52" spans="1:8" ht="33" customHeight="1">
      <c r="A52" s="309" t="s">
        <v>346</v>
      </c>
      <c r="B52" s="309"/>
      <c r="C52" s="197"/>
    </row>
    <row r="53" spans="1:8" ht="39.75" customHeight="1">
      <c r="A53" s="309" t="s">
        <v>334</v>
      </c>
      <c r="B53" s="309"/>
      <c r="C53" s="197"/>
    </row>
    <row r="54" spans="1:8" ht="50.25" customHeight="1">
      <c r="A54" s="309" t="str">
        <f>CONCATENATE(C54,H54)</f>
        <v>4.1.10. Qarz oluvchi taqdim etilgan mikrokreditdan Shartnoma tuzilgan kundan boshlab 1 (bir) oy davomida foydalanmagan holatlarda, bu haqda Qarz oluvchini yozma ravishda xabardor qilib, Shartnoma bir tomonlama bekor qilish. Yozma xabarni jo‘natish sanasi uni taqdim etish yoki pochta orqali jo‘natish sanasi hisoblanadi.</v>
      </c>
      <c r="B54" s="309"/>
      <c r="C54" s="197" t="str">
        <f>"4.1.10. Qarz oluvchi taqdim etilgan "&amp;'Общие данные'!B65&amp;"dan Shartnoma tuzilgan kundan boshlab 1 (bir) oy davomida foydalanmagan"</f>
        <v>4.1.10. Qarz oluvchi taqdim etilgan mikrokreditdan Shartnoma tuzilgan kundan boshlab 1 (bir) oy davomida foydalanmagan</v>
      </c>
      <c r="H54" s="9" t="s">
        <v>364</v>
      </c>
    </row>
    <row r="55" spans="1:8" ht="19.5" customHeight="1">
      <c r="A55" s="309" t="str">
        <f>"4.1.11. Oldingi "&amp;'Общие данные'!B65&amp;" to‘liq to‘lanmagunga qadar yangi "&amp;'Общие данные'!B65&amp;" berishni rad etish."</f>
        <v>4.1.11. Oldingi mikrokredit to‘liq to‘lanmagunga qadar yangi mikrokredit berishni rad etish.</v>
      </c>
      <c r="B55" s="309"/>
      <c r="C55" s="197"/>
    </row>
    <row r="57" spans="1:8">
      <c r="A57" s="310" t="s">
        <v>333</v>
      </c>
      <c r="B57" s="310"/>
      <c r="C57" s="196"/>
    </row>
    <row r="58" spans="1:8">
      <c r="A58" s="313" t="s">
        <v>332</v>
      </c>
      <c r="B58" s="313"/>
      <c r="C58" s="198"/>
    </row>
    <row r="59" spans="1:8" ht="36" customHeight="1">
      <c r="A59" s="309" t="str">
        <f>"5.1.1. Ushbu shartnomada nazarda tutilgan shartlar bo‘yicha "&amp;'Общие данные'!B65&amp;" olish, shuningdek, Mikromoliya tashkiloti tomonidan ko‘rsatiladigan pullik xizmatlardan foydalanish."</f>
        <v>5.1.1. Ushbu shartnomada nazarda tutilgan shartlar bo‘yicha mikrokredit olish, shuningdek, Mikromoliya tashkiloti tomonidan ko‘rsatiladigan pullik xizmatlardan foydalanish.</v>
      </c>
      <c r="B59" s="309"/>
      <c r="C59" s="197"/>
    </row>
    <row r="60" spans="1:8" ht="36.75" customHeight="1">
      <c r="A60" s="309"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mikrokreditning foydalanilmagan summasidan voz kechish.</v>
      </c>
      <c r="B60" s="309"/>
      <c r="C60" s="197"/>
    </row>
    <row r="61" spans="1:8" ht="17.25" customHeight="1">
      <c r="A61" s="309" t="str">
        <f>"5.1.3. "&amp;'Общие данные'!C64&amp;" xizmatlari ko‘rsatish qoidalari bilan tanishish."</f>
        <v>5.1.3. Mikrokredit xizmatlari ko‘rsatish qoidalari bilan tanishish.</v>
      </c>
      <c r="B61" s="309"/>
      <c r="C61" s="197"/>
    </row>
    <row r="62" spans="1:8" ht="36" customHeight="1">
      <c r="A62" s="309" t="str">
        <f>"5.1.4. O‘z huquq va majburiyatlari, shu jumladan "&amp;'Общие данные'!B65&amp;" xizmatlari ko‘rsatish bilan bog‘liq barcha xarajatlar haqida aniq va to‘liq ma'lumot olish."</f>
        <v>5.1.4. O‘z huquq va majburiyatlari, shu jumladan mikrokredit xizmatlari ko‘rsatish bilan bog‘liq barcha xarajatlar haqida aniq va to‘liq ma'lumot olish.</v>
      </c>
      <c r="B62" s="309"/>
      <c r="C62" s="197"/>
    </row>
    <row r="63" spans="1:8" ht="33.75" customHeight="1">
      <c r="A63" s="309" t="s">
        <v>347</v>
      </c>
      <c r="B63" s="309"/>
      <c r="C63" s="197"/>
    </row>
    <row r="64" spans="1:8">
      <c r="A64" s="313" t="s">
        <v>331</v>
      </c>
      <c r="B64" s="313"/>
      <c r="C64" s="198"/>
    </row>
    <row r="65" spans="1:8" ht="37.5" customHeight="1">
      <c r="A65" s="309"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mikrokreditdan foydalanishning butun davri davomida uning moliyaviy holati va to‘lash qobiliyatiga tegishli bo‘lgan ma'lumotlarni taqdim etish.</v>
      </c>
      <c r="B65" s="309"/>
      <c r="C65" s="197"/>
    </row>
    <row r="66" spans="1:8" ht="39.75" customHeight="1">
      <c r="A66" s="309" t="s">
        <v>348</v>
      </c>
      <c r="B66" s="309"/>
      <c r="C66" s="197"/>
    </row>
    <row r="67" spans="1:8" ht="27" customHeight="1">
      <c r="A67" s="309" t="str">
        <f>"5.2.3. To‘lov jadvaliga muvofiq "&amp;'Общие данные'!B65&amp;", shuningdek hisoblangan foizlar to‘lovlarini amalga oshirish."</f>
        <v>5.2.3. To‘lov jadvaliga muvofiq mikrokredit, shuningdek hisoblangan foizlar to‘lovlarini amalga oshirish.</v>
      </c>
      <c r="B67" s="309"/>
      <c r="C67" s="197"/>
    </row>
    <row r="68" spans="1:8" ht="84" customHeight="1">
      <c r="A68" s="309"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mikrokredit mablag‘lari hisobiga moliyalashtirilgan hujjatlarni ko‘zdan kechirish va Mikromoliya tashkiloti tomonidan ushbu huquqni amalga oshirishga to‘sqinlik qilmaslik majburiyatini oladi.</v>
      </c>
      <c r="B68" s="309"/>
      <c r="C68" s="197" t="s">
        <v>365</v>
      </c>
      <c r="H68" s="9" t="str">
        <f>" "&amp;'Общие данные'!B65&amp;" mablag‘lari hisobiga moliyalashtirilgan hujjatlarni ko‘zdan kechirish va Mikromoliya tashkiloti tomonidan ushbu huquqni amalga oshirishga to‘sqinlik qilmaslik majburiyatini oladi."</f>
        <v xml:space="preserve"> mikrokredit mablag‘lari hisobiga moliyalashtirilgan hujjatlarni ko‘zdan kechirish va Mikromoliya tashkiloti tomonidan ushbu huquqni amalga oshirishga to‘sqinlik qilmaslik majburiyatini oladi.</v>
      </c>
    </row>
    <row r="69" spans="1:8" ht="49.5" customHeight="1">
      <c r="A69" s="309" t="s">
        <v>349</v>
      </c>
      <c r="B69" s="309"/>
      <c r="C69" s="197"/>
    </row>
    <row r="70" spans="1:8" ht="36" customHeight="1">
      <c r="A70" s="309" t="str">
        <f>"5.2.6. Quyidagi holatlarda Mikromoliya tashkilotning birinchi talabi bilan "&amp;'Общие данные'!B65&amp;" qaytarilishi bo‘yicha qo‘shimcha garov ta'minotini taqdim etish: "</f>
        <v xml:space="preserve">5.2.6. Quyidagi holatlarda Mikromoliya tashkilotning birinchi talabi bilan mikrokredit qaytarilishi bo‘yicha qo‘shimcha garov ta'minotini taqdim etish: </v>
      </c>
      <c r="B70" s="309"/>
      <c r="C70" s="197"/>
    </row>
    <row r="71" spans="1:8" ht="51.75" customHeight="1">
      <c r="A71" s="312" t="s">
        <v>366</v>
      </c>
      <c r="B71" s="312"/>
      <c r="C71" s="200"/>
    </row>
    <row r="72" spans="1:8" ht="71.25" customHeight="1">
      <c r="A72" s="309"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mikrokreditning asosiy summa bo‘yicha qarzdorlikni mikrokreditdan aniq foydalanish muddati uchun foizlar bilan kechiktirmasdan to‘liq to‘lashi shart.</v>
      </c>
      <c r="B72" s="309"/>
      <c r="C72" s="197"/>
    </row>
    <row r="73" spans="1:8" ht="33.75" customHeight="1">
      <c r="A73" s="309" t="str">
        <f>"5.2.8. Mikromoliya tashkilotining "&amp;'Общие данные'!B65&amp;" umumiy summasi va hisoblangan foizlarni muddatidan oldin qaytarish to‘g‘risidagi talabini kechiktirmasdan bajarish."</f>
        <v>5.2.8. Mikromoliya tashkilotining mikrokredit umumiy summasi va hisoblangan foizlarni muddatidan oldin qaytarish to‘g‘risidagi talabini kechiktirmasdan bajarish.</v>
      </c>
      <c r="B73" s="309"/>
      <c r="C73" s="197"/>
      <c r="H73" s="9" t="s">
        <v>362</v>
      </c>
    </row>
    <row r="74" spans="1:8" ht="68.25" customHeight="1">
      <c r="A74" s="309" t="str">
        <f>CONCATENATE(C74,H74)</f>
        <v>5.2.9. Mikromoliya tashkilotining talabi bo‘yicha Mikromoliya tashkiloti ko‘rgan, shu jumladan mikrokredit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9"/>
      <c r="C74" s="197" t="str">
        <f>"5.2.9. Mikromoliya tashkilotining talabi bo‘yicha Mikromoliya tashkiloti ko‘rgan, shu jumladan "&amp;'Общие данные'!B65&amp;" bo‘yicha (asosiy qarz, foizlar va boshqalar)"</f>
        <v>5.2.9. Mikromoliya tashkilotining talabi bo‘yicha Mikromoliya tashkiloti ko‘rgan, shu jumladan mikrokredit bo‘yicha (asosiy qarz, foizlar va boshqalar)</v>
      </c>
      <c r="H74" s="9" t="s">
        <v>367</v>
      </c>
    </row>
    <row r="75" spans="1:8">
      <c r="A75" s="88"/>
    </row>
    <row r="76" spans="1:8">
      <c r="A76" s="311" t="s">
        <v>330</v>
      </c>
      <c r="B76" s="311"/>
      <c r="C76" s="199"/>
    </row>
    <row r="77" spans="1:8" ht="98.25" customHeight="1">
      <c r="A77" s="309"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mikrokredit miqdori umumiy summasining 50% dan ko‘p bo‘lmagan miqdorda penya ko‘rinishidagi neustoyka to‘lash majburiyatini o‘z zimmasiga oladi.</v>
      </c>
      <c r="B77" s="309"/>
      <c r="C77" s="197" t="s">
        <v>368</v>
      </c>
      <c r="H77" s="9" t="str">
        <f>""&amp;'Общие данные'!B65&amp;" miqdori umumiy summasining 50% dan ko‘p bo‘lmagan miqdorda penya ko‘rinishidagi neustoyka to‘lash majburiyatini o‘z zimmasiga oladi."</f>
        <v>mikrokredit miqdori umumiy summasining 50% dan ko‘p bo‘lmagan miqdorda penya ko‘rinishidagi neustoyka to‘lash majburiyatini o‘z zimmasiga oladi.</v>
      </c>
    </row>
    <row r="78" spans="1:8" ht="37.5" customHeight="1">
      <c r="A78" s="309" t="s">
        <v>329</v>
      </c>
      <c r="B78" s="309"/>
      <c r="C78" s="197"/>
    </row>
    <row r="79" spans="1:8" ht="35.25" customHeight="1">
      <c r="A79" s="309" t="s">
        <v>328</v>
      </c>
      <c r="B79" s="309"/>
      <c r="C79" s="197"/>
    </row>
    <row r="80" spans="1:8" ht="33" customHeight="1">
      <c r="A80" s="309" t="s">
        <v>327</v>
      </c>
      <c r="B80" s="309"/>
      <c r="C80" s="197"/>
    </row>
    <row r="82" spans="1:3">
      <c r="A82" s="303" t="s">
        <v>326</v>
      </c>
      <c r="B82" s="303"/>
      <c r="C82" s="80"/>
    </row>
    <row r="83" spans="1:3" ht="162.75" customHeight="1">
      <c r="A83" s="309" t="s">
        <v>325</v>
      </c>
      <c r="B83" s="309"/>
      <c r="C83" s="197"/>
    </row>
    <row r="84" spans="1:3" ht="33.75" customHeight="1">
      <c r="A84" s="309" t="s">
        <v>369</v>
      </c>
      <c r="B84" s="309"/>
      <c r="C84" s="197"/>
    </row>
    <row r="85" spans="1:3" ht="51.75" customHeight="1">
      <c r="A85" s="309" t="s">
        <v>324</v>
      </c>
      <c r="B85" s="309"/>
      <c r="C85" s="197"/>
    </row>
    <row r="86" spans="1:3" ht="36" customHeight="1">
      <c r="A86" s="309" t="s">
        <v>323</v>
      </c>
      <c r="B86" s="309"/>
      <c r="C86" s="197"/>
    </row>
    <row r="88" spans="1:3">
      <c r="A88" s="303" t="s">
        <v>322</v>
      </c>
      <c r="B88" s="303"/>
      <c r="C88" s="80"/>
    </row>
    <row r="89" spans="1:3" ht="114.75" customHeight="1">
      <c r="A89" s="309" t="s">
        <v>384</v>
      </c>
      <c r="B89" s="309"/>
      <c r="C89" s="197"/>
    </row>
    <row r="90" spans="1:3" ht="36" customHeight="1">
      <c r="A90" s="309" t="s">
        <v>350</v>
      </c>
      <c r="B90" s="309"/>
      <c r="C90" s="197"/>
    </row>
    <row r="91" spans="1:3" ht="64.5" customHeight="1">
      <c r="A91" s="309"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mikrokredit bo‘yicha muddati o‘tgan qarzdorlikning to‘lanishi Mikromoliya tashkilotning mikrokredit bo‘yicha qarzdorlikni muddatidan avval undirish, shu jumladan undiruvni garovdagi mol-mulkka qaratish yo‘li bilan undirish huquqidan mahrum qilmaydi.</v>
      </c>
      <c r="B91" s="309"/>
      <c r="C91" s="197"/>
    </row>
    <row r="93" spans="1:3">
      <c r="A93" s="308" t="s">
        <v>321</v>
      </c>
      <c r="B93" s="308"/>
      <c r="C93" s="90"/>
    </row>
    <row r="94" spans="1:3" ht="20.25" customHeight="1">
      <c r="A94" s="309" t="s">
        <v>320</v>
      </c>
      <c r="B94" s="309"/>
      <c r="C94" s="197"/>
    </row>
    <row r="95" spans="1:3" ht="33.75" customHeight="1">
      <c r="A95" s="309" t="str">
        <f>"9.2. Shartnomaning amal qilish muddati Qarz oluvchi "&amp;'Общие данные'!B65&amp;"ni to‘liq qaytargan, hisoblangan foizlar, penya va boshqa pul majburiyatlarini to‘lagan kunda yakunlanadi."</f>
        <v>9.2. Shartnomaning amal qilish muddati Qarz oluvchi mikrokreditni to‘liq qaytargan, hisoblangan foizlar, penya va boshqa pul majburiyatlarini to‘lagan kunda yakunlanadi.</v>
      </c>
      <c r="B95" s="309"/>
      <c r="C95" s="197"/>
    </row>
    <row r="96" spans="1:3" ht="51" customHeight="1">
      <c r="A96" s="309" t="s">
        <v>319</v>
      </c>
      <c r="B96" s="309"/>
      <c r="C96" s="197"/>
    </row>
    <row r="98" spans="1:3">
      <c r="A98" s="310" t="s">
        <v>318</v>
      </c>
      <c r="B98" s="310"/>
      <c r="C98" s="79"/>
    </row>
    <row r="99" spans="1:3" ht="82.5" customHeight="1">
      <c r="A99" s="309" t="s">
        <v>317</v>
      </c>
      <c r="B99" s="309"/>
      <c r="C99" s="197"/>
    </row>
    <row r="100" spans="1:3" ht="66" customHeight="1">
      <c r="A100" s="309" t="s">
        <v>316</v>
      </c>
      <c r="B100" s="309"/>
      <c r="C100" s="197"/>
    </row>
    <row r="101" spans="1:3" ht="48" customHeight="1">
      <c r="A101" s="309" t="s">
        <v>315</v>
      </c>
      <c r="B101" s="309"/>
      <c r="C101" s="197"/>
    </row>
    <row r="103" spans="1:3">
      <c r="A103" s="303" t="s">
        <v>314</v>
      </c>
      <c r="B103" s="303"/>
      <c r="C103" s="174"/>
    </row>
    <row r="104" spans="1:3" ht="37.5" customHeight="1">
      <c r="A104" s="309" t="s">
        <v>313</v>
      </c>
      <c r="B104" s="309"/>
      <c r="C104" s="197"/>
    </row>
    <row r="105" spans="1:3" ht="34.5" customHeight="1">
      <c r="A105" s="309" t="s">
        <v>312</v>
      </c>
      <c r="B105" s="309"/>
      <c r="C105" s="197"/>
    </row>
    <row r="106" spans="1:3" ht="66.75" customHeight="1">
      <c r="A106" s="309" t="s">
        <v>311</v>
      </c>
      <c r="B106" s="309"/>
      <c r="C106" s="197"/>
    </row>
    <row r="107" spans="1:3" ht="51" customHeight="1">
      <c r="A107" s="309" t="s">
        <v>310</v>
      </c>
      <c r="B107" s="309"/>
      <c r="C107" s="197"/>
    </row>
    <row r="108" spans="1:3" ht="37.5" customHeight="1">
      <c r="A108" s="309" t="s">
        <v>309</v>
      </c>
      <c r="B108" s="309"/>
      <c r="C108" s="197"/>
    </row>
    <row r="109" spans="1:3" ht="38.25" customHeight="1">
      <c r="A109" s="309" t="s">
        <v>308</v>
      </c>
      <c r="B109" s="309"/>
      <c r="C109" s="197"/>
    </row>
    <row r="110" spans="1:3" ht="21" customHeight="1">
      <c r="A110" s="309" t="s">
        <v>307</v>
      </c>
      <c r="B110" s="309"/>
      <c r="C110" s="197"/>
    </row>
    <row r="111" spans="1:3" ht="32.25" customHeight="1">
      <c r="A111" s="309"/>
      <c r="B111" s="309"/>
      <c r="C111" s="197"/>
    </row>
    <row r="113" spans="1:3">
      <c r="A113" s="308" t="s">
        <v>351</v>
      </c>
      <c r="B113" s="308"/>
      <c r="C113" s="90"/>
    </row>
    <row r="115" spans="1:3">
      <c r="A115" s="91" t="s">
        <v>306</v>
      </c>
      <c r="B115" s="91" t="s">
        <v>305</v>
      </c>
    </row>
    <row r="117" spans="1:3" ht="31.5">
      <c r="A117" s="90" t="str">
        <f>'Общие данные'!B148</f>
        <v>«CLEVER MIKROMOLIYA TASHKILOTI» MChJ</v>
      </c>
      <c r="B117" s="82" t="str">
        <f>'Общие данные'!B5</f>
        <v>QOSIMOV BEKZODBEK ORIFJONOVICH</v>
      </c>
    </row>
    <row r="119" spans="1:3" ht="31.5">
      <c r="A119" s="87" t="str">
        <f>"Manzil: "&amp;'Общие данные'!B153&amp;""</f>
        <v>Manzil: Toshkent shahri, Olmazor tumani, Sagbon ko'chasi, 30 boshi berk, 6-uy</v>
      </c>
      <c r="B119" s="87" t="str">
        <f>"Manzil: "&amp;'Общие данные'!B28&amp;""</f>
        <v>Manzil: QORAQALPOGISTON RESPUBLIKASI  NUKUS SHAHARI OZBEKISTON GUZARI 71 4 UY</v>
      </c>
    </row>
    <row r="120" spans="1:3">
      <c r="A120" s="89" t="str">
        <f>"h/r: "&amp;'Общие данные'!B154&amp;""</f>
        <v>h/r: №20216000705068380001</v>
      </c>
    </row>
    <row r="121" spans="1:3" ht="50.25" customHeight="1">
      <c r="A121" s="87" t="str">
        <f>"MFO: "&amp;'Общие данные'!B155&amp;" в "&amp;'Общие данные'!B156&amp;""</f>
        <v>MFO: №01042 в ATB “Kapitalbank” Sergeli filiali</v>
      </c>
      <c r="B121" s="87" t="str">
        <f>"pasport seriyasi: "&amp;'Общие данные'!B16&amp;", "&amp;'Общие данные'!B20&amp;""</f>
        <v>pasport seriyasi: AB7685294, ANDIJON VILOYATI SHAXRIXON TUMANI IIB tomonidan 09.09.2017 yilda berilgan</v>
      </c>
    </row>
    <row r="122" spans="1:3">
      <c r="A122" s="87" t="str">
        <f>"STIR: "&amp;'Общие данные'!B157&amp;""</f>
        <v>STIR: 306365847</v>
      </c>
      <c r="B122" s="81" t="str">
        <f>"Tel: "&amp;'Общие данные'!B40&amp;""</f>
        <v>Tel: 91-496-91-11Klient</v>
      </c>
    </row>
    <row r="123" spans="1:3">
      <c r="A123" s="89" t="str">
        <f>"Tel: (78) 113 31 33"</f>
        <v>Tel: (78) 113 31 33</v>
      </c>
      <c r="B123" s="81" t="str">
        <f>'Общие данные'!B41</f>
        <v>90-708-11-28 кизи</v>
      </c>
    </row>
    <row r="124" spans="1:3">
      <c r="A124" s="89" t="s">
        <v>8</v>
      </c>
      <c r="B124" s="81" t="str">
        <f>'Общие данные'!B42</f>
        <v>33-421-81-05 угли</v>
      </c>
    </row>
    <row r="126" spans="1:3">
      <c r="A126" s="195" t="str">
        <f>'Общие данные'!A150</f>
        <v>Nukus filiali boshligi</v>
      </c>
      <c r="B126" s="80" t="str">
        <f>""&amp;'Общие данные'!B7&amp;"     __________________"</f>
        <v>QOSIMOV  B.O.     __________________</v>
      </c>
    </row>
    <row r="128" spans="1:3">
      <c r="A128" s="174" t="str">
        <f>""&amp;'Общие данные'!B150&amp;" ________________ "</f>
        <v xml:space="preserve">XOJANIYAZOV B. Z. ________________ </v>
      </c>
      <c r="B128" s="215"/>
    </row>
    <row r="131" spans="1:1" hidden="1">
      <c r="A131" s="9" t="str">
        <f>"менеджер :   "&amp;'Общие данные'!B161&amp;"______________"</f>
        <v>менеджер :   XOJANIYAZOV B. Z.______________</v>
      </c>
    </row>
  </sheetData>
  <mergeCells count="98">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63" orientation="portrait" r:id="rId1"/>
  <rowBreaks count="4" manualBreakCount="4">
    <brk id="21" max="1" man="1"/>
    <brk id="49" max="1" man="1"/>
    <brk id="74"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6" zoomScaleSheetLayoutView="100" workbookViewId="0">
      <selection activeCell="D15" sqref="D15"/>
    </sheetView>
  </sheetViews>
  <sheetFormatPr defaultColWidth="9.140625" defaultRowHeight="15" outlineLevelCol="1"/>
  <cols>
    <col min="1" max="1" width="9.140625" style="18"/>
    <col min="2" max="2" width="12.28515625" style="18" customWidth="1"/>
    <col min="3" max="3" width="17.7109375" style="18" customWidth="1"/>
    <col min="4" max="4" width="20.28515625" style="18" customWidth="1"/>
    <col min="5" max="5" width="16.7109375" style="18" customWidth="1"/>
    <col min="6" max="6" width="19" style="18" customWidth="1"/>
    <col min="7" max="7" width="10.140625" style="18" customWidth="1" outlineLevel="1"/>
    <col min="8" max="8" width="19.7109375" style="18" customWidth="1"/>
    <col min="9" max="10" width="9.140625" style="18" customWidth="1"/>
    <col min="11" max="16384" width="9.140625" style="18"/>
  </cols>
  <sheetData>
    <row r="1" spans="1:16" ht="9.75" customHeight="1"/>
    <row r="2" spans="1:16" ht="3.75" customHeight="1">
      <c r="A2" s="40"/>
      <c r="B2" s="40"/>
      <c r="C2" s="40"/>
      <c r="D2" s="40"/>
      <c r="E2" s="265"/>
      <c r="F2" s="265"/>
      <c r="G2" s="23"/>
    </row>
    <row r="3" spans="1:16" ht="79.5" customHeight="1">
      <c r="A3" s="40"/>
      <c r="B3" s="40"/>
      <c r="C3" s="40"/>
      <c r="D3" s="40"/>
      <c r="E3" s="40"/>
      <c r="F3" s="191" t="str">
        <f>""&amp;'Общие данные'!B74&amp;" "&amp;'Общие данные'!B65&amp;" shartnomasiga 1 sonli ilova"</f>
        <v>4 fevral 2025 y.dan №269-NS mikrokredit shartnomasiga 1 sonli ilova</v>
      </c>
      <c r="G3" s="23"/>
    </row>
    <row r="4" spans="1:16" ht="6.75" customHeight="1">
      <c r="A4" s="40"/>
      <c r="B4" s="40"/>
      <c r="C4" s="40"/>
      <c r="D4" s="40"/>
      <c r="E4" s="40"/>
      <c r="F4" s="40"/>
    </row>
    <row r="5" spans="1:16" ht="7.5" customHeight="1">
      <c r="A5" s="266"/>
      <c r="B5" s="266"/>
      <c r="C5" s="266"/>
      <c r="D5" s="266"/>
      <c r="E5" s="266"/>
      <c r="F5" s="266"/>
    </row>
    <row r="6" spans="1:16" ht="7.5" customHeight="1">
      <c r="A6" s="227"/>
      <c r="B6" s="227"/>
      <c r="C6" s="227"/>
      <c r="D6" s="227"/>
      <c r="E6" s="227"/>
      <c r="F6" s="227"/>
    </row>
    <row r="7" spans="1:16" ht="15" customHeight="1">
      <c r="A7" s="267" t="s">
        <v>15</v>
      </c>
      <c r="B7" s="268" t="s">
        <v>289</v>
      </c>
      <c r="C7" s="268" t="s">
        <v>290</v>
      </c>
      <c r="D7" s="269" t="s">
        <v>291</v>
      </c>
      <c r="E7" s="269"/>
      <c r="F7" s="269"/>
    </row>
    <row r="8" spans="1:16" s="19" customFormat="1">
      <c r="A8" s="267"/>
      <c r="B8" s="268"/>
      <c r="C8" s="268"/>
      <c r="D8" s="20" t="s">
        <v>292</v>
      </c>
      <c r="E8" s="20" t="s">
        <v>293</v>
      </c>
      <c r="F8" s="20" t="s">
        <v>294</v>
      </c>
    </row>
    <row r="9" spans="1:16" ht="13.5" customHeight="1">
      <c r="A9" s="21">
        <v>1</v>
      </c>
      <c r="B9" s="36">
        <f>'График дифференц'!B8</f>
        <v>45721</v>
      </c>
      <c r="C9" s="37">
        <f>IF('Общие данные'!$B$77='Общие данные'!$C$77,'График дифференц'!C8,IF('Общие данные'!$B$77='Общие данные'!$D$77,'График аннуитет.'!C8))</f>
        <v>180000000</v>
      </c>
      <c r="D9" s="37">
        <f>IF('Общие данные'!$B$77='Общие данные'!$C$77,'График дифференц'!D8,IF('Общие данные'!$B$77='Общие данные'!$D$77,'График аннуитет.'!D8))</f>
        <v>11728178.110000001</v>
      </c>
      <c r="E9" s="37">
        <f>IF('Общие данные'!$B$77='Общие данные'!$C$77,'График дифференц'!E8,IF('Общие данные'!$B$77='Общие данные'!$D$77,'График аннуитет.'!E8))</f>
        <v>8580821.8899999987</v>
      </c>
      <c r="F9" s="37">
        <f>IF('Общие данные'!$B$77='Общие данные'!$C$77,'График дифференц'!F8,IF('Общие данные'!$B$77='Общие данные'!$D$77,'График аннуитет.'!F8))</f>
        <v>20309000</v>
      </c>
    </row>
    <row r="10" spans="1:16" ht="13.5" customHeight="1">
      <c r="A10" s="21">
        <f>1+A9</f>
        <v>2</v>
      </c>
      <c r="B10" s="36">
        <f>'График дифференц'!B9</f>
        <v>45754</v>
      </c>
      <c r="C10" s="37">
        <f>IF('Общие данные'!$B$77='Общие данные'!$C$77,'График дифференц'!C9,IF('Общие данные'!$B$77='Общие данные'!$D$77,'График аннуитет.'!C9))</f>
        <v>168271821.88999999</v>
      </c>
      <c r="D10" s="37">
        <f>IF('Общие данные'!$B$77='Общие данные'!$C$77,'График дифференц'!D9,IF('Общие данные'!$B$77='Общие данные'!$D$77,'График аннуитет.'!D9))</f>
        <v>11180830.069999998</v>
      </c>
      <c r="E10" s="37">
        <f>IF('Общие данные'!$B$77='Общие данные'!$C$77,'График дифференц'!E9,IF('Общие данные'!$B$77='Общие данные'!$D$77,'График аннуитет.'!E9))</f>
        <v>9128169.9300000016</v>
      </c>
      <c r="F10" s="37">
        <f>IF('Общие данные'!$B$77='Общие данные'!$C$77,'График дифференц'!F9,IF('Общие данные'!$B$77='Общие данные'!$D$77,'График аннуитет.'!F9))</f>
        <v>20309000</v>
      </c>
    </row>
    <row r="11" spans="1:16" ht="13.5" customHeight="1">
      <c r="A11" s="21">
        <f t="shared" ref="A11:A31" si="0">1+A10</f>
        <v>3</v>
      </c>
      <c r="B11" s="36">
        <f>'График дифференц'!B10</f>
        <v>45782</v>
      </c>
      <c r="C11" s="37">
        <f>IF('Общие данные'!$B$77='Общие данные'!$C$77,'График дифференц'!C10,IF('Общие данные'!$B$77='Общие данные'!$D$77,'График аннуитет.'!C10))</f>
        <v>157090991.81999999</v>
      </c>
      <c r="D11" s="37">
        <f>IF('Общие данные'!$B$77='Общие данные'!$C$77,'График дифференц'!D10,IF('Общие данные'!$B$77='Общие данные'!$D$77,'График аннуитет.'!D10))</f>
        <v>13078510.440000001</v>
      </c>
      <c r="E11" s="37">
        <f>IF('Общие данные'!$B$77='Общие данные'!$C$77,'График дифференц'!E10,IF('Общие данные'!$B$77='Общие данные'!$D$77,'График аннуитет.'!E10))</f>
        <v>7230489.5599999996</v>
      </c>
      <c r="F11" s="37">
        <f>IF('Общие данные'!$B$77='Общие данные'!$C$77,'График дифференц'!F10,IF('Общие данные'!$B$77='Общие данные'!$D$77,'График аннуитет.'!F10))</f>
        <v>20309000</v>
      </c>
    </row>
    <row r="12" spans="1:16" ht="13.5" customHeight="1">
      <c r="A12" s="21">
        <f t="shared" si="0"/>
        <v>4</v>
      </c>
      <c r="B12" s="36">
        <f>'График дифференц'!B11</f>
        <v>45813</v>
      </c>
      <c r="C12" s="37">
        <f>IF('Общие данные'!$B$77='Общие данные'!$C$77,'График дифференц'!C11,IF('Общие данные'!$B$77='Общие данные'!$D$77,'График аннуитет.'!C11))</f>
        <v>144012481.38</v>
      </c>
      <c r="D12" s="37">
        <f>IF('Общие данные'!$B$77='Общие данные'!$C$77,'График дифференц'!D11,IF('Общие данные'!$B$77='Общие данные'!$D$77,'График аннуитет.'!D11))</f>
        <v>12970281.649999999</v>
      </c>
      <c r="E12" s="37">
        <f>IF('Общие данные'!$B$77='Общие данные'!$C$77,'График дифференц'!E11,IF('Общие данные'!$B$77='Общие данные'!$D$77,'График аннуитет.'!E11))</f>
        <v>7338718.3500000006</v>
      </c>
      <c r="F12" s="37">
        <f>IF('Общие данные'!$B$77='Общие данные'!$C$77,'График дифференц'!F11,IF('Общие данные'!$B$77='Общие данные'!$D$77,'График аннуитет.'!F11))</f>
        <v>20309000</v>
      </c>
      <c r="H12" s="320" t="s">
        <v>402</v>
      </c>
      <c r="I12" s="320"/>
      <c r="J12" s="320"/>
      <c r="K12" s="320"/>
      <c r="L12" s="320"/>
      <c r="M12" s="320"/>
      <c r="N12" s="320"/>
      <c r="O12" s="320"/>
      <c r="P12" s="320"/>
    </row>
    <row r="13" spans="1:16" ht="13.5" customHeight="1">
      <c r="A13" s="21">
        <f t="shared" si="0"/>
        <v>5</v>
      </c>
      <c r="B13" s="36">
        <f>'График дифференц'!B12</f>
        <v>45845</v>
      </c>
      <c r="C13" s="37">
        <f>IF('Общие данные'!$B$77='Общие данные'!$C$77,'График дифференц'!C12,IF('Общие данные'!$B$77='Общие данные'!$D$77,'График аннуитет.'!C12))</f>
        <v>131042199.72999999</v>
      </c>
      <c r="D13" s="37">
        <f>IF('Общие данные'!$B$77='Общие данные'!$C$77,'График дифференц'!D12,IF('Общие данные'!$B$77='Общие данные'!$D$77,'График аннуитет.'!D12))</f>
        <v>13415821.120000001</v>
      </c>
      <c r="E13" s="37">
        <f>IF('Общие данные'!$B$77='Общие данные'!$C$77,'График дифференц'!E12,IF('Общие данные'!$B$77='Общие данные'!$D$77,'График аннуитет.'!E12))</f>
        <v>6893178.8799999999</v>
      </c>
      <c r="F13" s="37">
        <f>IF('Общие данные'!$B$77='Общие данные'!$C$77,'График дифференц'!F12,IF('Общие данные'!$B$77='Общие данные'!$D$77,'График аннуитет.'!F12))</f>
        <v>20309000</v>
      </c>
      <c r="H13" s="320"/>
      <c r="I13" s="320"/>
      <c r="J13" s="320"/>
      <c r="K13" s="320"/>
      <c r="L13" s="320"/>
      <c r="M13" s="320"/>
      <c r="N13" s="320"/>
      <c r="O13" s="320"/>
      <c r="P13" s="320"/>
    </row>
    <row r="14" spans="1:16" ht="13.5" customHeight="1">
      <c r="A14" s="21">
        <f t="shared" si="0"/>
        <v>6</v>
      </c>
      <c r="B14" s="36">
        <f>'График дифференц'!B13</f>
        <v>45874</v>
      </c>
      <c r="C14" s="37">
        <f>IF('Общие данные'!$B$77='Общие данные'!$C$77,'График дифференц'!C13,IF('Общие данные'!$B$77='Общие данные'!$D$77,'График аннуитет.'!C13))</f>
        <v>117626378.60999998</v>
      </c>
      <c r="D14" s="37">
        <f>IF('Общие данные'!$B$77='Общие данные'!$C$77,'График дифференц'!D13,IF('Общие данные'!$B$77='Общие данные'!$D$77,'График аннуитет.'!D13))</f>
        <v>14701605.530000001</v>
      </c>
      <c r="E14" s="37">
        <f>IF('Общие данные'!$B$77='Общие данные'!$C$77,'График дифференц'!E13,IF('Общие данные'!$B$77='Общие данные'!$D$77,'График аннуитет.'!E13))</f>
        <v>5607394.4699999997</v>
      </c>
      <c r="F14" s="37">
        <f>IF('Общие данные'!$B$77='Общие данные'!$C$77,'График дифференц'!F13,IF('Общие данные'!$B$77='Общие данные'!$D$77,'График аннуитет.'!F13))</f>
        <v>20309000</v>
      </c>
      <c r="H14" s="320"/>
      <c r="I14" s="320"/>
      <c r="J14" s="320"/>
      <c r="K14" s="320"/>
      <c r="L14" s="320"/>
      <c r="M14" s="320"/>
      <c r="N14" s="320"/>
      <c r="O14" s="320"/>
      <c r="P14" s="320"/>
    </row>
    <row r="15" spans="1:16" ht="13.5" customHeight="1">
      <c r="A15" s="21">
        <f t="shared" si="0"/>
        <v>7</v>
      </c>
      <c r="B15" s="36">
        <f>'График дифференц'!B14</f>
        <v>45905</v>
      </c>
      <c r="C15" s="37">
        <f>IF('Общие данные'!$B$77='Общие данные'!$C$77,'График дифференц'!C14,IF('Общие данные'!$B$77='Общие данные'!$D$77,'График аннуитет.'!C14))</f>
        <v>102924773.07999998</v>
      </c>
      <c r="D15" s="37">
        <f>IF('Общие данные'!$B$77='Общие данные'!$C$77,'График дифференц'!D14,IF('Общие данные'!$B$77='Общие данные'!$D$77,'График аннуитет.'!D14))</f>
        <v>15064066.289999999</v>
      </c>
      <c r="E15" s="37">
        <f>IF('Общие данные'!$B$77='Общие данные'!$C$77,'График дифференц'!E14,IF('Общие данные'!$B$77='Общие данные'!$D$77,'График аннуитет.'!E14))</f>
        <v>5244933.71</v>
      </c>
      <c r="F15" s="37">
        <f>IF('Общие данные'!$B$77='Общие данные'!$C$77,'График дифференц'!F14,IF('Общие данные'!$B$77='Общие данные'!$D$77,'График аннуитет.'!F14))</f>
        <v>20309000</v>
      </c>
      <c r="H15" s="320"/>
      <c r="I15" s="320"/>
      <c r="J15" s="320"/>
      <c r="K15" s="320"/>
      <c r="L15" s="320"/>
      <c r="M15" s="320"/>
      <c r="N15" s="320"/>
      <c r="O15" s="320"/>
      <c r="P15" s="320"/>
    </row>
    <row r="16" spans="1:16" ht="13.5" customHeight="1">
      <c r="A16" s="21">
        <f t="shared" si="0"/>
        <v>8</v>
      </c>
      <c r="B16" s="36">
        <f>'График дифференц'!B15</f>
        <v>45936</v>
      </c>
      <c r="C16" s="37">
        <f>IF('Общие данные'!$B$77='Общие данные'!$C$77,'График дифференц'!C15,IF('Общие данные'!$B$77='Общие данные'!$D$77,'График аннуитет.'!C15))</f>
        <v>87860706.789999992</v>
      </c>
      <c r="D16" s="37">
        <f>IF('Общие данные'!$B$77='Общие данные'!$C$77,'График дифференц'!D15,IF('Общие данные'!$B$77='Общие данные'!$D$77,'График аннуитет.'!D15))</f>
        <v>15831714.640000001</v>
      </c>
      <c r="E16" s="37">
        <f>IF('Общие данные'!$B$77='Общие данные'!$C$77,'График дифференц'!E15,IF('Общие данные'!$B$77='Общие данные'!$D$77,'График аннуитет.'!E15))</f>
        <v>4477285.3600000003</v>
      </c>
      <c r="F16" s="37">
        <f>IF('Общие данные'!$B$77='Общие данные'!$C$77,'График дифференц'!F15,IF('Общие данные'!$B$77='Общие данные'!$D$77,'График аннуитет.'!F15))</f>
        <v>20309000</v>
      </c>
      <c r="H16" s="320"/>
      <c r="I16" s="320"/>
      <c r="J16" s="320"/>
      <c r="K16" s="320"/>
      <c r="L16" s="320"/>
      <c r="M16" s="320"/>
      <c r="N16" s="320"/>
      <c r="O16" s="320"/>
      <c r="P16" s="320"/>
    </row>
    <row r="17" spans="1:16" ht="13.5" customHeight="1">
      <c r="A17" s="21">
        <f t="shared" si="0"/>
        <v>9</v>
      </c>
      <c r="B17" s="36">
        <f>'График дифференц'!B16</f>
        <v>45966</v>
      </c>
      <c r="C17" s="37">
        <f>IF('Общие данные'!$B$77='Общие данные'!$C$77,'График дифференц'!C16,IF('Общие данные'!$B$77='Общие данные'!$D$77,'График аннуитет.'!C16))</f>
        <v>72028992.149999991</v>
      </c>
      <c r="D17" s="37">
        <f>IF('Общие данные'!$B$77='Общие данные'!$C$77,'График дифференц'!D16,IF('Общие данные'!$B$77='Общие данные'!$D$77,'График аннуитет.'!D16))</f>
        <v>16756885.4</v>
      </c>
      <c r="E17" s="37">
        <f>IF('Общие данные'!$B$77='Общие данные'!$C$77,'График дифференц'!E16,IF('Общие данные'!$B$77='Общие данные'!$D$77,'График аннуитет.'!E16))</f>
        <v>3552114.6</v>
      </c>
      <c r="F17" s="37">
        <f>IF('Общие данные'!$B$77='Общие данные'!$C$77,'График дифференц'!F16,IF('Общие данные'!$B$77='Общие данные'!$D$77,'График аннуитет.'!F16))</f>
        <v>20309000</v>
      </c>
      <c r="H17" s="320"/>
      <c r="I17" s="320"/>
      <c r="J17" s="320"/>
      <c r="K17" s="320"/>
      <c r="L17" s="320"/>
      <c r="M17" s="320"/>
      <c r="N17" s="320"/>
      <c r="O17" s="320"/>
      <c r="P17" s="320"/>
    </row>
    <row r="18" spans="1:16" ht="13.5" customHeight="1">
      <c r="A18" s="21">
        <f t="shared" si="0"/>
        <v>10</v>
      </c>
      <c r="B18" s="36">
        <f>'График дифференц'!B17</f>
        <v>45996</v>
      </c>
      <c r="C18" s="37">
        <f>IF('Общие данные'!$B$77='Общие данные'!$C$77,'График дифференц'!C17,IF('Общие данные'!$B$77='Общие данные'!$D$77,'График аннуитет.'!C17))</f>
        <v>55272106.749999993</v>
      </c>
      <c r="D18" s="37">
        <f>IF('Общие данные'!$B$77='Общие данные'!$C$77,'График дифференц'!D17,IF('Общие данные'!$B$77='Общие данные'!$D$77,'График аннуитет.'!D17))</f>
        <v>17583252.199999999</v>
      </c>
      <c r="E18" s="37">
        <f>IF('Общие данные'!$B$77='Общие данные'!$C$77,'График дифференц'!E17,IF('Общие данные'!$B$77='Общие данные'!$D$77,'График аннуитет.'!E17))</f>
        <v>2725747.8</v>
      </c>
      <c r="F18" s="37">
        <f>IF('Общие данные'!$B$77='Общие данные'!$C$77,'График дифференц'!F17,IF('Общие данные'!$B$77='Общие данные'!$D$77,'График аннуитет.'!F17))</f>
        <v>20309000</v>
      </c>
      <c r="H18" s="320"/>
      <c r="I18" s="320"/>
      <c r="J18" s="320"/>
      <c r="K18" s="320"/>
      <c r="L18" s="320"/>
      <c r="M18" s="320"/>
      <c r="N18" s="320"/>
      <c r="O18" s="320"/>
      <c r="P18" s="320"/>
    </row>
    <row r="19" spans="1:16" ht="13.5" customHeight="1">
      <c r="A19" s="21">
        <f t="shared" si="0"/>
        <v>11</v>
      </c>
      <c r="B19" s="36">
        <f>'График дифференц'!B18</f>
        <v>46027</v>
      </c>
      <c r="C19" s="37">
        <f>IF('Общие данные'!$B$77='Общие данные'!$C$77,'График дифференц'!C18,IF('Общие данные'!$B$77='Общие данные'!$D$77,'График аннуитет.'!C18))</f>
        <v>37688854.549999997</v>
      </c>
      <c r="D19" s="37">
        <f>IF('Общие данные'!$B$77='Общие данные'!$C$77,'График дифференц'!D18,IF('Общие данные'!$B$77='Общие данные'!$D$77,'График аннуитет.'!D18))</f>
        <v>18388417.32</v>
      </c>
      <c r="E19" s="37">
        <f>IF('Общие данные'!$B$77='Общие данные'!$C$77,'График дифференц'!E18,IF('Общие данные'!$B$77='Общие данные'!$D$77,'График аннуитет.'!E18))</f>
        <v>1920582.68</v>
      </c>
      <c r="F19" s="37">
        <f>IF('Общие данные'!$B$77='Общие данные'!$C$77,'График дифференц'!F18,IF('Общие данные'!$B$77='Общие данные'!$D$77,'График аннуитет.'!F18))</f>
        <v>20309000</v>
      </c>
      <c r="H19" s="320"/>
      <c r="I19" s="320"/>
      <c r="J19" s="320"/>
      <c r="K19" s="320"/>
      <c r="L19" s="320"/>
      <c r="M19" s="320"/>
      <c r="N19" s="320"/>
      <c r="O19" s="320"/>
      <c r="P19" s="320"/>
    </row>
    <row r="20" spans="1:16" ht="15" customHeight="1">
      <c r="A20" s="21">
        <f t="shared" si="0"/>
        <v>12</v>
      </c>
      <c r="B20" s="36">
        <f>'График дифференц'!B19</f>
        <v>46057</v>
      </c>
      <c r="C20" s="37">
        <f>IF('Общие данные'!$B$77='Общие данные'!$C$77,'График дифференц'!C19,IF('Общие данные'!$B$77='Общие данные'!$D$77,'График аннуитет.'!C19))</f>
        <v>19300437.229999997</v>
      </c>
      <c r="D20" s="37">
        <f>IF('Общие данные'!$B$77='Общие данные'!$C$77,'График дифференц'!D19,IF('Общие данные'!$B$77='Общие данные'!$D$77,'График аннуитет.'!D19))</f>
        <v>19300437.229999997</v>
      </c>
      <c r="E20" s="37">
        <f>IF('Общие данные'!$B$77='Общие данные'!$C$77,'График дифференц'!E19,IF('Общие данные'!$B$77='Общие данные'!$D$77,'График аннуитет.'!E19))</f>
        <v>951802.5</v>
      </c>
      <c r="F20" s="37">
        <f>IF('Общие данные'!$B$77='Общие данные'!$C$77,'График дифференц'!F19,IF('Общие данные'!$B$77='Общие данные'!$D$77,'График аннуитет.'!F19))</f>
        <v>20252239.729999997</v>
      </c>
      <c r="H20" s="320"/>
      <c r="I20" s="320"/>
      <c r="J20" s="320"/>
      <c r="K20" s="320"/>
      <c r="L20" s="320"/>
      <c r="M20" s="320"/>
      <c r="N20" s="320"/>
      <c r="O20" s="320"/>
      <c r="P20" s="320"/>
    </row>
    <row r="21" spans="1:16" hidden="1">
      <c r="A21" s="21">
        <f t="shared" si="0"/>
        <v>13</v>
      </c>
      <c r="B21" s="36" t="b">
        <f>'График дифференц'!B20</f>
        <v>0</v>
      </c>
      <c r="C21" s="37">
        <f>IF('Общие данные'!$B$77='Общие данные'!$C$77,'График дифференц'!C20,IF('Общие данные'!$B$77='Общие данные'!$D$77,'График аннуитет.'!C20))</f>
        <v>0</v>
      </c>
      <c r="D21" s="37">
        <f>IF('Общие данные'!$B$77='Общие данные'!$C$77,'График дифференц'!D20,IF('Общие данные'!$B$77='Общие данные'!$D$77,'График аннуитет.'!D20))</f>
        <v>0</v>
      </c>
      <c r="E21" s="37">
        <f>IF('Общие данные'!$B$77='Общие данные'!$C$77,'График дифференц'!E20,IF('Общие данные'!$B$77='Общие данные'!$D$77,'График аннуитет.'!E20))</f>
        <v>0</v>
      </c>
      <c r="F21" s="37">
        <f>IF('Общие данные'!$B$77='Общие данные'!$C$77,'График дифференц'!F20,IF('Общие данные'!$B$77='Общие данные'!$D$77,'График аннуитет.'!F20))</f>
        <v>0</v>
      </c>
      <c r="H21" s="320"/>
      <c r="I21" s="320"/>
      <c r="J21" s="320"/>
      <c r="K21" s="320"/>
      <c r="L21" s="320"/>
      <c r="M21" s="320"/>
      <c r="N21" s="320"/>
      <c r="O21" s="320"/>
      <c r="P21" s="320"/>
    </row>
    <row r="22" spans="1:16" hidden="1">
      <c r="A22" s="21">
        <f t="shared" si="0"/>
        <v>14</v>
      </c>
      <c r="B22" s="36" t="b">
        <f>'График дифференц'!B21</f>
        <v>0</v>
      </c>
      <c r="C22" s="37">
        <f>IF('Общие данные'!$B$77='Общие данные'!$C$77,'График дифференц'!C21,IF('Общие данные'!$B$77='Общие данные'!$D$77,'График аннуитет.'!C21))</f>
        <v>0</v>
      </c>
      <c r="D22" s="37">
        <f>IF('Общие данные'!$B$77='Общие данные'!$C$77,'График дифференц'!D21,IF('Общие данные'!$B$77='Общие данные'!$D$77,'График аннуитет.'!D21))</f>
        <v>0</v>
      </c>
      <c r="E22" s="37">
        <f>IF('Общие данные'!$B$77='Общие данные'!$C$77,'График дифференц'!E21,IF('Общие данные'!$B$77='Общие данные'!$D$77,'График аннуитет.'!E21))</f>
        <v>0</v>
      </c>
      <c r="F22" s="37">
        <f>IF('Общие данные'!$B$77='Общие данные'!$C$77,'График дифференц'!F21,IF('Общие данные'!$B$77='Общие данные'!$D$77,'График аннуитет.'!F21))</f>
        <v>0</v>
      </c>
      <c r="H22" s="320"/>
      <c r="I22" s="320"/>
      <c r="J22" s="320"/>
      <c r="K22" s="320"/>
      <c r="L22" s="320"/>
      <c r="M22" s="320"/>
      <c r="N22" s="320"/>
      <c r="O22" s="320"/>
      <c r="P22" s="320"/>
    </row>
    <row r="23" spans="1:16" hidden="1">
      <c r="A23" s="21">
        <f t="shared" si="0"/>
        <v>15</v>
      </c>
      <c r="B23" s="36" t="b">
        <f>'График дифференц'!B22</f>
        <v>0</v>
      </c>
      <c r="C23" s="37">
        <f>IF('Общие данные'!$B$77='Общие данные'!$C$77,'График дифференц'!C22,IF('Общие данные'!$B$77='Общие данные'!$D$77,'График аннуитет.'!C22))</f>
        <v>0</v>
      </c>
      <c r="D23" s="37">
        <f>IF('Общие данные'!$B$77='Общие данные'!$C$77,'График дифференц'!D22,IF('Общие данные'!$B$77='Общие данные'!$D$77,'График аннуитет.'!D22))</f>
        <v>0</v>
      </c>
      <c r="E23" s="37">
        <f>IF('Общие данные'!$B$77='Общие данные'!$C$77,'График дифференц'!E22,IF('Общие данные'!$B$77='Общие данные'!$D$77,'График аннуитет.'!E22))</f>
        <v>0</v>
      </c>
      <c r="F23" s="37">
        <f>IF('Общие данные'!$B$77='Общие данные'!$C$77,'График дифференц'!F22,IF('Общие данные'!$B$77='Общие данные'!$D$77,'График аннуитет.'!F22))</f>
        <v>0</v>
      </c>
      <c r="H23" s="320"/>
      <c r="I23" s="320"/>
      <c r="J23" s="320"/>
      <c r="K23" s="320"/>
      <c r="L23" s="320"/>
      <c r="M23" s="320"/>
      <c r="N23" s="320"/>
      <c r="O23" s="320"/>
      <c r="P23" s="320"/>
    </row>
    <row r="24" spans="1:16" hidden="1">
      <c r="A24" s="21">
        <f t="shared" si="0"/>
        <v>16</v>
      </c>
      <c r="B24" s="36" t="b">
        <f>'График дифференц'!B23</f>
        <v>0</v>
      </c>
      <c r="C24" s="37">
        <f>IF('Общие данные'!$B$77='Общие данные'!$C$77,'График дифференц'!C23,IF('Общие данные'!$B$77='Общие данные'!$D$77,'График аннуитет.'!C23))</f>
        <v>0</v>
      </c>
      <c r="D24" s="37">
        <f>IF('Общие данные'!$B$77='Общие данные'!$C$77,'График дифференц'!D23,IF('Общие данные'!$B$77='Общие данные'!$D$77,'График аннуитет.'!D23))</f>
        <v>0</v>
      </c>
      <c r="E24" s="37">
        <f>IF('Общие данные'!$B$77='Общие данные'!$C$77,'График дифференц'!E23,IF('Общие данные'!$B$77='Общие данные'!$D$77,'График аннуитет.'!E23))</f>
        <v>0</v>
      </c>
      <c r="F24" s="37">
        <f>IF('Общие данные'!$B$77='Общие данные'!$C$77,'График дифференц'!F23,IF('Общие данные'!$B$77='Общие данные'!$D$77,'График аннуитет.'!F23))</f>
        <v>0</v>
      </c>
      <c r="H24" s="320"/>
      <c r="I24" s="320"/>
      <c r="J24" s="320"/>
      <c r="K24" s="320"/>
      <c r="L24" s="320"/>
      <c r="M24" s="320"/>
      <c r="N24" s="320"/>
      <c r="O24" s="320"/>
      <c r="P24" s="320"/>
    </row>
    <row r="25" spans="1:16" hidden="1">
      <c r="A25" s="21">
        <f t="shared" si="0"/>
        <v>17</v>
      </c>
      <c r="B25" s="36" t="b">
        <f>'График дифференц'!B24</f>
        <v>0</v>
      </c>
      <c r="C25" s="37">
        <f>IF('Общие данные'!$B$77='Общие данные'!$C$77,'График дифференц'!C24,IF('Общие данные'!$B$77='Общие данные'!$D$77,'График аннуитет.'!C24))</f>
        <v>0</v>
      </c>
      <c r="D25" s="37">
        <f>IF('Общие данные'!$B$77='Общие данные'!$C$77,'График дифференц'!D24,IF('Общие данные'!$B$77='Общие данные'!$D$77,'График аннуитет.'!D24))</f>
        <v>0</v>
      </c>
      <c r="E25" s="37">
        <f>IF('Общие данные'!$B$77='Общие данные'!$C$77,'График дифференц'!E24,IF('Общие данные'!$B$77='Общие данные'!$D$77,'График аннуитет.'!E24))</f>
        <v>0</v>
      </c>
      <c r="F25" s="37">
        <f>IF('Общие данные'!$B$77='Общие данные'!$C$77,'График дифференц'!F24,IF('Общие данные'!$B$77='Общие данные'!$D$77,'График аннуитет.'!F24))</f>
        <v>0</v>
      </c>
    </row>
    <row r="26" spans="1:16" hidden="1">
      <c r="A26" s="21">
        <f t="shared" si="0"/>
        <v>18</v>
      </c>
      <c r="B26" s="36" t="b">
        <f>'График дифференц'!B25</f>
        <v>0</v>
      </c>
      <c r="C26" s="37">
        <f>IF('Общие данные'!$B$77='Общие данные'!$C$77,'График дифференц'!C25,IF('Общие данные'!$B$77='Общие данные'!$D$77,'График аннуитет.'!C25))</f>
        <v>0</v>
      </c>
      <c r="D26" s="37">
        <f>IF('Общие данные'!$B$77='Общие данные'!$C$77,'График дифференц'!D25,IF('Общие данные'!$B$77='Общие данные'!$D$77,'График аннуитет.'!D25))</f>
        <v>0</v>
      </c>
      <c r="E26" s="37">
        <f>IF('Общие данные'!$B$77='Общие данные'!$C$77,'График дифференц'!E25,IF('Общие данные'!$B$77='Общие данные'!$D$77,'График аннуитет.'!E25))</f>
        <v>0</v>
      </c>
      <c r="F26" s="37">
        <f>IF('Общие данные'!$B$77='Общие данные'!$C$77,'График дифференц'!F25,IF('Общие данные'!$B$77='Общие данные'!$D$77,'График аннуитет.'!F25))</f>
        <v>0</v>
      </c>
    </row>
    <row r="27" spans="1:16" hidden="1">
      <c r="A27" s="21">
        <f t="shared" si="0"/>
        <v>19</v>
      </c>
      <c r="B27" s="36" t="b">
        <f>'График дифференц'!B26</f>
        <v>0</v>
      </c>
      <c r="C27" s="37">
        <f>IF('Общие данные'!$B$77='Общие данные'!$C$77,'График дифференц'!C26,IF('Общие данные'!$B$77='Общие данные'!$D$77,'График аннуитет.'!C26))</f>
        <v>0</v>
      </c>
      <c r="D27" s="37">
        <f>IF('Общие данные'!$B$77='Общие данные'!$C$77,'График дифференц'!D26,IF('Общие данные'!$B$77='Общие данные'!$D$77,'График аннуитет.'!D26))</f>
        <v>0</v>
      </c>
      <c r="E27" s="37">
        <f>IF('Общие данные'!$B$77='Общие данные'!$C$77,'График дифференц'!E26,IF('Общие данные'!$B$77='Общие данные'!$D$77,'График аннуитет.'!E26))</f>
        <v>0</v>
      </c>
      <c r="F27" s="37">
        <f>IF('Общие данные'!$B$77='Общие данные'!$C$77,'График дифференц'!F26,IF('Общие данные'!$B$77='Общие данные'!$D$77,'График аннуитет.'!F26))</f>
        <v>0</v>
      </c>
    </row>
    <row r="28" spans="1:16" hidden="1">
      <c r="A28" s="21">
        <f t="shared" si="0"/>
        <v>20</v>
      </c>
      <c r="B28" s="36" t="b">
        <f>'График дифференц'!B27</f>
        <v>0</v>
      </c>
      <c r="C28" s="37">
        <f>IF('Общие данные'!$B$77='Общие данные'!$C$77,'График дифференц'!C27,IF('Общие данные'!$B$77='Общие данные'!$D$77,'График аннуитет.'!C27))</f>
        <v>0</v>
      </c>
      <c r="D28" s="37">
        <f>IF('Общие данные'!$B$77='Общие данные'!$C$77,'График дифференц'!D27,IF('Общие данные'!$B$77='Общие данные'!$D$77,'График аннуитет.'!D27))</f>
        <v>0</v>
      </c>
      <c r="E28" s="37">
        <f>IF('Общие данные'!$B$77='Общие данные'!$C$77,'График дифференц'!E27,IF('Общие данные'!$B$77='Общие данные'!$D$77,'График аннуитет.'!E27))</f>
        <v>0</v>
      </c>
      <c r="F28" s="37">
        <f>IF('Общие данные'!$B$77='Общие данные'!$C$77,'График дифференц'!F27,IF('Общие данные'!$B$77='Общие данные'!$D$77,'График аннуитет.'!F27))</f>
        <v>0</v>
      </c>
    </row>
    <row r="29" spans="1:16" hidden="1">
      <c r="A29" s="21">
        <f t="shared" si="0"/>
        <v>21</v>
      </c>
      <c r="B29" s="36" t="b">
        <f>'График дифференц'!B28</f>
        <v>0</v>
      </c>
      <c r="C29" s="37">
        <f>IF('Общие данные'!$B$77='Общие данные'!$C$77,'График дифференц'!C28,IF('Общие данные'!$B$77='Общие данные'!$D$77,'График аннуитет.'!C28))</f>
        <v>0</v>
      </c>
      <c r="D29" s="37">
        <f>IF('Общие данные'!$B$77='Общие данные'!$C$77,'График дифференц'!D28,IF('Общие данные'!$B$77='Общие данные'!$D$77,'График аннуитет.'!D28))</f>
        <v>0</v>
      </c>
      <c r="E29" s="37">
        <f>IF('Общие данные'!$B$77='Общие данные'!$C$77,'График дифференц'!E28,IF('Общие данные'!$B$77='Общие данные'!$D$77,'График аннуитет.'!E28))</f>
        <v>0</v>
      </c>
      <c r="F29" s="37">
        <f>IF('Общие данные'!$B$77='Общие данные'!$C$77,'График дифференц'!F28,IF('Общие данные'!$B$77='Общие данные'!$D$77,'График аннуитет.'!F28))</f>
        <v>0</v>
      </c>
    </row>
    <row r="30" spans="1:16" hidden="1">
      <c r="A30" s="21">
        <f t="shared" si="0"/>
        <v>22</v>
      </c>
      <c r="B30" s="36" t="b">
        <f>'График дифференц'!B29</f>
        <v>0</v>
      </c>
      <c r="C30" s="37">
        <f>IF('Общие данные'!$B$77='Общие данные'!$C$77,'График дифференц'!C29,IF('Общие данные'!$B$77='Общие данные'!$D$77,'График аннуитет.'!C29))</f>
        <v>0</v>
      </c>
      <c r="D30" s="37">
        <f>IF('Общие данные'!$B$77='Общие данные'!$C$77,'График дифференц'!D29,IF('Общие данные'!$B$77='Общие данные'!$D$77,'График аннуитет.'!D29))</f>
        <v>0</v>
      </c>
      <c r="E30" s="37">
        <f>IF('Общие данные'!$B$77='Общие данные'!$C$77,'График дифференц'!E29,IF('Общие данные'!$B$77='Общие данные'!$D$77,'График аннуитет.'!E29))</f>
        <v>0</v>
      </c>
      <c r="F30" s="37">
        <f>IF('Общие данные'!$B$77='Общие данные'!$C$77,'График дифференц'!F29,IF('Общие данные'!$B$77='Общие данные'!$D$77,'График аннуитет.'!F29))</f>
        <v>0</v>
      </c>
    </row>
    <row r="31" spans="1:16" hidden="1">
      <c r="A31" s="21">
        <f t="shared" si="0"/>
        <v>23</v>
      </c>
      <c r="B31" s="36" t="b">
        <f>'График дифференц'!B30</f>
        <v>0</v>
      </c>
      <c r="C31" s="37">
        <f>IF('Общие данные'!$B$77='Общие данные'!$C$77,'График дифференц'!C30,IF('Общие данные'!$B$77='Общие данные'!$D$77,'График аннуитет.'!C30))</f>
        <v>0</v>
      </c>
      <c r="D31" s="37">
        <f>IF('Общие данные'!$B$77='Общие данные'!$C$77,'График дифференц'!D30,IF('Общие данные'!$B$77='Общие данные'!$D$77,'График аннуитет.'!D30))</f>
        <v>0</v>
      </c>
      <c r="E31" s="37">
        <f>IF('Общие данные'!$B$77='Общие данные'!$C$77,'График дифференц'!E30,IF('Общие данные'!$B$77='Общие данные'!$D$77,'График аннуитет.'!E30))</f>
        <v>0</v>
      </c>
      <c r="F31" s="37">
        <f>IF('Общие данные'!$B$77='Общие данные'!$C$77,'График дифференц'!F30,IF('Общие данные'!$B$77='Общие данные'!$D$77,'График аннуитет.'!F30))</f>
        <v>0</v>
      </c>
    </row>
    <row r="32" spans="1:16" hidden="1">
      <c r="A32" s="21">
        <f>1+A31</f>
        <v>24</v>
      </c>
      <c r="B32" s="36" t="b">
        <f>'График дифференц'!B31</f>
        <v>0</v>
      </c>
      <c r="C32" s="37">
        <f>IF('Общие данные'!$B$77='Общие данные'!$C$77,'График дифференц'!C31,IF('Общие данные'!$B$77='Общие данные'!$D$77,'График аннуитет.'!C31))</f>
        <v>0</v>
      </c>
      <c r="D32" s="37">
        <f>IF('Общие данные'!$B$77='Общие данные'!$C$77,'График дифференц'!D31,IF('Общие данные'!$B$77='Общие данные'!$D$77,'График аннуитет.'!D31))</f>
        <v>0</v>
      </c>
      <c r="E32" s="37">
        <f>IF('Общие данные'!$B$77='Общие данные'!$C$77,'График дифференц'!E31,IF('Общие данные'!$B$77='Общие данные'!$D$77,'График аннуитет.'!E31))</f>
        <v>0</v>
      </c>
      <c r="F32" s="37">
        <f>IF('Общие данные'!$B$77='Общие данные'!$C$77,'График дифференц'!F31,IF('Общие данные'!$B$77='Общие данные'!$D$77,'График аннуитет.'!F31))</f>
        <v>0</v>
      </c>
    </row>
    <row r="33" spans="1:6" hidden="1">
      <c r="A33" s="21">
        <f t="shared" ref="A33:A44" si="1">1+A32</f>
        <v>25</v>
      </c>
      <c r="B33" s="36" t="b">
        <f>'График дифференц'!B32</f>
        <v>0</v>
      </c>
      <c r="C33" s="37">
        <f>IF('Общие данные'!$B$77='Общие данные'!$C$77,'График дифференц'!C32,IF('Общие данные'!$B$77='Общие данные'!$D$77,'График аннуитет.'!C32))</f>
        <v>0</v>
      </c>
      <c r="D33" s="37">
        <f>IF('Общие данные'!$B$77='Общие данные'!$C$77,'График дифференц'!D32,IF('Общие данные'!$B$77='Общие данные'!$D$77,'График аннуитет.'!D32))</f>
        <v>0</v>
      </c>
      <c r="E33" s="37">
        <f>IF('Общие данные'!$B$77='Общие данные'!$C$77,'График дифференц'!E32,IF('Общие данные'!$B$77='Общие данные'!$D$77,'График аннуитет.'!E32))</f>
        <v>0</v>
      </c>
      <c r="F33" s="37">
        <f>IF('Общие данные'!$B$77='Общие данные'!$C$77,'График дифференц'!F32,IF('Общие данные'!$B$77='Общие данные'!$D$77,'График аннуитет.'!F32))</f>
        <v>0</v>
      </c>
    </row>
    <row r="34" spans="1:6" hidden="1">
      <c r="A34" s="21">
        <f t="shared" si="1"/>
        <v>26</v>
      </c>
      <c r="B34" s="36" t="b">
        <f>'График дифференц'!B33</f>
        <v>0</v>
      </c>
      <c r="C34" s="37">
        <f>IF('Общие данные'!$B$77='Общие данные'!$C$77,'График дифференц'!C33,IF('Общие данные'!$B$77='Общие данные'!$D$77,'График аннуитет.'!C33))</f>
        <v>0</v>
      </c>
      <c r="D34" s="37">
        <f>IF('Общие данные'!$B$77='Общие данные'!$C$77,'График дифференц'!D33,IF('Общие данные'!$B$77='Общие данные'!$D$77,'График аннуитет.'!D33))</f>
        <v>0</v>
      </c>
      <c r="E34" s="37">
        <f>IF('Общие данные'!$B$77='Общие данные'!$C$77,'График дифференц'!E33,IF('Общие данные'!$B$77='Общие данные'!$D$77,'График аннуитет.'!E33))</f>
        <v>0</v>
      </c>
      <c r="F34" s="37">
        <f>IF('Общие данные'!$B$77='Общие данные'!$C$77,'График дифференц'!F33,IF('Общие данные'!$B$77='Общие данные'!$D$77,'График аннуитет.'!F33))</f>
        <v>0</v>
      </c>
    </row>
    <row r="35" spans="1:6" hidden="1">
      <c r="A35" s="21">
        <f t="shared" si="1"/>
        <v>27</v>
      </c>
      <c r="B35" s="36" t="b">
        <f>'График дифференц'!B34</f>
        <v>0</v>
      </c>
      <c r="C35" s="37">
        <f>IF('Общие данные'!$B$77='Общие данные'!$C$77,'График дифференц'!C34,IF('Общие данные'!$B$77='Общие данные'!$D$77,'График аннуитет.'!C34))</f>
        <v>0</v>
      </c>
      <c r="D35" s="37">
        <f>IF('Общие данные'!$B$77='Общие данные'!$C$77,'График дифференц'!D34,IF('Общие данные'!$B$77='Общие данные'!$D$77,'График аннуитет.'!D34))</f>
        <v>0</v>
      </c>
      <c r="E35" s="37">
        <f>IF('Общие данные'!$B$77='Общие данные'!$C$77,'График дифференц'!E34,IF('Общие данные'!$B$77='Общие данные'!$D$77,'График аннуитет.'!E34))</f>
        <v>0</v>
      </c>
      <c r="F35" s="37">
        <f>IF('Общие данные'!$B$77='Общие данные'!$C$77,'График дифференц'!F34,IF('Общие данные'!$B$77='Общие данные'!$D$77,'График аннуитет.'!F34))</f>
        <v>0</v>
      </c>
    </row>
    <row r="36" spans="1:6" hidden="1">
      <c r="A36" s="21">
        <f t="shared" si="1"/>
        <v>28</v>
      </c>
      <c r="B36" s="36" t="b">
        <f>'График дифференц'!B35</f>
        <v>0</v>
      </c>
      <c r="C36" s="37">
        <f>IF('Общие данные'!$B$77='Общие данные'!$C$77,'График дифференц'!C35,IF('Общие данные'!$B$77='Общие данные'!$D$77,'График аннуитет.'!C35))</f>
        <v>0</v>
      </c>
      <c r="D36" s="37">
        <f>IF('Общие данные'!$B$77='Общие данные'!$C$77,'График дифференц'!D35,IF('Общие данные'!$B$77='Общие данные'!$D$77,'График аннуитет.'!D35))</f>
        <v>0</v>
      </c>
      <c r="E36" s="37">
        <f>IF('Общие данные'!$B$77='Общие данные'!$C$77,'График дифференц'!E35,IF('Общие данные'!$B$77='Общие данные'!$D$77,'График аннуитет.'!E35))</f>
        <v>0</v>
      </c>
      <c r="F36" s="37">
        <f>IF('Общие данные'!$B$77='Общие данные'!$C$77,'График дифференц'!F35,IF('Общие данные'!$B$77='Общие данные'!$D$77,'График аннуитет.'!F35))</f>
        <v>0</v>
      </c>
    </row>
    <row r="37" spans="1:6" hidden="1">
      <c r="A37" s="21">
        <f t="shared" si="1"/>
        <v>29</v>
      </c>
      <c r="B37" s="36" t="b">
        <f>'График дифференц'!B36</f>
        <v>0</v>
      </c>
      <c r="C37" s="37">
        <f>IF('Общие данные'!$B$77='Общие данные'!$C$77,'График дифференц'!C36,IF('Общие данные'!$B$77='Общие данные'!$D$77,'График аннуитет.'!C36))</f>
        <v>0</v>
      </c>
      <c r="D37" s="37">
        <f>IF('Общие данные'!$B$77='Общие данные'!$C$77,'График дифференц'!D36,IF('Общие данные'!$B$77='Общие данные'!$D$77,'График аннуитет.'!D36))</f>
        <v>0</v>
      </c>
      <c r="E37" s="37">
        <f>IF('Общие данные'!$B$77='Общие данные'!$C$77,'График дифференц'!E36,IF('Общие данные'!$B$77='Общие данные'!$D$77,'График аннуитет.'!E36))</f>
        <v>0</v>
      </c>
      <c r="F37" s="37">
        <f>IF('Общие данные'!$B$77='Общие данные'!$C$77,'График дифференц'!F36,IF('Общие данные'!$B$77='Общие данные'!$D$77,'График аннуитет.'!F36))</f>
        <v>0</v>
      </c>
    </row>
    <row r="38" spans="1:6" hidden="1">
      <c r="A38" s="21">
        <f t="shared" si="1"/>
        <v>30</v>
      </c>
      <c r="B38" s="36" t="b">
        <f>'График дифференц'!B37</f>
        <v>0</v>
      </c>
      <c r="C38" s="37">
        <f>IF('Общие данные'!$B$77='Общие данные'!$C$77,'График дифференц'!C37,IF('Общие данные'!$B$77='Общие данные'!$D$77,'График аннуитет.'!C37))</f>
        <v>0</v>
      </c>
      <c r="D38" s="37">
        <f>IF('Общие данные'!$B$77='Общие данные'!$C$77,'График дифференц'!D37,IF('Общие данные'!$B$77='Общие данные'!$D$77,'График аннуитет.'!D37))</f>
        <v>0</v>
      </c>
      <c r="E38" s="37">
        <f>IF('Общие данные'!$B$77='Общие данные'!$C$77,'График дифференц'!E37,IF('Общие данные'!$B$77='Общие данные'!$D$77,'График аннуитет.'!E37))</f>
        <v>0</v>
      </c>
      <c r="F38" s="37">
        <f>IF('Общие данные'!$B$77='Общие данные'!$C$77,'График дифференц'!F37,IF('Общие данные'!$B$77='Общие данные'!$D$77,'График аннуитет.'!F37))</f>
        <v>0</v>
      </c>
    </row>
    <row r="39" spans="1:6" hidden="1">
      <c r="A39" s="21">
        <f t="shared" si="1"/>
        <v>31</v>
      </c>
      <c r="B39" s="36" t="b">
        <f>'График дифференц'!B38</f>
        <v>0</v>
      </c>
      <c r="C39" s="37">
        <f>IF('Общие данные'!$B$77='Общие данные'!$C$77,'График дифференц'!C38,IF('Общие данные'!$B$77='Общие данные'!$D$77,'График аннуитет.'!C38))</f>
        <v>0</v>
      </c>
      <c r="D39" s="37">
        <f>IF('Общие данные'!$B$77='Общие данные'!$C$77,'График дифференц'!D38,IF('Общие данные'!$B$77='Общие данные'!$D$77,'График аннуитет.'!D38))</f>
        <v>0</v>
      </c>
      <c r="E39" s="37">
        <f>IF('Общие данные'!$B$77='Общие данные'!$C$77,'График дифференц'!E38,IF('Общие данные'!$B$77='Общие данные'!$D$77,'График аннуитет.'!E38))</f>
        <v>0</v>
      </c>
      <c r="F39" s="37">
        <f>IF('Общие данные'!$B$77='Общие данные'!$C$77,'График дифференц'!F38,IF('Общие данные'!$B$77='Общие данные'!$D$77,'График аннуитет.'!F38))</f>
        <v>0</v>
      </c>
    </row>
    <row r="40" spans="1:6" hidden="1">
      <c r="A40" s="21">
        <f t="shared" si="1"/>
        <v>32</v>
      </c>
      <c r="B40" s="36" t="b">
        <f>'График дифференц'!B39</f>
        <v>0</v>
      </c>
      <c r="C40" s="37">
        <f>IF('Общие данные'!$B$77='Общие данные'!$C$77,'График дифференц'!C39,IF('Общие данные'!$B$77='Общие данные'!$D$77,'График аннуитет.'!C39))</f>
        <v>0</v>
      </c>
      <c r="D40" s="37">
        <f>IF('Общие данные'!$B$77='Общие данные'!$C$77,'График дифференц'!D39,IF('Общие данные'!$B$77='Общие данные'!$D$77,'График аннуитет.'!D39))</f>
        <v>0</v>
      </c>
      <c r="E40" s="37">
        <f>IF('Общие данные'!$B$77='Общие данные'!$C$77,'График дифференц'!E39,IF('Общие данные'!$B$77='Общие данные'!$D$77,'График аннуитет.'!E39))</f>
        <v>0</v>
      </c>
      <c r="F40" s="37">
        <f>IF('Общие данные'!$B$77='Общие данные'!$C$77,'График дифференц'!F39,IF('Общие данные'!$B$77='Общие данные'!$D$77,'График аннуитет.'!F39))</f>
        <v>0</v>
      </c>
    </row>
    <row r="41" spans="1:6" hidden="1">
      <c r="A41" s="21">
        <f t="shared" si="1"/>
        <v>33</v>
      </c>
      <c r="B41" s="36" t="b">
        <f>'График дифференц'!B40</f>
        <v>0</v>
      </c>
      <c r="C41" s="37">
        <f>IF('Общие данные'!$B$77='Общие данные'!$C$77,'График дифференц'!C40,IF('Общие данные'!$B$77='Общие данные'!$D$77,'График аннуитет.'!C40))</f>
        <v>0</v>
      </c>
      <c r="D41" s="37">
        <f>IF('Общие данные'!$B$77='Общие данные'!$C$77,'График дифференц'!D40,IF('Общие данные'!$B$77='Общие данные'!$D$77,'График аннуитет.'!D40))</f>
        <v>0</v>
      </c>
      <c r="E41" s="37">
        <f>IF('Общие данные'!$B$77='Общие данные'!$C$77,'График дифференц'!E40,IF('Общие данные'!$B$77='Общие данные'!$D$77,'График аннуитет.'!E40))</f>
        <v>0</v>
      </c>
      <c r="F41" s="37">
        <f>IF('Общие данные'!$B$77='Общие данные'!$C$77,'График дифференц'!F40,IF('Общие данные'!$B$77='Общие данные'!$D$77,'График аннуитет.'!F40))</f>
        <v>0</v>
      </c>
    </row>
    <row r="42" spans="1:6" hidden="1">
      <c r="A42" s="21">
        <f t="shared" si="1"/>
        <v>34</v>
      </c>
      <c r="B42" s="36" t="b">
        <f>'График дифференц'!B41</f>
        <v>0</v>
      </c>
      <c r="C42" s="37">
        <f>IF('Общие данные'!$B$77='Общие данные'!$C$77,'График дифференц'!C41,IF('Общие данные'!$B$77='Общие данные'!$D$77,'График аннуитет.'!C41))</f>
        <v>0</v>
      </c>
      <c r="D42" s="37">
        <f>IF('Общие данные'!$B$77='Общие данные'!$C$77,'График дифференц'!D41,IF('Общие данные'!$B$77='Общие данные'!$D$77,'График аннуитет.'!D41))</f>
        <v>0</v>
      </c>
      <c r="E42" s="37">
        <f>IF('Общие данные'!$B$77='Общие данные'!$C$77,'График дифференц'!E41,IF('Общие данные'!$B$77='Общие данные'!$D$77,'График аннуитет.'!E41))</f>
        <v>0</v>
      </c>
      <c r="F42" s="37">
        <f>IF('Общие данные'!$B$77='Общие данные'!$C$77,'График дифференц'!F41,IF('Общие данные'!$B$77='Общие данные'!$D$77,'График аннуитет.'!F41))</f>
        <v>0</v>
      </c>
    </row>
    <row r="43" spans="1:6" hidden="1">
      <c r="A43" s="21">
        <f t="shared" si="1"/>
        <v>35</v>
      </c>
      <c r="B43" s="36" t="b">
        <f>'График дифференц'!B42</f>
        <v>0</v>
      </c>
      <c r="C43" s="37">
        <f>IF('Общие данные'!$B$77='Общие данные'!$C$77,'График дифференц'!C42,IF('Общие данные'!$B$77='Общие данные'!$D$77,'График аннуитет.'!C42))</f>
        <v>0</v>
      </c>
      <c r="D43" s="37">
        <f>IF('Общие данные'!$B$77='Общие данные'!$C$77,'График дифференц'!D42,IF('Общие данные'!$B$77='Общие данные'!$D$77,'График аннуитет.'!D42))</f>
        <v>0</v>
      </c>
      <c r="E43" s="37">
        <f>IF('Общие данные'!$B$77='Общие данные'!$C$77,'График дифференц'!E42,IF('Общие данные'!$B$77='Общие данные'!$D$77,'График аннуитет.'!E42))</f>
        <v>0</v>
      </c>
      <c r="F43" s="37">
        <f>IF('Общие данные'!$B$77='Общие данные'!$C$77,'График дифференц'!F42,IF('Общие данные'!$B$77='Общие данные'!$D$77,'График аннуитет.'!F42))</f>
        <v>0</v>
      </c>
    </row>
    <row r="44" spans="1:6" hidden="1">
      <c r="A44" s="21">
        <f t="shared" si="1"/>
        <v>36</v>
      </c>
      <c r="B44" s="36" t="b">
        <f>'График дифференц'!B43</f>
        <v>0</v>
      </c>
      <c r="C44" s="37">
        <f>IF('Общие данные'!$B$77='Общие данные'!$C$77,'График дифференц'!C43,IF('Общие данные'!$B$77='Общие данные'!$D$77,'График аннуитет.'!C43))</f>
        <v>0</v>
      </c>
      <c r="D44" s="37">
        <f>IF('Общие данные'!$B$77='Общие данные'!$C$77,'График дифференц'!D43,IF('Общие данные'!$B$77='Общие данные'!$D$77,'График аннуитет.'!D43))</f>
        <v>0</v>
      </c>
      <c r="E44" s="37">
        <f>IF('Общие данные'!$B$77='Общие данные'!$C$77,'График дифференц'!E43,IF('Общие данные'!$B$77='Общие данные'!$D$77,'График аннуитет.'!E43))</f>
        <v>0</v>
      </c>
      <c r="F44" s="37">
        <f>IF('Общие данные'!$B$77='Общие данные'!$C$77,'График дифференц'!F43,IF('Общие данные'!$B$77='Общие данные'!$D$77,'График аннуитет.'!F43))</f>
        <v>0</v>
      </c>
    </row>
    <row r="45" spans="1:6" ht="15" customHeight="1">
      <c r="A45" s="49"/>
      <c r="B45" s="50" t="s">
        <v>228</v>
      </c>
      <c r="C45" s="51"/>
      <c r="D45" s="51">
        <f>SUM(D9:D44)</f>
        <v>180000000</v>
      </c>
      <c r="E45" s="51">
        <f>SUM(E9:E44)</f>
        <v>63651239.729999997</v>
      </c>
      <c r="F45" s="51">
        <f>SUM(F9:F44)</f>
        <v>243651239.72999999</v>
      </c>
    </row>
    <row r="46" spans="1:6" ht="11.25" customHeight="1">
      <c r="B46" s="38"/>
      <c r="C46" s="39"/>
      <c r="D46" s="39"/>
      <c r="E46" s="39"/>
      <c r="F46" s="39"/>
    </row>
    <row r="47" spans="1:6" ht="47.25" customHeight="1">
      <c r="A47" s="239" t="str">
        <f>"*"&amp;'Общие данные'!C64&amp;" bo‘yicha to‘lovlar to‘lov jadvalida ko‘rsatilmagan sanalarda to‘langan taqdirda, to‘lov summasi mikroqarz shartnomasining 2.2.-bandiga muvofiq "&amp;'Общие данные'!B65&amp;" qoldig‘iga hisoblangan foizlar summasiga o‘zgartiriladi."</f>
        <v>*Mikrokredit bo‘yicha to‘lovlar to‘lov jadvalida ko‘rsatilmagan sanalarda to‘langan taqdirda, to‘lov summasi mikroqarz shartnomasining 2.2.-bandiga muvofiq mikrokredit qoldig‘iga hisoblangan foizlar summasiga o‘zgartiriladi.</v>
      </c>
      <c r="B47" s="239"/>
      <c r="C47" s="239"/>
      <c r="D47" s="239"/>
      <c r="E47" s="239"/>
      <c r="F47" s="239"/>
    </row>
    <row r="48" spans="1:6" ht="7.5" customHeight="1"/>
    <row r="49" spans="1:6" ht="15" customHeight="1">
      <c r="A49" s="271" t="s">
        <v>295</v>
      </c>
      <c r="B49" s="271"/>
      <c r="C49" s="271"/>
      <c r="D49" s="271" t="s">
        <v>305</v>
      </c>
      <c r="E49" s="271"/>
      <c r="F49" s="271"/>
    </row>
    <row r="50" spans="1:6" ht="11.25" customHeight="1">
      <c r="A50" s="272"/>
      <c r="B50" s="272"/>
      <c r="C50" s="272"/>
      <c r="D50" s="272"/>
      <c r="E50" s="272"/>
      <c r="F50" s="272"/>
    </row>
    <row r="51" spans="1:6" ht="30" customHeight="1">
      <c r="A51" s="273" t="str">
        <f>договор!A117</f>
        <v>«CLEVER MIKROMOLIYA TASHKILOTI» MChJ</v>
      </c>
      <c r="B51" s="273"/>
      <c r="C51" s="273"/>
      <c r="D51" s="273" t="str">
        <f>договор!B117</f>
        <v>QOSIMOV BEKZODBEK ORIFJONOVICH</v>
      </c>
      <c r="E51" s="273"/>
      <c r="F51" s="273"/>
    </row>
    <row r="52" spans="1:6" ht="37.5" customHeight="1">
      <c r="A52" s="270" t="str">
        <f>договор!A119</f>
        <v>Manzil: Toshkent shahri, Olmazor tumani, Sagbon ko'chasi, 30 boshi berk, 6-uy</v>
      </c>
      <c r="B52" s="270"/>
      <c r="C52" s="270"/>
      <c r="D52" s="270" t="str">
        <f>договор!B119</f>
        <v>Manzil: QORAQALPOGISTON RESPUBLIKASI  NUKUS SHAHARI OZBEKISTON GUZARI 71 4 UY</v>
      </c>
      <c r="E52" s="270"/>
      <c r="F52" s="270"/>
    </row>
    <row r="53" spans="1:6" ht="15" customHeight="1">
      <c r="A53" s="270" t="str">
        <f>договор!A120</f>
        <v>h/r: №20216000705068380001</v>
      </c>
      <c r="B53" s="270"/>
      <c r="C53" s="270"/>
      <c r="D53" s="270" t="str">
        <f>договор!B121</f>
        <v>pasport seriyasi: AB7685294, ANDIJON VILOYATI SHAXRIXON TUMANI IIB tomonidan 09.09.2017 yilda berilgan</v>
      </c>
      <c r="E53" s="270"/>
      <c r="F53" s="270"/>
    </row>
    <row r="54" spans="1:6" ht="34.5" customHeight="1">
      <c r="A54" s="270" t="str">
        <f>договор!A121</f>
        <v>MFO: №01042 в ATB “Kapitalbank” Sergeli filiali</v>
      </c>
      <c r="B54" s="270"/>
      <c r="C54" s="270"/>
      <c r="D54" s="270"/>
      <c r="E54" s="270"/>
      <c r="F54" s="270"/>
    </row>
    <row r="55" spans="1:6" ht="15" customHeight="1">
      <c r="A55" s="270" t="str">
        <f>договор!A122</f>
        <v>STIR: 306365847</v>
      </c>
      <c r="B55" s="270"/>
      <c r="C55" s="270"/>
      <c r="D55" s="270" t="str">
        <f>договор!B122</f>
        <v>Tel: 91-496-91-11Klient</v>
      </c>
      <c r="E55" s="270"/>
      <c r="F55" s="270"/>
    </row>
    <row r="56" spans="1:6" ht="15" customHeight="1">
      <c r="A56" s="270" t="str">
        <f>договор!A123</f>
        <v>Tel: (78) 113 31 33</v>
      </c>
      <c r="B56" s="270"/>
      <c r="C56" s="270"/>
      <c r="D56" s="270" t="str">
        <f>договор!B123</f>
        <v>90-708-11-28 кизи</v>
      </c>
      <c r="E56" s="270"/>
      <c r="F56" s="270"/>
    </row>
    <row r="57" spans="1:6" ht="15" customHeight="1">
      <c r="A57" s="270" t="str">
        <f>договор!A124</f>
        <v>(78) 113 31 34</v>
      </c>
      <c r="B57" s="270"/>
      <c r="C57" s="270"/>
      <c r="D57" s="270" t="str">
        <f>договор!B124</f>
        <v>33-421-81-05 угли</v>
      </c>
      <c r="E57" s="270"/>
      <c r="F57" s="270"/>
    </row>
    <row r="58" spans="1:6" ht="23.25" customHeight="1">
      <c r="A58" s="270"/>
      <c r="B58" s="270"/>
      <c r="C58" s="270"/>
      <c r="D58" s="270" t="str">
        <f>IF(договор!B125=0,"",договор!B125)</f>
        <v/>
      </c>
      <c r="E58" s="270"/>
      <c r="F58" s="270"/>
    </row>
    <row r="59" spans="1:6" ht="21.75" customHeight="1">
      <c r="A59" s="321" t="str">
        <f>договор!A126</f>
        <v>Nukus filiali boshligi</v>
      </c>
      <c r="B59" s="321"/>
      <c r="C59" s="321"/>
      <c r="D59" s="273" t="str">
        <f>договор!B126</f>
        <v>QOSIMOV  B.O.     __________________</v>
      </c>
      <c r="E59" s="273"/>
      <c r="F59" s="273"/>
    </row>
    <row r="60" spans="1:6" ht="15" customHeight="1">
      <c r="A60" s="270"/>
      <c r="B60" s="270"/>
      <c r="C60" s="270"/>
      <c r="D60" s="273"/>
      <c r="E60" s="273"/>
      <c r="F60" s="273"/>
    </row>
    <row r="61" spans="1:6">
      <c r="A61" s="321" t="str">
        <f>договор!A128</f>
        <v xml:space="preserve">XOJANIYAZOV B. Z. ________________ </v>
      </c>
      <c r="B61" s="321"/>
      <c r="C61" s="321"/>
      <c r="D61" s="273"/>
      <c r="E61" s="273"/>
      <c r="F61" s="273"/>
    </row>
    <row r="62" spans="1:6" ht="8.25" customHeight="1">
      <c r="A62" s="270"/>
      <c r="B62" s="270"/>
      <c r="C62" s="270"/>
      <c r="D62" s="270"/>
      <c r="E62" s="270"/>
      <c r="F62" s="270"/>
    </row>
    <row r="63" spans="1:6" ht="30" customHeight="1">
      <c r="A63" s="275"/>
      <c r="B63" s="275"/>
      <c r="C63" s="275"/>
      <c r="D63" s="276"/>
      <c r="E63" s="276"/>
      <c r="F63" s="276"/>
    </row>
    <row r="64" spans="1:6">
      <c r="A64" s="277"/>
      <c r="B64" s="277"/>
      <c r="C64" s="277"/>
      <c r="D64" s="277"/>
      <c r="E64" s="277"/>
      <c r="F64" s="277"/>
    </row>
    <row r="65" spans="1:6">
      <c r="A65" s="274"/>
      <c r="B65" s="274"/>
      <c r="C65" s="274"/>
      <c r="D65" s="274"/>
      <c r="E65" s="274"/>
      <c r="F65" s="274"/>
    </row>
  </sheetData>
  <mergeCells count="41">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s>
  <conditionalFormatting sqref="B9:B44">
    <cfRule type="cellIs" dxfId="1" priority="6" operator="lessThan">
      <formula>22105</formula>
    </cfRule>
  </conditionalFormatting>
  <conditionalFormatting sqref="C9:F44">
    <cfRule type="cellIs" dxfId="0" priority="1" operator="lessThan">
      <formula>0.1</formula>
    </cfRule>
  </conditionalFormatting>
  <pageMargins left="0.70866141732283472" right="0.70866141732283472" top="0.74803149606299213" bottom="0.74803149606299213" header="0.31496062992125984" footer="0.31496062992125984"/>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85" zoomScaleSheetLayoutView="85" workbookViewId="0">
      <selection activeCell="A21" sqref="A21"/>
    </sheetView>
  </sheetViews>
  <sheetFormatPr defaultColWidth="0" defaultRowHeight="15.75" zeroHeight="1"/>
  <cols>
    <col min="1" max="1" width="33" style="9" customWidth="1"/>
    <col min="2" max="2" width="53.42578125" style="9" customWidth="1"/>
    <col min="3" max="16384" width="9.140625" style="9" hidden="1"/>
  </cols>
  <sheetData>
    <row r="5" spans="1:2"/>
    <row r="6" spans="1:2">
      <c r="B6" s="17" t="str">
        <f>'Общие данные'!B148</f>
        <v>«CLEVER MIKROMOLIYA TASHKILOTI» MChJ</v>
      </c>
    </row>
    <row r="7" spans="1:2">
      <c r="A7" s="220"/>
      <c r="B7" s="210" t="str">
        <f>""&amp;'Общие данные'!A150&amp;"i "&amp;'Общие данные'!B150&amp;"ga"</f>
        <v>Nukus filiali boshligii XOJANIYAZOV B. Z.ga</v>
      </c>
    </row>
    <row r="8" spans="1:2">
      <c r="A8" s="192"/>
      <c r="B8" s="210" t="str">
        <f>""&amp;'Общие данные'!B111&amp;"dan"</f>
        <v>QOSIMOV BEKZODBEK ORIFJONOVICHdan</v>
      </c>
    </row>
    <row r="9" spans="1:2" ht="15.75" hidden="1" customHeight="1">
      <c r="B9" s="10" t="str">
        <f>'Общие данные'!B111</f>
        <v>QOSIMOV BEKZODBEK ORIFJONOVICH</v>
      </c>
    </row>
    <row r="10" spans="1:2" ht="15.75" hidden="1" customHeight="1">
      <c r="B10" s="10" t="str">
        <f>'Общие данные'!C111</f>
        <v>SHOUSMANOVA DAVLATXON XXX</v>
      </c>
    </row>
    <row r="11" spans="1:2" ht="15.75" hidden="1" customHeight="1">
      <c r="B11" s="192" t="s">
        <v>297</v>
      </c>
    </row>
    <row r="12" spans="1:2"/>
    <row r="13" spans="1:2" ht="115.5" customHeight="1">
      <c r="A13" s="302" t="str">
        <f>IF('Общие данные'!B103="Avtotransport",A14,A15)</f>
        <v>QOSIMOV BEKZODBEK ORIFJONOVICH tomonidan so’ralayotgan 12 (o'n ikki) oy muddatga, 180 000 000 (yuz sakson million so'm) miqdoridagi mikrokreditning ta’minoti sifatida menga mulk huquqi asosida tegishli bo’lgan  MALIBU 2, Kuzov turi YENGIL SEDAN, Kuzov raqami XWBJF69VELA059410, dvigatel raqami 211470021, shassi raqami - RAKAMSIZ, rangi -  QORA CHYORNIY, ishlab chiqarilgan yili - 2022, avtotransport vositasini qabul qilishingizni so’rayman:</v>
      </c>
      <c r="B13" s="302"/>
    </row>
    <row r="14" spans="1:2" ht="124.5" hidden="1" customHeight="1">
      <c r="A14" s="30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QOSIMOV BEKZODBEK ORIFJONOVICH tomonidan so’ralayotgan 12 (o'n ikki) oy muddatga, 180 000 000 (yuz sakson million so'm) miqdoridagi mikrokreditning ta’minoti sifatida menga mulk huquqi asosida tegishli bo’lgan  MALIBU 2, Kuzov turi YENGIL SEDAN, Kuzov raqami XWBJF69VELA059410, dvigatel raqami 211470021, shassi raqami - RAKAMSIZ, rangi -  QORA CHYORNIY, ishlab chiqarilgan yili - 2022, avtotransport vositasini qabul qilishingizni so’rayman:</v>
      </c>
      <c r="B14" s="302"/>
    </row>
    <row r="15" spans="1:2" ht="116.25" hidden="1" customHeight="1">
      <c r="A15" s="30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QOSIMOV BEKZODBEK ORIFJONOVICH tomonidan so’ralayotgan 12 (o'n ikki) oy muddatga, 180 000 000 (yuz sakson million so'm) miqdoridagi mikrokreditning ta’minoti sifatida menga mulk huquqi asosida tegishli bo’lgan  3 - xonali yakka tartibdagi uy-joy, umumiy maydoni 72.13 kv.m. va yashash maydoni 37.39 kv.m  SAMARQAND VILOYATI TAYLOQ TUMANI CHAROG'BON MFY YANGI TAYLOQ QISHLOG'I 6 TURAR JOY 12 QAVAT 58 XONADON manzilda joylashgan ko'chmas mulkni qabul qilishingizni so’rayman:</v>
      </c>
      <c r="B15" s="302"/>
    </row>
    <row r="16" spans="1:2"/>
    <row r="17" spans="1:2"/>
    <row r="18" spans="1:2">
      <c r="B18" s="10" t="s">
        <v>296</v>
      </c>
    </row>
    <row r="19" spans="1:2" ht="18.75" customHeight="1">
      <c r="A19" s="9" t="str">
        <f>""&amp;'Общие данные'!B7&amp;""</f>
        <v>QOSIMOV  B.O.</v>
      </c>
      <c r="B19" s="68" t="str">
        <f>'Общие данные'!B2</f>
        <v>04.02.2025</v>
      </c>
    </row>
    <row r="20" spans="1:2" ht="57" hidden="1" customHeight="1">
      <c r="A20" s="322" t="str">
        <f>IF('Общие данные'!B93="yo’q",CONCATENATE(A24," ",A28,A22),"")</f>
        <v/>
      </c>
      <c r="B20" s="322"/>
    </row>
    <row r="21" spans="1:2">
      <c r="A21" s="9" t="s">
        <v>28</v>
      </c>
    </row>
    <row r="22" spans="1:2" hidden="1">
      <c r="A22" s="9"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9" t="str">
        <f>"№"&amp;'Общие данные'!B100&amp; ""</f>
        <v>№</v>
      </c>
    </row>
    <row r="25" spans="1:2" hidden="1">
      <c r="A25" s="9" t="str">
        <f>'Общие данные'!B102</f>
        <v>00.01.1900</v>
      </c>
    </row>
    <row r="26" spans="1:2" hidden="1">
      <c r="A26" s="9" t="str">
        <f>TEXT(A25,"ДД.ММ.ГГГГ")</f>
        <v>00.01.1900</v>
      </c>
    </row>
    <row r="27" spans="1:2" hidden="1">
      <c r="A27" s="9" t="s">
        <v>374</v>
      </c>
    </row>
    <row r="28" spans="1:2" hidden="1">
      <c r="A28" s="9"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E82"/>
  <sheetViews>
    <sheetView view="pageBreakPreview" topLeftCell="A22" zoomScaleSheetLayoutView="100" workbookViewId="0">
      <selection activeCell="L80" sqref="L80"/>
    </sheetView>
  </sheetViews>
  <sheetFormatPr defaultColWidth="9.140625" defaultRowHeight="15" outlineLevelRow="1"/>
  <cols>
    <col min="1" max="1" width="28.42578125" style="18" customWidth="1"/>
    <col min="2" max="2" width="22.85546875" style="18" customWidth="1"/>
    <col min="3" max="3" width="22.42578125" style="18" customWidth="1"/>
    <col min="4" max="4" width="21.42578125" style="18" customWidth="1"/>
    <col min="5" max="5" width="21.5703125" style="18" customWidth="1"/>
    <col min="6" max="16384" width="9.140625" style="18"/>
  </cols>
  <sheetData>
    <row r="1" spans="1:5" ht="106.5" customHeight="1"/>
    <row r="2" spans="1:5">
      <c r="A2" s="266" t="str">
        <f>"GAROV PREDMETI QIYMATINI KELISHISH №"&amp;'Общие данные'!B141&amp;" SONLI DALOLATNOMASI "</f>
        <v xml:space="preserve">GAROV PREDMETI QIYMATINI KELISHISH №1 SONLI DALOLATNOMASI </v>
      </c>
      <c r="B2" s="266"/>
      <c r="C2" s="266"/>
      <c r="D2" s="266"/>
      <c r="E2" s="266"/>
    </row>
    <row r="3" spans="1:5">
      <c r="A3" s="43"/>
      <c r="B3" s="43"/>
      <c r="C3" s="43"/>
      <c r="D3" s="43"/>
      <c r="E3" s="43"/>
    </row>
    <row r="4" spans="1:5">
      <c r="A4" s="40" t="s">
        <v>222</v>
      </c>
      <c r="B4" s="40"/>
      <c r="C4" s="40"/>
      <c r="D4" s="40"/>
      <c r="E4" s="40" t="str">
        <f>'Общие данные'!B142</f>
        <v>4 fevral 2025 y.</v>
      </c>
    </row>
    <row r="5" spans="1:5" ht="9" customHeight="1">
      <c r="A5" s="239"/>
      <c r="B5" s="239"/>
      <c r="C5" s="239"/>
      <c r="D5" s="239"/>
      <c r="E5" s="239"/>
    </row>
    <row r="6" spans="1:5" ht="87" customHeight="1">
      <c r="A6" s="239" t="str">
        <f>IF('Общие данные'!B103="avtotransport",'Акт согласования'!A10:E10,'Акт согласования'!A7:E7)</f>
        <v>«CLEVER MIKROMOLIYA TASHKILOTI» MChJning (1-tomon) vakili bo‘lgan  Nukus filiali boshligi XOJANIYAZOV B. Z., O‘zbekiston Respublikasi fuqarosi va garovga beruvchi QOSIMOV BEKZODBEK ORIFJONOVICH (2-tomon) o’rtalarida, 4 fevral 2025 y.dan №269-NS-sonli Mikrokredit shartnomasiga muvofiq 1-tomon 2-tomonga berilgan mikrokredit bo‘yicha ta’minot sifatida taqdim etilgan, 2-tomonga mulk huquqi asosida tegishli bo‘lgan mulkning garov qiymatini kelishish muzokaralari o’tkazildi.</v>
      </c>
      <c r="B6" s="239"/>
      <c r="C6" s="239"/>
      <c r="D6" s="239"/>
      <c r="E6" s="239"/>
    </row>
    <row r="7" spans="1:5" ht="88.5" hidden="1" customHeight="1">
      <c r="A7" s="239" t="str">
        <f>IF('Общие данные'!B93="ha",'Акт согласования'!A9:E9,'Акт согласования'!A8:E8)</f>
        <v xml:space="preserve">«CLEVER MIKROMOLIYA TASHKILOTI» MChJning (1-tomon) vakili bo‘lgan  Nukus filiali boshligi XOJANIYAZOV B. Z., va O‘zbekiston Respublikasi fuqarosi  QOSIMOV BEKZODBEK ORIFJONOVICH (2-tomon) va garov egasi SHOUSMANOVA DAVLATXON XXX (3-tomon) 4 fevral 2025 y.dan №269-NS Mikrokredit shartnomasiga muvofiq 1-tomon 2-tomonga berilgan mikrokredit bo‘yicha ta’minot sifatida taqdim etilgan, 2-tomonga mulk huquqi asosida tegishli bo‘lgan mulkning garov qiymatini kelishish muzokaralari o’tkazildi. </v>
      </c>
      <c r="B7" s="239"/>
      <c r="C7" s="239"/>
      <c r="D7" s="239"/>
      <c r="E7" s="239"/>
    </row>
    <row r="8" spans="1:5" ht="88.5" hidden="1" customHeight="1">
      <c r="A8" s="239"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Nukus filiali boshligi XOJANIYAZOV B. Z., va O‘zbekiston Respublikasi fuqarosi  QOSIMOV BEKZODBEK ORIFJONOVICH (2-tomon) va garov egasi SHOUSMANOVA DAVLATXON XXX (3-tomon) 4 fevral 2025 y.dan №269-NS Mikrokredit shartnomasiga muvofiq 1-tomon 2-tomonga berilgan mikrokredit bo‘yicha ta’minot sifatida taqdim etilgan, 2-tomonga mulk huquqi asosida tegishli bo‘lgan mulkning garov qiymatini kelishish muzokaralari o’tkazildi. </v>
      </c>
      <c r="B8" s="239"/>
      <c r="C8" s="239"/>
      <c r="D8" s="239"/>
      <c r="E8" s="239"/>
    </row>
    <row r="9" spans="1:5" ht="88.5" hidden="1" customHeight="1">
      <c r="A9" s="239"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Nukus filiali boshligi XOJANIYAZOV B. Z., va O‘zbekiston Respublikasi fuqarosi  QOSIMOV BEKZODBEK ORIFJONOVICH (2-tomon) va garov egasi SHOUSMANOVA DAVLATXON XXX (3-tomon) 4 fevral 2025 y.dan №269-NS Mikrokredit shartnomasiga muvofiq 1-tomon 2-tomonga berilgan mikrokredit bo‘yicha ta’minot sifatida taqdim etilgan, 2-tomonga mulk huquqi asosida tegishli bo‘lgan mulkning garov qiymatini kelishish muzokaralari o’tkazildi. </v>
      </c>
      <c r="B9" s="239"/>
      <c r="C9" s="239"/>
      <c r="D9" s="239"/>
      <c r="E9" s="239"/>
    </row>
    <row r="10" spans="1:5" ht="88.5" hidden="1" customHeight="1">
      <c r="A10" s="239" t="str">
        <f>IF('Общие данные'!B93="ha",'Акт согласования'!A12:E12,'Акт согласования'!A11:E11)</f>
        <v>«CLEVER MIKROMOLIYA TASHKILOTI» MChJning (1-tomon) vakili bo‘lgan  Nukus filiali boshligi XOJANIYAZOV B. Z., O‘zbekiston Respublikasi fuqarosi va garovga beruvchi QOSIMOV BEKZODBEK ORIFJONOVICH (2-tomon) o’rtalarida, 4 fevral 2025 y.dan №269-NS-sonli Mikrokredit shartnomasiga muvofiq 1-tomon 2-tomonga berilgan mikrokredit bo‘yicha ta’minot sifatida taqdim etilgan, 2-tomonga mulk huquqi asosida tegishli bo‘lgan mulkning garov qiymatini kelishish muzokaralari o’tkazildi.</v>
      </c>
      <c r="B10" s="239"/>
      <c r="C10" s="239"/>
      <c r="D10" s="239"/>
      <c r="E10" s="239"/>
    </row>
    <row r="11" spans="1:5" ht="88.5" hidden="1" customHeight="1">
      <c r="A11" s="239"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Nukus filiali boshligi XOJANIYAZOV B. Z., O‘zbekiston Respublikasi fuqarosi QOSIMOV BEKZODBEK ORIFJONOVICH (2-tomon) va garovga beruvchi O‘zbekiston Respublikasi fuqarosi QOSIMOV BEKZODBEK ORIFJONOVICH (3-tomon) o’rtalarida, 4 fevral 2025 y.dan №269-NS-sonli Mikrokredit shartnomasiga muvofiq 1-tomon 2-tomonga berilgan mikrokredit bo‘yicha ta’minot sifatida taqdim etilgan, 3-tomonga mulk huquqi asosida tegishli bo‘lgan mulkning garov qiymatini kelishish muzokaralari o’tkazildi.</v>
      </c>
      <c r="B11" s="239"/>
      <c r="C11" s="239"/>
      <c r="D11" s="239"/>
      <c r="E11" s="239"/>
    </row>
    <row r="12" spans="1:5" ht="88.5" hidden="1" customHeight="1">
      <c r="A12" s="239"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Nukus filiali boshligi XOJANIYAZOV B. Z., O‘zbekiston Respublikasi fuqarosi va garovga beruvchi QOSIMOV BEKZODBEK ORIFJONOVICH (2-tomon) o’rtalarida, 4 fevral 2025 y.dan №269-NS-sonli Mikrokredit shartnomasiga muvofiq 1-tomon 2-tomonga berilgan mikrokredit bo‘yicha ta’minot sifatida taqdim etilgan, 2-tomonga mulk huquqi asosida tegishli bo‘lgan mulkning garov qiymatini kelishish muzokaralari o’tkazildi.</v>
      </c>
      <c r="B12" s="239"/>
      <c r="C12" s="239"/>
      <c r="D12" s="239"/>
      <c r="E12" s="239"/>
    </row>
    <row r="13" spans="1:5" ht="88.5" hidden="1" customHeight="1">
      <c r="A13" s="239" t="str">
        <f>"Garov predmeti sifatida "&amp;'Общие данные'!B125&amp;", 3-tomonga egalik huquqi tegishli bo'lgan, quyidagi tafsilotlarga ega avtotransport vositasi taqdim etiladi:"</f>
        <v>Garov predmeti sifatida MALIBU 2, 3-tomonga egalik huquqi tegishli bo'lgan, quyidagi tafsilotlarga ega avtotransport vositasi taqdim etiladi:</v>
      </c>
      <c r="B13" s="239"/>
      <c r="C13" s="239"/>
      <c r="D13" s="239"/>
      <c r="E13" s="239"/>
    </row>
    <row r="14" spans="1:5" ht="88.5" hidden="1" customHeight="1">
      <c r="A14" s="239" t="str">
        <f>"Garov predmeti sifatida "&amp;'Общие данные'!B125&amp;", 2-tomonga egalik huquqi tegishli bo'lgan, quyidagi tafsilotlarga ega avtotransport vositasi taqdim etiladi:"</f>
        <v>Garov predmeti sifatida MALIBU 2, 2-tomonga egalik huquqi tegishli bo'lgan, quyidagi tafsilotlarga ega avtotransport vositasi taqdim etiladi:</v>
      </c>
      <c r="B14" s="239"/>
      <c r="C14" s="239"/>
      <c r="D14" s="239"/>
      <c r="E14" s="239"/>
    </row>
    <row r="15" spans="1:5" ht="88.5" hidden="1" customHeight="1">
      <c r="A15" s="239" t="str">
        <f>IF('Общие данные'!B93="ha",'Акт согласования'!A14:E14,'Акт согласования'!A13:E13)</f>
        <v>Garov predmeti sifatida MALIBU 2, 2-tomonga egalik huquqi tegishli bo'lgan, quyidagi tafsilotlarga ega avtotransport vositasi taqdim etiladi:</v>
      </c>
      <c r="B15" s="239"/>
      <c r="C15" s="239"/>
      <c r="D15" s="239"/>
      <c r="E15" s="239"/>
    </row>
    <row r="16" spans="1:5" ht="88.5" hidden="1" customHeight="1">
      <c r="A16" s="239"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9"/>
      <c r="C16" s="239"/>
      <c r="D16" s="239"/>
      <c r="E16" s="239"/>
    </row>
    <row r="17" spans="1:5" ht="13.5" hidden="1" customHeight="1">
      <c r="A17" s="239"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9"/>
      <c r="C17" s="239"/>
      <c r="D17" s="239"/>
      <c r="E17" s="239"/>
    </row>
    <row r="18" spans="1:5" ht="11.25" hidden="1" customHeight="1">
      <c r="A18" s="239" t="str">
        <f>IF('Общие данные'!B93="ha",'Акт согласования'!A16:E16,'Акт согласования'!A17:E17)</f>
        <v>Garov predmeti sifatida 3 - xonali yakka tartibdagi uy-joy, 2-tomonga egalik huquqi tegishli bo'lgan, quyidagi tafsilotlarga ega ko'chmas mulk taqdim etiladi:</v>
      </c>
      <c r="B18" s="239"/>
      <c r="C18" s="239"/>
      <c r="D18" s="239"/>
      <c r="E18" s="239"/>
    </row>
    <row r="19" spans="1:5" ht="39.75" customHeight="1">
      <c r="A19" s="239" t="str">
        <f>IF('Общие данные'!B103="Avtotransport",'Акт согласования'!A15:E15,'Акт согласования'!A18:E18)</f>
        <v>Garov predmeti sifatida MALIBU 2, 2-tomonga egalik huquqi tegishli bo'lgan, quyidagi tafsilotlarga ega avtotransport vositasi taqdim etiladi:</v>
      </c>
      <c r="B19" s="239"/>
      <c r="C19" s="239"/>
      <c r="D19" s="239"/>
      <c r="E19" s="239"/>
    </row>
    <row r="20" spans="1:5" ht="48" customHeight="1" outlineLevel="1">
      <c r="A20" s="42" t="s">
        <v>217</v>
      </c>
      <c r="B20" s="330" t="s">
        <v>218</v>
      </c>
      <c r="C20" s="331"/>
      <c r="D20" s="42" t="s">
        <v>219</v>
      </c>
      <c r="E20" s="42" t="s">
        <v>220</v>
      </c>
    </row>
    <row r="21" spans="1:5" ht="65.25" customHeight="1" outlineLevel="1">
      <c r="A21" s="20" t="str">
        <f>'Общие данные'!B125</f>
        <v>MALIBU 2</v>
      </c>
      <c r="B21" s="268" t="str">
        <f>'Общие данные'!B127</f>
        <v>Kuzov turi YENGIL SEDAN, Kuzov raqami XWBJF69VELA059410</v>
      </c>
      <c r="C21" s="268"/>
      <c r="D21" s="20" t="str">
        <f>'Общие данные'!B130</f>
        <v>dvigatel raqami 211470021, shassi raqami - RAKAMSIZ</v>
      </c>
      <c r="E21" s="20" t="str">
        <f>'Общие данные'!B133</f>
        <v>rangi -  QORA CHYORNIY, ishlab chiqarilgan yili - 2022</v>
      </c>
    </row>
    <row r="22" spans="1:5" ht="17.25" customHeight="1" outlineLevel="1">
      <c r="A22" s="239" t="str">
        <f>"-* avtotransport egasi: "&amp;'Общие данные'!B117&amp;""</f>
        <v>-* avtotransport egasi: QOSIMOV BEKZODBEK ORIFJONOVICH</v>
      </c>
      <c r="B22" s="239"/>
      <c r="C22" s="239"/>
      <c r="D22" s="239"/>
      <c r="E22" s="239"/>
    </row>
    <row r="23" spans="1:5" outlineLevel="1">
      <c r="A23" s="239" t="str">
        <f>"-* texnik pasport: "&amp;'Общие данные'!B124&amp;""</f>
        <v>-* texnik pasport: AAG 2398913  20.09.2023 y.</v>
      </c>
      <c r="B23" s="239"/>
      <c r="C23" s="239"/>
      <c r="D23" s="239"/>
      <c r="E23" s="239"/>
    </row>
    <row r="24" spans="1:5" ht="17.25" customHeight="1" outlineLevel="1">
      <c r="A24" s="239" t="str">
        <f>"-* roʻyxatdan oʻtgan manzili/garaj manzili: "&amp;'Общие данные'!B122&amp;""</f>
        <v>-* roʻyxatdan oʻtgan manzili/garaj manzili: ANDIJON VILOYATI SHAXRIXON TUMANI BARKAMOL AVLOD MFY</v>
      </c>
      <c r="B24" s="239"/>
      <c r="C24" s="239"/>
      <c r="D24" s="239"/>
      <c r="E24" s="239"/>
    </row>
    <row r="25" spans="1:5" ht="19.5" customHeight="1" outlineLevel="1">
      <c r="A25" s="239" t="str">
        <f>"-* davlat raqami: "&amp;'Общие данные'!B126&amp;""</f>
        <v>-* davlat raqami: 60Q081BB</v>
      </c>
      <c r="B25" s="239"/>
      <c r="C25" s="239"/>
      <c r="D25" s="239"/>
      <c r="E25" s="239"/>
    </row>
    <row r="26" spans="1:5" ht="5.25" hidden="1" customHeight="1">
      <c r="A26" s="22"/>
      <c r="B26" s="22"/>
      <c r="C26" s="22"/>
      <c r="D26" s="22"/>
      <c r="E26" s="22"/>
    </row>
    <row r="27" spans="1:5" s="40" customFormat="1" ht="14.25" hidden="1" outlineLevel="1">
      <c r="A27" s="330" t="s">
        <v>217</v>
      </c>
      <c r="B27" s="331"/>
      <c r="C27" s="42" t="s">
        <v>223</v>
      </c>
      <c r="D27" s="42" t="s">
        <v>224</v>
      </c>
      <c r="E27" s="42" t="s">
        <v>225</v>
      </c>
    </row>
    <row r="28" spans="1:5" hidden="1" outlineLevel="1">
      <c r="A28" s="328" t="s">
        <v>226</v>
      </c>
      <c r="B28" s="329"/>
      <c r="C28" s="137">
        <v>0</v>
      </c>
      <c r="D28" s="138">
        <v>37.39</v>
      </c>
      <c r="E28" s="60">
        <f>C28+D28</f>
        <v>37.39</v>
      </c>
    </row>
    <row r="29" spans="1:5" ht="15" hidden="1" customHeight="1" outlineLevel="1">
      <c r="A29" s="323" t="s">
        <v>227</v>
      </c>
      <c r="B29" s="324"/>
      <c r="C29" s="138">
        <v>34.74</v>
      </c>
      <c r="D29" s="138">
        <v>0</v>
      </c>
      <c r="E29" s="60">
        <f t="shared" ref="E29:E37" si="0">C29+D29</f>
        <v>34.74</v>
      </c>
    </row>
    <row r="30" spans="1:5" ht="15" hidden="1" customHeight="1" outlineLevel="1">
      <c r="A30" s="323"/>
      <c r="B30" s="324"/>
      <c r="C30" s="138"/>
      <c r="D30" s="138">
        <v>0</v>
      </c>
      <c r="E30" s="60">
        <f t="shared" si="0"/>
        <v>0</v>
      </c>
    </row>
    <row r="31" spans="1:5" ht="15" hidden="1" customHeight="1" outlineLevel="1">
      <c r="A31" s="323"/>
      <c r="B31" s="324"/>
      <c r="C31" s="138"/>
      <c r="D31" s="138">
        <v>0</v>
      </c>
      <c r="E31" s="60">
        <f t="shared" si="0"/>
        <v>0</v>
      </c>
    </row>
    <row r="32" spans="1:5" ht="15" hidden="1" customHeight="1" outlineLevel="1">
      <c r="A32" s="323"/>
      <c r="B32" s="324"/>
      <c r="C32" s="138"/>
      <c r="D32" s="138">
        <v>0</v>
      </c>
      <c r="E32" s="60">
        <f t="shared" si="0"/>
        <v>0</v>
      </c>
    </row>
    <row r="33" spans="1:5" hidden="1" outlineLevel="1">
      <c r="A33" s="323"/>
      <c r="B33" s="324"/>
      <c r="C33" s="138"/>
      <c r="D33" s="138">
        <v>0</v>
      </c>
      <c r="E33" s="60">
        <f t="shared" si="0"/>
        <v>0</v>
      </c>
    </row>
    <row r="34" spans="1:5" hidden="1" outlineLevel="1">
      <c r="A34" s="323"/>
      <c r="B34" s="324"/>
      <c r="C34" s="138"/>
      <c r="D34" s="138"/>
      <c r="E34" s="60">
        <f t="shared" si="0"/>
        <v>0</v>
      </c>
    </row>
    <row r="35" spans="1:5" hidden="1" outlineLevel="1">
      <c r="A35" s="323"/>
      <c r="B35" s="324"/>
      <c r="C35" s="138"/>
      <c r="D35" s="138">
        <v>0</v>
      </c>
      <c r="E35" s="60">
        <f t="shared" si="0"/>
        <v>0</v>
      </c>
    </row>
    <row r="36" spans="1:5" hidden="1" outlineLevel="1">
      <c r="A36" s="323"/>
      <c r="B36" s="324"/>
      <c r="C36" s="138"/>
      <c r="D36" s="138"/>
      <c r="E36" s="60">
        <f t="shared" si="0"/>
        <v>0</v>
      </c>
    </row>
    <row r="37" spans="1:5" hidden="1" outlineLevel="1">
      <c r="A37" s="323"/>
      <c r="B37" s="324"/>
      <c r="C37" s="60"/>
      <c r="D37" s="60"/>
      <c r="E37" s="60">
        <f t="shared" si="0"/>
        <v>0</v>
      </c>
    </row>
    <row r="38" spans="1:5" s="40" customFormat="1" ht="14.25" hidden="1" outlineLevel="1">
      <c r="A38" s="332" t="s">
        <v>228</v>
      </c>
      <c r="B38" s="333"/>
      <c r="C38" s="57">
        <f>SUM(C28:C37)</f>
        <v>34.74</v>
      </c>
      <c r="D38" s="57">
        <f>SUM(D28:D37)</f>
        <v>37.39</v>
      </c>
      <c r="E38" s="136">
        <f>SUM(E28:E37)</f>
        <v>72.13</v>
      </c>
    </row>
    <row r="39" spans="1:5" s="40" customFormat="1" ht="15" hidden="1" customHeight="1" outlineLevel="1">
      <c r="A39" s="334" t="str">
        <f>"-* ko'chmas mulk egasi: "&amp;'Общие данные'!C117&amp;""</f>
        <v>-* ko'chmas mulk egasi: SHOUSMANOVA DAVLATXON XXX</v>
      </c>
      <c r="B39" s="334"/>
      <c r="C39" s="334"/>
      <c r="D39" s="334"/>
      <c r="E39" s="334"/>
    </row>
    <row r="40" spans="1:5" s="40" customFormat="1" ht="15" hidden="1" customHeight="1" outlineLevel="1">
      <c r="A40" s="239" t="str">
        <f>"-* reestr raqami: "&amp;'Общие данные'!C124&amp;""</f>
        <v>-* reestr raqami: 1718238/R-A1419303</v>
      </c>
      <c r="B40" s="239"/>
      <c r="C40" s="239"/>
      <c r="D40" s="239"/>
      <c r="E40" s="239"/>
    </row>
    <row r="41" spans="1:5" s="40" customFormat="1" ht="15" hidden="1" customHeight="1" outlineLevel="1">
      <c r="A41" s="239" t="str">
        <f>"-* kadastr raqami: "&amp;'Общие данные'!C127&amp;""</f>
        <v>-* kadastr raqami: №14:13:02:01:03:1179:0006:058 от 16.12.2020 г.</v>
      </c>
      <c r="B41" s="239"/>
      <c r="C41" s="239"/>
      <c r="D41" s="239"/>
      <c r="E41" s="239"/>
    </row>
    <row r="42" spans="1:5" s="40" customFormat="1" ht="15" hidden="1" customHeight="1" outlineLevel="1">
      <c r="A42" s="239" t="str">
        <f>"-* manzil: "&amp;'Общие данные'!C123&amp;""</f>
        <v>-* manzil: SAMARQAND VILOYATI TAYLOQ TUMANI CHAROG'BON MFY YANGI TAYLOQ QISHLOG'I 6 TURAR JOY 12 QAVAT 58 XONADON</v>
      </c>
      <c r="B42" s="239"/>
      <c r="C42" s="239"/>
      <c r="D42" s="239"/>
      <c r="E42" s="239"/>
    </row>
    <row r="43" spans="1:5" s="40" customFormat="1" ht="9" customHeight="1" collapsed="1">
      <c r="A43" s="239"/>
      <c r="B43" s="239"/>
      <c r="C43" s="239"/>
      <c r="D43" s="239"/>
      <c r="E43" s="239"/>
    </row>
    <row r="44" spans="1:5" ht="65.25" customHeight="1">
      <c r="A44" s="239" t="str">
        <f>IF('Общие данные'!B93="ha",'Акт согласования'!A46:E46,'Акт согласования'!A45:E45)</f>
        <v>Tomonlar o’rtasida o’tkazilgan muzokaralar natijalariga ko‘ra, 2-tomon ta’minot sifatida quyidagi tafsilotlarga ega bo’lgan garov predmetini taqdim etadi, 1-tomon esa ushbu garov predmetini  4 fevral 2025 y.dan №269-NS Mikrokredit shartnomasi bo‘yicha berilgan mikrokredit bo‘yicha  270 000 000,00 (ikki yuz yetmish million so'm) so’m bo‘lgan kelishilgan garov qiymatida qabul qiladi::</v>
      </c>
      <c r="B44" s="239"/>
      <c r="C44" s="239"/>
      <c r="D44" s="239"/>
      <c r="E44" s="239"/>
    </row>
    <row r="45" spans="1:5" ht="66" hidden="1" customHeight="1">
      <c r="A45" s="239"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4 fevral 2025 y.dan №269-NS mikrokredit shartnomasi bo‘yicha berilgan mikrokredit bo‘yicha  270 000 000,00 (ikki yuz yetmish million so'm) so’m bo‘lgan kelishilgan garov qiymatida qabul qiladi::</v>
      </c>
      <c r="B45" s="239"/>
      <c r="C45" s="239"/>
      <c r="D45" s="239"/>
      <c r="E45" s="239"/>
    </row>
    <row r="46" spans="1:5" ht="58.5" hidden="1" customHeight="1">
      <c r="A46" s="239"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4 fevral 2025 y.dan №269-NS Mikrokredit shartnomasi bo‘yicha berilgan mikrokredit bo‘yicha  270 000 000,00 (ikki yuz yetmish million so'm) so’m bo‘lgan kelishilgan garov qiymatida qabul qiladi::</v>
      </c>
      <c r="B46" s="239"/>
      <c r="C46" s="239"/>
      <c r="D46" s="239"/>
      <c r="E46" s="239"/>
    </row>
    <row r="47" spans="1:5" ht="51.75" customHeight="1" outlineLevel="1">
      <c r="A47" s="42" t="s">
        <v>217</v>
      </c>
      <c r="B47" s="42" t="s">
        <v>218</v>
      </c>
      <c r="C47" s="42" t="s">
        <v>219</v>
      </c>
      <c r="D47" s="42" t="s">
        <v>220</v>
      </c>
      <c r="E47" s="42" t="s">
        <v>221</v>
      </c>
    </row>
    <row r="48" spans="1:5" ht="76.5" customHeight="1" outlineLevel="1">
      <c r="A48" s="20" t="str">
        <f>A21</f>
        <v>MALIBU 2</v>
      </c>
      <c r="B48" s="20" t="str">
        <f>B21</f>
        <v>Kuzov turi YENGIL SEDAN, Kuzov raqami XWBJF69VELA059410</v>
      </c>
      <c r="C48" s="20" t="str">
        <f>D21</f>
        <v>dvigatel raqami 211470021, shassi raqami - RAKAMSIZ</v>
      </c>
      <c r="D48" s="20" t="str">
        <f>E21</f>
        <v>rangi -  QORA CHYORNIY, ishlab chiqarilgan yili - 2022</v>
      </c>
      <c r="E48" s="20" t="str">
        <f>""&amp;FIXED('Общие данные'!B136,2)&amp;" ("&amp;'Общие данные'!B137&amp;")"</f>
        <v>270 000 000,00 (ikki yuz yetmish million so'm)</v>
      </c>
    </row>
    <row r="49" spans="1:5" ht="16.5" customHeight="1">
      <c r="A49" s="19"/>
      <c r="B49" s="19"/>
      <c r="C49" s="19"/>
      <c r="D49" s="19"/>
      <c r="E49" s="19"/>
    </row>
    <row r="50" spans="1:5" ht="56.25" hidden="1" customHeight="1" outlineLevel="1">
      <c r="A50" s="42" t="s">
        <v>5</v>
      </c>
      <c r="B50" s="42" t="s">
        <v>19</v>
      </c>
      <c r="C50" s="42" t="s">
        <v>20</v>
      </c>
      <c r="D50" s="42" t="s">
        <v>21</v>
      </c>
      <c r="E50" s="42" t="s">
        <v>6</v>
      </c>
    </row>
    <row r="51" spans="1:5" ht="15.75" hidden="1" customHeight="1" outlineLevel="1">
      <c r="A51" s="20" t="str">
        <f>A28</f>
        <v>Yashash xona</v>
      </c>
      <c r="B51" s="137">
        <f>C28</f>
        <v>0</v>
      </c>
      <c r="C51" s="137">
        <f>D28</f>
        <v>37.39</v>
      </c>
      <c r="D51" s="137">
        <f>E28</f>
        <v>37.39</v>
      </c>
      <c r="E51" s="325" t="str">
        <f>""&amp;FIXED('Общие данные'!C136,2)&amp;" ("&amp;'Общие данные'!B137&amp;")"</f>
        <v>270 000 000,00 (ikki yuz yetmish million so'm)</v>
      </c>
    </row>
    <row r="52" spans="1:5" ht="15.75" hidden="1" customHeight="1" outlineLevel="1">
      <c r="A52" s="20"/>
      <c r="B52" s="137"/>
      <c r="C52" s="137"/>
      <c r="D52" s="137"/>
      <c r="E52" s="326"/>
    </row>
    <row r="53" spans="1:5" ht="15.75" hidden="1" customHeight="1" outlineLevel="1">
      <c r="A53" s="20" t="str">
        <f t="shared" ref="A53:A62" si="1">A29</f>
        <v>Noturar joy</v>
      </c>
      <c r="B53" s="137">
        <f t="shared" ref="B53:D53" si="2">C29</f>
        <v>34.74</v>
      </c>
      <c r="C53" s="137">
        <f t="shared" si="2"/>
        <v>0</v>
      </c>
      <c r="D53" s="137">
        <f t="shared" si="2"/>
        <v>34.74</v>
      </c>
      <c r="E53" s="326"/>
    </row>
    <row r="54" spans="1:5" ht="15.75" hidden="1" customHeight="1" outlineLevel="1">
      <c r="A54" s="20">
        <f t="shared" si="1"/>
        <v>0</v>
      </c>
      <c r="B54" s="137">
        <f t="shared" ref="B54:D54" si="3">C30</f>
        <v>0</v>
      </c>
      <c r="C54" s="137">
        <f t="shared" si="3"/>
        <v>0</v>
      </c>
      <c r="D54" s="137">
        <f t="shared" si="3"/>
        <v>0</v>
      </c>
      <c r="E54" s="326"/>
    </row>
    <row r="55" spans="1:5" ht="15.75" hidden="1" customHeight="1" outlineLevel="1">
      <c r="A55" s="20">
        <f t="shared" si="1"/>
        <v>0</v>
      </c>
      <c r="B55" s="137">
        <f t="shared" ref="B55:D55" si="4">C31</f>
        <v>0</v>
      </c>
      <c r="C55" s="137">
        <f t="shared" si="4"/>
        <v>0</v>
      </c>
      <c r="D55" s="137">
        <f t="shared" si="4"/>
        <v>0</v>
      </c>
      <c r="E55" s="326"/>
    </row>
    <row r="56" spans="1:5" ht="15.75" hidden="1" customHeight="1" outlineLevel="1">
      <c r="A56" s="20">
        <f t="shared" si="1"/>
        <v>0</v>
      </c>
      <c r="B56" s="137">
        <f t="shared" ref="B56:D56" si="5">C32</f>
        <v>0</v>
      </c>
      <c r="C56" s="137">
        <f t="shared" si="5"/>
        <v>0</v>
      </c>
      <c r="D56" s="137">
        <f t="shared" si="5"/>
        <v>0</v>
      </c>
      <c r="E56" s="326"/>
    </row>
    <row r="57" spans="1:5" ht="15.75" hidden="1" customHeight="1" outlineLevel="1">
      <c r="A57" s="20">
        <f t="shared" si="1"/>
        <v>0</v>
      </c>
      <c r="B57" s="137">
        <f t="shared" ref="B57:D57" si="6">C33</f>
        <v>0</v>
      </c>
      <c r="C57" s="137">
        <f t="shared" si="6"/>
        <v>0</v>
      </c>
      <c r="D57" s="137">
        <f t="shared" si="6"/>
        <v>0</v>
      </c>
      <c r="E57" s="326"/>
    </row>
    <row r="58" spans="1:5" ht="15.75" hidden="1" customHeight="1" outlineLevel="1">
      <c r="A58" s="20">
        <f t="shared" si="1"/>
        <v>0</v>
      </c>
      <c r="B58" s="137">
        <f t="shared" ref="B58:D58" si="7">C34</f>
        <v>0</v>
      </c>
      <c r="C58" s="137">
        <f t="shared" si="7"/>
        <v>0</v>
      </c>
      <c r="D58" s="137">
        <f t="shared" si="7"/>
        <v>0</v>
      </c>
      <c r="E58" s="326"/>
    </row>
    <row r="59" spans="1:5" ht="15.75" hidden="1" customHeight="1" outlineLevel="1">
      <c r="A59" s="20">
        <f t="shared" si="1"/>
        <v>0</v>
      </c>
      <c r="B59" s="137">
        <f t="shared" ref="B59:D59" si="8">C35</f>
        <v>0</v>
      </c>
      <c r="C59" s="137">
        <f t="shared" si="8"/>
        <v>0</v>
      </c>
      <c r="D59" s="137">
        <f t="shared" si="8"/>
        <v>0</v>
      </c>
      <c r="E59" s="326"/>
    </row>
    <row r="60" spans="1:5" ht="15.75" hidden="1" customHeight="1" outlineLevel="1">
      <c r="A60" s="20">
        <f t="shared" si="1"/>
        <v>0</v>
      </c>
      <c r="B60" s="137">
        <f t="shared" ref="B60:D60" si="9">C36</f>
        <v>0</v>
      </c>
      <c r="C60" s="137">
        <f t="shared" si="9"/>
        <v>0</v>
      </c>
      <c r="D60" s="137">
        <f t="shared" si="9"/>
        <v>0</v>
      </c>
      <c r="E60" s="326"/>
    </row>
    <row r="61" spans="1:5" ht="15.75" hidden="1" customHeight="1" outlineLevel="1">
      <c r="A61" s="20">
        <f t="shared" si="1"/>
        <v>0</v>
      </c>
      <c r="B61" s="20">
        <f t="shared" ref="B61:D61" si="10">C37</f>
        <v>0</v>
      </c>
      <c r="C61" s="20">
        <f t="shared" si="10"/>
        <v>0</v>
      </c>
      <c r="D61" s="20">
        <f t="shared" si="10"/>
        <v>0</v>
      </c>
      <c r="E61" s="327"/>
    </row>
    <row r="62" spans="1:5" s="40" customFormat="1" ht="15.75" hidden="1" customHeight="1" outlineLevel="1">
      <c r="A62" s="42" t="str">
        <f t="shared" si="1"/>
        <v>JAMI</v>
      </c>
      <c r="B62" s="42">
        <f t="shared" ref="B62:D62" si="11">C38</f>
        <v>34.74</v>
      </c>
      <c r="C62" s="42">
        <f t="shared" si="11"/>
        <v>37.39</v>
      </c>
      <c r="D62" s="42">
        <f t="shared" si="11"/>
        <v>72.13</v>
      </c>
      <c r="E62" s="42" t="str">
        <f>FIXED('Общие данные'!C136,2)</f>
        <v>270 000 000,00</v>
      </c>
    </row>
    <row r="63" spans="1:5" ht="12.75" customHeight="1" collapsed="1">
      <c r="A63" s="19"/>
      <c r="B63" s="19"/>
      <c r="C63" s="19"/>
      <c r="D63" s="19"/>
      <c r="E63" s="19"/>
    </row>
    <row r="64" spans="1:5" ht="93.75" hidden="1" customHeight="1">
      <c r="A64" s="239" t="str">
        <f>"“Birinchi talabga ko‘ra, yuqoridagi avtomobil Mikrokredit shartnomasi bo‘yicha garovga qo‘yilgan edi::"&amp;'Данные для послед. Залога'!W2&amp;""</f>
        <v>“Birinchi talabga ko‘ra, yuqoridagi avtomobil Mikrokredit shartnomasi bo‘yicha garovga qo‘yilgan edi::- №5 от 11 yanvar 2021 г., заключенного с ООО «Clever Mikrokredit Tashkiloti» и TULYAGANOV XODJIAKBAR IRGASHEVICH, по согласованной залоговой стоимость - 15 000 000,00 (on besh million) сум.- №386 от 6 noyabr 2019 г., заключенного с ООО «Clever Mikrokredit Tashkiloti» и YUNUSOVA ZALOXAT MIRSULTANOVNA, по согласованной залоговой стоимость - 15 000 000,00 (on besh million) сум.- №33 от 21 yanvar 2021 г., заключенного с ООО «Clever Mikrokredit Tashkiloti» и YUNUSOVA ZALOXAT MIRSULTANOVNA, по согласованной залоговой стоимость - 15 000 000,00 (on besh million) сум.00000000000000000</v>
      </c>
      <c r="B64" s="239"/>
      <c r="C64" s="239"/>
      <c r="D64" s="239"/>
      <c r="E64" s="239"/>
    </row>
    <row r="65" spans="1:5" ht="42" customHeight="1">
      <c r="A65" s="239" t="s">
        <v>229</v>
      </c>
      <c r="B65" s="239"/>
      <c r="C65" s="239"/>
      <c r="D65" s="239"/>
      <c r="E65" s="239"/>
    </row>
    <row r="66" spans="1:5" ht="35.25" customHeight="1">
      <c r="A66" s="239" t="str">
        <f>"Shunday qilib, garov predmetining kelishilgan garov qiymati  "&amp;FIXED('Общие данные'!B136)&amp;" ("&amp;'Общие данные'!B137&amp;") so‘mni tashkil etadi."</f>
        <v>Shunday qilib, garov predmetining kelishilgan garov qiymati  270 000 000,00 (ikki yuz yetmish million so'm) so‘mni tashkil etadi.</v>
      </c>
      <c r="B66" s="239"/>
      <c r="C66" s="239"/>
      <c r="D66" s="239"/>
      <c r="E66" s="239"/>
    </row>
    <row r="67" spans="1:5" ht="35.25" hidden="1" customHeight="1">
      <c r="A67" s="22"/>
      <c r="B67" s="22"/>
      <c r="C67" s="22"/>
      <c r="D67" s="22">
        <f>IF('Общие данные'!B92='Общие данные'!C92,'Общие данные'!C136,IF('Общие данные'!B92='Общие данные'!D92,'Данные для послед. Залога'!M22,0))</f>
        <v>270000000</v>
      </c>
      <c r="E67" s="22" t="str">
        <f>IF('Общие данные'!B92='Общие данные'!C92,'Общие данные'!B137,IF('Общие данные'!B92='Общие данные'!D92,'Данные для послед. Залога'!Q22,0))</f>
        <v>ikki yuz yetmish million so'm</v>
      </c>
    </row>
    <row r="68" spans="1:5">
      <c r="A68" s="321" t="s">
        <v>230</v>
      </c>
      <c r="B68" s="321"/>
      <c r="C68" s="321"/>
      <c r="D68" s="25"/>
      <c r="E68" s="25"/>
    </row>
    <row r="69" spans="1:5">
      <c r="A69" s="240" t="str">
        <f>'Общие данные'!B148</f>
        <v>«CLEVER MIKROMOLIYA TASHKILOTI» MChJ</v>
      </c>
      <c r="B69" s="240"/>
      <c r="C69" s="240"/>
      <c r="D69" s="209"/>
      <c r="E69" s="209"/>
    </row>
    <row r="70" spans="1:5" ht="15" customHeight="1">
      <c r="A70" s="240" t="str">
        <f>""&amp;'Общие данные'!A150&amp;"i"</f>
        <v>Nukus filiali boshligii</v>
      </c>
      <c r="B70" s="240"/>
      <c r="C70" s="240"/>
      <c r="D70" s="321" t="str">
        <f>"_______________   "&amp;'Общие данные'!B150&amp;""</f>
        <v>_______________   XOJANIYAZOV B. Z.</v>
      </c>
      <c r="E70" s="321"/>
    </row>
    <row r="71" spans="1:5">
      <c r="A71" s="65"/>
      <c r="B71" s="65"/>
      <c r="C71" s="65"/>
      <c r="D71" s="65"/>
      <c r="E71" s="65"/>
    </row>
    <row r="72" spans="1:5">
      <c r="A72" s="321"/>
      <c r="B72" s="321"/>
      <c r="C72" s="321"/>
      <c r="D72" s="65"/>
      <c r="E72" s="65"/>
    </row>
    <row r="73" spans="1:5" hidden="1">
      <c r="A73" s="240" t="s">
        <v>52</v>
      </c>
      <c r="B73" s="240"/>
      <c r="C73" s="240"/>
      <c r="D73" s="65"/>
      <c r="E73" s="65"/>
    </row>
    <row r="74" spans="1:5" hidden="1">
      <c r="A74" s="240" t="str">
        <f>'Общие данные'!B148</f>
        <v>«CLEVER MIKROMOLIYA TASHKILOTI» MChJ</v>
      </c>
      <c r="B74" s="240"/>
      <c r="C74" s="240"/>
      <c r="D74" s="240" t="str">
        <f>"_______________   "&amp;'Общие данные'!B159&amp;""</f>
        <v>_______________   Mominov B.X.</v>
      </c>
      <c r="E74" s="240"/>
    </row>
    <row r="75" spans="1:5" ht="12.75" customHeight="1">
      <c r="A75" s="240"/>
      <c r="B75" s="240"/>
      <c r="C75" s="240"/>
      <c r="D75" s="240"/>
      <c r="E75" s="240"/>
    </row>
    <row r="76" spans="1:5">
      <c r="A76" s="321" t="s">
        <v>231</v>
      </c>
      <c r="B76" s="321"/>
      <c r="C76" s="321"/>
      <c r="D76" s="240"/>
      <c r="E76" s="240"/>
    </row>
    <row r="77" spans="1:5" ht="31.5" customHeight="1">
      <c r="A77" s="240" t="s">
        <v>232</v>
      </c>
      <c r="B77" s="240"/>
      <c r="C77" s="240"/>
      <c r="D77" s="321" t="str">
        <f>"_______________  "&amp;'Общие данные'!B7&amp;""</f>
        <v>_______________  QOSIMOV  B.O.</v>
      </c>
      <c r="E77" s="321"/>
    </row>
    <row r="78" spans="1:5" ht="12.75" customHeight="1">
      <c r="A78" s="240"/>
      <c r="B78" s="240"/>
      <c r="C78" s="240"/>
      <c r="D78" s="335" t="str">
        <f>IF('Общие данные'!B93="да","",'Общие данные'!B118)</f>
        <v>QOSIMOV  B.O.</v>
      </c>
      <c r="E78" s="335"/>
    </row>
    <row r="79" spans="1:5" ht="17.25" customHeight="1">
      <c r="A79" s="321" t="str">
        <f>+IF('Общие данные'!B93="ha"," ","3-tomondan:")</f>
        <v xml:space="preserve"> </v>
      </c>
      <c r="B79" s="321"/>
      <c r="C79" s="321"/>
      <c r="D79" s="335" t="str">
        <f>IF('Общие данные'!B93="ha","",'Общие данные'!C118)</f>
        <v/>
      </c>
      <c r="E79" s="335"/>
    </row>
    <row r="80" spans="1:5" ht="29.25" customHeight="1">
      <c r="A80" s="240" t="str">
        <f>+IF('Общие данные'!B93="ha"," ","O'zbekiston Respublikasi fuqarosi")</f>
        <v xml:space="preserve"> </v>
      </c>
      <c r="B80" s="240"/>
      <c r="C80" s="240"/>
      <c r="D80" s="321" t="str">
        <f>IF('Общие данные'!B93="yo’q","_______________  "&amp;'Общие данные'!B112&amp;"","")</f>
        <v/>
      </c>
      <c r="E80" s="321"/>
    </row>
    <row r="81" spans="1:5" ht="79.5" hidden="1" customHeight="1">
      <c r="A81" s="65"/>
      <c r="B81" s="65"/>
      <c r="C81" s="240" t="str">
        <f>+IF('Общие данные'!B93="ha"," ",'заявление залогодателя'!A20)</f>
        <v xml:space="preserve"> </v>
      </c>
      <c r="D81" s="240"/>
      <c r="E81" s="240"/>
    </row>
    <row r="82" spans="1:5" ht="6.75" customHeight="1">
      <c r="D82" s="275"/>
      <c r="E82" s="275"/>
    </row>
  </sheetData>
  <mergeCells count="68">
    <mergeCell ref="A19:E19"/>
    <mergeCell ref="A24:E24"/>
    <mergeCell ref="A25:E25"/>
    <mergeCell ref="B20:C20"/>
    <mergeCell ref="B21:C21"/>
    <mergeCell ref="A22:E22"/>
    <mergeCell ref="A23:E23"/>
    <mergeCell ref="A14:E14"/>
    <mergeCell ref="A15:E15"/>
    <mergeCell ref="A16:E16"/>
    <mergeCell ref="A17:E17"/>
    <mergeCell ref="A18:E18"/>
    <mergeCell ref="A78:C78"/>
    <mergeCell ref="D78:E78"/>
    <mergeCell ref="A79:C79"/>
    <mergeCell ref="D79:E79"/>
    <mergeCell ref="A80:C80"/>
    <mergeCell ref="D80:E80"/>
    <mergeCell ref="A75:C75"/>
    <mergeCell ref="D75:E75"/>
    <mergeCell ref="A76:C76"/>
    <mergeCell ref="D76:E76"/>
    <mergeCell ref="A77:C77"/>
    <mergeCell ref="D77:E77"/>
    <mergeCell ref="D82:E82"/>
    <mergeCell ref="A2:E2"/>
    <mergeCell ref="A11:E11"/>
    <mergeCell ref="A12:E12"/>
    <mergeCell ref="A13:E13"/>
    <mergeCell ref="A10:E10"/>
    <mergeCell ref="A5:E5"/>
    <mergeCell ref="A6:E6"/>
    <mergeCell ref="A7:E7"/>
    <mergeCell ref="A8:E8"/>
    <mergeCell ref="A9:E9"/>
    <mergeCell ref="A30:B30"/>
    <mergeCell ref="A31:B31"/>
    <mergeCell ref="A32:B32"/>
    <mergeCell ref="C81:E81"/>
    <mergeCell ref="A39:E39"/>
    <mergeCell ref="A28:B28"/>
    <mergeCell ref="A27:B27"/>
    <mergeCell ref="A44:E44"/>
    <mergeCell ref="A40:E40"/>
    <mergeCell ref="A41:E41"/>
    <mergeCell ref="A42:E42"/>
    <mergeCell ref="A43:E43"/>
    <mergeCell ref="A33:B33"/>
    <mergeCell ref="A37:B37"/>
    <mergeCell ref="A38:B38"/>
    <mergeCell ref="A34:B34"/>
    <mergeCell ref="A35:B35"/>
    <mergeCell ref="A36:B36"/>
    <mergeCell ref="A72:C72"/>
    <mergeCell ref="A73:C73"/>
    <mergeCell ref="A74:C74"/>
    <mergeCell ref="D74:E74"/>
    <mergeCell ref="A29:B29"/>
    <mergeCell ref="A45:E45"/>
    <mergeCell ref="A68:C68"/>
    <mergeCell ref="A69:C69"/>
    <mergeCell ref="A70:C70"/>
    <mergeCell ref="D70:E70"/>
    <mergeCell ref="A64:E64"/>
    <mergeCell ref="A65:E65"/>
    <mergeCell ref="E51:E61"/>
    <mergeCell ref="A46:E46"/>
    <mergeCell ref="A66:E66"/>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81"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4"/>
  <sheetViews>
    <sheetView tabSelected="1" view="pageBreakPreview" topLeftCell="A4" zoomScaleSheetLayoutView="100" workbookViewId="0">
      <selection activeCell="J19" sqref="J19"/>
    </sheetView>
  </sheetViews>
  <sheetFormatPr defaultColWidth="9.140625" defaultRowHeight="15" outlineLevelRow="1"/>
  <cols>
    <col min="1" max="1" width="23.85546875" style="18" customWidth="1"/>
    <col min="2" max="2" width="23.28515625" style="18" customWidth="1"/>
    <col min="3" max="3" width="17" style="18" customWidth="1"/>
    <col min="4" max="4" width="17.5703125" style="18" customWidth="1"/>
    <col min="5" max="5" width="19.7109375" style="18" customWidth="1"/>
    <col min="6" max="16384" width="9.140625" style="18"/>
  </cols>
  <sheetData>
    <row r="3" spans="1:5" ht="16.5" customHeight="1"/>
    <row r="4" spans="1:5" ht="17.25" customHeight="1">
      <c r="A4" s="273" t="str">
        <f>""&amp;'Общие данные'!B147&amp;" ijrochi direktorining"&amp;'Общие данные'!B165&amp;"dagi "&amp;'Общие данные'!B164&amp;"-sonli buyrug‘i"</f>
        <v>«CLEVER MIKROMOLIYA TASHKILOTI» MChJ ijrochi direktorining4 fevral 2025 y.dagi №269-NS-sonli buyrug‘i</v>
      </c>
      <c r="B4" s="273"/>
      <c r="C4" s="273"/>
      <c r="D4" s="273"/>
      <c r="E4" s="273"/>
    </row>
    <row r="5" spans="1:5">
      <c r="A5" s="273"/>
      <c r="B5" s="273"/>
      <c r="C5" s="273"/>
      <c r="D5" s="273"/>
      <c r="E5" s="273"/>
    </row>
    <row r="6" spans="1:5">
      <c r="A6" s="273"/>
      <c r="B6" s="273"/>
      <c r="C6" s="273"/>
      <c r="D6" s="273"/>
      <c r="E6" s="273"/>
    </row>
    <row r="7" spans="1:5">
      <c r="A7" s="239"/>
      <c r="B7" s="239"/>
      <c r="C7" s="239"/>
      <c r="D7" s="239"/>
      <c r="E7" s="239"/>
    </row>
    <row r="8" spans="1:5" ht="53.25" customHeight="1">
      <c r="A8" s="239" t="str">
        <f>"Men, Abduraximov N.K. "&amp;'Общие данные'!B147&amp;" ijrochi direktori, jismoniy shaxs "&amp;'Общие данные'!B10&amp;"ga quyidagi shartlarda "&amp;'Общие данные'!B65&amp;" berishni buyuraman:"</f>
        <v>Men, Abduraximov N.K. «CLEVER MIKROMOLIYA TASHKILOTI» MChJ ijrochi direktori, jismoniy shaxs QOSIMOV BEKZODBEK ORIFJONOVICHga quyidagi shartlarda mikrokredit berishni buyuraman:</v>
      </c>
      <c r="B8" s="239"/>
      <c r="C8" s="239"/>
      <c r="D8" s="239"/>
      <c r="E8" s="239"/>
    </row>
    <row r="9" spans="1:5" ht="26.25" customHeight="1">
      <c r="A9" s="239" t="str">
        <f>'Кредитная заявка'!A13:D13</f>
        <v>Mikrokredit summasi: 180 000 000,00 (yuz sakson million so'm) so'm.</v>
      </c>
      <c r="B9" s="239"/>
      <c r="C9" s="239"/>
      <c r="D9" s="239"/>
      <c r="E9" s="239"/>
    </row>
    <row r="10" spans="1:5" ht="21" customHeight="1">
      <c r="A10" s="239" t="str">
        <f>'Кредитная заявка'!A14:D14</f>
        <v>Mikrokredit muddati: 12 (o'n ikki) oy.</v>
      </c>
      <c r="B10" s="239"/>
      <c r="C10" s="239"/>
      <c r="D10" s="239"/>
      <c r="E10" s="239"/>
    </row>
    <row r="11" spans="1:5" ht="27" customHeight="1">
      <c r="A11" s="239" t="str">
        <f>'Кредитная заявка'!A15:D15</f>
        <v>Mikrokreditdan foydalanganlik uchun foiz stavkasi: yillik  60% (Oltmish) foiz</v>
      </c>
      <c r="B11" s="239"/>
      <c r="C11" s="239"/>
      <c r="D11" s="239"/>
      <c r="E11" s="239"/>
    </row>
    <row r="12" spans="1:5" ht="26.25" customHeight="1">
      <c r="A12" s="239" t="str">
        <f>'Кредитная заявка'!A16:D16</f>
        <v>Mikrokredit bo'yicha asosiy qarz va foizlarni to'lash:</v>
      </c>
      <c r="B12" s="239"/>
      <c r="C12" s="239"/>
      <c r="D12" s="239"/>
      <c r="E12" s="239"/>
    </row>
    <row r="13" spans="1:5" ht="21.75" customHeight="1">
      <c r="A13" s="239" t="str">
        <f>'Кредитная заявка'!A17:D17</f>
        <v xml:space="preserve"> - mikrokredit shartnomasi bo'yicha har oy differensial to'lovlari amalga oshiriladi</v>
      </c>
      <c r="B13" s="239"/>
      <c r="C13" s="239"/>
      <c r="D13" s="239"/>
      <c r="E13" s="239"/>
    </row>
    <row r="14" spans="1:5" hidden="1">
      <c r="A14" s="239" t="str">
        <f>'Кредитная заявка'!A20:D20</f>
        <v xml:space="preserve">   </v>
      </c>
      <c r="B14" s="239"/>
      <c r="C14" s="239"/>
      <c r="D14" s="239"/>
      <c r="E14" s="239"/>
    </row>
    <row r="15" spans="1:5" ht="45.75" hidden="1" customHeight="1">
      <c r="A15" s="239" t="str">
        <f>IF('Общие данные'!B103="Avtotransport",'Приказ на сделку'!A14:E14,'Приказ на сделку'!A13:E13)</f>
        <v xml:space="preserve">   </v>
      </c>
      <c r="B15" s="239"/>
      <c r="C15" s="239"/>
      <c r="D15" s="239"/>
      <c r="E15" s="239"/>
    </row>
    <row r="16" spans="1:5" ht="50.25" hidden="1" customHeight="1">
      <c r="A16" s="239" t="str">
        <f>""&amp;'Общие данные'!C117&amp;"ga tegishli "&amp;'Общие данные'!C126&amp;" ko'rinishidagi ko'chmas mulkni quyidagi ma'lumotlarga muvofiq  garovga qabul qilinsin:"</f>
        <v>SHOUSMANOVA DAVLATXON XXXga tegishli 3 - xonali yakka tartibdagi uy-joy ko'rinishidagi ko'chmas mulkni quyidagi ma'lumotlarga muvofiq  garovga qabul qilinsin:</v>
      </c>
      <c r="B16" s="239"/>
      <c r="C16" s="239"/>
      <c r="D16" s="239"/>
      <c r="E16" s="239"/>
    </row>
    <row r="17" spans="1:5" ht="47.25" customHeight="1">
      <c r="A17" s="239" t="str">
        <f>""&amp;'Общие данные'!B117&amp;"ga tegishli "&amp;'Общие данные'!B125&amp;" ko'rinishidagi transport vositasini quyidagi ma'lumotlarga muvofiq garovga qabul qilinsin:"</f>
        <v>QOSIMOV BEKZODBEK ORIFJONOVICHga tegishli MALIBU 2 ko'rinishidagi transport vositasini quyidagi ma'lumotlarga muvofiq garovga qabul qilinsin:</v>
      </c>
      <c r="B17" s="239"/>
      <c r="C17" s="239"/>
      <c r="D17" s="239"/>
      <c r="E17" s="239"/>
    </row>
    <row r="18" spans="1:5" s="40" customFormat="1" ht="60" customHeight="1" outlineLevel="1">
      <c r="A18" s="42" t="str">
        <f>'Акт согласования'!A47</f>
        <v>Nomi</v>
      </c>
      <c r="B18" s="42" t="str">
        <f>'Акт согласования'!B47</f>
        <v>Kuzov turi  va kuzov raqami*</v>
      </c>
      <c r="C18" s="42" t="str">
        <f>'Акт согласования'!C47</f>
        <v>Dvigatel va shassi raqami*</v>
      </c>
      <c r="D18" s="42" t="str">
        <f>'Акт согласования'!D47</f>
        <v>Ishlab chiqarilgan yili va rangi*</v>
      </c>
      <c r="E18" s="42" t="str">
        <f>'Акт согласования'!E47</f>
        <v>Kelishilgan garov qiymati, so'm</v>
      </c>
    </row>
    <row r="19" spans="1:5" ht="84.75" customHeight="1" outlineLevel="1">
      <c r="A19" s="20" t="str">
        <f>'Акт согласования'!A48</f>
        <v>MALIBU 2</v>
      </c>
      <c r="B19" s="20" t="str">
        <f>'Акт согласования'!B48</f>
        <v>Kuzov turi YENGIL SEDAN, Kuzov raqami XWBJF69VELA059410</v>
      </c>
      <c r="C19" s="20" t="str">
        <f>'Акт согласования'!C48</f>
        <v>dvigatel raqami 211470021, shassi raqami - RAKAMSIZ</v>
      </c>
      <c r="D19" s="20" t="str">
        <f>'Акт согласования'!D48</f>
        <v>rangi -  QORA CHYORNIY, ishlab chiqarilgan yili - 2022</v>
      </c>
      <c r="E19" s="20" t="str">
        <f>'Акт согласования'!E48</f>
        <v>270 000 000,00 (ikki yuz yetmish million so'm)</v>
      </c>
    </row>
    <row r="20" spans="1:5" ht="20.25" customHeight="1" outlineLevel="1">
      <c r="A20" s="239" t="str">
        <f>'Акт согласования'!A22:E22</f>
        <v>-* avtotransport egasi: QOSIMOV BEKZODBEK ORIFJONOVICH</v>
      </c>
      <c r="B20" s="239"/>
      <c r="C20" s="239"/>
      <c r="D20" s="239"/>
      <c r="E20" s="239"/>
    </row>
    <row r="21" spans="1:5" ht="20.25" customHeight="1" outlineLevel="1">
      <c r="A21" s="239" t="str">
        <f>'Акт согласования'!A23:E23</f>
        <v>-* texnik pasport: AAG 2398913  20.09.2023 y.</v>
      </c>
      <c r="B21" s="239"/>
      <c r="C21" s="239"/>
      <c r="D21" s="239"/>
      <c r="E21" s="239"/>
    </row>
    <row r="22" spans="1:5" ht="36" customHeight="1" outlineLevel="1">
      <c r="A22" s="239" t="str">
        <f>'Акт согласования'!A24:E24</f>
        <v>-* roʻyxatdan oʻtgan manzili/garaj manzili: ANDIJON VILOYATI SHAXRIXON TUMANI BARKAMOL AVLOD MFY</v>
      </c>
      <c r="B22" s="239"/>
      <c r="C22" s="239"/>
      <c r="D22" s="239"/>
      <c r="E22" s="239"/>
    </row>
    <row r="23" spans="1:5" ht="20.25" customHeight="1" outlineLevel="1">
      <c r="A23" s="239" t="str">
        <f>'Акт согласования'!A25:E25</f>
        <v>-* davlat raqami: 60Q081BB</v>
      </c>
      <c r="B23" s="239"/>
      <c r="C23" s="239"/>
      <c r="D23" s="239"/>
      <c r="E23" s="239"/>
    </row>
    <row r="24" spans="1:5">
      <c r="A24" s="239"/>
      <c r="B24" s="239"/>
      <c r="C24" s="239"/>
      <c r="D24" s="239"/>
      <c r="E24" s="239"/>
    </row>
    <row r="25" spans="1:5" s="40" customFormat="1" ht="41.25" hidden="1" customHeight="1" outlineLevel="1">
      <c r="A25" s="42" t="s">
        <v>217</v>
      </c>
      <c r="B25" s="42" t="s">
        <v>283</v>
      </c>
      <c r="C25" s="42" t="s">
        <v>304</v>
      </c>
      <c r="D25" s="42" t="s">
        <v>225</v>
      </c>
      <c r="E25" s="42" t="str">
        <f>'Акт согласования'!E47</f>
        <v>Kelishilgan garov qiymati, so'm</v>
      </c>
    </row>
    <row r="26" spans="1:5" hidden="1" outlineLevel="1">
      <c r="A26" s="20" t="str">
        <f>'Акт согласования'!A51</f>
        <v>Yashash xona</v>
      </c>
      <c r="B26" s="137">
        <f>'Акт согласования'!B51</f>
        <v>0</v>
      </c>
      <c r="C26" s="137">
        <f>'Акт согласования'!C51</f>
        <v>37.39</v>
      </c>
      <c r="D26" s="137">
        <f>'Акт согласования'!D51</f>
        <v>37.39</v>
      </c>
      <c r="E26" s="268" t="str">
        <f>'Акт согласования'!E51</f>
        <v>270 000 000,00 (ikki yuz yetmish million so'm)</v>
      </c>
    </row>
    <row r="27" spans="1:5" hidden="1" outlineLevel="1">
      <c r="A27" s="20">
        <f>'Акт согласования'!A52</f>
        <v>0</v>
      </c>
      <c r="B27" s="137">
        <f>'Акт согласования'!B52</f>
        <v>0</v>
      </c>
      <c r="C27" s="137">
        <f>'Акт согласования'!C52</f>
        <v>0</v>
      </c>
      <c r="D27" s="137">
        <f>'Акт согласования'!D52</f>
        <v>0</v>
      </c>
      <c r="E27" s="268"/>
    </row>
    <row r="28" spans="1:5" hidden="1" outlineLevel="1">
      <c r="A28" s="20" t="str">
        <f>'Акт согласования'!A53</f>
        <v>Noturar joy</v>
      </c>
      <c r="B28" s="137">
        <f>'Акт согласования'!B53</f>
        <v>34.74</v>
      </c>
      <c r="C28" s="137">
        <f>'Акт согласования'!C53</f>
        <v>0</v>
      </c>
      <c r="D28" s="137">
        <f>'Акт согласования'!D53</f>
        <v>34.74</v>
      </c>
      <c r="E28" s="268"/>
    </row>
    <row r="29" spans="1:5" hidden="1" outlineLevel="1">
      <c r="A29" s="20">
        <f>'Акт согласования'!A54</f>
        <v>0</v>
      </c>
      <c r="B29" s="137">
        <f>'Акт согласования'!B54</f>
        <v>0</v>
      </c>
      <c r="C29" s="137">
        <f>'Акт согласования'!C54</f>
        <v>0</v>
      </c>
      <c r="D29" s="137">
        <f>'Акт согласования'!D54</f>
        <v>0</v>
      </c>
      <c r="E29" s="268"/>
    </row>
    <row r="30" spans="1:5" hidden="1" outlineLevel="1">
      <c r="A30" s="20">
        <f>'Акт согласования'!A55</f>
        <v>0</v>
      </c>
      <c r="B30" s="137">
        <f>'Акт согласования'!B55</f>
        <v>0</v>
      </c>
      <c r="C30" s="137">
        <f>'Акт согласования'!C55</f>
        <v>0</v>
      </c>
      <c r="D30" s="137">
        <f>'Акт согласования'!D55</f>
        <v>0</v>
      </c>
      <c r="E30" s="268"/>
    </row>
    <row r="31" spans="1:5" hidden="1" outlineLevel="1">
      <c r="A31" s="20">
        <f>'Акт согласования'!A56</f>
        <v>0</v>
      </c>
      <c r="B31" s="137">
        <f>'Акт согласования'!B56</f>
        <v>0</v>
      </c>
      <c r="C31" s="137">
        <f>'Акт согласования'!C56</f>
        <v>0</v>
      </c>
      <c r="D31" s="137">
        <f>'Акт согласования'!D56</f>
        <v>0</v>
      </c>
      <c r="E31" s="268"/>
    </row>
    <row r="32" spans="1:5" hidden="1" outlineLevel="1">
      <c r="A32" s="20">
        <f>'Акт согласования'!A57</f>
        <v>0</v>
      </c>
      <c r="B32" s="137">
        <f>'Акт согласования'!B57</f>
        <v>0</v>
      </c>
      <c r="C32" s="137">
        <f>'Акт согласования'!C57</f>
        <v>0</v>
      </c>
      <c r="D32" s="137">
        <f>'Акт согласования'!D57</f>
        <v>0</v>
      </c>
      <c r="E32" s="268"/>
    </row>
    <row r="33" spans="1:5" hidden="1" outlineLevel="1">
      <c r="A33" s="20">
        <f>'Акт согласования'!A58</f>
        <v>0</v>
      </c>
      <c r="B33" s="137">
        <f>'Акт согласования'!B58</f>
        <v>0</v>
      </c>
      <c r="C33" s="137">
        <f>'Акт согласования'!C58</f>
        <v>0</v>
      </c>
      <c r="D33" s="137">
        <f>'Акт согласования'!D58</f>
        <v>0</v>
      </c>
      <c r="E33" s="268"/>
    </row>
    <row r="34" spans="1:5" hidden="1" outlineLevel="1">
      <c r="A34" s="20">
        <f>'Акт согласования'!A59</f>
        <v>0</v>
      </c>
      <c r="B34" s="137">
        <f>'Акт согласования'!B59</f>
        <v>0</v>
      </c>
      <c r="C34" s="137">
        <f>'Акт согласования'!C59</f>
        <v>0</v>
      </c>
      <c r="D34" s="137">
        <f>'Акт согласования'!D59</f>
        <v>0</v>
      </c>
      <c r="E34" s="268"/>
    </row>
    <row r="35" spans="1:5" hidden="1" outlineLevel="1">
      <c r="A35" s="20">
        <f>'Акт согласования'!A60</f>
        <v>0</v>
      </c>
      <c r="B35" s="137">
        <f>'Акт согласования'!B60</f>
        <v>0</v>
      </c>
      <c r="C35" s="137">
        <f>'Акт согласования'!C60</f>
        <v>0</v>
      </c>
      <c r="D35" s="137">
        <f>'Акт согласования'!D60</f>
        <v>0</v>
      </c>
      <c r="E35" s="268"/>
    </row>
    <row r="36" spans="1:5" hidden="1" outlineLevel="1">
      <c r="A36" s="20">
        <f>'Акт согласования'!A61</f>
        <v>0</v>
      </c>
      <c r="B36" s="20">
        <f>'Акт согласования'!B61</f>
        <v>0</v>
      </c>
      <c r="C36" s="20">
        <f>'Акт согласования'!C61</f>
        <v>0</v>
      </c>
      <c r="D36" s="20">
        <f>'Акт согласования'!D61</f>
        <v>0</v>
      </c>
      <c r="E36" s="268"/>
    </row>
    <row r="37" spans="1:5" s="40" customFormat="1" ht="14.25" hidden="1" outlineLevel="1">
      <c r="A37" s="42" t="str">
        <f>'Акт согласования'!A62</f>
        <v>JAMI</v>
      </c>
      <c r="B37" s="42">
        <f>'Акт согласования'!B62</f>
        <v>34.74</v>
      </c>
      <c r="C37" s="42">
        <f>'Акт согласования'!C62</f>
        <v>37.39</v>
      </c>
      <c r="D37" s="42">
        <f>'Акт согласования'!D62</f>
        <v>72.13</v>
      </c>
      <c r="E37" s="42" t="str">
        <f>'Акт согласования'!E62</f>
        <v>270 000 000,00</v>
      </c>
    </row>
    <row r="38" spans="1:5" s="40" customFormat="1" ht="15" hidden="1" customHeight="1" outlineLevel="1">
      <c r="A38" s="239" t="str">
        <f>'Акт согласования'!A39:E39</f>
        <v>-* ko'chmas mulk egasi: SHOUSMANOVA DAVLATXON XXX</v>
      </c>
      <c r="B38" s="239"/>
      <c r="C38" s="239"/>
      <c r="D38" s="239"/>
      <c r="E38" s="239"/>
    </row>
    <row r="39" spans="1:5" s="40" customFormat="1" hidden="1" outlineLevel="1">
      <c r="A39" s="239" t="str">
        <f>'Акт согласования'!A40:E40</f>
        <v>-* reestr raqami: 1718238/R-A1419303</v>
      </c>
      <c r="B39" s="239"/>
      <c r="C39" s="239"/>
      <c r="D39" s="239"/>
      <c r="E39" s="239"/>
    </row>
    <row r="40" spans="1:5" s="40" customFormat="1" hidden="1" outlineLevel="1">
      <c r="A40" s="239" t="str">
        <f>'Акт согласования'!A41:E41</f>
        <v>-* kadastr raqami: №14:13:02:01:03:1179:0006:058 от 16.12.2020 г.</v>
      </c>
      <c r="B40" s="239"/>
      <c r="C40" s="239"/>
      <c r="D40" s="239"/>
      <c r="E40" s="239"/>
    </row>
    <row r="41" spans="1:5" s="40" customFormat="1" hidden="1" outlineLevel="1">
      <c r="A41" s="239" t="str">
        <f>'Акт согласования'!A42:E42</f>
        <v>-* manzil: SAMARQAND VILOYATI TAYLOQ TUMANI CHAROG'BON MFY YANGI TAYLOQ QISHLOG'I 6 TURAR JOY 12 QAVAT 58 XONADON</v>
      </c>
      <c r="B41" s="239"/>
      <c r="C41" s="239"/>
      <c r="D41" s="239"/>
      <c r="E41" s="239"/>
    </row>
    <row r="42" spans="1:5" s="40" customFormat="1" collapsed="1">
      <c r="A42" s="239"/>
      <c r="B42" s="239"/>
      <c r="C42" s="239"/>
      <c r="D42" s="239"/>
      <c r="E42" s="239"/>
    </row>
    <row r="43" spans="1:5" s="40" customFormat="1">
      <c r="A43" s="239"/>
      <c r="B43" s="239"/>
      <c r="C43" s="239"/>
      <c r="D43" s="239"/>
      <c r="E43" s="239"/>
    </row>
    <row r="44" spans="1:5" s="40" customFormat="1" hidden="1">
      <c r="A44" s="239"/>
      <c r="B44" s="239"/>
      <c r="C44" s="239"/>
      <c r="D44" s="239"/>
      <c r="E44" s="239"/>
    </row>
    <row r="45" spans="1:5" s="40" customFormat="1" ht="14.25" hidden="1">
      <c r="A45" s="59"/>
      <c r="B45" s="59"/>
      <c r="C45" s="59"/>
      <c r="D45" s="59"/>
      <c r="E45" s="59"/>
    </row>
    <row r="46" spans="1:5" hidden="1">
      <c r="A46" s="239"/>
      <c r="B46" s="239"/>
      <c r="C46" s="239"/>
      <c r="D46" s="239"/>
      <c r="E46" s="239"/>
    </row>
    <row r="47" spans="1:5" ht="15" customHeight="1">
      <c r="A47" s="321" t="str">
        <f>'Общие данные'!B148</f>
        <v>«CLEVER MIKROMOLIYA TASHKILOTI» MChJ</v>
      </c>
      <c r="B47" s="321"/>
      <c r="C47" s="321"/>
      <c r="D47" s="336"/>
      <c r="E47" s="336"/>
    </row>
    <row r="48" spans="1:5" ht="15" customHeight="1">
      <c r="A48" s="321" t="s">
        <v>447</v>
      </c>
      <c r="B48" s="321"/>
      <c r="C48" s="321"/>
      <c r="D48" s="336" t="s">
        <v>446</v>
      </c>
      <c r="E48" s="336"/>
    </row>
    <row r="49" spans="1:5">
      <c r="A49" s="239"/>
      <c r="B49" s="239"/>
      <c r="C49" s="239"/>
      <c r="D49" s="239"/>
      <c r="E49" s="239"/>
    </row>
    <row r="50" spans="1:5">
      <c r="A50" s="239"/>
      <c r="B50" s="239"/>
      <c r="C50" s="239"/>
      <c r="D50" s="239"/>
      <c r="E50" s="239"/>
    </row>
    <row r="51" spans="1:5">
      <c r="A51" s="239"/>
      <c r="B51" s="239"/>
      <c r="C51" s="239"/>
      <c r="D51" s="239"/>
      <c r="E51" s="239"/>
    </row>
    <row r="52" spans="1:5">
      <c r="A52" s="239"/>
      <c r="B52" s="239"/>
      <c r="C52" s="239"/>
      <c r="D52" s="239"/>
      <c r="E52" s="239"/>
    </row>
    <row r="53" spans="1:5">
      <c r="A53" s="239"/>
      <c r="B53" s="239"/>
      <c r="C53" s="239"/>
      <c r="D53" s="239"/>
      <c r="E53" s="239"/>
    </row>
    <row r="54" spans="1:5">
      <c r="A54" s="239"/>
      <c r="B54" s="239"/>
      <c r="C54" s="239"/>
      <c r="D54" s="239"/>
      <c r="E54" s="239"/>
    </row>
  </sheetData>
  <mergeCells count="36">
    <mergeCell ref="A12:E12"/>
    <mergeCell ref="A52:E52"/>
    <mergeCell ref="A20:E20"/>
    <mergeCell ref="A15:E15"/>
    <mergeCell ref="A16:E16"/>
    <mergeCell ref="A4:E6"/>
    <mergeCell ref="A44:E44"/>
    <mergeCell ref="A38:E38"/>
    <mergeCell ref="A39:E39"/>
    <mergeCell ref="A40:E40"/>
    <mergeCell ref="A41:E41"/>
    <mergeCell ref="A42:E42"/>
    <mergeCell ref="A21:E21"/>
    <mergeCell ref="A14:E14"/>
    <mergeCell ref="A17:E17"/>
    <mergeCell ref="A7:E7"/>
    <mergeCell ref="A8:E8"/>
    <mergeCell ref="A13:E13"/>
    <mergeCell ref="A9:E9"/>
    <mergeCell ref="A10:E10"/>
    <mergeCell ref="A11:E11"/>
    <mergeCell ref="A54:E54"/>
    <mergeCell ref="A22:E22"/>
    <mergeCell ref="A23:E23"/>
    <mergeCell ref="A24:E24"/>
    <mergeCell ref="A46:E46"/>
    <mergeCell ref="A47:C47"/>
    <mergeCell ref="D47:E47"/>
    <mergeCell ref="A48:C48"/>
    <mergeCell ref="D48:E48"/>
    <mergeCell ref="A49:E49"/>
    <mergeCell ref="A50:E50"/>
    <mergeCell ref="A51:E51"/>
    <mergeCell ref="A53:E53"/>
    <mergeCell ref="E26:E36"/>
    <mergeCell ref="A43:E43"/>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3" zoomScaleSheetLayoutView="100" workbookViewId="0">
      <selection activeCell="D36" sqref="D36"/>
    </sheetView>
  </sheetViews>
  <sheetFormatPr defaultColWidth="9.140625" defaultRowHeight="15"/>
  <cols>
    <col min="1" max="1" width="3.42578125" style="18" customWidth="1"/>
    <col min="2" max="3" width="17.85546875" style="23" customWidth="1"/>
    <col min="4" max="4" width="15" style="23" customWidth="1"/>
    <col min="5" max="5" width="17.85546875" style="23" customWidth="1"/>
    <col min="6" max="6" width="9" style="23" customWidth="1"/>
    <col min="7" max="7" width="4.7109375" style="23" customWidth="1"/>
    <col min="8" max="16384" width="9.140625" style="18"/>
  </cols>
  <sheetData>
    <row r="1" spans="2:7" ht="15.75" thickBot="1"/>
    <row r="2" spans="2:7" ht="62.25" customHeight="1">
      <c r="B2" s="342" t="str">
        <f>'Общие данные'!B148</f>
        <v>«CLEVER MIKROMOLIYA TASHKILOTI» MChJ</v>
      </c>
      <c r="C2" s="343"/>
      <c r="D2" s="343"/>
      <c r="E2" s="343"/>
      <c r="F2" s="344"/>
      <c r="G2" s="44"/>
    </row>
    <row r="3" spans="2:7">
      <c r="B3" s="337"/>
      <c r="C3" s="277"/>
      <c r="D3" s="277"/>
      <c r="E3" s="277"/>
      <c r="F3" s="338"/>
      <c r="G3" s="45"/>
    </row>
    <row r="4" spans="2:7" ht="8.25" customHeight="1">
      <c r="B4" s="66"/>
      <c r="F4" s="67"/>
      <c r="G4" s="45"/>
    </row>
    <row r="5" spans="2:7" ht="12" customHeight="1">
      <c r="B5" s="47"/>
      <c r="C5" s="45"/>
      <c r="D5" s="45"/>
      <c r="E5" s="45"/>
      <c r="F5" s="48"/>
      <c r="G5" s="45"/>
    </row>
    <row r="6" spans="2:7" ht="6.75" customHeight="1">
      <c r="B6" s="47"/>
      <c r="C6" s="45"/>
      <c r="D6" s="45"/>
      <c r="E6" s="45"/>
      <c r="F6" s="48"/>
      <c r="G6" s="45"/>
    </row>
    <row r="7" spans="2:7" ht="6.75" customHeight="1">
      <c r="B7" s="47"/>
      <c r="C7" s="45"/>
      <c r="D7" s="45"/>
      <c r="E7" s="45"/>
      <c r="F7" s="48"/>
      <c r="G7" s="45"/>
    </row>
    <row r="8" spans="2:7">
      <c r="B8" s="47"/>
      <c r="C8" s="45"/>
      <c r="D8" s="45"/>
      <c r="E8" s="45"/>
      <c r="F8" s="48"/>
      <c r="G8" s="45"/>
    </row>
    <row r="9" spans="2:7">
      <c r="B9" s="47"/>
      <c r="C9" s="45"/>
      <c r="D9" s="45"/>
      <c r="E9" s="45"/>
      <c r="F9" s="48"/>
      <c r="G9" s="45"/>
    </row>
    <row r="10" spans="2:7">
      <c r="B10" s="337" t="s">
        <v>28</v>
      </c>
      <c r="C10" s="277"/>
      <c r="D10" s="277"/>
      <c r="E10" s="277"/>
      <c r="F10" s="338"/>
      <c r="G10" s="45"/>
    </row>
    <row r="11" spans="2:7">
      <c r="B11" s="337" t="s">
        <v>28</v>
      </c>
      <c r="C11" s="277"/>
      <c r="D11" s="277"/>
      <c r="E11" s="277"/>
      <c r="F11" s="338"/>
      <c r="G11" s="45"/>
    </row>
    <row r="12" spans="2:7" ht="135" customHeight="1">
      <c r="B12" s="345" t="str">
        <f>'Общие данные'!B5</f>
        <v>QOSIMOV BEKZODBEK ORIFJONOVICH</v>
      </c>
      <c r="C12" s="346"/>
      <c r="D12" s="346"/>
      <c r="E12" s="346"/>
      <c r="F12" s="347"/>
      <c r="G12" s="46"/>
    </row>
    <row r="13" spans="2:7">
      <c r="B13" s="337"/>
      <c r="C13" s="277"/>
      <c r="D13" s="277"/>
      <c r="E13" s="277"/>
      <c r="F13" s="338"/>
      <c r="G13" s="45"/>
    </row>
    <row r="14" spans="2:7">
      <c r="B14" s="47"/>
      <c r="C14" s="45"/>
      <c r="D14" s="45"/>
      <c r="E14" s="45"/>
      <c r="F14" s="48"/>
      <c r="G14" s="45"/>
    </row>
    <row r="15" spans="2:7">
      <c r="B15" s="47"/>
      <c r="C15" s="45"/>
      <c r="D15" s="45"/>
      <c r="E15" s="45"/>
      <c r="F15" s="48"/>
      <c r="G15" s="45"/>
    </row>
    <row r="16" spans="2:7">
      <c r="B16" s="47"/>
      <c r="C16" s="45"/>
      <c r="D16" s="45"/>
      <c r="E16" s="45"/>
      <c r="F16" s="48"/>
      <c r="G16" s="45"/>
    </row>
    <row r="17" spans="2:7">
      <c r="B17" s="47"/>
      <c r="C17" s="45"/>
      <c r="D17" s="45"/>
      <c r="E17" s="45"/>
      <c r="F17" s="48"/>
      <c r="G17" s="45"/>
    </row>
    <row r="18" spans="2:7">
      <c r="B18" s="337"/>
      <c r="C18" s="277"/>
      <c r="D18" s="277"/>
      <c r="E18" s="277"/>
      <c r="F18" s="338"/>
      <c r="G18" s="45"/>
    </row>
    <row r="19" spans="2:7" ht="20.25">
      <c r="B19" s="339" t="str">
        <f>""&amp;'Общие данные'!C64&amp;" shartnoma "&amp;'Общие данные'!B74&amp;""</f>
        <v>Mikrokredit shartnoma 4 fevral 2025 y.dan №269-NS</v>
      </c>
      <c r="C19" s="340"/>
      <c r="D19" s="340"/>
      <c r="E19" s="340"/>
      <c r="F19" s="341"/>
      <c r="G19" s="45"/>
    </row>
    <row r="20" spans="2:7">
      <c r="B20" s="337"/>
      <c r="C20" s="277"/>
      <c r="D20" s="277"/>
      <c r="E20" s="277"/>
      <c r="F20" s="338"/>
      <c r="G20" s="45"/>
    </row>
    <row r="21" spans="2:7">
      <c r="B21" s="337"/>
      <c r="C21" s="277"/>
      <c r="D21" s="277"/>
      <c r="E21" s="277"/>
      <c r="F21" s="338"/>
      <c r="G21" s="45"/>
    </row>
    <row r="22" spans="2:7">
      <c r="B22" s="337"/>
      <c r="C22" s="277"/>
      <c r="D22" s="277"/>
      <c r="E22" s="277"/>
      <c r="F22" s="338"/>
      <c r="G22" s="45"/>
    </row>
    <row r="23" spans="2:7">
      <c r="B23" s="337"/>
      <c r="C23" s="277"/>
      <c r="D23" s="277"/>
      <c r="E23" s="277"/>
      <c r="F23" s="338"/>
      <c r="G23" s="45"/>
    </row>
    <row r="24" spans="2:7">
      <c r="B24" s="351" t="str">
        <f>" Foiz stavkasi: "&amp;'Общие данные'!B85&amp;"%"</f>
        <v xml:space="preserve"> Foiz stavkasi: 60%</v>
      </c>
      <c r="C24" s="244"/>
      <c r="D24" s="244"/>
      <c r="E24" s="244"/>
      <c r="F24" s="352"/>
      <c r="G24" s="45"/>
    </row>
    <row r="25" spans="2:7" ht="15" customHeight="1">
      <c r="B25" s="351" t="str">
        <f>" "&amp;'Общие данные'!C64&amp;" muddati: "&amp;'Общие данные'!B81&amp;" oy"</f>
        <v xml:space="preserve"> Mikrokredit muddati: 12 oy</v>
      </c>
      <c r="C25" s="244"/>
      <c r="D25" s="244"/>
      <c r="E25" s="244"/>
      <c r="F25" s="352"/>
      <c r="G25" s="45"/>
    </row>
    <row r="26" spans="2:7">
      <c r="B26" s="351" t="str">
        <f>" "&amp;'Общие данные'!C64&amp;" miqdori: "&amp;FIXED('Общие данные'!B75,2)&amp;" so'm"</f>
        <v xml:space="preserve"> Mikrokredit miqdori: 180 000 000,00 so'm</v>
      </c>
      <c r="C26" s="244"/>
      <c r="D26" s="244"/>
      <c r="E26" s="244"/>
      <c r="F26" s="352"/>
      <c r="G26" s="45"/>
    </row>
    <row r="27" spans="2:7">
      <c r="B27" s="337"/>
      <c r="C27" s="277"/>
      <c r="D27" s="277"/>
      <c r="E27" s="277"/>
      <c r="F27" s="338"/>
      <c r="G27" s="45"/>
    </row>
    <row r="28" spans="2:7" hidden="1">
      <c r="G28" s="45"/>
    </row>
    <row r="29" spans="2:7">
      <c r="B29" s="337"/>
      <c r="C29" s="277"/>
      <c r="D29" s="277"/>
      <c r="E29" s="277"/>
      <c r="F29" s="338"/>
      <c r="G29" s="45"/>
    </row>
    <row r="30" spans="2:7" ht="12.75" customHeight="1">
      <c r="B30" s="47"/>
      <c r="C30" s="45"/>
      <c r="D30" s="45"/>
      <c r="E30" s="45"/>
      <c r="F30" s="48"/>
      <c r="G30" s="45"/>
    </row>
    <row r="31" spans="2:7">
      <c r="B31" s="47"/>
      <c r="C31" s="45"/>
      <c r="D31" s="45"/>
      <c r="E31" s="45"/>
      <c r="F31" s="48"/>
      <c r="G31" s="45"/>
    </row>
    <row r="32" spans="2:7" ht="2.25" customHeight="1">
      <c r="B32" s="47"/>
      <c r="C32" s="45"/>
      <c r="D32" s="45"/>
      <c r="E32" s="45"/>
      <c r="F32" s="48"/>
      <c r="G32" s="45"/>
    </row>
    <row r="33" spans="2:7">
      <c r="B33" s="47"/>
      <c r="C33" s="45"/>
      <c r="D33" s="45"/>
      <c r="E33" s="45"/>
      <c r="F33" s="48"/>
      <c r="G33" s="45"/>
    </row>
    <row r="34" spans="2:7">
      <c r="B34" s="47"/>
      <c r="C34" s="45"/>
      <c r="D34" s="45"/>
      <c r="E34" s="45"/>
      <c r="F34" s="48"/>
      <c r="G34" s="45"/>
    </row>
    <row r="35" spans="2:7">
      <c r="B35" s="47"/>
      <c r="C35" s="45"/>
      <c r="D35" s="45"/>
      <c r="E35" s="45"/>
      <c r="F35" s="48"/>
      <c r="G35" s="45"/>
    </row>
    <row r="36" spans="2:7">
      <c r="B36" s="47"/>
      <c r="C36" s="45"/>
      <c r="D36" s="45"/>
      <c r="E36" s="45"/>
      <c r="F36" s="48"/>
      <c r="G36" s="45"/>
    </row>
    <row r="37" spans="2:7">
      <c r="B37" s="47"/>
      <c r="C37" s="45"/>
      <c r="D37" s="45"/>
      <c r="E37" s="45"/>
      <c r="F37" s="48"/>
      <c r="G37" s="45"/>
    </row>
    <row r="38" spans="2:7">
      <c r="B38" s="47"/>
      <c r="C38" s="45"/>
      <c r="D38" s="45"/>
      <c r="E38" s="45"/>
      <c r="F38" s="48"/>
      <c r="G38" s="45"/>
    </row>
    <row r="39" spans="2:7">
      <c r="B39" s="47"/>
      <c r="C39" s="45"/>
      <c r="D39" s="45"/>
      <c r="E39" s="45"/>
      <c r="F39" s="48"/>
      <c r="G39" s="45"/>
    </row>
    <row r="40" spans="2:7" ht="15.75" thickBot="1">
      <c r="B40" s="348" t="str">
        <f>"Toshkent sh., "&amp;'Общие данные'!B70&amp;""</f>
        <v>Toshkent sh., 4 fevral 2025 y.</v>
      </c>
      <c r="C40" s="349"/>
      <c r="D40" s="349"/>
      <c r="E40" s="349"/>
      <c r="F40" s="350"/>
      <c r="G40" s="45"/>
    </row>
    <row r="41" spans="2:7">
      <c r="B41" s="277"/>
      <c r="C41" s="277"/>
      <c r="D41" s="277"/>
      <c r="E41" s="277"/>
      <c r="F41" s="277"/>
      <c r="G41" s="45"/>
    </row>
    <row r="42" spans="2:7">
      <c r="B42" s="277"/>
      <c r="C42" s="277"/>
      <c r="D42" s="277"/>
      <c r="E42" s="277"/>
      <c r="F42" s="277"/>
      <c r="G42" s="45"/>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SheetLayoutView="100" workbookViewId="0">
      <selection activeCell="E8" sqref="E8"/>
    </sheetView>
  </sheetViews>
  <sheetFormatPr defaultColWidth="9.140625" defaultRowHeight="15"/>
  <cols>
    <col min="1" max="1" width="33.85546875" style="18" customWidth="1"/>
    <col min="2" max="2" width="21.28515625" style="18" customWidth="1"/>
    <col min="3" max="3" width="19.140625" style="18" customWidth="1"/>
    <col min="4" max="5" width="21.28515625" style="18" customWidth="1"/>
    <col min="6" max="16384" width="9.140625" style="18"/>
  </cols>
  <sheetData>
    <row r="2" spans="1:5">
      <c r="A2" s="133" t="s">
        <v>56</v>
      </c>
    </row>
    <row r="3" spans="1:5">
      <c r="A3" s="133" t="s">
        <v>57</v>
      </c>
    </row>
    <row r="6" spans="1:5" ht="20.25" customHeight="1">
      <c r="E6" s="134" t="s">
        <v>37</v>
      </c>
    </row>
    <row r="7" spans="1:5">
      <c r="E7" s="134" t="s">
        <v>58</v>
      </c>
    </row>
    <row r="9" spans="1:5" ht="107.25" customHeight="1">
      <c r="A9" s="354"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QOSIMOV BEKZODBEK ORIFJONOVICH  (паспорт: AB7685294 ANDIJON VILOYATI SHAXRIXON TUMANI IIB tomonidan 09.09.2017 yilda berilgan) заключен договор микрозайма 4 fevral 2025 y.dan №269-NS, на сумму 180 000 000,00 (yuz sakson million so'm) сум, сроком на 12 (o'n ikki) месяцев. В качестве своевременного исполнения обязательств по договору Микрозайма 4 fevral 2025 y.dan №269-NS планирует предоставить нижеследующее автотранспортного средство марки MALIBU 2 принадлежащее на правах собственности QOSIMOV BEKZODBEK ORIFJONOVICH</v>
      </c>
      <c r="B9" s="354"/>
      <c r="C9" s="354"/>
      <c r="D9" s="354"/>
      <c r="E9" s="354"/>
    </row>
    <row r="11" spans="1:5" ht="28.5">
      <c r="A11" s="42" t="str">
        <f>'Приказ на сделку'!A18</f>
        <v>Nomi</v>
      </c>
      <c r="B11" s="42" t="str">
        <f>'Приказ на сделку'!B18</f>
        <v>Kuzov turi  va kuzov raqami*</v>
      </c>
      <c r="C11" s="42" t="str">
        <f>'Приказ на сделку'!C18</f>
        <v>Dvigatel va shassi raqami*</v>
      </c>
      <c r="D11" s="42" t="str">
        <f>'Приказ на сделку'!D18</f>
        <v>Ishlab chiqarilgan yili va rangi*</v>
      </c>
      <c r="E11" s="42" t="str">
        <f>'Приказ на сделку'!E18</f>
        <v>Kelishilgan garov qiymati, so'm</v>
      </c>
    </row>
    <row r="12" spans="1:5" ht="73.5" customHeight="1">
      <c r="A12" s="42" t="str">
        <f>'Приказ на сделку'!A19</f>
        <v>MALIBU 2</v>
      </c>
      <c r="B12" s="42" t="str">
        <f>'Приказ на сделку'!B19</f>
        <v>Kuzov turi YENGIL SEDAN, Kuzov raqami XWBJF69VELA059410</v>
      </c>
      <c r="C12" s="42" t="str">
        <f>'Приказ на сделку'!C19</f>
        <v>dvigatel raqami 211470021, shassi raqami - RAKAMSIZ</v>
      </c>
      <c r="D12" s="42" t="str">
        <f>'Приказ на сделку'!D19</f>
        <v>rangi -  QORA CHYORNIY, ishlab chiqarilgan yili - 2022</v>
      </c>
      <c r="E12" s="42" t="str">
        <f>'Приказ на сделку'!E19</f>
        <v>270 000 000,00 (ikki yuz yetmish million so'm)</v>
      </c>
    </row>
    <row r="13" spans="1:5">
      <c r="A13" s="355" t="str">
        <f>'Приказ на сделку'!A20:E20</f>
        <v>-* avtotransport egasi: QOSIMOV BEKZODBEK ORIFJONOVICH</v>
      </c>
      <c r="B13" s="355"/>
      <c r="C13" s="355"/>
      <c r="D13" s="355"/>
      <c r="E13" s="355"/>
    </row>
    <row r="14" spans="1:5">
      <c r="A14" s="355" t="str">
        <f>'Приказ на сделку'!A21:E21</f>
        <v>-* texnik pasport: AAG 2398913  20.09.2023 y.</v>
      </c>
      <c r="B14" s="355"/>
      <c r="C14" s="355"/>
      <c r="D14" s="355"/>
      <c r="E14" s="355"/>
    </row>
    <row r="15" spans="1:5">
      <c r="A15" s="355" t="str">
        <f>'Приказ на сделку'!A22:E22</f>
        <v>-* roʻyxatdan oʻtgan manzili/garaj manzili: ANDIJON VILOYATI SHAXRIXON TUMANI BARKAMOL AVLOD MFY</v>
      </c>
      <c r="B15" s="355"/>
      <c r="C15" s="355"/>
      <c r="D15" s="355"/>
      <c r="E15" s="355"/>
    </row>
    <row r="16" spans="1:5">
      <c r="A16" s="355" t="str">
        <f>'Приказ на сделку'!A23:E23</f>
        <v>-* davlat raqami: 60Q081BB</v>
      </c>
      <c r="B16" s="355"/>
      <c r="C16" s="355"/>
      <c r="D16" s="355"/>
      <c r="E16" s="355"/>
    </row>
    <row r="17" spans="1:5" ht="3" customHeight="1"/>
    <row r="19" spans="1:5" ht="59.25" hidden="1" customHeight="1">
      <c r="A19" s="42" t="str">
        <f>'Акт согласования'!A50</f>
        <v>Наименование</v>
      </c>
      <c r="B19" s="42" t="str">
        <f>'Акт согласования'!B50</f>
        <v>Полезная площадь</v>
      </c>
      <c r="C19" s="42" t="str">
        <f>'Акт согласования'!C50</f>
        <v>Жилая площадь</v>
      </c>
      <c r="D19" s="42" t="str">
        <f>'Акт согласования'!D50</f>
        <v>Общая площадь</v>
      </c>
      <c r="E19" s="42" t="str">
        <f>'Акт согласования'!E50</f>
        <v>Согласованная залоговая стоимость, сум</v>
      </c>
    </row>
    <row r="20" spans="1:5" ht="17.25" hidden="1" customHeight="1">
      <c r="A20" s="20" t="str">
        <f>'Акт согласования'!A51</f>
        <v>Yashash xona</v>
      </c>
      <c r="B20" s="20">
        <f>'Акт согласования'!B51</f>
        <v>0</v>
      </c>
      <c r="C20" s="20">
        <f>'Акт согласования'!C51</f>
        <v>37.39</v>
      </c>
      <c r="D20" s="20">
        <f>'Акт согласования'!D51</f>
        <v>37.39</v>
      </c>
      <c r="E20" s="325" t="str">
        <f>""&amp;FIXED('Общие данные'!C136,2)&amp;" ("&amp;'Общие данные'!C137&amp;")"</f>
        <v>270 000 000,00 (ikki yuz yetmish million so'm)</v>
      </c>
    </row>
    <row r="21" spans="1:5" ht="17.25" hidden="1" customHeight="1">
      <c r="A21" s="20">
        <f>'Акт согласования'!A52</f>
        <v>0</v>
      </c>
      <c r="B21" s="20">
        <f>'Акт согласования'!B52</f>
        <v>0</v>
      </c>
      <c r="C21" s="20">
        <f>'Акт согласования'!C52</f>
        <v>0</v>
      </c>
      <c r="D21" s="20">
        <f>'Акт согласования'!D52</f>
        <v>0</v>
      </c>
      <c r="E21" s="326"/>
    </row>
    <row r="22" spans="1:5" ht="17.25" hidden="1" customHeight="1">
      <c r="A22" s="20" t="str">
        <f>'Акт согласования'!A53</f>
        <v>Noturar joy</v>
      </c>
      <c r="B22" s="20">
        <f>'Акт согласования'!B53</f>
        <v>34.74</v>
      </c>
      <c r="C22" s="20">
        <f>'Акт согласования'!C53</f>
        <v>0</v>
      </c>
      <c r="D22" s="20">
        <f>'Акт согласования'!D53</f>
        <v>34.74</v>
      </c>
      <c r="E22" s="326"/>
    </row>
    <row r="23" spans="1:5" ht="17.25" hidden="1" customHeight="1">
      <c r="A23" s="20">
        <f>'Акт согласования'!A54</f>
        <v>0</v>
      </c>
      <c r="B23" s="20">
        <f>'Акт согласования'!B54</f>
        <v>0</v>
      </c>
      <c r="C23" s="20">
        <f>'Акт согласования'!C54</f>
        <v>0</v>
      </c>
      <c r="D23" s="20">
        <f>'Акт согласования'!D54</f>
        <v>0</v>
      </c>
      <c r="E23" s="326"/>
    </row>
    <row r="24" spans="1:5" ht="17.25" hidden="1" customHeight="1">
      <c r="A24" s="20">
        <f>'Акт согласования'!A55</f>
        <v>0</v>
      </c>
      <c r="B24" s="20">
        <f>'Акт согласования'!B55</f>
        <v>0</v>
      </c>
      <c r="C24" s="20">
        <f>'Акт согласования'!C55</f>
        <v>0</v>
      </c>
      <c r="D24" s="20">
        <f>'Акт согласования'!D55</f>
        <v>0</v>
      </c>
      <c r="E24" s="326"/>
    </row>
    <row r="25" spans="1:5" ht="15.75" hidden="1" customHeight="1">
      <c r="A25" s="20">
        <f>'Акт согласования'!A56</f>
        <v>0</v>
      </c>
      <c r="B25" s="20">
        <f>'Акт согласования'!B56</f>
        <v>0</v>
      </c>
      <c r="C25" s="20">
        <f>'Акт согласования'!C56</f>
        <v>0</v>
      </c>
      <c r="D25" s="20">
        <f>'Акт согласования'!D56</f>
        <v>0</v>
      </c>
      <c r="E25" s="326"/>
    </row>
    <row r="26" spans="1:5" ht="17.25" hidden="1" customHeight="1">
      <c r="A26" s="20">
        <f>'Акт согласования'!A57</f>
        <v>0</v>
      </c>
      <c r="B26" s="20">
        <f>'Акт согласования'!B57</f>
        <v>0</v>
      </c>
      <c r="C26" s="20">
        <f>'Акт согласования'!C57</f>
        <v>0</v>
      </c>
      <c r="D26" s="20">
        <f>'Акт согласования'!D57</f>
        <v>0</v>
      </c>
      <c r="E26" s="326"/>
    </row>
    <row r="27" spans="1:5" ht="17.25" hidden="1" customHeight="1">
      <c r="A27" s="20">
        <f>'Акт согласования'!A58</f>
        <v>0</v>
      </c>
      <c r="B27" s="20">
        <f>'Акт согласования'!B58</f>
        <v>0</v>
      </c>
      <c r="C27" s="20">
        <f>'Акт согласования'!C58</f>
        <v>0</v>
      </c>
      <c r="D27" s="20">
        <f>'Акт согласования'!D58</f>
        <v>0</v>
      </c>
      <c r="E27" s="326"/>
    </row>
    <row r="28" spans="1:5" ht="17.25" hidden="1" customHeight="1">
      <c r="A28" s="20">
        <f>'Акт согласования'!A59</f>
        <v>0</v>
      </c>
      <c r="B28" s="20">
        <f>'Акт согласования'!B59</f>
        <v>0</v>
      </c>
      <c r="C28" s="20">
        <f>'Акт согласования'!C59</f>
        <v>0</v>
      </c>
      <c r="D28" s="20">
        <f>'Акт согласования'!D59</f>
        <v>0</v>
      </c>
      <c r="E28" s="326"/>
    </row>
    <row r="29" spans="1:5" ht="17.25" hidden="1" customHeight="1">
      <c r="A29" s="20">
        <f>'Акт согласования'!A60</f>
        <v>0</v>
      </c>
      <c r="B29" s="20">
        <f>'Акт согласования'!B60</f>
        <v>0</v>
      </c>
      <c r="C29" s="20">
        <f>'Акт согласования'!C60</f>
        <v>0</v>
      </c>
      <c r="D29" s="20">
        <f>'Акт согласования'!D60</f>
        <v>0</v>
      </c>
      <c r="E29" s="326"/>
    </row>
    <row r="30" spans="1:5" ht="17.25" hidden="1" customHeight="1">
      <c r="A30" s="20">
        <f>'Акт согласования'!A61</f>
        <v>0</v>
      </c>
      <c r="B30" s="20">
        <f>'Акт согласования'!B61</f>
        <v>0</v>
      </c>
      <c r="C30" s="20">
        <f>'Акт согласования'!C61</f>
        <v>0</v>
      </c>
      <c r="D30" s="20">
        <f>'Акт согласования'!D61</f>
        <v>0</v>
      </c>
      <c r="E30" s="327"/>
    </row>
    <row r="31" spans="1:5" ht="17.25" hidden="1" customHeight="1">
      <c r="A31" s="20" t="str">
        <f>'Акт согласования'!A62</f>
        <v>JAMI</v>
      </c>
      <c r="B31" s="20">
        <f>'Акт согласования'!B62</f>
        <v>34.74</v>
      </c>
      <c r="C31" s="20">
        <f>'Акт согласования'!C62</f>
        <v>37.39</v>
      </c>
      <c r="D31" s="20">
        <f>'Акт согласования'!D62</f>
        <v>72.13</v>
      </c>
      <c r="E31" s="20" t="str">
        <f>'Акт согласования'!E62</f>
        <v>270 000 000,00</v>
      </c>
    </row>
    <row r="32" spans="1:5" ht="18.75" hidden="1" customHeight="1">
      <c r="A32" s="354" t="str">
        <f>'Акт согласования'!A39:E39</f>
        <v>-* ko'chmas mulk egasi: SHOUSMANOVA DAVLATXON XXX</v>
      </c>
      <c r="B32" s="354"/>
      <c r="C32" s="354"/>
      <c r="D32" s="354"/>
      <c r="E32" s="354"/>
    </row>
    <row r="33" spans="1:5" ht="24.75" hidden="1" customHeight="1">
      <c r="A33" s="354" t="str">
        <f>'Акт согласования'!A40:E40</f>
        <v>-* reestr raqami: 1718238/R-A1419303</v>
      </c>
      <c r="B33" s="354"/>
      <c r="C33" s="354"/>
      <c r="D33" s="354"/>
      <c r="E33" s="354"/>
    </row>
    <row r="34" spans="1:5" ht="30.75" hidden="1" customHeight="1">
      <c r="A34" s="354" t="str">
        <f>'Акт согласования'!A41:E41</f>
        <v>-* kadastr raqami: №14:13:02:01:03:1179:0006:058 от 16.12.2020 г.</v>
      </c>
      <c r="B34" s="354"/>
      <c r="C34" s="354"/>
      <c r="D34" s="354"/>
      <c r="E34" s="354"/>
    </row>
    <row r="35" spans="1:5" ht="15" hidden="1" customHeight="1">
      <c r="A35" s="354" t="str">
        <f>'Акт согласования'!A42:E42</f>
        <v>-* manzil: SAMARQAND VILOYATI TAYLOQ TUMANI CHAROG'BON MFY YANGI TAYLOQ QISHLOG'I 6 TURAR JOY 12 QAVAT 58 XONADON</v>
      </c>
      <c r="B35" s="354"/>
      <c r="C35" s="354"/>
      <c r="D35" s="354"/>
      <c r="E35" s="354"/>
    </row>
    <row r="36" spans="1:5">
      <c r="A36" s="25"/>
      <c r="B36" s="25"/>
      <c r="C36" s="25"/>
      <c r="D36" s="25"/>
      <c r="E36" s="25"/>
    </row>
    <row r="37" spans="1:5" s="157" customFormat="1" ht="51" customHeight="1">
      <c r="A37" s="353" t="str">
        <f>'Акт согласования'!A64:E64</f>
        <v>“Birinchi talabga ko‘ra, yuqoridagi avtomobil Mikrokredit shartnomasi bo‘yicha garovga qo‘yilgan edi::- №5 от 11 yanvar 2021 г., заключенного с ООО «Clever Mikrokredit Tashkiloti» и TULYAGANOV XODJIAKBAR IRGASHEVICH, по согласованной залоговой стоимость - 15 000 000,00 (on besh million) сум.- №386 от 6 noyabr 2019 г., заключенного с ООО «Clever Mikrokredit Tashkiloti» и YUNUSOVA ZALOXAT MIRSULTANOVNA, по согласованной залоговой стоимость - 15 000 000,00 (on besh million) сум.- №33 от 21 yanvar 2021 г., заключенного с ООО «Clever Mikrokredit Tashkiloti» и YUNUSOVA ZALOXAT MIRSULTANOVNA, по согласованной залоговой стоимость - 15 000 000,00 (on besh million) сум.00000000000000000</v>
      </c>
      <c r="B37" s="353"/>
      <c r="C37" s="353"/>
      <c r="D37" s="353"/>
      <c r="E37" s="353"/>
    </row>
    <row r="38" spans="1:5" ht="40.5" customHeight="1">
      <c r="A38" s="354" t="str">
        <f>'Акт согласования'!A65:E65</f>
        <v>Shu bilan birga, garov predmetining kelishilgan garov qiymati deganda ushbu mulk garov sifatida taqdim etilgan/qabul qilingan qiymati tushuniladi.</v>
      </c>
      <c r="B38" s="354"/>
      <c r="C38" s="354"/>
      <c r="D38" s="354"/>
      <c r="E38" s="354"/>
    </row>
    <row r="39" spans="1:5" ht="39" customHeight="1">
      <c r="A39" s="354"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4 fevral 2025 y.dan №269-NS, при сохранении запрета.</v>
      </c>
      <c r="B39" s="354"/>
      <c r="C39" s="354"/>
      <c r="D39" s="354"/>
      <c r="E39" s="354"/>
    </row>
    <row r="40" spans="1:5">
      <c r="A40" s="357"/>
      <c r="B40" s="357"/>
      <c r="C40" s="357"/>
      <c r="D40" s="357"/>
      <c r="E40" s="357"/>
    </row>
    <row r="41" spans="1:5">
      <c r="A41" s="358" t="s">
        <v>38</v>
      </c>
      <c r="B41" s="358"/>
      <c r="C41" s="358"/>
      <c r="D41" s="358"/>
      <c r="E41" s="358"/>
    </row>
    <row r="42" spans="1:5">
      <c r="A42" s="357"/>
      <c r="B42" s="357"/>
      <c r="C42" s="357"/>
      <c r="D42" s="357"/>
      <c r="E42" s="357"/>
    </row>
    <row r="43" spans="1:5">
      <c r="A43" s="358" t="s">
        <v>39</v>
      </c>
      <c r="B43" s="358"/>
      <c r="C43" s="358"/>
      <c r="D43" s="358"/>
      <c r="E43" s="358"/>
    </row>
    <row r="44" spans="1:5" ht="28.5" customHeight="1">
      <c r="A44" s="356" t="s">
        <v>40</v>
      </c>
      <c r="B44" s="356"/>
      <c r="C44" s="356"/>
      <c r="D44" s="356"/>
      <c r="E44" s="135"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SheetLayoutView="100" workbookViewId="0">
      <selection activeCell="E21" sqref="E21"/>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9" width="9.140625" style="27" hidden="1" customWidth="1"/>
    <col min="10" max="10" width="9.140625" style="27" customWidth="1"/>
    <col min="11" max="11" width="0.5703125" style="27" customWidth="1"/>
    <col min="12" max="16384" width="9.140625" style="27"/>
  </cols>
  <sheetData>
    <row r="1" spans="1:9">
      <c r="A1" s="34"/>
      <c r="B1" s="34"/>
      <c r="C1" s="34"/>
      <c r="D1" s="34"/>
      <c r="E1" s="34"/>
      <c r="F1" s="34"/>
      <c r="G1" s="34"/>
      <c r="H1" s="34"/>
      <c r="I1" s="34"/>
    </row>
    <row r="2" spans="1:9">
      <c r="A2" s="360" t="str">
        <f>""&amp;" "&amp;'Общие данные'!B74&amp;"-sonli "&amp;" "&amp;'Общие данные'!C64&amp;" shartnomasi bo‘yicha garovga qo‘yilgan mol-mulkni tekshirish bo’yicha "&amp;'Общие данные'!B5&amp;" bilan tuzilgan dalolatnomasi"</f>
        <v xml:space="preserve"> 4 fevral 2025 y.dan №269-NS-sonli  Mikrokredit shartnomasi bo‘yicha garovga qo‘yilgan mol-mulkni tekshirish bo’yicha QOSIMOV BEKZODBEK ORIFJONOVICH bilan tuzilgan dalolatnomasi</v>
      </c>
      <c r="B2" s="360"/>
      <c r="C2" s="360"/>
      <c r="D2" s="360"/>
      <c r="E2" s="360"/>
      <c r="F2" s="360"/>
      <c r="G2" s="360"/>
      <c r="H2" s="360"/>
      <c r="I2" s="34"/>
    </row>
    <row r="3" spans="1:9">
      <c r="A3" s="360"/>
      <c r="B3" s="360"/>
      <c r="C3" s="360"/>
      <c r="D3" s="360"/>
      <c r="E3" s="360"/>
      <c r="F3" s="360"/>
      <c r="G3" s="360"/>
      <c r="H3" s="360"/>
      <c r="I3" s="34"/>
    </row>
    <row r="5" spans="1:9">
      <c r="A5" s="27" t="s">
        <v>214</v>
      </c>
      <c r="F5" s="194"/>
      <c r="H5" s="171" t="str">
        <f>TEXT('Общие данные'!D2,"ДД.ММ.ГГГГ")</f>
        <v>03.08.2025</v>
      </c>
    </row>
    <row r="7" spans="1:9" ht="45" customHeight="1">
      <c r="A7" s="359"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Nukus filiali boshligii XOJANIYAZOV B. Z., jismoniy shaxs  QOSIMOV BEKZODBEK ORIFJONOVICH  4 fevral 2025 y.dan №269-NS-sonli mikrokredit shartnomasi bo‘yicha garovga qo‘yilgan mol-mulkni ko‘zdan kechirdim</v>
      </c>
      <c r="B7" s="359"/>
      <c r="C7" s="359"/>
      <c r="D7" s="359"/>
      <c r="E7" s="359"/>
      <c r="F7" s="359"/>
      <c r="G7" s="359"/>
      <c r="H7" s="359"/>
    </row>
    <row r="8" spans="1:9" ht="19.5" customHeight="1">
      <c r="A8" s="363" t="s">
        <v>298</v>
      </c>
      <c r="B8" s="363"/>
      <c r="C8" s="363"/>
      <c r="D8" s="363"/>
      <c r="E8" s="363"/>
      <c r="F8" s="363"/>
      <c r="G8" s="363"/>
      <c r="H8" s="363"/>
    </row>
    <row r="9" spans="1:9" s="172" customFormat="1" ht="32.25" customHeight="1">
      <c r="A9" s="364" t="s">
        <v>217</v>
      </c>
      <c r="B9" s="365"/>
      <c r="C9" s="364" t="s">
        <v>299</v>
      </c>
      <c r="D9" s="365"/>
      <c r="E9" s="366" t="s">
        <v>300</v>
      </c>
      <c r="F9" s="366"/>
      <c r="G9" s="366" t="s">
        <v>181</v>
      </c>
      <c r="H9" s="366"/>
    </row>
    <row r="10" spans="1:9" s="170" customFormat="1" ht="58.5" customHeight="1">
      <c r="A10" s="367" t="str">
        <f>'Общие данные'!B125</f>
        <v>MALIBU 2</v>
      </c>
      <c r="B10" s="367"/>
      <c r="C10" s="367" t="str">
        <f>'Общие данные'!B127</f>
        <v>Kuzov turi YENGIL SEDAN, Kuzov raqami XWBJF69VELA059410</v>
      </c>
      <c r="D10" s="367"/>
      <c r="E10" s="367" t="str">
        <f>'Общие данные'!B130</f>
        <v>dvigatel raqami 211470021, shassi raqami - RAKAMSIZ</v>
      </c>
      <c r="F10" s="367"/>
      <c r="G10" s="367" t="str">
        <f>'Общие данные'!B133</f>
        <v>rangi -  QORA CHYORNIY, ishlab chiqarilgan yili - 2022</v>
      </c>
      <c r="H10" s="367"/>
    </row>
    <row r="11" spans="1:9" ht="19.5" customHeight="1">
      <c r="A11" s="368" t="str">
        <f>'Акт согласования'!A22:E22</f>
        <v>-* avtotransport egasi: QOSIMOV BEKZODBEK ORIFJONOVICH</v>
      </c>
      <c r="B11" s="368"/>
      <c r="C11" s="368"/>
      <c r="D11" s="368"/>
      <c r="E11" s="368"/>
      <c r="F11" s="368"/>
      <c r="G11" s="368"/>
      <c r="H11" s="368"/>
    </row>
    <row r="12" spans="1:9" ht="19.5" customHeight="1">
      <c r="A12" s="368" t="str">
        <f>'Акт согласования'!A23:E23</f>
        <v>-* texnik pasport: AAG 2398913  20.09.2023 y.</v>
      </c>
      <c r="B12" s="368"/>
      <c r="C12" s="368"/>
      <c r="D12" s="368"/>
      <c r="E12" s="368"/>
      <c r="F12" s="368"/>
      <c r="G12" s="368"/>
      <c r="H12" s="368"/>
    </row>
    <row r="13" spans="1:9" ht="19.5" customHeight="1">
      <c r="A13" s="368" t="str">
        <f>'Акт согласования'!A24:E24</f>
        <v>-* roʻyxatdan oʻtgan manzili/garaj manzili: ANDIJON VILOYATI SHAXRIXON TUMANI BARKAMOL AVLOD MFY</v>
      </c>
      <c r="B13" s="368"/>
      <c r="C13" s="368"/>
      <c r="D13" s="368"/>
      <c r="E13" s="368"/>
      <c r="F13" s="368"/>
      <c r="G13" s="368"/>
      <c r="H13" s="368"/>
    </row>
    <row r="14" spans="1:9" ht="19.5" customHeight="1">
      <c r="A14" s="368" t="str">
        <f>'Акт согласования'!A25:E25</f>
        <v>-* davlat raqami: 60Q081BB</v>
      </c>
      <c r="B14" s="368"/>
      <c r="C14" s="368"/>
      <c r="D14" s="368"/>
      <c r="E14" s="368"/>
      <c r="F14" s="368"/>
      <c r="G14" s="368"/>
      <c r="H14" s="368"/>
    </row>
    <row r="15" spans="1:9" ht="33.75" customHeight="1">
      <c r="A15" s="361" t="str">
        <f>+"Shu bilan birga, yuqoridagi mulkning kelishilgan garov qiymati "&amp;'Акт согласования'!E48</f>
        <v>Shu bilan birga, yuqoridagi mulkning kelishilgan garov qiymati 270 000 000,00 (ikki yuz yetmish million so'm)</v>
      </c>
      <c r="B15" s="361"/>
      <c r="C15" s="361"/>
      <c r="D15" s="361"/>
      <c r="E15" s="361"/>
      <c r="F15" s="361"/>
      <c r="G15" s="361"/>
      <c r="H15" s="361"/>
    </row>
    <row r="17" spans="1:8" ht="27" customHeight="1">
      <c r="A17" s="362" t="s">
        <v>301</v>
      </c>
      <c r="B17" s="362"/>
      <c r="C17" s="362"/>
      <c r="D17" s="362"/>
      <c r="E17" s="362"/>
      <c r="F17" s="362"/>
      <c r="G17" s="362"/>
      <c r="H17" s="362"/>
    </row>
    <row r="21" spans="1:8" s="34" customFormat="1"/>
    <row r="22" spans="1:8" s="34" customFormat="1">
      <c r="A22" s="34" t="str">
        <f>'Общие данные'!A150</f>
        <v>Nukus filiali boshligi</v>
      </c>
      <c r="H22" s="173" t="str">
        <f>'Общие данные'!B150</f>
        <v>XOJANIYAZOV B. Z.</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QOSIMOV  B.O.</v>
      </c>
    </row>
    <row r="27" spans="1:8" s="34" customFormat="1"/>
    <row r="28" spans="1:8" s="34" customFormat="1"/>
    <row r="29" spans="1:8" s="34" customFormat="1"/>
    <row r="30" spans="1:8" s="34" customFormat="1"/>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SheetLayoutView="115" workbookViewId="0">
      <selection activeCell="H24" sqref="H24"/>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60" t="str">
        <f>""&amp;" "&amp;'Общие данные'!B74&amp;"-sonli "&amp;" "&amp;'Общие данные'!C64&amp;" shartnomasi bo‘yicha garovga qo‘yilgan mol-mulkni tekshirish bo’yicha "&amp;'Общие данные'!B5&amp;" bilan tuzilgan dalolatnomasi"</f>
        <v xml:space="preserve"> 4 fevral 2025 y.dan №269-NS-sonli  Mikrokredit shartnomasi bo‘yicha garovga qo‘yilgan mol-mulkni tekshirish bo’yicha QOSIMOV BEKZODBEK ORIFJONOVICH bilan tuzilgan dalolatnomasi</v>
      </c>
      <c r="B2" s="360"/>
      <c r="C2" s="360"/>
      <c r="D2" s="360"/>
      <c r="E2" s="360"/>
      <c r="F2" s="360"/>
      <c r="G2" s="360"/>
      <c r="H2" s="360"/>
      <c r="I2" s="34"/>
    </row>
    <row r="3" spans="1:9">
      <c r="A3" s="360"/>
      <c r="B3" s="360"/>
      <c r="C3" s="360"/>
      <c r="D3" s="360"/>
      <c r="E3" s="360"/>
      <c r="F3" s="360"/>
      <c r="G3" s="360"/>
      <c r="H3" s="360"/>
      <c r="I3" s="34"/>
    </row>
    <row r="5" spans="1:9">
      <c r="A5" s="27" t="s">
        <v>214</v>
      </c>
      <c r="H5" s="171" t="str">
        <f>TEXT(+'Общие данные'!B2+360,"ДД.ММ.ГГГГ")</f>
        <v>30.01.2026</v>
      </c>
    </row>
    <row r="7" spans="1:9" ht="45" customHeight="1">
      <c r="A7" s="359"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XOJANIYAZOV B. Z., jismoniy shaxs  QOSIMOV BEKZODBEK ORIFJONOVICH  4 fevral 2025 y.dan №269-NS-sonli Mikrokredit shartnomasi bo‘yicha garovga qo‘yilgan mol-mulkni ko‘zdan kechirdim</v>
      </c>
      <c r="B7" s="359"/>
      <c r="C7" s="359"/>
      <c r="D7" s="359"/>
      <c r="E7" s="359"/>
      <c r="F7" s="359"/>
      <c r="G7" s="359"/>
      <c r="H7" s="359"/>
    </row>
    <row r="8" spans="1:9" ht="19.5" customHeight="1">
      <c r="A8" s="363" t="s">
        <v>298</v>
      </c>
      <c r="B8" s="363"/>
      <c r="C8" s="363"/>
      <c r="D8" s="363"/>
      <c r="E8" s="363"/>
      <c r="F8" s="363"/>
      <c r="G8" s="363"/>
      <c r="H8" s="363"/>
    </row>
    <row r="9" spans="1:9" s="172" customFormat="1" ht="32.25" customHeight="1">
      <c r="A9" s="364" t="s">
        <v>217</v>
      </c>
      <c r="B9" s="365"/>
      <c r="C9" s="364" t="s">
        <v>299</v>
      </c>
      <c r="D9" s="365"/>
      <c r="E9" s="366" t="s">
        <v>300</v>
      </c>
      <c r="F9" s="366"/>
      <c r="G9" s="366" t="s">
        <v>181</v>
      </c>
      <c r="H9" s="366"/>
    </row>
    <row r="10" spans="1:9" s="170" customFormat="1" ht="58.5" customHeight="1">
      <c r="A10" s="367" t="str">
        <f>'Общие данные'!B125</f>
        <v>MALIBU 2</v>
      </c>
      <c r="B10" s="367"/>
      <c r="C10" s="367" t="str">
        <f>'Общие данные'!B127</f>
        <v>Kuzov turi YENGIL SEDAN, Kuzov raqami XWBJF69VELA059410</v>
      </c>
      <c r="D10" s="367"/>
      <c r="E10" s="367" t="str">
        <f>'Общие данные'!B130</f>
        <v>dvigatel raqami 211470021, shassi raqami - RAKAMSIZ</v>
      </c>
      <c r="F10" s="367"/>
      <c r="G10" s="367" t="str">
        <f>'Общие данные'!B133</f>
        <v>rangi -  QORA CHYORNIY, ishlab chiqarilgan yili - 2022</v>
      </c>
      <c r="H10" s="367"/>
    </row>
    <row r="11" spans="1:9" ht="19.5" customHeight="1">
      <c r="A11" s="368" t="str">
        <f>'Акт согласования'!A22:E22</f>
        <v>-* avtotransport egasi: QOSIMOV BEKZODBEK ORIFJONOVICH</v>
      </c>
      <c r="B11" s="368"/>
      <c r="C11" s="368"/>
      <c r="D11" s="368"/>
      <c r="E11" s="368"/>
      <c r="F11" s="368"/>
      <c r="G11" s="368"/>
      <c r="H11" s="368"/>
    </row>
    <row r="12" spans="1:9" ht="19.5" customHeight="1">
      <c r="A12" s="368" t="str">
        <f>'Акт согласования'!A23:E23</f>
        <v>-* texnik pasport: AAG 2398913  20.09.2023 y.</v>
      </c>
      <c r="B12" s="368"/>
      <c r="C12" s="368"/>
      <c r="D12" s="368"/>
      <c r="E12" s="368"/>
      <c r="F12" s="368"/>
      <c r="G12" s="368"/>
      <c r="H12" s="368"/>
    </row>
    <row r="13" spans="1:9" ht="19.5" customHeight="1">
      <c r="A13" s="368" t="str">
        <f>'Акт согласования'!A24:E24</f>
        <v>-* roʻyxatdan oʻtgan manzili/garaj manzili: ANDIJON VILOYATI SHAXRIXON TUMANI BARKAMOL AVLOD MFY</v>
      </c>
      <c r="B13" s="368"/>
      <c r="C13" s="368"/>
      <c r="D13" s="368"/>
      <c r="E13" s="368"/>
      <c r="F13" s="368"/>
      <c r="G13" s="368"/>
      <c r="H13" s="368"/>
    </row>
    <row r="14" spans="1:9" ht="19.5" customHeight="1">
      <c r="A14" s="368" t="str">
        <f>'Акт согласования'!A25:E25</f>
        <v>-* davlat raqami: 60Q081BB</v>
      </c>
      <c r="B14" s="368"/>
      <c r="C14" s="368"/>
      <c r="D14" s="368"/>
      <c r="E14" s="368"/>
      <c r="F14" s="368"/>
      <c r="G14" s="368"/>
      <c r="H14" s="368"/>
    </row>
    <row r="15" spans="1:9" ht="33.75" customHeight="1">
      <c r="A15" s="361" t="str">
        <f>+"Shu bilan birga, yuqoridagi mulkning kelishilgan garov qiymati "&amp;'Акт согласования'!E48</f>
        <v>Shu bilan birga, yuqoridagi mulkning kelishilgan garov qiymati 270 000 000,00 (ikki yuz yetmish million so'm)</v>
      </c>
      <c r="B15" s="361"/>
      <c r="C15" s="361"/>
      <c r="D15" s="361"/>
      <c r="E15" s="361"/>
      <c r="F15" s="361"/>
      <c r="G15" s="361"/>
      <c r="H15" s="361"/>
    </row>
    <row r="17" spans="1:8" ht="35.25" customHeight="1">
      <c r="A17" s="362" t="s">
        <v>301</v>
      </c>
      <c r="B17" s="362"/>
      <c r="C17" s="362"/>
      <c r="D17" s="362"/>
      <c r="E17" s="362"/>
      <c r="F17" s="362"/>
      <c r="G17" s="362"/>
      <c r="H17" s="362"/>
    </row>
    <row r="21" spans="1:8" s="34" customFormat="1"/>
    <row r="22" spans="1:8" s="34" customFormat="1">
      <c r="A22" s="34" t="str">
        <f>'Общие данные'!A150</f>
        <v>Nukus filiali boshligi</v>
      </c>
      <c r="H22" s="173" t="str">
        <f>'Общие данные'!B150</f>
        <v>XOJANIYAZOV B. Z.</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QOSIMOV  B.O.</v>
      </c>
    </row>
    <row r="27" spans="1:8" s="34" customFormat="1"/>
    <row r="28" spans="1:8" s="34" customFormat="1"/>
    <row r="29" spans="1:8" s="34"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5" zoomScaleSheetLayoutView="100" workbookViewId="0">
      <selection activeCell="A11" sqref="A11:H11"/>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60" t="str">
        <f>""&amp;" "&amp;'Общие данные'!B74&amp;"-sonli "&amp;" "&amp;'Общие данные'!C64&amp;" shartnomasi bo‘yicha garovga qo‘yilgan mol-mulkni tekshirish bo’yicha "&amp;'Общие данные'!B5&amp;" bilan tuzilgan dalolatnomasi"</f>
        <v xml:space="preserve"> 4 fevral 2025 y.dan №269-NS-sonli  Mikrokredit shartnomasi bo‘yicha garovga qo‘yilgan mol-mulkni tekshirish bo’yicha QOSIMOV BEKZODBEK ORIFJONOVICH bilan tuzilgan dalolatnomasi</v>
      </c>
      <c r="B2" s="360"/>
      <c r="C2" s="360"/>
      <c r="D2" s="360"/>
      <c r="E2" s="360"/>
      <c r="F2" s="360"/>
      <c r="G2" s="360"/>
      <c r="H2" s="360"/>
      <c r="I2" s="34"/>
    </row>
    <row r="3" spans="1:9">
      <c r="A3" s="360"/>
      <c r="B3" s="360"/>
      <c r="C3" s="360"/>
      <c r="D3" s="360"/>
      <c r="E3" s="360"/>
      <c r="F3" s="360"/>
      <c r="G3" s="360"/>
      <c r="H3" s="360"/>
      <c r="I3" s="34"/>
    </row>
    <row r="5" spans="1:9">
      <c r="A5" s="27" t="s">
        <v>214</v>
      </c>
      <c r="H5" s="171" t="str">
        <f>TEXT(+'Общие данные'!B2+540,"ДД.ММ.ГГГГ")</f>
        <v>29.07.2026</v>
      </c>
    </row>
    <row r="7" spans="1:9" ht="45" customHeight="1">
      <c r="A7" s="359"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XOJANIYAZOV B. Z., jismoniy shaxs  QOSIMOV BEKZODBEK ORIFJONOVICH  4 fevral 2025 y.dan №269-NS-sonli Mikrokredit shartnomasi bo‘yicha garovga qo‘yilgan mol-mulkni ko‘zdan kechirdim</v>
      </c>
      <c r="B7" s="359"/>
      <c r="C7" s="359"/>
      <c r="D7" s="359"/>
      <c r="E7" s="359"/>
      <c r="F7" s="359"/>
      <c r="G7" s="359"/>
      <c r="H7" s="359"/>
    </row>
    <row r="8" spans="1:9" ht="19.5" customHeight="1">
      <c r="A8" s="363" t="s">
        <v>298</v>
      </c>
      <c r="B8" s="363"/>
      <c r="C8" s="363"/>
      <c r="D8" s="363"/>
      <c r="E8" s="363"/>
      <c r="F8" s="363"/>
      <c r="G8" s="363"/>
      <c r="H8" s="363"/>
    </row>
    <row r="9" spans="1:9" s="172" customFormat="1" ht="32.25" customHeight="1">
      <c r="A9" s="364" t="s">
        <v>217</v>
      </c>
      <c r="B9" s="365"/>
      <c r="C9" s="364" t="s">
        <v>299</v>
      </c>
      <c r="D9" s="365"/>
      <c r="E9" s="366" t="s">
        <v>300</v>
      </c>
      <c r="F9" s="366"/>
      <c r="G9" s="366" t="s">
        <v>181</v>
      </c>
      <c r="H9" s="366"/>
    </row>
    <row r="10" spans="1:9" s="170" customFormat="1" ht="58.5" customHeight="1">
      <c r="A10" s="367" t="str">
        <f>'Общие данные'!B125</f>
        <v>MALIBU 2</v>
      </c>
      <c r="B10" s="367"/>
      <c r="C10" s="367" t="str">
        <f>'Общие данные'!B127</f>
        <v>Kuzov turi YENGIL SEDAN, Kuzov raqami XWBJF69VELA059410</v>
      </c>
      <c r="D10" s="367"/>
      <c r="E10" s="367" t="str">
        <f>'Общие данные'!B130</f>
        <v>dvigatel raqami 211470021, shassi raqami - RAKAMSIZ</v>
      </c>
      <c r="F10" s="367"/>
      <c r="G10" s="367" t="str">
        <f>'Общие данные'!B133</f>
        <v>rangi -  QORA CHYORNIY, ishlab chiqarilgan yili - 2022</v>
      </c>
      <c r="H10" s="367"/>
    </row>
    <row r="11" spans="1:9" ht="19.5" customHeight="1">
      <c r="A11" s="368" t="str">
        <f>'Акт согласования'!A22:E22</f>
        <v>-* avtotransport egasi: QOSIMOV BEKZODBEK ORIFJONOVICH</v>
      </c>
      <c r="B11" s="368"/>
      <c r="C11" s="368"/>
      <c r="D11" s="368"/>
      <c r="E11" s="368"/>
      <c r="F11" s="368"/>
      <c r="G11" s="368"/>
      <c r="H11" s="368"/>
    </row>
    <row r="12" spans="1:9" ht="19.5" customHeight="1">
      <c r="A12" s="368" t="str">
        <f>'Акт согласования'!A23:E23</f>
        <v>-* texnik pasport: AAG 2398913  20.09.2023 y.</v>
      </c>
      <c r="B12" s="368"/>
      <c r="C12" s="368"/>
      <c r="D12" s="368"/>
      <c r="E12" s="368"/>
      <c r="F12" s="368"/>
      <c r="G12" s="368"/>
      <c r="H12" s="368"/>
    </row>
    <row r="13" spans="1:9" ht="19.5" customHeight="1">
      <c r="A13" s="368" t="str">
        <f>'Акт согласования'!A24:E24</f>
        <v>-* roʻyxatdan oʻtgan manzili/garaj manzili: ANDIJON VILOYATI SHAXRIXON TUMANI BARKAMOL AVLOD MFY</v>
      </c>
      <c r="B13" s="368"/>
      <c r="C13" s="368"/>
      <c r="D13" s="368"/>
      <c r="E13" s="368"/>
      <c r="F13" s="368"/>
      <c r="G13" s="368"/>
      <c r="H13" s="368"/>
    </row>
    <row r="14" spans="1:9" ht="19.5" customHeight="1">
      <c r="A14" s="368" t="str">
        <f>'Акт согласования'!A25:E25</f>
        <v>-* davlat raqami: 60Q081BB</v>
      </c>
      <c r="B14" s="368"/>
      <c r="C14" s="368"/>
      <c r="D14" s="368"/>
      <c r="E14" s="368"/>
      <c r="F14" s="368"/>
      <c r="G14" s="368"/>
      <c r="H14" s="368"/>
    </row>
    <row r="15" spans="1:9" ht="33.75" customHeight="1">
      <c r="A15" s="361" t="str">
        <f>+"Shu bilan birga, yuqoridagi mulkning kelishilgan garov qiymati "&amp;'Акт согласования'!E48</f>
        <v>Shu bilan birga, yuqoridagi mulkning kelishilgan garov qiymati 270 000 000,00 (ikki yuz yetmish million so'm)</v>
      </c>
      <c r="B15" s="361"/>
      <c r="C15" s="361"/>
      <c r="D15" s="361"/>
      <c r="E15" s="361"/>
      <c r="F15" s="361"/>
      <c r="G15" s="361"/>
      <c r="H15" s="361"/>
    </row>
    <row r="17" spans="1:8" s="170" customFormat="1" ht="32.25" customHeight="1">
      <c r="A17" s="362" t="s">
        <v>301</v>
      </c>
      <c r="B17" s="362"/>
      <c r="C17" s="362"/>
      <c r="D17" s="362"/>
      <c r="E17" s="362"/>
      <c r="F17" s="362"/>
      <c r="G17" s="362"/>
      <c r="H17" s="362"/>
    </row>
    <row r="21" spans="1:8" s="34" customFormat="1"/>
    <row r="22" spans="1:8" s="34" customFormat="1">
      <c r="A22" s="34" t="str">
        <f>'Общие данные'!A150</f>
        <v>Nukus filiali boshligi</v>
      </c>
      <c r="H22" s="173" t="str">
        <f>'Общие данные'!B150</f>
        <v>XOJANIYAZOV B. Z.</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QOSIMOV  B.O.</v>
      </c>
    </row>
    <row r="27" spans="1:8" s="34" customFormat="1"/>
    <row r="28" spans="1:8" s="34" customFormat="1"/>
    <row r="29" spans="1:8" s="34"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3" zoomScaleSheetLayoutView="100" workbookViewId="0">
      <selection activeCell="A24" sqref="A24"/>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60" t="str">
        <f>""&amp;" "&amp;'Общие данные'!B74&amp;"-sonli "&amp;" "&amp;'Общие данные'!C64&amp;" shartnomasi bo‘yicha garovga qo‘yilgan mol-mulkni tekshirish bo’yicha "&amp;'Общие данные'!B5&amp;" bilan tuzilgan dalolatnomasi"</f>
        <v xml:space="preserve"> 4 fevral 2025 y.dan №269-NS-sonli  Mikrokredit shartnomasi bo‘yicha garovga qo‘yilgan mol-mulkni tekshirish bo’yicha QOSIMOV BEKZODBEK ORIFJONOVICH bilan tuzilgan dalolatnomasi</v>
      </c>
      <c r="B2" s="360"/>
      <c r="C2" s="360"/>
      <c r="D2" s="360"/>
      <c r="E2" s="360"/>
      <c r="F2" s="360"/>
      <c r="G2" s="360"/>
      <c r="H2" s="360"/>
      <c r="I2" s="34"/>
    </row>
    <row r="3" spans="1:9">
      <c r="A3" s="360"/>
      <c r="B3" s="360"/>
      <c r="C3" s="360"/>
      <c r="D3" s="360"/>
      <c r="E3" s="360"/>
      <c r="F3" s="360"/>
      <c r="G3" s="360"/>
      <c r="H3" s="360"/>
      <c r="I3" s="34"/>
    </row>
    <row r="5" spans="1:9">
      <c r="A5" s="27" t="s">
        <v>214</v>
      </c>
      <c r="H5" s="171" t="str">
        <f>TEXT(+'Общие данные'!B2+720,"ДД.ММ.ГГГГ")</f>
        <v>25.01.2027</v>
      </c>
    </row>
    <row r="7" spans="1:9" ht="45" customHeight="1">
      <c r="A7" s="359"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XOJANIYAZOV B. Z., jismoniy shaxs  QOSIMOV BEKZODBEK ORIFJONOVICH  4 fevral 2025 y.dan №269-NS-sonli Mikrokredit shartnomasi bo‘yicha garovga qo‘yilgan mol-mulkni ko‘zdan kechirdim</v>
      </c>
      <c r="B7" s="359"/>
      <c r="C7" s="359"/>
      <c r="D7" s="359"/>
      <c r="E7" s="359"/>
      <c r="F7" s="359"/>
      <c r="G7" s="359"/>
      <c r="H7" s="359"/>
    </row>
    <row r="8" spans="1:9" ht="19.5" customHeight="1">
      <c r="A8" s="363" t="s">
        <v>298</v>
      </c>
      <c r="B8" s="363"/>
      <c r="C8" s="363"/>
      <c r="D8" s="363"/>
      <c r="E8" s="363"/>
      <c r="F8" s="363"/>
      <c r="G8" s="363"/>
      <c r="H8" s="363"/>
    </row>
    <row r="9" spans="1:9" s="172" customFormat="1" ht="32.25" customHeight="1">
      <c r="A9" s="364" t="s">
        <v>217</v>
      </c>
      <c r="B9" s="365"/>
      <c r="C9" s="364" t="s">
        <v>299</v>
      </c>
      <c r="D9" s="365"/>
      <c r="E9" s="366" t="s">
        <v>300</v>
      </c>
      <c r="F9" s="366"/>
      <c r="G9" s="366" t="s">
        <v>181</v>
      </c>
      <c r="H9" s="366"/>
    </row>
    <row r="10" spans="1:9" s="170" customFormat="1" ht="58.5" customHeight="1">
      <c r="A10" s="367" t="str">
        <f>'Общие данные'!B125</f>
        <v>MALIBU 2</v>
      </c>
      <c r="B10" s="367"/>
      <c r="C10" s="367" t="str">
        <f>'Общие данные'!B127</f>
        <v>Kuzov turi YENGIL SEDAN, Kuzov raqami XWBJF69VELA059410</v>
      </c>
      <c r="D10" s="367"/>
      <c r="E10" s="367" t="str">
        <f>'Общие данные'!B130</f>
        <v>dvigatel raqami 211470021, shassi raqami - RAKAMSIZ</v>
      </c>
      <c r="F10" s="367"/>
      <c r="G10" s="367" t="str">
        <f>'Общие данные'!B133</f>
        <v>rangi -  QORA CHYORNIY, ishlab chiqarilgan yili - 2022</v>
      </c>
      <c r="H10" s="367"/>
    </row>
    <row r="11" spans="1:9" ht="19.5" customHeight="1">
      <c r="A11" s="368" t="str">
        <f>'Акт согласования'!A22:E22</f>
        <v>-* avtotransport egasi: QOSIMOV BEKZODBEK ORIFJONOVICH</v>
      </c>
      <c r="B11" s="368"/>
      <c r="C11" s="368"/>
      <c r="D11" s="368"/>
      <c r="E11" s="368"/>
      <c r="F11" s="368"/>
      <c r="G11" s="368"/>
      <c r="H11" s="368"/>
    </row>
    <row r="12" spans="1:9" ht="19.5" customHeight="1">
      <c r="A12" s="368" t="str">
        <f>'Акт согласования'!A23:E23</f>
        <v>-* texnik pasport: AAG 2398913  20.09.2023 y.</v>
      </c>
      <c r="B12" s="368"/>
      <c r="C12" s="368"/>
      <c r="D12" s="368"/>
      <c r="E12" s="368"/>
      <c r="F12" s="368"/>
      <c r="G12" s="368"/>
      <c r="H12" s="368"/>
    </row>
    <row r="13" spans="1:9" ht="19.5" customHeight="1">
      <c r="A13" s="368" t="str">
        <f>'Акт согласования'!A24:E24</f>
        <v>-* roʻyxatdan oʻtgan manzili/garaj manzili: ANDIJON VILOYATI SHAXRIXON TUMANI BARKAMOL AVLOD MFY</v>
      </c>
      <c r="B13" s="368"/>
      <c r="C13" s="368"/>
      <c r="D13" s="368"/>
      <c r="E13" s="368"/>
      <c r="F13" s="368"/>
      <c r="G13" s="368"/>
      <c r="H13" s="368"/>
    </row>
    <row r="14" spans="1:9" ht="19.5" customHeight="1">
      <c r="A14" s="368" t="str">
        <f>'Акт согласования'!A25:E25</f>
        <v>-* davlat raqami: 60Q081BB</v>
      </c>
      <c r="B14" s="368"/>
      <c r="C14" s="368"/>
      <c r="D14" s="368"/>
      <c r="E14" s="368"/>
      <c r="F14" s="368"/>
      <c r="G14" s="368"/>
      <c r="H14" s="368"/>
    </row>
    <row r="15" spans="1:9" ht="33.75" customHeight="1">
      <c r="A15" s="361" t="str">
        <f>+"Shu bilan birga, yuqoridagi mulkning kelishilgan garov qiymati "&amp;'Акт согласования'!E48</f>
        <v>Shu bilan birga, yuqoridagi mulkning kelishilgan garov qiymati 270 000 000,00 (ikki yuz yetmish million so'm)</v>
      </c>
      <c r="B15" s="361"/>
      <c r="C15" s="361"/>
      <c r="D15" s="361"/>
      <c r="E15" s="361"/>
      <c r="F15" s="361"/>
      <c r="G15" s="361"/>
      <c r="H15" s="361"/>
    </row>
    <row r="17" spans="1:8" ht="28.5" customHeight="1">
      <c r="A17" s="362" t="s">
        <v>301</v>
      </c>
      <c r="B17" s="362"/>
      <c r="C17" s="362"/>
      <c r="D17" s="362"/>
      <c r="E17" s="362"/>
      <c r="F17" s="362"/>
      <c r="G17" s="362"/>
      <c r="H17" s="362"/>
    </row>
    <row r="21" spans="1:8" s="34" customFormat="1"/>
    <row r="22" spans="1:8" s="34" customFormat="1">
      <c r="A22" s="34" t="str">
        <f>'Общие данные'!A150</f>
        <v>Nukus filiali boshligi</v>
      </c>
      <c r="H22" s="173" t="str">
        <f>'Общие данные'!B150</f>
        <v>XOJANIYAZOV B. Z.</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QOSIMOV  B.O.</v>
      </c>
    </row>
    <row r="27" spans="1:8" s="34" customFormat="1"/>
    <row r="28" spans="1:8" s="34" customFormat="1"/>
    <row r="29" spans="1:8" s="34"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2025-01-15T10:03:08Z</cp:lastPrinted>
  <dcterms:created xsi:type="dcterms:W3CDTF">2015-06-05T18:19:34Z</dcterms:created>
  <dcterms:modified xsi:type="dcterms:W3CDTF">2025-02-09T06:26:56Z</dcterms:modified>
</cp:coreProperties>
</file>